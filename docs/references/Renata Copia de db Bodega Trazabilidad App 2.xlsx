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LETAS" sheetId="1" r:id="rId5"/>
    <sheet state="visible" name="SQL_GENERADO_V2" sheetId="2" r:id="rId6"/>
    <sheet state="visible" name="CALIFICACION VINO" sheetId="3" r:id="rId7"/>
    <sheet state="visible" name="Trazado" sheetId="4" r:id="rId8"/>
    <sheet state="visible" name="PILETAS LOTES" sheetId="5" r:id="rId9"/>
    <sheet state="visible" name="MOVIMIENTO" sheetId="6" r:id="rId10"/>
    <sheet state="visible" name="SQL_GENERADO_V3" sheetId="7" r:id="rId11"/>
    <sheet state="visible" name="GLOBAL" sheetId="8" r:id="rId12"/>
    <sheet state="visible" name="ESTADO_PILETAS" sheetId="9" r:id="rId13"/>
    <sheet state="visible" name="CIU" sheetId="10" r:id="rId14"/>
    <sheet state="visible" name="PILETASEXPO" sheetId="11" r:id="rId15"/>
    <sheet state="visible" name="ANALISIS_EXPO" sheetId="12" r:id="rId16"/>
    <sheet state="visible" name="ANALISIS IMPRESION" sheetId="13" r:id="rId17"/>
    <sheet state="visible" name="CORTE TEORICO" sheetId="14" r:id="rId18"/>
    <sheet state="visible" name="CORTE TEORICO DETALLE" sheetId="15" r:id="rId19"/>
    <sheet state="visible" name="ORDENES_TRABAJO_EXPO" sheetId="16" r:id="rId20"/>
    <sheet state="visible" name="BAUME" sheetId="17" r:id="rId21"/>
    <sheet state="visible" name="OT_BODEGA" sheetId="18" r:id="rId22"/>
    <sheet state="visible" name="TAREAS OT" sheetId="19" r:id="rId23"/>
    <sheet state="visible" name="USERS" sheetId="20" r:id="rId24"/>
    <sheet state="visible" name="OPERARIOS" sheetId="21" r:id="rId2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tc={a580828e-d5a1-4f12-a5b9-a44e8f60b5dd}</author>
  </authors>
  <commentList>
    <comment authorId="0" xr:uid="{a580828e-d5a1-4f12-a5b9-a44e8f60b5dd}" ref="D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=IF(B1554="";"";QUERY(Arqueo!A4:K134;"SELECT A, G, E WHERE B = "&amp;B1554;-1))
si no funciona la otra formula, esta es la que estaba antes
</t>
      </text>
    </comment>
  </commentList>
</comments>
</file>

<file path=xl/sharedStrings.xml><?xml version="1.0" encoding="utf-8"?>
<sst xmlns="http://schemas.openxmlformats.org/spreadsheetml/2006/main" count="20781" uniqueCount="8056">
  <si>
    <t>ID_PILETA</t>
  </si>
  <si>
    <t>Capacidad</t>
  </si>
  <si>
    <t>Lote Pta</t>
  </si>
  <si>
    <t>Estado</t>
  </si>
  <si>
    <t>Tipo</t>
  </si>
  <si>
    <t>Lts_x_cm</t>
  </si>
  <si>
    <t>EST</t>
  </si>
  <si>
    <t>da997936</t>
  </si>
  <si>
    <t>ebf08055</t>
  </si>
  <si>
    <t>a324303d</t>
  </si>
  <si>
    <t>376dbee6</t>
  </si>
  <si>
    <t>f9bf68a3</t>
  </si>
  <si>
    <t>10b87434</t>
  </si>
  <si>
    <t>869e8a1b</t>
  </si>
  <si>
    <t>b3a40361</t>
  </si>
  <si>
    <t>a2728d01</t>
  </si>
  <si>
    <t>a37dae6b</t>
  </si>
  <si>
    <t>7def2139</t>
  </si>
  <si>
    <t>08cd1438</t>
  </si>
  <si>
    <t>0997a77d</t>
  </si>
  <si>
    <t>dccd4f5e</t>
  </si>
  <si>
    <t>7ae457f1</t>
  </si>
  <si>
    <t>9b47717c</t>
  </si>
  <si>
    <t>ef198a97</t>
  </si>
  <si>
    <t>5db7be38</t>
  </si>
  <si>
    <t>b7784dc8</t>
  </si>
  <si>
    <t>da5fcb21</t>
  </si>
  <si>
    <t>5c87f162</t>
  </si>
  <si>
    <t>2d412906</t>
  </si>
  <si>
    <t>4d3f24b6</t>
  </si>
  <si>
    <t>FER</t>
  </si>
  <si>
    <t>d52c4944</t>
  </si>
  <si>
    <t>eb6cce4f</t>
  </si>
  <si>
    <t>22a75cd4</t>
  </si>
  <si>
    <t>fdb74546</t>
  </si>
  <si>
    <t>7a61df09</t>
  </si>
  <si>
    <t>7a9e7f06</t>
  </si>
  <si>
    <t>32396d27</t>
  </si>
  <si>
    <t>52e2d0ea</t>
  </si>
  <si>
    <t>dc08aecd</t>
  </si>
  <si>
    <t>734aedeb</t>
  </si>
  <si>
    <t>502df566</t>
  </si>
  <si>
    <t>6d97827a</t>
  </si>
  <si>
    <t>686fc77a</t>
  </si>
  <si>
    <t>90fc33de</t>
  </si>
  <si>
    <t>a774778b</t>
  </si>
  <si>
    <t>4cb5f547</t>
  </si>
  <si>
    <t>029c104a</t>
  </si>
  <si>
    <t>57a4fe30</t>
  </si>
  <si>
    <t>32fe7ee0</t>
  </si>
  <si>
    <t>3f5178fd</t>
  </si>
  <si>
    <t>605416fd</t>
  </si>
  <si>
    <t>2f7b2de3</t>
  </si>
  <si>
    <t>19567056</t>
  </si>
  <si>
    <t>8347bdfc</t>
  </si>
  <si>
    <t>887268c3</t>
  </si>
  <si>
    <t>d53930ff</t>
  </si>
  <si>
    <t>cbc84b48</t>
  </si>
  <si>
    <t>-- 1. TABLA: Estado_pileta</t>
  </si>
  <si>
    <t>INSERT INTO Estado_pileta (nombre) VALUES ('ACTIVO');</t>
  </si>
  <si>
    <t>-- 2. TABLA: Tipo_movimiento</t>
  </si>
  <si>
    <t>INSERT INTO Tipo_movimiento (nombre) VALUES ('Trasiego');</t>
  </si>
  <si>
    <t>INSERT INTO Tipo_movimiento (nombre) VALUES ('Ajuste Volumen');</t>
  </si>
  <si>
    <t>INSERT INTO Tipo_movimiento (nombre) VALUES ('Llenado');</t>
  </si>
  <si>
    <t>-- 3. TABLA: Variedad</t>
  </si>
  <si>
    <t>INSERT INTO Variedad (nombre, descripcion) VALUES ('Syrah', NULL);</t>
  </si>
  <si>
    <t>INSERT INTO Variedad (nombre, descripcion) VALUES ('Malbec', NULL);</t>
  </si>
  <si>
    <t>INSERT INTO Variedad (nombre, descripcion) VALUES ('Merlot', NULL);</t>
  </si>
  <si>
    <t>INSERT INTO Variedad (nombre, descripcion) VALUES ('Malbec Syrah', NULL);</t>
  </si>
  <si>
    <t>INSERT INTO Variedad (nombre, descripcion) VALUES ('Ajuste Volumen', NULL);</t>
  </si>
  <si>
    <t>INSERT INTO Variedad (nombre, descripcion) VALUES ('Chardonnay', NULL);</t>
  </si>
  <si>
    <t>INSERT INTO Variedad (nombre, descripcion) VALUES ('Aspirant Ferm 25', NULL);</t>
  </si>
  <si>
    <t>INSERT INTO Variedad (nombre, descripcion) VALUES ('Syrah Ferm 25', NULL);</t>
  </si>
  <si>
    <t>INSERT INTO Variedad (nombre, descripcion) VALUES ('Merlot Ferm 25', NULL);</t>
  </si>
  <si>
    <t>INSERT INTO Variedad (nombre, descripcion) VALUES ('Malbec Ferm 25', NULL);</t>
  </si>
  <si>
    <t>INSERT INTO Variedad (nombre, descripcion) VALUES ('Aspirant Anccelota Ferm', NULL);</t>
  </si>
  <si>
    <t>INSERT INTO Variedad (nombre, descripcion) VALUES ('Aspirant', NULL);</t>
  </si>
  <si>
    <t>INSERT INTO Variedad (nombre, descripcion) VALUES ('Syrah s/Asp', NULL);</t>
  </si>
  <si>
    <t>INSERT INTO Variedad (nombre, descripcion) VALUES ('Syrah Merlot s/Asp', NULL);</t>
  </si>
  <si>
    <t>INSERT INTO Variedad (nombre, descripcion) VALUES ('Merlot s/Asp', NULL);</t>
  </si>
  <si>
    <t>INSERT INTO Variedad (nombre, descripcion) VALUES ('Malbec Gota', NULL);</t>
  </si>
  <si>
    <t>INSERT INTO Variedad (nombre, descripcion) VALUES ('Malbec Prensa', NULL);</t>
  </si>
  <si>
    <t>INSERT INTO Variedad (nombre, descripcion) VALUES ('Cabernet Sauv Rect', NULL);</t>
  </si>
  <si>
    <t>INSERT INTO Variedad (nombre, descripcion) VALUES ('Cabernet Sauvignon Rect', NULL);</t>
  </si>
  <si>
    <t>INSERT INTO Variedad (nombre, descripcion) VALUES ('Aspirant 24', NULL);</t>
  </si>
  <si>
    <t>INSERT INTO Variedad (nombre, descripcion) VALUES ('Cabernet Sauvignon Rect 24', NULL);</t>
  </si>
  <si>
    <t>INSERT INTO Variedad (nombre, descripcion) VALUES ('Malbec 24', NULL);</t>
  </si>
  <si>
    <t>INSERT INTO Variedad (nombre, descripcion) VALUES ('Bonarda 24 Rect', NULL);</t>
  </si>
  <si>
    <t>INSERT INTO Variedad (nombre, descripcion) VALUES ('Cabernet Sauvignon 24 Rect', NULL);</t>
  </si>
  <si>
    <t>INSERT INTO Variedad (nombre, descripcion) VALUES ('Tinto 24 Rect', NULL);</t>
  </si>
  <si>
    <t>INSERT INTO Variedad (nombre, descripcion) VALUES ('Aspirant 24 Rect', NULL);</t>
  </si>
  <si>
    <t>INSERT INTO Variedad (nombre, descripcion) VALUES ('Syrah 24', NULL);</t>
  </si>
  <si>
    <t>INSERT INTO Variedad (nombre, descripcion) VALUES ('Malbec Magneta', NULL);</t>
  </si>
  <si>
    <t>INSERT INTO Variedad (nombre, descripcion) VALUES ('Bonarda 24', NULL);</t>
  </si>
  <si>
    <t>INSERT INTO Variedad (nombre, descripcion) VALUES ('Chardonnay 24 Rect', NULL);</t>
  </si>
  <si>
    <t>INSERT INTO Variedad (nombre, descripcion) VALUES ('Syrah Colombo', NULL);</t>
  </si>
  <si>
    <t>INSERT INTO Variedad (nombre, descripcion) VALUES ('Syrah Tempranillo', NULL);</t>
  </si>
  <si>
    <t>INSERT INTO Variedad (nombre, descripcion) VALUES ('Merlot s/ Asp', NULL);</t>
  </si>
  <si>
    <t>INSERT INTO Variedad (nombre, descripcion) VALUES ('Aspirant Anccelota Gota', NULL);</t>
  </si>
  <si>
    <t>INSERT INTO Variedad (nombre, descripcion) VALUES ('Chardonnay (Filtra)', NULL);</t>
  </si>
  <si>
    <t>INSERT INTO Variedad (nombre, descripcion) VALUES ('Syrah Merlot s/Asp gota', NULL);</t>
  </si>
  <si>
    <t>INSERT INTO Variedad (nombre, descripcion) VALUES ('Syrah Merlot s/Asp Gota', NULL);</t>
  </si>
  <si>
    <t>INSERT INTO Variedad (nombre, descripcion) VALUES ('Syrah Tempranillo s/Asp 2da', NULL);</t>
  </si>
  <si>
    <t>INSERT INTO Variedad (nombre, descripcion) VALUES ('prueba 1', NULL);</t>
  </si>
  <si>
    <t>INSERT INTO Variedad (nombre, descripcion) VALUES ('Prueva 2 Variedad', NULL);</t>
  </si>
  <si>
    <t>INSERT INTO Variedad (nombre, descripcion) VALUES ('Cabernet Sauv Despacho Bodega', NULL);</t>
  </si>
  <si>
    <t>INSERT INTO Variedad (nombre, descripcion) VALUES ('Aspirat', NULL);</t>
  </si>
  <si>
    <t>INSERT INTO Variedad (nombre, descripcion) VALUES ('Malbec con Merlot s/Asp', NULL);</t>
  </si>
  <si>
    <t>INSERT INTO Variedad (nombre, descripcion) VALUES ('Syrah Ferm', NULL);</t>
  </si>
  <si>
    <t>INSERT INTO Variedad (nombre, descripcion) VALUES ('Syrah Colom s/Asp 2', NULL);</t>
  </si>
  <si>
    <t>INSERT INTO Variedad (nombre, descripcion) VALUES ('Merlot Fer', NULL);</t>
  </si>
  <si>
    <t>INSERT INTO Variedad (nombre, descripcion) VALUES ('Merlot s/ Asp descube', NULL);</t>
  </si>
  <si>
    <t>INSERT INTO Variedad (nombre, descripcion) VALUES ('Merlot s/Asp descube', NULL);</t>
  </si>
  <si>
    <t>INSERT INTO Variedad (nombre, descripcion) VALUES ('Syrah s/Asp 2da', NULL);</t>
  </si>
  <si>
    <t>INSERT INTO Variedad (nombre, descripcion) VALUES ('Anccelotta', NULL);</t>
  </si>
  <si>
    <t>INSERT INTO Variedad (nombre, descripcion) VALUES ('Syrah s/Asp 3ra', NULL);</t>
  </si>
  <si>
    <t>INSERT INTO Variedad (nombre, descripcion) VALUES ('Correccion', NULL);</t>
  </si>
  <si>
    <t>INSERT INTO Variedad (nombre, descripcion) VALUES ('Merlot s/Asp y Syrah', NULL);</t>
  </si>
  <si>
    <t>INSERT INTO Variedad (nombre, descripcion) VALUES ('Syrah s/Asp 2 Prensa', NULL);</t>
  </si>
  <si>
    <t>INSERT INTO Variedad (nombre, descripcion) VALUES ('Tinto La Vendimia', NULL);</t>
  </si>
  <si>
    <t>INSERT INTO Variedad (nombre, descripcion) VALUES ('Chenin', NULL);</t>
  </si>
  <si>
    <t>INSERT INTO Variedad (nombre, descripcion) VALUES ('Bonarda C2', NULL);</t>
  </si>
  <si>
    <t>INSERT INTO Variedad (nombre, descripcion) VALUES ('Tanat', NULL);</t>
  </si>
  <si>
    <t>INSERT INTO Variedad (nombre, descripcion) VALUES ('Ajuste', NULL);</t>
  </si>
  <si>
    <t>INSERT INTO Variedad (nombre, descripcion) VALUES ('Ancellotta Tempranillo', NULL);</t>
  </si>
  <si>
    <t>INSERT INTO Variedad (nombre, descripcion) VALUES ('Torrontes', NULL);</t>
  </si>
  <si>
    <t>INSERT INTO Variedad (nombre, descripcion) VALUES ('Syrah s/Anc', NULL);</t>
  </si>
  <si>
    <t>INSERT INTO Variedad (nombre, descripcion) VALUES ('Tempranillo', NULL);</t>
  </si>
  <si>
    <t>INSERT INTO Variedad (nombre, descripcion) VALUES ('Bonarda', NULL);</t>
  </si>
  <si>
    <t>INSERT INTO Variedad (nombre, descripcion) VALUES ('Pedro Gimenez', NULL);</t>
  </si>
  <si>
    <t>INSERT INTO Variedad (nombre, descripcion) VALUES ('Borra', NULL);</t>
  </si>
  <si>
    <t>INSERT INTO Variedad (nombre, descripcion) VALUES ('Criolla', NULL);</t>
  </si>
  <si>
    <t>INSERT INTO Variedad (nombre, descripcion) VALUES ('Tinto Criolla Rec', NULL);</t>
  </si>
  <si>
    <t>INSERT INTO Variedad (nombre, descripcion) VALUES ('Criolla Filtrada', NULL);</t>
  </si>
  <si>
    <t>INSERT INTO Variedad (nombre, descripcion) VALUES ('Malbec Mec', NULL);</t>
  </si>
  <si>
    <t>INSERT INTO Variedad (nombre, descripcion) VALUES ('Tinto Criolla Recarga', NULL);</t>
  </si>
  <si>
    <t>INSERT INTO Variedad (nombre, descripcion) VALUES ('Tinto Recarga', NULL);</t>
  </si>
  <si>
    <t>INSERT INTO Variedad (nombre, descripcion) VALUES ('Ancellotta Tempranillo Pren', NULL);</t>
  </si>
  <si>
    <t>INSERT INTO Variedad (nombre, descripcion) VALUES ('Malbec G', NULL);</t>
  </si>
  <si>
    <t>INSERT INTO Variedad (nombre, descripcion) VALUES ('Ajuste Arqueo 24/03/25', NULL);</t>
  </si>
  <si>
    <t>INSERT INTO Variedad (nombre, descripcion) VALUES ('Ajuste Arq 25/03/25', NULL);</t>
  </si>
  <si>
    <t>INSERT INTO Variedad (nombre, descripcion) VALUES ('Tinto Recarga Press', NULL);</t>
  </si>
  <si>
    <t>INSERT INTO Variedad (nombre, descripcion) VALUES ('Malbec Bonarda', NULL);</t>
  </si>
  <si>
    <t>INSERT INTO Variedad (nombre, descripcion) VALUES ('Torrontes tacho Plastico', NULL);</t>
  </si>
  <si>
    <t>INSERT INTO Variedad (nombre, descripcion) VALUES ('Cabernet Sauvignong', NULL);</t>
  </si>
  <si>
    <t>INSERT INTO Variedad (nombre, descripcion) VALUES ('Malbec Montecepas 24', NULL);</t>
  </si>
  <si>
    <t>INSERT INTO Variedad (nombre, descripcion) VALUES ('Ajuste arqueo 24/03/25', NULL);</t>
  </si>
  <si>
    <t>INSERT INTO Variedad (nombre, descripcion) VALUES ('Bonarda Gota', NULL);</t>
  </si>
  <si>
    <t>INSERT INTO Variedad (nombre, descripcion) VALUES ('Criolla Flotada', NULL);</t>
  </si>
  <si>
    <t>INSERT INTO Variedad (nombre, descripcion) VALUES ('Criolla s/Bonarda', NULL);</t>
  </si>
  <si>
    <t>INSERT INTO Variedad (nombre, descripcion) VALUES ('Ajuste Arqueo 01-04-25', NULL);</t>
  </si>
  <si>
    <t>INSERT INTO Variedad (nombre, descripcion) VALUES ('Tinto s/Bonarda', NULL);</t>
  </si>
  <si>
    <t>INSERT INTO Variedad (nombre, descripcion) VALUES ('Cabernet Sauv Mec', NULL);</t>
  </si>
  <si>
    <t>INSERT INTO Variedad (nombre, descripcion) VALUES ('Cabernet Sauv', NULL);</t>
  </si>
  <si>
    <t>INSERT INTO Variedad (nombre, descripcion) VALUES ('Tinto G', NULL);</t>
  </si>
  <si>
    <t>INSERT INTO Variedad (nombre, descripcion) VALUES ('Tinto', NULL);</t>
  </si>
  <si>
    <t>INSERT INTO Variedad (nombre, descripcion) VALUES ('Cabernet Sauv s/Tanat', NULL);</t>
  </si>
  <si>
    <t>INSERT INTO Variedad (nombre, descripcion) VALUES ('Ajuste Arqueo Bodega 7/04/25', NULL);</t>
  </si>
  <si>
    <t>INSERT INTO Variedad (nombre, descripcion) VALUES ('Bonarda sin Rect', NULL);</t>
  </si>
  <si>
    <t>INSERT INTO Variedad (nombre, descripcion) VALUES ('Cabernet Sauvignon', NULL);</t>
  </si>
  <si>
    <t>INSERT INTO Variedad (nombre, descripcion) VALUES ('Tinto s/Ma Bo', NULL);</t>
  </si>
  <si>
    <t>INSERT INTO Variedad (nombre, descripcion) VALUES ('Syrah Rect', NULL);</t>
  </si>
  <si>
    <t>INSERT INTO Variedad (nombre, descripcion) VALUES ('Cabernet Sauvignon sin Rect', NULL);</t>
  </si>
  <si>
    <t>INSERT INTO Variedad (nombre, descripcion) VALUES ('Ajuste Arqueo 14/04/25', NULL);</t>
  </si>
  <si>
    <t>INSERT INTO Variedad (nombre, descripcion) VALUES ('Syrah Bonarda Rect', NULL);</t>
  </si>
  <si>
    <t>INSERT INTO Variedad (nombre, descripcion) VALUES ('Gota y presna', NULL);</t>
  </si>
  <si>
    <t>INSERT INTO Variedad (nombre, descripcion) VALUES ('Chardonnay Late Harvest', NULL);</t>
  </si>
  <si>
    <t>INSERT INTO Variedad (nombre, descripcion) VALUES ('Tinto s/Bonarda 2da', NULL);</t>
  </si>
  <si>
    <t>INSERT INTO Variedad (nombre, descripcion) VALUES ('Ajuste semana 22/04/25', NULL);</t>
  </si>
  <si>
    <t>INSERT INTO Variedad (nombre, descripcion) VALUES ('Cabernet Sauvignon prensa', NULL);</t>
  </si>
  <si>
    <t>INSERT INTO Variedad (nombre, descripcion) VALUES ('Claro de filtro', NULL);</t>
  </si>
  <si>
    <t>INSERT INTO Variedad (nombre, descripcion) VALUES ('Tinto 2da', NULL);</t>
  </si>
  <si>
    <t>INSERT INTO Variedad (nombre, descripcion) VALUES ('Malbec Dulc', NULL);</t>
  </si>
  <si>
    <t>INSERT INTO Variedad (nombre, descripcion) VALUES ('Claro de Filtro', NULL);</t>
  </si>
  <si>
    <t>INSERT INTO Variedad (nombre, descripcion) VALUES ('Malbec Bon Dulce  Rect', NULL);</t>
  </si>
  <si>
    <t>INSERT INTO Variedad (nombre, descripcion) VALUES ('Ajuste Arqueo 05/05/25', NULL);</t>
  </si>
  <si>
    <t>INSERT INTO Variedad (nombre, descripcion) VALUES ('Malbec Millan 200', NULL);</t>
  </si>
  <si>
    <t>INSERT INTO Variedad (nombre, descripcion) VALUES ('Cabernet Sauv Millan 233', NULL);</t>
  </si>
  <si>
    <t>INSERT INTO Variedad (nombre, descripcion) VALUES ('Cabernet Sauv Millan 233 - - TRASLADO', NULL);</t>
  </si>
  <si>
    <t>INSERT INTO Variedad (nombre, descripcion) VALUES ('Malbec Millan 200 - TRASLADO', NULL);</t>
  </si>
  <si>
    <t>INSERT INTO Variedad (nombre, descripcion) VALUES ('Cabernet Sauv Millan 233 - TRASLADO', NULL);</t>
  </si>
  <si>
    <t>INSERT INTO Variedad (nombre, descripcion) VALUES ('Malbec Carricondo Venta', NULL);</t>
  </si>
  <si>
    <t>INSERT INTO Variedad (nombre, descripcion) VALUES ('Tinto (Chardonnay)', NULL);</t>
  </si>
  <si>
    <t>INSERT INTO Variedad (nombre, descripcion) VALUES ('Ajuste Arqueo 10/05/25', NULL);</t>
  </si>
  <si>
    <t>INSERT INTO Variedad (nombre, descripcion) VALUES ('Malbec Rectifciado', NULL);</t>
  </si>
  <si>
    <t>INSERT INTO Variedad (nombre, descripcion) VALUES ('Cabernet Sauvignon - Rectificado', NULL);</t>
  </si>
  <si>
    <t>INSERT INTO Variedad (nombre, descripcion) VALUES ('Tinto (Claro F)', NULL);</t>
  </si>
  <si>
    <t>INSERT INTO Variedad (nombre, descripcion) VALUES ('Ajuste Arqueo 19/05/2025', NULL);</t>
  </si>
  <si>
    <t>INSERT INTO Variedad (nombre, descripcion) VALUES ('Tinto Venta Garbin', NULL);</t>
  </si>
  <si>
    <t>INSERT INTO Variedad (nombre, descripcion) VALUES ('Ajustes 23/5/2025', NULL);</t>
  </si>
  <si>
    <t>INSERT INTO Variedad (nombre, descripcion) VALUES ('Bonarda Rect', NULL);</t>
  </si>
  <si>
    <t>INSERT INTO Variedad (nombre, descripcion) VALUES ('Cabernet Sauvignon Rectificado', NULL);</t>
  </si>
  <si>
    <t>INSERT INTO Variedad (nombre, descripcion) VALUES ('Tinto (Ch)', NULL);</t>
  </si>
  <si>
    <t>INSERT INTO Variedad (nombre, descripcion) VALUES ('Tacho Pl Torrontes', NULL);</t>
  </si>
  <si>
    <t>INSERT INTO Variedad (nombre, descripcion) VALUES ('Ajuste Volumen 31/05/25', NULL);</t>
  </si>
  <si>
    <t>INSERT INTO Variedad (nombre, descripcion) VALUES ('Chardonnay Venta La Vendimia', NULL);</t>
  </si>
  <si>
    <t>INSERT INTO Variedad (nombre, descripcion) VALUES ('Malbec Venta Lopez', NULL);</t>
  </si>
  <si>
    <t>INSERT INTO Variedad (nombre, descripcion) VALUES ('Syrah Rectificado', NULL);</t>
  </si>
  <si>
    <t>INSERT INTO Variedad (nombre, descripcion) VALUES ('Ajuste Arqueo 17/06/2025', NULL);</t>
  </si>
  <si>
    <t>INSERT INTO Variedad (nombre, descripcion) VALUES ('Malbec Montecepas 24 - fraccionamiento bolsas 3 lts x 100', NULL);</t>
  </si>
  <si>
    <t>INSERT INTO Variedad (nombre, descripcion) VALUES ('Ajuste 27/06/25', NULL);</t>
  </si>
  <si>
    <t>INSERT INTO Variedad (nombre, descripcion) VALUES ('Borra Seca', NULL);</t>
  </si>
  <si>
    <t>INSERT INTO Variedad (nombre, descripcion) VALUES ('Ajuste de filtrado Tang y rellenos 29/7/25', NULL);</t>
  </si>
  <si>
    <t>INSERT INTO Variedad (nombre, descripcion) VALUES ('Malbec Lopez', NULL);</t>
  </si>
  <si>
    <t>INSERT INTO Variedad (nombre, descripcion) VALUES ('Chardonnay Calia Venta', NULL);</t>
  </si>
  <si>
    <t>INSERT INTO Variedad (nombre, descripcion) VALUES ('Ajuste 11/08/25', NULL);</t>
  </si>
  <si>
    <t>INSERT INTO Variedad (nombre, descripcion) VALUES ('Malbec Medrano L 5223', NULL);</t>
  </si>
  <si>
    <t>INSERT INTO Variedad (nombre, descripcion) VALUES ('Malbec Medrano L 5223 - Fraccionado', NULL);</t>
  </si>
  <si>
    <t>INSERT INTO Variedad (nombre, descripcion) VALUES ('Malbec Montecepas L 5223', NULL);</t>
  </si>
  <si>
    <t>INSERT INTO Variedad (nombre, descripcion) VALUES ('Malbec Magneta Fraccionado L 5223', NULL);</t>
  </si>
  <si>
    <t>INSERT INTO Variedad (nombre, descripcion) VALUES ('Malbec Montecepas L 5223 - Fraccionado', NULL);</t>
  </si>
  <si>
    <t>INSERT INTO Variedad (nombre, descripcion) VALUES ('Malbec Millan', NULL);</t>
  </si>
  <si>
    <t>-- 4. TABLA: Pileta</t>
  </si>
  <si>
    <t>INSERT INTO Pileta (id_pileta, capacidad_lts, id_estado_pileta, apta, tipo, observaciones) SELECT 1, 107500, id_estado_pileta, 'A', 'EST', NULL FROM Estado_pileta WHERE nombre = 'ACTIVO';</t>
  </si>
  <si>
    <t>INSERT INTO Pileta (id_pileta, capacidad_lts, id_estado_pileta, apta, tipo, observaciones) SELECT 2, 8400, id_estado_pileta, 'A', 'EST', NULL FROM Estado_pileta WHERE nombre = 'ACTIVO';</t>
  </si>
  <si>
    <t>INSERT INTO Pileta (id_pileta, capacidad_lts, id_estado_pileta, apta, tipo, observaciones) SELECT 3, 15000, id_estado_pileta, 'A', 'EST', NULL FROM Estado_pileta WHERE nombre = 'ACTIVO';</t>
  </si>
  <si>
    <t>INSERT INTO Pileta (id_pileta, capacidad_lts, id_estado_pileta, apta, tipo, observaciones) SELECT 4, 26000, id_estado_pileta, 'A', 'EST', NULL FROM Estado_pileta WHERE nombre = 'ACTIVO';</t>
  </si>
  <si>
    <t>INSERT INTO Pileta (id_pileta, capacidad_lts, id_estado_pileta, apta, tipo, observaciones) SELECT 5, 30000, id_estado_pileta, 'A', 'EST', NULL FROM Estado_pileta WHERE nombre = 'ACTIVO';</t>
  </si>
  <si>
    <t>INSERT INTO Pileta (id_pileta, capacidad_lts, id_estado_pileta, apta, tipo, observaciones) SELECT 6, 32000, id_estado_pileta, 'A', 'EST', NULL FROM Estado_pileta WHERE nombre = 'ACTIVO';</t>
  </si>
  <si>
    <t>INSERT INTO Pileta (id_pileta, capacidad_lts, id_estado_pileta, apta, tipo, observaciones) SELECT 7, 30000, id_estado_pileta, 'A', 'EST', NULL FROM Estado_pileta WHERE nombre = 'ACTIVO';</t>
  </si>
  <si>
    <t>INSERT INTO Pileta (id_pileta, capacidad_lts, id_estado_pileta, apta, tipo, observaciones) SELECT 8, 22000, id_estado_pileta, 'A', 'EST', NULL FROM Estado_pileta WHERE nombre = 'ACTIVO';</t>
  </si>
  <si>
    <t>INSERT INTO Pileta (id_pileta, capacidad_lts, id_estado_pileta, apta, tipo, observaciones) SELECT 9, 30000, id_estado_pileta, 'A', 'EST', NULL FROM Estado_pileta WHERE nombre = 'ACTIVO';</t>
  </si>
  <si>
    <t>INSERT INTO Pileta (id_pileta, capacidad_lts, id_estado_pileta, apta, tipo, observaciones) SELECT 10, 21000, id_estado_pileta, 'A', 'EST', NULL FROM Estado_pileta WHERE nombre = 'ACTIVO';</t>
  </si>
  <si>
    <t>INSERT INTO Pileta (id_pileta, capacidad_lts, id_estado_pileta, apta, tipo, observaciones) SELECT 11, 36000, id_estado_pileta, 'A', 'EST', NULL FROM Estado_pileta WHERE nombre = 'ACTIVO';</t>
  </si>
  <si>
    <t>INSERT INTO Pileta (id_pileta, capacidad_lts, id_estado_pileta, apta, tipo, observaciones) SELECT 12, 35300, id_estado_pileta, 'A', 'EST', NULL FROM Estado_pileta WHERE nombre = 'ACTIVO';</t>
  </si>
  <si>
    <t>INSERT INTO Pileta (id_pileta, capacidad_lts, id_estado_pileta, apta, tipo, observaciones) SELECT 13, 20000, id_estado_pileta, 'A', 'EST', NULL FROM Estado_pileta WHERE nombre = 'ACTIVO';</t>
  </si>
  <si>
    <t>INSERT INTO Pileta (id_pileta, capacidad_lts, id_estado_pileta, apta, tipo, observaciones) SELECT 14, 37000, id_estado_pileta, 'A', 'EST', NULL FROM Estado_pileta WHERE nombre = 'ACTIVO';</t>
  </si>
  <si>
    <t>INSERT INTO Pileta (id_pileta, capacidad_lts, id_estado_pileta, apta, tipo, observaciones) SELECT 15, 36500, id_estado_pileta, 'A', 'EST', NULL FROM Estado_pileta WHERE nombre = 'ACTIVO';</t>
  </si>
  <si>
    <t>INSERT INTO Pileta (id_pileta, capacidad_lts, id_estado_pileta, apta, tipo, observaciones) SELECT 16, 19500, id_estado_pileta, 'A', 'EST', NULL FROM Estado_pileta WHERE nombre = 'ACTIVO';</t>
  </si>
  <si>
    <t>INSERT INTO Pileta (id_pileta, capacidad_lts, id_estado_pileta, apta, tipo, observaciones) SELECT 17, 39500, id_estado_pileta, 'A', 'EST', NULL FROM Estado_pileta WHERE nombre = 'ACTIVO';</t>
  </si>
  <si>
    <t>INSERT INTO Pileta (id_pileta, capacidad_lts, id_estado_pileta, apta, tipo, observaciones) SELECT 18, 39500, id_estado_pileta, 'A', 'EST', NULL FROM Estado_pileta WHERE nombre = 'ACTIVO';</t>
  </si>
  <si>
    <t>INSERT INTO Pileta (id_pileta, capacidad_lts, id_estado_pileta, apta, tipo, observaciones) SELECT 19, 27500, id_estado_pileta, 'A', 'EST', NULL FROM Estado_pileta WHERE nombre = 'ACTIVO';</t>
  </si>
  <si>
    <t>INSERT INTO Pileta (id_pileta, capacidad_lts, id_estado_pileta, apta, tipo, observaciones) SELECT 20, 38100, id_estado_pileta, 'A', 'EST', NULL FROM Estado_pileta WHERE nombre = 'ACTIVO';</t>
  </si>
  <si>
    <t>INSERT INTO Pileta (id_pileta, capacidad_lts, id_estado_pileta, apta, tipo, observaciones) SELECT 21, 28000, id_estado_pileta, 'A', 'EST', NULL FROM Estado_pileta WHERE nombre = 'ACTIVO';</t>
  </si>
  <si>
    <t>INSERT INTO Pileta (id_pileta, capacidad_lts, id_estado_pileta, apta, tipo, observaciones) SELECT 22, 41100, id_estado_pileta, 'A', 'EST', NULL FROM Estado_pileta WHERE nombre = 'ACTIVO';</t>
  </si>
  <si>
    <t>INSERT INTO Pileta (id_pileta, capacidad_lts, id_estado_pileta, apta, tipo, observaciones) SELECT 23, 197100, id_estado_pileta, 'A', 'EST', NULL FROM Estado_pileta WHERE nombre = 'ACTIVO';</t>
  </si>
  <si>
    <t>INSERT INTO Pileta (id_pileta, capacidad_lts, id_estado_pileta, apta, tipo, observaciones) SELECT 24, 186600, id_estado_pileta, 'A', 'EST', NULL FROM Estado_pileta WHERE nombre = 'ACTIVO';</t>
  </si>
  <si>
    <t>INSERT INTO Pileta (id_pileta, capacidad_lts, id_estado_pileta, apta, tipo, observaciones) SELECT 25, 194300, id_estado_pileta, 'A', 'EST', NULL FROM Estado_pileta WHERE nombre = 'ACTIVO';</t>
  </si>
  <si>
    <t>INSERT INTO Pileta (id_pileta, capacidad_lts, id_estado_pileta, apta, tipo, observaciones) SELECT 26, 207600, id_estado_pileta, 'A', 'EST', NULL FROM Estado_pileta WHERE nombre = 'ACTIVO';</t>
  </si>
  <si>
    <t>INSERT INTO Pileta (id_pileta, capacidad_lts, id_estado_pileta, apta, tipo, observaciones) SELECT 27, 207100, id_estado_pileta, 'A', 'EST', NULL FROM Estado_pileta WHERE nombre = 'ACTIVO';</t>
  </si>
  <si>
    <t>INSERT INTO Pileta (id_pileta, capacidad_lts, id_estado_pileta, apta, tipo, observaciones) SELECT 28, 216000, id_estado_pileta, 'A', 'EST', NULL FROM Estado_pileta WHERE nombre = 'ACTIVO';</t>
  </si>
  <si>
    <t>INSERT INTO Pileta (id_pileta, capacidad_lts, id_estado_pileta, apta, tipo, observaciones) SELECT 29, 20400, id_estado_pileta, 'A', 'EST', NULL FROM Estado_pileta WHERE nombre = 'ACTIVO';</t>
  </si>
  <si>
    <t>INSERT INTO Pileta (id_pileta, capacidad_lts, id_estado_pileta, apta, tipo, observaciones) SELECT 30, 38800, id_estado_pileta, 'A', 'EST', NULL FROM Estado_pileta WHERE nombre = 'ACTIVO';</t>
  </si>
  <si>
    <t>INSERT INTO Pileta (id_pileta, capacidad_lts, id_estado_pileta, apta, tipo, observaciones) SELECT 31, 25700, id_estado_pileta, 'A', 'EST', NULL FROM Estado_pileta WHERE nombre = 'ACTIVO';</t>
  </si>
  <si>
    <t>INSERT INTO Pileta (id_pileta, capacidad_lts, id_estado_pileta, apta, tipo, observaciones) SELECT 32, 36300, id_estado_pileta, 'A', 'EST', NULL FROM Estado_pileta WHERE nombre = 'ACTIVO';</t>
  </si>
  <si>
    <t>INSERT INTO Pileta (id_pileta, capacidad_lts, id_estado_pileta, apta, tipo, observaciones) SELECT 33, 25300, id_estado_pileta, 'A', 'EST', NULL FROM Estado_pileta WHERE nombre = 'ACTIVO';</t>
  </si>
  <si>
    <t>INSERT INTO Pileta (id_pileta, capacidad_lts, id_estado_pileta, apta, tipo, observaciones) SELECT 34, 39500, id_estado_pileta, 'A', 'EST', NULL FROM Estado_pileta WHERE nombre = 'ACTIVO';</t>
  </si>
  <si>
    <t>INSERT INTO Pileta (id_pileta, capacidad_lts, id_estado_pileta, apta, tipo, observaciones) SELECT 35, 39300, id_estado_pileta, 'A', 'EST', NULL FROM Estado_pileta WHERE nombre = 'ACTIVO';</t>
  </si>
  <si>
    <t>INSERT INTO Pileta (id_pileta, capacidad_lts, id_estado_pileta, apta, tipo, observaciones) SELECT 36, 19700, id_estado_pileta, 'A', 'EST', NULL FROM Estado_pileta WHERE nombre = 'ACTIVO';</t>
  </si>
  <si>
    <t>INSERT INTO Pileta (id_pileta, capacidad_lts, id_estado_pileta, apta, tipo, observaciones) SELECT 37, 39000, id_estado_pileta, 'A', 'EST', NULL FROM Estado_pileta WHERE nombre = 'ACTIVO';</t>
  </si>
  <si>
    <t>INSERT INTO Pileta (id_pileta, capacidad_lts, id_estado_pileta, apta, tipo, observaciones) SELECT 38, 23500, id_estado_pileta, 'A', 'EST', NULL FROM Estado_pileta WHERE nombre = 'ACTIVO';</t>
  </si>
  <si>
    <t>INSERT INTO Pileta (id_pileta, capacidad_lts, id_estado_pileta, apta, tipo, observaciones) SELECT 39, 40000, id_estado_pileta, 'A', 'EST', NULL FROM Estado_pileta WHERE nombre = 'ACTIVO';</t>
  </si>
  <si>
    <t>INSERT INTO Pileta (id_pileta, capacidad_lts, id_estado_pileta, apta, tipo, observaciones) SELECT 40, 24000, id_estado_pileta, 'A', 'EST', NULL FROM Estado_pileta WHERE nombre = 'ACTIVO';</t>
  </si>
  <si>
    <t>INSERT INTO Pileta (id_pileta, capacidad_lts, id_estado_pileta, apta, tipo, observaciones) SELECT 41, 35100, id_estado_pileta, 'A', 'EST', NULL FROM Estado_pileta WHERE nombre = 'ACTIVO';</t>
  </si>
  <si>
    <t>INSERT INTO Pileta (id_pileta, capacidad_lts, id_estado_pileta, apta, tipo, observaciones) SELECT 42, 35900, id_estado_pileta, 'A', 'EST', NULL FROM Estado_pileta WHERE nombre = 'ACTIVO';</t>
  </si>
  <si>
    <t>INSERT INTO Pileta (id_pileta, capacidad_lts, id_estado_pileta, apta, tipo, observaciones) SELECT 43, 17000, id_estado_pileta, 'A', 'EST', NULL FROM Estado_pileta WHERE nombre = 'ACTIVO';</t>
  </si>
  <si>
    <t>INSERT INTO Pileta (id_pileta, capacidad_lts, id_estado_pileta, apta, tipo, observaciones) SELECT 44, 19100, id_estado_pileta, 'A', 'EST', NULL FROM Estado_pileta WHERE nombre = 'ACTIVO';</t>
  </si>
  <si>
    <t>INSERT INTO Pileta (id_pileta, capacidad_lts, id_estado_pileta, apta, tipo, observaciones) SELECT 45, 30000, id_estado_pileta, 'A', 'EST', NULL FROM Estado_pileta WHERE nombre = 'ACTIVO';</t>
  </si>
  <si>
    <t>INSERT INTO Pileta (id_pileta, capacidad_lts, id_estado_pileta, apta, tipo, observaciones) SELECT 46, 29000, id_estado_pileta, 'A', 'EST', NULL FROM Estado_pileta WHERE nombre = 'ACTIVO';</t>
  </si>
  <si>
    <t>INSERT INTO Pileta (id_pileta, capacidad_lts, id_estado_pileta, apta, tipo, observaciones) SELECT 47, 20000, id_estado_pileta, 'A', 'EST', NULL FROM Estado_pileta WHERE nombre = 'ACTIVO';</t>
  </si>
  <si>
    <t>INSERT INTO Pileta (id_pileta, capacidad_lts, id_estado_pileta, apta, tipo, observaciones) SELECT 48, 26000, id_estado_pileta, 'A', 'EST', NULL FROM Estado_pileta WHERE nombre = 'ACTIVO';</t>
  </si>
  <si>
    <t>INSERT INTO Pileta (id_pileta, capacidad_lts, id_estado_pileta, apta, tipo, observaciones) SELECT 49, 26000, id_estado_pileta, 'A', 'EST', NULL FROM Estado_pileta WHERE nombre = 'ACTIVO';</t>
  </si>
  <si>
    <t>INSERT INTO Pileta (id_pileta, capacidad_lts, id_estado_pileta, apta, tipo, observaciones) SELECT 50, 5100, id_estado_pileta, 'A', 'EST', NULL FROM Estado_pileta WHERE nombre = 'ACTIVO';</t>
  </si>
  <si>
    <t>INSERT INTO Pileta (id_pileta, capacidad_lts, id_estado_pileta, apta, tipo, observaciones) SELECT 51, 3900, id_estado_pileta, 'A', 'EST', NULL FROM Estado_pileta WHERE nombre = 'ACTIVO';</t>
  </si>
  <si>
    <t>INSERT INTO Pileta (id_pileta, capacidad_lts, id_estado_pileta, apta, tipo, observaciones) SELECT 52, 27000, id_estado_pileta, 'A', 'EST', NULL FROM Estado_pileta WHERE nombre = 'ACTIVO';</t>
  </si>
  <si>
    <t>INSERT INTO Pileta (id_pileta, capacidad_lts, id_estado_pileta, apta, tipo, observaciones) SELECT 53, 22000, id_estado_pileta, 'A', 'EST', NULL FROM Estado_pileta WHERE nombre = 'ACTIVO';</t>
  </si>
  <si>
    <t>INSERT INTO Pileta (id_pileta, capacidad_lts, id_estado_pileta, apta, tipo, observaciones) SELECT 54, 22900, id_estado_pileta, 'A', 'EST', NULL FROM Estado_pileta WHERE nombre = 'ACTIVO';</t>
  </si>
  <si>
    <t>INSERT INTO Pileta (id_pileta, capacidad_lts, id_estado_pileta, apta, tipo, observaciones) SELECT 55, 3000, id_estado_pileta, 'A', 'EST', NULL FROM Estado_pileta WHERE nombre = 'ACTIVO';</t>
  </si>
  <si>
    <t>INSERT INTO Pileta (id_pileta, capacidad_lts, id_estado_pileta, apta, tipo, observaciones) SELECT 56, 3000, id_estado_pileta, 'A', 'EST', NULL FROM Estado_pileta WHERE nombre = 'ACTIVO';</t>
  </si>
  <si>
    <t>INSERT INTO Pileta (id_pileta, capacidad_lts, id_estado_pileta, apta, tipo, observaciones) SELECT 57, 96800, id_estado_pileta, 'A', 'EST', NULL FROM Estado_pileta WHERE nombre = 'ACTIVO';</t>
  </si>
  <si>
    <t>INSERT INTO Pileta (id_pileta, capacidad_lts, id_estado_pileta, apta, tipo, observaciones) SELECT 58, 58400, id_estado_pileta, 'A', 'EST', NULL FROM Estado_pileta WHERE nombre = 'ACTIVO';</t>
  </si>
  <si>
    <t>INSERT INTO Pileta (id_pileta, capacidad_lts, id_estado_pileta, apta, tipo, observaciones) SELECT 59, 58200, id_estado_pileta, 'A', 'EST', NULL FROM Estado_pileta WHERE nombre = 'ACTIVO';</t>
  </si>
  <si>
    <t>INSERT INTO Pileta (id_pileta, capacidad_lts, id_estado_pileta, apta, tipo, observaciones) SELECT 60, 55000, id_estado_pileta, 'A', 'EST', NULL FROM Estado_pileta WHERE nombre = 'ACTIVO';</t>
  </si>
  <si>
    <t>INSERT INTO Pileta (id_pileta, capacidad_lts, id_estado_pileta, apta, tipo, observaciones) SELECT 61, 57100, id_estado_pileta, 'A', 'EST', NULL FROM Estado_pileta WHERE nombre = 'ACTIVO';</t>
  </si>
  <si>
    <t>INSERT INTO Pileta (id_pileta, capacidad_lts, id_estado_pileta, apta, tipo, observaciones) SELECT 62, 55000, id_estado_pileta, 'A', 'EST', NULL FROM Estado_pileta WHERE nombre = 'ACTIVO';</t>
  </si>
  <si>
    <t>INSERT INTO Pileta (id_pileta, capacidad_lts, id_estado_pileta, apta, tipo, observaciones) SELECT 63, 70300, id_estado_pileta, 'A', 'EST', NULL FROM Estado_pileta WHERE nombre = 'ACTIVO';</t>
  </si>
  <si>
    <t>INSERT INTO Pileta (id_pileta, capacidad_lts, id_estado_pileta, apta, tipo, observaciones) SELECT 64, 259600, id_estado_pileta, 'A', 'EST', NULL FROM Estado_pileta WHERE nombre = 'ACTIVO';</t>
  </si>
  <si>
    <t>INSERT INTO Pileta (id_pileta, capacidad_lts, id_estado_pileta, apta, tipo, observaciones) SELECT 65, 35500, id_estado_pileta, 'A', 'FER', NULL FROM Estado_pileta WHERE nombre = 'ACTIVO';</t>
  </si>
  <si>
    <t>INSERT INTO Pileta (id_pileta, capacidad_lts, id_estado_pileta, apta, tipo, observaciones) SELECT 66, 23000, id_estado_pileta, 'A', 'FER', NULL FROM Estado_pileta WHERE nombre = 'ACTIVO';</t>
  </si>
  <si>
    <t>INSERT INTO Pileta (id_pileta, capacidad_lts, id_estado_pileta, apta, tipo, observaciones) SELECT 67, 23000, id_estado_pileta, 'A', 'FER', NULL FROM Estado_pileta WHERE nombre = 'ACTIVO';</t>
  </si>
  <si>
    <t>INSERT INTO Pileta (id_pileta, capacidad_lts, id_estado_pileta, apta, tipo, observaciones) SELECT 68, 13000, id_estado_pileta, 'A', 'FER', NULL FROM Estado_pileta WHERE nombre = 'ACTIVO';</t>
  </si>
  <si>
    <t>INSERT INTO Pileta (id_pileta, capacidad_lts, id_estado_pileta, apta, tipo, observaciones) SELECT 69, 13000, id_estado_pileta, 'A', 'FER', NULL FROM Estado_pileta WHERE nombre = 'ACTIVO';</t>
  </si>
  <si>
    <t>INSERT INTO Pileta (id_pileta, capacidad_lts, id_estado_pileta, apta, tipo, observaciones) SELECT 70, 13000, id_estado_pileta, 'A', 'FER', NULL FROM Estado_pileta WHERE nombre = 'ACTIVO';</t>
  </si>
  <si>
    <t>INSERT INTO Pileta (id_pileta, capacidad_lts, id_estado_pileta, apta, tipo, observaciones) SELECT 71, 13000, id_estado_pileta, 'A', 'FER', NULL FROM Estado_pileta WHERE nombre = 'ACTIVO';</t>
  </si>
  <si>
    <t>INSERT INTO Pileta (id_pileta, capacidad_lts, id_estado_pileta, apta, tipo, observaciones) SELECT 72, 13000, id_estado_pileta, 'A', 'FER', NULL FROM Estado_pileta WHERE nombre = 'ACTIVO';</t>
  </si>
  <si>
    <t>INSERT INTO Pileta (id_pileta, capacidad_lts, id_estado_pileta, apta, tipo, observaciones) SELECT 73, 13000, id_estado_pileta, 'A', 'FER', NULL FROM Estado_pileta WHERE nombre = 'ACTIVO';</t>
  </si>
  <si>
    <t>INSERT INTO Pileta (id_pileta, capacidad_lts, id_estado_pileta, apta, tipo, observaciones) SELECT 74, 13000, id_estado_pileta, 'A', 'FER', NULL FROM Estado_pileta WHERE nombre = 'ACTIVO';</t>
  </si>
  <si>
    <t>INSERT INTO Pileta (id_pileta, capacidad_lts, id_estado_pileta, apta, tipo, observaciones) SELECT 75, 7000, id_estado_pileta, 'A', 'EST', NULL FROM Estado_pileta WHERE nombre = 'ACTIVO';</t>
  </si>
  <si>
    <t>INSERT INTO Pileta (id_pileta, capacidad_lts, id_estado_pileta, apta, tipo, observaciones) SELECT 76, 25500, id_estado_pileta, 'A', 'FER', NULL FROM Estado_pileta WHERE nombre = 'ACTIVO';</t>
  </si>
  <si>
    <t>INSERT INTO Pileta (id_pileta, capacidad_lts, id_estado_pileta, apta, tipo, observaciones) SELECT 77, 26000, id_estado_pileta, 'A', 'FER', NULL FROM Estado_pileta WHERE nombre = 'ACTIVO';</t>
  </si>
  <si>
    <t>INSERT INTO Pileta (id_pileta, capacidad_lts, id_estado_pileta, apta, tipo, observaciones) SELECT 78, 25800, id_estado_pileta, 'A', 'FER', NULL FROM Estado_pileta WHERE nombre = 'ACTIVO';</t>
  </si>
  <si>
    <t>INSERT INTO Pileta (id_pileta, capacidad_lts, id_estado_pileta, apta, tipo, observaciones) SELECT 79, 26000, id_estado_pileta, 'A', 'FER', NULL FROM Estado_pileta WHERE nombre = 'ACTIVO';</t>
  </si>
  <si>
    <t>INSERT INTO Pileta (id_pileta, capacidad_lts, id_estado_pileta, apta, tipo, observaciones) SELECT 80, 26100, id_estado_pileta, 'A', 'FER', NULL FROM Estado_pileta WHERE nombre = 'ACTIVO';</t>
  </si>
  <si>
    <t>INSERT INTO Pileta (id_pileta, capacidad_lts, id_estado_pileta, apta, tipo, observaciones) SELECT 81, 26500, id_estado_pileta, 'A', 'FER', NULL FROM Estado_pileta WHERE nombre = 'ACTIVO';</t>
  </si>
  <si>
    <t>INSERT INTO Pileta (id_pileta, capacidad_lts, id_estado_pileta, apta, tipo, observaciones) SELECT 82, 42600, id_estado_pileta, 'A', 'FER', NULL FROM Estado_pileta WHERE nombre = 'ACTIVO';</t>
  </si>
  <si>
    <t>INSERT INTO Pileta (id_pileta, capacidad_lts, id_estado_pileta, apta, tipo, observaciones) SELECT 83, 81500, id_estado_pileta, 'A', 'FER', NULL FROM Estado_pileta WHERE nombre = 'ACTIVO';</t>
  </si>
  <si>
    <t>INSERT INTO Pileta (id_pileta, capacidad_lts, id_estado_pileta, apta, tipo, observaciones) SELECT 84, 83000, id_estado_pileta, 'A', 'FER', NULL FROM Estado_pileta WHERE nombre = 'ACTIVO';</t>
  </si>
  <si>
    <t>INSERT INTO Pileta (id_pileta, capacidad_lts, id_estado_pileta, apta, tipo, observaciones) SELECT 85, 84000, id_estado_pileta, 'A', 'FER', NULL FROM Estado_pileta WHERE nombre = 'ACTIVO';</t>
  </si>
  <si>
    <t>INSERT INTO Pileta (id_pileta, capacidad_lts, id_estado_pileta, apta, tipo, observaciones) SELECT 86, 88000, id_estado_pileta, 'A', 'FER', NULL FROM Estado_pileta WHERE nombre = 'ACTIVO';</t>
  </si>
  <si>
    <t>INSERT INTO Pileta (id_pileta, capacidad_lts, id_estado_pileta, apta, tipo, observaciones) SELECT 87, 93700, id_estado_pileta, 'A', 'FER', NULL FROM Estado_pileta WHERE nombre = 'ACTIVO';</t>
  </si>
  <si>
    <t>INSERT INTO Pileta (id_pileta, capacidad_lts, id_estado_pileta, apta, tipo, observaciones) SELECT 88, 78900, id_estado_pileta, 'A', 'FER', NULL FROM Estado_pileta WHERE nombre = 'ACTIVO';</t>
  </si>
  <si>
    <t>INSERT INTO Pileta (id_pileta, capacidad_lts, id_estado_pileta, apta, tipo, observaciones) SELECT 89, 83500, id_estado_pileta, 'A', 'FER', NULL FROM Estado_pileta WHERE nombre = 'ACTIVO';</t>
  </si>
  <si>
    <t>INSERT INTO Pileta (id_pileta, capacidad_lts, id_estado_pileta, apta, tipo, observaciones) SELECT 90, 97500, id_estado_pileta, 'A', 'FER', NULL FROM Estado_pileta WHERE nombre = 'ACTIVO';</t>
  </si>
  <si>
    <t>INSERT INTO Pileta (id_pileta, capacidad_lts, id_estado_pileta, apta, tipo, observaciones) SELECT 91, 86000, id_estado_pileta, 'A', 'FER', NULL FROM Estado_pileta WHERE nombre = 'ACTIVO';</t>
  </si>
  <si>
    <t>INSERT INTO Pileta (id_pileta, capacidad_lts, id_estado_pileta, apta, tipo, observaciones) SELECT 92, 76000, id_estado_pileta, 'A', 'FER', NULL FROM Estado_pileta WHERE nombre = 'ACTIVO';</t>
  </si>
  <si>
    <t>INSERT INTO Pileta (id_pileta, capacidad_lts, id_estado_pileta, apta, tipo, observaciones) SELECT 931, 11200, id_estado_pileta, 'A', 'EST', NULL FROM Estado_pileta WHERE nombre = 'ACTIVO';</t>
  </si>
  <si>
    <t>INSERT INTO Pileta (id_pileta, capacidad_lts, id_estado_pileta, apta, tipo, observaciones) SELECT 935, 11200, id_estado_pileta, 'A', 'EST', NULL FROM Estado_pileta WHERE nombre = 'ACTIVO';</t>
  </si>
  <si>
    <t>INSERT INTO Pileta (id_pileta, capacidad_lts, id_estado_pileta, apta, tipo, observaciones) SELECT 94, 11600, id_estado_pileta, 'A', 'EST', NULL FROM Estado_pileta WHERE nombre = 'ACTIVO';</t>
  </si>
  <si>
    <t>INSERT INTO Pileta (id_pileta, capacidad_lts, id_estado_pileta, apta, tipo, observaciones) SELECT 95, 77100, id_estado_pileta, 'A', 'FER', NULL FROM Estado_pileta WHERE nombre = 'ACTIVO';</t>
  </si>
  <si>
    <t>INSERT INTO Pileta (id_pileta, capacidad_lts, id_estado_pileta, apta, tipo, observaciones) SELECT 96, 85600, id_estado_pileta, 'A', 'FER', NULL FROM Estado_pileta WHERE nombre = 'ACTIVO';</t>
  </si>
  <si>
    <t>INSERT INTO Pileta (id_pileta, capacidad_lts, id_estado_pileta, apta, tipo, observaciones) SELECT 97, 299200, id_estado_pileta, 'A', 'EST', NULL FROM Estado_pileta WHERE nombre = 'ACTIVO';</t>
  </si>
  <si>
    <t>INSERT INTO Pileta (id_pileta, capacidad_lts, id_estado_pileta, apta, tipo, observaciones) SELECT 98, 254800, id_estado_pileta, 'A', 'EST', NULL FROM Estado_pileta WHERE nombre = 'ACTIVO';</t>
  </si>
  <si>
    <t>INSERT INTO Pileta (id_pileta, capacidad_lts, id_estado_pileta, apta, tipo, observaciones) SELECT 99, 240600, id_estado_pileta, 'A', 'EST', NULL FROM Estado_pileta WHERE nombre = 'ACTIVO';</t>
  </si>
  <si>
    <t>INSERT INTO Pileta (id_pileta, capacidad_lts, id_estado_pileta, apta, tipo, observaciones) SELECT 100, 242000, id_estado_pileta, 'A', 'EST', NULL FROM Estado_pileta WHERE nombre = 'ACTIVO';</t>
  </si>
  <si>
    <t>INSERT INTO Pileta (id_pileta, capacidad_lts, id_estado_pileta, apta, tipo, observaciones) SELECT 101, 244000, id_estado_pileta, 'A', 'EST', NULL FROM Estado_pileta WHERE nombre = 'ACTIVO';</t>
  </si>
  <si>
    <t>INSERT INTO Pileta (id_pileta, capacidad_lts, id_estado_pileta, apta, tipo, observaciones) SELECT 102, 31000, id_estado_pileta, 'A', 'EST', NULL FROM Estado_pileta WHERE nombre = 'ACTIVO';</t>
  </si>
  <si>
    <t>INSERT INTO Pileta (id_pileta, capacidad_lts, id_estado_pileta, apta, tipo, observaciones) SELECT 103, 31000, id_estado_pileta, 'A', 'EST', NULL FROM Estado_pileta WHERE nombre = 'ACTIVO';</t>
  </si>
  <si>
    <t>INSERT INTO Pileta (id_pileta, capacidad_lts, id_estado_pileta, apta, tipo, observaciones) SELECT 104, 31000, id_estado_pileta, 'A', 'EST', NULL FROM Estado_pileta WHERE nombre = 'ACTIVO';</t>
  </si>
  <si>
    <t>INSERT INTO Pileta (id_pileta, capacidad_lts, id_estado_pileta, apta, tipo, observaciones) SELECT 105, 31000, id_estado_pileta, 'A', 'EST', NULL FROM Estado_pileta WHERE nombre = 'ACTIVO';</t>
  </si>
  <si>
    <t>INSERT INTO Pileta (id_pileta, capacidad_lts, id_estado_pileta, apta, tipo, observaciones) SELECT 106, 11000, id_estado_pileta, 'A', 'EST', NULL FROM Estado_pileta WHERE nombre = 'ACTIVO';</t>
  </si>
  <si>
    <t>INSERT INTO Pileta (id_pileta, capacidad_lts, id_estado_pileta, apta, tipo, observaciones) SELECT 107, 31000, id_estado_pileta, 'A', 'EST', NULL FROM Estado_pileta WHERE nombre = 'ACTIVO';</t>
  </si>
  <si>
    <t>INSERT INTO Pileta (id_pileta, capacidad_lts, id_estado_pileta, apta, tipo, observaciones) SELECT 108, 31000, id_estado_pileta, 'A', 'EST', NULL FROM Estado_pileta WHERE nombre = 'ACTIVO';</t>
  </si>
  <si>
    <t>INSERT INTO Pileta (id_pileta, capacidad_lts, id_estado_pileta, apta, tipo, observaciones) SELECT 109, 15600, id_estado_pileta, 'A', 'EST', NULL FROM Estado_pileta WHERE nombre = 'ACTIVO';</t>
  </si>
  <si>
    <t>INSERT INTO Pileta (id_pileta, capacidad_lts, id_estado_pileta, apta, tipo, observaciones) SELECT 110, 15600, id_estado_pileta, 'A', 'EST', NULL FROM Estado_pileta WHERE nombre = 'ACTIVO';</t>
  </si>
  <si>
    <t>INSERT INTO Pileta (id_pileta, capacidad_lts, id_estado_pileta, apta, tipo, observaciones) SELECT 111, 4000, id_estado_pileta, 'A', 'EST', NULL FROM Estado_pileta WHERE nombre = 'ACTIVO';</t>
  </si>
  <si>
    <t>INSERT INTO Pileta (id_pileta, capacidad_lts, id_estado_pileta, apta, tipo, observaciones) SELECT 112, 702400, id_estado_pileta, 'A', 'EST', NULL FROM Estado_pileta WHERE nombre = 'ACTIVO';</t>
  </si>
  <si>
    <t>INSERT INTO Pileta (id_pileta, capacidad_lts, id_estado_pileta, apta, tipo, observaciones) SELECT 113, 713100, id_estado_pileta, 'A', 'EST', NULL FROM Estado_pileta WHERE nombre = 'ACTIVO';</t>
  </si>
  <si>
    <t>INSERT INTO Pileta (id_pileta, capacidad_lts, id_estado_pileta, apta, tipo, observaciones) SELECT 114, 125300, id_estado_pileta, 'A', 'FER', NULL FROM Estado_pileta WHERE nombre = 'ACTIVO';</t>
  </si>
  <si>
    <t>INSERT INTO Pileta (id_pileta, capacidad_lts, id_estado_pileta, apta, tipo, observaciones) SELECT 115, 120200, id_estado_pileta, 'A', 'FER', NULL FROM Estado_pileta WHERE nombre = 'ACTIVO';</t>
  </si>
  <si>
    <t>INSERT INTO Pileta (id_pileta, capacidad_lts, id_estado_pileta, apta, tipo, observaciones) SELECT 116, 99600, id_estado_pileta, 'A', 'FER', NULL FROM Estado_pileta WHERE nombre = 'ACTIVO';</t>
  </si>
  <si>
    <t>INSERT INTO Pileta (id_pileta, capacidad_lts, id_estado_pileta, apta, tipo, observaciones) SELECT 117, 96600, id_estado_pileta, 'A', 'FER', NULL FROM Estado_pileta WHERE nombre = 'ACTIVO';</t>
  </si>
  <si>
    <t>INSERT INTO Pileta (id_pileta, capacidad_lts, id_estado_pileta, apta, tipo, observaciones) SELECT 118, 155600, id_estado_pileta, 'A', 'FER', NULL FROM Estado_pileta WHERE nombre = 'ACTIVO';</t>
  </si>
  <si>
    <t>INSERT INTO Pileta (id_pileta, capacidad_lts, id_estado_pileta, apta, tipo, observaciones) SELECT 119, 159800, id_estado_pileta, 'A', 'FER', NULL FROM Estado_pileta WHERE nombre = 'ACTIVO';</t>
  </si>
  <si>
    <t>INSERT INTO Pileta (id_pileta, capacidad_lts, id_estado_pileta, apta, tipo, observaciones) SELECT 120, 88800, id_estado_pileta, 'A', 'EST', NULL FROM Estado_pileta WHERE nombre = 'ACTIVO';</t>
  </si>
  <si>
    <t>INSERT INTO Pileta (id_pileta, capacidad_lts, id_estado_pileta, apta, tipo, observaciones) SELECT 121, 85800, id_estado_pileta, 'A', 'EST', NULL FROM Estado_pileta WHERE nombre = 'ACTIVO';</t>
  </si>
  <si>
    <t>INSERT INTO Pileta (id_pileta, capacidad_lts, id_estado_pileta, apta, tipo, observaciones) SELECT 122, 63700, id_estado_pileta, 'A', 'EST', NULL FROM Estado_pileta WHERE nombre = 'ACTIVO';</t>
  </si>
  <si>
    <t>INSERT INTO Pileta (id_pileta, capacidad_lts, id_estado_pileta, apta, tipo, observaciones) SELECT 123, 10700, id_estado_pileta, 'A', 'EST', NULL FROM Estado_pileta WHERE nombre = 'ACTIVO';</t>
  </si>
  <si>
    <t>INSERT INTO Pileta (id_pileta, capacidad_lts, id_estado_pileta, apta, tipo, observaciones) SELECT 124, 10500, id_estado_pileta, 'A', 'EST', NULL FROM Estado_pileta WHERE nombre = 'ACTIVO';</t>
  </si>
  <si>
    <t>INSERT INTO Pileta (id_pileta, capacidad_lts, id_estado_pileta, apta, tipo, observaciones) SELECT 125, 31000, id_estado_pileta, 'A', 'FER', NULL FROM Estado_pileta WHERE nombre = 'ACTIVO';</t>
  </si>
  <si>
    <t>INSERT INTO Pileta (id_pileta, capacidad_lts, id_estado_pileta, apta, tipo, observaciones) SELECT 126, 31000, id_estado_pileta, 'A', 'FER', NULL FROM Estado_pileta WHERE nombre = 'ACTIVO';</t>
  </si>
  <si>
    <t>INSERT INTO Pileta (id_pileta, capacidad_lts, id_estado_pileta, apta, tipo, observaciones) SELECT 127, 31000, id_estado_pileta, 'A', 'FER', NULL FROM Estado_pileta WHERE nombre = 'ACTIVO';</t>
  </si>
  <si>
    <t>INSERT INTO Pileta (id_pileta, capacidad_lts, id_estado_pileta, apta, tipo, observaciones) SELECT 150, 200000, id_estado_pileta, 'A', 'EST', NULL FROM Estado_pileta WHERE nombre = 'ACTIVO';</t>
  </si>
  <si>
    <t>INSERT INTO Pileta (id_pileta, capacidad_lts, id_estado_pileta, apta, tipo, observaciones) SELECT 500, 200000, id_estado_pileta, 'A', 'EST', NULL FROM Estado_pileta WHERE nombre = 'ACTIVO';</t>
  </si>
  <si>
    <t>-- 5. TABLA: Lote</t>
  </si>
  <si>
    <t>INSERT INTO Lote (id_lote, codigo, id_variedad, notas) SELECT '04b35bd0', '04b35bd0', id_variedad, NULL FROM Variedad WHERE nombre = 'Syrah';</t>
  </si>
  <si>
    <t>INSERT INTO Lote (id_lote, codigo, id_variedad, notas) SELECT '51d6bbdd, 348ea8a7', '51d6bbdd, 348ea8a7', id_variedad, NULL FROM Variedad WHERE nombre = 'Malbec Syrah';</t>
  </si>
  <si>
    <t>INSERT INTO Lote (id_lote, codigo, id_variedad, notas) SELECT '8c336568', '8c336568', id_variedad, NULL FROM Variedad WHERE nombre = 'Malbec Syrah';</t>
  </si>
  <si>
    <t>INSERT INTO Lote (id_lote, codigo, id_variedad, notas) SELECT 'a1c20159', 'a1c20159', id_variedad, NULL FROM Variedad WHERE nombre = 'Malbec Syrah';</t>
  </si>
  <si>
    <t>INSERT INTO Lote (id_lote, codigo, id_variedad, notas) SELECT '6cde19b3', '6cde19b3', id_variedad, NULL FROM Variedad WHERE nombre = 'Merlot';</t>
  </si>
  <si>
    <t>INSERT INTO Lote (id_lote, codigo, id_variedad, notas) SELECT 'a1c20159, 58b123c6', 'a1c20159, 58b123c6', id_variedad, NULL FROM Variedad WHERE nombre = 'Merlot';</t>
  </si>
  <si>
    <t>INSERT INTO Lote (id_lote, codigo, id_variedad, notas) SELECT 'b27a5ea7, d13652cf', 'b27a5ea7, d13652cf', id_variedad, NULL FROM Variedad WHERE nombre = 'Ajuste Volumen';</t>
  </si>
  <si>
    <t>INSERT INTO Lote (id_lote, codigo, id_variedad, notas) SELECT 'c76dfce1', 'c76dfce1', id_variedad, NULL FROM Variedad WHERE nombre = 'Aspirant';</t>
  </si>
  <si>
    <t>INSERT INTO Lote (id_lote, codigo, id_variedad, notas) SELECT '24b66da0', '24b66da0', id_variedad, NULL FROM Variedad WHERE nombre = 'Aspirant';</t>
  </si>
  <si>
    <t>INSERT INTO Lote (id_lote, codigo, id_variedad, notas) SELECT '5eb33d17, c76dfce1', '5eb33d17, c76dfce1', id_variedad, NULL FROM Variedad WHERE nombre = 'Syrah s/Asp';</t>
  </si>
  <si>
    <t>INSERT INTO Lote (id_lote, codigo, id_variedad, notas) SELECT '7c1795fa, 65eb8fac', '7c1795fa, 65eb8fac', id_variedad, NULL FROM Variedad WHERE nombre = 'Syrah Merlot s/Asp';</t>
  </si>
  <si>
    <t>INSERT INTO Lote (id_lote, codigo, id_variedad, notas) SELECT '7366c02e, 24b66da0', '7366c02e, 24b66da0', id_variedad, NULL FROM Variedad WHERE nombre = 'Merlot s/Asp';</t>
  </si>
  <si>
    <t>INSERT INTO Lote (id_lote, codigo, id_variedad, notas) SELECT '0632409f', '0632409f', id_variedad, NULL FROM Variedad WHERE nombre = 'Malbec Gota';</t>
  </si>
  <si>
    <t>INSERT INTO Lote (id_lote, codigo, id_variedad, notas) SELECT 'f6f9d651, 868560b2', 'f6f9d651, 868560b2', id_variedad, NULL FROM Variedad WHERE nombre = 'Merlot s/ Asp';</t>
  </si>
  <si>
    <t>INSERT INTO Lote (id_lote, codigo, id_variedad, notas) SELECT 'e323890c', 'e323890c', id_variedad, NULL FROM Variedad WHERE nombre = 'Aspirant Anccelota Gota';</t>
  </si>
  <si>
    <t>INSERT INTO Lote (id_lote, codigo, id_variedad, notas) SELECT 'f6f9d651, e323890c', 'f6f9d651, e323890c', id_variedad, NULL FROM Variedad WHERE nombre = 'Merlot s/Asp';</t>
  </si>
  <si>
    <t>INSERT INTO Lote (id_lote, codigo, id_variedad, notas) SELECT '13b5f72f, 1749cd27', '13b5f72f, 1749cd27', id_variedad, NULL FROM Variedad WHERE nombre = 'Syrah Merlot s/Asp gota';</t>
  </si>
  <si>
    <t>INSERT INTO Lote (id_lote, codigo, id_variedad, notas) SELECT '13b5f72f, ', '13b5f72f, ', id_variedad, NULL FROM Variedad WHERE nombre = 'Syrah Merlot s/Asp Gota';</t>
  </si>
  <si>
    <t>INSERT INTO Lote (id_lote, codigo, id_variedad, notas) SELECT '977cb5a1, 13b5f72f', '977cb5a1, 13b5f72f', id_variedad, NULL FROM Variedad WHERE nombre = 'Syrah Tempranillo s/Asp 2da';</t>
  </si>
  <si>
    <t>INSERT INTO Lote (id_lote, codigo, id_variedad, notas) SELECT 'cff5f914, 00e2c403', 'cff5f914, 00e2c403', id_variedad, NULL FROM Variedad WHERE nombre = 'Prueva 2 Variedad';</t>
  </si>
  <si>
    <t>INSERT INTO Lote (id_lote, codigo, id_variedad, notas) SELECT 'cff5f914, fa54e834', 'cff5f914, fa54e834', id_variedad, NULL FROM Variedad WHERE nombre = 'Prueva 2 Variedad';</t>
  </si>
  <si>
    <t>INSERT INTO Lote (id_lote, codigo, id_variedad, notas) SELECT 'cff5f914, 24faf549', 'cff5f914, 24faf549', id_variedad, NULL FROM Variedad WHERE nombre = 'Prueva 2 Variedad';</t>
  </si>
  <si>
    <t>INSERT INTO Lote (id_lote, codigo, id_variedad, notas) SELECT '57a0fadf, cff5f914', '57a0fadf, cff5f914', id_variedad, NULL FROM Variedad WHERE nombre = 'Prueva 2 Variedad';</t>
  </si>
  <si>
    <t>INSERT INTO Lote (id_lote, codigo, id_variedad, notas) SELECT '348ea8a7', '348ea8a7', id_variedad, NULL FROM Variedad WHERE nombre = 'Syrah';</t>
  </si>
  <si>
    <t>INSERT INTO Lote (id_lote, codigo, id_variedad, notas) SELECT '51d6bbdd', '51d6bbdd', id_variedad, NULL FROM Variedad WHERE nombre = 'Malbec';</t>
  </si>
  <si>
    <t>INSERT INTO Lote (id_lote, codigo, id_variedad, notas) SELECT 'c63f7bed', 'c63f7bed', id_variedad, NULL FROM Variedad WHERE nombre = 'Malbec Syrah';</t>
  </si>
  <si>
    <t>INSERT INTO Lote (id_lote, codigo, id_variedad, notas) SELECT 'd13652cf', 'd13652cf', id_variedad, NULL FROM Variedad WHERE nombre = 'Merlot';</t>
  </si>
  <si>
    <t>INSERT INTO Lote (id_lote, codigo, id_variedad, notas) SELECT '58b123c6', '58b123c6', id_variedad, NULL FROM Variedad WHERE nombre = 'Merlot';</t>
  </si>
  <si>
    <t>INSERT INTO Lote (id_lote, codigo, id_variedad, notas) SELECT '53f98d96', '53f98d96', id_variedad, NULL FROM Variedad WHERE nombre = 'Malbec Syrah';</t>
  </si>
  <si>
    <t>INSERT INTO Lote (id_lote, codigo, id_variedad, notas) SELECT 'b27a5ea7', 'b27a5ea7', id_variedad, NULL FROM Variedad WHERE nombre = 'Ajuste Volumen';</t>
  </si>
  <si>
    <t>INSERT INTO Lote (id_lote, codigo, id_variedad, notas) SELECT 'ce475c91', 'ce475c91', id_variedad, NULL FROM Variedad WHERE nombre = 'Ajuste Volumen';</t>
  </si>
  <si>
    <t>INSERT INTO Lote (id_lote, codigo, id_variedad, notas) SELECT '0835b42b', '0835b42b', id_variedad, NULL FROM Variedad WHERE nombre = 'Aspirant';</t>
  </si>
  <si>
    <t>INSERT INTO Lote (id_lote, codigo, id_variedad, notas) SELECT '903e1ab8', '903e1ab8', id_variedad, NULL FROM Variedad WHERE nombre = 'Aspirant Ferm 25';</t>
  </si>
  <si>
    <t>INSERT INTO Lote (id_lote, codigo, id_variedad, notas) SELECT '5eb33d17', '5eb33d17', id_variedad, NULL FROM Variedad WHERE nombre = 'Syrah Ferm 25';</t>
  </si>
  <si>
    <t>INSERT INTO Lote (id_lote, codigo, id_variedad, notas) SELECT '65eb8fac', '65eb8fac', id_variedad, NULL FROM Variedad WHERE nombre = 'Syrah Ferm 25';</t>
  </si>
  <si>
    <t>INSERT INTO Lote (id_lote, codigo, id_variedad, notas) SELECT '7c1795fa', '7c1795fa', id_variedad, NULL FROM Variedad WHERE nombre = 'Merlot Ferm 25';</t>
  </si>
  <si>
    <t>INSERT INTO Lote (id_lote, codigo, id_variedad, notas) SELECT '13b5f72f', '13b5f72f', id_variedad, NULL FROM Variedad WHERE nombre = 'Merlot Ferm 25';</t>
  </si>
  <si>
    <t>INSERT INTO Lote (id_lote, codigo, id_variedad, notas) SELECT '7366c02e', '7366c02e', id_variedad, NULL FROM Variedad WHERE nombre = 'Merlot Ferm 25';</t>
  </si>
  <si>
    <t>INSERT INTO Lote (id_lote, codigo, id_variedad, notas) SELECT '3c569c0a', '3c569c0a', id_variedad, NULL FROM Variedad WHERE nombre = 'Merlot Ferm 25';</t>
  </si>
  <si>
    <t>INSERT INTO Lote (id_lote, codigo, id_variedad, notas) SELECT 'd7af693c', 'd7af693c', id_variedad, NULL FROM Variedad WHERE nombre = 'Malbec Ferm 25';</t>
  </si>
  <si>
    <t>INSERT INTO Lote (id_lote, codigo, id_variedad, notas) SELECT '1749cd27', '1749cd27', id_variedad, NULL FROM Variedad WHERE nombre = 'Malbec Ferm 25';</t>
  </si>
  <si>
    <t>INSERT INTO Lote (id_lote, codigo, id_variedad, notas) SELECT 'f6f9d651', 'f6f9d651', id_variedad, NULL FROM Variedad WHERE nombre = 'Merlot';</t>
  </si>
  <si>
    <t>INSERT INTO Lote (id_lote, codigo, id_variedad, notas) SELECT 'd6272af5', 'd6272af5', id_variedad, NULL FROM Variedad WHERE nombre = 'Merlot';</t>
  </si>
  <si>
    <t>INSERT INTO Lote (id_lote, codigo, id_variedad, notas) SELECT '0aa8c362', '0aa8c362', id_variedad, NULL FROM Variedad WHERE nombre = 'Aspirant Anccelota Ferm';</t>
  </si>
  <si>
    <t>INSERT INTO Lote (id_lote, codigo, id_variedad, notas) SELECT 'f8624f14', 'f8624f14', id_variedad, NULL FROM Variedad WHERE nombre = 'Merlot';</t>
  </si>
  <si>
    <t>INSERT INTO Lote (id_lote, codigo, id_variedad, notas) SELECT 'a43178d5', 'a43178d5', id_variedad, NULL FROM Variedad WHERE nombre = 'Syrah Merlot s/Asp';</t>
  </si>
  <si>
    <t>INSERT INTO Lote (id_lote, codigo, id_variedad, notas) SELECT 'a1ad6cb4', 'a1ad6cb4', id_variedad, NULL FROM Variedad WHERE nombre = 'Syrah Merlot s/Asp';</t>
  </si>
  <si>
    <t>INSERT INTO Lote (id_lote, codigo, id_variedad, notas) SELECT '977cb5a1', '977cb5a1', id_variedad, NULL FROM Variedad WHERE nombre = 'Syrah Tempranillo';</t>
  </si>
  <si>
    <t>INSERT INTO Lote (id_lote, codigo, id_variedad, notas) SELECT '3b2a1e70', '3b2a1e70', id_variedad, NULL FROM Variedad WHERE nombre = 'Syrah Tempranillo';</t>
  </si>
  <si>
    <t>INSERT INTO Lote (id_lote, codigo, id_variedad, notas) SELECT 'cff5f914', 'cff5f914', id_variedad, NULL FROM Variedad WHERE nombre = 'Prueva 2 Variedad';</t>
  </si>
  <si>
    <t>INSERT INTO Lote (id_lote, codigo, id_variedad, notas) SELECT 'fa54e834', 'fa54e834', id_variedad, NULL FROM Variedad WHERE nombre = 'Prueva 2 Variedad';</t>
  </si>
  <si>
    <t>INSERT INTO Lote (id_lote, codigo, id_variedad, notas) SELECT '24faf549', '24faf549', id_variedad, NULL FROM Variedad WHERE nombre = 'Prueva 2 Variedad';</t>
  </si>
  <si>
    <t>INSERT INTO Lote (id_lote, codigo, id_variedad, notas) SELECT '57a0fadf', '57a0fadf', id_variedad, NULL FROM Variedad WHERE nombre = 'Prueva 2 Variedad';</t>
  </si>
  <si>
    <t>INSERT INTO Lote (id_lote, codigo, id_variedad, notas) SELECT 'c980cfc2', 'c980cfc2', id_variedad, NULL FROM Variedad WHERE nombre = 'Prueva 2 Variedad';</t>
  </si>
  <si>
    <t>INSERT INTO Lote (id_lote, codigo, id_variedad, notas) SELECT 'e2c70b60', 'e2c70b60', id_variedad, NULL FROM Variedad WHERE nombre = 'Prueva 2 Variedad';</t>
  </si>
  <si>
    <t>INSERT INTO Lote (id_lote, codigo, id_variedad, notas) SELECT '5e86e265', '5e86e265', id_variedad, NULL FROM Variedad WHERE nombre = 'Prueva 2 Variedad';</t>
  </si>
  <si>
    <t>INSERT INTO Lote (id_lote, codigo, id_variedad, notas) SELECT 'c1d665de', 'c1d665de', id_variedad, NULL FROM Variedad WHERE nombre = 'Prueva 2 Variedad';</t>
  </si>
  <si>
    <t>INSERT INTO Lote (id_lote, codigo, id_variedad, notas) SELECT 'b9e5067b', 'b9e5067b', id_variedad, NULL FROM Variedad WHERE nombre = 'Cabernet Sauvignon 24 Rect';</t>
  </si>
  <si>
    <t>INSERT INTO Lote (id_lote, codigo, id_variedad, notas) SELECT 'eeeff983', 'eeeff983', id_variedad, NULL FROM Variedad WHERE nombre = 'Cabernet Sauvignon 24 Rect';</t>
  </si>
  <si>
    <t>INSERT INTO Lote (id_lote, codigo, id_variedad, notas) SELECT '26b37af9', '26b37af9', id_variedad, NULL FROM Variedad WHERE nombre = 'Chardonnay 24 Rect';</t>
  </si>
  <si>
    <t>INSERT INTO Lote (id_lote, codigo, id_variedad, notas) SELECT 'ae4bc1ac', 'ae4bc1ac', id_variedad, NULL FROM Variedad WHERE nombre = 'Chardonnay 24 Rect';</t>
  </si>
  <si>
    <t>INSERT INTO Lote (id_lote, codigo, id_variedad, notas) SELECT 'a22cb4a2', 'a22cb4a2', id_variedad, NULL FROM Variedad WHERE nombre = 'Merlot s/ Asp';</t>
  </si>
  <si>
    <t>INSERT INTO Lote (id_lote, codigo, id_variedad, notas) SELECT '0b7fd98e', '0b7fd98e', id_variedad, NULL FROM Variedad WHERE nombre = 'Syrah Merlot s/Asp gota';</t>
  </si>
  <si>
    <t>INSERT INTO Lote (id_lote, codigo, id_variedad, notas) SELECT '7ad5b1b2', '7ad5b1b2', id_variedad, NULL FROM Variedad WHERE nombre = 'Merlot s/Asp';</t>
  </si>
  <si>
    <t>INSERT INTO Lote (id_lote, codigo, id_variedad, notas) SELECT '00bdd4ad', '00bdd4ad', id_variedad, NULL FROM Variedad WHERE nombre = 'Merlot s/Asp';</t>
  </si>
  <si>
    <t>INSERT INTO Lote (id_lote, codigo, id_variedad, notas) SELECT 'e3903041', 'e3903041', id_variedad, NULL FROM Variedad WHERE nombre = 'Syrah Colombo';</t>
  </si>
  <si>
    <t>INSERT INTO Lote (id_lote, codigo, id_variedad, notas) SELECT '7082548e', '7082548e', id_variedad, NULL FROM Variedad WHERE nombre = 'Syrah Colombo';</t>
  </si>
  <si>
    <t>INSERT INTO Lote (id_lote, codigo, id_variedad, notas) SELECT '9776a719', '9776a719', id_variedad, NULL FROM Variedad WHERE nombre = 'Merlot s/ Asp';</t>
  </si>
  <si>
    <t>INSERT INTO Lote (id_lote, codigo, id_variedad, notas) SELECT 'd6ff9a07', 'd6ff9a07', id_variedad, NULL FROM Variedad WHERE nombre = 'Merlot s/Asp';</t>
  </si>
  <si>
    <t>INSERT INTO Lote (id_lote, codigo, id_variedad, notas) SELECT '8c09a554', '8c09a554', id_variedad, NULL FROM Variedad WHERE nombre = 'Merlot s/Asp';</t>
  </si>
  <si>
    <t>INSERT INTO Lote (id_lote, codigo, id_variedad, notas) SELECT 'd177809a', 'd177809a', id_variedad, NULL FROM Variedad WHERE nombre = 'Syrah';</t>
  </si>
  <si>
    <t>INSERT INTO Lote (id_lote, codigo, id_variedad, notas) SELECT '7525cd32', '7525cd32', id_variedad, NULL FROM Variedad WHERE nombre = 'Syrah';</t>
  </si>
  <si>
    <t>INSERT INTO Lote (id_lote, codigo, id_variedad, notas) SELECT '245cd9d6', '245cd9d6', id_variedad, NULL FROM Variedad WHERE nombre = 'Syrah';</t>
  </si>
  <si>
    <t>INSERT INTO Lote (id_lote, codigo, id_variedad, notas) SELECT '13d1574d', '13d1574d', id_variedad, NULL FROM Variedad WHERE nombre = 'Merlot s/Asp descube';</t>
  </si>
  <si>
    <t>INSERT INTO Lote (id_lote, codigo, id_variedad, notas) SELECT '5008e5a3', '5008e5a3', id_variedad, NULL FROM Variedad WHERE nombre = 'Cabernet Sauv Rect';</t>
  </si>
  <si>
    <t>INSERT INTO Lote (id_lote, codigo, id_variedad, notas) SELECT '9adbf19e', '9adbf19e', id_variedad, NULL FROM Variedad WHERE nombre = 'Cabernet Sauv Rect';</t>
  </si>
  <si>
    <t>INSERT INTO Lote (id_lote, codigo, id_variedad, notas) SELECT 'bf5594db', 'bf5594db', id_variedad, NULL FROM Variedad WHERE nombre = 'Syrah Tempranillo s/Asp 2da';</t>
  </si>
  <si>
    <t>INSERT INTO Lote (id_lote, codigo, id_variedad, notas) SELECT 'fea4a82d', 'fea4a82d', id_variedad, NULL FROM Variedad WHERE nombre = 'Syrah Tempranillo s/Asp 2da';</t>
  </si>
  <si>
    <t>INSERT INTO Lote (id_lote, codigo, id_variedad, notas) SELECT '61098b0e', '61098b0e', id_variedad, NULL FROM Variedad WHERE nombre = 'Syrah s/Asp 2da';</t>
  </si>
  <si>
    <t>INSERT INTO Lote (id_lote, codigo, id_variedad, notas) SELECT 'ce659e77', 'ce659e77', id_variedad, NULL FROM Variedad WHERE nombre = 'Syrah';</t>
  </si>
  <si>
    <t>INSERT INTO Lote (id_lote, codigo, id_variedad, notas) SELECT '3e5c0749', '3e5c0749', id_variedad, NULL FROM Variedad WHERE nombre = 'Syrah Ferm';</t>
  </si>
  <si>
    <t>INSERT INTO Lote (id_lote, codigo, id_variedad, notas) SELECT '5f87c3d5', '5f87c3d5', id_variedad, NULL FROM Variedad WHERE nombre = 'Syrah Ferm';</t>
  </si>
  <si>
    <t>INSERT INTO Lote (id_lote, codigo, id_variedad, notas) SELECT '6c3c93fd', '6c3c93fd', id_variedad, NULL FROM Variedad WHERE nombre = 'Cabernet Sauv Rect';</t>
  </si>
  <si>
    <t>INSERT INTO Lote (id_lote, codigo, id_variedad, notas) SELECT '15e7b86f', '15e7b86f', id_variedad, NULL FROM Variedad WHERE nombre = 'Cabernet Sauv Rect';</t>
  </si>
  <si>
    <t>INSERT INTO Lote (id_lote, codigo, id_variedad, notas) SELECT '6c349523', '6c349523', id_variedad, NULL FROM Variedad WHERE nombre = 'Cabernet Sauv Rect';</t>
  </si>
  <si>
    <t>INSERT INTO Lote (id_lote, codigo, id_variedad, notas) SELECT 'd53930ff', 'd53930ff', id_variedad, NULL FROM Variedad WHERE nombre = 'Correccion';</t>
  </si>
  <si>
    <t>INSERT INTO Lote (id_lote, codigo, id_variedad, notas) SELECT '994b8afe', '994b8afe', id_variedad, NULL FROM Variedad WHERE nombre = 'Correccion';</t>
  </si>
  <si>
    <t>INSERT INTO Lote (id_lote, codigo, id_variedad, notas) SELECT '27abb7ee', '27abb7ee', id_variedad, NULL FROM Variedad WHERE nombre = 'Cabernet Sauvignon Rect';</t>
  </si>
  <si>
    <t>INSERT INTO Lote (id_lote, codigo, id_variedad, notas) SELECT '702b9808', '702b9808', id_variedad, NULL FROM Variedad WHERE nombre = 'Cabernet Sauvignon Rect';</t>
  </si>
  <si>
    <t>INSERT INTO Lote (id_lote, codigo, id_variedad, notas) SELECT '58c72f6a', '58c72f6a', id_variedad, NULL FROM Variedad WHERE nombre = 'Syrah s/Asp 3ra';</t>
  </si>
  <si>
    <t>INSERT INTO Lote (id_lote, codigo, id_variedad, notas) SELECT 'a18d2b54', 'a18d2b54', id_variedad, NULL FROM Variedad WHERE nombre = 'Merlot s/Asp descube';</t>
  </si>
  <si>
    <t>INSERT INTO Lote (id_lote, codigo, id_variedad, notas) SELECT 'f41ecbda', 'f41ecbda', id_variedad, NULL FROM Variedad WHERE nombre = 'Syrah s/Asp 3ra';</t>
  </si>
  <si>
    <t>INSERT INTO Lote (id_lote, codigo, id_variedad, notas) SELECT '963fbbab', '963fbbab', id_variedad, NULL FROM Variedad WHERE nombre = 'Syrah s/Asp 3ra';</t>
  </si>
  <si>
    <t>INSERT INTO Lote (id_lote, codigo, id_variedad, notas) SELECT 'f90482a4', 'f90482a4', id_variedad, NULL FROM Variedad WHERE nombre = 'Syrah s/Asp 3ra';</t>
  </si>
  <si>
    <t>INSERT INTO Lote (id_lote, codigo, id_variedad, notas) SELECT 'a62e4289', 'a62e4289', id_variedad, NULL FROM Variedad WHERE nombre = 'Correccion';</t>
  </si>
  <si>
    <t>INSERT INTO Lote (id_lote, codigo, id_variedad, notas) SELECT 'c3f4cae7', 'c3f4cae7', id_variedad, NULL FROM Variedad WHERE nombre = 'Chardonnay';</t>
  </si>
  <si>
    <t>INSERT INTO Lote (id_lote, codigo, id_variedad, notas) SELECT '94493a7b', '94493a7b', id_variedad, NULL FROM Variedad WHERE nombre = 'Chardonnay';</t>
  </si>
  <si>
    <t>INSERT INTO Lote (id_lote, codigo, id_variedad, notas) SELECT '9f119881', '9f119881', id_variedad, NULL FROM Variedad WHERE nombre = 'Chardonnay';</t>
  </si>
  <si>
    <t>INSERT INTO Lote (id_lote, codigo, id_variedad, notas) SELECT 'e5b434bb', 'e5b434bb', id_variedad, NULL FROM Variedad WHERE nombre = 'Chardonnay';</t>
  </si>
  <si>
    <t>INSERT INTO Lote (id_lote, codigo, id_variedad, notas) SELECT '1f033edd', '1f033edd', id_variedad, NULL FROM Variedad WHERE nombre = 'Chardonnay';</t>
  </si>
  <si>
    <t>INSERT INTO Lote (id_lote, codigo, id_variedad, notas) SELECT 'f9bf68a3', 'f9bf68a3', id_variedad, NULL FROM Variedad WHERE nombre = 'Chardonnay';</t>
  </si>
  <si>
    <t>INSERT INTO Lote (id_lote, codigo, id_variedad, notas) SELECT '99fabf46', '99fabf46', id_variedad, NULL FROM Variedad WHERE nombre = 'Malbec';</t>
  </si>
  <si>
    <t>INSERT INTO Lote (id_lote, codigo, id_variedad, notas) SELECT '5d46dc83', '5d46dc83', id_variedad, NULL FROM Variedad WHERE nombre = 'Malbec';</t>
  </si>
  <si>
    <t>INSERT INTO Lote (id_lote, codigo, id_variedad, notas) SELECT 'd8ebe8ad', 'd8ebe8ad', id_variedad, NULL FROM Variedad WHERE nombre = 'Syrah s/Asp 2da';</t>
  </si>
  <si>
    <t>INSERT INTO Lote (id_lote, codigo, id_variedad, notas) SELECT '40c05149', '40c05149', id_variedad, NULL FROM Variedad WHERE nombre = 'Syrah s/Asp 2da';</t>
  </si>
  <si>
    <t>INSERT INTO Lote (id_lote, codigo, id_variedad, notas) SELECT '9c695ba3', '9c695ba3', id_variedad, NULL FROM Variedad WHERE nombre = 'Syrah Colom s/Asp 2';</t>
  </si>
  <si>
    <t>INSERT INTO Lote (id_lote, codigo, id_variedad, notas) SELECT '21a02bb8', '21a02bb8', id_variedad, NULL FROM Variedad WHERE nombre = 'Syrah Colom s/Asp 2';</t>
  </si>
  <si>
    <t>INSERT INTO Lote (id_lote, codigo, id_variedad, notas) SELECT '577b30d8', '577b30d8', id_variedad, NULL FROM Variedad WHERE nombre = 'Syrah Colom s/Asp 2';</t>
  </si>
  <si>
    <t>INSERT INTO Lote (id_lote, codigo, id_variedad, notas) SELECT '4bf00cf0', '4bf00cf0', id_variedad, NULL FROM Variedad WHERE nombre = 'Cabernet Sauvignon Rect';</t>
  </si>
  <si>
    <t>INSERT INTO Lote (id_lote, codigo, id_variedad, notas) SELECT '4368dec6', '4368dec6', id_variedad, NULL FROM Variedad WHERE nombre = 'Malbec 24';</t>
  </si>
  <si>
    <t>INSERT INTO Lote (id_lote, codigo, id_variedad, notas) SELECT '5dbffbd0', '5dbffbd0', id_variedad, NULL FROM Variedad WHERE nombre = 'Malbec 24';</t>
  </si>
  <si>
    <t>INSERT INTO Lote (id_lote, codigo, id_variedad, notas) SELECT '6d7a380a', '6d7a380a', id_variedad, NULL FROM Variedad WHERE nombre = 'Malbec 24';</t>
  </si>
  <si>
    <t>INSERT INTO Lote (id_lote, codigo, id_variedad, notas) SELECT '58ded1ae', '58ded1ae', id_variedad, NULL FROM Variedad WHERE nombre = 'Malbec 24';</t>
  </si>
  <si>
    <t>INSERT INTO Lote (id_lote, codigo, id_variedad, notas) SELECT '0effecea', '0effecea', id_variedad, NULL FROM Variedad WHERE nombre = 'Malbec 24';</t>
  </si>
  <si>
    <t>INSERT INTO Lote (id_lote, codigo, id_variedad, notas) SELECT '3a5e04a4', '3a5e04a4', id_variedad, NULL FROM Variedad WHERE nombre = 'Cabernet Sauvignon Rect';</t>
  </si>
  <si>
    <t>INSERT INTO Lote (id_lote, codigo, id_variedad, notas) SELECT 'b502a55e', 'b502a55e', id_variedad, NULL FROM Variedad WHERE nombre = 'Bonarda 24';</t>
  </si>
  <si>
    <t>INSERT INTO Lote (id_lote, codigo, id_variedad, notas) SELECT 'abbbaccc', 'abbbaccc', id_variedad, NULL FROM Variedad WHERE nombre = 'Bonarda 24';</t>
  </si>
  <si>
    <t>INSERT INTO Lote (id_lote, codigo, id_variedad, notas) SELECT '44d88f23', '44d88f23', id_variedad, NULL FROM Variedad WHERE nombre = 'Bonarda 24';</t>
  </si>
  <si>
    <t>INSERT INTO Lote (id_lote, codigo, id_variedad, notas) SELECT 'c4743b1b', 'c4743b1b', id_variedad, NULL FROM Variedad WHERE nombre = 'Bonarda 24';</t>
  </si>
  <si>
    <t>INSERT INTO Lote (id_lote, codigo, id_variedad, notas) SELECT '3bd6f9bf', '3bd6f9bf', id_variedad, NULL FROM Variedad WHERE nombre = 'Bonarda 24';</t>
  </si>
  <si>
    <t>INSERT INTO Lote (id_lote, codigo, id_variedad, notas) SELECT '0799e5db', '0799e5db', id_variedad, NULL FROM Variedad WHERE nombre = 'Bonarda 24';</t>
  </si>
  <si>
    <t>INSERT INTO Lote (id_lote, codigo, id_variedad, notas) SELECT 'af88e380', 'af88e380', id_variedad, NULL FROM Variedad WHERE nombre = 'Correccion';</t>
  </si>
  <si>
    <t>INSERT INTO Lote (id_lote, codigo, id_variedad, notas) SELECT '665bbad3', '665bbad3', id_variedad, NULL FROM Variedad WHERE nombre = 'Cabernet Sauvignon 24 Rect';</t>
  </si>
  <si>
    <t>INSERT INTO Lote (id_lote, codigo, id_variedad, notas) SELECT '9c317849', '9c317849', id_variedad, NULL FROM Variedad WHERE nombre = 'Cabernet Sauvignon 24 Rect';</t>
  </si>
  <si>
    <t>INSERT INTO Lote (id_lote, codigo, id_variedad, notas) SELECT 'c85d74dc', 'c85d74dc', id_variedad, NULL FROM Variedad WHERE nombre = 'Cabernet Sauvignon 24 Rect';</t>
  </si>
  <si>
    <t>INSERT INTO Lote (id_lote, codigo, id_variedad, notas) SELECT '4d28a747', '4d28a747', id_variedad, NULL FROM Variedad WHERE nombre = 'Cabernet Sauvignon 24 Rect';</t>
  </si>
  <si>
    <t>INSERT INTO Lote (id_lote, codigo, id_variedad, notas) SELECT '91f934c1', '91f934c1', id_variedad, NULL FROM Variedad WHERE nombre = 'Syrah 24';</t>
  </si>
  <si>
    <t>INSERT INTO Lote (id_lote, codigo, id_variedad, notas) SELECT '915299ff', '915299ff', id_variedad, NULL FROM Variedad WHERE nombre = 'Syrah 24';</t>
  </si>
  <si>
    <t>INSERT INTO Lote (id_lote, codigo, id_variedad, notas) SELECT '0700b55d', '0700b55d', id_variedad, NULL FROM Variedad WHERE nombre = 'Syrah 24';</t>
  </si>
  <si>
    <t>INSERT INTO Lote (id_lote, codigo, id_variedad, notas) SELECT 'df446c40', 'df446c40', id_variedad, NULL FROM Variedad WHERE nombre = 'Syrah 24';</t>
  </si>
  <si>
    <t>INSERT INTO Lote (id_lote, codigo, id_variedad, notas) SELECT '61e7a661', '61e7a661', id_variedad, NULL FROM Variedad WHERE nombre = 'Syrah 24';</t>
  </si>
  <si>
    <t>INSERT INTO Lote (id_lote, codigo, id_variedad, notas) SELECT '83cb5e85', '83cb5e85', id_variedad, NULL FROM Variedad WHERE nombre = 'Aspirant';</t>
  </si>
  <si>
    <t>INSERT INTO Lote (id_lote, codigo, id_variedad, notas) SELECT '9c2bc1c1', '9c2bc1c1', id_variedad, NULL FROM Variedad WHERE nombre = 'Aspirant';</t>
  </si>
  <si>
    <t>INSERT INTO Lote (id_lote, codigo, id_variedad, notas) SELECT '66440ff8', '66440ff8', id_variedad, NULL FROM Variedad WHERE nombre = 'Aspirant';</t>
  </si>
  <si>
    <t>INSERT INTO Lote (id_lote, codigo, id_variedad, notas) SELECT 'c883c10a', 'c883c10a', id_variedad, NULL FROM Variedad WHERE nombre = 'Aspirant';</t>
  </si>
  <si>
    <t>INSERT INTO Lote (id_lote, codigo, id_variedad, notas) SELECT '904bbb40', '904bbb40', id_variedad, NULL FROM Variedad WHERE nombre = 'Syrah 24';</t>
  </si>
  <si>
    <t>INSERT INTO Lote (id_lote, codigo, id_variedad, notas) SELECT '8a8f8909', '8a8f8909', id_variedad, NULL FROM Variedad WHERE nombre = 'Syrah 24';</t>
  </si>
  <si>
    <t>INSERT INTO Lote (id_lote, codigo, id_variedad, notas) SELECT 'a826dd70', 'a826dd70', id_variedad, NULL FROM Variedad WHERE nombre = 'Syrah 24';</t>
  </si>
  <si>
    <t>INSERT INTO Lote (id_lote, codigo, id_variedad, notas) SELECT '0b1b410b', '0b1b410b', id_variedad, NULL FROM Variedad WHERE nombre = 'Syrah 24';</t>
  </si>
  <si>
    <t>INSERT INTO Lote (id_lote, codigo, id_variedad, notas) SELECT 'cdd54045', 'cdd54045', id_variedad, NULL FROM Variedad WHERE nombre = 'Syrah 24';</t>
  </si>
  <si>
    <t>INSERT INTO Lote (id_lote, codigo, id_variedad, notas) SELECT 'fe114136', 'fe114136', id_variedad, NULL FROM Variedad WHERE nombre = 'Malbec 24';</t>
  </si>
  <si>
    <t>INSERT INTO Lote (id_lote, codigo, id_variedad, notas) SELECT '69fc871f', '69fc871f', id_variedad, NULL FROM Variedad WHERE nombre = 'Malbec 24';</t>
  </si>
  <si>
    <t>INSERT INTO Lote (id_lote, codigo, id_variedad, notas) SELECT '212851d2', '212851d2', id_variedad, NULL FROM Variedad WHERE nombre = 'Malbec 24';</t>
  </si>
  <si>
    <t>INSERT INTO Lote (id_lote, codigo, id_variedad, notas) SELECT '6ccc7bc6', '6ccc7bc6', id_variedad, NULL FROM Variedad WHERE nombre = 'Malbec 24';</t>
  </si>
  <si>
    <t>INSERT INTO Lote (id_lote, codigo, id_variedad, notas) SELECT 'c50c5100', 'c50c5100', id_variedad, NULL FROM Variedad WHERE nombre = 'Malbec 24';</t>
  </si>
  <si>
    <t>INSERT INTO Lote (id_lote, codigo, id_variedad, notas) SELECT '78ca3339', '78ca3339', id_variedad, NULL FROM Variedad WHERE nombre = 'Chardonnay';</t>
  </si>
  <si>
    <t>INSERT INTO Lote (id_lote, codigo, id_variedad, notas) SELECT '593f826f', '593f826f', id_variedad, NULL FROM Variedad WHERE nombre = 'Chardonnay';</t>
  </si>
  <si>
    <t>INSERT INTO Lote (id_lote, codigo, id_variedad, notas) SELECT '376dbee6', '376dbee6', id_variedad, NULL FROM Variedad WHERE nombre = 'Chardonnay';</t>
  </si>
  <si>
    <t>INSERT INTO Lote (id_lote, codigo, id_variedad, notas) SELECT '73b50dc4', '73b50dc4', id_variedad, NULL FROM Variedad WHERE nombre = 'Malbec 24';</t>
  </si>
  <si>
    <t>INSERT INTO Lote (id_lote, codigo, id_variedad, notas) SELECT '8782f51d', '8782f51d', id_variedad, NULL FROM Variedad WHERE nombre = 'Malbec 24';</t>
  </si>
  <si>
    <t>INSERT INTO Lote (id_lote, codigo, id_variedad, notas) SELECT '481ac202', '481ac202', id_variedad, NULL FROM Variedad WHERE nombre = 'Malbec 24';</t>
  </si>
  <si>
    <t>INSERT INTO Lote (id_lote, codigo, id_variedad, notas) SELECT '1953afee', '1953afee', id_variedad, NULL FROM Variedad WHERE nombre = 'Malbec 24';</t>
  </si>
  <si>
    <t>INSERT INTO Lote (id_lote, codigo, id_variedad, notas) SELECT '6a79f2ba', '6a79f2ba', id_variedad, NULL FROM Variedad WHERE nombre = 'Malbec 24';</t>
  </si>
  <si>
    <t>INSERT INTO Lote (id_lote, codigo, id_variedad, notas) SELECT 'b336cfcb', 'b336cfcb', id_variedad, NULL FROM Variedad WHERE nombre = 'Syrah 24';</t>
  </si>
  <si>
    <t>INSERT INTO Lote (id_lote, codigo, id_variedad, notas) SELECT '8e7dc827', '8e7dc827', id_variedad, NULL FROM Variedad WHERE nombre = 'Syrah 24';</t>
  </si>
  <si>
    <t>INSERT INTO Lote (id_lote, codigo, id_variedad, notas) SELECT 'd65723e9', 'd65723e9', id_variedad, NULL FROM Variedad WHERE nombre = 'Syrah 24';</t>
  </si>
  <si>
    <t>INSERT INTO Lote (id_lote, codigo, id_variedad, notas) SELECT '7b5d098a', '7b5d098a', id_variedad, NULL FROM Variedad WHERE nombre = 'Syrah 24';</t>
  </si>
  <si>
    <t>INSERT INTO Lote (id_lote, codigo, id_variedad, notas) SELECT 'f76c3497', 'f76c3497', id_variedad, NULL FROM Variedad WHERE nombre = 'Syrah 24';</t>
  </si>
  <si>
    <t>INSERT INTO Lote (id_lote, codigo, id_variedad, notas) SELECT '6352eea8', '6352eea8', id_variedad, NULL FROM Variedad WHERE nombre = 'Chardonnay';</t>
  </si>
  <si>
    <t>INSERT INTO Lote (id_lote, codigo, id_variedad, notas) SELECT 'b73d8cd1', 'b73d8cd1', id_variedad, NULL FROM Variedad WHERE nombre = 'Chardonnay';</t>
  </si>
  <si>
    <t>INSERT INTO Lote (id_lote, codigo, id_variedad, notas) SELECT 'b5e03e7f', 'b5e03e7f', id_variedad, NULL FROM Variedad WHERE nombre = 'Chardonnay';</t>
  </si>
  <si>
    <t>INSERT INTO Lote (id_lote, codigo, id_variedad, notas) SELECT '76f1abe4', '76f1abe4', id_variedad, NULL FROM Variedad WHERE nombre = 'Cabernet Sauvignon 24 Rect';</t>
  </si>
  <si>
    <t>INSERT INTO Lote (id_lote, codigo, id_variedad, notas) SELECT '4a9a65d1', '4a9a65d1', id_variedad, NULL FROM Variedad WHERE nombre = 'Cabernet Sauvignon 24 Rect';</t>
  </si>
  <si>
    <t>INSERT INTO Lote (id_lote, codigo, id_variedad, notas) SELECT 'b9edcc33', 'b9edcc33', id_variedad, NULL FROM Variedad WHERE nombre = 'Cabernet Sauv Despacho Bodega';</t>
  </si>
  <si>
    <t>INSERT INTO Lote (id_lote, codigo, id_variedad, notas) SELECT '41324315', '41324315', id_variedad, NULL FROM Variedad WHERE nombre = 'Cabernet Sauv Despacho Bodega';</t>
  </si>
  <si>
    <t>INSERT INTO Lote (id_lote, codigo, id_variedad, notas) SELECT 'f6596c23', 'f6596c23', id_variedad, NULL FROM Variedad WHERE nombre = 'Chardonnay 24 Rect';</t>
  </si>
  <si>
    <t>INSERT INTO Lote (id_lote, codigo, id_variedad, notas) SELECT '59e7d158', '59e7d158', id_variedad, NULL FROM Variedad WHERE nombre = 'Syrah s/Asp 2 Prensa';</t>
  </si>
  <si>
    <t>INSERT INTO Lote (id_lote, codigo, id_variedad, notas) SELECT '219129bc', '219129bc', id_variedad, NULL FROM Variedad WHERE nombre = 'Anccelotta';</t>
  </si>
  <si>
    <t>INSERT INTO Lote (id_lote, codigo, id_variedad, notas) SELECT 'c286df65', 'c286df65', id_variedad, NULL FROM Variedad WHERE nombre = 'Tinto La Vendimia';</t>
  </si>
  <si>
    <t>INSERT INTO Lote (id_lote, codigo, id_variedad, notas) SELECT '0a4970f2', '0a4970f2', id_variedad, NULL FROM Variedad WHERE nombre = 'Ajuste';</t>
  </si>
  <si>
    <t>INSERT INTO Lote (id_lote, codigo, id_variedad, notas) SELECT 'ba3f8a31', 'ba3f8a31', id_variedad, NULL FROM Variedad WHERE nombre = 'Ajuste';</t>
  </si>
  <si>
    <t>INSERT INTO Lote (id_lote, codigo, id_variedad, notas) SELECT '83599ef4', '83599ef4', id_variedad, NULL FROM Variedad WHERE nombre = 'Ajuste';</t>
  </si>
  <si>
    <t>INSERT INTO Lote (id_lote, codigo, id_variedad, notas) SELECT 'd83c9a57', 'd83c9a57', id_variedad, NULL FROM Variedad WHERE nombre = 'Ajuste';</t>
  </si>
  <si>
    <t>INSERT INTO Lote (id_lote, codigo, id_variedad, notas) SELECT 'dc3d5a11', 'dc3d5a11', id_variedad, NULL FROM Variedad WHERE nombre = 'Syrah s/Asp 2da';</t>
  </si>
  <si>
    <t>INSERT INTO Lote (id_lote, codigo, id_variedad, notas) SELECT 'b5300557', 'b5300557', id_variedad, NULL FROM Variedad WHERE nombre = 'Aspirant';</t>
  </si>
  <si>
    <t>INSERT INTO Lote (id_lote, codigo, id_variedad, notas) SELECT 'e954d719', 'e954d719', id_variedad, NULL FROM Variedad WHERE nombre = 'Aspirat';</t>
  </si>
  <si>
    <t>INSERT INTO Lote (id_lote, codigo, id_variedad, notas) SELECT '56f7ac6d', '56f7ac6d', id_variedad, NULL FROM Variedad WHERE nombre = 'Aspirat';</t>
  </si>
  <si>
    <t>INSERT INTO Lote (id_lote, codigo, id_variedad, notas) SELECT 'df4789cf', 'df4789cf', id_variedad, NULL FROM Variedad WHERE nombre = 'Aspirant Anccelota Gota';</t>
  </si>
  <si>
    <t>INSERT INTO Lote (id_lote, codigo, id_variedad, notas) SELECT 'c210f1aa', 'c210f1aa', id_variedad, NULL FROM Variedad WHERE nombre = 'Chardonnay 24 Rect';</t>
  </si>
  <si>
    <t>INSERT INTO Lote (id_lote, codigo, id_variedad, notas) SELECT '397cd7e0', '397cd7e0', id_variedad, NULL FROM Variedad WHERE nombre = 'Aspirant Anccelota Gota';</t>
  </si>
  <si>
    <t>INSERT INTO Lote (id_lote, codigo, id_variedad, notas) SELECT 'e37067e3', 'e37067e3', id_variedad, NULL FROM Variedad WHERE nombre = 'Chardonnay';</t>
  </si>
  <si>
    <t>INSERT INTO Lote (id_lote, codigo, id_variedad, notas) SELECT 'fdf22389', 'fdf22389', id_variedad, NULL FROM Variedad WHERE nombre = 'Anccelotta';</t>
  </si>
  <si>
    <t>INSERT INTO Lote (id_lote, codigo, id_variedad, notas) SELECT '844a05ee', '844a05ee', id_variedad, NULL FROM Variedad WHERE nombre = 'Syrah';</t>
  </si>
  <si>
    <t>INSERT INTO Lote (id_lote, codigo, id_variedad, notas) SELECT '87ba9e1b', '87ba9e1b', id_variedad, NULL FROM Variedad WHERE nombre = 'Correccion';</t>
  </si>
  <si>
    <t>INSERT INTO Lote (id_lote, codigo, id_variedad, notas) SELECT 'e2c3632b', 'e2c3632b', id_variedad, NULL FROM Variedad WHERE nombre = 'Correccion';</t>
  </si>
  <si>
    <t>INSERT INTO Lote (id_lote, codigo, id_variedad, notas) SELECT '22dd4d8c', '22dd4d8c', id_variedad, NULL FROM Variedad WHERE nombre = 'Correccion';</t>
  </si>
  <si>
    <t>INSERT INTO Lote (id_lote, codigo, id_variedad, notas) SELECT '4197a6b3', '4197a6b3', id_variedad, NULL FROM Variedad WHERE nombre = 'Tinto La Vendimia';</t>
  </si>
  <si>
    <t>INSERT INTO Lote (id_lote, codigo, id_variedad, notas) SELECT '5433281e', '5433281e', id_variedad, NULL FROM Variedad WHERE nombre = 'Syrah';</t>
  </si>
  <si>
    <t>INSERT INTO Lote (id_lote, codigo, id_variedad, notas) SELECT 'fa937d00', 'fa937d00', id_variedad, NULL FROM Variedad WHERE nombre = 'Syrah';</t>
  </si>
  <si>
    <t>INSERT INTO Lote (id_lote, codigo, id_variedad, notas) SELECT 'aecdf448', 'aecdf448', id_variedad, NULL FROM Variedad WHERE nombre = 'Cabernet Sauvignon 24 Rect';</t>
  </si>
  <si>
    <t>INSERT INTO Lote (id_lote, codigo, id_variedad, notas) SELECT '1c0f3ac6', '1c0f3ac6', id_variedad, NULL FROM Variedad WHERE nombre = 'Cabernet Sauvignon 24 Rect';</t>
  </si>
  <si>
    <t>INSERT INTO Lote (id_lote, codigo, id_variedad, notas) SELECT 'c57dab01', 'c57dab01', id_variedad, NULL FROM Variedad WHERE nombre = 'Syrah';</t>
  </si>
  <si>
    <t>INSERT INTO Lote (id_lote, codigo, id_variedad, notas) SELECT '7f2febfa', '7f2febfa', id_variedad, NULL FROM Variedad WHERE nombre = 'Syrah Tempranillo';</t>
  </si>
  <si>
    <t>INSERT INTO Lote (id_lote, codigo, id_variedad, notas) SELECT 'ef6021e0', 'ef6021e0', id_variedad, NULL FROM Variedad WHERE nombre = 'Merlot';</t>
  </si>
  <si>
    <t>INSERT INTO Lote (id_lote, codigo, id_variedad, notas) SELECT 'bd4decc8', 'bd4decc8', id_variedad, NULL FROM Variedad WHERE nombre = 'Cabernet Sauvignon 24 Rect';</t>
  </si>
  <si>
    <t>INSERT INTO Lote (id_lote, codigo, id_variedad, notas) SELECT '87540dbb', '87540dbb', id_variedad, NULL FROM Variedad WHERE nombre = 'Cabernet Sauvignon 24 Rect';</t>
  </si>
  <si>
    <t>INSERT INTO Lote (id_lote, codigo, id_variedad, notas) SELECT 'd9821c78', 'd9821c78', id_variedad, NULL FROM Variedad WHERE nombre = 'Bonarda 24 Rect';</t>
  </si>
  <si>
    <t>INSERT INTO Lote (id_lote, codigo, id_variedad, notas) SELECT '1a71b226', '1a71b226', id_variedad, NULL FROM Variedad WHERE nombre = 'Bonarda 24 Rect';</t>
  </si>
  <si>
    <t>INSERT INTO Lote (id_lote, codigo, id_variedad, notas) SELECT 'e0f68630', 'e0f68630', id_variedad, NULL FROM Variedad WHERE nombre = 'Cabernet Sauvignon 24 Rect';</t>
  </si>
  <si>
    <t>INSERT INTO Lote (id_lote, codigo, id_variedad, notas) SELECT '4a5cb789', '4a5cb789', id_variedad, NULL FROM Variedad WHERE nombre = 'Chardonnay 24 Rect';</t>
  </si>
  <si>
    <t>INSERT INTO Lote (id_lote, codigo, id_variedad, notas) SELECT 'dea77610', 'dea77610', id_variedad, NULL FROM Variedad WHERE nombre = 'Chardonnay 24 Rect';</t>
  </si>
  <si>
    <t>INSERT INTO Lote (id_lote, codigo, id_variedad, notas) SELECT '03ffe0d5', '03ffe0d5', id_variedad, NULL FROM Variedad WHERE nombre = 'Syrah s/Anc';</t>
  </si>
  <si>
    <t>INSERT INTO Lote (id_lote, codigo, id_variedad, notas) SELECT 'b93c3154', 'b93c3154', id_variedad, NULL FROM Variedad WHERE nombre = 'Syrah s/Anc';</t>
  </si>
  <si>
    <t>INSERT INTO Lote (id_lote, codigo, id_variedad, notas) SELECT 'ea43be80', 'ea43be80', id_variedad, NULL FROM Variedad WHERE nombre = 'Cabernet Sauvignon 24 Rect';</t>
  </si>
  <si>
    <t>INSERT INTO Lote (id_lote, codigo, id_variedad, notas) SELECT 'fe482ba5', 'fe482ba5', id_variedad, NULL FROM Variedad WHERE nombre = 'Syrah';</t>
  </si>
  <si>
    <t>INSERT INTO Lote (id_lote, codigo, id_variedad, notas) SELECT 'b01eee66', 'b01eee66', id_variedad, NULL FROM Variedad WHERE nombre = 'Syrah Ferm';</t>
  </si>
  <si>
    <t>INSERT INTO Lote (id_lote, codigo, id_variedad, notas) SELECT '4649003c', '4649003c', id_variedad, NULL FROM Variedad WHERE nombre = 'Syrah Ferm';</t>
  </si>
  <si>
    <t>INSERT INTO Lote (id_lote, codigo, id_variedad, notas) SELECT '98f429d0', '98f429d0', id_variedad, NULL FROM Variedad WHERE nombre = 'Chardonnay 24 Rect';</t>
  </si>
  <si>
    <t>INSERT INTO Lote (id_lote, codigo, id_variedad, notas) SELECT '3a308f07', '3a308f07', id_variedad, NULL FROM Variedad WHERE nombre = 'Bonarda 24 Rect';</t>
  </si>
  <si>
    <t>INSERT INTO Lote (id_lote, codigo, id_variedad, notas) SELECT '3d517070', '3d517070', id_variedad, NULL FROM Variedad WHERE nombre = 'Bonarda 24 Rect';</t>
  </si>
  <si>
    <t>INSERT INTO Lote (id_lote, codigo, id_variedad, notas) SELECT '337ffa98', '337ffa98', id_variedad, NULL FROM Variedad WHERE nombre = 'Tanat';</t>
  </si>
  <si>
    <t>INSERT INTO Lote (id_lote, codigo, id_variedad, notas) SELECT '76ba7fdf', '76ba7fdf', id_variedad, NULL FROM Variedad WHERE nombre = 'Cabernet Sauvignon 24 Rect';</t>
  </si>
  <si>
    <t>INSERT INTO Lote (id_lote, codigo, id_variedad, notas) SELECT '8c8ffb39', '8c8ffb39', id_variedad, NULL FROM Variedad WHERE nombre = 'Ajuste';</t>
  </si>
  <si>
    <t>INSERT INTO Lote (id_lote, codigo, id_variedad, notas) SELECT 'de74d539', 'de74d539', id_variedad, NULL FROM Variedad WHERE nombre = 'Ajuste';</t>
  </si>
  <si>
    <t>INSERT INTO Lote (id_lote, codigo, id_variedad, notas) SELECT '79be12ab', '79be12ab', id_variedad, NULL FROM Variedad WHERE nombre = 'Cabernet Sauvignon 24 Rect';</t>
  </si>
  <si>
    <t>INSERT INTO Lote (id_lote, codigo, id_variedad, notas) SELECT '898d9689', '898d9689', id_variedad, NULL FROM Variedad WHERE nombre = 'Bonarda 24 Rect';</t>
  </si>
  <si>
    <t>INSERT INTO Lote (id_lote, codigo, id_variedad, notas) SELECT '8d3c8a21', '8d3c8a21', id_variedad, NULL FROM Variedad WHERE nombre = 'Chardonnay 24 Rect';</t>
  </si>
  <si>
    <t>INSERT INTO Lote (id_lote, codigo, id_variedad, notas) SELECT '71f4b567', '71f4b567', id_variedad, NULL FROM Variedad WHERE nombre = 'Anccelotta';</t>
  </si>
  <si>
    <t>INSERT INTO Lote (id_lote, codigo, id_variedad, notas) SELECT 'a9139adb', 'a9139adb', id_variedad, NULL FROM Variedad WHERE nombre = 'Bonarda C2';</t>
  </si>
  <si>
    <t>INSERT INTO Lote (id_lote, codigo, id_variedad, notas) SELECT '4a34674d', '4a34674d', id_variedad, NULL FROM Variedad WHERE nombre = 'Bonarda C2';</t>
  </si>
  <si>
    <t>INSERT INTO Lote (id_lote, codigo, id_variedad, notas) SELECT '5020af35', '5020af35', id_variedad, NULL FROM Variedad WHERE nombre = 'Tanat';</t>
  </si>
  <si>
    <t>INSERT INTO Lote (id_lote, codigo, id_variedad, notas) SELECT '3eacd39c', '3eacd39c', id_variedad, NULL FROM Variedad WHERE nombre = 'Torrontes';</t>
  </si>
  <si>
    <t>INSERT INTO Lote (id_lote, codigo, id_variedad, notas) SELECT '562f51a9', '562f51a9', id_variedad, NULL FROM Variedad WHERE nombre = 'Chenin';</t>
  </si>
  <si>
    <t>INSERT INTO Lote (id_lote, codigo, id_variedad, notas) SELECT '5cc545be', '5cc545be', id_variedad, NULL FROM Variedad WHERE nombre = 'Anccelotta';</t>
  </si>
  <si>
    <t>INSERT INTO Lote (id_lote, codigo, id_variedad, notas) SELECT 'e861b4fa', 'e861b4fa', id_variedad, NULL FROM Variedad WHERE nombre = 'Bonarda C2';</t>
  </si>
  <si>
    <t>INSERT INTO Lote (id_lote, codigo, id_variedad, notas) SELECT 'd607821f', 'd607821f', id_variedad, NULL FROM Variedad WHERE nombre = 'Syrah';</t>
  </si>
  <si>
    <t>INSERT INTO Lote (id_lote, codigo, id_variedad, notas) SELECT 'f3ecd42b', 'f3ecd42b', id_variedad, NULL FROM Variedad WHERE nombre = 'Bonarda C2';</t>
  </si>
  <si>
    <t>INSERT INTO Lote (id_lote, codigo, id_variedad, notas) SELECT '84282478', '84282478', id_variedad, NULL FROM Variedad WHERE nombre = 'Bonarda C2';</t>
  </si>
  <si>
    <t>INSERT INTO Lote (id_lote, codigo, id_variedad, notas) SELECT '41c8d398', '41c8d398', id_variedad, NULL FROM Variedad WHERE nombre = 'Bonarda 24';</t>
  </si>
  <si>
    <t>INSERT INTO Lote (id_lote, codigo, id_variedad, notas) SELECT '5c98aafc', '5c98aafc', id_variedad, NULL FROM Variedad WHERE nombre = 'Syrah 24';</t>
  </si>
  <si>
    <t>INSERT INTO Lote (id_lote, codigo, id_variedad, notas) SELECT '34a141e2', '34a141e2', id_variedad, NULL FROM Variedad WHERE nombre = 'Tempranillo';</t>
  </si>
  <si>
    <t>INSERT INTO Lote (id_lote, codigo, id_variedad, notas) SELECT 'dd4b7b83', 'dd4b7b83', id_variedad, NULL FROM Variedad WHERE nombre = 'Tempranillo';</t>
  </si>
  <si>
    <t>INSERT INTO Lote (id_lote, codigo, id_variedad, notas) SELECT 'b5e8d166', 'b5e8d166', id_variedad, NULL FROM Variedad WHERE nombre = 'Tinto La Vendimia';</t>
  </si>
  <si>
    <t>INSERT INTO Lote (id_lote, codigo, id_variedad, notas) SELECT '6cba92a2', '6cba92a2', id_variedad, NULL FROM Variedad WHERE nombre = 'Syrah';</t>
  </si>
  <si>
    <t>INSERT INTO Lote (id_lote, codigo, id_variedad, notas) SELECT 'f1388e78', 'f1388e78', id_variedad, NULL FROM Variedad WHERE nombre = 'Aspirant 24 Rect';</t>
  </si>
  <si>
    <t>INSERT INTO Lote (id_lote, codigo, id_variedad, notas) SELECT '0d46ca84', '0d46ca84', id_variedad, NULL FROM Variedad WHERE nombre = 'Aspirant 24 Rect';</t>
  </si>
  <si>
    <t>INSERT INTO Lote (id_lote, codigo, id_variedad, notas) SELECT '92bbed34', '92bbed34', id_variedad, NULL FROM Variedad WHERE nombre = 'Malbec Gota';</t>
  </si>
  <si>
    <t>INSERT INTO Lote (id_lote, codigo, id_variedad, notas) SELECT 'b7799ff9', 'b7799ff9', id_variedad, NULL FROM Variedad WHERE nombre = 'Bonarda 24 Rect';</t>
  </si>
  <si>
    <t>INSERT INTO Lote (id_lote, codigo, id_variedad, notas) SELECT '238eb34e', '238eb34e', id_variedad, NULL FROM Variedad WHERE nombre = 'Merlot s/Asp';</t>
  </si>
  <si>
    <t>INSERT INTO Lote (id_lote, codigo, id_variedad, notas) SELECT '9446c412', '9446c412', id_variedad, NULL FROM Variedad WHERE nombre = 'Merlot s/Asp';</t>
  </si>
  <si>
    <t>INSERT INTO Lote (id_lote, codigo, id_variedad, notas) SELECT '0d1b7f2c', '0d1b7f2c', id_variedad, NULL FROM Variedad WHERE nombre = 'Merlot s/Asp';</t>
  </si>
  <si>
    <t>INSERT INTO Lote (id_lote, codigo, id_variedad, notas) SELECT '7d922df1', '7d922df1', id_variedad, NULL FROM Variedad WHERE nombre = 'Merlot s/Asp';</t>
  </si>
  <si>
    <t>INSERT INTO Lote (id_lote, codigo, id_variedad, notas) SELECT '6341d7bb', '6341d7bb', id_variedad, NULL FROM Variedad WHERE nombre = 'Merlot s/Asp';</t>
  </si>
  <si>
    <t>INSERT INTO Lote (id_lote, codigo, id_variedad, notas) SELECT 'dd0fd20d', 'dd0fd20d', id_variedad, NULL FROM Variedad WHERE nombre = 'Malbec con Merlot s/Asp';</t>
  </si>
  <si>
    <t>INSERT INTO Lote (id_lote, codigo, id_variedad, notas) SELECT '69d6b7d4', '69d6b7d4', id_variedad, NULL FROM Variedad WHERE nombre = 'Syrah Merlot s/Asp Gota';</t>
  </si>
  <si>
    <t>INSERT INTO Lote (id_lote, codigo, id_variedad, notas) SELECT 'f2f249ef', 'f2f249ef', id_variedad, NULL FROM Variedad WHERE nombre = 'Merlot s/Asp descube';</t>
  </si>
  <si>
    <t>INSERT INTO Lote (id_lote, codigo, id_variedad, notas) SELECT '5c199eac', '5c199eac', id_variedad, NULL FROM Variedad WHERE nombre = 'Syrah s/Asp 2da';</t>
  </si>
  <si>
    <t>INSERT INTO Lote (id_lote, codigo, id_variedad, notas) SELECT 'bd85e420', 'bd85e420', id_variedad, NULL FROM Variedad WHERE nombre = 'Syrah';</t>
  </si>
  <si>
    <t>INSERT INTO Lote (id_lote, codigo, id_variedad, notas) SELECT '26cfa504', '26cfa504', id_variedad, NULL FROM Variedad WHERE nombre = 'Correccion';</t>
  </si>
  <si>
    <t>INSERT INTO Lote (id_lote, codigo, id_variedad, notas) SELECT 'd3910498', 'd3910498', id_variedad, NULL FROM Variedad WHERE nombre = 'Syrah';</t>
  </si>
  <si>
    <t>INSERT INTO Lote (id_lote, codigo, id_variedad, notas) SELECT 'a3638ae6', 'a3638ae6', id_variedad, NULL FROM Variedad WHERE nombre = 'Syrah';</t>
  </si>
  <si>
    <t>INSERT INTO Lote (id_lote, codigo, id_variedad, notas) SELECT 'bf6d548a', 'bf6d548a', id_variedad, NULL FROM Variedad WHERE nombre = 'Malbec Gota';</t>
  </si>
  <si>
    <t>INSERT INTO Lote (id_lote, codigo, id_variedad, notas) SELECT 'abf45035', 'abf45035', id_variedad, NULL FROM Variedad WHERE nombre = 'Tinto La Vendimia';</t>
  </si>
  <si>
    <t>INSERT INTO Lote (id_lote, codigo, id_variedad, notas) SELECT '0f5a0357', '0f5a0357', id_variedad, NULL FROM Variedad WHERE nombre = 'Tinto La Vendimia';</t>
  </si>
  <si>
    <t>INSERT INTO Lote (id_lote, codigo, id_variedad, notas) SELECT '6ca6737b', '6ca6737b', id_variedad, NULL FROM Variedad WHERE nombre = 'Tinto La Vendimia';</t>
  </si>
  <si>
    <t>INSERT INTO Lote (id_lote, codigo, id_variedad, notas) SELECT 'a58181b8', 'a58181b8', id_variedad, NULL FROM Variedad WHERE nombre = 'Tinto La Vendimia';</t>
  </si>
  <si>
    <t>INSERT INTO Lote (id_lote, codigo, id_variedad, notas) SELECT '5f1402b2', '5f1402b2', id_variedad, NULL FROM Variedad WHERE nombre = 'Tinto La Vendimia';</t>
  </si>
  <si>
    <t>INSERT INTO Lote (id_lote, codigo, id_variedad, notas) SELECT 'a3cee476', 'a3cee476', id_variedad, NULL FROM Variedad WHERE nombre = 'Chardonnay 24 Rect';</t>
  </si>
  <si>
    <t>INSERT INTO Lote (id_lote, codigo, id_variedad, notas) SELECT '8f28e62a', '8f28e62a', id_variedad, NULL FROM Variedad WHERE nombre = 'Anccelotta';</t>
  </si>
  <si>
    <t>INSERT INTO Lote (id_lote, codigo, id_variedad, notas) SELECT 'a2ec7d6d', 'a2ec7d6d', id_variedad, NULL FROM Variedad WHERE nombre = 'Anccelotta';</t>
  </si>
  <si>
    <t>INSERT INTO Lote (id_lote, codigo, id_variedad, notas) SELECT '8f7c7c26', '8f7c7c26', id_variedad, NULL FROM Variedad WHERE nombre = 'Criolla';</t>
  </si>
  <si>
    <t>INSERT INTO Lote (id_lote, codigo, id_variedad, notas) SELECT '2cca878f', '2cca878f', id_variedad, NULL FROM Variedad WHERE nombre = 'Criolla';</t>
  </si>
  <si>
    <t>INSERT INTO Lote (id_lote, codigo, id_variedad, notas) SELECT '538b2389', '538b2389', id_variedad, NULL FROM Variedad WHERE nombre = 'Criolla';</t>
  </si>
  <si>
    <t>INSERT INTO Lote (id_lote, codigo, id_variedad, notas) SELECT '805a5dd9', '805a5dd9', id_variedad, NULL FROM Variedad WHERE nombre = 'Anccelotta';</t>
  </si>
  <si>
    <t>INSERT INTO Lote (id_lote, codigo, id_variedad, notas) SELECT 'e53d4606', 'e53d4606', id_variedad, NULL FROM Variedad WHERE nombre = 'Syrah';</t>
  </si>
  <si>
    <t>INSERT INTO Lote (id_lote, codigo, id_variedad, notas) SELECT 'bb28f5a1', 'bb28f5a1', id_variedad, NULL FROM Variedad WHERE nombre = 'Syrah';</t>
  </si>
  <si>
    <t>INSERT INTO Lote (id_lote, codigo, id_variedad, notas) SELECT '00ec1fb2', '00ec1fb2', id_variedad, NULL FROM Variedad WHERE nombre = 'Tinto Criolla Rec';</t>
  </si>
  <si>
    <t>INSERT INTO Lote (id_lote, codigo, id_variedad, notas) SELECT '7c51cd7c', '7c51cd7c', id_variedad, NULL FROM Variedad WHERE nombre = 'Tanat';</t>
  </si>
  <si>
    <t>INSERT INTO Lote (id_lote, codigo, id_variedad, notas) SELECT 'e16bba1c', 'e16bba1c', id_variedad, NULL FROM Variedad WHERE nombre = 'Tanat';</t>
  </si>
  <si>
    <t>INSERT INTO Lote (id_lote, codigo, id_variedad, notas) SELECT '0bebff1a', '0bebff1a', id_variedad, NULL FROM Variedad WHERE nombre = 'Tanat';</t>
  </si>
  <si>
    <t>INSERT INTO Lote (id_lote, codigo, id_variedad, notas) SELECT '78caf863', '78caf863', id_variedad, NULL FROM Variedad WHERE nombre = 'Tempranillo';</t>
  </si>
  <si>
    <t>INSERT INTO Lote (id_lote, codigo, id_variedad, notas) SELECT '01572a41', '01572a41', id_variedad, NULL FROM Variedad WHERE nombre = 'Tempranillo';</t>
  </si>
  <si>
    <t>INSERT INTO Lote (id_lote, codigo, id_variedad, notas) SELECT '0cf5d8ff', '0cf5d8ff', id_variedad, NULL FROM Variedad WHERE nombre = 'Malbec';</t>
  </si>
  <si>
    <t>INSERT INTO Lote (id_lote, codigo, id_variedad, notas) SELECT '1640b5b7', '1640b5b7', id_variedad, NULL FROM Variedad WHERE nombre = 'Criolla Filtrada';</t>
  </si>
  <si>
    <t>INSERT INTO Lote (id_lote, codigo, id_variedad, notas) SELECT 'd007d867', 'd007d867', id_variedad, NULL FROM Variedad WHERE nombre = 'Bonarda 24 Rect';</t>
  </si>
  <si>
    <t>INSERT INTO Lote (id_lote, codigo, id_variedad, notas) SELECT 'd7576c4b', 'd7576c4b', id_variedad, NULL FROM Variedad WHERE nombre = 'Criolla';</t>
  </si>
  <si>
    <t>INSERT INTO Lote (id_lote, codigo, id_variedad, notas) SELECT 'd7488996', 'd7488996', id_variedad, NULL FROM Variedad WHERE nombre = 'Criolla';</t>
  </si>
  <si>
    <t>INSERT INTO Lote (id_lote, codigo, id_variedad, notas) SELECT '7b27f7a2', '7b27f7a2', id_variedad, NULL FROM Variedad WHERE nombre = 'Criolla';</t>
  </si>
  <si>
    <t>INSERT INTO Lote (id_lote, codigo, id_variedad, notas) SELECT 'a9ae339e', 'a9ae339e', id_variedad, NULL FROM Variedad WHERE nombre = 'Bonarda 24 Rect';</t>
  </si>
  <si>
    <t>INSERT INTO Lote (id_lote, codigo, id_variedad, notas) SELECT '730bdaa5', '730bdaa5', id_variedad, NULL FROM Variedad WHERE nombre = 'Bonarda 24 Rect';</t>
  </si>
  <si>
    <t>INSERT INTO Lote (id_lote, codigo, id_variedad, notas) SELECT 'b2ddb184', 'b2ddb184', id_variedad, NULL FROM Variedad WHERE nombre = 'Chardonnay 24 Rect';</t>
  </si>
  <si>
    <t>INSERT INTO Lote (id_lote, codigo, id_variedad, notas) SELECT '33d70f3e', '33d70f3e', id_variedad, NULL FROM Variedad WHERE nombre = 'Bonarda C2';</t>
  </si>
  <si>
    <t>INSERT INTO Lote (id_lote, codigo, id_variedad, notas) SELECT '3907dbfc', '3907dbfc', id_variedad, NULL FROM Variedad WHERE nombre = 'Bonarda C2';</t>
  </si>
  <si>
    <t>INSERT INTO Lote (id_lote, codigo, id_variedad, notas) SELECT 'c9e381e1', 'c9e381e1', id_variedad, NULL FROM Variedad WHERE nombre = 'Bonarda C2';</t>
  </si>
  <si>
    <t>INSERT INTO Lote (id_lote, codigo, id_variedad, notas) SELECT '54d0d860', '54d0d860', id_variedad, NULL FROM Variedad WHERE nombre = 'Ancellotta Tempranillo';</t>
  </si>
  <si>
    <t>INSERT INTO Lote (id_lote, codigo, id_variedad, notas) SELECT 'b1ca9458', 'b1ca9458', id_variedad, NULL FROM Variedad WHERE nombre = 'Ancellotta Tempranillo';</t>
  </si>
  <si>
    <t>INSERT INTO Lote (id_lote, codigo, id_variedad, notas) SELECT 'afed01fa', 'afed01fa', id_variedad, NULL FROM Variedad WHERE nombre = 'Ancellotta Tempranillo';</t>
  </si>
  <si>
    <t>INSERT INTO Lote (id_lote, codigo, id_variedad, notas) SELECT '34f051f2', '34f051f2', id_variedad, NULL FROM Variedad WHERE nombre = 'Bonarda C2';</t>
  </si>
  <si>
    <t>INSERT INTO Lote (id_lote, codigo, id_variedad, notas) SELECT '8d1e611a', '8d1e611a', id_variedad, NULL FROM Variedad WHERE nombre = 'Bonarda 24 Rect';</t>
  </si>
  <si>
    <t>INSERT INTO Lote (id_lote, codigo, id_variedad, notas) SELECT 'd5c7ee63', 'd5c7ee63', id_variedad, NULL FROM Variedad WHERE nombre = 'Cabernet Sauvignon Rect 24';</t>
  </si>
  <si>
    <t>INSERT INTO Lote (id_lote, codigo, id_variedad, notas) SELECT '2e224e71', '2e224e71', id_variedad, NULL FROM Variedad WHERE nombre = 'Cabernet Sauvignon Rect 24';</t>
  </si>
  <si>
    <t>INSERT INTO Lote (id_lote, codigo, id_variedad, notas) SELECT '239b5e04', '239b5e04', id_variedad, NULL FROM Variedad WHERE nombre = 'Cabernet Sauvignon Rect 24';</t>
  </si>
  <si>
    <t>INSERT INTO Lote (id_lote, codigo, id_variedad, notas) SELECT '4fc3176a', '4fc3176a', id_variedad, NULL FROM Variedad WHERE nombre = 'Torrontes';</t>
  </si>
  <si>
    <t>INSERT INTO Lote (id_lote, codigo, id_variedad, notas) SELECT '666d23a6', '666d23a6', id_variedad, NULL FROM Variedad WHERE nombre = 'Syrah';</t>
  </si>
  <si>
    <t>INSERT INTO Lote (id_lote, codigo, id_variedad, notas) SELECT '4eab3967', '4eab3967', id_variedad, NULL FROM Variedad WHERE nombre = 'Malbec';</t>
  </si>
  <si>
    <t>INSERT INTO Lote (id_lote, codigo, id_variedad, notas) SELECT '806c3920', '806c3920', id_variedad, NULL FROM Variedad WHERE nombre = 'Malbec';</t>
  </si>
  <si>
    <t>INSERT INTO Lote (id_lote, codigo, id_variedad, notas) SELECT '45c7ce93', '45c7ce93', id_variedad, NULL FROM Variedad WHERE nombre = 'Malbec';</t>
  </si>
  <si>
    <t>INSERT INTO Lote (id_lote, codigo, id_variedad, notas) SELECT '35c5e060', '35c5e060', id_variedad, NULL FROM Variedad WHERE nombre = 'Bonarda C2';</t>
  </si>
  <si>
    <t>INSERT INTO Lote (id_lote, codigo, id_variedad, notas) SELECT '1fb0aecd', '1fb0aecd', id_variedad, NULL FROM Variedad WHERE nombre = 'Bonarda C2';</t>
  </si>
  <si>
    <t>INSERT INTO Lote (id_lote, codigo, id_variedad, notas) SELECT '2fe32030', '2fe32030', id_variedad, NULL FROM Variedad WHERE nombre = 'Cabernet Sauvignon Rect 24';</t>
  </si>
  <si>
    <t>INSERT INTO Lote (id_lote, codigo, id_variedad, notas) SELECT 'e2c9de47', 'e2c9de47', id_variedad, NULL FROM Variedad WHERE nombre = 'Chardonnay 24 Rect';</t>
  </si>
  <si>
    <t>INSERT INTO Lote (id_lote, codigo, id_variedad, notas) SELECT 'bf75bf0d', 'bf75bf0d', id_variedad, NULL FROM Variedad WHERE nombre = 'Bonarda';</t>
  </si>
  <si>
    <t>INSERT INTO Lote (id_lote, codigo, id_variedad, notas) SELECT '62023f37', '62023f37', id_variedad, NULL FROM Variedad WHERE nombre = 'Tinto Criolla Recarga';</t>
  </si>
  <si>
    <t>INSERT INTO Lote (id_lote, codigo, id_variedad, notas) SELECT '8ba061c3', '8ba061c3', id_variedad, NULL FROM Variedad WHERE nombre = 'Tanat';</t>
  </si>
  <si>
    <t>INSERT INTO Lote (id_lote, codigo, id_variedad, notas) SELECT '671aa5be', '671aa5be', id_variedad, NULL FROM Variedad WHERE nombre = 'Tanat';</t>
  </si>
  <si>
    <t>INSERT INTO Lote (id_lote, codigo, id_variedad, notas) SELECT '48ce0b6f', '48ce0b6f', id_variedad, NULL FROM Variedad WHERE nombre = 'Malbec';</t>
  </si>
  <si>
    <t>INSERT INTO Lote (id_lote, codigo, id_variedad, notas) SELECT '896bf192', '896bf192', id_variedad, NULL FROM Variedad WHERE nombre = 'Aspirant 24 Rect';</t>
  </si>
  <si>
    <t>INSERT INTO Lote (id_lote, codigo, id_variedad, notas) SELECT '22f56119', '22f56119', id_variedad, NULL FROM Variedad WHERE nombre = 'Tinto Recarga';</t>
  </si>
  <si>
    <t>INSERT INTO Lote (id_lote, codigo, id_variedad, notas) SELECT '7059064e', '7059064e', id_variedad, NULL FROM Variedad WHERE nombre = 'Torrontes';</t>
  </si>
  <si>
    <t>INSERT INTO Lote (id_lote, codigo, id_variedad, notas) SELECT '5b1a85aa', '5b1a85aa', id_variedad, NULL FROM Variedad WHERE nombre = 'Pedro Gimenez';</t>
  </si>
  <si>
    <t>INSERT INTO Lote (id_lote, codigo, id_variedad, notas) SELECT '9c08b5f2', '9c08b5f2', id_variedad, NULL FROM Variedad WHERE nombre = 'Chenin';</t>
  </si>
  <si>
    <t>INSERT INTO Lote (id_lote, codigo, id_variedad, notas) SELECT 'a85e69f1', 'a85e69f1', id_variedad, NULL FROM Variedad WHERE nombre = 'Torrontes';</t>
  </si>
  <si>
    <t>INSERT INTO Lote (id_lote, codigo, id_variedad, notas) SELECT 'f9474150', 'f9474150', id_variedad, NULL FROM Variedad WHERE nombre = 'Tinto Criolla Rec';</t>
  </si>
  <si>
    <t>INSERT INTO Lote (id_lote, codigo, id_variedad, notas) SELECT '811c911e', '811c911e', id_variedad, NULL FROM Variedad WHERE nombre = 'Bonarda';</t>
  </si>
  <si>
    <t>INSERT INTO Lote (id_lote, codigo, id_variedad, notas) SELECT '7e71a1c9', '7e71a1c9', id_variedad, NULL FROM Variedad WHERE nombre = 'Malbec Mec';</t>
  </si>
  <si>
    <t>INSERT INTO Lote (id_lote, codigo, id_variedad, notas) SELECT 'd2438b41', 'd2438b41', id_variedad, NULL FROM Variedad WHERE nombre = 'Malbec Mec';</t>
  </si>
  <si>
    <t>INSERT INTO Lote (id_lote, codigo, id_variedad, notas) SELECT '4553393f', '4553393f', id_variedad, NULL FROM Variedad WHERE nombre = 'Bonarda 24';</t>
  </si>
  <si>
    <t>INSERT INTO Lote (id_lote, codigo, id_variedad, notas) SELECT '4f64f8ff', '4f64f8ff', id_variedad, NULL FROM Variedad WHERE nombre = 'Tinto Recarga';</t>
  </si>
  <si>
    <t>INSERT INTO Lote (id_lote, codigo, id_variedad, notas) SELECT '3f692936', '3f692936', id_variedad, NULL FROM Variedad WHERE nombre = 'Anccelotta';</t>
  </si>
  <si>
    <t>INSERT INTO Lote (id_lote, codigo, id_variedad, notas) SELECT 'c625482f', 'c625482f', id_variedad, NULL FROM Variedad WHERE nombre = 'Tempranillo';</t>
  </si>
  <si>
    <t>INSERT INTO Lote (id_lote, codigo, id_variedad, notas) SELECT 'cddd0d08', 'cddd0d08', id_variedad, NULL FROM Variedad WHERE nombre = 'Ancellotta Tempranillo';</t>
  </si>
  <si>
    <t>INSERT INTO Lote (id_lote, codigo, id_variedad, notas) SELECT '666c05a4', '666c05a4', id_variedad, NULL FROM Variedad WHERE nombre = 'Ancellotta Tempranillo Pren';</t>
  </si>
  <si>
    <t>INSERT INTO Lote (id_lote, codigo, id_variedad, notas) SELECT 'ba65567d', 'ba65567d', id_variedad, NULL FROM Variedad WHERE nombre = 'Bonarda C2';</t>
  </si>
  <si>
    <t>INSERT INTO Lote (id_lote, codigo, id_variedad, notas) SELECT '37d13c67', '37d13c67', id_variedad, NULL FROM Variedad WHERE nombre = 'Bonarda C2';</t>
  </si>
  <si>
    <t>INSERT INTO Lote (id_lote, codigo, id_variedad, notas) SELECT '309834ec', '309834ec', id_variedad, NULL FROM Variedad WHERE nombre = 'Borra';</t>
  </si>
  <si>
    <t>INSERT INTO Lote (id_lote, codigo, id_variedad, notas) SELECT '32e9ec8f', '32e9ec8f', id_variedad, NULL FROM Variedad WHERE nombre = 'Tinto Recarga';</t>
  </si>
  <si>
    <t>INSERT INTO Lote (id_lote, codigo, id_variedad, notas) SELECT '9a9cd123', '9a9cd123', id_variedad, NULL FROM Variedad WHERE nombre = 'Tinto Recarga';</t>
  </si>
  <si>
    <t>INSERT INTO Lote (id_lote, codigo, id_variedad, notas) SELECT '96467006', '96467006', id_variedad, NULL FROM Variedad WHERE nombre = 'Bonarda';</t>
  </si>
  <si>
    <t>INSERT INTO Lote (id_lote, codigo, id_variedad, notas) SELECT '8102a15a', '8102a15a', id_variedad, NULL FROM Variedad WHERE nombre = 'Bonarda';</t>
  </si>
  <si>
    <t>INSERT INTO Lote (id_lote, codigo, id_variedad, notas) SELECT '3cb72b04', '3cb72b04', id_variedad, NULL FROM Variedad WHERE nombre = 'Tinto Criolla Rec';</t>
  </si>
  <si>
    <t>INSERT INTO Lote (id_lote, codigo, id_variedad, notas) SELECT '28029583', '28029583', id_variedad, NULL FROM Variedad WHERE nombre = 'Tinto Recarga';</t>
  </si>
  <si>
    <t>INSERT INTO Lote (id_lote, codigo, id_variedad, notas) SELECT 'c85b5cb0', 'c85b5cb0', id_variedad, NULL FROM Variedad WHERE nombre = 'Tinto Recarga';</t>
  </si>
  <si>
    <t>INSERT INTO Lote (id_lote, codigo, id_variedad, notas) SELECT 'bcd7e2f3', 'bcd7e2f3', id_variedad, NULL FROM Variedad WHERE nombre = 'Bonarda';</t>
  </si>
  <si>
    <t>INSERT INTO Lote (id_lote, codigo, id_variedad, notas) SELECT '2e2b3f01', '2e2b3f01', id_variedad, NULL FROM Variedad WHERE nombre = 'Bonarda';</t>
  </si>
  <si>
    <t>INSERT INTO Lote (id_lote, codigo, id_variedad, notas) SELECT 'c750a1d2', 'c750a1d2', id_variedad, NULL FROM Variedad WHERE nombre = 'Malbec G';</t>
  </si>
  <si>
    <t>INSERT INTO Lote (id_lote, codigo, id_variedad, notas) SELECT '3e5b524d', '3e5b524d', id_variedad, NULL FROM Variedad WHERE nombre = 'Bonarda';</t>
  </si>
  <si>
    <t>INSERT INTO Lote (id_lote, codigo, id_variedad, notas) SELECT 'ef198a97', 'ef198a97', id_variedad, NULL FROM Variedad WHERE nombre = 'Pedro Gimenez';</t>
  </si>
  <si>
    <t>INSERT INTO Lote (id_lote, codigo, id_variedad, notas) SELECT 'eeb8e99d', 'eeb8e99d', id_variedad, NULL FROM Variedad WHERE nombre = 'Pedro Gimenez';</t>
  </si>
  <si>
    <t>INSERT INTO Lote (id_lote, codigo, id_variedad, notas) SELECT '5cdb12ce', '5cdb12ce', id_variedad, NULL FROM Variedad WHERE nombre = 'Chenin';</t>
  </si>
  <si>
    <t>INSERT INTO Lote (id_lote, codigo, id_variedad, notas) SELECT 'b4fcbbdb', 'b4fcbbdb', id_variedad, NULL FROM Variedad WHERE nombre = 'Chenin';</t>
  </si>
  <si>
    <t>INSERT INTO Lote (id_lote, codigo, id_variedad, notas) SELECT '0997a77d', '0997a77d', id_variedad, NULL FROM Variedad WHERE nombre = 'Torrontes';</t>
  </si>
  <si>
    <t>INSERT INTO Lote (id_lote, codigo, id_variedad, notas) SELECT '30332ad5', '30332ad5', id_variedad, NULL FROM Variedad WHERE nombre = 'Torrontes';</t>
  </si>
  <si>
    <t>INSERT INTO Lote (id_lote, codigo, id_variedad, notas) SELECT 'd711de02', 'd711de02', id_variedad, NULL FROM Variedad WHERE nombre = 'Torrontes';</t>
  </si>
  <si>
    <t>INSERT INTO Lote (id_lote, codigo, id_variedad, notas) SELECT '2f246ad5', '2f246ad5', id_variedad, NULL FROM Variedad WHERE nombre = 'Cabernet Sauvignon Rect 24';</t>
  </si>
  <si>
    <t>INSERT INTO Lote (id_lote, codigo, id_variedad, notas) SELECT '7ae457f1', '7ae457f1', id_variedad, NULL FROM Variedad WHERE nombre = 'Torrontes';</t>
  </si>
  <si>
    <t>INSERT INTO Lote (id_lote, codigo, id_variedad, notas) SELECT 'f544d5bf', 'f544d5bf', id_variedad, NULL FROM Variedad WHERE nombre = 'Torrontes';</t>
  </si>
  <si>
    <t>INSERT INTO Lote (id_lote, codigo, id_variedad, notas) SELECT '0ff5115b', '0ff5115b', id_variedad, NULL FROM Variedad WHERE nombre = 'Ancellotta Tempranillo';</t>
  </si>
  <si>
    <t>INSERT INTO Lote (id_lote, codigo, id_variedad, notas) SELECT 'c694d86c', 'c694d86c', id_variedad, NULL FROM Variedad WHERE nombre = 'Tinto Criolla Recarga';</t>
  </si>
  <si>
    <t>INSERT INTO Lote (id_lote, codigo, id_variedad, notas) SELECT '50c7db36', '50c7db36', id_variedad, NULL FROM Variedad WHERE nombre = 'Tinto Criolla Rec';</t>
  </si>
  <si>
    <t>INSERT INTO Lote (id_lote, codigo, id_variedad, notas) SELECT 'c97f270b', 'c97f270b', id_variedad, NULL FROM Variedad WHERE nombre = 'Syrah Tempranillo s/Asp 2da';</t>
  </si>
  <si>
    <t>INSERT INTO Lote (id_lote, codigo, id_variedad, notas) SELECT '6dd6dc83', '6dd6dc83', id_variedad, NULL FROM Variedad WHERE nombre = 'Syrah Colom s/Asp 2';</t>
  </si>
  <si>
    <t>INSERT INTO Lote (id_lote, codigo, id_variedad, notas) SELECT 'ec23e3f7', 'ec23e3f7', id_variedad, NULL FROM Variedad WHERE nombre = 'Syrah Colom s/Asp 2';</t>
  </si>
  <si>
    <t>INSERT INTO Lote (id_lote, codigo, id_variedad, notas) SELECT 'bc837f92', 'bc837f92', id_variedad, NULL FROM Variedad WHERE nombre = 'Syrah s/Asp 2da';</t>
  </si>
  <si>
    <t>INSERT INTO Lote (id_lote, codigo, id_variedad, notas) SELECT 'a6d28e88', 'a6d28e88', id_variedad, NULL FROM Variedad WHERE nombre = 'Syrah s/Asp 3ra';</t>
  </si>
  <si>
    <t>INSERT INTO Lote (id_lote, codigo, id_variedad, notas) SELECT 'd557e5fd', 'd557e5fd', id_variedad, NULL FROM Variedad WHERE nombre = 'Syrah s/Asp 3ra';</t>
  </si>
  <si>
    <t>INSERT INTO Lote (id_lote, codigo, id_variedad, notas) SELECT 'd251428e', 'd251428e', id_variedad, NULL FROM Variedad WHERE nombre = 'Syrah s/Asp 3ra';</t>
  </si>
  <si>
    <t>INSERT INTO Lote (id_lote, codigo, id_variedad, notas) SELECT '857f0b04', '857f0b04', id_variedad, NULL FROM Variedad WHERE nombre = 'Bonarda 24 Rect';</t>
  </si>
  <si>
    <t>INSERT INTO Lote (id_lote, codigo, id_variedad, notas) SELECT '0420c80a', '0420c80a', id_variedad, NULL FROM Variedad WHERE nombre = 'Bonarda 24 Rect';</t>
  </si>
  <si>
    <t>INSERT INTO Lote (id_lote, codigo, id_variedad, notas) SELECT '30d0ce51', '30d0ce51', id_variedad, NULL FROM Variedad WHERE nombre = 'Cabernet Sauvignon Rect 24';</t>
  </si>
  <si>
    <t>INSERT INTO Lote (id_lote, codigo, id_variedad, notas) SELECT '380532ea', '380532ea', id_variedad, NULL FROM Variedad WHERE nombre = 'Cabernet Sauvignon Rect 24';</t>
  </si>
  <si>
    <t>INSERT INTO Lote (id_lote, codigo, id_variedad, notas) SELECT 'c4f0d9b2', 'c4f0d9b2', id_variedad, NULL FROM Variedad WHERE nombre = 'Malbec 24';</t>
  </si>
  <si>
    <t>INSERT INTO Lote (id_lote, codigo, id_variedad, notas) SELECT '520b940d', '520b940d', id_variedad, NULL FROM Variedad WHERE nombre = 'Malbec 24';</t>
  </si>
  <si>
    <t>INSERT INTO Lote (id_lote, codigo, id_variedad, notas) SELECT '6a04e7d6', '6a04e7d6', id_variedad, NULL FROM Variedad WHERE nombre = 'Malbec Magneta';</t>
  </si>
  <si>
    <t>INSERT INTO Lote (id_lote, codigo, id_variedad, notas) SELECT 'e01e8aa7', 'e01e8aa7', id_variedad, NULL FROM Variedad WHERE nombre = 'Malbec Magneta';</t>
  </si>
  <si>
    <t>INSERT INTO Lote (id_lote, codigo, id_variedad, notas) SELECT '1f683a42', '1f683a42', id_variedad, NULL FROM Variedad WHERE nombre = 'Tanat';</t>
  </si>
  <si>
    <t>INSERT INTO Lote (id_lote, codigo, id_variedad, notas) SELECT '650c1db7', '650c1db7', id_variedad, NULL FROM Variedad WHERE nombre = 'Tanat';</t>
  </si>
  <si>
    <t>INSERT INTO Lote (id_lote, codigo, id_variedad, notas) SELECT '8b30dc4c', '8b30dc4c', id_variedad, NULL FROM Variedad WHERE nombre = 'Anccelotta';</t>
  </si>
  <si>
    <t>INSERT INTO Lote (id_lote, codigo, id_variedad, notas) SELECT 'a4c9e3f8', 'a4c9e3f8', id_variedad, NULL FROM Variedad WHERE nombre = 'Anccelotta';</t>
  </si>
  <si>
    <t>INSERT INTO Lote (id_lote, codigo, id_variedad, notas) SELECT '3f3e8ee6', '3f3e8ee6', id_variedad, NULL FROM Variedad WHERE nombre = 'Syrah';</t>
  </si>
  <si>
    <t>INSERT INTO Lote (id_lote, codigo, id_variedad, notas) SELECT '290ee918', '290ee918', id_variedad, NULL FROM Variedad WHERE nombre = 'Malbec 24';</t>
  </si>
  <si>
    <t>INSERT INTO Lote (id_lote, codigo, id_variedad, notas) SELECT '8fc418d7', '8fc418d7', id_variedad, NULL FROM Variedad WHERE nombre = 'Bonarda 24 Rect';</t>
  </si>
  <si>
    <t>INSERT INTO Lote (id_lote, codigo, id_variedad, notas) SELECT 'c7ecff86', 'c7ecff86', id_variedad, NULL FROM Variedad WHERE nombre = 'Bonarda';</t>
  </si>
  <si>
    <t>INSERT INTO Lote (id_lote, codigo, id_variedad, notas) SELECT 'd7991cf5', 'd7991cf5', id_variedad, NULL FROM Variedad WHERE nombre = 'Criolla Flotada';</t>
  </si>
  <si>
    <t>INSERT INTO Lote (id_lote, codigo, id_variedad, notas) SELECT 'dadb0851', 'dadb0851', id_variedad, NULL FROM Variedad WHERE nombre = 'Criolla Flotada';</t>
  </si>
  <si>
    <t>INSERT INTO Lote (id_lote, codigo, id_variedad, notas) SELECT 'b23211ad', 'b23211ad', id_variedad, NULL FROM Variedad WHERE nombre = 'Malbec 24';</t>
  </si>
  <si>
    <t>INSERT INTO Lote (id_lote, codigo, id_variedad, notas) SELECT '1a5b525d', '1a5b525d', id_variedad, NULL FROM Variedad WHERE nombre = 'Chardonnay 24 Rect';</t>
  </si>
  <si>
    <t>INSERT INTO Lote (id_lote, codigo, id_variedad, notas) SELECT '84e6afcb', '84e6afcb', id_variedad, NULL FROM Variedad WHERE nombre = 'Bonarda 24';</t>
  </si>
  <si>
    <t>INSERT INTO Lote (id_lote, codigo, id_variedad, notas) SELECT '353f740c', '353f740c', id_variedad, NULL FROM Variedad WHERE nombre = 'Syrah';</t>
  </si>
  <si>
    <t>INSERT INTO Lote (id_lote, codigo, id_variedad, notas) SELECT 'c6c0786e', 'c6c0786e', id_variedad, NULL FROM Variedad WHERE nombre = 'Tinto Criolla Recarga';</t>
  </si>
  <si>
    <t>INSERT INTO Lote (id_lote, codigo, id_variedad, notas) SELECT '21c38848', '21c38848', id_variedad, NULL FROM Variedad WHERE nombre = 'Anccelotta';</t>
  </si>
  <si>
    <t>INSERT INTO Lote (id_lote, codigo, id_variedad, notas) SELECT '97681120', '97681120', id_variedad, NULL FROM Variedad WHERE nombre = 'Ancellotta Tempranillo';</t>
  </si>
  <si>
    <t>INSERT INTO Lote (id_lote, codigo, id_variedad, notas) SELECT 'd36de2d6', 'd36de2d6', id_variedad, NULL FROM Variedad WHERE nombre = 'Bonarda C2';</t>
  </si>
  <si>
    <t>INSERT INTO Lote (id_lote, codigo, id_variedad, notas) SELECT '02c0fc23', '02c0fc23', id_variedad, NULL FROM Variedad WHERE nombre = 'Syrah';</t>
  </si>
  <si>
    <t>INSERT INTO Lote (id_lote, codigo, id_variedad, notas) SELECT 'cf44f84a', 'cf44f84a', id_variedad, NULL FROM Variedad WHERE nombre = 'Bonarda';</t>
  </si>
  <si>
    <t>INSERT INTO Lote (id_lote, codigo, id_variedad, notas) SELECT '2eb7d92e', '2eb7d92e', id_variedad, NULL FROM Variedad WHERE nombre = 'Criolla Flotada';</t>
  </si>
  <si>
    <t>INSERT INTO Lote (id_lote, codigo, id_variedad, notas) SELECT '73108ca1', '73108ca1', id_variedad, NULL FROM Variedad WHERE nombre = 'Criolla Flotada';</t>
  </si>
  <si>
    <t>INSERT INTO Lote (id_lote, codigo, id_variedad, notas) SELECT 'c355e18a', 'c355e18a', id_variedad, NULL FROM Variedad WHERE nombre = 'Criolla Flotada';</t>
  </si>
  <si>
    <t>INSERT INTO Lote (id_lote, codigo, id_variedad, notas) SELECT '6b249a3a', '6b249a3a', id_variedad, NULL FROM Variedad WHERE nombre = 'Criolla Flotada';</t>
  </si>
  <si>
    <t>INSERT INTO Lote (id_lote, codigo, id_variedad, notas) SELECT '1ba229d2', '1ba229d2', id_variedad, NULL FROM Variedad WHERE nombre = 'Bonarda';</t>
  </si>
  <si>
    <t>INSERT INTO Lote (id_lote, codigo, id_variedad, notas) SELECT 'b6dc5dc8', 'b6dc5dc8', id_variedad, NULL FROM Variedad WHERE nombre = 'Tinto Criolla Recarga';</t>
  </si>
  <si>
    <t>INSERT INTO Lote (id_lote, codigo, id_variedad, notas) SELECT '37179342', '37179342', id_variedad, NULL FROM Variedad WHERE nombre = 'Bonarda C2';</t>
  </si>
  <si>
    <t>INSERT INTO Lote (id_lote, codigo, id_variedad, notas) SELECT 'a4cd80cd', 'a4cd80cd', id_variedad, NULL FROM Variedad WHERE nombre = 'Bonarda C2';</t>
  </si>
  <si>
    <t>INSERT INTO Lote (id_lote, codigo, id_variedad, notas) SELECT '2d913121', '2d913121', id_variedad, NULL FROM Variedad WHERE nombre = 'Malbec Mec';</t>
  </si>
  <si>
    <t>INSERT INTO Lote (id_lote, codigo, id_variedad, notas) SELECT '5c542a1f', '5c542a1f', id_variedad, NULL FROM Variedad WHERE nombre = 'Malbec Mec';</t>
  </si>
  <si>
    <t>INSERT INTO Lote (id_lote, codigo, id_variedad, notas) SELECT '0869b66b', '0869b66b', id_variedad, NULL FROM Variedad WHERE nombre = 'Malbec Mec';</t>
  </si>
  <si>
    <t>INSERT INTO Lote (id_lote, codigo, id_variedad, notas) SELECT '3640d88c', '3640d88c', id_variedad, NULL FROM Variedad WHERE nombre = 'Malbec';</t>
  </si>
  <si>
    <t>INSERT INTO Lote (id_lote, codigo, id_variedad, notas) SELECT 'd9c4b92b', 'd9c4b92b', id_variedad, NULL FROM Variedad WHERE nombre = 'Malbec';</t>
  </si>
  <si>
    <t>INSERT INTO Lote (id_lote, codigo, id_variedad, notas) SELECT '3aa98d19', '3aa98d19', id_variedad, NULL FROM Variedad WHERE nombre = 'Syrah';</t>
  </si>
  <si>
    <t>INSERT INTO Lote (id_lote, codigo, id_variedad, notas) SELECT '8042d6c2', '8042d6c2', id_variedad, NULL FROM Variedad WHERE nombre = 'Tempranillo';</t>
  </si>
  <si>
    <t>INSERT INTO Lote (id_lote, codigo, id_variedad, notas) SELECT '03e27ebe', '03e27ebe', id_variedad, NULL FROM Variedad WHERE nombre = 'Ancellotta Tempranillo';</t>
  </si>
  <si>
    <t>INSERT INTO Lote (id_lote, codigo, id_variedad, notas) SELECT '91eadabd', '91eadabd', id_variedad, NULL FROM Variedad WHERE nombre = 'Criolla s/Bonarda';</t>
  </si>
  <si>
    <t>INSERT INTO Lote (id_lote, codigo, id_variedad, notas) SELECT '189ea379', '189ea379', id_variedad, NULL FROM Variedad WHERE nombre = 'Criolla s/Bonarda';</t>
  </si>
  <si>
    <t>INSERT INTO Lote (id_lote, codigo, id_variedad, notas) SELECT 'b1b9580e', 'b1b9580e', id_variedad, NULL FROM Variedad WHERE nombre = 'Tinto s/Bonarda';</t>
  </si>
  <si>
    <t>INSERT INTO Lote (id_lote, codigo, id_variedad, notas) SELECT '1d042bcb', '1d042bcb', id_variedad, NULL FROM Variedad WHERE nombre = 'Tinto s/Bonarda';</t>
  </si>
  <si>
    <t>INSERT INTO Lote (id_lote, codigo, id_variedad, notas) SELECT 'dac100da', 'dac100da', id_variedad, NULL FROM Variedad WHERE nombre = 'Tinto s/Bonarda';</t>
  </si>
  <si>
    <t>INSERT INTO Lote (id_lote, codigo, id_variedad, notas) SELECT '42842cde', '42842cde', id_variedad, NULL FROM Variedad WHERE nombre = 'Tanat';</t>
  </si>
  <si>
    <t>INSERT INTO Lote (id_lote, codigo, id_variedad, notas) SELECT '65c7867f', '65c7867f', id_variedad, NULL FROM Variedad WHERE nombre = 'Tanat';</t>
  </si>
  <si>
    <t>INSERT INTO Lote (id_lote, codigo, id_variedad, notas) SELECT '0d6140dc', '0d6140dc', id_variedad, NULL FROM Variedad WHERE nombre = 'Cabernet Sauv Mec';</t>
  </si>
  <si>
    <t>INSERT INTO Lote (id_lote, codigo, id_variedad, notas) SELECT '5c558cca', '5c558cca', id_variedad, NULL FROM Variedad WHERE nombre = 'Cabernet Sauv Mec';</t>
  </si>
  <si>
    <t>INSERT INTO Lote (id_lote, codigo, id_variedad, notas) SELECT '3de4f15e', '3de4f15e', id_variedad, NULL FROM Variedad WHERE nombre = 'Cabernet Sauv Mec';</t>
  </si>
  <si>
    <t>INSERT INTO Lote (id_lote, codigo, id_variedad, notas) SELECT 'd56b533b', 'd56b533b', id_variedad, NULL FROM Variedad WHERE nombre = 'Malbec';</t>
  </si>
  <si>
    <t>INSERT INTO Lote (id_lote, codigo, id_variedad, notas) SELECT '5e0dbcce', '5e0dbcce', id_variedad, NULL FROM Variedad WHERE nombre = 'Cabernet Sauvignong';</t>
  </si>
  <si>
    <t>INSERT INTO Lote (id_lote, codigo, id_variedad, notas) SELECT 'f764d2d1', 'f764d2d1', id_variedad, NULL FROM Variedad WHERE nombre = 'Malbec';</t>
  </si>
  <si>
    <t>INSERT INTO Lote (id_lote, codigo, id_variedad, notas) SELECT '7b6b2c2a', '7b6b2c2a', id_variedad, NULL FROM Variedad WHERE nombre = 'Malbec';</t>
  </si>
  <si>
    <t>INSERT INTO Lote (id_lote, codigo, id_variedad, notas) SELECT '21ebdd51', '21ebdd51', id_variedad, NULL FROM Variedad WHERE nombre = 'Tinto s/Bonarda';</t>
  </si>
  <si>
    <t>INSERT INTO Lote (id_lote, codigo, id_variedad, notas) SELECT 'ff099ae0', 'ff099ae0', id_variedad, NULL FROM Variedad WHERE nombre = 'Syrah';</t>
  </si>
  <si>
    <t>INSERT INTO Lote (id_lote, codigo, id_variedad, notas) SELECT 'efada090', 'efada090', id_variedad, NULL FROM Variedad WHERE nombre = 'Syrah';</t>
  </si>
  <si>
    <t>INSERT INTO Lote (id_lote, codigo, id_variedad, notas) SELECT '241b642a', '241b642a', id_variedad, NULL FROM Variedad WHERE nombre = 'Bonarda 24 Rect';</t>
  </si>
  <si>
    <t>INSERT INTO Lote (id_lote, codigo, id_variedad, notas) SELECT 'aafa35db', 'aafa35db', id_variedad, NULL FROM Variedad WHERE nombre = 'Bonarda 24 Rect';</t>
  </si>
  <si>
    <t>INSERT INTO Lote (id_lote, codigo, id_variedad, notas) SELECT '97b5422c', '97b5422c', id_variedad, NULL FROM Variedad WHERE nombre = 'Bonarda 24 Rect';</t>
  </si>
  <si>
    <t>INSERT INTO Lote (id_lote, codigo, id_variedad, notas) SELECT 'b8ea839c', 'b8ea839c', id_variedad, NULL FROM Variedad WHERE nombre = 'Cabernet Sauvignon Rect 24';</t>
  </si>
  <si>
    <t>INSERT INTO Lote (id_lote, codigo, id_variedad, notas) SELECT '1b8cfd3f', '1b8cfd3f', id_variedad, NULL FROM Variedad WHERE nombre = 'Cabernet Sauvignon Rect 24';</t>
  </si>
  <si>
    <t>INSERT INTO Lote (id_lote, codigo, id_variedad, notas) SELECT 'e8ae99cd', 'e8ae99cd', id_variedad, NULL FROM Variedad WHERE nombre = 'Bonarda 24 Rect';</t>
  </si>
  <si>
    <t>INSERT INTO Lote (id_lote, codigo, id_variedad, notas) SELECT '1c76e910', '1c76e910', id_variedad, NULL FROM Variedad WHERE nombre = 'Bonarda C2';</t>
  </si>
  <si>
    <t>INSERT INTO Lote (id_lote, codigo, id_variedad, notas) SELECT '62e15cd1', '62e15cd1', id_variedad, NULL FROM Variedad WHERE nombre = 'Bonarda';</t>
  </si>
  <si>
    <t>INSERT INTO Lote (id_lote, codigo, id_variedad, notas) SELECT 'a3fbf6d9', 'a3fbf6d9', id_variedad, NULL FROM Variedad WHERE nombre = 'Bonarda';</t>
  </si>
  <si>
    <t>INSERT INTO Lote (id_lote, codigo, id_variedad, notas) SELECT '90288eca', '90288eca', id_variedad, NULL FROM Variedad WHERE nombre = 'Cabernet Sauv Mec';</t>
  </si>
  <si>
    <t>INSERT INTO Lote (id_lote, codigo, id_variedad, notas) SELECT '81ccb7ca', '81ccb7ca', id_variedad, NULL FROM Variedad WHERE nombre = 'Borra';</t>
  </si>
  <si>
    <t>INSERT INTO Lote (id_lote, codigo, id_variedad, notas) SELECT '371f5731', '371f5731', id_variedad, NULL FROM Variedad WHERE nombre = 'Borra';</t>
  </si>
  <si>
    <t>INSERT INTO Lote (id_lote, codigo, id_variedad, notas) SELECT 'da6946d0', 'da6946d0', id_variedad, NULL FROM Variedad WHERE nombre = 'Borra';</t>
  </si>
  <si>
    <t>INSERT INTO Lote (id_lote, codigo, id_variedad, notas) SELECT '6d3395c8', '6d3395c8', id_variedad, NULL FROM Variedad WHERE nombre = 'Malbec Bonarda';</t>
  </si>
  <si>
    <t>INSERT INTO Lote (id_lote, codigo, id_variedad, notas) SELECT 'e33f8556', 'e33f8556', id_variedad, NULL FROM Variedad WHERE nombre = 'Malbec Bonarda';</t>
  </si>
  <si>
    <t>INSERT INTO Lote (id_lote, codigo, id_variedad, notas) SELECT 'deb94f70', 'deb94f70', id_variedad, NULL FROM Variedad WHERE nombre = 'Criolla Flotada';</t>
  </si>
  <si>
    <t>INSERT INTO Lote (id_lote, codigo, id_variedad, notas) SELECT '12119242', '12119242', id_variedad, NULL FROM Variedad WHERE nombre = 'Criolla Flotada';</t>
  </si>
  <si>
    <t>INSERT INTO Lote (id_lote, codigo, id_variedad, notas) SELECT 'b60fb43a', 'b60fb43a', id_variedad, NULL FROM Variedad WHERE nombre = 'Bonarda 24 Rect';</t>
  </si>
  <si>
    <t>INSERT INTO Lote (id_lote, codigo, id_variedad, notas) SELECT '1273642', '1273642', id_variedad, NULL FROM Variedad WHERE nombre = 'Malbec';</t>
  </si>
  <si>
    <t>INSERT INTO Lote (id_lote, codigo, id_variedad, notas) SELECT 'd4245129', 'd4245129', id_variedad, NULL FROM Variedad WHERE nombre = 'Malbec';</t>
  </si>
  <si>
    <t>INSERT INTO Lote (id_lote, codigo, id_variedad, notas) SELECT 'a042b2d1', 'a042b2d1', id_variedad, NULL FROM Variedad WHERE nombre = 'Cabernet Sauvignon Rect 24';</t>
  </si>
  <si>
    <t>INSERT INTO Lote (id_lote, codigo, id_variedad, notas) SELECT '7678fbc3', '7678fbc3', id_variedad, NULL FROM Variedad WHERE nombre = 'Cabernet Sauvignon Rect 24';</t>
  </si>
  <si>
    <t>INSERT INTO Lote (id_lote, codigo, id_variedad, notas) SELECT '254dce3b', '254dce3b', id_variedad, NULL FROM Variedad WHERE nombre = 'Cabernet Sauvignon Rect 24';</t>
  </si>
  <si>
    <t>INSERT INTO Lote (id_lote, codigo, id_variedad, notas) SELECT 'f954f065', 'f954f065', id_variedad, NULL FROM Variedad WHERE nombre = 'Cabernet Sauvignon Rect 24';</t>
  </si>
  <si>
    <t>INSERT INTO Lote (id_lote, codigo, id_variedad, notas) SELECT 'f4ef7eb7', 'f4ef7eb7', id_variedad, NULL FROM Variedad WHERE nombre = 'Aspirant 24 Rect';</t>
  </si>
  <si>
    <t>INSERT INTO Lote (id_lote, codigo, id_variedad, notas) SELECT '7efc7da2', '7efc7da2', id_variedad, NULL FROM Variedad WHERE nombre = 'Syrah';</t>
  </si>
  <si>
    <t>INSERT INTO Lote (id_lote, codigo, id_variedad, notas) SELECT '6142f4ae', '6142f4ae', id_variedad, NULL FROM Variedad WHERE nombre = 'Syrah';</t>
  </si>
  <si>
    <t>INSERT INTO Lote (id_lote, codigo, id_variedad, notas) SELECT 'a35017ce', 'a35017ce', id_variedad, NULL FROM Variedad WHERE nombre = 'Bonarda';</t>
  </si>
  <si>
    <t>INSERT INTO Lote (id_lote, codigo, id_variedad, notas) SELECT '2169295d', '2169295d', id_variedad, NULL FROM Variedad WHERE nombre = 'Syrah s/Asp 3ra';</t>
  </si>
  <si>
    <t>INSERT INTO Lote (id_lote, codigo, id_variedad, notas) SELECT 'e5691d8b', 'e5691d8b', id_variedad, NULL FROM Variedad WHERE nombre = 'Syrah s/Asp 3ra';</t>
  </si>
  <si>
    <t>INSERT INTO Lote (id_lote, codigo, id_variedad, notas) SELECT '36a5b1dd', '36a5b1dd', id_variedad, NULL FROM Variedad WHERE nombre = 'Criolla Flotada';</t>
  </si>
  <si>
    <t>INSERT INTO Lote (id_lote, codigo, id_variedad, notas) SELECT '1324322a', '1324322a', id_variedad, NULL FROM Variedad WHERE nombre = 'Criolla Flotada';</t>
  </si>
  <si>
    <t>INSERT INTO Lote (id_lote, codigo, id_variedad, notas) SELECT '86296256', '86296256', id_variedad, NULL FROM Variedad WHERE nombre = 'Syrah';</t>
  </si>
  <si>
    <t>INSERT INTO Lote (id_lote, codigo, id_variedad, notas) SELECT '7617bf80', '7617bf80', id_variedad, NULL FROM Variedad WHERE nombre = 'Bonarda';</t>
  </si>
  <si>
    <t>INSERT INTO Lote (id_lote, codigo, id_variedad, notas) SELECT '4b2f415c', '4b2f415c', id_variedad, NULL FROM Variedad WHERE nombre = 'Chardonnay 24 Rect';</t>
  </si>
  <si>
    <t>INSERT INTO Lote (id_lote, codigo, id_variedad, notas) SELECT '23f4cc53', '23f4cc53', id_variedad, NULL FROM Variedad WHERE nombre = 'Chardonnay 24 Rect';</t>
  </si>
  <si>
    <t>INSERT INTO Lote (id_lote, codigo, id_variedad, notas) SELECT '459c7a85', '459c7a85', id_variedad, NULL FROM Variedad WHERE nombre = 'Bonarda';</t>
  </si>
  <si>
    <t>INSERT INTO Lote (id_lote, codigo, id_variedad, notas) SELECT '2aac908d', '2aac908d', id_variedad, NULL FROM Variedad WHERE nombre = 'Syrah Rect';</t>
  </si>
  <si>
    <t>INSERT INTO Lote (id_lote, codigo, id_variedad, notas) SELECT 'db841e43', 'db841e43', id_variedad, NULL FROM Variedad WHERE nombre = 'Syrah Rect';</t>
  </si>
  <si>
    <t>INSERT INTO Lote (id_lote, codigo, id_variedad, notas) SELECT 'e3bf14f2', 'e3bf14f2', id_variedad, NULL FROM Variedad WHERE nombre = 'Syrah Rect';</t>
  </si>
  <si>
    <t>INSERT INTO Lote (id_lote, codigo, id_variedad, notas) SELECT 'c0fd1ee4', 'c0fd1ee4', id_variedad, NULL FROM Variedad WHERE nombre = 'Syrah Rect';</t>
  </si>
  <si>
    <t>INSERT INTO Lote (id_lote, codigo, id_variedad, notas) SELECT '9ddc74ed', '9ddc74ed', id_variedad, NULL FROM Variedad WHERE nombre = 'Cabernet Sauv Mec';</t>
  </si>
  <si>
    <t>INSERT INTO Lote (id_lote, codigo, id_variedad, notas) SELECT 'f6d580e7', 'f6d580e7', id_variedad, NULL FROM Variedad WHERE nombre = 'Cabernet Sauv s/Tanat';</t>
  </si>
  <si>
    <t>INSERT INTO Lote (id_lote, codigo, id_variedad, notas) SELECT 'bb5ac12c', 'bb5ac12c', id_variedad, NULL FROM Variedad WHERE nombre = 'Cabernet Sauv s/Tanat';</t>
  </si>
  <si>
    <t>INSERT INTO Lote (id_lote, codigo, id_variedad, notas) SELECT '27a8c5fb', '27a8c5fb', id_variedad, NULL FROM Variedad WHERE nombre = 'Tinto s/Ma Bo';</t>
  </si>
  <si>
    <t>INSERT INTO Lote (id_lote, codigo, id_variedad, notas) SELECT 'cb50df04', 'cb50df04', id_variedad, NULL FROM Variedad WHERE nombre = 'Syrah';</t>
  </si>
  <si>
    <t>INSERT INTO Lote (id_lote, codigo, id_variedad, notas) SELECT 'b9461082', 'b9461082', id_variedad, NULL FROM Variedad WHERE nombre = 'Syrah Rect';</t>
  </si>
  <si>
    <t>INSERT INTO Lote (id_lote, codigo, id_variedad, notas) SELECT 'fd6b223b', 'fd6b223b', id_variedad, NULL FROM Variedad WHERE nombre = 'Criolla Flotada';</t>
  </si>
  <si>
    <t>INSERT INTO Lote (id_lote, codigo, id_variedad, notas) SELECT '95afa5f8', '95afa5f8', id_variedad, NULL FROM Variedad WHERE nombre = 'Criolla Flotada';</t>
  </si>
  <si>
    <t>INSERT INTO Lote (id_lote, codigo, id_variedad, notas) SELECT 'c778eed0', 'c778eed0', id_variedad, NULL FROM Variedad WHERE nombre = 'Tinto Recarga Press';</t>
  </si>
  <si>
    <t>INSERT INTO Lote (id_lote, codigo, id_variedad, notas) SELECT '79c53d31', '79c53d31', id_variedad, NULL FROM Variedad WHERE nombre = 'Syrah';</t>
  </si>
  <si>
    <t>INSERT INTO Lote (id_lote, codigo, id_variedad, notas) SELECT '3f1bcb3f', '3f1bcb3f', id_variedad, NULL FROM Variedad WHERE nombre = 'Bonarda';</t>
  </si>
  <si>
    <t>INSERT INTO Lote (id_lote, codigo, id_variedad, notas) SELECT '87e2f0ad', '87e2f0ad', id_variedad, NULL FROM Variedad WHERE nombre = 'Bonarda Gota';</t>
  </si>
  <si>
    <t>INSERT INTO Lote (id_lote, codigo, id_variedad, notas) SELECT '64b6a040', '64b6a040', id_variedad, NULL FROM Variedad WHERE nombre = 'Bonarda';</t>
  </si>
  <si>
    <t>INSERT INTO Lote (id_lote, codigo, id_variedad, notas) SELECT 'dce718a8', 'dce718a8', id_variedad, NULL FROM Variedad WHERE nombre = 'Tanat';</t>
  </si>
  <si>
    <t>INSERT INTO Lote (id_lote, codigo, id_variedad, notas) SELECT '6323f237', '6323f237', id_variedad, NULL FROM Variedad WHERE nombre = 'Bonarda 24';</t>
  </si>
  <si>
    <t>INSERT INTO Lote (id_lote, codigo, id_variedad, notas) SELECT 'aeaef108', 'aeaef108', id_variedad, NULL FROM Variedad WHERE nombre = 'Borra';</t>
  </si>
  <si>
    <t>INSERT INTO Lote (id_lote, codigo, id_variedad, notas) SELECT '65fc01f0', '65fc01f0', id_variedad, NULL FROM Variedad WHERE nombre = 'Tinto';</t>
  </si>
  <si>
    <t>INSERT INTO Lote (id_lote, codigo, id_variedad, notas) SELECT 'edf54cc7', 'edf54cc7', id_variedad, NULL FROM Variedad WHERE nombre = 'Malbec Bonarda';</t>
  </si>
  <si>
    <t>INSERT INTO Lote (id_lote, codigo, id_variedad, notas) SELECT '7c10bfff', '7c10bfff', id_variedad, NULL FROM Variedad WHERE nombre = 'Tinto G';</t>
  </si>
  <si>
    <t>INSERT INTO Lote (id_lote, codigo, id_variedad, notas) SELECT 'f3cffdb0', 'f3cffdb0', id_variedad, NULL FROM Variedad WHERE nombre = 'Bonarda C2';</t>
  </si>
  <si>
    <t>INSERT INTO Lote (id_lote, codigo, id_variedad, notas) SELECT '4f5059a5', '4f5059a5', id_variedad, NULL FROM Variedad WHERE nombre = 'Syrah Tempranillo';</t>
  </si>
  <si>
    <t>INSERT INTO Lote (id_lote, codigo, id_variedad, notas) SELECT '48038afe', '48038afe', id_variedad, NULL FROM Variedad WHERE nombre = 'Tinto';</t>
  </si>
  <si>
    <t>INSERT INTO Lote (id_lote, codigo, id_variedad, notas) SELECT '24faac94', '24faac94', id_variedad, NULL FROM Variedad WHERE nombre = 'Cabernet Sauvignon';</t>
  </si>
  <si>
    <t>INSERT INTO Lote (id_lote, codigo, id_variedad, notas) SELECT 'd4c8b868', 'd4c8b868', id_variedad, NULL FROM Variedad WHERE nombre = 'Criolla s/Bonarda';</t>
  </si>
  <si>
    <t>INSERT INTO Lote (id_lote, codigo, id_variedad, notas) SELECT 'afa1959b', 'afa1959b', id_variedad, NULL FROM Variedad WHERE nombre = 'Syrah Rect';</t>
  </si>
  <si>
    <t>INSERT INTO Lote (id_lote, codigo, id_variedad, notas) SELECT '7aef611b', '7aef611b', id_variedad, NULL FROM Variedad WHERE nombre = 'Bonarda';</t>
  </si>
  <si>
    <t>INSERT INTO Lote (id_lote, codigo, id_variedad, notas) SELECT '189e6a11', '189e6a11', id_variedad, NULL FROM Variedad WHERE nombre = 'Bonarda sin Rect';</t>
  </si>
  <si>
    <t>INSERT INTO Lote (id_lote, codigo, id_variedad, notas) SELECT 'c5495c94', 'c5495c94', id_variedad, NULL FROM Variedad WHERE nombre = 'Bonarda sin Rect';</t>
  </si>
  <si>
    <t>INSERT INTO Lote (id_lote, codigo, id_variedad, notas) SELECT '29d21664', '29d21664', id_variedad, NULL FROM Variedad WHERE nombre = 'Bonarda';</t>
  </si>
  <si>
    <t>INSERT INTO Lote (id_lote, codigo, id_variedad, notas) SELECT '8ec426a5', '8ec426a5', id_variedad, NULL FROM Variedad WHERE nombre = 'Bonarda';</t>
  </si>
  <si>
    <t>INSERT INTO Lote (id_lote, codigo, id_variedad, notas) SELECT '49defec5', '49defec5', id_variedad, NULL FROM Variedad WHERE nombre = 'Bonarda Gota';</t>
  </si>
  <si>
    <t>INSERT INTO Lote (id_lote, codigo, id_variedad, notas) SELECT 'c1c626f1', 'c1c626f1', id_variedad, NULL FROM Variedad WHERE nombre = 'Criolla Flotada';</t>
  </si>
  <si>
    <t>INSERT INTO Lote (id_lote, codigo, id_variedad, notas) SELECT 'a1061f77', 'a1061f77', id_variedad, NULL FROM Variedad WHERE nombre = 'Criolla Flotada';</t>
  </si>
  <si>
    <t>INSERT INTO Lote (id_lote, codigo, id_variedad, notas) SELECT '5e2378bc', '5e2378bc', id_variedad, NULL FROM Variedad WHERE nombre = 'Criolla Flotada';</t>
  </si>
  <si>
    <t>INSERT INTO Lote (id_lote, codigo, id_variedad, notas) SELECT 'da01d353', 'da01d353', id_variedad, NULL FROM Variedad WHERE nombre = 'Criolla Flotada';</t>
  </si>
  <si>
    <t>INSERT INTO Lote (id_lote, codigo, id_variedad, notas) SELECT '2dd2dee4', '2dd2dee4', id_variedad, NULL FROM Variedad WHERE nombre = 'Criolla Flotada';</t>
  </si>
  <si>
    <t>INSERT INTO Lote (id_lote, codigo, id_variedad, notas) SELECT 'b7df6d93', 'b7df6d93', id_variedad, NULL FROM Variedad WHERE nombre = 'Criolla Flotada';</t>
  </si>
  <si>
    <t>INSERT INTO Lote (id_lote, codigo, id_variedad, notas) SELECT 'dc3a84e1', 'dc3a84e1', id_variedad, NULL FROM Variedad WHERE nombre = 'Bonarda';</t>
  </si>
  <si>
    <t>INSERT INTO Lote (id_lote, codigo, id_variedad, notas) SELECT 'f5552916', 'f5552916', id_variedad, NULL FROM Variedad WHERE nombre = 'Bonarda';</t>
  </si>
  <si>
    <t>INSERT INTO Lote (id_lote, codigo, id_variedad, notas) SELECT '247bde06', '247bde06', id_variedad, NULL FROM Variedad WHERE nombre = 'Criolla Flotada';</t>
  </si>
  <si>
    <t>INSERT INTO Lote (id_lote, codigo, id_variedad, notas) SELECT '714d2433', '714d2433', id_variedad, NULL FROM Variedad WHERE nombre = 'Criolla Flotada';</t>
  </si>
  <si>
    <t>INSERT INTO Lote (id_lote, codigo, id_variedad, notas) SELECT '7c26092b', '7c26092b', id_variedad, NULL FROM Variedad WHERE nombre = 'Chardonnay';</t>
  </si>
  <si>
    <t>INSERT INTO Lote (id_lote, codigo, id_variedad, notas) SELECT '62e7b644', '62e7b644', id_variedad, NULL FROM Variedad WHERE nombre = 'Chardonnay';</t>
  </si>
  <si>
    <t>INSERT INTO Lote (id_lote, codigo, id_variedad, notas) SELECT '5b2f3285', '5b2f3285', id_variedad, NULL FROM Variedad WHERE nombre = 'Chardonnay';</t>
  </si>
  <si>
    <t>INSERT INTO Lote (id_lote, codigo, id_variedad, notas) SELECT 'c98fe008', 'c98fe008', id_variedad, NULL FROM Variedad WHERE nombre = 'Chardonnay';</t>
  </si>
  <si>
    <t>INSERT INTO Lote (id_lote, codigo, id_variedad, notas) SELECT '14e4f6ad', '14e4f6ad', id_variedad, NULL FROM Variedad WHERE nombre = 'Malbec';</t>
  </si>
  <si>
    <t>INSERT INTO Lote (id_lote, codigo, id_variedad, notas) SELECT '6191710d', '6191710d', id_variedad, NULL FROM Variedad WHERE nombre = 'Malbec';</t>
  </si>
  <si>
    <t>INSERT INTO Lote (id_lote, codigo, id_variedad, notas) SELECT 'df5e441f', 'df5e441f', id_variedad, NULL FROM Variedad WHERE nombre = 'Syrah Bonarda Rect';</t>
  </si>
  <si>
    <t>INSERT INTO Lote (id_lote, codigo, id_variedad, notas) SELECT '5d344df8', '5d344df8', id_variedad, NULL FROM Variedad WHERE nombre = 'Syrah Bonarda Rect';</t>
  </si>
  <si>
    <t>INSERT INTO Lote (id_lote, codigo, id_variedad, notas) SELECT '7501c185', '7501c185', id_variedad, NULL FROM Variedad WHERE nombre = 'Malbec';</t>
  </si>
  <si>
    <t>INSERT INTO Lote (id_lote, codigo, id_variedad, notas) SELECT '5a534180', '5a534180', id_variedad, NULL FROM Variedad WHERE nombre = 'Tinto s/Bonarda';</t>
  </si>
  <si>
    <t>INSERT INTO Lote (id_lote, codigo, id_variedad, notas) SELECT '781075f7', '781075f7', id_variedad, NULL FROM Variedad WHERE nombre = 'Tinto s/Bonarda';</t>
  </si>
  <si>
    <t>INSERT INTO Lote (id_lote, codigo, id_variedad, notas) SELECT '33a1ed47', '33a1ed47', id_variedad, NULL FROM Variedad WHERE nombre = 'Criolla Flotada';</t>
  </si>
  <si>
    <t>INSERT INTO Lote (id_lote, codigo, id_variedad, notas) SELECT '12faab19', '12faab19', id_variedad, NULL FROM Variedad WHERE nombre = 'Criolla Flotada';</t>
  </si>
  <si>
    <t>INSERT INTO Lote (id_lote, codigo, id_variedad, notas) SELECT 'b0d32d3c', 'b0d32d3c', id_variedad, NULL FROM Variedad WHERE nombre = 'Criolla Flotada';</t>
  </si>
  <si>
    <t>INSERT INTO Lote (id_lote, codigo, id_variedad, notas) SELECT 'd2947d93', 'd2947d93', id_variedad, NULL FROM Variedad WHERE nombre = 'Tinto s/Bonarda';</t>
  </si>
  <si>
    <t>INSERT INTO Lote (id_lote, codigo, id_variedad, notas) SELECT '88134c0a', '88134c0a', id_variedad, NULL FROM Variedad WHERE nombre = 'Criolla Flotada';</t>
  </si>
  <si>
    <t>INSERT INTO Lote (id_lote, codigo, id_variedad, notas) SELECT 'e0ab57bf', 'e0ab57bf', id_variedad, NULL FROM Variedad WHERE nombre = 'Malbec';</t>
  </si>
  <si>
    <t>INSERT INTO Lote (id_lote, codigo, id_variedad, notas) SELECT '8d234d23', '8d234d23', id_variedad, NULL FROM Variedad WHERE nombre = 'Malbec';</t>
  </si>
  <si>
    <t>INSERT INTO Lote (id_lote, codigo, id_variedad, notas) SELECT 'bcf45804', 'bcf45804', id_variedad, NULL FROM Variedad WHERE nombre = 'Malbec';</t>
  </si>
  <si>
    <t>INSERT INTO Lote (id_lote, codigo, id_variedad, notas) SELECT '4c9ff21e', '4c9ff21e', id_variedad, NULL FROM Variedad WHERE nombre = 'Malbec';</t>
  </si>
  <si>
    <t>INSERT INTO Lote (id_lote, codigo, id_variedad, notas) SELECT '65ce6f3f', '65ce6f3f', id_variedad, NULL FROM Variedad WHERE nombre = 'Malbec';</t>
  </si>
  <si>
    <t>INSERT INTO Lote (id_lote, codigo, id_variedad, notas) SELECT 'e580a9d5', 'e580a9d5', id_variedad, NULL FROM Variedad WHERE nombre = 'Malbec';</t>
  </si>
  <si>
    <t>INSERT INTO Lote (id_lote, codigo, id_variedad, notas) SELECT '0711f2d9', '0711f2d9', id_variedad, NULL FROM Variedad WHERE nombre = 'Cabernet Sauvignon';</t>
  </si>
  <si>
    <t>INSERT INTO Lote (id_lote, codigo, id_variedad, notas) SELECT '09f2a666', '09f2a666', id_variedad, NULL FROM Variedad WHERE nombre = 'Cabernet Sauvignon';</t>
  </si>
  <si>
    <t>INSERT INTO Lote (id_lote, codigo, id_variedad, notas) SELECT 'd1326da2', 'd1326da2', id_variedad, NULL FROM Variedad WHERE nombre = 'Cabernet Sauvignon';</t>
  </si>
  <si>
    <t>INSERT INTO Lote (id_lote, codigo, id_variedad, notas) SELECT '82a7be03', '82a7be03', id_variedad, NULL FROM Variedad WHERE nombre = 'Malbec';</t>
  </si>
  <si>
    <t>INSERT INTO Lote (id_lote, codigo, id_variedad, notas) SELECT 'b87310b3', 'b87310b3', id_variedad, NULL FROM Variedad WHERE nombre = 'Cabernet Sauvignon sin Rect';</t>
  </si>
  <si>
    <t>INSERT INTO Lote (id_lote, codigo, id_variedad, notas) SELECT 'b9fc1e21', 'b9fc1e21', id_variedad, NULL FROM Variedad WHERE nombre = 'Cabernet Sauvignon sin Rect';</t>
  </si>
  <si>
    <t>INSERT INTO Lote (id_lote, codigo, id_variedad, notas) SELECT '51f2e92d', '51f2e92d', id_variedad, NULL FROM Variedad WHERE nombre = 'Cabernet Sauvignon sin Rect';</t>
  </si>
  <si>
    <t>INSERT INTO Lote (id_lote, codigo, id_variedad, notas) SELECT '47825ff1', '47825ff1', id_variedad, NULL FROM Variedad WHERE nombre = 'Cabernet Sauv';</t>
  </si>
  <si>
    <t>INSERT INTO Lote (id_lote, codigo, id_variedad, notas) SELECT 'd6e77ca9', 'd6e77ca9', id_variedad, NULL FROM Variedad WHERE nombre = 'Malbec';</t>
  </si>
  <si>
    <t>INSERT INTO Lote (id_lote, codigo, id_variedad, notas) SELECT '1a2c1684', '1a2c1684', id_variedad, NULL FROM Variedad WHERE nombre = 'Cabernet Sauvignon sin Rect';</t>
  </si>
  <si>
    <t>INSERT INTO Lote (id_lote, codigo, id_variedad, notas) SELECT 'ffa53251', 'ffa53251', id_variedad, NULL FROM Variedad WHERE nombre = 'Cabernet Sauvignon sin Rect';</t>
  </si>
  <si>
    <t>INSERT INTO Lote (id_lote, codigo, id_variedad, notas) SELECT '31f824a6', '31f824a6', id_variedad, NULL FROM Variedad WHERE nombre = 'Cabernet Sauv';</t>
  </si>
  <si>
    <t>INSERT INTO Lote (id_lote, codigo, id_variedad, notas) SELECT '837659aa', '837659aa', id_variedad, NULL FROM Variedad WHERE nombre = 'Cabernet Sauv';</t>
  </si>
  <si>
    <t>INSERT INTO Lote (id_lote, codigo, id_variedad, notas) SELECT '883b82dd', '883b82dd', id_variedad, NULL FROM Variedad WHERE nombre = 'Cabernet Sauv';</t>
  </si>
  <si>
    <t>INSERT INTO Lote (id_lote, codigo, id_variedad, notas) SELECT '64e4bdc2', '64e4bdc2', id_variedad, NULL FROM Variedad WHERE nombre = 'Tinto s/Bonarda 2da';</t>
  </si>
  <si>
    <t>INSERT INTO Lote (id_lote, codigo, id_variedad, notas) SELECT 'e8b9aa9f', 'e8b9aa9f', id_variedad, NULL FROM Variedad WHERE nombre = 'Tinto s/Bonarda';</t>
  </si>
  <si>
    <t>INSERT INTO Lote (id_lote, codigo, id_variedad, notas) SELECT 'e2301c9d', 'e2301c9d', id_variedad, NULL FROM Variedad WHERE nombre = 'Tinto s/Bonarda';</t>
  </si>
  <si>
    <t>INSERT INTO Lote (id_lote, codigo, id_variedad, notas) SELECT '163518fc', '163518fc', id_variedad, NULL FROM Variedad WHERE nombre = 'Syrah Bonarda Rect';</t>
  </si>
  <si>
    <t>INSERT INTO Lote (id_lote, codigo, id_variedad, notas) SELECT '3cd08afc', '3cd08afc', id_variedad, NULL FROM Variedad WHERE nombre = 'Syrah Bonarda Rect';</t>
  </si>
  <si>
    <t>INSERT INTO Lote (id_lote, codigo, id_variedad, notas) SELECT 'd24bb01b', 'd24bb01b', id_variedad, NULL FROM Variedad WHERE nombre = 'Syrah Bonarda Rect';</t>
  </si>
  <si>
    <t>INSERT INTO Lote (id_lote, codigo, id_variedad, notas) SELECT 'b1a71460', 'b1a71460', id_variedad, NULL FROM Variedad WHERE nombre = 'Syrah Bonarda Rect';</t>
  </si>
  <si>
    <t>INSERT INTO Lote (id_lote, codigo, id_variedad, notas) SELECT 'b26e8cc6', 'b26e8cc6', id_variedad, NULL FROM Variedad WHERE nombre = 'Borra';</t>
  </si>
  <si>
    <t>INSERT INTO Lote (id_lote, codigo, id_variedad, notas) SELECT 'b112ea4a', 'b112ea4a', id_variedad, NULL FROM Variedad WHERE nombre = 'Malbec Mec';</t>
  </si>
  <si>
    <t>INSERT INTO Lote (id_lote, codigo, id_variedad, notas) SELECT 'd10280b4', 'd10280b4', id_variedad, NULL FROM Variedad WHERE nombre = 'Malbec';</t>
  </si>
  <si>
    <t>INSERT INTO Lote (id_lote, codigo, id_variedad, notas) SELECT '32dccd3f', '32dccd3f', id_variedad, NULL FROM Variedad WHERE nombre = 'Bonarda C2';</t>
  </si>
  <si>
    <t>INSERT INTO Lote (id_lote, codigo, id_variedad, notas) SELECT 'af42804b', 'af42804b', id_variedad, NULL FROM Variedad WHERE nombre = 'Syrah';</t>
  </si>
  <si>
    <t>INSERT INTO Lote (id_lote, codigo, id_variedad, notas) SELECT 'd0135f24', 'd0135f24', id_variedad, NULL FROM Variedad WHERE nombre = 'Syrah';</t>
  </si>
  <si>
    <t>INSERT INTO Lote (id_lote, codigo, id_variedad, notas) SELECT 'be44e9f6', 'be44e9f6', id_variedad, NULL FROM Variedad WHERE nombre = 'Bonarda';</t>
  </si>
  <si>
    <t>INSERT INTO Lote (id_lote, codigo, id_variedad, notas) SELECT 'eec28962', 'eec28962', id_variedad, NULL FROM Variedad WHERE nombre = 'Aspirant 24';</t>
  </si>
  <si>
    <t>INSERT INTO Lote (id_lote, codigo, id_variedad, notas) SELECT '920dc0b5', '920dc0b5', id_variedad, NULL FROM Variedad WHERE nombre = 'Aspirant 24';</t>
  </si>
  <si>
    <t>INSERT INTO Lote (id_lote, codigo, id_variedad, notas) SELECT 'e3e955b1', 'e3e955b1', id_variedad, NULL FROM Variedad WHERE nombre = 'Bonarda';</t>
  </si>
  <si>
    <t>INSERT INTO Lote (id_lote, codigo, id_variedad, notas) SELECT 'e32c078a', 'e32c078a', id_variedad, NULL FROM Variedad WHERE nombre = 'Malbec';</t>
  </si>
  <si>
    <t>INSERT INTO Lote (id_lote, codigo, id_variedad, notas) SELECT '736fba40', '736fba40', id_variedad, NULL FROM Variedad WHERE nombre = 'Torrontes';</t>
  </si>
  <si>
    <t>INSERT INTO Lote (id_lote, codigo, id_variedad, notas) SELECT 'ffeda620', 'ffeda620', id_variedad, NULL FROM Variedad WHERE nombre = 'Tinto s/Bonarda';</t>
  </si>
  <si>
    <t>INSERT INTO Lote (id_lote, codigo, id_variedad, notas) SELECT 'f03419e2', 'f03419e2', id_variedad, NULL FROM Variedad WHERE nombre = 'Malbec Gota';</t>
  </si>
  <si>
    <t>INSERT INTO Lote (id_lote, codigo, id_variedad, notas) SELECT '29562a89', '29562a89', id_variedad, NULL FROM Variedad WHERE nombre = 'Bonarda';</t>
  </si>
  <si>
    <t>INSERT INTO Lote (id_lote, codigo, id_variedad, notas) SELECT 'f903f0b8', 'f903f0b8', id_variedad, NULL FROM Variedad WHERE nombre = 'Malbec';</t>
  </si>
  <si>
    <t>INSERT INTO Lote (id_lote, codigo, id_variedad, notas) SELECT '5bb686b4', '5bb686b4', id_variedad, NULL FROM Variedad WHERE nombre = 'Malbec';</t>
  </si>
  <si>
    <t>INSERT INTO Lote (id_lote, codigo, id_variedad, notas) SELECT '3a00f0d2', '3a00f0d2', id_variedad, NULL FROM Variedad WHERE nombre = 'Malbec';</t>
  </si>
  <si>
    <t>INSERT INTO Lote (id_lote, codigo, id_variedad, notas) SELECT 'a9e55b1f', 'a9e55b1f', id_variedad, NULL FROM Variedad WHERE nombre = 'Cabernet Sauvignon prensa';</t>
  </si>
  <si>
    <t>INSERT INTO Lote (id_lote, codigo, id_variedad, notas) SELECT 'c7e67b2b', 'c7e67b2b', id_variedad, NULL FROM Variedad WHERE nombre = 'Criolla Flotada';</t>
  </si>
  <si>
    <t>INSERT INTO Lote (id_lote, codigo, id_variedad, notas) SELECT '3e5de831', '3e5de831', id_variedad, NULL FROM Variedad WHERE nombre = 'Bonarda Gota';</t>
  </si>
  <si>
    <t>INSERT INTO Lote (id_lote, codigo, id_variedad, notas) SELECT 'c162b136', 'c162b136', id_variedad, NULL FROM Variedad WHERE nombre = 'Malbec';</t>
  </si>
  <si>
    <t>INSERT INTO Lote (id_lote, codigo, id_variedad, notas) SELECT '63f835d2', '63f835d2', id_variedad, NULL FROM Variedad WHERE nombre = 'Malbec';</t>
  </si>
  <si>
    <t>INSERT INTO Lote (id_lote, codigo, id_variedad, notas) SELECT 'cc7d6ede', 'cc7d6ede', id_variedad, NULL FROM Variedad WHERE nombre = 'Bonarda 24';</t>
  </si>
  <si>
    <t>INSERT INTO Lote (id_lote, codigo, id_variedad, notas) SELECT 'b72e8fa5', 'b72e8fa5', id_variedad, NULL FROM Variedad WHERE nombre = 'Borra';</t>
  </si>
  <si>
    <t>INSERT INTO Lote (id_lote, codigo, id_variedad, notas) SELECT '6eff06c5', '6eff06c5', id_variedad, NULL FROM Variedad WHERE nombre = 'Borra';</t>
  </si>
  <si>
    <t>INSERT INTO Lote (id_lote, codigo, id_variedad, notas) SELECT '8eb42fc1', '8eb42fc1', id_variedad, NULL FROM Variedad WHERE nombre = 'Syrah Tempranillo';</t>
  </si>
  <si>
    <t>INSERT INTO Lote (id_lote, codigo, id_variedad, notas) SELECT '684dcfdb', '684dcfdb', id_variedad, NULL FROM Variedad WHERE nombre = 'Tinto';</t>
  </si>
  <si>
    <t>INSERT INTO Lote (id_lote, codigo, id_variedad, notas) SELECT 'f3aba56a', 'f3aba56a', id_variedad, NULL FROM Variedad WHERE nombre = 'Bonarda';</t>
  </si>
  <si>
    <t>INSERT INTO Lote (id_lote, codigo, id_variedad, notas) SELECT '3e75d6d3', '3e75d6d3', id_variedad, NULL FROM Variedad WHERE nombre = 'Tinto s/Bonarda';</t>
  </si>
  <si>
    <t>INSERT INTO Lote (id_lote, codigo, id_variedad, notas) SELECT '8024bac4', '8024bac4', id_variedad, NULL FROM Variedad WHERE nombre = 'Tinto s/Bonarda';</t>
  </si>
  <si>
    <t>INSERT INTO Lote (id_lote, codigo, id_variedad, notas) SELECT '6feed4a6', '6feed4a6', id_variedad, NULL FROM Variedad WHERE nombre = 'Tinto s/Bonarda 2da';</t>
  </si>
  <si>
    <t>INSERT INTO Lote (id_lote, codigo, id_variedad, notas) SELECT 'cf107ae5', 'cf107ae5', id_variedad, NULL FROM Variedad WHERE nombre = 'Tinto s/Bonarda 2da';</t>
  </si>
  <si>
    <t>INSERT INTO Lote (id_lote, codigo, id_variedad, notas) SELECT '7ff93f30', '7ff93f30', id_variedad, NULL FROM Variedad WHERE nombre = 'Tinto s/Bonarda 2da';</t>
  </si>
  <si>
    <t>INSERT INTO Lote (id_lote, codigo, id_variedad, notas) SELECT '0be7fff5', '0be7fff5', id_variedad, NULL FROM Variedad WHERE nombre = 'Correccion';</t>
  </si>
  <si>
    <t>INSERT INTO Lote (id_lote, codigo, id_variedad, notas) SELECT 'db10cc10', 'db10cc10', id_variedad, NULL FROM Variedad WHERE nombre = 'Correccion';</t>
  </si>
  <si>
    <t>INSERT INTO Lote (id_lote, codigo, id_variedad, notas) SELECT '7fce2b75', '7fce2b75', id_variedad, NULL FROM Variedad WHERE nombre = 'Tinto s/Bonarda';</t>
  </si>
  <si>
    <t>INSERT INTO Lote (id_lote, codigo, id_variedad, notas) SELECT '60bf4ff8', '60bf4ff8', id_variedad, NULL FROM Variedad WHERE nombre = 'Tinto s/Bonarda';</t>
  </si>
  <si>
    <t>INSERT INTO Lote (id_lote, codigo, id_variedad, notas) SELECT 'ec4ee36d', 'ec4ee36d', id_variedad, NULL FROM Variedad WHERE nombre = 'Tinto Recarga';</t>
  </si>
  <si>
    <t>INSERT INTO Lote (id_lote, codigo, id_variedad, notas) SELECT '6ee897e9', '6ee897e9', id_variedad, NULL FROM Variedad WHERE nombre = 'Tinto 24 Rect';</t>
  </si>
  <si>
    <t>INSERT INTO Lote (id_lote, codigo, id_variedad, notas) SELECT '28a7cc85', '28a7cc85', id_variedad, NULL FROM Variedad WHERE nombre = 'Tinto 24 Rect';</t>
  </si>
  <si>
    <t>INSERT INTO Lote (id_lote, codigo, id_variedad, notas) SELECT '8f113233', '8f113233', id_variedad, NULL FROM Variedad WHERE nombre = 'Tinto';</t>
  </si>
  <si>
    <t>INSERT INTO Lote (id_lote, codigo, id_variedad, notas) SELECT '1f012354', '1f012354', id_variedad, NULL FROM Variedad WHERE nombre = 'Tinto Recarga';</t>
  </si>
  <si>
    <t>INSERT INTO Lote (id_lote, codigo, id_variedad, notas) SELECT 'ec820b78', 'ec820b78', id_variedad, NULL FROM Variedad WHERE nombre = 'Tinto Recarga';</t>
  </si>
  <si>
    <t>INSERT INTO Lote (id_lote, codigo, id_variedad, notas) SELECT '028fb505', '028fb505', id_variedad, NULL FROM Variedad WHERE nombre = 'Malbec';</t>
  </si>
  <si>
    <t>INSERT INTO Lote (id_lote, codigo, id_variedad, notas) SELECT 'b704cbde', 'b704cbde', id_variedad, NULL FROM Variedad WHERE nombre = 'Malbec';</t>
  </si>
  <si>
    <t>INSERT INTO Lote (id_lote, codigo, id_variedad, notas) SELECT '3559c80c', '3559c80c', id_variedad, NULL FROM Variedad WHERE nombre = 'Cabernet Sauvignon';</t>
  </si>
  <si>
    <t>INSERT INTO Lote (id_lote, codigo, id_variedad, notas) SELECT 'c999dbd9', 'c999dbd9', id_variedad, NULL FROM Variedad WHERE nombre = 'Cabernet Sauvignon';</t>
  </si>
  <si>
    <t>INSERT INTO Lote (id_lote, codigo, id_variedad, notas) SELECT 'de2017df', 'de2017df', id_variedad, NULL FROM Variedad WHERE nombre = 'Malbec';</t>
  </si>
  <si>
    <t>INSERT INTO Lote (id_lote, codigo, id_variedad, notas) SELECT '9f167646', '9f167646', id_variedad, NULL FROM Variedad WHERE nombre = 'Tinto s/Bonarda';</t>
  </si>
  <si>
    <t>INSERT INTO Lote (id_lote, codigo, id_variedad, notas) SELECT 'e341ebb9', 'e341ebb9', id_variedad, NULL FROM Variedad WHERE nombre = 'Tinto s/Bonarda';</t>
  </si>
  <si>
    <t>INSERT INTO Lote (id_lote, codigo, id_variedad, notas) SELECT 'ad6fc72a', 'ad6fc72a', id_variedad, NULL FROM Variedad WHERE nombre = 'Tinto s/Bonarda';</t>
  </si>
  <si>
    <t>INSERT INTO Lote (id_lote, codigo, id_variedad, notas) SELECT '8a8c9f52', '8a8c9f52', id_variedad, NULL FROM Variedad WHERE nombre = 'Tinto s/Bonarda';</t>
  </si>
  <si>
    <t>INSERT INTO Lote (id_lote, codigo, id_variedad, notas) SELECT 'c9833042', 'c9833042', id_variedad, NULL FROM Variedad WHERE nombre = 'Criolla s/Bonarda';</t>
  </si>
  <si>
    <t>INSERT INTO Lote (id_lote, codigo, id_variedad, notas) SELECT '2b3d385d', '2b3d385d', id_variedad, NULL FROM Variedad WHERE nombre = 'Criolla s/Bonarda';</t>
  </si>
  <si>
    <t>INSERT INTO Lote (id_lote, codigo, id_variedad, notas) SELECT 'ab0559b8', 'ab0559b8', id_variedad, NULL FROM Variedad WHERE nombre = 'Tinto';</t>
  </si>
  <si>
    <t>INSERT INTO Lote (id_lote, codigo, id_variedad, notas) SELECT '0aec25e6', '0aec25e6', id_variedad, NULL FROM Variedad WHERE nombre = 'Tinto';</t>
  </si>
  <si>
    <t>INSERT INTO Lote (id_lote, codigo, id_variedad, notas) SELECT '0f749555', '0f749555', id_variedad, NULL FROM Variedad WHERE nombre = 'Tinto s/Bonarda';</t>
  </si>
  <si>
    <t>INSERT INTO Lote (id_lote, codigo, id_variedad, notas) SELECT '3030acaa', '3030acaa', id_variedad, NULL FROM Variedad WHERE nombre = 'Tinto s/Bonarda';</t>
  </si>
  <si>
    <t>INSERT INTO Lote (id_lote, codigo, id_variedad, notas) SELECT '80d02e67', '80d02e67', id_variedad, NULL FROM Variedad WHERE nombre = 'Tinto s/Bonarda';</t>
  </si>
  <si>
    <t>INSERT INTO Lote (id_lote, codigo, id_variedad, notas) SELECT 'c1d9bfc2', 'c1d9bfc2', id_variedad, NULL FROM Variedad WHERE nombre = 'Tinto s/Bonarda';</t>
  </si>
  <si>
    <t>INSERT INTO Lote (id_lote, codigo, id_variedad, notas) SELECT '46acf5ed', '46acf5ed', id_variedad, NULL FROM Variedad WHERE nombre = 'Anccelotta';</t>
  </si>
  <si>
    <t>INSERT INTO Lote (id_lote, codigo, id_variedad, notas) SELECT '20f062e7', '20f062e7', id_variedad, NULL FROM Variedad WHERE nombre = 'Ancellotta Tempranillo';</t>
  </si>
  <si>
    <t>INSERT INTO Lote (id_lote, codigo, id_variedad, notas) SELECT '3c150dd5', '3c150dd5', id_variedad, NULL FROM Variedad WHERE nombre = 'Bonarda';</t>
  </si>
  <si>
    <t>INSERT INTO Lote (id_lote, codigo, id_variedad, notas) SELECT '57f606f3', '57f606f3', id_variedad, NULL FROM Variedad WHERE nombre = 'Bonarda Gota';</t>
  </si>
  <si>
    <t>INSERT INTO Lote (id_lote, codigo, id_variedad, notas) SELECT '029318be', '029318be', id_variedad, NULL FROM Variedad WHERE nombre = 'Ancellotta Tempranillo Pren';</t>
  </si>
  <si>
    <t>INSERT INTO Lote (id_lote, codigo, id_variedad, notas) SELECT '7a999708', '7a999708', id_variedad, NULL FROM Variedad WHERE nombre = 'Bonarda C2';</t>
  </si>
  <si>
    <t>INSERT INTO Lote (id_lote, codigo, id_variedad, notas) SELECT '3b7f8f1f', '3b7f8f1f', id_variedad, NULL FROM Variedad WHERE nombre = 'Malbec Bonarda';</t>
  </si>
  <si>
    <t>INSERT INTO Lote (id_lote, codigo, id_variedad, notas) SELECT '295b868d', '295b868d', id_variedad, NULL FROM Variedad WHERE nombre = 'Malbec Bonarda';</t>
  </si>
  <si>
    <t>INSERT INTO Lote (id_lote, codigo, id_variedad, notas) SELECT 'f27aca73', 'f27aca73', id_variedad, NULL FROM Variedad WHERE nombre = 'Malbec Bonarda';</t>
  </si>
  <si>
    <t>INSERT INTO Lote (id_lote, codigo, id_variedad, notas) SELECT 'd71a5bd5', 'd71a5bd5', id_variedad, NULL FROM Variedad WHERE nombre = 'Cabernet Sauvignon';</t>
  </si>
  <si>
    <t>INSERT INTO Lote (id_lote, codigo, id_variedad, notas) SELECT '56888a83', '56888a83', id_variedad, NULL FROM Variedad WHERE nombre = 'Tinto G';</t>
  </si>
  <si>
    <t>INSERT INTO Lote (id_lote, codigo, id_variedad, notas) SELECT '042123a0', '042123a0', id_variedad, NULL FROM Variedad WHERE nombre = 'Tanat';</t>
  </si>
  <si>
    <t>INSERT INTO Lote (id_lote, codigo, id_variedad, notas) SELECT '0760321a', '0760321a', id_variedad, NULL FROM Variedad WHERE nombre = 'Bonarda';</t>
  </si>
  <si>
    <t>INSERT INTO Lote (id_lote, codigo, id_variedad, notas) SELECT '79317f47', '79317f47', id_variedad, NULL FROM Variedad WHERE nombre = 'Bonarda C2';</t>
  </si>
  <si>
    <t>INSERT INTO Lote (id_lote, codigo, id_variedad, notas) SELECT '1afbb480', '1afbb480', id_variedad, NULL FROM Variedad WHERE nombre = 'Borra';</t>
  </si>
  <si>
    <t>INSERT INTO Lote (id_lote, codigo, id_variedad, notas) SELECT 'cbf4bbc1', 'cbf4bbc1', id_variedad, NULL FROM Variedad WHERE nombre = 'Bonarda';</t>
  </si>
  <si>
    <t>INSERT INTO Lote (id_lote, codigo, id_variedad, notas) SELECT 'd0071dd4', 'd0071dd4', id_variedad, NULL FROM Variedad WHERE nombre = 'Bonarda';</t>
  </si>
  <si>
    <t>INSERT INTO Lote (id_lote, codigo, id_variedad, notas) SELECT '1828d39f', '1828d39f', id_variedad, NULL FROM Variedad WHERE nombre = 'Bonarda';</t>
  </si>
  <si>
    <t>INSERT INTO Lote (id_lote, codigo, id_variedad, notas) SELECT 'ddc627ec', 'ddc627ec', id_variedad, NULL FROM Variedad WHERE nombre = 'Bonarda';</t>
  </si>
  <si>
    <t>INSERT INTO Lote (id_lote, codigo, id_variedad, notas) SELECT '56ef2422', '56ef2422', id_variedad, NULL FROM Variedad WHERE nombre = 'Bonarda';</t>
  </si>
  <si>
    <t>INSERT INTO Lote (id_lote, codigo, id_variedad, notas) SELECT 'e9379a58', 'e9379a58', id_variedad, NULL FROM Variedad WHERE nombre = 'Bonarda';</t>
  </si>
  <si>
    <t>INSERT INTO Lote (id_lote, codigo, id_variedad, notas) SELECT 'b3edc5e1', 'b3edc5e1', id_variedad, NULL FROM Variedad WHERE nombre = 'Bonarda';</t>
  </si>
  <si>
    <t>INSERT INTO Lote (id_lote, codigo, id_variedad, notas) SELECT '49b10489', '49b10489', id_variedad, NULL FROM Variedad WHERE nombre = 'Malbec Bonarda';</t>
  </si>
  <si>
    <t>INSERT INTO Lote (id_lote, codigo, id_variedad, notas) SELECT 'd85a9e51', 'd85a9e51', id_variedad, NULL FROM Variedad WHERE nombre = 'Bonarda 24';</t>
  </si>
  <si>
    <t>INSERT INTO Lote (id_lote, codigo, id_variedad, notas) SELECT '769b3f5c', '769b3f5c', id_variedad, NULL FROM Variedad WHERE nombre = 'Malbec';</t>
  </si>
  <si>
    <t>INSERT INTO Lote (id_lote, codigo, id_variedad, notas) SELECT '6c02e5fd', '6c02e5fd', id_variedad, NULL FROM Variedad WHERE nombre = 'Malbec';</t>
  </si>
  <si>
    <t>INSERT INTO Lote (id_lote, codigo, id_variedad, notas) SELECT '55f5d2d3', '55f5d2d3', id_variedad, NULL FROM Variedad WHERE nombre = 'Cabernet Sauvignon';</t>
  </si>
  <si>
    <t>INSERT INTO Lote (id_lote, codigo, id_variedad, notas) SELECT '7a4910aa', '7a4910aa', id_variedad, NULL FROM Variedad WHERE nombre = 'Cabernet Sauvignon prensa';</t>
  </si>
  <si>
    <t>INSERT INTO Lote (id_lote, codigo, id_variedad, notas) SELECT 'da2b6cac', 'da2b6cac', id_variedad, NULL FROM Variedad WHERE nombre = 'Tinto s/Bonarda';</t>
  </si>
  <si>
    <t>INSERT INTO Lote (id_lote, codigo, id_variedad, notas) SELECT '9f02a2e8', '9f02a2e8', id_variedad, NULL FROM Variedad WHERE nombre = 'Chardonnay Late Harvest';</t>
  </si>
  <si>
    <t>INSERT INTO Lote (id_lote, codigo, id_variedad, notas) SELECT '0bf12134', '0bf12134', id_variedad, NULL FROM Variedad WHERE nombre = 'Borra';</t>
  </si>
  <si>
    <t>INSERT INTO Lote (id_lote, codigo, id_variedad, notas) SELECT '568f382f', '568f382f', id_variedad, NULL FROM Variedad WHERE nombre = 'Borra';</t>
  </si>
  <si>
    <t>INSERT INTO Lote (id_lote, codigo, id_variedad, notas) SELECT 'e6ca31fd', 'e6ca31fd', id_variedad, NULL FROM Variedad WHERE nombre = 'Borra';</t>
  </si>
  <si>
    <t>INSERT INTO Lote (id_lote, codigo, id_variedad, notas) SELECT '4e2e27d9', '4e2e27d9', id_variedad, NULL FROM Variedad WHERE nombre = 'Malbec Bon Dulce  Rect';</t>
  </si>
  <si>
    <t>INSERT INTO Lote (id_lote, codigo, id_variedad, notas) SELECT 'cb2ca221', 'cb2ca221', id_variedad, NULL FROM Variedad WHERE nombre = 'Claro de filtro';</t>
  </si>
  <si>
    <t>INSERT INTO Lote (id_lote, codigo, id_variedad, notas) SELECT '16e5e87f', '16e5e87f', id_variedad, NULL FROM Variedad WHERE nombre = 'Claro de Filtro';</t>
  </si>
  <si>
    <t>INSERT INTO Lote (id_lote, codigo, id_variedad, notas) SELECT '1169aeda', '1169aeda', id_variedad, NULL FROM Variedad WHERE nombre = 'Malbec Mec';</t>
  </si>
  <si>
    <t>INSERT INTO Lote (id_lote, codigo, id_variedad, notas) SELECT '4560c2a1', '4560c2a1', id_variedad, NULL FROM Variedad WHERE nombre = 'Malbec';</t>
  </si>
  <si>
    <t>INSERT INTO Lote (id_lote, codigo, id_variedad, notas) SELECT '62584ebc', '62584ebc', id_variedad, NULL FROM Variedad WHERE nombre = 'Syrah';</t>
  </si>
  <si>
    <t>INSERT INTO Lote (id_lote, codigo, id_variedad, notas) SELECT '8cf84f68', '8cf84f68', id_variedad, NULL FROM Variedad WHERE nombre = 'Aspirant 24';</t>
  </si>
  <si>
    <t>INSERT INTO Lote (id_lote, codigo, id_variedad, notas) SELECT '158a7d9d', '158a7d9d', id_variedad, NULL FROM Variedad WHERE nombre = 'Bonarda';</t>
  </si>
  <si>
    <t>INSERT INTO Lote (id_lote, codigo, id_variedad, notas) SELECT 'cc1de158', 'cc1de158', id_variedad, NULL FROM Variedad WHERE nombre = 'Malbec Gota';</t>
  </si>
  <si>
    <t>INSERT INTO Lote (id_lote, codigo, id_variedad, notas) SELECT 'd126860c', 'd126860c', id_variedad, NULL FROM Variedad WHERE nombre = 'Tinto s/Bonarda';</t>
  </si>
  <si>
    <t>INSERT INTO Lote (id_lote, codigo, id_variedad, notas) SELECT '7a97024d', '7a97024d', id_variedad, NULL FROM Variedad WHERE nombre = 'Anccelotta';</t>
  </si>
  <si>
    <t>INSERT INTO Lote (id_lote, codigo, id_variedad, notas) SELECT 'eef5b1b3', 'eef5b1b3', id_variedad, NULL FROM Variedad WHERE nombre = 'Malbec';</t>
  </si>
  <si>
    <t>INSERT INTO Lote (id_lote, codigo, id_variedad, notas) SELECT 'b1e6b748', 'b1e6b748', id_variedad, NULL FROM Variedad WHERE nombre = 'Malbec';</t>
  </si>
  <si>
    <t>INSERT INTO Lote (id_lote, codigo, id_variedad, notas) SELECT '690e2b0e', '690e2b0e', id_variedad, NULL FROM Variedad WHERE nombre = 'Tinto s/Bonarda 2da';</t>
  </si>
  <si>
    <t>INSERT INTO Lote (id_lote, codigo, id_variedad, notas) SELECT 'a0d9c177', 'a0d9c177', id_variedad, NULL FROM Variedad WHERE nombre = 'Bonarda';</t>
  </si>
  <si>
    <t>INSERT INTO Lote (id_lote, codigo, id_variedad, notas) SELECT '8f384525', '8f384525', id_variedad, NULL FROM Variedad WHERE nombre = 'Tinto G';</t>
  </si>
  <si>
    <t>INSERT INTO Lote (id_lote, codigo, id_variedad, notas) SELECT '7597a62d', '7597a62d', id_variedad, NULL FROM Variedad WHERE nombre = 'Syrah';</t>
  </si>
  <si>
    <t>INSERT INTO Lote (id_lote, codigo, id_variedad, notas) SELECT 'b0d54181', 'b0d54181', id_variedad, NULL FROM Variedad WHERE nombre = 'Bonarda';</t>
  </si>
  <si>
    <t>INSERT INTO Lote (id_lote, codigo, id_variedad, notas) SELECT 'cee6847e', 'cee6847e', id_variedad, NULL FROM Variedad WHERE nombre = 'Malbec Gota';</t>
  </si>
  <si>
    <t>INSERT INTO Lote (id_lote, codigo, id_variedad, notas) SELECT '160a169f', '160a169f', id_variedad, NULL FROM Variedad WHERE nombre = 'Bonarda C2';</t>
  </si>
  <si>
    <t>INSERT INTO Lote (id_lote, codigo, id_variedad, notas) SELECT '060cc284', '060cc284', id_variedad, NULL FROM Variedad WHERE nombre = 'Syrah';</t>
  </si>
  <si>
    <t>INSERT INTO Lote (id_lote, codigo, id_variedad, notas) SELECT '2cf8d99b', '2cf8d99b', id_variedad, NULL FROM Variedad WHERE nombre = 'Syrah';</t>
  </si>
  <si>
    <t>INSERT INTO Lote (id_lote, codigo, id_variedad, notas) SELECT 'ffaf53fb', 'ffaf53fb', id_variedad, NULL FROM Variedad WHERE nombre = 'Bonarda';</t>
  </si>
  <si>
    <t>INSERT INTO Lote (id_lote, codigo, id_variedad, notas) SELECT 'bc83d8e6', 'bc83d8e6', id_variedad, NULL FROM Variedad WHERE nombre = 'Bonarda';</t>
  </si>
  <si>
    <t>INSERT INTO Lote (id_lote, codigo, id_variedad, notas) SELECT '378271b5', '378271b5', id_variedad, NULL FROM Variedad WHERE nombre = 'Bonarda';</t>
  </si>
  <si>
    <t>INSERT INTO Lote (id_lote, codigo, id_variedad, notas) SELECT '821a1155', '821a1155', id_variedad, NULL FROM Variedad WHERE nombre = 'Bonarda C2';</t>
  </si>
  <si>
    <t>INSERT INTO Lote (id_lote, codigo, id_variedad, notas) SELECT '098ad529', '098ad529', id_variedad, NULL FROM Variedad WHERE nombre = 'Bonarda C2';</t>
  </si>
  <si>
    <t>INSERT INTO Lote (id_lote, codigo, id_variedad, notas) SELECT 'ff99f9ec', 'ff99f9ec', id_variedad, NULL FROM Variedad WHERE nombre = 'Bonarda C2';</t>
  </si>
  <si>
    <t>INSERT INTO Lote (id_lote, codigo, id_variedad, notas) SELECT '4c2a65a6', '4c2a65a6', id_variedad, NULL FROM Variedad WHERE nombre = 'Malbec Dulc';</t>
  </si>
  <si>
    <t>INSERT INTO Lote (id_lote, codigo, id_variedad, notas) SELECT '063eed80', '063eed80', id_variedad, NULL FROM Variedad WHERE nombre = 'Malbec Dulc';</t>
  </si>
  <si>
    <t>INSERT INTO Lote (id_lote, codigo, id_variedad, notas) SELECT '219552df', '219552df', id_variedad, NULL FROM Variedad WHERE nombre = 'Malbec Bon Dulce  Rect';</t>
  </si>
  <si>
    <t>INSERT INTO Lote (id_lote, codigo, id_variedad, notas) SELECT '6dc7a9f7', '6dc7a9f7', id_variedad, NULL FROM Variedad WHERE nombre = 'Malbec Bon Dulce  Rect';</t>
  </si>
  <si>
    <t>INSERT INTO Lote (id_lote, codigo, id_variedad, notas) SELECT 'a03cb596', 'a03cb596', id_variedad, NULL FROM Variedad WHERE nombre = 'Malbec Bon Dulce  Rect';</t>
  </si>
  <si>
    <t>INSERT INTO Lote (id_lote, codigo, id_variedad, notas) SELECT '33b26126', '33b26126', id_variedad, NULL FROM Variedad WHERE nombre = 'Malbec Dulc';</t>
  </si>
  <si>
    <t>INSERT INTO Lote (id_lote, codigo, id_variedad, notas) SELECT '91b01170', '91b01170', id_variedad, NULL FROM Variedad WHERE nombre = 'Malbec Dulc';</t>
  </si>
  <si>
    <t>INSERT INTO Lote (id_lote, codigo, id_variedad, notas) SELECT '7b01278e', '7b01278e', id_variedad, NULL FROM Variedad WHERE nombre = 'Malbec Dulc';</t>
  </si>
  <si>
    <t>INSERT INTO Lote (id_lote, codigo, id_variedad, notas) SELECT 'bfc481b0', 'bfc481b0', id_variedad, NULL FROM Variedad WHERE nombre = 'Bonarda';</t>
  </si>
  <si>
    <t>INSERT INTO Lote (id_lote, codigo, id_variedad, notas) SELECT '2e70766e', '2e70766e', id_variedad, NULL FROM Variedad WHERE nombre = 'Malbec Dulc';</t>
  </si>
  <si>
    <t>INSERT INTO Lote (id_lote, codigo, id_variedad, notas) SELECT '3285bc9d', '3285bc9d', id_variedad, NULL FROM Variedad WHERE nombre = 'Cabernet Sauv Millan 233';</t>
  </si>
  <si>
    <t>INSERT INTO Lote (id_lote, codigo, id_variedad, notas) SELECT 'cf5c62c4', 'cf5c62c4', id_variedad, NULL FROM Variedad WHERE nombre = 'Malbec Millan 200';</t>
  </si>
  <si>
    <t>INSERT INTO Lote (id_lote, codigo, id_variedad, notas) SELECT '19e8f31c', '19e8f31c', id_variedad, NULL FROM Variedad WHERE nombre = 'Malbec Millan 200';</t>
  </si>
  <si>
    <t>INSERT INTO Lote (id_lote, codigo, id_variedad, notas) SELECT '97f43e08', '97f43e08', id_variedad, NULL FROM Variedad WHERE nombre = 'Cabernet Sauv Millan 233';</t>
  </si>
  <si>
    <t>INSERT INTO Lote (id_lote, codigo, id_variedad, notas) SELECT 'e07698b4', 'e07698b4', id_variedad, NULL FROM Variedad WHERE nombre = 'Cabernet Sauv Millan 233';</t>
  </si>
  <si>
    <t>INSERT INTO Lote (id_lote, codigo, id_variedad, notas) SELECT '1c302922', '1c302922', id_variedad, NULL FROM Variedad WHERE nombre = 'Bonarda';</t>
  </si>
  <si>
    <t>INSERT INTO Lote (id_lote, codigo, id_variedad, notas) SELECT 'ae7ca061', 'ae7ca061', id_variedad, NULL FROM Variedad WHERE nombre = 'Bonarda';</t>
  </si>
  <si>
    <t>INSERT INTO Lote (id_lote, codigo, id_variedad, notas) SELECT 'a2f1fdf7', 'a2f1fdf7', id_variedad, NULL FROM Variedad WHERE nombre = 'Syrah';</t>
  </si>
  <si>
    <t>INSERT INTO Lote (id_lote, codigo, id_variedad, notas) SELECT '44e5df4d', '44e5df4d', id_variedad, NULL FROM Variedad WHERE nombre = 'Syrah';</t>
  </si>
  <si>
    <t>INSERT INTO Lote (id_lote, codigo, id_variedad, notas) SELECT 'e1fe7b8e', 'e1fe7b8e', id_variedad, NULL FROM Variedad WHERE nombre = 'Bonarda';</t>
  </si>
  <si>
    <t>INSERT INTO Lote (id_lote, codigo, id_variedad, notas) SELECT '0a82e5f5', '0a82e5f5', id_variedad, NULL FROM Variedad WHERE nombre = 'Bonarda';</t>
  </si>
  <si>
    <t>INSERT INTO Lote (id_lote, codigo, id_variedad, notas) SELECT '55222a6e', '55222a6e', id_variedad, NULL FROM Variedad WHERE nombre = 'Malbec Mec';</t>
  </si>
  <si>
    <t>INSERT INTO Lote (id_lote, codigo, id_variedad, notas) SELECT '2c481a58', '2c481a58', id_variedad, NULL FROM Variedad WHERE nombre = 'Malbec';</t>
  </si>
  <si>
    <t>INSERT INTO Lote (id_lote, codigo, id_variedad, notas) SELECT '1bbddd37', '1bbddd37', id_variedad, NULL FROM Variedad WHERE nombre = 'Malbec';</t>
  </si>
  <si>
    <t>INSERT INTO Lote (id_lote, codigo, id_variedad, notas) SELECT '1eaa1fc2', '1eaa1fc2', id_variedad, NULL FROM Variedad WHERE nombre = 'Malbec';</t>
  </si>
  <si>
    <t>INSERT INTO Lote (id_lote, codigo, id_variedad, notas) SELECT '18ab305b', '18ab305b', id_variedad, NULL FROM Variedad WHERE nombre = 'Malbec';</t>
  </si>
  <si>
    <t>INSERT INTO Lote (id_lote, codigo, id_variedad, notas) SELECT '187a80d6', '187a80d6', id_variedad, NULL FROM Variedad WHERE nombre = 'Malbec';</t>
  </si>
  <si>
    <t>INSERT INTO Lote (id_lote, codigo, id_variedad, notas) SELECT '95f6ad50', '95f6ad50', id_variedad, NULL FROM Variedad WHERE nombre = 'Malbec';</t>
  </si>
  <si>
    <t>INSERT INTO Lote (id_lote, codigo, id_variedad, notas) SELECT '31b745c3', '31b745c3', id_variedad, NULL FROM Variedad WHERE nombre = 'Syrah Tempranillo';</t>
  </si>
  <si>
    <t>INSERT INTO Lote (id_lote, codigo, id_variedad, notas) SELECT 'f80e7320', 'f80e7320', id_variedad, NULL FROM Variedad WHERE nombre = 'Tinto s/Bonarda';</t>
  </si>
  <si>
    <t>INSERT INTO Lote (id_lote, codigo, id_variedad, notas) SELECT '1bdfaa93', '1bdfaa93', id_variedad, NULL FROM Variedad WHERE nombre = 'Tinto s/Bonarda';</t>
  </si>
  <si>
    <t>INSERT INTO Lote (id_lote, codigo, id_variedad, notas) SELECT 'df7eab76', 'df7eab76', id_variedad, NULL FROM Variedad WHERE nombre = 'Malbec';</t>
  </si>
  <si>
    <t>INSERT INTO Lote (id_lote, codigo, id_variedad, notas) SELECT '8173df5d', '8173df5d', id_variedad, NULL FROM Variedad WHERE nombre = 'Malbec';</t>
  </si>
  <si>
    <t>INSERT INTO Lote (id_lote, codigo, id_variedad, notas) SELECT '7488f497', '7488f497', id_variedad, NULL FROM Variedad WHERE nombre = 'Bonarda';</t>
  </si>
  <si>
    <t>INSERT INTO Lote (id_lote, codigo, id_variedad, notas) SELECT '8deed384', '8deed384', id_variedad, NULL FROM Variedad WHERE nombre = 'Tinto s/Bonarda';</t>
  </si>
  <si>
    <t>INSERT INTO Lote (id_lote, codigo, id_variedad, notas) SELECT '9c9a8832', '9c9a8832', id_variedad, NULL FROM Variedad WHERE nombre = 'Tinto s/Bonarda';</t>
  </si>
  <si>
    <t>INSERT INTO Lote (id_lote, codigo, id_variedad, notas) SELECT '61f14f41', '61f14f41', id_variedad, NULL FROM Variedad WHERE nombre = 'Claro de filtro';</t>
  </si>
  <si>
    <t>INSERT INTO Lote (id_lote, codigo, id_variedad, notas) SELECT 'eaad107d', 'eaad107d', id_variedad, NULL FROM Variedad WHERE nombre = 'Claro de Filtro';</t>
  </si>
  <si>
    <t>INSERT INTO Lote (id_lote, codigo, id_variedad, notas) SELECT '26f754e9', '26f754e9', id_variedad, NULL FROM Variedad WHERE nombre = 'Malbec';</t>
  </si>
  <si>
    <t>INSERT INTO Lote (id_lote, codigo, id_variedad, notas) SELECT '271c9c71', '271c9c71', id_variedad, NULL FROM Variedad WHERE nombre = 'Borra';</t>
  </si>
  <si>
    <t>INSERT INTO Lote (id_lote, codigo, id_variedad, notas) SELECT '1d9b14f9', '1d9b14f9', id_variedad, NULL FROM Variedad WHERE nombre = 'Borra';</t>
  </si>
  <si>
    <t>INSERT INTO Lote (id_lote, codigo, id_variedad, notas) SELECT 'cce48a18', 'cce48a18', id_variedad, NULL FROM Variedad WHERE nombre = 'Tinto';</t>
  </si>
  <si>
    <t>INSERT INTO Lote (id_lote, codigo, id_variedad, notas) SELECT 'b043a39f', 'b043a39f', id_variedad, NULL FROM Variedad WHERE nombre = 'Bonarda';</t>
  </si>
  <si>
    <t>INSERT INTO Lote (id_lote, codigo, id_variedad, notas) SELECT 'b1bcdf75', 'b1bcdf75', id_variedad, NULL FROM Variedad WHERE nombre = 'Malbec Mec';</t>
  </si>
  <si>
    <t>INSERT INTO Lote (id_lote, codigo, id_variedad, notas) SELECT '12de67aa', '12de67aa', id_variedad, NULL FROM Variedad WHERE nombre = 'Malbec';</t>
  </si>
  <si>
    <t>INSERT INTO Lote (id_lote, codigo, id_variedad, notas) SELECT '315f9ff5', '315f9ff5', id_variedad, NULL FROM Variedad WHERE nombre = 'Tinto s/Bonarda 2da';</t>
  </si>
  <si>
    <t>INSERT INTO Lote (id_lote, codigo, id_variedad, notas) SELECT 'b8a3716d', 'b8a3716d', id_variedad, NULL FROM Variedad WHERE nombre = 'Tinto';</t>
  </si>
  <si>
    <t>INSERT INTO Lote (id_lote, codigo, id_variedad, notas) SELECT '8871c0cd', '8871c0cd', id_variedad, NULL FROM Variedad WHERE nombre = 'Cabernet Sauvignon';</t>
  </si>
  <si>
    <t>INSERT INTO Lote (id_lote, codigo, id_variedad, notas) SELECT '7756a1a1', '7756a1a1', id_variedad, NULL FROM Variedad WHERE nombre = 'Cabernet Sauvignon';</t>
  </si>
  <si>
    <t>INSERT INTO Lote (id_lote, codigo, id_variedad, notas) SELECT 'f2ba5339', 'f2ba5339', id_variedad, NULL FROM Variedad WHERE nombre = 'Tinto';</t>
  </si>
  <si>
    <t>INSERT INTO Lote (id_lote, codigo, id_variedad, notas) SELECT '01383aba', '01383aba', id_variedad, NULL FROM Variedad WHERE nombre = 'Malbec';</t>
  </si>
  <si>
    <t>INSERT INTO Lote (id_lote, codigo, id_variedad, notas) SELECT 'e224205d', 'e224205d', id_variedad, NULL FROM Variedad WHERE nombre = 'Syrah';</t>
  </si>
  <si>
    <t>INSERT INTO Lote (id_lote, codigo, id_variedad, notas) SELECT '582ad1a3', '582ad1a3', id_variedad, NULL FROM Variedad WHERE nombre = 'Syrah';</t>
  </si>
  <si>
    <t>INSERT INTO Lote (id_lote, codigo, id_variedad, notas) SELECT '93b5ed3d', '93b5ed3d', id_variedad, NULL FROM Variedad WHERE nombre = 'Tinto';</t>
  </si>
  <si>
    <t>INSERT INTO Lote (id_lote, codigo, id_variedad, notas) SELECT 'c1d958fa', 'c1d958fa', id_variedad, NULL FROM Variedad WHERE nombre = 'Cabernet Sauvignon';</t>
  </si>
  <si>
    <t>INSERT INTO Lote (id_lote, codigo, id_variedad, notas) SELECT '9fbe47cd', '9fbe47cd', id_variedad, NULL FROM Variedad WHERE nombre = 'Cabernet Sauvignon';</t>
  </si>
  <si>
    <t>INSERT INTO Lote (id_lote, codigo, id_variedad, notas) SELECT 'caa78680', 'caa78680', id_variedad, NULL FROM Variedad WHERE nombre = 'Cabernet Sauvignon';</t>
  </si>
  <si>
    <t>INSERT INTO Lote (id_lote, codigo, id_variedad, notas) SELECT '8fc8112c', '8fc8112c', id_variedad, NULL FROM Variedad WHERE nombre = 'Malbec Carricondo Venta';</t>
  </si>
  <si>
    <t>INSERT INTO Lote (id_lote, codigo, id_variedad, notas) SELECT 'ef0e58f9', 'ef0e58f9', id_variedad, NULL FROM Variedad WHERE nombre = 'Torrontes';</t>
  </si>
  <si>
    <t>INSERT INTO Lote (id_lote, codigo, id_variedad, notas) SELECT '83616429', '83616429', id_variedad, NULL FROM Variedad WHERE nombre = 'Torrontes tacho Plastico';</t>
  </si>
  <si>
    <t>INSERT INTO Lote (id_lote, codigo, id_variedad, notas) SELECT '7c0a5b23', '7c0a5b23', id_variedad, NULL FROM Variedad WHERE nombre = 'Syrah';</t>
  </si>
  <si>
    <t>INSERT INTO Lote (id_lote, codigo, id_variedad, notas) SELECT '9466c3f8', '9466c3f8', id_variedad, NULL FROM Variedad WHERE nombre = 'Claro de filtro';</t>
  </si>
  <si>
    <t>INSERT INTO Lote (id_lote, codigo, id_variedad, notas) SELECT 'c7c2db60', 'c7c2db60', id_variedad, NULL FROM Variedad WHERE nombre = 'Malbec Mec';</t>
  </si>
  <si>
    <t>INSERT INTO Lote (id_lote, codigo, id_variedad, notas) SELECT '7b6d5389', '7b6d5389', id_variedad, NULL FROM Variedad WHERE nombre = 'Malbec Rectifciado';</t>
  </si>
  <si>
    <t>INSERT INTO Lote (id_lote, codigo, id_variedad, notas) SELECT 'c6964445', 'c6964445', id_variedad, NULL FROM Variedad WHERE nombre = 'Malbec Rectifciado';</t>
  </si>
  <si>
    <t>INSERT INTO Lote (id_lote, codigo, id_variedad, notas) SELECT '59034d88', '59034d88', id_variedad, NULL FROM Variedad WHERE nombre = 'Cabernet Sauvignon';</t>
  </si>
  <si>
    <t>INSERT INTO Lote (id_lote, codigo, id_variedad, notas) SELECT '5b29cdd7', '5b29cdd7', id_variedad, NULL FROM Variedad WHERE nombre = 'Cabernet Sauvignon';</t>
  </si>
  <si>
    <t>INSERT INTO Lote (id_lote, codigo, id_variedad, notas) SELECT 'b553478c', 'b553478c', id_variedad, NULL FROM Variedad WHERE nombre = 'Cabernet Sauvignon';</t>
  </si>
  <si>
    <t>INSERT INTO Lote (id_lote, codigo, id_variedad, notas) SELECT '8a5cc2ae', '8a5cc2ae', id_variedad, NULL FROM Variedad WHERE nombre = 'Bonarda';</t>
  </si>
  <si>
    <t>INSERT INTO Lote (id_lote, codigo, id_variedad, notas) SELECT 'db062f06', 'db062f06', id_variedad, NULL FROM Variedad WHERE nombre = 'Bonarda';</t>
  </si>
  <si>
    <t>INSERT INTO Lote (id_lote, codigo, id_variedad, notas) SELECT '545cf46a', '545cf46a', id_variedad, NULL FROM Variedad WHERE nombre = 'Tanat';</t>
  </si>
  <si>
    <t>INSERT INTO Lote (id_lote, codigo, id_variedad, notas) SELECT '92f39eaf', '92f39eaf', id_variedad, NULL FROM Variedad WHERE nombre = 'Tanat';</t>
  </si>
  <si>
    <t>INSERT INTO Lote (id_lote, codigo, id_variedad, notas) SELECT 'b72016d2', 'b72016d2', id_variedad, NULL FROM Variedad WHERE nombre = 'Tanat';</t>
  </si>
  <si>
    <t>INSERT INTO Lote (id_lote, codigo, id_variedad, notas) SELECT 'a3608d6e', 'a3608d6e', id_variedad, NULL FROM Variedad WHERE nombre = 'Tanat';</t>
  </si>
  <si>
    <t>INSERT INTO Lote (id_lote, codigo, id_variedad, notas) SELECT '39eae928', '39eae928', id_variedad, NULL FROM Variedad WHERE nombre = 'Tinto G';</t>
  </si>
  <si>
    <t>INSERT INTO Lote (id_lote, codigo, id_variedad, notas) SELECT '65aa5ca5', '65aa5ca5', id_variedad, NULL FROM Variedad WHERE nombre = 'Tinto G';</t>
  </si>
  <si>
    <t>INSERT INTO Lote (id_lote, codigo, id_variedad, notas) SELECT 'ae9d3290', 'ae9d3290', id_variedad, NULL FROM Variedad WHERE nombre = 'Claro de Filtro';</t>
  </si>
  <si>
    <t>INSERT INTO Lote (id_lote, codigo, id_variedad, notas) SELECT '94fbbcb1', '94fbbcb1', id_variedad, NULL FROM Variedad WHERE nombre = 'Claro de Filtro';</t>
  </si>
  <si>
    <t>INSERT INTO Lote (id_lote, codigo, id_variedad, notas) SELECT '263cc8c0', '263cc8c0', id_variedad, NULL FROM Variedad WHERE nombre = 'Syrah';</t>
  </si>
  <si>
    <t>INSERT INTO Lote (id_lote, codigo, id_variedad, notas) SELECT '4b0ee075', '4b0ee075', id_variedad, NULL FROM Variedad WHERE nombre = 'Syrah';</t>
  </si>
  <si>
    <t>INSERT INTO Lote (id_lote, codigo, id_variedad, notas) SELECT 'e44a0e79', 'e44a0e79', id_variedad, NULL FROM Variedad WHERE nombre = 'Syrah';</t>
  </si>
  <si>
    <t>INSERT INTO Lote (id_lote, codigo, id_variedad, notas) SELECT 'e869add7', 'e869add7', id_variedad, NULL FROM Variedad WHERE nombre = 'Syrah';</t>
  </si>
  <si>
    <t>INSERT INTO Lote (id_lote, codigo, id_variedad, notas) SELECT '10b87434', '10b87434', id_variedad, NULL FROM Variedad WHERE nombre = 'Aspirant';</t>
  </si>
  <si>
    <t>INSERT INTO Lote (id_lote, codigo, id_variedad, notas) SELECT 'bb793e4b', 'bb793e4b', id_variedad, NULL FROM Variedad WHERE nombre = 'Aspirant';</t>
  </si>
  <si>
    <t>INSERT INTO Lote (id_lote, codigo, id_variedad, notas) SELECT '02391dea', '02391dea', id_variedad, NULL FROM Variedad WHERE nombre = 'Aspirant Anccelota Gota';</t>
  </si>
  <si>
    <t>INSERT INTO Lote (id_lote, codigo, id_variedad, notas) SELECT '0973d1bc', '0973d1bc', id_variedad, NULL FROM Variedad WHERE nombre = 'Aspirant Anccelota Gota';</t>
  </si>
  <si>
    <t>INSERT INTO Lote (id_lote, codigo, id_variedad, notas) SELECT '2931c38f', '2931c38f', id_variedad, NULL FROM Variedad WHERE nombre = 'Cabernet Sauv Millan 233';</t>
  </si>
  <si>
    <t>INSERT INTO Lote (id_lote, codigo, id_variedad, notas) SELECT '6d157016', '6d157016', id_variedad, NULL FROM Variedad WHERE nombre = 'Cabernet Sauv Millan 233';</t>
  </si>
  <si>
    <t>INSERT INTO Lote (id_lote, codigo, id_variedad, notas) SELECT '1cdbd1a4', '1cdbd1a4', id_variedad, NULL FROM Variedad WHERE nombre = 'Tinto G';</t>
  </si>
  <si>
    <t>INSERT INTO Lote (id_lote, codigo, id_variedad, notas) SELECT '2443e08d', '2443e08d', id_variedad, NULL FROM Variedad WHERE nombre = 'Tinto G';</t>
  </si>
  <si>
    <t>INSERT INTO Lote (id_lote, codigo, id_variedad, notas) SELECT '47816ee0', '47816ee0', id_variedad, NULL FROM Variedad WHERE nombre = 'Syrah';</t>
  </si>
  <si>
    <t>INSERT INTO Lote (id_lote, codigo, id_variedad, notas) SELECT 'e074b6e4', 'e074b6e4', id_variedad, NULL FROM Variedad WHERE nombre = 'Syrah';</t>
  </si>
  <si>
    <t>INSERT INTO Lote (id_lote, codigo, id_variedad, notas) SELECT '7b7453a5', '7b7453a5', id_variedad, NULL FROM Variedad WHERE nombre = 'Syrah';</t>
  </si>
  <si>
    <t>INSERT INTO Lote (id_lote, codigo, id_variedad, notas) SELECT '01cf6615', '01cf6615', id_variedad, NULL FROM Variedad WHERE nombre = 'Tinto G';</t>
  </si>
  <si>
    <t>INSERT INTO Lote (id_lote, codigo, id_variedad, notas) SELECT 'ea842d91', 'ea842d91', id_variedad, NULL FROM Variedad WHERE nombre = 'Cabernet Sauvignon - Rectificado';</t>
  </si>
  <si>
    <t>INSERT INTO Lote (id_lote, codigo, id_variedad, notas) SELECT 'a4bf5699', 'a4bf5699', id_variedad, NULL FROM Variedad WHERE nombre = 'Cabernet Sauvignon - Rectificado';</t>
  </si>
  <si>
    <t>INSERT INTO Lote (id_lote, codigo, id_variedad, notas) SELECT 'd24b2834', 'd24b2834', id_variedad, NULL FROM Variedad WHERE nombre = 'Cabernet Sauvignon - Rectificado';</t>
  </si>
  <si>
    <t>INSERT INTO Lote (id_lote, codigo, id_variedad, notas) SELECT 'b16ab165', 'b16ab165', id_variedad, NULL FROM Variedad WHERE nombre = 'Cabernet Sauvignon - Rectificado';</t>
  </si>
  <si>
    <t>INSERT INTO Lote (id_lote, codigo, id_variedad, notas) SELECT 'b82badfa', 'b82badfa', id_variedad, NULL FROM Variedad WHERE nombre = 'Aspirant Anccelota Gota';</t>
  </si>
  <si>
    <t>INSERT INTO Lote (id_lote, codigo, id_variedad, notas) SELECT '9059a425', '9059a425', id_variedad, NULL FROM Variedad WHERE nombre = 'Aspirant Anccelota Gota';</t>
  </si>
  <si>
    <t>INSERT INTO Lote (id_lote, codigo, id_variedad, notas) SELECT 'e9659899', 'e9659899', id_variedad, NULL FROM Variedad WHERE nombre = 'Claro de Filtro';</t>
  </si>
  <si>
    <t>INSERT INTO Lote (id_lote, codigo, id_variedad, notas) SELECT 'b9348c96', 'b9348c96', id_variedad, NULL FROM Variedad WHERE nombre = 'Malbec Dulc';</t>
  </si>
  <si>
    <t>INSERT INTO Lote (id_lote, codigo, id_variedad, notas) SELECT '2afd72e2', '2afd72e2', id_variedad, NULL FROM Variedad WHERE nombre = 'Malbec Dulc';</t>
  </si>
  <si>
    <t>INSERT INTO Lote (id_lote, codigo, id_variedad, notas) SELECT '156fcfa6', '156fcfa6', id_variedad, NULL FROM Variedad WHERE nombre = 'Tinto Recarga';</t>
  </si>
  <si>
    <t>INSERT INTO Lote (id_lote, codigo, id_variedad, notas) SELECT '3fbc32d2', '3fbc32d2', id_variedad, NULL FROM Variedad WHERE nombre = 'Syrah Tempranillo';</t>
  </si>
  <si>
    <t>INSERT INTO Lote (id_lote, codigo, id_variedad, notas) SELECT 'f3656dbf', 'f3656dbf', id_variedad, NULL FROM Variedad WHERE nombre = 'Claro de filtro';</t>
  </si>
  <si>
    <t>INSERT INTO Lote (id_lote, codigo, id_variedad, notas) SELECT '5c83ebb2', '5c83ebb2', id_variedad, NULL FROM Variedad WHERE nombre = 'Tinto';</t>
  </si>
  <si>
    <t>INSERT INTO Lote (id_lote, codigo, id_variedad, notas) SELECT 'ebb87073', 'ebb87073', id_variedad, NULL FROM Variedad WHERE nombre = 'Tinto Recarga';</t>
  </si>
  <si>
    <t>INSERT INTO Lote (id_lote, codigo, id_variedad, notas) SELECT 'ab0df0a5', 'ab0df0a5', id_variedad, NULL FROM Variedad WHERE nombre = 'Tinto Recarga';</t>
  </si>
  <si>
    <t>INSERT INTO Lote (id_lote, codigo, id_variedad, notas) SELECT '94013da4', '94013da4', id_variedad, NULL FROM Variedad WHERE nombre = 'Malbec Carricondo Venta';</t>
  </si>
  <si>
    <t>INSERT INTO Lote (id_lote, codigo, id_variedad, notas) SELECT '8fa197ac', '8fa197ac', id_variedad, NULL FROM Variedad WHERE nombre = 'Syrah';</t>
  </si>
  <si>
    <t>INSERT INTO Lote (id_lote, codigo, id_variedad, notas) SELECT 'a9aa0086', 'a9aa0086', id_variedad, NULL FROM Variedad WHERE nombre = 'Syrah';</t>
  </si>
  <si>
    <t>INSERT INTO Lote (id_lote, codigo, id_variedad, notas) SELECT '853ab9c1', '853ab9c1', id_variedad, NULL FROM Variedad WHERE nombre = 'Malbec Dulc';</t>
  </si>
  <si>
    <t>INSERT INTO Lote (id_lote, codigo, id_variedad, notas) SELECT '1fdf5dbd', '1fdf5dbd', id_variedad, NULL FROM Variedad WHERE nombre = 'Malbec Dulc';</t>
  </si>
  <si>
    <t>INSERT INTO Lote (id_lote, codigo, id_variedad, notas) SELECT 'c82e7f90', 'c82e7f90', id_variedad, NULL FROM Variedad WHERE nombre = 'Tinto';</t>
  </si>
  <si>
    <t>INSERT INTO Lote (id_lote, codigo, id_variedad, notas) SELECT 'b04cae80', 'b04cae80', id_variedad, NULL FROM Variedad WHERE nombre = 'Tinto';</t>
  </si>
  <si>
    <t>INSERT INTO Lote (id_lote, codigo, id_variedad, notas) SELECT 'a6d11ad4', 'a6d11ad4', id_variedad, NULL FROM Variedad WHERE nombre = 'Tinto';</t>
  </si>
  <si>
    <t>INSERT INTO Lote (id_lote, codigo, id_variedad, notas) SELECT '9dfda5e0', '9dfda5e0', id_variedad, NULL FROM Variedad WHERE nombre = 'Tinto';</t>
  </si>
  <si>
    <t>INSERT INTO Lote (id_lote, codigo, id_variedad, notas) SELECT '530c9456', '530c9456', id_variedad, NULL FROM Variedad WHERE nombre = 'Malbec';</t>
  </si>
  <si>
    <t>INSERT INTO Lote (id_lote, codigo, id_variedad, notas) SELECT '91ba2ba0', '91ba2ba0', id_variedad, NULL FROM Variedad WHERE nombre = 'Malbec';</t>
  </si>
  <si>
    <t>INSERT INTO Lote (id_lote, codigo, id_variedad, notas) SELECT 'cddb06a5', 'cddb06a5', id_variedad, NULL FROM Variedad WHERE nombre = 'Bonarda';</t>
  </si>
  <si>
    <t>INSERT INTO Lote (id_lote, codigo, id_variedad, notas) SELECT '536eff33', '536eff33', id_variedad, NULL FROM Variedad WHERE nombre = 'Bonarda';</t>
  </si>
  <si>
    <t>INSERT INTO Lote (id_lote, codigo, id_variedad, notas) SELECT 'e81f7a10', 'e81f7a10', id_variedad, NULL FROM Variedad WHERE nombre = 'Tinto';</t>
  </si>
  <si>
    <t>INSERT INTO Lote (id_lote, codigo, id_variedad, notas) SELECT 'e375ee10', 'e375ee10', id_variedad, NULL FROM Variedad WHERE nombre = 'Bonarda';</t>
  </si>
  <si>
    <t>INSERT INTO Lote (id_lote, codigo, id_variedad, notas) SELECT '755eca56', '755eca56', id_variedad, NULL FROM Variedad WHERE nombre = 'Cabernet Sauvignon - Rectificado';</t>
  </si>
  <si>
    <t>INSERT INTO Lote (id_lote, codigo, id_variedad, notas) SELECT '3b8e0d4f', '3b8e0d4f', id_variedad, NULL FROM Variedad WHERE nombre = 'Cabernet Sauvignon - Rectificado';</t>
  </si>
  <si>
    <t>INSERT INTO Lote (id_lote, codigo, id_variedad, notas) SELECT '9fec443b', '9fec443b', id_variedad, NULL FROM Variedad WHERE nombre = 'Anccelotta';</t>
  </si>
  <si>
    <t>INSERT INTO Lote (id_lote, codigo, id_variedad, notas) SELECT '60712aa8', '60712aa8', id_variedad, NULL FROM Variedad WHERE nombre = 'Anccelotta';</t>
  </si>
  <si>
    <t>INSERT INTO Lote (id_lote, codigo, id_variedad, notas) SELECT 'e1971673', 'e1971673', id_variedad, NULL FROM Variedad WHERE nombre = 'Anccelotta';</t>
  </si>
  <si>
    <t>INSERT INTO Lote (id_lote, codigo, id_variedad, notas) SELECT 'b4fedb16', 'b4fedb16', id_variedad, NULL FROM Variedad WHERE nombre = 'Malbec';</t>
  </si>
  <si>
    <t>INSERT INTO Lote (id_lote, codigo, id_variedad, notas) SELECT '589807bc', '589807bc', id_variedad, NULL FROM Variedad WHERE nombre = 'Malbec';</t>
  </si>
  <si>
    <t>INSERT INTO Lote (id_lote, codigo, id_variedad, notas) SELECT 'f213d575', 'f213d575', id_variedad, NULL FROM Variedad WHERE nombre = 'Malbec';</t>
  </si>
  <si>
    <t>INSERT INTO Lote (id_lote, codigo, id_variedad, notas) SELECT 'fcd4899d', 'fcd4899d', id_variedad, NULL FROM Variedad WHERE nombre = 'Malbec Mec';</t>
  </si>
  <si>
    <t>INSERT INTO Lote (id_lote, codigo, id_variedad, notas) SELECT '1c1b6466', '1c1b6466', id_variedad, NULL FROM Variedad WHERE nombre = 'Anccelotta';</t>
  </si>
  <si>
    <t>INSERT INTO Lote (id_lote, codigo, id_variedad, notas) SELECT '3f1dcd1d', '3f1dcd1d', id_variedad, NULL FROM Variedad WHERE nombre = 'Cabernet Sauvignon - Rectificado';</t>
  </si>
  <si>
    <t>INSERT INTO Lote (id_lote, codigo, id_variedad, notas) SELECT '1f03bf4a', '1f03bf4a', id_variedad, NULL FROM Variedad WHERE nombre = 'Malbec Dulc';</t>
  </si>
  <si>
    <t>INSERT INTO Lote (id_lote, codigo, id_variedad, notas) SELECT 'b3a40361', 'b3a40361', id_variedad, NULL FROM Variedad WHERE nombre = 'Malbec Dulc';</t>
  </si>
  <si>
    <t>INSERT INTO Lote (id_lote, codigo, id_variedad, notas) SELECT '44074e3a', '44074e3a', id_variedad, NULL FROM Variedad WHERE nombre = 'Malbec Dulc';</t>
  </si>
  <si>
    <t>INSERT INTO Lote (id_lote, codigo, id_variedad, notas) SELECT '0c98b90d', '0c98b90d', id_variedad, NULL FROM Variedad WHERE nombre = 'Malbec Dulc';</t>
  </si>
  <si>
    <t>INSERT INTO Lote (id_lote, codigo, id_variedad, notas) SELECT '831c7ff8', '831c7ff8', id_variedad, NULL FROM Variedad WHERE nombre = 'Malbec Dulc';</t>
  </si>
  <si>
    <t>INSERT INTO Lote (id_lote, codigo, id_variedad, notas) SELECT 'c5230377', 'c5230377', id_variedad, NULL FROM Variedad WHERE nombre = 'Malbec Mec';</t>
  </si>
  <si>
    <t>INSERT INTO Lote (id_lote, codigo, id_variedad, notas) SELECT '08cd1438', '08cd1438', id_variedad, NULL FROM Variedad WHERE nombre = 'Cabernet Sauvignon - Rectificado';</t>
  </si>
  <si>
    <t>INSERT INTO Lote (id_lote, codigo, id_variedad, notas) SELECT '62ec9377', '62ec9377', id_variedad, NULL FROM Variedad WHERE nombre = 'Cabernet Sauvignon - Rectificado';</t>
  </si>
  <si>
    <t>INSERT INTO Lote (id_lote, codigo, id_variedad, notas) SELECT '9ad9bdea', '9ad9bdea', id_variedad, NULL FROM Variedad WHERE nombre = 'Bonarda';</t>
  </si>
  <si>
    <t>INSERT INTO Lote (id_lote, codigo, id_variedad, notas) SELECT '6f76277b', '6f76277b', id_variedad, NULL FROM Variedad WHERE nombre = 'Bonarda';</t>
  </si>
  <si>
    <t>INSERT INTO Lote (id_lote, codigo, id_variedad, notas) SELECT '434cf64c', '434cf64c', id_variedad, NULL FROM Variedad WHERE nombre = 'Cabernet Sauvignon - Rectificado';</t>
  </si>
  <si>
    <t>INSERT INTO Lote (id_lote, codigo, id_variedad, notas) SELECT '1031b227', '1031b227', id_variedad, NULL FROM Variedad WHERE nombre = 'Bonarda Rect';</t>
  </si>
  <si>
    <t>INSERT INTO Lote (id_lote, codigo, id_variedad, notas) SELECT 'b31c1ec9', 'b31c1ec9', id_variedad, NULL FROM Variedad WHERE nombre = 'Anccelotta';</t>
  </si>
  <si>
    <t>INSERT INTO Lote (id_lote, codigo, id_variedad, notas) SELECT '654f35d0', '654f35d0', id_variedad, NULL FROM Variedad WHERE nombre = 'Bonarda Rect';</t>
  </si>
  <si>
    <t>INSERT INTO Lote (id_lote, codigo, id_variedad, notas) SELECT 'a9d727ca', 'a9d727ca', id_variedad, NULL FROM Variedad WHERE nombre = 'Bonarda Rect';</t>
  </si>
  <si>
    <t>INSERT INTO Lote (id_lote, codigo, id_variedad, notas) SELECT '029c104a', '029c104a', id_variedad, NULL FROM Variedad WHERE nombre = 'Bonarda';</t>
  </si>
  <si>
    <t>INSERT INTO Lote (id_lote, codigo, id_variedad, notas) SELECT '61948e2d', '61948e2d', id_variedad, NULL FROM Variedad WHERE nombre = 'Bonarda';</t>
  </si>
  <si>
    <t>INSERT INTO Lote (id_lote, codigo, id_variedad, notas) SELECT 'd1ac6d2d', 'd1ac6d2d', id_variedad, NULL FROM Variedad WHERE nombre = 'Bonarda Rect';</t>
  </si>
  <si>
    <t>INSERT INTO Lote (id_lote, codigo, id_variedad, notas) SELECT '5091788b', '5091788b', id_variedad, NULL FROM Variedad WHERE nombre = 'Bonarda';</t>
  </si>
  <si>
    <t>INSERT INTO Lote (id_lote, codigo, id_variedad, notas) SELECT '4d16cc18', '4d16cc18', id_variedad, NULL FROM Variedad WHERE nombre = 'Bonarda';</t>
  </si>
  <si>
    <t>INSERT INTO Lote (id_lote, codigo, id_variedad, notas) SELECT '6468b679', '6468b679', id_variedad, NULL FROM Variedad WHERE nombre = 'Bonarda Rect';</t>
  </si>
  <si>
    <t>INSERT INTO Lote (id_lote, codigo, id_variedad, notas) SELECT 'eb5a88ac', 'eb5a88ac', id_variedad, NULL FROM Variedad WHERE nombre = 'Bonarda';</t>
  </si>
  <si>
    <t>INSERT INTO Lote (id_lote, codigo, id_variedad, notas) SELECT '5621dc05', '5621dc05', id_variedad, NULL FROM Variedad WHERE nombre = 'Bonarda';</t>
  </si>
  <si>
    <t>INSERT INTO Lote (id_lote, codigo, id_variedad, notas) SELECT '9f20348c', '9f20348c', id_variedad, NULL FROM Variedad WHERE nombre = 'Bonarda Rect';</t>
  </si>
  <si>
    <t>INSERT INTO Lote (id_lote, codigo, id_variedad, notas) SELECT '57a4fe30', '57a4fe30', id_variedad, NULL FROM Variedad WHERE nombre = 'Bonarda';</t>
  </si>
  <si>
    <t>INSERT INTO Lote (id_lote, codigo, id_variedad, notas) SELECT '0101284d', '0101284d', id_variedad, NULL FROM Variedad WHERE nombre = 'Bonarda';</t>
  </si>
  <si>
    <t>INSERT INTO Lote (id_lote, codigo, id_variedad, notas) SELECT '743ab7d6', '743ab7d6', id_variedad, NULL FROM Variedad WHERE nombre = 'Bonarda Rect';</t>
  </si>
  <si>
    <t>INSERT INTO Lote (id_lote, codigo, id_variedad, notas) SELECT '3f5178fd', '3f5178fd', id_variedad, NULL FROM Variedad WHERE nombre = 'Bonarda';</t>
  </si>
  <si>
    <t>INSERT INTO Lote (id_lote, codigo, id_variedad, notas) SELECT '8cd3ea51', '8cd3ea51', id_variedad, NULL FROM Variedad WHERE nombre = 'Bonarda';</t>
  </si>
  <si>
    <t>INSERT INTO Lote (id_lote, codigo, id_variedad, notas) SELECT 'dc8b07fe', 'dc8b07fe', id_variedad, NULL FROM Variedad WHERE nombre = 'Cabernet Sauvignon prensa';</t>
  </si>
  <si>
    <t>INSERT INTO Lote (id_lote, codigo, id_variedad, notas) SELECT 'ec873f45', 'ec873f45', id_variedad, NULL FROM Variedad WHERE nombre = 'Tinto';</t>
  </si>
  <si>
    <t>INSERT INTO Lote (id_lote, codigo, id_variedad, notas) SELECT '9a261ef2', '9a261ef2', id_variedad, NULL FROM Variedad WHERE nombre = 'Tinto';</t>
  </si>
  <si>
    <t>INSERT INTO Lote (id_lote, codigo, id_variedad, notas) SELECT '317f770a', '317f770a', id_variedad, NULL FROM Variedad WHERE nombre = 'Tinto';</t>
  </si>
  <si>
    <t>INSERT INTO Lote (id_lote, codigo, id_variedad, notas) SELECT 'b7883137', 'b7883137', id_variedad, NULL FROM Variedad WHERE nombre = 'Tinto';</t>
  </si>
  <si>
    <t>INSERT INTO Lote (id_lote, codigo, id_variedad, notas) SELECT 'fbfff24a', 'fbfff24a', id_variedad, NULL FROM Variedad WHERE nombre = 'Tinto';</t>
  </si>
  <si>
    <t>INSERT INTO Lote (id_lote, codigo, id_variedad, notas) SELECT '36493bbe', '36493bbe', id_variedad, NULL FROM Variedad WHERE nombre = 'Tinto (Chardonnay)';</t>
  </si>
  <si>
    <t>INSERT INTO Lote (id_lote, codigo, id_variedad, notas) SELECT '34934edf', '34934edf', id_variedad, NULL FROM Variedad WHERE nombre = 'Tinto Venta Garbin';</t>
  </si>
  <si>
    <t>INSERT INTO Lote (id_lote, codigo, id_variedad, notas) SELECT '9d9d68cd', '9d9d68cd', id_variedad, NULL FROM Variedad WHERE nombre = 'Tinto Venta Garbin';</t>
  </si>
  <si>
    <t>INSERT INTO Lote (id_lote, codigo, id_variedad, notas) SELECT 'bb3607ba', 'bb3607ba', id_variedad, NULL FROM Variedad WHERE nombre = 'Bonarda';</t>
  </si>
  <si>
    <t>INSERT INTO Lote (id_lote, codigo, id_variedad, notas) SELECT '605416fd', '605416fd', id_variedad, NULL FROM Variedad WHERE nombre = 'Bonarda Rect';</t>
  </si>
  <si>
    <t>INSERT INTO Lote (id_lote, codigo, id_variedad, notas) SELECT 'dfa54ee5', 'dfa54ee5', id_variedad, NULL FROM Variedad WHERE nombre = 'Tinto';</t>
  </si>
  <si>
    <t>INSERT INTO Lote (id_lote, codigo, id_variedad, notas) SELECT '2d4e2ede', '2d4e2ede', id_variedad, NULL FROM Variedad WHERE nombre = 'Tinto';</t>
  </si>
  <si>
    <t>INSERT INTO Lote (id_lote, codigo, id_variedad, notas) SELECT '704cf4ee', '704cf4ee', id_variedad, NULL FROM Variedad WHERE nombre = 'Cabernet Sauvignon';</t>
  </si>
  <si>
    <t>INSERT INTO Lote (id_lote, codigo, id_variedad, notas) SELECT '179cf3c0', '179cf3c0', id_variedad, NULL FROM Variedad WHERE nombre = 'Cabernet Sauvignon Rectificado';</t>
  </si>
  <si>
    <t>INSERT INTO Lote (id_lote, codigo, id_variedad, notas) SELECT 'ea27bb38', 'ea27bb38', id_variedad, NULL FROM Variedad WHERE nombre = 'Bonarda Rect';</t>
  </si>
  <si>
    <t>INSERT INTO Lote (id_lote, codigo, id_variedad, notas) SELECT 'f323c032', 'f323c032', id_variedad, NULL FROM Variedad WHERE nombre = 'Syrah';</t>
  </si>
  <si>
    <t>INSERT INTO Lote (id_lote, codigo, id_variedad, notas) SELECT 'd3025708', 'd3025708', id_variedad, NULL FROM Variedad WHERE nombre = 'Tanat';</t>
  </si>
  <si>
    <t>INSERT INTO Lote (id_lote, codigo, id_variedad, notas) SELECT 'c2c76c11', 'c2c76c11', id_variedad, NULL FROM Variedad WHERE nombre = 'Tanat';</t>
  </si>
  <si>
    <t>INSERT INTO Lote (id_lote, codigo, id_variedad, notas) SELECT '2fa9b98c', '2fa9b98c', id_variedad, NULL FROM Variedad WHERE nombre = 'Torrontes';</t>
  </si>
  <si>
    <t>INSERT INTO Lote (id_lote, codigo, id_variedad, notas) SELECT 'b0fab2d5', 'b0fab2d5', id_variedad, NULL FROM Variedad WHERE nombre = 'Torrontes';</t>
  </si>
  <si>
    <t>INSERT INTO Lote (id_lote, codigo, id_variedad, notas) SELECT '0b40d5e5', '0b40d5e5', id_variedad, NULL FROM Variedad WHERE nombre = 'Syrah';</t>
  </si>
  <si>
    <t>INSERT INTO Lote (id_lote, codigo, id_variedad, notas) SELECT 'c67f70aa', 'c67f70aa', id_variedad, NULL FROM Variedad WHERE nombre = 'Tanat';</t>
  </si>
  <si>
    <t>INSERT INTO Lote (id_lote, codigo, id_variedad, notas) SELECT 'a5c09bfd', 'a5c09bfd', id_variedad, NULL FROM Variedad WHERE nombre = 'Malbec';</t>
  </si>
  <si>
    <t>INSERT INTO Lote (id_lote, codigo, id_variedad, notas) SELECT '309f9738', '309f9738', id_variedad, NULL FROM Variedad WHERE nombre = 'Bonarda';</t>
  </si>
  <si>
    <t>INSERT INTO Lote (id_lote, codigo, id_variedad, notas) SELECT '5bcfde25', '5bcfde25', id_variedad, NULL FROM Variedad WHERE nombre = 'Tinto';</t>
  </si>
  <si>
    <t>INSERT INTO Lote (id_lote, codigo, id_variedad, notas) SELECT '282f2489', '282f2489', id_variedad, NULL FROM Variedad WHERE nombre = 'Cabernet Sauvignon';</t>
  </si>
  <si>
    <t>INSERT INTO Lote (id_lote, codigo, id_variedad, notas) SELECT 'dccd4f5e', 'dccd4f5e', id_variedad, NULL FROM Variedad WHERE nombre = 'Bonarda';</t>
  </si>
  <si>
    <t>INSERT INTO Lote (id_lote, codigo, id_variedad, notas) SELECT 'ebd6326f', 'ebd6326f', id_variedad, NULL FROM Variedad WHERE nombre = 'Bonarda';</t>
  </si>
  <si>
    <t>INSERT INTO Lote (id_lote, codigo, id_variedad, notas) SELECT 'bcb7028c', 'bcb7028c', id_variedad, NULL FROM Variedad WHERE nombre = 'Tanat';</t>
  </si>
  <si>
    <t>INSERT INTO Lote (id_lote, codigo, id_variedad, notas) SELECT '7d603b31', '7d603b31', id_variedad, NULL FROM Variedad WHERE nombre = 'Anccelotta';</t>
  </si>
  <si>
    <t>INSERT INTO Lote (id_lote, codigo, id_variedad, notas) SELECT '55f15634', '55f15634', id_variedad, NULL FROM Variedad WHERE nombre = 'Tanat';</t>
  </si>
  <si>
    <t>INSERT INTO Lote (id_lote, codigo, id_variedad, notas) SELECT 'e62f11a1', 'e62f11a1', id_variedad, NULL FROM Variedad WHERE nombre = 'Malbec';</t>
  </si>
  <si>
    <t>INSERT INTO Lote (id_lote, codigo, id_variedad, notas) SELECT 'da5fcb21', 'da5fcb21', id_variedad, NULL FROM Variedad WHERE nombre = 'Malbec';</t>
  </si>
  <si>
    <t>INSERT INTO Lote (id_lote, codigo, id_variedad, notas) SELECT 'eb6cce4f', 'eb6cce4f', id_variedad, NULL FROM Variedad WHERE nombre = 'Malbec';</t>
  </si>
  <si>
    <t>INSERT INTO Lote (id_lote, codigo, id_variedad, notas) SELECT '7a9e7f06', '7a9e7f06', id_variedad, NULL FROM Variedad WHERE nombre = 'Malbec';</t>
  </si>
  <si>
    <t>INSERT INTO Lote (id_lote, codigo, id_variedad, notas) SELECT 'eca5b8cb', 'eca5b8cb', id_variedad, NULL FROM Variedad WHERE nombre = 'Malbec';</t>
  </si>
  <si>
    <t>INSERT INTO Lote (id_lote, codigo, id_variedad, notas) SELECT '7efc01f3', '7efc01f3', id_variedad, NULL FROM Variedad WHERE nombre = 'Bonarda';</t>
  </si>
  <si>
    <t>INSERT INTO Lote (id_lote, codigo, id_variedad, notas) SELECT '45e5cc8e', '45e5cc8e', id_variedad, NULL FROM Variedad WHERE nombre = 'Chardonnay';</t>
  </si>
  <si>
    <t>INSERT INTO Lote (id_lote, codigo, id_variedad, notas) SELECT '8a7074cf', '8a7074cf', id_variedad, NULL FROM Variedad WHERE nombre = 'Chardonnay';</t>
  </si>
  <si>
    <t>INSERT INTO Lote (id_lote, codigo, id_variedad, notas) SELECT '4da9d1b8', '4da9d1b8', id_variedad, NULL FROM Variedad WHERE nombre = 'Chardonnay';</t>
  </si>
  <si>
    <t>INSERT INTO Lote (id_lote, codigo, id_variedad, notas) SELECT 'ebf08055', 'ebf08055', id_variedad, NULL FROM Variedad WHERE nombre = 'Chardonnay';</t>
  </si>
  <si>
    <t>INSERT INTO Lote (id_lote, codigo, id_variedad, notas) SELECT '8eb3a624', '8eb3a624', id_variedad, NULL FROM Variedad WHERE nombre = 'Chardonnay';</t>
  </si>
  <si>
    <t>INSERT INTO Lote (id_lote, codigo, id_variedad, notas) SELECT 'dcaf5b39', 'dcaf5b39', id_variedad, NULL FROM Variedad WHERE nombre = 'Chardonnay';</t>
  </si>
  <si>
    <t>INSERT INTO Lote (id_lote, codigo, id_variedad, notas) SELECT '2d412906', '2d412906', id_variedad, NULL FROM Variedad WHERE nombre = 'Chardonnay';</t>
  </si>
  <si>
    <t>INSERT INTO Lote (id_lote, codigo, id_variedad, notas) SELECT '8ea18b46', '8ea18b46', id_variedad, NULL FROM Variedad WHERE nombre = 'Tinto';</t>
  </si>
  <si>
    <t>INSERT INTO Lote (id_lote, codigo, id_variedad, notas) SELECT '909558a7', '909558a7', id_variedad, NULL FROM Variedad WHERE nombre = 'Tinto';</t>
  </si>
  <si>
    <t>INSERT INTO Lote (id_lote, codigo, id_variedad, notas) SELECT '39710208', '39710208', id_variedad, NULL FROM Variedad WHERE nombre = 'Syrah Tempranillo';</t>
  </si>
  <si>
    <t>INSERT INTO Lote (id_lote, codigo, id_variedad, notas) SELECT '9788a9f2', '9788a9f2', id_variedad, NULL FROM Variedad WHERE nombre = 'Bonarda';</t>
  </si>
  <si>
    <t>INSERT INTO Lote (id_lote, codigo, id_variedad, notas) SELECT 'a985bb2d', 'a985bb2d', id_variedad, NULL FROM Variedad WHERE nombre = 'Tinto';</t>
  </si>
  <si>
    <t>INSERT INTO Lote (id_lote, codigo, id_variedad, notas) SELECT '1c2d5fc0', '1c2d5fc0', id_variedad, NULL FROM Variedad WHERE nombre = 'Tinto';</t>
  </si>
  <si>
    <t>INSERT INTO Lote (id_lote, codigo, id_variedad, notas) SELECT '4eb11d7e', '4eb11d7e', id_variedad, NULL FROM Variedad WHERE nombre = 'Tinto';</t>
  </si>
  <si>
    <t>INSERT INTO Lote (id_lote, codigo, id_variedad, notas) SELECT '347bb900', '347bb900', id_variedad, NULL FROM Variedad WHERE nombre = 'Tinto';</t>
  </si>
  <si>
    <t>INSERT INTO Lote (id_lote, codigo, id_variedad, notas) SELECT '0148e4b4', '0148e4b4', id_variedad, NULL FROM Variedad WHERE nombre = 'Tinto G';</t>
  </si>
  <si>
    <t>INSERT INTO Lote (id_lote, codigo, id_variedad, notas) SELECT 'c93a8335', 'c93a8335', id_variedad, NULL FROM Variedad WHERE nombre = 'Tinto (Ch)';</t>
  </si>
  <si>
    <t>INSERT INTO Lote (id_lote, codigo, id_variedad, notas) SELECT '3f9e249f', '3f9e249f', id_variedad, NULL FROM Variedad WHERE nombre = 'Tinto (Claro F)';</t>
  </si>
  <si>
    <t>INSERT INTO Lote (id_lote, codigo, id_variedad, notas) SELECT '46e42ed3', '46e42ed3', id_variedad, NULL FROM Variedad WHERE nombre = 'Tinto';</t>
  </si>
  <si>
    <t>INSERT INTO Lote (id_lote, codigo, id_variedad, notas) SELECT 'da997936', 'da997936', id_variedad, NULL FROM Variedad WHERE nombre = 'Chardonnay';</t>
  </si>
  <si>
    <t>INSERT INTO Lote (id_lote, codigo, id_variedad, notas) SELECT 'dddbf851', 'dddbf851', id_variedad, NULL FROM Variedad WHERE nombre = 'Syrah Tempranillo';</t>
  </si>
  <si>
    <t>INSERT INTO Lote (id_lote, codigo, id_variedad, notas) SELECT 'fe6fc54b', 'fe6fc54b', id_variedad, NULL FROM Variedad WHERE nombre = 'Syrah Tempranillo';</t>
  </si>
  <si>
    <t>INSERT INTO Lote (id_lote, codigo, id_variedad, notas) SELECT '397c9478', '397c9478', id_variedad, NULL FROM Variedad WHERE nombre = 'Syrah';</t>
  </si>
  <si>
    <t>INSERT INTO Lote (id_lote, codigo, id_variedad, notas) SELECT '4bb0e577', '4bb0e577', id_variedad, NULL FROM Variedad WHERE nombre = 'Tinto (Claro F)';</t>
  </si>
  <si>
    <t>INSERT INTO Lote (id_lote, codigo, id_variedad, notas) SELECT '2cdc824f', '2cdc824f', id_variedad, NULL FROM Variedad WHERE nombre = 'Tinto (Claro F)';</t>
  </si>
  <si>
    <t>INSERT INTO Lote (id_lote, codigo, id_variedad, notas) SELECT '7df69242', '7df69242', id_variedad, NULL FROM Variedad WHERE nombre = 'Tinto (Ch)';</t>
  </si>
  <si>
    <t>INSERT INTO Lote (id_lote, codigo, id_variedad, notas) SELECT '2b0750b6', '2b0750b6', id_variedad, NULL FROM Variedad WHERE nombre = 'Tinto G';</t>
  </si>
  <si>
    <t>INSERT INTO Lote (id_lote, codigo, id_variedad, notas) SELECT '2b981b3e', '2b981b3e', id_variedad, NULL FROM Variedad WHERE nombre = 'Tinto';</t>
  </si>
  <si>
    <t>INSERT INTO Lote (id_lote, codigo, id_variedad, notas) SELECT '97133f07', '97133f07', id_variedad, NULL FROM Variedad WHERE nombre = 'Tinto';</t>
  </si>
  <si>
    <t>INSERT INTO Lote (id_lote, codigo, id_variedad, notas) SELECT '28e0faf1', '28e0faf1', id_variedad, NULL FROM Variedad WHERE nombre = 'Tinto';</t>
  </si>
  <si>
    <t>INSERT INTO Lote (id_lote, codigo, id_variedad, notas) SELECT '07d0b231', '07d0b231', id_variedad, NULL FROM Variedad WHERE nombre = 'Tinto';</t>
  </si>
  <si>
    <t>INSERT INTO Lote (id_lote, codigo, id_variedad, notas) SELECT '72a3240d', '72a3240d', id_variedad, NULL FROM Variedad WHERE nombre = 'Tinto';</t>
  </si>
  <si>
    <t>INSERT INTO Lote (id_lote, codigo, id_variedad, notas) SELECT '5b15cadb', '5b15cadb', id_variedad, NULL FROM Variedad WHERE nombre = 'Tinto (Claro F)';</t>
  </si>
  <si>
    <t>INSERT INTO Lote (id_lote, codigo, id_variedad, notas) SELECT 'c18d0513', 'c18d0513', id_variedad, NULL FROM Variedad WHERE nombre = 'Tinto (Claro F)';</t>
  </si>
  <si>
    <t>INSERT INTO Lote (id_lote, codigo, id_variedad, notas) SELECT '6ea6229d', '6ea6229d', id_variedad, NULL FROM Variedad WHERE nombre = 'Tinto (Claro F)';</t>
  </si>
  <si>
    <t>INSERT INTO Lote (id_lote, codigo, id_variedad, notas) SELECT '9aa777e2', '9aa777e2', id_variedad, NULL FROM Variedad WHERE nombre = 'Tinto (Ch)';</t>
  </si>
  <si>
    <t>INSERT INTO Lote (id_lote, codigo, id_variedad, notas) SELECT 'fd98c394', 'fd98c394', id_variedad, NULL FROM Variedad WHERE nombre = 'Tinto G';</t>
  </si>
  <si>
    <t>INSERT INTO Lote (id_lote, codigo, id_variedad, notas) SELECT 'ec34455c', 'ec34455c', id_variedad, NULL FROM Variedad WHERE nombre = 'Tinto';</t>
  </si>
  <si>
    <t>INSERT INTO Lote (id_lote, codigo, id_variedad, notas) SELECT '10a0557e', '10a0557e', id_variedad, NULL FROM Variedad WHERE nombre = 'Tinto';</t>
  </si>
  <si>
    <t>INSERT INTO Lote (id_lote, codigo, id_variedad, notas) SELECT '159aadce', '159aadce', id_variedad, NULL FROM Variedad WHERE nombre = 'Tinto';</t>
  </si>
  <si>
    <t>INSERT INTO Lote (id_lote, codigo, id_variedad, notas) SELECT '9b47717c', '9b47717c', id_variedad, NULL FROM Variedad WHERE nombre = 'Bonarda';</t>
  </si>
  <si>
    <t>INSERT INTO Lote (id_lote, codigo, id_variedad, notas) SELECT '5f7e8218', '5f7e8218', id_variedad, NULL FROM Variedad WHERE nombre = 'Bonarda';</t>
  </si>
  <si>
    <t>INSERT INTO Lote (id_lote, codigo, id_variedad, notas) SELECT '65584c29', '65584c29', id_variedad, NULL FROM Variedad WHERE nombre = 'Bonarda';</t>
  </si>
  <si>
    <t>INSERT INTO Lote (id_lote, codigo, id_variedad, notas) SELECT '3b8e29c8', '3b8e29c8', id_variedad, NULL FROM Variedad WHERE nombre = 'Tinto';</t>
  </si>
  <si>
    <t>INSERT INTO Lote (id_lote, codigo, id_variedad, notas) SELECT 'a37dae6b', 'a37dae6b', id_variedad, NULL FROM Variedad WHERE nombre = 'Tinto';</t>
  </si>
  <si>
    <t>INSERT INTO Lote (id_lote, codigo, id_variedad, notas) SELECT '6998d133', '6998d133', id_variedad, NULL FROM Variedad WHERE nombre = 'Tinto';</t>
  </si>
  <si>
    <t>INSERT INTO Lote (id_lote, codigo, id_variedad, notas) SELECT '1a738e1d', '1a738e1d', id_variedad, NULL FROM Variedad WHERE nombre = 'Tinto';</t>
  </si>
  <si>
    <t>INSERT INTO Lote (id_lote, codigo, id_variedad, notas) SELECT '539224d6', '539224d6', id_variedad, NULL FROM Variedad WHERE nombre = 'Syrah Rectificado';</t>
  </si>
  <si>
    <t>INSERT INTO Lote (id_lote, codigo, id_variedad, notas) SELECT 'd93b980f', 'd93b980f', id_variedad, NULL FROM Variedad WHERE nombre = 'Malbec Montecepas 24';</t>
  </si>
  <si>
    <t>INSERT INTO Lote (id_lote, codigo, id_variedad, notas) SELECT 'f5100dbb', 'f5100dbb', id_variedad, NULL FROM Variedad WHERE nombre = 'Malbec Montecepas 24';</t>
  </si>
  <si>
    <t>INSERT INTO Lote (id_lote, codigo, id_variedad, notas) SELECT '0749b537', '0749b537', id_variedad, NULL FROM Variedad WHERE nombre = 'Syrah';</t>
  </si>
  <si>
    <t>INSERT INTO Lote (id_lote, codigo, id_variedad, notas) SELECT 'b05164fd', 'b05164fd', id_variedad, NULL FROM Variedad WHERE nombre = 'Syrah';</t>
  </si>
  <si>
    <t>INSERT INTO Lote (id_lote, codigo, id_variedad, notas) SELECT '3caa5d42', '3caa5d42', id_variedad, NULL FROM Variedad WHERE nombre = 'Syrah';</t>
  </si>
  <si>
    <t>INSERT INTO Lote (id_lote, codigo, id_variedad, notas) SELECT '9bf6cbc3', '9bf6cbc3', id_variedad, NULL FROM Variedad WHERE nombre = 'Syrah';</t>
  </si>
  <si>
    <t>INSERT INTO Lote (id_lote, codigo, id_variedad, notas) SELECT 'dc00855e', 'dc00855e', id_variedad, NULL FROM Variedad WHERE nombre = 'Syrah';</t>
  </si>
  <si>
    <t>INSERT INTO Lote (id_lote, codigo, id_variedad, notas) SELECT '0eb090f9', '0eb090f9', id_variedad, NULL FROM Variedad WHERE nombre = 'Syrah';</t>
  </si>
  <si>
    <t>INSERT INTO Lote (id_lote, codigo, id_variedad, notas) SELECT 'd6036b7a', 'd6036b7a', id_variedad, NULL FROM Variedad WHERE nombre = 'Syrah';</t>
  </si>
  <si>
    <t>INSERT INTO Lote (id_lote, codigo, id_variedad, notas) SELECT '5e53321b', '5e53321b', id_variedad, NULL FROM Variedad WHERE nombre = 'Syrah';</t>
  </si>
  <si>
    <t>INSERT INTO Lote (id_lote, codigo, id_variedad, notas) SELECT '744b9f5f', '744b9f5f', id_variedad, NULL FROM Variedad WHERE nombre = 'Syrah';</t>
  </si>
  <si>
    <t>INSERT INTO Lote (id_lote, codigo, id_variedad, notas) SELECT '4466c2c4', '4466c2c4', id_variedad, NULL FROM Variedad WHERE nombre = 'Syrah Rectificado';</t>
  </si>
  <si>
    <t>INSERT INTO Lote (id_lote, codigo, id_variedad, notas) SELECT '20f6d1c5', '20f6d1c5', id_variedad, NULL FROM Variedad WHERE nombre = 'Syrah Rectificado';</t>
  </si>
  <si>
    <t>INSERT INTO Lote (id_lote, codigo, id_variedad, notas) SELECT 'e298408d', 'e298408d', id_variedad, NULL FROM Variedad WHERE nombre = 'Syrah Rectificado';</t>
  </si>
  <si>
    <t>INSERT INTO Lote (id_lote, codigo, id_variedad, notas) SELECT '710b5805', '710b5805', id_variedad, NULL FROM Variedad WHERE nombre = 'Syrah';</t>
  </si>
  <si>
    <t>INSERT INTO Lote (id_lote, codigo, id_variedad, notas) SELECT 'bb5f3ffb', 'bb5f3ffb', id_variedad, NULL FROM Variedad WHERE nombre = 'Syrah Rect';</t>
  </si>
  <si>
    <t>INSERT INTO Lote (id_lote, codigo, id_variedad, notas) SELECT 'd8fb0b2f', 'd8fb0b2f', id_variedad, NULL FROM Variedad WHERE nombre = 'Syrah';</t>
  </si>
  <si>
    <t>INSERT INTO Lote (id_lote, codigo, id_variedad, notas) SELECT 'aa02cc0a', 'aa02cc0a', id_variedad, NULL FROM Variedad WHERE nombre = 'Syrah';</t>
  </si>
  <si>
    <t>INSERT INTO Lote (id_lote, codigo, id_variedad, notas) SELECT 'a8a4b52d', 'a8a4b52d', id_variedad, NULL FROM Variedad WHERE nombre = 'Syrah';</t>
  </si>
  <si>
    <t>INSERT INTO Lote (id_lote, codigo, id_variedad, notas) SELECT '502df566', '502df566', id_variedad, NULL FROM Variedad WHERE nombre = 'Syrah Tempranillo';</t>
  </si>
  <si>
    <t>INSERT INTO Lote (id_lote, codigo, id_variedad, notas) SELECT 'eed09ba0', 'eed09ba0', id_variedad, NULL FROM Variedad WHERE nombre = 'Syrah Rect';</t>
  </si>
  <si>
    <t>INSERT INTO Lote (id_lote, codigo, id_variedad, notas) SELECT '7794d5a9', '7794d5a9', id_variedad, NULL FROM Variedad WHERE nombre = 'Syrah Rect';</t>
  </si>
  <si>
    <t>INSERT INTO Lote (id_lote, codigo, id_variedad, notas) SELECT 'c441bbfa', 'c441bbfa', id_variedad, NULL FROM Variedad WHERE nombre = 'Borra';</t>
  </si>
  <si>
    <t>INSERT INTO Lote (id_lote, codigo, id_variedad, notas) SELECT 'ae993fbd', 'ae993fbd', id_variedad, NULL FROM Variedad WHERE nombre = 'Borra';</t>
  </si>
  <si>
    <t>INSERT INTO Lote (id_lote, codigo, id_variedad, notas) SELECT '0ff5560e', '0ff5560e', id_variedad, NULL FROM Variedad WHERE nombre = 'Borra';</t>
  </si>
  <si>
    <t>INSERT INTO Lote (id_lote, codigo, id_variedad, notas) SELECT 'ece3c136', 'ece3c136', id_variedad, NULL FROM Variedad WHERE nombre = 'Borra';</t>
  </si>
  <si>
    <t>INSERT INTO Lote (id_lote, codigo, id_variedad, notas) SELECT 'af74f307', 'af74f307', id_variedad, NULL FROM Variedad WHERE nombre = 'Borra';</t>
  </si>
  <si>
    <t>INSERT INTO Lote (id_lote, codigo, id_variedad, notas) SELECT '90fc33de', '90fc33de', id_variedad, NULL FROM Variedad WHERE nombre = 'Claro de Filtro';</t>
  </si>
  <si>
    <t>INSERT INTO Lote (id_lote, codigo, id_variedad, notas) SELECT 'a774778b', 'a774778b', id_variedad, NULL FROM Variedad WHERE nombre = 'Claro de Filtro';</t>
  </si>
  <si>
    <t>INSERT INTO Lote (id_lote, codigo, id_variedad, notas) SELECT 'c0887c05', 'c0887c05', id_variedad, NULL FROM Variedad WHERE nombre = 'Claro de Filtro';</t>
  </si>
  <si>
    <t>INSERT INTO Lote (id_lote, codigo, id_variedad, notas) SELECT '22a75cd4', '22a75cd4', id_variedad, NULL FROM Variedad WHERE nombre = 'Malbec Montecepas 24';</t>
  </si>
  <si>
    <t>INSERT INTO Lote (id_lote, codigo, id_variedad, notas) SELECT '2ab540d2', '2ab540d2', id_variedad, NULL FROM Variedad WHERE nombre = 'Malbec Magneta';</t>
  </si>
  <si>
    <t>INSERT INTO Lote (id_lote, codigo, id_variedad, notas) SELECT 'f8287724', 'f8287724', id_variedad, NULL FROM Variedad WHERE nombre = 'Malbec Magneta';</t>
  </si>
  <si>
    <t>INSERT INTO Lote (id_lote, codigo, id_variedad, notas) SELECT '32a3c024', '32a3c024', id_variedad, NULL FROM Variedad WHERE nombre = 'Cabernet Sauvignon';</t>
  </si>
  <si>
    <t>INSERT INTO Lote (id_lote, codigo, id_variedad, notas) SELECT '7906df75', '7906df75', id_variedad, NULL FROM Variedad WHERE nombre = 'Cabernet Sauvignon';</t>
  </si>
  <si>
    <t>INSERT INTO Lote (id_lote, codigo, id_variedad, notas) SELECT 'dd40b3a0', 'dd40b3a0', id_variedad, NULL FROM Variedad WHERE nombre = 'Cabernet Sauvignon';</t>
  </si>
  <si>
    <t>INSERT INTO Lote (id_lote, codigo, id_variedad, notas) SELECT '0e2a111b', '0e2a111b', id_variedad, NULL FROM Variedad WHERE nombre = 'Aspirant 24';</t>
  </si>
  <si>
    <t>INSERT INTO Lote (id_lote, codigo, id_variedad, notas) SELECT '2f7b2de3', '2f7b2de3', id_variedad, NULL FROM Variedad WHERE nombre = 'Cabernet Sauvignon';</t>
  </si>
  <si>
    <t>INSERT INTO Lote (id_lote, codigo, id_variedad, notas) SELECT 'c25a65f8', 'c25a65f8', id_variedad, NULL FROM Variedad WHERE nombre = 'Cabernet Sauvignon';</t>
  </si>
  <si>
    <t>INSERT INTO Lote (id_lote, codigo, id_variedad, notas) SELECT '78e4849f', '78e4849f', id_variedad, NULL FROM Variedad WHERE nombre = 'Cabernet Sauvignon';</t>
  </si>
  <si>
    <t>INSERT INTO Lote (id_lote, codigo, id_variedad, notas) SELECT '7b50f0b5', '7b50f0b5', id_variedad, NULL FROM Variedad WHERE nombre = 'Cabernet Sauvignon';</t>
  </si>
  <si>
    <t>INSERT INTO Lote (id_lote, codigo, id_variedad, notas) SELECT '8bd3684f', '8bd3684f', id_variedad, NULL FROM Variedad WHERE nombre = 'Cabernet Sauvignon';</t>
  </si>
  <si>
    <t>INSERT INTO Lote (id_lote, codigo, id_variedad, notas) SELECT 'e4144c4c', 'e4144c4c', id_variedad, NULL FROM Variedad WHERE nombre = 'Cabernet Sauvignon';</t>
  </si>
  <si>
    <t>INSERT INTO Lote (id_lote, codigo, id_variedad, notas) SELECT '4d3f24b6', '4d3f24b6', id_variedad, NULL FROM Variedad WHERE nombre = 'Aspirant 24';</t>
  </si>
  <si>
    <t>INSERT INTO Lote (id_lote, codigo, id_variedad, notas) SELECT '32d80802', '32d80802', id_variedad, NULL FROM Variedad WHERE nombre = 'Aspirant 24';</t>
  </si>
  <si>
    <t>INSERT INTO Lote (id_lote, codigo, id_variedad, notas) SELECT 'ffb1e0f0', 'ffb1e0f0', id_variedad, NULL FROM Variedad WHERE nombre = 'Aspirant 24';</t>
  </si>
  <si>
    <t>INSERT INTO Lote (id_lote, codigo, id_variedad, notas) SELECT '9b0ba02e', '9b0ba02e', id_variedad, NULL FROM Variedad WHERE nombre = 'Malbec';</t>
  </si>
  <si>
    <t>INSERT INTO Lote (id_lote, codigo, id_variedad, notas) SELECT '1443e2f4', '1443e2f4', id_variedad, NULL FROM Variedad WHERE nombre = 'Aspirant 24';</t>
  </si>
  <si>
    <t>INSERT INTO Lote (id_lote, codigo, id_variedad, notas) SELECT '32fe7ee0', '32fe7ee0', id_variedad, NULL FROM Variedad WHERE nombre = 'Malbec';</t>
  </si>
  <si>
    <t>INSERT INTO Lote (id_lote, codigo, id_variedad, notas) SELECT '68dcdcc2', '68dcdcc2', id_variedad, NULL FROM Variedad WHERE nombre = 'Malbec';</t>
  </si>
  <si>
    <t>INSERT INTO Lote (id_lote, codigo, id_variedad, notas) SELECT '99b9424e', '99b9424e', id_variedad, NULL FROM Variedad WHERE nombre = 'Malbec';</t>
  </si>
  <si>
    <t>INSERT INTO Lote (id_lote, codigo, id_variedad, notas) SELECT 'dc08aecd', 'dc08aecd', id_variedad, NULL FROM Variedad WHERE nombre = 'Malbec';</t>
  </si>
  <si>
    <t>INSERT INTO Lote (id_lote, codigo, id_variedad, notas) SELECT '8a500155', '8a500155', id_variedad, NULL FROM Variedad WHERE nombre = 'Malbec';</t>
  </si>
  <si>
    <t>INSERT INTO Lote (id_lote, codigo, id_variedad, notas) SELECT '64504a57', '64504a57', id_variedad, NULL FROM Variedad WHERE nombre = 'Malbec';</t>
  </si>
  <si>
    <t>INSERT INTO Lote (id_lote, codigo, id_variedad, notas) SELECT 'd56d1e16', 'd56d1e16', id_variedad, NULL FROM Variedad WHERE nombre = 'Malbec';</t>
  </si>
  <si>
    <t>INSERT INTO Lote (id_lote, codigo, id_variedad, notas) SELECT 'a2e5798e', 'a2e5798e', id_variedad, NULL FROM Variedad WHERE nombre = 'Syrah';</t>
  </si>
  <si>
    <t>INSERT INTO Lote (id_lote, codigo, id_variedad, notas) SELECT '83d74d31', '83d74d31', id_variedad, NULL FROM Variedad WHERE nombre = 'Bonarda';</t>
  </si>
  <si>
    <t>INSERT INTO Lote (id_lote, codigo, id_variedad, notas) SELECT '93609069', '93609069', id_variedad, NULL FROM Variedad WHERE nombre = 'Aspirant Anccelota Gota';</t>
  </si>
  <si>
    <t>INSERT INTO Lote (id_lote, codigo, id_variedad, notas) SELECT 'db0fbb38', 'db0fbb38', id_variedad, NULL FROM Variedad WHERE nombre = 'Tinto';</t>
  </si>
  <si>
    <t>INSERT INTO Lote (id_lote, codigo, id_variedad, notas) SELECT 'cc6978c9', 'cc6978c9', id_variedad, NULL FROM Variedad WHERE nombre = 'Syrah Tempranillo';</t>
  </si>
  <si>
    <t>INSERT INTO Lote (id_lote, codigo, id_variedad, notas) SELECT 'a2728d01', 'a2728d01', id_variedad, NULL FROM Variedad WHERE nombre = 'Syrah';</t>
  </si>
  <si>
    <t>INSERT INTO Lote (id_lote, codigo, id_variedad, notas) SELECT '686fc77a', '686fc77a', id_variedad, NULL FROM Variedad WHERE nombre = 'Syrah';</t>
  </si>
  <si>
    <t>INSERT INTO Lote (id_lote, codigo, id_variedad, notas) SELECT '5c87f162', '5c87f162', id_variedad, NULL FROM Variedad WHERE nombre = 'Syrah';</t>
  </si>
  <si>
    <t>INSERT INTO Lote (id_lote, codigo, id_variedad, notas) SELECT '869e8a1b', '869e8a1b', id_variedad, NULL FROM Variedad WHERE nombre = 'Syrah';</t>
  </si>
  <si>
    <t>INSERT INTO Lote (id_lote, codigo, id_variedad, notas) SELECT '4136ccb7', '4136ccb7', id_variedad, NULL FROM Variedad WHERE nombre = 'Aspirant Anccelota Gota';</t>
  </si>
  <si>
    <t>INSERT INTO Lote (id_lote, codigo, id_variedad, notas) SELECT '63b0e73c', '63b0e73c', id_variedad, NULL FROM Variedad WHERE nombre = 'Aspirant Anccelota Gota';</t>
  </si>
  <si>
    <t>INSERT INTO Lote (id_lote, codigo, id_variedad, notas) SELECT '52e2d0ea', '52e2d0ea', id_variedad, NULL FROM Variedad WHERE nombre = 'Malbec';</t>
  </si>
  <si>
    <t>INSERT INTO Lote (id_lote, codigo, id_variedad, notas) SELECT 'd8db7956', 'd8db7956', id_variedad, NULL FROM Variedad WHERE nombre = 'Malbec';</t>
  </si>
  <si>
    <t>INSERT INTO Lote (id_lote, codigo, id_variedad, notas) SELECT '8e0dc7e2', '8e0dc7e2', id_variedad, NULL FROM Variedad WHERE nombre = 'Malbec';</t>
  </si>
  <si>
    <t>INSERT INTO Lote (id_lote, codigo, id_variedad, notas) SELECT '19567056', '19567056', id_variedad, NULL FROM Variedad WHERE nombre = 'Tinto';</t>
  </si>
  <si>
    <t>INSERT INTO Lote (id_lote, codigo, id_variedad, notas) SELECT 'dd0a11e8', 'dd0a11e8', id_variedad, NULL FROM Variedad WHERE nombre = 'Tinto';</t>
  </si>
  <si>
    <t>INSERT INTO Lote (id_lote, codigo, id_variedad, notas) SELECT '7a61df09', '7a61df09', id_variedad, NULL FROM Variedad WHERE nombre = 'Cabernet Sauvignon';</t>
  </si>
  <si>
    <t>INSERT INTO Lote (id_lote, codigo, id_variedad, notas) SELECT '5c2023e8', '5c2023e8', id_variedad, NULL FROM Variedad WHERE nombre = 'Malbec Lopez';</t>
  </si>
  <si>
    <t>INSERT INTO Lote (id_lote, codigo, id_variedad, notas) SELECT '5da633b1', '5da633b1', id_variedad, NULL FROM Variedad WHERE nombre = 'Chardonnay';</t>
  </si>
  <si>
    <t>INSERT INTO Lote (id_lote, codigo, id_variedad, notas) SELECT '7c5390c8', '7c5390c8', id_variedad, NULL FROM Variedad WHERE nombre = 'Chardonnay';</t>
  </si>
  <si>
    <t>INSERT INTO Lote (id_lote, codigo, id_variedad, notas) SELECT '65fa0dbb', '65fa0dbb', id_variedad, NULL FROM Variedad WHERE nombre = 'Chardonnay';</t>
  </si>
  <si>
    <t>INSERT INTO Lote (id_lote, codigo, id_variedad, notas) SELECT 'a1e13111', 'a1e13111', id_variedad, NULL FROM Variedad WHERE nombre = 'Chardonnay (Filtra)';</t>
  </si>
  <si>
    <t>INSERT INTO Lote (id_lote, codigo, id_variedad, notas) SELECT '2a8efe4b', '2a8efe4b', id_variedad, NULL FROM Variedad WHERE nombre = 'Chardonnay (Filtra)';</t>
  </si>
  <si>
    <t>INSERT INTO Lote (id_lote, codigo, id_variedad, notas) SELECT 'e8a80129', 'e8a80129', id_variedad, NULL FROM Variedad WHERE nombre = 'Chenin';</t>
  </si>
  <si>
    <t>INSERT INTO Lote (id_lote, codigo, id_variedad, notas) SELECT '86648be2', '86648be2', id_variedad, NULL FROM Variedad WHERE nombre = 'Chardonnay';</t>
  </si>
  <si>
    <t>INSERT INTO Lote (id_lote, codigo, id_variedad, notas) SELECT '2ec84947', '2ec84947', id_variedad, NULL FROM Variedad WHERE nombre = 'Malbec';</t>
  </si>
  <si>
    <t>INSERT INTO Lote (id_lote, codigo, id_variedad, notas) SELECT 'c9bdb7c9', 'c9bdb7c9', id_variedad, NULL FROM Variedad WHERE nombre = 'Malbec';</t>
  </si>
  <si>
    <t>INSERT INTO Lote (id_lote, codigo, id_variedad, notas) SELECT '32396d27', '32396d27', id_variedad, NULL FROM Variedad WHERE nombre = 'Malbec';</t>
  </si>
  <si>
    <t>INSERT INTO Lote (id_lote, codigo, id_variedad, notas) SELECT '21674f90', '21674f90', id_variedad, NULL FROM Variedad WHERE nombre = 'Aspirant Anccelota Gota';</t>
  </si>
  <si>
    <t>INSERT INTO Lote (id_lote, codigo, id_variedad, notas) SELECT '19243587', '19243587', id_variedad, NULL FROM Variedad WHERE nombre = 'Syrah';</t>
  </si>
  <si>
    <t>INSERT INTO Lote (id_lote, codigo, id_variedad, notas) SELECT '613e2a90', '613e2a90', id_variedad, NULL FROM Variedad WHERE nombre = 'Syrah';</t>
  </si>
  <si>
    <t>INSERT INTO Lote (id_lote, codigo, id_variedad, notas) SELECT '02df7859', '02df7859', id_variedad, NULL FROM Variedad WHERE nombre = 'Malbec';</t>
  </si>
  <si>
    <t>INSERT INTO Lote (id_lote, codigo, id_variedad, notas) SELECT 'a520ce5e', 'a520ce5e', id_variedad, NULL FROM Variedad WHERE nombre = 'Malbec';</t>
  </si>
  <si>
    <t>INSERT INTO Lote (id_lote, codigo, id_variedad, notas) SELECT '734aedeb', '734aedeb', id_variedad, NULL FROM Variedad WHERE nombre = 'Malbec';</t>
  </si>
  <si>
    <t>INSERT INTO Lote (id_lote, codigo, id_variedad, notas) SELECT '4567a24d', '4567a24d', id_variedad, NULL FROM Variedad WHERE nombre = 'Malbec';</t>
  </si>
  <si>
    <t>INSERT INTO Lote (id_lote, codigo, id_variedad, notas) SELECT 'fdb74546', 'fdb74546', id_variedad, NULL FROM Variedad WHERE nombre = 'Chardonnay';</t>
  </si>
  <si>
    <t>INSERT INTO Lote (id_lote, codigo, id_variedad, notas) SELECT 'd52c4944', 'd52c4944', id_variedad, NULL FROM Variedad WHERE nombre = 'Ajuste 11/08/25';</t>
  </si>
  <si>
    <t>INSERT INTO Lote (id_lote, codigo, id_variedad, notas) SELECT 'ef0406f8', 'ef0406f8', id_variedad, NULL FROM Variedad WHERE nombre = 'Malbec';</t>
  </si>
  <si>
    <t>INSERT INTO Lote (id_lote, codigo, id_variedad, notas) SELECT '887268c3', '887268c3', id_variedad, NULL FROM Variedad WHERE nombre = 'Malbec';</t>
  </si>
  <si>
    <t>INSERT INTO Lote (id_lote, codigo, id_variedad, notas) SELECT '95271efc', '95271efc', id_variedad, NULL FROM Variedad WHERE nombre = 'Malbec';</t>
  </si>
  <si>
    <t>INSERT INTO Lote (id_lote, codigo, id_variedad, notas) SELECT '56916efb', '56916efb', id_variedad, NULL FROM Variedad WHERE nombre = 'Malbec';</t>
  </si>
  <si>
    <t>INSERT INTO Lote (id_lote, codigo, id_variedad, notas) SELECT 'a9a1224c', 'a9a1224c', id_variedad, NULL FROM Variedad WHERE nombre = 'Malbec';</t>
  </si>
  <si>
    <t>INSERT INTO Lote (id_lote, codigo, id_variedad, notas) SELECT 'a324303d', 'a324303d', id_variedad, NULL FROM Variedad WHERE nombre = 'Aspirant Anccelota Gota';</t>
  </si>
  <si>
    <t>INSERT INTO Lote (id_lote, codigo, id_variedad, notas) SELECT 'ae07f26a', 'ae07f26a', id_variedad, NULL FROM Variedad WHERE nombre = 'Bonarda';</t>
  </si>
  <si>
    <t>INSERT INTO Lote (id_lote, codigo, id_variedad, notas) SELECT '20dba0dd', '20dba0dd', id_variedad, NULL FROM Variedad WHERE nombre = 'Syrah Tempranillo';</t>
  </si>
  <si>
    <t>INSERT INTO Lote (id_lote, codigo, id_variedad, notas) SELECT '4cb5f547', '4cb5f547', id_variedad, NULL FROM Variedad WHERE nombre = 'Syrah';</t>
  </si>
  <si>
    <t>INSERT INTO Lote (id_lote, codigo, id_variedad, notas) SELECT '6d97827a', '6d97827a', id_variedad, NULL FROM Variedad WHERE nombre = 'Syrah';</t>
  </si>
  <si>
    <t>INSERT INTO Lote (id_lote, codigo, id_variedad, notas) SELECT '99a4f454', '99a4f454', id_variedad, NULL FROM Variedad WHERE nombre = 'Malbec Medrano L 5223';</t>
  </si>
  <si>
    <t>INSERT INTO Lote (id_lote, codigo, id_variedad, notas) SELECT '26f083cf', '26f083cf', id_variedad, NULL FROM Variedad WHERE nombre = 'Malbec Medrano L 5223';</t>
  </si>
  <si>
    <t>INSERT INTO Lote (id_lote, codigo, id_variedad, notas) SELECT '5db7be38', '5db7be38', id_variedad, NULL FROM Variedad WHERE nombre = 'Malbec Montecepas 24';</t>
  </si>
  <si>
    <t>INSERT INTO Lote (id_lote, codigo, id_variedad, notas) SELECT 'b7784dc8', 'b7784dc8', id_variedad, NULL FROM Variedad WHERE nombre = 'Malbec Montecepas 24';</t>
  </si>
  <si>
    <t>INSERT INTO Lote (id_lote, codigo, id_variedad, notas) SELECT 'df10fd91', 'df10fd91', id_variedad, NULL FROM Variedad WHERE nombre = 'Malbec Magneta';</t>
  </si>
  <si>
    <t>INSERT INTO Lote (id_lote, codigo, id_variedad, notas) SELECT 'aa688500', 'aa688500', id_variedad, NULL FROM Variedad WHERE nombre = 'Malbec Montecepas L 5223';</t>
  </si>
  <si>
    <t>INSERT INTO Lote (id_lote, codigo, id_variedad, notas) SELECT 'cbc84b48', 'cbc84b48', id_variedad, NULL FROM Variedad WHERE nombre = 'Malbec Montecepas 24';</t>
  </si>
  <si>
    <t>INSERT INTO Lote (id_lote, codigo, id_variedad, notas) SELECT '8347bdfc', '8347bdfc', id_variedad, NULL FROM Variedad WHERE nombre = 'Malbec';</t>
  </si>
  <si>
    <t>-- 6. TABLA: Movimiento</t>
  </si>
  <si>
    <t>INSERT INTO Movimiento (id_movimiento, fecha_hora, id_tipo_movimiento, observaciones) SELECT 'de764408', '2025-02-15 21:00:53', id_tipo_movimiento, NULL FROM Tipo_movimiento WHERE nombre = 'Trasiego';</t>
  </si>
  <si>
    <t>INSERT INTO Movimiento (id_movimiento, fecha_hora, id_tipo_movimiento, observaciones) SELECT '6596058d', '2025-02-15 21:01:44', id_tipo_movimiento, NULL FROM Tipo_movimiento WHERE nombre = 'Trasiego';</t>
  </si>
  <si>
    <t>INSERT INTO Movimiento (id_movimiento, fecha_hora, id_tipo_movimiento, observaciones) SELECT 'ea75ff40', '2025-02-16 21:40:53', id_tipo_movimiento, NULL FROM Tipo_movimiento WHERE nombre = 'Trasiego';</t>
  </si>
  <si>
    <t>INSERT INTO Movimiento (id_movimiento, fecha_hora, id_tipo_movimiento, observaciones) SELECT '12e4e13b', '2025-02-16 22:29:20', id_tipo_movimiento, NULL FROM Tipo_movimiento WHERE nombre = 'Trasiego';</t>
  </si>
  <si>
    <t>INSERT INTO Movimiento (id_movimiento, fecha_hora, id_tipo_movimiento, observaciones) SELECT '14c84b1e', '2025-02-16 22:42:46', id_tipo_movimiento, NULL FROM Tipo_movimiento WHERE nombre = 'Trasiego';</t>
  </si>
  <si>
    <t>INSERT INTO Movimiento (id_movimiento, fecha_hora, id_tipo_movimiento, observaciones) SELECT 'db9bd61e', '2025-02-16 23:12:53', id_tipo_movimiento, NULL FROM Tipo_movimiento WHERE nombre = 'Trasiego';</t>
  </si>
  <si>
    <t>INSERT INTO Movimiento (id_movimiento, fecha_hora, id_tipo_movimiento, observaciones) SELECT '405705de', '2025-02-16 23:14:31', id_tipo_movimiento, NULL FROM Tipo_movimiento WHERE nombre = 'Trasiego';</t>
  </si>
  <si>
    <t>INSERT INTO Movimiento (id_movimiento, fecha_hora, id_tipo_movimiento, observaciones) SELECT '345b4c91', '2025-02-16 23:16:14', id_tipo_movimiento, NULL FROM Tipo_movimiento WHERE nombre = 'Trasiego';</t>
  </si>
  <si>
    <t>INSERT INTO Movimiento (id_movimiento, fecha_hora, id_tipo_movimiento, observaciones) SELECT 'cdf62189', '2025-02-20 17:08:21', id_tipo_movimiento, NULL FROM Tipo_movimiento WHERE nombre = 'Trasiego';</t>
  </si>
  <si>
    <t>INSERT INTO Movimiento (id_movimiento, fecha_hora, id_tipo_movimiento, observaciones) SELECT '14a9777e', '2025-02-20 17:24:13', id_tipo_movimiento, NULL FROM Tipo_movimiento WHERE nombre = 'Trasiego';</t>
  </si>
  <si>
    <t>INSERT INTO Movimiento (id_movimiento, fecha_hora, id_tipo_movimiento, observaciones) SELECT 'ee927519', '2025-02-20 17:47:15', id_tipo_movimiento, NULL FROM Tipo_movimiento WHERE nombre = 'Trasiego';</t>
  </si>
  <si>
    <t>INSERT INTO Movimiento (id_movimiento, fecha_hora, id_tipo_movimiento, observaciones) SELECT '6f1c07ae', '2025-02-20 17:56:07', id_tipo_movimiento, NULL FROM Tipo_movimiento WHERE nombre = 'Trasiego';</t>
  </si>
  <si>
    <t>INSERT INTO Movimiento (id_movimiento, fecha_hora, id_tipo_movimiento, observaciones) SELECT '662b2483', '2025-02-20 18:00:22', id_tipo_movimiento, NULL FROM Tipo_movimiento WHERE nombre = 'Trasiego';</t>
  </si>
  <si>
    <t>INSERT INTO Movimiento (id_movimiento, fecha_hora, id_tipo_movimiento, observaciones) SELECT '9f189d7d', '2025-02-20 18:02:36', id_tipo_movimiento, NULL FROM Tipo_movimiento WHERE nombre = 'Trasiego';</t>
  </si>
  <si>
    <t>INSERT INTO Movimiento (id_movimiento, fecha_hora, id_tipo_movimiento, observaciones) SELECT 'cfa35761', '2025-02-20 18:04:49', id_tipo_movimiento, NULL FROM Tipo_movimiento WHERE nombre = 'Trasiego';</t>
  </si>
  <si>
    <t>INSERT INTO Movimiento (id_movimiento, fecha_hora, id_tipo_movimiento, observaciones) SELECT '968706bd', '2025-02-21 19:32:26', id_tipo_movimiento, NULL FROM Tipo_movimiento WHERE nombre = 'Trasiego';</t>
  </si>
  <si>
    <t>INSERT INTO Movimiento (id_movimiento, fecha_hora, id_tipo_movimiento, observaciones) SELECT '8dbab148', '2025-02-21 20:04:19', id_tipo_movimiento, NULL FROM Tipo_movimiento WHERE nombre = 'Trasiego';</t>
  </si>
  <si>
    <t>INSERT INTO Movimiento (id_movimiento, fecha_hora, id_tipo_movimiento, observaciones) SELECT '7039bd57', '2025-02-21 20:05:20', id_tipo_movimiento, NULL FROM Tipo_movimiento WHERE nombre = 'Trasiego';</t>
  </si>
  <si>
    <t>INSERT INTO Movimiento (id_movimiento, fecha_hora, id_tipo_movimiento, observaciones) SELECT '22cfff5c', '2025-02-25 12:32:48', id_tipo_movimiento, NULL FROM Tipo_movimiento WHERE nombre = 'Trasiego';</t>
  </si>
  <si>
    <t>INSERT INTO Movimiento (id_movimiento, fecha_hora, id_tipo_movimiento, observaciones) SELECT '1ee5f0af', '2025-02-25 12:52:51', id_tipo_movimiento, NULL FROM Tipo_movimiento WHERE nombre = 'Trasiego';</t>
  </si>
  <si>
    <t>INSERT INTO Movimiento (id_movimiento, fecha_hora, id_tipo_movimiento, observaciones) SELECT '9eab323a', '2025-02-25 12:58:28', id_tipo_movimiento, NULL FROM Tipo_movimiento WHERE nombre = 'Trasiego';</t>
  </si>
  <si>
    <t>INSERT INTO Movimiento (id_movimiento, fecha_hora, id_tipo_movimiento, observaciones) SELECT '57f7f4a6', '2025-02-25 17:01:43', id_tipo_movimiento, NULL FROM Tipo_movimiento WHERE nombre = 'Trasiego';</t>
  </si>
  <si>
    <t>INSERT INTO Movimiento (id_movimiento, fecha_hora, id_tipo_movimiento, observaciones) SELECT '96b203c8', '2025-02-25 17:06:57', id_tipo_movimiento, NULL FROM Tipo_movimiento WHERE nombre = 'Trasiego';</t>
  </si>
  <si>
    <t>INSERT INTO Movimiento (id_movimiento, fecha_hora, id_tipo_movimiento, observaciones) SELECT 'a78ab6e7', '2025-02-25 17:20:09', id_tipo_movimiento, NULL FROM Tipo_movimiento WHERE nombre = 'Trasiego';</t>
  </si>
  <si>
    <t>INSERT INTO Movimiento (id_movimiento, fecha_hora, id_tipo_movimiento, observaciones) SELECT 'b92404cd', '2025-02-25 17:21:10', id_tipo_movimiento, NULL FROM Tipo_movimiento WHERE nombre = 'Trasiego';</t>
  </si>
  <si>
    <t>INSERT INTO Movimiento (id_movimiento, fecha_hora, id_tipo_movimiento, observaciones) SELECT 'ee34047e', '2025-02-25 17:43:09', id_tipo_movimiento, NULL FROM Tipo_movimiento WHERE nombre = 'Trasiego';</t>
  </si>
  <si>
    <t>INSERT INTO Movimiento (id_movimiento, fecha_hora, id_tipo_movimiento, observaciones) SELECT 'fe7eff9f', '2025-02-25 17:44:41', id_tipo_movimiento, NULL FROM Tipo_movimiento WHERE nombre = 'Trasiego';</t>
  </si>
  <si>
    <t>INSERT INTO Movimiento (id_movimiento, fecha_hora, id_tipo_movimiento, observaciones) SELECT 'ec72ee89', '2025-02-25 17:57:45', id_tipo_movimiento, NULL FROM Tipo_movimiento WHERE nombre = 'Trasiego';</t>
  </si>
  <si>
    <t>INSERT INTO Movimiento (id_movimiento, fecha_hora, id_tipo_movimiento, observaciones) SELECT '9e8d0f39', '2025-02-25 18:33:33', id_tipo_movimiento, NULL FROM Tipo_movimiento WHERE nombre = 'Trasiego';</t>
  </si>
  <si>
    <t>INSERT INTO Movimiento (id_movimiento, fecha_hora, id_tipo_movimiento, observaciones) SELECT '7b4bffff', '2025-02-25 18:41:36', id_tipo_movimiento, NULL FROM Tipo_movimiento WHERE nombre = 'Trasiego';</t>
  </si>
  <si>
    <t>INSERT INTO Movimiento (id_movimiento, fecha_hora, id_tipo_movimiento, observaciones) SELECT '490375eb', '2025-02-25 19:03:20', id_tipo_movimiento, NULL FROM Tipo_movimiento WHERE nombre = 'Trasiego';</t>
  </si>
  <si>
    <t>INSERT INTO Movimiento (id_movimiento, fecha_hora, id_tipo_movimiento, observaciones) SELECT 'e1980736', '2025-02-25 19:07:47', id_tipo_movimiento, NULL FROM Tipo_movimiento WHERE nombre = 'Trasiego';</t>
  </si>
  <si>
    <t>INSERT INTO Movimiento (id_movimiento, fecha_hora, id_tipo_movimiento, observaciones) SELECT '2d753a75', '2025-02-25 19:08:42', id_tipo_movimiento, NULL FROM Tipo_movimiento WHERE nombre = 'Trasiego';</t>
  </si>
  <si>
    <t>INSERT INTO Movimiento (id_movimiento, fecha_hora, id_tipo_movimiento, observaciones) SELECT 'da96250f', '2025-02-25 19:10:19', id_tipo_movimiento, NULL FROM Tipo_movimiento WHERE nombre = 'Trasiego';</t>
  </si>
  <si>
    <t>INSERT INTO Movimiento (id_movimiento, fecha_hora, id_tipo_movimiento, observaciones) SELECT 'c98d4615', '2025-02-26 09:51:16', id_tipo_movimiento, NULL FROM Tipo_movimiento WHERE nombre = 'Trasiego';</t>
  </si>
  <si>
    <t>INSERT INTO Movimiento (id_movimiento, fecha_hora, id_tipo_movimiento, observaciones) SELECT '277c1553', '2025-02-27 09:49:18', id_tipo_movimiento, NULL FROM Tipo_movimiento WHERE nombre = 'Trasiego';</t>
  </si>
  <si>
    <t>INSERT INTO Movimiento (id_movimiento, fecha_hora, id_tipo_movimiento, observaciones) SELECT '150bb873', '2025-02-27 09:50:43', id_tipo_movimiento, NULL FROM Tipo_movimiento WHERE nombre = 'Trasiego';</t>
  </si>
  <si>
    <t>INSERT INTO Movimiento (id_movimiento, fecha_hora, id_tipo_movimiento, observaciones) SELECT '828ab6d5', '2025-02-27 09:51:29', id_tipo_movimiento, NULL FROM Tipo_movimiento WHERE nombre = 'Trasiego';</t>
  </si>
  <si>
    <t>INSERT INTO Movimiento (id_movimiento, fecha_hora, id_tipo_movimiento, observaciones) SELECT '7463f544', '2025-02-27 09:52:53', id_tipo_movimiento, NULL FROM Tipo_movimiento WHERE nombre = 'Trasiego';</t>
  </si>
  <si>
    <t>INSERT INTO Movimiento (id_movimiento, fecha_hora, id_tipo_movimiento, observaciones) SELECT '01f1dc38', '2025-02-27 09:54:07', id_tipo_movimiento, NULL FROM Tipo_movimiento WHERE nombre = 'Trasiego';</t>
  </si>
  <si>
    <t>INSERT INTO Movimiento (id_movimiento, fecha_hora, id_tipo_movimiento, observaciones) SELECT '43efe779', '2025-02-27 18:22:12', id_tipo_movimiento, NULL FROM Tipo_movimiento WHERE nombre = 'Trasiego';</t>
  </si>
  <si>
    <t>INSERT INTO Movimiento (id_movimiento, fecha_hora, id_tipo_movimiento, observaciones) SELECT '41500743', '2025-02-27 19:00:19', id_tipo_movimiento, NULL FROM Tipo_movimiento WHERE nombre = 'Trasiego';</t>
  </si>
  <si>
    <t>INSERT INTO Movimiento (id_movimiento, fecha_hora, id_tipo_movimiento, observaciones) SELECT '516d898a', '2025-03-01 12:22:31', id_tipo_movimiento, NULL FROM Tipo_movimiento WHERE nombre = 'Trasiego';</t>
  </si>
  <si>
    <t>INSERT INTO Movimiento (id_movimiento, fecha_hora, id_tipo_movimiento, observaciones) SELECT 'd15b7359', '2025-03-01 12:32:41', id_tipo_movimiento, NULL FROM Tipo_movimiento WHERE nombre = 'Trasiego';</t>
  </si>
  <si>
    <t>INSERT INTO Movimiento (id_movimiento, fecha_hora, id_tipo_movimiento, observaciones) SELECT 'c02698f9', '2025-03-01 12:33:50', id_tipo_movimiento, NULL FROM Tipo_movimiento WHERE nombre = 'Trasiego';</t>
  </si>
  <si>
    <t>INSERT INTO Movimiento (id_movimiento, fecha_hora, id_tipo_movimiento, observaciones) SELECT 'd7db7220', '2025-03-01 12:45:07', id_tipo_movimiento, NULL FROM Tipo_movimiento WHERE nombre = 'Trasiego';</t>
  </si>
  <si>
    <t>INSERT INTO Movimiento (id_movimiento, fecha_hora, id_tipo_movimiento, observaciones) SELECT '3bd69807', '2025-03-01 12:50:06', id_tipo_movimiento, NULL FROM Tipo_movimiento WHERE nombre = 'Trasiego';</t>
  </si>
  <si>
    <t>INSERT INTO Movimiento (id_movimiento, fecha_hora, id_tipo_movimiento, observaciones) SELECT '5c36256b', '2025-03-01 12:52:24', id_tipo_movimiento, NULL FROM Tipo_movimiento WHERE nombre = 'Trasiego';</t>
  </si>
  <si>
    <t>INSERT INTO Movimiento (id_movimiento, fecha_hora, id_tipo_movimiento, observaciones) SELECT '2957daf0', '2025-03-02 15:31:38', id_tipo_movimiento, NULL FROM Tipo_movimiento WHERE nombre = 'Trasiego';</t>
  </si>
  <si>
    <t>INSERT INTO Movimiento (id_movimiento, fecha_hora, id_tipo_movimiento, observaciones) SELECT 'c6944202', '2025-03-02 15:39:44', id_tipo_movimiento, NULL FROM Tipo_movimiento WHERE nombre = 'Trasiego';</t>
  </si>
  <si>
    <t>INSERT INTO Movimiento (id_movimiento, fecha_hora, id_tipo_movimiento, observaciones) SELECT 'c86ba992', '2025-03-03 16:44:49', id_tipo_movimiento, NULL FROM Tipo_movimiento WHERE nombre = 'Trasiego';</t>
  </si>
  <si>
    <t>INSERT INTO Movimiento (id_movimiento, fecha_hora, id_tipo_movimiento, observaciones) SELECT 'e0151fea', '2025-03-04 18:48:41', id_tipo_movimiento, NULL FROM Tipo_movimiento WHERE nombre = 'Trasiego';</t>
  </si>
  <si>
    <t>INSERT INTO Movimiento (id_movimiento, fecha_hora, id_tipo_movimiento, observaciones) SELECT '85bf8a32', '2025-03-05 11:58:06', id_tipo_movimiento, NULL FROM Tipo_movimiento WHERE nombre = 'Trasiego';</t>
  </si>
  <si>
    <t>INSERT INTO Movimiento (id_movimiento, fecha_hora, id_tipo_movimiento, observaciones) SELECT '76b1f67d', '2025-03-05 11:59:18', id_tipo_movimiento, NULL FROM Tipo_movimiento WHERE nombre = 'Trasiego';</t>
  </si>
  <si>
    <t>INSERT INTO Movimiento (id_movimiento, fecha_hora, id_tipo_movimiento, observaciones) SELECT '9ac6d73d', '2025-03-05 12:03:47', id_tipo_movimiento, NULL FROM Tipo_movimiento WHERE nombre = 'Trasiego';</t>
  </si>
  <si>
    <t>INSERT INTO Movimiento (id_movimiento, fecha_hora, id_tipo_movimiento, observaciones) SELECT '1eb58a27', '2025-03-05 12:12:38', id_tipo_movimiento, NULL FROM Tipo_movimiento WHERE nombre = 'Trasiego';</t>
  </si>
  <si>
    <t>INSERT INTO Movimiento (id_movimiento, fecha_hora, id_tipo_movimiento, observaciones) SELECT 'f06d5126', '2025-03-05 12:13:46', id_tipo_movimiento, NULL FROM Tipo_movimiento WHERE nombre = 'Trasiego';</t>
  </si>
  <si>
    <t>INSERT INTO Movimiento (id_movimiento, fecha_hora, id_tipo_movimiento, observaciones) SELECT '68cd71e8', '2025-03-05 12:17:06', id_tipo_movimiento, NULL FROM Tipo_movimiento WHERE nombre = 'Trasiego';</t>
  </si>
  <si>
    <t>INSERT INTO Movimiento (id_movimiento, fecha_hora, id_tipo_movimiento, observaciones) SELECT 'cc0f71ad', '2025-03-05 12:21:15', id_tipo_movimiento, NULL FROM Tipo_movimiento WHERE nombre = 'Trasiego';</t>
  </si>
  <si>
    <t>INSERT INTO Movimiento (id_movimiento, fecha_hora, id_tipo_movimiento, observaciones) SELECT '0c3c4109', '2025-03-05 12:22:02', id_tipo_movimiento, NULL FROM Tipo_movimiento WHERE nombre = 'Trasiego';</t>
  </si>
  <si>
    <t>INSERT INTO Movimiento (id_movimiento, fecha_hora, id_tipo_movimiento, observaciones) SELECT 'e22d3e22', '2025-03-05 12:26:35', id_tipo_movimiento, NULL FROM Tipo_movimiento WHERE nombre = 'Trasiego';</t>
  </si>
  <si>
    <t>INSERT INTO Movimiento (id_movimiento, fecha_hora, id_tipo_movimiento, observaciones) SELECT 'c649af19', '2025-03-05 12:28:56', id_tipo_movimiento, NULL FROM Tipo_movimiento WHERE nombre = 'Trasiego';</t>
  </si>
  <si>
    <t>INSERT INTO Movimiento (id_movimiento, fecha_hora, id_tipo_movimiento, observaciones) SELECT 'f19b3624', '2025-03-05 12:29:58', id_tipo_movimiento, NULL FROM Tipo_movimiento WHERE nombre = 'Trasiego';</t>
  </si>
  <si>
    <t>INSERT INTO Movimiento (id_movimiento, fecha_hora, id_tipo_movimiento, observaciones) SELECT 'a9f9a0bf', '2025-03-06 09:35:47', id_tipo_movimiento, NULL FROM Tipo_movimiento WHERE nombre = 'Trasiego';</t>
  </si>
  <si>
    <t>INSERT INTO Movimiento (id_movimiento, fecha_hora, id_tipo_movimiento, observaciones) SELECT '856d152a', '2025-03-06 09:43:04', id_tipo_movimiento, NULL FROM Tipo_movimiento WHERE nombre = 'Trasiego';</t>
  </si>
  <si>
    <t>INSERT INTO Movimiento (id_movimiento, fecha_hora, id_tipo_movimiento, observaciones) SELECT 'ba7c9884', '2025-03-06 09:44:51', id_tipo_movimiento, NULL FROM Tipo_movimiento WHERE nombre = 'Trasiego';</t>
  </si>
  <si>
    <t>INSERT INTO Movimiento (id_movimiento, fecha_hora, id_tipo_movimiento, observaciones) SELECT '0b7480e0', '2025-03-06 09:45:42', id_tipo_movimiento, NULL FROM Tipo_movimiento WHERE nombre = 'Trasiego';</t>
  </si>
  <si>
    <t>INSERT INTO Movimiento (id_movimiento, fecha_hora, id_tipo_movimiento, observaciones) SELECT '5376b536', '2025-03-06 09:56:07', id_tipo_movimiento, NULL FROM Tipo_movimiento WHERE nombre = 'Trasiego';</t>
  </si>
  <si>
    <t>INSERT INTO Movimiento (id_movimiento, fecha_hora, id_tipo_movimiento, observaciones) SELECT 'd699073e', '2025-03-06 09:57:12', id_tipo_movimiento, NULL FROM Tipo_movimiento WHERE nombre = 'Trasiego';</t>
  </si>
  <si>
    <t>INSERT INTO Movimiento (id_movimiento, fecha_hora, id_tipo_movimiento, observaciones) SELECT '039b3a15', '2025-03-06 10:03:14', id_tipo_movimiento, NULL FROM Tipo_movimiento WHERE nombre = 'Trasiego';</t>
  </si>
  <si>
    <t>INSERT INTO Movimiento (id_movimiento, fecha_hora, id_tipo_movimiento, observaciones) SELECT '268d8d70', '2025-03-06 10:07:03', id_tipo_movimiento, NULL FROM Tipo_movimiento WHERE nombre = 'Trasiego';</t>
  </si>
  <si>
    <t>INSERT INTO Movimiento (id_movimiento, fecha_hora, id_tipo_movimiento, observaciones) SELECT '7011477f', '2025-03-06 10:10:22', id_tipo_movimiento, NULL FROM Tipo_movimiento WHERE nombre = 'Trasiego';</t>
  </si>
  <si>
    <t>INSERT INTO Movimiento (id_movimiento, fecha_hora, id_tipo_movimiento, observaciones) SELECT '0779902a', '2025-03-06 10:10:51', id_tipo_movimiento, NULL FROM Tipo_movimiento WHERE nombre = 'Trasiego';</t>
  </si>
  <si>
    <t>INSERT INTO Movimiento (id_movimiento, fecha_hora, id_tipo_movimiento, observaciones) SELECT '6b47fc79', '2025-03-06 10:11:23', id_tipo_movimiento, NULL FROM Tipo_movimiento WHERE nombre = 'Trasiego';</t>
  </si>
  <si>
    <t>INSERT INTO Movimiento (id_movimiento, fecha_hora, id_tipo_movimiento, observaciones) SELECT 'b64c6496', '2025-03-06 18:14:40', id_tipo_movimiento, NULL FROM Tipo_movimiento WHERE nombre = 'Trasiego';</t>
  </si>
  <si>
    <t>INSERT INTO Movimiento (id_movimiento, fecha_hora, id_tipo_movimiento, observaciones) SELECT '42091a69', '2025-03-06 18:37:24', id_tipo_movimiento, NULL FROM Tipo_movimiento WHERE nombre = 'Trasiego';</t>
  </si>
  <si>
    <t>INSERT INTO Movimiento (id_movimiento, fecha_hora, id_tipo_movimiento, observaciones) SELECT 'd8aa6864', '2025-03-06 18:38:05', id_tipo_movimiento, NULL FROM Tipo_movimiento WHERE nombre = 'Trasiego';</t>
  </si>
  <si>
    <t>INSERT INTO Movimiento (id_movimiento, fecha_hora, id_tipo_movimiento, observaciones) SELECT '8bdbe45e', '2025-03-06 18:40:07', id_tipo_movimiento, NULL FROM Tipo_movimiento WHERE nombre = 'Trasiego';</t>
  </si>
  <si>
    <t>INSERT INTO Movimiento (id_movimiento, fecha_hora, id_tipo_movimiento, observaciones) SELECT '4ea00640', '2025-03-06 18:40:50', id_tipo_movimiento, NULL FROM Tipo_movimiento WHERE nombre = 'Trasiego';</t>
  </si>
  <si>
    <t>INSERT INTO Movimiento (id_movimiento, fecha_hora, id_tipo_movimiento, observaciones) SELECT '32dd6da9', '2025-03-06 18:52:08', id_tipo_movimiento, NULL FROM Tipo_movimiento WHERE nombre = 'Trasiego';</t>
  </si>
  <si>
    <t>INSERT INTO Movimiento (id_movimiento, fecha_hora, id_tipo_movimiento, observaciones) SELECT 'fc23046e', '2025-03-07 10:44:40', id_tipo_movimiento, NULL FROM Tipo_movimiento WHERE nombre = 'Trasiego';</t>
  </si>
  <si>
    <t>INSERT INTO Movimiento (id_movimiento, fecha_hora, id_tipo_movimiento, observaciones) SELECT 'c2c37144', '2025-03-07 18:11:08', id_tipo_movimiento, NULL FROM Tipo_movimiento WHERE nombre = 'Trasiego';</t>
  </si>
  <si>
    <t>INSERT INTO Movimiento (id_movimiento, fecha_hora, id_tipo_movimiento, observaciones) SELECT '234faefd', '2025-03-07 18:13:41', id_tipo_movimiento, NULL FROM Tipo_movimiento WHERE nombre = 'Trasiego';</t>
  </si>
  <si>
    <t>INSERT INTO Movimiento (id_movimiento, fecha_hora, id_tipo_movimiento, observaciones) SELECT '3d37857c', '2025-03-07 18:14:23', id_tipo_movimiento, NULL FROM Tipo_movimiento WHERE nombre = 'Trasiego';</t>
  </si>
  <si>
    <t>INSERT INTO Movimiento (id_movimiento, fecha_hora, id_tipo_movimiento, observaciones) SELECT '047c2d7c', '2025-03-07 18:30:35', id_tipo_movimiento, NULL FROM Tipo_movimiento WHERE nombre = 'Trasiego';</t>
  </si>
  <si>
    <t>INSERT INTO Movimiento (id_movimiento, fecha_hora, id_tipo_movimiento, observaciones) SELECT 'c142ff82', '2025-03-07 18:32:51', id_tipo_movimiento, NULL FROM Tipo_movimiento WHERE nombre = 'Trasiego';</t>
  </si>
  <si>
    <t>INSERT INTO Movimiento (id_movimiento, fecha_hora, id_tipo_movimiento, observaciones) SELECT 'a2ec88ae', '2025-03-07 18:33:48', id_tipo_movimiento, NULL FROM Tipo_movimiento WHERE nombre = 'Trasiego';</t>
  </si>
  <si>
    <t>INSERT INTO Movimiento (id_movimiento, fecha_hora, id_tipo_movimiento, observaciones) SELECT 'a390f916', '2025-03-07 18:34:08', id_tipo_movimiento, NULL FROM Tipo_movimiento WHERE nombre = 'Trasiego';</t>
  </si>
  <si>
    <t>INSERT INTO Movimiento (id_movimiento, fecha_hora, id_tipo_movimiento, observaciones) SELECT '2d51a36a', '2025-03-07 19:02:10', id_tipo_movimiento, NULL FROM Tipo_movimiento WHERE nombre = 'Trasiego';</t>
  </si>
  <si>
    <t>INSERT INTO Movimiento (id_movimiento, fecha_hora, id_tipo_movimiento, observaciones) SELECT '723d4d28', '2025-03-07 19:03:34', id_tipo_movimiento, NULL FROM Tipo_movimiento WHERE nombre = 'Trasiego';</t>
  </si>
  <si>
    <t>INSERT INTO Movimiento (id_movimiento, fecha_hora, id_tipo_movimiento, observaciones) SELECT '222dbe9a', '2025-03-07 19:06:18', id_tipo_movimiento, NULL FROM Tipo_movimiento WHERE nombre = 'Trasiego';</t>
  </si>
  <si>
    <t>INSERT INTO Movimiento (id_movimiento, fecha_hora, id_tipo_movimiento, observaciones) SELECT '81e90a51', '2025-03-07 19:07:35', id_tipo_movimiento, NULL FROM Tipo_movimiento WHERE nombre = 'Trasiego';</t>
  </si>
  <si>
    <t>INSERT INTO Movimiento (id_movimiento, fecha_hora, id_tipo_movimiento, observaciones) SELECT '6e74d342', '2025-03-07 19:15:07', id_tipo_movimiento, NULL FROM Tipo_movimiento WHERE nombre = 'Trasiego';</t>
  </si>
  <si>
    <t>INSERT INTO Movimiento (id_movimiento, fecha_hora, id_tipo_movimiento, observaciones) SELECT '4221e61a', '2025-03-07 19:15:39', id_tipo_movimiento, NULL FROM Tipo_movimiento WHERE nombre = 'Trasiego';</t>
  </si>
  <si>
    <t>INSERT INTO Movimiento (id_movimiento, fecha_hora, id_tipo_movimiento, observaciones) SELECT 'fd5743ab', '2025-03-07 19:16:29', id_tipo_movimiento, NULL FROM Tipo_movimiento WHERE nombre = 'Trasiego';</t>
  </si>
  <si>
    <t>INSERT INTO Movimiento (id_movimiento, fecha_hora, id_tipo_movimiento, observaciones) SELECT '707a6f97', '2025-03-07 19:17:14', id_tipo_movimiento, NULL FROM Tipo_movimiento WHERE nombre = 'Trasiego';</t>
  </si>
  <si>
    <t>INSERT INTO Movimiento (id_movimiento, fecha_hora, id_tipo_movimiento, observaciones) SELECT 'af0ffa93', '2025-03-07 19:39:31', id_tipo_movimiento, NULL FROM Tipo_movimiento WHERE nombre = 'Trasiego';</t>
  </si>
  <si>
    <t>INSERT INTO Movimiento (id_movimiento, fecha_hora, id_tipo_movimiento, observaciones) SELECT '9804f7ca', '2025-03-07 19:40:22', id_tipo_movimiento, NULL FROM Tipo_movimiento WHERE nombre = 'Trasiego';</t>
  </si>
  <si>
    <t>INSERT INTO Movimiento (id_movimiento, fecha_hora, id_tipo_movimiento, observaciones) SELECT 'b30d4fdf', '2025-03-07 19:41:06', id_tipo_movimiento, NULL FROM Tipo_movimiento WHERE nombre = 'Trasiego';</t>
  </si>
  <si>
    <t>INSERT INTO Movimiento (id_movimiento, fecha_hora, id_tipo_movimiento, observaciones) SELECT '0b8dfe7e', '2025-03-07 19:41:37', id_tipo_movimiento, NULL FROM Tipo_movimiento WHERE nombre = 'Trasiego';</t>
  </si>
  <si>
    <t>INSERT INTO Movimiento (id_movimiento, fecha_hora, id_tipo_movimiento, observaciones) SELECT 'e6d010c5', '2025-03-08 13:06:09', id_tipo_movimiento, NULL FROM Tipo_movimiento WHERE nombre = 'Trasiego';</t>
  </si>
  <si>
    <t>INSERT INTO Movimiento (id_movimiento, fecha_hora, id_tipo_movimiento, observaciones) SELECT '7f5134a8', '2025-03-08 13:07:18', id_tipo_movimiento, NULL FROM Tipo_movimiento WHERE nombre = 'Trasiego';</t>
  </si>
  <si>
    <t>INSERT INTO Movimiento (id_movimiento, fecha_hora, id_tipo_movimiento, observaciones) SELECT 'cf666ee7', '2025-03-08 13:08:29', id_tipo_movimiento, NULL FROM Tipo_movimiento WHERE nombre = 'Trasiego';</t>
  </si>
  <si>
    <t>INSERT INTO Movimiento (id_movimiento, fecha_hora, id_tipo_movimiento, observaciones) SELECT '42fe26ec', '2025-03-08 13:12:25', id_tipo_movimiento, NULL FROM Tipo_movimiento WHERE nombre = 'Trasiego';</t>
  </si>
  <si>
    <t>INSERT INTO Movimiento (id_movimiento, fecha_hora, id_tipo_movimiento, observaciones) SELECT '07b798ca', '2025-03-08 13:12:49', id_tipo_movimiento, NULL FROM Tipo_movimiento WHERE nombre = 'Trasiego';</t>
  </si>
  <si>
    <t>INSERT INTO Movimiento (id_movimiento, fecha_hora, id_tipo_movimiento, observaciones) SELECT '84b16607', '2025-03-08 13:13:08', id_tipo_movimiento, NULL FROM Tipo_movimiento WHERE nombre = 'Trasiego';</t>
  </si>
  <si>
    <t>INSERT INTO Movimiento (id_movimiento, fecha_hora, id_tipo_movimiento, observaciones) SELECT 'f5883372', '2025-03-08 13:13:30', id_tipo_movimiento, NULL FROM Tipo_movimiento WHERE nombre = 'Trasiego';</t>
  </si>
  <si>
    <t>INSERT INTO Movimiento (id_movimiento, fecha_hora, id_tipo_movimiento, observaciones) SELECT '1c54f750', '2025-03-08 13:14:49', id_tipo_movimiento, NULL FROM Tipo_movimiento WHERE nombre = 'Trasiego';</t>
  </si>
  <si>
    <t>INSERT INTO Movimiento (id_movimiento, fecha_hora, id_tipo_movimiento, observaciones) SELECT '53814939', '2025-03-08 13:15:36', id_tipo_movimiento, NULL FROM Tipo_movimiento WHERE nombre = 'Trasiego';</t>
  </si>
  <si>
    <t>INSERT INTO Movimiento (id_movimiento, fecha_hora, id_tipo_movimiento, observaciones) SELECT '3702b720', '2025-03-08 13:16:25', id_tipo_movimiento, NULL FROM Tipo_movimiento WHERE nombre = 'Trasiego';</t>
  </si>
  <si>
    <t>INSERT INTO Movimiento (id_movimiento, fecha_hora, id_tipo_movimiento, observaciones) SELECT 'd2f7e5f3', '2025-03-08 13:16:58', id_tipo_movimiento, NULL FROM Tipo_movimiento WHERE nombre = 'Trasiego';</t>
  </si>
  <si>
    <t>INSERT INTO Movimiento (id_movimiento, fecha_hora, id_tipo_movimiento, observaciones) SELECT '4c085647', '2025-03-10 11:17:47', id_tipo_movimiento, NULL FROM Tipo_movimiento WHERE nombre = 'Trasiego';</t>
  </si>
  <si>
    <t>INSERT INTO Movimiento (id_movimiento, fecha_hora, id_tipo_movimiento, observaciones) SELECT 'dc3a18e6', '2025-03-10 11:19:31', id_tipo_movimiento, NULL FROM Tipo_movimiento WHERE nombre = 'Trasiego';</t>
  </si>
  <si>
    <t>INSERT INTO Movimiento (id_movimiento, fecha_hora, id_tipo_movimiento, observaciones) SELECT '54b00730', '2025-03-10 11:20:07', id_tipo_movimiento, NULL FROM Tipo_movimiento WHERE nombre = 'Trasiego';</t>
  </si>
  <si>
    <t>INSERT INTO Movimiento (id_movimiento, fecha_hora, id_tipo_movimiento, observaciones) SELECT 'de983fea', '2025-03-10 11:28:27', id_tipo_movimiento, NULL FROM Tipo_movimiento WHERE nombre = 'Trasiego';</t>
  </si>
  <si>
    <t>INSERT INTO Movimiento (id_movimiento, fecha_hora, id_tipo_movimiento, observaciones) SELECT '0929ea78', '2025-03-10 11:29:04', id_tipo_movimiento, NULL FROM Tipo_movimiento WHERE nombre = 'Trasiego';</t>
  </si>
  <si>
    <t>INSERT INTO Movimiento (id_movimiento, fecha_hora, id_tipo_movimiento, observaciones) SELECT '7d00c4a9', '2025-03-10 23:16:38', id_tipo_movimiento, NULL FROM Tipo_movimiento WHERE nombre = 'Trasiego';</t>
  </si>
  <si>
    <t>INSERT INTO Movimiento (id_movimiento, fecha_hora, id_tipo_movimiento, observaciones) SELECT '5491046b', '2025-03-10 23:17:45', id_tipo_movimiento, NULL FROM Tipo_movimiento WHERE nombre = 'Trasiego';</t>
  </si>
  <si>
    <t>INSERT INTO Movimiento (id_movimiento, fecha_hora, id_tipo_movimiento, observaciones) SELECT 'b1dca1fb', '2025-03-10 23:20:15', id_tipo_movimiento, NULL FROM Tipo_movimiento WHERE nombre = 'Trasiego';</t>
  </si>
  <si>
    <t>INSERT INTO Movimiento (id_movimiento, fecha_hora, id_tipo_movimiento, observaciones) SELECT 'eb4e7714', '2025-03-10 23:21:45', id_tipo_movimiento, NULL FROM Tipo_movimiento WHERE nombre = 'Trasiego';</t>
  </si>
  <si>
    <t>INSERT INTO Movimiento (id_movimiento, fecha_hora, id_tipo_movimiento, observaciones) SELECT 'afa99dc2', '2025-03-11 08:49:19', id_tipo_movimiento, NULL FROM Tipo_movimiento WHERE nombre = 'Trasiego';</t>
  </si>
  <si>
    <t>INSERT INTO Movimiento (id_movimiento, fecha_hora, id_tipo_movimiento, observaciones) SELECT '9add0c3a', '2025-03-11 09:01:26', id_tipo_movimiento, NULL FROM Tipo_movimiento WHERE nombre = 'Trasiego';</t>
  </si>
  <si>
    <t>INSERT INTO Movimiento (id_movimiento, fecha_hora, id_tipo_movimiento, observaciones) SELECT 'e2f2138e', '2025-03-11 09:03:12', id_tipo_movimiento, NULL FROM Tipo_movimiento WHERE nombre = 'Trasiego';</t>
  </si>
  <si>
    <t>INSERT INTO Movimiento (id_movimiento, fecha_hora, id_tipo_movimiento, observaciones) SELECT '83dd72f2', '2025-03-11 09:07:38', id_tipo_movimiento, NULL FROM Tipo_movimiento WHERE nombre = 'Trasiego';</t>
  </si>
  <si>
    <t>INSERT INTO Movimiento (id_movimiento, fecha_hora, id_tipo_movimiento, observaciones) SELECT '0c1fbd44', '2025-03-11 09:08:24', id_tipo_movimiento, NULL FROM Tipo_movimiento WHERE nombre = 'Trasiego';</t>
  </si>
  <si>
    <t>INSERT INTO Movimiento (id_movimiento, fecha_hora, id_tipo_movimiento, observaciones) SELECT '048878eb', '2025-03-11 09:28:34', id_tipo_movimiento, NULL FROM Tipo_movimiento WHERE nombre = 'Trasiego';</t>
  </si>
  <si>
    <t>INSERT INTO Movimiento (id_movimiento, fecha_hora, id_tipo_movimiento, observaciones) SELECT '0bfe0668', '2025-03-11 09:38:15', id_tipo_movimiento, NULL FROM Tipo_movimiento WHERE nombre = 'Trasiego';</t>
  </si>
  <si>
    <t>INSERT INTO Movimiento (id_movimiento, fecha_hora, id_tipo_movimiento, observaciones) SELECT '99e3e9d0', '2025-03-11 09:40:31', id_tipo_movimiento, NULL FROM Tipo_movimiento WHERE nombre = 'Trasiego';</t>
  </si>
  <si>
    <t>INSERT INTO Movimiento (id_movimiento, fecha_hora, id_tipo_movimiento, observaciones) SELECT 'd32a641a', '2025-03-11 09:40:57', id_tipo_movimiento, NULL FROM Tipo_movimiento WHERE nombre = 'Trasiego';</t>
  </si>
  <si>
    <t>INSERT INTO Movimiento (id_movimiento, fecha_hora, id_tipo_movimiento, observaciones) SELECT '8831c9f9', '2025-03-11 17:03:00', id_tipo_movimiento, NULL FROM Tipo_movimiento WHERE nombre = 'Trasiego';</t>
  </si>
  <si>
    <t>INSERT INTO Movimiento (id_movimiento, fecha_hora, id_tipo_movimiento, observaciones) SELECT '74bfc57b', '2025-03-11 18:42:02', id_tipo_movimiento, NULL FROM Tipo_movimiento WHERE nombre = 'Trasiego';</t>
  </si>
  <si>
    <t>INSERT INTO Movimiento (id_movimiento, fecha_hora, id_tipo_movimiento, observaciones) SELECT '58a28f74', '2025-03-11 20:42:18', id_tipo_movimiento, NULL FROM Tipo_movimiento WHERE nombre = 'Trasiego';</t>
  </si>
  <si>
    <t>INSERT INTO Movimiento (id_movimiento, fecha_hora, id_tipo_movimiento, observaciones) SELECT '84e7b372', '2025-03-12 12:39:31', id_tipo_movimiento, NULL FROM Tipo_movimiento WHERE nombre = 'Trasiego';</t>
  </si>
  <si>
    <t>INSERT INTO Movimiento (id_movimiento, fecha_hora, id_tipo_movimiento, observaciones) SELECT 'd58cdf25', '2025-03-12 13:00:06', id_tipo_movimiento, NULL FROM Tipo_movimiento WHERE nombre = 'Trasiego';</t>
  </si>
  <si>
    <t>INSERT INTO Movimiento (id_movimiento, fecha_hora, id_tipo_movimiento, observaciones) SELECT '98eb2e17', '2025-03-12 18:10:14', id_tipo_movimiento, NULL FROM Tipo_movimiento WHERE nombre = 'Trasiego';</t>
  </si>
  <si>
    <t>INSERT INTO Movimiento (id_movimiento, fecha_hora, id_tipo_movimiento, observaciones) SELECT 'bf412715', '2025-03-12 18:10:44', id_tipo_movimiento, NULL FROM Tipo_movimiento WHERE nombre = 'Trasiego';</t>
  </si>
  <si>
    <t>INSERT INTO Movimiento (id_movimiento, fecha_hora, id_tipo_movimiento, observaciones) SELECT '7431dfd2', '2025-03-12 18:11:07', id_tipo_movimiento, NULL FROM Tipo_movimiento WHERE nombre = 'Trasiego';</t>
  </si>
  <si>
    <t>INSERT INTO Movimiento (id_movimiento, fecha_hora, id_tipo_movimiento, observaciones) SELECT '6558a8c3', '2025-03-12 20:49:39', id_tipo_movimiento, NULL FROM Tipo_movimiento WHERE nombre = 'Trasiego';</t>
  </si>
  <si>
    <t>INSERT INTO Movimiento (id_movimiento, fecha_hora, id_tipo_movimiento, observaciones) SELECT '40da80f7', '2025-03-13 19:21:18', id_tipo_movimiento, NULL FROM Tipo_movimiento WHERE nombre = 'Trasiego';</t>
  </si>
  <si>
    <t>INSERT INTO Movimiento (id_movimiento, fecha_hora, id_tipo_movimiento, observaciones) SELECT '50413875', '2025-03-13 19:22:28', id_tipo_movimiento, NULL FROM Tipo_movimiento WHERE nombre = 'Trasiego';</t>
  </si>
  <si>
    <t>INSERT INTO Movimiento (id_movimiento, fecha_hora, id_tipo_movimiento, observaciones) SELECT 'a434d241', '2025-03-13 19:27:15', id_tipo_movimiento, NULL FROM Tipo_movimiento WHERE nombre = 'Trasiego';</t>
  </si>
  <si>
    <t>INSERT INTO Movimiento (id_movimiento, fecha_hora, id_tipo_movimiento, observaciones) SELECT '6a2ac77c', '2025-03-13 19:28:08', id_tipo_movimiento, NULL FROM Tipo_movimiento WHERE nombre = 'Trasiego';</t>
  </si>
  <si>
    <t>INSERT INTO Movimiento (id_movimiento, fecha_hora, id_tipo_movimiento, observaciones) SELECT 'ef0c6006', '2025-03-14 09:23:21', id_tipo_movimiento, NULL FROM Tipo_movimiento WHERE nombre = 'Trasiego';</t>
  </si>
  <si>
    <t>INSERT INTO Movimiento (id_movimiento, fecha_hora, id_tipo_movimiento, observaciones) SELECT 'e4dad44b', '2025-03-14 09:24:49', id_tipo_movimiento, NULL FROM Tipo_movimiento WHERE nombre = 'Trasiego';</t>
  </si>
  <si>
    <t>INSERT INTO Movimiento (id_movimiento, fecha_hora, id_tipo_movimiento, observaciones) SELECT '41591c55', '2025-03-14 17:39:15', id_tipo_movimiento, NULL FROM Tipo_movimiento WHERE nombre = 'Trasiego';</t>
  </si>
  <si>
    <t>INSERT INTO Movimiento (id_movimiento, fecha_hora, id_tipo_movimiento, observaciones) SELECT 'baa5467a', '2025-03-14 17:56:14', id_tipo_movimiento, NULL FROM Tipo_movimiento WHERE nombre = 'Trasiego';</t>
  </si>
  <si>
    <t>INSERT INTO Movimiento (id_movimiento, fecha_hora, id_tipo_movimiento, observaciones) SELECT '32477090', '2025-03-14 17:57:38', id_tipo_movimiento, NULL FROM Tipo_movimiento WHERE nombre = 'Trasiego';</t>
  </si>
  <si>
    <t>INSERT INTO Movimiento (id_movimiento, fecha_hora, id_tipo_movimiento, observaciones) SELECT 'b058c3ad', '2025-03-14 17:58:51', id_tipo_movimiento, NULL FROM Tipo_movimiento WHERE nombre = 'Trasiego';</t>
  </si>
  <si>
    <t>INSERT INTO Movimiento (id_movimiento, fecha_hora, id_tipo_movimiento, observaciones) SELECT '9ee0044e', '2025-03-14 18:47:29', id_tipo_movimiento, NULL FROM Tipo_movimiento WHERE nombre = 'Trasiego';</t>
  </si>
  <si>
    <t>INSERT INTO Movimiento (id_movimiento, fecha_hora, id_tipo_movimiento, observaciones) SELECT 'b4f4afab', '2025-03-14 18:52:12', id_tipo_movimiento, NULL FROM Tipo_movimiento WHERE nombre = 'Trasiego';</t>
  </si>
  <si>
    <t>INSERT INTO Movimiento (id_movimiento, fecha_hora, id_tipo_movimiento, observaciones) SELECT '80dcdad5', '2025-03-14 18:57:12', id_tipo_movimiento, NULL FROM Tipo_movimiento WHERE nombre = 'Trasiego';</t>
  </si>
  <si>
    <t>INSERT INTO Movimiento (id_movimiento, fecha_hora, id_tipo_movimiento, observaciones) SELECT 'ca94aa1f', '2025-03-14 18:59:28', id_tipo_movimiento, NULL FROM Tipo_movimiento WHERE nombre = 'Trasiego';</t>
  </si>
  <si>
    <t>INSERT INTO Movimiento (id_movimiento, fecha_hora, id_tipo_movimiento, observaciones) SELECT '381b60d3', '2025-03-17 09:47:45', id_tipo_movimiento, NULL FROM Tipo_movimiento WHERE nombre = 'Trasiego';</t>
  </si>
  <si>
    <t>INSERT INTO Movimiento (id_movimiento, fecha_hora, id_tipo_movimiento, observaciones) SELECT 'ffd1066a', '2025-03-17 09:49:57', id_tipo_movimiento, NULL FROM Tipo_movimiento WHERE nombre = 'Trasiego';</t>
  </si>
  <si>
    <t>INSERT INTO Movimiento (id_movimiento, fecha_hora, id_tipo_movimiento, observaciones) SELECT '478ea4af', '2025-03-17 09:50:36', id_tipo_movimiento, NULL FROM Tipo_movimiento WHERE nombre = 'Trasiego';</t>
  </si>
  <si>
    <t>INSERT INTO Movimiento (id_movimiento, fecha_hora, id_tipo_movimiento, observaciones) SELECT '0f751072', '2025-03-17 10:05:55', id_tipo_movimiento, NULL FROM Tipo_movimiento WHERE nombre = 'Trasiego';</t>
  </si>
  <si>
    <t>INSERT INTO Movimiento (id_movimiento, fecha_hora, id_tipo_movimiento, observaciones) SELECT '384f9757', '2025-03-17 10:06:50', id_tipo_movimiento, NULL FROM Tipo_movimiento WHERE nombre = 'Trasiego';</t>
  </si>
  <si>
    <t>INSERT INTO Movimiento (id_movimiento, fecha_hora, id_tipo_movimiento, observaciones) SELECT '2372b679', '2025-03-17 10:07:15', id_tipo_movimiento, NULL FROM Tipo_movimiento WHERE nombre = 'Trasiego';</t>
  </si>
  <si>
    <t>INSERT INTO Movimiento (id_movimiento, fecha_hora, id_tipo_movimiento, observaciones) SELECT '3bc3c5bf', '2025-03-17 19:58:26', id_tipo_movimiento, NULL FROM Tipo_movimiento WHERE nombre = 'Trasiego';</t>
  </si>
  <si>
    <t>INSERT INTO Movimiento (id_movimiento, fecha_hora, id_tipo_movimiento, observaciones) SELECT '2d2adf71', '2025-03-17 20:12:34', id_tipo_movimiento, NULL FROM Tipo_movimiento WHERE nombre = 'Trasiego';</t>
  </si>
  <si>
    <t>INSERT INTO Movimiento (id_movimiento, fecha_hora, id_tipo_movimiento, observaciones) SELECT '43a5a89d', '2025-03-17 20:15:01', id_tipo_movimiento, NULL FROM Tipo_movimiento WHERE nombre = 'Trasiego';</t>
  </si>
  <si>
    <t>INSERT INTO Movimiento (id_movimiento, fecha_hora, id_tipo_movimiento, observaciones) SELECT '25c34046', '2025-03-18 08:46:08', id_tipo_movimiento, NULL FROM Tipo_movimiento WHERE nombre = 'Trasiego';</t>
  </si>
  <si>
    <t>INSERT INTO Movimiento (id_movimiento, fecha_hora, id_tipo_movimiento, observaciones) SELECT '7d8d1fb9', '2025-03-18 08:47:20', id_tipo_movimiento, NULL FROM Tipo_movimiento WHERE nombre = 'Trasiego';</t>
  </si>
  <si>
    <t>INSERT INTO Movimiento (id_movimiento, fecha_hora, id_tipo_movimiento, observaciones) SELECT 'd5030cf3', '2025-03-18 08:49:51', id_tipo_movimiento, NULL FROM Tipo_movimiento WHERE nombre = 'Trasiego';</t>
  </si>
  <si>
    <t>INSERT INTO Movimiento (id_movimiento, fecha_hora, id_tipo_movimiento, observaciones) SELECT '82ac1251', '2025-03-18 08:50:40', id_tipo_movimiento, NULL FROM Tipo_movimiento WHERE nombre = 'Trasiego';</t>
  </si>
  <si>
    <t>INSERT INTO Movimiento (id_movimiento, fecha_hora, id_tipo_movimiento, observaciones) SELECT 'ac01ac4d', '2025-03-18 08:52:08', id_tipo_movimiento, NULL FROM Tipo_movimiento WHERE nombre = 'Trasiego';</t>
  </si>
  <si>
    <t>INSERT INTO Movimiento (id_movimiento, fecha_hora, id_tipo_movimiento, observaciones) SELECT '9360041a', '2025-03-18 08:53:16', id_tipo_movimiento, NULL FROM Tipo_movimiento WHERE nombre = 'Trasiego';</t>
  </si>
  <si>
    <t>INSERT INTO Movimiento (id_movimiento, fecha_hora, id_tipo_movimiento, observaciones) SELECT '72cce9a1', '2025-03-18 08:56:08', id_tipo_movimiento, NULL FROM Tipo_movimiento WHERE nombre = 'Trasiego';</t>
  </si>
  <si>
    <t>INSERT INTO Movimiento (id_movimiento, fecha_hora, id_tipo_movimiento, observaciones) SELECT '0a75cd05', '2025-03-18 08:59:15', id_tipo_movimiento, NULL FROM Tipo_movimiento WHERE nombre = 'Trasiego';</t>
  </si>
  <si>
    <t>INSERT INTO Movimiento (id_movimiento, fecha_hora, id_tipo_movimiento, observaciones) SELECT 'fbb1e6ab', '2025-03-18 09:00:11', id_tipo_movimiento, NULL FROM Tipo_movimiento WHERE nombre = 'Trasiego';</t>
  </si>
  <si>
    <t>INSERT INTO Movimiento (id_movimiento, fecha_hora, id_tipo_movimiento, observaciones) SELECT 'be7471b3', '2025-03-18 09:01:21', id_tipo_movimiento, NULL FROM Tipo_movimiento WHERE nombre = 'Trasiego';</t>
  </si>
  <si>
    <t>INSERT INTO Movimiento (id_movimiento, fecha_hora, id_tipo_movimiento, observaciones) SELECT 'f6e2d0cb', '2025-03-18 09:02:34', id_tipo_movimiento, NULL FROM Tipo_movimiento WHERE nombre = 'Trasiego';</t>
  </si>
  <si>
    <t>INSERT INTO Movimiento (id_movimiento, fecha_hora, id_tipo_movimiento, observaciones) SELECT '663856fe', '2025-03-18 09:03:04', id_tipo_movimiento, NULL FROM Tipo_movimiento WHERE nombre = 'Trasiego';</t>
  </si>
  <si>
    <t>INSERT INTO Movimiento (id_movimiento, fecha_hora, id_tipo_movimiento, observaciones) SELECT '9a675e75', '2025-03-18 09:03:51', id_tipo_movimiento, NULL FROM Tipo_movimiento WHERE nombre = 'Trasiego';</t>
  </si>
  <si>
    <t>INSERT INTO Movimiento (id_movimiento, fecha_hora, id_tipo_movimiento, observaciones) SELECT '54513fd4', '2025-03-18 09:04:37', id_tipo_movimiento, NULL FROM Tipo_movimiento WHERE nombre = 'Trasiego';</t>
  </si>
  <si>
    <t>INSERT INTO Movimiento (id_movimiento, fecha_hora, id_tipo_movimiento, observaciones) SELECT '2bb953ae', '2025-03-18 09:05:19', id_tipo_movimiento, NULL FROM Tipo_movimiento WHERE nombre = 'Trasiego';</t>
  </si>
  <si>
    <t>INSERT INTO Movimiento (id_movimiento, fecha_hora, id_tipo_movimiento, observaciones) SELECT 'e716e971', '2025-03-18 09:06:05', id_tipo_movimiento, NULL FROM Tipo_movimiento WHERE nombre = 'Trasiego';</t>
  </si>
  <si>
    <t>INSERT INTO Movimiento (id_movimiento, fecha_hora, id_tipo_movimiento, observaciones) SELECT '1da0e7df', '2025-03-18 09:06:58', id_tipo_movimiento, NULL FROM Tipo_movimiento WHERE nombre = 'Trasiego';</t>
  </si>
  <si>
    <t>INSERT INTO Movimiento (id_movimiento, fecha_hora, id_tipo_movimiento, observaciones) SELECT '7e10be90', '2025-03-18 09:07:55', id_tipo_movimiento, NULL FROM Tipo_movimiento WHERE nombre = 'Trasiego';</t>
  </si>
  <si>
    <t>INSERT INTO Movimiento (id_movimiento, fecha_hora, id_tipo_movimiento, observaciones) SELECT 'e6245c23', '2025-03-18 09:16:16', id_tipo_movimiento, NULL FROM Tipo_movimiento WHERE nombre = 'Trasiego';</t>
  </si>
  <si>
    <t>INSERT INTO Movimiento (id_movimiento, fecha_hora, id_tipo_movimiento, observaciones) SELECT '3ef35c32', '2025-03-18 09:18:14', id_tipo_movimiento, NULL FROM Tipo_movimiento WHERE nombre = 'Trasiego';</t>
  </si>
  <si>
    <t>INSERT INTO Movimiento (id_movimiento, fecha_hora, id_tipo_movimiento, observaciones) SELECT '5b8cfa72', '2025-03-18 13:29:28', id_tipo_movimiento, NULL FROM Tipo_movimiento WHERE nombre = 'Trasiego';</t>
  </si>
  <si>
    <t>INSERT INTO Movimiento (id_movimiento, fecha_hora, id_tipo_movimiento, observaciones) SELECT '1b48d388', '2025-03-18 13:30:50', id_tipo_movimiento, NULL FROM Tipo_movimiento WHERE nombre = 'Trasiego';</t>
  </si>
  <si>
    <t>INSERT INTO Movimiento (id_movimiento, fecha_hora, id_tipo_movimiento, observaciones) SELECT '2a648924', '2025-03-18 13:31:07', id_tipo_movimiento, NULL FROM Tipo_movimiento WHERE nombre = 'Trasiego';</t>
  </si>
  <si>
    <t>INSERT INTO Movimiento (id_movimiento, fecha_hora, id_tipo_movimiento, observaciones) SELECT '33a8488a', '2025-03-18 13:31:25', id_tipo_movimiento, NULL FROM Tipo_movimiento WHERE nombre = 'Trasiego';</t>
  </si>
  <si>
    <t>INSERT INTO Movimiento (id_movimiento, fecha_hora, id_tipo_movimiento, observaciones) SELECT 'c5b76ecf', '2025-03-18 13:31:38', id_tipo_movimiento, NULL FROM Tipo_movimiento WHERE nombre = 'Trasiego';</t>
  </si>
  <si>
    <t>INSERT INTO Movimiento (id_movimiento, fecha_hora, id_tipo_movimiento, observaciones) SELECT '3c024f6b', '2025-03-18 13:32:01', id_tipo_movimiento, NULL FROM Tipo_movimiento WHERE nombre = 'Trasiego';</t>
  </si>
  <si>
    <t>INSERT INTO Movimiento (id_movimiento, fecha_hora, id_tipo_movimiento, observaciones) SELECT '5face3d3', '2025-03-18 16:09:21', id_tipo_movimiento, NULL FROM Tipo_movimiento WHERE nombre = 'Trasiego';</t>
  </si>
  <si>
    <t>INSERT INTO Movimiento (id_movimiento, fecha_hora, id_tipo_movimiento, observaciones) SELECT 'e494aaf4', '2025-03-18 16:10:57', id_tipo_movimiento, NULL FROM Tipo_movimiento WHERE nombre = 'Trasiego';</t>
  </si>
  <si>
    <t>INSERT INTO Movimiento (id_movimiento, fecha_hora, id_tipo_movimiento, observaciones) SELECT '94c4cc3c', '2025-03-18 16:11:30', id_tipo_movimiento, NULL FROM Tipo_movimiento WHERE nombre = 'Trasiego';</t>
  </si>
  <si>
    <t>INSERT INTO Movimiento (id_movimiento, fecha_hora, id_tipo_movimiento, observaciones) SELECT 'a367c4f3', '2025-03-18 16:12:00', id_tipo_movimiento, NULL FROM Tipo_movimiento WHERE nombre = 'Trasiego';</t>
  </si>
  <si>
    <t>INSERT INTO Movimiento (id_movimiento, fecha_hora, id_tipo_movimiento, observaciones) SELECT '41f3b155', '2025-03-18 16:13:02', id_tipo_movimiento, NULL FROM Tipo_movimiento WHERE nombre = 'Trasiego';</t>
  </si>
  <si>
    <t>INSERT INTO Movimiento (id_movimiento, fecha_hora, id_tipo_movimiento, observaciones) SELECT '5afde7bf', '2025-03-19 12:08:30', id_tipo_movimiento, NULL FROM Tipo_movimiento WHERE nombre = 'Trasiego';</t>
  </si>
  <si>
    <t>INSERT INTO Movimiento (id_movimiento, fecha_hora, id_tipo_movimiento, observaciones) SELECT '0a94f3ea', '2025-03-19 12:12:12', id_tipo_movimiento, NULL FROM Tipo_movimiento WHERE nombre = 'Trasiego';</t>
  </si>
  <si>
    <t>INSERT INTO Movimiento (id_movimiento, fecha_hora, id_tipo_movimiento, observaciones) SELECT '1f3f4269', '2025-03-19 12:13:03', id_tipo_movimiento, NULL FROM Tipo_movimiento WHERE nombre = 'Trasiego';</t>
  </si>
  <si>
    <t>INSERT INTO Movimiento (id_movimiento, fecha_hora, id_tipo_movimiento, observaciones) SELECT '8b8612ca', '2025-03-19 12:14:45', id_tipo_movimiento, NULL FROM Tipo_movimiento WHERE nombre = 'Trasiego';</t>
  </si>
  <si>
    <t>INSERT INTO Movimiento (id_movimiento, fecha_hora, id_tipo_movimiento, observaciones) SELECT '84d10532', '2025-03-19 12:15:41', id_tipo_movimiento, NULL FROM Tipo_movimiento WHERE nombre = 'Trasiego';</t>
  </si>
  <si>
    <t>INSERT INTO Movimiento (id_movimiento, fecha_hora, id_tipo_movimiento, observaciones) SELECT 'd9b9806d', '2025-03-19 12:20:24', id_tipo_movimiento, NULL FROM Tipo_movimiento WHERE nombre = 'Trasiego';</t>
  </si>
  <si>
    <t>INSERT INTO Movimiento (id_movimiento, fecha_hora, id_tipo_movimiento, observaciones) SELECT '587b9e6b', '2025-03-19 12:20:52', id_tipo_movimiento, NULL FROM Tipo_movimiento WHERE nombre = 'Trasiego';</t>
  </si>
  <si>
    <t>INSERT INTO Movimiento (id_movimiento, fecha_hora, id_tipo_movimiento, observaciones) SELECT '663bed1a', '2025-03-19 12:21:18', id_tipo_movimiento, NULL FROM Tipo_movimiento WHERE nombre = 'Trasiego';</t>
  </si>
  <si>
    <t>INSERT INTO Movimiento (id_movimiento, fecha_hora, id_tipo_movimiento, observaciones) SELECT 'd6c02f32', '2025-03-19 12:21:55', id_tipo_movimiento, NULL FROM Tipo_movimiento WHERE nombre = 'Trasiego';</t>
  </si>
  <si>
    <t>INSERT INTO Movimiento (id_movimiento, fecha_hora, id_tipo_movimiento, observaciones) SELECT 'f0bc7303', '2025-03-19 16:27:58', id_tipo_movimiento, NULL FROM Tipo_movimiento WHERE nombre = 'Trasiego';</t>
  </si>
  <si>
    <t>INSERT INTO Movimiento (id_movimiento, fecha_hora, id_tipo_movimiento, observaciones) SELECT 'e37ceda1', '2025-03-19 19:51:59', id_tipo_movimiento, NULL FROM Tipo_movimiento WHERE nombre = 'Trasiego';</t>
  </si>
  <si>
    <t>INSERT INTO Movimiento (id_movimiento, fecha_hora, id_tipo_movimiento, observaciones) SELECT '9f984a23', '2025-03-20 08:42:10', id_tipo_movimiento, NULL FROM Tipo_movimiento WHERE nombre = 'Trasiego';</t>
  </si>
  <si>
    <t>INSERT INTO Movimiento (id_movimiento, fecha_hora, id_tipo_movimiento, observaciones) SELECT 'e4f8039e', '2025-03-20 08:47:00', id_tipo_movimiento, NULL FROM Tipo_movimiento WHERE nombre = 'Trasiego';</t>
  </si>
  <si>
    <t>INSERT INTO Movimiento (id_movimiento, fecha_hora, id_tipo_movimiento, observaciones) SELECT '4507e81f', '2025-03-20 08:48:57', id_tipo_movimiento, NULL FROM Tipo_movimiento WHERE nombre = 'Trasiego';</t>
  </si>
  <si>
    <t>INSERT INTO Movimiento (id_movimiento, fecha_hora, id_tipo_movimiento, observaciones) SELECT '918fe284', '2025-03-20 11:43:55', id_tipo_movimiento, NULL FROM Tipo_movimiento WHERE nombre = 'Trasiego';</t>
  </si>
  <si>
    <t>INSERT INTO Movimiento (id_movimiento, fecha_hora, id_tipo_movimiento, observaciones) SELECT '7cab11c5', '2025-03-20 18:44:56', id_tipo_movimiento, NULL FROM Tipo_movimiento WHERE nombre = 'Trasiego';</t>
  </si>
  <si>
    <t>INSERT INTO Movimiento (id_movimiento, fecha_hora, id_tipo_movimiento, observaciones) SELECT 'adc0f6de', '2025-03-20 18:45:41', id_tipo_movimiento, NULL FROM Tipo_movimiento WHERE nombre = 'Trasiego';</t>
  </si>
  <si>
    <t>INSERT INTO Movimiento (id_movimiento, fecha_hora, id_tipo_movimiento, observaciones) SELECT 'cdca4e05', '2025-03-20 19:01:28', id_tipo_movimiento, NULL FROM Tipo_movimiento WHERE nombre = 'Trasiego';</t>
  </si>
  <si>
    <t>INSERT INTO Movimiento (id_movimiento, fecha_hora, id_tipo_movimiento, observaciones) SELECT 'fbfb60b4', '2025-03-20 19:05:02', id_tipo_movimiento, NULL FROM Tipo_movimiento WHERE nombre = 'Trasiego';</t>
  </si>
  <si>
    <t>INSERT INTO Movimiento (id_movimiento, fecha_hora, id_tipo_movimiento, observaciones) SELECT '9f719f13', '2025-03-20 19:05:46', id_tipo_movimiento, NULL FROM Tipo_movimiento WHERE nombre = 'Trasiego';</t>
  </si>
  <si>
    <t>INSERT INTO Movimiento (id_movimiento, fecha_hora, id_tipo_movimiento, observaciones) SELECT '0caa90c8', '2025-03-20 19:08:04', id_tipo_movimiento, NULL FROM Tipo_movimiento WHERE nombre = 'Trasiego';</t>
  </si>
  <si>
    <t>INSERT INTO Movimiento (id_movimiento, fecha_hora, id_tipo_movimiento, observaciones) SELECT 'e1de3cb7', '2025-03-21 19:39:23', id_tipo_movimiento, NULL FROM Tipo_movimiento WHERE nombre = 'Trasiego';</t>
  </si>
  <si>
    <t>INSERT INTO Movimiento (id_movimiento, fecha_hora, id_tipo_movimiento, observaciones) SELECT '4d1542a4', '2025-03-21 19:40:36', id_tipo_movimiento, NULL FROM Tipo_movimiento WHERE nombre = 'Trasiego';</t>
  </si>
  <si>
    <t>INSERT INTO Movimiento (id_movimiento, fecha_hora, id_tipo_movimiento, observaciones) SELECT '6f77e05b', '2025-03-21 19:51:19', id_tipo_movimiento, NULL FROM Tipo_movimiento WHERE nombre = 'Trasiego';</t>
  </si>
  <si>
    <t>INSERT INTO Movimiento (id_movimiento, fecha_hora, id_tipo_movimiento, observaciones) SELECT '77d87180', '2025-03-21 20:27:50', id_tipo_movimiento, NULL FROM Tipo_movimiento WHERE nombre = 'Trasiego';</t>
  </si>
  <si>
    <t>INSERT INTO Movimiento (id_movimiento, fecha_hora, id_tipo_movimiento, observaciones) SELECT 'e3783178', '2025-03-21 20:30:20', id_tipo_movimiento, NULL FROM Tipo_movimiento WHERE nombre = 'Trasiego';</t>
  </si>
  <si>
    <t>INSERT INTO Movimiento (id_movimiento, fecha_hora, id_tipo_movimiento, observaciones) SELECT '5629d0c2', '2025-03-21 20:47:39', id_tipo_movimiento, NULL FROM Tipo_movimiento WHERE nombre = 'Trasiego';</t>
  </si>
  <si>
    <t>INSERT INTO Movimiento (id_movimiento, fecha_hora, id_tipo_movimiento, observaciones) SELECT '46e0c561', '2025-03-21 20:49:22', id_tipo_movimiento, NULL FROM Tipo_movimiento WHERE nombre = 'Trasiego';</t>
  </si>
  <si>
    <t>INSERT INTO Movimiento (id_movimiento, fecha_hora, id_tipo_movimiento, observaciones) SELECT 'ca81df50', '2025-03-21 20:56:52', id_tipo_movimiento, NULL FROM Tipo_movimiento WHERE nombre = 'Trasiego';</t>
  </si>
  <si>
    <t>INSERT INTO Movimiento (id_movimiento, fecha_hora, id_tipo_movimiento, observaciones) SELECT 'a661d598', '2025-03-21 20:58:36', id_tipo_movimiento, NULL FROM Tipo_movimiento WHERE nombre = 'Trasiego';</t>
  </si>
  <si>
    <t>INSERT INTO Movimiento (id_movimiento, fecha_hora, id_tipo_movimiento, observaciones) SELECT 'e6a465c9', '2025-03-22 19:37:27', id_tipo_movimiento, NULL FROM Tipo_movimiento WHERE nombre = 'Trasiego';</t>
  </si>
  <si>
    <t>INSERT INTO Movimiento (id_movimiento, fecha_hora, id_tipo_movimiento, observaciones) SELECT 'bf1ff1ff', '2025-03-22 19:39:30', id_tipo_movimiento, NULL FROM Tipo_movimiento WHERE nombre = 'Trasiego';</t>
  </si>
  <si>
    <t>INSERT INTO Movimiento (id_movimiento, fecha_hora, id_tipo_movimiento, observaciones) SELECT 'e43180c6', '2025-03-22 19:40:03', id_tipo_movimiento, NULL FROM Tipo_movimiento WHERE nombre = 'Trasiego';</t>
  </si>
  <si>
    <t>INSERT INTO Movimiento (id_movimiento, fecha_hora, id_tipo_movimiento, observaciones) SELECT '48c58e88', '2025-03-22 19:42:59', id_tipo_movimiento, NULL FROM Tipo_movimiento WHERE nombre = 'Trasiego';</t>
  </si>
  <si>
    <t>INSERT INTO Movimiento (id_movimiento, fecha_hora, id_tipo_movimiento, observaciones) SELECT 'e300ee19', '2025-03-22 19:44:36', id_tipo_movimiento, NULL FROM Tipo_movimiento WHERE nombre = 'Trasiego';</t>
  </si>
  <si>
    <t>INSERT INTO Movimiento (id_movimiento, fecha_hora, id_tipo_movimiento, observaciones) SELECT '58fb654c', '2025-03-22 19:48:03', id_tipo_movimiento, NULL FROM Tipo_movimiento WHERE nombre = 'Trasiego';</t>
  </si>
  <si>
    <t>INSERT INTO Movimiento (id_movimiento, fecha_hora, id_tipo_movimiento, observaciones) SELECT '081c9204', '2025-03-24 10:54:37', id_tipo_movimiento, NULL FROM Tipo_movimiento WHERE nombre = 'Trasiego';</t>
  </si>
  <si>
    <t>INSERT INTO Movimiento (id_movimiento, fecha_hora, id_tipo_movimiento, observaciones) SELECT 'b3316a0a', '2025-03-25 12:37:57', id_tipo_movimiento, NULL FROM Tipo_movimiento WHERE nombre = 'Trasiego';</t>
  </si>
  <si>
    <t>INSERT INTO Movimiento (id_movimiento, fecha_hora, id_tipo_movimiento, observaciones) SELECT '0b4d2241', '2025-03-25 12:39:04', id_tipo_movimiento, NULL FROM Tipo_movimiento WHERE nombre = 'Trasiego';</t>
  </si>
  <si>
    <t>INSERT INTO Movimiento (id_movimiento, fecha_hora, id_tipo_movimiento, observaciones) SELECT '9adf1669', '2025-03-25 12:41:49', id_tipo_movimiento, NULL FROM Tipo_movimiento WHERE nombre = 'Trasiego';</t>
  </si>
  <si>
    <t>INSERT INTO Movimiento (id_movimiento, fecha_hora, id_tipo_movimiento, observaciones) SELECT 'c7bd3a7b', '2025-03-25 12:44:22', id_tipo_movimiento, NULL FROM Tipo_movimiento WHERE nombre = 'Trasiego';</t>
  </si>
  <si>
    <t>INSERT INTO Movimiento (id_movimiento, fecha_hora, id_tipo_movimiento, observaciones) SELECT 'ecb02248', '2025-03-25 12:46:50', id_tipo_movimiento, NULL FROM Tipo_movimiento WHERE nombre = 'Trasiego';</t>
  </si>
  <si>
    <t>INSERT INTO Movimiento (id_movimiento, fecha_hora, id_tipo_movimiento, observaciones) SELECT 'f82b29f9', '2025-03-25 12:56:16', id_tipo_movimiento, NULL FROM Tipo_movimiento WHERE nombre = 'Trasiego';</t>
  </si>
  <si>
    <t>INSERT INTO Movimiento (id_movimiento, fecha_hora, id_tipo_movimiento, observaciones) SELECT '48ff99db', '2025-03-25 12:56:50', id_tipo_movimiento, NULL FROM Tipo_movimiento WHERE nombre = 'Trasiego';</t>
  </si>
  <si>
    <t>INSERT INTO Movimiento (id_movimiento, fecha_hora, id_tipo_movimiento, observaciones) SELECT 'f7dbbba6', '2025-03-25 12:58:18', id_tipo_movimiento, NULL FROM Tipo_movimiento WHERE nombre = 'Trasiego';</t>
  </si>
  <si>
    <t>INSERT INTO Movimiento (id_movimiento, fecha_hora, id_tipo_movimiento, observaciones) SELECT 'c0b38633', '2025-03-25 12:59:07', id_tipo_movimiento, NULL FROM Tipo_movimiento WHERE nombre = 'Trasiego';</t>
  </si>
  <si>
    <t>INSERT INTO Movimiento (id_movimiento, fecha_hora, id_tipo_movimiento, observaciones) SELECT 'c0d5d0bc', '2025-03-25 13:00:09', id_tipo_movimiento, NULL FROM Tipo_movimiento WHERE nombre = 'Trasiego';</t>
  </si>
  <si>
    <t>INSERT INTO Movimiento (id_movimiento, fecha_hora, id_tipo_movimiento, observaciones) SELECT '0ce47a14', '2025-03-25 17:13:15', id_tipo_movimiento, NULL FROM Tipo_movimiento WHERE nombre = 'Trasiego';</t>
  </si>
  <si>
    <t>INSERT INTO Movimiento (id_movimiento, fecha_hora, id_tipo_movimiento, observaciones) SELECT '4922f370', '2025-03-25 17:17:40', id_tipo_movimiento, NULL FROM Tipo_movimiento WHERE nombre = 'Trasiego';</t>
  </si>
  <si>
    <t>INSERT INTO Movimiento (id_movimiento, fecha_hora, id_tipo_movimiento, observaciones) SELECT 'b79a2229', '2025-03-25 17:38:11', id_tipo_movimiento, NULL FROM Tipo_movimiento WHERE nombre = 'Trasiego';</t>
  </si>
  <si>
    <t>INSERT INTO Movimiento (id_movimiento, fecha_hora, id_tipo_movimiento, observaciones) SELECT 'f79b60ff', '2025-03-25 17:41:55', id_tipo_movimiento, NULL FROM Tipo_movimiento WHERE nombre = 'Trasiego';</t>
  </si>
  <si>
    <t>INSERT INTO Movimiento (id_movimiento, fecha_hora, id_tipo_movimiento, observaciones) SELECT 'b46d4150', '2025-03-25 17:43:32', id_tipo_movimiento, NULL FROM Tipo_movimiento WHERE nombre = 'Trasiego';</t>
  </si>
  <si>
    <t>INSERT INTO Movimiento (id_movimiento, fecha_hora, id_tipo_movimiento, observaciones) SELECT '17f9af3c', '2025-03-25 17:47:31', id_tipo_movimiento, NULL FROM Tipo_movimiento WHERE nombre = 'Trasiego';</t>
  </si>
  <si>
    <t>INSERT INTO Movimiento (id_movimiento, fecha_hora, id_tipo_movimiento, observaciones) SELECT '337dabfc', '2025-03-25 17:48:15', id_tipo_movimiento, NULL FROM Tipo_movimiento WHERE nombre = 'Trasiego';</t>
  </si>
  <si>
    <t>INSERT INTO Movimiento (id_movimiento, fecha_hora, id_tipo_movimiento, observaciones) SELECT 'da9dd65a', '2025-03-25 17:50:14', id_tipo_movimiento, NULL FROM Tipo_movimiento WHERE nombre = 'Trasiego';</t>
  </si>
  <si>
    <t>INSERT INTO Movimiento (id_movimiento, fecha_hora, id_tipo_movimiento, observaciones) SELECT 'c5d5dd56', '2025-03-25 19:23:34', id_tipo_movimiento, NULL FROM Tipo_movimiento WHERE nombre = 'Trasiego';</t>
  </si>
  <si>
    <t>INSERT INTO Movimiento (id_movimiento, fecha_hora, id_tipo_movimiento, observaciones) SELECT '77fd5298', '2025-03-25 19:24:45', id_tipo_movimiento, NULL FROM Tipo_movimiento WHERE nombre = 'Trasiego';</t>
  </si>
  <si>
    <t>INSERT INTO Movimiento (id_movimiento, fecha_hora, id_tipo_movimiento, observaciones) SELECT 'a4c336e8', '2025-03-25 19:26:30', id_tipo_movimiento, NULL FROM Tipo_movimiento WHERE nombre = 'Trasiego';</t>
  </si>
  <si>
    <t>INSERT INTO Movimiento (id_movimiento, fecha_hora, id_tipo_movimiento, observaciones) SELECT 'd4145dd5', '2025-03-25 19:29:13', id_tipo_movimiento, NULL FROM Tipo_movimiento WHERE nombre = 'Trasiego';</t>
  </si>
  <si>
    <t>INSERT INTO Movimiento (id_movimiento, fecha_hora, id_tipo_movimiento, observaciones) SELECT 'a13187b8', '2025-03-25 19:29:48', id_tipo_movimiento, NULL FROM Tipo_movimiento WHERE nombre = 'Trasiego';</t>
  </si>
  <si>
    <t>INSERT INTO Movimiento (id_movimiento, fecha_hora, id_tipo_movimiento, observaciones) SELECT '7692c4dc', '2025-03-25 19:30:48', id_tipo_movimiento, NULL FROM Tipo_movimiento WHERE nombre = 'Trasiego';</t>
  </si>
  <si>
    <t>INSERT INTO Movimiento (id_movimiento, fecha_hora, id_tipo_movimiento, observaciones) SELECT '9416a7f1', '2025-03-25 19:31:29', id_tipo_movimiento, NULL FROM Tipo_movimiento WHERE nombre = 'Trasiego';</t>
  </si>
  <si>
    <t>INSERT INTO Movimiento (id_movimiento, fecha_hora, id_tipo_movimiento, observaciones) SELECT '2fcfb429', '2025-03-25 19:46:31', id_tipo_movimiento, NULL FROM Tipo_movimiento WHERE nombre = 'Trasiego';</t>
  </si>
  <si>
    <t>INSERT INTO Movimiento (id_movimiento, fecha_hora, id_tipo_movimiento, observaciones) SELECT 'c991eeed', '2025-03-25 19:50:52', id_tipo_movimiento, NULL FROM Tipo_movimiento WHERE nombre = 'Trasiego';</t>
  </si>
  <si>
    <t>INSERT INTO Movimiento (id_movimiento, fecha_hora, id_tipo_movimiento, observaciones) SELECT '2a6689a5', '2025-03-25 19:51:32', id_tipo_movimiento, NULL FROM Tipo_movimiento WHERE nombre = 'Trasiego';</t>
  </si>
  <si>
    <t>INSERT INTO Movimiento (id_movimiento, fecha_hora, id_tipo_movimiento, observaciones) SELECT 'e310e9ee', '2025-03-25 19:51:59', id_tipo_movimiento, NULL FROM Tipo_movimiento WHERE nombre = 'Trasiego';</t>
  </si>
  <si>
    <t>INSERT INTO Movimiento (id_movimiento, fecha_hora, id_tipo_movimiento, observaciones) SELECT '5039b31b', '2025-03-25 19:52:19', id_tipo_movimiento, NULL FROM Tipo_movimiento WHERE nombre = 'Trasiego';</t>
  </si>
  <si>
    <t>INSERT INTO Movimiento (id_movimiento, fecha_hora, id_tipo_movimiento, observaciones) SELECT 'dbd23b4a', '2025-03-25 19:53:10', id_tipo_movimiento, NULL FROM Tipo_movimiento WHERE nombre = 'Trasiego';</t>
  </si>
  <si>
    <t>INSERT INTO Movimiento (id_movimiento, fecha_hora, id_tipo_movimiento, observaciones) SELECT '786226ab', '2025-03-25 19:54:28', id_tipo_movimiento, NULL FROM Tipo_movimiento WHERE nombre = 'Trasiego';</t>
  </si>
  <si>
    <t>INSERT INTO Movimiento (id_movimiento, fecha_hora, id_tipo_movimiento, observaciones) SELECT 'dbd6771c', '2025-03-25 19:54:58', id_tipo_movimiento, NULL FROM Tipo_movimiento WHERE nombre = 'Trasiego';</t>
  </si>
  <si>
    <t>INSERT INTO Movimiento (id_movimiento, fecha_hora, id_tipo_movimiento, observaciones) SELECT '0e531dea', '2025-03-25 19:55:20', id_tipo_movimiento, NULL FROM Tipo_movimiento WHERE nombre = 'Trasiego';</t>
  </si>
  <si>
    <t>INSERT INTO Movimiento (id_movimiento, fecha_hora, id_tipo_movimiento, observaciones) SELECT '6a111de4', '2025-03-25 19:55:46', id_tipo_movimiento, NULL FROM Tipo_movimiento WHERE nombre = 'Trasiego';</t>
  </si>
  <si>
    <t>INSERT INTO Movimiento (id_movimiento, fecha_hora, id_tipo_movimiento, observaciones) SELECT 'e54bf9ef', '2025-03-26 18:18:36', id_tipo_movimiento, NULL FROM Tipo_movimiento WHERE nombre = 'Trasiego';</t>
  </si>
  <si>
    <t>INSERT INTO Movimiento (id_movimiento, fecha_hora, id_tipo_movimiento, observaciones) SELECT 'e5c6f49b', '2025-03-26 18:19:54', id_tipo_movimiento, NULL FROM Tipo_movimiento WHERE nombre = 'Trasiego';</t>
  </si>
  <si>
    <t>INSERT INTO Movimiento (id_movimiento, fecha_hora, id_tipo_movimiento, observaciones) SELECT 'f1af0093', '2025-03-26 18:31:34', id_tipo_movimiento, NULL FROM Tipo_movimiento WHERE nombre = 'Trasiego';</t>
  </si>
  <si>
    <t>INSERT INTO Movimiento (id_movimiento, fecha_hora, id_tipo_movimiento, observaciones) SELECT '09a7bc87', '2025-03-26 18:32:55', id_tipo_movimiento, NULL FROM Tipo_movimiento WHERE nombre = 'Trasiego';</t>
  </si>
  <si>
    <t>INSERT INTO Movimiento (id_movimiento, fecha_hora, id_tipo_movimiento, observaciones) SELECT 'ec579f64', '2025-03-26 19:29:25', id_tipo_movimiento, NULL FROM Tipo_movimiento WHERE nombre = 'Trasiego';</t>
  </si>
  <si>
    <t>INSERT INTO Movimiento (id_movimiento, fecha_hora, id_tipo_movimiento, observaciones) SELECT 'd93f3a4f', '2025-03-26 19:30:46', id_tipo_movimiento, NULL FROM Tipo_movimiento WHERE nombre = 'Trasiego';</t>
  </si>
  <si>
    <t>INSERT INTO Movimiento (id_movimiento, fecha_hora, id_tipo_movimiento, observaciones) SELECT '8ce9e1b0', '2025-03-26 19:31:07', id_tipo_movimiento, NULL FROM Tipo_movimiento WHERE nombre = 'Trasiego';</t>
  </si>
  <si>
    <t>INSERT INTO Movimiento (id_movimiento, fecha_hora, id_tipo_movimiento, observaciones) SELECT '6e5d319a', '2025-03-26 19:32:18', id_tipo_movimiento, NULL FROM Tipo_movimiento WHERE nombre = 'Trasiego';</t>
  </si>
  <si>
    <t>INSERT INTO Movimiento (id_movimiento, fecha_hora, id_tipo_movimiento, observaciones) SELECT '5f213e79', '2025-03-26 20:02:10', id_tipo_movimiento, NULL FROM Tipo_movimiento WHERE nombre = 'Trasiego';</t>
  </si>
  <si>
    <t>INSERT INTO Movimiento (id_movimiento, fecha_hora, id_tipo_movimiento, observaciones) SELECT 'a76db9a7', '2025-03-27 17:08:48', id_tipo_movimiento, NULL FROM Tipo_movimiento WHERE nombre = 'Trasiego';</t>
  </si>
  <si>
    <t>INSERT INTO Movimiento (id_movimiento, fecha_hora, id_tipo_movimiento, observaciones) SELECT '38564ae2', '2025-03-27 17:10:32', id_tipo_movimiento, NULL FROM Tipo_movimiento WHERE nombre = 'Trasiego';</t>
  </si>
  <si>
    <t>INSERT INTO Movimiento (id_movimiento, fecha_hora, id_tipo_movimiento, observaciones) SELECT '634bd176', '2025-03-27 18:23:13', id_tipo_movimiento, NULL FROM Tipo_movimiento WHERE nombre = 'Trasiego';</t>
  </si>
  <si>
    <t>INSERT INTO Movimiento (id_movimiento, fecha_hora, id_tipo_movimiento, observaciones) SELECT 'e4394358', '2025-03-27 18:24:10', id_tipo_movimiento, NULL FROM Tipo_movimiento WHERE nombre = 'Trasiego';</t>
  </si>
  <si>
    <t>INSERT INTO Movimiento (id_movimiento, fecha_hora, id_tipo_movimiento, observaciones) SELECT '169799fd', '2025-03-27 18:24:56', id_tipo_movimiento, NULL FROM Tipo_movimiento WHERE nombre = 'Trasiego';</t>
  </si>
  <si>
    <t>INSERT INTO Movimiento (id_movimiento, fecha_hora, id_tipo_movimiento, observaciones) SELECT 'ed3da2b8', '2025-03-27 18:25:30', id_tipo_movimiento, NULL FROM Tipo_movimiento WHERE nombre = 'Trasiego';</t>
  </si>
  <si>
    <t>INSERT INTO Movimiento (id_movimiento, fecha_hora, id_tipo_movimiento, observaciones) SELECT '60f1c12a', '2025-03-27 18:26:11', id_tipo_movimiento, NULL FROM Tipo_movimiento WHERE nombre = 'Trasiego';</t>
  </si>
  <si>
    <t>INSERT INTO Movimiento (id_movimiento, fecha_hora, id_tipo_movimiento, observaciones) SELECT '4bd2fb8f', '2025-03-27 18:27:14', id_tipo_movimiento, NULL FROM Tipo_movimiento WHERE nombre = 'Trasiego';</t>
  </si>
  <si>
    <t>INSERT INTO Movimiento (id_movimiento, fecha_hora, id_tipo_movimiento, observaciones) SELECT 'a21ada18', '2025-03-27 18:27:42', id_tipo_movimiento, NULL FROM Tipo_movimiento WHERE nombre = 'Trasiego';</t>
  </si>
  <si>
    <t>INSERT INTO Movimiento (id_movimiento, fecha_hora, id_tipo_movimiento, observaciones) SELECT 'c9fed906', '2025-03-27 18:30:33', id_tipo_movimiento, NULL FROM Tipo_movimiento WHERE nombre = 'Trasiego';</t>
  </si>
  <si>
    <t>INSERT INTO Movimiento (id_movimiento, fecha_hora, id_tipo_movimiento, observaciones) SELECT '282d49ef', '2025-03-27 18:32:00', id_tipo_movimiento, NULL FROM Tipo_movimiento WHERE nombre = 'Trasiego';</t>
  </si>
  <si>
    <t>INSERT INTO Movimiento (id_movimiento, fecha_hora, id_tipo_movimiento, observaciones) SELECT 'c01712dc', '2025-03-28 12:42:43', id_tipo_movimiento, NULL FROM Tipo_movimiento WHERE nombre = 'Trasiego';</t>
  </si>
  <si>
    <t>INSERT INTO Movimiento (id_movimiento, fecha_hora, id_tipo_movimiento, observaciones) SELECT 'c6fd6c11', '2025-03-28 12:44:59', id_tipo_movimiento, NULL FROM Tipo_movimiento WHERE nombre = 'Trasiego';</t>
  </si>
  <si>
    <t>INSERT INTO Movimiento (id_movimiento, fecha_hora, id_tipo_movimiento, observaciones) SELECT '5b38cc92', '2025-03-28 20:22:41', id_tipo_movimiento, NULL FROM Tipo_movimiento WHERE nombre = 'Trasiego';</t>
  </si>
  <si>
    <t>INSERT INTO Movimiento (id_movimiento, fecha_hora, id_tipo_movimiento, observaciones) SELECT 'e924584f', '2025-03-28 20:23:29', id_tipo_movimiento, NULL FROM Tipo_movimiento WHERE nombre = 'Trasiego';</t>
  </si>
  <si>
    <t>INSERT INTO Movimiento (id_movimiento, fecha_hora, id_tipo_movimiento, observaciones) SELECT '47d751e1', '2025-03-28 20:43:40', id_tipo_movimiento, NULL FROM Tipo_movimiento WHERE nombre = 'Trasiego';</t>
  </si>
  <si>
    <t>INSERT INTO Movimiento (id_movimiento, fecha_hora, id_tipo_movimiento, observaciones) SELECT '2fe69c71', '2025-03-28 20:44:38', id_tipo_movimiento, NULL FROM Tipo_movimiento WHERE nombre = 'Trasiego';</t>
  </si>
  <si>
    <t>INSERT INTO Movimiento (id_movimiento, fecha_hora, id_tipo_movimiento, observaciones) SELECT 'dbab89b9', '2025-03-28 20:45:25', id_tipo_movimiento, NULL FROM Tipo_movimiento WHERE nombre = 'Trasiego';</t>
  </si>
  <si>
    <t>INSERT INTO Movimiento (id_movimiento, fecha_hora, id_tipo_movimiento, observaciones) SELECT '3ef6ac11', '2025-03-28 20:45:54', id_tipo_movimiento, NULL FROM Tipo_movimiento WHERE nombre = 'Trasiego';</t>
  </si>
  <si>
    <t>INSERT INTO Movimiento (id_movimiento, fecha_hora, id_tipo_movimiento, observaciones) SELECT '4a892e06', '2025-03-29 12:01:08', id_tipo_movimiento, NULL FROM Tipo_movimiento WHERE nombre = 'Trasiego';</t>
  </si>
  <si>
    <t>INSERT INTO Movimiento (id_movimiento, fecha_hora, id_tipo_movimiento, observaciones) SELECT 'dbae7e3d', '2025-03-29 12:01:50', id_tipo_movimiento, NULL FROM Tipo_movimiento WHERE nombre = 'Trasiego';</t>
  </si>
  <si>
    <t>INSERT INTO Movimiento (id_movimiento, fecha_hora, id_tipo_movimiento, observaciones) SELECT 'ef5df3a8', '2025-03-29 12:02:09', id_tipo_movimiento, NULL FROM Tipo_movimiento WHERE nombre = 'Trasiego';</t>
  </si>
  <si>
    <t>INSERT INTO Movimiento (id_movimiento, fecha_hora, id_tipo_movimiento, observaciones) SELECT 'f2239263', '2025-03-31 18:10:23', id_tipo_movimiento, NULL FROM Tipo_movimiento WHERE nombre = 'Trasiego';</t>
  </si>
  <si>
    <t>INSERT INTO Movimiento (id_movimiento, fecha_hora, id_tipo_movimiento, observaciones) SELECT '577420cf', '2025-03-31 18:11:06', id_tipo_movimiento, NULL FROM Tipo_movimiento WHERE nombre = 'Trasiego';</t>
  </si>
  <si>
    <t>INSERT INTO Movimiento (id_movimiento, fecha_hora, id_tipo_movimiento, observaciones) SELECT 'b16464d3', '2025-03-31 18:13:27', id_tipo_movimiento, NULL FROM Tipo_movimiento WHERE nombre = 'Trasiego';</t>
  </si>
  <si>
    <t>INSERT INTO Movimiento (id_movimiento, fecha_hora, id_tipo_movimiento, observaciones) SELECT '20119d73', '2025-03-31 19:04:24', id_tipo_movimiento, NULL FROM Tipo_movimiento WHERE nombre = 'Trasiego';</t>
  </si>
  <si>
    <t>INSERT INTO Movimiento (id_movimiento, fecha_hora, id_tipo_movimiento, observaciones) SELECT '6c5972ec', '2025-03-31 19:05:01', id_tipo_movimiento, NULL FROM Tipo_movimiento WHERE nombre = 'Trasiego';</t>
  </si>
  <si>
    <t>INSERT INTO Movimiento (id_movimiento, fecha_hora, id_tipo_movimiento, observaciones) SELECT '0f4bbd78', '2025-03-31 19:05:45', id_tipo_movimiento, NULL FROM Tipo_movimiento WHERE nombre = 'Trasiego';</t>
  </si>
  <si>
    <t>INSERT INTO Movimiento (id_movimiento, fecha_hora, id_tipo_movimiento, observaciones) SELECT '007625f0', '2025-03-31 19:06:37', id_tipo_movimiento, NULL FROM Tipo_movimiento WHERE nombre = 'Trasiego';</t>
  </si>
  <si>
    <t>INSERT INTO Movimiento (id_movimiento, fecha_hora, id_tipo_movimiento, observaciones) SELECT '640b60a7', '2025-03-31 19:07:09', id_tipo_movimiento, NULL FROM Tipo_movimiento WHERE nombre = 'Trasiego';</t>
  </si>
  <si>
    <t>INSERT INTO Movimiento (id_movimiento, fecha_hora, id_tipo_movimiento, observaciones) SELECT '3c30a068', '2025-03-31 19:07:38', id_tipo_movimiento, NULL FROM Tipo_movimiento WHERE nombre = 'Trasiego';</t>
  </si>
  <si>
    <t>INSERT INTO Movimiento (id_movimiento, fecha_hora, id_tipo_movimiento, observaciones) SELECT '728eb21e', '2025-03-31 19:09:23', id_tipo_movimiento, NULL FROM Tipo_movimiento WHERE nombre = 'Trasiego';</t>
  </si>
  <si>
    <t>INSERT INTO Movimiento (id_movimiento, fecha_hora, id_tipo_movimiento, observaciones) SELECT 'a7bf129e', '2025-03-31 19:10:53', id_tipo_movimiento, NULL FROM Tipo_movimiento WHERE nombre = 'Trasiego';</t>
  </si>
  <si>
    <t>INSERT INTO Movimiento (id_movimiento, fecha_hora, id_tipo_movimiento, observaciones) SELECT '29b7886d', '2025-04-01 16:11:45', id_tipo_movimiento, NULL FROM Tipo_movimiento WHERE nombre = 'Trasiego';</t>
  </si>
  <si>
    <t>INSERT INTO Movimiento (id_movimiento, fecha_hora, id_tipo_movimiento, observaciones) SELECT 'c09ab39e', '2025-04-01 16:12:41', id_tipo_movimiento, NULL FROM Tipo_movimiento WHERE nombre = 'Trasiego';</t>
  </si>
  <si>
    <t>INSERT INTO Movimiento (id_movimiento, fecha_hora, id_tipo_movimiento, observaciones) SELECT '98d257b0', '2025-04-01 16:16:09', id_tipo_movimiento, NULL FROM Tipo_movimiento WHERE nombre = 'Trasiego';</t>
  </si>
  <si>
    <t>INSERT INTO Movimiento (id_movimiento, fecha_hora, id_tipo_movimiento, observaciones) SELECT '157ae04c', '2025-04-01 19:21:54', id_tipo_movimiento, NULL FROM Tipo_movimiento WHERE nombre = 'Trasiego';</t>
  </si>
  <si>
    <t>INSERT INTO Movimiento (id_movimiento, fecha_hora, id_tipo_movimiento, observaciones) SELECT 'ccad6e59', '2025-04-01 19:34:34', id_tipo_movimiento, NULL FROM Tipo_movimiento WHERE nombre = 'Trasiego';</t>
  </si>
  <si>
    <t>INSERT INTO Movimiento (id_movimiento, fecha_hora, id_tipo_movimiento, observaciones) SELECT 'cdc8cb92', '2025-04-01 19:36:49', id_tipo_movimiento, NULL FROM Tipo_movimiento WHERE nombre = 'Trasiego';</t>
  </si>
  <si>
    <t>INSERT INTO Movimiento (id_movimiento, fecha_hora, id_tipo_movimiento, observaciones) SELECT 'd956caec', '2025-04-01 19:39:20', id_tipo_movimiento, NULL FROM Tipo_movimiento WHERE nombre = 'Trasiego';</t>
  </si>
  <si>
    <t>INSERT INTO Movimiento (id_movimiento, fecha_hora, id_tipo_movimiento, observaciones) SELECT 'c59443ba', '2025-04-01 19:40:22', id_tipo_movimiento, NULL FROM Tipo_movimiento WHERE nombre = 'Trasiego';</t>
  </si>
  <si>
    <t>INSERT INTO Movimiento (id_movimiento, fecha_hora, id_tipo_movimiento, observaciones) SELECT 'c348af3d', '2025-04-01 19:41:34', id_tipo_movimiento, NULL FROM Tipo_movimiento WHERE nombre = 'Trasiego';</t>
  </si>
  <si>
    <t>INSERT INTO Movimiento (id_movimiento, fecha_hora, id_tipo_movimiento, observaciones) SELECT '3f34abb5', '2025-04-01 19:42:13', id_tipo_movimiento, NULL FROM Tipo_movimiento WHERE nombre = 'Trasiego';</t>
  </si>
  <si>
    <t>INSERT INTO Movimiento (id_movimiento, fecha_hora, id_tipo_movimiento, observaciones) SELECT '9f15531d', '2025-04-01 19:42:54', id_tipo_movimiento, NULL FROM Tipo_movimiento WHERE nombre = 'Trasiego';</t>
  </si>
  <si>
    <t>INSERT INTO Movimiento (id_movimiento, fecha_hora, id_tipo_movimiento, observaciones) SELECT '90a9e20e', '2025-04-01 19:45:53', id_tipo_movimiento, NULL FROM Tipo_movimiento WHERE nombre = 'Trasiego';</t>
  </si>
  <si>
    <t>INSERT INTO Movimiento (id_movimiento, fecha_hora, id_tipo_movimiento, observaciones) SELECT 'bdc786df', '2025-04-02 10:02:56', id_tipo_movimiento, NULL FROM Tipo_movimiento WHERE nombre = 'Trasiego';</t>
  </si>
  <si>
    <t>INSERT INTO Movimiento (id_movimiento, fecha_hora, id_tipo_movimiento, observaciones) SELECT 'ec25e385', '2025-04-02 10:13:37', id_tipo_movimiento, NULL FROM Tipo_movimiento WHERE nombre = 'Trasiego';</t>
  </si>
  <si>
    <t>INSERT INTO Movimiento (id_movimiento, fecha_hora, id_tipo_movimiento, observaciones) SELECT '722befba', '2025-04-02 10:21:50', id_tipo_movimiento, NULL FROM Tipo_movimiento WHERE nombre = 'Trasiego';</t>
  </si>
  <si>
    <t>INSERT INTO Movimiento (id_movimiento, fecha_hora, id_tipo_movimiento, observaciones) SELECT 'd0c35e7b', '2025-04-02 10:36:51', id_tipo_movimiento, NULL FROM Tipo_movimiento WHERE nombre = 'Trasiego';</t>
  </si>
  <si>
    <t>INSERT INTO Movimiento (id_movimiento, fecha_hora, id_tipo_movimiento, observaciones) SELECT '06e6d4cd', '2025-04-02 10:37:18', id_tipo_movimiento, NULL FROM Tipo_movimiento WHERE nombre = 'Trasiego';</t>
  </si>
  <si>
    <t>INSERT INTO Movimiento (id_movimiento, fecha_hora, id_tipo_movimiento, observaciones) SELECT 'd0a72ad0', '2025-04-02 10:38:23', id_tipo_movimiento, NULL FROM Tipo_movimiento WHERE nombre = 'Trasiego';</t>
  </si>
  <si>
    <t>INSERT INTO Movimiento (id_movimiento, fecha_hora, id_tipo_movimiento, observaciones) SELECT 'e499f23a', '2025-04-02 10:39:02', id_tipo_movimiento, NULL FROM Tipo_movimiento WHERE nombre = 'Trasiego';</t>
  </si>
  <si>
    <t>INSERT INTO Movimiento (id_movimiento, fecha_hora, id_tipo_movimiento, observaciones) SELECT 'e28112ad', '2025-04-03 17:32:32', id_tipo_movimiento, NULL FROM Tipo_movimiento WHERE nombre = 'Trasiego';</t>
  </si>
  <si>
    <t>INSERT INTO Movimiento (id_movimiento, fecha_hora, id_tipo_movimiento, observaciones) SELECT 'dbadf23a', '2025-04-03 17:33:51', id_tipo_movimiento, NULL FROM Tipo_movimiento WHERE nombre = 'Trasiego';</t>
  </si>
  <si>
    <t>INSERT INTO Movimiento (id_movimiento, fecha_hora, id_tipo_movimiento, observaciones) SELECT '7b9a91aa', '2025-04-03 17:34:32', id_tipo_movimiento, NULL FROM Tipo_movimiento WHERE nombre = 'Trasiego';</t>
  </si>
  <si>
    <t>INSERT INTO Movimiento (id_movimiento, fecha_hora, id_tipo_movimiento, observaciones) SELECT '5e2d7f21', '2025-04-03 17:35:04', id_tipo_movimiento, NULL FROM Tipo_movimiento WHERE nombre = 'Trasiego';</t>
  </si>
  <si>
    <t>INSERT INTO Movimiento (id_movimiento, fecha_hora, id_tipo_movimiento, observaciones) SELECT '8d346f2d', '2025-04-03 17:35:29', id_tipo_movimiento, NULL FROM Tipo_movimiento WHERE nombre = 'Trasiego';</t>
  </si>
  <si>
    <t>INSERT INTO Movimiento (id_movimiento, fecha_hora, id_tipo_movimiento, observaciones) SELECT 'dfd64b48', '2025-04-03 17:36:39', id_tipo_movimiento, NULL FROM Tipo_movimiento WHERE nombre = 'Trasiego';</t>
  </si>
  <si>
    <t>INSERT INTO Movimiento (id_movimiento, fecha_hora, id_tipo_movimiento, observaciones) SELECT 'b2171938', '2025-04-03 17:40:12', id_tipo_movimiento, NULL FROM Tipo_movimiento WHERE nombre = 'Trasiego';</t>
  </si>
  <si>
    <t>INSERT INTO Movimiento (id_movimiento, fecha_hora, id_tipo_movimiento, observaciones) SELECT 'feff5d3f', '2025-04-03 17:41:17', id_tipo_movimiento, NULL FROM Tipo_movimiento WHERE nombre = 'Trasiego';</t>
  </si>
  <si>
    <t>INSERT INTO Movimiento (id_movimiento, fecha_hora, id_tipo_movimiento, observaciones) SELECT '76dcfb6b', '2025-04-04 11:50:25', id_tipo_movimiento, NULL FROM Tipo_movimiento WHERE nombre = 'Trasiego';</t>
  </si>
  <si>
    <t>INSERT INTO Movimiento (id_movimiento, fecha_hora, id_tipo_movimiento, observaciones) SELECT '3d4764f4', '2025-04-04 11:52:13', id_tipo_movimiento, NULL FROM Tipo_movimiento WHERE nombre = 'Trasiego';</t>
  </si>
  <si>
    <t>INSERT INTO Movimiento (id_movimiento, fecha_hora, id_tipo_movimiento, observaciones) SELECT '0c609eb7', '2025-04-04 21:18:06', id_tipo_movimiento, NULL FROM Tipo_movimiento WHERE nombre = 'Trasiego';</t>
  </si>
  <si>
    <t>INSERT INTO Movimiento (id_movimiento, fecha_hora, id_tipo_movimiento, observaciones) SELECT '6068a768', '2025-04-04 21:19:11', id_tipo_movimiento, NULL FROM Tipo_movimiento WHERE nombre = 'Trasiego';</t>
  </si>
  <si>
    <t>INSERT INTO Movimiento (id_movimiento, fecha_hora, id_tipo_movimiento, observaciones) SELECT '619405ca', '2025-04-04 21:19:49', id_tipo_movimiento, NULL FROM Tipo_movimiento WHERE nombre = 'Trasiego';</t>
  </si>
  <si>
    <t>INSERT INTO Movimiento (id_movimiento, fecha_hora, id_tipo_movimiento, observaciones) SELECT '42e4a292', '2025-04-04 21:34:27', id_tipo_movimiento, NULL FROM Tipo_movimiento WHERE nombre = 'Trasiego';</t>
  </si>
  <si>
    <t>INSERT INTO Movimiento (id_movimiento, fecha_hora, id_tipo_movimiento, observaciones) SELECT '5aac28a9', '2025-04-04 21:34:53', id_tipo_movimiento, NULL FROM Tipo_movimiento WHERE nombre = 'Trasiego';</t>
  </si>
  <si>
    <t>INSERT INTO Movimiento (id_movimiento, fecha_hora, id_tipo_movimiento, observaciones) SELECT '15428dca', '2025-04-04 21:35:29', id_tipo_movimiento, NULL FROM Tipo_movimiento WHERE nombre = 'Trasiego';</t>
  </si>
  <si>
    <t>INSERT INTO Movimiento (id_movimiento, fecha_hora, id_tipo_movimiento, observaciones) SELECT '54ed83a6', '2025-04-04 21:36:37', id_tipo_movimiento, NULL FROM Tipo_movimiento WHERE nombre = 'Trasiego';</t>
  </si>
  <si>
    <t>INSERT INTO Movimiento (id_movimiento, fecha_hora, id_tipo_movimiento, observaciones) SELECT '1b29d1f4', '2025-04-04 21:41:13', id_tipo_movimiento, NULL FROM Tipo_movimiento WHERE nombre = 'Trasiego';</t>
  </si>
  <si>
    <t>INSERT INTO Movimiento (id_movimiento, fecha_hora, id_tipo_movimiento, observaciones) SELECT '7e1211c8', '2025-04-04 21:42:20', id_tipo_movimiento, NULL FROM Tipo_movimiento WHERE nombre = 'Trasiego';</t>
  </si>
  <si>
    <t>INSERT INTO Movimiento (id_movimiento, fecha_hora, id_tipo_movimiento, observaciones) SELECT '8c289f5a', '2025-04-04 21:43:05', id_tipo_movimiento, NULL FROM Tipo_movimiento WHERE nombre = 'Trasiego';</t>
  </si>
  <si>
    <t>INSERT INTO Movimiento (id_movimiento, fecha_hora, id_tipo_movimiento, observaciones) SELECT '86662639', '2025-04-05 16:37:34', id_tipo_movimiento, NULL FROM Tipo_movimiento WHERE nombre = 'Trasiego';</t>
  </si>
  <si>
    <t>INSERT INTO Movimiento (id_movimiento, fecha_hora, id_tipo_movimiento, observaciones) SELECT 'd3f897d9', '2025-04-05 16:40:25', id_tipo_movimiento, NULL FROM Tipo_movimiento WHERE nombre = 'Trasiego';</t>
  </si>
  <si>
    <t>INSERT INTO Movimiento (id_movimiento, fecha_hora, id_tipo_movimiento, observaciones) SELECT '2c86d3f9', '2025-04-05 16:44:14', id_tipo_movimiento, NULL FROM Tipo_movimiento WHERE nombre = 'Trasiego';</t>
  </si>
  <si>
    <t>INSERT INTO Movimiento (id_movimiento, fecha_hora, id_tipo_movimiento, observaciones) SELECT '286ac581', '2025-04-05 16:45:04', id_tipo_movimiento, NULL FROM Tipo_movimiento WHERE nombre = 'Trasiego';</t>
  </si>
  <si>
    <t>INSERT INTO Movimiento (id_movimiento, fecha_hora, id_tipo_movimiento, observaciones) SELECT '479daee5', '2025-04-05 16:51:43', id_tipo_movimiento, NULL FROM Tipo_movimiento WHERE nombre = 'Trasiego';</t>
  </si>
  <si>
    <t>INSERT INTO Movimiento (id_movimiento, fecha_hora, id_tipo_movimiento, observaciones) SELECT '3430bfb7', '2025-04-05 16:52:34', id_tipo_movimiento, NULL FROM Tipo_movimiento WHERE nombre = 'Trasiego';</t>
  </si>
  <si>
    <t>INSERT INTO Movimiento (id_movimiento, fecha_hora, id_tipo_movimiento, observaciones) SELECT '8717b9ad', '2025-04-05 16:53:26', id_tipo_movimiento, NULL FROM Tipo_movimiento WHERE nombre = 'Trasiego';</t>
  </si>
  <si>
    <t>INSERT INTO Movimiento (id_movimiento, fecha_hora, id_tipo_movimiento, observaciones) SELECT '11a72bbd', '2025-04-05 16:54:00', id_tipo_movimiento, NULL FROM Tipo_movimiento WHERE nombre = 'Trasiego';</t>
  </si>
  <si>
    <t>INSERT INTO Movimiento (id_movimiento, fecha_hora, id_tipo_movimiento, observaciones) SELECT 'b2c52506', '2025-04-05 16:55:23', id_tipo_movimiento, NULL FROM Tipo_movimiento WHERE nombre = 'Trasiego';</t>
  </si>
  <si>
    <t>INSERT INTO Movimiento (id_movimiento, fecha_hora, id_tipo_movimiento, observaciones) SELECT '148db8ee', '2025-04-07 20:12:53', id_tipo_movimiento, NULL FROM Tipo_movimiento WHERE nombre = 'Trasiego';</t>
  </si>
  <si>
    <t>INSERT INTO Movimiento (id_movimiento, fecha_hora, id_tipo_movimiento, observaciones) SELECT 'e04f70d9', '2025-04-07 20:14:59', id_tipo_movimiento, NULL FROM Tipo_movimiento WHERE nombre = 'Trasiego';</t>
  </si>
  <si>
    <t>INSERT INTO Movimiento (id_movimiento, fecha_hora, id_tipo_movimiento, observaciones) SELECT '18eef5e0', '2025-04-07 20:15:48', id_tipo_movimiento, NULL FROM Tipo_movimiento WHERE nombre = 'Trasiego';</t>
  </si>
  <si>
    <t>INSERT INTO Movimiento (id_movimiento, fecha_hora, id_tipo_movimiento, observaciones) SELECT '9fe960c1', '2025-04-07 20:20:37', id_tipo_movimiento, NULL FROM Tipo_movimiento WHERE nombre = 'Trasiego';</t>
  </si>
  <si>
    <t>INSERT INTO Movimiento (id_movimiento, fecha_hora, id_tipo_movimiento, observaciones) SELECT '2abdf478', '2025-04-07 20:28:53', id_tipo_movimiento, NULL FROM Tipo_movimiento WHERE nombre = 'Trasiego';</t>
  </si>
  <si>
    <t>INSERT INTO Movimiento (id_movimiento, fecha_hora, id_tipo_movimiento, observaciones) SELECT 'a1aef05c', '2025-04-07 20:29:26', id_tipo_movimiento, NULL FROM Tipo_movimiento WHERE nombre = 'Trasiego';</t>
  </si>
  <si>
    <t>INSERT INTO Movimiento (id_movimiento, fecha_hora, id_tipo_movimiento, observaciones) SELECT '0b7877a0', '2025-04-08 11:24:41', id_tipo_movimiento, NULL FROM Tipo_movimiento WHERE nombre = 'Trasiego';</t>
  </si>
  <si>
    <t>INSERT INTO Movimiento (id_movimiento, fecha_hora, id_tipo_movimiento, observaciones) SELECT '260f2fc5', '2025-04-08 11:25:37', id_tipo_movimiento, NULL FROM Tipo_movimiento WHERE nombre = 'Trasiego';</t>
  </si>
  <si>
    <t>INSERT INTO Movimiento (id_movimiento, fecha_hora, id_tipo_movimiento, observaciones) SELECT '94e49c13', '2025-04-08 11:27:51', id_tipo_movimiento, NULL FROM Tipo_movimiento WHERE nombre = 'Trasiego';</t>
  </si>
  <si>
    <t>INSERT INTO Movimiento (id_movimiento, fecha_hora, id_tipo_movimiento, observaciones) SELECT '9f356405', '2025-04-08 11:33:58', id_tipo_movimiento, NULL FROM Tipo_movimiento WHERE nombre = 'Trasiego';</t>
  </si>
  <si>
    <t>INSERT INTO Movimiento (id_movimiento, fecha_hora, id_tipo_movimiento, observaciones) SELECT '44d50628', '2025-04-08 11:36:53', id_tipo_movimiento, NULL FROM Tipo_movimiento WHERE nombre = 'Trasiego';</t>
  </si>
  <si>
    <t>INSERT INTO Movimiento (id_movimiento, fecha_hora, id_tipo_movimiento, observaciones) SELECT '6446e5bd', '2025-04-08 11:37:39', id_tipo_movimiento, NULL FROM Tipo_movimiento WHERE nombre = 'Trasiego';</t>
  </si>
  <si>
    <t>INSERT INTO Movimiento (id_movimiento, fecha_hora, id_tipo_movimiento, observaciones) SELECT 'd0ad7166', '2025-04-08 12:39:39', id_tipo_movimiento, NULL FROM Tipo_movimiento WHERE nombre = 'Trasiego';</t>
  </si>
  <si>
    <t>INSERT INTO Movimiento (id_movimiento, fecha_hora, id_tipo_movimiento, observaciones) SELECT '2af76f9c', '2025-04-08 12:41:10', id_tipo_movimiento, NULL FROM Tipo_movimiento WHERE nombre = 'Trasiego';</t>
  </si>
  <si>
    <t>INSERT INTO Movimiento (id_movimiento, fecha_hora, id_tipo_movimiento, observaciones) SELECT 'c7f4c2f2', '2025-04-08 12:42:16', id_tipo_movimiento, NULL FROM Tipo_movimiento WHERE nombre = 'Trasiego';</t>
  </si>
  <si>
    <t>INSERT INTO Movimiento (id_movimiento, fecha_hora, id_tipo_movimiento, observaciones) SELECT '4f256382', '2025-04-08 18:59:26', id_tipo_movimiento, NULL FROM Tipo_movimiento WHERE nombre = 'Trasiego';</t>
  </si>
  <si>
    <t>INSERT INTO Movimiento (id_movimiento, fecha_hora, id_tipo_movimiento, observaciones) SELECT '1bdd9844', '2025-04-09 18:35:08', id_tipo_movimiento, NULL FROM Tipo_movimiento WHERE nombre = 'Trasiego';</t>
  </si>
  <si>
    <t>INSERT INTO Movimiento (id_movimiento, fecha_hora, id_tipo_movimiento, observaciones) SELECT '985fe11d', '2025-04-09 18:41:10', id_tipo_movimiento, NULL FROM Tipo_movimiento WHERE nombre = 'Trasiego';</t>
  </si>
  <si>
    <t>INSERT INTO Movimiento (id_movimiento, fecha_hora, id_tipo_movimiento, observaciones) SELECT '79c73672', '2025-04-09 18:43:01', id_tipo_movimiento, NULL FROM Tipo_movimiento WHERE nombre = 'Trasiego';</t>
  </si>
  <si>
    <t>INSERT INTO Movimiento (id_movimiento, fecha_hora, id_tipo_movimiento, observaciones) SELECT '07cc94cb', '2025-04-09 18:43:43', id_tipo_movimiento, NULL FROM Tipo_movimiento WHERE nombre = 'Trasiego';</t>
  </si>
  <si>
    <t>INSERT INTO Movimiento (id_movimiento, fecha_hora, id_tipo_movimiento, observaciones) SELECT '06915f8e', '2025-04-09 18:48:30', id_tipo_movimiento, NULL FROM Tipo_movimiento WHERE nombre = 'Trasiego';</t>
  </si>
  <si>
    <t>INSERT INTO Movimiento (id_movimiento, fecha_hora, id_tipo_movimiento, observaciones) SELECT '2760a910', '2025-04-09 19:10:43', id_tipo_movimiento, NULL FROM Tipo_movimiento WHERE nombre = 'Trasiego';</t>
  </si>
  <si>
    <t>INSERT INTO Movimiento (id_movimiento, fecha_hora, id_tipo_movimiento, observaciones) SELECT 'd5bf5b1a', '2025-04-10 18:41:34', id_tipo_movimiento, NULL FROM Tipo_movimiento WHERE nombre = 'Trasiego';</t>
  </si>
  <si>
    <t>INSERT INTO Movimiento (id_movimiento, fecha_hora, id_tipo_movimiento, observaciones) SELECT '0d8df612', '2025-04-10 18:43:43', id_tipo_movimiento, NULL FROM Tipo_movimiento WHERE nombre = 'Trasiego';</t>
  </si>
  <si>
    <t>INSERT INTO Movimiento (id_movimiento, fecha_hora, id_tipo_movimiento, observaciones) SELECT '1a37214c', '2025-04-10 18:44:36', id_tipo_movimiento, NULL FROM Tipo_movimiento WHERE nombre = 'Trasiego';</t>
  </si>
  <si>
    <t>INSERT INTO Movimiento (id_movimiento, fecha_hora, id_tipo_movimiento, observaciones) SELECT 'b058571c', '2025-04-11 17:01:59', id_tipo_movimiento, NULL FROM Tipo_movimiento WHERE nombre = 'Trasiego';</t>
  </si>
  <si>
    <t>INSERT INTO Movimiento (id_movimiento, fecha_hora, id_tipo_movimiento, observaciones) SELECT '8a40d94b', '2025-04-11 21:21:49', id_tipo_movimiento, NULL FROM Tipo_movimiento WHERE nombre = 'Trasiego';</t>
  </si>
  <si>
    <t>INSERT INTO Movimiento (id_movimiento, fecha_hora, id_tipo_movimiento, observaciones) SELECT '2acac0c3', '2025-04-11 21:23:52', id_tipo_movimiento, NULL FROM Tipo_movimiento WHERE nombre = 'Trasiego';</t>
  </si>
  <si>
    <t>INSERT INTO Movimiento (id_movimiento, fecha_hora, id_tipo_movimiento, observaciones) SELECT 'fa5421be', '2025-04-11 21:25:36', id_tipo_movimiento, NULL FROM Tipo_movimiento WHERE nombre = 'Trasiego';</t>
  </si>
  <si>
    <t>INSERT INTO Movimiento (id_movimiento, fecha_hora, id_tipo_movimiento, observaciones) SELECT 'c006adee', '2025-04-11 21:26:19', id_tipo_movimiento, NULL FROM Tipo_movimiento WHERE nombre = 'Trasiego';</t>
  </si>
  <si>
    <t>INSERT INTO Movimiento (id_movimiento, fecha_hora, id_tipo_movimiento, observaciones) SELECT '6dfeebb0', '2025-04-12 12:31:57', id_tipo_movimiento, NULL FROM Tipo_movimiento WHERE nombre = 'Trasiego';</t>
  </si>
  <si>
    <t>INSERT INTO Movimiento (id_movimiento, fecha_hora, id_tipo_movimiento, observaciones) SELECT '22076a85', '2025-04-12 12:33:07', id_tipo_movimiento, NULL FROM Tipo_movimiento WHERE nombre = 'Trasiego';</t>
  </si>
  <si>
    <t>INSERT INTO Movimiento (id_movimiento, fecha_hora, id_tipo_movimiento, observaciones) SELECT '510f089f', '2025-04-12 12:33:27', id_tipo_movimiento, NULL FROM Tipo_movimiento WHERE nombre = 'Trasiego';</t>
  </si>
  <si>
    <t>INSERT INTO Movimiento (id_movimiento, fecha_hora, id_tipo_movimiento, observaciones) SELECT 'b261060d', '2025-04-12 12:37:03', id_tipo_movimiento, NULL FROM Tipo_movimiento WHERE nombre = 'Trasiego';</t>
  </si>
  <si>
    <t>INSERT INTO Movimiento (id_movimiento, fecha_hora, id_tipo_movimiento, observaciones) SELECT 'b69ece35', '2025-04-14 18:33:21', id_tipo_movimiento, NULL FROM Tipo_movimiento WHERE nombre = 'Trasiego';</t>
  </si>
  <si>
    <t>INSERT INTO Movimiento (id_movimiento, fecha_hora, id_tipo_movimiento, observaciones) SELECT '1a58c494', '2025-04-14 18:39:21', id_tipo_movimiento, NULL FROM Tipo_movimiento WHERE nombre = 'Trasiego';</t>
  </si>
  <si>
    <t>INSERT INTO Movimiento (id_movimiento, fecha_hora, id_tipo_movimiento, observaciones) SELECT 'ad2055b3', '2025-04-14 19:00:59', id_tipo_movimiento, NULL FROM Tipo_movimiento WHERE nombre = 'Trasiego';</t>
  </si>
  <si>
    <t>INSERT INTO Movimiento (id_movimiento, fecha_hora, id_tipo_movimiento, observaciones) SELECT '0e82a0cf', '2025-04-14 19:20:22', id_tipo_movimiento, NULL FROM Tipo_movimiento WHERE nombre = 'Trasiego';</t>
  </si>
  <si>
    <t>INSERT INTO Movimiento (id_movimiento, fecha_hora, id_tipo_movimiento, observaciones) SELECT '4945a88b', '2025-04-14 19:21:26', id_tipo_movimiento, NULL FROM Tipo_movimiento WHERE nombre = 'Trasiego';</t>
  </si>
  <si>
    <t>INSERT INTO Movimiento (id_movimiento, fecha_hora, id_tipo_movimiento, observaciones) SELECT 'f9e05f03', '2025-04-14 19:22:02', id_tipo_movimiento, NULL FROM Tipo_movimiento WHERE nombre = 'Trasiego';</t>
  </si>
  <si>
    <t>INSERT INTO Movimiento (id_movimiento, fecha_hora, id_tipo_movimiento, observaciones) SELECT 'defa6058', '2025-04-14 19:24:57', id_tipo_movimiento, NULL FROM Tipo_movimiento WHERE nombre = 'Trasiego';</t>
  </si>
  <si>
    <t>INSERT INTO Movimiento (id_movimiento, fecha_hora, id_tipo_movimiento, observaciones) SELECT '5c47345e', '2025-04-14 19:31:06', id_tipo_movimiento, NULL FROM Tipo_movimiento WHERE nombre = 'Trasiego';</t>
  </si>
  <si>
    <t>INSERT INTO Movimiento (id_movimiento, fecha_hora, id_tipo_movimiento, observaciones) SELECT 'f9c104a1', '2025-04-14 19:31:54', id_tipo_movimiento, NULL FROM Tipo_movimiento WHERE nombre = 'Trasiego';</t>
  </si>
  <si>
    <t>INSERT INTO Movimiento (id_movimiento, fecha_hora, id_tipo_movimiento, observaciones) SELECT 'c9401985', '2025-04-14 19:32:40', id_tipo_movimiento, NULL FROM Tipo_movimiento WHERE nombre = 'Trasiego';</t>
  </si>
  <si>
    <t>INSERT INTO Movimiento (id_movimiento, fecha_hora, id_tipo_movimiento, observaciones) SELECT 'e8e27b43', '2025-04-14 19:33:09', id_tipo_movimiento, NULL FROM Tipo_movimiento WHERE nombre = 'Trasiego';</t>
  </si>
  <si>
    <t>INSERT INTO Movimiento (id_movimiento, fecha_hora, id_tipo_movimiento, observaciones) SELECT 'b25dda67', '2025-04-14 19:35:51', id_tipo_movimiento, NULL FROM Tipo_movimiento WHERE nombre = 'Trasiego';</t>
  </si>
  <si>
    <t>INSERT INTO Movimiento (id_movimiento, fecha_hora, id_tipo_movimiento, observaciones) SELECT '2d8517ba', '2025-04-14 19:39:08', id_tipo_movimiento, NULL FROM Tipo_movimiento WHERE nombre = 'Trasiego';</t>
  </si>
  <si>
    <t>INSERT INTO Movimiento (id_movimiento, fecha_hora, id_tipo_movimiento, observaciones) SELECT 'bbb74afe', '2025-04-14 19:40:11', id_tipo_movimiento, NULL FROM Tipo_movimiento WHERE nombre = 'Trasiego';</t>
  </si>
  <si>
    <t>INSERT INTO Movimiento (id_movimiento, fecha_hora, id_tipo_movimiento, observaciones) SELECT '32bae3ab', '2025-04-14 19:40:42', id_tipo_movimiento, NULL FROM Tipo_movimiento WHERE nombre = 'Trasiego';</t>
  </si>
  <si>
    <t>INSERT INTO Movimiento (id_movimiento, fecha_hora, id_tipo_movimiento, observaciones) SELECT '1c7ca4df', '2025-04-14 19:41:06', id_tipo_movimiento, NULL FROM Tipo_movimiento WHERE nombre = 'Trasiego';</t>
  </si>
  <si>
    <t>INSERT INTO Movimiento (id_movimiento, fecha_hora, id_tipo_movimiento, observaciones) SELECT 'd358e011', '2025-04-14 19:42:00', id_tipo_movimiento, NULL FROM Tipo_movimiento WHERE nombre = 'Trasiego';</t>
  </si>
  <si>
    <t>INSERT INTO Movimiento (id_movimiento, fecha_hora, id_tipo_movimiento, observaciones) SELECT '5f53a4d1', '2025-04-14 19:43:33', id_tipo_movimiento, NULL FROM Tipo_movimiento WHERE nombre = 'Trasiego';</t>
  </si>
  <si>
    <t>INSERT INTO Movimiento (id_movimiento, fecha_hora, id_tipo_movimiento, observaciones) SELECT '27893242', '2025-04-14 19:44:10', id_tipo_movimiento, NULL FROM Tipo_movimiento WHERE nombre = 'Trasiego';</t>
  </si>
  <si>
    <t>INSERT INTO Movimiento (id_movimiento, fecha_hora, id_tipo_movimiento, observaciones) SELECT '10f4b0b0', '2025-04-15 11:35:44', id_tipo_movimiento, NULL FROM Tipo_movimiento WHERE nombre = 'Trasiego';</t>
  </si>
  <si>
    <t>INSERT INTO Movimiento (id_movimiento, fecha_hora, id_tipo_movimiento, observaciones) SELECT 'a9cb12d7', '2025-04-16 18:00:57', id_tipo_movimiento, NULL FROM Tipo_movimiento WHERE nombre = 'Trasiego';</t>
  </si>
  <si>
    <t>INSERT INTO Movimiento (id_movimiento, fecha_hora, id_tipo_movimiento, observaciones) SELECT 'd18a8462', '2025-04-16 18:03:56', id_tipo_movimiento, NULL FROM Tipo_movimiento WHERE nombre = 'Trasiego';</t>
  </si>
  <si>
    <t>INSERT INTO Movimiento (id_movimiento, fecha_hora, id_tipo_movimiento, observaciones) SELECT 'f744f36c', '2025-04-16 18:04:52', id_tipo_movimiento, NULL FROM Tipo_movimiento WHERE nombre = 'Trasiego';</t>
  </si>
  <si>
    <t>INSERT INTO Movimiento (id_movimiento, fecha_hora, id_tipo_movimiento, observaciones) SELECT '99845561', '2025-04-16 18:06:20', id_tipo_movimiento, NULL FROM Tipo_movimiento WHERE nombre = 'Trasiego';</t>
  </si>
  <si>
    <t>INSERT INTO Movimiento (id_movimiento, fecha_hora, id_tipo_movimiento, observaciones) SELECT '49940ac5', '2025-04-16 18:08:22', id_tipo_movimiento, NULL FROM Tipo_movimiento WHERE nombre = 'Trasiego';</t>
  </si>
  <si>
    <t>INSERT INTO Movimiento (id_movimiento, fecha_hora, id_tipo_movimiento, observaciones) SELECT 'e9f4c3cf', '2025-04-16 18:12:53', id_tipo_movimiento, NULL FROM Tipo_movimiento WHERE nombre = 'Trasiego';</t>
  </si>
  <si>
    <t>INSERT INTO Movimiento (id_movimiento, fecha_hora, id_tipo_movimiento, observaciones) SELECT '61c9dedf', '2025-04-16 18:18:42', id_tipo_movimiento, NULL FROM Tipo_movimiento WHERE nombre = 'Trasiego';</t>
  </si>
  <si>
    <t>INSERT INTO Movimiento (id_movimiento, fecha_hora, id_tipo_movimiento, observaciones) SELECT '3d2e951a', '2025-04-16 18:20:31', id_tipo_movimiento, NULL FROM Tipo_movimiento WHERE nombre = 'Trasiego';</t>
  </si>
  <si>
    <t>INSERT INTO Movimiento (id_movimiento, fecha_hora, id_tipo_movimiento, observaciones) SELECT '2aae5b85', '2025-04-16 18:21:24', id_tipo_movimiento, NULL FROM Tipo_movimiento WHERE nombre = 'Trasiego';</t>
  </si>
  <si>
    <t>INSERT INTO Movimiento (id_movimiento, fecha_hora, id_tipo_movimiento, observaciones) SELECT 'fce1b87e', '2025-04-17 12:51:00', id_tipo_movimiento, NULL FROM Tipo_movimiento WHERE nombre = 'Trasiego';</t>
  </si>
  <si>
    <t>INSERT INTO Movimiento (id_movimiento, fecha_hora, id_tipo_movimiento, observaciones) SELECT '29c4c29e', '2025-04-17 12:55:16', id_tipo_movimiento, NULL FROM Tipo_movimiento WHERE nombre = 'Trasiego';</t>
  </si>
  <si>
    <t>INSERT INTO Movimiento (id_movimiento, fecha_hora, id_tipo_movimiento, observaciones) SELECT '53a461f7', '2025-04-17 12:58:11', id_tipo_movimiento, NULL FROM Tipo_movimiento WHERE nombre = 'Trasiego';</t>
  </si>
  <si>
    <t>INSERT INTO Movimiento (id_movimiento, fecha_hora, id_tipo_movimiento, observaciones) SELECT '586cba81', '2025-04-17 13:01:43', id_tipo_movimiento, NULL FROM Tipo_movimiento WHERE nombre = 'Trasiego';</t>
  </si>
  <si>
    <t>INSERT INTO Movimiento (id_movimiento, fecha_hora, id_tipo_movimiento, observaciones) SELECT 'f9afea55', '2025-04-17 13:04:10', id_tipo_movimiento, NULL FROM Tipo_movimiento WHERE nombre = 'Trasiego';</t>
  </si>
  <si>
    <t>INSERT INTO Movimiento (id_movimiento, fecha_hora, id_tipo_movimiento, observaciones) SELECT '8228f3fb', '2025-04-17 13:06:00', id_tipo_movimiento, NULL FROM Tipo_movimiento WHERE nombre = 'Trasiego';</t>
  </si>
  <si>
    <t>INSERT INTO Movimiento (id_movimiento, fecha_hora, id_tipo_movimiento, observaciones) SELECT '8f4b1ed2', '2025-04-17 13:08:10', id_tipo_movimiento, NULL FROM Tipo_movimiento WHERE nombre = 'Trasiego';</t>
  </si>
  <si>
    <t>INSERT INTO Movimiento (id_movimiento, fecha_hora, id_tipo_movimiento, observaciones) SELECT '0ba68d6a', '2025-04-17 17:49:15', id_tipo_movimiento, NULL FROM Tipo_movimiento WHERE nombre = 'Trasiego';</t>
  </si>
  <si>
    <t>INSERT INTO Movimiento (id_movimiento, fecha_hora, id_tipo_movimiento, observaciones) SELECT 'd9d20dc0', '2025-04-17 17:50:14', id_tipo_movimiento, NULL FROM Tipo_movimiento WHERE nombre = 'Trasiego';</t>
  </si>
  <si>
    <t>INSERT INTO Movimiento (id_movimiento, fecha_hora, id_tipo_movimiento, observaciones) SELECT '488766b0', '2025-04-17 17:52:28', id_tipo_movimiento, NULL FROM Tipo_movimiento WHERE nombre = 'Trasiego';</t>
  </si>
  <si>
    <t>INSERT INTO Movimiento (id_movimiento, fecha_hora, id_tipo_movimiento, observaciones) SELECT '363d4e26', '2025-04-17 17:54:37', id_tipo_movimiento, NULL FROM Tipo_movimiento WHERE nombre = 'Trasiego';</t>
  </si>
  <si>
    <t>INSERT INTO Movimiento (id_movimiento, fecha_hora, id_tipo_movimiento, observaciones) SELECT 'bbccaee4', '2025-04-17 20:49:07', id_tipo_movimiento, NULL FROM Tipo_movimiento WHERE nombre = 'Trasiego';</t>
  </si>
  <si>
    <t>INSERT INTO Movimiento (id_movimiento, fecha_hora, id_tipo_movimiento, observaciones) SELECT 'b229f727', '2025-04-17 20:50:42', id_tipo_movimiento, NULL FROM Tipo_movimiento WHERE nombre = 'Trasiego';</t>
  </si>
  <si>
    <t>INSERT INTO Movimiento (id_movimiento, fecha_hora, id_tipo_movimiento, observaciones) SELECT 'ec7704e2', '2025-04-17 20:53:06', id_tipo_movimiento, NULL FROM Tipo_movimiento WHERE nombre = 'Trasiego';</t>
  </si>
  <si>
    <t>INSERT INTO Movimiento (id_movimiento, fecha_hora, id_tipo_movimiento, observaciones) SELECT '673ad10f', '2025-04-17 20:53:49', id_tipo_movimiento, NULL FROM Tipo_movimiento WHERE nombre = 'Trasiego';</t>
  </si>
  <si>
    <t>INSERT INTO Movimiento (id_movimiento, fecha_hora, id_tipo_movimiento, observaciones) SELECT '5388e2ee', '2025-04-17 20:59:13', id_tipo_movimiento, NULL FROM Tipo_movimiento WHERE nombre = 'Trasiego';</t>
  </si>
  <si>
    <t>INSERT INTO Movimiento (id_movimiento, fecha_hora, id_tipo_movimiento, observaciones) SELECT 'f19bda58', '2025-04-17 21:00:32', id_tipo_movimiento, NULL FROM Tipo_movimiento WHERE nombre = 'Trasiego';</t>
  </si>
  <si>
    <t>INSERT INTO Movimiento (id_movimiento, fecha_hora, id_tipo_movimiento, observaciones) SELECT '53949e8f', '2025-04-19 12:29:56', id_tipo_movimiento, NULL FROM Tipo_movimiento WHERE nombre = 'Trasiego';</t>
  </si>
  <si>
    <t>INSERT INTO Movimiento (id_movimiento, fecha_hora, id_tipo_movimiento, observaciones) SELECT 'c3cec4ca', '2025-04-19 12:30:27', id_tipo_movimiento, NULL FROM Tipo_movimiento WHERE nombre = 'Trasiego';</t>
  </si>
  <si>
    <t>INSERT INTO Movimiento (id_movimiento, fecha_hora, id_tipo_movimiento, observaciones) SELECT 'b812a49c', '2025-04-19 12:35:01', id_tipo_movimiento, NULL FROM Tipo_movimiento WHERE nombre = 'Trasiego';</t>
  </si>
  <si>
    <t>INSERT INTO Movimiento (id_movimiento, fecha_hora, id_tipo_movimiento, observaciones) SELECT 'a8b963f4', '2025-04-19 12:35:52', id_tipo_movimiento, NULL FROM Tipo_movimiento WHERE nombre = 'Trasiego';</t>
  </si>
  <si>
    <t>INSERT INTO Movimiento (id_movimiento, fecha_hora, id_tipo_movimiento, observaciones) SELECT '160af005', '2025-04-21 11:24:06', id_tipo_movimiento, NULL FROM Tipo_movimiento WHERE nombre = 'Trasiego';</t>
  </si>
  <si>
    <t>INSERT INTO Movimiento (id_movimiento, fecha_hora, id_tipo_movimiento, observaciones) SELECT '8469e96d', '2025-04-21 11:24:31', id_tipo_movimiento, NULL FROM Tipo_movimiento WHERE nombre = 'Trasiego';</t>
  </si>
  <si>
    <t>INSERT INTO Movimiento (id_movimiento, fecha_hora, id_tipo_movimiento, observaciones) SELECT '3998063e', '2025-04-21 19:30:31', id_tipo_movimiento, NULL FROM Tipo_movimiento WHERE nombre = 'Trasiego';</t>
  </si>
  <si>
    <t>INSERT INTO Movimiento (id_movimiento, fecha_hora, id_tipo_movimiento, observaciones) SELECT '8744bfc9', '2025-04-21 19:31:02', id_tipo_movimiento, NULL FROM Tipo_movimiento WHERE nombre = 'Trasiego';</t>
  </si>
  <si>
    <t>INSERT INTO Movimiento (id_movimiento, fecha_hora, id_tipo_movimiento, observaciones) SELECT 'bcbed126', '2025-04-22 17:06:22', id_tipo_movimiento, NULL FROM Tipo_movimiento WHERE nombre = 'Trasiego';</t>
  </si>
  <si>
    <t>INSERT INTO Movimiento (id_movimiento, fecha_hora, id_tipo_movimiento, observaciones) SELECT '17473616', '2025-04-22 17:07:48', id_tipo_movimiento, NULL FROM Tipo_movimiento WHERE nombre = 'Trasiego';</t>
  </si>
  <si>
    <t>INSERT INTO Movimiento (id_movimiento, fecha_hora, id_tipo_movimiento, observaciones) SELECT '4fef8a3a', '2025-04-22 17:08:53', id_tipo_movimiento, NULL FROM Tipo_movimiento WHERE nombre = 'Trasiego';</t>
  </si>
  <si>
    <t>INSERT INTO Movimiento (id_movimiento, fecha_hora, id_tipo_movimiento, observaciones) SELECT '54643afb', '2025-04-22 17:09:58', id_tipo_movimiento, NULL FROM Tipo_movimiento WHERE nombre = 'Trasiego';</t>
  </si>
  <si>
    <t>INSERT INTO Movimiento (id_movimiento, fecha_hora, id_tipo_movimiento, observaciones) SELECT '25fb6238', '2025-04-22 17:11:20', id_tipo_movimiento, NULL FROM Tipo_movimiento WHERE nombre = 'Trasiego';</t>
  </si>
  <si>
    <t>INSERT INTO Movimiento (id_movimiento, fecha_hora, id_tipo_movimiento, observaciones) SELECT 'a1351ff3', '2025-04-22 17:12:11', id_tipo_movimiento, NULL FROM Tipo_movimiento WHERE nombre = 'Trasiego';</t>
  </si>
  <si>
    <t>INSERT INTO Movimiento (id_movimiento, fecha_hora, id_tipo_movimiento, observaciones) SELECT '5b57d424', '2025-04-22 17:13:06', id_tipo_movimiento, NULL FROM Tipo_movimiento WHERE nombre = 'Trasiego';</t>
  </si>
  <si>
    <t>INSERT INTO Movimiento (id_movimiento, fecha_hora, id_tipo_movimiento, observaciones) SELECT '3600ec75', '2025-04-22 17:13:57', id_tipo_movimiento, NULL FROM Tipo_movimiento WHERE nombre = 'Trasiego';</t>
  </si>
  <si>
    <t>INSERT INTO Movimiento (id_movimiento, fecha_hora, id_tipo_movimiento, observaciones) SELECT '7597f9c4', '2025-04-22 17:14:21', id_tipo_movimiento, NULL FROM Tipo_movimiento WHERE nombre = 'Trasiego';</t>
  </si>
  <si>
    <t>INSERT INTO Movimiento (id_movimiento, fecha_hora, id_tipo_movimiento, observaciones) SELECT 'c01b1f66', '2025-04-22 17:15:14', id_tipo_movimiento, NULL FROM Tipo_movimiento WHERE nombre = 'Trasiego';</t>
  </si>
  <si>
    <t>INSERT INTO Movimiento (id_movimiento, fecha_hora, id_tipo_movimiento, observaciones) SELECT 'f9b90b86', '2025-04-22 17:15:35', id_tipo_movimiento, NULL FROM Tipo_movimiento WHERE nombre = 'Trasiego';</t>
  </si>
  <si>
    <t>INSERT INTO Movimiento (id_movimiento, fecha_hora, id_tipo_movimiento, observaciones) SELECT 'c3eb52cc', '2025-04-23 17:44:48', id_tipo_movimiento, NULL FROM Tipo_movimiento WHERE nombre = 'Trasiego';</t>
  </si>
  <si>
    <t>INSERT INTO Movimiento (id_movimiento, fecha_hora, id_tipo_movimiento, observaciones) SELECT 'dc52b6f0', '2025-04-23 17:45:57', id_tipo_movimiento, NULL FROM Tipo_movimiento WHERE nombre = 'Trasiego';</t>
  </si>
  <si>
    <t>INSERT INTO Movimiento (id_movimiento, fecha_hora, id_tipo_movimiento, observaciones) SELECT '087b013c', '2025-04-23 18:19:01', id_tipo_movimiento, NULL FROM Tipo_movimiento WHERE nombre = 'Trasiego';</t>
  </si>
  <si>
    <t>INSERT INTO Movimiento (id_movimiento, fecha_hora, id_tipo_movimiento, observaciones) SELECT '242b226e', '2025-04-23 18:28:16', id_tipo_movimiento, NULL FROM Tipo_movimiento WHERE nombre = 'Trasiego';</t>
  </si>
  <si>
    <t>INSERT INTO Movimiento (id_movimiento, fecha_hora, id_tipo_movimiento, observaciones) SELECT '146494ce', '2025-04-23 18:30:57', id_tipo_movimiento, NULL FROM Tipo_movimiento WHERE nombre = 'Trasiego';</t>
  </si>
  <si>
    <t>INSERT INTO Movimiento (id_movimiento, fecha_hora, id_tipo_movimiento, observaciones) SELECT '0e8f47c0', '2025-04-23 18:32:23', id_tipo_movimiento, NULL FROM Tipo_movimiento WHERE nombre = 'Trasiego';</t>
  </si>
  <si>
    <t>INSERT INTO Movimiento (id_movimiento, fecha_hora, id_tipo_movimiento, observaciones) SELECT '51605ab2', '2025-04-23 18:33:09', id_tipo_movimiento, NULL FROM Tipo_movimiento WHERE nombre = 'Trasiego';</t>
  </si>
  <si>
    <t>INSERT INTO Movimiento (id_movimiento, fecha_hora, id_tipo_movimiento, observaciones) SELECT '71bc4487', '2025-04-23 18:37:38', id_tipo_movimiento, NULL FROM Tipo_movimiento WHERE nombre = 'Trasiego';</t>
  </si>
  <si>
    <t>INSERT INTO Movimiento (id_movimiento, fecha_hora, id_tipo_movimiento, observaciones) SELECT 'f371e48b', '2025-04-23 18:39:48', id_tipo_movimiento, NULL FROM Tipo_movimiento WHERE nombre = 'Trasiego';</t>
  </si>
  <si>
    <t>INSERT INTO Movimiento (id_movimiento, fecha_hora, id_tipo_movimiento, observaciones) SELECT '3e29b381', '2025-04-23 18:40:25', id_tipo_movimiento, NULL FROM Tipo_movimiento WHERE nombre = 'Trasiego';</t>
  </si>
  <si>
    <t>INSERT INTO Movimiento (id_movimiento, fecha_hora, id_tipo_movimiento, observaciones) SELECT '8152bced', '2025-04-23 18:43:01', id_tipo_movimiento, NULL FROM Tipo_movimiento WHERE nombre = 'Trasiego';</t>
  </si>
  <si>
    <t>INSERT INTO Movimiento (id_movimiento, fecha_hora, id_tipo_movimiento, observaciones) SELECT '1b41b20f', '2025-04-23 19:09:26', id_tipo_movimiento, NULL FROM Tipo_movimiento WHERE nombre = 'Trasiego';</t>
  </si>
  <si>
    <t>INSERT INTO Movimiento (id_movimiento, fecha_hora, id_tipo_movimiento, observaciones) SELECT '0bfd575a', '2025-04-23 19:10:00', id_tipo_movimiento, NULL FROM Tipo_movimiento WHERE nombre = 'Trasiego';</t>
  </si>
  <si>
    <t>INSERT INTO Movimiento (id_movimiento, fecha_hora, id_tipo_movimiento, observaciones) SELECT '720d28d4', '2025-04-23 19:11:36', id_tipo_movimiento, NULL FROM Tipo_movimiento WHERE nombre = 'Trasiego';</t>
  </si>
  <si>
    <t>INSERT INTO Movimiento (id_movimiento, fecha_hora, id_tipo_movimiento, observaciones) SELECT 'a59ddfe2', '2025-04-23 19:12:16', id_tipo_movimiento, NULL FROM Tipo_movimiento WHERE nombre = 'Trasiego';</t>
  </si>
  <si>
    <t>INSERT INTO Movimiento (id_movimiento, fecha_hora, id_tipo_movimiento, observaciones) SELECT '4f07c665', '2025-04-23 19:12:43', id_tipo_movimiento, NULL FROM Tipo_movimiento WHERE nombre = 'Trasiego';</t>
  </si>
  <si>
    <t>INSERT INTO Movimiento (id_movimiento, fecha_hora, id_tipo_movimiento, observaciones) SELECT 'eea4f69c', '2025-04-23 19:13:34', id_tipo_movimiento, NULL FROM Tipo_movimiento WHERE nombre = 'Trasiego';</t>
  </si>
  <si>
    <t>INSERT INTO Movimiento (id_movimiento, fecha_hora, id_tipo_movimiento, observaciones) SELECT 'fedb41fc', '2025-04-23 19:14:04', id_tipo_movimiento, NULL FROM Tipo_movimiento WHERE nombre = 'Trasiego';</t>
  </si>
  <si>
    <t>INSERT INTO Movimiento (id_movimiento, fecha_hora, id_tipo_movimiento, observaciones) SELECT '55c33655', '2025-04-23 19:14:29', id_tipo_movimiento, NULL FROM Tipo_movimiento WHERE nombre = 'Trasiego';</t>
  </si>
  <si>
    <t>INSERT INTO Movimiento (id_movimiento, fecha_hora, id_tipo_movimiento, observaciones) SELECT '28fdc847', '2025-04-23 19:14:46', id_tipo_movimiento, NULL FROM Tipo_movimiento WHERE nombre = 'Trasiego';</t>
  </si>
  <si>
    <t>INSERT INTO Movimiento (id_movimiento, fecha_hora, id_tipo_movimiento, observaciones) SELECT '7188f781', '2025-04-23 19:15:15', id_tipo_movimiento, NULL FROM Tipo_movimiento WHERE nombre = 'Trasiego';</t>
  </si>
  <si>
    <t>INSERT INTO Movimiento (id_movimiento, fecha_hora, id_tipo_movimiento, observaciones) SELECT '2251d481', '2025-04-23 19:15:46', id_tipo_movimiento, NULL FROM Tipo_movimiento WHERE nombre = 'Trasiego';</t>
  </si>
  <si>
    <t>INSERT INTO Movimiento (id_movimiento, fecha_hora, id_tipo_movimiento, observaciones) SELECT '44f10d12', '2025-04-23 19:17:27', id_tipo_movimiento, NULL FROM Tipo_movimiento WHERE nombre = 'Trasiego';</t>
  </si>
  <si>
    <t>INSERT INTO Movimiento (id_movimiento, fecha_hora, id_tipo_movimiento, observaciones) SELECT '72a46219', '2025-04-23 19:17:52', id_tipo_movimiento, NULL FROM Tipo_movimiento WHERE nombre = 'Trasiego';</t>
  </si>
  <si>
    <t>INSERT INTO Movimiento (id_movimiento, fecha_hora, id_tipo_movimiento, observaciones) SELECT 'f0da5979', '2025-04-23 19:18:23', id_tipo_movimiento, NULL FROM Tipo_movimiento WHERE nombre = 'Trasiego';</t>
  </si>
  <si>
    <t>INSERT INTO Movimiento (id_movimiento, fecha_hora, id_tipo_movimiento, observaciones) SELECT 'bcfe1f81', '2025-04-23 19:19:05', id_tipo_movimiento, NULL FROM Tipo_movimiento WHERE nombre = 'Trasiego';</t>
  </si>
  <si>
    <t>INSERT INTO Movimiento (id_movimiento, fecha_hora, id_tipo_movimiento, observaciones) SELECT '40ba4ab9', '2025-04-23 19:19:49', id_tipo_movimiento, NULL FROM Tipo_movimiento WHERE nombre = 'Trasiego';</t>
  </si>
  <si>
    <t>INSERT INTO Movimiento (id_movimiento, fecha_hora, id_tipo_movimiento, observaciones) SELECT '6249f53a', '2025-04-23 19:20:30', id_tipo_movimiento, NULL FROM Tipo_movimiento WHERE nombre = 'Trasiego';</t>
  </si>
  <si>
    <t>INSERT INTO Movimiento (id_movimiento, fecha_hora, id_tipo_movimiento, observaciones) SELECT '04250c0e', '2025-04-23 19:22:10', id_tipo_movimiento, NULL FROM Tipo_movimiento WHERE nombre = 'Trasiego';</t>
  </si>
  <si>
    <t>INSERT INTO Movimiento (id_movimiento, fecha_hora, id_tipo_movimiento, observaciones) SELECT '1fcedac0', '2025-04-23 19:22:37', id_tipo_movimiento, NULL FROM Tipo_movimiento WHERE nombre = 'Trasiego';</t>
  </si>
  <si>
    <t>INSERT INTO Movimiento (id_movimiento, fecha_hora, id_tipo_movimiento, observaciones) SELECT '5a2ebd67', '2025-04-23 19:23:11', id_tipo_movimiento, NULL FROM Tipo_movimiento WHERE nombre = 'Trasiego';</t>
  </si>
  <si>
    <t>INSERT INTO Movimiento (id_movimiento, fecha_hora, id_tipo_movimiento, observaciones) SELECT '091a13e5', '2025-04-23 19:24:56', id_tipo_movimiento, NULL FROM Tipo_movimiento WHERE nombre = 'Trasiego';</t>
  </si>
  <si>
    <t>INSERT INTO Movimiento (id_movimiento, fecha_hora, id_tipo_movimiento, observaciones) SELECT '47cf1b1f', '2025-04-23 19:25:27', id_tipo_movimiento, NULL FROM Tipo_movimiento WHERE nombre = 'Trasiego';</t>
  </si>
  <si>
    <t>INSERT INTO Movimiento (id_movimiento, fecha_hora, id_tipo_movimiento, observaciones) SELECT '3c6de361', '2025-04-23 19:30:25', id_tipo_movimiento, NULL FROM Tipo_movimiento WHERE nombre = 'Trasiego';</t>
  </si>
  <si>
    <t>INSERT INTO Movimiento (id_movimiento, fecha_hora, id_tipo_movimiento, observaciones) SELECT 'ff2fba90', '2025-04-23 19:32:08', id_tipo_movimiento, NULL FROM Tipo_movimiento WHERE nombre = 'Trasiego';</t>
  </si>
  <si>
    <t>INSERT INTO Movimiento (id_movimiento, fecha_hora, id_tipo_movimiento, observaciones) SELECT '7bd8590f', '2025-04-23 19:32:50', id_tipo_movimiento, NULL FROM Tipo_movimiento WHERE nombre = 'Trasiego';</t>
  </si>
  <si>
    <t>INSERT INTO Movimiento (id_movimiento, fecha_hora, id_tipo_movimiento, observaciones) SELECT '40b23cbf', '2025-04-23 19:33:10', id_tipo_movimiento, NULL FROM Tipo_movimiento WHERE nombre = 'Trasiego';</t>
  </si>
  <si>
    <t>INSERT INTO Movimiento (id_movimiento, fecha_hora, id_tipo_movimiento, observaciones) SELECT '4527cf43', '2025-04-24 12:36:06', id_tipo_movimiento, NULL FROM Tipo_movimiento WHERE nombre = 'Trasiego';</t>
  </si>
  <si>
    <t>INSERT INTO Movimiento (id_movimiento, fecha_hora, id_tipo_movimiento, observaciones) SELECT 'b9c1a6b0', '2025-04-24 12:36:48', id_tipo_movimiento, NULL FROM Tipo_movimiento WHERE nombre = 'Trasiego';</t>
  </si>
  <si>
    <t>INSERT INTO Movimiento (id_movimiento, fecha_hora, id_tipo_movimiento, observaciones) SELECT 'f092b0cc', '2025-04-24 12:37:19', id_tipo_movimiento, NULL FROM Tipo_movimiento WHERE nombre = 'Trasiego';</t>
  </si>
  <si>
    <t>INSERT INTO Movimiento (id_movimiento, fecha_hora, id_tipo_movimiento, observaciones) SELECT 'a0a798a6', '2025-04-25 17:29:08', id_tipo_movimiento, NULL FROM Tipo_movimiento WHERE nombre = 'Trasiego';</t>
  </si>
  <si>
    <t>INSERT INTO Movimiento (id_movimiento, fecha_hora, id_tipo_movimiento, observaciones) SELECT 'cfa73ff6', '2025-04-25 17:30:10', id_tipo_movimiento, NULL FROM Tipo_movimiento WHERE nombre = 'Trasiego';</t>
  </si>
  <si>
    <t>INSERT INTO Movimiento (id_movimiento, fecha_hora, id_tipo_movimiento, observaciones) SELECT '8d771205', '2025-04-25 17:32:46', id_tipo_movimiento, NULL FROM Tipo_movimiento WHERE nombre = 'Trasiego';</t>
  </si>
  <si>
    <t>INSERT INTO Movimiento (id_movimiento, fecha_hora, id_tipo_movimiento, observaciones) SELECT '4fd0571c', '2025-04-28 16:06:23', id_tipo_movimiento, NULL FROM Tipo_movimiento WHERE nombre = 'Trasiego';</t>
  </si>
  <si>
    <t>INSERT INTO Movimiento (id_movimiento, fecha_hora, id_tipo_movimiento, observaciones) SELECT 'c4c9bd63', '2025-04-28 16:10:11', id_tipo_movimiento, NULL FROM Tipo_movimiento WHERE nombre = 'Trasiego';</t>
  </si>
  <si>
    <t>INSERT INTO Movimiento (id_movimiento, fecha_hora, id_tipo_movimiento, observaciones) SELECT 'ee80235b', '2025-04-28 16:11:05', id_tipo_movimiento, NULL FROM Tipo_movimiento WHERE nombre = 'Trasiego';</t>
  </si>
  <si>
    <t>INSERT INTO Movimiento (id_movimiento, fecha_hora, id_tipo_movimiento, observaciones) SELECT 'f30fe45b', '2025-04-28 16:12:03', id_tipo_movimiento, NULL FROM Tipo_movimiento WHERE nombre = 'Trasiego';</t>
  </si>
  <si>
    <t>INSERT INTO Movimiento (id_movimiento, fecha_hora, id_tipo_movimiento, observaciones) SELECT 'e88f9da0', '2025-04-28 16:13:15', id_tipo_movimiento, NULL FROM Tipo_movimiento WHERE nombre = 'Trasiego';</t>
  </si>
  <si>
    <t>INSERT INTO Movimiento (id_movimiento, fecha_hora, id_tipo_movimiento, observaciones) SELECT '3414cb5c', '2025-04-28 16:14:25', id_tipo_movimiento, NULL FROM Tipo_movimiento WHERE nombre = 'Trasiego';</t>
  </si>
  <si>
    <t>INSERT INTO Movimiento (id_movimiento, fecha_hora, id_tipo_movimiento, observaciones) SELECT '5e87727d', '2025-04-28 16:38:01', id_tipo_movimiento, NULL FROM Tipo_movimiento WHERE nombre = 'Trasiego';</t>
  </si>
  <si>
    <t>INSERT INTO Movimiento (id_movimiento, fecha_hora, id_tipo_movimiento, observaciones) SELECT '2abe291a', '2025-04-28 16:41:39', id_tipo_movimiento, NULL FROM Tipo_movimiento WHERE nombre = 'Trasiego';</t>
  </si>
  <si>
    <t>INSERT INTO Movimiento (id_movimiento, fecha_hora, id_tipo_movimiento, observaciones) SELECT 'aa52f2f6', '2025-04-28 16:44:34', id_tipo_movimiento, NULL FROM Tipo_movimiento WHERE nombre = 'Trasiego';</t>
  </si>
  <si>
    <t>INSERT INTO Movimiento (id_movimiento, fecha_hora, id_tipo_movimiento, observaciones) SELECT 'ea0c5083', '2025-04-28 16:45:18', id_tipo_movimiento, NULL FROM Tipo_movimiento WHERE nombre = 'Trasiego';</t>
  </si>
  <si>
    <t>INSERT INTO Movimiento (id_movimiento, fecha_hora, id_tipo_movimiento, observaciones) SELECT 'd6b9431a', '2025-04-28 16:47:53', id_tipo_movimiento, NULL FROM Tipo_movimiento WHERE nombre = 'Trasiego';</t>
  </si>
  <si>
    <t>INSERT INTO Movimiento (id_movimiento, fecha_hora, id_tipo_movimiento, observaciones) SELECT 'c12a1e92', '2025-04-28 17:57:46', id_tipo_movimiento, NULL FROM Tipo_movimiento WHERE nombre = 'Trasiego';</t>
  </si>
  <si>
    <t>INSERT INTO Movimiento (id_movimiento, fecha_hora, id_tipo_movimiento, observaciones) SELECT '3926b3b4', '2025-04-28 17:58:33', id_tipo_movimiento, NULL FROM Tipo_movimiento WHERE nombre = 'Trasiego';</t>
  </si>
  <si>
    <t>INSERT INTO Movimiento (id_movimiento, fecha_hora, id_tipo_movimiento, observaciones) SELECT 'b67579f9', '2025-04-28 17:59:04', id_tipo_movimiento, NULL FROM Tipo_movimiento WHERE nombre = 'Trasiego';</t>
  </si>
  <si>
    <t>INSERT INTO Movimiento (id_movimiento, fecha_hora, id_tipo_movimiento, observaciones) SELECT 'c37e0245', '2025-04-28 17:59:21', id_tipo_movimiento, NULL FROM Tipo_movimiento WHERE nombre = 'Trasiego';</t>
  </si>
  <si>
    <t>INSERT INTO Movimiento (id_movimiento, fecha_hora, id_tipo_movimiento, observaciones) SELECT 'd5e5d68e', '2025-04-28 17:59:39', id_tipo_movimiento, NULL FROM Tipo_movimiento WHERE nombre = 'Trasiego';</t>
  </si>
  <si>
    <t>INSERT INTO Movimiento (id_movimiento, fecha_hora, id_tipo_movimiento, observaciones) SELECT 'da9de7e2', '2025-04-28 17:59:55', id_tipo_movimiento, NULL FROM Tipo_movimiento WHERE nombre = 'Trasiego';</t>
  </si>
  <si>
    <t>INSERT INTO Movimiento (id_movimiento, fecha_hora, id_tipo_movimiento, observaciones) SELECT 'a77a2985', '2025-04-28 18:00:16', id_tipo_movimiento, NULL FROM Tipo_movimiento WHERE nombre = 'Trasiego';</t>
  </si>
  <si>
    <t>INSERT INTO Movimiento (id_movimiento, fecha_hora, id_tipo_movimiento, observaciones) SELECT '5533fb7c', '2025-04-28 18:00:37', id_tipo_movimiento, NULL FROM Tipo_movimiento WHERE nombre = 'Trasiego';</t>
  </si>
  <si>
    <t>INSERT INTO Movimiento (id_movimiento, fecha_hora, id_tipo_movimiento, observaciones) SELECT 'b1fdeb46', '2025-04-29 20:22:31', id_tipo_movimiento, NULL FROM Tipo_movimiento WHERE nombre = 'Trasiego';</t>
  </si>
  <si>
    <t>INSERT INTO Movimiento (id_movimiento, fecha_hora, id_tipo_movimiento, observaciones) SELECT '6a20e2cc', '2025-04-29 20:24:33', id_tipo_movimiento, NULL FROM Tipo_movimiento WHERE nombre = 'Trasiego';</t>
  </si>
  <si>
    <t>INSERT INTO Movimiento (id_movimiento, fecha_hora, id_tipo_movimiento, observaciones) SELECT '340edc7e', '2025-04-29 20:25:03', id_tipo_movimiento, NULL FROM Tipo_movimiento WHERE nombre = 'Trasiego';</t>
  </si>
  <si>
    <t>INSERT INTO Movimiento (id_movimiento, fecha_hora, id_tipo_movimiento, observaciones) SELECT 'a5dbbaa3', '2025-04-29 20:25:29', id_tipo_movimiento, NULL FROM Tipo_movimiento WHERE nombre = 'Trasiego';</t>
  </si>
  <si>
    <t>INSERT INTO Movimiento (id_movimiento, fecha_hora, id_tipo_movimiento, observaciones) SELECT 'ba517461', '2025-04-29 21:47:28', id_tipo_movimiento, NULL FROM Tipo_movimiento WHERE nombre = 'Trasiego';</t>
  </si>
  <si>
    <t>INSERT INTO Movimiento (id_movimiento, fecha_hora, id_tipo_movimiento, observaciones) SELECT '55ffaf90', '2025-04-29 21:48:21', id_tipo_movimiento, NULL FROM Tipo_movimiento WHERE nombre = 'Trasiego';</t>
  </si>
  <si>
    <t>INSERT INTO Movimiento (id_movimiento, fecha_hora, id_tipo_movimiento, observaciones) SELECT '3249908a', '2025-04-29 21:49:38', id_tipo_movimiento, NULL FROM Tipo_movimiento WHERE nombre = 'Trasiego';</t>
  </si>
  <si>
    <t>INSERT INTO Movimiento (id_movimiento, fecha_hora, id_tipo_movimiento, observaciones) SELECT 'fecd47d8', '2025-04-29 21:50:43', id_tipo_movimiento, NULL FROM Tipo_movimiento WHERE nombre = 'Trasiego';</t>
  </si>
  <si>
    <t>INSERT INTO Movimiento (id_movimiento, fecha_hora, id_tipo_movimiento, observaciones) SELECT '52ff4dae', '2025-04-29 21:51:10', id_tipo_movimiento, NULL FROM Tipo_movimiento WHERE nombre = 'Trasiego';</t>
  </si>
  <si>
    <t>INSERT INTO Movimiento (id_movimiento, fecha_hora, id_tipo_movimiento, observaciones) SELECT '5ecc52dd', '2025-04-29 21:51:47', id_tipo_movimiento, NULL FROM Tipo_movimiento WHERE nombre = 'Trasiego';</t>
  </si>
  <si>
    <t>INSERT INTO Movimiento (id_movimiento, fecha_hora, id_tipo_movimiento, observaciones) SELECT '2bea85a7', '2025-04-29 22:01:08', id_tipo_movimiento, NULL FROM Tipo_movimiento WHERE nombre = 'Trasiego';</t>
  </si>
  <si>
    <t>INSERT INTO Movimiento (id_movimiento, fecha_hora, id_tipo_movimiento, observaciones) SELECT '8f72e535', '2025-04-29 22:02:07', id_tipo_movimiento, NULL FROM Tipo_movimiento WHERE nombre = 'Trasiego';</t>
  </si>
  <si>
    <t>INSERT INTO Movimiento (id_movimiento, fecha_hora, id_tipo_movimiento, observaciones) SELECT '399cb47e', '2025-04-29 22:02:44', id_tipo_movimiento, NULL FROM Tipo_movimiento WHERE nombre = 'Trasiego';</t>
  </si>
  <si>
    <t>INSERT INTO Movimiento (id_movimiento, fecha_hora, id_tipo_movimiento, observaciones) SELECT '7fc96ae7', '2025-04-30 10:27:58', id_tipo_movimiento, NULL FROM Tipo_movimiento WHERE nombre = 'Trasiego';</t>
  </si>
  <si>
    <t>INSERT INTO Movimiento (id_movimiento, fecha_hora, id_tipo_movimiento, observaciones) SELECT 'e0f9c372', '2025-04-30 19:23:04', id_tipo_movimiento, NULL FROM Tipo_movimiento WHERE nombre = 'Trasiego';</t>
  </si>
  <si>
    <t>INSERT INTO Movimiento (id_movimiento, fecha_hora, id_tipo_movimiento, observaciones) SELECT '8c84e42b', '2025-04-30 19:24:15', id_tipo_movimiento, NULL FROM Tipo_movimiento WHERE nombre = 'Trasiego';</t>
  </si>
  <si>
    <t>INSERT INTO Movimiento (id_movimiento, fecha_hora, id_tipo_movimiento, observaciones) SELECT 'ef04b39f', '2025-04-30 19:25:17', id_tipo_movimiento, NULL FROM Tipo_movimiento WHERE nombre = 'Trasiego';</t>
  </si>
  <si>
    <t>INSERT INTO Movimiento (id_movimiento, fecha_hora, id_tipo_movimiento, observaciones) SELECT '78bec9ac', '2025-04-30 19:27:40', id_tipo_movimiento, NULL FROM Tipo_movimiento WHERE nombre = 'Trasiego';</t>
  </si>
  <si>
    <t>INSERT INTO Movimiento (id_movimiento, fecha_hora, id_tipo_movimiento, observaciones) SELECT '44bbdc44', '2025-04-30 19:30:21', id_tipo_movimiento, NULL FROM Tipo_movimiento WHERE nombre = 'Trasiego';</t>
  </si>
  <si>
    <t>INSERT INTO Movimiento (id_movimiento, fecha_hora, id_tipo_movimiento, observaciones) SELECT '695bf7b9', '2025-05-06 18:42:50', id_tipo_movimiento, NULL FROM Tipo_movimiento WHERE nombre = 'Trasiego';</t>
  </si>
  <si>
    <t>INSERT INTO Movimiento (id_movimiento, fecha_hora, id_tipo_movimiento, observaciones) SELECT '59458040', '2025-05-06 18:43:16', id_tipo_movimiento, NULL FROM Tipo_movimiento WHERE nombre = 'Trasiego';</t>
  </si>
  <si>
    <t>INSERT INTO Movimiento (id_movimiento, fecha_hora, id_tipo_movimiento, observaciones) SELECT 'fd28d39c', '2025-05-06 18:43:41', id_tipo_movimiento, NULL FROM Tipo_movimiento WHERE nombre = 'Trasiego';</t>
  </si>
  <si>
    <t>INSERT INTO Movimiento (id_movimiento, fecha_hora, id_tipo_movimiento, observaciones) SELECT '18902e9e', '2025-05-06 18:44:07', id_tipo_movimiento, NULL FROM Tipo_movimiento WHERE nombre = 'Trasiego';</t>
  </si>
  <si>
    <t>INSERT INTO Movimiento (id_movimiento, fecha_hora, id_tipo_movimiento, observaciones) SELECT '88bae770', '2025-05-06 18:46:00', id_tipo_movimiento, NULL FROM Tipo_movimiento WHERE nombre = 'Trasiego';</t>
  </si>
  <si>
    <t>INSERT INTO Movimiento (id_movimiento, fecha_hora, id_tipo_movimiento, observaciones) SELECT '5c389672', '2025-05-06 18:46:44', id_tipo_movimiento, NULL FROM Tipo_movimiento WHERE nombre = 'Trasiego';</t>
  </si>
  <si>
    <t>INSERT INTO Movimiento (id_movimiento, fecha_hora, id_tipo_movimiento, observaciones) SELECT '7151898f', '2025-05-06 18:47:17', id_tipo_movimiento, NULL FROM Tipo_movimiento WHERE nombre = 'Trasiego';</t>
  </si>
  <si>
    <t>INSERT INTO Movimiento (id_movimiento, fecha_hora, id_tipo_movimiento, observaciones) SELECT 'b55fc06f', '2025-05-06 18:52:04', id_tipo_movimiento, NULL FROM Tipo_movimiento WHERE nombre = 'Trasiego';</t>
  </si>
  <si>
    <t>INSERT INTO Movimiento (id_movimiento, fecha_hora, id_tipo_movimiento, observaciones) SELECT '706da0ed', '2025-05-06 18:53:31', id_tipo_movimiento, NULL FROM Tipo_movimiento WHERE nombre = 'Trasiego';</t>
  </si>
  <si>
    <t>INSERT INTO Movimiento (id_movimiento, fecha_hora, id_tipo_movimiento, observaciones) SELECT '9d6c0309', '2025-05-06 18:55:37', id_tipo_movimiento, NULL FROM Tipo_movimiento WHERE nombre = 'Trasiego';</t>
  </si>
  <si>
    <t>INSERT INTO Movimiento (id_movimiento, fecha_hora, id_tipo_movimiento, observaciones) SELECT '73307f87', '2025-05-06 18:56:22', id_tipo_movimiento, NULL FROM Tipo_movimiento WHERE nombre = 'Trasiego';</t>
  </si>
  <si>
    <t>INSERT INTO Movimiento (id_movimiento, fecha_hora, id_tipo_movimiento, observaciones) SELECT '14d7cd66', '2025-05-06 18:56:59', id_tipo_movimiento, NULL FROM Tipo_movimiento WHERE nombre = 'Trasiego';</t>
  </si>
  <si>
    <t>INSERT INTO Movimiento (id_movimiento, fecha_hora, id_tipo_movimiento, observaciones) SELECT '0851f73f', '2025-05-06 18:59:32', id_tipo_movimiento, NULL FROM Tipo_movimiento WHERE nombre = 'Trasiego';</t>
  </si>
  <si>
    <t>INSERT INTO Movimiento (id_movimiento, fecha_hora, id_tipo_movimiento, observaciones) SELECT '88591b3c', '2025-05-06 18:59:57', id_tipo_movimiento, NULL FROM Tipo_movimiento WHERE nombre = 'Trasiego';</t>
  </si>
  <si>
    <t>INSERT INTO Movimiento (id_movimiento, fecha_hora, id_tipo_movimiento, observaciones) SELECT 'a2b567cc', '2025-05-06 19:00:26', id_tipo_movimiento, NULL FROM Tipo_movimiento WHERE nombre = 'Trasiego';</t>
  </si>
  <si>
    <t>INSERT INTO Movimiento (id_movimiento, fecha_hora, id_tipo_movimiento, observaciones) SELECT '56168283', '2025-05-06 19:30:57', id_tipo_movimiento, NULL FROM Tipo_movimiento WHERE nombre = 'Trasiego';</t>
  </si>
  <si>
    <t>INSERT INTO Movimiento (id_movimiento, fecha_hora, id_tipo_movimiento, observaciones) SELECT '1e78a523', '2025-05-06 19:32:55', id_tipo_movimiento, NULL FROM Tipo_movimiento WHERE nombre = 'Trasiego';</t>
  </si>
  <si>
    <t>INSERT INTO Movimiento (id_movimiento, fecha_hora, id_tipo_movimiento, observaciones) SELECT 'c34093bc', '2025-05-06 19:34:24', id_tipo_movimiento, NULL FROM Tipo_movimiento WHERE nombre = 'Trasiego';</t>
  </si>
  <si>
    <t>INSERT INTO Movimiento (id_movimiento, fecha_hora, id_tipo_movimiento, observaciones) SELECT '01e26e2c', '2025-05-06 19:37:07', id_tipo_movimiento, NULL FROM Tipo_movimiento WHERE nombre = 'Trasiego';</t>
  </si>
  <si>
    <t>INSERT INTO Movimiento (id_movimiento, fecha_hora, id_tipo_movimiento, observaciones) SELECT 'd210a460', '2025-05-06 19:37:40', id_tipo_movimiento, NULL FROM Tipo_movimiento WHERE nombre = 'Trasiego';</t>
  </si>
  <si>
    <t>INSERT INTO Movimiento (id_movimiento, fecha_hora, id_tipo_movimiento, observaciones) SELECT '96f04c2e', '2025-05-06 19:38:30', id_tipo_movimiento, NULL FROM Tipo_movimiento WHERE nombre = 'Trasiego';</t>
  </si>
  <si>
    <t>INSERT INTO Movimiento (id_movimiento, fecha_hora, id_tipo_movimiento, observaciones) SELECT 'd32654b2', '2025-05-06 19:43:59', id_tipo_movimiento, NULL FROM Tipo_movimiento WHERE nombre = 'Trasiego';</t>
  </si>
  <si>
    <t>INSERT INTO Movimiento (id_movimiento, fecha_hora, id_tipo_movimiento, observaciones) SELECT 'ea782cd1', '2025-05-06 19:45:00', id_tipo_movimiento, NULL FROM Tipo_movimiento WHERE nombre = 'Trasiego';</t>
  </si>
  <si>
    <t>INSERT INTO Movimiento (id_movimiento, fecha_hora, id_tipo_movimiento, observaciones) SELECT '89c11ee8', '2025-05-06 19:45:58', id_tipo_movimiento, NULL FROM Tipo_movimiento WHERE nombre = 'Trasiego';</t>
  </si>
  <si>
    <t>INSERT INTO Movimiento (id_movimiento, fecha_hora, id_tipo_movimiento, observaciones) SELECT 'a13cc567', '2025-05-06 19:46:44', id_tipo_movimiento, NULL FROM Tipo_movimiento WHERE nombre = 'Trasiego';</t>
  </si>
  <si>
    <t>INSERT INTO Movimiento (id_movimiento, fecha_hora, id_tipo_movimiento, observaciones) SELECT 'cde0fb1d', '2025-05-06 19:47:37', id_tipo_movimiento, NULL FROM Tipo_movimiento WHERE nombre = 'Trasiego';</t>
  </si>
  <si>
    <t>INSERT INTO Movimiento (id_movimiento, fecha_hora, id_tipo_movimiento, observaciones) SELECT '2f617090', '2025-05-06 19:48:40', id_tipo_movimiento, NULL FROM Tipo_movimiento WHERE nombre = 'Trasiego';</t>
  </si>
  <si>
    <t>INSERT INTO Movimiento (id_movimiento, fecha_hora, id_tipo_movimiento, observaciones) SELECT 'db821edf', '2025-05-06 19:49:24', id_tipo_movimiento, NULL FROM Tipo_movimiento WHERE nombre = 'Trasiego';</t>
  </si>
  <si>
    <t>INSERT INTO Movimiento (id_movimiento, fecha_hora, id_tipo_movimiento, observaciones) SELECT 'fef08b4b', '2025-05-06 19:50:00', id_tipo_movimiento, NULL FROM Tipo_movimiento WHERE nombre = 'Trasiego';</t>
  </si>
  <si>
    <t>INSERT INTO Movimiento (id_movimiento, fecha_hora, id_tipo_movimiento, observaciones) SELECT 'd543aed1', '2025-05-06 19:50:46', id_tipo_movimiento, NULL FROM Tipo_movimiento WHERE nombre = 'Trasiego';</t>
  </si>
  <si>
    <t>INSERT INTO Movimiento (id_movimiento, fecha_hora, id_tipo_movimiento, observaciones) SELECT '34cafb63', '2025-05-06 19:51:40', id_tipo_movimiento, NULL FROM Tipo_movimiento WHERE nombre = 'Trasiego';</t>
  </si>
  <si>
    <t>INSERT INTO Movimiento (id_movimiento, fecha_hora, id_tipo_movimiento, observaciones) SELECT '1c6ab84d', '2025-05-06 19:52:31', id_tipo_movimiento, NULL FROM Tipo_movimiento WHERE nombre = 'Trasiego';</t>
  </si>
  <si>
    <t>INSERT INTO Movimiento (id_movimiento, fecha_hora, id_tipo_movimiento, observaciones) SELECT 'edbea844', '2025-05-06 19:53:22', id_tipo_movimiento, NULL FROM Tipo_movimiento WHERE nombre = 'Trasiego';</t>
  </si>
  <si>
    <t>INSERT INTO Movimiento (id_movimiento, fecha_hora, id_tipo_movimiento, observaciones) SELECT '3b56eaa1', '2025-05-06 19:53:59', id_tipo_movimiento, NULL FROM Tipo_movimiento WHERE nombre = 'Trasiego';</t>
  </si>
  <si>
    <t>INSERT INTO Movimiento (id_movimiento, fecha_hora, id_tipo_movimiento, observaciones) SELECT 'd76709cf', '2025-05-07 17:28:59', id_tipo_movimiento, NULL FROM Tipo_movimiento WHERE nombre = 'Trasiego';</t>
  </si>
  <si>
    <t>INSERT INTO Movimiento (id_movimiento, fecha_hora, id_tipo_movimiento, observaciones) SELECT '2548eecd', '2025-05-07 17:30:15', id_tipo_movimiento, NULL FROM Tipo_movimiento WHERE nombre = 'Trasiego';</t>
  </si>
  <si>
    <t>INSERT INTO Movimiento (id_movimiento, fecha_hora, id_tipo_movimiento, observaciones) SELECT 'a4bb43be', '2025-05-07 17:30:55', id_tipo_movimiento, NULL FROM Tipo_movimiento WHERE nombre = 'Trasiego';</t>
  </si>
  <si>
    <t>INSERT INTO Movimiento (id_movimiento, fecha_hora, id_tipo_movimiento, observaciones) SELECT '08fab7a1', '2025-05-07 17:31:16', id_tipo_movimiento, NULL FROM Tipo_movimiento WHERE nombre = 'Trasiego';</t>
  </si>
  <si>
    <t>INSERT INTO Movimiento (id_movimiento, fecha_hora, id_tipo_movimiento, observaciones) SELECT 'e0c8334a', '2025-05-07 18:13:31', id_tipo_movimiento, NULL FROM Tipo_movimiento WHERE nombre = 'Trasiego';</t>
  </si>
  <si>
    <t>INSERT INTO Movimiento (id_movimiento, fecha_hora, id_tipo_movimiento, observaciones) SELECT '8b594168', '2025-05-07 18:14:36', id_tipo_movimiento, NULL FROM Tipo_movimiento WHERE nombre = 'Trasiego';</t>
  </si>
  <si>
    <t>INSERT INTO Movimiento (id_movimiento, fecha_hora, id_tipo_movimiento, observaciones) SELECT '7dc9d65e', '2025-05-07 18:15:29', id_tipo_movimiento, NULL FROM Tipo_movimiento WHERE nombre = 'Trasiego';</t>
  </si>
  <si>
    <t>INSERT INTO Movimiento (id_movimiento, fecha_hora, id_tipo_movimiento, observaciones) SELECT '6d6cd544', '2025-05-07 18:16:27', id_tipo_movimiento, NULL FROM Tipo_movimiento WHERE nombre = 'Trasiego';</t>
  </si>
  <si>
    <t>INSERT INTO Movimiento (id_movimiento, fecha_hora, id_tipo_movimiento, observaciones) SELECT '8843f42e', '2025-05-07 18:16:50', id_tipo_movimiento, NULL FROM Tipo_movimiento WHERE nombre = 'Trasiego';</t>
  </si>
  <si>
    <t>INSERT INTO Movimiento (id_movimiento, fecha_hora, id_tipo_movimiento, observaciones) SELECT '0ceb72fe', '2025-05-07 18:19:06', id_tipo_movimiento, NULL FROM Tipo_movimiento WHERE nombre = 'Trasiego';</t>
  </si>
  <si>
    <t>INSERT INTO Movimiento (id_movimiento, fecha_hora, id_tipo_movimiento, observaciones) SELECT '6a1f9f38', '2025-05-07 18:19:37', id_tipo_movimiento, NULL FROM Tipo_movimiento WHERE nombre = 'Trasiego';</t>
  </si>
  <si>
    <t>INSERT INTO Movimiento (id_movimiento, fecha_hora, id_tipo_movimiento, observaciones) SELECT '825b9089', '2025-05-07 18:20:07', id_tipo_movimiento, NULL FROM Tipo_movimiento WHERE nombre = 'Trasiego';</t>
  </si>
  <si>
    <t>INSERT INTO Movimiento (id_movimiento, fecha_hora, id_tipo_movimiento, observaciones) SELECT '87fcca3f', '2025-05-07 18:45:23', id_tipo_movimiento, NULL FROM Tipo_movimiento WHERE nombre = 'Trasiego';</t>
  </si>
  <si>
    <t>INSERT INTO Movimiento (id_movimiento, fecha_hora, id_tipo_movimiento, observaciones) SELECT 'c4dfca2d', '2025-05-07 18:46:18', id_tipo_movimiento, NULL FROM Tipo_movimiento WHERE nombre = 'Trasiego';</t>
  </si>
  <si>
    <t>INSERT INTO Movimiento (id_movimiento, fecha_hora, id_tipo_movimiento, observaciones) SELECT '8f629565', '2025-05-07 18:49:56', id_tipo_movimiento, NULL FROM Tipo_movimiento WHERE nombre = 'Trasiego';</t>
  </si>
  <si>
    <t>INSERT INTO Movimiento (id_movimiento, fecha_hora, id_tipo_movimiento, observaciones) SELECT '3239ffd8', '2025-05-07 18:50:55', id_tipo_movimiento, NULL FROM Tipo_movimiento WHERE nombre = 'Trasiego';</t>
  </si>
  <si>
    <t>INSERT INTO Movimiento (id_movimiento, fecha_hora, id_tipo_movimiento, observaciones) SELECT '6b5cdcf1', '2025-05-07 18:51:20', id_tipo_movimiento, NULL FROM Tipo_movimiento WHERE nombre = 'Trasiego';</t>
  </si>
  <si>
    <t>INSERT INTO Movimiento (id_movimiento, fecha_hora, id_tipo_movimiento, observaciones) SELECT '84dcb332', '2025-05-07 18:52:54', id_tipo_movimiento, NULL FROM Tipo_movimiento WHERE nombre = 'Trasiego';</t>
  </si>
  <si>
    <t>INSERT INTO Movimiento (id_movimiento, fecha_hora, id_tipo_movimiento, observaciones) SELECT '21c67adc', '2025-05-07 18:53:25', id_tipo_movimiento, NULL FROM Tipo_movimiento WHERE nombre = 'Trasiego';</t>
  </si>
  <si>
    <t>INSERT INTO Movimiento (id_movimiento, fecha_hora, id_tipo_movimiento, observaciones) SELECT '37c2c356', '2025-05-07 18:54:02', id_tipo_movimiento, NULL FROM Tipo_movimiento WHERE nombre = 'Trasiego';</t>
  </si>
  <si>
    <t>INSERT INTO Movimiento (id_movimiento, fecha_hora, id_tipo_movimiento, observaciones) SELECT '93cd2bca', '2025-05-08 10:53:10', id_tipo_movimiento, NULL FROM Tipo_movimiento WHERE nombre = 'Trasiego';</t>
  </si>
  <si>
    <t>INSERT INTO Movimiento (id_movimiento, fecha_hora, id_tipo_movimiento, observaciones) SELECT '7dde1efd', '2025-05-08 11:41:21', id_tipo_movimiento, NULL FROM Tipo_movimiento WHERE nombre = 'Trasiego';</t>
  </si>
  <si>
    <t>INSERT INTO Movimiento (id_movimiento, fecha_hora, id_tipo_movimiento, observaciones) SELECT '4a702305', '2025-05-08 17:54:14', id_tipo_movimiento, NULL FROM Tipo_movimiento WHERE nombre = 'Trasiego';</t>
  </si>
  <si>
    <t>INSERT INTO Movimiento (id_movimiento, fecha_hora, id_tipo_movimiento, observaciones) SELECT '471c485a', '2025-05-08 17:55:49', id_tipo_movimiento, NULL FROM Tipo_movimiento WHERE nombre = 'Trasiego';</t>
  </si>
  <si>
    <t>INSERT INTO Movimiento (id_movimiento, fecha_hora, id_tipo_movimiento, observaciones) SELECT '61d8b80f', '2025-05-08 17:57:10', id_tipo_movimiento, NULL FROM Tipo_movimiento WHERE nombre = 'Trasiego';</t>
  </si>
  <si>
    <t>INSERT INTO Movimiento (id_movimiento, fecha_hora, id_tipo_movimiento, observaciones) SELECT '5f641943', '2025-05-08 18:02:21', id_tipo_movimiento, NULL FROM Tipo_movimiento WHERE nombre = 'Trasiego';</t>
  </si>
  <si>
    <t>INSERT INTO Movimiento (id_movimiento, fecha_hora, id_tipo_movimiento, observaciones) SELECT '047ef3e0', '2025-05-08 18:02:55', id_tipo_movimiento, NULL FROM Tipo_movimiento WHERE nombre = 'Trasiego';</t>
  </si>
  <si>
    <t>INSERT INTO Movimiento (id_movimiento, fecha_hora, id_tipo_movimiento, observaciones) SELECT '70c810a8', '2025-05-08 19:04:35', id_tipo_movimiento, NULL FROM Tipo_movimiento WHERE nombre = 'Trasiego';</t>
  </si>
  <si>
    <t>INSERT INTO Movimiento (id_movimiento, fecha_hora, id_tipo_movimiento, observaciones) SELECT '1714b431', '2025-05-08 19:04:55', id_tipo_movimiento, NULL FROM Tipo_movimiento WHERE nombre = 'Trasiego';</t>
  </si>
  <si>
    <t>INSERT INTO Movimiento (id_movimiento, fecha_hora, id_tipo_movimiento, observaciones) SELECT '7517c162', '2025-05-08 19:05:27', id_tipo_movimiento, NULL FROM Tipo_movimiento WHERE nombre = 'Trasiego';</t>
  </si>
  <si>
    <t>INSERT INTO Movimiento (id_movimiento, fecha_hora, id_tipo_movimiento, observaciones) SELECT '806c7999', '2025-05-08 19:06:17', id_tipo_movimiento, NULL FROM Tipo_movimiento WHERE nombre = 'Trasiego';</t>
  </si>
  <si>
    <t>INSERT INTO Movimiento (id_movimiento, fecha_hora, id_tipo_movimiento, observaciones) SELECT '8a335101', '2025-05-08 19:06:53', id_tipo_movimiento, NULL FROM Tipo_movimiento WHERE nombre = 'Trasiego';</t>
  </si>
  <si>
    <t>INSERT INTO Movimiento (id_movimiento, fecha_hora, id_tipo_movimiento, observaciones) SELECT 'e3a33f29', '2025-05-09 16:14:54', id_tipo_movimiento, NULL FROM Tipo_movimiento WHERE nombre = 'Trasiego';</t>
  </si>
  <si>
    <t>INSERT INTO Movimiento (id_movimiento, fecha_hora, id_tipo_movimiento, observaciones) SELECT '10c89e32', '2025-05-09 16:18:08', id_tipo_movimiento, NULL FROM Tipo_movimiento WHERE nombre = 'Trasiego';</t>
  </si>
  <si>
    <t>INSERT INTO Movimiento (id_movimiento, fecha_hora, id_tipo_movimiento, observaciones) SELECT '8549b4b8', '2025-05-09 16:18:43', id_tipo_movimiento, NULL FROM Tipo_movimiento WHERE nombre = 'Trasiego';</t>
  </si>
  <si>
    <t>INSERT INTO Movimiento (id_movimiento, fecha_hora, id_tipo_movimiento, observaciones) SELECT '1af61555', '2025-05-09 16:19:16', id_tipo_movimiento, NULL FROM Tipo_movimiento WHERE nombre = 'Trasiego';</t>
  </si>
  <si>
    <t>INSERT INTO Movimiento (id_movimiento, fecha_hora, id_tipo_movimiento, observaciones) SELECT 'fad81e77', '2025-05-09 16:19:42', id_tipo_movimiento, NULL FROM Tipo_movimiento WHERE nombre = 'Trasiego';</t>
  </si>
  <si>
    <t>INSERT INTO Movimiento (id_movimiento, fecha_hora, id_tipo_movimiento, observaciones) SELECT '2b2b3a7d', '2025-05-09 16:20:19', id_tipo_movimiento, NULL FROM Tipo_movimiento WHERE nombre = 'Trasiego';</t>
  </si>
  <si>
    <t>INSERT INTO Movimiento (id_movimiento, fecha_hora, id_tipo_movimiento, observaciones) SELECT '29ce8f34', '2025-05-09 16:21:55', id_tipo_movimiento, NULL FROM Tipo_movimiento WHERE nombre = 'Trasiego';</t>
  </si>
  <si>
    <t>INSERT INTO Movimiento (id_movimiento, fecha_hora, id_tipo_movimiento, observaciones) SELECT '5b8b82ff', '2025-05-09 16:22:19', id_tipo_movimiento, NULL FROM Tipo_movimiento WHERE nombre = 'Trasiego';</t>
  </si>
  <si>
    <t>INSERT INTO Movimiento (id_movimiento, fecha_hora, id_tipo_movimiento, observaciones) SELECT '5037c7c7', '2025-05-09 16:32:57', id_tipo_movimiento, NULL FROM Tipo_movimiento WHERE nombre = 'Trasiego';</t>
  </si>
  <si>
    <t>INSERT INTO Movimiento (id_movimiento, fecha_hora, id_tipo_movimiento, observaciones) SELECT 'd6cc6063', '2025-05-09 16:33:51', id_tipo_movimiento, NULL FROM Tipo_movimiento WHERE nombre = 'Trasiego';</t>
  </si>
  <si>
    <t>INSERT INTO Movimiento (id_movimiento, fecha_hora, id_tipo_movimiento, observaciones) SELECT 'fdcb840e', '2025-05-09 16:34:10', id_tipo_movimiento, NULL FROM Tipo_movimiento WHERE nombre = 'Trasiego';</t>
  </si>
  <si>
    <t>INSERT INTO Movimiento (id_movimiento, fecha_hora, id_tipo_movimiento, observaciones) SELECT 'a69e316d', '2025-05-09 16:35:29', id_tipo_movimiento, NULL FROM Tipo_movimiento WHERE nombre = 'Trasiego';</t>
  </si>
  <si>
    <t>INSERT INTO Movimiento (id_movimiento, fecha_hora, id_tipo_movimiento, observaciones) SELECT '87eaf818', '2025-05-09 16:51:39', id_tipo_movimiento, NULL FROM Tipo_movimiento WHERE nombre = 'Trasiego';</t>
  </si>
  <si>
    <t>INSERT INTO Movimiento (id_movimiento, fecha_hora, id_tipo_movimiento, observaciones) SELECT '87a8aa18', '2025-05-09 16:55:50', id_tipo_movimiento, NULL FROM Tipo_movimiento WHERE nombre = 'Trasiego';</t>
  </si>
  <si>
    <t>INSERT INTO Movimiento (id_movimiento, fecha_hora, id_tipo_movimiento, observaciones) SELECT '523a2f24', '2025-05-09 19:19:18', id_tipo_movimiento, NULL FROM Tipo_movimiento WHERE nombre = 'Trasiego';</t>
  </si>
  <si>
    <t>INSERT INTO Movimiento (id_movimiento, fecha_hora, id_tipo_movimiento, observaciones) SELECT '1b826a1b', '2025-05-09 19:22:50', id_tipo_movimiento, NULL FROM Tipo_movimiento WHERE nombre = 'Trasiego';</t>
  </si>
  <si>
    <t>INSERT INTO Movimiento (id_movimiento, fecha_hora, id_tipo_movimiento, observaciones) SELECT 'e66b28e8', '2025-05-09 19:24:15', id_tipo_movimiento, NULL FROM Tipo_movimiento WHERE nombre = 'Trasiego';</t>
  </si>
  <si>
    <t>INSERT INTO Movimiento (id_movimiento, fecha_hora, id_tipo_movimiento, observaciones) SELECT '81da33ea', '2025-05-12 09:58:00', id_tipo_movimiento, NULL FROM Tipo_movimiento WHERE nombre = 'Trasiego';</t>
  </si>
  <si>
    <t>INSERT INTO Movimiento (id_movimiento, fecha_hora, id_tipo_movimiento, observaciones) SELECT '8735c5c4', '2025-05-12 09:58:30', id_tipo_movimiento, NULL FROM Tipo_movimiento WHERE nombre = 'Trasiego';</t>
  </si>
  <si>
    <t>INSERT INTO Movimiento (id_movimiento, fecha_hora, id_tipo_movimiento, observaciones) SELECT 'ff038037', '2025-05-12 09:59:32', id_tipo_movimiento, NULL FROM Tipo_movimiento WHERE nombre = 'Trasiego';</t>
  </si>
  <si>
    <t>INSERT INTO Movimiento (id_movimiento, fecha_hora, id_tipo_movimiento, observaciones) SELECT 'a1699c41', '2025-05-12 10:00:32', id_tipo_movimiento, NULL FROM Tipo_movimiento WHERE nombre = 'Trasiego';</t>
  </si>
  <si>
    <t>INSERT INTO Movimiento (id_movimiento, fecha_hora, id_tipo_movimiento, observaciones) SELECT '93445d26', '2025-05-12 10:01:17', id_tipo_movimiento, NULL FROM Tipo_movimiento WHERE nombre = 'Trasiego';</t>
  </si>
  <si>
    <t>INSERT INTO Movimiento (id_movimiento, fecha_hora, id_tipo_movimiento, observaciones) SELECT '4442bc3c', '2025-05-12 10:03:07', id_tipo_movimiento, NULL FROM Tipo_movimiento WHERE nombre = 'Trasiego';</t>
  </si>
  <si>
    <t>INSERT INTO Movimiento (id_movimiento, fecha_hora, id_tipo_movimiento, observaciones) SELECT 'd68dcc57', '2025-05-12 10:03:42', id_tipo_movimiento, NULL FROM Tipo_movimiento WHERE nombre = 'Trasiego';</t>
  </si>
  <si>
    <t>INSERT INTO Movimiento (id_movimiento, fecha_hora, id_tipo_movimiento, observaciones) SELECT '18c90304', '2025-05-12 10:04:11', id_tipo_movimiento, NULL FROM Tipo_movimiento WHERE nombre = 'Trasiego';</t>
  </si>
  <si>
    <t>INSERT INTO Movimiento (id_movimiento, fecha_hora, id_tipo_movimiento, observaciones) SELECT '3703cfb8', '2025-05-12 10:26:33', id_tipo_movimiento, NULL FROM Tipo_movimiento WHERE nombre = 'Trasiego';</t>
  </si>
  <si>
    <t>INSERT INTO Movimiento (id_movimiento, fecha_hora, id_tipo_movimiento, observaciones) SELECT 'a60ba105', '2025-05-12 10:27:28', id_tipo_movimiento, NULL FROM Tipo_movimiento WHERE nombre = 'Trasiego';</t>
  </si>
  <si>
    <t>INSERT INTO Movimiento (id_movimiento, fecha_hora, id_tipo_movimiento, observaciones) SELECT '9b72bc5f', '2025-05-13 10:21:22', id_tipo_movimiento, NULL FROM Tipo_movimiento WHERE nombre = 'Trasiego';</t>
  </si>
  <si>
    <t>INSERT INTO Movimiento (id_movimiento, fecha_hora, id_tipo_movimiento, observaciones) SELECT '71b16b91', '2025-05-13 10:22:41', id_tipo_movimiento, NULL FROM Tipo_movimiento WHERE nombre = 'Trasiego';</t>
  </si>
  <si>
    <t>INSERT INTO Movimiento (id_movimiento, fecha_hora, id_tipo_movimiento, observaciones) SELECT '958652a0', '2025-05-13 10:50:51', id_tipo_movimiento, NULL FROM Tipo_movimiento WHERE nombre = 'Trasiego';</t>
  </si>
  <si>
    <t>INSERT INTO Movimiento (id_movimiento, fecha_hora, id_tipo_movimiento, observaciones) SELECT '3931d4ba', '2025-05-13 17:44:48', id_tipo_movimiento, NULL FROM Tipo_movimiento WHERE nombre = 'Trasiego';</t>
  </si>
  <si>
    <t>INSERT INTO Movimiento (id_movimiento, fecha_hora, id_tipo_movimiento, observaciones) SELECT '127a3f15', '2025-05-13 17:46:28', id_tipo_movimiento, NULL FROM Tipo_movimiento WHERE nombre = 'Trasiego';</t>
  </si>
  <si>
    <t>INSERT INTO Movimiento (id_movimiento, fecha_hora, id_tipo_movimiento, observaciones) SELECT '6f4eeb3f', '2025-05-13 17:48:25', id_tipo_movimiento, NULL FROM Tipo_movimiento WHERE nombre = 'Trasiego';</t>
  </si>
  <si>
    <t>INSERT INTO Movimiento (id_movimiento, fecha_hora, id_tipo_movimiento, observaciones) SELECT 'cbf8e237', '2025-05-13 17:49:28', id_tipo_movimiento, NULL FROM Tipo_movimiento WHERE nombre = 'Trasiego';</t>
  </si>
  <si>
    <t>INSERT INTO Movimiento (id_movimiento, fecha_hora, id_tipo_movimiento, observaciones) SELECT '53760e8f', '2025-05-13 17:53:34', id_tipo_movimiento, NULL FROM Tipo_movimiento WHERE nombre = 'Trasiego';</t>
  </si>
  <si>
    <t>INSERT INTO Movimiento (id_movimiento, fecha_hora, id_tipo_movimiento, observaciones) SELECT 'df1f0455', '2025-05-13 17:57:46', id_tipo_movimiento, NULL FROM Tipo_movimiento WHERE nombre = 'Trasiego';</t>
  </si>
  <si>
    <t>INSERT INTO Movimiento (id_movimiento, fecha_hora, id_tipo_movimiento, observaciones) SELECT '54756cfd', '2025-05-13 17:58:21', id_tipo_movimiento, NULL FROM Tipo_movimiento WHERE nombre = 'Trasiego';</t>
  </si>
  <si>
    <t>INSERT INTO Movimiento (id_movimiento, fecha_hora, id_tipo_movimiento, observaciones) SELECT 'a0d9d89f', '2025-05-13 17:59:59', id_tipo_movimiento, NULL FROM Tipo_movimiento WHERE nombre = 'Trasiego';</t>
  </si>
  <si>
    <t>INSERT INTO Movimiento (id_movimiento, fecha_hora, id_tipo_movimiento, observaciones) SELECT '92ccaf32', '2025-05-13 18:01:38', id_tipo_movimiento, NULL FROM Tipo_movimiento WHERE nombre = 'Trasiego';</t>
  </si>
  <si>
    <t>INSERT INTO Movimiento (id_movimiento, fecha_hora, id_tipo_movimiento, observaciones) SELECT 'ebc6a1e9', '2025-05-13 18:02:07', id_tipo_movimiento, NULL FROM Tipo_movimiento WHERE nombre = 'Trasiego';</t>
  </si>
  <si>
    <t>INSERT INTO Movimiento (id_movimiento, fecha_hora, id_tipo_movimiento, observaciones) SELECT '735ee1a2', '2025-05-13 18:36:24', id_tipo_movimiento, NULL FROM Tipo_movimiento WHERE nombre = 'Trasiego';</t>
  </si>
  <si>
    <t>INSERT INTO Movimiento (id_movimiento, fecha_hora, id_tipo_movimiento, observaciones) SELECT '1cb28166', '2025-05-14 11:09:26', id_tipo_movimiento, NULL FROM Tipo_movimiento WHERE nombre = 'Trasiego';</t>
  </si>
  <si>
    <t>INSERT INTO Movimiento (id_movimiento, fecha_hora, id_tipo_movimiento, observaciones) SELECT 'aa7140cf', '2025-05-14 17:17:09', id_tipo_movimiento, NULL FROM Tipo_movimiento WHERE nombre = 'Trasiego';</t>
  </si>
  <si>
    <t>INSERT INTO Movimiento (id_movimiento, fecha_hora, id_tipo_movimiento, observaciones) SELECT 'c66dc287', '2025-05-14 17:17:45', id_tipo_movimiento, NULL FROM Tipo_movimiento WHERE nombre = 'Trasiego';</t>
  </si>
  <si>
    <t>INSERT INTO Movimiento (id_movimiento, fecha_hora, id_tipo_movimiento, observaciones) SELECT '7bc43a1f', '2025-05-14 17:20:05', id_tipo_movimiento, NULL FROM Tipo_movimiento WHERE nombre = 'Trasiego';</t>
  </si>
  <si>
    <t>INSERT INTO Movimiento (id_movimiento, fecha_hora, id_tipo_movimiento, observaciones) SELECT '25726a61', '2025-05-14 17:21:49', id_tipo_movimiento, NULL FROM Tipo_movimiento WHERE nombre = 'Trasiego';</t>
  </si>
  <si>
    <t>INSERT INTO Movimiento (id_movimiento, fecha_hora, id_tipo_movimiento, observaciones) SELECT '91771054', '2025-05-14 17:25:43', id_tipo_movimiento, NULL FROM Tipo_movimiento WHERE nombre = 'Trasiego';</t>
  </si>
  <si>
    <t>INSERT INTO Movimiento (id_movimiento, fecha_hora, id_tipo_movimiento, observaciones) SELECT 'c35609a9', '2025-05-14 17:26:00', id_tipo_movimiento, NULL FROM Tipo_movimiento WHERE nombre = 'Trasiego';</t>
  </si>
  <si>
    <t>INSERT INTO Movimiento (id_movimiento, fecha_hora, id_tipo_movimiento, observaciones) SELECT '98aa78ff', '2025-05-15 09:02:58', id_tipo_movimiento, NULL FROM Tipo_movimiento WHERE nombre = 'Trasiego';</t>
  </si>
  <si>
    <t>INSERT INTO Movimiento (id_movimiento, fecha_hora, id_tipo_movimiento, observaciones) SELECT '1a7f8531', '2025-05-15 09:03:47', id_tipo_movimiento, NULL FROM Tipo_movimiento WHERE nombre = 'Trasiego';</t>
  </si>
  <si>
    <t>INSERT INTO Movimiento (id_movimiento, fecha_hora, id_tipo_movimiento, observaciones) SELECT 'b926970a', '2025-05-15 09:04:41', id_tipo_movimiento, NULL FROM Tipo_movimiento WHERE nombre = 'Trasiego';</t>
  </si>
  <si>
    <t>INSERT INTO Movimiento (id_movimiento, fecha_hora, id_tipo_movimiento, observaciones) SELECT '5e101a32', '2025-05-15 09:05:28', id_tipo_movimiento, NULL FROM Tipo_movimiento WHERE nombre = 'Trasiego';</t>
  </si>
  <si>
    <t>INSERT INTO Movimiento (id_movimiento, fecha_hora, id_tipo_movimiento, observaciones) SELECT 'f340228a', '2025-05-15 09:05:59', id_tipo_movimiento, NULL FROM Tipo_movimiento WHERE nombre = 'Trasiego';</t>
  </si>
  <si>
    <t>INSERT INTO Movimiento (id_movimiento, fecha_hora, id_tipo_movimiento, observaciones) SELECT 'd09039de', '2025-05-15 09:06:38', id_tipo_movimiento, NULL FROM Tipo_movimiento WHERE nombre = 'Trasiego';</t>
  </si>
  <si>
    <t>INSERT INTO Movimiento (id_movimiento, fecha_hora, id_tipo_movimiento, observaciones) SELECT '361fa796', '2025-05-15 09:08:20', id_tipo_movimiento, NULL FROM Tipo_movimiento WHERE nombre = 'Trasiego';</t>
  </si>
  <si>
    <t>INSERT INTO Movimiento (id_movimiento, fecha_hora, id_tipo_movimiento, observaciones) SELECT 'fcec8ab1', '2025-05-15 09:58:22', id_tipo_movimiento, NULL FROM Tipo_movimiento WHERE nombre = 'Trasiego';</t>
  </si>
  <si>
    <t>INSERT INTO Movimiento (id_movimiento, fecha_hora, id_tipo_movimiento, observaciones) SELECT '2afa6ee7', '2025-05-15 16:16:31', id_tipo_movimiento, NULL FROM Tipo_movimiento WHERE nombre = 'Trasiego';</t>
  </si>
  <si>
    <t>INSERT INTO Movimiento (id_movimiento, fecha_hora, id_tipo_movimiento, observaciones) SELECT 'ab1fa72d', '2025-05-15 16:17:32', id_tipo_movimiento, NULL FROM Tipo_movimiento WHERE nombre = 'Trasiego';</t>
  </si>
  <si>
    <t>INSERT INTO Movimiento (id_movimiento, fecha_hora, id_tipo_movimiento, observaciones) SELECT '3079c823', '2025-05-16 11:59:37', id_tipo_movimiento, NULL FROM Tipo_movimiento WHERE nombre = 'Trasiego';</t>
  </si>
  <si>
    <t>INSERT INTO Movimiento (id_movimiento, fecha_hora, id_tipo_movimiento, observaciones) SELECT '8e08c3c7', '2025-05-16 12:00:26', id_tipo_movimiento, NULL FROM Tipo_movimiento WHERE nombre = 'Trasiego';</t>
  </si>
  <si>
    <t>INSERT INTO Movimiento (id_movimiento, fecha_hora, id_tipo_movimiento, observaciones) SELECT 'fd6dc5aa', '2025-05-16 12:01:08', id_tipo_movimiento, NULL FROM Tipo_movimiento WHERE nombre = 'Trasiego';</t>
  </si>
  <si>
    <t>INSERT INTO Movimiento (id_movimiento, fecha_hora, id_tipo_movimiento, observaciones) SELECT 'c83bd854', '2025-05-16 12:01:53', id_tipo_movimiento, NULL FROM Tipo_movimiento WHERE nombre = 'Trasiego';</t>
  </si>
  <si>
    <t>INSERT INTO Movimiento (id_movimiento, fecha_hora, id_tipo_movimiento, observaciones) SELECT 'cbf0f423', '2025-05-16 12:06:14', id_tipo_movimiento, NULL FROM Tipo_movimiento WHERE nombre = 'Trasiego';</t>
  </si>
  <si>
    <t>INSERT INTO Movimiento (id_movimiento, fecha_hora, id_tipo_movimiento, observaciones) SELECT 'ceb14e75', '2025-05-16 12:06:51', id_tipo_movimiento, NULL FROM Tipo_movimiento WHERE nombre = 'Trasiego';</t>
  </si>
  <si>
    <t>INSERT INTO Movimiento (id_movimiento, fecha_hora, id_tipo_movimiento, observaciones) SELECT 'c89914eb', '2025-05-16 12:07:22', id_tipo_movimiento, NULL FROM Tipo_movimiento WHERE nombre = 'Trasiego';</t>
  </si>
  <si>
    <t>INSERT INTO Movimiento (id_movimiento, fecha_hora, id_tipo_movimiento, observaciones) SELECT 'a71d9f61', '2025-05-16 12:07:37', id_tipo_movimiento, NULL FROM Tipo_movimiento WHERE nombre = 'Trasiego';</t>
  </si>
  <si>
    <t>INSERT INTO Movimiento (id_movimiento, fecha_hora, id_tipo_movimiento, observaciones) SELECT 'af4a7a93', '2025-05-16 12:09:32', id_tipo_movimiento, NULL FROM Tipo_movimiento WHERE nombre = 'Trasiego';</t>
  </si>
  <si>
    <t>INSERT INTO Movimiento (id_movimiento, fecha_hora, id_tipo_movimiento, observaciones) SELECT 'e58b43aa', '2025-05-16 12:10:18', id_tipo_movimiento, NULL FROM Tipo_movimiento WHERE nombre = 'Trasiego';</t>
  </si>
  <si>
    <t>INSERT INTO Movimiento (id_movimiento, fecha_hora, id_tipo_movimiento, observaciones) SELECT '6769350e', '2025-05-16 12:12:34', id_tipo_movimiento, NULL FROM Tipo_movimiento WHERE nombre = 'Trasiego';</t>
  </si>
  <si>
    <t>INSERT INTO Movimiento (id_movimiento, fecha_hora, id_tipo_movimiento, observaciones) SELECT 'bcafc0a5', '2025-05-16 12:12:58', id_tipo_movimiento, NULL FROM Tipo_movimiento WHERE nombre = 'Trasiego';</t>
  </si>
  <si>
    <t>INSERT INTO Movimiento (id_movimiento, fecha_hora, id_tipo_movimiento, observaciones) SELECT 'f2ca2cdf', '2025-05-16 19:59:15', id_tipo_movimiento, NULL FROM Tipo_movimiento WHERE nombre = 'Trasiego';</t>
  </si>
  <si>
    <t>INSERT INTO Movimiento (id_movimiento, fecha_hora, id_tipo_movimiento, observaciones) SELECT 'c907d47f', '2025-05-19 11:45:57', id_tipo_movimiento, NULL FROM Tipo_movimiento WHERE nombre = 'Trasiego';</t>
  </si>
  <si>
    <t>INSERT INTO Movimiento (id_movimiento, fecha_hora, id_tipo_movimiento, observaciones) SELECT 'a4b84db7', '2025-05-19 11:47:22', id_tipo_movimiento, NULL FROM Tipo_movimiento WHERE nombre = 'Trasiego';</t>
  </si>
  <si>
    <t>INSERT INTO Movimiento (id_movimiento, fecha_hora, id_tipo_movimiento, observaciones) SELECT '32c893ad', '2025-05-19 17:12:27', id_tipo_movimiento, NULL FROM Tipo_movimiento WHERE nombre = 'Trasiego';</t>
  </si>
  <si>
    <t>INSERT INTO Movimiento (id_movimiento, fecha_hora, id_tipo_movimiento, observaciones) SELECT '53b40378', '2025-05-19 17:14:55', id_tipo_movimiento, NULL FROM Tipo_movimiento WHERE nombre = 'Trasiego';</t>
  </si>
  <si>
    <t>INSERT INTO Movimiento (id_movimiento, fecha_hora, id_tipo_movimiento, observaciones) SELECT '7c24439b', '2025-05-19 17:15:40', id_tipo_movimiento, NULL FROM Tipo_movimiento WHERE nombre = 'Trasiego';</t>
  </si>
  <si>
    <t>INSERT INTO Movimiento (id_movimiento, fecha_hora, id_tipo_movimiento, observaciones) SELECT '3ca50f97', '2025-05-19 17:16:32', id_tipo_movimiento, NULL FROM Tipo_movimiento WHERE nombre = 'Trasiego';</t>
  </si>
  <si>
    <t>INSERT INTO Movimiento (id_movimiento, fecha_hora, id_tipo_movimiento, observaciones) SELECT '92f7b68d', '2025-05-19 17:17:50', id_tipo_movimiento, NULL FROM Tipo_movimiento WHERE nombre = 'Trasiego';</t>
  </si>
  <si>
    <t>INSERT INTO Movimiento (id_movimiento, fecha_hora, id_tipo_movimiento, observaciones) SELECT 'd7891718', '2025-05-19 17:18:10', id_tipo_movimiento, NULL FROM Tipo_movimiento WHERE nombre = 'Trasiego';</t>
  </si>
  <si>
    <t>INSERT INTO Movimiento (id_movimiento, fecha_hora, id_tipo_movimiento, observaciones) SELECT '4236c7c8', '2025-05-19 17:18:38', id_tipo_movimiento, NULL FROM Tipo_movimiento WHERE nombre = 'Trasiego';</t>
  </si>
  <si>
    <t>INSERT INTO Movimiento (id_movimiento, fecha_hora, id_tipo_movimiento, observaciones) SELECT 'a22acbcf', '2025-05-19 17:19:16', id_tipo_movimiento, NULL FROM Tipo_movimiento WHERE nombre = 'Trasiego';</t>
  </si>
  <si>
    <t>INSERT INTO Movimiento (id_movimiento, fecha_hora, id_tipo_movimiento, observaciones) SELECT '8cd42c0a', '2025-05-19 17:20:09', id_tipo_movimiento, NULL FROM Tipo_movimiento WHERE nombre = 'Trasiego';</t>
  </si>
  <si>
    <t>INSERT INTO Movimiento (id_movimiento, fecha_hora, id_tipo_movimiento, observaciones) SELECT '81c2fcc6', '2025-05-19 17:20:29', id_tipo_movimiento, NULL FROM Tipo_movimiento WHERE nombre = 'Trasiego';</t>
  </si>
  <si>
    <t>INSERT INTO Movimiento (id_movimiento, fecha_hora, id_tipo_movimiento, observaciones) SELECT '8597d3e8', '2025-05-19 17:43:01', id_tipo_movimiento, NULL FROM Tipo_movimiento WHERE nombre = 'Trasiego';</t>
  </si>
  <si>
    <t>INSERT INTO Movimiento (id_movimiento, fecha_hora, id_tipo_movimiento, observaciones) SELECT '1c42cd04', '2025-05-19 18:15:44', id_tipo_movimiento, NULL FROM Tipo_movimiento WHERE nombre = 'Trasiego';</t>
  </si>
  <si>
    <t>INSERT INTO Movimiento (id_movimiento, fecha_hora, id_tipo_movimiento, observaciones) SELECT '4b047b69', '2025-05-19 18:16:50', id_tipo_movimiento, NULL FROM Tipo_movimiento WHERE nombre = 'Trasiego';</t>
  </si>
  <si>
    <t>INSERT INTO Movimiento (id_movimiento, fecha_hora, id_tipo_movimiento, observaciones) SELECT '62f6b125', '2025-05-19 18:18:29', id_tipo_movimiento, NULL FROM Tipo_movimiento WHERE nombre = 'Trasiego';</t>
  </si>
  <si>
    <t>INSERT INTO Movimiento (id_movimiento, fecha_hora, id_tipo_movimiento, observaciones) SELECT '353e63f1', '2025-05-19 18:33:04', id_tipo_movimiento, NULL FROM Tipo_movimiento WHERE nombre = 'Trasiego';</t>
  </si>
  <si>
    <t>INSERT INTO Movimiento (id_movimiento, fecha_hora, id_tipo_movimiento, observaciones) SELECT 'd7a08dcb', '2025-05-19 18:37:25', id_tipo_movimiento, NULL FROM Tipo_movimiento WHERE nombre = 'Trasiego';</t>
  </si>
  <si>
    <t>INSERT INTO Movimiento (id_movimiento, fecha_hora, id_tipo_movimiento, observaciones) SELECT 'ac1c37de', '2025-05-19 19:23:43', id_tipo_movimiento, NULL FROM Tipo_movimiento WHERE nombre = 'Trasiego';</t>
  </si>
  <si>
    <t>INSERT INTO Movimiento (id_movimiento, fecha_hora, id_tipo_movimiento, observaciones) SELECT 'b2082403', '2025-05-20 17:50:51', id_tipo_movimiento, NULL FROM Tipo_movimiento WHERE nombre = 'Trasiego';</t>
  </si>
  <si>
    <t>INSERT INTO Movimiento (id_movimiento, fecha_hora, id_tipo_movimiento, observaciones) SELECT '1d16270d', '2025-05-20 17:52:05', id_tipo_movimiento, NULL FROM Tipo_movimiento WHERE nombre = 'Trasiego';</t>
  </si>
  <si>
    <t>INSERT INTO Movimiento (id_movimiento, fecha_hora, id_tipo_movimiento, observaciones) SELECT '3a10fed9', '2025-05-20 17:52:51', id_tipo_movimiento, NULL FROM Tipo_movimiento WHERE nombre = 'Trasiego';</t>
  </si>
  <si>
    <t>INSERT INTO Movimiento (id_movimiento, fecha_hora, id_tipo_movimiento, observaciones) SELECT '43ea19d3', '2025-05-20 17:53:19', id_tipo_movimiento, NULL FROM Tipo_movimiento WHERE nombre = 'Trasiego';</t>
  </si>
  <si>
    <t>INSERT INTO Movimiento (id_movimiento, fecha_hora, id_tipo_movimiento, observaciones) SELECT '9743feca', '2025-05-20 17:58:13', id_tipo_movimiento, NULL FROM Tipo_movimiento WHERE nombre = 'Trasiego';</t>
  </si>
  <si>
    <t>INSERT INTO Movimiento (id_movimiento, fecha_hora, id_tipo_movimiento, observaciones) SELECT 'f3dc6fdd', '2025-05-20 18:08:42', id_tipo_movimiento, NULL FROM Tipo_movimiento WHERE nombre = 'Trasiego';</t>
  </si>
  <si>
    <t>INSERT INTO Movimiento (id_movimiento, fecha_hora, id_tipo_movimiento, observaciones) SELECT 'eaa51d03', '2025-05-20 18:10:44', id_tipo_movimiento, NULL FROM Tipo_movimiento WHERE nombre = 'Trasiego';</t>
  </si>
  <si>
    <t>INSERT INTO Movimiento (id_movimiento, fecha_hora, id_tipo_movimiento, observaciones) SELECT 'f4207806', '2025-05-20 18:12:32', id_tipo_movimiento, NULL FROM Tipo_movimiento WHERE nombre = 'Trasiego';</t>
  </si>
  <si>
    <t>INSERT INTO Movimiento (id_movimiento, fecha_hora, id_tipo_movimiento, observaciones) SELECT '0a8da79a', '2025-05-20 18:13:42', id_tipo_movimiento, NULL FROM Tipo_movimiento WHERE nombre = 'Trasiego';</t>
  </si>
  <si>
    <t>INSERT INTO Movimiento (id_movimiento, fecha_hora, id_tipo_movimiento, observaciones) SELECT 'c5c4a33c', '2025-05-20 18:14:11', id_tipo_movimiento, NULL FROM Tipo_movimiento WHERE nombre = 'Trasiego';</t>
  </si>
  <si>
    <t>INSERT INTO Movimiento (id_movimiento, fecha_hora, id_tipo_movimiento, observaciones) SELECT '1dce2540', '2025-05-20 18:31:46', id_tipo_movimiento, NULL FROM Tipo_movimiento WHERE nombre = 'Trasiego';</t>
  </si>
  <si>
    <t>INSERT INTO Movimiento (id_movimiento, fecha_hora, id_tipo_movimiento, observaciones) SELECT '354e677d', '2025-05-20 18:32:47', id_tipo_movimiento, NULL FROM Tipo_movimiento WHERE nombre = 'Trasiego';</t>
  </si>
  <si>
    <t>INSERT INTO Movimiento (id_movimiento, fecha_hora, id_tipo_movimiento, observaciones) SELECT '547ca2b5', '2025-05-21 18:15:35', id_tipo_movimiento, NULL FROM Tipo_movimiento WHERE nombre = 'Trasiego';</t>
  </si>
  <si>
    <t>INSERT INTO Movimiento (id_movimiento, fecha_hora, id_tipo_movimiento, observaciones) SELECT '5cd6039c', '2025-05-21 18:17:00', id_tipo_movimiento, NULL FROM Tipo_movimiento WHERE nombre = 'Trasiego';</t>
  </si>
  <si>
    <t>INSERT INTO Movimiento (id_movimiento, fecha_hora, id_tipo_movimiento, observaciones) SELECT '9bdb01b0', '2025-05-21 18:25:07', id_tipo_movimiento, NULL FROM Tipo_movimiento WHERE nombre = 'Trasiego';</t>
  </si>
  <si>
    <t>INSERT INTO Movimiento (id_movimiento, fecha_hora, id_tipo_movimiento, observaciones) SELECT '2c1e635a', '2025-05-21 18:25:35', id_tipo_movimiento, NULL FROM Tipo_movimiento WHERE nombre = 'Trasiego';</t>
  </si>
  <si>
    <t>INSERT INTO Movimiento (id_movimiento, fecha_hora, id_tipo_movimiento, observaciones) SELECT '51b9e6c2', '2025-05-21 18:30:20', id_tipo_movimiento, NULL FROM Tipo_movimiento WHERE nombre = 'Trasiego';</t>
  </si>
  <si>
    <t>INSERT INTO Movimiento (id_movimiento, fecha_hora, id_tipo_movimiento, observaciones) SELECT 'defb0301', '2025-05-21 18:30:57', id_tipo_movimiento, NULL FROM Tipo_movimiento WHERE nombre = 'Trasiego';</t>
  </si>
  <si>
    <t>INSERT INTO Movimiento (id_movimiento, fecha_hora, id_tipo_movimiento, observaciones) SELECT 'c5026661', '2025-05-21 18:31:59', id_tipo_movimiento, NULL FROM Tipo_movimiento WHERE nombre = 'Trasiego';</t>
  </si>
  <si>
    <t>INSERT INTO Movimiento (id_movimiento, fecha_hora, id_tipo_movimiento, observaciones) SELECT '58a4d6d6', '2025-05-21 18:33:29', id_tipo_movimiento, NULL FROM Tipo_movimiento WHERE nombre = 'Trasiego';</t>
  </si>
  <si>
    <t>INSERT INTO Movimiento (id_movimiento, fecha_hora, id_tipo_movimiento, observaciones) SELECT 'ce3f3054', '2025-05-21 18:34:02', id_tipo_movimiento, NULL FROM Tipo_movimiento WHERE nombre = 'Trasiego';</t>
  </si>
  <si>
    <t>INSERT INTO Movimiento (id_movimiento, fecha_hora, id_tipo_movimiento, observaciones) SELECT '06ec9360', '2025-05-21 18:36:52', id_tipo_movimiento, NULL FROM Tipo_movimiento WHERE nombre = 'Trasiego';</t>
  </si>
  <si>
    <t>INSERT INTO Movimiento (id_movimiento, fecha_hora, id_tipo_movimiento, observaciones) SELECT 'f1e35874', '2025-05-23 10:12:43', id_tipo_movimiento, NULL FROM Tipo_movimiento WHERE nombre = 'Trasiego';</t>
  </si>
  <si>
    <t>INSERT INTO Movimiento (id_movimiento, fecha_hora, id_tipo_movimiento, observaciones) SELECT '92f83436', '2025-05-23 10:14:00', id_tipo_movimiento, NULL FROM Tipo_movimiento WHERE nombre = 'Trasiego';</t>
  </si>
  <si>
    <t>INSERT INTO Movimiento (id_movimiento, fecha_hora, id_tipo_movimiento, observaciones) SELECT 'ec076772', '2025-05-23 10:14:41', id_tipo_movimiento, NULL FROM Tipo_movimiento WHERE nombre = 'Trasiego';</t>
  </si>
  <si>
    <t>INSERT INTO Movimiento (id_movimiento, fecha_hora, id_tipo_movimiento, observaciones) SELECT 'c98ff155', '2025-05-23 10:15:15', id_tipo_movimiento, NULL FROM Tipo_movimiento WHERE nombre = 'Trasiego';</t>
  </si>
  <si>
    <t>INSERT INTO Movimiento (id_movimiento, fecha_hora, id_tipo_movimiento, observaciones) SELECT '5c864152', '2025-05-23 10:18:03', id_tipo_movimiento, NULL FROM Tipo_movimiento WHERE nombre = 'Trasiego';</t>
  </si>
  <si>
    <t>INSERT INTO Movimiento (id_movimiento, fecha_hora, id_tipo_movimiento, observaciones) SELECT '3ead075a', '2025-05-23 18:01:07', id_tipo_movimiento, NULL FROM Tipo_movimiento WHERE nombre = 'Trasiego';</t>
  </si>
  <si>
    <t>INSERT INTO Movimiento (id_movimiento, fecha_hora, id_tipo_movimiento, observaciones) SELECT 'f0092a98', '2025-05-23 18:01:53', id_tipo_movimiento, NULL FROM Tipo_movimiento WHERE nombre = 'Trasiego';</t>
  </si>
  <si>
    <t>INSERT INTO Movimiento (id_movimiento, fecha_hora, id_tipo_movimiento, observaciones) SELECT 'f7ff9894', '2025-05-23 18:02:25', id_tipo_movimiento, NULL FROM Tipo_movimiento WHERE nombre = 'Trasiego';</t>
  </si>
  <si>
    <t>INSERT INTO Movimiento (id_movimiento, fecha_hora, id_tipo_movimiento, observaciones) SELECT 'bd08076b', '2025-05-23 18:03:15', id_tipo_movimiento, NULL FROM Tipo_movimiento WHERE nombre = 'Trasiego';</t>
  </si>
  <si>
    <t>INSERT INTO Movimiento (id_movimiento, fecha_hora, id_tipo_movimiento, observaciones) SELECT 'ad899a4d', '2025-05-23 18:06:07', id_tipo_movimiento, NULL FROM Tipo_movimiento WHERE nombre = 'Trasiego';</t>
  </si>
  <si>
    <t>INSERT INTO Movimiento (id_movimiento, fecha_hora, id_tipo_movimiento, observaciones) SELECT '151c9b28', '2025-05-23 18:15:06', id_tipo_movimiento, NULL FROM Tipo_movimiento WHERE nombre = 'Trasiego';</t>
  </si>
  <si>
    <t>INSERT INTO Movimiento (id_movimiento, fecha_hora, id_tipo_movimiento, observaciones) SELECT '66a9bbf2', '2025-05-23 18:19:26', id_tipo_movimiento, NULL FROM Tipo_movimiento WHERE nombre = 'Trasiego';</t>
  </si>
  <si>
    <t>INSERT INTO Movimiento (id_movimiento, fecha_hora, id_tipo_movimiento, observaciones) SELECT '54ecf46b', '2025-05-23 18:19:53', id_tipo_movimiento, NULL FROM Tipo_movimiento WHERE nombre = 'Trasiego';</t>
  </si>
  <si>
    <t>INSERT INTO Movimiento (id_movimiento, fecha_hora, id_tipo_movimiento, observaciones) SELECT '75a71349', '2025-05-26 11:16:08', id_tipo_movimiento, NULL FROM Tipo_movimiento WHERE nombre = 'Trasiego';</t>
  </si>
  <si>
    <t>INSERT INTO Movimiento (id_movimiento, fecha_hora, id_tipo_movimiento, observaciones) SELECT '0680a644', '2025-05-26 11:16:32', id_tipo_movimiento, NULL FROM Tipo_movimiento WHERE nombre = 'Trasiego';</t>
  </si>
  <si>
    <t>INSERT INTO Movimiento (id_movimiento, fecha_hora, id_tipo_movimiento, observaciones) SELECT '1aeef3a7', '2025-05-26 11:17:22', id_tipo_movimiento, NULL FROM Tipo_movimiento WHERE nombre = 'Trasiego';</t>
  </si>
  <si>
    <t>INSERT INTO Movimiento (id_movimiento, fecha_hora, id_tipo_movimiento, observaciones) SELECT 'd372a4b6', '2025-05-26 11:17:58', id_tipo_movimiento, NULL FROM Tipo_movimiento WHERE nombre = 'Trasiego';</t>
  </si>
  <si>
    <t>INSERT INTO Movimiento (id_movimiento, fecha_hora, id_tipo_movimiento, observaciones) SELECT '3f5c52aa', '2025-05-27 11:52:37', id_tipo_movimiento, NULL FROM Tipo_movimiento WHERE nombre = 'Trasiego';</t>
  </si>
  <si>
    <t>INSERT INTO Movimiento (id_movimiento, fecha_hora, id_tipo_movimiento, observaciones) SELECT 'ba079096', '2025-05-27 11:53:28', id_tipo_movimiento, NULL FROM Tipo_movimiento WHERE nombre = 'Trasiego';</t>
  </si>
  <si>
    <t>INSERT INTO Movimiento (id_movimiento, fecha_hora, id_tipo_movimiento, observaciones) SELECT '62ca2cff', '2025-05-27 12:24:29', id_tipo_movimiento, NULL FROM Tipo_movimiento WHERE nombre = 'Trasiego';</t>
  </si>
  <si>
    <t>INSERT INTO Movimiento (id_movimiento, fecha_hora, id_tipo_movimiento, observaciones) SELECT '6af4a5cc', '2025-05-27 12:25:41', id_tipo_movimiento, NULL FROM Tipo_movimiento WHERE nombre = 'Trasiego';</t>
  </si>
  <si>
    <t>INSERT INTO Movimiento (id_movimiento, fecha_hora, id_tipo_movimiento, observaciones) SELECT 'c58f1d01', '2025-05-27 12:26:19', id_tipo_movimiento, NULL FROM Tipo_movimiento WHERE nombre = 'Trasiego';</t>
  </si>
  <si>
    <t>INSERT INTO Movimiento (id_movimiento, fecha_hora, id_tipo_movimiento, observaciones) SELECT 'b686530e', '2025-05-27 12:26:48', id_tipo_movimiento, NULL FROM Tipo_movimiento WHERE nombre = 'Trasiego';</t>
  </si>
  <si>
    <t>INSERT INTO Movimiento (id_movimiento, fecha_hora, id_tipo_movimiento, observaciones) SELECT 'c454fa25', '2025-05-27 12:27:22', id_tipo_movimiento, NULL FROM Tipo_movimiento WHERE nombre = 'Trasiego';</t>
  </si>
  <si>
    <t>INSERT INTO Movimiento (id_movimiento, fecha_hora, id_tipo_movimiento, observaciones) SELECT 'e42f824f', '2025-05-27 12:27:49', id_tipo_movimiento, NULL FROM Tipo_movimiento WHERE nombre = 'Trasiego';</t>
  </si>
  <si>
    <t>INSERT INTO Movimiento (id_movimiento, fecha_hora, id_tipo_movimiento, observaciones) SELECT 'f924f55b', '2025-05-27 12:28:11', id_tipo_movimiento, NULL FROM Tipo_movimiento WHERE nombre = 'Trasiego';</t>
  </si>
  <si>
    <t>INSERT INTO Movimiento (id_movimiento, fecha_hora, id_tipo_movimiento, observaciones) SELECT '4e852e87', '2025-05-27 12:28:45', id_tipo_movimiento, NULL FROM Tipo_movimiento WHERE nombre = 'Trasiego';</t>
  </si>
  <si>
    <t>INSERT INTO Movimiento (id_movimiento, fecha_hora, id_tipo_movimiento, observaciones) SELECT 'b768e567', '2025-05-27 12:29:13', id_tipo_movimiento, NULL FROM Tipo_movimiento WHERE nombre = 'Trasiego';</t>
  </si>
  <si>
    <t>INSERT INTO Movimiento (id_movimiento, fecha_hora, id_tipo_movimiento, observaciones) SELECT '15187499', '2025-05-27 12:29:30', id_tipo_movimiento, NULL FROM Tipo_movimiento WHERE nombre = 'Trasiego';</t>
  </si>
  <si>
    <t>INSERT INTO Movimiento (id_movimiento, fecha_hora, id_tipo_movimiento, observaciones) SELECT 'f91fccb9', '2025-05-27 12:32:06', id_tipo_movimiento, NULL FROM Tipo_movimiento WHERE nombre = 'Trasiego';</t>
  </si>
  <si>
    <t>INSERT INTO Movimiento (id_movimiento, fecha_hora, id_tipo_movimiento, observaciones) SELECT '86cd9442', '2025-05-27 12:32:30', id_tipo_movimiento, NULL FROM Tipo_movimiento WHERE nombre = 'Trasiego';</t>
  </si>
  <si>
    <t>INSERT INTO Movimiento (id_movimiento, fecha_hora, id_tipo_movimiento, observaciones) SELECT '15eaa06c', '2025-05-27 12:33:11', id_tipo_movimiento, NULL FROM Tipo_movimiento WHERE nombre = 'Trasiego';</t>
  </si>
  <si>
    <t>INSERT INTO Movimiento (id_movimiento, fecha_hora, id_tipo_movimiento, observaciones) SELECT 'd4b254a3', '2025-05-27 19:00:40', id_tipo_movimiento, NULL FROM Tipo_movimiento WHERE nombre = 'Trasiego';</t>
  </si>
  <si>
    <t>INSERT INTO Movimiento (id_movimiento, fecha_hora, id_tipo_movimiento, observaciones) SELECT '423ec746', '2025-05-27 19:02:27', id_tipo_movimiento, NULL FROM Tipo_movimiento WHERE nombre = 'Trasiego';</t>
  </si>
  <si>
    <t>INSERT INTO Movimiento (id_movimiento, fecha_hora, id_tipo_movimiento, observaciones) SELECT 'adfa1464', '2025-05-27 19:05:39', id_tipo_movimiento, NULL FROM Tipo_movimiento WHERE nombre = 'Trasiego';</t>
  </si>
  <si>
    <t>INSERT INTO Movimiento (id_movimiento, fecha_hora, id_tipo_movimiento, observaciones) SELECT 'c7a90e51', '2025-05-27 19:06:26', id_tipo_movimiento, NULL FROM Tipo_movimiento WHERE nombre = 'Trasiego';</t>
  </si>
  <si>
    <t>INSERT INTO Movimiento (id_movimiento, fecha_hora, id_tipo_movimiento, observaciones) SELECT '63da544e', '2025-05-27 19:08:46', id_tipo_movimiento, NULL FROM Tipo_movimiento WHERE nombre = 'Trasiego';</t>
  </si>
  <si>
    <t>INSERT INTO Movimiento (id_movimiento, fecha_hora, id_tipo_movimiento, observaciones) SELECT 'afb9bd0d', '2025-05-27 19:09:33', id_tipo_movimiento, NULL FROM Tipo_movimiento WHERE nombre = 'Trasiego';</t>
  </si>
  <si>
    <t>INSERT INTO Movimiento (id_movimiento, fecha_hora, id_tipo_movimiento, observaciones) SELECT '3ccee9c5', '2025-05-27 19:10:32', id_tipo_movimiento, NULL FROM Tipo_movimiento WHERE nombre = 'Trasiego';</t>
  </si>
  <si>
    <t>INSERT INTO Movimiento (id_movimiento, fecha_hora, id_tipo_movimiento, observaciones) SELECT 'f1a661e8', '2025-05-28 17:40:13', id_tipo_movimiento, NULL FROM Tipo_movimiento WHERE nombre = 'Trasiego';</t>
  </si>
  <si>
    <t>INSERT INTO Movimiento (id_movimiento, fecha_hora, id_tipo_movimiento, observaciones) SELECT '1cc59896', '2025-05-28 17:41:11', id_tipo_movimiento, NULL FROM Tipo_movimiento WHERE nombre = 'Trasiego';</t>
  </si>
  <si>
    <t>INSERT INTO Movimiento (id_movimiento, fecha_hora, id_tipo_movimiento, observaciones) SELECT 'c80574b2', '2025-05-28 17:42:01', id_tipo_movimiento, NULL FROM Tipo_movimiento WHERE nombre = 'Trasiego';</t>
  </si>
  <si>
    <t>INSERT INTO Movimiento (id_movimiento, fecha_hora, id_tipo_movimiento, observaciones) SELECT '553d486d', '2025-05-28 17:42:38', id_tipo_movimiento, NULL FROM Tipo_movimiento WHERE nombre = 'Trasiego';</t>
  </si>
  <si>
    <t>INSERT INTO Movimiento (id_movimiento, fecha_hora, id_tipo_movimiento, observaciones) SELECT 'ebef0c86', '2025-05-28 17:47:04', id_tipo_movimiento, NULL FROM Tipo_movimiento WHERE nombre = 'Trasiego';</t>
  </si>
  <si>
    <t>INSERT INTO Movimiento (id_movimiento, fecha_hora, id_tipo_movimiento, observaciones) SELECT 'dc0f6372', '2025-05-28 17:47:46', id_tipo_movimiento, NULL FROM Tipo_movimiento WHERE nombre = 'Trasiego';</t>
  </si>
  <si>
    <t>INSERT INTO Movimiento (id_movimiento, fecha_hora, id_tipo_movimiento, observaciones) SELECT '1052351a', '2025-05-28 17:50:18', id_tipo_movimiento, NULL FROM Tipo_movimiento WHERE nombre = 'Trasiego';</t>
  </si>
  <si>
    <t>INSERT INTO Movimiento (id_movimiento, fecha_hora, id_tipo_movimiento, observaciones) SELECT '504a0a22', '2025-05-28 17:52:29', id_tipo_movimiento, NULL FROM Tipo_movimiento WHERE nombre = 'Trasiego';</t>
  </si>
  <si>
    <t>INSERT INTO Movimiento (id_movimiento, fecha_hora, id_tipo_movimiento, observaciones) SELECT 'ddc7bb3d', '2025-05-28 17:54:52', id_tipo_movimiento, NULL FROM Tipo_movimiento WHERE nombre = 'Trasiego';</t>
  </si>
  <si>
    <t>INSERT INTO Movimiento (id_movimiento, fecha_hora, id_tipo_movimiento, observaciones) SELECT 'e268bf54', '2025-05-29 19:41:46', id_tipo_movimiento, NULL FROM Tipo_movimiento WHERE nombre = 'Trasiego';</t>
  </si>
  <si>
    <t>INSERT INTO Movimiento (id_movimiento, fecha_hora, id_tipo_movimiento, observaciones) SELECT '3b07a8a4', '2025-05-29 19:46:53', id_tipo_movimiento, NULL FROM Tipo_movimiento WHERE nombre = 'Trasiego';</t>
  </si>
  <si>
    <t>INSERT INTO Movimiento (id_movimiento, fecha_hora, id_tipo_movimiento, observaciones) SELECT 'e2f74719', '2025-05-29 23:08:05', id_tipo_movimiento, NULL FROM Tipo_movimiento WHERE nombre = 'Trasiego';</t>
  </si>
  <si>
    <t>INSERT INTO Movimiento (id_movimiento, fecha_hora, id_tipo_movimiento, observaciones) SELECT '6e6e5f62', '2025-05-31 11:31:00', id_tipo_movimiento, NULL FROM Tipo_movimiento WHERE nombre = 'Trasiego';</t>
  </si>
  <si>
    <t>INSERT INTO Movimiento (id_movimiento, fecha_hora, id_tipo_movimiento, observaciones) SELECT 'b49828c0', '2025-05-31 11:35:59', id_tipo_movimiento, NULL FROM Tipo_movimiento WHERE nombre = 'Trasiego';</t>
  </si>
  <si>
    <t>INSERT INTO Movimiento (id_movimiento, fecha_hora, id_tipo_movimiento, observaciones) SELECT '70425ea7', '2025-05-31 11:37:12', id_tipo_movimiento, NULL FROM Tipo_movimiento WHERE nombre = 'Trasiego';</t>
  </si>
  <si>
    <t>INSERT INTO Movimiento (id_movimiento, fecha_hora, id_tipo_movimiento, observaciones) SELECT '2cc24a50', '2025-05-31 11:38:08', id_tipo_movimiento, NULL FROM Tipo_movimiento WHERE nombre = 'Trasiego';</t>
  </si>
  <si>
    <t>INSERT INTO Movimiento (id_movimiento, fecha_hora, id_tipo_movimiento, observaciones) SELECT '7130c806', '2025-05-31 11:39:23', id_tipo_movimiento, NULL FROM Tipo_movimiento WHERE nombre = 'Trasiego';</t>
  </si>
  <si>
    <t>INSERT INTO Movimiento (id_movimiento, fecha_hora, id_tipo_movimiento, observaciones) SELECT 'f122219f', '2025-05-31 11:41:08', id_tipo_movimiento, NULL FROM Tipo_movimiento WHERE nombre = 'Trasiego';</t>
  </si>
  <si>
    <t>INSERT INTO Movimiento (id_movimiento, fecha_hora, id_tipo_movimiento, observaciones) SELECT '4684d680', '2025-06-03 09:22:16', id_tipo_movimiento, NULL FROM Tipo_movimiento WHERE nombre = 'Trasiego';</t>
  </si>
  <si>
    <t>INSERT INTO Movimiento (id_movimiento, fecha_hora, id_tipo_movimiento, observaciones) SELECT '84a50655', '2025-06-03 09:22:51', id_tipo_movimiento, NULL FROM Tipo_movimiento WHERE nombre = 'Trasiego';</t>
  </si>
  <si>
    <t>INSERT INTO Movimiento (id_movimiento, fecha_hora, id_tipo_movimiento, observaciones) SELECT '83db9e82', '2025-06-10 08:25:06', id_tipo_movimiento, NULL FROM Tipo_movimiento WHERE nombre = 'Trasiego';</t>
  </si>
  <si>
    <t>INSERT INTO Movimiento (id_movimiento, fecha_hora, id_tipo_movimiento, observaciones) SELECT 'b47dc80f', '2025-06-10 08:27:25', id_tipo_movimiento, NULL FROM Tipo_movimiento WHERE nombre = 'Trasiego';</t>
  </si>
  <si>
    <t>INSERT INTO Movimiento (id_movimiento, fecha_hora, id_tipo_movimiento, observaciones) SELECT '9b66cfc5', '2025-06-10 08:31:27', id_tipo_movimiento, NULL FROM Tipo_movimiento WHERE nombre = 'Trasiego';</t>
  </si>
  <si>
    <t>INSERT INTO Movimiento (id_movimiento, fecha_hora, id_tipo_movimiento, observaciones) SELECT 'e489c9ac', '2025-06-10 08:31:58', id_tipo_movimiento, NULL FROM Tipo_movimiento WHERE nombre = 'Trasiego';</t>
  </si>
  <si>
    <t>INSERT INTO Movimiento (id_movimiento, fecha_hora, id_tipo_movimiento, observaciones) SELECT '25425eae', '2025-06-10 08:33:07', id_tipo_movimiento, NULL FROM Tipo_movimiento WHERE nombre = 'Trasiego';</t>
  </si>
  <si>
    <t>INSERT INTO Movimiento (id_movimiento, fecha_hora, id_tipo_movimiento, observaciones) SELECT '4bf8143e', '2025-06-10 08:35:25', id_tipo_movimiento, NULL FROM Tipo_movimiento WHERE nombre = 'Trasiego';</t>
  </si>
  <si>
    <t>INSERT INTO Movimiento (id_movimiento, fecha_hora, id_tipo_movimiento, observaciones) SELECT '8905f2ba', '2025-06-10 08:37:04', id_tipo_movimiento, NULL FROM Tipo_movimiento WHERE nombre = 'Trasiego';</t>
  </si>
  <si>
    <t>INSERT INTO Movimiento (id_movimiento, fecha_hora, id_tipo_movimiento, observaciones) SELECT 'bd1fc7f1', '2025-06-10 08:37:19', id_tipo_movimiento, NULL FROM Tipo_movimiento WHERE nombre = 'Trasiego';</t>
  </si>
  <si>
    <t>INSERT INTO Movimiento (id_movimiento, fecha_hora, id_tipo_movimiento, observaciones) SELECT '74205378', '2025-06-10 08:37:30', id_tipo_movimiento, NULL FROM Tipo_movimiento WHERE nombre = 'Trasiego';</t>
  </si>
  <si>
    <t>INSERT INTO Movimiento (id_movimiento, fecha_hora, id_tipo_movimiento, observaciones) SELECT '509cd3bd', '2025-06-10 08:37:44', id_tipo_movimiento, NULL FROM Tipo_movimiento WHERE nombre = 'Trasiego';</t>
  </si>
  <si>
    <t>INSERT INTO Movimiento (id_movimiento, fecha_hora, id_tipo_movimiento, observaciones) SELECT '8a3a94f2', '2025-06-10 08:41:18', id_tipo_movimiento, NULL FROM Tipo_movimiento WHERE nombre = 'Trasiego';</t>
  </si>
  <si>
    <t>INSERT INTO Movimiento (id_movimiento, fecha_hora, id_tipo_movimiento, observaciones) SELECT '7a9a8221', '2025-06-10 09:15:29', id_tipo_movimiento, NULL FROM Tipo_movimiento WHERE nombre = 'Trasiego';</t>
  </si>
  <si>
    <t>INSERT INTO Movimiento (id_movimiento, fecha_hora, id_tipo_movimiento, observaciones) SELECT '2c95af9c', '2025-06-10 09:15:58', id_tipo_movimiento, NULL FROM Tipo_movimiento WHERE nombre = 'Trasiego';</t>
  </si>
  <si>
    <t>INSERT INTO Movimiento (id_movimiento, fecha_hora, id_tipo_movimiento, observaciones) SELECT 'f2020c41', '2025-06-10 09:16:41', id_tipo_movimiento, NULL FROM Tipo_movimiento WHERE nombre = 'Trasiego';</t>
  </si>
  <si>
    <t>INSERT INTO Movimiento (id_movimiento, fecha_hora, id_tipo_movimiento, observaciones) SELECT '9cc9e8d8', '2025-06-10 09:17:07', id_tipo_movimiento, NULL FROM Tipo_movimiento WHERE nombre = 'Trasiego';</t>
  </si>
  <si>
    <t>INSERT INTO Movimiento (id_movimiento, fecha_hora, id_tipo_movimiento, observaciones) SELECT '152f36a7', '2025-06-10 09:17:32', id_tipo_movimiento, NULL FROM Tipo_movimiento WHERE nombre = 'Trasiego';</t>
  </si>
  <si>
    <t>INSERT INTO Movimiento (id_movimiento, fecha_hora, id_tipo_movimiento, observaciones) SELECT 'ee83c1b1', '2025-06-10 09:26:59', id_tipo_movimiento, NULL FROM Tipo_movimiento WHERE nombre = 'Trasiego';</t>
  </si>
  <si>
    <t>INSERT INTO Movimiento (id_movimiento, fecha_hora, id_tipo_movimiento, observaciones) SELECT 'b45bd5ec', '2025-06-10 15:36:07', id_tipo_movimiento, NULL FROM Tipo_movimiento WHERE nombre = 'Trasiego';</t>
  </si>
  <si>
    <t>INSERT INTO Movimiento (id_movimiento, fecha_hora, id_tipo_movimiento, observaciones) SELECT '647816fc', '2025-06-10 15:39:42', id_tipo_movimiento, NULL FROM Tipo_movimiento WHERE nombre = 'Trasiego';</t>
  </si>
  <si>
    <t>INSERT INTO Movimiento (id_movimiento, fecha_hora, id_tipo_movimiento, observaciones) SELECT '4c36a656', '2025-06-10 15:41:41', id_tipo_movimiento, NULL FROM Tipo_movimiento WHERE nombre = 'Trasiego';</t>
  </si>
  <si>
    <t>INSERT INTO Movimiento (id_movimiento, fecha_hora, id_tipo_movimiento, observaciones) SELECT 'ab1c34c4', '2025-06-10 15:42:46', id_tipo_movimiento, NULL FROM Tipo_movimiento WHERE nombre = 'Trasiego';</t>
  </si>
  <si>
    <t>INSERT INTO Movimiento (id_movimiento, fecha_hora, id_tipo_movimiento, observaciones) SELECT '5d4f63f7', '2025-06-11 15:59:49', id_tipo_movimiento, NULL FROM Tipo_movimiento WHERE nombre = 'Trasiego';</t>
  </si>
  <si>
    <t>INSERT INTO Movimiento (id_movimiento, fecha_hora, id_tipo_movimiento, observaciones) SELECT '9abb1140', '2025-06-11 16:01:12', id_tipo_movimiento, NULL FROM Tipo_movimiento WHERE nombre = 'Trasiego';</t>
  </si>
  <si>
    <t>INSERT INTO Movimiento (id_movimiento, fecha_hora, id_tipo_movimiento, observaciones) SELECT 'b2d7ad2b', '2025-06-11 16:02:08', id_tipo_movimiento, NULL FROM Tipo_movimiento WHERE nombre = 'Trasiego';</t>
  </si>
  <si>
    <t>INSERT INTO Movimiento (id_movimiento, fecha_hora, id_tipo_movimiento, observaciones) SELECT 'ea926d37', '2025-06-11 16:03:56', id_tipo_movimiento, NULL FROM Tipo_movimiento WHERE nombre = 'Trasiego';</t>
  </si>
  <si>
    <t>INSERT INTO Movimiento (id_movimiento, fecha_hora, id_tipo_movimiento, observaciones) SELECT 'd5f12a61', '2025-06-11 16:04:31', id_tipo_movimiento, NULL FROM Tipo_movimiento WHERE nombre = 'Trasiego';</t>
  </si>
  <si>
    <t>INSERT INTO Movimiento (id_movimiento, fecha_hora, id_tipo_movimiento, observaciones) SELECT '66eddced', '2025-06-11 16:04:59', id_tipo_movimiento, NULL FROM Tipo_movimiento WHERE nombre = 'Trasiego';</t>
  </si>
  <si>
    <t>INSERT INTO Movimiento (id_movimiento, fecha_hora, id_tipo_movimiento, observaciones) SELECT 'ee08cf65', '2025-06-11 16:05:33', id_tipo_movimiento, NULL FROM Tipo_movimiento WHERE nombre = 'Trasiego';</t>
  </si>
  <si>
    <t>INSERT INTO Movimiento (id_movimiento, fecha_hora, id_tipo_movimiento, observaciones) SELECT '08ee90c8', '2025-06-11 16:11:33', id_tipo_movimiento, NULL FROM Tipo_movimiento WHERE nombre = 'Trasiego';</t>
  </si>
  <si>
    <t>INSERT INTO Movimiento (id_movimiento, fecha_hora, id_tipo_movimiento, observaciones) SELECT '1c0e3a99', '2025-06-12 10:57:57', id_tipo_movimiento, NULL FROM Tipo_movimiento WHERE nombre = 'Trasiego';</t>
  </si>
  <si>
    <t>INSERT INTO Movimiento (id_movimiento, fecha_hora, id_tipo_movimiento, observaciones) SELECT '7c514ed9', '2025-06-13 17:44:11', id_tipo_movimiento, NULL FROM Tipo_movimiento WHERE nombre = 'Trasiego';</t>
  </si>
  <si>
    <t>INSERT INTO Movimiento (id_movimiento, fecha_hora, id_tipo_movimiento, observaciones) SELECT 'a9d854d5', '2025-06-13 17:45:05', id_tipo_movimiento, NULL FROM Tipo_movimiento WHERE nombre = 'Trasiego';</t>
  </si>
  <si>
    <t>INSERT INTO Movimiento (id_movimiento, fecha_hora, id_tipo_movimiento, observaciones) SELECT '72e2b5a0', '2025-06-13 17:47:18', id_tipo_movimiento, NULL FROM Tipo_movimiento WHERE nombre = 'Trasiego';</t>
  </si>
  <si>
    <t>INSERT INTO Movimiento (id_movimiento, fecha_hora, id_tipo_movimiento, observaciones) SELECT '2d5f96f5', '2025-06-13 17:51:33', id_tipo_movimiento, NULL FROM Tipo_movimiento WHERE nombre = 'Trasiego';</t>
  </si>
  <si>
    <t>INSERT INTO Movimiento (id_movimiento, fecha_hora, id_tipo_movimiento, observaciones) SELECT '224a7365', '2025-06-13 17:52:42', id_tipo_movimiento, NULL FROM Tipo_movimiento WHERE nombre = 'Trasiego';</t>
  </si>
  <si>
    <t>INSERT INTO Movimiento (id_movimiento, fecha_hora, id_tipo_movimiento, observaciones) SELECT '66512b05', '2025-06-13 17:54:12', id_tipo_movimiento, NULL FROM Tipo_movimiento WHERE nombre = 'Trasiego';</t>
  </si>
  <si>
    <t>INSERT INTO Movimiento (id_movimiento, fecha_hora, id_tipo_movimiento, observaciones) SELECT 'd1669ec2', '2025-06-13 17:55:03', id_tipo_movimiento, NULL FROM Tipo_movimiento WHERE nombre = 'Trasiego';</t>
  </si>
  <si>
    <t>INSERT INTO Movimiento (id_movimiento, fecha_hora, id_tipo_movimiento, observaciones) SELECT 'bcec5169', '2025-06-13 17:57:18', id_tipo_movimiento, NULL FROM Tipo_movimiento WHERE nombre = 'Trasiego';</t>
  </si>
  <si>
    <t>INSERT INTO Movimiento (id_movimiento, fecha_hora, id_tipo_movimiento, observaciones) SELECT '57b2247c', '2025-06-13 17:57:50', id_tipo_movimiento, NULL FROM Tipo_movimiento WHERE nombre = 'Trasiego';</t>
  </si>
  <si>
    <t>INSERT INTO Movimiento (id_movimiento, fecha_hora, id_tipo_movimiento, observaciones) SELECT '15107431', '2025-06-13 17:58:15', id_tipo_movimiento, NULL FROM Tipo_movimiento WHERE nombre = 'Trasiego';</t>
  </si>
  <si>
    <t>INSERT INTO Movimiento (id_movimiento, fecha_hora, id_tipo_movimiento, observaciones) SELECT '4b763b1d', '2025-06-13 17:59:48', id_tipo_movimiento, NULL FROM Tipo_movimiento WHERE nombre = 'Trasiego';</t>
  </si>
  <si>
    <t>INSERT INTO Movimiento (id_movimiento, fecha_hora, id_tipo_movimiento, observaciones) SELECT 'd2d79b9a', '2025-06-13 18:00:34', id_tipo_movimiento, NULL FROM Tipo_movimiento WHERE nombre = 'Trasiego';</t>
  </si>
  <si>
    <t>INSERT INTO Movimiento (id_movimiento, fecha_hora, id_tipo_movimiento, observaciones) SELECT 'fb2ce7eb', '2025-06-13 18:07:03', id_tipo_movimiento, NULL FROM Tipo_movimiento WHERE nombre = 'Trasiego';</t>
  </si>
  <si>
    <t>INSERT INTO Movimiento (id_movimiento, fecha_hora, id_tipo_movimiento, observaciones) SELECT '566c2a5f', '2025-06-13 18:07:57', id_tipo_movimiento, NULL FROM Tipo_movimiento WHERE nombre = 'Trasiego';</t>
  </si>
  <si>
    <t>INSERT INTO Movimiento (id_movimiento, fecha_hora, id_tipo_movimiento, observaciones) SELECT 'cc557a85', '2025-06-13 18:08:31', id_tipo_movimiento, NULL FROM Tipo_movimiento WHERE nombre = 'Trasiego';</t>
  </si>
  <si>
    <t>INSERT INTO Movimiento (id_movimiento, fecha_hora, id_tipo_movimiento, observaciones) SELECT 'ff3402cf', '2025-06-13 18:08:50', id_tipo_movimiento, NULL FROM Tipo_movimiento WHERE nombre = 'Trasiego';</t>
  </si>
  <si>
    <t>INSERT INTO Movimiento (id_movimiento, fecha_hora, id_tipo_movimiento, observaciones) SELECT '45728c8a', '2025-06-13 18:09:14', id_tipo_movimiento, NULL FROM Tipo_movimiento WHERE nombre = 'Trasiego';</t>
  </si>
  <si>
    <t>INSERT INTO Movimiento (id_movimiento, fecha_hora, id_tipo_movimiento, observaciones) SELECT 'c75603e7', '2025-06-13 18:09:34', id_tipo_movimiento, NULL FROM Tipo_movimiento WHERE nombre = 'Trasiego';</t>
  </si>
  <si>
    <t>INSERT INTO Movimiento (id_movimiento, fecha_hora, id_tipo_movimiento, observaciones) SELECT '37df0c32', '2025-06-13 18:10:06', id_tipo_movimiento, NULL FROM Tipo_movimiento WHERE nombre = 'Trasiego';</t>
  </si>
  <si>
    <t>INSERT INTO Movimiento (id_movimiento, fecha_hora, id_tipo_movimiento, observaciones) SELECT '6bae5b3e', '2025-06-13 18:10:31', id_tipo_movimiento, NULL FROM Tipo_movimiento WHERE nombre = 'Trasiego';</t>
  </si>
  <si>
    <t>INSERT INTO Movimiento (id_movimiento, fecha_hora, id_tipo_movimiento, observaciones) SELECT 'ab90cb86', '2025-06-13 18:14:01', id_tipo_movimiento, NULL FROM Tipo_movimiento WHERE nombre = 'Trasiego';</t>
  </si>
  <si>
    <t>INSERT INTO Movimiento (id_movimiento, fecha_hora, id_tipo_movimiento, observaciones) SELECT '9a573913', '2025-06-13 18:14:18', id_tipo_movimiento, NULL FROM Tipo_movimiento WHERE nombre = 'Trasiego';</t>
  </si>
  <si>
    <t>INSERT INTO Movimiento (id_movimiento, fecha_hora, id_tipo_movimiento, observaciones) SELECT '5a3ef847', '2025-06-13 18:17:38', id_tipo_movimiento, NULL FROM Tipo_movimiento WHERE nombre = 'Trasiego';</t>
  </si>
  <si>
    <t>INSERT INTO Movimiento (id_movimiento, fecha_hora, id_tipo_movimiento, observaciones) SELECT '6e8160ed', '2025-06-13 18:18:14', id_tipo_movimiento, NULL FROM Tipo_movimiento WHERE nombre = 'Trasiego';</t>
  </si>
  <si>
    <t>INSERT INTO Movimiento (id_movimiento, fecha_hora, id_tipo_movimiento, observaciones) SELECT '393a40a3', '2025-06-13 18:18:36', id_tipo_movimiento, NULL FROM Tipo_movimiento WHERE nombre = 'Trasiego';</t>
  </si>
  <si>
    <t>INSERT INTO Movimiento (id_movimiento, fecha_hora, id_tipo_movimiento, observaciones) SELECT '1a09e12e', '2025-06-17 12:57:02', id_tipo_movimiento, NULL FROM Tipo_movimiento WHERE nombre = 'Trasiego';</t>
  </si>
  <si>
    <t>INSERT INTO Movimiento (id_movimiento, fecha_hora, id_tipo_movimiento, observaciones) SELECT 'bea59207', '2025-06-17 12:57:51', id_tipo_movimiento, NULL FROM Tipo_movimiento WHERE nombre = 'Trasiego';</t>
  </si>
  <si>
    <t>INSERT INTO Movimiento (id_movimiento, fecha_hora, id_tipo_movimiento, observaciones) SELECT '85d6023b', '2025-06-19 18:19:40', id_tipo_movimiento, NULL FROM Tipo_movimiento WHERE nombre = 'Trasiego';</t>
  </si>
  <si>
    <t>INSERT INTO Movimiento (id_movimiento, fecha_hora, id_tipo_movimiento, observaciones) SELECT 'fb81bc69', '2025-06-19 18:21:32', id_tipo_movimiento, NULL FROM Tipo_movimiento WHERE nombre = 'Trasiego';</t>
  </si>
  <si>
    <t>INSERT INTO Movimiento (id_movimiento, fecha_hora, id_tipo_movimiento, observaciones) SELECT 'eb601c85', '2025-06-19 18:22:41', id_tipo_movimiento, NULL FROM Tipo_movimiento WHERE nombre = 'Trasiego';</t>
  </si>
  <si>
    <t>INSERT INTO Movimiento (id_movimiento, fecha_hora, id_tipo_movimiento, observaciones) SELECT '0d845e2e', '2025-06-19 18:24:00', id_tipo_movimiento, NULL FROM Tipo_movimiento WHERE nombre = 'Trasiego';</t>
  </si>
  <si>
    <t>INSERT INTO Movimiento (id_movimiento, fecha_hora, id_tipo_movimiento, observaciones) SELECT '14189714', '2025-06-26 08:34:30', id_tipo_movimiento, NULL FROM Tipo_movimiento WHERE nombre = 'Trasiego';</t>
  </si>
  <si>
    <t>INSERT INTO Movimiento (id_movimiento, fecha_hora, id_tipo_movimiento, observaciones) SELECT '0a01f1f7', '2025-06-26 08:36:07', id_tipo_movimiento, NULL FROM Tipo_movimiento WHERE nombre = 'Trasiego';</t>
  </si>
  <si>
    <t>INSERT INTO Movimiento (id_movimiento, fecha_hora, id_tipo_movimiento, observaciones) SELECT 'af885681', '2025-06-26 08:37:13', id_tipo_movimiento, NULL FROM Tipo_movimiento WHERE nombre = 'Trasiego';</t>
  </si>
  <si>
    <t>INSERT INTO Movimiento (id_movimiento, fecha_hora, id_tipo_movimiento, observaciones) SELECT 'a0cf4ea1', '2025-06-26 08:38:45', id_tipo_movimiento, NULL FROM Tipo_movimiento WHERE nombre = 'Trasiego';</t>
  </si>
  <si>
    <t>INSERT INTO Movimiento (id_movimiento, fecha_hora, id_tipo_movimiento, observaciones) SELECT '51b5785f', '2025-06-26 08:39:30', id_tipo_movimiento, NULL FROM Tipo_movimiento WHERE nombre = 'Trasiego';</t>
  </si>
  <si>
    <t>INSERT INTO Movimiento (id_movimiento, fecha_hora, id_tipo_movimiento, observaciones) SELECT '3507c094', '2025-06-26 08:40:19', id_tipo_movimiento, NULL FROM Tipo_movimiento WHERE nombre = 'Trasiego';</t>
  </si>
  <si>
    <t>INSERT INTO Movimiento (id_movimiento, fecha_hora, id_tipo_movimiento, observaciones) SELECT 'cd337d5b', '2025-06-26 08:41:46', id_tipo_movimiento, NULL FROM Tipo_movimiento WHERE nombre = 'Trasiego';</t>
  </si>
  <si>
    <t>INSERT INTO Movimiento (id_movimiento, fecha_hora, id_tipo_movimiento, observaciones) SELECT '44db0cce', '2025-06-26 08:42:16', id_tipo_movimiento, NULL FROM Tipo_movimiento WHERE nombre = 'Trasiego';</t>
  </si>
  <si>
    <t>INSERT INTO Movimiento (id_movimiento, fecha_hora, id_tipo_movimiento, observaciones) SELECT '5a60f6f7', '2025-06-26 08:43:03', id_tipo_movimiento, NULL FROM Tipo_movimiento WHERE nombre = 'Trasiego';</t>
  </si>
  <si>
    <t>INSERT INTO Movimiento (id_movimiento, fecha_hora, id_tipo_movimiento, observaciones) SELECT 'f3b0e34b', '2025-06-26 08:44:01', id_tipo_movimiento, NULL FROM Tipo_movimiento WHERE nombre = 'Trasiego';</t>
  </si>
  <si>
    <t>INSERT INTO Movimiento (id_movimiento, fecha_hora, id_tipo_movimiento, observaciones) SELECT '1f7ecd15', '2025-06-26 08:44:46', id_tipo_movimiento, NULL FROM Tipo_movimiento WHERE nombre = 'Trasiego';</t>
  </si>
  <si>
    <t>INSERT INTO Movimiento (id_movimiento, fecha_hora, id_tipo_movimiento, observaciones) SELECT '19d78dd5', '2025-06-26 09:12:01', id_tipo_movimiento, NULL FROM Tipo_movimiento WHERE nombre = 'Trasiego';</t>
  </si>
  <si>
    <t>INSERT INTO Movimiento (id_movimiento, fecha_hora, id_tipo_movimiento, observaciones) SELECT '91151a11', '2025-06-26 09:16:23', id_tipo_movimiento, NULL FROM Tipo_movimiento WHERE nombre = 'Trasiego';</t>
  </si>
  <si>
    <t>INSERT INTO Movimiento (id_movimiento, fecha_hora, id_tipo_movimiento, observaciones) SELECT '4e0b02c1', '2025-06-26 09:18:04', id_tipo_movimiento, NULL FROM Tipo_movimiento WHERE nombre = 'Trasiego';</t>
  </si>
  <si>
    <t>INSERT INTO Movimiento (id_movimiento, fecha_hora, id_tipo_movimiento, observaciones) SELECT '022615d1', '2025-06-26 09:19:27', id_tipo_movimiento, NULL FROM Tipo_movimiento WHERE nombre = 'Trasiego';</t>
  </si>
  <si>
    <t>INSERT INTO Movimiento (id_movimiento, fecha_hora, id_tipo_movimiento, observaciones) SELECT '88a5eccd', '2025-06-26 09:20:08', id_tipo_movimiento, NULL FROM Tipo_movimiento WHERE nombre = 'Trasiego';</t>
  </si>
  <si>
    <t>INSERT INTO Movimiento (id_movimiento, fecha_hora, id_tipo_movimiento, observaciones) SELECT '98635b22', '2025-06-27 09:30:21', id_tipo_movimiento, NULL FROM Tipo_movimiento WHERE nombre = 'Trasiego';</t>
  </si>
  <si>
    <t>INSERT INTO Movimiento (id_movimiento, fecha_hora, id_tipo_movimiento, observaciones) SELECT '33dbbc52', '2025-06-27 09:31:10', id_tipo_movimiento, NULL FROM Tipo_movimiento WHERE nombre = 'Trasiego';</t>
  </si>
  <si>
    <t>INSERT INTO Movimiento (id_movimiento, fecha_hora, id_tipo_movimiento, observaciones) SELECT '6b7817c7', '2025-06-27 09:33:28', id_tipo_movimiento, NULL FROM Tipo_movimiento WHERE nombre = 'Trasiego';</t>
  </si>
  <si>
    <t>INSERT INTO Movimiento (id_movimiento, fecha_hora, id_tipo_movimiento, observaciones) SELECT '09a66870', '2025-07-03 08:37:41', id_tipo_movimiento, NULL FROM Tipo_movimiento WHERE nombre = 'Trasiego';</t>
  </si>
  <si>
    <t>INSERT INTO Movimiento (id_movimiento, fecha_hora, id_tipo_movimiento, observaciones) SELECT 'ec9d0254', '2025-07-11 16:58:17', id_tipo_movimiento, NULL FROM Tipo_movimiento WHERE nombre = 'Trasiego';</t>
  </si>
  <si>
    <t>INSERT INTO Movimiento (id_movimiento, fecha_hora, id_tipo_movimiento, observaciones) SELECT '85b99611', '2025-07-11 16:58:49', id_tipo_movimiento, NULL FROM Tipo_movimiento WHERE nombre = 'Trasiego';</t>
  </si>
  <si>
    <t>INSERT INTO Movimiento (id_movimiento, fecha_hora, id_tipo_movimiento, observaciones) SELECT '8ff6cad4', '2025-07-11 17:04:55', id_tipo_movimiento, NULL FROM Tipo_movimiento WHERE nombre = 'Trasiego';</t>
  </si>
  <si>
    <t>INSERT INTO Movimiento (id_movimiento, fecha_hora, id_tipo_movimiento, observaciones) SELECT 'd0cbf08f', '2025-07-11 17:05:29', id_tipo_movimiento, NULL FROM Tipo_movimiento WHERE nombre = 'Trasiego';</t>
  </si>
  <si>
    <t>INSERT INTO Movimiento (id_movimiento, fecha_hora, id_tipo_movimiento, observaciones) SELECT 'a94a4dd3', '2025-07-11 17:06:44', id_tipo_movimiento, NULL FROM Tipo_movimiento WHERE nombre = 'Trasiego';</t>
  </si>
  <si>
    <t>INSERT INTO Movimiento (id_movimiento, fecha_hora, id_tipo_movimiento, observaciones) SELECT 'a9764a26', '2025-07-11 17:06:55', id_tipo_movimiento, NULL FROM Tipo_movimiento WHERE nombre = 'Trasiego';</t>
  </si>
  <si>
    <t>INSERT INTO Movimiento (id_movimiento, fecha_hora, id_tipo_movimiento, observaciones) SELECT '0b413a34', '2025-07-11 17:07:27', id_tipo_movimiento, NULL FROM Tipo_movimiento WHERE nombre = 'Trasiego';</t>
  </si>
  <si>
    <t>INSERT INTO Movimiento (id_movimiento, fecha_hora, id_tipo_movimiento, observaciones) SELECT '64f85161', '2025-07-21 15:46:34', id_tipo_movimiento, NULL FROM Tipo_movimiento WHERE nombre = 'Trasiego';</t>
  </si>
  <si>
    <t>INSERT INTO Movimiento (id_movimiento, fecha_hora, id_tipo_movimiento, observaciones) SELECT '03b8ca92', '2025-07-21 15:48:32', id_tipo_movimiento, NULL FROM Tipo_movimiento WHERE nombre = 'Trasiego';</t>
  </si>
  <si>
    <t>INSERT INTO Movimiento (id_movimiento, fecha_hora, id_tipo_movimiento, observaciones) SELECT 'e3927c4b', '2025-07-21 15:49:47', id_tipo_movimiento, NULL FROM Tipo_movimiento WHERE nombre = 'Trasiego';</t>
  </si>
  <si>
    <t>INSERT INTO Movimiento (id_movimiento, fecha_hora, id_tipo_movimiento, observaciones) SELECT 'f2e82a3f', '2025-07-22 17:43:38', id_tipo_movimiento, NULL FROM Tipo_movimiento WHERE nombre = 'Trasiego';</t>
  </si>
  <si>
    <t>INSERT INTO Movimiento (id_movimiento, fecha_hora, id_tipo_movimiento, observaciones) SELECT '43369527', '2025-07-23 17:09:35', id_tipo_movimiento, NULL FROM Tipo_movimiento WHERE nombre = 'Trasiego';</t>
  </si>
  <si>
    <t>INSERT INTO Movimiento (id_movimiento, fecha_hora, id_tipo_movimiento, observaciones) SELECT 'd8288d77', '2025-07-24 17:09:44', id_tipo_movimiento, NULL FROM Tipo_movimiento WHERE nombre = 'Trasiego';</t>
  </si>
  <si>
    <t>INSERT INTO Movimiento (id_movimiento, fecha_hora, id_tipo_movimiento, observaciones) SELECT 'aa74815a', '2025-07-24 17:11:17', id_tipo_movimiento, NULL FROM Tipo_movimiento WHERE nombre = 'Trasiego';</t>
  </si>
  <si>
    <t>INSERT INTO Movimiento (id_movimiento, fecha_hora, id_tipo_movimiento, observaciones) SELECT '96ec64d7', '2025-07-28 15:55:24', id_tipo_movimiento, NULL FROM Tipo_movimiento WHERE nombre = 'Trasiego';</t>
  </si>
  <si>
    <t>INSERT INTO Movimiento (id_movimiento, fecha_hora, id_tipo_movimiento, observaciones) SELECT 'c62e1db0', '2025-07-29 12:48:38', id_tipo_movimiento, NULL FROM Tipo_movimiento WHERE nombre = 'Trasiego';</t>
  </si>
  <si>
    <t>INSERT INTO Movimiento (id_movimiento, fecha_hora, id_tipo_movimiento, observaciones) SELECT '992f6076', '2025-07-29 12:49:28', id_tipo_movimiento, NULL FROM Tipo_movimiento WHERE nombre = 'Trasiego';</t>
  </si>
  <si>
    <t>INSERT INTO Movimiento (id_movimiento, fecha_hora, id_tipo_movimiento, observaciones) SELECT '4c444ace', '2025-07-29 12:50:21', id_tipo_movimiento, NULL FROM Tipo_movimiento WHERE nombre = 'Trasiego';</t>
  </si>
  <si>
    <t>INSERT INTO Movimiento (id_movimiento, fecha_hora, id_tipo_movimiento, observaciones) SELECT '71df1fd6', '2025-07-29 12:52:20', id_tipo_movimiento, NULL FROM Tipo_movimiento WHERE nombre = 'Trasiego';</t>
  </si>
  <si>
    <t>INSERT INTO Movimiento (id_movimiento, fecha_hora, id_tipo_movimiento, observaciones) SELECT '8f216c0a', '2025-07-29 12:53:28', id_tipo_movimiento, NULL FROM Tipo_movimiento WHERE nombre = 'Trasiego';</t>
  </si>
  <si>
    <t>INSERT INTO Movimiento (id_movimiento, fecha_hora, id_tipo_movimiento, observaciones) SELECT '351d6caa', '2025-07-30 16:14:34', id_tipo_movimiento, NULL FROM Tipo_movimiento WHERE nombre = 'Trasiego';</t>
  </si>
  <si>
    <t>INSERT INTO Movimiento (id_movimiento, fecha_hora, id_tipo_movimiento, observaciones) SELECT '7d045e98', '2025-07-30 16:15:05', id_tipo_movimiento, NULL FROM Tipo_movimiento WHERE nombre = 'Trasiego';</t>
  </si>
  <si>
    <t>INSERT INTO Movimiento (id_movimiento, fecha_hora, id_tipo_movimiento, observaciones) SELECT '2987c754', '2025-07-30 16:16:31', id_tipo_movimiento, NULL FROM Tipo_movimiento WHERE nombre = 'Trasiego';</t>
  </si>
  <si>
    <t>INSERT INTO Movimiento (id_movimiento, fecha_hora, id_tipo_movimiento, observaciones) SELECT '034ddd11', '2025-07-31 17:54:59', id_tipo_movimiento, NULL FROM Tipo_movimiento WHERE nombre = 'Trasiego';</t>
  </si>
  <si>
    <t>INSERT INTO Movimiento (id_movimiento, fecha_hora, id_tipo_movimiento, observaciones) SELECT '1e3fb611', '2025-07-31 17:56:59', id_tipo_movimiento, NULL FROM Tipo_movimiento WHERE nombre = 'Trasiego';</t>
  </si>
  <si>
    <t>INSERT INTO Movimiento (id_movimiento, fecha_hora, id_tipo_movimiento, observaciones) SELECT '31d93edc', '2025-07-31 17:57:45', id_tipo_movimiento, NULL FROM Tipo_movimiento WHERE nombre = 'Trasiego';</t>
  </si>
  <si>
    <t>INSERT INTO Movimiento (id_movimiento, fecha_hora, id_tipo_movimiento, observaciones) SELECT '8af750ad', '2025-08-05 11:09:26', id_tipo_movimiento, NULL FROM Tipo_movimiento WHERE nombre = 'Trasiego';</t>
  </si>
  <si>
    <t>INSERT INTO Movimiento (id_movimiento, fecha_hora, id_tipo_movimiento, observaciones) SELECT '8c5794d8', '2025-08-05 11:13:57', id_tipo_movimiento, NULL FROM Tipo_movimiento WHERE nombre = 'Trasiego';</t>
  </si>
  <si>
    <t>INSERT INTO Movimiento (id_movimiento, fecha_hora, id_tipo_movimiento, observaciones) SELECT '6ab6351d', '2025-08-05 11:14:59', id_tipo_movimiento, NULL FROM Tipo_movimiento WHERE nombre = 'Trasiego';</t>
  </si>
  <si>
    <t>INSERT INTO Movimiento (id_movimiento, fecha_hora, id_tipo_movimiento, observaciones) SELECT '090c9f23', '2025-08-05 11:15:42', id_tipo_movimiento, NULL FROM Tipo_movimiento WHERE nombre = 'Trasiego';</t>
  </si>
  <si>
    <t>INSERT INTO Movimiento (id_movimiento, fecha_hora, id_tipo_movimiento, observaciones) SELECT 'f931488a', '2025-08-05 11:16:23', id_tipo_movimiento, NULL FROM Tipo_movimiento WHERE nombre = 'Trasiego';</t>
  </si>
  <si>
    <t>INSERT INTO Movimiento (id_movimiento, fecha_hora, id_tipo_movimiento, observaciones) SELECT '46472d06', '2025-08-05 11:20:29', id_tipo_movimiento, NULL FROM Tipo_movimiento WHERE nombre = 'Trasiego';</t>
  </si>
  <si>
    <t>INSERT INTO Movimiento (id_movimiento, fecha_hora, id_tipo_movimiento, observaciones) SELECT '13a22578', '2025-08-05 11:25:47', id_tipo_movimiento, NULL FROM Tipo_movimiento WHERE nombre = 'Trasiego';</t>
  </si>
  <si>
    <t>INSERT INTO Movimiento (id_movimiento, fecha_hora, id_tipo_movimiento, observaciones) SELECT '04b5c7b8', '2025-08-05 11:29:55', id_tipo_movimiento, NULL FROM Tipo_movimiento WHERE nombre = 'Trasiego';</t>
  </si>
  <si>
    <t>INSERT INTO Movimiento (id_movimiento, fecha_hora, id_tipo_movimiento, observaciones) SELECT '9ed5d907', '2025-08-05 11:30:43', id_tipo_movimiento, NULL FROM Tipo_movimiento WHERE nombre = 'Trasiego';</t>
  </si>
  <si>
    <t>INSERT INTO Movimiento (id_movimiento, fecha_hora, id_tipo_movimiento, observaciones) SELECT '689a2d3c', '2025-08-05 11:31:26', id_tipo_movimiento, NULL FROM Tipo_movimiento WHERE nombre = 'Trasiego';</t>
  </si>
  <si>
    <t>INSERT INTO Movimiento (id_movimiento, fecha_hora, id_tipo_movimiento, observaciones) SELECT 'b943e93f', '2025-08-05 11:32:14', id_tipo_movimiento, NULL FROM Tipo_movimiento WHERE nombre = 'Trasiego';</t>
  </si>
  <si>
    <t>INSERT INTO Movimiento (id_movimiento, fecha_hora, id_tipo_movimiento, observaciones) SELECT '89ca5174', '2025-08-05 11:36:00', id_tipo_movimiento, NULL FROM Tipo_movimiento WHERE nombre = 'Trasiego';</t>
  </si>
  <si>
    <t>INSERT INTO Movimiento (id_movimiento, fecha_hora, id_tipo_movimiento, observaciones) SELECT '7bba3bd6', '2025-08-05 11:36:41', id_tipo_movimiento, NULL FROM Tipo_movimiento WHERE nombre = 'Trasiego';</t>
  </si>
  <si>
    <t>INSERT INTO Movimiento (id_movimiento, fecha_hora, id_tipo_movimiento, observaciones) SELECT '24f7f90f', '2025-08-05 11:37:06', id_tipo_movimiento, NULL FROM Tipo_movimiento WHERE nombre = 'Trasiego';</t>
  </si>
  <si>
    <t>INSERT INTO Movimiento (id_movimiento, fecha_hora, id_tipo_movimiento, observaciones) SELECT '71bef9dc', '2025-08-05 11:37:36', id_tipo_movimiento, NULL FROM Tipo_movimiento WHERE nombre = 'Trasiego';</t>
  </si>
  <si>
    <t>INSERT INTO Movimiento (id_movimiento, fecha_hora, id_tipo_movimiento, observaciones) SELECT '9a0a175c', '2025-08-05 11:39:44', id_tipo_movimiento, NULL FROM Tipo_movimiento WHERE nombre = 'Trasiego';</t>
  </si>
  <si>
    <t>INSERT INTO Movimiento (id_movimiento, fecha_hora, id_tipo_movimiento, observaciones) SELECT '9de3d7f5', '2025-08-05 11:45:01', id_tipo_movimiento, NULL FROM Tipo_movimiento WHERE nombre = 'Trasiego';</t>
  </si>
  <si>
    <t>INSERT INTO Movimiento (id_movimiento, fecha_hora, id_tipo_movimiento, observaciones) SELECT 'caac857f', '2025-08-06 11:12:17', id_tipo_movimiento, NULL FROM Tipo_movimiento WHERE nombre = 'Trasiego';</t>
  </si>
  <si>
    <t>INSERT INTO Movimiento (id_movimiento, fecha_hora, id_tipo_movimiento, observaciones) SELECT 'ea42be45', '2025-08-06 11:12:46', id_tipo_movimiento, NULL FROM Tipo_movimiento WHERE nombre = 'Trasiego';</t>
  </si>
  <si>
    <t>INSERT INTO Movimiento (id_movimiento, fecha_hora, id_tipo_movimiento, observaciones) SELECT '3045d729', '2025-08-06 11:13:21', id_tipo_movimiento, NULL FROM Tipo_movimiento WHERE nombre = 'Trasiego';</t>
  </si>
  <si>
    <t>INSERT INTO Movimiento (id_movimiento, fecha_hora, id_tipo_movimiento, observaciones) SELECT '40177476', '2025-08-06 16:02:05', id_tipo_movimiento, NULL FROM Tipo_movimiento WHERE nombre = 'Trasiego';</t>
  </si>
  <si>
    <t>INSERT INTO Movimiento (id_movimiento, fecha_hora, id_tipo_movimiento, observaciones) SELECT '69d0fe25', '2025-08-06 16:03:09', id_tipo_movimiento, NULL FROM Tipo_movimiento WHERE nombre = 'Trasiego';</t>
  </si>
  <si>
    <t>INSERT INTO Movimiento (id_movimiento, fecha_hora, id_tipo_movimiento, observaciones) SELECT 'dd286292', '2025-08-06 16:03:59', id_tipo_movimiento, NULL FROM Tipo_movimiento WHERE nombre = 'Trasiego';</t>
  </si>
  <si>
    <t>INSERT INTO Movimiento (id_movimiento, fecha_hora, id_tipo_movimiento, observaciones) SELECT '967a72c8', '2025-08-11 16:54:28', id_tipo_movimiento, NULL FROM Tipo_movimiento WHERE nombre = 'Trasiego';</t>
  </si>
  <si>
    <t>INSERT INTO Movimiento (id_movimiento, fecha_hora, id_tipo_movimiento, observaciones) SELECT '3c5863b6', '2025-08-11 16:57:28', id_tipo_movimiento, NULL FROM Tipo_movimiento WHERE nombre = 'Trasiego';</t>
  </si>
  <si>
    <t>INSERT INTO Movimiento (id_movimiento, fecha_hora, id_tipo_movimiento, observaciones) SELECT '022dbc49', '2025-08-11 16:58:10', id_tipo_movimiento, NULL FROM Tipo_movimiento WHERE nombre = 'Trasiego';</t>
  </si>
  <si>
    <t>INSERT INTO Movimiento (id_movimiento, fecha_hora, id_tipo_movimiento, observaciones) SELECT 'b1e35869', '2025-08-11 16:58:32', id_tipo_movimiento, NULL FROM Tipo_movimiento WHERE nombre = 'Trasiego';</t>
  </si>
  <si>
    <t>INSERT INTO Movimiento (id_movimiento, fecha_hora, id_tipo_movimiento, observaciones) SELECT 'fb99f586', '2025-08-11 16:59:25', id_tipo_movimiento, NULL FROM Tipo_movimiento WHERE nombre = 'Trasiego';</t>
  </si>
  <si>
    <t>INSERT INTO Movimiento (id_movimiento, fecha_hora, id_tipo_movimiento, observaciones) SELECT 'c2922f20', '2025-08-11 16:59:53', id_tipo_movimiento, NULL FROM Tipo_movimiento WHERE nombre = 'Trasiego';</t>
  </si>
  <si>
    <t>INSERT INTO Movimiento (id_movimiento, fecha_hora, id_tipo_movimiento, observaciones) SELECT 'e5a39ca6', '2025-08-11 17:07:04', id_tipo_movimiento, NULL FROM Tipo_movimiento WHERE nombre = 'Trasiego';</t>
  </si>
  <si>
    <t>INSERT INTO Movimiento (id_movimiento, fecha_hora, id_tipo_movimiento, observaciones) SELECT '016c21d2', '2025-08-11 17:07:28', id_tipo_movimiento, NULL FROM Tipo_movimiento WHERE nombre = 'Trasiego';</t>
  </si>
  <si>
    <t>INSERT INTO Movimiento (id_movimiento, fecha_hora, id_tipo_movimiento, observaciones) SELECT '9d703ac8', '2025-08-11 17:08:53', id_tipo_movimiento, NULL FROM Tipo_movimiento WHERE nombre = 'Trasiego';</t>
  </si>
  <si>
    <t>INSERT INTO Movimiento (id_movimiento, fecha_hora, id_tipo_movimiento, observaciones) SELECT '72cd8195', '2025-08-11 17:17:11', id_tipo_movimiento, NULL FROM Tipo_movimiento WHERE nombre = 'Trasiego';</t>
  </si>
  <si>
    <t>INSERT INTO Movimiento (id_movimiento, fecha_hora, id_tipo_movimiento, observaciones) SELECT '689de1f7', '2025-08-11 17:19:57', id_tipo_movimiento, NULL FROM Tipo_movimiento WHERE nombre = 'Trasiego';</t>
  </si>
  <si>
    <t>INSERT INTO Movimiento (id_movimiento, fecha_hora, id_tipo_movimiento, observaciones) SELECT '312b14eb', '2025-08-11 17:22:58', id_tipo_movimiento, NULL FROM Tipo_movimiento WHERE nombre = 'Trasiego';</t>
  </si>
  <si>
    <t>INSERT INTO Movimiento (id_movimiento, fecha_hora, id_tipo_movimiento, observaciones) SELECT '74364005', '2025-08-11 17:23:42', id_tipo_movimiento, NULL FROM Tipo_movimiento WHERE nombre = 'Trasiego';</t>
  </si>
  <si>
    <t>INSERT INTO Movimiento (id_movimiento, fecha_hora, id_tipo_movimiento, observaciones) SELECT 'e706d404', '2025-08-13 17:17:37', id_tipo_movimiento, NULL FROM Tipo_movimiento WHERE nombre = 'Trasiego';</t>
  </si>
  <si>
    <t>INSERT INTO Movimiento (id_movimiento, fecha_hora, id_tipo_movimiento, observaciones) SELECT 'cae6112a', '2025-08-13 17:18:16', id_tipo_movimiento, NULL FROM Tipo_movimiento WHERE nombre = 'Trasiego';</t>
  </si>
  <si>
    <t>INSERT INTO Movimiento (id_movimiento, fecha_hora, id_tipo_movimiento, observaciones) SELECT 'ac27dff6', '2025-08-13 17:18:58', id_tipo_movimiento, NULL FROM Tipo_movimiento WHERE nombre = 'Trasiego';</t>
  </si>
  <si>
    <t>INSERT INTO Movimiento (id_movimiento, fecha_hora, id_tipo_movimiento, observaciones) SELECT '0caaef31', '2025-08-13 17:25:39', id_tipo_movimiento, NULL FROM Tipo_movimiento WHERE nombre = 'Trasiego';</t>
  </si>
  <si>
    <t>INSERT INTO Movimiento (id_movimiento, fecha_hora, id_tipo_movimiento, observaciones) SELECT '93fa7431', '2025-08-13 17:43:36', id_tipo_movimiento, NULL FROM Tipo_movimiento WHERE nombre = 'Trasiego';</t>
  </si>
  <si>
    <t>INSERT INTO Movimiento (id_movimiento, fecha_hora, id_tipo_movimiento, observaciones) SELECT 'f98ca1ed', '2025-08-15 17:33:58', id_tipo_movimiento, NULL FROM Tipo_movimiento WHERE nombre = 'Trasiego';</t>
  </si>
  <si>
    <t>INSERT INTO Movimiento (id_movimiento, fecha_hora, id_tipo_movimiento, observaciones) SELECT '1e473d57', '2025-08-15 17:34:31', id_tipo_movimiento, NULL FROM Tipo_movimiento WHERE nombre = 'Trasiego';</t>
  </si>
  <si>
    <t>INSERT INTO Movimiento (id_movimiento, fecha_hora, id_tipo_movimiento, observaciones) SELECT '9afcea40', '2025-08-15 17:35:07', id_tipo_movimiento, NULL FROM Tipo_movimiento WHERE nombre = 'Trasiego';</t>
  </si>
  <si>
    <t>INSERT INTO Movimiento (id_movimiento, fecha_hora, id_tipo_movimiento, observaciones) SELECT '06d67ef3', '2025-08-15 17:35:49', id_tipo_movimiento, NULL FROM Tipo_movimiento WHERE nombre = 'Trasiego';</t>
  </si>
  <si>
    <t>INSERT INTO Movimiento (id_movimiento, fecha_hora, id_tipo_movimiento, observaciones) SELECT '71307367', '2025-08-15 17:38:12', id_tipo_movimiento, NULL FROM Tipo_movimiento WHERE nombre = 'Trasiego';</t>
  </si>
  <si>
    <t>INSERT INTO Movimiento (id_movimiento, fecha_hora, id_tipo_movimiento, observaciones) SELECT '79efd870', '2025-08-15 18:10:13', id_tipo_movimiento, NULL FROM Tipo_movimiento WHERE nombre = 'Trasiego';</t>
  </si>
  <si>
    <t>INSERT INTO Movimiento (id_movimiento, fecha_hora, id_tipo_movimiento, observaciones) SELECT '467b4860', '2025-08-15 18:17:16', id_tipo_movimiento, NULL FROM Tipo_movimiento WHERE nombre = 'Trasiego';</t>
  </si>
  <si>
    <t>INSERT INTO Movimiento (id_movimiento, fecha_hora, id_tipo_movimiento, observaciones) SELECT 'ee846ecd', '2025-08-15 18:17:57', id_tipo_movimiento, NULL FROM Tipo_movimiento WHERE nombre = 'Trasiego';</t>
  </si>
  <si>
    <t>INSERT INTO Movimiento (id_movimiento, fecha_hora, id_tipo_movimiento, observaciones) SELECT '5f69a042', '2025-08-15 18:19:55', id_tipo_movimiento, NULL FROM Tipo_movimiento WHERE nombre = 'Trasiego';</t>
  </si>
  <si>
    <t>INSERT INTO Movimiento (id_movimiento, fecha_hora, id_tipo_movimiento, observaciones) SELECT 'efbfc658', '2025-08-15 18:20:07', id_tipo_movimiento, NULL FROM Tipo_movimiento WHERE nombre = 'Trasiego';</t>
  </si>
  <si>
    <t>INSERT INTO Movimiento (id_movimiento, fecha_hora, id_tipo_movimiento, observaciones) SELECT '2e5f5821', '2025-08-15 18:45:51', id_tipo_movimiento, NULL FROM Tipo_movimiento WHERE nombre = 'Trasiego';</t>
  </si>
  <si>
    <t>INSERT INTO Movimiento (id_movimiento, fecha_hora, id_tipo_movimiento, observaciones) SELECT '8e9234d6', '2025-08-15 18:47:12', id_tipo_movimiento, NULL FROM Tipo_movimiento WHERE nombre = 'Trasiego';</t>
  </si>
  <si>
    <t>INSERT INTO Movimiento (id_movimiento, fecha_hora, id_tipo_movimiento, observaciones) SELECT '4e686bb0', '2025-08-15 18:47:36', id_tipo_movimiento, NULL FROM Tipo_movimiento WHERE nombre = 'Trasiego';</t>
  </si>
  <si>
    <t>INSERT INTO Movimiento (id_movimiento, fecha_hora, id_tipo_movimiento, observaciones) SELECT '43849457', '2025-08-15 18:48:07', id_tipo_movimiento, NULL FROM Tipo_movimiento WHERE nombre = 'Trasiego';</t>
  </si>
  <si>
    <t>INSERT INTO Movimiento (id_movimiento, fecha_hora, id_tipo_movimiento, observaciones) SELECT 'fef5426e', '2025-08-15 18:49:23', id_tipo_movimiento, NULL FROM Tipo_movimiento WHERE nombre = 'Trasiego';</t>
  </si>
  <si>
    <t>INSERT INTO Movimiento (id_movimiento, fecha_hora, id_tipo_movimiento, observaciones) SELECT '938e57a4', '2025-08-19 09:04:23', id_tipo_movimiento, NULL FROM Tipo_movimiento WHERE nombre = 'Trasiego';</t>
  </si>
  <si>
    <t>INSERT INTO Movimiento (id_movimiento, fecha_hora, id_tipo_movimiento, observaciones) SELECT 'a0dbfe74', '2025-08-19 09:05:00', id_tipo_movimiento, NULL FROM Tipo_movimiento WHERE nombre = 'Trasiego';</t>
  </si>
  <si>
    <t>INSERT INTO Movimiento (id_movimiento, fecha_hora, id_tipo_movimiento, observaciones) SELECT 'ec22814a', '2025-08-19 09:07:24', id_tipo_movimiento, NULL FROM Tipo_movimiento WHERE nombre = 'Trasiego';</t>
  </si>
  <si>
    <t>-- 7. TABLA: Movimientos_Detalle</t>
  </si>
  <si>
    <t>INSERT INTO Movimientos_Detalle (id_movimiento, id_pileta_origen, id_lote_origen, volumen_origen_lts, id_pileta_destino, id_lote_destino, volumen_destino_lts) VALUES ('de764408', 2, '04b35bd0', 12500, 7, '348ea8a7', 12500);</t>
  </si>
  <si>
    <t>INSERT INTO Movimientos_Detalle (id_movimiento, id_pileta_origen, id_lote_origen, volumen_origen_lts, id_pileta_destino, id_lote_destino, volumen_destino_lts) VALUES ('6596058d', 3, '51d6bbdd', 14000, 7, '8c336568', 26500);</t>
  </si>
  <si>
    <t>INSERT INTO Movimientos_Detalle (id_movimiento, id_pileta_origen, id_lote_origen, volumen_origen_lts, id_pileta_destino, id_lote_destino, volumen_destino_lts) VALUES ('ea75ff40', 7, '8c336568', 26500, 5, 'a1c20159', 26500);</t>
  </si>
  <si>
    <t>INSERT INTO Movimientos_Detalle (id_movimiento, id_pileta_origen, id_lote_origen, volumen_origen_lts, id_pileta_destino, id_lote_destino, volumen_destino_lts) VALUES ('12e4e13b', 5, 'a1c20159', 26000, 79, 'c63f7bed', 26000);</t>
  </si>
  <si>
    <t>INSERT INTO Movimientos_Detalle (id_movimiento, id_pileta_origen, id_lote_origen, volumen_origen_lts, id_pileta_destino, id_lote_destino, volumen_destino_lts) VALUES ('14c84b1e', 6, '6cde19b3', 37750, 30, 'd13652cf', 37750);</t>
  </si>
  <si>
    <t>INSERT INTO Movimientos_Detalle (id_movimiento, id_pileta_origen, id_lote_origen, volumen_origen_lts, id_pileta_destino, id_lote_destino, volumen_destino_lts) VALUES ('db9bd61e', 6, '6cde19b3', 32000, 11, '58b123c6', 32000);</t>
  </si>
  <si>
    <t>INSERT INTO Movimientos_Detalle (id_movimiento, id_pileta_origen, id_lote_origen, volumen_origen_lts, id_pileta_destino, id_lote_destino, volumen_destino_lts) VALUES ('405705de', 5, 'a1c20159', 500, 11, '53f98d96', 32500);</t>
  </si>
  <si>
    <t>INSERT INTO Movimientos_Detalle (id_movimiento, id_pileta_origen, id_lote_origen, volumen_origen_lts, id_pileta_destino, id_lote_destino, volumen_destino_lts) VALUES ('345b4c91', 1, 'b27a5ea7', 50, 30, 'ce475c91', 37800);</t>
  </si>
  <si>
    <t>INSERT INTO Movimientos_Detalle (id_movimiento, id_pileta_origen, id_lote_origen, volumen_origen_lts, id_pileta_destino, id_lote_destino, volumen_destino_lts) VALUES ('cdf62189', 86, 'c76dfce1', 30000, 102, '0835b42b', 30000);</t>
  </si>
  <si>
    <t>INSERT INTO Movimientos_Detalle (id_movimiento, id_pileta_origen, id_lote_origen, volumen_origen_lts, id_pileta_destino, id_lote_destino, volumen_destino_lts) VALUES ('14a9777e', 84, '24b66da0', 15000, 103, '903e1ab8', 15000);</t>
  </si>
  <si>
    <t>INSERT INTO Movimientos_Detalle (id_movimiento, id_pileta_origen, id_lote_origen, volumen_origen_lts, id_pileta_destino, id_lote_destino, volumen_destino_lts) VALUES ('ee927519', 81, '5eb33d17', 8000, 86, '65eb8fac', 20000);</t>
  </si>
  <si>
    <t>INSERT INTO Movimientos_Detalle (id_movimiento, id_pileta_origen, id_lote_origen, volumen_origen_lts, id_pileta_destino, id_lote_destino, volumen_destino_lts) VALUES ('6f1c07ae', 82, '7c1795fa', 20000, 86, '13b5f72f', 40000);</t>
  </si>
  <si>
    <t>INSERT INTO Movimientos_Detalle (id_movimiento, id_pileta_origen, id_lote_origen, volumen_origen_lts, id_pileta_destino, id_lote_destino, volumen_destino_lts) VALUES ('662b2483', 65, '7366c02e', 15000, 84, '3c569c0a', 30000);</t>
  </si>
  <si>
    <t>INSERT INTO Movimientos_Detalle (id_movimiento, id_pileta_origen, id_lote_origen, volumen_origen_lts, id_pileta_destino, id_lote_destino, volumen_destino_lts) VALUES ('9f189d7d', 83, '0632409f', 25000, 104, 'd7af693c', 29000);</t>
  </si>
  <si>
    <t>INSERT INTO Movimientos_Detalle (id_movimiento, id_pileta_origen, id_lote_origen, volumen_origen_lts, id_pileta_destino, id_lote_destino, volumen_destino_lts) VALUES ('cfa35761', 83, '0632409f', 5000, 105, '1749cd27', 5000);</t>
  </si>
  <si>
    <t>INSERT INTO Movimientos_Detalle (id_movimiento, id_pileta_origen, id_lote_origen, volumen_origen_lts, id_pileta_destino, id_lote_destino, volumen_destino_lts) VALUES ('968706bd', 88, 'f6f9d651', 10000, 80, 'd6272af5', 22000);</t>
  </si>
  <si>
    <t>INSERT INTO Movimientos_Detalle (id_movimiento, id_pileta_origen, id_lote_origen, volumen_origen_lts, id_pileta_destino, id_lote_destino, volumen_destino_lts) VALUES ('8dbab148', 85, 'e323890c', 30000, 107, '0aa8c362', 30000);</t>
  </si>
  <si>
    <t>INSERT INTO Movimientos_Detalle (id_movimiento, id_pileta_origen, id_lote_origen, volumen_origen_lts, id_pileta_destino, id_lote_destino, volumen_destino_lts) VALUES ('7039bd57', 88, 'f6f9d651', 18000, 85, 'f8624f14', 28000);</t>
  </si>
  <si>
    <t>INSERT INTO Movimientos_Detalle (id_movimiento, id_pileta_origen, id_lote_origen, volumen_origen_lts, id_pileta_destino, id_lote_destino, volumen_destino_lts) VALUES ('22cfff5c', 86, '13b5f72f', 25000, 105, 'a43178d5', 30000);</t>
  </si>
  <si>
    <t>INSERT INTO Movimientos_Detalle (id_movimiento, id_pileta_origen, id_lote_origen, volumen_origen_lts, id_pileta_destino, id_lote_destino, volumen_destino_lts) VALUES ('1ee5f0af', 86, '13b5f72f', 7500, 108, 'a1ad6cb4', 7500);</t>
  </si>
  <si>
    <t>INSERT INTO Movimientos_Detalle (id_movimiento, id_pileta_origen, id_lote_origen, volumen_origen_lts, id_pileta_destino, id_lote_destino, volumen_destino_lts) VALUES ('9eab323a', 92, '977cb5a1', 39700, 86, '3b2a1e70', 47200);</t>
  </si>
  <si>
    <t>INSERT INTO Movimientos_Detalle (id_movimiento, id_pileta_origen, id_lote_origen, volumen_origen_lts, id_pileta_destino, id_lote_destino, volumen_destino_lts) VALUES ('57f7f4a6', 60, 'cff5f914', 8000, 59, 'fa54e834', 18000);</t>
  </si>
  <si>
    <t>INSERT INTO Movimientos_Detalle (id_movimiento, id_pileta_origen, id_lote_origen, volumen_origen_lts, id_pileta_destino, id_lote_destino, volumen_destino_lts) VALUES ('96b203c8', 60, 'cff5f914', 7000, 59, '24faf549', 25000);</t>
  </si>
  <si>
    <t>INSERT INTO Movimientos_Detalle (id_movimiento, id_pileta_origen, id_lote_origen, volumen_origen_lts, id_pileta_destino, id_lote_destino, volumen_destino_lts) VALUES ('a78ab6e7', 60, 'cff5f914', 10000, 59, '57a0fadf', 35000);</t>
  </si>
  <si>
    <t>INSERT INTO Movimientos_Detalle (id_movimiento, id_pileta_origen, id_lote_origen, volumen_origen_lts, id_pileta_destino, id_lote_destino, volumen_destino_lts) VALUES ('b92404cd', 60, 'cff5f914', 10000, 59, 'c980cfc2', 45000);</t>
  </si>
  <si>
    <t>INSERT INTO Movimientos_Detalle (id_movimiento, id_pileta_origen, id_lote_origen, volumen_origen_lts, id_pileta_destino, id_lote_destino, volumen_destino_lts) VALUES ('ee34047e', 59, '57a0fadf', 5000, 60, 'e2c70b60', 25000);</t>
  </si>
  <si>
    <t>INSERT INTO Movimientos_Detalle (id_movimiento, id_pileta_origen, id_lote_origen, volumen_origen_lts, id_pileta_destino, id_lote_destino, volumen_destino_lts) VALUES ('fe7eff9f', 59, '57a0fadf', 3000, 60, '5e86e265', 28000);</t>
  </si>
  <si>
    <t>INSERT INTO Movimientos_Detalle (id_movimiento, id_pileta_origen, id_lote_origen, volumen_origen_lts, id_pileta_destino, id_lote_destino, volumen_destino_lts) VALUES ('ec72ee89', 59, '57a0fadf', 1500, 60, 'c1d665de', 29500);</t>
  </si>
  <si>
    <t>INSERT INTO Movimientos_Detalle (id_movimiento, id_pileta_origen, id_lote_origen, volumen_origen_lts, id_pileta_destino, id_lote_destino, volumen_destino_lts) VALUES ('9e8d0f39', 15, 'b9e5067b', 20000, 400, 'eeeff983', 20000);</t>
  </si>
  <si>
    <t>INSERT INTO Movimientos_Detalle (id_movimiento, id_pileta_origen, id_lote_origen, volumen_origen_lts, id_pileta_destino, id_lote_destino, volumen_destino_lts) VALUES ('7b4bffff', 52, '26b37af9', 10000, 400, 'ae4bc1ac', 30000);</t>
  </si>
  <si>
    <t>INSERT INTO Movimientos_Detalle (id_movimiento, id_pileta_origen, id_lote_origen, volumen_origen_lts, id_pileta_destino, id_lote_destino, volumen_destino_lts) VALUES ('490375eb', 80, 'd6272af5', 15000, 103, 'a22cb4a2', 30000);</t>
  </si>
  <si>
    <t>INSERT INTO Movimientos_Detalle (id_movimiento, id_pileta_origen, id_lote_origen, volumen_origen_lts, id_pileta_destino, id_lote_destino, volumen_destino_lts) VALUES ('e1980736', 105, 'a43178d5', 16000, 400, '0b7fd98e', 46000);</t>
  </si>
  <si>
    <t>INSERT INTO Movimientos_Detalle (id_movimiento, id_pileta_origen, id_lote_origen, volumen_origen_lts, id_pileta_destino, id_lote_destino, volumen_destino_lts) VALUES ('2d753a75', 84, '3c569c0a', 16000, 105, '7ad5b1b2', 30000);</t>
  </si>
  <si>
    <t>INSERT INTO Movimientos_Detalle (id_movimiento, id_pileta_origen, id_lote_origen, volumen_origen_lts, id_pileta_destino, id_lote_destino, volumen_destino_lts) VALUES ('da96250f', 84, '3c569c0a', 11000, 106, '00bdd4ad', 11000);</t>
  </si>
  <si>
    <t>INSERT INTO Movimientos_Detalle (id_movimiento, id_pileta_origen, id_lote_origen, volumen_origen_lts, id_pileta_destino, id_lote_destino, volumen_destino_lts) VALUES ('c98d4615', 89, 'e3903041', 36000, 84, '7082548e', 39000);</t>
  </si>
  <si>
    <t>INSERT INTO Movimientos_Detalle (id_movimiento, id_pileta_origen, id_lote_origen, volumen_origen_lts, id_pileta_destino, id_lote_destino, volumen_destino_lts) VALUES ('277c1553', 80, 'd6272af5', 4000, 109, '9776a719', 4000);</t>
  </si>
  <si>
    <t>INSERT INTO Movimientos_Detalle (id_movimiento, id_pileta_origen, id_lote_origen, volumen_origen_lts, id_pileta_destino, id_lote_destino, volumen_destino_lts) VALUES ('150bb873', 85, 'f8624f14', 20000, 109, 'd6ff9a07', 24000);</t>
  </si>
  <si>
    <t>INSERT INTO Movimientos_Detalle (id_movimiento, id_pileta_origen, id_lote_origen, volumen_origen_lts, id_pileta_destino, id_lote_destino, volumen_destino_lts) VALUES ('828ab6d5', 85, 'f8624f14', 3000, 110, '8c09a554', 3000);</t>
  </si>
  <si>
    <t>INSERT INTO Movimientos_Detalle (id_movimiento, id_pileta_origen, id_lote_origen, volumen_origen_lts, id_pileta_destino, id_lote_destino, volumen_destino_lts) VALUES ('7463f544', 83, 'd177809a', 10000, 80, '7525cd32', 13000);</t>
  </si>
  <si>
    <t>INSERT INTO Movimientos_Detalle (id_movimiento, id_pileta_origen, id_lote_origen, volumen_origen_lts, id_pileta_destino, id_lote_destino, volumen_destino_lts) VALUES ('01f1dc38', 83, 'd177809a', 25800, 85, '245cd9d6', 30800);</t>
  </si>
  <si>
    <t>INSERT INTO Movimientos_Detalle (id_movimiento, id_pileta_origen, id_lote_origen, volumen_origen_lts, id_pileta_destino, id_lote_destino, volumen_destino_lts) VALUES ('43efe779', 109, 'd6ff9a07', 10000, 110, '13d1574d', 13000);</t>
  </si>
  <si>
    <t>INSERT INTO Movimientos_Detalle (id_movimiento, id_pileta_origen, id_lote_origen, volumen_origen_lts, id_pileta_destino, id_lote_destino, volumen_destino_lts) VALUES ('41500743', 11, '5008e5a3', 4700, 88, '9adbf19e', 42100);</t>
  </si>
  <si>
    <t>INSERT INTO Movimientos_Detalle (id_movimiento, id_pileta_origen, id_lote_origen, volumen_origen_lts, id_pileta_destino, id_lote_destino, volumen_destino_lts) VALUES ('516d898a', 86, '3b2a1e70', 36000, 15, 'bf5594db', 36000);</t>
  </si>
  <si>
    <t>INSERT INTO Movimientos_Detalle (id_movimiento, id_pileta_origen, id_lote_origen, volumen_origen_lts, id_pileta_destino, id_lote_destino, volumen_destino_lts) VALUES ('d15b7359', 86, '3b2a1e70', 5000, 34, 'fea4a82d', 5000);</t>
  </si>
  <si>
    <t>INSERT INTO Movimientos_Detalle (id_movimiento, id_pileta_origen, id_lote_origen, volumen_origen_lts, id_pileta_destino, id_lote_destino, volumen_destino_lts) VALUES ('c02698f9', 85, '245cd9d6', 25000, 34, '61098b0e', 30000);</t>
  </si>
  <si>
    <t>INSERT INTO Movimientos_Detalle (id_movimiento, id_pileta_origen, id_lote_origen, volumen_origen_lts, id_pileta_destino, id_lote_destino, volumen_destino_lts) VALUES ('d7db7220', 88, '9adbf19e', 42100, 86, 'ce659e77', 48300);</t>
  </si>
  <si>
    <t>INSERT INTO Movimientos_Detalle (id_movimiento, id_pileta_origen, id_lote_origen, volumen_origen_lts, id_pileta_destino, id_lote_destino, volumen_destino_lts) VALUES ('3bd69807', 92, '3e5c0749', 35900, 85, '5f87c3d5', 41700);</t>
  </si>
  <si>
    <t>INSERT INTO Movimientos_Detalle (id_movimiento, id_pileta_origen, id_lote_origen, volumen_origen_lts, id_pileta_destino, id_lote_destino, volumen_destino_lts) VALUES ('5c36256b', 11, '5008e5a3', 6000, 87, '6c3c93fd', 44200);</t>
  </si>
  <si>
    <t>INSERT INTO Movimientos_Detalle (id_movimiento, id_pileta_origen, id_lote_origen, volumen_origen_lts, id_pileta_destino, id_lote_destino, volumen_destino_lts) VALUES ('2957daf0', 11, '5008e5a3', 4000, 65, '15e7b86f', 24500);</t>
  </si>
  <si>
    <t>INSERT INTO Movimientos_Detalle (id_movimiento, id_pileta_origen, id_lote_origen, volumen_origen_lts, id_pileta_destino, id_lote_destino, volumen_destino_lts) VALUES ('c6944202', 11, '5008e5a3', 8000, 83, '6c349523', 53000);</t>
  </si>
  <si>
    <t>INSERT INTO Movimientos_Detalle (id_movimiento, id_pileta_origen, id_lote_origen, volumen_origen_lts, id_pileta_destino, id_lote_destino, volumen_destino_lts) VALUES ('c86ba992', 150, 'd53930ff', 2000, 84, '994b8afe', 41000);</t>
  </si>
  <si>
    <t>INSERT INTO Movimientos_Detalle (id_movimiento, id_pileta_origen, id_lote_origen, volumen_origen_lts, id_pileta_destino, id_lote_destino, volumen_destino_lts) VALUES ('e0151fea', 16, '27abb7ee', 2000, 68, '702b9808', 10000);</t>
  </si>
  <si>
    <t>INSERT INTO Movimientos_Detalle (id_movimiento, id_pileta_origen, id_lote_origen, volumen_origen_lts, id_pileta_destino, id_lote_destino, volumen_destino_lts) VALUES ('85bf8a32', 86, 'ce659e77', 48300, 121, '58c72f6a', 48300);</t>
  </si>
  <si>
    <t>INSERT INTO Movimientos_Detalle (id_movimiento, id_pileta_origen, id_lote_origen, volumen_origen_lts, id_pileta_destino, id_lote_destino, volumen_destino_lts) VALUES ('76b1f67d', 110, '13d1574d', 5000, 500, 'a18d2b54', 5000);</t>
  </si>
  <si>
    <t>INSERT INTO Movimientos_Detalle (id_movimiento, id_pileta_origen, id_lote_origen, volumen_origen_lts, id_pileta_destino, id_lote_destino, volumen_destino_lts) VALUES ('9ac6d73d', 85, '5f87c3d5', 9500, 34, 'f41ecbda', 39500);</t>
  </si>
  <si>
    <t>INSERT INTO Movimientos_Detalle (id_movimiento, id_pileta_origen, id_lote_origen, volumen_origen_lts, id_pileta_destino, id_lote_destino, volumen_destino_lts) VALUES ('1eb58a27', 85, '5f87c3d5', 6000, 110, '963fbbab', 14000);</t>
  </si>
  <si>
    <t>INSERT INTO Movimientos_Detalle (id_movimiento, id_pileta_origen, id_lote_origen, volumen_origen_lts, id_pileta_destino, id_lote_destino, volumen_destino_lts) VALUES ('f06d5126', 85, '5f87c3d5', 26200, 121, 'f90482a4', 85800);</t>
  </si>
  <si>
    <t>INSERT INTO Movimientos_Detalle (id_movimiento, id_pileta_origen, id_lote_origen, volumen_origen_lts, id_pileta_destino, id_lote_destino, volumen_destino_lts) VALUES ('68cd71e8', 150, 'd53930ff', 3000, 87, 'a62e4289', 47200);</t>
  </si>
  <si>
    <t>INSERT INTO Movimientos_Detalle (id_movimiento, id_pileta_origen, id_lote_origen, volumen_origen_lts, id_pileta_destino, id_lote_destino, volumen_destino_lts) VALUES ('cc0f71ad', 82, 'c3f4cae7', 1000, 77, '94493a7b', 26000);</t>
  </si>
  <si>
    <t>INSERT INTO Movimientos_Detalle (id_movimiento, id_pileta_origen, id_lote_origen, volumen_origen_lts, id_pileta_destino, id_lote_destino, volumen_destino_lts) VALUES ('0c3c4109', 82, 'c3f4cae7', 1800, 78, '9f119881', 25800);</t>
  </si>
  <si>
    <t>INSERT INTO Movimientos_Detalle (id_movimiento, id_pileta_origen, id_lote_origen, volumen_origen_lts, id_pileta_destino, id_lote_destino, volumen_destino_lts) VALUES ('e22d3e22', 82, 'c3f4cae7', 2000, 79, 'e5b434bb', 26000);</t>
  </si>
  <si>
    <t>INSERT INTO Movimientos_Detalle (id_movimiento, id_pileta_origen, id_lote_origen, volumen_origen_lts, id_pileta_destino, id_lote_destino, volumen_destino_lts) VALUES ('c649af19', 82, 'c3f4cae7', 2500, 81, '1f033edd', 26500);</t>
  </si>
  <si>
    <t>INSERT INTO Movimientos_Detalle (id_movimiento, id_pileta_origen, id_lote_origen, volumen_origen_lts, id_pileta_destino, id_lote_destino, volumen_destino_lts) VALUES ('f19b3624', 82, 'c3f4cae7', 20700, 10, 'f9bf68a3', 20700);</t>
  </si>
  <si>
    <t>INSERT INTO Movimientos_Detalle (id_movimiento, id_pileta_origen, id_lote_origen, volumen_origen_lts, id_pileta_destino, id_lote_destino, volumen_destino_lts) VALUES ('a9f9a0bf', 69, '99fabf46', 1500, 89, '5d46dc83', 40500);</t>
  </si>
  <si>
    <t>INSERT INTO Movimientos_Detalle (id_movimiento, id_pileta_origen, id_lote_origen, volumen_origen_lts, id_pileta_destino, id_lote_destino, volumen_destino_lts) VALUES ('856d152a', 80, '7525cd32', 2000, 110, 'd8ebe8ad', 16000);</t>
  </si>
  <si>
    <t>INSERT INTO Movimientos_Detalle (id_movimiento, id_pileta_origen, id_lote_origen, volumen_origen_lts, id_pileta_destino, id_lote_destino, volumen_destino_lts) VALUES ('ba7c9884', 80, '7525cd32', 11000, 11, '40c05149', 11000);</t>
  </si>
  <si>
    <t>INSERT INTO Movimientos_Detalle (id_movimiento, id_pileta_origen, id_lote_origen, volumen_origen_lts, id_pileta_destino, id_lote_destino, volumen_destino_lts) VALUES ('0b7480e0', 84, '994b8afe', 25000, 11, '9c695ba3', 36000);</t>
  </si>
  <si>
    <t>INSERT INTO Movimientos_Detalle (id_movimiento, id_pileta_origen, id_lote_origen, volumen_origen_lts, id_pileta_destino, id_lote_destino, volumen_destino_lts) VALUES ('5376b536', 84, '994b8afe', 37000, 14, '21a02bb8', 37000);</t>
  </si>
  <si>
    <t>INSERT INTO Movimientos_Detalle (id_movimiento, id_pileta_origen, id_lote_origen, volumen_origen_lts, id_pileta_destino, id_lote_destino, volumen_destino_lts) VALUES ('d699073e', 84, '994b8afe', 10000, 53, '577b30d8', 10000);</t>
  </si>
  <si>
    <t>INSERT INTO Movimientos_Detalle (id_movimiento, id_pileta_origen, id_lote_origen, volumen_origen_lts, id_pileta_destino, id_lote_destino, volumen_destino_lts) VALUES ('039b3a15', 16, '27abb7ee', 9500, 88, '4bf00cf0', 49500);</t>
  </si>
  <si>
    <t>INSERT INTO Movimientos_Detalle (id_movimiento, id_pileta_origen, id_lote_origen, volumen_origen_lts, id_pileta_destino, id_lote_destino, volumen_destino_lts) VALUES ('268d8d70', 118, '4368dec6', 59700, 24, '5dbffbd0', 155600);</t>
  </si>
  <si>
    <t>INSERT INTO Movimientos_Detalle (id_movimiento, id_pileta_origen, id_lote_origen, volumen_origen_lts, id_pileta_destino, id_lote_destino, volumen_destino_lts) VALUES ('7011477f', 118, '4368dec6', 62100, 25, '6d7a380a', 62100);</t>
  </si>
  <si>
    <t>INSERT INTO Movimientos_Detalle (id_movimiento, id_pileta_origen, id_lote_origen, volumen_origen_lts, id_pileta_destino, id_lote_destino, volumen_destino_lts) VALUES ('0779902a', 118, '4368dec6', 24600, 95, '58ded1ae', 24600);</t>
  </si>
  <si>
    <t>INSERT INTO Movimientos_Detalle (id_movimiento, id_pileta_origen, id_lote_origen, volumen_origen_lts, id_pileta_destino, id_lote_destino, volumen_destino_lts) VALUES ('6b47fc79', 118, '4368dec6', 9200, 96, '0effecea', 9200);</t>
  </si>
  <si>
    <t>INSERT INTO Movimientos_Detalle (id_movimiento, id_pileta_origen, id_lote_origen, volumen_origen_lts, id_pileta_destino, id_lote_destino, volumen_destino_lts) VALUES ('b64c6496', 16, '27abb7ee', 8000, 89, '3a5e04a4', 48500);</t>
  </si>
  <si>
    <t>INSERT INTO Movimientos_Detalle (id_movimiento, id_pileta_origen, id_lote_origen, volumen_origen_lts, id_pileta_destino, id_lote_destino, volumen_destino_lts) VALUES ('42091a69', 114, 'b502a55e', 11200, 931, 'abbbaccc', 11200);</t>
  </si>
  <si>
    <t>INSERT INTO Movimientos_Detalle (id_movimiento, id_pileta_origen, id_lote_origen, volumen_origen_lts, id_pileta_destino, id_lote_destino, volumen_destino_lts) VALUES ('d8aa6864', 114, 'b502a55e', 41000, 24, '44d88f23', 100700);</t>
  </si>
  <si>
    <t>INSERT INTO Movimientos_Detalle (id_movimiento, id_pileta_origen, id_lote_origen, volumen_origen_lts, id_pileta_destino, id_lote_destino, volumen_destino_lts) VALUES ('8bdbe45e', 114, 'b502a55e', 42700, 25, 'c4743b1b', 104800);</t>
  </si>
  <si>
    <t>INSERT INTO Movimientos_Detalle (id_movimiento, id_pileta_origen, id_lote_origen, volumen_origen_lts, id_pileta_destino, id_lote_destino, volumen_destino_lts) VALUES ('4ea00640', 114, 'b502a55e', 17000, 95, '3bd6f9bf', 41600);</t>
  </si>
  <si>
    <t>INSERT INTO Movimientos_Detalle (id_movimiento, id_pileta_origen, id_lote_origen, volumen_origen_lts, id_pileta_destino, id_lote_destino, volumen_destino_lts) VALUES ('32dd6da9', 114, 'b502a55e', 13400, 96, '0799e5db', 22600);</t>
  </si>
  <si>
    <t>INSERT INTO Movimientos_Detalle (id_movimiento, id_pileta_origen, id_lote_origen, volumen_origen_lts, id_pileta_destino, id_lote_destino, volumen_destino_lts) VALUES ('fc23046e', 150, 'd53930ff', 1000, 68, 'af88e380', 11000);</t>
  </si>
  <si>
    <t>INSERT INTO Movimientos_Detalle (id_movimiento, id_pileta_origen, id_lote_origen, volumen_origen_lts, id_pileta_destino, id_lote_destino, volumen_destino_lts) VALUES ('c2c37144', 47, '665bbad3', 1000, 69, '9c317849', 8600);</t>
  </si>
  <si>
    <t>INSERT INTO Movimientos_Detalle (id_movimiento, id_pileta_origen, id_lote_origen, volumen_origen_lts, id_pileta_destino, id_lote_destino, volumen_destino_lts) VALUES ('234faefd', 47, '665bbad3', 4000, 92, 'c85d74dc', 44700);</t>
  </si>
  <si>
    <t>INSERT INTO Movimientos_Detalle (id_movimiento, id_pileta_origen, id_lote_origen, volumen_origen_lts, id_pileta_destino, id_lote_destino, volumen_destino_lts) VALUES ('3d37857c', 47, '665bbad3', 2000, 66, '4d28a747', 17000);</t>
  </si>
  <si>
    <t>INSERT INTO Movimientos_Detalle (id_movimiento, id_pileta_origen, id_lote_origen, volumen_origen_lts, id_pileta_destino, id_lote_destino, volumen_destino_lts) VALUES ('047c2d7c', 35, '91f934c1', 15000, 24, '915299ff', 115700);</t>
  </si>
  <si>
    <t>INSERT INTO Movimientos_Detalle (id_movimiento, id_pileta_origen, id_lote_origen, volumen_origen_lts, id_pileta_destino, id_lote_destino, volumen_destino_lts) VALUES ('c142ff82', 35, '91f934c1', 15500, 25, '0700b55d', 120300);</t>
  </si>
  <si>
    <t>INSERT INTO Movimientos_Detalle (id_movimiento, id_pileta_origen, id_lote_origen, volumen_origen_lts, id_pileta_destino, id_lote_destino, volumen_destino_lts) VALUES ('a2ec88ae', 35, '91f934c1', 6200, 95, 'df446c40', 47800);</t>
  </si>
  <si>
    <t>INSERT INTO Movimientos_Detalle (id_movimiento, id_pileta_origen, id_lote_origen, volumen_origen_lts, id_pileta_destino, id_lote_destino, volumen_destino_lts) VALUES ('a390f916', 35, '91f934c1', 2600, 96, '61e7a661', 25200);</t>
  </si>
  <si>
    <t>INSERT INTO Movimientos_Detalle (id_movimiento, id_pileta_origen, id_lote_origen, volumen_origen_lts, id_pileta_destino, id_lote_destino, volumen_destino_lts) VALUES ('2d51a36a', 102, '0835b42b', 2700, 95, '83cb5e85', 50500);</t>
  </si>
  <si>
    <t>INSERT INTO Movimientos_Detalle (id_movimiento, id_pileta_origen, id_lote_origen, volumen_origen_lts, id_pileta_destino, id_lote_destino, volumen_destino_lts) VALUES ('723d4d28', 102, '0835b42b', 1100, 96, '9c2bc1c1', 26300);</t>
  </si>
  <si>
    <t>INSERT INTO Movimientos_Detalle (id_movimiento, id_pileta_origen, id_lote_origen, volumen_origen_lts, id_pileta_destino, id_lote_destino, volumen_destino_lts) VALUES ('222dbe9a', 102, '0835b42b', 6500, 24, '66440ff8', 122200);</t>
  </si>
  <si>
    <t>INSERT INTO Movimientos_Detalle (id_movimiento, id_pileta_origen, id_lote_origen, volumen_origen_lts, id_pileta_destino, id_lote_destino, volumen_destino_lts) VALUES ('81e90a51', 102, '0835b42b', 6800, 25, 'c883c10a', 127100);</t>
  </si>
  <si>
    <t>INSERT INTO Movimientos_Detalle (id_movimiento, id_pileta_origen, id_lote_origen, volumen_origen_lts, id_pileta_destino, id_lote_destino, volumen_destino_lts) VALUES ('6e74d342', 90, '904bbb40', 37100, 24, '8a8f8909', 159300);</t>
  </si>
  <si>
    <t>INSERT INTO Movimientos_Detalle (id_movimiento, id_pileta_origen, id_lote_origen, volumen_origen_lts, id_pileta_destino, id_lote_destino, volumen_destino_lts) VALUES ('4221e61a', 90, '904bbb40', 38600, 25, 'a826dd70', 165700);</t>
  </si>
  <si>
    <t>INSERT INTO Movimientos_Detalle (id_movimiento, id_pileta_origen, id_lote_origen, volumen_origen_lts, id_pileta_destino, id_lote_destino, volumen_destino_lts) VALUES ('fd5743ab', 90, '904bbb40', 15000, 95, '0b1b410b', 65500);</t>
  </si>
  <si>
    <t>INSERT INTO Movimientos_Detalle (id_movimiento, id_pileta_origen, id_lote_origen, volumen_origen_lts, id_pileta_destino, id_lote_destino, volumen_destino_lts) VALUES ('707a6f97', 90, '904bbb40', 6800, 96, 'cdd54045', 33100);</t>
  </si>
  <si>
    <t>INSERT INTO Movimientos_Detalle (id_movimiento, id_pileta_origen, id_lote_origen, volumen_origen_lts, id_pileta_destino, id_lote_destino, volumen_destino_lts) VALUES ('af0ffa93', 67, 'fe114136', 3600, 95, '69fc871f', 69100);</t>
  </si>
  <si>
    <t>INSERT INTO Movimientos_Detalle (id_movimiento, id_pileta_origen, id_lote_origen, volumen_origen_lts, id_pileta_destino, id_lote_destino, volumen_destino_lts) VALUES ('9804f7ca', 67, 'fe114136', 8700, 24, '212851d2', 168000);</t>
  </si>
  <si>
    <t>INSERT INTO Movimientos_Detalle (id_movimiento, id_pileta_origen, id_lote_origen, volumen_origen_lts, id_pileta_destino, id_lote_destino, volumen_destino_lts) VALUES ('b30d4fdf', 67, 'fe114136', 9100, 25, '6ccc7bc6', 174800);</t>
  </si>
  <si>
    <t>INSERT INTO Movimientos_Detalle (id_movimiento, id_pileta_origen, id_lote_origen, volumen_origen_lts, id_pileta_destino, id_lote_destino, volumen_destino_lts) VALUES ('0b8dfe7e', 67, 'fe114136', 1600, 96, 'c50c5100', 34700);</t>
  </si>
  <si>
    <t>INSERT INTO Movimientos_Detalle (id_movimiento, id_pileta_origen, id_lote_origen, volumen_origen_lts, id_pileta_destino, id_lote_destino, volumen_destino_lts) VALUES ('e6d010c5', 79, 'e5b434bb', 26000, 5, '78ca3339', 26000);</t>
  </si>
  <si>
    <t>INSERT INTO Movimientos_Detalle (id_movimiento, id_pileta_origen, id_lote_origen, volumen_origen_lts, id_pileta_destino, id_lote_destino, volumen_destino_lts) VALUES ('7f5134a8', 77, '94493a7b', 4000, 5, '593f826f', 30000);</t>
  </si>
  <si>
    <t>INSERT INTO Movimientos_Detalle (id_movimiento, id_pileta_origen, id_lote_origen, volumen_origen_lts, id_pileta_destino, id_lote_destino, volumen_destino_lts) VALUES ('cf666ee7', 77, '94493a7b', 22000, 8, '376dbee6', 22000);</t>
  </si>
  <si>
    <t>INSERT INTO Movimientos_Detalle (id_movimiento, id_pileta_origen, id_lote_origen, volumen_origen_lts, id_pileta_destino, id_lote_destino, volumen_destino_lts) VALUES ('42fe26ec', 42, '73b50dc4', 13600, 24, '8782f51d', 181600);</t>
  </si>
  <si>
    <t>INSERT INTO Movimientos_Detalle (id_movimiento, id_pileta_origen, id_lote_origen, volumen_origen_lts, id_pileta_destino, id_lote_destino, volumen_destino_lts) VALUES ('07b798ca', 42, '73b50dc4', 14100, 25, '481ac202', 188900);</t>
  </si>
  <si>
    <t>INSERT INTO Movimientos_Detalle (id_movimiento, id_pileta_origen, id_lote_origen, volumen_origen_lts, id_pileta_destino, id_lote_destino, volumen_destino_lts) VALUES ('84b16607', 42, '73b50dc4', 5600, 95, '1953afee', 74700);</t>
  </si>
  <si>
    <t>INSERT INTO Movimientos_Detalle (id_movimiento, id_pileta_origen, id_lote_origen, volumen_origen_lts, id_pileta_destino, id_lote_destino, volumen_destino_lts) VALUES ('f5883372', 42, '73b50dc4', 2600, 96, '6a79f2ba', 37300);</t>
  </si>
  <si>
    <t>INSERT INTO Movimientos_Detalle (id_movimiento, id_pileta_origen, id_lote_origen, volumen_origen_lts, id_pileta_destino, id_lote_destino, volumen_destino_lts) VALUES ('1c54f750', 94, 'b336cfcb', 5000, 24, '8e7dc827', 186600);</t>
  </si>
  <si>
    <t>INSERT INTO Movimientos_Detalle (id_movimiento, id_pileta_origen, id_lote_origen, volumen_origen_lts, id_pileta_destino, id_lote_destino, volumen_destino_lts) VALUES ('53814939', 94, 'b336cfcb', 5400, 25, 'd65723e9', 194300);</t>
  </si>
  <si>
    <t>INSERT INTO Movimientos_Detalle (id_movimiento, id_pileta_origen, id_lote_origen, volumen_origen_lts, id_pileta_destino, id_lote_destino, volumen_destino_lts) VALUES ('3702b720', 94, 'b336cfcb', 2400, 95, '7b5d098a', 77100);</t>
  </si>
  <si>
    <t>INSERT INTO Movimientos_Detalle (id_movimiento, id_pileta_origen, id_lote_origen, volumen_origen_lts, id_pileta_destino, id_lote_destino, volumen_destino_lts) VALUES ('d2f7e5f3', 94, 'b336cfcb', 1500, 96, 'f76c3497', 38800);</t>
  </si>
  <si>
    <t>INSERT INTO Movimientos_Detalle (id_movimiento, id_pileta_origen, id_lote_origen, volumen_origen_lts, id_pileta_destino, id_lote_destino, volumen_destino_lts) VALUES ('4c085647', 78, '9f119881', 25800, 9, '6352eea8', 25800);</t>
  </si>
  <si>
    <t>INSERT INTO Movimientos_Detalle (id_movimiento, id_pileta_origen, id_lote_origen, volumen_origen_lts, id_pileta_destino, id_lote_destino, volumen_destino_lts) VALUES ('dc3a18e6', 81, '1f033edd', 4200, 9, 'b73d8cd1', 30000);</t>
  </si>
  <si>
    <t>INSERT INTO Movimientos_Detalle (id_movimiento, id_pileta_origen, id_lote_origen, volumen_origen_lts, id_pileta_destino, id_lote_destino, volumen_destino_lts) VALUES ('54b00730', 81, '1f033edd', 19500, 16, 'b5e03e7f', 19500);</t>
  </si>
  <si>
    <t>INSERT INTO Movimientos_Detalle (id_movimiento, id_pileta_origen, id_lote_origen, volumen_origen_lts, id_pileta_destino, id_lote_destino, volumen_destino_lts) VALUES ('de983fea', 47, '665bbad3', 5300, 84, '76f1abe4', 49600);</t>
  </si>
  <si>
    <t>INSERT INTO Movimientos_Detalle (id_movimiento, id_pileta_origen, id_lote_origen, volumen_origen_lts, id_pileta_destino, id_lote_destino, volumen_destino_lts) VALUES ('0929ea78', 47, '665bbad3', 2000, 82, '4a9a65d1', 17000);</t>
  </si>
  <si>
    <t>INSERT INTO Movimientos_Detalle (id_movimiento, id_pileta_origen, id_lote_origen, volumen_origen_lts, id_pileta_destino, id_lote_destino, volumen_destino_lts) VALUES ('7d00c4a9', 51, 'b9edcc33', 2500, 500, '41324315', 2500);</t>
  </si>
  <si>
    <t>INSERT INTO Movimientos_Detalle (id_movimiento, id_pileta_origen, id_lote_origen, volumen_origen_lts, id_pileta_destino, id_lote_destino, volumen_destino_lts) VALUES ('5491046b', 52, '26b37af9', 14000, 500, 'f6596c23', 26500);</t>
  </si>
  <si>
    <t>INSERT INTO Movimientos_Detalle (id_movimiento, id_pileta_origen, id_lote_origen, volumen_origen_lts, id_pileta_destino, id_lote_destino, volumen_destino_lts) VALUES ('b1dca1fb', 53, '577b30d8', 6000, 500, '59e7d158', 32500);</t>
  </si>
  <si>
    <t>INSERT INTO Movimientos_Detalle (id_movimiento, id_pileta_origen, id_lote_origen, volumen_origen_lts, id_pileta_destino, id_lote_destino, volumen_destino_lts) VALUES ('eb4e7714', 65, '15e7b86f', 4500, 500, '219129bc', 37000);</t>
  </si>
  <si>
    <t>INSERT INTO Movimientos_Detalle (id_movimiento, id_pileta_origen, id_lote_origen, volumen_origen_lts, id_pileta_destino, id_lote_destino, volumen_destino_lts) VALUES ('afa99dc2', 96, 'f76c3497', 8800, 500, 'c286df65', 45800);</t>
  </si>
  <si>
    <t>INSERT INTO Movimientos_Detalle (id_movimiento, id_pileta_origen, id_lote_origen, volumen_origen_lts, id_pileta_destino, id_lote_destino, volumen_destino_lts) VALUES ('9add0c3a', 500, '0a4970f2', 22500, 108, 'ba3f8a31', 30000);</t>
  </si>
  <si>
    <t>INSERT INTO Movimientos_Detalle (id_movimiento, id_pileta_origen, id_lote_origen, volumen_origen_lts, id_pileta_destino, id_lote_destino, volumen_destino_lts) VALUES ('e2f2138e', 500, '0a4970f2', 1000, 104, '83599ef4', 30000);</t>
  </si>
  <si>
    <t>INSERT INTO Movimientos_Detalle (id_movimiento, id_pileta_origen, id_lote_origen, volumen_origen_lts, id_pileta_destino, id_lote_destino, volumen_destino_lts) VALUES ('83dd72f2', 500, '0a4970f2', 1000, 109, 'd83c9a57', 15000);</t>
  </si>
  <si>
    <t>INSERT INTO Movimientos_Detalle (id_movimiento, id_pileta_origen, id_lote_origen, volumen_origen_lts, id_pileta_destino, id_lote_destino, volumen_destino_lts) VALUES ('0c1fbd44', 110, 'd8ebe8ad', 600, 500, 'dc3d5a11', -23899);</t>
  </si>
  <si>
    <t>INSERT INTO Movimientos_Detalle (id_movimiento, id_pileta_origen, id_lote_origen, volumen_origen_lts, id_pileta_destino, id_lote_destino, volumen_destino_lts) VALUES ('048878eb', 102, '0835b42b', 12900, 35, 'b5300557', 12900);</t>
  </si>
  <si>
    <t>INSERT INTO Movimientos_Detalle (id_movimiento, id_pileta_origen, id_lote_origen, volumen_origen_lts, id_pileta_destino, id_lote_destino, volumen_destino_lts) VALUES ('0bfe0668', 103, 'a22cb4a2', 26400, 35, 'e954d719', 39300);</t>
  </si>
  <si>
    <t>INSERT INTO Movimientos_Detalle (id_movimiento, id_pileta_origen, id_lote_origen, volumen_origen_lts, id_pileta_destino, id_lote_destino, volumen_destino_lts) VALUES ('99e3e9d0', 103, 'a22cb4a2', 3600, 42, '56f7ac6d', 3600);</t>
  </si>
  <si>
    <t>INSERT INTO Movimientos_Detalle (id_movimiento, id_pileta_origen, id_lote_origen, volumen_origen_lts, id_pileta_destino, id_lote_destino, volumen_destino_lts) VALUES ('d32a641a', 107, '0aa8c362', 30000, 42, 'df4789cf', 33600);</t>
  </si>
  <si>
    <t>INSERT INTO Movimientos_Detalle (id_movimiento, id_pileta_origen, id_lote_origen, volumen_origen_lts, id_pileta_destino, id_lote_destino, volumen_destino_lts) VALUES ('8831c9f9', 52, '26b37af9', 3000, 80, 'c210f1aa', 16000);</t>
  </si>
  <si>
    <t>INSERT INTO Movimientos_Detalle (id_movimiento, id_pileta_origen, id_lote_origen, volumen_origen_lts, id_pileta_destino, id_lote_destino, volumen_destino_lts) VALUES ('74bfc57b', 42, 'df4789cf', 16600, 500, '397cd7e0', -7299);</t>
  </si>
  <si>
    <t>INSERT INTO Movimientos_Detalle (id_movimiento, id_pileta_origen, id_lote_origen, volumen_origen_lts, id_pileta_destino, id_lote_destino, volumen_destino_lts) VALUES ('58a28f74', 81, '1f033edd', 2800, 500, 'e37067e3', -4499);</t>
  </si>
  <si>
    <t>INSERT INTO Movimientos_Detalle (id_movimiento, id_pileta_origen, id_lote_origen, volumen_origen_lts, id_pileta_destino, id_lote_destino, volumen_destino_lts) VALUES ('84e7b372', 65, '15e7b86f', 15900, 42, 'fdf22389', 32900);</t>
  </si>
  <si>
    <t>INSERT INTO Movimientos_Detalle (id_movimiento, id_pileta_origen, id_lote_origen, volumen_origen_lts, id_pileta_destino, id_lote_destino, volumen_destino_lts) VALUES ('d58cdf25', 83, '6c349523', 20000, 65, '844a05ee', 24100);</t>
  </si>
  <si>
    <t>INSERT INTO Movimientos_Detalle (id_movimiento, id_pileta_origen, id_lote_origen, volumen_origen_lts, id_pileta_destino, id_lote_destino, volumen_destino_lts) VALUES ('98eb2e17', 150, 'd53930ff', 2000, 66, '87ba9e1b', 19000);</t>
  </si>
  <si>
    <t>INSERT INTO Movimientos_Detalle (id_movimiento, id_pileta_origen, id_lote_origen, volumen_origen_lts, id_pileta_destino, id_lote_destino, volumen_destino_lts) VALUES ('bf412715', 150, 'd53930ff', 2000, 82, 'e2c3632b', 19000);</t>
  </si>
  <si>
    <t>INSERT INTO Movimientos_Detalle (id_movimiento, id_pileta_origen, id_lote_origen, volumen_origen_lts, id_pileta_destino, id_lote_destino, volumen_destino_lts) VALUES ('7431dfd2', 150, 'd53930ff', 2000, 84, '22dd4d8c', 27300);</t>
  </si>
  <si>
    <t>INSERT INTO Movimientos_Detalle (id_movimiento, id_pileta_origen, id_lote_origen, volumen_origen_lts, id_pileta_destino, id_lote_destino, volumen_destino_lts) VALUES ('6558a8c3', 96, 'f76c3497', 30000, 102, '4197a6b3', 30000);</t>
  </si>
  <si>
    <t>INSERT INTO Movimientos_Detalle (id_movimiento, id_pileta_origen, id_lote_origen, volumen_origen_lts, id_pileta_destino, id_lote_destino, volumen_destino_lts) VALUES ('40da80f7', 83, '6c349523', 18000, 53, '5433281e', 22000);</t>
  </si>
  <si>
    <t>INSERT INTO Movimientos_Detalle (id_movimiento, id_pileta_origen, id_lote_origen, volumen_origen_lts, id_pileta_destino, id_lote_destino, volumen_destino_lts) VALUES ('50413875', 83, '6c349523', 15000, 52, 'fa937d00', 15000);</t>
  </si>
  <si>
    <t>INSERT INTO Movimientos_Detalle (id_movimiento, id_pileta_origen, id_lote_origen, volumen_origen_lts, id_pileta_destino, id_lote_destino, volumen_destino_lts) VALUES ('a434d241', 47, '665bbad3', 1350, 78, 'aecdf448', 11350);</t>
  </si>
  <si>
    <t>INSERT INTO Movimientos_Detalle (id_movimiento, id_pileta_origen, id_lote_origen, volumen_origen_lts, id_pileta_destino, id_lote_destino, volumen_destino_lts) VALUES ('6a2ac77c', 47, '665bbad3', 5200, 85, '1c0f3ac6', 54100);</t>
  </si>
  <si>
    <t>INSERT INTO Movimientos_Detalle (id_movimiento, id_pileta_origen, id_lote_origen, volumen_origen_lts, id_pileta_destino, id_lote_destino, volumen_destino_lts) VALUES ('ef0c6006', 89, '3a5e04a4', 48500, 118, 'c57dab01', 48500);</t>
  </si>
  <si>
    <t>INSERT INTO Movimientos_Detalle (id_movimiento, id_pileta_origen, id_lote_origen, volumen_origen_lts, id_pileta_destino, id_lote_destino, volumen_destino_lts) VALUES ('e4dad44b', 92, 'c85d74dc', 44700, 118, '7f2febfa', 93200);</t>
  </si>
  <si>
    <t>INSERT INTO Movimientos_Detalle (id_movimiento, id_pileta_origen, id_lote_origen, volumen_origen_lts, id_pileta_destino, id_lote_destino, volumen_destino_lts) VALUES ('41591c55', 87, 'a62e4289', 47200, 118, 'ef6021e0', 140400);</t>
  </si>
  <si>
    <t>INSERT INTO Movimientos_Detalle (id_movimiento, id_pileta_origen, id_lote_origen, volumen_origen_lts, id_pileta_destino, id_lote_destino, volumen_destino_lts) VALUES ('baa5467a', 46, 'bd4decc8', 1000, 70, '87540dbb', 8000);</t>
  </si>
  <si>
    <t>INSERT INTO Movimientos_Detalle (id_movimiento, id_pileta_origen, id_lote_origen, volumen_origen_lts, id_pileta_destino, id_lote_destino, volumen_destino_lts) VALUES ('32477090', 48, 'd9821c78', 6500, 91, '1a71b226', 45700);</t>
  </si>
  <si>
    <t>INSERT INTO Movimientos_Detalle (id_movimiento, id_pileta_origen, id_lote_origen, volumen_origen_lts, id_pileta_destino, id_lote_destino, volumen_destino_lts) VALUES ('b058c3ad', 46, 'bd4decc8', 9600, 90, 'e0f68630', 52900);</t>
  </si>
  <si>
    <t>INSERT INTO Movimientos_Detalle (id_movimiento, id_pileta_origen, id_lote_origen, volumen_origen_lts, id_pileta_destino, id_lote_destino, volumen_destino_lts) VALUES ('9ee0044e', 54, '4a5cb789', 2200, 81, 'dea77610', 20600);</t>
  </si>
  <si>
    <t>INSERT INTO Movimientos_Detalle (id_movimiento, id_pileta_origen, id_lote_origen, volumen_origen_lts, id_pileta_destino, id_lote_destino, volumen_destino_lts) VALUES ('b4f4afab', 65, '844a05ee', 15200, 118, '03ffe0d5', 155600);</t>
  </si>
  <si>
    <t>INSERT INTO Movimientos_Detalle (id_movimiento, id_pileta_origen, id_lote_origen, volumen_origen_lts, id_pileta_destino, id_lote_destino, volumen_destino_lts) VALUES ('80dcdad5', 65, '844a05ee', 8900, 52, 'b93c3154', 23900);</t>
  </si>
  <si>
    <t>INSERT INTO Movimientos_Detalle (id_movimiento, id_pileta_origen, id_lote_origen, volumen_origen_lts, id_pileta_destino, id_lote_destino, volumen_destino_lts) VALUES ('ca94aa1f', 46, 'bd4decc8', 9500, 86, 'ea43be80', 52500);</t>
  </si>
  <si>
    <t>INSERT INTO Movimientos_Detalle (id_movimiento, id_pileta_origen, id_lote_origen, volumen_origen_lts, id_pileta_destino, id_lote_destino, volumen_destino_lts) VALUES ('381b60d3', 68, 'af88e380', 8000, 116, 'fe482ba5', 8000);</t>
  </si>
  <si>
    <t>INSERT INTO Movimientos_Detalle (id_movimiento, id_pileta_origen, id_lote_origen, volumen_origen_lts, id_pileta_destino, id_lote_destino, volumen_destino_lts) VALUES ('ffd1066a', 88, '4bf00cf0', 3100, 52, 'b01eee66', 27000);</t>
  </si>
  <si>
    <t>INSERT INTO Movimientos_Detalle (id_movimiento, id_pileta_origen, id_lote_origen, volumen_origen_lts, id_pileta_destino, id_lote_destino, volumen_destino_lts) VALUES ('478ea4af', 88, '4bf00cf0', 46400, 116, '4649003c', 54400);</t>
  </si>
  <si>
    <t>INSERT INTO Movimientos_Detalle (id_movimiento, id_pileta_origen, id_lote_origen, volumen_origen_lts, id_pileta_destino, id_lote_destino, volumen_destino_lts) VALUES ('0f751072', 54, '4a5cb789', 2150, 79, '98f429d0', 16650);</t>
  </si>
  <si>
    <t>INSERT INTO Movimientos_Detalle (id_movimiento, id_pileta_origen, id_lote_origen, volumen_origen_lts, id_pileta_destino, id_lote_destino, volumen_destino_lts) VALUES ('384f9757', 48, 'd9821c78', 1600, 76, '3a308f07', 16600);</t>
  </si>
  <si>
    <t>INSERT INTO Movimientos_Detalle (id_movimiento, id_pileta_origen, id_lote_origen, volumen_origen_lts, id_pileta_destino, id_lote_destino, volumen_destino_lts) VALUES ('2372b679', 48, 'd9821c78', 1600, 77, '3d517070', 12900);</t>
  </si>
  <si>
    <t>INSERT INTO Movimientos_Detalle (id_movimiento, id_pileta_origen, id_lote_origen, volumen_origen_lts, id_pileta_destino, id_lote_destino, volumen_destino_lts) VALUES ('3bc3c5bf', 70, '87540dbb', 2000, 78, '337ffa98', 13350);</t>
  </si>
  <si>
    <t>INSERT INTO Movimientos_Detalle (id_movimiento, id_pileta_origen, id_lote_origen, volumen_origen_lts, id_pileta_destino, id_lote_destino, volumen_destino_lts) VALUES ('2d2adf71', 46, 'bd4decc8', 8900, 90, '76ba7fdf', 61800);</t>
  </si>
  <si>
    <t>INSERT INTO Movimientos_Detalle (id_movimiento, id_pileta_origen, id_lote_origen, volumen_origen_lts, id_pileta_destino, id_lote_destino, volumen_destino_lts) VALUES ('43a5a89d', 500, '8c8ffb39', 12200, 90, 'de74d539', 74000);</t>
  </si>
  <si>
    <t>INSERT INTO Movimientos_Detalle (id_movimiento, id_pileta_origen, id_lote_origen, volumen_origen_lts, id_pileta_destino, id_lote_destino, volumen_destino_lts) VALUES ('25c34046', 47, '665bbad3', -850, 500, '79be12ab', -13049);</t>
  </si>
  <si>
    <t>INSERT INTO Movimientos_Detalle (id_movimiento, id_pileta_origen, id_lote_origen, volumen_origen_lts, id_pileta_destino, id_lote_destino, volumen_destino_lts) VALUES ('7d8d1fb9', 48, 'd9821c78', -700, 500, '898d9689', -13749);</t>
  </si>
  <si>
    <t>INSERT INTO Movimientos_Detalle (id_movimiento, id_pileta_origen, id_lote_origen, volumen_origen_lts, id_pileta_destino, id_lote_destino, volumen_destino_lts) VALUES ('d5030cf3', 54, '4a5cb789', 550, 500, '8d3c8a21', -13199);</t>
  </si>
  <si>
    <t>INSERT INTO Movimientos_Detalle (id_movimiento, id_pileta_origen, id_lote_origen, volumen_origen_lts, id_pileta_destino, id_lote_destino, volumen_destino_lts) VALUES ('82ac1251', 66, '87ba9e1b', 1000, 500, '71f4b567', -12199);</t>
  </si>
  <si>
    <t>INSERT INTO Movimientos_Detalle (id_movimiento, id_pileta_origen, id_lote_origen, volumen_origen_lts, id_pileta_destino, id_lote_destino, volumen_destino_lts) VALUES ('ac01ac4d', 76, '3a308f07', 2600, 500, 'a9139adb', -9599);</t>
  </si>
  <si>
    <t>INSERT INTO Movimientos_Detalle (id_movimiento, id_pileta_origen, id_lote_origen, volumen_origen_lts, id_pileta_destino, id_lote_destino, volumen_destino_lts) VALUES ('9360041a', 77, '3d517070', -3100, 500, '4a34674d', -12699);</t>
  </si>
  <si>
    <t>INSERT INTO Movimientos_Detalle (id_movimiento, id_pileta_origen, id_lote_origen, volumen_origen_lts, id_pileta_destino, id_lote_destino, volumen_destino_lts) VALUES ('72cce9a1', 78, '337ffa98', -4650, 500, '5020af35', -17349);</t>
  </si>
  <si>
    <t>INSERT INTO Movimientos_Detalle (id_movimiento, id_pileta_origen, id_lote_origen, volumen_origen_lts, id_pileta_destino, id_lote_destino, volumen_destino_lts) VALUES ('0a75cd05', 79, '98f429d0', -3350, 500, '3eacd39c', -20699);</t>
  </si>
  <si>
    <t>INSERT INTO Movimientos_Detalle (id_movimiento, id_pileta_origen, id_lote_origen, volumen_origen_lts, id_pileta_destino, id_lote_destino, volumen_destino_lts) VALUES ('fbb1e6ab', 80, 'c210f1aa', -2700, 500, '562f51a9', -23399);</t>
  </si>
  <si>
    <t>INSERT INTO Movimientos_Detalle (id_movimiento, id_pileta_origen, id_lote_origen, volumen_origen_lts, id_pileta_destino, id_lote_destino, volumen_destino_lts) VALUES ('be7471b3', 82, 'e2c3632b', -1000, 500, '5cc545be', -24399);</t>
  </si>
  <si>
    <t>INSERT INTO Movimientos_Detalle (id_movimiento, id_pileta_origen, id_lote_origen, volumen_origen_lts, id_pileta_destino, id_lote_destino, volumen_destino_lts) VALUES ('f6e2d0cb', 85, '1c0f3ac6', 4100, 500, 'e861b4fa', -20299);</t>
  </si>
  <si>
    <t>INSERT INTO Movimientos_Detalle (id_movimiento, id_pileta_origen, id_lote_origen, volumen_origen_lts, id_pileta_destino, id_lote_destino, volumen_destino_lts) VALUES ('663856fe', 86, 'ea43be80', 2500, 500, 'd607821f', -17799);</t>
  </si>
  <si>
    <t>INSERT INTO Movimientos_Detalle (id_movimiento, id_pileta_origen, id_lote_origen, volumen_origen_lts, id_pileta_destino, id_lote_destino, volumen_destino_lts) VALUES ('9a675e75', 91, 'f3ecd42b', -2800, 500, '84282478', -20599);</t>
  </si>
  <si>
    <t>INSERT INTO Movimientos_Detalle (id_movimiento, id_pileta_origen, id_lote_origen, volumen_origen_lts, id_pileta_destino, id_lote_destino, volumen_destino_lts) VALUES ('54513fd4', 931, 'abbbaccc', 1000, 500, '41c8d398', -19599);</t>
  </si>
  <si>
    <t>INSERT INTO Movimientos_Detalle (id_movimiento, id_pileta_origen, id_lote_origen, volumen_origen_lts, id_pileta_destino, id_lote_destino, volumen_destino_lts) VALUES ('2bb953ae', 94, 'b336cfcb', -2700, 500, '5c98aafc', -22299);</t>
  </si>
  <si>
    <t>INSERT INTO Movimientos_Detalle (id_movimiento, id_pileta_origen, id_lote_origen, volumen_origen_lts, id_pileta_destino, id_lote_destino, volumen_destino_lts) VALUES ('e716e971', 96, '34a141e2', 2600, 500, 'dd4b7b83', -19699);</t>
  </si>
  <si>
    <t>INSERT INTO Movimientos_Detalle (id_movimiento, id_pileta_origen, id_lote_origen, volumen_origen_lts, id_pileta_destino, id_lote_destino, volumen_destino_lts) VALUES ('1da0e7df', 102, '4197a6b3', 1000, 500, 'b5e8d166', -18699);</t>
  </si>
  <si>
    <t>INSERT INTO Movimientos_Detalle (id_movimiento, id_pileta_origen, id_lote_origen, volumen_origen_lts, id_pileta_destino, id_lote_destino, volumen_destino_lts) VALUES ('7e10be90', 116, '4649003c', -600, 500, '6cba92a2', -19299);</t>
  </si>
  <si>
    <t>INSERT INTO Movimientos_Detalle (id_movimiento, id_pileta_origen, id_lote_origen, volumen_origen_lts, id_pileta_destino, id_lote_destino, volumen_destino_lts) VALUES ('e6245c23', 75, 'f1388e78', 3000, 42, '0d46ca84', 35900);</t>
  </si>
  <si>
    <t>INSERT INTO Movimientos_Detalle (id_movimiento, id_pileta_origen, id_lote_origen, volumen_origen_lts, id_pileta_destino, id_lote_destino, volumen_destino_lts) VALUES ('3ef35c32', 104, '83599ef4', 29000, 46, '92bbed34', 29000);</t>
  </si>
  <si>
    <t>INSERT INTO Movimientos_Detalle (id_movimiento, id_pileta_origen, id_lote_origen, volumen_origen_lts, id_pileta_destino, id_lote_destino, volumen_destino_lts) VALUES ('5b8cfa72', 48, 'd9821c78', 8100, 96, 'b7799ff9', 53100);</t>
  </si>
  <si>
    <t>INSERT INTO Movimientos_Detalle (id_movimiento, id_pileta_origen, id_lote_origen, volumen_origen_lts, id_pileta_destino, id_lote_destino, volumen_destino_lts) VALUES ('1b48d388', 106, '00bdd4ad', 1000, 105, '238eb34e', 31000);</t>
  </si>
  <si>
    <t>INSERT INTO Movimientos_Detalle (id_movimiento, id_pileta_origen, id_lote_origen, volumen_origen_lts, id_pileta_destino, id_lote_destino, volumen_destino_lts) VALUES ('2a648924', 106, '00bdd4ad', 1000, 108, '9446c412', 31000);</t>
  </si>
  <si>
    <t>INSERT INTO Movimientos_Detalle (id_movimiento, id_pileta_origen, id_lote_origen, volumen_origen_lts, id_pileta_destino, id_lote_destino, volumen_destino_lts) VALUES ('33a8488a', 106, '00bdd4ad', 600, 109, '0d1b7f2c', 15600);</t>
  </si>
  <si>
    <t>INSERT INTO Movimientos_Detalle (id_movimiento, id_pileta_origen, id_lote_origen, volumen_origen_lts, id_pileta_destino, id_lote_destino, volumen_destino_lts) VALUES ('c5b76ecf', 106, '00bdd4ad', 600, 110, '7d922df1', 15600);</t>
  </si>
  <si>
    <t>INSERT INTO Movimientos_Detalle (id_movimiento, id_pileta_origen, id_lote_origen, volumen_origen_lts, id_pileta_destino, id_lote_destino, volumen_destino_lts) VALUES ('3c024f6b', 106, '00bdd4ad', 7800, 114, '6341d7bb', 7800);</t>
  </si>
  <si>
    <t>INSERT INTO Movimientos_Detalle (id_movimiento, id_pileta_origen, id_lote_origen, volumen_origen_lts, id_pileta_destino, id_lote_destino, volumen_destino_lts) VALUES ('5face3d3', 105, '238eb34e', 31000, 114, 'dd0fd20d', 38800);</t>
  </si>
  <si>
    <t>INSERT INTO Movimientos_Detalle (id_movimiento, id_pileta_origen, id_lote_origen, volumen_origen_lts, id_pileta_destino, id_lote_destino, volumen_destino_lts) VALUES ('e494aaf4', 108, '9446c412', 31000, 114, '69d6b7d4', 69800);</t>
  </si>
  <si>
    <t>INSERT INTO Movimientos_Detalle (id_movimiento, id_pileta_origen, id_lote_origen, volumen_origen_lts, id_pileta_destino, id_lote_destino, volumen_destino_lts) VALUES ('94c4cc3c', 109, '0d1b7f2c', 15600, 114, 'f2f249ef', 85400);</t>
  </si>
  <si>
    <t>INSERT INTO Movimientos_Detalle (id_movimiento, id_pileta_origen, id_lote_origen, volumen_origen_lts, id_pileta_destino, id_lote_destino, volumen_destino_lts) VALUES ('a367c4f3', 110, '7d922df1', 15600, 114, '5c199eac', 101000);</t>
  </si>
  <si>
    <t>INSERT INTO Movimientos_Detalle (id_movimiento, id_pileta_origen, id_lote_origen, volumen_origen_lts, id_pileta_destino, id_lote_destino, volumen_destino_lts) VALUES ('41f3b155', 114, '5c199eac', 2000, 110, 'bd85e420', 2000);</t>
  </si>
  <si>
    <t>INSERT INTO Movimientos_Detalle (id_movimiento, id_pileta_origen, id_lote_origen, volumen_origen_lts, id_pileta_destino, id_lote_destino, volumen_destino_lts) VALUES ('5afde7bf', 150, 'd53930ff', 2500, 86, '26cfa504', 52500);</t>
  </si>
  <si>
    <t>INSERT INTO Movimientos_Detalle (id_movimiento, id_pileta_origen, id_lote_origen, volumen_origen_lts, id_pileta_destino, id_lote_destino, volumen_destino_lts) VALUES ('0a94f3ea', 84, '22dd4d8c', 44600, 116, 'd3910498', 99600);</t>
  </si>
  <si>
    <t>INSERT INTO Movimientos_Detalle (id_movimiento, id_pileta_origen, id_lote_origen, volumen_origen_lts, id_pileta_destino, id_lote_destino, volumen_destino_lts) VALUES ('1f3f4269', 84, '22dd4d8c', 7400, 103, 'a3638ae6', 7400);</t>
  </si>
  <si>
    <t>INSERT INTO Movimientos_Detalle (id_movimiento, id_pileta_origen, id_lote_origen, volumen_origen_lts, id_pileta_destino, id_lote_destino, volumen_destino_lts) VALUES ('8b8612ca', 104, '83599ef4', 1000, 110, 'bf6d548a', 3000);</t>
  </si>
  <si>
    <t>INSERT INTO Movimientos_Detalle (id_movimiento, id_pileta_origen, id_lote_origen, volumen_origen_lts, id_pileta_destino, id_lote_destino, volumen_destino_lts) VALUES ('84d10532', 102, '4197a6b3', 0, NULL, 'abf45035', 0);</t>
  </si>
  <si>
    <t>INSERT INTO Movimientos_Detalle (id_movimiento, id_pileta_origen, id_lote_origen, volumen_origen_lts, id_pileta_destino, id_lote_destino, volumen_destino_lts) VALUES ('d9b9806d', 102, '4197a6b3', 29000, 500, '0f5a0357', 29000);</t>
  </si>
  <si>
    <t>INSERT INTO Movimientos_Detalle (id_movimiento, id_pileta_origen, id_lote_origen, volumen_origen_lts, id_pileta_destino, id_lote_destino, volumen_destino_lts) VALUES ('587b9e6b', 95, '7b5d098a', 77100, 500, '6ca6737b', 106100);</t>
  </si>
  <si>
    <t>INSERT INTO Movimientos_Detalle (id_movimiento, id_pileta_origen, id_lote_origen, volumen_origen_lts, id_pileta_destino, id_lote_destino, volumen_destino_lts) VALUES ('663bed1a', 25, 'd65723e9', 194300, 500, 'a58181b8', 300400);</t>
  </si>
  <si>
    <t>INSERT INTO Movimientos_Detalle (id_movimiento, id_pileta_origen, id_lote_origen, volumen_origen_lts, id_pileta_destino, id_lote_destino, volumen_destino_lts) VALUES ('d6c02f32', 24, '8e7dc827', 186600, 500, '5f1402b2', 487000);</t>
  </si>
  <si>
    <t>INSERT INTO Movimientos_Detalle (id_movimiento, id_pileta_origen, id_lote_origen, volumen_origen_lts, id_pileta_destino, id_lote_destino, volumen_destino_lts) VALUES ('f0bc7303', 54, '4a5cb789', 2860, 79, 'a3cee476', 22860);</t>
  </si>
  <si>
    <t>INSERT INTO Movimientos_Detalle (id_movimiento, id_pileta_origen, id_lote_origen, volumen_origen_lts, id_pileta_destino, id_lote_destino, volumen_destino_lts) VALUES ('e37ceda1', 66, '87ba9e1b', 13000, 103, '8f28e62a', 20400);</t>
  </si>
  <si>
    <t>INSERT INTO Movimientos_Detalle (id_movimiento, id_pileta_origen, id_lote_origen, volumen_origen_lts, id_pileta_destino, id_lote_destino, volumen_destino_lts) VALUES ('9f984a23', 82, 'e2c3632b', 15600, 103, 'a2ec7d6d', 36000);</t>
  </si>
  <si>
    <t>INSERT INTO Movimientos_Detalle (id_movimiento, id_pileta_origen, id_lote_origen, volumen_origen_lts, id_pileta_destino, id_lote_destino, volumen_destino_lts) VALUES ('e4f8039e', 84, '8f7c7c26', 10000, 66, '2cca878f', 15000);</t>
  </si>
  <si>
    <t>INSERT INTO Movimientos_Detalle (id_movimiento, id_pileta_origen, id_lote_origen, volumen_origen_lts, id_pileta_destino, id_lote_destino, volumen_destino_lts) VALUES ('4507e81f', 84, '8f7c7c26', 28200, 82, '538b2389', 32600);</t>
  </si>
  <si>
    <t>INSERT INTO Movimientos_Detalle (id_movimiento, id_pileta_origen, id_lote_origen, volumen_origen_lts, id_pileta_destino, id_lote_destino, volumen_destino_lts) VALUES ('918fe284', 103, 'a2ec7d6d', 5000, 500, '805a5dd9', 5000);</t>
  </si>
  <si>
    <t>INSERT INTO Movimientos_Detalle (id_movimiento, id_pileta_origen, id_lote_origen, volumen_origen_lts, id_pileta_destino, id_lote_destino, volumen_destino_lts) VALUES ('7cab11c5', 52, 'b01eee66', 26300, 114, 'e53d4606', 125300);</t>
  </si>
  <si>
    <t>INSERT INTO Movimientos_Detalle (id_movimiento, id_pileta_origen, id_lote_origen, volumen_origen_lts, id_pileta_destino, id_lote_destino, volumen_destino_lts) VALUES ('adc0f6de', 52, 'b01eee66', 700, 104, 'bb28f5a1', 700);</t>
  </si>
  <si>
    <t>INSERT INTO Movimientos_Detalle (id_movimiento, id_pileta_origen, id_lote_origen, volumen_origen_lts, id_pileta_destino, id_lote_destino, volumen_destino_lts) VALUES ('cdca4e05', 82, '538b2389', 4000, 12, '00ec1fb2', 4000);</t>
  </si>
  <si>
    <t>INSERT INTO Movimientos_Detalle (id_movimiento, id_pileta_origen, id_lote_origen, volumen_origen_lts, id_pileta_destino, id_lote_destino, volumen_destino_lts) VALUES ('fbfb60b4', 70, '87540dbb', 4200, 68, '7c51cd7c', 4200);</t>
  </si>
  <si>
    <t>INSERT INTO Movimientos_Detalle (id_movimiento, id_pileta_origen, id_lote_origen, volumen_origen_lts, id_pileta_destino, id_lote_destino, volumen_destino_lts) VALUES ('9f719f13', 78, '337ffa98', 8800, 68, 'e16bba1c', 13000);</t>
  </si>
  <si>
    <t>INSERT INTO Movimientos_Detalle (id_movimiento, id_pileta_origen, id_lote_origen, volumen_origen_lts, id_pileta_destino, id_lote_destino, volumen_destino_lts) VALUES ('0caa90c8', 78, '337ffa98', 3800, 51, '0bebff1a', 3800);</t>
  </si>
  <si>
    <t>INSERT INTO Movimientos_Detalle (id_movimiento, id_pileta_origen, id_lote_origen, volumen_origen_lts, id_pileta_destino, id_lote_destino, volumen_destino_lts) VALUES ('e1de3cb7', 96, 'b7799ff9', 30300, 104, '78caf863', 31000);</t>
  </si>
  <si>
    <t>INSERT INTO Movimientos_Detalle (id_movimiento, id_pileta_origen, id_lote_origen, volumen_origen_lts, id_pileta_destino, id_lote_destino, volumen_destino_lts) VALUES ('4d1542a4', 96, 'b7799ff9', 6800, 105, '01572a41', 6800);</t>
  </si>
  <si>
    <t>INSERT INTO Movimientos_Detalle (id_movimiento, id_pileta_origen, id_lote_origen, volumen_origen_lts, id_pileta_destino, id_lote_destino, volumen_destino_lts) VALUES ('6f77e05b', 69, '9c317849', 5600, 70, '0cf5d8ff', 7400);</t>
  </si>
  <si>
    <t>INSERT INTO Movimientos_Detalle (id_movimiento, id_pileta_origen, id_lote_origen, volumen_origen_lts, id_pileta_destino, id_lote_destino, volumen_destino_lts) VALUES ('77d87180', 12, '00ec1fb2', 4000, 69, '1640b5b7', 6400);</t>
  </si>
  <si>
    <t>INSERT INTO Movimientos_Detalle (id_movimiento, id_pileta_origen, id_lote_origen, volumen_origen_lts, id_pileta_destino, id_lote_destino, volumen_destino_lts) VALUES ('e3783178', 48, 'd9821c78', 8900, 83, 'd007d867', 47400);</t>
  </si>
  <si>
    <t>INSERT INTO Movimientos_Detalle (id_movimiento, id_pileta_origen, id_lote_origen, volumen_origen_lts, id_pileta_destino, id_lote_destino, volumen_destino_lts) VALUES ('5629d0c2', 92, 'd7576c4b', 7000, 78, 'd7488996', 12400);</t>
  </si>
  <si>
    <t>INSERT INTO Movimientos_Detalle (id_movimiento, id_pileta_origen, id_lote_origen, volumen_origen_lts, id_pileta_destino, id_lote_destino, volumen_destino_lts) VALUES ('46e0c561', 92, 'd7576c4b', 23000, 96, '7b27f7a2', 39000);</t>
  </si>
  <si>
    <t>INSERT INTO Movimientos_Detalle (id_movimiento, id_pileta_origen, id_lote_origen, volumen_origen_lts, id_pileta_destino, id_lote_destino, volumen_destino_lts) VALUES ('ca81df50', 49, 'a9ae339e', 4000, 67, '730bdaa5', 21100);</t>
  </si>
  <si>
    <t>INSERT INTO Movimientos_Detalle (id_movimiento, id_pileta_origen, id_lote_origen, volumen_origen_lts, id_pileta_destino, id_lote_destino, volumen_destino_lts) VALUES ('a661d598', 54, '4a5cb789', 4200, 65, 'b2ddb184', 25000);</t>
  </si>
  <si>
    <t>INSERT INTO Movimientos_Detalle (id_movimiento, id_pileta_origen, id_lote_origen, volumen_origen_lts, id_pileta_destino, id_lote_destino, volumen_destino_lts) VALUES ('e6a465c9', 91, 'f3ecd42b', 15600, 109, '33d70f3e', 15600);</t>
  </si>
  <si>
    <t>INSERT INTO Movimientos_Detalle (id_movimiento, id_pileta_origen, id_lote_origen, volumen_origen_lts, id_pileta_destino, id_lote_destino, volumen_destino_lts) VALUES ('bf1ff1ff', 91, 'f3ecd42b', 31000, 108, '3907dbfc', 31000);</t>
  </si>
  <si>
    <t>INSERT INTO Movimientos_Detalle (id_movimiento, id_pileta_origen, id_lote_origen, volumen_origen_lts, id_pileta_destino, id_lote_destino, volumen_destino_lts) VALUES ('e43180c6', 91, 'f3ecd42b', 8400, 107, 'c9e381e1', 8400);</t>
  </si>
  <si>
    <t>INSERT INTO Movimientos_Detalle (id_movimiento, id_pileta_origen, id_lote_origen, volumen_origen_lts, id_pileta_destino, id_lote_destino, volumen_destino_lts) VALUES ('48c58e88', 90, 'de74d539', 24200, 105, '54d0d860', 31000);</t>
  </si>
  <si>
    <t>INSERT INTO Movimientos_Detalle (id_movimiento, id_pileta_origen, id_lote_origen, volumen_origen_lts, id_pileta_destino, id_lote_destino, volumen_destino_lts) VALUES ('e300ee19', 90, 'de74d539', 11000, 106, 'b1ca9458', 11000);</t>
  </si>
  <si>
    <t>INSERT INTO Movimientos_Detalle (id_movimiento, id_pileta_origen, id_lote_origen, volumen_origen_lts, id_pileta_destino, id_lote_destino, volumen_destino_lts) VALUES ('58fb654c', 90, 'de74d539', 22600, 107, 'afed01fa', 31000);</t>
  </si>
  <si>
    <t>INSERT INTO Movimientos_Detalle (id_movimiento, id_pileta_origen, id_lote_origen, volumen_origen_lts, id_pileta_destino, id_lote_destino, volumen_destino_lts) VALUES ('081c9204', 85, '1c0f3ac6', 50000, 115, '34f051f2', 50000);</t>
  </si>
  <si>
    <t>INSERT INTO Movimientos_Detalle (id_movimiento, id_pileta_origen, id_lote_origen, volumen_origen_lts, id_pileta_destino, id_lote_destino, volumen_destino_lts) VALUES ('b3316a0a', 49, 'a9ae339e', 7900, 88, '8d1e611a', 35900);</t>
  </si>
  <si>
    <t>INSERT INTO Movimientos_Detalle (id_movimiento, id_pileta_origen, id_lote_origen, volumen_origen_lts, id_pileta_destino, id_lote_destino, volumen_destino_lts) VALUES ('0b4d2241', 44, 'd5c7ee63', 1400, 73, '2e224e71', 7800);</t>
  </si>
  <si>
    <t>INSERT INTO Movimientos_Detalle (id_movimiento, id_pileta_origen, id_lote_origen, volumen_origen_lts, id_pileta_destino, id_lote_destino, volumen_destino_lts) VALUES ('9adf1669', 44, 'd5c7ee63', 6800, 89, '239b5e04', 46000);</t>
  </si>
  <si>
    <t>INSERT INTO Movimientos_Detalle (id_movimiento, id_pileta_origen, id_lote_origen, volumen_origen_lts, id_pileta_destino, id_lote_destino, volumen_destino_lts) VALUES ('c7bd3a7b', 81, 'dea77610', 2100, 80, '4fc3176a', 26100);</t>
  </si>
  <si>
    <t>INSERT INTO Movimientos_Detalle (id_movimiento, id_pileta_origen, id_lote_origen, volumen_origen_lts, id_pileta_destino, id_lote_destino, volumen_destino_lts) VALUES ('ecb02248', 86, '26cfa504', 52500, 95, '666d23a6', 52500);</t>
  </si>
  <si>
    <t>INSERT INTO Movimientos_Detalle (id_movimiento, id_pileta_origen, id_lote_origen, volumen_origen_lts, id_pileta_destino, id_lote_destino, volumen_destino_lts) VALUES ('f82b29f9', 70, '0cf5d8ff', 100, 51, '4eab3967', 3900);</t>
  </si>
  <si>
    <t>INSERT INTO Movimientos_Detalle (id_movimiento, id_pileta_origen, id_lote_origen, volumen_origen_lts, id_pileta_destino, id_lote_destino, volumen_destino_lts) VALUES ('48ff99db', 70, '0cf5d8ff', 3000, 55, '806c3920', 3000);</t>
  </si>
  <si>
    <t>INSERT INTO Movimientos_Detalle (id_movimiento, id_pileta_origen, id_lote_origen, volumen_origen_lts, id_pileta_destino, id_lote_destino, volumen_destino_lts) VALUES ('f7dbbba6', 70, '0cf5d8ff', 4300, 115, '45c7ce93', 54300);</t>
  </si>
  <si>
    <t>INSERT INTO Movimientos_Detalle (id_movimiento, id_pileta_origen, id_lote_origen, volumen_origen_lts, id_pileta_destino, id_lote_destino, volumen_destino_lts) VALUES ('c0b38633', 77, '3d517070', 16000, 115, '35c5e060', 70300);</t>
  </si>
  <si>
    <t>INSERT INTO Movimientos_Detalle (id_movimiento, id_pileta_origen, id_lote_origen, volumen_origen_lts, id_pileta_destino, id_lote_destino, volumen_destino_lts) VALUES ('c0d5d0bc', 76, '3a308f07', 14000, 115, '1fb0aecd', 84300);</t>
  </si>
  <si>
    <t>INSERT INTO Movimientos_Detalle (id_movimiento, id_pileta_origen, id_lote_origen, volumen_origen_lts, id_pileta_destino, id_lote_destino, volumen_destino_lts) VALUES ('0ce47a14', 44, 'd5c7ee63', 7400, 84, '2fe32030', 50400);</t>
  </si>
  <si>
    <t>INSERT INTO Movimientos_Detalle (id_movimiento, id_pileta_origen, id_lote_origen, volumen_origen_lts, id_pileta_destino, id_lote_destino, volumen_destino_lts) VALUES ('4922f370', 54, '4a5cb789', 940, 500, 'e2c9de47', 941);</t>
  </si>
  <si>
    <t>INSERT INTO Movimientos_Detalle (id_movimiento, id_pileta_origen, id_lote_origen, volumen_origen_lts, id_pileta_destino, id_lote_destino, volumen_destino_lts) VALUES ('b79a2229', 67, '730bdaa5', 4100, 500, 'bf75bf0d', 4941);</t>
  </si>
  <si>
    <t>INSERT INTO Movimientos_Detalle (id_movimiento, id_pileta_origen, id_lote_origen, volumen_origen_lts, id_pileta_destino, id_lote_destino, volumen_destino_lts) VALUES ('f79b60ff', 69, '1640b5b7', -1600, 500, '62023f37', 3341);</t>
  </si>
  <si>
    <t>INSERT INTO Movimientos_Detalle (id_movimiento, id_pileta_origen, id_lote_origen, volumen_origen_lts, id_pileta_destino, id_lote_destino, volumen_destino_lts) VALUES ('b46d4150', 71, '8ba061c3', 1000, 72, '671aa5be', 8000);</t>
  </si>
  <si>
    <t>INSERT INTO Movimientos_Detalle (id_movimiento, id_pileta_origen, id_lote_origen, volumen_origen_lts, id_pileta_destino, id_lote_destino, volumen_destino_lts) VALUES ('17f9af3c', 73, '2e224e71', -2200, 500, '48ce0b6f', 1141);</t>
  </si>
  <si>
    <t>INSERT INTO Movimientos_Detalle (id_movimiento, id_pileta_origen, id_lote_origen, volumen_origen_lts, id_pileta_destino, id_lote_destino, volumen_destino_lts) VALUES ('337dabfc', 75, 'f1388e78', -1500, 500, '896bf192', -359);</t>
  </si>
  <si>
    <t>INSERT INTO Movimientos_Detalle (id_movimiento, id_pileta_origen, id_lote_origen, volumen_origen_lts, id_pileta_destino, id_lote_destino, volumen_destino_lts) VALUES ('da9dd65a', 78, 'd7488996', -2600, 500, '22f56119', -2959);</t>
  </si>
  <si>
    <t>INSERT INTO Movimientos_Detalle (id_movimiento, id_pileta_origen, id_lote_origen, volumen_origen_lts, id_pileta_destino, id_lote_destino, volumen_destino_lts) VALUES ('c5d5dd56', 79, 'a3cee476', 860, 500, '7059064e', -2099);</t>
  </si>
  <si>
    <t>INSERT INTO Movimientos_Detalle (id_movimiento, id_pileta_origen, id_lote_origen, volumen_origen_lts, id_pileta_destino, id_lote_destino, volumen_destino_lts) VALUES ('77fd5298', 65, 'b2ddb184', -3500, 500, '5b1a85aa', -5599);</t>
  </si>
  <si>
    <t>INSERT INTO Movimientos_Detalle (id_movimiento, id_pileta_origen, id_lote_origen, volumen_origen_lts, id_pileta_destino, id_lote_destino, volumen_destino_lts) VALUES ('a4c336e8', 80, '4fc3176a', 3100, 500, '9c08b5f2', -2499);</t>
  </si>
  <si>
    <t>INSERT INTO Movimientos_Detalle (id_movimiento, id_pileta_origen, id_lote_origen, volumen_origen_lts, id_pileta_destino, id_lote_destino, volumen_destino_lts) VALUES ('d4145dd5', 81, 'dea77610', -500, 500, 'a85e69f1', -2999);</t>
  </si>
  <si>
    <t>INSERT INTO Movimientos_Detalle (id_movimiento, id_pileta_origen, id_lote_origen, volumen_origen_lts, id_pileta_destino, id_lote_destino, volumen_destino_lts) VALUES ('a13187b8', 82, '538b2389', 600, 500, 'f9474150', -2399);</t>
  </si>
  <si>
    <t>INSERT INTO Movimientos_Detalle (id_movimiento, id_pileta_origen, id_lote_origen, volumen_origen_lts, id_pileta_destino, id_lote_destino, volumen_destino_lts) VALUES ('7692c4dc', 83, 'd007d867', 2400, 500, '811c911e', 1);</t>
  </si>
  <si>
    <t>INSERT INTO Movimientos_Detalle (id_movimiento, id_pileta_origen, id_lote_origen, volumen_origen_lts, id_pileta_destino, id_lote_destino, volumen_destino_lts) VALUES ('9416a7f1', 84, '2fe32030', 400, 500, '7e71a1c9', 401);</t>
  </si>
  <si>
    <t>INSERT INTO Movimientos_Detalle (id_movimiento, id_pileta_origen, id_lote_origen, volumen_origen_lts, id_pileta_destino, id_lote_destino, volumen_destino_lts) VALUES ('2fcfb429', 89, '239b5e04', -5000, 500, 'd2438b41', -4599);</t>
  </si>
  <si>
    <t>INSERT INTO Movimientos_Detalle (id_movimiento, id_pileta_origen, id_lote_origen, volumen_origen_lts, id_pileta_destino, id_lote_destino, volumen_destino_lts) VALUES ('c991eeed', 931, 'abbbaccc', 1700, 500, '4553393f', -2899);</t>
  </si>
  <si>
    <t>INSERT INTO Movimientos_Detalle (id_movimiento, id_pileta_origen, id_lote_origen, volumen_origen_lts, id_pileta_destino, id_lote_destino, volumen_destino_lts) VALUES ('2a6689a5', 96, '7b27f7a2', -1000, 500, '4f64f8ff', -3899);</t>
  </si>
  <si>
    <t>INSERT INTO Movimientos_Detalle (id_movimiento, id_pileta_origen, id_lote_origen, volumen_origen_lts, id_pileta_destino, id_lote_destino, volumen_destino_lts) VALUES ('e310e9ee', 103, 'a2ec7d6d', 1000, 500, '3f692936', -2899);</t>
  </si>
  <si>
    <t>INSERT INTO Movimientos_Detalle (id_movimiento, id_pileta_origen, id_lote_origen, volumen_origen_lts, id_pileta_destino, id_lote_destino, volumen_destino_lts) VALUES ('5039b31b', 104, '78caf863', 1000, 500, 'c625482f', -1899);</t>
  </si>
  <si>
    <t>INSERT INTO Movimientos_Detalle (id_movimiento, id_pileta_origen, id_lote_origen, volumen_origen_lts, id_pileta_destino, id_lote_destino, volumen_destino_lts) VALUES ('dbd23b4a', 105, '54d0d860', 5000, 500, 'cddd0d08', 3101);</t>
  </si>
  <si>
    <t>INSERT INTO Movimientos_Detalle (id_movimiento, id_pileta_origen, id_lote_origen, volumen_origen_lts, id_pileta_destino, id_lote_destino, volumen_destino_lts) VALUES ('786226ab', 107, 'afed01fa', 1000, 500, '666c05a4', 4101);</t>
  </si>
  <si>
    <t>INSERT INTO Movimientos_Detalle (id_movimiento, id_pileta_origen, id_lote_origen, volumen_origen_lts, id_pileta_destino, id_lote_destino, volumen_destino_lts) VALUES ('dbd6771c', 108, '3907dbfc', 1000, 500, 'ba65567d', 5101);</t>
  </si>
  <si>
    <t>INSERT INTO Movimientos_Detalle (id_movimiento, id_pileta_origen, id_lote_origen, volumen_origen_lts, id_pileta_destino, id_lote_destino, volumen_destino_lts) VALUES ('0e531dea', 109, '33d70f3e', 600, 500, '37d13c67', 5701);</t>
  </si>
  <si>
    <t>INSERT INTO Movimientos_Detalle (id_movimiento, id_pileta_origen, id_lote_origen, volumen_origen_lts, id_pileta_destino, id_lote_destino, volumen_destino_lts) VALUES ('6a111de4', 110, 'bf6d548a', -4000, 500, '309834ec', 1701);</t>
  </si>
  <si>
    <t>INSERT INTO Movimientos_Detalle (id_movimiento, id_pileta_origen, id_lote_origen, volumen_origen_lts, id_pileta_destino, id_lote_destino, volumen_destino_lts) VALUES ('e54bf9ef', 96, '7b27f7a2', 20000, 102, '32e9ec8f', 20000);</t>
  </si>
  <si>
    <t>INSERT INTO Movimientos_Detalle (id_movimiento, id_pileta_origen, id_lote_origen, volumen_origen_lts, id_pileta_destino, id_lote_destino, volumen_destino_lts) VALUES ('e5c6f49b', 96, '7b27f7a2', 20000, 12, '9a9cd123', 20000);</t>
  </si>
  <si>
    <t>INSERT INTO Movimientos_Detalle (id_movimiento, id_pileta_origen, id_lote_origen, volumen_origen_lts, id_pileta_destino, id_lote_destino, volumen_destino_lts) VALUES ('f1af0093', 83, 'd007d867', 10000, 102, '96467006', 30000);</t>
  </si>
  <si>
    <t>INSERT INTO Movimientos_Detalle (id_movimiento, id_pileta_origen, id_lote_origen, volumen_origen_lts, id_pileta_destino, id_lote_destino, volumen_destino_lts) VALUES ('09a7bc87', 83, 'd007d867', 35000, 115, '8102a15a', 120200);</t>
  </si>
  <si>
    <t>INSERT INTO Movimientos_Detalle (id_movimiento, id_pileta_origen, id_lote_origen, volumen_origen_lts, id_pileta_destino, id_lote_destino, volumen_destino_lts) VALUES ('ec579f64', 66, '2cca878f', 15000, 12, '3cb72b04', 35000);</t>
  </si>
  <si>
    <t>INSERT INTO Movimientos_Detalle (id_movimiento, id_pileta_origen, id_lote_origen, volumen_origen_lts, id_pileta_destino, id_lote_destino, volumen_destino_lts) VALUES ('d93f3a4f', 78, 'd7488996', 300, 12, '28029583', 35300);</t>
  </si>
  <si>
    <t>INSERT INTO Movimientos_Detalle (id_movimiento, id_pileta_origen, id_lote_origen, volumen_origen_lts, id_pileta_destino, id_lote_destino, volumen_destino_lts) VALUES ('8ce9e1b0', 78, 'd7488996', 14700, 52, 'c85b5cb0', 14700);</t>
  </si>
  <si>
    <t>INSERT INTO Movimientos_Detalle (id_movimiento, id_pileta_origen, id_lote_origen, volumen_origen_lts, id_pileta_destino, id_lote_destino, volumen_destino_lts) VALUES ('6e5d319a', 67, '730bdaa5', 12300, 52, 'bcd7e2f3', 27000);</t>
  </si>
  <si>
    <t>INSERT INTO Movimientos_Detalle (id_movimiento, id_pileta_origen, id_lote_origen, volumen_origen_lts, id_pileta_destino, id_lote_destino, volumen_destino_lts) VALUES ('5f213e79', 67, '730bdaa5', 4700, 500, '2e2b3f01', 6401);</t>
  </si>
  <si>
    <t>INSERT INTO Movimientos_Detalle (id_movimiento, id_pileta_origen, id_lote_origen, volumen_origen_lts, id_pileta_destino, id_lote_destino, volumen_destino_lts) VALUES ('a76db9a7', 55, '806c3920', 3000, 52, 'c750a1d2', 30000);</t>
  </si>
  <si>
    <t>INSERT INTO Movimientos_Detalle (id_movimiento, id_pileta_origen, id_lote_origen, volumen_origen_lts, id_pileta_destino, id_lote_destino, volumen_destino_lts) VALUES ('38564ae2', 52, 'c750a1d2', 3000, 500, '3e5b524d', 9401);</t>
  </si>
  <si>
    <t>INSERT INTO Movimientos_Detalle (id_movimiento, id_pileta_origen, id_lote_origen, volumen_origen_lts, id_pileta_destino, id_lote_destino, volumen_destino_lts) VALUES ('634bd176', 65, 'b2ddb184', 26000, 48, 'ef198a97', 26000);</t>
  </si>
  <si>
    <t>INSERT INTO Movimientos_Detalle (id_movimiento, id_pileta_origen, id_lote_origen, volumen_origen_lts, id_pileta_destino, id_lote_destino, volumen_destino_lts) VALUES ('e4394358', 65, 'b2ddb184', 2500, 47, 'eeb8e99d', 2500);</t>
  </si>
  <si>
    <t>INSERT INTO Movimientos_Detalle (id_movimiento, id_pileta_origen, id_lote_origen, volumen_origen_lts, id_pileta_destino, id_lote_destino, volumen_destino_lts) VALUES ('169799fd', 80, '4fc3176a', 17500, 47, '5cdb12ce', 20000);</t>
  </si>
  <si>
    <t>INSERT INTO Movimientos_Detalle (id_movimiento, id_pileta_origen, id_lote_origen, volumen_origen_lts, id_pileta_destino, id_lote_destino, volumen_destino_lts) VALUES ('ed3da2b8', 80, '4fc3176a', 5500, 36, 'b4fcbbdb', 5500);</t>
  </si>
  <si>
    <t>INSERT INTO Movimientos_Detalle (id_movimiento, id_pileta_origen, id_lote_origen, volumen_origen_lts, id_pileta_destino, id_lote_destino, volumen_destino_lts) VALUES ('60f1c12a', 81, 'dea77610', 14200, 36, '0997a77d', 19700);</t>
  </si>
  <si>
    <t>INSERT INTO Movimientos_Detalle (id_movimiento, id_pileta_origen, id_lote_origen, volumen_origen_lts, id_pileta_destino, id_lote_destino, volumen_destino_lts) VALUES ('4bd2fb8f', 81, 'dea77610', 3000, 55, '30332ad5', 3000);</t>
  </si>
  <si>
    <t>INSERT INTO Movimientos_Detalle (id_movimiento, id_pileta_origen, id_lote_origen, volumen_origen_lts, id_pileta_destino, id_lote_destino, volumen_destino_lts) VALUES ('a21ada18', 81, 'dea77610', 1800, 110, 'd711de02', 8800);</t>
  </si>
  <si>
    <t>INSERT INTO Movimientos_Detalle (id_movimiento, id_pileta_origen, id_lote_origen, volumen_origen_lts, id_pileta_destino, id_lote_destino, volumen_destino_lts) VALUES ('c9fed906', 44, 'd5c7ee63', 3500, 92, '2f246ad5', 27300);</t>
  </si>
  <si>
    <t>INSERT INTO Movimientos_Detalle (id_movimiento, id_pileta_origen, id_lote_origen, volumen_origen_lts, id_pileta_destino, id_lote_destino, volumen_destino_lts) VALUES ('282d49ef', 79, 'a3cee476', 19100, 44, '7ae457f1', 19100);</t>
  </si>
  <si>
    <t>INSERT INTO Movimientos_Detalle (id_movimiento, id_pileta_origen, id_lote_origen, volumen_origen_lts, id_pileta_destino, id_lote_destino, volumen_destino_lts) VALUES ('c01712dc', 79, 'a3cee476', 2900, 2, 'f544d5bf', 2000);</t>
  </si>
  <si>
    <t>INSERT INTO Movimientos_Detalle (id_movimiento, id_pileta_origen, id_lote_origen, volumen_origen_lts, id_pileta_destino, id_lote_destino, volumen_destino_lts) VALUES ('c6fd6c11', 90, 'de74d539', 16200, 500, '0ff5115b', 25601);</t>
  </si>
  <si>
    <t>INSERT INTO Movimientos_Detalle (id_movimiento, id_pileta_origen, id_lote_origen, volumen_origen_lts, id_pileta_destino, id_lote_destino, volumen_destino_lts) VALUES ('5b38cc92', 69, '1640b5b7', 8000, 96, 'c694d86c', 8000);</t>
  </si>
  <si>
    <t>INSERT INTO Movimientos_Detalle (id_movimiento, id_pileta_origen, id_lote_origen, volumen_origen_lts, id_pileta_destino, id_lote_destino, volumen_destino_lts) VALUES ('e924584f', 82, '538b2389', 28000, 96, '50c7db36', 36000);</t>
  </si>
  <si>
    <t>INSERT INTO Movimientos_Detalle (id_movimiento, id_pileta_origen, id_lote_origen, volumen_origen_lts, id_pileta_destino, id_lote_destino, volumen_destino_lts) VALUES ('47d751e1', 15, 'bf5594db', 36500, 25, 'c97f270b', 36500);</t>
  </si>
  <si>
    <t>INSERT INTO Movimientos_Detalle (id_movimiento, id_pileta_origen, id_lote_origen, volumen_origen_lts, id_pileta_destino, id_lote_destino, volumen_destino_lts) VALUES ('2fe69c71', 14, '21a02bb8', 37000, 25, '6dd6dc83', 73500);</t>
  </si>
  <si>
    <t>INSERT INTO Movimientos_Detalle (id_movimiento, id_pileta_origen, id_lote_origen, volumen_origen_lts, id_pileta_destino, id_lote_destino, volumen_destino_lts) VALUES ('dbab89b9', 11, '9c695ba3', 36000, 25, 'ec23e3f7', 109500);</t>
  </si>
  <si>
    <t>INSERT INTO Movimientos_Detalle (id_movimiento, id_pileta_origen, id_lote_origen, volumen_origen_lts, id_pileta_destino, id_lote_destino, volumen_destino_lts) VALUES ('3ef6ac11', 34, 'f41ecbda', 39500, 25, 'bc837f92', 149000);</t>
  </si>
  <si>
    <t>INSERT INTO Movimientos_Detalle (id_movimiento, id_pileta_origen, id_lote_origen, volumen_origen_lts, id_pileta_destino, id_lote_destino, volumen_destino_lts) VALUES ('4a892e06', 121, 'f90482a4', 45300, 25, 'a6d28e88', 194300);</t>
  </si>
  <si>
    <t>INSERT INTO Movimientos_Detalle (id_movimiento, id_pileta_origen, id_lote_origen, volumen_origen_lts, id_pileta_destino, id_lote_destino, volumen_destino_lts) VALUES ('dbae7e3d', 121, 'f90482a4', 36000, 11, 'd557e5fd', 36000);</t>
  </si>
  <si>
    <t>INSERT INTO Movimientos_Detalle (id_movimiento, id_pileta_origen, id_lote_origen, volumen_origen_lts, id_pileta_destino, id_lote_destino, volumen_destino_lts) VALUES ('ef5df3a8', 121, 'f90482a4', 4500, 110, 'd251428e', 15600);</t>
  </si>
  <si>
    <t>INSERT INTO Movimientos_Detalle (id_movimiento, id_pileta_origen, id_lote_origen, volumen_origen_lts, id_pileta_destino, id_lote_destino, volumen_destino_lts) VALUES ('f2239263', 49, 'a9ae339e', 7300, 92, '857f0b04', 46300);</t>
  </si>
  <si>
    <t>INSERT INTO Movimientos_Detalle (id_movimiento, id_pileta_origen, id_lote_origen, volumen_origen_lts, id_pileta_destino, id_lote_destino, volumen_destino_lts) VALUES ('577420cf', 49, 'a9ae339e', 9600, 91, '0420c80a', 59300);</t>
  </si>
  <si>
    <t>INSERT INTO Movimientos_Detalle (id_movimiento, id_pileta_origen, id_lote_origen, volumen_origen_lts, id_pileta_destino, id_lote_destino, volumen_destino_lts) VALUES ('b16464d3', 41, '30d0ce51', 1800, 69, '380532ea', 7650);</t>
  </si>
  <si>
    <t>INSERT INTO Movimientos_Detalle (id_movimiento, id_pileta_origen, id_lote_origen, volumen_origen_lts, id_pileta_destino, id_lote_destino, volumen_destino_lts) VALUES ('20119d73', 74, 'c4f0d9b2', 6700, 125, '520b940d', 6700);</t>
  </si>
  <si>
    <t>INSERT INTO Movimientos_Detalle (id_movimiento, id_pileta_origen, id_lote_origen, volumen_origen_lts, id_pileta_destino, id_lote_destino, volumen_destino_lts) VALUES ('6c5972ec', 111, '6a04e7d6', 1600, 125, 'e01e8aa7', 8300);</t>
  </si>
  <si>
    <t>INSERT INTO Movimientos_Detalle (id_movimiento, id_pileta_origen, id_lote_origen, volumen_origen_lts, id_pileta_destino, id_lote_destino, volumen_destino_lts) VALUES ('0f4bbd78', 68, 'e16bba1c', 1040, 74, '1f683a42', 7340);</t>
  </si>
  <si>
    <t>INSERT INTO Movimientos_Detalle (id_movimiento, id_pileta_origen, id_lote_origen, volumen_origen_lts, id_pileta_destino, id_lote_destino, volumen_destino_lts) VALUES ('007625f0', 68, 'e16bba1c', 800, 111, '650c1db7', 3200);</t>
  </si>
  <si>
    <t>INSERT INTO Movimientos_Detalle (id_movimiento, id_pileta_origen, id_lote_origen, volumen_origen_lts, id_pileta_destino, id_lote_destino, volumen_destino_lts) VALUES ('640b60a7', 103, 'a2ec7d6d', 5660, 74, '8b30dc4c', 13000);</t>
  </si>
  <si>
    <t>INSERT INTO Movimientos_Detalle (id_movimiento, id_pileta_origen, id_lote_origen, volumen_origen_lts, id_pileta_destino, id_lote_destino, volumen_destino_lts) VALUES ('3c30a068', 103, 'a2ec7d6d', 400, 111, 'a4c9e3f8', 3600);</t>
  </si>
  <si>
    <t>INSERT INTO Movimientos_Detalle (id_movimiento, id_pileta_origen, id_lote_origen, volumen_origen_lts, id_pileta_destino, id_lote_destino, volumen_destino_lts) VALUES ('728eb21e', 114, 'e53d4606', 400, 111, '3f3e8ee6', 4000);</t>
  </si>
  <si>
    <t>INSERT INTO Movimientos_Detalle (id_movimiento, id_pileta_origen, id_lote_origen, volumen_origen_lts, id_pileta_destino, id_lote_destino, volumen_destino_lts) VALUES ('a7bf129e', 125, 'e01e8aa7', 7060, 103, '290ee918', 31000);</t>
  </si>
  <si>
    <t>INSERT INTO Movimientos_Detalle (id_movimiento, id_pileta_origen, id_lote_origen, volumen_origen_lts, id_pileta_destino, id_lote_destino, volumen_destino_lts) VALUES ('29b7886d', 49, 'a9ae339e', -2800, 500, '8fc418d7', 22801);</t>
  </si>
  <si>
    <t>INSERT INTO Movimientos_Detalle (id_movimiento, id_pileta_origen, id_lote_origen, volumen_origen_lts, id_pileta_destino, id_lote_destino, volumen_destino_lts) VALUES ('c09ab39e', 88, '8d1e611a', 20800, 49, 'c7ecff86', 20800);</t>
  </si>
  <si>
    <t>INSERT INTO Movimientos_Detalle (id_movimiento, id_pileta_origen, id_lote_origen, volumen_origen_lts, id_pileta_destino, id_lote_destino, volumen_destino_lts) VALUES ('98d257b0', 127, 'd7991cf5', 22100, 88, 'dadb0851', 37200);</t>
  </si>
  <si>
    <t>INSERT INTO Movimientos_Detalle (id_movimiento, id_pileta_origen, id_lote_origen, volumen_origen_lts, id_pileta_destino, id_lote_destino, volumen_destino_lts) VALUES ('157ae04c', 125, 'e01e8aa7', 1240, 68, 'b23211ad', 13000);</t>
  </si>
  <si>
    <t>INSERT INTO Movimientos_Detalle (id_movimiento, id_pileta_origen, id_lote_origen, volumen_origen_lts, id_pileta_destino, id_lote_destino, volumen_destino_lts) VALUES ('ccad6e59', 54, '4a5cb789', -3000, 500, '1a5b525d', 2001);</t>
  </si>
  <si>
    <t>INSERT INTO Movimientos_Detalle (id_movimiento, id_pileta_origen, id_lote_origen, volumen_origen_lts, id_pileta_destino, id_lote_destino, volumen_destino_lts) VALUES ('cdc8cb92', 931, 'abbbaccc', 500, 500, '84e6afcb', 2501);</t>
  </si>
  <si>
    <t>INSERT INTO Movimientos_Detalle (id_movimiento, id_pileta_origen, id_lote_origen, volumen_origen_lts, id_pileta_destino, id_lote_destino, volumen_destino_lts) VALUES ('d956caec', 95, '666d23a6', -6500, 500, '353f740c', -3999);</t>
  </si>
  <si>
    <t>INSERT INTO Movimientos_Detalle (id_movimiento, id_pileta_origen, id_lote_origen, volumen_origen_lts, id_pileta_destino, id_lote_destino, volumen_destino_lts) VALUES ('c59443ba', 96, '50c7db36', -10000, 500, 'c6c0786e', -13999);</t>
  </si>
  <si>
    <t>INSERT INTO Movimientos_Detalle (id_movimiento, id_pileta_origen, id_lote_origen, volumen_origen_lts, id_pileta_destino, id_lote_destino, volumen_destino_lts) VALUES ('c348af3d', 103, '290ee918', 1000, 500, '21c38848', -12999);</t>
  </si>
  <si>
    <t>INSERT INTO Movimientos_Detalle (id_movimiento, id_pileta_origen, id_lote_origen, volumen_origen_lts, id_pileta_destino, id_lote_destino, volumen_destino_lts) VALUES ('3f34abb5', 105, '54d0d860', -3000, 500, '97681120', -15999);</t>
  </si>
  <si>
    <t>INSERT INTO Movimientos_Detalle (id_movimiento, id_pileta_origen, id_lote_origen, volumen_origen_lts, id_pileta_destino, id_lote_destino, volumen_destino_lts) VALUES ('9f15531d', 109, '33d70f3e', -600, 500, 'd36de2d6', -16599);</t>
  </si>
  <si>
    <t>INSERT INTO Movimientos_Detalle (id_movimiento, id_pileta_origen, id_lote_origen, volumen_origen_lts, id_pileta_destino, id_lote_destino, volumen_destino_lts) VALUES ('90a9e20e', 114, 'e53d4606', -400, 500, '02c0fc23', -16999);</t>
  </si>
  <si>
    <t>INSERT INTO Movimientos_Detalle (id_movimiento, id_pileta_origen, id_lote_origen, volumen_origen_lts, id_pileta_destino, id_lote_destino, volumen_destino_lts) VALUES ('bdc786df', 91, '0420c80a', 35500, 34, 'cf44f84a', 35500);</t>
  </si>
  <si>
    <t>INSERT INTO Movimientos_Detalle (id_movimiento, id_pileta_origen, id_lote_origen, volumen_origen_lts, id_pileta_destino, id_lote_destino, volumen_destino_lts) VALUES ('ec25e385', 77, '2eb7d92e', 17000, 91, '73108ca1', 40800);</t>
  </si>
  <si>
    <t>INSERT INTO Movimientos_Detalle (id_movimiento, id_pileta_origen, id_lote_origen, volumen_origen_lts, id_pileta_destino, id_lote_destino, volumen_destino_lts) VALUES ('722befba', 78, 'c355e18a', 21500, 91, '6b249a3a', 62300);</t>
  </si>
  <si>
    <t>INSERT INTO Movimientos_Detalle (id_movimiento, id_pileta_origen, id_lote_origen, volumen_origen_lts, id_pileta_destino, id_lote_destino, volumen_destino_lts) VALUES ('d0c35e7b', 115, '8102a15a', 120200, 24, '1ba229d2', 120200);</t>
  </si>
  <si>
    <t>INSERT INTO Movimientos_Detalle (id_movimiento, id_pileta_origen, id_lote_origen, volumen_origen_lts, id_pileta_destino, id_lote_destino, volumen_destino_lts) VALUES ('06e6d4cd', 96, '50c7db36', 46000, 24, 'b6dc5dc8', 166200);</t>
  </si>
  <si>
    <t>INSERT INTO Movimientos_Detalle (id_movimiento, id_pileta_origen, id_lote_origen, volumen_origen_lts, id_pileta_destino, id_lote_destino, volumen_destino_lts) VALUES ('d0a72ad0', 108, '3907dbfc', 20400, 24, '37179342', 186600);</t>
  </si>
  <si>
    <t>INSERT INTO Movimientos_Detalle (id_movimiento, id_pileta_origen, id_lote_origen, volumen_origen_lts, id_pileta_destino, id_lote_destino, volumen_destino_lts) VALUES ('e499f23a', 108, '3907dbfc', 9600, 94, 'a4cd80cd', 9600);</t>
  </si>
  <si>
    <t>INSERT INTO Movimientos_Detalle (id_movimiento, id_pileta_origen, id_lote_origen, volumen_origen_lts, id_pileta_destino, id_lote_destino, volumen_destino_lts) VALUES ('e28112ad', 84, '2fe32030', 50000, 121, '2d913121', 50000);</t>
  </si>
  <si>
    <t>INSERT INTO Movimientos_Detalle (id_movimiento, id_pileta_origen, id_lote_origen, volumen_origen_lts, id_pileta_destino, id_lote_destino, volumen_destino_lts) VALUES ('dbadf23a', 89, '239b5e04', 35800, 121, '5c542a1f', 85800);</t>
  </si>
  <si>
    <t>INSERT INTO Movimientos_Detalle (id_movimiento, id_pileta_origen, id_lote_origen, volumen_origen_lts, id_pileta_destino, id_lote_destino, volumen_destino_lts) VALUES ('7b9a91aa', 89, '239b5e04', 15200, 14, '0869b66b', 15200);</t>
  </si>
  <si>
    <t>INSERT INTO Movimientos_Detalle (id_movimiento, id_pileta_origen, id_lote_origen, volumen_origen_lts, id_pileta_destino, id_lote_destino, volumen_destino_lts) VALUES ('5e2d7f21', 92, '857f0b04', 21800, 14, '3640d88c', 37000);</t>
  </si>
  <si>
    <t>INSERT INTO Movimientos_Detalle (id_movimiento, id_pileta_origen, id_lote_origen, volumen_origen_lts, id_pileta_destino, id_lote_destino, volumen_destino_lts) VALUES ('8d346f2d', 92, '857f0b04', 24500, 15, 'd9c4b92b', 24500);</t>
  </si>
  <si>
    <t>INSERT INTO Movimientos_Detalle (id_movimiento, id_pileta_origen, id_lote_origen, volumen_origen_lts, id_pileta_destino, id_lote_destino, volumen_destino_lts) VALUES ('dfd64b48', 95, '666d23a6', 59000, 115, '3aa98d19', 59000);</t>
  </si>
  <si>
    <t>INSERT INTO Movimientos_Detalle (id_movimiento, id_pileta_origen, id_lote_origen, volumen_origen_lts, id_pileta_destino, id_lote_destino, volumen_destino_lts) VALUES ('b2171938', 104, '78caf863', 30000, 115, '8042d6c2', 89000);</t>
  </si>
  <si>
    <t>INSERT INTO Movimientos_Detalle (id_movimiento, id_pileta_origen, id_lote_origen, volumen_origen_lts, id_pileta_destino, id_lote_destino, volumen_destino_lts) VALUES ('feff5d3f', 105, '54d0d860', 29000, 115, '03e27ebe', 118000);</t>
  </si>
  <si>
    <t>INSERT INTO Movimientos_Detalle (id_movimiento, id_pileta_origen, id_lote_origen, volumen_origen_lts, id_pileta_destino, id_lote_destino, volumen_destino_lts) VALUES ('76dcfb6b', 88, 'dadb0851', 31000, 127, '91eadabd', 31000);</t>
  </si>
  <si>
    <t>INSERT INTO Movimientos_Detalle (id_movimiento, id_pileta_origen, id_lote_origen, volumen_origen_lts, id_pileta_destino, id_lote_destino, volumen_destino_lts) VALUES ('3d4764f4', 88, 'dadb0851', 6200, 91, '189ea379', 68500);</t>
  </si>
  <si>
    <t>INSERT INTO Movimientos_Detalle (id_movimiento, id_pileta_origen, id_lote_origen, volumen_origen_lts, id_pileta_destino, id_lote_destino, volumen_destino_lts) VALUES ('0c609eb7', 91, '189ea379', 31000, 108, 'b1b9580e', 31000);</t>
  </si>
  <si>
    <t>INSERT INTO Movimientos_Detalle (id_movimiento, id_pileta_origen, id_lote_origen, volumen_origen_lts, id_pileta_destino, id_lote_destino, volumen_destino_lts) VALUES ('6068a768', 91, '189ea379', 31000, 104, '1d042bcb', 31000);</t>
  </si>
  <si>
    <t>INSERT INTO Movimientos_Detalle (id_movimiento, id_pileta_origen, id_lote_origen, volumen_origen_lts, id_pileta_destino, id_lote_destino, volumen_destino_lts) VALUES ('619405ca', 91, '189ea379', 6500, 105, 'dac100da', 6500);</t>
  </si>
  <si>
    <t>INSERT INTO Movimientos_Detalle (id_movimiento, id_pileta_origen, id_lote_origen, volumen_origen_lts, id_pileta_destino, id_lote_destino, volumen_destino_lts) VALUES ('42e4a292', 71, '8ba061c3', 5000, 70, '42842cde', 5000);</t>
  </si>
  <si>
    <t>INSERT INTO Movimientos_Detalle (id_movimiento, id_pileta_origen, id_lote_origen, volumen_origen_lts, id_pileta_destino, id_lote_destino, volumen_destino_lts) VALUES ('5aac28a9', 72, '671aa5be', 5000, 70, '65c7867f', 10000);</t>
  </si>
  <si>
    <t>INSERT INTO Movimientos_Detalle (id_movimiento, id_pileta_origen, id_lote_origen, volumen_origen_lts, id_pileta_destino, id_lote_destino, volumen_destino_lts) VALUES ('15428dca', 87, '0d6140dc', 5000, 71, '5c558cca', 8500);</t>
  </si>
  <si>
    <t>INSERT INTO Movimientos_Detalle (id_movimiento, id_pileta_origen, id_lote_origen, volumen_origen_lts, id_pileta_destino, id_lote_destino, volumen_destino_lts) VALUES ('54ed83a6', 87, '0d6140dc', 5000, 72, '3de4f15e', 8000);</t>
  </si>
  <si>
    <t>INSERT INTO Movimientos_Detalle (id_movimiento, id_pileta_origen, id_lote_origen, volumen_origen_lts, id_pileta_destino, id_lote_destino, volumen_destino_lts) VALUES ('1b29d1f4', 15, 'd9c4b92b', 4000, 500, 'd56b533b', -12999);</t>
  </si>
  <si>
    <t>INSERT INTO Movimientos_Detalle (id_movimiento, id_pileta_origen, id_lote_origen, volumen_origen_lts, id_pileta_destino, id_lote_destino, volumen_destino_lts) VALUES ('7e1211c8', 69, '380532ea', 7650, 15, '5e0dbcce', 28150);</t>
  </si>
  <si>
    <t>INSERT INTO Movimientos_Detalle (id_movimiento, id_pileta_origen, id_lote_origen, volumen_origen_lts, id_pileta_destino, id_lote_destino, volumen_destino_lts) VALUES ('8c289f5a', 73, '2e224e71', 8350, 15, 'f764d2d1', 36500);</t>
  </si>
  <si>
    <t>INSERT INTO Movimientos_Detalle (id_movimiento, id_pileta_origen, id_lote_origen, volumen_origen_lts, id_pileta_destino, id_lote_destino, volumen_destino_lts) VALUES ('86662639', 73, '2e224e71', 1650, 34, '7b6b2c2a', 37150);</t>
  </si>
  <si>
    <t>INSERT INTO Movimientos_Detalle (id_movimiento, id_pileta_origen, id_lote_origen, volumen_origen_lts, id_pileta_destino, id_lote_destino, volumen_destino_lts) VALUES ('d3f897d9', 105, 'dac100da', 6500, 500, '21ebdd51', -6499);</t>
  </si>
  <si>
    <t>INSERT INTO Movimientos_Detalle (id_movimiento, id_pileta_origen, id_lote_origen, volumen_origen_lts, id_pileta_destino, id_lote_destino, volumen_destino_lts) VALUES ('2c86d3f9', 116, 'd3910498', 99600, 26, 'ff099ae0', 99600);</t>
  </si>
  <si>
    <t>INSERT INTO Movimientos_Detalle (id_movimiento, id_pileta_origen, id_lote_origen, volumen_origen_lts, id_pileta_destino, id_lote_destino, volumen_destino_lts) VALUES ('286ac581', 118, '03ffe0d5', 108000, 26, 'efada090', 207600);</t>
  </si>
  <si>
    <t>INSERT INTO Movimientos_Detalle (id_movimiento, id_pileta_origen, id_lote_origen, volumen_origen_lts, id_pileta_destino, id_lote_destino, volumen_destino_lts) VALUES ('479daee5', 45, '241b642a', 8500, 90, 'aafa35db', 65500);</t>
  </si>
  <si>
    <t>INSERT INTO Movimientos_Detalle (id_movimiento, id_pileta_origen, id_lote_origen, volumen_origen_lts, id_pileta_destino, id_lote_destino, volumen_destino_lts) VALUES ('3430bfb7', 45, '241b642a', 8500, 86, '97b5422c', 54500);</t>
  </si>
  <si>
    <t>INSERT INTO Movimientos_Detalle (id_movimiento, id_pileta_origen, id_lote_origen, volumen_origen_lts, id_pileta_destino, id_lote_destino, volumen_destino_lts) VALUES ('8717b9ad', 41, '30d0ce51', 9000, 87, 'b8ea839c', 49200);</t>
  </si>
  <si>
    <t>INSERT INTO Movimientos_Detalle (id_movimiento, id_pileta_origen, id_lote_origen, volumen_origen_lts, id_pileta_destino, id_lote_destino, volumen_destino_lts) VALUES ('11a72bbd', 41, '30d0ce51', 3600, 80, '1b8cfd3f', 17800);</t>
  </si>
  <si>
    <t>INSERT INTO Movimientos_Detalle (id_movimiento, id_pileta_origen, id_lote_origen, volumen_origen_lts, id_pileta_destino, id_lote_destino, volumen_destino_lts) VALUES ('b2c52506', 45, '241b642a', 6800, 83, 'e8ae99cd', 51300);</t>
  </si>
  <si>
    <t>INSERT INTO Movimientos_Detalle (id_movimiento, id_pileta_origen, id_lote_origen, volumen_origen_lts, id_pileta_destino, id_lote_destino, volumen_destino_lts) VALUES ('148db8ee', 24, '37179342', 10000, 500, '1c76e910', 10001);</t>
  </si>
  <si>
    <t>INSERT INTO Movimientos_Detalle (id_movimiento, id_pileta_origen, id_lote_origen, volumen_origen_lts, id_pileta_destino, id_lote_destino, volumen_destino_lts) VALUES ('e04f70d9', 34, '7b6b2c2a', 1350, 500, '62e15cd1', 11351);</t>
  </si>
  <si>
    <t>INSERT INTO Movimientos_Detalle (id_movimiento, id_pileta_origen, id_lote_origen, volumen_origen_lts, id_pileta_destino, id_lote_destino, volumen_destino_lts) VALUES ('18eef5e0', 52, 'c750a1d2', 3000, 500, 'a3fbf6d9', 14351);</t>
  </si>
  <si>
    <t>INSERT INTO Movimientos_Detalle (id_movimiento, id_pileta_origen, id_lote_origen, volumen_origen_lts, id_pileta_destino, id_lote_destino, volumen_destino_lts) VALUES ('9fe960c1', 87, 'b8ea839c', -6800, 500, '90288eca', 7551);</t>
  </si>
  <si>
    <t>INSERT INTO Movimientos_Detalle (id_movimiento, id_pileta_origen, id_lote_origen, volumen_origen_lts, id_pileta_destino, id_lote_destino, volumen_destino_lts) VALUES ('2abdf478', 935, '81ccb7ca', -3000, 500, '371f5731', 4551);</t>
  </si>
  <si>
    <t>INSERT INTO Movimientos_Detalle (id_movimiento, id_pileta_origen, id_lote_origen, volumen_origen_lts, id_pileta_destino, id_lote_destino, volumen_destino_lts) VALUES ('a1aef05c', 94, 'a4cd80cd', -2000, 500, 'da6946d0', 2551);</t>
  </si>
  <si>
    <t>INSERT INTO Movimientos_Detalle (id_movimiento, id_pileta_origen, id_lote_origen, volumen_origen_lts, id_pileta_destino, id_lote_destino, volumen_destino_lts) VALUES ('0b7877a0', 85, '6d3395c8', 28000, 105, 'e33f8556', 28000);</t>
  </si>
  <si>
    <t>INSERT INTO Movimientos_Detalle (id_movimiento, id_pileta_origen, id_lote_origen, volumen_origen_lts, id_pileta_destino, id_lote_destino, volumen_destino_lts) VALUES ('260f2fc5', 6, 'deb94f70', 30000, 85, '12119242', 46600);</t>
  </si>
  <si>
    <t>INSERT INTO Movimientos_Detalle (id_movimiento, id_pileta_origen, id_lote_origen, volumen_origen_lts, id_pileta_destino, id_lote_destino, volumen_destino_lts) VALUES ('94e49c13', 45, '241b642a', 6200, 84, 'b60fb43a', 53200);</t>
  </si>
  <si>
    <t>INSERT INTO Movimientos_Detalle (id_movimiento, id_pileta_origen, id_lote_origen, volumen_origen_lts, id_pileta_destino, id_lote_destino, volumen_destino_lts) VALUES ('9f356405', 89, '1273642', 15000, 96, 'd4245129', 46300);</t>
  </si>
  <si>
    <t>INSERT INTO Movimientos_Detalle (id_movimiento, id_pileta_origen, id_lote_origen, volumen_origen_lts, id_pileta_destino, id_lote_destino, volumen_destino_lts) VALUES ('44d50628', 41, '30d0ce51', 10800, 89, 'a042b2d1', 60800);</t>
  </si>
  <si>
    <t>INSERT INTO Movimientos_Detalle (id_movimiento, id_pileta_origen, id_lote_origen, volumen_origen_lts, id_pileta_destino, id_lote_destino, volumen_destino_lts) VALUES ('6446e5bd', 41, '30d0ce51', 3600, 81, '7678fbc3', 18100);</t>
  </si>
  <si>
    <t>INSERT INTO Movimientos_Detalle (id_movimiento, id_pileta_origen, id_lote_origen, volumen_origen_lts, id_pileta_destino, id_lote_destino, volumen_destino_lts) VALUES ('d0ad7166', 41, '30d0ce51', 3600, 79, '254dce3b', 20600);</t>
  </si>
  <si>
    <t>INSERT INTO Movimientos_Detalle (id_movimiento, id_pileta_origen, id_lote_origen, volumen_origen_lts, id_pileta_destino, id_lote_destino, volumen_destino_lts) VALUES ('2af76f9c', 41, '30d0ce51', 2700, 78, 'f954f065', 16700);</t>
  </si>
  <si>
    <t>INSERT INTO Movimientos_Detalle (id_movimiento, id_pileta_origen, id_lote_origen, volumen_origen_lts, id_pileta_destino, id_lote_destino, volumen_destino_lts) VALUES ('c7f4c2f2', 75, 'f1388e78', 5500, 92, 'f4ef7eb7', 48500);</t>
  </si>
  <si>
    <t>INSERT INTO Movimientos_Detalle (id_movimiento, id_pileta_origen, id_lote_origen, volumen_origen_lts, id_pileta_destino, id_lote_destino, volumen_destino_lts) VALUES ('4f256382', 118, '03ffe0d5', 10000, 24, '7efc7da2', 186600);</t>
  </si>
  <si>
    <t>INSERT INTO Movimientos_Detalle (id_movimiento, id_pileta_origen, id_lote_origen, volumen_origen_lts, id_pileta_destino, id_lote_destino, volumen_destino_lts) VALUES ('1bdd9844', 118, '03ffe0d5', 30000, 45, '6142f4ae', 30000);</t>
  </si>
  <si>
    <t>INSERT INTO Movimientos_Detalle (id_movimiento, id_pileta_origen, id_lote_origen, volumen_origen_lts, id_pileta_destino, id_lote_destino, volumen_destino_lts) VALUES ('985fe11d', 90, 'aafa35db', 65500, 28, 'a35017ce', 65500);</t>
  </si>
  <si>
    <t>INSERT INTO Movimientos_Detalle (id_movimiento, id_pileta_origen, id_lote_origen, volumen_origen_lts, id_pileta_destino, id_lote_destino, volumen_destino_lts) VALUES ('79c73672', 11, 'd557e5fd', 35100, 41, '2169295d', 35100);</t>
  </si>
  <si>
    <t>INSERT INTO Movimientos_Detalle (id_movimiento, id_pileta_origen, id_lote_origen, volumen_origen_lts, id_pileta_destino, id_lote_destino, volumen_destino_lts) VALUES ('07cc94cb', 11, 'd557e5fd', 900, 935, 'e5691d8b', 4900);</t>
  </si>
  <si>
    <t>INSERT INTO Movimientos_Detalle (id_movimiento, id_pileta_origen, id_lote_origen, volumen_origen_lts, id_pileta_destino, id_lote_destino, volumen_destino_lts) VALUES ('06915f8e', 6, '36a5b1dd', 17100, 85, '1324322a', 63700);</t>
  </si>
  <si>
    <t>INSERT INTO Movimientos_Detalle (id_movimiento, id_pileta_origen, id_lote_origen, volumen_origen_lts, id_pileta_destino, id_lote_destino, volumen_destino_lts) VALUES ('2760a910', 118, '03ffe0d5', 7600, 500, '86296256', 10151);</t>
  </si>
  <si>
    <t>INSERT INTO Movimientos_Detalle (id_movimiento, id_pileta_origen, id_lote_origen, volumen_origen_lts, id_pileta_destino, id_lote_destino, volumen_destino_lts) VALUES ('d5bf5b1a', 86, '97b5422c', 54500, 28, '7617bf80', 120000);</t>
  </si>
  <si>
    <t>INSERT INTO Movimientos_Detalle (id_movimiento, id_pileta_origen, id_lote_origen, volumen_origen_lts, id_pileta_destino, id_lote_destino, volumen_destino_lts) VALUES ('0d8df612', 54, '4a5cb789', 6500, 96, '4b2f415c', 52800);</t>
  </si>
  <si>
    <t>INSERT INTO Movimientos_Detalle (id_movimiento, id_pileta_origen, id_lote_origen, volumen_origen_lts, id_pileta_destino, id_lote_destino, volumen_destino_lts) VALUES ('1a37214c', 54, '4a5cb789', 6500, 95, '23f4cc53', 68500);</t>
  </si>
  <si>
    <t>INSERT INTO Movimientos_Detalle (id_movimiento, id_pileta_origen, id_lote_origen, volumen_origen_lts, id_pileta_destino, id_lote_destino, volumen_destino_lts) VALUES ('b058571c', 83, 'e8ae99cd', 51300, 28, '459c7a85', 171300);</t>
  </si>
  <si>
    <t>INSERT INTO Movimientos_Detalle (id_movimiento, id_pileta_origen, id_lote_origen, volumen_origen_lts, id_pileta_destino, id_lote_destino, volumen_destino_lts) VALUES ('8a40d94b', 41, '2169295d', 8150, 88, '2aac908d', 46150);</t>
  </si>
  <si>
    <t>INSERT INTO Movimientos_Detalle (id_movimiento, id_pileta_origen, id_lote_origen, volumen_origen_lts, id_pileta_destino, id_lote_destino, volumen_destino_lts) VALUES ('2acac0c3', 41, '2169295d', 4500, 82, 'db841e43', 33000);</t>
  </si>
  <si>
    <t>INSERT INTO Movimientos_Detalle (id_movimiento, id_pileta_origen, id_lote_origen, volumen_origen_lts, id_pileta_destino, id_lote_destino, volumen_destino_lts) VALUES ('fa5421be', 41, '2169295d', 7250, 65, 'e3bf14f2', 27250);</t>
  </si>
  <si>
    <t>INSERT INTO Movimientos_Detalle (id_movimiento, id_pileta_origen, id_lote_origen, volumen_origen_lts, id_pileta_destino, id_lote_destino, volumen_destino_lts) VALUES ('c006adee', 41, '2169295d', 15200, 90, 'c0fd1ee4', 71600);</t>
  </si>
  <si>
    <t>INSERT INTO Movimientos_Detalle (id_movimiento, id_pileta_origen, id_lote_origen, volumen_origen_lts, id_pileta_destino, id_lote_destino, volumen_destino_lts) VALUES ('6dfeebb0', 87, 'b8ea839c', 56000, 120, '9ddc74ed', 56000);</t>
  </si>
  <si>
    <t>INSERT INTO Movimientos_Detalle (id_movimiento, id_pileta_origen, id_lote_origen, volumen_origen_lts, id_pileta_destino, id_lote_destino, volumen_destino_lts) VALUES ('22076a85', 71, '5c558cca', 8500, 120, 'f6d580e7', 64500);</t>
  </si>
  <si>
    <t>INSERT INTO Movimientos_Detalle (id_movimiento, id_pileta_origen, id_lote_origen, volumen_origen_lts, id_pileta_destino, id_lote_destino, volumen_destino_lts) VALUES ('510f089f', 72, '3de4f15e', 8000, 120, 'bb5ac12c', 72500);</t>
  </si>
  <si>
    <t>INSERT INTO Movimientos_Detalle (id_movimiento, id_pileta_origen, id_lote_origen, volumen_origen_lts, id_pileta_destino, id_lote_destino, volumen_destino_lts) VALUES ('b261060d', 85, '1324322a', 63700, 116, '27a8c5fb', 63700);</t>
  </si>
  <si>
    <t>INSERT INTO Movimientos_Detalle (id_movimiento, id_pileta_origen, id_lote_origen, volumen_origen_lts, id_pileta_destino, id_lote_destino, volumen_destino_lts) VALUES ('b69ece35', 45, '6142f4ae', 30000, 11, 'cb50df04', 30000);</t>
  </si>
  <si>
    <t>INSERT INTO Movimientos_Detalle (id_movimiento, id_pileta_origen, id_lote_origen, volumen_origen_lts, id_pileta_destino, id_lote_destino, volumen_destino_lts) VALUES ('1a58c494', 11, 'cb50df04', 4800, 67, 'b9461082', 22800);</t>
  </si>
  <si>
    <t>INSERT INTO Movimientos_Detalle (id_movimiento, id_pileta_origen, id_lote_origen, volumen_origen_lts, id_pileta_destino, id_lote_destino, volumen_destino_lts) VALUES ('ad2055b3', 83, 'fd6b223b', 9000, 7, '95afa5f8', 9000);</t>
  </si>
  <si>
    <t>INSERT INTO Movimientos_Detalle (id_movimiento, id_pileta_origen, id_lote_origen, volumen_origen_lts, id_pileta_destino, id_lote_destino, volumen_destino_lts) VALUES ('0e82a0cf', 12, '28029583', 300, 500, 'c778eed0', 301);</t>
  </si>
  <si>
    <t>INSERT INTO Movimientos_Detalle (id_movimiento, id_pileta_origen, id_lote_origen, volumen_origen_lts, id_pileta_destino, id_lote_destino, volumen_destino_lts) VALUES ('4945a88b', 26, 'efada090', 500, 500, '79c53d31', 801);</t>
  </si>
  <si>
    <t>INSERT INTO Movimientos_Detalle (id_movimiento, id_pileta_origen, id_lote_origen, volumen_origen_lts, id_pileta_destino, id_lote_destino, volumen_destino_lts) VALUES ('f9e05f03', 28, '459c7a85', 8300, 500, '3f1bcb3f', 9101);</t>
  </si>
  <si>
    <t>INSERT INTO Movimientos_Detalle (id_movimiento, id_pileta_origen, id_lote_origen, volumen_origen_lts, id_pileta_destino, id_lote_destino, volumen_destino_lts) VALUES ('defa6058', 49, 'c7ecff86', 3800, 500, '87e2f0ad', 12901);</t>
  </si>
  <si>
    <t>INSERT INTO Movimientos_Detalle (id_movimiento, id_pileta_origen, id_lote_origen, volumen_origen_lts, id_pileta_destino, id_lote_destino, volumen_destino_lts) VALUES ('5c47345e', 52, 'c750a1d2', -1000, 500, '64b6a040', 11901);</t>
  </si>
  <si>
    <t>INSERT INTO Movimientos_Detalle (id_movimiento, id_pileta_origen, id_lote_origen, volumen_origen_lts, id_pileta_destino, id_lote_destino, volumen_destino_lts) VALUES ('f9c104a1', 70, '65c7867f', -1000, 500, 'dce718a8', 10901);</t>
  </si>
  <si>
    <t>INSERT INTO Movimientos_Detalle (id_movimiento, id_pileta_origen, id_lote_origen, volumen_origen_lts, id_pileta_destino, id_lote_destino, volumen_destino_lts) VALUES ('c9401985', 931, 'abbbaccc', 2000, 500, '6323f237', 12901);</t>
  </si>
  <si>
    <t>INSERT INTO Movimientos_Detalle (id_movimiento, id_pileta_origen, id_lote_origen, volumen_origen_lts, id_pileta_destino, id_lote_destino, volumen_destino_lts) VALUES ('e8e27b43', 935, 'e5691d8b', -1100, NULL, 'aeaef108', -1100);</t>
  </si>
  <si>
    <t>INSERT INTO Movimientos_Detalle (id_movimiento, id_pileta_origen, id_lote_origen, volumen_origen_lts, id_pileta_destino, id_lote_destino, volumen_destino_lts) VALUES ('b25dda67', 104, '1d042bcb', 1000, 500, '65fc01f0', 13901);</t>
  </si>
  <si>
    <t>INSERT INTO Movimientos_Detalle (id_movimiento, id_pileta_origen, id_lote_origen, volumen_origen_lts, id_pileta_destino, id_lote_destino, volumen_destino_lts) VALUES ('2d8517ba', 105, 'e33f8556', -2000, 500, 'edf54cc7', 11901);</t>
  </si>
  <si>
    <t>INSERT INTO Movimientos_Detalle (id_movimiento, id_pileta_origen, id_lote_origen, volumen_origen_lts, id_pileta_destino, id_lote_destino, volumen_destino_lts) VALUES ('bbb74afe', 108, 'b1b9580e', 1000, 500, '7c10bfff', 12901);</t>
  </si>
  <si>
    <t>INSERT INTO Movimientos_Detalle (id_movimiento, id_pileta_origen, id_lote_origen, volumen_origen_lts, id_pileta_destino, id_lote_destino, volumen_destino_lts) VALUES ('32bae3ab', 109, '33d70f3e', 600, 500, 'f3cffdb0', 13501);</t>
  </si>
  <si>
    <t>INSERT INTO Movimientos_Detalle (id_movimiento, id_pileta_origen, id_lote_origen, volumen_origen_lts, id_pileta_destino, id_lote_destino, volumen_destino_lts) VALUES ('1c7ca4df', 115, '03e27ebe', -2000, 500, '4f5059a5', 11501);</t>
  </si>
  <si>
    <t>INSERT INTO Movimientos_Detalle (id_movimiento, id_pileta_origen, id_lote_origen, volumen_origen_lts, id_pileta_destino, id_lote_destino, volumen_destino_lts) VALUES ('d358e011', 116, '27a8c5fb', 6700, 500, '48038afe', 18201);</t>
  </si>
  <si>
    <t>INSERT INTO Movimientos_Detalle (id_movimiento, id_pileta_origen, id_lote_origen, volumen_origen_lts, id_pileta_destino, id_lote_destino, volumen_destino_lts) VALUES ('5f53a4d1', 120, 'bb5ac12c', 8000, 500, '24faac94', 26201);</t>
  </si>
  <si>
    <t>INSERT INTO Movimientos_Detalle (id_movimiento, id_pileta_origen, id_lote_origen, volumen_origen_lts, id_pileta_destino, id_lote_destino, volumen_destino_lts) VALUES ('27893242', 127, '91eadabd', 1000, 500, 'd4c8b868', 27201);</t>
  </si>
  <si>
    <t>INSERT INTO Movimientos_Detalle (id_movimiento, id_pileta_origen, id_lote_origen, volumen_origen_lts, id_pileta_destino, id_lote_destino, volumen_destino_lts) VALUES ('10f4b0b0', 11, 'cb50df04', 8500, 86, 'afa1959b', 58500);</t>
  </si>
  <si>
    <t>INSERT INTO Movimientos_Detalle (id_movimiento, id_pileta_origen, id_lote_origen, volumen_origen_lts, id_pileta_destino, id_lote_destino, volumen_destino_lts) VALUES ('a9cb12d7', 90, 'c0fd1ee4', 50000, 118, '7aef611b', 50000);</t>
  </si>
  <si>
    <t>INSERT INTO Movimientos_Detalle (id_movimiento, id_pileta_origen, id_lote_origen, volumen_origen_lts, id_pileta_destino, id_lote_destino, volumen_destino_lts) VALUES ('d18a8462', 91, '189e6a11', 38000, 118, 'c5495c94', 88000);</t>
  </si>
  <si>
    <t>INSERT INTO Movimientos_Detalle (id_movimiento, id_pileta_origen, id_lote_origen, volumen_origen_lts, id_pileta_destino, id_lote_destino, volumen_destino_lts) VALUES ('f744f36c', 84, 'b60fb43a', 37200, 118, '29d21664', 125200);</t>
  </si>
  <si>
    <t>INSERT INTO Movimientos_Detalle (id_movimiento, id_pileta_origen, id_lote_origen, volumen_origen_lts, id_pileta_destino, id_lote_destino, volumen_destino_lts) VALUES ('99845561', 88, '2aac908d', 30400, 118, '8ec426a5', 155600);</t>
  </si>
  <si>
    <t>INSERT INTO Movimientos_Detalle (id_movimiento, id_pileta_origen, id_lote_origen, volumen_origen_lts, id_pileta_destino, id_lote_destino, volumen_destino_lts) VALUES ('49940ac5', 49, 'c7ecff86', 17000, 11, '49defec5', 33700);</t>
  </si>
  <si>
    <t>INSERT INTO Movimientos_Detalle (id_movimiento, id_pileta_origen, id_lote_origen, volumen_origen_lts, id_pileta_destino, id_lote_destino, volumen_destino_lts) VALUES ('e9f4c3cf', 83, 'fd6b223b', 30000, 90, 'c1c626f1', 51600);</t>
  </si>
  <si>
    <t>INSERT INTO Movimientos_Detalle (id_movimiento, id_pileta_origen, id_lote_origen, volumen_origen_lts, id_pileta_destino, id_lote_destino, volumen_destino_lts) VALUES ('61c9dedf', 7, '95afa5f8', 9000, 91, 'a1061f77', 19800);</t>
  </si>
  <si>
    <t>INSERT INTO Movimientos_Detalle (id_movimiento, id_pileta_origen, id_lote_origen, volumen_origen_lts, id_pileta_destino, id_lote_destino, volumen_destino_lts) VALUES ('3d2e951a', 83, 'fd6b223b', 25000, 91, '5e2378bc', 44800);</t>
  </si>
  <si>
    <t>INSERT INTO Movimientos_Detalle (id_movimiento, id_pileta_origen, id_lote_origen, volumen_origen_lts, id_pileta_destino, id_lote_destino, volumen_destino_lts) VALUES ('2aae5b85', 83, 'fd6b223b', 17000, 84, 'da01d353', 33000);</t>
  </si>
  <si>
    <t>INSERT INTO Movimientos_Detalle (id_movimiento, id_pileta_origen, id_lote_origen, volumen_origen_lts, id_pileta_destino, id_lote_destino, volumen_destino_lts) VALUES ('fce1b87e', 87, '2dd2dee4', 22000, 88, 'b7df6d93', 37750);</t>
  </si>
  <si>
    <t>INSERT INTO Movimientos_Detalle (id_movimiento, id_pileta_origen, id_lote_origen, volumen_origen_lts, id_pileta_destino, id_lote_destino, volumen_destino_lts) VALUES ('29c4c29e', 78, 'f954f065', 11700, 28, 'dc3a84e1', 174700);</t>
  </si>
  <si>
    <t>INSERT INTO Movimientos_Detalle (id_movimiento, id_pileta_origen, id_lote_origen, volumen_origen_lts, id_pileta_destino, id_lote_destino, volumen_destino_lts) VALUES ('53a461f7', 86, 'afa1959b', 41000, 85, 'f5552916', 41000);</t>
  </si>
  <si>
    <t>INSERT INTO Movimientos_Detalle (id_movimiento, id_pileta_origen, id_lote_origen, volumen_origen_lts, id_pileta_destino, id_lote_destino, volumen_destino_lts) VALUES ('586cba81', 87, '2dd2dee4', 9800, 78, '247bde06', 14800);</t>
  </si>
  <si>
    <t>INSERT INTO Movimientos_Detalle (id_movimiento, id_pileta_origen, id_lote_origen, volumen_origen_lts, id_pileta_destino, id_lote_destino, volumen_destino_lts) VALUES ('f9afea55', 87, '2dd2dee4', 27600, 86, '714d2433', 45100);</t>
  </si>
  <si>
    <t>INSERT INTO Movimientos_Detalle (id_movimiento, id_pileta_origen, id_lote_origen, volumen_origen_lts, id_pileta_destino, id_lote_destino, volumen_destino_lts) VALUES ('8228f3fb', 69, '7c26092b', 7200, 72, '62e7b644', 7200);</t>
  </si>
  <si>
    <t>INSERT INTO Movimientos_Detalle (id_movimiento, id_pileta_origen, id_lote_origen, volumen_origen_lts, id_pileta_destino, id_lote_destino, volumen_destino_lts) VALUES ('8f4b1ed2', 73, '5b2f3285', 4200, 72, 'c98fe008', 11400);</t>
  </si>
  <si>
    <t>INSERT INTO Movimientos_Detalle (id_movimiento, id_pileta_origen, id_lote_origen, volumen_origen_lts, id_pileta_destino, id_lote_destino, volumen_destino_lts) VALUES ('0ba68d6a', 76, '14e4f6ad', 3000, 500, '6191710d', 30201);</t>
  </si>
  <si>
    <t>INSERT INTO Movimientos_Detalle (id_movimiento, id_pileta_origen, id_lote_origen, volumen_origen_lts, id_pileta_destino, id_lote_destino, volumen_destino_lts) VALUES ('d9d20dc0', 11, '49defec5', 5000, 76, 'df5e441f', 24800);</t>
  </si>
  <si>
    <t>INSERT INTO Movimientos_Detalle (id_movimiento, id_pileta_origen, id_lote_origen, volumen_origen_lts, id_pileta_destino, id_lote_destino, volumen_destino_lts) VALUES ('488766b0', 11, '49defec5', 5700, 77, '5d344df8', 16200);</t>
  </si>
  <si>
    <t>INSERT INTO Movimientos_Detalle (id_movimiento, id_pileta_origen, id_lote_origen, volumen_origen_lts, id_pileta_destino, id_lote_destino, volumen_destino_lts) VALUES ('363d4e26', 77, '5d344df8', -3000, 500, '7501c185', 27201);</t>
  </si>
  <si>
    <t>INSERT INTO Movimientos_Detalle (id_movimiento, id_pileta_origen, id_lote_origen, volumen_origen_lts, id_pileta_destino, id_lote_destino, volumen_destino_lts) VALUES ('bbccaee4', 90, 'c1c626f1', 30500, 125, '5a534180', 36120);</t>
  </si>
  <si>
    <t>INSERT INTO Movimientos_Detalle (id_movimiento, id_pileta_origen, id_lote_origen, volumen_origen_lts, id_pileta_destino, id_lote_destino, volumen_destino_lts) VALUES ('b229f727', 91, '5e2378bc', 30500, 126, '781075f7', 30500);</t>
  </si>
  <si>
    <t>INSERT INTO Movimientos_Detalle (id_movimiento, id_pileta_origen, id_lote_origen, volumen_origen_lts, id_pileta_destino, id_lote_destino, volumen_destino_lts) VALUES ('ec7704e2', 87, '2dd2dee4', 35600, 90, '33a1ed47', 56700);</t>
  </si>
  <si>
    <t>INSERT INTO Movimientos_Detalle (id_movimiento, id_pileta_origen, id_lote_origen, volumen_origen_lts, id_pileta_destino, id_lote_destino, volumen_destino_lts) VALUES ('673ad10f', 83, '12faab19', 35000, 91, 'b0d32d3c', 49300);</t>
  </si>
  <si>
    <t>INSERT INTO Movimientos_Detalle (id_movimiento, id_pileta_origen, id_lote_origen, volumen_origen_lts, id_pileta_destino, id_lote_destino, volumen_destino_lts) VALUES ('5388e2ee', 84, 'da01d353', 23000, 45, 'd2947d93', 23000);</t>
  </si>
  <si>
    <t>INSERT INTO Movimientos_Detalle (id_movimiento, id_pileta_origen, id_lote_origen, volumen_origen_lts, id_pileta_destino, id_lote_destino, volumen_destino_lts) VALUES ('f19bda58', 83, '12faab19', 30000, 84, '88134c0a', 40000);</t>
  </si>
  <si>
    <t>INSERT INTO Movimientos_Detalle (id_movimiento, id_pileta_origen, id_lote_origen, volumen_origen_lts, id_pileta_destino, id_lote_destino, volumen_destino_lts) VALUES ('53949e8f', 89, 'a042b2d1', 60800, 87, 'e0ab57bf', 60800);</t>
  </si>
  <si>
    <t>INSERT INTO Movimientos_Detalle (id_movimiento, id_pileta_origen, id_lote_origen, volumen_origen_lts, id_pileta_destino, id_lote_destino, volumen_destino_lts) VALUES ('c3cec4ca', 80, '1b8cfd3f', 17800, 87, '8d234d23', 78600);</t>
  </si>
  <si>
    <t>INSERT INTO Movimientos_Detalle (id_movimiento, id_pileta_origen, id_lote_origen, volumen_origen_lts, id_pileta_destino, id_lote_destino, volumen_destino_lts) VALUES ('b812a49c', 81, '7678fbc3', 15100, 87, 'bcf45804', 93700);</t>
  </si>
  <si>
    <t>INSERT INTO Movimientos_Detalle (id_movimiento, id_pileta_origen, id_lote_origen, volumen_origen_lts, id_pileta_destino, id_lote_destino, volumen_destino_lts) VALUES ('a8b963f4', 81, '7678fbc3', 3000, 935, '4c9ff21e', 9000);</t>
  </si>
  <si>
    <t>INSERT INTO Movimientos_Detalle (id_movimiento, id_pileta_origen, id_lote_origen, volumen_origen_lts, id_pileta_destino, id_lote_destino, volumen_destino_lts) VALUES ('160af005', 96, '4b2f415c', 35100, 41, '65ce6f3f', 35100);</t>
  </si>
  <si>
    <t>INSERT INTO Movimientos_Detalle (id_movimiento, id_pileta_origen, id_lote_origen, volumen_origen_lts, id_pileta_destino, id_lote_destino, volumen_destino_lts) VALUES ('8469e96d', 96, '4b2f415c', 17700, 54, 'e580a9d5', 17700);</t>
  </si>
  <si>
    <t>INSERT INTO Movimientos_Detalle (id_movimiento, id_pileta_origen, id_lote_origen, volumen_origen_lts, id_pileta_destino, id_lote_destino, volumen_destino_lts) VALUES ('3998063e', 95, '23f4cc53', 24300, 120, '0711f2d9', 88800);</t>
  </si>
  <si>
    <t>INSERT INTO Movimientos_Detalle (id_movimiento, id_pileta_origen, id_lote_origen, volumen_origen_lts, id_pileta_destino, id_lote_destino, volumen_destino_lts) VALUES ('8744bfc9', 95, '23f4cc53', 44200, 89, '09f2a666', 44200);</t>
  </si>
  <si>
    <t>INSERT INTO Movimientos_Detalle (id_movimiento, id_pileta_origen, id_lote_origen, volumen_origen_lts, id_pileta_destino, id_lote_destino, volumen_destino_lts) VALUES ('bcbed126', 89, '09f2a666', 25000, 500, 'd1326da2', 25001);</t>
  </si>
  <si>
    <t>INSERT INTO Movimientos_Detalle (id_movimiento, id_pileta_origen, id_lote_origen, volumen_origen_lts, id_pileta_destino, id_lote_destino, volumen_destino_lts) VALUES ('17473616', 82, 'db841e43', 25000, 89, '82a7be03', 44200);</t>
  </si>
  <si>
    <t>INSERT INTO Movimientos_Detalle (id_movimiento, id_pileta_origen, id_lote_origen, volumen_origen_lts, id_pileta_destino, id_lote_destino, volumen_destino_lts) VALUES ('4fef8a3a', 66, 'b87310b3', 12000, 89, 'b9fc1e21', 56200);</t>
  </si>
  <si>
    <t>INSERT INTO Movimientos_Detalle (id_movimiento, id_pileta_origen, id_lote_origen, volumen_origen_lts, id_pileta_destino, id_lote_destino, volumen_destino_lts) VALUES ('54643afb', 67, 'b9461082', 16500, 89, '51f2e92d', 72700);</t>
  </si>
  <si>
    <t>INSERT INTO Movimientos_Detalle (id_movimiento, id_pileta_origen, id_lote_origen, volumen_origen_lts, id_pileta_destino, id_lote_destino, volumen_destino_lts) VALUES ('25fb6238', 79, '254dce3b', 10800, 89, '47825ff1', 83500);</t>
  </si>
  <si>
    <t>INSERT INTO Movimientos_Detalle (id_movimiento, id_pileta_origen, id_lote_origen, volumen_origen_lts, id_pileta_destino, id_lote_destino, volumen_destino_lts) VALUES ('a1351ff3', 82, 'db841e43', 8000, 80, 'd6e77ca9', 8000);</t>
  </si>
  <si>
    <t>INSERT INTO Movimientos_Detalle (id_movimiento, id_pileta_origen, id_lote_origen, volumen_origen_lts, id_pileta_destino, id_lote_destino, volumen_destino_lts) VALUES ('5b57d424', 66, 'b87310b3', 5600, 80, '1a2c1684', 13600);</t>
  </si>
  <si>
    <t>INSERT INTO Movimientos_Detalle (id_movimiento, id_pileta_origen, id_lote_origen, volumen_origen_lts, id_pileta_destino, id_lote_destino, volumen_destino_lts) VALUES ('3600ec75', 67, 'b9461082', 6300, 80, 'ffa53251', 19900);</t>
  </si>
  <si>
    <t>INSERT INTO Movimientos_Detalle (id_movimiento, id_pileta_origen, id_lote_origen, volumen_origen_lts, id_pileta_destino, id_lote_destino, volumen_destino_lts) VALUES ('7597f9c4', 79, '254dce3b', 6200, 80, '31f824a6', 26100);</t>
  </si>
  <si>
    <t>INSERT INTO Movimientos_Detalle (id_movimiento, id_pileta_origen, id_lote_origen, volumen_origen_lts, id_pileta_destino, id_lote_destino, volumen_destino_lts) VALUES ('c01b1f66', 79, '254dce3b', 2200, 935, '837659aa', 11200);</t>
  </si>
  <si>
    <t>INSERT INTO Movimientos_Detalle (id_movimiento, id_pileta_origen, id_lote_origen, volumen_origen_lts, id_pileta_destino, id_lote_destino, volumen_destino_lts) VALUES ('f9b90b86', 79, '254dce3b', 1400, 500, '883b82dd', 26401);</t>
  </si>
  <si>
    <t>INSERT INTO Movimientos_Detalle (id_movimiento, id_pileta_origen, id_lote_origen, volumen_origen_lts, id_pileta_destino, id_lote_destino, volumen_destino_lts) VALUES ('c3eb52cc', 90, '33a1ed47', 56700, 95, '64e4bdc2', 56700);</t>
  </si>
  <si>
    <t>INSERT INTO Movimientos_Detalle (id_movimiento, id_pileta_origen, id_lote_origen, volumen_origen_lts, id_pileta_destino, id_lote_destino, volumen_destino_lts) VALUES ('dc52b6f0', 86, '714d2433', 20400, 95, 'e8b9aa9f', 77100);</t>
  </si>
  <si>
    <t>INSERT INTO Movimientos_Detalle (id_movimiento, id_pileta_origen, id_lote_origen, volumen_origen_lts, id_pileta_destino, id_lote_destino, volumen_destino_lts) VALUES ('087b013c', 86, '714d2433', 24700, 96, 'e2301c9d', 24700);</t>
  </si>
  <si>
    <t>INSERT INTO Movimientos_Detalle (id_movimiento, id_pileta_origen, id_lote_origen, volumen_origen_lts, id_pileta_destino, id_lote_destino, volumen_destino_lts) VALUES ('242b226e', 11, '49defec5', 700, 91, '163518fc', 50000);</t>
  </si>
  <si>
    <t>INSERT INTO Movimientos_Detalle (id_movimiento, id_pileta_origen, id_lote_origen, volumen_origen_lts, id_pileta_destino, id_lote_destino, volumen_destino_lts) VALUES ('146494ce', 11, '49defec5', 14000, 84, '3cd08afc', 54000);</t>
  </si>
  <si>
    <t>INSERT INTO Movimientos_Detalle (id_movimiento, id_pileta_origen, id_lote_origen, volumen_origen_lts, id_pileta_destino, id_lote_destino, volumen_destino_lts) VALUES ('0e8f47c0', 11, '49defec5', 2250, 88, 'd24bb01b', 40000);</t>
  </si>
  <si>
    <t>INSERT INTO Movimientos_Detalle (id_movimiento, id_pileta_origen, id_lote_origen, volumen_origen_lts, id_pileta_destino, id_lote_destino, volumen_destino_lts) VALUES ('51605ab2', 11, '49defec5', 6050, 500, 'b1a71460', 32451);</t>
  </si>
  <si>
    <t>INSERT INTO Movimientos_Detalle (id_movimiento, id_pileta_origen, id_lote_origen, volumen_origen_lts, id_pileta_destino, id_lote_destino, volumen_destino_lts) VALUES ('71bc4487', 935, '837659aa', 5000, 11, 'b26e8cc6', 5000);</t>
  </si>
  <si>
    <t>INSERT INTO Movimientos_Detalle (id_movimiento, id_pileta_origen, id_lote_origen, volumen_origen_lts, id_pileta_destino, id_lote_destino, volumen_destino_lts) VALUES ('f371e48b', 14, '3640d88c', 1000, 500, 'b112ea4a', 33451);</t>
  </si>
  <si>
    <t>INSERT INTO Movimientos_Detalle (id_movimiento, id_pileta_origen, id_lote_origen, volumen_origen_lts, id_pileta_destino, id_lote_destino, volumen_destino_lts) VALUES ('3e29b381', 15, 'f764d2d1', 1500, 500, 'd10280b4', 34951);</t>
  </si>
  <si>
    <t>INSERT INTO Movimientos_Detalle (id_movimiento, id_pileta_origen, id_lote_origen, volumen_origen_lts, id_pileta_destino, id_lote_destino, volumen_destino_lts) VALUES ('8152bced', 24, '7efc7da2', 1600, 500, '32dccd3f', 36551);</t>
  </si>
  <si>
    <t>INSERT INTO Movimientos_Detalle (id_movimiento, id_pileta_origen, id_lote_origen, volumen_origen_lts, id_pileta_destino, id_lote_destino, volumen_destino_lts) VALUES ('1b41b20f', 25, 'a6d28e88', 300, 500, 'af42804b', 36851);</t>
  </si>
  <si>
    <t>INSERT INTO Movimientos_Detalle (id_movimiento, id_pileta_origen, id_lote_origen, volumen_origen_lts, id_pileta_destino, id_lote_destino, volumen_destino_lts) VALUES ('0bfd575a', 26, 'efada090', 100, 500, 'd0135f24', 36951);</t>
  </si>
  <si>
    <t>INSERT INTO Movimientos_Detalle (id_movimiento, id_pileta_origen, id_lote_origen, volumen_origen_lts, id_pileta_destino, id_lote_destino, volumen_destino_lts) VALUES ('720d28d4', 28, 'dc3a84e1', -5300, 500, 'be44e9f6', 31651);</t>
  </si>
  <si>
    <t>INSERT INTO Movimientos_Detalle (id_movimiento, id_pileta_origen, id_lote_origen, volumen_origen_lts, id_pileta_destino, id_lote_destino, volumen_destino_lts) VALUES ('a59ddfe2', 30, 'eec28962', 300, 500, '920dc0b5', 31951);</t>
  </si>
  <si>
    <t>INSERT INTO Movimientos_Detalle (id_movimiento, id_pileta_origen, id_lote_origen, volumen_origen_lts, id_pileta_destino, id_lote_destino, volumen_destino_lts) VALUES ('4f07c665', 34, '7b6b2c2a', 4800, 500, 'e3e955b1', 36751);</t>
  </si>
  <si>
    <t>INSERT INTO Movimientos_Detalle (id_movimiento, id_pileta_origen, id_lote_origen, volumen_origen_lts, id_pileta_destino, id_lote_destino, volumen_destino_lts) VALUES ('eea4f69c', 41, '65ce6f3f', 100, 500, 'e32c078a', 36851);</t>
  </si>
  <si>
    <t>INSERT INTO Movimientos_Detalle (id_movimiento, id_pileta_origen, id_lote_origen, volumen_origen_lts, id_pileta_destino, id_lote_destino, volumen_destino_lts) VALUES ('fedb41fc', 44, '7ae457f1', 100, 500, '736fba40', 36951);</t>
  </si>
  <si>
    <t>INSERT INTO Movimientos_Detalle (id_movimiento, id_pileta_origen, id_lote_origen, volumen_origen_lts, id_pileta_destino, id_lote_destino, volumen_destino_lts) VALUES ('55c33655', 45, 'd2947d93', 500, 500, 'ffeda620', 37451);</t>
  </si>
  <si>
    <t>INSERT INTO Movimientos_Detalle (id_movimiento, id_pileta_origen, id_lote_origen, volumen_origen_lts, id_pileta_destino, id_lote_destino, volumen_destino_lts) VALUES ('28fdc847', 46, '92bbed34', 500, 500, 'f03419e2', 37951);</t>
  </si>
  <si>
    <t>INSERT INTO Movimientos_Detalle (id_movimiento, id_pileta_origen, id_lote_origen, volumen_origen_lts, id_pileta_destino, id_lote_destino, volumen_destino_lts) VALUES ('7188f781', 52, 'c750a1d2', 1000, 500, '29562a89', 38951);</t>
  </si>
  <si>
    <t>INSERT INTO Movimientos_Detalle (id_movimiento, id_pileta_origen, id_lote_origen, volumen_origen_lts, id_pileta_destino, id_lote_destino, volumen_destino_lts) VALUES ('2251d481', 54, 'e580a9d5', 4700, 500, 'f903f0b8', 43651);</t>
  </si>
  <si>
    <t>INSERT INTO Movimientos_Detalle (id_movimiento, id_pileta_origen, id_lote_origen, volumen_origen_lts, id_pileta_destino, id_lote_destino, volumen_destino_lts) VALUES ('44f10d12', 76, 'df5e441f', 6800, 500, '5bb686b4', 50451);</t>
  </si>
  <si>
    <t>INSERT INTO Movimientos_Detalle (id_movimiento, id_pileta_origen, id_lote_origen, volumen_origen_lts, id_pileta_destino, id_lote_destino, volumen_destino_lts) VALUES ('72a46219', 77, '5d344df8', 1200, 500, '3a00f0d2', 51651);</t>
  </si>
  <si>
    <t>INSERT INTO Movimientos_Detalle (id_movimiento, id_pileta_origen, id_lote_origen, volumen_origen_lts, id_pileta_destino, id_lote_destino, volumen_destino_lts) VALUES ('f0da5979', 80, '31f824a6', 9100, 500, 'a9e55b1f', 60751);</t>
  </si>
  <si>
    <t>INSERT INTO Movimientos_Detalle (id_movimiento, id_pileta_origen, id_lote_origen, volumen_origen_lts, id_pileta_destino, id_lote_destino, volumen_destino_lts) VALUES ('bcfe1f81', 83, '12faab19', 25000, 500, 'c7e67b2b', 85751);</t>
  </si>
  <si>
    <t>INSERT INTO Movimientos_Detalle (id_movimiento, id_pileta_origen, id_lote_origen, volumen_origen_lts, id_pileta_destino, id_lote_destino, volumen_destino_lts) VALUES ('40ba4ab9', 85, 'f5552916', 6000, 500, '3e5de831', 91751);</t>
  </si>
  <si>
    <t>INSERT INTO Movimientos_Detalle (id_movimiento, id_pileta_origen, id_lote_origen, volumen_origen_lts, id_pileta_destino, id_lote_destino, volumen_destino_lts) VALUES ('6249f53a', 87, 'bcf45804', 5700, 500, 'c162b136', 97451);</t>
  </si>
  <si>
    <t>INSERT INTO Movimientos_Detalle (id_movimiento, id_pileta_origen, id_lote_origen, volumen_origen_lts, id_pileta_destino, id_lote_destino, volumen_destino_lts) VALUES ('04250c0e', 92, 'f4ef7eb7', 2500, 500, '63f835d2', 99951);</t>
  </si>
  <si>
    <t>INSERT INTO Movimientos_Detalle (id_movimiento, id_pileta_origen, id_lote_origen, volumen_origen_lts, id_pileta_destino, id_lote_destino, volumen_destino_lts) VALUES ('1fcedac0', 931, 'abbbaccc', 2000, 500, 'cc7d6ede', 101951);</t>
  </si>
  <si>
    <t>INSERT INTO Movimientos_Detalle (id_movimiento, id_pileta_origen, id_lote_origen, volumen_origen_lts, id_pileta_destino, id_lote_destino, volumen_destino_lts) VALUES ('5a2ebd67', 935, '837659aa', -1300, 500, 'b72e8fa5', 100651);</t>
  </si>
  <si>
    <t>INSERT INTO Movimientos_Detalle (id_movimiento, id_pileta_origen, id_lote_origen, volumen_origen_lts, id_pileta_destino, id_lote_destino, volumen_destino_lts) VALUES ('091a13e5', 110, 'd251428e', 8600, 500, '6eff06c5', 109251);</t>
  </si>
  <si>
    <t>INSERT INTO Movimientos_Detalle (id_movimiento, id_pileta_origen, id_lote_origen, volumen_origen_lts, id_pileta_destino, id_lote_destino, volumen_destino_lts) VALUES ('47cf1b1f', 115, '03e27ebe', 4000, 500, '8eb42fc1', 113251);</t>
  </si>
  <si>
    <t>INSERT INTO Movimientos_Detalle (id_movimiento, id_pileta_origen, id_lote_origen, volumen_origen_lts, id_pileta_destino, id_lote_destino, volumen_destino_lts) VALUES ('3c6de361', 116, '27a8c5fb', 3000, 500, '684dcfdb', 116251);</t>
  </si>
  <si>
    <t>INSERT INTO Movimientos_Detalle (id_movimiento, id_pileta_origen, id_lote_origen, volumen_origen_lts, id_pileta_destino, id_lote_destino, volumen_destino_lts) VALUES ('ff2fba90', 118, '8ec426a5', 600, 500, 'f3aba56a', 116851);</t>
  </si>
  <si>
    <t>INSERT INTO Movimientos_Detalle (id_movimiento, id_pileta_origen, id_lote_origen, volumen_origen_lts, id_pileta_destino, id_lote_destino, volumen_destino_lts) VALUES ('7bd8590f', 125, '5a534180', 2500, 500, '3e75d6d3', 119351);</t>
  </si>
  <si>
    <t>INSERT INTO Movimientos_Detalle (id_movimiento, id_pileta_origen, id_lote_origen, volumen_origen_lts, id_pileta_destino, id_lote_destino, volumen_destino_lts) VALUES ('40b23cbf', 126, '781075f7', 2500, 500, '8024bac4', 121851);</t>
  </si>
  <si>
    <t>INSERT INTO Movimientos_Detalle (id_movimiento, id_pileta_origen, id_lote_origen, volumen_origen_lts, id_pileta_destino, id_lote_destino, volumen_destino_lts) VALUES ('4527cf43', 91, '163518fc', 50000, 96, '6feed4a6', 74700);</t>
  </si>
  <si>
    <t>INSERT INTO Movimientos_Detalle (id_movimiento, id_pileta_origen, id_lote_origen, volumen_origen_lts, id_pileta_destino, id_lote_destino, volumen_destino_lts) VALUES ('b9c1a6b0', 84, '3cd08afc', 10900, 96, 'cf107ae5', 85600);</t>
  </si>
  <si>
    <t>INSERT INTO Movimientos_Detalle (id_movimiento, id_pileta_origen, id_lote_origen, volumen_origen_lts, id_pileta_destino, id_lote_destino, volumen_destino_lts) VALUES ('f092b0cc', 84, '3cd08afc', 43100, 83, '7ff93f30', 43100);</t>
  </si>
  <si>
    <t>INSERT INTO Movimientos_Detalle (id_movimiento, id_pileta_origen, id_lote_origen, volumen_origen_lts, id_pileta_destino, id_lote_destino, volumen_destino_lts) VALUES ('a0a798a6', 150, 'd53930ff', 1500, 77, '0be7fff5', 19500);</t>
  </si>
  <si>
    <t>INSERT INTO Movimientos_Detalle (id_movimiento, id_pileta_origen, id_lote_origen, volumen_origen_lts, id_pileta_destino, id_lote_destino, volumen_destino_lts) VALUES ('cfa73ff6', 150, 'd53930ff', 1000, 76, 'db10cc10', 19000);</t>
  </si>
  <si>
    <t>INSERT INTO Movimientos_Detalle (id_movimiento, id_pileta_origen, id_lote_origen, volumen_origen_lts, id_pileta_destino, id_lote_destino, volumen_destino_lts) VALUES ('8d771205', 88, 'd24bb01b', 38400, 83, '7fce2b75', 81500);</t>
  </si>
  <si>
    <t>INSERT INTO Movimientos_Detalle (id_movimiento, id_pileta_origen, id_lote_origen, volumen_origen_lts, id_pileta_destino, id_lote_destino, volumen_destino_lts) VALUES ('4fd0571c', 88, 'd24bb01b', 1600, 11, '60bf4ff8', 6600);</t>
  </si>
  <si>
    <t>INSERT INTO Movimientos_Detalle (id_movimiento, id_pileta_origen, id_lote_origen, volumen_origen_lts, id_pileta_destino, id_lote_destino, volumen_destino_lts) VALUES ('c4c9bd63', 12, '28029583', 35000, 90, 'ec4ee36d', 35000);</t>
  </si>
  <si>
    <t>INSERT INTO Movimientos_Detalle (id_movimiento, id_pileta_origen, id_lote_origen, volumen_origen_lts, id_pileta_destino, id_lote_destino, volumen_destino_lts) VALUES ('ee80235b', 50, '6ee897e9', 5100, 90, '28a7cc85', 40100);</t>
  </si>
  <si>
    <t>INSERT INTO Movimientos_Detalle (id_movimiento, id_pileta_origen, id_lote_origen, volumen_origen_lts, id_pileta_destino, id_lote_destino, volumen_destino_lts) VALUES ('f30fe45b', 104, '1d042bcb', 30000, 90, '8f113233', 70100);</t>
  </si>
  <si>
    <t>INSERT INTO Movimientos_Detalle (id_movimiento, id_pileta_origen, id_lote_origen, volumen_origen_lts, id_pileta_destino, id_lote_destino, volumen_destino_lts) VALUES ('e88f9da0', 102, '96467006', 27400, 90, '1f012354', 97500);</t>
  </si>
  <si>
    <t>INSERT INTO Movimientos_Detalle (id_movimiento, id_pileta_origen, id_lote_origen, volumen_origen_lts, id_pileta_destino, id_lote_destino, volumen_destino_lts) VALUES ('3414cb5c', 102, '96467006', 2600, 11, 'ec820b78', 9200);</t>
  </si>
  <si>
    <t>INSERT INTO Movimientos_Detalle (id_movimiento, id_pileta_origen, id_lote_origen, volumen_origen_lts, id_pileta_destino, id_lote_destino, volumen_destino_lts) VALUES ('5e87727d', 92, 'f4ef7eb7', 46000, 91, '028fb505', 46000);</t>
  </si>
  <si>
    <t>INSERT INTO Movimientos_Detalle (id_movimiento, id_pileta_origen, id_lote_origen, volumen_origen_lts, id_pileta_destino, id_lote_destino, volumen_destino_lts) VALUES ('2abe291a', 76, 'db10cc10', 19000, 66, 'b704cbde', 19000);</t>
  </si>
  <si>
    <t>INSERT INTO Movimientos_Detalle (id_movimiento, id_pileta_origen, id_lote_origen, volumen_origen_lts, id_pileta_destino, id_lote_destino, volumen_destino_lts) VALUES ('aa52f2f6', 65, 'e3bf14f2', 26500, 81, '3559c80c', 26500);</t>
  </si>
  <si>
    <t>INSERT INTO Movimientos_Detalle (id_movimiento, id_pileta_origen, id_lote_origen, volumen_origen_lts, id_pileta_destino, id_lote_destino, volumen_destino_lts) VALUES ('ea0c5083', 65, 'e3bf14f2', 750, 500, 'c999dbd9', 122601);</t>
  </si>
  <si>
    <t>INSERT INTO Movimientos_Detalle (id_movimiento, id_pileta_origen, id_lote_origen, volumen_origen_lts, id_pileta_destino, id_lote_destino, volumen_destino_lts) VALUES ('d6b9431a', 77, '0be7fff5', 19500, 67, 'de2017df', 19500);</t>
  </si>
  <si>
    <t>INSERT INTO Movimientos_Detalle (id_movimiento, id_pileta_origen, id_lote_origen, volumen_origen_lts, id_pileta_destino, id_lote_destino, volumen_destino_lts) VALUES ('c12a1e92', 125, '5a534180', 14000, 88, '9f167646', 14000);</t>
  </si>
  <si>
    <t>INSERT INTO Movimientos_Detalle (id_movimiento, id_pileta_origen, id_lote_origen, volumen_origen_lts, id_pileta_destino, id_lote_destino, volumen_destino_lts) VALUES ('3926b3b4', 125, '5a534180', 14000, 84, 'e341ebb9', 14000);</t>
  </si>
  <si>
    <t>INSERT INTO Movimientos_Detalle (id_movimiento, id_pileta_origen, id_lote_origen, volumen_origen_lts, id_pileta_destino, id_lote_destino, volumen_destino_lts) VALUES ('b67579f9', 126, '781075f7', 14000, 88, 'ad6fc72a', 28000);</t>
  </si>
  <si>
    <t>INSERT INTO Movimientos_Detalle (id_movimiento, id_pileta_origen, id_lote_origen, volumen_origen_lts, id_pileta_destino, id_lote_destino, volumen_destino_lts) VALUES ('c37e0245', 126, '781075f7', 14000, 84, '8a8c9f52', 28000);</t>
  </si>
  <si>
    <t>INSERT INTO Movimientos_Detalle (id_movimiento, id_pileta_origen, id_lote_origen, volumen_origen_lts, id_pileta_destino, id_lote_destino, volumen_destino_lts) VALUES ('d5e5d68e', 127, '91eadabd', 15000, 88, 'c9833042', 43000);</t>
  </si>
  <si>
    <t>INSERT INTO Movimientos_Detalle (id_movimiento, id_pileta_origen, id_lote_origen, volumen_origen_lts, id_pileta_destino, id_lote_destino, volumen_destino_lts) VALUES ('da9de7e2', 127, '91eadabd', 15000, 84, '2b3d385d', 43000);</t>
  </si>
  <si>
    <t>INSERT INTO Movimientos_Detalle (id_movimiento, id_pileta_origen, id_lote_origen, volumen_origen_lts, id_pileta_destino, id_lote_destino, volumen_destino_lts) VALUES ('a77a2985', 116, '27a8c5fb', 27000, 88, 'ab0559b8', 70000);</t>
  </si>
  <si>
    <t>INSERT INTO Movimientos_Detalle (id_movimiento, id_pileta_origen, id_lote_origen, volumen_origen_lts, id_pileta_destino, id_lote_destino, volumen_destino_lts) VALUES ('5533fb7c', 116, '27a8c5fb', 27000, 84, '0aec25e6', 70000);</t>
  </si>
  <si>
    <t>INSERT INTO Movimientos_Detalle (id_movimiento, id_pileta_origen, id_lote_origen, volumen_origen_lts, id_pileta_destino, id_lote_destino, volumen_destino_lts) VALUES ('b1fdeb46', 78, '247bde06', 14800, 79, '0f749555', 14800);</t>
  </si>
  <si>
    <t>INSERT INTO Movimientos_Detalle (id_movimiento, id_pileta_origen, id_lote_origen, volumen_origen_lts, id_pileta_destino, id_lote_destino, volumen_destino_lts) VALUES ('6a20e2cc', 45, 'd2947d93', 8900, 88, '3030acaa', 78900);</t>
  </si>
  <si>
    <t>INSERT INTO Movimientos_Detalle (id_movimiento, id_pileta_origen, id_lote_origen, volumen_origen_lts, id_pileta_destino, id_lote_destino, volumen_destino_lts) VALUES ('340edc7e', 45, 'd2947d93', 13000, 84, '80d02e67', 83000);</t>
  </si>
  <si>
    <t>INSERT INTO Movimientos_Detalle (id_movimiento, id_pileta_origen, id_lote_origen, volumen_origen_lts, id_pileta_destino, id_lote_destino, volumen_destino_lts) VALUES ('a5dbbaa3', 45, 'd2947d93', 600, 11, 'c1d9bfc2', 9800);</t>
  </si>
  <si>
    <t>INSERT INTO Movimientos_Detalle (id_movimiento, id_pileta_origen, id_lote_origen, volumen_origen_lts, id_pileta_destino, id_lote_destino, volumen_destino_lts) VALUES ('ba517461', 103, '290ee918', 30000, 82, '46acf5ed', 30000);</t>
  </si>
  <si>
    <t>INSERT INTO Movimientos_Detalle (id_movimiento, id_pileta_origen, id_lote_origen, volumen_origen_lts, id_pileta_destino, id_lote_destino, volumen_destino_lts) VALUES ('55ffaf90', 106, 'b1ca9458', 11000, 82, '20f062e7', 41000);</t>
  </si>
  <si>
    <t>INSERT INTO Movimientos_Detalle (id_movimiento, id_pileta_origen, id_lote_origen, volumen_origen_lts, id_pileta_destino, id_lote_destino, volumen_destino_lts) VALUES ('3249908a', 52, 'c750a1d2', 24000, 116, '3c150dd5', 24000);</t>
  </si>
  <si>
    <t>INSERT INTO Movimientos_Detalle (id_movimiento, id_pileta_origen, id_lote_origen, volumen_origen_lts, id_pileta_destino, id_lote_destino, volumen_destino_lts) VALUES ('fecd47d8', 85, 'f5552916', 35000, 116, '57f606f3', 59000);</t>
  </si>
  <si>
    <t>INSERT INTO Movimientos_Detalle (id_movimiento, id_pileta_origen, id_lote_origen, volumen_origen_lts, id_pileta_destino, id_lote_destino, volumen_destino_lts) VALUES ('52ff4dae', 107, 'afed01fa', 30000, 116, '029318be', 89000);</t>
  </si>
  <si>
    <t>INSERT INTO Movimientos_Detalle (id_movimiento, id_pileta_origen, id_lote_origen, volumen_origen_lts, id_pileta_destino, id_lote_destino, volumen_destino_lts) VALUES ('5ecc52dd', 109, '33d70f3e', 10600, 116, '7a999708', 99600);</t>
  </si>
  <si>
    <t>INSERT INTO Movimientos_Detalle (id_movimiento, id_pileta_origen, id_lote_origen, volumen_origen_lts, id_pileta_destino, id_lote_destino, volumen_destino_lts) VALUES ('2bea85a7', 105, 'e33f8556', 30000, 125, '3b7f8f1f', 30000);</t>
  </si>
  <si>
    <t>INSERT INTO Movimientos_Detalle (id_movimiento, id_pileta_origen, id_lote_origen, volumen_origen_lts, id_pileta_destino, id_lote_destino, volumen_destino_lts) VALUES ('8f72e535', 125, '3b7f8f1f', 9000, 6, '295b868d', 9000);</t>
  </si>
  <si>
    <t>INSERT INTO Movimientos_Detalle (id_movimiento, id_pileta_origen, id_lote_origen, volumen_origen_lts, id_pileta_destino, id_lote_destino, volumen_destino_lts) VALUES ('399cb47e', 6, '295b868d', 9000, 125, 'f27aca73', 30000);</t>
  </si>
  <si>
    <t>INSERT INTO Movimientos_Detalle (id_movimiento, id_pileta_origen, id_lote_origen, volumen_origen_lts, id_pileta_destino, id_lote_destino, volumen_destino_lts) VALUES ('7fc96ae7', 81, '3559c80c', 3500, 500, 'd71a5bd5', 126101);</t>
  </si>
  <si>
    <t>INSERT INTO Movimientos_Detalle (id_movimiento, id_pileta_origen, id_lote_origen, volumen_origen_lts, id_pileta_destino, id_lote_destino, volumen_destino_lts) VALUES ('e0f9c372', 108, 'b1b9580e', 30000, 126, '56888a83', 30000);</t>
  </si>
  <si>
    <t>INSERT INTO Movimientos_Detalle (id_movimiento, id_pileta_origen, id_lote_origen, volumen_origen_lts, id_pileta_destino, id_lote_destino, volumen_destino_lts) VALUES ('8c84e42b', 70, '65c7867f', 11000, 73, '042123a0', 11000);</t>
  </si>
  <si>
    <t>INSERT INTO Movimientos_Detalle (id_movimiento, id_pileta_origen, id_lote_origen, volumen_origen_lts, id_pileta_destino, id_lote_destino, volumen_destino_lts) VALUES ('ef04b39f', 118, '8ec426a5', 2000, 73, '0760321a', 13000);</t>
  </si>
  <si>
    <t>INSERT INTO Movimientos_Detalle (id_movimiento, id_pileta_origen, id_lote_origen, volumen_origen_lts, id_pileta_destino, id_lote_destino, volumen_destino_lts) VALUES ('78bec9ac', 109, '33d70f3e', 4400, 94, '79317f47', 16000);</t>
  </si>
  <si>
    <t>INSERT INTO Movimientos_Detalle (id_movimiento, id_pileta_origen, id_lote_origen, volumen_origen_lts, id_pileta_destino, id_lote_destino, volumen_destino_lts) VALUES ('44bbdc44', 94, '79317f47', 15000, 12, '1afbb480', 15000);</t>
  </si>
  <si>
    <t>INSERT INTO Movimientos_Detalle (id_movimiento, id_pileta_origen, id_lote_origen, volumen_origen_lts, id_pileta_destino, id_lote_destino, volumen_destino_lts) VALUES ('695bf7b9', 28, 'dc3a84e1', 31000, 102, 'cbf4bbc1', 31000);</t>
  </si>
  <si>
    <t>INSERT INTO Movimientos_Detalle (id_movimiento, id_pileta_origen, id_lote_origen, volumen_origen_lts, id_pileta_destino, id_lote_destino, volumen_destino_lts) VALUES ('59458040', 28, 'dc3a84e1', 31000, 103, 'd0071dd4', 31000);</t>
  </si>
  <si>
    <t>INSERT INTO Movimientos_Detalle (id_movimiento, id_pileta_origen, id_lote_origen, volumen_origen_lts, id_pileta_destino, id_lote_destino, volumen_destino_lts) VALUES ('fd28d39c', 28, 'dc3a84e1', 31000, 104, '1828d39f', 31000);</t>
  </si>
  <si>
    <t>INSERT INTO Movimientos_Detalle (id_movimiento, id_pileta_origen, id_lote_origen, volumen_origen_lts, id_pileta_destino, id_lote_destino, volumen_destino_lts) VALUES ('18902e9e', 28, 'dc3a84e1', 31000, 105, 'ddc627ec', 31000);</t>
  </si>
  <si>
    <t>INSERT INTO Movimientos_Detalle (id_movimiento, id_pileta_origen, id_lote_origen, volumen_origen_lts, id_pileta_destino, id_lote_destino, volumen_destino_lts) VALUES ('88bae770', 28, 'dc3a84e1', 24000, 107, '56ef2422', 24000);</t>
  </si>
  <si>
    <t>INSERT INTO Movimientos_Detalle (id_movimiento, id_pileta_origen, id_lote_origen, volumen_origen_lts, id_pileta_destino, id_lote_destino, volumen_destino_lts) VALUES ('5c389672', 28, 'dc3a84e1', 17000, 108, 'e9379a58', 17000);</t>
  </si>
  <si>
    <t>INSERT INTO Movimientos_Detalle (id_movimiento, id_pileta_origen, id_lote_origen, volumen_origen_lts, id_pileta_destino, id_lote_destino, volumen_destino_lts) VALUES ('7151898f', 28, 'dc3a84e1', 15000, 12, 'b3edc5e1', 30000);</t>
  </si>
  <si>
    <t>INSERT INTO Movimientos_Detalle (id_movimiento, id_pileta_origen, id_lote_origen, volumen_origen_lts, id_pileta_destino, id_lote_destino, volumen_destino_lts) VALUES ('b55fc06f', 125, 'f27aca73', 30000, 6, '49b10489', 30000);</t>
  </si>
  <si>
    <t>INSERT INTO Movimientos_Detalle (id_movimiento, id_pileta_origen, id_lote_origen, volumen_origen_lts, id_pileta_destino, id_lote_destino, volumen_destino_lts) VALUES ('706da0ed', 931, 'abbbaccc', 4000, 12, 'd85a9e51', 34000);</t>
  </si>
  <si>
    <t>INSERT INTO Movimientos_Detalle (id_movimiento, id_pileta_origen, id_lote_origen, volumen_origen_lts, id_pileta_destino, id_lote_destino, volumen_destino_lts) VALUES ('9d6c0309', 66, 'b704cbde', 19000, 85, '769b3f5c', 19000);</t>
  </si>
  <si>
    <t>INSERT INTO Movimientos_Detalle (id_movimiento, id_pileta_origen, id_lote_origen, volumen_origen_lts, id_pileta_destino, id_lote_destino, volumen_destino_lts) VALUES ('73307f87', 67, 'de2017df', 19500, 85, '6c02e5fd', 38500);</t>
  </si>
  <si>
    <t>INSERT INTO Movimientos_Detalle (id_movimiento, id_pileta_origen, id_lote_origen, volumen_origen_lts, id_pileta_destino, id_lote_destino, volumen_destino_lts) VALUES ('14d7cd66', 81, '3559c80c', 23000, 85, '55f5d2d3', 61500);</t>
  </si>
  <si>
    <t>INSERT INTO Movimientos_Detalle (id_movimiento, id_pileta_origen, id_lote_origen, volumen_origen_lts, id_pileta_destino, id_lote_destino, volumen_destino_lts) VALUES ('0851f73f', 80, '31f824a6', 17000, 76, '7a4910aa', 17000);</t>
  </si>
  <si>
    <t>INSERT INTO Movimientos_Detalle (id_movimiento, id_pileta_origen, id_lote_origen, volumen_origen_lts, id_pileta_destino, id_lote_destino, volumen_destino_lts) VALUES ('88591b3c', 79, '0f749555', 14800, 77, 'da2b6cac', 14800);</t>
  </si>
  <si>
    <t>INSERT INTO Movimientos_Detalle (id_movimiento, id_pileta_origen, id_lote_origen, volumen_origen_lts, id_pileta_destino, id_lote_destino, volumen_destino_lts) VALUES ('a2b567cc', 72, 'c98fe008', 11400, 71, '9f02a2e8', 11400);</t>
  </si>
  <si>
    <t>INSERT INTO Movimientos_Detalle (id_movimiento, id_pileta_origen, id_lote_origen, volumen_origen_lts, id_pileta_destino, id_lote_destino, volumen_destino_lts) VALUES ('56168283', 935, '837659aa', 7500, 11, '0bf12134', 17300);</t>
  </si>
  <si>
    <t>INSERT INTO Movimientos_Detalle (id_movimiento, id_pileta_origen, id_lote_origen, volumen_origen_lts, id_pileta_destino, id_lote_destino, volumen_destino_lts) VALUES ('1e78a523', 94, '79317f47', 1000, 11, '568f382f', 18300);</t>
  </si>
  <si>
    <t>INSERT INTO Movimientos_Detalle (id_movimiento, id_pileta_origen, id_lote_origen, volumen_origen_lts, id_pileta_destino, id_lote_destino, volumen_destino_lts) VALUES ('c34093bc', 110, 'd251428e', 7000, 11, 'e6ca31fd', 25300);</t>
  </si>
  <si>
    <t>INSERT INTO Movimientos_Detalle (id_movimiento, id_pileta_origen, id_lote_origen, volumen_origen_lts, id_pileta_destino, id_lote_destino, volumen_destino_lts) VALUES ('01e26e2c', 6, '49b10489', 5000, 500, '4e2e27d9', 5001);</t>
  </si>
  <si>
    <t>INSERT INTO Movimientos_Detalle (id_movimiento, id_pileta_origen, id_lote_origen, volumen_origen_lts, id_pileta_destino, id_lote_destino, volumen_destino_lts) VALUES ('d210a460', 11, 'e6ca31fd', -10700, 500, 'cb2ca221', -5699);</t>
  </si>
  <si>
    <t>INSERT INTO Movimientos_Detalle (id_movimiento, id_pileta_origen, id_lote_origen, volumen_origen_lts, id_pileta_destino, id_lote_destino, volumen_destino_lts) VALUES ('96f04c2e', 12, 'd85a9e51', 17000, 500, '16e5e87f', 11301);</t>
  </si>
  <si>
    <t>INSERT INTO Movimientos_Detalle (id_movimiento, id_pileta_origen, id_lote_origen, volumen_origen_lts, id_pileta_destino, id_lote_destino, volumen_destino_lts) VALUES ('d32654b2', 14, '3640d88c', -1000, 500, '1169aeda', 10301);</t>
  </si>
  <si>
    <t>INSERT INTO Movimientos_Detalle (id_movimiento, id_pileta_origen, id_lote_origen, volumen_origen_lts, id_pileta_destino, id_lote_destino, volumen_destino_lts) VALUES ('ea782cd1', 15, 'f764d2d1', -1000, 500, '4560c2a1', 9301);</t>
  </si>
  <si>
    <t>INSERT INTO Movimientos_Detalle (id_movimiento, id_pileta_origen, id_lote_origen, volumen_origen_lts, id_pileta_destino, id_lote_destino, volumen_destino_lts) VALUES ('89c11ee8', 25, 'a6d28e88', 2000, 500, '62584ebc', 11301);</t>
  </si>
  <si>
    <t>INSERT INTO Movimientos_Detalle (id_movimiento, id_pileta_origen, id_lote_origen, volumen_origen_lts, id_pileta_destino, id_lote_destino, volumen_destino_lts) VALUES ('a13cc567', 30, 'eec28962', -300, NULL, '8cf84f68', -300);</t>
  </si>
  <si>
    <t>INSERT INTO Movimientos_Detalle (id_movimiento, id_pileta_origen, id_lote_origen, volumen_origen_lts, id_pileta_destino, id_lote_destino, volumen_destino_lts) VALUES ('cde0fb1d', 34, '7b6b2c2a', -5000, 500, '158a7d9d', 6301);</t>
  </si>
  <si>
    <t>INSERT INTO Movimientos_Detalle (id_movimiento, id_pileta_origen, id_lote_origen, volumen_origen_lts, id_pileta_destino, id_lote_destino, volumen_destino_lts) VALUES ('2f617090', 46, '92bbed34', 2500, 500, 'cc1de158', 8801);</t>
  </si>
  <si>
    <t>INSERT INTO Movimientos_Detalle (id_movimiento, id_pileta_origen, id_lote_origen, volumen_origen_lts, id_pileta_destino, id_lote_destino, volumen_destino_lts) VALUES ('db821edf', 77, 'da2b6cac', -1200, 500, 'd126860c', 7601);</t>
  </si>
  <si>
    <t>INSERT INTO Movimientos_Detalle (id_movimiento, id_pileta_origen, id_lote_origen, volumen_origen_lts, id_pileta_destino, id_lote_destino, volumen_destino_lts) VALUES ('fef08b4b', 82, '20f062e7', -1600, 500, '7a97024d', 6001);</t>
  </si>
  <si>
    <t>INSERT INTO Movimientos_Detalle (id_movimiento, id_pileta_origen, id_lote_origen, volumen_origen_lts, id_pileta_destino, id_lote_destino, volumen_destino_lts) VALUES ('d543aed1', 87, 'bcf45804', -2000, 500, 'eef5b1b3', 4001);</t>
  </si>
  <si>
    <t>INSERT INTO Movimientos_Detalle (id_movimiento, id_pileta_origen, id_lote_origen, volumen_origen_lts, id_pileta_destino, id_lote_destino, volumen_destino_lts) VALUES ('34cafb63', 91, '028fb505', -2000, 500, 'b1e6b748', 2001);</t>
  </si>
  <si>
    <t>INSERT INTO Movimientos_Detalle (id_movimiento, id_pileta_origen, id_lote_origen, volumen_origen_lts, id_pileta_destino, id_lote_destino, volumen_destino_lts) VALUES ('1c6ab84d', 95, 'e8b9aa9f', 2100, 500, '690e2b0e', 4101);</t>
  </si>
  <si>
    <t>INSERT INTO Movimientos_Detalle (id_movimiento, id_pileta_origen, id_lote_origen, volumen_origen_lts, id_pileta_destino, id_lote_destino, volumen_destino_lts) VALUES ('edbea844', 118, '8ec426a5', 13000, 500, 'a0d9c177', 17101);</t>
  </si>
  <si>
    <t>INSERT INTO Movimientos_Detalle (id_movimiento, id_pileta_origen, id_lote_origen, volumen_origen_lts, id_pileta_destino, id_lote_destino, volumen_destino_lts) VALUES ('3b56eaa1', 126, '56888a83', 1000, 500, '8f384525', 18101);</t>
  </si>
  <si>
    <t>INSERT INTO Movimientos_Detalle (id_movimiento, id_pileta_origen, id_lote_origen, volumen_origen_lts, id_pileta_destino, id_lote_destino, volumen_destino_lts) VALUES ('d76709cf', 114, 'e53d4606', 83000, 28, '7597a62d', 83000);</t>
  </si>
  <si>
    <t>INSERT INTO Movimientos_Detalle (id_movimiento, id_pileta_origen, id_lote_origen, volumen_origen_lts, id_pileta_destino, id_lote_destino, volumen_destino_lts) VALUES ('2548eecd', 118, '8ec426a5', 55000, 28, 'b0d54181', 138000);</t>
  </si>
  <si>
    <t>INSERT INTO Movimientos_Detalle (id_movimiento, id_pileta_origen, id_lote_origen, volumen_origen_lts, id_pileta_destino, id_lote_destino, volumen_destino_lts) VALUES ('a4bb43be', 46, '92bbed34', 26000, 28, 'cee6847e', 164000);</t>
  </si>
  <si>
    <t>INSERT INTO Movimientos_Detalle (id_movimiento, id_pileta_origen, id_lote_origen, volumen_origen_lts, id_pileta_destino, id_lote_destino, volumen_destino_lts) VALUES ('08fab7a1', 24, '7efc7da2', 36600, 28, '160a169f', 200600);</t>
  </si>
  <si>
    <t>INSERT INTO Movimientos_Detalle (id_movimiento, id_pileta_origen, id_lote_origen, volumen_origen_lts, id_pileta_destino, id_lote_destino, volumen_destino_lts) VALUES ('e0c8334a', 114, 'e53d4606', 15400, 86, '060cc284', 15400);</t>
  </si>
  <si>
    <t>INSERT INTO Movimientos_Detalle (id_movimiento, id_pileta_origen, id_lote_origen, volumen_origen_lts, id_pileta_destino, id_lote_destino, volumen_destino_lts) VALUES ('8b594168', 114, 'e53d4606', 4300, 81, '2cf8d99b', 4300);</t>
  </si>
  <si>
    <t>INSERT INTO Movimientos_Detalle (id_movimiento, id_pileta_origen, id_lote_origen, volumen_origen_lts, id_pileta_destino, id_lote_destino, volumen_destino_lts) VALUES ('7dc9d65e', 118, '8ec426a5', 21930, 114, 'ffaf53fb', 44530);</t>
  </si>
  <si>
    <t>INSERT INTO Movimientos_Detalle (id_movimiento, id_pileta_origen, id_lote_origen, volumen_origen_lts, id_pileta_destino, id_lote_destino, volumen_destino_lts) VALUES ('6d6cd544', 118, '8ec426a5', 15400, 86, 'bc83d8e6', 30800);</t>
  </si>
  <si>
    <t>INSERT INTO Movimientos_Detalle (id_movimiento, id_pileta_origen, id_lote_origen, volumen_origen_lts, id_pileta_destino, id_lote_destino, volumen_destino_lts) VALUES ('8843f42e', 118, '8ec426a5', 4375, 81, '378271b5', 8675);</t>
  </si>
  <si>
    <t>INSERT INTO Movimientos_Detalle (id_movimiento, id_pileta_origen, id_lote_origen, volumen_origen_lts, id_pileta_destino, id_lote_destino, volumen_destino_lts) VALUES ('0ceb72fe', 24, '7efc7da2', 80770, 114, '821a1155', 125300);</t>
  </si>
  <si>
    <t>INSERT INTO Movimientos_Detalle (id_movimiento, id_pileta_origen, id_lote_origen, volumen_origen_lts, id_pileta_destino, id_lote_destino, volumen_destino_lts) VALUES ('6a1f9f38', 24, '7efc7da2', 57200, 86, '098ad529', 88000);</t>
  </si>
  <si>
    <t>INSERT INTO Movimientos_Detalle (id_movimiento, id_pileta_origen, id_lote_origen, volumen_origen_lts, id_pileta_destino, id_lote_destino, volumen_destino_lts) VALUES ('825b9089', 24, '7efc7da2', 10430, 81, 'ff99f9ec', 19105);</t>
  </si>
  <si>
    <t>INSERT INTO Movimientos_Detalle (id_movimiento, id_pileta_origen, id_lote_origen, volumen_origen_lts, id_pileta_destino, id_lote_destino, volumen_destino_lts) VALUES ('87fcca3f', 85, '55f5d2d3', 16900, 65, '4c2a65a6', 16900);</t>
  </si>
  <si>
    <t>INSERT INTO Movimientos_Detalle (id_movimiento, id_pileta_origen, id_lote_origen, volumen_origen_lts, id_pileta_destino, id_lote_destino, volumen_destino_lts) VALUES ('c4dfca2d', 85, '55f5d2d3', 4700, 66, '063eed80', 4700);</t>
  </si>
  <si>
    <t>INSERT INTO Movimientos_Detalle (id_movimiento, id_pileta_origen, id_lote_origen, volumen_origen_lts, id_pileta_destino, id_lote_destino, volumen_destino_lts) VALUES ('8f629565', 6, '49b10489', 17000, 85, '219552df', 56900);</t>
  </si>
  <si>
    <t>INSERT INTO Movimientos_Detalle (id_movimiento, id_pileta_origen, id_lote_origen, volumen_origen_lts, id_pileta_destino, id_lote_destino, volumen_destino_lts) VALUES ('3239ffd8', 6, '49b10489', 7000, 65, '6dc7a9f7', 23900);</t>
  </si>
  <si>
    <t>INSERT INTO Movimientos_Detalle (id_movimiento, id_pileta_origen, id_lote_origen, volumen_origen_lts, id_pileta_destino, id_lote_destino, volumen_destino_lts) VALUES ('6b5cdcf1', 6, '49b10489', 1000, 66, 'a03cb596', 5700);</t>
  </si>
  <si>
    <t>INSERT INTO Movimientos_Detalle (id_movimiento, id_pileta_origen, id_lote_origen, volumen_origen_lts, id_pileta_destino, id_lote_destino, volumen_destino_lts) VALUES ('84dcb332', 91, '028fb505', 27100, 85, '33b26126', 84000);</t>
  </si>
  <si>
    <t>INSERT INTO Movimientos_Detalle (id_movimiento, id_pileta_origen, id_lote_origen, volumen_origen_lts, id_pileta_destino, id_lote_destino, volumen_destino_lts) VALUES ('21c67adc', 91, '028fb505', 11600, 65, '91b01170', 35500);</t>
  </si>
  <si>
    <t>INSERT INTO Movimientos_Detalle (id_movimiento, id_pileta_origen, id_lote_origen, volumen_origen_lts, id_pileta_destino, id_lote_destino, volumen_destino_lts) VALUES ('37c2c356', 91, '028fb505', 9300, 66, '7b01278e', 15000);</t>
  </si>
  <si>
    <t>INSERT INTO Movimientos_Detalle (id_movimiento, id_pileta_origen, id_lote_origen, volumen_origen_lts, id_pileta_destino, id_lote_destino, volumen_destino_lts) VALUES ('93cd2bca', 118, '8ec426a5', 3000, 500, 'bfc481b0', 21101);</t>
  </si>
  <si>
    <t>INSERT INTO Movimientos_Detalle (id_movimiento, id_pileta_origen, id_lote_origen, volumen_origen_lts, id_pileta_destino, id_lote_destino, volumen_destino_lts) VALUES ('7dde1efd', 66, '7b01278e', -5114, 500, '2e70766e', 15987);</t>
  </si>
  <si>
    <t>INSERT INTO Movimientos_Detalle (id_movimiento, id_pileta_origen, id_lote_origen, volumen_origen_lts, id_pileta_destino, id_lote_destino, volumen_destino_lts) VALUES ('4a702305', 114, '821a1155', 125300, 500, '3285bc9d', 125300);</t>
  </si>
  <si>
    <t>INSERT INTO Movimientos_Detalle (id_movimiento, id_pileta_origen, id_lote_origen, volumen_origen_lts, id_pileta_destino, id_lote_destino, volumen_destino_lts) VALUES ('471c485a', 28, '160a169f', 200000, 500, 'cf5c62c4', 200000);</t>
  </si>
  <si>
    <t>INSERT INTO Movimientos_Detalle (id_movimiento, id_pileta_origen, id_lote_origen, volumen_origen_lts, id_pileta_destino, id_lote_destino, volumen_destino_lts) VALUES ('61d8b80f', 28, '160a169f', 600, 500, '19e8f31c', 200600);</t>
  </si>
  <si>
    <t>INSERT INTO Movimientos_Detalle (id_movimiento, id_pileta_origen, id_lote_origen, volumen_origen_lts, id_pileta_destino, id_lote_destino, volumen_destino_lts) VALUES ('5f641943', 81, 'ff99f9ec', 13000, 70, '97f43e08', 13000);</t>
  </si>
  <si>
    <t>INSERT INTO Movimientos_Detalle (id_movimiento, id_pileta_origen, id_lote_origen, volumen_origen_lts, id_pileta_destino, id_lote_destino, volumen_destino_lts) VALUES ('047ef3e0', 81, 'ff99f9ec', 6105, 500, 'e07698b4', 6105);</t>
  </si>
  <si>
    <t>INSERT INTO Movimientos_Detalle (id_movimiento, id_pileta_origen, id_lote_origen, volumen_origen_lts, id_pileta_destino, id_lote_destino, volumen_destino_lts) VALUES ('70c810a8', 118, '8ec426a5', 7000, 107, '1c302922', 31000);</t>
  </si>
  <si>
    <t>INSERT INTO Movimientos_Detalle (id_movimiento, id_pileta_origen, id_lote_origen, volumen_origen_lts, id_pileta_destino, id_lote_destino, volumen_destino_lts) VALUES ('1714b431', 118, '8ec426a5', 14000, 108, 'ae7ca061', 31000);</t>
  </si>
  <si>
    <t>INSERT INTO Movimientos_Detalle (id_movimiento, id_pileta_origen, id_lote_origen, volumen_origen_lts, id_pileta_destino, id_lote_destino, volumen_destino_lts) VALUES ('7517c162', 25, 'a6d28e88', -2300, 118, 'a2f1fdf7', 16995);</t>
  </si>
  <si>
    <t>INSERT INTO Movimientos_Detalle (id_movimiento, id_pileta_origen, id_lote_origen, volumen_origen_lts, id_pileta_destino, id_lote_destino, volumen_destino_lts) VALUES ('806c7999', 26, 'efada090', -600, 118, '44e5df4d', 16395);</t>
  </si>
  <si>
    <t>INSERT INTO Movimientos_Detalle (id_movimiento, id_pileta_origen, id_lote_origen, volumen_origen_lts, id_pileta_destino, id_lote_destino, volumen_destino_lts) VALUES ('8a335101', 34, '7b6b2c2a', -3500, 118, 'e1fe7b8e', 12895);</t>
  </si>
  <si>
    <t>INSERT INTO Movimientos_Detalle (id_movimiento, id_pileta_origen, id_lote_origen, volumen_origen_lts, id_pileta_destino, id_lote_destino, volumen_destino_lts) VALUES ('e3a33f29', 118, 'e1fe7b8e', 4000, 50, '0a82e5f5', 4000);</t>
  </si>
  <si>
    <t>INSERT INTO Movimientos_Detalle (id_movimiento, id_pileta_origen, id_lote_origen, volumen_origen_lts, id_pileta_destino, id_lote_destino, volumen_destino_lts) VALUES ('10c89e32', 14, '3640d88c', 37000, 24, '55222a6e', 37000);</t>
  </si>
  <si>
    <t>INSERT INTO Movimientos_Detalle (id_movimiento, id_pileta_origen, id_lote_origen, volumen_origen_lts, id_pileta_destino, id_lote_destino, volumen_destino_lts) VALUES ('8549b4b8', 15, 'f764d2d1', 36000, 24, '2c481a58', 73000);</t>
  </si>
  <si>
    <t>INSERT INTO Movimientos_Detalle (id_movimiento, id_pileta_origen, id_lote_origen, volumen_origen_lts, id_pileta_destino, id_lote_destino, volumen_destino_lts) VALUES ('1af61555', 87, 'bcf45804', 90000, 24, '1bbddd37', 163000);</t>
  </si>
  <si>
    <t>INSERT INTO Movimientos_Detalle (id_movimiento, id_pileta_origen, id_lote_origen, volumen_origen_lts, id_pileta_destino, id_lote_destino, volumen_destino_lts) VALUES ('fad81e77', 41, '65ce6f3f', 23600, 24, '1eaa1fc2', 186600);</t>
  </si>
  <si>
    <t>INSERT INTO Movimientos_Detalle (id_movimiento, id_pileta_origen, id_lote_origen, volumen_origen_lts, id_pileta_destino, id_lote_destino, volumen_destino_lts) VALUES ('2b2b3a7d', 41, '65ce6f3f', 11400, 125, '18ab305b', 11400);</t>
  </si>
  <si>
    <t>INSERT INTO Movimientos_Detalle (id_movimiento, id_pileta_origen, id_lote_origen, volumen_origen_lts, id_pileta_destino, id_lote_destino, volumen_destino_lts) VALUES ('29ce8f34', 54, 'e580a9d5', 8500, 76, '187a80d6', 25500);</t>
  </si>
  <si>
    <t>INSERT INTO Movimientos_Detalle (id_movimiento, id_pileta_origen, id_lote_origen, volumen_origen_lts, id_pileta_destino, id_lote_destino, volumen_destino_lts) VALUES ('5b8b82ff', 54, 'e580a9d5', 2886, 66, '95f6ad50', 23000);</t>
  </si>
  <si>
    <t>INSERT INTO Movimientos_Detalle (id_movimiento, id_pileta_origen, id_lote_origen, volumen_origen_lts, id_pileta_destino, id_lote_destino, volumen_destino_lts) VALUES ('5037c7c7', 115, '03e27ebe', 116000, 114, '31b745c3', 116000);</t>
  </si>
  <si>
    <t>INSERT INTO Movimientos_Detalle (id_movimiento, id_pileta_origen, id_lote_origen, volumen_origen_lts, id_pileta_destino, id_lote_destino, volumen_destino_lts) VALUES ('d6cc6063', 77, 'da2b6cac', 9300, 114, 'f80e7320', 125300);</t>
  </si>
  <si>
    <t>INSERT INTO Movimientos_Detalle (id_movimiento, id_pileta_origen, id_lote_origen, volumen_origen_lts, id_pileta_destino, id_lote_destino, volumen_destino_lts) VALUES ('fdcb840e', 77, 'da2b6cac', 3100, 125, '1bdfaa93', 14500);</t>
  </si>
  <si>
    <t>INSERT INTO Movimientos_Detalle (id_movimiento, id_pileta_origen, id_lote_origen, volumen_origen_lts, id_pileta_destino, id_lote_destino, volumen_destino_lts) VALUES ('a69e316d', 54, 'e580a9d5', 5000, 72, 'df7eab76', 5000);</t>
  </si>
  <si>
    <t>INSERT INTO Movimientos_Detalle (id_movimiento, id_pileta_origen, id_lote_origen, volumen_origen_lts, id_pileta_destino, id_lote_destino, volumen_destino_lts) VALUES ('87eaf818', 28, '160a169f', 7000, 72, 'df7eab76', 12000);</t>
  </si>
  <si>
    <t>INSERT INTO Movimientos_Detalle (id_movimiento, id_pileta_origen, id_lote_origen, volumen_origen_lts, id_pileta_destino, id_lote_destino, volumen_destino_lts) VALUES ('87a8aa18', 125, '1bdfaa93', 1000, 72, '8173df5d', 13000);</t>
  </si>
  <si>
    <t>INSERT INTO Movimientos_Detalle (id_movimiento, id_pileta_origen, id_lote_origen, volumen_origen_lts, id_pileta_destino, id_lote_destino, volumen_destino_lts) VALUES ('523a2f24', 118, 'e1fe7b8e', 1100, 50, '7488f497', 5100);</t>
  </si>
  <si>
    <t>INSERT INTO Movimientos_Detalle (id_movimiento, id_pileta_origen, id_lote_origen, volumen_origen_lts, id_pileta_destino, id_lote_destino, volumen_destino_lts) VALUES ('1b826a1b', 77, 'da2b6cac', 1600, 71, '8deed384', 13000);</t>
  </si>
  <si>
    <t>INSERT INTO Movimientos_Detalle (id_movimiento, id_pileta_origen, id_lote_origen, volumen_origen_lts, id_pileta_destino, id_lote_destino, volumen_destino_lts) VALUES ('e66b28e8', 77, 'da2b6cac', 2000, 126, '9c9a8832', 31000);</t>
  </si>
  <si>
    <t>INSERT INTO Movimientos_Detalle (id_movimiento, id_pileta_origen, id_lote_origen, volumen_origen_lts, id_pileta_destino, id_lote_destino, volumen_destino_lts) VALUES ('81da33ea', 11, 'e6ca31fd', 1000, 12, '61f14f41', 18000);</t>
  </si>
  <si>
    <t>INSERT INTO Movimientos_Detalle (id_movimiento, id_pileta_origen, id_lote_origen, volumen_origen_lts, id_pileta_destino, id_lote_destino, volumen_destino_lts) VALUES ('8735c5c4', 12, '61f14f41', -5000, 500, 'eaad107d', -4999);</t>
  </si>
  <si>
    <t>INSERT INTO Movimientos_Detalle (id_movimiento, id_pileta_origen, id_lote_origen, volumen_origen_lts, id_pileta_destino, id_lote_destino, volumen_destino_lts) VALUES ('ff038037', 54, 'e580a9d5', -3386, 500, '26f754e9', -8385);</t>
  </si>
  <si>
    <t>INSERT INTO Movimientos_Detalle (id_movimiento, id_pileta_origen, id_lote_origen, volumen_origen_lts, id_pileta_destino, id_lote_destino, volumen_destino_lts) VALUES ('a1699c41', 69, '271c9c71', -13000, 500, '1d9b14f9', -21385);</t>
  </si>
  <si>
    <t>INSERT INTO Movimientos_Detalle (id_movimiento, id_pileta_origen, id_lote_origen, volumen_origen_lts, id_pileta_destino, id_lote_destino, volumen_destino_lts) VALUES ('93445d26', 96, 'cf107ae5', 600, 500, 'cce48a18', -20785);</t>
  </si>
  <si>
    <t>INSERT INTO Movimientos_Detalle (id_movimiento, id_pileta_origen, id_lote_origen, volumen_origen_lts, id_pileta_destino, id_lote_destino, volumen_destino_lts) VALUES ('4442bc3c', 118, 'e1fe7b8e', 7795, 500, 'b043a39f', -12990);</t>
  </si>
  <si>
    <t>INSERT INTO Movimientos_Detalle (id_movimiento, id_pileta_origen, id_lote_origen, volumen_origen_lts, id_pileta_destino, id_lote_destino, volumen_destino_lts) VALUES ('d68dcc57', 121, '5c542a1f', 800, 500, 'b1bcdf75', -12190);</t>
  </si>
  <si>
    <t>INSERT INTO Movimientos_Detalle (id_movimiento, id_pileta_origen, id_lote_origen, volumen_origen_lts, id_pileta_destino, id_lote_destino, volumen_destino_lts) VALUES ('18c90304', 125, '1bdfaa93', 3500, 500, '12de67aa', -8690);</t>
  </si>
  <si>
    <t>INSERT INTO Movimientos_Detalle (id_movimiento, id_pileta_origen, id_lote_origen, volumen_origen_lts, id_pileta_destino, id_lote_destino, volumen_destino_lts) VALUES ('3703cfb8', 95, 'e8b9aa9f', 75000, 118, '315f9ff5', 75000);</t>
  </si>
  <si>
    <t>INSERT INTO Movimientos_Detalle (id_movimiento, id_pileta_origen, id_lote_origen, volumen_origen_lts, id_pileta_destino, id_lote_destino, volumen_destino_lts) VALUES ('a60ba105', 96, 'cf107ae5', 80600, 118, 'b8a3716d', 155600);</t>
  </si>
  <si>
    <t>INSERT INTO Movimientos_Detalle (id_movimiento, id_pileta_origen, id_lote_origen, volumen_origen_lts, id_pileta_destino, id_lote_destino, volumen_destino_lts) VALUES ('9b72bc5f', 89, '47825ff1', 60000, 115, '8871c0cd', 60000);</t>
  </si>
  <si>
    <t>INSERT INTO Movimientos_Detalle (id_movimiento, id_pileta_origen, id_lote_origen, volumen_origen_lts, id_pileta_destino, id_lote_destino, volumen_destino_lts) VALUES ('71b16b91', 120, '0711f2d9', 60200, 115, '7756a1a1', 120200);</t>
  </si>
  <si>
    <t>INSERT INTO Movimientos_Detalle (id_movimiento, id_pileta_origen, id_lote_origen, volumen_origen_lts, id_pileta_destino, id_lote_destino, volumen_destino_lts) VALUES ('958652a0', 96, 'cf107ae5', 4400, 80, 'f2ba5339', 4400);</t>
  </si>
  <si>
    <t>INSERT INTO Movimientos_Detalle (id_movimiento, id_pileta_origen, id_lote_origen, volumen_origen_lts, id_pileta_destino, id_lote_destino, volumen_destino_lts) VALUES ('3931d4ba', 125, '1bdfaa93', 10000, 6, '01383aba', 10000);</t>
  </si>
  <si>
    <t>INSERT INTO Movimientos_Detalle (id_movimiento, id_pileta_origen, id_lote_origen, volumen_origen_lts, id_pileta_destino, id_lote_destino, volumen_destino_lts) VALUES ('127a3f15', 53, '5433281e', 22000, 67, 'e224205d', 22000);</t>
  </si>
  <si>
    <t>INSERT INTO Movimientos_Detalle (id_movimiento, id_pileta_origen, id_lote_origen, volumen_origen_lts, id_pileta_destino, id_lote_destino, volumen_destino_lts) VALUES ('6f4eeb3f', 67, 'e224205d', 2000, 80, '582ad1a3', 6400);</t>
  </si>
  <si>
    <t>INSERT INTO Movimientos_Detalle (id_movimiento, id_pileta_origen, id_lote_origen, volumen_origen_lts, id_pileta_destino, id_lote_destino, volumen_destino_lts) VALUES ('cbf8e237', 83, '7fce2b75', 81500, 91, '93b5ed3d', 81500);</t>
  </si>
  <si>
    <t>INSERT INTO Movimientos_Detalle (id_movimiento, id_pileta_origen, id_lote_origen, volumen_origen_lts, id_pileta_destino, id_lote_destino, volumen_destino_lts) VALUES ('53760e8f', 89, '47825ff1', 23500, 125, 'c1d958fa', 23500);</t>
  </si>
  <si>
    <t>INSERT INTO Movimientos_Detalle (id_movimiento, id_pileta_origen, id_lote_origen, volumen_origen_lts, id_pileta_destino, id_lote_destino, volumen_destino_lts) VALUES ('df1f0455', 120, '0711f2d9', 7500, 125, '9fbe47cd', 31000);</t>
  </si>
  <si>
    <t>INSERT INTO Movimientos_Detalle (id_movimiento, id_pileta_origen, id_lote_origen, volumen_origen_lts, id_pileta_destino, id_lote_destino, volumen_destino_lts) VALUES ('54756cfd', 120, '0711f2d9', 21100, 127, 'caa78680', 21100);</t>
  </si>
  <si>
    <t>INSERT INTO Movimientos_Detalle (id_movimiento, id_pileta_origen, id_lote_origen, volumen_origen_lts, id_pileta_destino, id_lote_destino, volumen_destino_lts) VALUES ('a0d9d89f', 50, '7488f497', 5100, 75, '8fc8112c', 5100);</t>
  </si>
  <si>
    <t>INSERT INTO Movimientos_Detalle (id_movimiento, id_pileta_origen, id_lote_origen, volumen_origen_lts, id_pileta_destino, id_lote_destino, volumen_destino_lts) VALUES ('92ccaf32', 44, '7ae457f1', -100, 2, 'ef0e58f9', 1900);</t>
  </si>
  <si>
    <t>INSERT INTO Movimientos_Detalle (id_movimiento, id_pileta_origen, id_lote_origen, volumen_origen_lts, id_pileta_destino, id_lote_destino, volumen_destino_lts) VALUES ('ebc6a1e9', 2, 'ef0e58f9', 1900, 75, '83616429', 7000);</t>
  </si>
  <si>
    <t>INSERT INTO Movimientos_Detalle (id_movimiento, id_pileta_origen, id_lote_origen, volumen_origen_lts, id_pileta_destino, id_lote_destino, volumen_destino_lts) VALUES ('735ee1a2', 67, 'e224205d', 20000, 53, '7c0a5b23', 20000);</t>
  </si>
  <si>
    <t>INSERT INTO Movimientos_Detalle (id_movimiento, id_pileta_origen, id_lote_origen, volumen_origen_lts, id_pileta_destino, id_lote_destino, volumen_destino_lts) VALUES ('1cb28166', 11, 'e6ca31fd', -1000, 500, '9466c3f8', -9690);</t>
  </si>
  <si>
    <t>INSERT INTO Movimientos_Detalle (id_movimiento, id_pileta_origen, id_lote_origen, volumen_origen_lts, id_pileta_destino, id_lote_destino, volumen_destino_lts) VALUES ('aa7140cf', 121, '5c542a1f', 85000, 120, 'c7c2db60', 85000);</t>
  </si>
  <si>
    <t>INSERT INTO Movimientos_Detalle (id_movimiento, id_pileta_origen, id_lote_origen, volumen_origen_lts, id_pileta_destino, id_lote_destino, volumen_destino_lts) VALUES ('c66dc287', 6, '01383aba', 3800, 120, '7b6d5389', 88800);</t>
  </si>
  <si>
    <t>INSERT INTO Movimientos_Detalle (id_movimiento, id_pileta_origen, id_lote_origen, volumen_origen_lts, id_pileta_destino, id_lote_destino, volumen_destino_lts) VALUES ('7bc43a1f', 6, '01383aba', 2000, 53, 'c6964445', 22000);</t>
  </si>
  <si>
    <t>INSERT INTO Movimientos_Detalle (id_movimiento, id_pileta_origen, id_lote_origen, volumen_origen_lts, id_pileta_destino, id_lote_destino, volumen_destino_lts) VALUES ('25726a61', 127, 'caa78680', 21100, 6, '59034d88', 25300);</t>
  </si>
  <si>
    <t>INSERT INTO Movimientos_Detalle (id_movimiento, id_pileta_origen, id_lote_origen, volumen_origen_lts, id_pileta_destino, id_lote_destino, volumen_destino_lts) VALUES ('91771054', 125, '9fbe47cd', 6700, 6, '5b29cdd7', 32000);</t>
  </si>
  <si>
    <t>INSERT INTO Movimientos_Detalle (id_movimiento, id_pileta_origen, id_lote_origen, volumen_origen_lts, id_pileta_destino, id_lote_destino, volumen_destino_lts) VALUES ('c35609a9', 125, '9fbe47cd', 24300, 7, 'b553478c', 24300);</t>
  </si>
  <si>
    <t>INSERT INTO Movimientos_Detalle (id_movimiento, id_pileta_origen, id_lote_origen, volumen_origen_lts, id_pileta_destino, id_lote_destino, volumen_destino_lts) VALUES ('98aa78ff', 34, '7b6b2c2a', 36500, 15, '8a5cc2ae', 36500);</t>
  </si>
  <si>
    <t>INSERT INTO Movimientos_Detalle (id_movimiento, id_pileta_origen, id_lote_origen, volumen_origen_lts, id_pileta_destino, id_lote_destino, volumen_destino_lts) VALUES ('1a7f8531', 34, '7b6b2c2a', 3000, 80, 'db062f06', 9400);</t>
  </si>
  <si>
    <t>INSERT INTO Movimientos_Detalle (id_movimiento, id_pileta_origen, id_lote_origen, volumen_origen_lts, id_pileta_destino, id_lote_destino, volumen_destino_lts) VALUES ('b926970a', 51, '4eab3967', 3900, 46, '545cf46a', 3900);</t>
  </si>
  <si>
    <t>INSERT INTO Movimientos_Detalle (id_movimiento, id_pileta_origen, id_lote_origen, volumen_origen_lts, id_pileta_destino, id_lote_destino, volumen_destino_lts) VALUES ('5e101a32', 68, 'b23211ad', 13000, 46, '92f39eaf', 16900);</t>
  </si>
  <si>
    <t>INSERT INTO Movimientos_Detalle (id_movimiento, id_pileta_origen, id_lote_origen, volumen_origen_lts, id_pileta_destino, id_lote_destino, volumen_destino_lts) VALUES ('f340228a', 73, '0760321a', 12100, 46, 'b72016d2', 29000);</t>
  </si>
  <si>
    <t>INSERT INTO Movimientos_Detalle (id_movimiento, id_pileta_origen, id_lote_origen, volumen_origen_lts, id_pileta_destino, id_lote_destino, volumen_destino_lts) VALUES ('d09039de', 73, '0760321a', 900, 7, 'a3608d6e', 25200);</t>
  </si>
  <si>
    <t>INSERT INTO Movimientos_Detalle (id_movimiento, id_pileta_origen, id_lote_origen, volumen_origen_lts, id_pileta_destino, id_lote_destino, volumen_destino_lts) VALUES ('361fa796', 126, '9c9a8832', 4500, 91, '39eae928', 86000);</t>
  </si>
  <si>
    <t>INSERT INTO Movimientos_Detalle (id_movimiento, id_pileta_origen, id_lote_origen, volumen_origen_lts, id_pileta_destino, id_lote_destino, volumen_destino_lts) VALUES ('fcec8ab1', 126, '9c9a8832', 7000, 80, '65aa5ca5', 16400);</t>
  </si>
  <si>
    <t>INSERT INTO Movimientos_Detalle (id_movimiento, id_pileta_origen, id_lote_origen, volumen_origen_lts, id_pileta_destino, id_lote_destino, volumen_destino_lts) VALUES ('2afa6ee7', 12, '61f14f41', 22900, 54, 'ae9d3290', 22900);</t>
  </si>
  <si>
    <t>INSERT INTO Movimientos_Detalle (id_movimiento, id_pileta_origen, id_lote_origen, volumen_origen_lts, id_pileta_destino, id_lote_destino, volumen_destino_lts) VALUES ('ab1fa72d', 12, '61f14f41', 100, 51, '94fbbcb1', 1600);</t>
  </si>
  <si>
    <t>INSERT INTO Movimientos_Detalle (id_movimiento, id_pileta_origen, id_lote_origen, volumen_origen_lts, id_pileta_destino, id_lote_destino, volumen_destino_lts) VALUES ('3079c823', 25, 'a6d28e88', 77100, 95, '263cc8c0', 77100);</t>
  </si>
  <si>
    <t>INSERT INTO Movimientos_Detalle (id_movimiento, id_pileta_origen, id_lote_origen, volumen_origen_lts, id_pileta_destino, id_lote_destino, volumen_destino_lts) VALUES ('8e08c3c7', 25, 'a6d28e88', 85600, 96, '4b0ee075', 85600);</t>
  </si>
  <si>
    <t>INSERT INTO Movimientos_Detalle (id_movimiento, id_pileta_origen, id_lote_origen, volumen_origen_lts, id_pileta_destino, id_lote_destino, volumen_destino_lts) VALUES ('fd6dc5aa', 25, 'a6d28e88', 30000, 45, 'e44a0e79', 30000);</t>
  </si>
  <si>
    <t>INSERT INTO Movimientos_Detalle (id_movimiento, id_pileta_origen, id_lote_origen, volumen_origen_lts, id_pileta_destino, id_lote_destino, volumen_destino_lts) VALUES ('c83bd854', 25, 'a6d28e88', 1600, 68, 'e869add7', 1600);</t>
  </si>
  <si>
    <t>INSERT INTO Movimientos_Detalle (id_movimiento, id_pileta_origen, id_lote_origen, volumen_origen_lts, id_pileta_destino, id_lote_destino, volumen_destino_lts) VALUES ('cbf0f423', 35, 'e954d719', 37000, 14, '10b87434', 37000);</t>
  </si>
  <si>
    <t>INSERT INTO Movimientos_Detalle (id_movimiento, id_pileta_origen, id_lote_origen, volumen_origen_lts, id_pileta_destino, id_lote_destino, volumen_destino_lts) VALUES ('ceb14e75', 35, 'e954d719', 2300, 50, 'bb793e4b', 2300);</t>
  </si>
  <si>
    <t>INSERT INTO Movimientos_Detalle (id_movimiento, id_pileta_origen, id_lote_origen, volumen_origen_lts, id_pileta_destino, id_lote_destino, volumen_destino_lts) VALUES ('c89914eb', 42, '0d46ca84', 35100, 41, '02391dea', 35100);</t>
  </si>
  <si>
    <t>INSERT INTO Movimientos_Detalle (id_movimiento, id_pileta_origen, id_lote_origen, volumen_origen_lts, id_pileta_destino, id_lote_destino, volumen_destino_lts) VALUES ('a71d9f61', 42, '0d46ca84', 800, 50, '0973d1bc', 3100);</t>
  </si>
  <si>
    <t>INSERT INTO Movimientos_Detalle (id_movimiento, id_pileta_origen, id_lote_origen, volumen_origen_lts, id_pileta_destino, id_lote_destino, volumen_destino_lts) VALUES ('af4a7a93', 70, '97f43e08', 13000, 500, '2931c38f', 13000);</t>
  </si>
  <si>
    <t>INSERT INTO Movimientos_Detalle (id_movimiento, id_pileta_origen, id_lote_origen, volumen_origen_lts, id_pileta_destino, id_lote_destino, volumen_destino_lts) VALUES ('e58b43aa', 86, '098ad529', 88000, 500, '6d157016', 101000);</t>
  </si>
  <si>
    <t>INSERT INTO Movimientos_Detalle (id_movimiento, id_pileta_origen, id_lote_origen, volumen_origen_lts, id_pileta_destino, id_lote_destino, volumen_destino_lts) VALUES ('6769350e', 126, '9c9a8832', 13000, 70, '1cdbd1a4', 13000);</t>
  </si>
  <si>
    <t>INSERT INTO Movimientos_Detalle (id_movimiento, id_pileta_origen, id_lote_origen, volumen_origen_lts, id_pileta_destino, id_lote_destino, volumen_destino_lts) VALUES ('bcafc0a5', 126, '9c9a8832', 6500, 125, '2443e08d', 6500);</t>
  </si>
  <si>
    <t>INSERT INTO Movimientos_Detalle (id_movimiento, id_pileta_origen, id_lote_origen, volumen_origen_lts, id_pileta_destino, id_lote_destino, volumen_destino_lts) VALUES ('f2ca2cdf', 26, 'efada090', 194300, 25, '47816ee0', 194300);</t>
  </si>
  <si>
    <t>INSERT INTO Movimientos_Detalle (id_movimiento, id_pileta_origen, id_lote_origen, volumen_origen_lts, id_pileta_destino, id_lote_destino, volumen_destino_lts) VALUES ('c907d47f', 26, 'efada090', 11400, 68, 'e074b6e4', 13000);</t>
  </si>
  <si>
    <t>INSERT INTO Movimientos_Detalle (id_movimiento, id_pileta_origen, id_lote_origen, volumen_origen_lts, id_pileta_destino, id_lote_destino, volumen_destino_lts) VALUES ('a4b84db7', 26, 'efada090', 1900, 50, '7b7453a5', 5000);</t>
  </si>
  <si>
    <t>INSERT INTO Movimientos_Detalle (id_movimiento, id_pileta_origen, id_lote_origen, volumen_origen_lts, id_pileta_destino, id_lote_destino, volumen_destino_lts) VALUES ('32c893ad', 125, '2443e08d', 6500, 80, '01cf6615', 22900);</t>
  </si>
  <si>
    <t>INSERT INTO Movimientos_Detalle (id_movimiento, id_pileta_origen, id_lote_origen, volumen_origen_lts, id_pileta_destino, id_lote_destino, volumen_destino_lts) VALUES ('53b40378', 7, 'a3608d6e', 1100, 80, 'ea842d91', 24000);</t>
  </si>
  <si>
    <t>INSERT INTO Movimientos_Detalle (id_movimiento, id_pileta_origen, id_lote_origen, volumen_origen_lts, id_pileta_destino, id_lote_destino, volumen_destino_lts) VALUES ('7c24439b', 7, 'a3608d6e', 2100, 500, 'a4bf5699', 2101);</t>
  </si>
  <si>
    <t>INSERT INTO Movimientos_Detalle (id_movimiento, id_pileta_origen, id_lote_origen, volumen_origen_lts, id_pileta_destino, id_lote_destino, volumen_destino_lts) VALUES ('3ca50f97', 7, 'a3608d6e', -100, 500, 'd24b2834', 2001);</t>
  </si>
  <si>
    <t>INSERT INTO Movimientos_Detalle (id_movimiento, id_pileta_origen, id_lote_origen, volumen_origen_lts, id_pileta_destino, id_lote_destino, volumen_destino_lts) VALUES ('92f7b68d', 7, 'a3608d6e', 100, 500, 'b16ab165', 2101);</t>
  </si>
  <si>
    <t>INSERT INTO Movimientos_Detalle (id_movimiento, id_pileta_origen, id_lote_origen, volumen_origen_lts, id_pileta_destino, id_lote_destino, volumen_destino_lts) VALUES ('d7891718', 50, '7b7453a5', 100, 500, 'b82badfa', 2201);</t>
  </si>
  <si>
    <t>INSERT INTO Movimientos_Detalle (id_movimiento, id_pileta_origen, id_lote_origen, volumen_origen_lts, id_pileta_destino, id_lote_destino, volumen_destino_lts) VALUES ('4236c7c8', 50, '7b7453a5', -200, 500, '9059a425', 2001);</t>
  </si>
  <si>
    <t>INSERT INTO Movimientos_Detalle (id_movimiento, id_pileta_origen, id_lote_origen, volumen_origen_lts, id_pileta_destino, id_lote_destino, volumen_destino_lts) VALUES ('a22acbcf', 51, '94fbbcb1', -2300, 500, 'e9659899', -299);</t>
  </si>
  <si>
    <t>INSERT INTO Movimientos_Detalle (id_movimiento, id_pileta_origen, id_lote_origen, volumen_origen_lts, id_pileta_destino, id_lote_destino, volumen_destino_lts) VALUES ('8cd42c0a', 65, '91b01170', 500, 500, 'b9348c96', 201);</t>
  </si>
  <si>
    <t>INSERT INTO Movimientos_Detalle (id_movimiento, id_pileta_origen, id_lote_origen, volumen_origen_lts, id_pileta_destino, id_lote_destino, volumen_destino_lts) VALUES ('81c2fcc6', 66, '95f6ad50', 500, 500, '2afd72e2', 701);</t>
  </si>
  <si>
    <t>INSERT INTO Movimientos_Detalle (id_movimiento, id_pileta_origen, id_lote_origen, volumen_origen_lts, id_pileta_destino, id_lote_destino, volumen_destino_lts) VALUES ('8597d3e8', 90, '1f012354', 95000, 26, '156fcfa6', 95000);</t>
  </si>
  <si>
    <t>INSERT INTO Movimientos_Detalle (id_movimiento, id_pileta_origen, id_lote_origen, volumen_origen_lts, id_pileta_destino, id_lote_destino, volumen_destino_lts) VALUES ('1c42cd04', 114, 'f80e7320', 35000, 26, '3fbc32d2', 130000);</t>
  </si>
  <si>
    <t>INSERT INTO Movimientos_Detalle (id_movimiento, id_pileta_origen, id_lote_origen, volumen_origen_lts, id_pileta_destino, id_lote_destino, volumen_destino_lts) VALUES ('4b047b69', 11, 'e6ca31fd', 36000, 26, 'f3656dbf', 166000);</t>
  </si>
  <si>
    <t>INSERT INTO Movimientos_Detalle (id_movimiento, id_pileta_origen, id_lote_origen, volumen_origen_lts, id_pileta_destino, id_lote_destino, volumen_destino_lts) VALUES ('62f6b125', 84, '80d02e67', 35000, 26, '5c83ebb2', 201000);</t>
  </si>
  <si>
    <t>INSERT INTO Movimientos_Detalle (id_movimiento, id_pileta_origen, id_lote_origen, volumen_origen_lts, id_pileta_destino, id_lote_destino, volumen_destino_lts) VALUES ('353e63f1', 90, '1f012354', 2100, 80, 'ebb87073', 26100);</t>
  </si>
  <si>
    <t>INSERT INTO Movimientos_Detalle (id_movimiento, id_pileta_origen, id_lote_origen, volumen_origen_lts, id_pileta_destino, id_lote_destino, volumen_destino_lts) VALUES ('d7a08dcb', 90, '1f012354', 400, 26, 'ab0df0a5', 201400);</t>
  </si>
  <si>
    <t>INSERT INTO Movimientos_Detalle (id_movimiento, id_pileta_origen, id_lote_origen, volumen_origen_lts, id_pileta_destino, id_lote_destino, volumen_destino_lts) VALUES ('ac1c37de', 75, '83616429', 7000, 500, '94013da4', 7000);</t>
  </si>
  <si>
    <t>INSERT INTO Movimientos_Detalle (id_movimiento, id_pileta_origen, id_lote_origen, volumen_origen_lts, id_pileta_destino, id_lote_destino, volumen_destino_lts) VALUES ('b2082403', 45, 'e44a0e79', 30000, 114, '8fa197ac', 120300);</t>
  </si>
  <si>
    <t>INSERT INTO Movimientos_Detalle (id_movimiento, id_pileta_origen, id_lote_origen, volumen_origen_lts, id_pileta_destino, id_lote_destino, volumen_destino_lts) VALUES ('1d16270d', 68, 'e074b6e4', 5000, 114, 'a9aa0086', 125300);</t>
  </si>
  <si>
    <t>INSERT INTO Movimientos_Detalle (id_movimiento, id_pileta_origen, id_lote_origen, volumen_origen_lts, id_pileta_destino, id_lote_destino, volumen_destino_lts) VALUES ('3a10fed9', 65, '91b01170', -500, 68, '853ab9c1', 7500);</t>
  </si>
  <si>
    <t>INSERT INTO Movimientos_Detalle (id_movimiento, id_pileta_origen, id_lote_origen, volumen_origen_lts, id_pileta_destino, id_lote_destino, volumen_destino_lts) VALUES ('43ea19d3', 66, '95f6ad50', -500, 68, '1fdf5dbd', 7000);</t>
  </si>
  <si>
    <t>INSERT INTO Movimientos_Detalle (id_movimiento, id_pileta_origen, id_lote_origen, volumen_origen_lts, id_pileta_destino, id_lote_destino, volumen_destino_lts) VALUES ('9743feca', 84, '80d02e67', 48000, 87, 'c82e7f90', 48000);</t>
  </si>
  <si>
    <t>INSERT INTO Movimientos_Detalle (id_movimiento, id_pileta_origen, id_lote_origen, volumen_origen_lts, id_pileta_destino, id_lote_destino, volumen_destino_lts) VALUES ('f3dc6fdd', 88, '3030acaa', 45700, 87, 'b04cae80', 93700);</t>
  </si>
  <si>
    <t>INSERT INTO Movimientos_Detalle (id_movimiento, id_pileta_origen, id_lote_origen, volumen_origen_lts, id_pileta_destino, id_lote_destino, volumen_destino_lts) VALUES ('eaa51d03', 88, '3030acaa', 30000, 45, 'a6d11ad4', 30000);</t>
  </si>
  <si>
    <t>INSERT INTO Movimientos_Detalle (id_movimiento, id_pileta_origen, id_lote_origen, volumen_origen_lts, id_pileta_destino, id_lote_destino, volumen_destino_lts) VALUES ('f4207806', 88, '3030acaa', 3200, 68, '9dfda5e0', 10200);</t>
  </si>
  <si>
    <t>INSERT INTO Movimientos_Detalle (id_movimiento, id_pileta_origen, id_lote_origen, volumen_origen_lts, id_pileta_destino, id_lote_destino, volumen_destino_lts) VALUES ('0a8da79a', 72, '8173df5d', 8000, 7, '530c9456', 30000);</t>
  </si>
  <si>
    <t>INSERT INTO Movimientos_Detalle (id_movimiento, id_pileta_origen, id_lote_origen, volumen_origen_lts, id_pileta_destino, id_lote_destino, volumen_destino_lts) VALUES ('c5c4a33c', 72, '8173df5d', 5000, 49, '91ba2ba0', 5000);</t>
  </si>
  <si>
    <t>INSERT INTO Movimientos_Detalle (id_movimiento, id_pileta_origen, id_lote_origen, volumen_origen_lts, id_pileta_destino, id_lote_destino, volumen_destino_lts) VALUES ('1dce2540', 116, '7a999708', 97500, 90, 'cddb06a5', 97500);</t>
  </si>
  <si>
    <t>INSERT INTO Movimientos_Detalle (id_movimiento, id_pileta_origen, id_lote_origen, volumen_origen_lts, id_pileta_destino, id_lote_destino, volumen_destino_lts) VALUES ('354e677d', 116, '7a999708', 2100, 68, '536eff33', 12300);</t>
  </si>
  <si>
    <t>INSERT INTO Movimientos_Detalle (id_movimiento, id_pileta_origen, id_lote_origen, volumen_origen_lts, id_pileta_destino, id_lote_destino, volumen_destino_lts) VALUES ('547ca2b5', 68, '536eff33', 12300, 49, 'e81f7a10', 17300);</t>
  </si>
  <si>
    <t>INSERT INTO Movimientos_Detalle (id_movimiento, id_pileta_origen, id_lote_origen, volumen_origen_lts, id_pileta_destino, id_lote_destino, volumen_destino_lts) VALUES ('5cd6039c', 104, '1828d39f', 31000, 127, 'e375ee10', 31000);</t>
  </si>
  <si>
    <t>INSERT INTO Movimientos_Detalle (id_movimiento, id_pileta_origen, id_lote_origen, volumen_origen_lts, id_pileta_destino, id_lote_destino, volumen_destino_lts) VALUES ('9bdb01b0', 6, '5b29cdd7', 10700, 121, '755eca56', 10700);</t>
  </si>
  <si>
    <t>INSERT INTO Movimientos_Detalle (id_movimiento, id_pileta_origen, id_lote_origen, volumen_origen_lts, id_pileta_destino, id_lote_destino, volumen_destino_lts) VALUES ('2c1e635a', 6, '5b29cdd7', 12900, 116, '3b8e0d4f', 12900);</t>
  </si>
  <si>
    <t>INSERT INTO Movimientos_Detalle (id_movimiento, id_pileta_origen, id_lote_origen, volumen_origen_lts, id_pileta_destino, id_lote_destino, volumen_destino_lts) VALUES ('51b9e6c2', 82, '20f062e7', 4080, 121, '9fec443b', 14780);</t>
  </si>
  <si>
    <t>INSERT INTO Movimientos_Detalle (id_movimiento, id_pileta_origen, id_lote_origen, volumen_origen_lts, id_pileta_destino, id_lote_destino, volumen_destino_lts) VALUES ('defb0301', 82, '20f062e7', 5000, 116, '60712aa8', 17900);</t>
  </si>
  <si>
    <t>INSERT INTO Movimientos_Detalle (id_movimiento, id_pileta_origen, id_lote_origen, volumen_origen_lts, id_pileta_destino, id_lote_destino, volumen_destino_lts) VALUES ('c5026661', 82, '20f062e7', 2000, 34, 'e1971673', 2000);</t>
  </si>
  <si>
    <t>INSERT INTO Movimientos_Detalle (id_movimiento, id_pileta_origen, id_lote_origen, volumen_origen_lts, id_pileta_destino, id_lote_destino, volumen_destino_lts) VALUES ('58a4d6d6', 24, '1eaa1fc2', 81700, 116, 'b4fedb16', 99600);</t>
  </si>
  <si>
    <t>INSERT INTO Movimientos_Detalle (id_movimiento, id_pileta_origen, id_lote_origen, volumen_origen_lts, id_pileta_destino, id_lote_destino, volumen_destino_lts) VALUES ('ce3f3054', 24, '1eaa1fc2', 71020, 121, '589807bc', 85800);</t>
  </si>
  <si>
    <t>INSERT INTO Movimientos_Detalle (id_movimiento, id_pileta_origen, id_lote_origen, volumen_origen_lts, id_pileta_destino, id_lote_destino, volumen_destino_lts) VALUES ('06ec9360', 24, '1eaa1fc2', 33880, 34, 'f213d575', 35880);</t>
  </si>
  <si>
    <t>INSERT INTO Movimientos_Detalle (id_movimiento, id_pileta_origen, id_lote_origen, volumen_origen_lts, id_pileta_destino, id_lote_destino, volumen_destino_lts) VALUES ('f1e35874', 120, '7b6d5389', 44400, 24, 'fcd4899d', 44400);</t>
  </si>
  <si>
    <t>INSERT INTO Movimientos_Detalle (id_movimiento, id_pileta_origen, id_lote_origen, volumen_origen_lts, id_pileta_destino, id_lote_destino, volumen_destino_lts) VALUES ('92f83436', 82, '20f062e7', 9500, 24, '1c1b6466', 53900);</t>
  </si>
  <si>
    <t>INSERT INTO Movimientos_Detalle (id_movimiento, id_pileta_origen, id_lote_origen, volumen_origen_lts, id_pileta_destino, id_lote_destino, volumen_destino_lts) VALUES ('ec076772', 7, '530c9456', 18100, 24, '3f1dcd1d', 72000);</t>
  </si>
  <si>
    <t>INSERT INTO Movimientos_Detalle (id_movimiento, id_pileta_origen, id_lote_origen, volumen_origen_lts, id_pileta_destino, id_lote_destino, volumen_destino_lts) VALUES ('c98ff155', 85, '33b26126', 84000, 24, '1f03bf4a', 156000);</t>
  </si>
  <si>
    <t>INSERT INTO Movimientos_Detalle (id_movimiento, id_pileta_origen, id_lote_origen, volumen_origen_lts, id_pileta_destino, id_lote_destino, volumen_destino_lts) VALUES ('5c864152', 65, '91b01170', 30600, 24, 'b3a40361', 186600);</t>
  </si>
  <si>
    <t>INSERT INTO Movimientos_Detalle (id_movimiento, id_pileta_origen, id_lote_origen, volumen_origen_lts, id_pileta_destino, id_lote_destino, volumen_destino_lts) VALUES ('3ead075a', 65, '91b01170', 2900, 500, '44074e3a', 2901);</t>
  </si>
  <si>
    <t>INSERT INTO Movimientos_Detalle (id_movimiento, id_pileta_origen, id_lote_origen, volumen_origen_lts, id_pileta_destino, id_lote_destino, volumen_destino_lts) VALUES ('f0092a98', 65, '91b01170', 2000, 83, '0c98b90d', 2000);</t>
  </si>
  <si>
    <t>INSERT INTO Movimientos_Detalle (id_movimiento, id_pileta_origen, id_lote_origen, volumen_origen_lts, id_pileta_destino, id_lote_destino, volumen_destino_lts) VALUES ('f7ff9894', 66, '95f6ad50', 23000, 83, '831c7ff8', 25000);</t>
  </si>
  <si>
    <t>INSERT INTO Movimientos_Detalle (id_movimiento, id_pileta_origen, id_lote_origen, volumen_origen_lts, id_pileta_destino, id_lote_destino, volumen_destino_lts) VALUES ('bd08076b', 120, '7b6d5389', 44400, 83, 'c5230377', 69400);</t>
  </si>
  <si>
    <t>INSERT INTO Movimientos_Detalle (id_movimiento, id_pileta_origen, id_lote_origen, volumen_origen_lts, id_pileta_destino, id_lote_destino, volumen_destino_lts) VALUES ('ad899a4d', 6, '5b29cdd7', 3620, 34, '08cd1438', 39500);</t>
  </si>
  <si>
    <t>INSERT INTO Movimientos_Detalle (id_movimiento, id_pileta_origen, id_lote_origen, volumen_origen_lts, id_pileta_destino, id_lote_destino, volumen_destino_lts) VALUES ('151c9b28', 6, '5b29cdd7', 4780, 500, '62ec9377', 7681);</t>
  </si>
  <si>
    <t>INSERT INTO Movimientos_Detalle (id_movimiento, id_pileta_origen, id_lote_origen, volumen_origen_lts, id_pileta_destino, id_lote_destino, volumen_destino_lts) VALUES ('66a9bbf2', 127, 'e375ee10', 8700, 49, '9ad9bdea', 26000);</t>
  </si>
  <si>
    <t>INSERT INTO Movimientos_Detalle (id_movimiento, id_pileta_origen, id_lote_origen, volumen_origen_lts, id_pileta_destino, id_lote_destino, volumen_destino_lts) VALUES ('54ecf46b', 127, 'e375ee10', 22300, 6, '6f76277b', 22300);</t>
  </si>
  <si>
    <t>INSERT INTO Movimientos_Detalle (id_movimiento, id_pileta_origen, id_lote_origen, volumen_origen_lts, id_pileta_destino, id_lote_destino, volumen_destino_lts) VALUES ('75a71349', 7, '530c9456', 11900, 83, '434cf64c', 81300);</t>
  </si>
  <si>
    <t>INSERT INTO Movimientos_Detalle (id_movimiento, id_pileta_origen, id_lote_origen, volumen_origen_lts, id_pileta_destino, id_lote_destino, volumen_destino_lts) VALUES ('0680a644', 6, '6f76277b', 200, 83, '1031b227', 81500);</t>
  </si>
  <si>
    <t>INSERT INTO Movimientos_Detalle (id_movimiento, id_pileta_origen, id_lote_origen, volumen_origen_lts, id_pileta_destino, id_lote_destino, volumen_destino_lts) VALUES ('1aeef3a7', 82, '20f062e7', 22020, 67, 'b31c1ec9', 22020);</t>
  </si>
  <si>
    <t>INSERT INTO Movimientos_Detalle (id_movimiento, id_pileta_origen, id_lote_origen, volumen_origen_lts, id_pileta_destino, id_lote_destino, volumen_destino_lts) VALUES ('d372a4b6', 6, '6f76277b', 980, 67, '654f35d0', 23000);</t>
  </si>
  <si>
    <t>INSERT INTO Movimientos_Detalle (id_movimiento, id_pileta_origen, id_lote_origen, volumen_origen_lts, id_pileta_destino, id_lote_destino, volumen_destino_lts) VALUES ('3f5c52aa', 6, '6f76277b', 3000, 104, 'a9d727ca', 3000);</t>
  </si>
  <si>
    <t>INSERT INTO Movimientos_Detalle (id_movimiento, id_pileta_origen, id_lote_origen, volumen_origen_lts, id_pileta_destino, id_lote_destino, volumen_destino_lts) VALUES ('ba079096', 102, 'cbf4bbc1', 28000, 104, '029c104a', 31000);</t>
  </si>
  <si>
    <t>INSERT INTO Movimientos_Detalle (id_movimiento, id_pileta_origen, id_lote_origen, volumen_origen_lts, id_pileta_destino, id_lote_destino, volumen_destino_lts) VALUES ('62ca2cff', 102, 'cbf4bbc1', 3000, 109, '61948e2d', 3000);</t>
  </si>
  <si>
    <t>INSERT INTO Movimientos_Detalle (id_movimiento, id_pileta_origen, id_lote_origen, volumen_origen_lts, id_pileta_destino, id_lote_destino, volumen_destino_lts) VALUES ('6af4a5cc', 6, '6f76277b', 3000, 102, 'd1ac6d2d', 3000);</t>
  </si>
  <si>
    <t>INSERT INTO Movimientos_Detalle (id_movimiento, id_pileta_origen, id_lote_origen, volumen_origen_lts, id_pileta_destino, id_lote_destino, volumen_destino_lts) VALUES ('c58f1d01', 103, 'd0071dd4', 28000, 102, '5091788b', 31000);</t>
  </si>
  <si>
    <t>INSERT INTO Movimientos_Detalle (id_movimiento, id_pileta_origen, id_lote_origen, volumen_origen_lts, id_pileta_destino, id_lote_destino, volumen_destino_lts) VALUES ('b686530e', 103, 'd0071dd4', 3000, 109, '4d16cc18', 6000);</t>
  </si>
  <si>
    <t>INSERT INTO Movimientos_Detalle (id_movimiento, id_pileta_origen, id_lote_origen, volumen_origen_lts, id_pileta_destino, id_lote_destino, volumen_destino_lts) VALUES ('c454fa25', 6, '6f76277b', 3000, 103, '6468b679', 3000);</t>
  </si>
  <si>
    <t>INSERT INTO Movimientos_Detalle (id_movimiento, id_pileta_origen, id_lote_origen, volumen_origen_lts, id_pileta_destino, id_lote_destino, volumen_destino_lts) VALUES ('e42f824f', 105, 'ddc627ec', 28000, 103, 'eb5a88ac', 31000);</t>
  </si>
  <si>
    <t>INSERT INTO Movimientos_Detalle (id_movimiento, id_pileta_origen, id_lote_origen, volumen_origen_lts, id_pileta_destino, id_lote_destino, volumen_destino_lts) VALUES ('f924f55b', 105, 'ddc627ec', 3000, 109, '5621dc05', 9000);</t>
  </si>
  <si>
    <t>INSERT INTO Movimientos_Detalle (id_movimiento, id_pileta_origen, id_lote_origen, volumen_origen_lts, id_pileta_destino, id_lote_destino, volumen_destino_lts) VALUES ('4e852e87', 6, '6f76277b', 3000, 105, '9f20348c', 3000);</t>
  </si>
  <si>
    <t>INSERT INTO Movimientos_Detalle (id_movimiento, id_pileta_origen, id_lote_origen, volumen_origen_lts, id_pileta_destino, id_lote_destino, volumen_destino_lts) VALUES ('b768e567', 107, '1c302922', 28000, 105, '57a4fe30', 31000);</t>
  </si>
  <si>
    <t>INSERT INTO Movimientos_Detalle (id_movimiento, id_pileta_origen, id_lote_origen, volumen_origen_lts, id_pileta_destino, id_lote_destino, volumen_destino_lts) VALUES ('15187499', 107, '1c302922', 3000, 109, '0101284d', 12000);</t>
  </si>
  <si>
    <t>INSERT INTO Movimientos_Detalle (id_movimiento, id_pileta_origen, id_lote_origen, volumen_origen_lts, id_pileta_destino, id_lote_destino, volumen_destino_lts) VALUES ('f91fccb9', 6, '6f76277b', 3000, 107, '743ab7d6', 3000);</t>
  </si>
  <si>
    <t>INSERT INTO Movimientos_Detalle (id_movimiento, id_pileta_origen, id_lote_origen, volumen_origen_lts, id_pileta_destino, id_lote_destino, volumen_destino_lts) VALUES ('86cd9442', 108, 'ae7ca061', 28000, 107, '3f5178fd', 31000);</t>
  </si>
  <si>
    <t>INSERT INTO Movimientos_Detalle (id_movimiento, id_pileta_origen, id_lote_origen, volumen_origen_lts, id_pileta_destino, id_lote_destino, volumen_destino_lts) VALUES ('15eaa06c', 108, 'ae7ca061', 3000, 109, '8cd3ea51', 15000);</t>
  </si>
  <si>
    <t>INSERT INTO Movimientos_Detalle (id_movimiento, id_pileta_origen, id_lote_origen, volumen_origen_lts, id_pileta_destino, id_lote_destino, volumen_destino_lts) VALUES ('d4b254a3', 76, '187a80d6', 25500, 7, 'dc8b07fe', 25500);</t>
  </si>
  <si>
    <t>INSERT INTO Movimientos_Detalle (id_movimiento, id_pileta_origen, id_lote_origen, volumen_origen_lts, id_pileta_destino, id_lote_destino, volumen_destino_lts) VALUES ('423ec746', 45, 'a6d11ad4', 30000, 125, 'ec873f45', 30000);</t>
  </si>
  <si>
    <t>INSERT INTO Movimientos_Detalle (id_movimiento, id_pileta_origen, id_lote_origen, volumen_origen_lts, id_pileta_destino, id_lote_destino, volumen_destino_lts) VALUES ('adfa1464', 118, 'b8a3716d', 83000, 84, '9a261ef2', 83000);</t>
  </si>
  <si>
    <t>INSERT INTO Movimientos_Detalle (id_movimiento, id_pileta_origen, id_lote_origen, volumen_origen_lts, id_pileta_destino, id_lote_destino, volumen_destino_lts) VALUES ('c7a90e51', 118, 'b8a3716d', 72600, 85, '317f770a', 72600);</t>
  </si>
  <si>
    <t>INSERT INTO Movimientos_Detalle (id_movimiento, id_pileta_origen, id_lote_origen, volumen_origen_lts, id_pileta_destino, id_lote_destino, volumen_destino_lts) VALUES ('63da544e', 91, '39eae928', 11400, 85, 'b7883137', 84000);</t>
  </si>
  <si>
    <t>INSERT INTO Movimientos_Detalle (id_movimiento, id_pileta_origen, id_lote_origen, volumen_origen_lts, id_pileta_destino, id_lote_destino, volumen_destino_lts) VALUES ('afb9bd0d', 91, '39eae928', 74600, 92, 'fbfff24a', 74600);</t>
  </si>
  <si>
    <t>INSERT INTO Movimientos_Detalle (id_movimiento, id_pileta_origen, id_lote_origen, volumen_origen_lts, id_pileta_destino, id_lote_destino, volumen_destino_lts) VALUES ('3ccee9c5', 71, '8deed384', 13000, 68, '36493bbe', 13000);</t>
  </si>
  <si>
    <t>INSERT INTO Movimientos_Detalle (id_movimiento, id_pileta_origen, id_lote_origen, volumen_origen_lts, id_pileta_destino, id_lote_destino, volumen_destino_lts) VALUES ('f1a661e8', 26, 'ab0df0a5', 200000, 500, '34934edf', 200000);</t>
  </si>
  <si>
    <t>INSERT INTO Movimientos_Detalle (id_movimiento, id_pileta_origen, id_lote_origen, volumen_origen_lts, id_pileta_destino, id_lote_destino, volumen_destino_lts) VALUES ('1cc59896', 26, 'ab0df0a5', 1400, 73, '9d9d68cd', 1400);</t>
  </si>
  <si>
    <t>INSERT INTO Movimientos_Detalle (id_movimiento, id_pileta_origen, id_lote_origen, volumen_origen_lts, id_pileta_destino, id_lote_destino, volumen_destino_lts) VALUES ('c80574b2', 109, '8cd3ea51', 1000, 73, 'bb3607ba', 2400);</t>
  </si>
  <si>
    <t>INSERT INTO Movimientos_Detalle (id_movimiento, id_pileta_origen, id_lote_origen, volumen_origen_lts, id_pileta_destino, id_lote_destino, volumen_destino_lts) VALUES ('553d486d', 6, '6f76277b', 1600, 109, '605416fd', 15600);</t>
  </si>
  <si>
    <t>INSERT INTO Movimientos_Detalle (id_movimiento, id_pileta_origen, id_lote_origen, volumen_origen_lts, id_pileta_destino, id_lote_destino, volumen_destino_lts) VALUES ('ebef0c86', 125, 'ec873f45', 4500, 7, 'dfa54ee5', 30000);</t>
  </si>
  <si>
    <t>INSERT INTO Movimientos_Detalle (id_movimiento, id_pileta_origen, id_lote_origen, volumen_origen_lts, id_pileta_destino, id_lote_destino, volumen_destino_lts) VALUES ('dc0f6372', 125, 'ec873f45', 25500, 45, '2d4e2ede', 25500);</t>
  </si>
  <si>
    <t>INSERT INTO Movimientos_Detalle (id_movimiento, id_pileta_origen, id_lote_origen, volumen_origen_lts, id_pileta_destino, id_lote_destino, volumen_destino_lts) VALUES ('1052351a', 115, '7756a1a1', 120200, 118, '704cf4ee', 120200);</t>
  </si>
  <si>
    <t>INSERT INTO Movimientos_Detalle (id_movimiento, id_pileta_origen, id_lote_origen, volumen_origen_lts, id_pileta_destino, id_lote_destino, volumen_destino_lts) VALUES ('504a0a22', 7, 'dfa54ee5', 30000, 118, '179cf3c0', 150200);</t>
  </si>
  <si>
    <t>INSERT INTO Movimientos_Detalle (id_movimiento, id_pileta_origen, id_lote_origen, volumen_origen_lts, id_pileta_destino, id_lote_destino, volumen_destino_lts) VALUES ('ddc7bb3d', 6, '6f76277b', 4520, 118, 'ea27bb38', 154720);</t>
  </si>
  <si>
    <t>INSERT INTO Movimientos_Detalle (id_movimiento, id_pileta_origen, id_lote_origen, volumen_origen_lts, id_pileta_destino, id_lote_destino, volumen_destino_lts) VALUES ('e268bf54', 53, 'c6964445', 22000, 66, 'f323c032', 22000);</t>
  </si>
  <si>
    <t>INSERT INTO Movimientos_Detalle (id_movimiento, id_pileta_origen, id_lote_origen, volumen_origen_lts, id_pileta_destino, id_lote_destino, volumen_destino_lts) VALUES ('3b07a8a4', 46, 'b72016d2', 22000, 53, 'd3025708', 22000);</t>
  </si>
  <si>
    <t>INSERT INTO Movimientos_Detalle (id_movimiento, id_pileta_origen, id_lote_origen, volumen_origen_lts, id_pileta_destino, id_lote_destino, volumen_destino_lts) VALUES ('e2f74719', 46, 'b72016d2', 7000, 75, 'c2c76c11', 7000);</t>
  </si>
  <si>
    <t>INSERT INTO Movimientos_Detalle (id_movimiento, id_pileta_origen, id_lote_origen, volumen_origen_lts, id_pileta_destino, id_lote_destino, volumen_destino_lts) VALUES ('6e6e5f62', 55, '30332ad5', 2000, 2, '2fa9b98c', 2000);</t>
  </si>
  <si>
    <t>INSERT INTO Movimientos_Detalle (id_movimiento, id_pileta_origen, id_lote_origen, volumen_origen_lts, id_pileta_destino, id_lote_destino, volumen_destino_lts) VALUES ('b49828c0', 55, '30332ad5', 1000, 500, 'b0fab2d5', 1001);</t>
  </si>
  <si>
    <t>INSERT INTO Movimientos_Detalle (id_movimiento, id_pileta_origen, id_lote_origen, volumen_origen_lts, id_pileta_destino, id_lote_destino, volumen_destino_lts) VALUES ('70425ea7', 66, 'f323c032', 1000, 500, '0b40d5e5', 2001);</t>
  </si>
  <si>
    <t>INSERT INTO Movimientos_Detalle (id_movimiento, id_pileta_origen, id_lote_origen, volumen_origen_lts, id_pileta_destino, id_lote_destino, volumen_destino_lts) VALUES ('2cc24a50', 53, 'd3025708', 2000, 66, 'c67f70aa', 23000);</t>
  </si>
  <si>
    <t>INSERT INTO Movimientos_Detalle (id_movimiento, id_pileta_origen, id_lote_origen, volumen_origen_lts, id_pileta_destino, id_lote_destino, volumen_destino_lts) VALUES ('7130c806', 49, '9ad9bdea', 2000, 53, 'a5c09bfd', 22000);</t>
  </si>
  <si>
    <t>INSERT INTO Movimientos_Detalle (id_movimiento, id_pileta_origen, id_lote_origen, volumen_origen_lts, id_pileta_destino, id_lote_destino, volumen_destino_lts) VALUES ('f122219f', 73, 'bb3607ba', 2400, 6, '309f9738', 2400);</t>
  </si>
  <si>
    <t>INSERT INTO Movimientos_Detalle (id_movimiento, id_pileta_origen, id_lote_origen, volumen_origen_lts, id_pileta_destino, id_lote_destino, volumen_destino_lts) VALUES ('4684d680', 92, 'fbfff24a', -1400, 500, '5bcfde25', 601);</t>
  </si>
  <si>
    <t>INSERT INTO Movimientos_Detalle (id_movimiento, id_pileta_origen, id_lote_origen, volumen_origen_lts, id_pileta_destino, id_lote_destino, volumen_destino_lts) VALUES ('84a50655', 118, 'ea27bb38', -880, 500, '282f2489', -279);</t>
  </si>
  <si>
    <t>INSERT INTO Movimientos_Detalle (id_movimiento, id_pileta_origen, id_lote_origen, volumen_origen_lts, id_pileta_destino, id_lote_destino, volumen_destino_lts) VALUES ('83db9e82', 15, '8a5cc2ae', 35900, 42, 'dccd4f5e', 35900);</t>
  </si>
  <si>
    <t>INSERT INTO Movimientos_Detalle (id_movimiento, id_pileta_origen, id_lote_origen, volumen_origen_lts, id_pileta_destino, id_lote_destino, volumen_destino_lts) VALUES ('b47dc80f', 90, 'cddb06a5', 15000, 46, 'ebd6326f', 15000);</t>
  </si>
  <si>
    <t>INSERT INTO Movimientos_Detalle (id_movimiento, id_pileta_origen, id_lote_origen, volumen_origen_lts, id_pileta_destino, id_lote_destino, volumen_destino_lts) VALUES ('9b66cfc5', 53, 'a5c09bfd', 2200, 46, 'bcb7028c', 17200);</t>
  </si>
  <si>
    <t>INSERT INTO Movimientos_Detalle (id_movimiento, id_pileta_origen, id_lote_origen, volumen_origen_lts, id_pileta_destino, id_lote_destino, volumen_destino_lts) VALUES ('e489c9ac', 67, '654f35d0', 2200, 46, '7d603b31', 19400);</t>
  </si>
  <si>
    <t>INSERT INTO Movimientos_Detalle (id_movimiento, id_pileta_origen, id_lote_origen, volumen_origen_lts, id_pileta_destino, id_lote_destino, volumen_destino_lts) VALUES ('25425eae', 75, 'c2c76c11', 2000, 46, '55f15634', 21400);</t>
  </si>
  <si>
    <t>INSERT INTO Movimientos_Detalle (id_movimiento, id_pileta_origen, id_lote_origen, volumen_origen_lts, id_pileta_destino, id_lote_destino, volumen_destino_lts) VALUES ('4bf8143e', 49, '9ad9bdea', 15000, 90, 'e62f11a1', 97500);</t>
  </si>
  <si>
    <t>INSERT INTO Movimientos_Detalle (id_movimiento, id_pileta_origen, id_lote_origen, volumen_origen_lts, id_pileta_destino, id_lote_destino, volumen_destino_lts) VALUES ('8905f2ba', 49, '9ad9bdea', 2200, 53, 'da5fcb21', 22000);</t>
  </si>
  <si>
    <t>INSERT INTO Movimientos_Detalle (id_movimiento, id_pileta_origen, id_lote_origen, volumen_origen_lts, id_pileta_destino, id_lote_destino, volumen_destino_lts) VALUES ('bd1fc7f1', 49, '9ad9bdea', 2200, 67, 'eb6cce4f', 23000);</t>
  </si>
  <si>
    <t>INSERT INTO Movimientos_Detalle (id_movimiento, id_pileta_origen, id_lote_origen, volumen_origen_lts, id_pileta_destino, id_lote_destino, volumen_destino_lts) VALUES ('74205378', 49, '9ad9bdea', 2000, 75, '7a9e7f06', 7000);</t>
  </si>
  <si>
    <t>INSERT INTO Movimientos_Detalle (id_movimiento, id_pileta_origen, id_lote_origen, volumen_origen_lts, id_pileta_destino, id_lote_destino, volumen_destino_lts) VALUES ('509cd3bd', 49, '9ad9bdea', 2600, 46, 'eca5b8cb', 24000);</t>
  </si>
  <si>
    <t>INSERT INTO Movimientos_Detalle (id_movimiento, id_pileta_origen, id_lote_origen, volumen_origen_lts, id_pileta_destino, id_lote_destino, volumen_destino_lts) VALUES ('8a3a94f2', 15, '8a5cc2ae', 600, 46, '7efc01f3', 24600);</t>
  </si>
  <si>
    <t>INSERT INTO Movimientos_Detalle (id_movimiento, id_pileta_origen, id_lote_origen, volumen_origen_lts, id_pileta_destino, id_lote_destino, volumen_destino_lts) VALUES ('7a9a8221', 5, '593f826f', 3000, 500, '45e5cc8e', 3000);</t>
  </si>
  <si>
    <t>INSERT INTO Movimientos_Detalle (id_movimiento, id_pileta_origen, id_lote_origen, volumen_origen_lts, id_pileta_destino, id_lote_destino, volumen_destino_lts) VALUES ('2c95af9c', 31, '8a7074cf', 3000, 500, '4da9d1b8', 6000);</t>
  </si>
  <si>
    <t>INSERT INTO Movimientos_Detalle (id_movimiento, id_pileta_origen, id_lote_origen, volumen_origen_lts, id_pileta_destino, id_lote_destino, volumen_destino_lts) VALUES ('f2020c41', 31, '8a7074cf', 3000, 5, 'ebf08055', 30000);</t>
  </si>
  <si>
    <t>INSERT INTO Movimientos_Detalle (id_movimiento, id_pileta_origen, id_lote_origen, volumen_origen_lts, id_pileta_destino, id_lote_destino, volumen_destino_lts) VALUES ('9cc9e8d8', 31, '8a7074cf', 19700, 11, '8eb3a624', 19700);</t>
  </si>
  <si>
    <t>INSERT INTO Movimientos_Detalle (id_movimiento, id_pileta_origen, id_lote_origen, volumen_origen_lts, id_pileta_destino, id_lote_destino, volumen_destino_lts) VALUES ('152f36a7', 16, 'b5e03e7f', 16300, 11, 'dcaf5b39', 36000);</t>
  </si>
  <si>
    <t>INSERT INTO Movimientos_Detalle (id_movimiento, id_pileta_origen, id_lote_origen, volumen_origen_lts, id_pileta_destino, id_lote_destino, volumen_destino_lts) VALUES ('ee83c1b1', 16, 'b5e03e7f', 3000, 55, '2d412906', 3000);</t>
  </si>
  <si>
    <t>INSERT INTO Movimientos_Detalle (id_movimiento, id_pileta_origen, id_lote_origen, volumen_origen_lts, id_pileta_destino, id_lote_destino, volumen_destino_lts) VALUES ('b45bd5ec', 92, 'fbfff24a', 15000, 115, '8ea18b46', 15000);</t>
  </si>
  <si>
    <t>INSERT INTO Movimientos_Detalle (id_movimiento, id_pileta_origen, id_lote_origen, volumen_origen_lts, id_pileta_destino, id_lote_destino, volumen_destino_lts) VALUES ('647816fc', 84, '9a261ef2', 31000, 115, '909558a7', 46000);</t>
  </si>
  <si>
    <t>INSERT INTO Movimientos_Detalle (id_movimiento, id_pileta_origen, id_lote_origen, volumen_origen_lts, id_pileta_destino, id_lote_destino, volumen_destino_lts) VALUES ('4c36a656', 114, 'a9aa0086', 30000, 115, '39710208', 76000);</t>
  </si>
  <si>
    <t>INSERT INTO Movimientos_Detalle (id_movimiento, id_pileta_origen, id_lote_origen, volumen_origen_lts, id_pileta_destino, id_lote_destino, volumen_destino_lts) VALUES ('ab1c34c4', 102, '5091788b', 24000, 115, '9788a9f2', 100000);</t>
  </si>
  <si>
    <t>INSERT INTO Movimientos_Detalle (id_movimiento, id_pileta_origen, id_lote_origen, volumen_origen_lts, id_pileta_destino, id_lote_destino, volumen_destino_lts) VALUES ('5d4f63f7', 84, '9a261ef2', 28600, 26, 'a985bb2d', 28600);</t>
  </si>
  <si>
    <t>INSERT INTO Movimientos_Detalle (id_movimiento, id_pileta_origen, id_lote_origen, volumen_origen_lts, id_pileta_destino, id_lote_destino, volumen_destino_lts) VALUES ('9abb1140', 85, 'b7883137', 46200, 26, '1c2d5fc0', 74800);</t>
  </si>
  <si>
    <t>INSERT INTO Movimientos_Detalle (id_movimiento, id_pileta_origen, id_lote_origen, volumen_origen_lts, id_pileta_destino, id_lote_destino, volumen_destino_lts) VALUES ('b2d7ad2b', 87, 'b04cae80', 51500, 26, '4eb11d7e', 126300);</t>
  </si>
  <si>
    <t>INSERT INTO Movimientos_Detalle (id_movimiento, id_pileta_origen, id_lote_origen, volumen_origen_lts, id_pileta_destino, id_lote_destino, volumen_destino_lts) VALUES ('ea926d37', 45, '2d4e2ede', 16500, 26, '347bb900', 142800);</t>
  </si>
  <si>
    <t>INSERT INTO Movimientos_Detalle (id_movimiento, id_pileta_origen, id_lote_origen, volumen_origen_lts, id_pileta_destino, id_lote_destino, volumen_destino_lts) VALUES ('d5f12a61', 70, '1cdbd1a4', 7100, 26, '0148e4b4', 149900);</t>
  </si>
  <si>
    <t>INSERT INTO Movimientos_Detalle (id_movimiento, id_pileta_origen, id_lote_origen, volumen_origen_lts, id_pileta_destino, id_lote_destino, volumen_destino_lts) VALUES ('66eddced', 68, '36493bbe', 7100, 26, 'c93a8335', 157000);</t>
  </si>
  <si>
    <t>INSERT INTO Movimientos_Detalle (id_movimiento, id_pileta_origen, id_lote_origen, volumen_origen_lts, id_pileta_destino, id_lote_destino, volumen_destino_lts) VALUES ('ee08cf65', 54, 'ae9d3290', 12500, 26, '3f9e249f', 169500);</t>
  </si>
  <si>
    <t>INSERT INTO Movimientos_Detalle (id_movimiento, id_pileta_origen, id_lote_origen, volumen_origen_lts, id_pileta_destino, id_lote_destino, volumen_destino_lts) VALUES ('08ee90c8', 92, 'fbfff24a', 33500, 26, '46e42ed3', 203000);</t>
  </si>
  <si>
    <t>INSERT INTO Movimientos_Detalle (id_movimiento, id_pileta_origen, id_lote_origen, volumen_origen_lts, id_pileta_destino, id_lote_destino, volumen_destino_lts) VALUES ('1c0e3a99', 16, 'b5e03e7f', 200, 2, 'da997936', 2200);</t>
  </si>
  <si>
    <t>INSERT INTO Movimientos_Detalle (id_movimiento, id_pileta_origen, id_lote_origen, volumen_origen_lts, id_pileta_destino, id_lote_destino, volumen_destino_lts) VALUES ('7c514ed9', 114, 'a9aa0086', 83500, 89, 'dddbf851', 83500);</t>
  </si>
  <si>
    <t>INSERT INTO Movimientos_Detalle (id_movimiento, id_pileta_origen, id_lote_origen, volumen_origen_lts, id_pileta_destino, id_lote_destino, volumen_destino_lts) VALUES ('a9d854d5', 114, 'a9aa0086', 11800, 72, 'fe6fc54b', 11800);</t>
  </si>
  <si>
    <t>INSERT INTO Movimientos_Detalle (id_movimiento, id_pileta_origen, id_lote_origen, volumen_origen_lts, id_pileta_destino, id_lote_destino, volumen_destino_lts) VALUES ('72e2b5a0', 95, '263cc8c0', 29600, 6, '397c9478', 32000);</t>
  </si>
  <si>
    <t>INSERT INTO Movimientos_Detalle (id_movimiento, id_pileta_origen, id_lote_origen, volumen_origen_lts, id_pileta_destino, id_lote_destino, volumen_destino_lts) VALUES ('2d5f96f5', 51, '94fbbcb1', 1200, 115, '4bb0e577', 1200);</t>
  </si>
  <si>
    <t>INSERT INTO Movimientos_Detalle (id_movimiento, id_pileta_origen, id_lote_origen, volumen_origen_lts, id_pileta_destino, id_lote_destino, volumen_destino_lts) VALUES ('224a7365', 54, 'ae9d3290', 7200, 54, '2cdc824f', 17600);</t>
  </si>
  <si>
    <t>INSERT INTO Movimientos_Detalle (id_movimiento, id_pileta_origen, id_lote_origen, volumen_origen_lts, id_pileta_destino, id_lote_destino, volumen_destino_lts) VALUES ('66512b05', 68, '36493bbe', 4000, 115, '7df69242', 5200);</t>
  </si>
  <si>
    <t>INSERT INTO Movimientos_Detalle (id_movimiento, id_pileta_origen, id_lote_origen, volumen_origen_lts, id_pileta_destino, id_lote_destino, volumen_destino_lts) VALUES ('d1669ec2', 70, '1cdbd1a4', 4000, 115, '2b0750b6', 9200);</t>
  </si>
  <si>
    <t>INSERT INTO Movimientos_Detalle (id_movimiento, id_pileta_origen, id_lote_origen, volumen_origen_lts, id_pileta_destino, id_lote_destino, volumen_destino_lts) VALUES ('bcec5169', 84, '9a261ef2', 16000, 115, '2b981b3e', 25200);</t>
  </si>
  <si>
    <t>INSERT INTO Movimientos_Detalle (id_movimiento, id_pileta_origen, id_lote_origen, volumen_origen_lts, id_pileta_destino, id_lote_destino, volumen_destino_lts) VALUES ('57b2247c', 85, 'b7883137', 26400, 115, '97133f07', 51600);</t>
  </si>
  <si>
    <t>INSERT INTO Movimientos_Detalle (id_movimiento, id_pileta_origen, id_lote_origen, volumen_origen_lts, id_pileta_destino, id_lote_destino, volumen_destino_lts) VALUES ('15107431', 87, 'b04cae80', 29400, 115, '28e0faf1', 81000);</t>
  </si>
  <si>
    <t>INSERT INTO Movimientos_Detalle (id_movimiento, id_pileta_origen, id_lote_origen, volumen_origen_lts, id_pileta_destino, id_lote_destino, volumen_destino_lts) VALUES ('4b763b1d', 45, '2d4e2ede', 9000, 115, '07d0b231', 90000);</t>
  </si>
  <si>
    <t>INSERT INTO Movimientos_Detalle (id_movimiento, id_pileta_origen, id_lote_origen, volumen_origen_lts, id_pileta_destino, id_lote_destino, volumen_destino_lts) VALUES ('d2d79b9a', 92, 'fbfff24a', 19200, 115, '72a3240d', 109200);</t>
  </si>
  <si>
    <t>INSERT INTO Movimientos_Detalle (id_movimiento, id_pileta_origen, id_lote_origen, volumen_origen_lts, id_pileta_destino, id_lote_destino, volumen_destino_lts) VALUES ('fb2ce7eb', 54, '2cdc824f', 11000, 115, '5b15cadb', 120200);</t>
  </si>
  <si>
    <t>INSERT INTO Movimientos_Detalle (id_movimiento, id_pileta_origen, id_lote_origen, volumen_origen_lts, id_pileta_destino, id_lote_destino, volumen_destino_lts) VALUES ('566c2a5f', 51, '94fbbcb1', 2700, 82, 'c18d0513', 2700);</t>
  </si>
  <si>
    <t>INSERT INTO Movimientos_Detalle (id_movimiento, id_pileta_origen, id_lote_origen, volumen_origen_lts, id_pileta_destino, id_lote_destino, volumen_destino_lts) VALUES ('cc557a85', 54, '2cdc824f', 6600, 82, '6ea6229d', 9300);</t>
  </si>
  <si>
    <t>INSERT INTO Movimientos_Detalle (id_movimiento, id_pileta_origen, id_lote_origen, volumen_origen_lts, id_pileta_destino, id_lote_destino, volumen_destino_lts) VALUES ('ff3402cf', 68, '36493bbe', 1900, 82, '9aa777e2', 11200);</t>
  </si>
  <si>
    <t>INSERT INTO Movimientos_Detalle (id_movimiento, id_pileta_origen, id_lote_origen, volumen_origen_lts, id_pileta_destino, id_lote_destino, volumen_destino_lts) VALUES ('45728c8a', 70, '1cdbd1a4', 1900, 82, 'fd98c394', 13100);</t>
  </si>
  <si>
    <t>INSERT INTO Movimientos_Detalle (id_movimiento, id_pileta_origen, id_lote_origen, volumen_origen_lts, id_pileta_destino, id_lote_destino, volumen_destino_lts) VALUES ('c75603e7', 84, '9a261ef2', 7400, 82, 'ec34455c', 20500);</t>
  </si>
  <si>
    <t>INSERT INTO Movimientos_Detalle (id_movimiento, id_pileta_origen, id_lote_origen, volumen_origen_lts, id_pileta_destino, id_lote_destino, volumen_destino_lts) VALUES ('37df0c32', 85, 'b7883137', 11400, 82, '10a0557e', 31900);</t>
  </si>
  <si>
    <t>INSERT INTO Movimientos_Detalle (id_movimiento, id_pileta_origen, id_lote_origen, volumen_origen_lts, id_pileta_destino, id_lote_destino, volumen_destino_lts) VALUES ('6bae5b3e', 87, 'b04cae80', 10700, 82, '159aadce', 42600);</t>
  </si>
  <si>
    <t>INSERT INTO Movimientos_Detalle (id_movimiento, id_pileta_origen, id_lote_origen, volumen_origen_lts, id_pileta_destino, id_lote_destino, volumen_destino_lts) VALUES ('ab90cb86', 102, '5091788b', 4400, 46, '9b47717c', 29000);</t>
  </si>
  <si>
    <t>INSERT INTO Movimientos_Detalle (id_movimiento, id_pileta_origen, id_lote_origen, volumen_origen_lts, id_pileta_destino, id_lote_destino, volumen_destino_lts) VALUES ('9a573913', 102, '5091788b', 1200, 72, '5f7e8218', 13000);</t>
  </si>
  <si>
    <t>INSERT INTO Movimientos_Detalle (id_movimiento, id_pileta_origen, id_lote_origen, volumen_origen_lts, id_pileta_destino, id_lote_destino, volumen_destino_lts) VALUES ('5a3ef847', 102, '5091788b', 1400, 26, '65584c29', 204400);</t>
  </si>
  <si>
    <t>INSERT INTO Movimientos_Detalle (id_movimiento, id_pileta_origen, id_lote_origen, volumen_origen_lts, id_pileta_destino, id_lote_destino, volumen_destino_lts) VALUES ('6e8160ed', 87, 'b04cae80', 2100, 26, '3b8e29c8', 206500);</t>
  </si>
  <si>
    <t>INSERT INTO Movimientos_Detalle (id_movimiento, id_pileta_origen, id_lote_origen, volumen_origen_lts, id_pileta_destino, id_lote_destino, volumen_destino_lts) VALUES ('393a40a3', 92, 'fbfff24a', 1100, 26, 'a37dae6b', 207600);</t>
  </si>
  <si>
    <t>INSERT INTO Movimientos_Detalle (id_movimiento, id_pileta_origen, id_lote_origen, volumen_origen_lts, id_pileta_destino, id_lote_destino, volumen_destino_lts) VALUES ('1a09e12e', 82, '159aadce', 2700, 500, '6998d133', 2701);</t>
  </si>
  <si>
    <t>INSERT INTO Movimientos_Detalle (id_movimiento, id_pileta_origen, id_lote_origen, volumen_origen_lts, id_pileta_destino, id_lote_destino, volumen_destino_lts) VALUES ('bea59207', 92, 'fbfff24a', 7200, 500, '1a738e1d', 9901);</t>
  </si>
  <si>
    <t>INSERT INTO Movimientos_Detalle (id_movimiento, id_pileta_origen, id_lote_origen, volumen_origen_lts, id_pileta_destino, id_lote_destino, volumen_destino_lts) VALUES ('85d6023b', 6, '397c9478', 2700, 82, '539224d6', 42600);</t>
  </si>
  <si>
    <t>INSERT INTO Movimientos_Detalle (id_movimiento, id_pileta_origen, id_lote_origen, volumen_origen_lts, id_pileta_destino, id_lote_destino, volumen_destino_lts) VALUES ('fb81bc69', 74, '8b30dc4c', 300, 500, 'd93b980f', 300);</t>
  </si>
  <si>
    <t>INSERT INTO Movimientos_Detalle (id_movimiento, id_pileta_origen, id_lote_origen, volumen_origen_lts, id_pileta_destino, id_lote_destino, volumen_destino_lts) VALUES ('eb601c85', 74, '8b30dc4c', -300, 6, 'f5100dbb', 29000);</t>
  </si>
  <si>
    <t>INSERT INTO Movimientos_Detalle (id_movimiento, id_pileta_origen, id_lote_origen, volumen_origen_lts, id_pileta_destino, id_lote_destino, volumen_destino_lts) VALUES ('0d845e2e', 95, '263cc8c0', 3000, 6, '0749b537', 32000);</t>
  </si>
  <si>
    <t>INSERT INTO Movimientos_Detalle (id_movimiento, id_pileta_origen, id_lote_origen, volumen_origen_lts, id_pileta_destino, id_lote_destino, volumen_destino_lts) VALUES ('14189714', 25, '47816ee0', 46600, 87, 'b05164fd', 46600);</t>
  </si>
  <si>
    <t>INSERT INTO Movimientos_Detalle (id_movimiento, id_pileta_origen, id_lote_origen, volumen_origen_lts, id_pileta_destino, id_lote_destino, volumen_destino_lts) VALUES ('0a01f1f7', 25, '47816ee0', 44600, 86, '3caa5d42', 44600);</t>
  </si>
  <si>
    <t>INSERT INTO Movimientos_Detalle (id_movimiento, id_pileta_origen, id_lote_origen, volumen_origen_lts, id_pileta_destino, id_lote_destino, volumen_destino_lts) VALUES ('af885681', 96, '4b0ee075', 20500, 87, '9bf6cbc3', 67100);</t>
  </si>
  <si>
    <t>INSERT INTO Movimientos_Detalle (id_movimiento, id_pileta_origen, id_lote_origen, volumen_origen_lts, id_pileta_destino, id_lote_destino, volumen_destino_lts) VALUES ('a0cf4ea1', 96, '4b0ee075', 19600, 86, 'dc00855e', 64200);</t>
  </si>
  <si>
    <t>INSERT INTO Movimientos_Detalle (id_movimiento, id_pileta_origen, id_lote_origen, volumen_origen_lts, id_pileta_destino, id_lote_destino, volumen_destino_lts) VALUES ('51b5785f', 66, 'c67f70aa', 5500, 87, '0eb090f9', 72600);</t>
  </si>
  <si>
    <t>INSERT INTO Movimientos_Detalle (id_movimiento, id_pileta_origen, id_lote_origen, volumen_origen_lts, id_pileta_destino, id_lote_destino, volumen_destino_lts) VALUES ('3507c094', 66, 'c67f70aa', 5200, 86, 'd6036b7a', 69400);</t>
  </si>
  <si>
    <t>INSERT INTO Movimientos_Detalle (id_movimiento, id_pileta_origen, id_lote_origen, volumen_origen_lts, id_pileta_destino, id_lote_destino, volumen_destino_lts) VALUES ('cd337d5b', 96, '4b0ee075', 45500, 25, '5e53321b', 148600);</t>
  </si>
  <si>
    <t>INSERT INTO Movimientos_Detalle (id_movimiento, id_pileta_origen, id_lote_origen, volumen_origen_lts, id_pileta_destino, id_lote_destino, volumen_destino_lts) VALUES ('44db0cce', 66, 'c67f70aa', 12300, 25, '744b9f5f', 160900);</t>
  </si>
  <si>
    <t>INSERT INTO Movimientos_Detalle (id_movimiento, id_pileta_origen, id_lote_origen, volumen_origen_lts, id_pileta_destino, id_lote_destino, volumen_destino_lts) VALUES ('5a60f6f7', 6, '0749b537', 20000, 25, '4466c2c4', 180900);</t>
  </si>
  <si>
    <t>INSERT INTO Movimientos_Detalle (id_movimiento, id_pileta_origen, id_lote_origen, volumen_origen_lts, id_pileta_destino, id_lote_destino, volumen_destino_lts) VALUES ('f3b0e34b', 6, '0749b537', 9400, 87, '20f6d1c5', 82000);</t>
  </si>
  <si>
    <t>INSERT INTO Movimientos_Detalle (id_movimiento, id_pileta_origen, id_lote_origen, volumen_origen_lts, id_pileta_destino, id_lote_destino, volumen_destino_lts) VALUES ('1f7ecd15', 6, '0749b537', 2600, 86, 'e298408d', 72000);</t>
  </si>
  <si>
    <t>INSERT INTO Movimientos_Detalle (id_movimiento, id_pileta_origen, id_lote_origen, volumen_origen_lts, id_pileta_destino, id_lote_destino, volumen_destino_lts) VALUES ('19d78dd5', 95, '263cc8c0', 12000, 7, '710b5805', 12000);</t>
  </si>
  <si>
    <t>INSERT INTO Movimientos_Detalle (id_movimiento, id_pileta_origen, id_lote_origen, volumen_origen_lts, id_pileta_destino, id_lote_destino, volumen_destino_lts) VALUES ('91151a11', 7, '710b5805', 5000, 86, 'bb5f3ffb', 77000);</t>
  </si>
  <si>
    <t>INSERT INTO Movimientos_Detalle (id_movimiento, id_pileta_origen, id_lote_origen, volumen_origen_lts, id_pileta_destino, id_lote_destino, volumen_destino_lts) VALUES ('4e0b02c1', 95, '263cc8c0', 13400, 25, 'd8fb0b2f', 194300);</t>
  </si>
  <si>
    <t>INSERT INTO Movimientos_Detalle (id_movimiento, id_pileta_origen, id_lote_origen, volumen_origen_lts, id_pileta_destino, id_lote_destino, volumen_destino_lts) VALUES ('022615d1', 95, '263cc8c0', 11000, 86, 'aa02cc0a', 88000);</t>
  </si>
  <si>
    <t>INSERT INTO Movimientos_Detalle (id_movimiento, id_pileta_origen, id_lote_origen, volumen_origen_lts, id_pileta_destino, id_lote_destino, volumen_destino_lts) VALUES ('88a5eccd', 95, '263cc8c0', 8100, 87, 'a8a4b52d', 90100);</t>
  </si>
  <si>
    <t>INSERT INTO Movimientos_Detalle (id_movimiento, id_pileta_origen, id_lote_origen, volumen_origen_lts, id_pileta_destino, id_lote_destino, volumen_destino_lts) VALUES ('98635b22', 89, 'dddbf851', 3600, 87, '502df566', 93700);</t>
  </si>
  <si>
    <t>INSERT INTO Movimientos_Detalle (id_movimiento, id_pileta_origen, id_lote_origen, volumen_origen_lts, id_pileta_destino, id_lote_destino, volumen_destino_lts) VALUES ('33dbbc52', 7, '710b5805', 3600, 89, 'eed09ba0', 83500);</t>
  </si>
  <si>
    <t>INSERT INTO Movimientos_Detalle (id_movimiento, id_pileta_origen, id_lote_origen, volumen_origen_lts, id_pileta_destino, id_lote_destino, volumen_destino_lts) VALUES ('6b7817c7', 7, '710b5805', 3400, 500, '7794d5a9', 3401);</t>
  </si>
  <si>
    <t>INSERT INTO Movimientos_Detalle (id_movimiento, id_pileta_origen, id_lote_origen, volumen_origen_lts, id_pileta_destino, id_lote_destino, volumen_destino_lts) VALUES ('09a66870', 80, 'ebb87073', 20000, 12, 'c441bbfa', 20000);</t>
  </si>
  <si>
    <t>INSERT INTO Movimientos_Detalle (id_movimiento, id_pileta_origen, id_lote_origen, volumen_origen_lts, id_pileta_destino, id_lote_destino, volumen_destino_lts) VALUES ('ec9d0254', 69, '271c9c71', 3000, 12, 'ae993fbd', 23000);</t>
  </si>
  <si>
    <t>INSERT INTO Movimientos_Detalle (id_movimiento, id_pileta_origen, id_lote_origen, volumen_origen_lts, id_pileta_destino, id_lote_destino, volumen_destino_lts) VALUES ('85b99611', 69, '271c9c71', 0, 500, '0ff5560e', 200000);</t>
  </si>
  <si>
    <t>INSERT INTO Movimientos_Detalle (id_movimiento, id_pileta_origen, id_lote_origen, volumen_origen_lts, id_pileta_destino, id_lote_destino, volumen_destino_lts) VALUES ('8ff6cad4', 69, '271c9c71', 10000, 500, 'ece3c136', 10001);</t>
  </si>
  <si>
    <t>INSERT INTO Movimientos_Detalle (id_movimiento, id_pileta_origen, id_lote_origen, volumen_origen_lts, id_pileta_destino, id_lote_destino, volumen_destino_lts) VALUES ('d0cbf08f', 80, 'ebb87073', 6100, 500, 'af74f307', 16101);</t>
  </si>
  <si>
    <t>INSERT INTO Movimientos_Detalle (id_movimiento, id_pileta_origen, id_lote_origen, volumen_origen_lts, id_pileta_destino, id_lote_destino, volumen_destino_lts) VALUES ('a94a4dd3', 12, 'ae993fbd', 11200, 931, '90fc33de', 11200);</t>
  </si>
  <si>
    <t>INSERT INTO Movimientos_Detalle (id_movimiento, id_pileta_origen, id_lote_origen, volumen_origen_lts, id_pileta_destino, id_lote_destino, volumen_destino_lts) VALUES ('a9764a26', 12, 'ae993fbd', 11200, 935, 'a774778b', 11200);</t>
  </si>
  <si>
    <t>INSERT INTO Movimientos_Detalle (id_movimiento, id_pileta_origen, id_lote_origen, volumen_origen_lts, id_pileta_destino, id_lote_destino, volumen_destino_lts) VALUES ('0b413a34', 12, 'ae993fbd', 600, 51, 'c0887c05', 600);</t>
  </si>
  <si>
    <t>INSERT INTO Movimientos_Detalle (id_movimiento, id_pileta_origen, id_lote_origen, volumen_origen_lts, id_pileta_destino, id_lote_destino, volumen_destino_lts) VALUES ('64f85161', 74, '8b30dc4c', 13000, 68, '22a75cd4', 13000);</t>
  </si>
  <si>
    <t>INSERT INTO Movimientos_Detalle (id_movimiento, id_pileta_origen, id_lote_origen, volumen_origen_lts, id_pileta_destino, id_lote_destino, volumen_destino_lts) VALUES ('03b8ca92', 111, '3f3e8ee6', 4000, 69, '2ab540d2', 4000);</t>
  </si>
  <si>
    <t>INSERT INTO Movimientos_Detalle (id_movimiento, id_pileta_origen, id_lote_origen, volumen_origen_lts, id_pileta_destino, id_lote_destino, volumen_destino_lts) VALUES ('e3927c4b', 69, '2ab540d2', 4000, 111, 'f8287724', 4000);</t>
  </si>
  <si>
    <t>INSERT INTO Movimientos_Detalle (id_movimiento, id_pileta_origen, id_lote_origen, volumen_origen_lts, id_pileta_destino, id_lote_destino, volumen_destino_lts) VALUES ('f2e82a3f', 118, 'ea27bb38', 22000, 114, '32a3c024', 22000);</t>
  </si>
  <si>
    <t>INSERT INTO Movimientos_Detalle (id_movimiento, id_pileta_origen, id_lote_origen, volumen_origen_lts, id_pileta_destino, id_lote_destino, volumen_destino_lts) VALUES ('43369527', 118, 'ea27bb38', 37000, 114, '7906df75', 59000);</t>
  </si>
  <si>
    <t>INSERT INTO Movimientos_Detalle (id_movimiento, id_pileta_origen, id_lote_origen, volumen_origen_lts, id_pileta_destino, id_lote_destino, volumen_destino_lts) VALUES ('d8288d77', 118, 'ea27bb38', 22000, 114, 'dd40b3a0', 81000);</t>
  </si>
  <si>
    <t>INSERT INTO Movimientos_Detalle (id_movimiento, id_pileta_origen, id_lote_origen, volumen_origen_lts, id_pileta_destino, id_lote_destino, volumen_destino_lts) VALUES ('aa74815a', 30, 'eec28962', 19000, 114, '0e2a111b', 100000);</t>
  </si>
  <si>
    <t>INSERT INTO Movimientos_Detalle (id_movimiento, id_pileta_origen, id_lote_origen, volumen_origen_lts, id_pileta_destino, id_lote_destino, volumen_destino_lts) VALUES ('96ec64d7', 118, 'ea27bb38', 25300, 114, '2f7b2de3', 125300);</t>
  </si>
  <si>
    <t>INSERT INTO Movimientos_Detalle (id_movimiento, id_pileta_origen, id_lote_origen, volumen_origen_lts, id_pileta_destino, id_lote_destino, volumen_destino_lts) VALUES ('c62e1db0', 118, 'ea27bb38', 30000, 65, 'c25a65f8', 30000);</t>
  </si>
  <si>
    <t>INSERT INTO Movimientos_Detalle (id_movimiento, id_pileta_origen, id_lote_origen, volumen_origen_lts, id_pileta_destino, id_lote_destino, volumen_destino_lts) VALUES ('992f6076', 118, 'ea27bb38', 13500, 66, '78e4849f', 13500);</t>
  </si>
  <si>
    <t>INSERT INTO Movimientos_Detalle (id_movimiento, id_pileta_origen, id_lote_origen, volumen_origen_lts, id_pileta_destino, id_lote_destino, volumen_destino_lts) VALUES ('4c444ace', 118, 'ea27bb38', 1700, 51, '7b50f0b5', 2300);</t>
  </si>
  <si>
    <t>INSERT INTO Movimientos_Detalle (id_movimiento, id_pileta_origen, id_lote_origen, volumen_origen_lts, id_pileta_destino, id_lote_destino, volumen_destino_lts) VALUES ('71df1fd6', 118, 'ea27bb38', 1600, 51, '8bd3684f', 3900);</t>
  </si>
  <si>
    <t>INSERT INTO Movimientos_Detalle (id_movimiento, id_pileta_origen, id_lote_origen, volumen_origen_lts, id_pileta_destino, id_lote_destino, volumen_destino_lts) VALUES ('8f216c0a', 118, 'ea27bb38', 2500, 500, 'e4144c4c', 2501);</t>
  </si>
  <si>
    <t>INSERT INTO Movimientos_Detalle (id_movimiento, id_pileta_origen, id_lote_origen, volumen_origen_lts, id_pileta_destino, id_lote_destino, volumen_destino_lts) VALUES ('351d6caa', 30, 'eec28962', 5500, 65, '4d3f24b6', 35500);</t>
  </si>
  <si>
    <t>INSERT INTO Movimientos_Detalle (id_movimiento, id_pileta_origen, id_lote_origen, volumen_origen_lts, id_pileta_destino, id_lote_destino, volumen_destino_lts) VALUES ('7d045e98', 30, 'eec28962', 3400, 66, '32d80802', 16900);</t>
  </si>
  <si>
    <t>INSERT INTO Movimientos_Detalle (id_movimiento, id_pileta_origen, id_lote_origen, volumen_origen_lts, id_pileta_destino, id_lote_destino, volumen_destino_lts) VALUES ('2987c754', 30, 'eec28962', 10900, 69, 'ffb1e0f0', 10900);</t>
  </si>
  <si>
    <t>INSERT INTO Movimientos_Detalle (id_movimiento, id_pileta_origen, id_lote_origen, volumen_origen_lts, id_pileta_destino, id_lote_destino, volumen_destino_lts) VALUES ('034ddd11', 83, '1031b227', 50000, 85, '9b0ba02e', 50000);</t>
  </si>
  <si>
    <t>INSERT INTO Movimientos_Detalle (id_movimiento, id_pileta_origen, id_lote_origen, volumen_origen_lts, id_pileta_destino, id_lote_destino, volumen_destino_lts) VALUES ('1e3fb611', 69, 'ffb1e0f0', 10900, 106, '1443e2f4', 10900);</t>
  </si>
  <si>
    <t>INSERT INTO Movimientos_Detalle (id_movimiento, id_pileta_origen, id_lote_origen, volumen_origen_lts, id_pileta_destino, id_lote_destino, volumen_destino_lts) VALUES ('31d93edc', 83, '1031b227', 100, 106, '32fe7ee0', 11000);</t>
  </si>
  <si>
    <t>INSERT INTO Movimientos_Detalle (id_movimiento, id_pileta_origen, id_lote_origen, volumen_origen_lts, id_pileta_destino, id_lote_destino, volumen_destino_lts) VALUES ('8af750ad', 83, '1031b227', 28700, 85, '68dcdcc2', 78700);</t>
  </si>
  <si>
    <t>INSERT INTO Movimientos_Detalle (id_movimiento, id_pileta_origen, id_lote_origen, volumen_origen_lts, id_pileta_destino, id_lote_destino, volumen_destino_lts) VALUES ('8c5794d8', 83, '1031b227', 2000, 85, '99b9424e', 80700);</t>
  </si>
  <si>
    <t>INSERT INTO Movimientos_Detalle (id_movimiento, id_pileta_origen, id_lote_origen, volumen_origen_lts, id_pileta_destino, id_lote_destino, volumen_destino_lts) VALUES ('6ab6351d', 116, 'b4fedb16', 3300, 85, 'dc08aecd', 84000);</t>
  </si>
  <si>
    <t>INSERT INTO Movimientos_Detalle (id_movimiento, id_pileta_origen, id_lote_origen, volumen_origen_lts, id_pileta_destino, id_lote_destino, volumen_destino_lts) VALUES ('090c9f23', 116, 'b4fedb16', 34700, 84, '8a500155', 34700);</t>
  </si>
  <si>
    <t>INSERT INTO Movimientos_Detalle (id_movimiento, id_pileta_origen, id_lote_origen, volumen_origen_lts, id_pileta_destino, id_lote_destino, volumen_destino_lts) VALUES ('f931488a', 116, 'b4fedb16', 35000, 84, '64504a57', 69700);</t>
  </si>
  <si>
    <t>INSERT INTO Movimientos_Detalle (id_movimiento, id_pileta_origen, id_lote_origen, volumen_origen_lts, id_pileta_destino, id_lote_destino, volumen_destino_lts) VALUES ('46472d06', 83, '1031b227', 700, 500, 'd56d1e16', 3201);</t>
  </si>
  <si>
    <t>INSERT INTO Movimientos_Detalle (id_movimiento, id_pileta_origen, id_lote_origen, volumen_origen_lts, id_pileta_destino, id_lote_destino, volumen_destino_lts) VALUES ('13a22578', 25, 'd8fb0b2f', 27000, 118, 'a2e5798e', 27000);</t>
  </si>
  <si>
    <t>INSERT INTO Movimientos_Detalle (id_movimiento, id_pileta_origen, id_lote_origen, volumen_origen_lts, id_pileta_destino, id_lote_destino, volumen_destino_lts) VALUES ('04b5c7b8', 90, 'e62f11a1', 18000, 118, '83d74d31', 45000);</t>
  </si>
  <si>
    <t>INSERT INTO Movimientos_Detalle (id_movimiento, id_pileta_origen, id_lote_origen, volumen_origen_lts, id_pileta_destino, id_lote_destino, volumen_destino_lts) VALUES ('9ed5d907', 41, '02391dea', 7000, 118, '93609069', 52000);</t>
  </si>
  <si>
    <t>INSERT INTO Movimientos_Detalle (id_movimiento, id_pileta_origen, id_lote_origen, volumen_origen_lts, id_pileta_destino, id_lote_destino, volumen_destino_lts) VALUES ('689a2d3c', 115, '5b15cadb', 35000, 118, 'db0fbb38', 87000);</t>
  </si>
  <si>
    <t>INSERT INTO Movimientos_Detalle (id_movimiento, id_pileta_origen, id_lote_origen, volumen_origen_lts, id_pileta_destino, id_lote_destino, volumen_destino_lts) VALUES ('b943e93f', 72, '5f7e8218', 13000, 118, 'cc6978c9', 100000);</t>
  </si>
  <si>
    <t>INSERT INTO Movimientos_Detalle (id_movimiento, id_pileta_origen, id_lote_origen, volumen_origen_lts, id_pileta_destino, id_lote_destino, volumen_destino_lts) VALUES ('89ca5174', 86, 'aa02cc0a', 27000, 25, 'a2728d01', 194300);</t>
  </si>
  <si>
    <t>INSERT INTO Movimientos_Detalle (id_movimiento, id_pileta_origen, id_lote_origen, volumen_origen_lts, id_pileta_destino, id_lote_destino, volumen_destino_lts) VALUES ('7bba3bd6', 86, 'aa02cc0a', 18000, 90, '686fc77a', 97500);</t>
  </si>
  <si>
    <t>INSERT INTO Movimientos_Detalle (id_movimiento, id_pileta_origen, id_lote_origen, volumen_origen_lts, id_pileta_destino, id_lote_destino, volumen_destino_lts) VALUES ('24f7f90f', 86, 'aa02cc0a', 22900, 54, '5c87f162', 22900);</t>
  </si>
  <si>
    <t>INSERT INTO Movimientos_Detalle (id_movimiento, id_pileta_origen, id_lote_origen, volumen_origen_lts, id_pileta_destino, id_lote_destino, volumen_destino_lts) VALUES ('71bef9dc', 86, 'aa02cc0a', 19500, 16, '869e8a1b', 19500);</t>
  </si>
  <si>
    <t>INSERT INTO Movimientos_Detalle (id_movimiento, id_pileta_origen, id_lote_origen, volumen_origen_lts, id_pileta_destino, id_lote_destino, volumen_destino_lts) VALUES ('9a0a175c', 41, '02391dea', 28100, 6, '4136ccb7', 28100);</t>
  </si>
  <si>
    <t>INSERT INTO Movimientos_Detalle (id_movimiento, id_pileta_origen, id_lote_origen, volumen_origen_lts, id_pileta_destino, id_lote_destino, volumen_destino_lts) VALUES ('9de3d7f5', 50, '7b7453a5', 3900, 6, '63b0e73c', 32000);</t>
  </si>
  <si>
    <t>INSERT INTO Movimientos_Detalle (id_movimiento, id_pileta_origen, id_lote_origen, volumen_origen_lts, id_pileta_destino, id_lote_destino, volumen_destino_lts) VALUES ('caac857f', 116, 'b4fedb16', 13300, 84, '52e2d0ea', 83000);</t>
  </si>
  <si>
    <t>INSERT INTO Movimientos_Detalle (id_movimiento, id_pileta_origen, id_lote_origen, volumen_origen_lts, id_pileta_destino, id_lote_destino, volumen_destino_lts) VALUES ('ea42be45', 116, 'b4fedb16', 13300, 83, 'd8db7956', 13300);</t>
  </si>
  <si>
    <t>INSERT INTO Movimientos_Detalle (id_movimiento, id_pileta_origen, id_lote_origen, volumen_origen_lts, id_pileta_destino, id_lote_destino, volumen_destino_lts) VALUES ('3045d729', 121, '589807bc', 15000, 83, '8e0dc7e2', 28300);</t>
  </si>
  <si>
    <t>INSERT INTO Movimientos_Detalle (id_movimiento, id_pileta_origen, id_lote_origen, volumen_origen_lts, id_pileta_destino, id_lote_destino, volumen_destino_lts) VALUES ('40177476', 82, '539224d6', 35000, 115, '19567056', 120200);</t>
  </si>
  <si>
    <t>INSERT INTO Movimientos_Detalle (id_movimiento, id_pileta_origen, id_lote_origen, volumen_origen_lts, id_pileta_destino, id_lote_destino, volumen_destino_lts) VALUES ('69d0fe25', 82, '539224d6', 7600, 71, 'dd0a11e8', 7600);</t>
  </si>
  <si>
    <t>INSERT INTO Movimientos_Detalle (id_movimiento, id_pileta_origen, id_lote_origen, volumen_origen_lts, id_pileta_destino, id_lote_destino, volumen_destino_lts) VALUES ('dd286292', 51, '8bd3684f', 3900, 71, '7a61df09', 11500);</t>
  </si>
  <si>
    <t>INSERT INTO Movimientos_Detalle (id_movimiento, id_pileta_origen, id_lote_origen, volumen_origen_lts, id_pileta_destino, id_lote_destino, volumen_destino_lts) VALUES ('967a72c8', 118, 'cc6978c9', 100000, 500, '5c2023e8', 100000);</t>
  </si>
  <si>
    <t>INSERT INTO Movimientos_Detalle (id_movimiento, id_pileta_origen, id_lote_origen, volumen_origen_lts, id_pileta_destino, id_lote_destino, volumen_destino_lts) VALUES ('3c5863b6', 9, 'b73d8cd1', 30000, 500, '5da633b1', 30000);</t>
  </si>
  <si>
    <t>INSERT INTO Movimientos_Detalle (id_movimiento, id_pileta_origen, id_lote_origen, volumen_origen_lts, id_pileta_destino, id_lote_destino, volumen_destino_lts) VALUES ('022dbc49', 40, '7c5390c8', 24000, 500, '65fa0dbb', 54000);</t>
  </si>
  <si>
    <t>INSERT INTO Movimientos_Detalle (id_movimiento, id_pileta_origen, id_lote_origen, volumen_origen_lts, id_pileta_destino, id_lote_destino, volumen_destino_lts) VALUES ('b1e35869', 32, 'a1e13111', 36300, 500, '2a8efe4b', 90300);</t>
  </si>
  <si>
    <t>INSERT INTO Movimientos_Detalle (id_movimiento, id_pileta_origen, id_lote_origen, volumen_origen_lts, id_pileta_destino, id_lote_destino, volumen_destino_lts) VALUES ('fb99f586', 47, '5cdb12ce', 20000, 500, 'e8a80129', 110300);</t>
  </si>
  <si>
    <t>INSERT INTO Movimientos_Detalle (id_movimiento, id_pileta_origen, id_lote_origen, volumen_origen_lts, id_pileta_destino, id_lote_destino, volumen_destino_lts) VALUES ('c2922f20', 11, 'dcaf5b39', 25000, 500, '86648be2', 135300);</t>
  </si>
  <si>
    <t>INSERT INTO Movimientos_Detalle (id_movimiento, id_pileta_origen, id_lote_origen, volumen_origen_lts, id_pileta_destino, id_lote_destino, volumen_destino_lts) VALUES ('e5a39ca6', 121, '589807bc', 22000, 83, '2ec84947', 50300);</t>
  </si>
  <si>
    <t>INSERT INTO Movimientos_Detalle (id_movimiento, id_pileta_origen, id_lote_origen, volumen_origen_lts, id_pileta_destino, id_lote_destino, volumen_destino_lts) VALUES ('016c21d2', 121, '589807bc', 31000, 83, 'c9bdb7c9', 81300);</t>
  </si>
  <si>
    <t>INSERT INTO Movimientos_Detalle (id_movimiento, id_pileta_origen, id_lote_origen, volumen_origen_lts, id_pileta_destino, id_lote_destino, volumen_destino_lts) VALUES ('9d703ac8', 121, '589807bc', 200, 83, '32396d27', 81500);</t>
  </si>
  <si>
    <t>INSERT INTO Movimientos_Detalle (id_movimiento, id_pileta_origen, id_lote_origen, volumen_origen_lts, id_pileta_destino, id_lote_destino, volumen_destino_lts) VALUES ('72cd8195', 6, '63b0e73c', 1000, 500, '21674f90', 201000);</t>
  </si>
  <si>
    <t>INSERT INTO Movimientos_Detalle (id_movimiento, id_pileta_origen, id_lote_origen, volumen_origen_lts, id_pileta_destino, id_lote_destino, volumen_destino_lts) VALUES ('689de1f7', 86, 'aa02cc0a', -1000, 500, '19243587', 200000);</t>
  </si>
  <si>
    <t>INSERT INTO Movimientos_Detalle (id_movimiento, id_pileta_origen, id_lote_origen, volumen_origen_lts, id_pileta_destino, id_lote_destino, volumen_destino_lts) VALUES ('312b14eb', 86, 'aa02cc0a', 1600, 500, '613e2a90', 2200);</t>
  </si>
  <si>
    <t>INSERT INTO Movimientos_Detalle (id_movimiento, id_pileta_origen, id_lote_origen, volumen_origen_lts, id_pileta_destino, id_lote_destino, volumen_destino_lts) VALUES ('74364005', 121, '589807bc', 17600, 86, '02df7859', 1800);</t>
  </si>
  <si>
    <t>INSERT INTO Movimientos_Detalle (id_movimiento, id_pileta_origen, id_lote_origen, volumen_origen_lts, id_pileta_destino, id_lote_destino, volumen_destino_lts) VALUES ('e706d404', 24, 'b3a40361', 52000, 86, 'a520ce5e', 69600);</t>
  </si>
  <si>
    <t>INSERT INTO Movimientos_Detalle (id_movimiento, id_pileta_origen, id_lote_origen, volumen_origen_lts, id_pileta_destino, id_lote_destino, volumen_destino_lts) VALUES ('cae6112a', 24, 'b3a40361', 18400, 86, '734aedeb', 88000);</t>
  </si>
  <si>
    <t>INSERT INTO Movimientos_Detalle (id_movimiento, id_pileta_origen, id_lote_origen, volumen_origen_lts, id_pileta_destino, id_lote_destino, volumen_destino_lts) VALUES ('ac27dff6', 24, 'b3a40361', 30000, 121, '4567a24d', 30000);</t>
  </si>
  <si>
    <t>INSERT INTO Movimientos_Detalle (id_movimiento, id_pileta_origen, id_lote_origen, volumen_origen_lts, id_pileta_destino, id_lote_destino, volumen_destino_lts) VALUES ('0caaef31', 11, 'dcaf5b39', 11000, 69, 'fdb74546', 13000);</t>
  </si>
  <si>
    <t>INSERT INTO Movimientos_Detalle (id_movimiento, id_pileta_origen, id_lote_origen, volumen_origen_lts, id_pileta_destino, id_lote_destino, volumen_destino_lts) VALUES ('93fa7431', 500, '613e2a90', 6100, 66, 'd52c4944', 23000);</t>
  </si>
  <si>
    <t>INSERT INTO Movimientos_Detalle (id_movimiento, id_pileta_origen, id_lote_origen, volumen_origen_lts, id_pileta_destino, id_lote_destino, volumen_destino_lts) VALUES ('f98ca1ed', 24, 'b3a40361', 45000, 121, 'ef0406f8', 75000);</t>
  </si>
  <si>
    <t>INSERT INTO Movimientos_Detalle (id_movimiento, id_pileta_origen, id_lote_origen, volumen_origen_lts, id_pileta_destino, id_lote_destino, volumen_destino_lts) VALUES ('1e473d57', 24, 'b3a40361', 10800, 121, '887268c3', 85800);</t>
  </si>
  <si>
    <t>INSERT INTO Movimientos_Detalle (id_movimiento, id_pileta_origen, id_lote_origen, volumen_origen_lts, id_pileta_destino, id_lote_destino, volumen_destino_lts) VALUES ('9afcea40', 24, 'b3a40361', 22000, 116, '95271efc', 22000);</t>
  </si>
  <si>
    <t>INSERT INTO Movimientos_Detalle (id_movimiento, id_pileta_origen, id_lote_origen, volumen_origen_lts, id_pileta_destino, id_lote_destino, volumen_destino_lts) VALUES ('06d67ef3', 24, 'b3a40361', 7845, 116, '56916efb', 29845);</t>
  </si>
  <si>
    <t>INSERT INTO Movimientos_Detalle (id_movimiento, id_pileta_origen, id_lote_origen, volumen_origen_lts, id_pileta_destino, id_lote_destino, volumen_destino_lts) VALUES ('71307367', 24, 'b3a40361', 555, 500, 'a9a1224c', -3345);</t>
  </si>
  <si>
    <t>INSERT INTO Movimientos_Detalle (id_movimiento, id_pileta_origen, id_lote_origen, volumen_origen_lts, id_pileta_destino, id_lote_destino, volumen_destino_lts) VALUES ('79efd870', 50, '7b7453a5', 1000, 6, 'a324303d', 32000);</t>
  </si>
  <si>
    <t>INSERT INTO Movimientos_Detalle (id_movimiento, id_pileta_origen, id_lote_origen, volumen_origen_lts, id_pileta_destino, id_lote_destino, volumen_destino_lts) VALUES ('467b4860', 103, 'eb5a88ac', 2700, 50, 'ae07f26a', 2700);</t>
  </si>
  <si>
    <t>INSERT INTO Movimientos_Detalle (id_movimiento, id_pileta_origen, id_lote_origen, volumen_origen_lts, id_pileta_destino, id_lote_destino, volumen_destino_lts) VALUES ('ee846ecd', 89, 'eed09ba0', 2400, 50, '20dba0dd', 5100);</t>
  </si>
  <si>
    <t>INSERT INTO Movimientos_Detalle (id_movimiento, id_pileta_origen, id_lote_origen, volumen_origen_lts, id_pileta_destino, id_lote_destino, volumen_destino_lts) VALUES ('5f69a042', 16, '869e8a1b', 2700, 103, '4cb5f547', 31000);</t>
  </si>
  <si>
    <t>INSERT INTO Movimientos_Detalle (id_movimiento, id_pileta_origen, id_lote_origen, volumen_origen_lts, id_pileta_destino, id_lote_destino, volumen_destino_lts) VALUES ('efbfc658', 16, '869e8a1b', 2400, 89, '6d97827a', 83500);</t>
  </si>
  <si>
    <t>INSERT INTO Movimientos_Detalle (id_movimiento, id_pileta_origen, id_lote_origen, volumen_origen_lts, id_pileta_destino, id_lote_destino, volumen_destino_lts) VALUES ('2e5f5821', 50, '20dba0dd', 2250, 500, '99a4f454', 2250);</t>
  </si>
  <si>
    <t>INSERT INTO Movimientos_Detalle (id_movimiento, id_pileta_origen, id_lote_origen, volumen_origen_lts, id_pileta_destino, id_lote_destino, volumen_destino_lts) VALUES ('8e9234d6', 50, '20dba0dd', 600, 51, '26f083cf', 600);</t>
  </si>
  <si>
    <t>INSERT INTO Movimientos_Detalle (id_movimiento, id_pileta_origen, id_lote_origen, volumen_origen_lts, id_pileta_destino, id_lote_destino, volumen_destino_lts) VALUES ('4e686bb0', 68, '22a75cd4', 2850, 50, '5db7be38', 5100);</t>
  </si>
  <si>
    <t>INSERT INTO Movimientos_Detalle (id_movimiento, id_pileta_origen, id_lote_origen, volumen_origen_lts, id_pileta_destino, id_lote_destino, volumen_destino_lts) VALUES ('43849457', 68, '22a75cd4', 3300, 51, 'b7784dc8', 3900);</t>
  </si>
  <si>
    <t>INSERT INTO Movimientos_Detalle (id_movimiento, id_pileta_origen, id_lote_origen, volumen_origen_lts, id_pileta_destino, id_lote_destino, volumen_destino_lts) VALUES ('fef5426e', 111, 'f8287724', 4000, 500, 'df10fd91', 4000);</t>
  </si>
  <si>
    <t>INSERT INTO Movimientos_Detalle (id_movimiento, id_pileta_origen, id_lote_origen, volumen_origen_lts, id_pileta_destino, id_lote_destino, volumen_destino_lts) VALUES ('938e57a4', 50, '5db7be38', 5100, 500, 'aa688500', 5100);</t>
  </si>
  <si>
    <t>INSERT INTO Movimientos_Detalle (id_movimiento, id_pileta_origen, id_lote_origen, volumen_origen_lts, id_pileta_destino, id_lote_destino, volumen_destino_lts) VALUES ('a0dbfe74', 51, 'b7784dc8', 1800, 500, 'cbc84b48', 6900);</t>
  </si>
  <si>
    <t>INSERT INTO Movimientos_Detalle (id_movimiento, id_pileta_origen, id_lote_origen, volumen_origen_lts, id_pileta_destino, id_lote_destino, volumen_destino_lts) VALUES ('ec22814a', 34, '08cd1438', 9000, 116, '8347bdfc', 38845);</t>
  </si>
  <si>
    <t>-- FIN DEL SCRIPT</t>
  </si>
  <si>
    <t>Calificacion</t>
  </si>
  <si>
    <t>1+</t>
  </si>
  <si>
    <t>1</t>
  </si>
  <si>
    <t>1-</t>
  </si>
  <si>
    <t>2+</t>
  </si>
  <si>
    <t>2</t>
  </si>
  <si>
    <t>2-</t>
  </si>
  <si>
    <t>3+</t>
  </si>
  <si>
    <t>3</t>
  </si>
  <si>
    <t>3-</t>
  </si>
  <si>
    <t>Pileta a trazar</t>
  </si>
  <si>
    <t>PILETA</t>
  </si>
  <si>
    <t>LOTE</t>
  </si>
  <si>
    <t>MOVIMIENTOS QUE DIERON ORIGEN A ESTE LOTE</t>
  </si>
  <si>
    <t>LOTES DE PILETAS QUE FORMAN PARTE DE ESTE MOVIMIENTO</t>
  </si>
  <si>
    <t>ID Lote Pileta</t>
  </si>
  <si>
    <t>Lotes Origen</t>
  </si>
  <si>
    <t>DateTime</t>
  </si>
  <si>
    <t>Pileta Nro</t>
  </si>
  <si>
    <t>Variedad</t>
  </si>
  <si>
    <t>Cantidad Inicial</t>
  </si>
  <si>
    <t>Cantidad Actual</t>
  </si>
  <si>
    <t>Observaciones Lote</t>
  </si>
  <si>
    <t>CIU</t>
  </si>
  <si>
    <t>Califiacion Vino</t>
  </si>
  <si>
    <t>Color</t>
  </si>
  <si>
    <t>04b35bd0</t>
  </si>
  <si>
    <t>Syrah</t>
  </si>
  <si>
    <t>Tinto</t>
  </si>
  <si>
    <t>51d6bbdd</t>
  </si>
  <si>
    <t>Malbec</t>
  </si>
  <si>
    <t>6cde19b3</t>
  </si>
  <si>
    <t>Merlot</t>
  </si>
  <si>
    <t>348ea8a7</t>
  </si>
  <si>
    <t>8c336568</t>
  </si>
  <si>
    <t>51d6bbdd, 348ea8a7</t>
  </si>
  <si>
    <t>Malbec Syrah</t>
  </si>
  <si>
    <t>a1c20159</t>
  </si>
  <si>
    <t>c63f7bed</t>
  </si>
  <si>
    <t>d13652cf</t>
  </si>
  <si>
    <t>b27a5ea7</t>
  </si>
  <si>
    <t>Ajuste Volumen</t>
  </si>
  <si>
    <t>58b123c6</t>
  </si>
  <si>
    <t>53f98d96</t>
  </si>
  <si>
    <t>a1c20159, 58b123c6</t>
  </si>
  <si>
    <t>ce475c91</t>
  </si>
  <si>
    <t>b27a5ea7, d13652cf</t>
  </si>
  <si>
    <t>cedc0dc0</t>
  </si>
  <si>
    <t>Chardonnay</t>
  </si>
  <si>
    <t>Fermentando</t>
  </si>
  <si>
    <t>868560b2</t>
  </si>
  <si>
    <t>Aspirant Ferm 25</t>
  </si>
  <si>
    <t>5765 , 5766</t>
  </si>
  <si>
    <t>5eb33d17</t>
  </si>
  <si>
    <t>Syrah Ferm 25</t>
  </si>
  <si>
    <t>7c1795fa</t>
  </si>
  <si>
    <t>Merlot Ferm 25</t>
  </si>
  <si>
    <t>5780 , 5782 , 5783</t>
  </si>
  <si>
    <t>7366c02e</t>
  </si>
  <si>
    <t>5784 , 5785 , 5786 , 5788</t>
  </si>
  <si>
    <t>0632409f</t>
  </si>
  <si>
    <t>Malbec Ferm 25</t>
  </si>
  <si>
    <t>5770 , 5772 , 5774 , 5775 , 5777 , 5778</t>
  </si>
  <si>
    <t>24b66da0</t>
  </si>
  <si>
    <t>5761 , 5762 , 5763 , 5764</t>
  </si>
  <si>
    <t>e323890c</t>
  </si>
  <si>
    <t>Aspirant Anccelota Ferm</t>
  </si>
  <si>
    <t>5767 , 5768 , 5769 , 5771 , 5773 , 5776 , 5779 , 5781</t>
  </si>
  <si>
    <t>c76dfce1</t>
  </si>
  <si>
    <t>Aspirant</t>
  </si>
  <si>
    <t>5760 , 5756 , 5757 , 5758 , 5759</t>
  </si>
  <si>
    <t>f6f9d651</t>
  </si>
  <si>
    <t>5792 , 5796 , 5797 , 5800</t>
  </si>
  <si>
    <t>0835b42b</t>
  </si>
  <si>
    <t>Vino al c9rte de la vendimia</t>
  </si>
  <si>
    <t>Descubada</t>
  </si>
  <si>
    <t>903e1ab8</t>
  </si>
  <si>
    <t>65eb8fac</t>
  </si>
  <si>
    <t>5eb33d17, c76dfce1</t>
  </si>
  <si>
    <t>Syrah s/Asp</t>
  </si>
  <si>
    <t>13b5f72f</t>
  </si>
  <si>
    <t>7c1795fa, 65eb8fac</t>
  </si>
  <si>
    <t>Syrah Merlot s/Asp</t>
  </si>
  <si>
    <t>3c569c0a</t>
  </si>
  <si>
    <t>7366c02e, 24b66da0</t>
  </si>
  <si>
    <t>Merlot s/Asp</t>
  </si>
  <si>
    <t>d7af693c</t>
  </si>
  <si>
    <t>Malbec Gota</t>
  </si>
  <si>
    <t>1749cd27</t>
  </si>
  <si>
    <t>Malbec Prensa</t>
  </si>
  <si>
    <t>5008e5a3</t>
  </si>
  <si>
    <t>Cabernet Sauv Rect</t>
  </si>
  <si>
    <t>Rectificado</t>
  </si>
  <si>
    <t>27abb7ee</t>
  </si>
  <si>
    <t>Cabernet Sauvignon Rect</t>
  </si>
  <si>
    <t>eec28962</t>
  </si>
  <si>
    <t>Aspirant 24</t>
  </si>
  <si>
    <t>Terminado</t>
  </si>
  <si>
    <t>30d0ce51</t>
  </si>
  <si>
    <t>Cabernet Sauvignon Rect 24</t>
  </si>
  <si>
    <t>73b50dc4</t>
  </si>
  <si>
    <t>Malbec 24</t>
  </si>
  <si>
    <t>d5c7ee63</t>
  </si>
  <si>
    <t>241b642a</t>
  </si>
  <si>
    <t>Bonarda 24 Rect</t>
  </si>
  <si>
    <t>665bbad3</t>
  </si>
  <si>
    <t>Cabernet Sauvignon 24 Rect</t>
  </si>
  <si>
    <t>d9821c78</t>
  </si>
  <si>
    <t>a9ae339e</t>
  </si>
  <si>
    <t>6ee897e9</t>
  </si>
  <si>
    <t>Tinto 24 Rect</t>
  </si>
  <si>
    <t>fe114136</t>
  </si>
  <si>
    <t>c4f0d9b2</t>
  </si>
  <si>
    <t>f1388e78</t>
  </si>
  <si>
    <t>Aspirant 24 Rect</t>
  </si>
  <si>
    <t>904bbb40</t>
  </si>
  <si>
    <t>Syrah 24</t>
  </si>
  <si>
    <t>91f934c1</t>
  </si>
  <si>
    <t>b336cfcb</t>
  </si>
  <si>
    <t>6a04e7d6</t>
  </si>
  <si>
    <t>Malbec Magneta</t>
  </si>
  <si>
    <t>20/3
Degustación. Muy bien</t>
  </si>
  <si>
    <t>b502a55e</t>
  </si>
  <si>
    <t>Bonarda 24</t>
  </si>
  <si>
    <t>4368dec6</t>
  </si>
  <si>
    <t>b9e5067b</t>
  </si>
  <si>
    <t>bd4decc8</t>
  </si>
  <si>
    <t>26b37af9</t>
  </si>
  <si>
    <t>Chardonnay 24 Rect</t>
  </si>
  <si>
    <t>4a5cb789</t>
  </si>
  <si>
    <t>e3903041</t>
  </si>
  <si>
    <t>Syrah Colombo</t>
  </si>
  <si>
    <t>Polilla</t>
  </si>
  <si>
    <t>5852 , 5854 , 5855 , 5859 , 5865 , 5869</t>
  </si>
  <si>
    <t>977cb5a1</t>
  </si>
  <si>
    <t>Syrah Tempranillo</t>
  </si>
  <si>
    <t>5856 , 5857 , 5861 , 5863 , 5866 , 5867</t>
  </si>
  <si>
    <t>d6272af5</t>
  </si>
  <si>
    <t>f6f9d651, 868560b2</t>
  </si>
  <si>
    <t>Merlot s/ Asp</t>
  </si>
  <si>
    <t>0aa8c362</t>
  </si>
  <si>
    <t>Aspirant Anccelota Gota</t>
  </si>
  <si>
    <t>f8624f14</t>
  </si>
  <si>
    <t>f6f9d651, e323890c</t>
  </si>
  <si>
    <t>c3f4cae7</t>
  </si>
  <si>
    <t>5868 , 5873 , 5864 , 5872 , 5780 , 5782 , 5783</t>
  </si>
  <si>
    <t>a1e13111</t>
  </si>
  <si>
    <t>Chardonnay (Filtra)</t>
  </si>
  <si>
    <t>14/5
Fresco, rico</t>
  </si>
  <si>
    <t>Blanco</t>
  </si>
  <si>
    <t>14/5
.bien comercial</t>
  </si>
  <si>
    <t>8a7074cf</t>
  </si>
  <si>
    <t>14/5
simple, para una base</t>
  </si>
  <si>
    <t>7c5390c8</t>
  </si>
  <si>
    <t>14/5
muy rico</t>
  </si>
  <si>
    <t>861200f5</t>
  </si>
  <si>
    <t>7e515c96</t>
  </si>
  <si>
    <t>dae2c109</t>
  </si>
  <si>
    <t>a43178d5</t>
  </si>
  <si>
    <t>13b5f72f, 1749cd27</t>
  </si>
  <si>
    <t>Syrah Merlot s/Asp gota</t>
  </si>
  <si>
    <t>a1ad6cb4</t>
  </si>
  <si>
    <t xml:space="preserve">13b5f72f, </t>
  </si>
  <si>
    <t>Syrah Merlot s/Asp Gota</t>
  </si>
  <si>
    <t>3b2a1e70</t>
  </si>
  <si>
    <t>977cb5a1, 13b5f72f</t>
  </si>
  <si>
    <t>Syrah Tempranillo s/Asp 2da</t>
  </si>
  <si>
    <t>Prueba offline</t>
  </si>
  <si>
    <t>d177809a</t>
  </si>
  <si>
    <t>5871 , 5870 , 5874 , 5875</t>
  </si>
  <si>
    <t>8b03a986</t>
  </si>
  <si>
    <t>5878 , 5877 , 5876 , 5879 , 5880</t>
  </si>
  <si>
    <t>00e2c403</t>
  </si>
  <si>
    <t>prueba 1</t>
  </si>
  <si>
    <t>cff5f914</t>
  </si>
  <si>
    <t>Prueva 2 Variedad</t>
  </si>
  <si>
    <t>fa54e834</t>
  </si>
  <si>
    <t>cff5f914, 00e2c403</t>
  </si>
  <si>
    <t>24faf549</t>
  </si>
  <si>
    <t>cff5f914, fa54e834</t>
  </si>
  <si>
    <t>57a0fadf</t>
  </si>
  <si>
    <t>cff5f914, 24faf549</t>
  </si>
  <si>
    <t>e2c70b60</t>
  </si>
  <si>
    <t>57a0fadf, cff5f914</t>
  </si>
  <si>
    <t>5e86e265</t>
  </si>
  <si>
    <t>c1d665de</t>
  </si>
  <si>
    <t>eeeff983</t>
  </si>
  <si>
    <t>b9edcc33</t>
  </si>
  <si>
    <t>Cabernet Sauv Despacho Bodega</t>
  </si>
  <si>
    <t>ae4bc1ac</t>
  </si>
  <si>
    <t>a22cb4a2</t>
  </si>
  <si>
    <t>Aspirat</t>
  </si>
  <si>
    <t>0b7fd98e</t>
  </si>
  <si>
    <t>7ad5b1b2</t>
  </si>
  <si>
    <t>Malbec con Merlot s/Asp</t>
  </si>
  <si>
    <t>00bdd4ad</t>
  </si>
  <si>
    <t>3e5c0749</t>
  </si>
  <si>
    <t>Syrah Ferm</t>
  </si>
  <si>
    <t>5881 , 5882 , 5883 , 5884 , 5885</t>
  </si>
  <si>
    <t>7082548e</t>
  </si>
  <si>
    <t>Syrah Colom s/Asp 2</t>
  </si>
  <si>
    <t>f3ebcf34</t>
  </si>
  <si>
    <t>Merlot Fer</t>
  </si>
  <si>
    <t>5886 , 5887 , 5888 , 5889 , 5890 , 5891</t>
  </si>
  <si>
    <t>9776a719</t>
  </si>
  <si>
    <t>Merlot s/ Asp descube</t>
  </si>
  <si>
    <t>d6ff9a07</t>
  </si>
  <si>
    <t>Merlot s/Asp descube</t>
  </si>
  <si>
    <t>Muy bueno</t>
  </si>
  <si>
    <t>8c09a554</t>
  </si>
  <si>
    <t>7525cd32</t>
  </si>
  <si>
    <t>Syrah s/Asp 2da</t>
  </si>
  <si>
    <t>Recarga Fermentando</t>
  </si>
  <si>
    <t>245cd9d6</t>
  </si>
  <si>
    <t>Tiene Prensa con un amargo</t>
  </si>
  <si>
    <t>13d1574d</t>
  </si>
  <si>
    <t>9adbf19e</t>
  </si>
  <si>
    <t>16% de Rectificado agregado</t>
  </si>
  <si>
    <t>b45049fe</t>
  </si>
  <si>
    <t>5895 , 5892 , 5896 , 5897 , 5899 , 5900</t>
  </si>
  <si>
    <t>e95eaf53</t>
  </si>
  <si>
    <t>Anccelotta</t>
  </si>
  <si>
    <t>5894 , 5893 , 5898</t>
  </si>
  <si>
    <t>4adbcbaf</t>
  </si>
  <si>
    <t>Tiene medio viaje del ciu 5899 (cornejo)</t>
  </si>
  <si>
    <t>bf5594db</t>
  </si>
  <si>
    <t>fea4a82d</t>
  </si>
  <si>
    <t>61098b0e</t>
  </si>
  <si>
    <t>ce659e77</t>
  </si>
  <si>
    <t>Syrah s/Asp 3ra</t>
  </si>
  <si>
    <t>3b85c155</t>
  </si>
  <si>
    <t>5f87c3d5</t>
  </si>
  <si>
    <t>4/3 desvinar y prensar</t>
  </si>
  <si>
    <t>6c3c93fd</t>
  </si>
  <si>
    <t>Gusto 4//3</t>
  </si>
  <si>
    <t>15e7b86f</t>
  </si>
  <si>
    <t>7/3 hacer Az y recargar con 83
4/3 bien. Se puede recargar</t>
  </si>
  <si>
    <t>6c349523</t>
  </si>
  <si>
    <t>39ea0cc6</t>
  </si>
  <si>
    <t>Cochinilla en el Dique</t>
  </si>
  <si>
    <t>5902 , 5903 , 5905 , 5906 , 5907 , 5908</t>
  </si>
  <si>
    <t>Correccion</t>
  </si>
  <si>
    <t>994b8afe</t>
  </si>
  <si>
    <t>9c95c706</t>
  </si>
  <si>
    <t>7/3
Reducida, agregar fosfato</t>
  </si>
  <si>
    <t>5904 , 5920</t>
  </si>
  <si>
    <t>702b9808</t>
  </si>
  <si>
    <t>d2779d8c</t>
  </si>
  <si>
    <t>5909 , 5910 , 5911 , 5912 , 5913</t>
  </si>
  <si>
    <t>58c72f6a</t>
  </si>
  <si>
    <t>a18d2b54</t>
  </si>
  <si>
    <t>f41ecbda</t>
  </si>
  <si>
    <t>28/3 muy bueno y parejo para corte de Syrah</t>
  </si>
  <si>
    <t>963fbbab</t>
  </si>
  <si>
    <t>Merlot s/Asp y Syrah</t>
  </si>
  <si>
    <t>f90482a4</t>
  </si>
  <si>
    <t>28/3 esta bien pero fue el mas flaco de la degustacion.  Completa el corte
10/3 ver correcciones de SO2 como quedó
Dulzura en boca</t>
  </si>
  <si>
    <t>a62e4289</t>
  </si>
  <si>
    <t>94493a7b</t>
  </si>
  <si>
    <t>9f119881</t>
  </si>
  <si>
    <t>e5b434bb</t>
  </si>
  <si>
    <t>1f033edd</t>
  </si>
  <si>
    <t>7/3
Tiene un amargo</t>
  </si>
  <si>
    <t>3c90bae8</t>
  </si>
  <si>
    <t>7/3
Hacer ph antes de rectificar
Buscar 3,5 ph al fermentar
Encubado</t>
  </si>
  <si>
    <t>5914 , 5915 , 5916 , 5917 , 5919</t>
  </si>
  <si>
    <t>99fabf46</t>
  </si>
  <si>
    <t>7/3
Reducido agr fosfato y rectificar</t>
  </si>
  <si>
    <t>5d46dc83</t>
  </si>
  <si>
    <t>d8ebe8ad</t>
  </si>
  <si>
    <t>40c05149</t>
  </si>
  <si>
    <t>9c695ba3</t>
  </si>
  <si>
    <t>21a02bb8</t>
  </si>
  <si>
    <t>577b30d8</t>
  </si>
  <si>
    <t>Syrah s/Asp 2 Prensa</t>
  </si>
  <si>
    <t>Tiene 3000 o 4000 7/3</t>
  </si>
  <si>
    <t>4bf00cf0</t>
  </si>
  <si>
    <t>14/3 Dio bien la volátil 0.54
7/3
Hacer volátil. Uva origen con Cochinilla</t>
  </si>
  <si>
    <t>5dbffbd0</t>
  </si>
  <si>
    <t>Tinto La Vendimia</t>
  </si>
  <si>
    <t>6d7a380a</t>
  </si>
  <si>
    <t>58ded1ae</t>
  </si>
  <si>
    <t>0effecea</t>
  </si>
  <si>
    <t>9089481b</t>
  </si>
  <si>
    <t>5921 , 5922 , 5924 , 5926 , 5927 , 5929 , 5931</t>
  </si>
  <si>
    <t>6b4f5740</t>
  </si>
  <si>
    <t>10/3
Un poco reducido</t>
  </si>
  <si>
    <t>5923 , 5925</t>
  </si>
  <si>
    <t>3a5e04a4</t>
  </si>
  <si>
    <t>7/3 
Ver correcciones de SO2 originales?</t>
  </si>
  <si>
    <t>abbbaccc</t>
  </si>
  <si>
    <t>44d88f23</t>
  </si>
  <si>
    <t>c4743b1b</t>
  </si>
  <si>
    <t>3bd6f9bf</t>
  </si>
  <si>
    <t>0799e5db</t>
  </si>
  <si>
    <t>af88e380</t>
  </si>
  <si>
    <t>10/3</t>
  </si>
  <si>
    <t>9c317849</t>
  </si>
  <si>
    <t>10/3
Reducido Alf. Le gustó a Vic
20/3
Hay que desvinar y prensarla y ya saben signo que se está hundiendo el sombrero con líquido arriba</t>
  </si>
  <si>
    <t>c85d74dc</t>
  </si>
  <si>
    <t>4d28a747</t>
  </si>
  <si>
    <t>915299ff</t>
  </si>
  <si>
    <t>0700b55d</t>
  </si>
  <si>
    <t>df446c40</t>
  </si>
  <si>
    <t>61e7a661</t>
  </si>
  <si>
    <t>83cb5e85</t>
  </si>
  <si>
    <t>9c2bc1c1</t>
  </si>
  <si>
    <t>66440ff8</t>
  </si>
  <si>
    <t>c883c10a</t>
  </si>
  <si>
    <t>8a8f8909</t>
  </si>
  <si>
    <t>a826dd70</t>
  </si>
  <si>
    <t>0b1b410b</t>
  </si>
  <si>
    <t>cdd54045</t>
  </si>
  <si>
    <t>69fc871f</t>
  </si>
  <si>
    <t>212851d2</t>
  </si>
  <si>
    <t>6ccc7bc6</t>
  </si>
  <si>
    <t>c50c5100</t>
  </si>
  <si>
    <t>ee917088</t>
  </si>
  <si>
    <t>Chenin</t>
  </si>
  <si>
    <t>5930 , 5928</t>
  </si>
  <si>
    <t>78ca3339</t>
  </si>
  <si>
    <t>593f826f</t>
  </si>
  <si>
    <t>Rico, amarillo. Llevar a 35 mg so</t>
  </si>
  <si>
    <t>8782f51d</t>
  </si>
  <si>
    <t>481ac202</t>
  </si>
  <si>
    <t>1953afee</t>
  </si>
  <si>
    <t>6a79f2ba</t>
  </si>
  <si>
    <t>8e7dc827</t>
  </si>
  <si>
    <t>d65723e9</t>
  </si>
  <si>
    <t>7b5d098a</t>
  </si>
  <si>
    <t>f76c3497</t>
  </si>
  <si>
    <t>6352eea8</t>
  </si>
  <si>
    <t>b73d8cd1</t>
  </si>
  <si>
    <t>b5e03e7f</t>
  </si>
  <si>
    <t>14/5
mas debil en boca</t>
  </si>
  <si>
    <t>76f1abe4</t>
  </si>
  <si>
    <t>4a9a65d1</t>
  </si>
  <si>
    <t>81703b0d</t>
  </si>
  <si>
    <t>Bonarda C2</t>
  </si>
  <si>
    <t>5937 , 5934 , 5932 , 5939 , 5944 , 5946 , 5949</t>
  </si>
  <si>
    <t>dc7359e0</t>
  </si>
  <si>
    <t>5936 , 5933 , 5943 , 5947 , 5958</t>
  </si>
  <si>
    <t>12aaaa1b</t>
  </si>
  <si>
    <t>Tanat</t>
  </si>
  <si>
    <t>41324315</t>
  </si>
  <si>
    <t>f6596c23</t>
  </si>
  <si>
    <t>59e7d158</t>
  </si>
  <si>
    <t>219129bc</t>
  </si>
  <si>
    <t>c286df65</t>
  </si>
  <si>
    <t>0a4970f2</t>
  </si>
  <si>
    <t>Ajuste</t>
  </si>
  <si>
    <t>ba3f8a31</t>
  </si>
  <si>
    <t>83599ef4</t>
  </si>
  <si>
    <t>d83c9a57</t>
  </si>
  <si>
    <t>dc3d5a11</t>
  </si>
  <si>
    <t>97384f9b</t>
  </si>
  <si>
    <t>Ancellotta Tempranillo</t>
  </si>
  <si>
    <t>5940 , 5941 , 5942 , 5959 , 5960 , 5961</t>
  </si>
  <si>
    <t>b5300557</t>
  </si>
  <si>
    <t>e954d719</t>
  </si>
  <si>
    <t>1er Trasiego</t>
  </si>
  <si>
    <t>56f7ac6d</t>
  </si>
  <si>
    <t>df4789cf</t>
  </si>
  <si>
    <t>c210f1aa</t>
  </si>
  <si>
    <t>20/2
Mejoro</t>
  </si>
  <si>
    <t>5930 , 5935 , 5928</t>
  </si>
  <si>
    <t>397cd7e0</t>
  </si>
  <si>
    <t>7c1a7cd6</t>
  </si>
  <si>
    <t>e37067e3</t>
  </si>
  <si>
    <t>f7f01b85</t>
  </si>
  <si>
    <t>Torrontes</t>
  </si>
  <si>
    <t>5950 , 5945</t>
  </si>
  <si>
    <t>519804dd</t>
  </si>
  <si>
    <t>5951 , 5952 , 5954 , 5956 , 5957</t>
  </si>
  <si>
    <t>fdf22389</t>
  </si>
  <si>
    <t>844a05ee</t>
  </si>
  <si>
    <t>Syrah s/Anc</t>
  </si>
  <si>
    <t>87ba9e1b</t>
  </si>
  <si>
    <t>e2c3632b</t>
  </si>
  <si>
    <t>22dd4d8c</t>
  </si>
  <si>
    <t>4197a6b3</t>
  </si>
  <si>
    <t>5433281e</t>
  </si>
  <si>
    <t>fa937d00</t>
  </si>
  <si>
    <t>aecdf448</t>
  </si>
  <si>
    <t>1c0f3ac6</t>
  </si>
  <si>
    <t>20/3
Hacer azúcar. Ver de desvinar</t>
  </si>
  <si>
    <t>91a1bef0</t>
  </si>
  <si>
    <t>5953 , 5955</t>
  </si>
  <si>
    <t>31a16d29</t>
  </si>
  <si>
    <t>5964 , 5966</t>
  </si>
  <si>
    <t>ee8f7e01</t>
  </si>
  <si>
    <t>5967 , 5968</t>
  </si>
  <si>
    <t>34a141e2</t>
  </si>
  <si>
    <t>Tempranillo</t>
  </si>
  <si>
    <t>5962 , 5963 , 5965 , 5969 , 5970 , 5971</t>
  </si>
  <si>
    <t>c57dab01</t>
  </si>
  <si>
    <t>7f2febfa</t>
  </si>
  <si>
    <t>ef6021e0</t>
  </si>
  <si>
    <t>87540dbb</t>
  </si>
  <si>
    <t>20/3
Hacer azúcar
Ver se desvinar junto con 78 a pileta</t>
  </si>
  <si>
    <t>1a71b226</t>
  </si>
  <si>
    <t>e0f68630</t>
  </si>
  <si>
    <t>dea77610</t>
  </si>
  <si>
    <t>20/3</t>
  </si>
  <si>
    <t>03ffe0d5</t>
  </si>
  <si>
    <t>20/3 
Ver SOL y volátil. Colocar bandeja</t>
  </si>
  <si>
    <t>b93c3154</t>
  </si>
  <si>
    <t>ea43be80</t>
  </si>
  <si>
    <t>fe482ba5</t>
  </si>
  <si>
    <t>b01eee66</t>
  </si>
  <si>
    <t>4649003c</t>
  </si>
  <si>
    <t>f3ecd42b</t>
  </si>
  <si>
    <t>20/3
Hacer azúcar</t>
  </si>
  <si>
    <t>98f429d0</t>
  </si>
  <si>
    <t>3a308f07</t>
  </si>
  <si>
    <t>3d517070</t>
  </si>
  <si>
    <t>9d80dcac</t>
  </si>
  <si>
    <t>Bonarda</t>
  </si>
  <si>
    <t>Encube</t>
  </si>
  <si>
    <t>5974 , 5972 , 5976 , 5978 , 5979</t>
  </si>
  <si>
    <t>8c8ffb39</t>
  </si>
  <si>
    <t>337ffa98</t>
  </si>
  <si>
    <t>20/3
Rico. Hacer azúcar
Se puede juntar con la 70</t>
  </si>
  <si>
    <t>76ba7fdf</t>
  </si>
  <si>
    <t>de74d539</t>
  </si>
  <si>
    <t>79be12ab</t>
  </si>
  <si>
    <t>898d9689</t>
  </si>
  <si>
    <t>8d3c8a21</t>
  </si>
  <si>
    <t>71f4b567</t>
  </si>
  <si>
    <t>a9139adb</t>
  </si>
  <si>
    <t>4a34674d</t>
  </si>
  <si>
    <t>5020af35</t>
  </si>
  <si>
    <t>3eacd39c</t>
  </si>
  <si>
    <t>562f51a9</t>
  </si>
  <si>
    <t>5cc545be</t>
  </si>
  <si>
    <t>e861b4fa</t>
  </si>
  <si>
    <t>d607821f</t>
  </si>
  <si>
    <t>84282478</t>
  </si>
  <si>
    <t>41c8d398</t>
  </si>
  <si>
    <t>5c98aafc</t>
  </si>
  <si>
    <t>dd4b7b83</t>
  </si>
  <si>
    <t>b5e8d166</t>
  </si>
  <si>
    <t>6cba92a2</t>
  </si>
  <si>
    <t>Ajuste final del Arqueo 17/03/25  - 19300 lts</t>
  </si>
  <si>
    <t>0d46ca84</t>
  </si>
  <si>
    <t>92bbed34</t>
  </si>
  <si>
    <t>c3e5d902</t>
  </si>
  <si>
    <t>Pedro Gimenez</t>
  </si>
  <si>
    <t>20/3
Fermentando 
Cuando consumo unos dos boome más se agregaron unos 30 g de bentonita</t>
  </si>
  <si>
    <t>5973 , 5975 , 5977</t>
  </si>
  <si>
    <t>b7799ff9</t>
  </si>
  <si>
    <t>238eb34e</t>
  </si>
  <si>
    <t>9446c412</t>
  </si>
  <si>
    <t>0d1b7f2c</t>
  </si>
  <si>
    <t>7d922df1</t>
  </si>
  <si>
    <t>6341d7bb</t>
  </si>
  <si>
    <t>dd0fd20d</t>
  </si>
  <si>
    <t>69d6b7d4</t>
  </si>
  <si>
    <t>f2f249ef</t>
  </si>
  <si>
    <t>5c199eac</t>
  </si>
  <si>
    <t>bd85e420</t>
  </si>
  <si>
    <t>Borra</t>
  </si>
  <si>
    <t>c39e24cf</t>
  </si>
  <si>
    <t>5980 , 5981 , 5982</t>
  </si>
  <si>
    <t>26cfa504</t>
  </si>
  <si>
    <t>20/3
El 18 de marzo llegó a 0 grados baume
Hacer azúcar. Parece que se ha frenado la fermentación
24 
Se descubra</t>
  </si>
  <si>
    <t>d3910498</t>
  </si>
  <si>
    <t>a3638ae6</t>
  </si>
  <si>
    <t>bf6d548a</t>
  </si>
  <si>
    <t>abf45035</t>
  </si>
  <si>
    <t>Traslado Venta</t>
  </si>
  <si>
    <t>0f5a0357</t>
  </si>
  <si>
    <t>6ca6737b</t>
  </si>
  <si>
    <t>a58181b8</t>
  </si>
  <si>
    <t>5f1402b2</t>
  </si>
  <si>
    <t>Traslado  a la Vendimia 19/3/25</t>
  </si>
  <si>
    <t>a3cee476</t>
  </si>
  <si>
    <t>20/3
Bien
Se le va a cerrar la temperatura porque ya le quedan solamente tres baume</t>
  </si>
  <si>
    <t>8f28e62a</t>
  </si>
  <si>
    <t>8f7c7c26</t>
  </si>
  <si>
    <t>Criolla</t>
  </si>
  <si>
    <t>Criolla flotada</t>
  </si>
  <si>
    <t>5987 , 5986 , 5985 , 5984 , 5983</t>
  </si>
  <si>
    <t>a2ec7d6d</t>
  </si>
  <si>
    <t>2cca878f</t>
  </si>
  <si>
    <t>Tinto Criolla Rec</t>
  </si>
  <si>
    <t>538b2389</t>
  </si>
  <si>
    <t>Cerrar frío nota 20 de marzo</t>
  </si>
  <si>
    <t>805a5dd9</t>
  </si>
  <si>
    <t>e53d4606</t>
  </si>
  <si>
    <t>bb28f5a1</t>
  </si>
  <si>
    <t>00ec1fb2</t>
  </si>
  <si>
    <t>Criolla Filtrada</t>
  </si>
  <si>
    <t>7c51cd7c</t>
  </si>
  <si>
    <t>e16bba1c</t>
  </si>
  <si>
    <t>28/3 degustado y gusto mucho
25/3
No esta verde. Está muy bueno
Controlar SO2</t>
  </si>
  <si>
    <t>0bebff1a</t>
  </si>
  <si>
    <t>8ba061c3</t>
  </si>
  <si>
    <t>25/3
Notas de fruta negra ácida
Revisar ph</t>
  </si>
  <si>
    <t>c60f6341</t>
  </si>
  <si>
    <t>Malbec Mec</t>
  </si>
  <si>
    <t>5989 , 5994 , 5995 , 5996 , 5999 , 6000</t>
  </si>
  <si>
    <t>78caf863</t>
  </si>
  <si>
    <t>1/4 
Está muy bien.</t>
  </si>
  <si>
    <t>01572a41</t>
  </si>
  <si>
    <t>0cf5d8ff</t>
  </si>
  <si>
    <t>1640b5b7</t>
  </si>
  <si>
    <t>Tinto Criolla Recarga</t>
  </si>
  <si>
    <t>d007d867</t>
  </si>
  <si>
    <t>25/3</t>
  </si>
  <si>
    <t>d7576c4b</t>
  </si>
  <si>
    <t>Flotacion</t>
  </si>
  <si>
    <t>5990 , 5991 , 5992 , 5993</t>
  </si>
  <si>
    <t>d7488996</t>
  </si>
  <si>
    <t>Tinto Recarga</t>
  </si>
  <si>
    <t>7b27f7a2</t>
  </si>
  <si>
    <t>25/3
Hacer AZ y VOL</t>
  </si>
  <si>
    <t>730bdaa5</t>
  </si>
  <si>
    <t>25/3
Bien. Algo ácido. Lindo color</t>
  </si>
  <si>
    <t>b2ddb184</t>
  </si>
  <si>
    <t>25/3
Llego a cero baume</t>
  </si>
  <si>
    <t>571333c6</t>
  </si>
  <si>
    <t>25/3 
Cargar ph</t>
  </si>
  <si>
    <t>22e4f887</t>
  </si>
  <si>
    <t>Mecanica</t>
  </si>
  <si>
    <t>6002 , 6003 , 6005 , 6006 , 6007</t>
  </si>
  <si>
    <t>708b6ccb</t>
  </si>
  <si>
    <t>Falta rectificado de la 49</t>
  </si>
  <si>
    <t>6004 , 6001 , 5997</t>
  </si>
  <si>
    <t>33d70f3e</t>
  </si>
  <si>
    <t>17/4</t>
  </si>
  <si>
    <t>3907dbfc</t>
  </si>
  <si>
    <t>1/4
Tinto básico. Liviano.</t>
  </si>
  <si>
    <t>c9e381e1</t>
  </si>
  <si>
    <t>54d0d860</t>
  </si>
  <si>
    <t>1/4
Muy bien.</t>
  </si>
  <si>
    <t>b1ca9458</t>
  </si>
  <si>
    <t>17/4
Muy rico
1/4
Bien. Alineado con la 105. Se pueden unificar</t>
  </si>
  <si>
    <t>afed01fa</t>
  </si>
  <si>
    <t>Ancellotta Tempranillo Pren</t>
  </si>
  <si>
    <t>17/4
Simple
1/4
Está bien pero más básico. Co2 en boca</t>
  </si>
  <si>
    <t>6527d58b</t>
  </si>
  <si>
    <t>34f051f2</t>
  </si>
  <si>
    <t>8d1e611a</t>
  </si>
  <si>
    <t>2e224e71</t>
  </si>
  <si>
    <t>4/4 ver donde va el saldo de 1500 lts despues de ir a 15 el resto
1/4
Pasar por orujos tanat</t>
  </si>
  <si>
    <t>239b5e04</t>
  </si>
  <si>
    <t>1/4
Igual 84. Hacer AZ para pensar
Liviano, floral
No hace falta seguir dejando con los orujos
Juntar con 84</t>
  </si>
  <si>
    <t>95e67a02</t>
  </si>
  <si>
    <t>4fc3176a</t>
  </si>
  <si>
    <t>666d23a6</t>
  </si>
  <si>
    <t>1/4
Cómo estaba parada la generación se le agrego el viernes 100 GR SO2 para limpiar el medio.
Hacer AZ hoy 1/4</t>
  </si>
  <si>
    <t>4eab3967</t>
  </si>
  <si>
    <t>1/4
Muy bueno. Redondo</t>
  </si>
  <si>
    <t>806c3920</t>
  </si>
  <si>
    <t>Malbec G</t>
  </si>
  <si>
    <t>45c7ce93</t>
  </si>
  <si>
    <t>35c5e060</t>
  </si>
  <si>
    <t>1fb0aecd</t>
  </si>
  <si>
    <t>c10d9cc7</t>
  </si>
  <si>
    <t>Ajuste Arqueo 24/03/25</t>
  </si>
  <si>
    <t>2fe32030</t>
  </si>
  <si>
    <t>1/4
Buen color
Ver Az para ver si prensar porque está tqnico</t>
  </si>
  <si>
    <t>e2c9de47</t>
  </si>
  <si>
    <t>bf75bf0d</t>
  </si>
  <si>
    <t>62023f37</t>
  </si>
  <si>
    <t>671aa5be</t>
  </si>
  <si>
    <t>48ce0b6f</t>
  </si>
  <si>
    <t>896bf192</t>
  </si>
  <si>
    <t>22f56119</t>
  </si>
  <si>
    <t>7059064e</t>
  </si>
  <si>
    <t>5b1a85aa</t>
  </si>
  <si>
    <t>9c08b5f2</t>
  </si>
  <si>
    <t>a85e69f1</t>
  </si>
  <si>
    <t>f9474150</t>
  </si>
  <si>
    <t>811c911e</t>
  </si>
  <si>
    <t>7e71a1c9</t>
  </si>
  <si>
    <t>d2438b41</t>
  </si>
  <si>
    <t>4553393f</t>
  </si>
  <si>
    <t>4f64f8ff</t>
  </si>
  <si>
    <t>3f692936</t>
  </si>
  <si>
    <t>c625482f</t>
  </si>
  <si>
    <t>cddd0d08</t>
  </si>
  <si>
    <t>Ajuste Arq 25/03/25</t>
  </si>
  <si>
    <t>666c05a4</t>
  </si>
  <si>
    <t>ba65567d</t>
  </si>
  <si>
    <t>37d13c67</t>
  </si>
  <si>
    <t>309834ec</t>
  </si>
  <si>
    <t>654f6921</t>
  </si>
  <si>
    <t>6010 , 6011 , 6013 , 6014</t>
  </si>
  <si>
    <t>8cca3230</t>
  </si>
  <si>
    <t>6009 , 6012 , 6016 , 6017 , 6019 , 6020</t>
  </si>
  <si>
    <t>32e9ec8f</t>
  </si>
  <si>
    <t>9a9cd123</t>
  </si>
  <si>
    <t>Tinto Recarga Press</t>
  </si>
  <si>
    <t>96467006</t>
  </si>
  <si>
    <t>4/4
Se puede controlar 102
109 12 109 107
1/4
Tinto básico simplon</t>
  </si>
  <si>
    <t>8102a15a</t>
  </si>
  <si>
    <t>1/4
Liviano pero linda base para hacer volumen. No hay verdes ni tanicos
Podría juntarse con la 96</t>
  </si>
  <si>
    <t>3cb72b04</t>
  </si>
  <si>
    <t>28029583</t>
  </si>
  <si>
    <t>4/4 
Tinto simple, pero bien</t>
  </si>
  <si>
    <t>c85b5cb0</t>
  </si>
  <si>
    <t>bcd7e2f3</t>
  </si>
  <si>
    <t>2e2b3f01</t>
  </si>
  <si>
    <t>c750a1d2</t>
  </si>
  <si>
    <t>3e5b524d</t>
  </si>
  <si>
    <t>14/5
nota amoscatelada</t>
  </si>
  <si>
    <t>eeb8e99d</t>
  </si>
  <si>
    <t>5cdb12ce</t>
  </si>
  <si>
    <t>14/5
algo verde. rico,</t>
  </si>
  <si>
    <t>b4fcbbdb</t>
  </si>
  <si>
    <t>30332ad5</t>
  </si>
  <si>
    <t>14/5
tiene un sucio</t>
  </si>
  <si>
    <t>d711de02</t>
  </si>
  <si>
    <t>2f246ad5</t>
  </si>
  <si>
    <t>6010 , 6011 , 6013 , 6014 , 6015 , 6018</t>
  </si>
  <si>
    <t>14/5
mas fino y reco que antes</t>
  </si>
  <si>
    <t>6d3395c8</t>
  </si>
  <si>
    <t>Malbec Bonarda</t>
  </si>
  <si>
    <t>1/4
Olor raro</t>
  </si>
  <si>
    <t>6021 , 6022 , 6023 , 6024 , 6025 , 6026</t>
  </si>
  <si>
    <t>f544d5bf</t>
  </si>
  <si>
    <t>Torrontes tacho Plastico</t>
  </si>
  <si>
    <t>0ff5115b</t>
  </si>
  <si>
    <t>c694d86c</t>
  </si>
  <si>
    <t>50c7db36</t>
  </si>
  <si>
    <t>1/4 
Tinto recarga ver trazabilidad</t>
  </si>
  <si>
    <t>c2b34610</t>
  </si>
  <si>
    <t>Cabernet Sauvignong</t>
  </si>
  <si>
    <t>c97f270b</t>
  </si>
  <si>
    <t>6dd6dc83</t>
  </si>
  <si>
    <t>ec23e3f7</t>
  </si>
  <si>
    <t>bc837f92</t>
  </si>
  <si>
    <t>a6d28e88</t>
  </si>
  <si>
    <t>14/5
rico
4/4
Lindo color, está rico</t>
  </si>
  <si>
    <t>d557e5fd</t>
  </si>
  <si>
    <t>8/4 corregir volymen</t>
  </si>
  <si>
    <t>d251428e</t>
  </si>
  <si>
    <t>857f0b04</t>
  </si>
  <si>
    <t>1/4 
Bueno. Fermentando</t>
  </si>
  <si>
    <t>0420c80a</t>
  </si>
  <si>
    <t>1/4
Se puede desvinar para recargar con criolla</t>
  </si>
  <si>
    <t>380532ea</t>
  </si>
  <si>
    <t>520b940d</t>
  </si>
  <si>
    <t>e01e8aa7</t>
  </si>
  <si>
    <t>1f683a42</t>
  </si>
  <si>
    <t>650c1db7</t>
  </si>
  <si>
    <t>8b30dc4c</t>
  </si>
  <si>
    <t>Malbec Montecepas 24</t>
  </si>
  <si>
    <t>1/4
 Falta rellenar. Que se rellene de la 51 Tanat</t>
  </si>
  <si>
    <t>a4c9e3f8</t>
  </si>
  <si>
    <t>3f3e8ee6</t>
  </si>
  <si>
    <t>1/4
Mejoro los rojos.
Poner las duelas del 74 para recuperar algo de madera.</t>
  </si>
  <si>
    <t>290ee918</t>
  </si>
  <si>
    <t>8fc418d7</t>
  </si>
  <si>
    <t>Ajuste arqueo 24/03/25</t>
  </si>
  <si>
    <t>c7ecff86</t>
  </si>
  <si>
    <t>Bonarda Gota</t>
  </si>
  <si>
    <t>d7991cf5</t>
  </si>
  <si>
    <t>Criolla Flotada</t>
  </si>
  <si>
    <t>6028 , 6029 , 6030</t>
  </si>
  <si>
    <t>dadb0851</t>
  </si>
  <si>
    <t>Criolla s/Bonarda</t>
  </si>
  <si>
    <t>becb2c75</t>
  </si>
  <si>
    <t>6035 , 6036 , 6038 , 6040 , 6042 , 6043</t>
  </si>
  <si>
    <t>b7223c27</t>
  </si>
  <si>
    <t>6037 , 6052</t>
  </si>
  <si>
    <t>b23211ad</t>
  </si>
  <si>
    <t>c6c8568a</t>
  </si>
  <si>
    <t>Ajuste Arqueo 01-04-25</t>
  </si>
  <si>
    <t>eb25ce6f</t>
  </si>
  <si>
    <t>1a5b525d</t>
  </si>
  <si>
    <t>84e6afcb</t>
  </si>
  <si>
    <t>353f740c</t>
  </si>
  <si>
    <t>c6c0786e</t>
  </si>
  <si>
    <t>21c38848</t>
  </si>
  <si>
    <t>97681120</t>
  </si>
  <si>
    <t>d36de2d6</t>
  </si>
  <si>
    <t>02c0fc23</t>
  </si>
  <si>
    <t>cf44f84a</t>
  </si>
  <si>
    <t>4/4 sigue fermentando, va bien
Hacer AZ
Le faltan 40 CM 8000 lts
2/4 decubada con 20 gr y esta reduciendo</t>
  </si>
  <si>
    <t>2eb7d92e</t>
  </si>
  <si>
    <t>6031 , 6032 , 6033</t>
  </si>
  <si>
    <t>c355e18a</t>
  </si>
  <si>
    <t>6034 , 6039 , 6041</t>
  </si>
  <si>
    <t>73108ca1</t>
  </si>
  <si>
    <t>Tinto s/Bonarda</t>
  </si>
  <si>
    <t>6b249a3a</t>
  </si>
  <si>
    <t>1ba229d2</t>
  </si>
  <si>
    <t>b6dc5dc8</t>
  </si>
  <si>
    <t>37179342</t>
  </si>
  <si>
    <t>4/4
Está bien</t>
  </si>
  <si>
    <t>a4cd80cd</t>
  </si>
  <si>
    <t>89ea53f8</t>
  </si>
  <si>
    <t>6044 , 6046 , 6047 , 6048 , 6049 , 6051</t>
  </si>
  <si>
    <t>0d6140dc</t>
  </si>
  <si>
    <t>Cabernet Sauv Mec</t>
  </si>
  <si>
    <t>6050 , 6045 , 6056 , 6058 , 6059 , 6063 , 6067</t>
  </si>
  <si>
    <t>2d913121</t>
  </si>
  <si>
    <t>5c542a1f</t>
  </si>
  <si>
    <t>0869b66b</t>
  </si>
  <si>
    <t>3640d88c</t>
  </si>
  <si>
    <t>d9c4b92b</t>
  </si>
  <si>
    <t>4/4
Bien
Posible 73 y 69 q está pileta</t>
  </si>
  <si>
    <t>3aa98d19</t>
  </si>
  <si>
    <t>8042d6c2</t>
  </si>
  <si>
    <t>03e27ebe</t>
  </si>
  <si>
    <t>4/4
Bien</t>
  </si>
  <si>
    <t>1bba563a</t>
  </si>
  <si>
    <t>6053 , 6054 , 6055 , 6057 , 6062 , 6061 , 6064 , 6060</t>
  </si>
  <si>
    <t>a00cfab3</t>
  </si>
  <si>
    <t>6065 , 6080</t>
  </si>
  <si>
    <t>b90ba869</t>
  </si>
  <si>
    <t>6066 , 6068 , 6069 , 6076 , 6078 , 6079</t>
  </si>
  <si>
    <t>91eadabd</t>
  </si>
  <si>
    <t>8/4
Tiene carbónico. Hacer SOL</t>
  </si>
  <si>
    <t>189ea379</t>
  </si>
  <si>
    <t>4/4
Pileta que fue un viaje de mas de uva</t>
  </si>
  <si>
    <t>6070 , 6071 , 6072 , 6081 , 6082 , 6083 , 6085 , 6088</t>
  </si>
  <si>
    <t>e986fa9f</t>
  </si>
  <si>
    <t>Cabernet Sauv</t>
  </si>
  <si>
    <t>6075 , 6077 , 6087</t>
  </si>
  <si>
    <t>f2ca28c2</t>
  </si>
  <si>
    <t>6084 , 6089</t>
  </si>
  <si>
    <t>cbb6852f</t>
  </si>
  <si>
    <t>6086 , 6090 , 6091 , 6092 , 6093 , 6094</t>
  </si>
  <si>
    <t>b1b9580e</t>
  </si>
  <si>
    <t>Tinto G</t>
  </si>
  <si>
    <t>17/4
Sucio todavia</t>
  </si>
  <si>
    <t>1d042bcb</t>
  </si>
  <si>
    <t>dac100da</t>
  </si>
  <si>
    <t>42842cde</t>
  </si>
  <si>
    <t>65c7867f</t>
  </si>
  <si>
    <t>8/4
Está bien. Buena esteuctura.
Corregir sol antes de rellenar</t>
  </si>
  <si>
    <t>5c558cca</t>
  </si>
  <si>
    <t>Cabernet Sauv s/Tanat</t>
  </si>
  <si>
    <t>3de4f15e</t>
  </si>
  <si>
    <t>11/4
Nora floral. No mover más</t>
  </si>
  <si>
    <t>d56b533b</t>
  </si>
  <si>
    <t>5e0dbcce</t>
  </si>
  <si>
    <t>f764d2d1</t>
  </si>
  <si>
    <t>8/4
Bien. Analizar</t>
  </si>
  <si>
    <t>7b6b2c2a</t>
  </si>
  <si>
    <t>14/5
muy bien
8/4
Se siente ácido. Bien. Ver SOL Y AZ</t>
  </si>
  <si>
    <t>21ebdd51</t>
  </si>
  <si>
    <t>ff099ae0</t>
  </si>
  <si>
    <t>efada090</t>
  </si>
  <si>
    <t>14/5
muy bien.  mas rico la 25</t>
  </si>
  <si>
    <t>3807ead1</t>
  </si>
  <si>
    <t>ef3b4005</t>
  </si>
  <si>
    <t>492309f4</t>
  </si>
  <si>
    <t>81ccb7ca</t>
  </si>
  <si>
    <t>aafa35db</t>
  </si>
  <si>
    <t>97b5422c</t>
  </si>
  <si>
    <t>b8ea839c</t>
  </si>
  <si>
    <t>11/4
Notas floral. Geranio?
8/4
Sangrado a Tanat
Bien. En cero baume. Hacer AZ 9/4</t>
  </si>
  <si>
    <t>1b8cfd3f</t>
  </si>
  <si>
    <t>e8ae99cd</t>
  </si>
  <si>
    <t>d5b5bf9c</t>
  </si>
  <si>
    <t>Ajuste Arqueo Bodega 7/04/25</t>
  </si>
  <si>
    <t>1c76e910</t>
  </si>
  <si>
    <t>62e15cd1</t>
  </si>
  <si>
    <t>a3fbf6d9</t>
  </si>
  <si>
    <t>90288eca</t>
  </si>
  <si>
    <t>371f5731</t>
  </si>
  <si>
    <t>da6946d0</t>
  </si>
  <si>
    <t>189e6a11</t>
  </si>
  <si>
    <t>Bonarda sin Rect</t>
  </si>
  <si>
    <t>15/4 falta rectificado?
Hacer azúcar</t>
  </si>
  <si>
    <t>6104 , 6101 , 6096 , 6095 , 6113 , 6107</t>
  </si>
  <si>
    <t>ed82825c</t>
  </si>
  <si>
    <t>Cabernet Sauvignon</t>
  </si>
  <si>
    <t>6097 , 6103 , 6108 , 6111 , 6116 , 6120 , 6121 , 6124</t>
  </si>
  <si>
    <t>b4377cb5</t>
  </si>
  <si>
    <t>6098 , 6102 , 6110 , 6109</t>
  </si>
  <si>
    <t>deb94f70</t>
  </si>
  <si>
    <t>6099 , 6100 , 6105 , 6106</t>
  </si>
  <si>
    <t>e33f8556</t>
  </si>
  <si>
    <t>24/4 Llevar a SO2L  50 y el PH llevarlo a 3,50. Trasegar
17/4
Probada en laboratorios. Muy rica pero se siente dulce. Hacer azúcar</t>
  </si>
  <si>
    <t>12119242</t>
  </si>
  <si>
    <t>Tinto s/Ma Bo</t>
  </si>
  <si>
    <t>b60fb43a</t>
  </si>
  <si>
    <t>15/4
Rico, media hora caramelo</t>
  </si>
  <si>
    <t>d4245129</t>
  </si>
  <si>
    <t>a042b2d1</t>
  </si>
  <si>
    <t>15/4
Cero baume el 10/4.
Listo para sacar.</t>
  </si>
  <si>
    <t>7678fbc3</t>
  </si>
  <si>
    <t>17/4
No hay remontajes</t>
  </si>
  <si>
    <t>254dce3b</t>
  </si>
  <si>
    <t>15/4</t>
  </si>
  <si>
    <t>f954f065</t>
  </si>
  <si>
    <t>f4ef7eb7</t>
  </si>
  <si>
    <t>17/4
Frenada. Az alta. Ojo
15/4
Floral. Cero baume 12/4</t>
  </si>
  <si>
    <t>7efc7da2</t>
  </si>
  <si>
    <t>19/4  Deberiamos corregir el SO2L que esta en 30 mg.  Pero vamos a esperar que pasa con los clientes Baudron y Tecnovitis</t>
  </si>
  <si>
    <t>0998b1b9</t>
  </si>
  <si>
    <t>6114 , 6118 , 6127 , 6129</t>
  </si>
  <si>
    <t>e12682eb</t>
  </si>
  <si>
    <t>6123 , 6122 , 6119 , 6115 , 6125</t>
  </si>
  <si>
    <t>36a5b1dd</t>
  </si>
  <si>
    <t>6112 , 6117</t>
  </si>
  <si>
    <t>aa8ee5bf</t>
  </si>
  <si>
    <t>6130 , 6132 , 6135 , 6136</t>
  </si>
  <si>
    <t>6142f4ae</t>
  </si>
  <si>
    <t>66fb3a88</t>
  </si>
  <si>
    <t>a35017ce</t>
  </si>
  <si>
    <t>2169295d</t>
  </si>
  <si>
    <t>Syrah Rect</t>
  </si>
  <si>
    <t>e5691d8b</t>
  </si>
  <si>
    <t>1324322a</t>
  </si>
  <si>
    <t>11/4
Está un poco reducido. Dulce. Notas banana dolca. Reducción</t>
  </si>
  <si>
    <t>86296256</t>
  </si>
  <si>
    <t>Volumen final 10151</t>
  </si>
  <si>
    <t>9b730f37</t>
  </si>
  <si>
    <t>6126 , 6128 , 6131 , 6133 , 6134 , 6137</t>
  </si>
  <si>
    <t>b87310b3</t>
  </si>
  <si>
    <t>Cabernet Sauvignon sin Rect</t>
  </si>
  <si>
    <t>15/4 
Nos faltó el rectificado
Vamos a esperar. Está rico. Candidato a recibir recarga</t>
  </si>
  <si>
    <t>6136 , 6138</t>
  </si>
  <si>
    <t>ae5925ab</t>
  </si>
  <si>
    <t>6146 , 6142 , 6143</t>
  </si>
  <si>
    <t>7617bf80</t>
  </si>
  <si>
    <t>4b2f415c</t>
  </si>
  <si>
    <t>15/4
Nota malvon.</t>
  </si>
  <si>
    <t>23f4cc53</t>
  </si>
  <si>
    <t>17/4
Medio pedorro. Mejor el 67 y 66. 
Hacer AZ
15/4
Cero baume hoy. Bien</t>
  </si>
  <si>
    <t>8d8607b8</t>
  </si>
  <si>
    <t>Si tiene rectificado</t>
  </si>
  <si>
    <t>6139 , 6140 , 6141 , 6144 , 6147 , 6148</t>
  </si>
  <si>
    <t>7c26092b</t>
  </si>
  <si>
    <t>459c7a85</t>
  </si>
  <si>
    <t>15/4 bien. Hacer AZ y corregir SOL</t>
  </si>
  <si>
    <t>17539ce3</t>
  </si>
  <si>
    <t>6152 , 6155</t>
  </si>
  <si>
    <t>14e4f6ad</t>
  </si>
  <si>
    <t>6156 , 6159 , 6168</t>
  </si>
  <si>
    <t>fd6b223b</t>
  </si>
  <si>
    <t>6160 , 6157 , 6154 , 6153 , 6151 , 6150 , 6149 , 6161 , 6162 , 6163 , 6164</t>
  </si>
  <si>
    <t>5b2f3285</t>
  </si>
  <si>
    <t>2aac908d</t>
  </si>
  <si>
    <t>17/4 
Falta pasar la recarga
15/4
Bien. Listo para recargar</t>
  </si>
  <si>
    <t>db841e43</t>
  </si>
  <si>
    <t>17/4
Lista para descubar</t>
  </si>
  <si>
    <t>e3bf14f2</t>
  </si>
  <si>
    <t>17/4
Hacer azúcar. 
15/5 bien rico</t>
  </si>
  <si>
    <t>c0fd1ee4</t>
  </si>
  <si>
    <t>15/4 
Listo para descubar</t>
  </si>
  <si>
    <t>9ddc74ed</t>
  </si>
  <si>
    <t>f6d580e7</t>
  </si>
  <si>
    <t>bb5ac12c</t>
  </si>
  <si>
    <t>15/4 cab sobre Tanat</t>
  </si>
  <si>
    <t>48a2409a</t>
  </si>
  <si>
    <t>27a8c5fb</t>
  </si>
  <si>
    <t>15/4 hacer AZ</t>
  </si>
  <si>
    <t>cb50df04</t>
  </si>
  <si>
    <t>b9461082</t>
  </si>
  <si>
    <t>17)4
Rico
15/4
Bien. Rico</t>
  </si>
  <si>
    <t>f673bf6e</t>
  </si>
  <si>
    <t>Ajuste Arqueo 14/04/25</t>
  </si>
  <si>
    <t>95afa5f8</t>
  </si>
  <si>
    <t>c778eed0</t>
  </si>
  <si>
    <t>79c53d31</t>
  </si>
  <si>
    <t>3f1bcb3f</t>
  </si>
  <si>
    <t>87e2f0ad</t>
  </si>
  <si>
    <t>64b6a040</t>
  </si>
  <si>
    <t>dce718a8</t>
  </si>
  <si>
    <t>6323f237</t>
  </si>
  <si>
    <t>aeaef108</t>
  </si>
  <si>
    <t>65fc01f0</t>
  </si>
  <si>
    <t>edf54cc7</t>
  </si>
  <si>
    <t>7c10bfff</t>
  </si>
  <si>
    <t>f3cffdb0</t>
  </si>
  <si>
    <t>4f5059a5</t>
  </si>
  <si>
    <t>48038afe</t>
  </si>
  <si>
    <t>24faac94</t>
  </si>
  <si>
    <t>d4c8b868</t>
  </si>
  <si>
    <t>afa1959b</t>
  </si>
  <si>
    <t>2dd2dee4</t>
  </si>
  <si>
    <t>17/4
Volumen real 65000 lts</t>
  </si>
  <si>
    <t>6166 , 6167 , 6169 , 6170 , 6171 , 6172 , 6173 , 6174 , 6175 , 6176 , 6177 , 6178 , 6165</t>
  </si>
  <si>
    <t>f5e72ae6</t>
  </si>
  <si>
    <t>7aef611b</t>
  </si>
  <si>
    <t>c5495c94</t>
  </si>
  <si>
    <t>29d21664</t>
  </si>
  <si>
    <t>8ec426a5</t>
  </si>
  <si>
    <t>49defec5</t>
  </si>
  <si>
    <t>Syrah Bonarda Rect</t>
  </si>
  <si>
    <t>c1c626f1</t>
  </si>
  <si>
    <t>a1061f77</t>
  </si>
  <si>
    <t>5e2378bc</t>
  </si>
  <si>
    <t>17/4
Baume 5
Lista para descubar a tanque</t>
  </si>
  <si>
    <t>da01d353</t>
  </si>
  <si>
    <t>17/4
Reducido. Descubar el sabado</t>
  </si>
  <si>
    <t>b7df6d93</t>
  </si>
  <si>
    <t>dc3a84e1</t>
  </si>
  <si>
    <t>f5552916</t>
  </si>
  <si>
    <t>247bde06</t>
  </si>
  <si>
    <t>714d2433</t>
  </si>
  <si>
    <t>62e7b644</t>
  </si>
  <si>
    <t>2c86b729</t>
  </si>
  <si>
    <t>Gota y presna</t>
  </si>
  <si>
    <t>c98fe008</t>
  </si>
  <si>
    <t>Chardonnay Late Harvest</t>
  </si>
  <si>
    <t>12faab19</t>
  </si>
  <si>
    <t>6165 , 6164 , 6163 , 6162 , 6161 , 6160 , 6157 , 6154 , 6153 , 6151 , 6149 , 6150</t>
  </si>
  <si>
    <t>6191710d</t>
  </si>
  <si>
    <t>df5e441f</t>
  </si>
  <si>
    <t>5d344df8</t>
  </si>
  <si>
    <t>7501c185</t>
  </si>
  <si>
    <t>Total ajustado de la semana 27200</t>
  </si>
  <si>
    <t>5a534180</t>
  </si>
  <si>
    <t>781075f7</t>
  </si>
  <si>
    <t>33a1ed47</t>
  </si>
  <si>
    <t>Tinto s/Bonarda 2da</t>
  </si>
  <si>
    <t>b0d32d3c</t>
  </si>
  <si>
    <t>d2947d93</t>
  </si>
  <si>
    <t>22/4 hay que controlar AZ</t>
  </si>
  <si>
    <t>88134c0a</t>
  </si>
  <si>
    <t>e0ab57bf</t>
  </si>
  <si>
    <t>8d234d23</t>
  </si>
  <si>
    <t>bcf45804</t>
  </si>
  <si>
    <t>4c9ff21e</t>
  </si>
  <si>
    <t>65ce6f3f</t>
  </si>
  <si>
    <t>vegetal</t>
  </si>
  <si>
    <t>e580a9d5</t>
  </si>
  <si>
    <t>muy floja, muy bajo el pH, hay que corregir</t>
  </si>
  <si>
    <t>0711f2d9</t>
  </si>
  <si>
    <t>09f2a666</t>
  </si>
  <si>
    <t>425c8a1c</t>
  </si>
  <si>
    <t>Ajuste semana 22/04/25</t>
  </si>
  <si>
    <t>d1326da2</t>
  </si>
  <si>
    <t>82a7be03</t>
  </si>
  <si>
    <t>b9fc1e21</t>
  </si>
  <si>
    <t>51f2e92d</t>
  </si>
  <si>
    <t>47825ff1</t>
  </si>
  <si>
    <t>Muy bueno, tiene azucar. Ojo.</t>
  </si>
  <si>
    <t>d6e77ca9</t>
  </si>
  <si>
    <t>1a2c1684</t>
  </si>
  <si>
    <t>Cabernet Sauvignon prensa</t>
  </si>
  <si>
    <t>ffa53251</t>
  </si>
  <si>
    <t>31f824a6</t>
  </si>
  <si>
    <t>837659aa</t>
  </si>
  <si>
    <t>883b82dd</t>
  </si>
  <si>
    <t>64e4bdc2</t>
  </si>
  <si>
    <t>e8b9aa9f</t>
  </si>
  <si>
    <t>e2301c9d</t>
  </si>
  <si>
    <t>163518fc</t>
  </si>
  <si>
    <t>3cd08afc</t>
  </si>
  <si>
    <t>d24bb01b</t>
  </si>
  <si>
    <t>b1a71460</t>
  </si>
  <si>
    <t>b26e8cc6</t>
  </si>
  <si>
    <t>Claro de filtro</t>
  </si>
  <si>
    <t>b112ea4a</t>
  </si>
  <si>
    <t>d10280b4</t>
  </si>
  <si>
    <t>32dccd3f</t>
  </si>
  <si>
    <t>af42804b</t>
  </si>
  <si>
    <t>d0135f24</t>
  </si>
  <si>
    <t>be44e9f6</t>
  </si>
  <si>
    <t>920dc0b5</t>
  </si>
  <si>
    <t>e3e955b1</t>
  </si>
  <si>
    <t>e32c078a</t>
  </si>
  <si>
    <t>736fba40</t>
  </si>
  <si>
    <t>ffeda620</t>
  </si>
  <si>
    <t>f03419e2</t>
  </si>
  <si>
    <t>29562a89</t>
  </si>
  <si>
    <t>f903f0b8</t>
  </si>
  <si>
    <t>5bb686b4</t>
  </si>
  <si>
    <t>3a00f0d2</t>
  </si>
  <si>
    <t>a9e55b1f</t>
  </si>
  <si>
    <t>c7e67b2b</t>
  </si>
  <si>
    <t>3e5de831</t>
  </si>
  <si>
    <t>c162b136</t>
  </si>
  <si>
    <t>63f835d2</t>
  </si>
  <si>
    <t>cc7d6ede</t>
  </si>
  <si>
    <t>b72e8fa5</t>
  </si>
  <si>
    <t>6eff06c5</t>
  </si>
  <si>
    <t>8eb42fc1</t>
  </si>
  <si>
    <t>684dcfdb</t>
  </si>
  <si>
    <t>f3aba56a</t>
  </si>
  <si>
    <t>3e75d6d3</t>
  </si>
  <si>
    <t>8024bac4</t>
  </si>
  <si>
    <t>6feed4a6</t>
  </si>
  <si>
    <t>cf107ae5</t>
  </si>
  <si>
    <t>Este saldo de 4400 debe ser borra.  Ya vemos como queda la pileta 118</t>
  </si>
  <si>
    <t>7ff93f30</t>
  </si>
  <si>
    <t>Tinto 2da</t>
  </si>
  <si>
    <t>0be7fff5</t>
  </si>
  <si>
    <t>db10cc10</t>
  </si>
  <si>
    <t>7fce2b75</t>
  </si>
  <si>
    <t>60bf4ff8</t>
  </si>
  <si>
    <t>ec4ee36d</t>
  </si>
  <si>
    <t>28a7cc85</t>
  </si>
  <si>
    <t>8f113233</t>
  </si>
  <si>
    <t>1f012354</t>
  </si>
  <si>
    <t>14/5
muy rico, muy limpio. impecable.  Se ha limpiado con bentonita</t>
  </si>
  <si>
    <t>ec820b78</t>
  </si>
  <si>
    <t>20906c4f</t>
  </si>
  <si>
    <t>b6e57561</t>
  </si>
  <si>
    <t>028fb505</t>
  </si>
  <si>
    <t>Malbec Dulc</t>
  </si>
  <si>
    <t>30/4 Bien se puede juntar con la 66 y la 67 que son las que tienen azucar</t>
  </si>
  <si>
    <t>b704cbde</t>
  </si>
  <si>
    <t>30/4 buen color. Rico.  Sin movimiento
28/4 descubada con azucar viendo si reduce</t>
  </si>
  <si>
    <t>3559c80c</t>
  </si>
  <si>
    <t>28/4 descubada con azucar</t>
  </si>
  <si>
    <t>c999dbd9</t>
  </si>
  <si>
    <t>de2017df</t>
  </si>
  <si>
    <t>30/4 Buen color. rico, sabor a orujo semilla
28/4 descubadas con azucar a ver si termina de reducir.</t>
  </si>
  <si>
    <t>9f167646</t>
  </si>
  <si>
    <t>e341ebb9</t>
  </si>
  <si>
    <t>ad6fc72a</t>
  </si>
  <si>
    <t>8a8c9f52</t>
  </si>
  <si>
    <t>c9833042</t>
  </si>
  <si>
    <t>2b3d385d</t>
  </si>
  <si>
    <t>ab0559b8</t>
  </si>
  <si>
    <t>0aec25e6</t>
  </si>
  <si>
    <t>0f749555</t>
  </si>
  <si>
    <t>3030acaa</t>
  </si>
  <si>
    <t>14/5
mas simple.  Gusto mas la 90.  pero bien.</t>
  </si>
  <si>
    <t>80d02e67</t>
  </si>
  <si>
    <t>14/5
Simple pero bien.</t>
  </si>
  <si>
    <t>c1d9bfc2</t>
  </si>
  <si>
    <t>46acf5ed</t>
  </si>
  <si>
    <t>20f062e7</t>
  </si>
  <si>
    <t>3c150dd5</t>
  </si>
  <si>
    <t>57f606f3</t>
  </si>
  <si>
    <t>029318be</t>
  </si>
  <si>
    <t>7a999708</t>
  </si>
  <si>
    <t>14/5
muy bueno</t>
  </si>
  <si>
    <t>3b7f8f1f</t>
  </si>
  <si>
    <t>295b868d</t>
  </si>
  <si>
    <t>f27aca73</t>
  </si>
  <si>
    <t>d71a5bd5</t>
  </si>
  <si>
    <t>Diferencias Totales del Arqueo del 22/04 fueron 126100 lts</t>
  </si>
  <si>
    <t>56888a83</t>
  </si>
  <si>
    <t>042123a0</t>
  </si>
  <si>
    <t>0760321a</t>
  </si>
  <si>
    <t>79317f47</t>
  </si>
  <si>
    <t>1afbb480</t>
  </si>
  <si>
    <t>Claro de Filtro</t>
  </si>
  <si>
    <t>cbf4bbc1</t>
  </si>
  <si>
    <t>bueno tiene carbonico</t>
  </si>
  <si>
    <t>d0071dd4</t>
  </si>
  <si>
    <t>Mucha fruta, muy bueno</t>
  </si>
  <si>
    <t>1828d39f</t>
  </si>
  <si>
    <t>muy bien</t>
  </si>
  <si>
    <t>ddc627ec</t>
  </si>
  <si>
    <t>56ef2422</t>
  </si>
  <si>
    <t>e9379a58</t>
  </si>
  <si>
    <t>b3edc5e1</t>
  </si>
  <si>
    <t>49b10489</t>
  </si>
  <si>
    <t>Malbec Bon Dulce  Rect</t>
  </si>
  <si>
    <t>d85a9e51</t>
  </si>
  <si>
    <t>769b3f5c</t>
  </si>
  <si>
    <t>6c02e5fd</t>
  </si>
  <si>
    <t>55f5d2d3</t>
  </si>
  <si>
    <t>7a4910aa</t>
  </si>
  <si>
    <t>da2b6cac</t>
  </si>
  <si>
    <t>9f02a2e8</t>
  </si>
  <si>
    <t>196f5b8f</t>
  </si>
  <si>
    <t>Ajuste Arqueo 05/05/25</t>
  </si>
  <si>
    <t>0bf12134</t>
  </si>
  <si>
    <t>568f382f</t>
  </si>
  <si>
    <t>e6ca31fd</t>
  </si>
  <si>
    <t>14/5
muy limpio</t>
  </si>
  <si>
    <t>4e2e27d9</t>
  </si>
  <si>
    <t>cb2ca221</t>
  </si>
  <si>
    <t>16e5e87f</t>
  </si>
  <si>
    <t>1169aeda</t>
  </si>
  <si>
    <t>4560c2a1</t>
  </si>
  <si>
    <t>62584ebc</t>
  </si>
  <si>
    <t>8cf84f68</t>
  </si>
  <si>
    <t>158a7d9d</t>
  </si>
  <si>
    <t>cc1de158</t>
  </si>
  <si>
    <t>d126860c</t>
  </si>
  <si>
    <t>7a97024d</t>
  </si>
  <si>
    <t>eef5b1b3</t>
  </si>
  <si>
    <t>b1e6b748</t>
  </si>
  <si>
    <t>690e2b0e</t>
  </si>
  <si>
    <t>a0d9c177</t>
  </si>
  <si>
    <t>8f384525</t>
  </si>
  <si>
    <t>7597a62d</t>
  </si>
  <si>
    <t>Malbec Millan 200</t>
  </si>
  <si>
    <t>b0d54181</t>
  </si>
  <si>
    <t>cee6847e</t>
  </si>
  <si>
    <t>160a169f</t>
  </si>
  <si>
    <t>060cc284</t>
  </si>
  <si>
    <t>Cabernet Sauv Millan 233</t>
  </si>
  <si>
    <t>2cf8d99b</t>
  </si>
  <si>
    <t>ffaf53fb</t>
  </si>
  <si>
    <t>bc83d8e6</t>
  </si>
  <si>
    <t>378271b5</t>
  </si>
  <si>
    <t>821a1155</t>
  </si>
  <si>
    <t>098ad529</t>
  </si>
  <si>
    <t>ff99f9ec</t>
  </si>
  <si>
    <t>4c2a65a6</t>
  </si>
  <si>
    <t>2do Trasiego</t>
  </si>
  <si>
    <t>063eed80</t>
  </si>
  <si>
    <t>219552df</t>
  </si>
  <si>
    <t>6dc7a9f7</t>
  </si>
  <si>
    <t>a03cb596</t>
  </si>
  <si>
    <t>33b26126</t>
  </si>
  <si>
    <t>91b01170</t>
  </si>
  <si>
    <t>calificacion baja por el azucar</t>
  </si>
  <si>
    <t>7b01278e</t>
  </si>
  <si>
    <t>con azucar. Buena pero con azucar</t>
  </si>
  <si>
    <t>bfc481b0</t>
  </si>
  <si>
    <t>2e70766e</t>
  </si>
  <si>
    <t>3285bc9d</t>
  </si>
  <si>
    <t>Cabernet Sauv Millan 233 - - TRASLADO</t>
  </si>
  <si>
    <t>cf5c62c4</t>
  </si>
  <si>
    <t>Malbec Millan 200 - TRASLADO</t>
  </si>
  <si>
    <t>19e8f31c</t>
  </si>
  <si>
    <t>97f43e08</t>
  </si>
  <si>
    <t>e07698b4</t>
  </si>
  <si>
    <t>Cabernet Sauv Millan 233 - TRASLADO</t>
  </si>
  <si>
    <t>1c302922</t>
  </si>
  <si>
    <t>ae7ca061</t>
  </si>
  <si>
    <t>a2f1fdf7</t>
  </si>
  <si>
    <t>44e5df4d</t>
  </si>
  <si>
    <t>e1fe7b8e</t>
  </si>
  <si>
    <t>0a82e5f5</t>
  </si>
  <si>
    <t>Malbec Carricondo Venta</t>
  </si>
  <si>
    <t>55222a6e</t>
  </si>
  <si>
    <t>2c481a58</t>
  </si>
  <si>
    <t>1bbddd37</t>
  </si>
  <si>
    <t>1eaa1fc2</t>
  </si>
  <si>
    <t>Ph alto, tiene notas amargas. En el trasiego se va a agregar rectificado y algo de Anccelota para mejorar color</t>
  </si>
  <si>
    <t>18ab305b</t>
  </si>
  <si>
    <t>187a80d6</t>
  </si>
  <si>
    <t>95f6ad50</t>
  </si>
  <si>
    <t>31b745c3</t>
  </si>
  <si>
    <t>f80e7320</t>
  </si>
  <si>
    <t>1bdfaa93</t>
  </si>
  <si>
    <t>df7eab76</t>
  </si>
  <si>
    <t>8173df5d</t>
  </si>
  <si>
    <t>7488f497</t>
  </si>
  <si>
    <t>8deed384</t>
  </si>
  <si>
    <t>Tinto (Chardonnay)</t>
  </si>
  <si>
    <t>9c9a8832</t>
  </si>
  <si>
    <t>14/5
menos fruta. correcto.</t>
  </si>
  <si>
    <t>500a69fc</t>
  </si>
  <si>
    <t>Ajuste Arqueo 10/05/25</t>
  </si>
  <si>
    <t>61f14f41</t>
  </si>
  <si>
    <t>14/5
mas rica que la 11</t>
  </si>
  <si>
    <t>eaad107d</t>
  </si>
  <si>
    <t>26f754e9</t>
  </si>
  <si>
    <t>271c9c71</t>
  </si>
  <si>
    <t>1d9b14f9</t>
  </si>
  <si>
    <t>cce48a18</t>
  </si>
  <si>
    <t>b043a39f</t>
  </si>
  <si>
    <t>b1bcdf75</t>
  </si>
  <si>
    <t>12de67aa</t>
  </si>
  <si>
    <t>315f9ff5</t>
  </si>
  <si>
    <t>b8a3716d</t>
  </si>
  <si>
    <t>8871c0cd</t>
  </si>
  <si>
    <t>7756a1a1</t>
  </si>
  <si>
    <t>f2ba5339</t>
  </si>
  <si>
    <t>01383aba</t>
  </si>
  <si>
    <t>Malbec Rectifciado</t>
  </si>
  <si>
    <t>e224205d</t>
  </si>
  <si>
    <t>84ce039f</t>
  </si>
  <si>
    <t>582ad1a3</t>
  </si>
  <si>
    <t>93b5ed3d</t>
  </si>
  <si>
    <t>c1d958fa</t>
  </si>
  <si>
    <t>9fbe47cd</t>
  </si>
  <si>
    <t>caa78680</t>
  </si>
  <si>
    <t>8fc8112c</t>
  </si>
  <si>
    <t>ef0e58f9</t>
  </si>
  <si>
    <t>83616429</t>
  </si>
  <si>
    <t>7c0a5b23</t>
  </si>
  <si>
    <t>9466c3f8</t>
  </si>
  <si>
    <t>ajuste faltaron 9.600 lts</t>
  </si>
  <si>
    <t>c7c2db60</t>
  </si>
  <si>
    <t>7b6d5389</t>
  </si>
  <si>
    <t>c6964445</t>
  </si>
  <si>
    <t>59034d88</t>
  </si>
  <si>
    <t>Cabernet Sauvignon - Rectificado</t>
  </si>
  <si>
    <t>5b29cdd7</t>
  </si>
  <si>
    <t>b553478c</t>
  </si>
  <si>
    <t>8a5cc2ae</t>
  </si>
  <si>
    <t>db062f06</t>
  </si>
  <si>
    <t>545cf46a</t>
  </si>
  <si>
    <t>92f39eaf</t>
  </si>
  <si>
    <t>b72016d2</t>
  </si>
  <si>
    <t>a3608d6e</t>
  </si>
  <si>
    <t>39eae928</t>
  </si>
  <si>
    <t>65aa5ca5</t>
  </si>
  <si>
    <t>ae9d3290</t>
  </si>
  <si>
    <t>Tinto (Claro F)</t>
  </si>
  <si>
    <t>94fbbcb1</t>
  </si>
  <si>
    <t>263cc8c0</t>
  </si>
  <si>
    <t>4b0ee075</t>
  </si>
  <si>
    <t>e44a0e79</t>
  </si>
  <si>
    <t>e869add7</t>
  </si>
  <si>
    <t>bb793e4b</t>
  </si>
  <si>
    <t>02391dea</t>
  </si>
  <si>
    <t>0973d1bc</t>
  </si>
  <si>
    <t>2931c38f</t>
  </si>
  <si>
    <t>6d157016</t>
  </si>
  <si>
    <t>1cdbd1a4</t>
  </si>
  <si>
    <t>2443e08d</t>
  </si>
  <si>
    <t>47816ee0</t>
  </si>
  <si>
    <t>e074b6e4</t>
  </si>
  <si>
    <t>7b7453a5</t>
  </si>
  <si>
    <t>49682afa</t>
  </si>
  <si>
    <t>Ajuste Arqueo 19/05/2025</t>
  </si>
  <si>
    <t>01cf6615</t>
  </si>
  <si>
    <t>ea842d91</t>
  </si>
  <si>
    <t>a4bf5699</t>
  </si>
  <si>
    <t>d24b2834</t>
  </si>
  <si>
    <t>b16ab165</t>
  </si>
  <si>
    <t>b82badfa</t>
  </si>
  <si>
    <t>9059a425</t>
  </si>
  <si>
    <t>e9659899</t>
  </si>
  <si>
    <t>b9348c96</t>
  </si>
  <si>
    <t>2afd72e2</t>
  </si>
  <si>
    <t>Ajuste final solo 700 lts</t>
  </si>
  <si>
    <t>156fcfa6</t>
  </si>
  <si>
    <t>Tinto Venta Garbin</t>
  </si>
  <si>
    <t>3fbc32d2</t>
  </si>
  <si>
    <t>f3656dbf</t>
  </si>
  <si>
    <t>5c83ebb2</t>
  </si>
  <si>
    <t>ebb87073</t>
  </si>
  <si>
    <t>ab0df0a5</t>
  </si>
  <si>
    <t>94013da4</t>
  </si>
  <si>
    <t>8fa197ac</t>
  </si>
  <si>
    <t>a9aa0086</t>
  </si>
  <si>
    <t>5/06  De todos los Syrah es el que mas gusto en la degustacion</t>
  </si>
  <si>
    <t>853ab9c1</t>
  </si>
  <si>
    <t>1fdf5dbd</t>
  </si>
  <si>
    <t>c82e7f90</t>
  </si>
  <si>
    <t>b04cae80</t>
  </si>
  <si>
    <t>a6d11ad4</t>
  </si>
  <si>
    <t>9dfda5e0</t>
  </si>
  <si>
    <t>530c9456</t>
  </si>
  <si>
    <t>91ba2ba0</t>
  </si>
  <si>
    <t>cddb06a5</t>
  </si>
  <si>
    <t>536eff33</t>
  </si>
  <si>
    <t>e81f7a10</t>
  </si>
  <si>
    <t>e375ee10</t>
  </si>
  <si>
    <t>755eca56</t>
  </si>
  <si>
    <t>3b8e0d4f</t>
  </si>
  <si>
    <t>9fec443b</t>
  </si>
  <si>
    <t>60712aa8</t>
  </si>
  <si>
    <t>e1971673</t>
  </si>
  <si>
    <t>b4fedb16</t>
  </si>
  <si>
    <t>589807bc</t>
  </si>
  <si>
    <t>f213d575</t>
  </si>
  <si>
    <t>fcd4899d</t>
  </si>
  <si>
    <t>1c1b6466</t>
  </si>
  <si>
    <t>3f1dcd1d</t>
  </si>
  <si>
    <t>1f03bf4a</t>
  </si>
  <si>
    <t>39adf883</t>
  </si>
  <si>
    <t>Ajustes 23/5/2025</t>
  </si>
  <si>
    <t>44074e3a</t>
  </si>
  <si>
    <t>0c98b90d</t>
  </si>
  <si>
    <t>831c7ff8</t>
  </si>
  <si>
    <t>c5230377</t>
  </si>
  <si>
    <t>62ec9377</t>
  </si>
  <si>
    <t>Ajuste final de 7681 lts</t>
  </si>
  <si>
    <t>9ad9bdea</t>
  </si>
  <si>
    <t>6f76277b</t>
  </si>
  <si>
    <t>Bonarda Rect</t>
  </si>
  <si>
    <t>434cf64c</t>
  </si>
  <si>
    <t>1031b227</t>
  </si>
  <si>
    <t>b31c1ec9</t>
  </si>
  <si>
    <t>654f35d0</t>
  </si>
  <si>
    <t>a9d727ca</t>
  </si>
  <si>
    <t>61948e2d</t>
  </si>
  <si>
    <t>d1ac6d2d</t>
  </si>
  <si>
    <t>5091788b</t>
  </si>
  <si>
    <t>4d16cc18</t>
  </si>
  <si>
    <t>6468b679</t>
  </si>
  <si>
    <t>eb5a88ac</t>
  </si>
  <si>
    <t>5621dc05</t>
  </si>
  <si>
    <t>9f20348c</t>
  </si>
  <si>
    <t>0101284d</t>
  </si>
  <si>
    <t>743ab7d6</t>
  </si>
  <si>
    <t>8cd3ea51</t>
  </si>
  <si>
    <t>dc8b07fe</t>
  </si>
  <si>
    <t>Cabernet Sauvignon Rectificado</t>
  </si>
  <si>
    <t>ec873f45</t>
  </si>
  <si>
    <t>9a261ef2</t>
  </si>
  <si>
    <t>317f770a</t>
  </si>
  <si>
    <t>b7883137</t>
  </si>
  <si>
    <t>fbfff24a</t>
  </si>
  <si>
    <t>36493bbe</t>
  </si>
  <si>
    <t>Tinto (Ch)</t>
  </si>
  <si>
    <t>34934edf</t>
  </si>
  <si>
    <t>9d9d68cd</t>
  </si>
  <si>
    <t>bb3607ba</t>
  </si>
  <si>
    <t>dfa54ee5</t>
  </si>
  <si>
    <t>2d4e2ede</t>
  </si>
  <si>
    <t>704cf4ee</t>
  </si>
  <si>
    <t>179cf3c0</t>
  </si>
  <si>
    <t>ea27bb38</t>
  </si>
  <si>
    <t>f323c032</t>
  </si>
  <si>
    <t>d3025708</t>
  </si>
  <si>
    <t>c2c76c11</t>
  </si>
  <si>
    <t>2fa9b98c</t>
  </si>
  <si>
    <t>Tacho Pl Torrontes</t>
  </si>
  <si>
    <t>443026c5</t>
  </si>
  <si>
    <t>Ajuste Volumen 31/05/25</t>
  </si>
  <si>
    <t>b0fab2d5</t>
  </si>
  <si>
    <t>0b40d5e5</t>
  </si>
  <si>
    <t>c67f70aa</t>
  </si>
  <si>
    <t>a5c09bfd</t>
  </si>
  <si>
    <t>309f9738</t>
  </si>
  <si>
    <t>5bcfde25</t>
  </si>
  <si>
    <t>282f2489</t>
  </si>
  <si>
    <t>ebd6326f</t>
  </si>
  <si>
    <t>bcb7028c</t>
  </si>
  <si>
    <t>7d603b31</t>
  </si>
  <si>
    <t>55f15634</t>
  </si>
  <si>
    <t>e62f11a1</t>
  </si>
  <si>
    <t>eca5b8cb</t>
  </si>
  <si>
    <t>7efc01f3</t>
  </si>
  <si>
    <t>45e5cc8e</t>
  </si>
  <si>
    <t>4da9d1b8</t>
  </si>
  <si>
    <t>Chardonnay Venta La Vendimia</t>
  </si>
  <si>
    <t>8eb3a624</t>
  </si>
  <si>
    <t>dcaf5b39</t>
  </si>
  <si>
    <t>8ea18b46</t>
  </si>
  <si>
    <t>Malbec Venta Lopez</t>
  </si>
  <si>
    <t>909558a7</t>
  </si>
  <si>
    <t>39710208</t>
  </si>
  <si>
    <t>9788a9f2</t>
  </si>
  <si>
    <t>Traslado realizado 11/06/25</t>
  </si>
  <si>
    <t>a985bb2d</t>
  </si>
  <si>
    <t>1c2d5fc0</t>
  </si>
  <si>
    <t>4eb11d7e</t>
  </si>
  <si>
    <t>c1ded7f4</t>
  </si>
  <si>
    <t>347bb900</t>
  </si>
  <si>
    <t>0148e4b4</t>
  </si>
  <si>
    <t>c93a8335</t>
  </si>
  <si>
    <t>3f9e249f</t>
  </si>
  <si>
    <t>46e42ed3</t>
  </si>
  <si>
    <t>dddbf851</t>
  </si>
  <si>
    <t>fe6fc54b</t>
  </si>
  <si>
    <t>397c9478</t>
  </si>
  <si>
    <t>Syrah Rectificado</t>
  </si>
  <si>
    <t>4bb0e577</t>
  </si>
  <si>
    <t>2cdc824f</t>
  </si>
  <si>
    <t>7df69242</t>
  </si>
  <si>
    <t>2b0750b6</t>
  </si>
  <si>
    <t>2b981b3e</t>
  </si>
  <si>
    <t>97133f07</t>
  </si>
  <si>
    <t>28e0faf1</t>
  </si>
  <si>
    <t>07d0b231</t>
  </si>
  <si>
    <t>72a3240d</t>
  </si>
  <si>
    <t>5b15cadb</t>
  </si>
  <si>
    <t>c18d0513</t>
  </si>
  <si>
    <t>6ea6229d</t>
  </si>
  <si>
    <t>9aa777e2</t>
  </si>
  <si>
    <t>fd98c394</t>
  </si>
  <si>
    <t>ec34455c</t>
  </si>
  <si>
    <t>10a0557e</t>
  </si>
  <si>
    <t>159aadce</t>
  </si>
  <si>
    <t>5f7e8218</t>
  </si>
  <si>
    <t>65584c29</t>
  </si>
  <si>
    <t>3b8e29c8</t>
  </si>
  <si>
    <t>1b1e47bd</t>
  </si>
  <si>
    <t>Ajuste Arqueo 17/06/2025</t>
  </si>
  <si>
    <t>6998d133</t>
  </si>
  <si>
    <t>1a738e1d</t>
  </si>
  <si>
    <t>Diferencia Arqueo 17/6/25 faltaron 9900 lts, no esta claro porque?</t>
  </si>
  <si>
    <t>539224d6</t>
  </si>
  <si>
    <t>d93b980f</t>
  </si>
  <si>
    <t>Malbec Montecepas 24 - fraccionamiento bolsas 3 lts x 100</t>
  </si>
  <si>
    <t>f5100dbb</t>
  </si>
  <si>
    <t>0749b537</t>
  </si>
  <si>
    <t>b05164fd</t>
  </si>
  <si>
    <t>3caa5d42</t>
  </si>
  <si>
    <t>9bf6cbc3</t>
  </si>
  <si>
    <t>dc00855e</t>
  </si>
  <si>
    <t>0eb090f9</t>
  </si>
  <si>
    <t>d6036b7a</t>
  </si>
  <si>
    <t>5e53321b</t>
  </si>
  <si>
    <t>744b9f5f</t>
  </si>
  <si>
    <t>4466c2c4</t>
  </si>
  <si>
    <t>20f6d1c5</t>
  </si>
  <si>
    <t>e298408d</t>
  </si>
  <si>
    <t>710b5805</t>
  </si>
  <si>
    <t>bb5f3ffb</t>
  </si>
  <si>
    <t>d8fb0b2f</t>
  </si>
  <si>
    <t>aa02cc0a</t>
  </si>
  <si>
    <t>a8a4b52d</t>
  </si>
  <si>
    <t>eed09ba0</t>
  </si>
  <si>
    <t>aa0c81d4</t>
  </si>
  <si>
    <t>Ajuste 27/06/25</t>
  </si>
  <si>
    <t>Sobró vino rectificado</t>
  </si>
  <si>
    <t>7794d5a9</t>
  </si>
  <si>
    <t>c441bbfa</t>
  </si>
  <si>
    <t>15c039be</t>
  </si>
  <si>
    <t>Borra Seca</t>
  </si>
  <si>
    <t>ae993fbd</t>
  </si>
  <si>
    <t>0ff5560e</t>
  </si>
  <si>
    <t>ece3c136</t>
  </si>
  <si>
    <t>af74f307</t>
  </si>
  <si>
    <t>c0887c05</t>
  </si>
  <si>
    <t>Filtrado Tang</t>
  </si>
  <si>
    <t>2ab540d2</t>
  </si>
  <si>
    <t>f8287724</t>
  </si>
  <si>
    <t>32a3c024</t>
  </si>
  <si>
    <t>7906df75</t>
  </si>
  <si>
    <t>dd40b3a0</t>
  </si>
  <si>
    <t>0e2a111b</t>
  </si>
  <si>
    <t>c25a65f8</t>
  </si>
  <si>
    <t>78e4849f</t>
  </si>
  <si>
    <t>7b50f0b5</t>
  </si>
  <si>
    <t>8bd3684f</t>
  </si>
  <si>
    <t>f952d789</t>
  </si>
  <si>
    <t>Ajuste de filtrado Tang y rellenos 29/7/25</t>
  </si>
  <si>
    <t>e4144c4c</t>
  </si>
  <si>
    <t>32d80802</t>
  </si>
  <si>
    <t>ffb1e0f0</t>
  </si>
  <si>
    <t>9b0ba02e</t>
  </si>
  <si>
    <t>1443e2f4</t>
  </si>
  <si>
    <t>68dcdcc2</t>
  </si>
  <si>
    <t>99b9424e</t>
  </si>
  <si>
    <t>8a500155</t>
  </si>
  <si>
    <t>64504a57</t>
  </si>
  <si>
    <t>d56d1e16</t>
  </si>
  <si>
    <t>a2e5798e</t>
  </si>
  <si>
    <t>Malbec Lopez</t>
  </si>
  <si>
    <t>83d74d31</t>
  </si>
  <si>
    <t>93609069</t>
  </si>
  <si>
    <t>db0fbb38</t>
  </si>
  <si>
    <t>cc6978c9</t>
  </si>
  <si>
    <t>4136ccb7</t>
  </si>
  <si>
    <t>63b0e73c</t>
  </si>
  <si>
    <t>d8db7956</t>
  </si>
  <si>
    <t>8e0dc7e2</t>
  </si>
  <si>
    <t>dd0a11e8</t>
  </si>
  <si>
    <t>5c2023e8</t>
  </si>
  <si>
    <t>5da633b1</t>
  </si>
  <si>
    <t>Chardonnay Calia Venta</t>
  </si>
  <si>
    <t>65fa0dbb</t>
  </si>
  <si>
    <t>2a8efe4b</t>
  </si>
  <si>
    <t>e8a80129</t>
  </si>
  <si>
    <t>86648be2</t>
  </si>
  <si>
    <t>2ec84947</t>
  </si>
  <si>
    <t>c9bdb7c9</t>
  </si>
  <si>
    <t>30c122f9</t>
  </si>
  <si>
    <t>Ajuste 11/08/25</t>
  </si>
  <si>
    <t>21674f90</t>
  </si>
  <si>
    <t>19243587</t>
  </si>
  <si>
    <t>613e2a90</t>
  </si>
  <si>
    <t>02df7859</t>
  </si>
  <si>
    <t>a520ce5e</t>
  </si>
  <si>
    <t>4567a24d</t>
  </si>
  <si>
    <t>ef0406f8</t>
  </si>
  <si>
    <t>95271efc</t>
  </si>
  <si>
    <t>56916efb</t>
  </si>
  <si>
    <t>a9a1224c</t>
  </si>
  <si>
    <t>ae07f26a</t>
  </si>
  <si>
    <t>Malbec Medrano L 5223</t>
  </si>
  <si>
    <t>20dba0dd</t>
  </si>
  <si>
    <t>99a4f454</t>
  </si>
  <si>
    <t>Malbec Medrano L 5223 - Fraccionado</t>
  </si>
  <si>
    <t>26f083cf</t>
  </si>
  <si>
    <t>Malbec Montecepas L 5223</t>
  </si>
  <si>
    <t>df10fd91</t>
  </si>
  <si>
    <t>Malbec Magneta Fraccionado L 5223</t>
  </si>
  <si>
    <t>aa688500</t>
  </si>
  <si>
    <t>Malbec Montecepas L 5223 - Fraccionado</t>
  </si>
  <si>
    <t>ID_Movimiento</t>
  </si>
  <si>
    <t>Date_Time</t>
  </si>
  <si>
    <t>Lote Origen</t>
  </si>
  <si>
    <t>Pileta Origen</t>
  </si>
  <si>
    <t>Variedad Origen</t>
  </si>
  <si>
    <t>Volumen Trasegado</t>
  </si>
  <si>
    <t>Pileta Destino</t>
  </si>
  <si>
    <t>Lote Destino Original</t>
  </si>
  <si>
    <t>Variedad Destino Original</t>
  </si>
  <si>
    <t>Volumen Destino Original</t>
  </si>
  <si>
    <t>Volumen Destino Final</t>
  </si>
  <si>
    <t>Lote Destino Final</t>
  </si>
  <si>
    <t>Variedad Destino Final</t>
  </si>
  <si>
    <t>Observaciones Movimiento</t>
  </si>
  <si>
    <t>Pileta Origen Estado</t>
  </si>
  <si>
    <t>Pileta Destino Estado</t>
  </si>
  <si>
    <t>Copiar Estado Destino</t>
  </si>
  <si>
    <t>Pileta Destino Final Estado</t>
  </si>
  <si>
    <t>Calificacion Origen</t>
  </si>
  <si>
    <t>Calificacion Destino</t>
  </si>
  <si>
    <t>Calificacion Destino Final</t>
  </si>
  <si>
    <t>de764408</t>
  </si>
  <si>
    <t>6596058d</t>
  </si>
  <si>
    <t>ea75ff40</t>
  </si>
  <si>
    <t>12e4e13b</t>
  </si>
  <si>
    <t>14c84b1e</t>
  </si>
  <si>
    <t>db9bd61e</t>
  </si>
  <si>
    <t>405705de</t>
  </si>
  <si>
    <t>345b4c91</t>
  </si>
  <si>
    <t>cdf62189</t>
  </si>
  <si>
    <t>Descube</t>
  </si>
  <si>
    <t>14a9777e</t>
  </si>
  <si>
    <t>Descube Gota</t>
  </si>
  <si>
    <t>ee927519</t>
  </si>
  <si>
    <t>Descube gota y prensa a Aspirant</t>
  </si>
  <si>
    <t>6f1c07ae</t>
  </si>
  <si>
    <t>Descube gota y prensa</t>
  </si>
  <si>
    <t>662b2483</t>
  </si>
  <si>
    <t>Descube Gota y prensa sobre Aspirant</t>
  </si>
  <si>
    <t>9f189d7d</t>
  </si>
  <si>
    <t>cfa35761</t>
  </si>
  <si>
    <t>Malbec descubado a prensa</t>
  </si>
  <si>
    <t>968706bd</t>
  </si>
  <si>
    <t>8dbab148</t>
  </si>
  <si>
    <t>Sin prensar pileta origen para recargar</t>
  </si>
  <si>
    <t>7039bd57</t>
  </si>
  <si>
    <t>Gota y Prensa sobre Aspirant</t>
  </si>
  <si>
    <t>22cfff5c</t>
  </si>
  <si>
    <t>1ee5f0af</t>
  </si>
  <si>
    <t>9eab323a</t>
  </si>
  <si>
    <t>Gota y Prensa sobre orujos Aspiran 2da pasada</t>
  </si>
  <si>
    <t>57f7f4a6</t>
  </si>
  <si>
    <t>96b203c8</t>
  </si>
  <si>
    <t>a78ab6e7</t>
  </si>
  <si>
    <t>b92404cd</t>
  </si>
  <si>
    <t>c980cfc2</t>
  </si>
  <si>
    <t>ee34047e</t>
  </si>
  <si>
    <t>fe7eff9f</t>
  </si>
  <si>
    <t>ec72ee89</t>
  </si>
  <si>
    <t>9e8d0f39</t>
  </si>
  <si>
    <t>Vino Re</t>
  </si>
  <si>
    <t>Vino rectificado utilizado</t>
  </si>
  <si>
    <t>7b4bffff</t>
  </si>
  <si>
    <t>Rectificado utilizado</t>
  </si>
  <si>
    <t>490375eb</t>
  </si>
  <si>
    <t>e1980736</t>
  </si>
  <si>
    <t>2d753a75</t>
  </si>
  <si>
    <t>da96250f</t>
  </si>
  <si>
    <t>c98d4615</t>
  </si>
  <si>
    <t>Gota y Prensa sobre Aspiran 2da pasada</t>
  </si>
  <si>
    <t>277c1553</t>
  </si>
  <si>
    <t>150bb873</t>
  </si>
  <si>
    <t>828ab6d5</t>
  </si>
  <si>
    <t>Gota</t>
  </si>
  <si>
    <t>7463f544</t>
  </si>
  <si>
    <t>01f1dc38</t>
  </si>
  <si>
    <t>Gota y prensa recarga</t>
  </si>
  <si>
    <t>43efe779</t>
  </si>
  <si>
    <t>Envie volumen de mas a la 109 y lo estoy trasegando a la 110</t>
  </si>
  <si>
    <t>41500743</t>
  </si>
  <si>
    <t>agregado de Rectificado al Syrah</t>
  </si>
  <si>
    <t>516d898a</t>
  </si>
  <si>
    <t>d15b7359</t>
  </si>
  <si>
    <t>c02698f9</t>
  </si>
  <si>
    <t>d7db7220</t>
  </si>
  <si>
    <t>Tercer recarga de Syrah sobre Aspirant</t>
  </si>
  <si>
    <t>3bd69807</t>
  </si>
  <si>
    <t>Gota y Prensa sobre 3er de Aspirant</t>
  </si>
  <si>
    <t>5c36256b</t>
  </si>
  <si>
    <t>agregado de rectificado</t>
  </si>
  <si>
    <t>2957daf0</t>
  </si>
  <si>
    <t>c6944202</t>
  </si>
  <si>
    <t>c86ba992</t>
  </si>
  <si>
    <t>Correccion hecha en la pilta 89 antes de trasegar a la 84 sobre los orujos de Aspirant</t>
  </si>
  <si>
    <t>e0151fea</t>
  </si>
  <si>
    <t>Se agrega Rectificado 20%</t>
  </si>
  <si>
    <t>85bf8a32</t>
  </si>
  <si>
    <t>Gota y Prensa</t>
  </si>
  <si>
    <t>76b1f67d</t>
  </si>
  <si>
    <t>Ajuste de volumen</t>
  </si>
  <si>
    <t>9ac6d73d</t>
  </si>
  <si>
    <t>1eb58a27</t>
  </si>
  <si>
    <t>f06d5126</t>
  </si>
  <si>
    <t>68cd71e8</t>
  </si>
  <si>
    <t>Correcion 150</t>
  </si>
  <si>
    <t>cc0f71ad</t>
  </si>
  <si>
    <t>0c3c4109</t>
  </si>
  <si>
    <t>e22d3e22</t>
  </si>
  <si>
    <t>c649af19</t>
  </si>
  <si>
    <t>f19b3624</t>
  </si>
  <si>
    <t>a9f9a0bf</t>
  </si>
  <si>
    <t>Sangria porque se lleno de mas la pileta</t>
  </si>
  <si>
    <t>856d152a</t>
  </si>
  <si>
    <t>Desvine relleno</t>
  </si>
  <si>
    <t>ba7c9884</t>
  </si>
  <si>
    <t>0b7480e0</t>
  </si>
  <si>
    <t>Descube Gota y prensa</t>
  </si>
  <si>
    <t>5376b536</t>
  </si>
  <si>
    <t>Este volumen de mas vino de la 86</t>
  </si>
  <si>
    <t>d699073e</t>
  </si>
  <si>
    <t>Esto es volumen de mas que falto de la 86</t>
  </si>
  <si>
    <t>039b3a15</t>
  </si>
  <si>
    <t>Rectificado agregado</t>
  </si>
  <si>
    <t>268d8d70</t>
  </si>
  <si>
    <t>Corte La Vendimia</t>
  </si>
  <si>
    <t>7011477f</t>
  </si>
  <si>
    <t>0779902a</t>
  </si>
  <si>
    <t>6b47fc79</t>
  </si>
  <si>
    <t>b64c6496</t>
  </si>
  <si>
    <t>Agregado de Rectificado</t>
  </si>
  <si>
    <t>42091a69</t>
  </si>
  <si>
    <t>d8aa6864</t>
  </si>
  <si>
    <t>8bdbe45e</t>
  </si>
  <si>
    <t>4ea00640</t>
  </si>
  <si>
    <t>32dd6da9</t>
  </si>
  <si>
    <t>fc23046e</t>
  </si>
  <si>
    <t>c2c37144</t>
  </si>
  <si>
    <t>234faefd</t>
  </si>
  <si>
    <t>3d37857c</t>
  </si>
  <si>
    <t>047c2d7c</t>
  </si>
  <si>
    <t>c142ff82</t>
  </si>
  <si>
    <t>a2ec88ae</t>
  </si>
  <si>
    <t>a390f916</t>
  </si>
  <si>
    <t>2d51a36a</t>
  </si>
  <si>
    <t>723d4d28</t>
  </si>
  <si>
    <t>222dbe9a</t>
  </si>
  <si>
    <t>81e90a51</t>
  </si>
  <si>
    <t>6e74d342</t>
  </si>
  <si>
    <t>4221e61a</t>
  </si>
  <si>
    <t>fd5743ab</t>
  </si>
  <si>
    <t>707a6f97</t>
  </si>
  <si>
    <t>af0ffa93</t>
  </si>
  <si>
    <t>9804f7ca</t>
  </si>
  <si>
    <t>b30d4fdf</t>
  </si>
  <si>
    <t>0b8dfe7e</t>
  </si>
  <si>
    <t>e6d010c5</t>
  </si>
  <si>
    <t>7f5134a8</t>
  </si>
  <si>
    <t>cf666ee7</t>
  </si>
  <si>
    <t>42fe26ec</t>
  </si>
  <si>
    <t>07b798ca</t>
  </si>
  <si>
    <t>84b16607</t>
  </si>
  <si>
    <t>f5883372</t>
  </si>
  <si>
    <t>1c54f750</t>
  </si>
  <si>
    <t>53814939</t>
  </si>
  <si>
    <t>3702b720</t>
  </si>
  <si>
    <t>d2f7e5f3</t>
  </si>
  <si>
    <t>4c085647</t>
  </si>
  <si>
    <t>dc3a18e6</t>
  </si>
  <si>
    <t>54b00730</t>
  </si>
  <si>
    <t>de983fea</t>
  </si>
  <si>
    <t>0929ea78</t>
  </si>
  <si>
    <t>7d00c4a9</t>
  </si>
  <si>
    <t>Despacho de vino</t>
  </si>
  <si>
    <t>5491046b</t>
  </si>
  <si>
    <t>ajuste volumen rectificado</t>
  </si>
  <si>
    <t>b1dca1fb</t>
  </si>
  <si>
    <t>eb4e7714</t>
  </si>
  <si>
    <t>ajuste volumen</t>
  </si>
  <si>
    <t>afa99dc2</t>
  </si>
  <si>
    <t>9add0c3a</t>
  </si>
  <si>
    <t>e2f2138e</t>
  </si>
  <si>
    <t>83dd72f2</t>
  </si>
  <si>
    <t>Ajuste volumen</t>
  </si>
  <si>
    <t>0c1fbd44</t>
  </si>
  <si>
    <t>048878eb</t>
  </si>
  <si>
    <t>0bfe0668</t>
  </si>
  <si>
    <t>99e3e9d0</t>
  </si>
  <si>
    <t>d32a641a</t>
  </si>
  <si>
    <t>8831c9f9</t>
  </si>
  <si>
    <t>74bfc57b</t>
  </si>
  <si>
    <t>Hay Aspirant de menos según el arqueo</t>
  </si>
  <si>
    <t>58a28f74</t>
  </si>
  <si>
    <t>84e7b372</t>
  </si>
  <si>
    <t>d58cdf25</t>
  </si>
  <si>
    <t>98eb2e17</t>
  </si>
  <si>
    <t>bf412715</t>
  </si>
  <si>
    <t>7431dfd2</t>
  </si>
  <si>
    <t>6558a8c3</t>
  </si>
  <si>
    <t>40da80f7</t>
  </si>
  <si>
    <t>50413875</t>
  </si>
  <si>
    <t>a434d241</t>
  </si>
  <si>
    <t>Agregado Rectificado PH</t>
  </si>
  <si>
    <t>6a2ac77c</t>
  </si>
  <si>
    <t>Agregado Rectificado - corrección pH</t>
  </si>
  <si>
    <t>ef0c6006</t>
  </si>
  <si>
    <t>e4dad44b</t>
  </si>
  <si>
    <t>Gota y prensa</t>
  </si>
  <si>
    <t>41591c55</t>
  </si>
  <si>
    <t>baa5467a</t>
  </si>
  <si>
    <t>32477090</t>
  </si>
  <si>
    <t>b058c3ad</t>
  </si>
  <si>
    <t>9ee0044e</t>
  </si>
  <si>
    <t>b4f4afab</t>
  </si>
  <si>
    <t>80dcdad5</t>
  </si>
  <si>
    <t>ca94aa1f</t>
  </si>
  <si>
    <t>Correción pH - agregado rectificado</t>
  </si>
  <si>
    <t>381b60d3</t>
  </si>
  <si>
    <t>ffd1066a</t>
  </si>
  <si>
    <t>Descube y dar lleno a la 52</t>
  </si>
  <si>
    <t>478ea4af</t>
  </si>
  <si>
    <t>0f751072</t>
  </si>
  <si>
    <t>384f9757</t>
  </si>
  <si>
    <t>2372b679</t>
  </si>
  <si>
    <t>3bc3c5bf</t>
  </si>
  <si>
    <t>Ajuste de volumen de Tanat</t>
  </si>
  <si>
    <t>2d2adf71</t>
  </si>
  <si>
    <t>43a5a89d</t>
  </si>
  <si>
    <t>25c34046</t>
  </si>
  <si>
    <t>7d8d1fb9</t>
  </si>
  <si>
    <t>d5030cf3</t>
  </si>
  <si>
    <t>82ac1251</t>
  </si>
  <si>
    <t>ac01ac4d</t>
  </si>
  <si>
    <t>9360041a</t>
  </si>
  <si>
    <t>72cce9a1</t>
  </si>
  <si>
    <t>0a75cd05</t>
  </si>
  <si>
    <t>fbb1e6ab</t>
  </si>
  <si>
    <t>be7471b3</t>
  </si>
  <si>
    <t>f6e2d0cb</t>
  </si>
  <si>
    <t>663856fe</t>
  </si>
  <si>
    <t>9a675e75</t>
  </si>
  <si>
    <t>54513fd4</t>
  </si>
  <si>
    <t>2bb953ae</t>
  </si>
  <si>
    <t>e716e971</t>
  </si>
  <si>
    <t>1da0e7df</t>
  </si>
  <si>
    <t>7e10be90</t>
  </si>
  <si>
    <t>e6245c23</t>
  </si>
  <si>
    <t>3ef35c32</t>
  </si>
  <si>
    <t>5b8cfa72</t>
  </si>
  <si>
    <t>1b48d388</t>
  </si>
  <si>
    <t>2a648924</t>
  </si>
  <si>
    <t>33a8488a</t>
  </si>
  <si>
    <t>c5b76ecf</t>
  </si>
  <si>
    <t>3c024f6b</t>
  </si>
  <si>
    <t>5face3d3</t>
  </si>
  <si>
    <t>e494aaf4</t>
  </si>
  <si>
    <t>94c4cc3c</t>
  </si>
  <si>
    <t>a367c4f3</t>
  </si>
  <si>
    <t>41f3b155</t>
  </si>
  <si>
    <t>5afde7bf</t>
  </si>
  <si>
    <t>0a94f3ea</t>
  </si>
  <si>
    <t>1f3f4269</t>
  </si>
  <si>
    <t>8b8612ca</t>
  </si>
  <si>
    <t>84d10532</t>
  </si>
  <si>
    <t>Traslado La Vendimia</t>
  </si>
  <si>
    <t>d9b9806d</t>
  </si>
  <si>
    <t>587b9e6b</t>
  </si>
  <si>
    <t>663bed1a</t>
  </si>
  <si>
    <t>d6c02f32</t>
  </si>
  <si>
    <t>f0bc7303</t>
  </si>
  <si>
    <t>e37ceda1</t>
  </si>
  <si>
    <t>9f984a23</t>
  </si>
  <si>
    <t>e4f8039e</t>
  </si>
  <si>
    <t>4507e81f</t>
  </si>
  <si>
    <t>918fe284</t>
  </si>
  <si>
    <t>7cab11c5</t>
  </si>
  <si>
    <t>adc0f6de</t>
  </si>
  <si>
    <t>cdca4e05</t>
  </si>
  <si>
    <t>Esto es mosto filtrado que no ha pasado por los orujos pero tiene el mismo origen de CIU de esta Criolla</t>
  </si>
  <si>
    <t>fbfb60b4</t>
  </si>
  <si>
    <t>9f719f13</t>
  </si>
  <si>
    <t>0caa90c8</t>
  </si>
  <si>
    <t>e1de3cb7</t>
  </si>
  <si>
    <t>4d1542a4</t>
  </si>
  <si>
    <t>6f77e05b</t>
  </si>
  <si>
    <t>77d87180</t>
  </si>
  <si>
    <t>e3783178</t>
  </si>
  <si>
    <t>5629d0c2</t>
  </si>
  <si>
    <t>46e0c561</t>
  </si>
  <si>
    <t>ca81df50</t>
  </si>
  <si>
    <t>a661d598</t>
  </si>
  <si>
    <t>e6a465c9</t>
  </si>
  <si>
    <t>bf1ff1ff</t>
  </si>
  <si>
    <t>e43180c6</t>
  </si>
  <si>
    <t>48c58e88</t>
  </si>
  <si>
    <t>e300ee19</t>
  </si>
  <si>
    <t>58fb654c</t>
  </si>
  <si>
    <t>081c9204</t>
  </si>
  <si>
    <t>b3316a0a</t>
  </si>
  <si>
    <t>agregado Rectificado</t>
  </si>
  <si>
    <t>0b4d2241</t>
  </si>
  <si>
    <t>Agregado Rectificado</t>
  </si>
  <si>
    <t>9adf1669</t>
  </si>
  <si>
    <t>c7bd3a7b</t>
  </si>
  <si>
    <t>ecb02248</t>
  </si>
  <si>
    <t>f82b29f9</t>
  </si>
  <si>
    <t>Relleno, quiza fue 1000 lts</t>
  </si>
  <si>
    <t>48ff99db</t>
  </si>
  <si>
    <t>f7dbbba6</t>
  </si>
  <si>
    <t>c0b38633</t>
  </si>
  <si>
    <t>c0d5d0bc</t>
  </si>
  <si>
    <t>0ce47a14</t>
  </si>
  <si>
    <t>4922f370</t>
  </si>
  <si>
    <t>b79a2229</t>
  </si>
  <si>
    <t>f79b60ff</t>
  </si>
  <si>
    <t>b46d4150</t>
  </si>
  <si>
    <t>17f9af3c</t>
  </si>
  <si>
    <t>337dabfc</t>
  </si>
  <si>
    <t>da9dd65a</t>
  </si>
  <si>
    <t>c5d5dd56</t>
  </si>
  <si>
    <t>77fd5298</t>
  </si>
  <si>
    <t>a4c336e8</t>
  </si>
  <si>
    <t>d4145dd5</t>
  </si>
  <si>
    <t>a13187b8</t>
  </si>
  <si>
    <t>7692c4dc</t>
  </si>
  <si>
    <t>9416a7f1</t>
  </si>
  <si>
    <t>2fcfb429</t>
  </si>
  <si>
    <t>c991eeed</t>
  </si>
  <si>
    <t>Despacho vino venta</t>
  </si>
  <si>
    <t>2a6689a5</t>
  </si>
  <si>
    <t>e310e9ee</t>
  </si>
  <si>
    <t>5039b31b</t>
  </si>
  <si>
    <t>dbd23b4a</t>
  </si>
  <si>
    <t>786226ab</t>
  </si>
  <si>
    <t>dbd6771c</t>
  </si>
  <si>
    <t>0e531dea</t>
  </si>
  <si>
    <t>6a111de4</t>
  </si>
  <si>
    <t>e54bf9ef</t>
  </si>
  <si>
    <t>e5c6f49b</t>
  </si>
  <si>
    <t>Prensa</t>
  </si>
  <si>
    <t>f1af0093</t>
  </si>
  <si>
    <t>09a7bc87</t>
  </si>
  <si>
    <t>ec579f64</t>
  </si>
  <si>
    <t>d93f3a4f</t>
  </si>
  <si>
    <t>8ce9e1b0</t>
  </si>
  <si>
    <t>6e5d319a</t>
  </si>
  <si>
    <t>5f213e79</t>
  </si>
  <si>
    <t>a76db9a7</t>
  </si>
  <si>
    <t>38564ae2</t>
  </si>
  <si>
    <t>Ajusste volumen sobrate</t>
  </si>
  <si>
    <t>634bd176</t>
  </si>
  <si>
    <t>e4394358</t>
  </si>
  <si>
    <t>169799fd</t>
  </si>
  <si>
    <t>ed3da2b8</t>
  </si>
  <si>
    <t>60f1c12a</t>
  </si>
  <si>
    <t>4bd2fb8f</t>
  </si>
  <si>
    <t>a21ada18</t>
  </si>
  <si>
    <t>c9fed906</t>
  </si>
  <si>
    <t>282d49ef</t>
  </si>
  <si>
    <t>c01712dc</t>
  </si>
  <si>
    <t>c6fd6c11</t>
  </si>
  <si>
    <t>5b38cc92</t>
  </si>
  <si>
    <t>e924584f</t>
  </si>
  <si>
    <t>47d751e1</t>
  </si>
  <si>
    <t>2fe69c71</t>
  </si>
  <si>
    <t>dbab89b9</t>
  </si>
  <si>
    <t>3ef6ac11</t>
  </si>
  <si>
    <t>4a892e06</t>
  </si>
  <si>
    <t>dbae7e3d</t>
  </si>
  <si>
    <t>ef5df3a8</t>
  </si>
  <si>
    <t>f2239263</t>
  </si>
  <si>
    <t>577420cf</t>
  </si>
  <si>
    <t>b16464d3</t>
  </si>
  <si>
    <t>20119d73</t>
  </si>
  <si>
    <t>6c5972ec</t>
  </si>
  <si>
    <t>0f4bbd78</t>
  </si>
  <si>
    <t>007625f0</t>
  </si>
  <si>
    <t>640b60a7</t>
  </si>
  <si>
    <t>3c30a068</t>
  </si>
  <si>
    <t>728eb21e</t>
  </si>
  <si>
    <t>a7bf129e</t>
  </si>
  <si>
    <t>29b7886d</t>
  </si>
  <si>
    <t>c09ab39e</t>
  </si>
  <si>
    <t>Gota - Desvine</t>
  </si>
  <si>
    <t>98d257b0</t>
  </si>
  <si>
    <t>157ae04c</t>
  </si>
  <si>
    <t>ccad6e59</t>
  </si>
  <si>
    <t>cdc8cb92</t>
  </si>
  <si>
    <t>Venta de vino suelto</t>
  </si>
  <si>
    <t>d956caec</t>
  </si>
  <si>
    <t>c59443ba</t>
  </si>
  <si>
    <t>c348af3d</t>
  </si>
  <si>
    <t>3f34abb5</t>
  </si>
  <si>
    <t>9f15531d</t>
  </si>
  <si>
    <t>90a9e20e</t>
  </si>
  <si>
    <t>bdc786df</t>
  </si>
  <si>
    <t>ec25e385</t>
  </si>
  <si>
    <t>722befba</t>
  </si>
  <si>
    <t>d0c35e7b</t>
  </si>
  <si>
    <t>06e6d4cd</t>
  </si>
  <si>
    <t>d0a72ad0</t>
  </si>
  <si>
    <t>e499f23a</t>
  </si>
  <si>
    <t>e28112ad</t>
  </si>
  <si>
    <t>dbadf23a</t>
  </si>
  <si>
    <t>7b9a91aa</t>
  </si>
  <si>
    <t>5e2d7f21</t>
  </si>
  <si>
    <t>8d346f2d</t>
  </si>
  <si>
    <t>dfd64b48</t>
  </si>
  <si>
    <t>b2171938</t>
  </si>
  <si>
    <t>feff5d3f</t>
  </si>
  <si>
    <t>76dcfb6b</t>
  </si>
  <si>
    <t>3d4764f4</t>
  </si>
  <si>
    <t>0c609eb7</t>
  </si>
  <si>
    <t>6068a768</t>
  </si>
  <si>
    <t>619405ca</t>
  </si>
  <si>
    <t>42e4a292</t>
  </si>
  <si>
    <t>Desvine para recarga</t>
  </si>
  <si>
    <t>5aac28a9</t>
  </si>
  <si>
    <t>15428dca</t>
  </si>
  <si>
    <t>54ed83a6</t>
  </si>
  <si>
    <t>1b29d1f4</t>
  </si>
  <si>
    <t>7e1211c8</t>
  </si>
  <si>
    <t>8c289f5a</t>
  </si>
  <si>
    <t>86662639</t>
  </si>
  <si>
    <t>d3f897d9</t>
  </si>
  <si>
    <t>2c86d3f9</t>
  </si>
  <si>
    <t>286ac581</t>
  </si>
  <si>
    <t>479daee5</t>
  </si>
  <si>
    <t>3430bfb7</t>
  </si>
  <si>
    <t>Agregado REctificado</t>
  </si>
  <si>
    <t>8717b9ad</t>
  </si>
  <si>
    <t>11a72bbd</t>
  </si>
  <si>
    <t>b2c52506</t>
  </si>
  <si>
    <t>148db8ee</t>
  </si>
  <si>
    <t>e04f70d9</t>
  </si>
  <si>
    <t>18eef5e0</t>
  </si>
  <si>
    <t>9fe960c1</t>
  </si>
  <si>
    <t>2abdf478</t>
  </si>
  <si>
    <t>a1aef05c</t>
  </si>
  <si>
    <t>0b7877a0</t>
  </si>
  <si>
    <t>260f2fc5</t>
  </si>
  <si>
    <t>94e49c13</t>
  </si>
  <si>
    <t>9f356405</t>
  </si>
  <si>
    <t>1273642</t>
  </si>
  <si>
    <t>Pta 89 se habia llenado de mas y se pasa mosto a la 96</t>
  </si>
  <si>
    <t>44d50628</t>
  </si>
  <si>
    <t>rectificado</t>
  </si>
  <si>
    <t>6446e5bd</t>
  </si>
  <si>
    <t>d0ad7166</t>
  </si>
  <si>
    <t>agreagado rectificado</t>
  </si>
  <si>
    <t>2af76f9c</t>
  </si>
  <si>
    <t>agregado rectificado</t>
  </si>
  <si>
    <t>c7f4c2f2</t>
  </si>
  <si>
    <t>Agregado de rectificado</t>
  </si>
  <si>
    <t>4f256382</t>
  </si>
  <si>
    <t>1bdd9844</t>
  </si>
  <si>
    <t>985fe11d</t>
  </si>
  <si>
    <t>79c73672</t>
  </si>
  <si>
    <t>07cc94cb</t>
  </si>
  <si>
    <t>06915f8e</t>
  </si>
  <si>
    <t>2760a910</t>
  </si>
  <si>
    <t>d5bf5b1a</t>
  </si>
  <si>
    <t>0d8df612</t>
  </si>
  <si>
    <t>1a37214c</t>
  </si>
  <si>
    <t>b058571c</t>
  </si>
  <si>
    <t>8a40d94b</t>
  </si>
  <si>
    <t>2acac0c3</t>
  </si>
  <si>
    <t>fa5421be</t>
  </si>
  <si>
    <t>c006adee</t>
  </si>
  <si>
    <t>6dfeebb0</t>
  </si>
  <si>
    <t>22076a85</t>
  </si>
  <si>
    <t>510f089f</t>
  </si>
  <si>
    <t>b261060d</t>
  </si>
  <si>
    <t>b69ece35</t>
  </si>
  <si>
    <t>Rectificado con la Columna</t>
  </si>
  <si>
    <t>1a58c494</t>
  </si>
  <si>
    <t>Agregado de REctificado</t>
  </si>
  <si>
    <t>ad2055b3</t>
  </si>
  <si>
    <t>0e82a0cf</t>
  </si>
  <si>
    <t>4945a88b</t>
  </si>
  <si>
    <t>f9e05f03</t>
  </si>
  <si>
    <t>defa6058</t>
  </si>
  <si>
    <t>5c47345e</t>
  </si>
  <si>
    <t>f9c104a1</t>
  </si>
  <si>
    <t>c9401985</t>
  </si>
  <si>
    <t>e8e27b43</t>
  </si>
  <si>
    <t>b25dda67</t>
  </si>
  <si>
    <t>2d8517ba</t>
  </si>
  <si>
    <t>bbb74afe</t>
  </si>
  <si>
    <t>32bae3ab</t>
  </si>
  <si>
    <t>1c7ca4df</t>
  </si>
  <si>
    <t>d358e011</t>
  </si>
  <si>
    <t>5f53a4d1</t>
  </si>
  <si>
    <t>27893242</t>
  </si>
  <si>
    <t>10f4b0b0</t>
  </si>
  <si>
    <t>a9cb12d7</t>
  </si>
  <si>
    <t>devine solo gota</t>
  </si>
  <si>
    <t>d18a8462</t>
  </si>
  <si>
    <t>f744f36c</t>
  </si>
  <si>
    <t>99845561</t>
  </si>
  <si>
    <t>solo gota</t>
  </si>
  <si>
    <t>49940ac5</t>
  </si>
  <si>
    <t>e9f4c3cf</t>
  </si>
  <si>
    <t>61c9dedf</t>
  </si>
  <si>
    <t>3d2e951a</t>
  </si>
  <si>
    <t>2aae5b85</t>
  </si>
  <si>
    <t>fce1b87e</t>
  </si>
  <si>
    <t>29c4c29e</t>
  </si>
  <si>
    <t>Desvine solo gota</t>
  </si>
  <si>
    <t>53a461f7</t>
  </si>
  <si>
    <t>586cba81</t>
  </si>
  <si>
    <t>f9afea55</t>
  </si>
  <si>
    <t>8228f3fb</t>
  </si>
  <si>
    <t>8f4b1ed2</t>
  </si>
  <si>
    <t>0ba68d6a</t>
  </si>
  <si>
    <t>d9d20dc0</t>
  </si>
  <si>
    <t>488766b0</t>
  </si>
  <si>
    <t>363d4e26</t>
  </si>
  <si>
    <t>Volumen que sobraba en la 76 pasa a la 77 por la pileta ajuste</t>
  </si>
  <si>
    <t>bbccaee4</t>
  </si>
  <si>
    <t>Desvine</t>
  </si>
  <si>
    <t>b229f727</t>
  </si>
  <si>
    <t>ec7704e2</t>
  </si>
  <si>
    <t>673ad10f</t>
  </si>
  <si>
    <t>5388e2ee</t>
  </si>
  <si>
    <t>f19bda58</t>
  </si>
  <si>
    <t>53949e8f</t>
  </si>
  <si>
    <t>c3cec4ca</t>
  </si>
  <si>
    <t>b812a49c</t>
  </si>
  <si>
    <t>a8b963f4</t>
  </si>
  <si>
    <t>160af005</t>
  </si>
  <si>
    <t>8469e96d</t>
  </si>
  <si>
    <t>3998063e</t>
  </si>
  <si>
    <t>8744bfc9</t>
  </si>
  <si>
    <t>bcbed126</t>
  </si>
  <si>
    <t>Volumen que sobra de pileta 95 originalmente</t>
  </si>
  <si>
    <t>17473616</t>
  </si>
  <si>
    <t>4fef8a3a</t>
  </si>
  <si>
    <t>descube gota</t>
  </si>
  <si>
    <t>54643afb</t>
  </si>
  <si>
    <t>decube gota</t>
  </si>
  <si>
    <t>25fb6238</t>
  </si>
  <si>
    <t>descibe gota</t>
  </si>
  <si>
    <t>a1351ff3</t>
  </si>
  <si>
    <t>5b57d424</t>
  </si>
  <si>
    <t>3600ec75</t>
  </si>
  <si>
    <t>7597f9c4</t>
  </si>
  <si>
    <t>c01b1f66</t>
  </si>
  <si>
    <t>f9b90b86</t>
  </si>
  <si>
    <t>c3eb52cc</t>
  </si>
  <si>
    <t>dc52b6f0</t>
  </si>
  <si>
    <t>087b013c</t>
  </si>
  <si>
    <t>242b226e</t>
  </si>
  <si>
    <t>146494ce</t>
  </si>
  <si>
    <t>0e8f47c0</t>
  </si>
  <si>
    <t>51605ab2</t>
  </si>
  <si>
    <t>71bc4487</t>
  </si>
  <si>
    <t>f371e48b</t>
  </si>
  <si>
    <t>3e29b381</t>
  </si>
  <si>
    <t>8152bced</t>
  </si>
  <si>
    <t>1b41b20f</t>
  </si>
  <si>
    <t>0bfd575a</t>
  </si>
  <si>
    <t>720d28d4</t>
  </si>
  <si>
    <t>a59ddfe2</t>
  </si>
  <si>
    <t>4f07c665</t>
  </si>
  <si>
    <t>eea4f69c</t>
  </si>
  <si>
    <t>fedb41fc</t>
  </si>
  <si>
    <t>55c33655</t>
  </si>
  <si>
    <t>28fdc847</t>
  </si>
  <si>
    <t>7188f781</t>
  </si>
  <si>
    <t>2251d481</t>
  </si>
  <si>
    <t>44f10d12</t>
  </si>
  <si>
    <t>72a46219</t>
  </si>
  <si>
    <t>f0da5979</t>
  </si>
  <si>
    <t>bcfe1f81</t>
  </si>
  <si>
    <t>40ba4ab9</t>
  </si>
  <si>
    <t>6249f53a</t>
  </si>
  <si>
    <t>04250c0e</t>
  </si>
  <si>
    <t>1fcedac0</t>
  </si>
  <si>
    <t>vino despachaado semana</t>
  </si>
  <si>
    <t>5a2ebd67</t>
  </si>
  <si>
    <t>091a13e5</t>
  </si>
  <si>
    <t>47cf1b1f</t>
  </si>
  <si>
    <t>3c6de361</t>
  </si>
  <si>
    <t>ff2fba90</t>
  </si>
  <si>
    <t>7bd8590f</t>
  </si>
  <si>
    <t>40b23cbf</t>
  </si>
  <si>
    <t>4527cf43</t>
  </si>
  <si>
    <t>gota y prensa</t>
  </si>
  <si>
    <t>b9c1a6b0</t>
  </si>
  <si>
    <t>f092b0cc</t>
  </si>
  <si>
    <t>a0a798a6</t>
  </si>
  <si>
    <t>cfa73ff6</t>
  </si>
  <si>
    <t>8d771205</t>
  </si>
  <si>
    <t>descube gota y prensa</t>
  </si>
  <si>
    <t>4fd0571c</t>
  </si>
  <si>
    <t>c4c9bd63</t>
  </si>
  <si>
    <t>ee80235b</t>
  </si>
  <si>
    <t>f30fe45b</t>
  </si>
  <si>
    <t>e88f9da0</t>
  </si>
  <si>
    <t>3414cb5c</t>
  </si>
  <si>
    <t>Esto fue al filtro , asi que lo enviamos ya</t>
  </si>
  <si>
    <t>5e87727d</t>
  </si>
  <si>
    <t>2abe291a</t>
  </si>
  <si>
    <t>Gota y prensa. Tiene azucar y hay que ver si reduce</t>
  </si>
  <si>
    <t>aa52f2f6</t>
  </si>
  <si>
    <t>ea0c5083</t>
  </si>
  <si>
    <t>d6b9431a</t>
  </si>
  <si>
    <t>descubada con azucar</t>
  </si>
  <si>
    <t>c12a1e92</t>
  </si>
  <si>
    <t>3926b3b4</t>
  </si>
  <si>
    <t>b67579f9</t>
  </si>
  <si>
    <t>c37e0245</t>
  </si>
  <si>
    <t>d5e5d68e</t>
  </si>
  <si>
    <t>da9de7e2</t>
  </si>
  <si>
    <t>a77a2985</t>
  </si>
  <si>
    <t>5533fb7c</t>
  </si>
  <si>
    <t>b1fdeb46</t>
  </si>
  <si>
    <t>6a20e2cc</t>
  </si>
  <si>
    <t>340edc7e</t>
  </si>
  <si>
    <t>a5dbbaa3</t>
  </si>
  <si>
    <t>ba517461</t>
  </si>
  <si>
    <t>55ffaf90</t>
  </si>
  <si>
    <t>3249908a</t>
  </si>
  <si>
    <t>fecd47d8</t>
  </si>
  <si>
    <t>52ff4dae</t>
  </si>
  <si>
    <t>5ecc52dd</t>
  </si>
  <si>
    <t>2bea85a7</t>
  </si>
  <si>
    <t>8f72e535</t>
  </si>
  <si>
    <t>399cb47e</t>
  </si>
  <si>
    <t>7fc96ae7</t>
  </si>
  <si>
    <t>e0f9c372</t>
  </si>
  <si>
    <t>8c84e42b</t>
  </si>
  <si>
    <t>ef04b39f</t>
  </si>
  <si>
    <t>78bec9ac</t>
  </si>
  <si>
    <t>44bbdc44</t>
  </si>
  <si>
    <t>695bf7b9</t>
  </si>
  <si>
    <t>59458040</t>
  </si>
  <si>
    <t>fd28d39c</t>
  </si>
  <si>
    <t>18902e9e</t>
  </si>
  <si>
    <t>88bae770</t>
  </si>
  <si>
    <t>5c389672</t>
  </si>
  <si>
    <t>7151898f</t>
  </si>
  <si>
    <t>b55fc06f</t>
  </si>
  <si>
    <t>706da0ed</t>
  </si>
  <si>
    <t>vino despacho con paño</t>
  </si>
  <si>
    <t>9d6c0309</t>
  </si>
  <si>
    <t>73307f87</t>
  </si>
  <si>
    <t>14d7cd66</t>
  </si>
  <si>
    <t>0851f73f</t>
  </si>
  <si>
    <t>88591b3c</t>
  </si>
  <si>
    <t>a2b567cc</t>
  </si>
  <si>
    <t>56168283</t>
  </si>
  <si>
    <t>1e78a523</t>
  </si>
  <si>
    <t>c34093bc</t>
  </si>
  <si>
    <t>01e26e2c</t>
  </si>
  <si>
    <t>d210a460</t>
  </si>
  <si>
    <t>96f04c2e</t>
  </si>
  <si>
    <t>d32654b2</t>
  </si>
  <si>
    <t>ea782cd1</t>
  </si>
  <si>
    <t>89c11ee8</t>
  </si>
  <si>
    <t>a13cc567</t>
  </si>
  <si>
    <t>cde0fb1d</t>
  </si>
  <si>
    <t>2f617090</t>
  </si>
  <si>
    <t>db821edf</t>
  </si>
  <si>
    <t>fef08b4b</t>
  </si>
  <si>
    <t>d543aed1</t>
  </si>
  <si>
    <t>34cafb63</t>
  </si>
  <si>
    <t>1c6ab84d</t>
  </si>
  <si>
    <t>edbea844</t>
  </si>
  <si>
    <t>3b56eaa1</t>
  </si>
  <si>
    <t>d76709cf</t>
  </si>
  <si>
    <t>2548eecd</t>
  </si>
  <si>
    <t>a4bb43be</t>
  </si>
  <si>
    <t>08fab7a1</t>
  </si>
  <si>
    <t>e0c8334a</t>
  </si>
  <si>
    <t>8b594168</t>
  </si>
  <si>
    <t>7dc9d65e</t>
  </si>
  <si>
    <t>6d6cd544</t>
  </si>
  <si>
    <t>8843f42e</t>
  </si>
  <si>
    <t>0ceb72fe</t>
  </si>
  <si>
    <t>6a1f9f38</t>
  </si>
  <si>
    <t>825b9089</t>
  </si>
  <si>
    <t>87fcca3f</t>
  </si>
  <si>
    <t>c4dfca2d</t>
  </si>
  <si>
    <t>8f629565</t>
  </si>
  <si>
    <t>3239ffd8</t>
  </si>
  <si>
    <t>6b5cdcf1</t>
  </si>
  <si>
    <t>84dcb332</t>
  </si>
  <si>
    <t>21c67adc</t>
  </si>
  <si>
    <t>37c2c356</t>
  </si>
  <si>
    <t>93cd2bca</t>
  </si>
  <si>
    <t>7dde1efd</t>
  </si>
  <si>
    <t>4a702305</t>
  </si>
  <si>
    <t>Traslado Millan</t>
  </si>
  <si>
    <t>471c485a</t>
  </si>
  <si>
    <t>61d8b80f</t>
  </si>
  <si>
    <t>5f641943</t>
  </si>
  <si>
    <t>047ef3e0</t>
  </si>
  <si>
    <t>70c810a8</t>
  </si>
  <si>
    <t>1714b431</t>
  </si>
  <si>
    <t>7517c162</t>
  </si>
  <si>
    <t>806c7999</t>
  </si>
  <si>
    <t>8a335101</t>
  </si>
  <si>
    <t>e3a33f29</t>
  </si>
  <si>
    <t>10c89e32</t>
  </si>
  <si>
    <t>8549b4b8</t>
  </si>
  <si>
    <t>1af61555</t>
  </si>
  <si>
    <t>fad81e77</t>
  </si>
  <si>
    <t>2b2b3a7d</t>
  </si>
  <si>
    <t>29ce8f34</t>
  </si>
  <si>
    <t>Relleno</t>
  </si>
  <si>
    <t>5b8b82ff</t>
  </si>
  <si>
    <t>5037c7c7</t>
  </si>
  <si>
    <t>d6cc6063</t>
  </si>
  <si>
    <t>fdcb840e</t>
  </si>
  <si>
    <t>a69e316d</t>
  </si>
  <si>
    <t>87eaf818</t>
  </si>
  <si>
    <t>Malbec Millan</t>
  </si>
  <si>
    <t>87a8aa18</t>
  </si>
  <si>
    <t>523a2f24</t>
  </si>
  <si>
    <t>1b826a1b</t>
  </si>
  <si>
    <t>e66b28e8</t>
  </si>
  <si>
    <t>81da33ea</t>
  </si>
  <si>
    <t>8735c5c4</t>
  </si>
  <si>
    <t>ff038037</t>
  </si>
  <si>
    <t>a1699c41</t>
  </si>
  <si>
    <t>93445d26</t>
  </si>
  <si>
    <t>4442bc3c</t>
  </si>
  <si>
    <t>d68dcc57</t>
  </si>
  <si>
    <t>18c90304</t>
  </si>
  <si>
    <t>3703cfb8</t>
  </si>
  <si>
    <t>a60ba105</t>
  </si>
  <si>
    <t>9b72bc5f</t>
  </si>
  <si>
    <t>71b16b91</t>
  </si>
  <si>
    <t>958652a0</t>
  </si>
  <si>
    <t>3931d4ba</t>
  </si>
  <si>
    <t>127a3f15</t>
  </si>
  <si>
    <t>6f4eeb3f</t>
  </si>
  <si>
    <t>cbf8e237</t>
  </si>
  <si>
    <t>53760e8f</t>
  </si>
  <si>
    <t>df1f0455</t>
  </si>
  <si>
    <t>54756cfd</t>
  </si>
  <si>
    <t>a0d9d89f</t>
  </si>
  <si>
    <t>92ccaf32</t>
  </si>
  <si>
    <t>ebc6a1e9</t>
  </si>
  <si>
    <t>735ee1a2</t>
  </si>
  <si>
    <t>1cb28166</t>
  </si>
  <si>
    <t>aa7140cf</t>
  </si>
  <si>
    <t>c66dc287</t>
  </si>
  <si>
    <t>7bc43a1f</t>
  </si>
  <si>
    <t>25726a61</t>
  </si>
  <si>
    <t>91771054</t>
  </si>
  <si>
    <t>c35609a9</t>
  </si>
  <si>
    <t>98aa78ff</t>
  </si>
  <si>
    <t>1a7f8531</t>
  </si>
  <si>
    <t>b926970a</t>
  </si>
  <si>
    <t>5e101a32</t>
  </si>
  <si>
    <t>f340228a</t>
  </si>
  <si>
    <t>d09039de</t>
  </si>
  <si>
    <t>361fa796</t>
  </si>
  <si>
    <t>fcec8ab1</t>
  </si>
  <si>
    <t>2afa6ee7</t>
  </si>
  <si>
    <t>ab1fa72d</t>
  </si>
  <si>
    <t>3079c823</t>
  </si>
  <si>
    <t>8e08c3c7</t>
  </si>
  <si>
    <t>fd6dc5aa</t>
  </si>
  <si>
    <t>c83bd854</t>
  </si>
  <si>
    <t>Medir cuanto quedo en pileta.  SEgun sergi son 6000 lts</t>
  </si>
  <si>
    <t>cbf0f423</t>
  </si>
  <si>
    <t>ceb14e75</t>
  </si>
  <si>
    <t>c89914eb</t>
  </si>
  <si>
    <t>a71d9f61</t>
  </si>
  <si>
    <t>af4a7a93</t>
  </si>
  <si>
    <t>Despacho traslado</t>
  </si>
  <si>
    <t>e58b43aa</t>
  </si>
  <si>
    <t>Traslado a Millan</t>
  </si>
  <si>
    <t>6769350e</t>
  </si>
  <si>
    <t>bcafc0a5</t>
  </si>
  <si>
    <t>f2ca2cdf</t>
  </si>
  <si>
    <t>c907d47f</t>
  </si>
  <si>
    <t>a4b84db7</t>
  </si>
  <si>
    <t>32c893ad</t>
  </si>
  <si>
    <t>53b40378</t>
  </si>
  <si>
    <t>7c24439b</t>
  </si>
  <si>
    <t>3ca50f97</t>
  </si>
  <si>
    <t>92f7b68d</t>
  </si>
  <si>
    <t>d7891718</t>
  </si>
  <si>
    <t>4236c7c8</t>
  </si>
  <si>
    <t>a22acbcf</t>
  </si>
  <si>
    <t>8cd42c0a</t>
  </si>
  <si>
    <t>81c2fcc6</t>
  </si>
  <si>
    <t>8597d3e8</t>
  </si>
  <si>
    <t>1c42cd04</t>
  </si>
  <si>
    <t>4b047b69</t>
  </si>
  <si>
    <t>62f6b125</t>
  </si>
  <si>
    <t>353e63f1</t>
  </si>
  <si>
    <t>d7a08dcb</t>
  </si>
  <si>
    <t>ac1c37de</t>
  </si>
  <si>
    <t>b2082403</t>
  </si>
  <si>
    <t>1d16270d</t>
  </si>
  <si>
    <t>3a10fed9</t>
  </si>
  <si>
    <t>43ea19d3</t>
  </si>
  <si>
    <t>9743feca</t>
  </si>
  <si>
    <t>f3dc6fdd</t>
  </si>
  <si>
    <t>eaa51d03</t>
  </si>
  <si>
    <t>f4207806</t>
  </si>
  <si>
    <t>0a8da79a</t>
  </si>
  <si>
    <t>c5c4a33c</t>
  </si>
  <si>
    <t>1dce2540</t>
  </si>
  <si>
    <t>354e677d</t>
  </si>
  <si>
    <t>547ca2b5</t>
  </si>
  <si>
    <t>5cd6039c</t>
  </si>
  <si>
    <t>9bdb01b0</t>
  </si>
  <si>
    <t>2c1e635a</t>
  </si>
  <si>
    <t>51b9e6c2</t>
  </si>
  <si>
    <t>defb0301</t>
  </si>
  <si>
    <t>c5026661</t>
  </si>
  <si>
    <t>58a4d6d6</t>
  </si>
  <si>
    <t>ce3f3054</t>
  </si>
  <si>
    <t>06ec9360</t>
  </si>
  <si>
    <t>f1e35874</t>
  </si>
  <si>
    <t>92f83436</t>
  </si>
  <si>
    <t>ec076772</t>
  </si>
  <si>
    <t>c98ff155</t>
  </si>
  <si>
    <t>5c864152</t>
  </si>
  <si>
    <t>3ead075a</t>
  </si>
  <si>
    <t>f0092a98</t>
  </si>
  <si>
    <t>f7ff9894</t>
  </si>
  <si>
    <t>bd08076b</t>
  </si>
  <si>
    <t>ad899a4d</t>
  </si>
  <si>
    <t>151c9b28</t>
  </si>
  <si>
    <t>66a9bbf2</t>
  </si>
  <si>
    <t>54ecf46b</t>
  </si>
  <si>
    <t>75a71349</t>
  </si>
  <si>
    <t>0680a644</t>
  </si>
  <si>
    <t>1aeef3a7</t>
  </si>
  <si>
    <t>d372a4b6</t>
  </si>
  <si>
    <t>3f5c52aa</t>
  </si>
  <si>
    <t>ba079096</t>
  </si>
  <si>
    <t>62ca2cff</t>
  </si>
  <si>
    <t>6af4a5cc</t>
  </si>
  <si>
    <t>c58f1d01</t>
  </si>
  <si>
    <t>b686530e</t>
  </si>
  <si>
    <t>c454fa25</t>
  </si>
  <si>
    <t>e42f824f</t>
  </si>
  <si>
    <t>f924f55b</t>
  </si>
  <si>
    <t>4e852e87</t>
  </si>
  <si>
    <t>b768e567</t>
  </si>
  <si>
    <t>15187499</t>
  </si>
  <si>
    <t>f91fccb9</t>
  </si>
  <si>
    <t>86cd9442</t>
  </si>
  <si>
    <t>15eaa06c</t>
  </si>
  <si>
    <t>d4b254a3</t>
  </si>
  <si>
    <t>423ec746</t>
  </si>
  <si>
    <t>adfa1464</t>
  </si>
  <si>
    <t>c7a90e51</t>
  </si>
  <si>
    <t>63da544e</t>
  </si>
  <si>
    <t>afb9bd0d</t>
  </si>
  <si>
    <t>3ccee9c5</t>
  </si>
  <si>
    <t>f1a661e8</t>
  </si>
  <si>
    <t>1cc59896</t>
  </si>
  <si>
    <t>c80574b2</t>
  </si>
  <si>
    <t>553d486d</t>
  </si>
  <si>
    <t>ebef0c86</t>
  </si>
  <si>
    <t>dc0f6372</t>
  </si>
  <si>
    <t>1052351a</t>
  </si>
  <si>
    <t>504a0a22</t>
  </si>
  <si>
    <t>ddc7bb3d</t>
  </si>
  <si>
    <t>e268bf54</t>
  </si>
  <si>
    <t>3b07a8a4</t>
  </si>
  <si>
    <t>e2f74719</t>
  </si>
  <si>
    <t>6e6e5f62</t>
  </si>
  <si>
    <t>b49828c0</t>
  </si>
  <si>
    <t>70425ea7</t>
  </si>
  <si>
    <t>Volumen despacho</t>
  </si>
  <si>
    <t>2cc24a50</t>
  </si>
  <si>
    <t>7130c806</t>
  </si>
  <si>
    <t>Corrección Ph</t>
  </si>
  <si>
    <t>f122219f</t>
  </si>
  <si>
    <t>4684d680</t>
  </si>
  <si>
    <t>84a50655</t>
  </si>
  <si>
    <t>83db9e82</t>
  </si>
  <si>
    <t>b47dc80f</t>
  </si>
  <si>
    <t>9b66cfc5</t>
  </si>
  <si>
    <t>e489c9ac</t>
  </si>
  <si>
    <t>25425eae</t>
  </si>
  <si>
    <t>4bf8143e</t>
  </si>
  <si>
    <t>8905f2ba</t>
  </si>
  <si>
    <t>bd1fc7f1</t>
  </si>
  <si>
    <t>74205378</t>
  </si>
  <si>
    <t>509cd3bd</t>
  </si>
  <si>
    <t>8a3a94f2</t>
  </si>
  <si>
    <t>7a9a8221</t>
  </si>
  <si>
    <t>2c95af9c</t>
  </si>
  <si>
    <t>f2020c41</t>
  </si>
  <si>
    <t>9cc9e8d8</t>
  </si>
  <si>
    <t>152f36a7</t>
  </si>
  <si>
    <t>ee83c1b1</t>
  </si>
  <si>
    <t>b45bd5ec</t>
  </si>
  <si>
    <t>647816fc</t>
  </si>
  <si>
    <t>4c36a656</t>
  </si>
  <si>
    <t>ab1c34c4</t>
  </si>
  <si>
    <t>5d4f63f7</t>
  </si>
  <si>
    <t>9abb1140</t>
  </si>
  <si>
    <t>b2d7ad2b</t>
  </si>
  <si>
    <t>ea926d37</t>
  </si>
  <si>
    <t>d5f12a61</t>
  </si>
  <si>
    <t>66eddced</t>
  </si>
  <si>
    <t>ee08cf65</t>
  </si>
  <si>
    <t>08ee90c8</t>
  </si>
  <si>
    <t>1c0e3a99</t>
  </si>
  <si>
    <t>7c514ed9</t>
  </si>
  <si>
    <t>a9d854d5</t>
  </si>
  <si>
    <t>72e2b5a0</t>
  </si>
  <si>
    <t>2d5f96f5</t>
  </si>
  <si>
    <t>224a7365</t>
  </si>
  <si>
    <t>66512b05</t>
  </si>
  <si>
    <t>d1669ec2</t>
  </si>
  <si>
    <t>bcec5169</t>
  </si>
  <si>
    <t>57b2247c</t>
  </si>
  <si>
    <t>15107431</t>
  </si>
  <si>
    <t>4b763b1d</t>
  </si>
  <si>
    <t>d2d79b9a</t>
  </si>
  <si>
    <t>fb2ce7eb</t>
  </si>
  <si>
    <t>566c2a5f</t>
  </si>
  <si>
    <t>cc557a85</t>
  </si>
  <si>
    <t>ff3402cf</t>
  </si>
  <si>
    <t>45728c8a</t>
  </si>
  <si>
    <t>c75603e7</t>
  </si>
  <si>
    <t>37df0c32</t>
  </si>
  <si>
    <t>6bae5b3e</t>
  </si>
  <si>
    <t>ab90cb86</t>
  </si>
  <si>
    <t>9a573913</t>
  </si>
  <si>
    <t>5a3ef847</t>
  </si>
  <si>
    <t>6e8160ed</t>
  </si>
  <si>
    <t>393a40a3</t>
  </si>
  <si>
    <t>1a09e12e</t>
  </si>
  <si>
    <t>bea59207</t>
  </si>
  <si>
    <t>85d6023b</t>
  </si>
  <si>
    <t>fb81bc69</t>
  </si>
  <si>
    <t>eb601c85</t>
  </si>
  <si>
    <t>0d845e2e</t>
  </si>
  <si>
    <t>14189714</t>
  </si>
  <si>
    <t>0a01f1f7</t>
  </si>
  <si>
    <t>af885681</t>
  </si>
  <si>
    <t>a0cf4ea1</t>
  </si>
  <si>
    <t>51b5785f</t>
  </si>
  <si>
    <t>3507c094</t>
  </si>
  <si>
    <t>cd337d5b</t>
  </si>
  <si>
    <t>44db0cce</t>
  </si>
  <si>
    <t>5a60f6f7</t>
  </si>
  <si>
    <t>f3b0e34b</t>
  </si>
  <si>
    <t>1f7ecd15</t>
  </si>
  <si>
    <t>19d78dd5</t>
  </si>
  <si>
    <t>91151a11</t>
  </si>
  <si>
    <t>4e0b02c1</t>
  </si>
  <si>
    <t>022615d1</t>
  </si>
  <si>
    <t>88a5eccd</t>
  </si>
  <si>
    <t>98635b22</t>
  </si>
  <si>
    <t>33dbbc52</t>
  </si>
  <si>
    <t>6b7817c7</t>
  </si>
  <si>
    <t>Sobró vino recrificado</t>
  </si>
  <si>
    <t>09a66870</t>
  </si>
  <si>
    <t>ec9d0254</t>
  </si>
  <si>
    <t>Filtrado de borra</t>
  </si>
  <si>
    <t>85b99611</t>
  </si>
  <si>
    <t>8ff6cad4</t>
  </si>
  <si>
    <t>Borra seca del filtro</t>
  </si>
  <si>
    <t>d0cbf08f</t>
  </si>
  <si>
    <t>a94a4dd3</t>
  </si>
  <si>
    <t>a9764a26</t>
  </si>
  <si>
    <t>0b413a34</t>
  </si>
  <si>
    <t>64f85161</t>
  </si>
  <si>
    <t>03b8ca92</t>
  </si>
  <si>
    <t>e3927c4b</t>
  </si>
  <si>
    <t>f2e82a3f</t>
  </si>
  <si>
    <t>43369527</t>
  </si>
  <si>
    <t>d8288d77</t>
  </si>
  <si>
    <t>aa74815a</t>
  </si>
  <si>
    <t>96ec64d7</t>
  </si>
  <si>
    <t>c62e1db0</t>
  </si>
  <si>
    <t>992f6076</t>
  </si>
  <si>
    <t>4c444ace</t>
  </si>
  <si>
    <t>71df1fd6</t>
  </si>
  <si>
    <t>8f216c0a</t>
  </si>
  <si>
    <t>351d6caa</t>
  </si>
  <si>
    <t>7d045e98</t>
  </si>
  <si>
    <t>2987c754</t>
  </si>
  <si>
    <t>034ddd11</t>
  </si>
  <si>
    <t>1e3fb611</t>
  </si>
  <si>
    <t>31d93edc</t>
  </si>
  <si>
    <t>8af750ad</t>
  </si>
  <si>
    <t>8c5794d8</t>
  </si>
  <si>
    <t>6ab6351d</t>
  </si>
  <si>
    <t>090c9f23</t>
  </si>
  <si>
    <t>f931488a</t>
  </si>
  <si>
    <t>46472d06</t>
  </si>
  <si>
    <t>13a22578</t>
  </si>
  <si>
    <t>04b5c7b8</t>
  </si>
  <si>
    <t>9ed5d907</t>
  </si>
  <si>
    <t>689a2d3c</t>
  </si>
  <si>
    <t>b943e93f</t>
  </si>
  <si>
    <t>89ca5174</t>
  </si>
  <si>
    <t>7bba3bd6</t>
  </si>
  <si>
    <t>relleno</t>
  </si>
  <si>
    <t>24f7f90f</t>
  </si>
  <si>
    <t>71bef9dc</t>
  </si>
  <si>
    <t>9a0a175c</t>
  </si>
  <si>
    <t>9de3d7f5</t>
  </si>
  <si>
    <t>caac857f</t>
  </si>
  <si>
    <t>ea42be45</t>
  </si>
  <si>
    <t>3045d729</t>
  </si>
  <si>
    <t>40177476</t>
  </si>
  <si>
    <t>69d0fe25</t>
  </si>
  <si>
    <t>dd286292</t>
  </si>
  <si>
    <t>967a72c8</t>
  </si>
  <si>
    <t>3c5863b6</t>
  </si>
  <si>
    <t>022dbc49</t>
  </si>
  <si>
    <t>b1e35869</t>
  </si>
  <si>
    <t>fb99f586</t>
  </si>
  <si>
    <t>c2922f20</t>
  </si>
  <si>
    <t>e5a39ca6</t>
  </si>
  <si>
    <t>016c21d2</t>
  </si>
  <si>
    <t>9d703ac8</t>
  </si>
  <si>
    <t>72cd8195</t>
  </si>
  <si>
    <t>689de1f7</t>
  </si>
  <si>
    <t>312b14eb</t>
  </si>
  <si>
    <t>74364005</t>
  </si>
  <si>
    <t>e706d404</t>
  </si>
  <si>
    <t>cae6112a</t>
  </si>
  <si>
    <t>ac27dff6</t>
  </si>
  <si>
    <t>0caaef31</t>
  </si>
  <si>
    <t>93fa7431</t>
  </si>
  <si>
    <t>Ajuste de lo filtrado</t>
  </si>
  <si>
    <t>f98ca1ed</t>
  </si>
  <si>
    <t>1e473d57</t>
  </si>
  <si>
    <t>9afcea40</t>
  </si>
  <si>
    <t>06d67ef3</t>
  </si>
  <si>
    <t>71307367</t>
  </si>
  <si>
    <t>79efd870</t>
  </si>
  <si>
    <t>467b4860</t>
  </si>
  <si>
    <t>ee846ecd</t>
  </si>
  <si>
    <t>5f69a042</t>
  </si>
  <si>
    <t>efbfc658</t>
  </si>
  <si>
    <t>2e5f5821</t>
  </si>
  <si>
    <t>8e9234d6</t>
  </si>
  <si>
    <t>4e686bb0</t>
  </si>
  <si>
    <t>43849457</t>
  </si>
  <si>
    <t>fef5426e</t>
  </si>
  <si>
    <t>938e57a4</t>
  </si>
  <si>
    <t>a0dbfe74</t>
  </si>
  <si>
    <t>ec22814a</t>
  </si>
  <si>
    <t>-- ========================================</t>
  </si>
  <si>
    <t>-- SCRIPT SQL GENERADO AUTOMÁTICAMENTE</t>
  </si>
  <si>
    <t>-- Bodega - Sistema de Gestión de Piletas</t>
  </si>
  <si>
    <t>INSERT INTO Pileta (id_pileta, capacidad_lts, id_estado_pileta, apta, tipo, observaciones) SELECT 2, 8400, id_estado_pileta, 'A', 'EST', 'Lote: da997936' FROM Estado_pileta WHERE nombre = 'ACTIVO';</t>
  </si>
  <si>
    <t>INSERT INTO Pileta (id_pileta, capacidad_lts, id_estado_pileta, apta, tipo, observaciones) SELECT 5, 30000, id_estado_pileta, 'A', 'EST', 'Lote: ebf08055' FROM Estado_pileta WHERE nombre = 'ACTIVO';</t>
  </si>
  <si>
    <t>INSERT INTO Pileta (id_pileta, capacidad_lts, id_estado_pileta, apta, tipo, observaciones) SELECT 6, 32000, id_estado_pileta, 'A', 'EST', 'Lote: a324303d' FROM Estado_pileta WHERE nombre = 'ACTIVO';</t>
  </si>
  <si>
    <t>INSERT INTO Pileta (id_pileta, capacidad_lts, id_estado_pileta, apta, tipo, observaciones) SELECT 8, 22000, id_estado_pileta, 'A', 'EST', 'Lote: 376dbee6' FROM Estado_pileta WHERE nombre = 'ACTIVO';</t>
  </si>
  <si>
    <t>INSERT INTO Pileta (id_pileta, capacidad_lts, id_estado_pileta, apta, tipo, observaciones) SELECT 10, 21000, id_estado_pileta, 'A', 'EST', 'Lote: f9bf68a3' FROM Estado_pileta WHERE nombre = 'ACTIVO';</t>
  </si>
  <si>
    <t>INSERT INTO Pileta (id_pileta, capacidad_lts, id_estado_pileta, apta, tipo, observaciones) SELECT 14, 37000, id_estado_pileta, 'A', 'EST', 'Lote: 10b87434' FROM Estado_pileta WHERE nombre = 'ACTIVO';</t>
  </si>
  <si>
    <t>INSERT INTO Pileta (id_pileta, capacidad_lts, id_estado_pileta, apta, tipo, observaciones) SELECT 16, 19500, id_estado_pileta, 'A', 'EST', 'Lote: 869e8a1b' FROM Estado_pileta WHERE nombre = 'ACTIVO';</t>
  </si>
  <si>
    <t>INSERT INTO Pileta (id_pileta, capacidad_lts, id_estado_pileta, apta, tipo, observaciones) SELECT 24, 186600, id_estado_pileta, 'A', 'EST', 'Lote: b3a40361' FROM Estado_pileta WHERE nombre = 'ACTIVO';</t>
  </si>
  <si>
    <t>INSERT INTO Pileta (id_pileta, capacidad_lts, id_estado_pileta, apta, tipo, observaciones) SELECT 25, 194300, id_estado_pileta, 'A', 'EST', 'Lote: a2728d01' FROM Estado_pileta WHERE nombre = 'ACTIVO';</t>
  </si>
  <si>
    <t>INSERT INTO Pileta (id_pileta, capacidad_lts, id_estado_pileta, apta, tipo, observaciones) SELECT 26, 207600, id_estado_pileta, 'A', 'EST', 'Lote: a37dae6b' FROM Estado_pileta WHERE nombre = 'ACTIVO';</t>
  </si>
  <si>
    <t>INSERT INTO Pileta (id_pileta, capacidad_lts, id_estado_pileta, apta, tipo, observaciones) SELECT 33, 25300, id_estado_pileta, 'A', 'EST', 'Lote: 7def2139' FROM Estado_pileta WHERE nombre = 'ACTIVO';</t>
  </si>
  <si>
    <t>INSERT INTO Pileta (id_pileta, capacidad_lts, id_estado_pileta, apta, tipo, observaciones) SELECT 34, 39500, id_estado_pileta, 'A', 'EST', 'Lote: 08cd1438' FROM Estado_pileta WHERE nombre = 'ACTIVO';</t>
  </si>
  <si>
    <t>INSERT INTO Pileta (id_pileta, capacidad_lts, id_estado_pileta, apta, tipo, observaciones) SELECT 36, 19700, id_estado_pileta, 'A', 'EST', 'Lote: 0997a77d' FROM Estado_pileta WHERE nombre = 'ACTIVO';</t>
  </si>
  <si>
    <t>INSERT INTO Pileta (id_pileta, capacidad_lts, id_estado_pileta, apta, tipo, observaciones) SELECT 42, 35900, id_estado_pileta, 'A', 'EST', 'Lote: dccd4f5e' FROM Estado_pileta WHERE nombre = 'ACTIVO';</t>
  </si>
  <si>
    <t>INSERT INTO Pileta (id_pileta, capacidad_lts, id_estado_pileta, apta, tipo, observaciones) SELECT 44, 19100, id_estado_pileta, 'A', 'EST', 'Lote: 7ae457f1' FROM Estado_pileta WHERE nombre = 'ACTIVO';</t>
  </si>
  <si>
    <t>INSERT INTO Pileta (id_pileta, capacidad_lts, id_estado_pileta, apta, tipo, observaciones) SELECT 46, 29000, id_estado_pileta, 'A', 'EST', 'Lote: 9b47717c' FROM Estado_pileta WHERE nombre = 'ACTIVO';</t>
  </si>
  <si>
    <t>INSERT INTO Pileta (id_pileta, capacidad_lts, id_estado_pileta, apta, tipo, observaciones) SELECT 48, 26000, id_estado_pileta, 'A', 'EST', 'Lote: ef198a97' FROM Estado_pileta WHERE nombre = 'ACTIVO';</t>
  </si>
  <si>
    <t>INSERT INTO Pileta (id_pileta, capacidad_lts, id_estado_pileta, apta, tipo, observaciones) SELECT 50, 5100, id_estado_pileta, 'A', 'EST', 'Lote: 5db7be38' FROM Estado_pileta WHERE nombre = 'ACTIVO';</t>
  </si>
  <si>
    <t>INSERT INTO Pileta (id_pileta, capacidad_lts, id_estado_pileta, apta, tipo, observaciones) SELECT 51, 3900, id_estado_pileta, 'A', 'EST', 'Lote: b7784dc8' FROM Estado_pileta WHERE nombre = 'ACTIVO';</t>
  </si>
  <si>
    <t>INSERT INTO Pileta (id_pileta, capacidad_lts, id_estado_pileta, apta, tipo, observaciones) SELECT 53, 22000, id_estado_pileta, 'A', 'EST', 'Lote: da5fcb21' FROM Estado_pileta WHERE nombre = 'ACTIVO';</t>
  </si>
  <si>
    <t>INSERT INTO Pileta (id_pileta, capacidad_lts, id_estado_pileta, apta, tipo, observaciones) SELECT 54, 22900, id_estado_pileta, 'A', 'EST', 'Lote: 5c87f162' FROM Estado_pileta WHERE nombre = 'ACTIVO';</t>
  </si>
  <si>
    <t>INSERT INTO Pileta (id_pileta, capacidad_lts, id_estado_pileta, apta, tipo, observaciones) SELECT 55, 3000, id_estado_pileta, 'A', 'EST', 'Lote: 2d412906' FROM Estado_pileta WHERE nombre = 'ACTIVO';</t>
  </si>
  <si>
    <t>INSERT INTO Pileta (id_pileta, capacidad_lts, id_estado_pileta, apta, tipo, observaciones) SELECT 65, 35500, id_estado_pileta, 'A', 'FER', 'Lote: 4d3f24b6' FROM Estado_pileta WHERE nombre = 'ACTIVO';</t>
  </si>
  <si>
    <t>INSERT INTO Pileta (id_pileta, capacidad_lts, id_estado_pileta, apta, tipo, observaciones) SELECT 66, 23000, id_estado_pileta, 'A', 'FER', 'Lote: d52c4944' FROM Estado_pileta WHERE nombre = 'ACTIVO';</t>
  </si>
  <si>
    <t>INSERT INTO Pileta (id_pileta, capacidad_lts, id_estado_pileta, apta, tipo, observaciones) SELECT 67, 23000, id_estado_pileta, 'A', 'FER', 'Lote: eb6cce4f' FROM Estado_pileta WHERE nombre = 'ACTIVO';</t>
  </si>
  <si>
    <t>INSERT INTO Pileta (id_pileta, capacidad_lts, id_estado_pileta, apta, tipo, observaciones) SELECT 68, 13000, id_estado_pileta, 'A', 'FER', 'Lote: 22a75cd4' FROM Estado_pileta WHERE nombre = 'ACTIVO';</t>
  </si>
  <si>
    <t>INSERT INTO Pileta (id_pileta, capacidad_lts, id_estado_pileta, apta, tipo, observaciones) SELECT 69, 13000, id_estado_pileta, 'A', 'FER', 'Lote: fdb74546' FROM Estado_pileta WHERE nombre = 'ACTIVO';</t>
  </si>
  <si>
    <t>INSERT INTO Pileta (id_pileta, capacidad_lts, id_estado_pileta, apta, tipo, observaciones) SELECT 71, 13000, id_estado_pileta, 'A', 'FER', 'Lote: 7a61df09' FROM Estado_pileta WHERE nombre = 'ACTIVO';</t>
  </si>
  <si>
    <t>INSERT INTO Pileta (id_pileta, capacidad_lts, id_estado_pileta, apta, tipo, observaciones) SELECT 75, 7000, id_estado_pileta, 'A', 'EST', 'Lote: 7a9e7f06' FROM Estado_pileta WHERE nombre = 'ACTIVO';</t>
  </si>
  <si>
    <t>INSERT INTO Pileta (id_pileta, capacidad_lts, id_estado_pileta, apta, tipo, observaciones) SELECT 83, 81500, id_estado_pileta, 'A', 'FER', 'Lote: 32396d27' FROM Estado_pileta WHERE nombre = 'ACTIVO';</t>
  </si>
  <si>
    <t>INSERT INTO Pileta (id_pileta, capacidad_lts, id_estado_pileta, apta, tipo, observaciones) SELECT 84, 83000, id_estado_pileta, 'A', 'FER', 'Lote: 52e2d0ea' FROM Estado_pileta WHERE nombre = 'ACTIVO';</t>
  </si>
  <si>
    <t>INSERT INTO Pileta (id_pileta, capacidad_lts, id_estado_pileta, apta, tipo, observaciones) SELECT 85, 84000, id_estado_pileta, 'A', 'FER', 'Lote: dc08aecd' FROM Estado_pileta WHERE nombre = 'ACTIVO';</t>
  </si>
  <si>
    <t>INSERT INTO Pileta (id_pileta, capacidad_lts, id_estado_pileta, apta, tipo, observaciones) SELECT 86, 88000, id_estado_pileta, 'A', 'FER', 'Lote: 734aedeb' FROM Estado_pileta WHERE nombre = 'ACTIVO';</t>
  </si>
  <si>
    <t>INSERT INTO Pileta (id_pileta, capacidad_lts, id_estado_pileta, apta, tipo, observaciones) SELECT 87, 93700, id_estado_pileta, 'A', 'FER', 'Lote: 502df566' FROM Estado_pileta WHERE nombre = 'ACTIVO';</t>
  </si>
  <si>
    <t>INSERT INTO Pileta (id_pileta, capacidad_lts, id_estado_pileta, apta, tipo, observaciones) SELECT 89, 83500, id_estado_pileta, 'A', 'FER', 'Lote: 6d97827a' FROM Estado_pileta WHERE nombre = 'ACTIVO';</t>
  </si>
  <si>
    <t>INSERT INTO Pileta (id_pileta, capacidad_lts, id_estado_pileta, apta, tipo, observaciones) SELECT 90, 97500, id_estado_pileta, 'A', 'FER', 'Lote: 686fc77a' FROM Estado_pileta WHERE nombre = 'ACTIVO';</t>
  </si>
  <si>
    <t>INSERT INTO Pileta (id_pileta, capacidad_lts, id_estado_pileta, apta, tipo, observaciones) SELECT 931, 11200, id_estado_pileta, 'A', 'EST', 'Lote: 90fc33de' FROM Estado_pileta WHERE nombre = 'ACTIVO';</t>
  </si>
  <si>
    <t>INSERT INTO Pileta (id_pileta, capacidad_lts, id_estado_pileta, apta, tipo, observaciones) SELECT 935, 11200, id_estado_pileta, 'A', 'EST', 'Lote: a774778b' FROM Estado_pileta WHERE nombre = 'ACTIVO';</t>
  </si>
  <si>
    <t>INSERT INTO Pileta (id_pileta, capacidad_lts, id_estado_pileta, apta, tipo, observaciones) SELECT 103, 31000, id_estado_pileta, 'A', 'EST', 'Lote: 4cb5f547' FROM Estado_pileta WHERE nombre = 'ACTIVO';</t>
  </si>
  <si>
    <t>INSERT INTO Pileta (id_pileta, capacidad_lts, id_estado_pileta, apta, tipo, observaciones) SELECT 104, 31000, id_estado_pileta, 'A', 'EST', 'Lote: 029c104a' FROM Estado_pileta WHERE nombre = 'ACTIVO';</t>
  </si>
  <si>
    <t>INSERT INTO Pileta (id_pileta, capacidad_lts, id_estado_pileta, apta, tipo, observaciones) SELECT 105, 31000, id_estado_pileta, 'A', 'EST', 'Lote: 57a4fe30' FROM Estado_pileta WHERE nombre = 'ACTIVO';</t>
  </si>
  <si>
    <t>INSERT INTO Pileta (id_pileta, capacidad_lts, id_estado_pileta, apta, tipo, observaciones) SELECT 106, 11000, id_estado_pileta, 'A', 'EST', 'Lote: 32fe7ee0' FROM Estado_pileta WHERE nombre = 'ACTIVO';</t>
  </si>
  <si>
    <t>INSERT INTO Pileta (id_pileta, capacidad_lts, id_estado_pileta, apta, tipo, observaciones) SELECT 107, 31000, id_estado_pileta, 'A', 'EST', 'Lote: 3f5178fd' FROM Estado_pileta WHERE nombre = 'ACTIVO';</t>
  </si>
  <si>
    <t>INSERT INTO Pileta (id_pileta, capacidad_lts, id_estado_pileta, apta, tipo, observaciones) SELECT 109, 15600, id_estado_pileta, 'A', 'EST', 'Lote: 605416fd' FROM Estado_pileta WHERE nombre = 'ACTIVO';</t>
  </si>
  <si>
    <t>INSERT INTO Pileta (id_pileta, capacidad_lts, id_estado_pileta, apta, tipo, observaciones) SELECT 114, 125300, id_estado_pileta, 'A', 'FER', 'Lote: 2f7b2de3' FROM Estado_pileta WHERE nombre = 'ACTIVO';</t>
  </si>
  <si>
    <t>INSERT INTO Pileta (id_pileta, capacidad_lts, id_estado_pileta, apta, tipo, observaciones) SELECT 115, 120200, id_estado_pileta, 'A', 'FER', 'Lote: 19567056' FROM Estado_pileta WHERE nombre = 'ACTIVO';</t>
  </si>
  <si>
    <t>INSERT INTO Pileta (id_pileta, capacidad_lts, id_estado_pileta, apta, tipo, observaciones) SELECT 116, 99600, id_estado_pileta, 'A', 'FER', 'Lote: 8347bdfc' FROM Estado_pileta WHERE nombre = 'ACTIVO';</t>
  </si>
  <si>
    <t>INSERT INTO Pileta (id_pileta, capacidad_lts, id_estado_pileta, apta, tipo, observaciones) SELECT 121, 85800, id_estado_pileta, 'A', 'EST', 'Lote: 887268c3' FROM Estado_pileta WHERE nombre = 'ACTIVO';</t>
  </si>
  <si>
    <t>INSERT INTO Pileta (id_pileta, capacidad_lts, id_estado_pileta, apta, tipo, observaciones) SELECT 150, 200000, id_estado_pileta, 'A', 'EST', 'Lote: d53930ff' FROM Estado_pileta WHERE nombre = 'ACTIVO';</t>
  </si>
  <si>
    <t>INSERT INTO Pileta (id_pileta, capacidad_lts, id_estado_pileta, apta, tipo, observaciones) SELECT 500, 200000, id_estado_pileta, 'A', 'EST', 'Lote: cbc84b48' FROM Estado_pileta WHERE nombre = 'ACTIVO';</t>
  </si>
  <si>
    <t>INSERT INTO Lote (id_lote, codigo, id_variedad, notas) SELECT '53f98d96', '53f98d96', id_variedad, NULL FROM Variedad WHERE nombre = 'Merlot';</t>
  </si>
  <si>
    <t>INSERT INTO Lote (id_lote, codigo, id_variedad, notas) SELECT 'cedc0dc0', 'cedc0dc0', id_variedad, NULL FROM Variedad WHERE nombre = 'Chardonnay';</t>
  </si>
  <si>
    <t>INSERT INTO Lote (id_lote, codigo, id_variedad, notas) SELECT '868560b2', '868560b2', id_variedad, NULL FROM Variedad WHERE nombre = 'Aspirant Ferm 25';</t>
  </si>
  <si>
    <t>INSERT INTO Lote (id_lote, codigo, id_variedad, notas) SELECT '0632409f', '0632409f', id_variedad, NULL FROM Variedad WHERE nombre = 'Malbec Ferm 25';</t>
  </si>
  <si>
    <t>INSERT INTO Lote (id_lote, codigo, id_variedad, notas) SELECT '24b66da0', '24b66da0', id_variedad, NULL FROM Variedad WHERE nombre = 'Aspirant Ferm 25';</t>
  </si>
  <si>
    <t>INSERT INTO Lote (id_lote, codigo, id_variedad, notas) SELECT 'e323890c', 'e323890c', id_variedad, NULL FROM Variedad WHERE nombre = 'Aspirant Anccelota Ferm';</t>
  </si>
  <si>
    <t>INSERT INTO Lote (id_lote, codigo, id_variedad, notas) SELECT '903e1ab8', '903e1ab8', id_variedad, NULL FROM Variedad WHERE nombre = 'Aspirant';</t>
  </si>
  <si>
    <t>INSERT INTO Lote (id_lote, codigo, id_variedad, notas) SELECT '65eb8fac', '65eb8fac', id_variedad, NULL FROM Variedad WHERE nombre = 'Syrah s/Asp';</t>
  </si>
  <si>
    <t>INSERT INTO Lote (id_lote, codigo, id_variedad, notas) SELECT '13b5f72f', '13b5f72f', id_variedad, NULL FROM Variedad WHERE nombre = 'Syrah Merlot s/Asp';</t>
  </si>
  <si>
    <t>INSERT INTO Lote (id_lote, codigo, id_variedad, notas) SELECT '3c569c0a', '3c569c0a', id_variedad, NULL FROM Variedad WHERE nombre = 'Merlot s/Asp';</t>
  </si>
  <si>
    <t>INSERT INTO Lote (id_lote, codigo, id_variedad, notas) SELECT 'd7af693c', 'd7af693c', id_variedad, NULL FROM Variedad WHERE nombre = 'Malbec Gota';</t>
  </si>
  <si>
    <t>INSERT INTO Lote (id_lote, codigo, id_variedad, notas) SELECT '1749cd27', '1749cd27', id_variedad, NULL FROM Variedad WHERE nombre = 'Malbec Prensa';</t>
  </si>
  <si>
    <t>INSERT INTO Lote (id_lote, codigo, id_variedad, notas) SELECT 'd6272af5', 'd6272af5', id_variedad, NULL FROM Variedad WHERE nombre = 'Merlot s/ Asp';</t>
  </si>
  <si>
    <t>INSERT INTO Lote (id_lote, codigo, id_variedad, notas) SELECT '0aa8c362', '0aa8c362', id_variedad, NULL FROM Variedad WHERE nombre = 'Aspirant Anccelota Gota';</t>
  </si>
  <si>
    <t>INSERT INTO Lote (id_lote, codigo, id_variedad, notas) SELECT 'f8624f14', 'f8624f14', id_variedad, NULL FROM Variedad WHERE nombre = 'Merlot s/Asp';</t>
  </si>
  <si>
    <t>INSERT INTO Lote (id_lote, codigo, id_variedad, notas) SELECT '7def2139', '7def2139', id_variedad, NULL FROM Variedad WHERE nombre = 'Chardonnay';</t>
  </si>
  <si>
    <t>INSERT INTO Lote (id_lote, codigo, id_variedad, notas) SELECT '861200f5', '861200f5', id_variedad, NULL FROM Variedad WHERE nombre = 'Chardonnay';</t>
  </si>
  <si>
    <t>INSERT INTO Lote (id_lote, codigo, id_variedad, notas) SELECT '7e515c96', '7e515c96', id_variedad, NULL FROM Variedad WHERE nombre = 'Chardonnay';</t>
  </si>
  <si>
    <t>INSERT INTO Lote (id_lote, codigo, id_variedad, notas) SELECT 'dae2c109', 'dae2c109', id_variedad, NULL FROM Variedad WHERE nombre = 'Chardonnay';</t>
  </si>
  <si>
    <t>INSERT INTO Lote (id_lote, codigo, id_variedad, notas) SELECT 'a43178d5', 'a43178d5', id_variedad, NULL FROM Variedad WHERE nombre = 'Syrah Merlot s/Asp gota';</t>
  </si>
  <si>
    <t>INSERT INTO Lote (id_lote, codigo, id_variedad, notas) SELECT 'a1ad6cb4', 'a1ad6cb4', id_variedad, NULL FROM Variedad WHERE nombre = 'Syrah Merlot s/Asp Gota';</t>
  </si>
  <si>
    <t>INSERT INTO Lote (id_lote, codigo, id_variedad, notas) SELECT '3b2a1e70', '3b2a1e70', id_variedad, NULL FROM Variedad WHERE nombre = 'Syrah Tempranillo s/Asp 2da';</t>
  </si>
  <si>
    <t>INSERT INTO Lote (id_lote, codigo, id_variedad, notas) SELECT '8b03a986', '8b03a986', id_variedad, NULL FROM Variedad WHERE nombre = 'Syrah';</t>
  </si>
  <si>
    <t>INSERT INTO Lote (id_lote, codigo, id_variedad, notas) SELECT '00e2c403', '00e2c403', id_variedad, NULL FROM Variedad WHERE nombre = 'prueba 1';</t>
  </si>
  <si>
    <t>INSERT INTO Lote (id_lote, codigo, id_variedad, notas) SELECT 'a22cb4a2', 'a22cb4a2', id_variedad, NULL FROM Variedad WHERE nombre = 'Aspirat';</t>
  </si>
  <si>
    <t>INSERT INTO Lote (id_lote, codigo, id_variedad, notas) SELECT '7ad5b1b2', '7ad5b1b2', id_variedad, NULL FROM Variedad WHERE nombre = 'Malbec con Merlot s/Asp';</t>
  </si>
  <si>
    <t>INSERT INTO Lote (id_lote, codigo, id_variedad, notas) SELECT '7082548e', '7082548e', id_variedad, NULL FROM Variedad WHERE nombre = 'Syrah Colom s/Asp 2';</t>
  </si>
  <si>
    <t>INSERT INTO Lote (id_lote, codigo, id_variedad, notas) SELECT 'f3ebcf34', 'f3ebcf34', id_variedad, NULL FROM Variedad WHERE nombre = 'Merlot Fer';</t>
  </si>
  <si>
    <t>INSERT INTO Lote (id_lote, codigo, id_variedad, notas) SELECT '9776a719', '9776a719', id_variedad, NULL FROM Variedad WHERE nombre = 'Merlot s/ Asp descube';</t>
  </si>
  <si>
    <t>INSERT INTO Lote (id_lote, codigo, id_variedad, notas) SELECT 'd6ff9a07', 'd6ff9a07', id_variedad, NULL FROM Variedad WHERE nombre = 'Merlot s/Asp descube';</t>
  </si>
  <si>
    <t>INSERT INTO Lote (id_lote, codigo, id_variedad, notas) SELECT '8c09a554', '8c09a554', id_variedad, NULL FROM Variedad WHERE nombre = 'Merlot s/Asp descube';</t>
  </si>
  <si>
    <t>INSERT INTO Lote (id_lote, codigo, id_variedad, notas) SELECT '7525cd32', '7525cd32', id_variedad, NULL FROM Variedad WHERE nombre = 'Syrah s/Asp 2da';</t>
  </si>
  <si>
    <t>INSERT INTO Lote (id_lote, codigo, id_variedad, notas) SELECT '245cd9d6', '245cd9d6', id_variedad, NULL FROM Variedad WHERE nombre = 'Syrah s/Asp 2da';</t>
  </si>
  <si>
    <t>INSERT INTO Lote (id_lote, codigo, id_variedad, notas) SELECT '9adbf19e', '9adbf19e', id_variedad, NULL FROM Variedad WHERE nombre = 'Syrah';</t>
  </si>
  <si>
    <t>INSERT INTO Lote (id_lote, codigo, id_variedad, notas) SELECT 'b45049fe', 'b45049fe', id_variedad, NULL FROM Variedad WHERE nombre = 'Syrah';</t>
  </si>
  <si>
    <t>INSERT INTO Lote (id_lote, codigo, id_variedad, notas) SELECT 'e95eaf53', 'e95eaf53', id_variedad, NULL FROM Variedad WHERE nombre = 'Anccelotta';</t>
  </si>
  <si>
    <t>INSERT INTO Lote (id_lote, codigo, id_variedad, notas) SELECT '4adbcbaf', '4adbcbaf', id_variedad, NULL FROM Variedad WHERE nombre = 'Syrah';</t>
  </si>
  <si>
    <t>INSERT INTO Lote (id_lote, codigo, id_variedad, notas) SELECT 'ce659e77', 'ce659e77', id_variedad, NULL FROM Variedad WHERE nombre = 'Syrah s/Asp 3ra';</t>
  </si>
  <si>
    <t>INSERT INTO Lote (id_lote, codigo, id_variedad, notas) SELECT '3b85c155', '3b85c155', id_variedad, NULL FROM Variedad WHERE nombre = 'Syrah s/Asp 3ra';</t>
  </si>
  <si>
    <t>INSERT INTO Lote (id_lote, codigo, id_variedad, notas) SELECT '5f87c3d5', '5f87c3d5', id_variedad, NULL FROM Variedad WHERE nombre = 'Syrah s/Asp 3ra';</t>
  </si>
  <si>
    <t>INSERT INTO Lote (id_lote, codigo, id_variedad, notas) SELECT '6c3c93fd', '6c3c93fd', id_variedad, NULL FROM Variedad WHERE nombre = 'Merlot';</t>
  </si>
  <si>
    <t>INSERT INTO Lote (id_lote, codigo, id_variedad, notas) SELECT '15e7b86f', '15e7b86f', id_variedad, NULL FROM Variedad WHERE nombre = 'Anccelotta';</t>
  </si>
  <si>
    <t>INSERT INTO Lote (id_lote, codigo, id_variedad, notas) SELECT '6c349523', '6c349523', id_variedad, NULL FROM Variedad WHERE nombre = 'Syrah';</t>
  </si>
  <si>
    <t>INSERT INTO Lote (id_lote, codigo, id_variedad, notas) SELECT '39ea0cc6', '39ea0cc6', id_variedad, NULL FROM Variedad WHERE nombre = 'Syrah Ferm';</t>
  </si>
  <si>
    <t>INSERT INTO Lote (id_lote, codigo, id_variedad, notas) SELECT '994b8afe', '994b8afe', id_variedad, NULL FROM Variedad WHERE nombre = 'Syrah Colom s/Asp 2';</t>
  </si>
  <si>
    <t>INSERT INTO Lote (id_lote, codigo, id_variedad, notas) SELECT '9c95c706', '9c95c706', id_variedad, NULL FROM Variedad WHERE nombre = 'Anccelotta';</t>
  </si>
  <si>
    <t>INSERT INTO Lote (id_lote, codigo, id_variedad, notas) SELECT '702b9808', '702b9808', id_variedad, NULL FROM Variedad WHERE nombre = 'Syrah';</t>
  </si>
  <si>
    <t>INSERT INTO Lote (id_lote, codigo, id_variedad, notas) SELECT 'd2779d8c', 'd2779d8c', id_variedad, NULL FROM Variedad WHERE nombre = 'Syrah';</t>
  </si>
  <si>
    <t>INSERT INTO Lote (id_lote, codigo, id_variedad, notas) SELECT 'f41ecbda', 'f41ecbda', id_variedad, NULL FROM Variedad WHERE nombre = 'Syrah s/Asp 2da';</t>
  </si>
  <si>
    <t>INSERT INTO Lote (id_lote, codigo, id_variedad, notas) SELECT '963fbbab', '963fbbab', id_variedad, NULL FROM Variedad WHERE nombre = 'Merlot s/Asp y Syrah';</t>
  </si>
  <si>
    <t>INSERT INTO Lote (id_lote, codigo, id_variedad, notas) SELECT 'a62e4289', 'a62e4289', id_variedad, NULL FROM Variedad WHERE nombre = 'Merlot';</t>
  </si>
  <si>
    <t>INSERT INTO Lote (id_lote, codigo, id_variedad, notas) SELECT '3c90bae8', '3c90bae8', id_variedad, NULL FROM Variedad WHERE nombre = 'Syrah Tempranillo';</t>
  </si>
  <si>
    <t>INSERT INTO Lote (id_lote, codigo, id_variedad, notas) SELECT '5d46dc83', '5d46dc83', id_variedad, NULL FROM Variedad WHERE nombre = 'Syrah';</t>
  </si>
  <si>
    <t>INSERT INTO Lote (id_lote, codigo, id_variedad, notas) SELECT '577b30d8', '577b30d8', id_variedad, NULL FROM Variedad WHERE nombre = 'Syrah s/Asp 2 Prensa';</t>
  </si>
  <si>
    <t>INSERT INTO Lote (id_lote, codigo, id_variedad, notas) SELECT '4bf00cf0', '4bf00cf0', id_variedad, NULL FROM Variedad WHERE nombre = 'Syrah Ferm';</t>
  </si>
  <si>
    <t>INSERT INTO Lote (id_lote, codigo, id_variedad, notas) SELECT '5dbffbd0', '5dbffbd0', id_variedad, NULL FROM Variedad WHERE nombre = 'Tinto La Vendimia';</t>
  </si>
  <si>
    <t>INSERT INTO Lote (id_lote, codigo, id_variedad, notas) SELECT '6d7a380a', '6d7a380a', id_variedad, NULL FROM Variedad WHERE nombre = 'Tinto La Vendimia';</t>
  </si>
  <si>
    <t>INSERT INTO Lote (id_lote, codigo, id_variedad, notas) SELECT '58ded1ae', '58ded1ae', id_variedad, NULL FROM Variedad WHERE nombre = 'Tinto La Vendimia';</t>
  </si>
  <si>
    <t>INSERT INTO Lote (id_lote, codigo, id_variedad, notas) SELECT '0effecea', '0effecea', id_variedad, NULL FROM Variedad WHERE nombre = 'Tinto La Vendimia';</t>
  </si>
  <si>
    <t>INSERT INTO Lote (id_lote, codigo, id_variedad, notas) SELECT '9089481b', '9089481b', id_variedad, NULL FROM Variedad WHERE nombre = 'Syrah';</t>
  </si>
  <si>
    <t>INSERT INTO Lote (id_lote, codigo, id_variedad, notas) SELECT '6b4f5740', '6b4f5740', id_variedad, NULL FROM Variedad WHERE nombre = 'Anccelotta';</t>
  </si>
  <si>
    <t>INSERT INTO Lote (id_lote, codigo, id_variedad, notas) SELECT '3a5e04a4', '3a5e04a4', id_variedad, NULL FROM Variedad WHERE nombre = 'Syrah';</t>
  </si>
  <si>
    <t>INSERT INTO Lote (id_lote, codigo, id_variedad, notas) SELECT '44d88f23', '44d88f23', id_variedad, NULL FROM Variedad WHERE nombre = 'Tinto La Vendimia';</t>
  </si>
  <si>
    <t>INSERT INTO Lote (id_lote, codigo, id_variedad, notas) SELECT 'c4743b1b', 'c4743b1b', id_variedad, NULL FROM Variedad WHERE nombre = 'Tinto La Vendimia';</t>
  </si>
  <si>
    <t>INSERT INTO Lote (id_lote, codigo, id_variedad, notas) SELECT '3bd6f9bf', '3bd6f9bf', id_variedad, NULL FROM Variedad WHERE nombre = 'Tinto La Vendimia';</t>
  </si>
  <si>
    <t>INSERT INTO Lote (id_lote, codigo, id_variedad, notas) SELECT '0799e5db', '0799e5db', id_variedad, NULL FROM Variedad WHERE nombre = 'Tinto La Vendimia';</t>
  </si>
  <si>
    <t>INSERT INTO Lote (id_lote, codigo, id_variedad, notas) SELECT 'af88e380', 'af88e380', id_variedad, NULL FROM Variedad WHERE nombre = 'Syrah';</t>
  </si>
  <si>
    <t>INSERT INTO Lote (id_lote, codigo, id_variedad, notas) SELECT '9c317849', '9c317849', id_variedad, NULL FROM Variedad WHERE nombre = 'Malbec';</t>
  </si>
  <si>
    <t>INSERT INTO Lote (id_lote, codigo, id_variedad, notas) SELECT 'c85d74dc', 'c85d74dc', id_variedad, NULL FROM Variedad WHERE nombre = 'Syrah Tempranillo';</t>
  </si>
  <si>
    <t>INSERT INTO Lote (id_lote, codigo, id_variedad, notas) SELECT '4d28a747', '4d28a747', id_variedad, NULL FROM Variedad WHERE nombre = 'Anccelotta';</t>
  </si>
  <si>
    <t>INSERT INTO Lote (id_lote, codigo, id_variedad, notas) SELECT '915299ff', '915299ff', id_variedad, NULL FROM Variedad WHERE nombre = 'Tinto La Vendimia';</t>
  </si>
  <si>
    <t>INSERT INTO Lote (id_lote, codigo, id_variedad, notas) SELECT '0700b55d', '0700b55d', id_variedad, NULL FROM Variedad WHERE nombre = 'Tinto La Vendimia';</t>
  </si>
  <si>
    <t>INSERT INTO Lote (id_lote, codigo, id_variedad, notas) SELECT 'df446c40', 'df446c40', id_variedad, NULL FROM Variedad WHERE nombre = 'Tinto La Vendimia';</t>
  </si>
  <si>
    <t>INSERT INTO Lote (id_lote, codigo, id_variedad, notas) SELECT '61e7a661', '61e7a661', id_variedad, NULL FROM Variedad WHERE nombre = 'Tinto La Vendimia';</t>
  </si>
  <si>
    <t>INSERT INTO Lote (id_lote, codigo, id_variedad, notas) SELECT '83cb5e85', '83cb5e85', id_variedad, NULL FROM Variedad WHERE nombre = 'Tinto La Vendimia';</t>
  </si>
  <si>
    <t>INSERT INTO Lote (id_lote, codigo, id_variedad, notas) SELECT '9c2bc1c1', '9c2bc1c1', id_variedad, NULL FROM Variedad WHERE nombre = 'Tinto La Vendimia';</t>
  </si>
  <si>
    <t>INSERT INTO Lote (id_lote, codigo, id_variedad, notas) SELECT '66440ff8', '66440ff8', id_variedad, NULL FROM Variedad WHERE nombre = 'Tinto La Vendimia';</t>
  </si>
  <si>
    <t>INSERT INTO Lote (id_lote, codigo, id_variedad, notas) SELECT 'c883c10a', 'c883c10a', id_variedad, NULL FROM Variedad WHERE nombre = 'Tinto La Vendimia';</t>
  </si>
  <si>
    <t>INSERT INTO Lote (id_lote, codigo, id_variedad, notas) SELECT '8a8f8909', '8a8f8909', id_variedad, NULL FROM Variedad WHERE nombre = 'Tinto La Vendimia';</t>
  </si>
  <si>
    <t>INSERT INTO Lote (id_lote, codigo, id_variedad, notas) SELECT 'a826dd70', 'a826dd70', id_variedad, NULL FROM Variedad WHERE nombre = 'Tinto La Vendimia';</t>
  </si>
  <si>
    <t>INSERT INTO Lote (id_lote, codigo, id_variedad, notas) SELECT '0b1b410b', '0b1b410b', id_variedad, NULL FROM Variedad WHERE nombre = 'Tinto La Vendimia';</t>
  </si>
  <si>
    <t>INSERT INTO Lote (id_lote, codigo, id_variedad, notas) SELECT 'cdd54045', 'cdd54045', id_variedad, NULL FROM Variedad WHERE nombre = 'Tinto La Vendimia';</t>
  </si>
  <si>
    <t>INSERT INTO Lote (id_lote, codigo, id_variedad, notas) SELECT '69fc871f', '69fc871f', id_variedad, NULL FROM Variedad WHERE nombre = 'Tinto La Vendimia';</t>
  </si>
  <si>
    <t>INSERT INTO Lote (id_lote, codigo, id_variedad, notas) SELECT '212851d2', '212851d2', id_variedad, NULL FROM Variedad WHERE nombre = 'Tinto La Vendimia';</t>
  </si>
  <si>
    <t>INSERT INTO Lote (id_lote, codigo, id_variedad, notas) SELECT '6ccc7bc6', '6ccc7bc6', id_variedad, NULL FROM Variedad WHERE nombre = 'Tinto La Vendimia';</t>
  </si>
  <si>
    <t>INSERT INTO Lote (id_lote, codigo, id_variedad, notas) SELECT 'c50c5100', 'c50c5100', id_variedad, NULL FROM Variedad WHERE nombre = 'Tinto La Vendimia';</t>
  </si>
  <si>
    <t>INSERT INTO Lote (id_lote, codigo, id_variedad, notas) SELECT 'ee917088', 'ee917088', id_variedad, NULL FROM Variedad WHERE nombre = 'Chenin';</t>
  </si>
  <si>
    <t>INSERT INTO Lote (id_lote, codigo, id_variedad, notas) SELECT '8782f51d', '8782f51d', id_variedad, NULL FROM Variedad WHERE nombre = 'Tinto La Vendimia';</t>
  </si>
  <si>
    <t>INSERT INTO Lote (id_lote, codigo, id_variedad, notas) SELECT '481ac202', '481ac202', id_variedad, NULL FROM Variedad WHERE nombre = 'Tinto La Vendimia';</t>
  </si>
  <si>
    <t>INSERT INTO Lote (id_lote, codigo, id_variedad, notas) SELECT '1953afee', '1953afee', id_variedad, NULL FROM Variedad WHERE nombre = 'Tinto La Vendimia';</t>
  </si>
  <si>
    <t>INSERT INTO Lote (id_lote, codigo, id_variedad, notas) SELECT '6a79f2ba', '6a79f2ba', id_variedad, NULL FROM Variedad WHERE nombre = 'Tinto La Vendimia';</t>
  </si>
  <si>
    <t>INSERT INTO Lote (id_lote, codigo, id_variedad, notas) SELECT '8e7dc827', '8e7dc827', id_variedad, NULL FROM Variedad WHERE nombre = 'Tinto La Vendimia';</t>
  </si>
  <si>
    <t>INSERT INTO Lote (id_lote, codigo, id_variedad, notas) SELECT 'd65723e9', 'd65723e9', id_variedad, NULL FROM Variedad WHERE nombre = 'Tinto La Vendimia';</t>
  </si>
  <si>
    <t>INSERT INTO Lote (id_lote, codigo, id_variedad, notas) SELECT '7b5d098a', '7b5d098a', id_variedad, NULL FROM Variedad WHERE nombre = 'Tinto La Vendimia';</t>
  </si>
  <si>
    <t>INSERT INTO Lote (id_lote, codigo, id_variedad, notas) SELECT 'f76c3497', 'f76c3497', id_variedad, NULL FROM Variedad WHERE nombre = 'Tinto La Vendimia';</t>
  </si>
  <si>
    <t>INSERT INTO Lote (id_lote, codigo, id_variedad, notas) SELECT '76f1abe4', '76f1abe4', id_variedad, NULL FROM Variedad WHERE nombre = 'Syrah';</t>
  </si>
  <si>
    <t>INSERT INTO Lote (id_lote, codigo, id_variedad, notas) SELECT '4a9a65d1', '4a9a65d1', id_variedad, NULL FROM Variedad WHERE nombre = 'Anccelotta';</t>
  </si>
  <si>
    <t>INSERT INTO Lote (id_lote, codigo, id_variedad, notas) SELECT '81703b0d', '81703b0d', id_variedad, NULL FROM Variedad WHERE nombre = 'Bonarda C2';</t>
  </si>
  <si>
    <t>INSERT INTO Lote (id_lote, codigo, id_variedad, notas) SELECT 'dc7359e0', 'dc7359e0', id_variedad, NULL FROM Variedad WHERE nombre = 'Syrah';</t>
  </si>
  <si>
    <t>INSERT INTO Lote (id_lote, codigo, id_variedad, notas) SELECT '12aaaa1b', '12aaaa1b', id_variedad, NULL FROM Variedad WHERE nombre = 'Tanat';</t>
  </si>
  <si>
    <t>INSERT INTO Lote (id_lote, codigo, id_variedad, notas) SELECT 'ba3f8a31', 'ba3f8a31', id_variedad, NULL FROM Variedad WHERE nombre = 'Syrah Merlot s/Asp Gota';</t>
  </si>
  <si>
    <t>INSERT INTO Lote (id_lote, codigo, id_variedad, notas) SELECT '83599ef4', '83599ef4', id_variedad, NULL FROM Variedad WHERE nombre = 'Malbec Gota';</t>
  </si>
  <si>
    <t>INSERT INTO Lote (id_lote, codigo, id_variedad, notas) SELECT 'd83c9a57', 'd83c9a57', id_variedad, NULL FROM Variedad WHERE nombre = 'Merlot s/Asp descube';</t>
  </si>
  <si>
    <t>INSERT INTO Lote (id_lote, codigo, id_variedad, notas) SELECT 'dc3d5a11', 'dc3d5a11', id_variedad, NULL FROM Variedad WHERE nombre = 'Ajuste';</t>
  </si>
  <si>
    <t>INSERT INTO Lote (id_lote, codigo, id_variedad, notas) SELECT '97384f9b', '97384f9b', id_variedad, NULL FROM Variedad WHERE nombre = 'Ancellotta Tempranillo';</t>
  </si>
  <si>
    <t>INSERT INTO Lote (id_lote, codigo, id_variedad, notas) SELECT 'e954d719', 'e954d719', id_variedad, NULL FROM Variedad WHERE nombre = 'Aspirant';</t>
  </si>
  <si>
    <t>INSERT INTO Lote (id_lote, codigo, id_variedad, notas) SELECT 'c210f1aa', 'c210f1aa', id_variedad, NULL FROM Variedad WHERE nombre = 'Chenin';</t>
  </si>
  <si>
    <t>INSERT INTO Lote (id_lote, codigo, id_variedad, notas) SELECT '397cd7e0', '397cd7e0', id_variedad, NULL FROM Variedad WHERE nombre = 'Ajuste';</t>
  </si>
  <si>
    <t>INSERT INTO Lote (id_lote, codigo, id_variedad, notas) SELECT '7c1a7cd6', '7c1a7cd6', id_variedad, NULL FROM Variedad WHERE nombre = 'Tanat';</t>
  </si>
  <si>
    <t>INSERT INTO Lote (id_lote, codigo, id_variedad, notas) SELECT 'f7f01b85', 'f7f01b85', id_variedad, NULL FROM Variedad WHERE nombre = 'Torrontes';</t>
  </si>
  <si>
    <t>INSERT INTO Lote (id_lote, codigo, id_variedad, notas) SELECT '519804dd', '519804dd', id_variedad, NULL FROM Variedad WHERE nombre = 'Bonarda C2';</t>
  </si>
  <si>
    <t>INSERT INTO Lote (id_lote, codigo, id_variedad, notas) SELECT 'fdf22389', 'fdf22389', id_variedad, NULL FROM Variedad WHERE nombre = 'Aspirant Anccelota Gota';</t>
  </si>
  <si>
    <t>INSERT INTO Lote (id_lote, codigo, id_variedad, notas) SELECT '844a05ee', '844a05ee', id_variedad, NULL FROM Variedad WHERE nombre = 'Syrah s/Anc';</t>
  </si>
  <si>
    <t>INSERT INTO Lote (id_lote, codigo, id_variedad, notas) SELECT '87ba9e1b', '87ba9e1b', id_variedad, NULL FROM Variedad WHERE nombre = 'Anccelotta';</t>
  </si>
  <si>
    <t>INSERT INTO Lote (id_lote, codigo, id_variedad, notas) SELECT 'e2c3632b', 'e2c3632b', id_variedad, NULL FROM Variedad WHERE nombre = 'Anccelotta';</t>
  </si>
  <si>
    <t>INSERT INTO Lote (id_lote, codigo, id_variedad, notas) SELECT '22dd4d8c', '22dd4d8c', id_variedad, NULL FROM Variedad WHERE nombre = 'Syrah';</t>
  </si>
  <si>
    <t>INSERT INTO Lote (id_lote, codigo, id_variedad, notas) SELECT 'aecdf448', 'aecdf448', id_variedad, NULL FROM Variedad WHERE nombre = 'Tanat';</t>
  </si>
  <si>
    <t>INSERT INTO Lote (id_lote, codigo, id_variedad, notas) SELECT '1c0f3ac6', '1c0f3ac6', id_variedad, NULL FROM Variedad WHERE nombre = 'Bonarda C2';</t>
  </si>
  <si>
    <t>INSERT INTO Lote (id_lote, codigo, id_variedad, notas) SELECT '91a1bef0', '91a1bef0', id_variedad, NULL FROM Variedad WHERE nombre = 'Torrontes';</t>
  </si>
  <si>
    <t>INSERT INTO Lote (id_lote, codigo, id_variedad, notas) SELECT '31a16d29', '31a16d29', id_variedad, NULL FROM Variedad WHERE nombre = 'Bonarda C2';</t>
  </si>
  <si>
    <t>INSERT INTO Lote (id_lote, codigo, id_variedad, notas) SELECT 'ee8f7e01', 'ee8f7e01', id_variedad, NULL FROM Variedad WHERE nombre = 'Bonarda C2';</t>
  </si>
  <si>
    <t>INSERT INTO Lote (id_lote, codigo, id_variedad, notas) SELECT '7f2febfa', '7f2febfa', id_variedad, NULL FROM Variedad WHERE nombre = 'Syrah';</t>
  </si>
  <si>
    <t>INSERT INTO Lote (id_lote, codigo, id_variedad, notas) SELECT 'ef6021e0', 'ef6021e0', id_variedad, NULL FROM Variedad WHERE nombre = 'Syrah';</t>
  </si>
  <si>
    <t>INSERT INTO Lote (id_lote, codigo, id_variedad, notas) SELECT '87540dbb', '87540dbb', id_variedad, NULL FROM Variedad WHERE nombre = 'Tanat';</t>
  </si>
  <si>
    <t>INSERT INTO Lote (id_lote, codigo, id_variedad, notas) SELECT '1a71b226', '1a71b226', id_variedad, NULL FROM Variedad WHERE nombre = 'Bonarda C2';</t>
  </si>
  <si>
    <t>INSERT INTO Lote (id_lote, codigo, id_variedad, notas) SELECT 'e0f68630', 'e0f68630', id_variedad, NULL FROM Variedad WHERE nombre = 'Ancellotta Tempranillo';</t>
  </si>
  <si>
    <t>INSERT INTO Lote (id_lote, codigo, id_variedad, notas) SELECT 'dea77610', 'dea77610', id_variedad, NULL FROM Variedad WHERE nombre = 'Torrontes';</t>
  </si>
  <si>
    <t>INSERT INTO Lote (id_lote, codigo, id_variedad, notas) SELECT '03ffe0d5', '03ffe0d5', id_variedad, NULL FROM Variedad WHERE nombre = 'Syrah';</t>
  </si>
  <si>
    <t>INSERT INTO Lote (id_lote, codigo, id_variedad, notas) SELECT 'b93c3154', 'b93c3154', id_variedad, NULL FROM Variedad WHERE nombre = 'Syrah';</t>
  </si>
  <si>
    <t>INSERT INTO Lote (id_lote, codigo, id_variedad, notas) SELECT 'ea43be80', 'ea43be80', id_variedad, NULL FROM Variedad WHERE nombre = 'Syrah';</t>
  </si>
  <si>
    <t>INSERT INTO Lote (id_lote, codigo, id_variedad, notas) SELECT 'b01eee66', 'b01eee66', id_variedad, NULL FROM Variedad WHERE nombre = 'Syrah';</t>
  </si>
  <si>
    <t>INSERT INTO Lote (id_lote, codigo, id_variedad, notas) SELECT '4649003c', '4649003c', id_variedad, NULL FROM Variedad WHERE nombre = 'Syrah';</t>
  </si>
  <si>
    <t>INSERT INTO Lote (id_lote, codigo, id_variedad, notas) SELECT '98f429d0', '98f429d0', id_variedad, NULL FROM Variedad WHERE nombre = 'Torrontes';</t>
  </si>
  <si>
    <t>INSERT INTO Lote (id_lote, codigo, id_variedad, notas) SELECT '3a308f07', '3a308f07', id_variedad, NULL FROM Variedad WHERE nombre = 'Bonarda C2';</t>
  </si>
  <si>
    <t>INSERT INTO Lote (id_lote, codigo, id_variedad, notas) SELECT '3d517070', '3d517070', id_variedad, NULL FROM Variedad WHERE nombre = 'Bonarda C2';</t>
  </si>
  <si>
    <t>INSERT INTO Lote (id_lote, codigo, id_variedad, notas) SELECT '9d80dcac', '9d80dcac', id_variedad, NULL FROM Variedad WHERE nombre = 'Bonarda';</t>
  </si>
  <si>
    <t>INSERT INTO Lote (id_lote, codigo, id_variedad, notas) SELECT '76ba7fdf', '76ba7fdf', id_variedad, NULL FROM Variedad WHERE nombre = 'Ancellotta Tempranillo';</t>
  </si>
  <si>
    <t>INSERT INTO Lote (id_lote, codigo, id_variedad, notas) SELECT 'de74d539', 'de74d539', id_variedad, NULL FROM Variedad WHERE nombre = 'Ancellotta Tempranillo';</t>
  </si>
  <si>
    <t>INSERT INTO Lote (id_lote, codigo, id_variedad, notas) SELECT '79be12ab', '79be12ab', id_variedad, NULL FROM Variedad WHERE nombre = 'Ajuste';</t>
  </si>
  <si>
    <t>INSERT INTO Lote (id_lote, codigo, id_variedad, notas) SELECT '898d9689', '898d9689', id_variedad, NULL FROM Variedad WHERE nombre = 'Ajuste';</t>
  </si>
  <si>
    <t>INSERT INTO Lote (id_lote, codigo, id_variedad, notas) SELECT '8d3c8a21', '8d3c8a21', id_variedad, NULL FROM Variedad WHERE nombre = 'Ajuste';</t>
  </si>
  <si>
    <t>INSERT INTO Lote (id_lote, codigo, id_variedad, notas) SELECT '71f4b567', '71f4b567', id_variedad, NULL FROM Variedad WHERE nombre = 'Ajuste';</t>
  </si>
  <si>
    <t>INSERT INTO Lote (id_lote, codigo, id_variedad, notas) SELECT 'a9139adb', 'a9139adb', id_variedad, NULL FROM Variedad WHERE nombre = 'Ajuste';</t>
  </si>
  <si>
    <t>INSERT INTO Lote (id_lote, codigo, id_variedad, notas) SELECT '4a34674d', '4a34674d', id_variedad, NULL FROM Variedad WHERE nombre = 'Ajuste';</t>
  </si>
  <si>
    <t>INSERT INTO Lote (id_lote, codigo, id_variedad, notas) SELECT '5020af35', '5020af35', id_variedad, NULL FROM Variedad WHERE nombre = 'Ajuste';</t>
  </si>
  <si>
    <t>INSERT INTO Lote (id_lote, codigo, id_variedad, notas) SELECT '3eacd39c', '3eacd39c', id_variedad, NULL FROM Variedad WHERE nombre = 'Ajuste';</t>
  </si>
  <si>
    <t>INSERT INTO Lote (id_lote, codigo, id_variedad, notas) SELECT '562f51a9', '562f51a9', id_variedad, NULL FROM Variedad WHERE nombre = 'Ajuste';</t>
  </si>
  <si>
    <t>INSERT INTO Lote (id_lote, codigo, id_variedad, notas) SELECT '5cc545be', '5cc545be', id_variedad, NULL FROM Variedad WHERE nombre = 'Ajuste';</t>
  </si>
  <si>
    <t>INSERT INTO Lote (id_lote, codigo, id_variedad, notas) SELECT 'e861b4fa', 'e861b4fa', id_variedad, NULL FROM Variedad WHERE nombre = 'Ajuste';</t>
  </si>
  <si>
    <t>INSERT INTO Lote (id_lote, codigo, id_variedad, notas) SELECT 'd607821f', 'd607821f', id_variedad, NULL FROM Variedad WHERE nombre = 'Ajuste';</t>
  </si>
  <si>
    <t>INSERT INTO Lote (id_lote, codigo, id_variedad, notas) SELECT '84282478', '84282478', id_variedad, NULL FROM Variedad WHERE nombre = 'Ajuste';</t>
  </si>
  <si>
    <t>INSERT INTO Lote (id_lote, codigo, id_variedad, notas) SELECT '41c8d398', '41c8d398', id_variedad, NULL FROM Variedad WHERE nombre = 'Ajuste';</t>
  </si>
  <si>
    <t>INSERT INTO Lote (id_lote, codigo, id_variedad, notas) SELECT '5c98aafc', '5c98aafc', id_variedad, NULL FROM Variedad WHERE nombre = 'Ajuste';</t>
  </si>
  <si>
    <t>INSERT INTO Lote (id_lote, codigo, id_variedad, notas) SELECT 'dd4b7b83', 'dd4b7b83', id_variedad, NULL FROM Variedad WHERE nombre = 'Ajuste';</t>
  </si>
  <si>
    <t>INSERT INTO Lote (id_lote, codigo, id_variedad, notas) SELECT 'b5e8d166', 'b5e8d166', id_variedad, NULL FROM Variedad WHERE nombre = 'Ajuste';</t>
  </si>
  <si>
    <t>INSERT INTO Lote (id_lote, codigo, id_variedad, notas) SELECT '6cba92a2', '6cba92a2', id_variedad, NULL FROM Variedad WHERE nombre = 'Ajuste';</t>
  </si>
  <si>
    <t>INSERT INTO Lote (id_lote, codigo, id_variedad, notas) SELECT '0d46ca84', '0d46ca84', id_variedad, NULL FROM Variedad WHERE nombre = 'Aspirant Anccelota Gota';</t>
  </si>
  <si>
    <t>INSERT INTO Lote (id_lote, codigo, id_variedad, notas) SELECT 'c3e5d902', 'c3e5d902', id_variedad, NULL FROM Variedad WHERE nombre = 'Pedro Gimenez';</t>
  </si>
  <si>
    <t>INSERT INTO Lote (id_lote, codigo, id_variedad, notas) SELECT 'b7799ff9', 'b7799ff9', id_variedad, NULL FROM Variedad WHERE nombre = 'Tempranillo';</t>
  </si>
  <si>
    <t>INSERT INTO Lote (id_lote, codigo, id_variedad, notas) SELECT '238eb34e', '238eb34e', id_variedad, NULL FROM Variedad WHERE nombre = 'Malbec con Merlot s/Asp';</t>
  </si>
  <si>
    <t>INSERT INTO Lote (id_lote, codigo, id_variedad, notas) SELECT '9446c412', '9446c412', id_variedad, NULL FROM Variedad WHERE nombre = 'Syrah Merlot s/Asp Gota';</t>
  </si>
  <si>
    <t>INSERT INTO Lote (id_lote, codigo, id_variedad, notas) SELECT '0d1b7f2c', '0d1b7f2c', id_variedad, NULL FROM Variedad WHERE nombre = 'Merlot s/Asp descube';</t>
  </si>
  <si>
    <t>INSERT INTO Lote (id_lote, codigo, id_variedad, notas) SELECT '7d922df1', '7d922df1', id_variedad, NULL FROM Variedad WHERE nombre = 'Syrah s/Asp 2da';</t>
  </si>
  <si>
    <t>INSERT INTO Lote (id_lote, codigo, id_variedad, notas) SELECT 'dd0fd20d', 'dd0fd20d', id_variedad, NULL FROM Variedad WHERE nombre = 'Syrah';</t>
  </si>
  <si>
    <t>INSERT INTO Lote (id_lote, codigo, id_variedad, notas) SELECT '69d6b7d4', '69d6b7d4', id_variedad, NULL FROM Variedad WHERE nombre = 'Syrah';</t>
  </si>
  <si>
    <t>INSERT INTO Lote (id_lote, codigo, id_variedad, notas) SELECT 'f2f249ef', 'f2f249ef', id_variedad, NULL FROM Variedad WHERE nombre = 'Syrah';</t>
  </si>
  <si>
    <t>INSERT INTO Lote (id_lote, codigo, id_variedad, notas) SELECT '5c199eac', '5c199eac', id_variedad, NULL FROM Variedad WHERE nombre = 'Syrah';</t>
  </si>
  <si>
    <t>INSERT INTO Lote (id_lote, codigo, id_variedad, notas) SELECT 'bd85e420', 'bd85e420', id_variedad, NULL FROM Variedad WHERE nombre = 'Borra';</t>
  </si>
  <si>
    <t>INSERT INTO Lote (id_lote, codigo, id_variedad, notas) SELECT 'c39e24cf', 'c39e24cf', id_variedad, NULL FROM Variedad WHERE nombre = 'Bonarda';</t>
  </si>
  <si>
    <t>INSERT INTO Lote (id_lote, codigo, id_variedad, notas) SELECT '26cfa504', '26cfa504', id_variedad, NULL FROM Variedad WHERE nombre = 'Syrah';</t>
  </si>
  <si>
    <t>INSERT INTO Lote (id_lote, codigo, id_variedad, notas) SELECT 'bf6d548a', 'bf6d548a', id_variedad, NULL FROM Variedad WHERE nombre = 'Borra';</t>
  </si>
  <si>
    <t>INSERT INTO Lote (id_lote, codigo, id_variedad, notas) SELECT 'a3cee476', 'a3cee476', id_variedad, NULL FROM Variedad WHERE nombre = 'Torrontes';</t>
  </si>
  <si>
    <t>INSERT INTO Lote (id_lote, codigo, id_variedad, notas) SELECT '2cca878f', '2cca878f', id_variedad, NULL FROM Variedad WHERE nombre = 'Tinto Criolla Rec';</t>
  </si>
  <si>
    <t>INSERT INTO Lote (id_lote, codigo, id_variedad, notas) SELECT '538b2389', '538b2389', id_variedad, NULL FROM Variedad WHERE nombre = 'Tinto Criolla Rec';</t>
  </si>
  <si>
    <t>INSERT INTO Lote (id_lote, codigo, id_variedad, notas) SELECT '805a5dd9', '805a5dd9', id_variedad, NULL FROM Variedad WHERE nombre = 'Ajuste Volumen';</t>
  </si>
  <si>
    <t>INSERT INTO Lote (id_lote, codigo, id_variedad, notas) SELECT '00ec1fb2', '00ec1fb2', id_variedad, NULL FROM Variedad WHERE nombre = 'Criolla Filtrada';</t>
  </si>
  <si>
    <t>INSERT INTO Lote (id_lote, codigo, id_variedad, notas) SELECT 'c60f6341', 'c60f6341', id_variedad, NULL FROM Variedad WHERE nombre = 'Malbec Mec';</t>
  </si>
  <si>
    <t>INSERT INTO Lote (id_lote, codigo, id_variedad, notas) SELECT '1640b5b7', '1640b5b7', id_variedad, NULL FROM Variedad WHERE nombre = 'Tinto Criolla Recarga';</t>
  </si>
  <si>
    <t>INSERT INTO Lote (id_lote, codigo, id_variedad, notas) SELECT 'd007d867', 'd007d867', id_variedad, NULL FROM Variedad WHERE nombre = 'Bonarda';</t>
  </si>
  <si>
    <t>INSERT INTO Lote (id_lote, codigo, id_variedad, notas) SELECT 'd7488996', 'd7488996', id_variedad, NULL FROM Variedad WHERE nombre = 'Tinto Recarga';</t>
  </si>
  <si>
    <t>INSERT INTO Lote (id_lote, codigo, id_variedad, notas) SELECT '7b27f7a2', '7b27f7a2', id_variedad, NULL FROM Variedad WHERE nombre = 'Tinto Recarga';</t>
  </si>
  <si>
    <t>INSERT INTO Lote (id_lote, codigo, id_variedad, notas) SELECT '730bdaa5', '730bdaa5', id_variedad, NULL FROM Variedad WHERE nombre = 'Bonarda';</t>
  </si>
  <si>
    <t>INSERT INTO Lote (id_lote, codigo, id_variedad, notas) SELECT 'b2ddb184', 'b2ddb184', id_variedad, NULL FROM Variedad WHERE nombre = 'Pedro Gimenez';</t>
  </si>
  <si>
    <t>INSERT INTO Lote (id_lote, codigo, id_variedad, notas) SELECT '571333c6', '571333c6', id_variedad, NULL FROM Variedad WHERE nombre = 'Tanat';</t>
  </si>
  <si>
    <t>INSERT INTO Lote (id_lote, codigo, id_variedad, notas) SELECT '22e4f887', '22e4f887', id_variedad, NULL FROM Variedad WHERE nombre = 'Malbec Mec';</t>
  </si>
  <si>
    <t>INSERT INTO Lote (id_lote, codigo, id_variedad, notas) SELECT '708b6ccb', '708b6ccb', id_variedad, NULL FROM Variedad WHERE nombre = 'Bonarda';</t>
  </si>
  <si>
    <t>INSERT INTO Lote (id_lote, codigo, id_variedad, notas) SELECT 'afed01fa', 'afed01fa', id_variedad, NULL FROM Variedad WHERE nombre = 'Ancellotta Tempranillo Pren';</t>
  </si>
  <si>
    <t>INSERT INTO Lote (id_lote, codigo, id_variedad, notas) SELECT '6527d58b', '6527d58b', id_variedad, NULL FROM Variedad WHERE nombre = 'Malbec';</t>
  </si>
  <si>
    <t>INSERT INTO Lote (id_lote, codigo, id_variedad, notas) SELECT '8d1e611a', '8d1e611a', id_variedad, NULL FROM Variedad WHERE nombre = 'Bonarda';</t>
  </si>
  <si>
    <t>INSERT INTO Lote (id_lote, codigo, id_variedad, notas) SELECT '2e224e71', '2e224e71', id_variedad, NULL FROM Variedad WHERE nombre = 'Malbec';</t>
  </si>
  <si>
    <t>INSERT INTO Lote (id_lote, codigo, id_variedad, notas) SELECT '239b5e04', '239b5e04', id_variedad, NULL FROM Variedad WHERE nombre = 'Malbec Mec';</t>
  </si>
  <si>
    <t>INSERT INTO Lote (id_lote, codigo, id_variedad, notas) SELECT '95e67a02', '95e67a02', id_variedad, NULL FROM Variedad WHERE nombre = 'Malbec Mec';</t>
  </si>
  <si>
    <t>INSERT INTO Lote (id_lote, codigo, id_variedad, notas) SELECT '4fc3176a', '4fc3176a', id_variedad, NULL FROM Variedad WHERE nombre = 'Chenin';</t>
  </si>
  <si>
    <t>INSERT INTO Lote (id_lote, codigo, id_variedad, notas) SELECT '4eab3967', '4eab3967', id_variedad, NULL FROM Variedad WHERE nombre = 'Tanat';</t>
  </si>
  <si>
    <t>INSERT INTO Lote (id_lote, codigo, id_variedad, notas) SELECT '806c3920', '806c3920', id_variedad, NULL FROM Variedad WHERE nombre = 'Malbec G';</t>
  </si>
  <si>
    <t>INSERT INTO Lote (id_lote, codigo, id_variedad, notas) SELECT '45c7ce93', '45c7ce93', id_variedad, NULL FROM Variedad WHERE nombre = 'Bonarda C2';</t>
  </si>
  <si>
    <t>INSERT INTO Lote (id_lote, codigo, id_variedad, notas) SELECT 'c10d9cc7', 'c10d9cc7', id_variedad, NULL FROM Variedad WHERE nombre = 'Ajuste Arqueo 24/03/25';</t>
  </si>
  <si>
    <t>INSERT INTO Lote (id_lote, codigo, id_variedad, notas) SELECT '2fe32030', '2fe32030', id_variedad, NULL FROM Variedad WHERE nombre = 'Malbec Mec';</t>
  </si>
  <si>
    <t>INSERT INTO Lote (id_lote, codigo, id_variedad, notas) SELECT 'e2c9de47', 'e2c9de47', id_variedad, NULL FROM Variedad WHERE nombre = 'Ajuste Arqueo 24/03/25';</t>
  </si>
  <si>
    <t>INSERT INTO Lote (id_lote, codigo, id_variedad, notas) SELECT 'bf75bf0d', 'bf75bf0d', id_variedad, NULL FROM Variedad WHERE nombre = 'Ajuste Arqueo 24/03/25';</t>
  </si>
  <si>
    <t>INSERT INTO Lote (id_lote, codigo, id_variedad, notas) SELECT '62023f37', '62023f37', id_variedad, NULL FROM Variedad WHERE nombre = 'Ajuste Arqueo 24/03/25';</t>
  </si>
  <si>
    <t>INSERT INTO Lote (id_lote, codigo, id_variedad, notas) SELECT '48ce0b6f', '48ce0b6f', id_variedad, NULL FROM Variedad WHERE nombre = 'Ajuste Arqueo 24/03/25';</t>
  </si>
  <si>
    <t>INSERT INTO Lote (id_lote, codigo, id_variedad, notas) SELECT '896bf192', '896bf192', id_variedad, NULL FROM Variedad WHERE nombre = 'Ajuste Arqueo 24/03/25';</t>
  </si>
  <si>
    <t>INSERT INTO Lote (id_lote, codigo, id_variedad, notas) SELECT '22f56119', '22f56119', id_variedad, NULL FROM Variedad WHERE nombre = 'Ajuste Arqueo 24/03/25';</t>
  </si>
  <si>
    <t>INSERT INTO Lote (id_lote, codigo, id_variedad, notas) SELECT '7059064e', '7059064e', id_variedad, NULL FROM Variedad WHERE nombre = 'Ajuste Arqueo 24/03/25';</t>
  </si>
  <si>
    <t>INSERT INTO Lote (id_lote, codigo, id_variedad, notas) SELECT '5b1a85aa', '5b1a85aa', id_variedad, NULL FROM Variedad WHERE nombre = 'Ajuste Arqueo 24/03/25';</t>
  </si>
  <si>
    <t>INSERT INTO Lote (id_lote, codigo, id_variedad, notas) SELECT '9c08b5f2', '9c08b5f2', id_variedad, NULL FROM Variedad WHERE nombre = 'Ajuste Arqueo 24/03/25';</t>
  </si>
  <si>
    <t>INSERT INTO Lote (id_lote, codigo, id_variedad, notas) SELECT 'a85e69f1', 'a85e69f1', id_variedad, NULL FROM Variedad WHERE nombre = 'Ajuste Arqueo 24/03/25';</t>
  </si>
  <si>
    <t>INSERT INTO Lote (id_lote, codigo, id_variedad, notas) SELECT 'f9474150', 'f9474150', id_variedad, NULL FROM Variedad WHERE nombre = 'Ajuste Arqueo 24/03/25';</t>
  </si>
  <si>
    <t>INSERT INTO Lote (id_lote, codigo, id_variedad, notas) SELECT '811c911e', '811c911e', id_variedad, NULL FROM Variedad WHERE nombre = 'Ajuste Arqueo 24/03/25';</t>
  </si>
  <si>
    <t>INSERT INTO Lote (id_lote, codigo, id_variedad, notas) SELECT '7e71a1c9', '7e71a1c9', id_variedad, NULL FROM Variedad WHERE nombre = 'Ajuste Arqueo 24/03/25';</t>
  </si>
  <si>
    <t>INSERT INTO Lote (id_lote, codigo, id_variedad, notas) SELECT 'd2438b41', 'd2438b41', id_variedad, NULL FROM Variedad WHERE nombre = 'Ajuste Arqueo 24/03/25';</t>
  </si>
  <si>
    <t>INSERT INTO Lote (id_lote, codigo, id_variedad, notas) SELECT '4f64f8ff', '4f64f8ff', id_variedad, NULL FROM Variedad WHERE nombre = 'Bonarda 24';</t>
  </si>
  <si>
    <t>INSERT INTO Lote (id_lote, codigo, id_variedad, notas) SELECT '3f692936', '3f692936', id_variedad, NULL FROM Variedad WHERE nombre = 'Bonarda 24';</t>
  </si>
  <si>
    <t>INSERT INTO Lote (id_lote, codigo, id_variedad, notas) SELECT 'c625482f', 'c625482f', id_variedad, NULL FROM Variedad WHERE nombre = 'Bonarda 24';</t>
  </si>
  <si>
    <t>INSERT INTO Lote (id_lote, codigo, id_variedad, notas) SELECT 'cddd0d08', 'cddd0d08', id_variedad, NULL FROM Variedad WHERE nombre = 'Ajuste Arq 25/03/25';</t>
  </si>
  <si>
    <t>INSERT INTO Lote (id_lote, codigo, id_variedad, notas) SELECT '666c05a4', '666c05a4', id_variedad, NULL FROM Variedad WHERE nombre = 'Ajuste Arq 25/03/25';</t>
  </si>
  <si>
    <t>INSERT INTO Lote (id_lote, codigo, id_variedad, notas) SELECT 'ba65567d', 'ba65567d', id_variedad, NULL FROM Variedad WHERE nombre = 'Ajuste Arq 25/03/25';</t>
  </si>
  <si>
    <t>INSERT INTO Lote (id_lote, codigo, id_variedad, notas) SELECT '37d13c67', '37d13c67', id_variedad, NULL FROM Variedad WHERE nombre = 'Ajuste Arq 25/03/25';</t>
  </si>
  <si>
    <t>INSERT INTO Lote (id_lote, codigo, id_variedad, notas) SELECT '309834ec', '309834ec', id_variedad, NULL FROM Variedad WHERE nombre = 'Ajuste Arq 25/03/25';</t>
  </si>
  <si>
    <t>INSERT INTO Lote (id_lote, codigo, id_variedad, notas) SELECT '654f6921', '654f6921', id_variedad, NULL FROM Variedad WHERE nombre = 'Malbec';</t>
  </si>
  <si>
    <t>INSERT INTO Lote (id_lote, codigo, id_variedad, notas) SELECT '8cca3230', '8cca3230', id_variedad, NULL FROM Variedad WHERE nombre = 'Bonarda';</t>
  </si>
  <si>
    <t>INSERT INTO Lote (id_lote, codigo, id_variedad, notas) SELECT '9a9cd123', '9a9cd123', id_variedad, NULL FROM Variedad WHERE nombre = 'Tinto Recarga Press';</t>
  </si>
  <si>
    <t>INSERT INTO Lote (id_lote, codigo, id_variedad, notas) SELECT '96467006', '96467006', id_variedad, NULL FROM Variedad WHERE nombre = 'Tinto Recarga';</t>
  </si>
  <si>
    <t>INSERT INTO Lote (id_lote, codigo, id_variedad, notas) SELECT '3cb72b04', '3cb72b04', id_variedad, NULL FROM Variedad WHERE nombre = 'Tinto Recarga Press';</t>
  </si>
  <si>
    <t>INSERT INTO Lote (id_lote, codigo, id_variedad, notas) SELECT '28029583', '28029583', id_variedad, NULL FROM Variedad WHERE nombre = 'Tinto Recarga Press';</t>
  </si>
  <si>
    <t>INSERT INTO Lote (id_lote, codigo, id_variedad, notas) SELECT '2e2b3f01', '2e2b3f01', id_variedad, NULL FROM Variedad WHERE nombre = 'Ajuste Arq 25/03/25';</t>
  </si>
  <si>
    <t>INSERT INTO Lote (id_lote, codigo, id_variedad, notas) SELECT 'c750a1d2', 'c750a1d2', id_variedad, NULL FROM Variedad WHERE nombre = 'Bonarda';</t>
  </si>
  <si>
    <t>INSERT INTO Lote (id_lote, codigo, id_variedad, notas) SELECT '3e5b524d', '3e5b524d', id_variedad, NULL FROM Variedad WHERE nombre = 'Ajuste Arq 25/03/25';</t>
  </si>
  <si>
    <t>INSERT INTO Lote (id_lote, codigo, id_variedad, notas) SELECT 'd711de02', 'd711de02', id_variedad, NULL FROM Variedad WHERE nombre = 'Borra';</t>
  </si>
  <si>
    <t>INSERT INTO Lote (id_lote, codigo, id_variedad, notas) SELECT '2f246ad5', '2f246ad5', id_variedad, NULL FROM Variedad WHERE nombre = 'Malbec';</t>
  </si>
  <si>
    <t>INSERT INTO Lote (id_lote, codigo, id_variedad, notas) SELECT 'f544d5bf', 'f544d5bf', id_variedad, NULL FROM Variedad WHERE nombre = 'Torrontes tacho Plastico';</t>
  </si>
  <si>
    <t>INSERT INTO Lote (id_lote, codigo, id_variedad, notas) SELECT '50c7db36', '50c7db36', id_variedad, NULL FROM Variedad WHERE nombre = 'Tinto Criolla Recarga';</t>
  </si>
  <si>
    <t>INSERT INTO Lote (id_lote, codigo, id_variedad, notas) SELECT 'c2b34610', 'c2b34610', id_variedad, NULL FROM Variedad WHERE nombre = 'Cabernet Sauvignong';</t>
  </si>
  <si>
    <t>INSERT INTO Lote (id_lote, codigo, id_variedad, notas) SELECT 'c97f270b', 'c97f270b', id_variedad, NULL FROM Variedad WHERE nombre = 'Syrah';</t>
  </si>
  <si>
    <t>INSERT INTO Lote (id_lote, codigo, id_variedad, notas) SELECT '6dd6dc83', '6dd6dc83', id_variedad, NULL FROM Variedad WHERE nombre = 'Syrah';</t>
  </si>
  <si>
    <t>INSERT INTO Lote (id_lote, codigo, id_variedad, notas) SELECT 'ec23e3f7', 'ec23e3f7', id_variedad, NULL FROM Variedad WHERE nombre = 'Syrah';</t>
  </si>
  <si>
    <t>INSERT INTO Lote (id_lote, codigo, id_variedad, notas) SELECT 'bc837f92', 'bc837f92', id_variedad, NULL FROM Variedad WHERE nombre = 'Syrah';</t>
  </si>
  <si>
    <t>INSERT INTO Lote (id_lote, codigo, id_variedad, notas) SELECT 'a6d28e88', 'a6d28e88', id_variedad, NULL FROM Variedad WHERE nombre = 'Syrah';</t>
  </si>
  <si>
    <t>INSERT INTO Lote (id_lote, codigo, id_variedad, notas) SELECT 'd251428e', 'd251428e', id_variedad, NULL FROM Variedad WHERE nombre = 'Borra';</t>
  </si>
  <si>
    <t>INSERT INTO Lote (id_lote, codigo, id_variedad, notas) SELECT '857f0b04', '857f0b04', id_variedad, NULL FROM Variedad WHERE nombre = 'Malbec';</t>
  </si>
  <si>
    <t>INSERT INTO Lote (id_lote, codigo, id_variedad, notas) SELECT '0420c80a', '0420c80a', id_variedad, NULL FROM Variedad WHERE nombre = 'Bonarda';</t>
  </si>
  <si>
    <t>INSERT INTO Lote (id_lote, codigo, id_variedad, notas) SELECT '380532ea', '380532ea', id_variedad, NULL FROM Variedad WHERE nombre = 'Cabernet Sauvignong';</t>
  </si>
  <si>
    <t>INSERT INTO Lote (id_lote, codigo, id_variedad, notas) SELECT 'e01e8aa7', 'e01e8aa7', id_variedad, NULL FROM Variedad WHERE nombre = 'Malbec 24';</t>
  </si>
  <si>
    <t>INSERT INTO Lote (id_lote, codigo, id_variedad, notas) SELECT '1f683a42', '1f683a42', id_variedad, NULL FROM Variedad WHERE nombre = 'Malbec 24';</t>
  </si>
  <si>
    <t>INSERT INTO Lote (id_lote, codigo, id_variedad, notas) SELECT '650c1db7', '650c1db7', id_variedad, NULL FROM Variedad WHERE nombre = 'Malbec Magneta';</t>
  </si>
  <si>
    <t>INSERT INTO Lote (id_lote, codigo, id_variedad, notas) SELECT '8b30dc4c', '8b30dc4c', id_variedad, NULL FROM Variedad WHERE nombre = 'Malbec Montecepas 24';</t>
  </si>
  <si>
    <t>INSERT INTO Lote (id_lote, codigo, id_variedad, notas) SELECT 'a4c9e3f8', 'a4c9e3f8', id_variedad, NULL FROM Variedad WHERE nombre = 'Malbec Magneta';</t>
  </si>
  <si>
    <t>INSERT INTO Lote (id_lote, codigo, id_variedad, notas) SELECT '3f3e8ee6', '3f3e8ee6', id_variedad, NULL FROM Variedad WHERE nombre = 'Malbec Magneta';</t>
  </si>
  <si>
    <t>INSERT INTO Lote (id_lote, codigo, id_variedad, notas) SELECT '290ee918', '290ee918', id_variedad, NULL FROM Variedad WHERE nombre = 'Anccelotta';</t>
  </si>
  <si>
    <t>INSERT INTO Lote (id_lote, codigo, id_variedad, notas) SELECT '8fc418d7', '8fc418d7', id_variedad, NULL FROM Variedad WHERE nombre = 'Ajuste arqueo 24/03/25';</t>
  </si>
  <si>
    <t>INSERT INTO Lote (id_lote, codigo, id_variedad, notas) SELECT 'c7ecff86', 'c7ecff86', id_variedad, NULL FROM Variedad WHERE nombre = 'Bonarda Gota';</t>
  </si>
  <si>
    <t>INSERT INTO Lote (id_lote, codigo, id_variedad, notas) SELECT 'dadb0851', 'dadb0851', id_variedad, NULL FROM Variedad WHERE nombre = 'Criolla s/Bonarda';</t>
  </si>
  <si>
    <t>INSERT INTO Lote (id_lote, codigo, id_variedad, notas) SELECT 'becb2c75', 'becb2c75', id_variedad, NULL FROM Variedad WHERE nombre = 'Bonarda';</t>
  </si>
  <si>
    <t>INSERT INTO Lote (id_lote, codigo, id_variedad, notas) SELECT 'b7223c27', 'b7223c27', id_variedad, NULL FROM Variedad WHERE nombre = 'Malbec';</t>
  </si>
  <si>
    <t>INSERT INTO Lote (id_lote, codigo, id_variedad, notas) SELECT 'b23211ad', 'b23211ad', id_variedad, NULL FROM Variedad WHERE nombre = 'Tanat';</t>
  </si>
  <si>
    <t>INSERT INTO Lote (id_lote, codigo, id_variedad, notas) SELECT 'c6c8568a', 'c6c8568a', id_variedad, NULL FROM Variedad WHERE nombre = 'Ajuste Arqueo 01-04-25';</t>
  </si>
  <si>
    <t>INSERT INTO Lote (id_lote, codigo, id_variedad, notas) SELECT 'eb25ce6f', 'eb25ce6f', id_variedad, NULL FROM Variedad WHERE nombre = 'Ajuste Arqueo 01-04-25';</t>
  </si>
  <si>
    <t>INSERT INTO Lote (id_lote, codigo, id_variedad, notas) SELECT '1a5b525d', '1a5b525d', id_variedad, NULL FROM Variedad WHERE nombre = 'Ajuste Arqueo 01-04-25';</t>
  </si>
  <si>
    <t>INSERT INTO Lote (id_lote, codigo, id_variedad, notas) SELECT '84e6afcb', '84e6afcb', id_variedad, NULL FROM Variedad WHERE nombre = 'Ajuste Arqueo 01-04-25';</t>
  </si>
  <si>
    <t>INSERT INTO Lote (id_lote, codigo, id_variedad, notas) SELECT '353f740c', '353f740c', id_variedad, NULL FROM Variedad WHERE nombre = 'Ajuste Arqueo 01-04-25';</t>
  </si>
  <si>
    <t>INSERT INTO Lote (id_lote, codigo, id_variedad, notas) SELECT 'c6c0786e', 'c6c0786e', id_variedad, NULL FROM Variedad WHERE nombre = 'Ajuste Arqueo 01-04-25';</t>
  </si>
  <si>
    <t>INSERT INTO Lote (id_lote, codigo, id_variedad, notas) SELECT '21c38848', '21c38848', id_variedad, NULL FROM Variedad WHERE nombre = 'Ajuste Arqueo 01-04-25';</t>
  </si>
  <si>
    <t>INSERT INTO Lote (id_lote, codigo, id_variedad, notas) SELECT '97681120', '97681120', id_variedad, NULL FROM Variedad WHERE nombre = 'Ajuste Arqueo 01-04-25';</t>
  </si>
  <si>
    <t>INSERT INTO Lote (id_lote, codigo, id_variedad, notas) SELECT 'd36de2d6', 'd36de2d6', id_variedad, NULL FROM Variedad WHERE nombre = 'Ajuste Arqueo 01-04-25';</t>
  </si>
  <si>
    <t>INSERT INTO Lote (id_lote, codigo, id_variedad, notas) SELECT '02c0fc23', '02c0fc23', id_variedad, NULL FROM Variedad WHERE nombre = 'Ajuste Arqueo 01-04-25';</t>
  </si>
  <si>
    <t>INSERT INTO Lote (id_lote, codigo, id_variedad, notas) SELECT '73108ca1', '73108ca1', id_variedad, NULL FROM Variedad WHERE nombre = 'Tinto s/Bonarda';</t>
  </si>
  <si>
    <t>INSERT INTO Lote (id_lote, codigo, id_variedad, notas) SELECT '6b249a3a', '6b249a3a', id_variedad, NULL FROM Variedad WHERE nombre = 'Tinto s/Bonarda';</t>
  </si>
  <si>
    <t>INSERT INTO Lote (id_lote, codigo, id_variedad, notas) SELECT 'b6dc5dc8', 'b6dc5dc8', id_variedad, NULL FROM Variedad WHERE nombre = 'Bonarda C2';</t>
  </si>
  <si>
    <t>INSERT INTO Lote (id_lote, codigo, id_variedad, notas) SELECT 'a4cd80cd', 'a4cd80cd', id_variedad, NULL FROM Variedad WHERE nombre = 'Borra';</t>
  </si>
  <si>
    <t>INSERT INTO Lote (id_lote, codigo, id_variedad, notas) SELECT '89ea53f8', '89ea53f8', id_variedad, NULL FROM Variedad WHERE nombre = 'Bonarda';</t>
  </si>
  <si>
    <t>INSERT INTO Lote (id_lote, codigo, id_variedad, notas) SELECT '3640d88c', '3640d88c', id_variedad, NULL FROM Variedad WHERE nombre = 'Malbec Mec';</t>
  </si>
  <si>
    <t>INSERT INTO Lote (id_lote, codigo, id_variedad, notas) SELECT '8042d6c2', '8042d6c2', id_variedad, NULL FROM Variedad WHERE nombre = 'Syrah Tempranillo';</t>
  </si>
  <si>
    <t>INSERT INTO Lote (id_lote, codigo, id_variedad, notas) SELECT '03e27ebe', '03e27ebe', id_variedad, NULL FROM Variedad WHERE nombre = 'Syrah Tempranillo';</t>
  </si>
  <si>
    <t>INSERT INTO Lote (id_lote, codigo, id_variedad, notas) SELECT '1bba563a', '1bba563a', id_variedad, NULL FROM Variedad WHERE nombre = 'Bonarda';</t>
  </si>
  <si>
    <t>INSERT INTO Lote (id_lote, codigo, id_variedad, notas) SELECT 'a00cfab3', 'a00cfab3', id_variedad, NULL FROM Variedad WHERE nombre = 'Malbec';</t>
  </si>
  <si>
    <t>INSERT INTO Lote (id_lote, codigo, id_variedad, notas) SELECT 'b90ba869', 'b90ba869', id_variedad, NULL FROM Variedad WHERE nombre = 'Bonarda';</t>
  </si>
  <si>
    <t>INSERT INTO Lote (id_lote, codigo, id_variedad, notas) SELECT '189ea379', '189ea379', id_variedad, NULL FROM Variedad WHERE nombre = 'Tinto s/Bonarda';</t>
  </si>
  <si>
    <t>INSERT INTO Lote (id_lote, codigo, id_variedad, notas) SELECT 'Fri Feb 09 5387 00:00:00 GMT-0300 (Argentina Standard Time)', 'Fri Feb 09 5387 00:00:00 GMT-0300 (Argentina Standard Time)', id_variedad, NULL FROM Variedad WHERE nombre = 'Malbec';</t>
  </si>
  <si>
    <t>INSERT INTO Lote (id_lote, codigo, id_variedad, notas) SELECT 'e986fa9f', 'e986fa9f', id_variedad, NULL FROM Variedad WHERE nombre = 'Cabernet Sauv';</t>
  </si>
  <si>
    <t>INSERT INTO Lote (id_lote, codigo, id_variedad, notas) SELECT 'f2ca28c2', 'f2ca28c2', id_variedad, NULL FROM Variedad WHERE nombre = 'Bonarda';</t>
  </si>
  <si>
    <t>INSERT INTO Lote (id_lote, codigo, id_variedad, notas) SELECT 'cbb6852f', 'cbb6852f', id_variedad, NULL FROM Variedad WHERE nombre = 'Malbec';</t>
  </si>
  <si>
    <t>INSERT INTO Lote (id_lote, codigo, id_variedad, notas) SELECT 'b1b9580e', 'b1b9580e', id_variedad, NULL FROM Variedad WHERE nombre = 'Tinto G';</t>
  </si>
  <si>
    <t>INSERT INTO Lote (id_lote, codigo, id_variedad, notas) SELECT '1d042bcb', '1d042bcb', id_variedad, NULL FROM Variedad WHERE nombre = 'Tinto';</t>
  </si>
  <si>
    <t>INSERT INTO Lote (id_lote, codigo, id_variedad, notas) SELECT '5c558cca', '5c558cca', id_variedad, NULL FROM Variedad WHERE nombre = 'Cabernet Sauv s/Tanat';</t>
  </si>
  <si>
    <t>INSERT INTO Lote (id_lote, codigo, id_variedad, notas) SELECT '3de4f15e', '3de4f15e', id_variedad, NULL FROM Variedad WHERE nombre = 'Cabernet Sauv s/Tanat';</t>
  </si>
  <si>
    <t>INSERT INTO Lote (id_lote, codigo, id_variedad, notas) SELECT 'd56b533b', 'd56b533b', id_variedad, NULL FROM Variedad WHERE nombre = 'Ajuste Arqueo 01-04-25';</t>
  </si>
  <si>
    <t>INSERT INTO Lote (id_lote, codigo, id_variedad, notas) SELECT '5e0dbcce', '5e0dbcce', id_variedad, NULL FROM Variedad WHERE nombre = 'Malbec';</t>
  </si>
  <si>
    <t>INSERT INTO Lote (id_lote, codigo, id_variedad, notas) SELECT '7b6b2c2a', '7b6b2c2a', id_variedad, NULL FROM Variedad WHERE nombre = 'Bonarda';</t>
  </si>
  <si>
    <t>INSERT INTO Lote (id_lote, codigo, id_variedad, notas) SELECT '21ebdd51', '21ebdd51', id_variedad, NULL FROM Variedad WHERE nombre = 'Ajuste Arqueo 01-04-25';</t>
  </si>
  <si>
    <t>INSERT INTO Lote (id_lote, codigo, id_variedad, notas) SELECT '3807ead1', '3807ead1', id_variedad, NULL FROM Variedad WHERE nombre = 'Syrah';</t>
  </si>
  <si>
    <t>INSERT INTO Lote (id_lote, codigo, id_variedad, notas) SELECT 'ef3b4005', 'ef3b4005', id_variedad, NULL FROM Variedad WHERE nombre = 'Syrah';</t>
  </si>
  <si>
    <t>INSERT INTO Lote (id_lote, codigo, id_variedad, notas) SELECT '492309f4', '492309f4', id_variedad, NULL FROM Variedad WHERE nombre = 'Syrah';</t>
  </si>
  <si>
    <t>INSERT INTO Lote (id_lote, codigo, id_variedad, notas) SELECT 'aafa35db', 'aafa35db', id_variedad, NULL FROM Variedad WHERE nombre = 'Bonarda';</t>
  </si>
  <si>
    <t>INSERT INTO Lote (id_lote, codigo, id_variedad, notas) SELECT '97b5422c', '97b5422c', id_variedad, NULL FROM Variedad WHERE nombre = 'Bonarda';</t>
  </si>
  <si>
    <t>INSERT INTO Lote (id_lote, codigo, id_variedad, notas) SELECT 'b8ea839c', 'b8ea839c', id_variedad, NULL FROM Variedad WHERE nombre = 'Cabernet Sauv Mec';</t>
  </si>
  <si>
    <t>INSERT INTO Lote (id_lote, codigo, id_variedad, notas) SELECT '1b8cfd3f', '1b8cfd3f', id_variedad, NULL FROM Variedad WHERE nombre = 'Malbec';</t>
  </si>
  <si>
    <t>INSERT INTO Lote (id_lote, codigo, id_variedad, notas) SELECT 'e8ae99cd', 'e8ae99cd', id_variedad, NULL FROM Variedad WHERE nombre = 'Bonarda';</t>
  </si>
  <si>
    <t>INSERT INTO Lote (id_lote, codigo, id_variedad, notas) SELECT 'd5b5bf9c', 'd5b5bf9c', id_variedad, NULL FROM Variedad WHERE nombre = 'Ajuste Arqueo Bodega 7/04/25';</t>
  </si>
  <si>
    <t>INSERT INTO Lote (id_lote, codigo, id_variedad, notas) SELECT '1c76e910', '1c76e910', id_variedad, NULL FROM Variedad WHERE nombre = 'Ajuste Arqueo Bodega 7/04/25';</t>
  </si>
  <si>
    <t>INSERT INTO Lote (id_lote, codigo, id_variedad, notas) SELECT '62e15cd1', '62e15cd1', id_variedad, NULL FROM Variedad WHERE nombre = 'Ajuste Arqueo Bodega 7/04/25';</t>
  </si>
  <si>
    <t>INSERT INTO Lote (id_lote, codigo, id_variedad, notas) SELECT 'a3fbf6d9', 'a3fbf6d9', id_variedad, NULL FROM Variedad WHERE nombre = 'Ajuste Arqueo Bodega 7/04/25';</t>
  </si>
  <si>
    <t>INSERT INTO Lote (id_lote, codigo, id_variedad, notas) SELECT '90288eca', '90288eca', id_variedad, NULL FROM Variedad WHERE nombre = 'Ajuste Arqueo Bodega 7/04/25';</t>
  </si>
  <si>
    <t>INSERT INTO Lote (id_lote, codigo, id_variedad, notas) SELECT '371f5731', '371f5731', id_variedad, NULL FROM Variedad WHERE nombre = 'Ajuste Arqueo Bodega 7/04/25';</t>
  </si>
  <si>
    <t>INSERT INTO Lote (id_lote, codigo, id_variedad, notas) SELECT 'da6946d0', 'da6946d0', id_variedad, NULL FROM Variedad WHERE nombre = 'Ajuste Arqueo Bodega 7/04/25';</t>
  </si>
  <si>
    <t>INSERT INTO Lote (id_lote, codigo, id_variedad, notas) SELECT 'ed82825c', 'ed82825c', id_variedad, NULL FROM Variedad WHERE nombre = 'Cabernet Sauvignon';</t>
  </si>
  <si>
    <t>INSERT INTO Lote (id_lote, codigo, id_variedad, notas) SELECT 'b4377cb5', 'b4377cb5', id_variedad, NULL FROM Variedad WHERE nombre = 'Malbec';</t>
  </si>
  <si>
    <t>INSERT INTO Lote (id_lote, codigo, id_variedad, notas) SELECT '12119242', '12119242', id_variedad, NULL FROM Variedad WHERE nombre = 'Tinto s/Ma Bo';</t>
  </si>
  <si>
    <t>INSERT INTO Lote (id_lote, codigo, id_variedad, notas) SELECT 'b60fb43a', 'b60fb43a', id_variedad, NULL FROM Variedad WHERE nombre = 'Bonarda';</t>
  </si>
  <si>
    <t>INSERT INTO Lote (id_lote, codigo, id_variedad, notas) SELECT 'a042b2d1', 'a042b2d1', id_variedad, NULL FROM Variedad WHERE nombre = 'Malbec';</t>
  </si>
  <si>
    <t>INSERT INTO Lote (id_lote, codigo, id_variedad, notas) SELECT '7678fbc3', '7678fbc3', id_variedad, NULL FROM Variedad WHERE nombre = 'Malbec';</t>
  </si>
  <si>
    <t>INSERT INTO Lote (id_lote, codigo, id_variedad, notas) SELECT '254dce3b', '254dce3b', id_variedad, NULL FROM Variedad WHERE nombre = 'Cabernet Sauv';</t>
  </si>
  <si>
    <t>INSERT INTO Lote (id_lote, codigo, id_variedad, notas) SELECT 'f954f065', 'f954f065', id_variedad, NULL FROM Variedad WHERE nombre = 'Bonarda';</t>
  </si>
  <si>
    <t>INSERT INTO Lote (id_lote, codigo, id_variedad, notas) SELECT 'f4ef7eb7', 'f4ef7eb7', id_variedad, NULL FROM Variedad WHERE nombre = 'Malbec';</t>
  </si>
  <si>
    <t>INSERT INTO Lote (id_lote, codigo, id_variedad, notas) SELECT '7efc7da2', '7efc7da2', id_variedad, NULL FROM Variedad WHERE nombre = 'Bonarda C2';</t>
  </si>
  <si>
    <t>INSERT INTO Lote (id_lote, codigo, id_variedad, notas) SELECT '0998b1b9', '0998b1b9', id_variedad, NULL FROM Variedad WHERE nombre = 'Malbec';</t>
  </si>
  <si>
    <t>INSERT INTO Lote (id_lote, codigo, id_variedad, notas) SELECT 'e12682eb', 'e12682eb', id_variedad, NULL FROM Variedad WHERE nombre = 'Bonarda';</t>
  </si>
  <si>
    <t>INSERT INTO Lote (id_lote, codigo, id_variedad, notas) SELECT 'aa8ee5bf', 'aa8ee5bf', id_variedad, NULL FROM Variedad WHERE nombre = 'Cabernet Sauvignon';</t>
  </si>
  <si>
    <t>INSERT INTO Lote (id_lote, codigo, id_variedad, notas) SELECT '66fb3a88', '66fb3a88', id_variedad, NULL FROM Variedad WHERE nombre = 'Bonarda';</t>
  </si>
  <si>
    <t>INSERT INTO Lote (id_lote, codigo, id_variedad, notas) SELECT '2169295d', '2169295d', id_variedad, NULL FROM Variedad WHERE nombre = 'Syrah Rect';</t>
  </si>
  <si>
    <t>INSERT INTO Lote (id_lote, codigo, id_variedad, notas) SELECT 'e5691d8b', 'e5691d8b', id_variedad, NULL FROM Variedad WHERE nombre = 'Borra';</t>
  </si>
  <si>
    <t>INSERT INTO Lote (id_lote, codigo, id_variedad, notas) SELECT '1324322a', '1324322a', id_variedad, NULL FROM Variedad WHERE nombre = 'Tinto s/Ma Bo';</t>
  </si>
  <si>
    <t>INSERT INTO Lote (id_lote, codigo, id_variedad, notas) SELECT '86296256', '86296256', id_variedad, NULL FROM Variedad WHERE nombre = 'Ajuste Arqueo Bodega 7/04/25';</t>
  </si>
  <si>
    <t>INSERT INTO Lote (id_lote, codigo, id_variedad, notas) SELECT '9b730f37', '9b730f37', id_variedad, NULL FROM Variedad WHERE nombre = 'Bonarda';</t>
  </si>
  <si>
    <t>INSERT INTO Lote (id_lote, codigo, id_variedad, notas) SELECT 'ae5925ab', 'ae5925ab', id_variedad, NULL FROM Variedad WHERE nombre = 'Cabernet Sauvignon';</t>
  </si>
  <si>
    <t>INSERT INTO Lote (id_lote, codigo, id_variedad, notas) SELECT '4b2f415c', '4b2f415c', id_variedad, NULL FROM Variedad WHERE nombre = 'Malbec';</t>
  </si>
  <si>
    <t>INSERT INTO Lote (id_lote, codigo, id_variedad, notas) SELECT '23f4cc53', '23f4cc53', id_variedad, NULL FROM Variedad WHERE nombre = 'Cabernet Sauvignon';</t>
  </si>
  <si>
    <t>INSERT INTO Lote (id_lote, codigo, id_variedad, notas) SELECT '8d8607b8', '8d8607b8', id_variedad, NULL FROM Variedad WHERE nombre = 'Bonarda';</t>
  </si>
  <si>
    <t>INSERT INTO Lote (id_lote, codigo, id_variedad, notas) SELECT '17539ce3', '17539ce3', id_variedad, NULL FROM Variedad WHERE nombre = 'Malbec';</t>
  </si>
  <si>
    <t>INSERT INTO Lote (id_lote, codigo, id_variedad, notas) SELECT '2aac908d', '2aac908d', id_variedad, NULL FROM Variedad WHERE nombre = 'Bonarda';</t>
  </si>
  <si>
    <t>INSERT INTO Lote (id_lote, codigo, id_variedad, notas) SELECT 'db841e43', 'db841e43', id_variedad, NULL FROM Variedad WHERE nombre = 'Malbec';</t>
  </si>
  <si>
    <t>INSERT INTO Lote (id_lote, codigo, id_variedad, notas) SELECT 'e3bf14f2', 'e3bf14f2', id_variedad, NULL FROM Variedad WHERE nombre = 'Cabernet Sauvignon';</t>
  </si>
  <si>
    <t>INSERT INTO Lote (id_lote, codigo, id_variedad, notas) SELECT 'c0fd1ee4', 'c0fd1ee4', id_variedad, NULL FROM Variedad WHERE nombre = 'Bonarda';</t>
  </si>
  <si>
    <t>INSERT INTO Lote (id_lote, codigo, id_variedad, notas) SELECT '9ddc74ed', '9ddc74ed', id_variedad, NULL FROM Variedad WHERE nombre = 'Cabernet Sauvignon';</t>
  </si>
  <si>
    <t>INSERT INTO Lote (id_lote, codigo, id_variedad, notas) SELECT 'f6d580e7', 'f6d580e7', id_variedad, NULL FROM Variedad WHERE nombre = 'Cabernet Sauvignon';</t>
  </si>
  <si>
    <t>INSERT INTO Lote (id_lote, codigo, id_variedad, notas) SELECT 'bb5ac12c', 'bb5ac12c', id_variedad, NULL FROM Variedad WHERE nombre = 'Cabernet Sauvignon';</t>
  </si>
  <si>
    <t>INSERT INTO Lote (id_lote, codigo, id_variedad, notas) SELECT '48a2409a', '48a2409a', id_variedad, NULL FROM Variedad WHERE nombre = 'Cabernet Sauvignon';</t>
  </si>
  <si>
    <t>INSERT INTO Lote (id_lote, codigo, id_variedad, notas) SELECT '27a8c5fb', '27a8c5fb', id_variedad, NULL FROM Variedad WHERE nombre = 'Tinto';</t>
  </si>
  <si>
    <t>INSERT INTO Lote (id_lote, codigo, id_variedad, notas) SELECT 'cb50df04', 'cb50df04', id_variedad, NULL FROM Variedad WHERE nombre = 'Syrah Rect';</t>
  </si>
  <si>
    <t>INSERT INTO Lote (id_lote, codigo, id_variedad, notas) SELECT 'b9461082', 'b9461082', id_variedad, NULL FROM Variedad WHERE nombre = 'Cabernet Sauvignon sin Rect';</t>
  </si>
  <si>
    <t>INSERT INTO Lote (id_lote, codigo, id_variedad, notas) SELECT 'f673bf6e', 'f673bf6e', id_variedad, NULL FROM Variedad WHERE nombre = 'Ajuste Arqueo 14/04/25';</t>
  </si>
  <si>
    <t>INSERT INTO Lote (id_lote, codigo, id_variedad, notas) SELECT 'c778eed0', 'c778eed0', id_variedad, NULL FROM Variedad WHERE nombre = 'Ajuste Arqueo 14/04/25';</t>
  </si>
  <si>
    <t>INSERT INTO Lote (id_lote, codigo, id_variedad, notas) SELECT '79c53d31', '79c53d31', id_variedad, NULL FROM Variedad WHERE nombre = 'Ajuste Arqueo 14/04/25';</t>
  </si>
  <si>
    <t>INSERT INTO Lote (id_lote, codigo, id_variedad, notas) SELECT '3f1bcb3f', '3f1bcb3f', id_variedad, NULL FROM Variedad WHERE nombre = 'Ajuste Arqueo 14/04/25';</t>
  </si>
  <si>
    <t>INSERT INTO Lote (id_lote, codigo, id_variedad, notas) SELECT '87e2f0ad', '87e2f0ad', id_variedad, NULL FROM Variedad WHERE nombre = 'Ajuste Arqueo 14/04/25';</t>
  </si>
  <si>
    <t>INSERT INTO Lote (id_lote, codigo, id_variedad, notas) SELECT '64b6a040', '64b6a040', id_variedad, NULL FROM Variedad WHERE nombre = 'Ajuste Arqueo 14/04/25';</t>
  </si>
  <si>
    <t>INSERT INTO Lote (id_lote, codigo, id_variedad, notas) SELECT 'dce718a8', 'dce718a8', id_variedad, NULL FROM Variedad WHERE nombre = 'Ajuste Arqueo 14/04/25';</t>
  </si>
  <si>
    <t>INSERT INTO Lote (id_lote, codigo, id_variedad, notas) SELECT '6323f237', '6323f237', id_variedad, NULL FROM Variedad WHERE nombre = 'Ajuste Arqueo 14/04/25';</t>
  </si>
  <si>
    <t>INSERT INTO Lote (id_lote, codigo, id_variedad, notas) SELECT 'aeaef108', 'aeaef108', id_variedad, NULL FROM Variedad WHERE nombre = 'Sin variedad';</t>
  </si>
  <si>
    <t>INSERT INTO Lote (id_lote, codigo, id_variedad, notas) SELECT '65fc01f0', '65fc01f0', id_variedad, NULL FROM Variedad WHERE nombre = 'Ajuste Arqueo 14/04/25';</t>
  </si>
  <si>
    <t>INSERT INTO Lote (id_lote, codigo, id_variedad, notas) SELECT 'edf54cc7', 'edf54cc7', id_variedad, NULL FROM Variedad WHERE nombre = 'Ajuste Arqueo 14/04/25';</t>
  </si>
  <si>
    <t>INSERT INTO Lote (id_lote, codigo, id_variedad, notas) SELECT '7c10bfff', '7c10bfff', id_variedad, NULL FROM Variedad WHERE nombre = 'Ajuste Arqueo 14/04/25';</t>
  </si>
  <si>
    <t>INSERT INTO Lote (id_lote, codigo, id_variedad, notas) SELECT 'f3cffdb0', 'f3cffdb0', id_variedad, NULL FROM Variedad WHERE nombre = 'Ajuste Arqueo 14/04/25';</t>
  </si>
  <si>
    <t>INSERT INTO Lote (id_lote, codigo, id_variedad, notas) SELECT '4f5059a5', '4f5059a5', id_variedad, NULL FROM Variedad WHERE nombre = 'Ajuste Arqueo 14/04/25';</t>
  </si>
  <si>
    <t>INSERT INTO Lote (id_lote, codigo, id_variedad, notas) SELECT '48038afe', '48038afe', id_variedad, NULL FROM Variedad WHERE nombre = 'Ajuste Arqueo 14/04/25';</t>
  </si>
  <si>
    <t>INSERT INTO Lote (id_lote, codigo, id_variedad, notas) SELECT '24faac94', '24faac94', id_variedad, NULL FROM Variedad WHERE nombre = 'Ajuste Arqueo 14/04/25';</t>
  </si>
  <si>
    <t>INSERT INTO Lote (id_lote, codigo, id_variedad, notas) SELECT 'd4c8b868', 'd4c8b868', id_variedad, NULL FROM Variedad WHERE nombre = 'Ajuste Arqueo 14/04/25';</t>
  </si>
  <si>
    <t>INSERT INTO Lote (id_lote, codigo, id_variedad, notas) SELECT 'afa1959b', 'afa1959b', id_variedad, NULL FROM Variedad WHERE nombre = 'Bonarda';</t>
  </si>
  <si>
    <t>INSERT INTO Lote (id_lote, codigo, id_variedad, notas) SELECT 'f5e72ae6', 'f5e72ae6', id_variedad, NULL FROM Variedad WHERE nombre = 'Bonarda';</t>
  </si>
  <si>
    <t>INSERT INTO Lote (id_lote, codigo, id_variedad, notas) SELECT 'c5495c94', 'c5495c94', id_variedad, NULL FROM Variedad WHERE nombre = 'Bonarda';</t>
  </si>
  <si>
    <t>INSERT INTO Lote (id_lote, codigo, id_variedad, notas) SELECT '49defec5', '49defec5', id_variedad, NULL FROM Variedad WHERE nombre = 'Syrah Bonarda Rect';</t>
  </si>
  <si>
    <t>INSERT INTO Lote (id_lote, codigo, id_variedad, notas) SELECT 'c1c626f1', 'c1c626f1', id_variedad, NULL FROM Variedad WHERE nombre = 'Tinto s/Bonarda';</t>
  </si>
  <si>
    <t>INSERT INTO Lote (id_lote, codigo, id_variedad, notas) SELECT 'a1061f77', 'a1061f77', id_variedad, NULL FROM Variedad WHERE nombre = 'Tinto s/Bonarda';</t>
  </si>
  <si>
    <t>INSERT INTO Lote (id_lote, codigo, id_variedad, notas) SELECT '5e2378bc', '5e2378bc', id_variedad, NULL FROM Variedad WHERE nombre = 'Tinto s/Bonarda';</t>
  </si>
  <si>
    <t>INSERT INTO Lote (id_lote, codigo, id_variedad, notas) SELECT 'da01d353', 'da01d353', id_variedad, NULL FROM Variedad WHERE nombre = 'Tinto s/Bonarda';</t>
  </si>
  <si>
    <t>INSERT INTO Lote (id_lote, codigo, id_variedad, notas) SELECT 'b7df6d93', 'b7df6d93', id_variedad, NULL FROM Variedad WHERE nombre = 'Tinto s/Bonarda';</t>
  </si>
  <si>
    <t>INSERT INTO Lote (id_lote, codigo, id_variedad, notas) SELECT 'f5552916', 'f5552916', id_variedad, NULL FROM Variedad WHERE nombre = 'Bonarda Gota';</t>
  </si>
  <si>
    <t>INSERT INTO Lote (id_lote, codigo, id_variedad, notas) SELECT '247bde06', '247bde06', id_variedad, NULL FROM Variedad WHERE nombre = 'Tinto s/Bonarda';</t>
  </si>
  <si>
    <t>INSERT INTO Lote (id_lote, codigo, id_variedad, notas) SELECT '714d2433', '714d2433', id_variedad, NULL FROM Variedad WHERE nombre = 'Tinto s/Bonarda';</t>
  </si>
  <si>
    <t>INSERT INTO Lote (id_lote, codigo, id_variedad, notas) SELECT '2c86b729', '2c86b729', id_variedad, NULL FROM Variedad WHERE nombre = 'Gota y presna';</t>
  </si>
  <si>
    <t>INSERT INTO Lote (id_lote, codigo, id_variedad, notas) SELECT 'c98fe008', 'c98fe008', id_variedad, NULL FROM Variedad WHERE nombre = 'Chardonnay Late Harvest';</t>
  </si>
  <si>
    <t>INSERT INTO Lote (id_lote, codigo, id_variedad, notas) SELECT '6191710d', '6191710d', id_variedad, NULL FROM Variedad WHERE nombre = 'Ajuste Arqueo 14/04/25';</t>
  </si>
  <si>
    <t>INSERT INTO Lote (id_lote, codigo, id_variedad, notas) SELECT 'df5e441f', 'df5e441f', id_variedad, NULL FROM Variedad WHERE nombre = 'Malbec';</t>
  </si>
  <si>
    <t>INSERT INTO Lote (id_lote, codigo, id_variedad, notas) SELECT '5d344df8', '5d344df8', id_variedad, NULL FROM Variedad WHERE nombre = 'Malbec';</t>
  </si>
  <si>
    <t>INSERT INTO Lote (id_lote, codigo, id_variedad, notas) SELECT '7501c185', '7501c185', id_variedad, NULL FROM Variedad WHERE nombre = 'Ajuste Arqueo 14/04/25';</t>
  </si>
  <si>
    <t>INSERT INTO Lote (id_lote, codigo, id_variedad, notas) SELECT '33a1ed47', '33a1ed47', id_variedad, NULL FROM Variedad WHERE nombre = 'Tinto s/Bonarda 2da';</t>
  </si>
  <si>
    <t>INSERT INTO Lote (id_lote, codigo, id_variedad, notas) SELECT 'b0d32d3c', 'b0d32d3c', id_variedad, NULL FROM Variedad WHERE nombre = 'Tinto s/Bonarda 2da';</t>
  </si>
  <si>
    <t>INSERT INTO Lote (id_lote, codigo, id_variedad, notas) SELECT '88134c0a', '88134c0a', id_variedad, NULL FROM Variedad WHERE nombre = 'Tinto s/Bonarda 2da';</t>
  </si>
  <si>
    <t>INSERT INTO Lote (id_lote, codigo, id_variedad, notas) SELECT '4c9ff21e', '4c9ff21e', id_variedad, NULL FROM Variedad WHERE nombre = 'Borra';</t>
  </si>
  <si>
    <t>INSERT INTO Lote (id_lote, codigo, id_variedad, notas) SELECT '425c8a1c', '425c8a1c', id_variedad, NULL FROM Variedad WHERE nombre = 'Ajuste semana 22/04/25';</t>
  </si>
  <si>
    <t>INSERT INTO Lote (id_lote, codigo, id_variedad, notas) SELECT 'd1326da2', 'd1326da2', id_variedad, NULL FROM Variedad WHERE nombre = 'Ajuste semana 22/04/25';</t>
  </si>
  <si>
    <t>INSERT INTO Lote (id_lote, codigo, id_variedad, notas) SELECT '82a7be03', '82a7be03', id_variedad, NULL FROM Variedad WHERE nombre = 'Cabernet Sauvignon';</t>
  </si>
  <si>
    <t>INSERT INTO Lote (id_lote, codigo, id_variedad, notas) SELECT 'b9fc1e21', 'b9fc1e21', id_variedad, NULL FROM Variedad WHERE nombre = 'Cabernet Sauvignon';</t>
  </si>
  <si>
    <t>INSERT INTO Lote (id_lote, codigo, id_variedad, notas) SELECT '51f2e92d', '51f2e92d', id_variedad, NULL FROM Variedad WHERE nombre = 'Cabernet Sauvignon';</t>
  </si>
  <si>
    <t>INSERT INTO Lote (id_lote, codigo, id_variedad, notas) SELECT '47825ff1', '47825ff1', id_variedad, NULL FROM Variedad WHERE nombre = 'Cabernet Sauvignon';</t>
  </si>
  <si>
    <t>INSERT INTO Lote (id_lote, codigo, id_variedad, notas) SELECT 'd6e77ca9', 'd6e77ca9', id_variedad, NULL FROM Variedad WHERE nombre = 'Malbec Prensa';</t>
  </si>
  <si>
    <t>INSERT INTO Lote (id_lote, codigo, id_variedad, notas) SELECT '1a2c1684', '1a2c1684', id_variedad, NULL FROM Variedad WHERE nombre = 'Cabernet Sauvignon prensa';</t>
  </si>
  <si>
    <t>INSERT INTO Lote (id_lote, codigo, id_variedad, notas) SELECT 'ffa53251', 'ffa53251', id_variedad, NULL FROM Variedad WHERE nombre = 'Cabernet Sauvignon prensa';</t>
  </si>
  <si>
    <t>INSERT INTO Lote (id_lote, codigo, id_variedad, notas) SELECT '31f824a6', '31f824a6', id_variedad, NULL FROM Variedad WHERE nombre = 'Cabernet Sauvignon prensa';</t>
  </si>
  <si>
    <t>INSERT INTO Lote (id_lote, codigo, id_variedad, notas) SELECT '837659aa', '837659aa', id_variedad, NULL FROM Variedad WHERE nombre = 'Borra';</t>
  </si>
  <si>
    <t>INSERT INTO Lote (id_lote, codigo, id_variedad, notas) SELECT '883b82dd', '883b82dd', id_variedad, NULL FROM Variedad WHERE nombre = 'Ajuste semana 22/04/25';</t>
  </si>
  <si>
    <t>INSERT INTO Lote (id_lote, codigo, id_variedad, notas) SELECT 'e8b9aa9f', 'e8b9aa9f', id_variedad, NULL FROM Variedad WHERE nombre = 'Tinto s/Bonarda 2da';</t>
  </si>
  <si>
    <t>INSERT INTO Lote (id_lote, codigo, id_variedad, notas) SELECT 'e2301c9d', 'e2301c9d', id_variedad, NULL FROM Variedad WHERE nombre = 'Tinto';</t>
  </si>
  <si>
    <t>INSERT INTO Lote (id_lote, codigo, id_variedad, notas) SELECT '163518fc', '163518fc', id_variedad, NULL FROM Variedad WHERE nombre = 'Tinto s/Bonarda 2da';</t>
  </si>
  <si>
    <t>INSERT INTO Lote (id_lote, codigo, id_variedad, notas) SELECT '3cd08afc', '3cd08afc', id_variedad, NULL FROM Variedad WHERE nombre = 'Tinto s/Bonarda 2da';</t>
  </si>
  <si>
    <t>INSERT INTO Lote (id_lote, codigo, id_variedad, notas) SELECT 'd24bb01b', 'd24bb01b', id_variedad, NULL FROM Variedad WHERE nombre = 'Tinto s/Bonarda';</t>
  </si>
  <si>
    <t>INSERT INTO Lote (id_lote, codigo, id_variedad, notas) SELECT 'b1a71460', 'b1a71460', id_variedad, NULL FROM Variedad WHERE nombre = 'Ajuste semana 22/04/25';</t>
  </si>
  <si>
    <t>INSERT INTO Lote (id_lote, codigo, id_variedad, notas) SELECT 'b26e8cc6', 'b26e8cc6', id_variedad, NULL FROM Variedad WHERE nombre = 'Claro de filtro';</t>
  </si>
  <si>
    <t>INSERT INTO Lote (id_lote, codigo, id_variedad, notas) SELECT 'b112ea4a', 'b112ea4a', id_variedad, NULL FROM Variedad WHERE nombre = 'Ajuste semana 22/04/25';</t>
  </si>
  <si>
    <t>INSERT INTO Lote (id_lote, codigo, id_variedad, notas) SELECT 'd10280b4', 'd10280b4', id_variedad, NULL FROM Variedad WHERE nombre = 'Ajuste semana 22/04/25';</t>
  </si>
  <si>
    <t>INSERT INTO Lote (id_lote, codigo, id_variedad, notas) SELECT '32dccd3f', '32dccd3f', id_variedad, NULL FROM Variedad WHERE nombre = 'Ajuste semana 22/04/25';</t>
  </si>
  <si>
    <t>INSERT INTO Lote (id_lote, codigo, id_variedad, notas) SELECT 'af42804b', 'af42804b', id_variedad, NULL FROM Variedad WHERE nombre = 'Ajuste semana 22/04/25';</t>
  </si>
  <si>
    <t>INSERT INTO Lote (id_lote, codigo, id_variedad, notas) SELECT 'd0135f24', 'd0135f24', id_variedad, NULL FROM Variedad WHERE nombre = 'Ajuste semana 22/04/25';</t>
  </si>
  <si>
    <t>INSERT INTO Lote (id_lote, codigo, id_variedad, notas) SELECT 'be44e9f6', 'be44e9f6', id_variedad, NULL FROM Variedad WHERE nombre = 'Ajuste semana 22/04/25';</t>
  </si>
  <si>
    <t>INSERT INTO Lote (id_lote, codigo, id_variedad, notas) SELECT '920dc0b5', '920dc0b5', id_variedad, NULL FROM Variedad WHERE nombre = 'Ajuste semana 22/04/25';</t>
  </si>
  <si>
    <t>INSERT INTO Lote (id_lote, codigo, id_variedad, notas) SELECT 'e3e955b1', 'e3e955b1', id_variedad, NULL FROM Variedad WHERE nombre = 'Ajuste semana 22/04/25';</t>
  </si>
  <si>
    <t>INSERT INTO Lote (id_lote, codigo, id_variedad, notas) SELECT 'e32c078a', 'e32c078a', id_variedad, NULL FROM Variedad WHERE nombre = 'Ajuste semana 22/04/25';</t>
  </si>
  <si>
    <t>INSERT INTO Lote (id_lote, codigo, id_variedad, notas) SELECT '736fba40', '736fba40', id_variedad, NULL FROM Variedad WHERE nombre = 'Ajuste semana 22/04/25';</t>
  </si>
  <si>
    <t>INSERT INTO Lote (id_lote, codigo, id_variedad, notas) SELECT 'ffeda620', 'ffeda620', id_variedad, NULL FROM Variedad WHERE nombre = 'Ajuste semana 22/04/25';</t>
  </si>
  <si>
    <t>INSERT INTO Lote (id_lote, codigo, id_variedad, notas) SELECT 'f03419e2', 'f03419e2', id_variedad, NULL FROM Variedad WHERE nombre = 'Ajuste semana 22/04/25';</t>
  </si>
  <si>
    <t>INSERT INTO Lote (id_lote, codigo, id_variedad, notas) SELECT '29562a89', '29562a89', id_variedad, NULL FROM Variedad WHERE nombre = 'Ajuste semana 22/04/25';</t>
  </si>
  <si>
    <t>INSERT INTO Lote (id_lote, codigo, id_variedad, notas) SELECT 'f903f0b8', 'f903f0b8', id_variedad, NULL FROM Variedad WHERE nombre = 'Ajuste semana 22/04/25';</t>
  </si>
  <si>
    <t>INSERT INTO Lote (id_lote, codigo, id_variedad, notas) SELECT '5bb686b4', '5bb686b4', id_variedad, NULL FROM Variedad WHERE nombre = 'Ajuste semana 22/04/25';</t>
  </si>
  <si>
    <t>INSERT INTO Lote (id_lote, codigo, id_variedad, notas) SELECT '3a00f0d2', '3a00f0d2', id_variedad, NULL FROM Variedad WHERE nombre = 'Ajuste semana 22/04/25';</t>
  </si>
  <si>
    <t>INSERT INTO Lote (id_lote, codigo, id_variedad, notas) SELECT 'a9e55b1f', 'a9e55b1f', id_variedad, NULL FROM Variedad WHERE nombre = 'Ajuste semana 22/04/25';</t>
  </si>
  <si>
    <t>INSERT INTO Lote (id_lote, codigo, id_variedad, notas) SELECT 'c7e67b2b', 'c7e67b2b', id_variedad, NULL FROM Variedad WHERE nombre = 'Ajuste semana 22/04/25';</t>
  </si>
  <si>
    <t>INSERT INTO Lote (id_lote, codigo, id_variedad, notas) SELECT '3e5de831', '3e5de831', id_variedad, NULL FROM Variedad WHERE nombre = 'Ajuste semana 22/04/25';</t>
  </si>
  <si>
    <t>INSERT INTO Lote (id_lote, codigo, id_variedad, notas) SELECT 'c162b136', 'c162b136', id_variedad, NULL FROM Variedad WHERE nombre = 'Ajuste semana 22/04/25';</t>
  </si>
  <si>
    <t>INSERT INTO Lote (id_lote, codigo, id_variedad, notas) SELECT '63f835d2', '63f835d2', id_variedad, NULL FROM Variedad WHERE nombre = 'Ajuste semana 22/04/25';</t>
  </si>
  <si>
    <t>INSERT INTO Lote (id_lote, codigo, id_variedad, notas) SELECT 'cc7d6ede', 'cc7d6ede', id_variedad, NULL FROM Variedad WHERE nombre = 'Ajuste semana 22/04/25';</t>
  </si>
  <si>
    <t>INSERT INTO Lote (id_lote, codigo, id_variedad, notas) SELECT 'b72e8fa5', 'b72e8fa5', id_variedad, NULL FROM Variedad WHERE nombre = 'Ajuste semana 22/04/25';</t>
  </si>
  <si>
    <t>INSERT INTO Lote (id_lote, codigo, id_variedad, notas) SELECT '6eff06c5', '6eff06c5', id_variedad, NULL FROM Variedad WHERE nombre = 'Ajuste semana 22/04/25';</t>
  </si>
  <si>
    <t>INSERT INTO Lote (id_lote, codigo, id_variedad, notas) SELECT '8eb42fc1', '8eb42fc1', id_variedad, NULL FROM Variedad WHERE nombre = 'Ajuste semana 22/04/25';</t>
  </si>
  <si>
    <t>INSERT INTO Lote (id_lote, codigo, id_variedad, notas) SELECT '684dcfdb', '684dcfdb', id_variedad, NULL FROM Variedad WHERE nombre = 'Ajuste semana 22/04/25';</t>
  </si>
  <si>
    <t>INSERT INTO Lote (id_lote, codigo, id_variedad, notas) SELECT 'f3aba56a', 'f3aba56a', id_variedad, NULL FROM Variedad WHERE nombre = 'Ajuste semana 22/04/25';</t>
  </si>
  <si>
    <t>INSERT INTO Lote (id_lote, codigo, id_variedad, notas) SELECT '3e75d6d3', '3e75d6d3', id_variedad, NULL FROM Variedad WHERE nombre = 'Ajuste semana 22/04/25';</t>
  </si>
  <si>
    <t>INSERT INTO Lote (id_lote, codigo, id_variedad, notas) SELECT '8024bac4', '8024bac4', id_variedad, NULL FROM Variedad WHERE nombre = 'Ajuste semana 22/04/25';</t>
  </si>
  <si>
    <t>INSERT INTO Lote (id_lote, codigo, id_variedad, notas) SELECT '6feed4a6', '6feed4a6', id_variedad, NULL FROM Variedad WHERE nombre = 'Tinto';</t>
  </si>
  <si>
    <t>INSERT INTO Lote (id_lote, codigo, id_variedad, notas) SELECT 'cf107ae5', 'cf107ae5', id_variedad, NULL FROM Variedad WHERE nombre = 'Tinto';</t>
  </si>
  <si>
    <t>INSERT INTO Lote (id_lote, codigo, id_variedad, notas) SELECT '7ff93f30', '7ff93f30', id_variedad, NULL FROM Variedad WHERE nombre = 'Tinto 2da';</t>
  </si>
  <si>
    <t>INSERT INTO Lote (id_lote, codigo, id_variedad, notas) SELECT '0be7fff5', '0be7fff5', id_variedad, NULL FROM Variedad WHERE nombre = 'Malbec';</t>
  </si>
  <si>
    <t>INSERT INTO Lote (id_lote, codigo, id_variedad, notas) SELECT 'db10cc10', 'db10cc10', id_variedad, NULL FROM Variedad WHERE nombre = 'Malbec';</t>
  </si>
  <si>
    <t>INSERT INTO Lote (id_lote, codigo, id_variedad, notas) SELECT '7fce2b75', '7fce2b75', id_variedad, NULL FROM Variedad WHERE nombre = 'Tinto';</t>
  </si>
  <si>
    <t>INSERT INTO Lote (id_lote, codigo, id_variedad, notas) SELECT '60bf4ff8', '60bf4ff8', id_variedad, NULL FROM Variedad WHERE nombre = 'Claro de filtro';</t>
  </si>
  <si>
    <t>INSERT INTO Lote (id_lote, codigo, id_variedad, notas) SELECT '28a7cc85', '28a7cc85', id_variedad, NULL FROM Variedad WHERE nombre = 'Tinto Recarga';</t>
  </si>
  <si>
    <t>INSERT INTO Lote (id_lote, codigo, id_variedad, notas) SELECT '8f113233', '8f113233', id_variedad, NULL FROM Variedad WHERE nombre = 'Tinto Recarga';</t>
  </si>
  <si>
    <t>INSERT INTO Lote (id_lote, codigo, id_variedad, notas) SELECT 'ec820b78', 'ec820b78', id_variedad, NULL FROM Variedad WHERE nombre = 'Claro de filtro';</t>
  </si>
  <si>
    <t>INSERT INTO Lote (id_lote, codigo, id_variedad, notas) SELECT '20906c4f', '20906c4f', id_variedad, NULL FROM Variedad WHERE nombre = 'Tinto s/Bonarda';</t>
  </si>
  <si>
    <t>INSERT INTO Lote (id_lote, codigo, id_variedad, notas) SELECT 'b6e57561', 'b6e57561', id_variedad, NULL FROM Variedad WHERE nombre = 'Tinto s/Bonarda';</t>
  </si>
  <si>
    <t>INSERT INTO Lote (id_lote, codigo, id_variedad, notas) SELECT '028fb505', '028fb505', id_variedad, NULL FROM Variedad WHERE nombre = 'Malbec Dulc';</t>
  </si>
  <si>
    <t>INSERT INTO Lote (id_lote, codigo, id_variedad, notas) SELECT 'c999dbd9', 'c999dbd9', id_variedad, NULL FROM Variedad WHERE nombre = 'Ajuste semana 22/04/25';</t>
  </si>
  <si>
    <t>INSERT INTO Lote (id_lote, codigo, id_variedad, notas) SELECT '9f167646', '9f167646', id_variedad, NULL FROM Variedad WHERE nombre = 'Tinto';</t>
  </si>
  <si>
    <t>INSERT INTO Lote (id_lote, codigo, id_variedad, notas) SELECT 'e341ebb9', 'e341ebb9', id_variedad, NULL FROM Variedad WHERE nombre = 'Tinto';</t>
  </si>
  <si>
    <t>INSERT INTO Lote (id_lote, codigo, id_variedad, notas) SELECT 'ad6fc72a', 'ad6fc72a', id_variedad, NULL FROM Variedad WHERE nombre = 'Tinto';</t>
  </si>
  <si>
    <t>INSERT INTO Lote (id_lote, codigo, id_variedad, notas) SELECT '8a8c9f52', '8a8c9f52', id_variedad, NULL FROM Variedad WHERE nombre = 'Tinto';</t>
  </si>
  <si>
    <t>INSERT INTO Lote (id_lote, codigo, id_variedad, notas) SELECT 'c9833042', 'c9833042', id_variedad, NULL FROM Variedad WHERE nombre = 'Tinto';</t>
  </si>
  <si>
    <t>INSERT INTO Lote (id_lote, codigo, id_variedad, notas) SELECT '2b3d385d', '2b3d385d', id_variedad, NULL FROM Variedad WHERE nombre = 'Tinto';</t>
  </si>
  <si>
    <t>INSERT INTO Lote (id_lote, codigo, id_variedad, notas) SELECT '3030acaa', '3030acaa', id_variedad, NULL FROM Variedad WHERE nombre = 'Tinto';</t>
  </si>
  <si>
    <t>INSERT INTO Lote (id_lote, codigo, id_variedad, notas) SELECT '80d02e67', '80d02e67', id_variedad, NULL FROM Variedad WHERE nombre = 'Tinto';</t>
  </si>
  <si>
    <t>INSERT INTO Lote (id_lote, codigo, id_variedad, notas) SELECT 'c1d9bfc2', 'c1d9bfc2', id_variedad, NULL FROM Variedad WHERE nombre = 'Claro de filtro';</t>
  </si>
  <si>
    <t>INSERT INTO Lote (id_lote, codigo, id_variedad, notas) SELECT '20f062e7', '20f062e7', id_variedad, NULL FROM Variedad WHERE nombre = 'Anccelotta';</t>
  </si>
  <si>
    <t>INSERT INTO Lote (id_lote, codigo, id_variedad, notas) SELECT '57f606f3', '57f606f3', id_variedad, NULL FROM Variedad WHERE nombre = 'Bonarda';</t>
  </si>
  <si>
    <t>INSERT INTO Lote (id_lote, codigo, id_variedad, notas) SELECT '029318be', '029318be', id_variedad, NULL FROM Variedad WHERE nombre = 'Bonarda';</t>
  </si>
  <si>
    <t>INSERT INTO Lote (id_lote, codigo, id_variedad, notas) SELECT '7a999708', '7a999708', id_variedad, NULL FROM Variedad WHERE nombre = 'Bonarda';</t>
  </si>
  <si>
    <t>INSERT INTO Lote (id_lote, codigo, id_variedad, notas) SELECT 'd71a5bd5', 'd71a5bd5', id_variedad, NULL FROM Variedad WHERE nombre = 'Ajuste semana 22/04/25';</t>
  </si>
  <si>
    <t>INSERT INTO Lote (id_lote, codigo, id_variedad, notas) SELECT '0760321a', '0760321a', id_variedad, NULL FROM Variedad WHERE nombre = 'Tanat';</t>
  </si>
  <si>
    <t>INSERT INTO Lote (id_lote, codigo, id_variedad, notas) SELECT '79317f47', '79317f47', id_variedad, NULL FROM Variedad WHERE nombre = 'Borra';</t>
  </si>
  <si>
    <t>INSERT INTO Lote (id_lote, codigo, id_variedad, notas) SELECT '1afbb480', '1afbb480', id_variedad, NULL FROM Variedad WHERE nombre = 'Claro de Filtro';</t>
  </si>
  <si>
    <t>INSERT INTO Lote (id_lote, codigo, id_variedad, notas) SELECT 'b3edc5e1', 'b3edc5e1', id_variedad, NULL FROM Variedad WHERE nombre = 'Claro de Filtro';</t>
  </si>
  <si>
    <t>INSERT INTO Lote (id_lote, codigo, id_variedad, notas) SELECT '49b10489', '49b10489', id_variedad, NULL FROM Variedad WHERE nombre = 'Malbec Bon Dulce  Rect';</t>
  </si>
  <si>
    <t>INSERT INTO Lote (id_lote, codigo, id_variedad, notas) SELECT 'd85a9e51', 'd85a9e51', id_variedad, NULL FROM Variedad WHERE nombre = 'Claro de Filtro';</t>
  </si>
  <si>
    <t>INSERT INTO Lote (id_lote, codigo, id_variedad, notas) SELECT '55f5d2d3', '55f5d2d3', id_variedad, NULL FROM Variedad WHERE nombre = 'Malbec Dulc';</t>
  </si>
  <si>
    <t>INSERT INTO Lote (id_lote, codigo, id_variedad, notas) SELECT '196f5b8f', '196f5b8f', id_variedad, NULL FROM Variedad WHERE nombre = 'Ajuste Arqueo 05/05/25';</t>
  </si>
  <si>
    <t>INSERT INTO Lote (id_lote, codigo, id_variedad, notas) SELECT '0bf12134', '0bf12134', id_variedad, NULL FROM Variedad WHERE nombre = 'Claro de filtro';</t>
  </si>
  <si>
    <t>INSERT INTO Lote (id_lote, codigo, id_variedad, notas) SELECT '568f382f', '568f382f', id_variedad, NULL FROM Variedad WHERE nombre = 'Claro de filtro';</t>
  </si>
  <si>
    <t>INSERT INTO Lote (id_lote, codigo, id_variedad, notas) SELECT 'e6ca31fd', 'e6ca31fd', id_variedad, NULL FROM Variedad WHERE nombre = 'Claro de filtro';</t>
  </si>
  <si>
    <t>INSERT INTO Lote (id_lote, codigo, id_variedad, notas) SELECT '4e2e27d9', '4e2e27d9', id_variedad, NULL FROM Variedad WHERE nombre = 'Ajuste Arqueo 05/05/25';</t>
  </si>
  <si>
    <t>INSERT INTO Lote (id_lote, codigo, id_variedad, notas) SELECT 'cb2ca221', 'cb2ca221', id_variedad, NULL FROM Variedad WHERE nombre = 'Ajuste Arqueo 05/05/25';</t>
  </si>
  <si>
    <t>INSERT INTO Lote (id_lote, codigo, id_variedad, notas) SELECT '16e5e87f', '16e5e87f', id_variedad, NULL FROM Variedad WHERE nombre = 'Ajuste Arqueo 05/05/25';</t>
  </si>
  <si>
    <t>INSERT INTO Lote (id_lote, codigo, id_variedad, notas) SELECT '1169aeda', '1169aeda', id_variedad, NULL FROM Variedad WHERE nombre = 'Ajuste Arqueo 05/05/25';</t>
  </si>
  <si>
    <t>INSERT INTO Lote (id_lote, codigo, id_variedad, notas) SELECT '4560c2a1', '4560c2a1', id_variedad, NULL FROM Variedad WHERE nombre = 'Ajuste Arqueo 05/05/25';</t>
  </si>
  <si>
    <t>INSERT INTO Lote (id_lote, codigo, id_variedad, notas) SELECT '62584ebc', '62584ebc', id_variedad, NULL FROM Variedad WHERE nombre = 'Ajuste Arqueo 05/05/25';</t>
  </si>
  <si>
    <t>INSERT INTO Lote (id_lote, codigo, id_variedad, notas) SELECT '8cf84f68', '8cf84f68', id_variedad, NULL FROM Variedad WHERE nombre = 'Sin variedad';</t>
  </si>
  <si>
    <t>INSERT INTO Lote (id_lote, codigo, id_variedad, notas) SELECT '158a7d9d', '158a7d9d', id_variedad, NULL FROM Variedad WHERE nombre = 'Ajuste Arqueo 05/05/25';</t>
  </si>
  <si>
    <t>INSERT INTO Lote (id_lote, codigo, id_variedad, notas) SELECT 'cc1de158', 'cc1de158', id_variedad, NULL FROM Variedad WHERE nombre = 'Ajuste Arqueo 05/05/25';</t>
  </si>
  <si>
    <t>INSERT INTO Lote (id_lote, codigo, id_variedad, notas) SELECT 'd126860c', 'd126860c', id_variedad, NULL FROM Variedad WHERE nombre = 'Ajuste Arqueo 05/05/25';</t>
  </si>
  <si>
    <t>INSERT INTO Lote (id_lote, codigo, id_variedad, notas) SELECT '7a97024d', '7a97024d', id_variedad, NULL FROM Variedad WHERE nombre = 'Ajuste Arqueo 05/05/25';</t>
  </si>
  <si>
    <t>INSERT INTO Lote (id_lote, codigo, id_variedad, notas) SELECT 'eef5b1b3', 'eef5b1b3', id_variedad, NULL FROM Variedad WHERE nombre = 'Ajuste Arqueo 05/05/25';</t>
  </si>
  <si>
    <t>INSERT INTO Lote (id_lote, codigo, id_variedad, notas) SELECT 'b1e6b748', 'b1e6b748', id_variedad, NULL FROM Variedad WHERE nombre = 'Ajuste Arqueo 05/05/25';</t>
  </si>
  <si>
    <t>INSERT INTO Lote (id_lote, codigo, id_variedad, notas) SELECT '690e2b0e', '690e2b0e', id_variedad, NULL FROM Variedad WHERE nombre = 'Ajuste Arqueo 05/05/25';</t>
  </si>
  <si>
    <t>INSERT INTO Lote (id_lote, codigo, id_variedad, notas) SELECT 'a0d9c177', 'a0d9c177', id_variedad, NULL FROM Variedad WHERE nombre = 'Ajuste Arqueo 05/05/25';</t>
  </si>
  <si>
    <t>INSERT INTO Lote (id_lote, codigo, id_variedad, notas) SELECT '8f384525', '8f384525', id_variedad, NULL FROM Variedad WHERE nombre = 'Ajuste Arqueo 05/05/25';</t>
  </si>
  <si>
    <t>INSERT INTO Lote (id_lote, codigo, id_variedad, notas) SELECT '7597a62d', '7597a62d', id_variedad, NULL FROM Variedad WHERE nombre = 'Malbec Millan 200';</t>
  </si>
  <si>
    <t>INSERT INTO Lote (id_lote, codigo, id_variedad, notas) SELECT 'b0d54181', 'b0d54181', id_variedad, NULL FROM Variedad WHERE nombre = 'Malbec Millan 200';</t>
  </si>
  <si>
    <t>INSERT INTO Lote (id_lote, codigo, id_variedad, notas) SELECT 'cee6847e', 'cee6847e', id_variedad, NULL FROM Variedad WHERE nombre = 'Malbec Millan 200';</t>
  </si>
  <si>
    <t>INSERT INTO Lote (id_lote, codigo, id_variedad, notas) SELECT '160a169f', '160a169f', id_variedad, NULL FROM Variedad WHERE nombre = 'Malbec Millan 200';</t>
  </si>
  <si>
    <t>INSERT INTO Lote (id_lote, codigo, id_variedad, notas) SELECT '060cc284', '060cc284', id_variedad, NULL FROM Variedad WHERE nombre = 'Cabernet Sauv Millan 233';</t>
  </si>
  <si>
    <t>INSERT INTO Lote (id_lote, codigo, id_variedad, notas) SELECT '2cf8d99b', '2cf8d99b', id_variedad, NULL FROM Variedad WHERE nombre = 'Cabernet Sauv Millan 233';</t>
  </si>
  <si>
    <t>INSERT INTO Lote (id_lote, codigo, id_variedad, notas) SELECT 'ffaf53fb', 'ffaf53fb', id_variedad, NULL FROM Variedad WHERE nombre = 'Cabernet Sauv Millan 233';</t>
  </si>
  <si>
    <t>INSERT INTO Lote (id_lote, codigo, id_variedad, notas) SELECT 'bc83d8e6', 'bc83d8e6', id_variedad, NULL FROM Variedad WHERE nombre = 'Cabernet Sauv Millan 233';</t>
  </si>
  <si>
    <t>INSERT INTO Lote (id_lote, codigo, id_variedad, notas) SELECT '378271b5', '378271b5', id_variedad, NULL FROM Variedad WHERE nombre = 'Cabernet Sauv Millan 233';</t>
  </si>
  <si>
    <t>INSERT INTO Lote (id_lote, codigo, id_variedad, notas) SELECT '821a1155', '821a1155', id_variedad, NULL FROM Variedad WHERE nombre = 'Cabernet Sauv Millan 233';</t>
  </si>
  <si>
    <t>INSERT INTO Lote (id_lote, codigo, id_variedad, notas) SELECT '098ad529', '098ad529', id_variedad, NULL FROM Variedad WHERE nombre = 'Cabernet Sauv Millan 233';</t>
  </si>
  <si>
    <t>INSERT INTO Lote (id_lote, codigo, id_variedad, notas) SELECT 'ff99f9ec', 'ff99f9ec', id_variedad, NULL FROM Variedad WHERE nombre = 'Cabernet Sauv Millan 233';</t>
  </si>
  <si>
    <t>INSERT INTO Lote (id_lote, codigo, id_variedad, notas) SELECT '219552df', '219552df', id_variedad, NULL FROM Variedad WHERE nombre = 'Malbec Dulc';</t>
  </si>
  <si>
    <t>INSERT INTO Lote (id_lote, codigo, id_variedad, notas) SELECT '6dc7a9f7', '6dc7a9f7', id_variedad, NULL FROM Variedad WHERE nombre = 'Malbec Dulc';</t>
  </si>
  <si>
    <t>INSERT INTO Lote (id_lote, codigo, id_variedad, notas) SELECT 'a03cb596', 'a03cb596', id_variedad, NULL FROM Variedad WHERE nombre = 'Malbec Dulc';</t>
  </si>
  <si>
    <t>INSERT INTO Lote (id_lote, codigo, id_variedad, notas) SELECT 'bfc481b0', 'bfc481b0', id_variedad, NULL FROM Variedad WHERE nombre = 'Ajuste Arqueo 05/05/25';</t>
  </si>
  <si>
    <t>INSERT INTO Lote (id_lote, codigo, id_variedad, notas) SELECT '2e70766e', '2e70766e', id_variedad, NULL FROM Variedad WHERE nombre = 'Ajuste Arqueo 05/05/25';</t>
  </si>
  <si>
    <t>INSERT INTO Lote (id_lote, codigo, id_variedad, notas) SELECT '3285bc9d', '3285bc9d', id_variedad, NULL FROM Variedad WHERE nombre = 'Cabernet Sauv Millan 233 - - TRASLADO';</t>
  </si>
  <si>
    <t>INSERT INTO Lote (id_lote, codigo, id_variedad, notas) SELECT 'cf5c62c4', 'cf5c62c4', id_variedad, NULL FROM Variedad WHERE nombre = 'Malbec Millan 200 - TRASLADO';</t>
  </si>
  <si>
    <t>INSERT INTO Lote (id_lote, codigo, id_variedad, notas) SELECT '19e8f31c', '19e8f31c', id_variedad, NULL FROM Variedad WHERE nombre = 'Malbec Millan 200 - TRASLADO';</t>
  </si>
  <si>
    <t>INSERT INTO Lote (id_lote, codigo, id_variedad, notas) SELECT 'e07698b4', 'e07698b4', id_variedad, NULL FROM Variedad WHERE nombre = 'Cabernet Sauv Millan 233 - TRASLADO';</t>
  </si>
  <si>
    <t>INSERT INTO Lote (id_lote, codigo, id_variedad, notas) SELECT 'a2f1fdf7', 'a2f1fdf7', id_variedad, NULL FROM Variedad WHERE nombre = 'Bonarda';</t>
  </si>
  <si>
    <t>INSERT INTO Lote (id_lote, codigo, id_variedad, notas) SELECT '44e5df4d', '44e5df4d', id_variedad, NULL FROM Variedad WHERE nombre = 'Bonarda';</t>
  </si>
  <si>
    <t>INSERT INTO Lote (id_lote, codigo, id_variedad, notas) SELECT '0a82e5f5', '0a82e5f5', id_variedad, NULL FROM Variedad WHERE nombre = 'Malbec Carricondo Venta';</t>
  </si>
  <si>
    <t>INSERT INTO Lote (id_lote, codigo, id_variedad, notas) SELECT '55222a6e', '55222a6e', id_variedad, NULL FROM Variedad WHERE nombre = 'Malbec';</t>
  </si>
  <si>
    <t>INSERT INTO Lote (id_lote, codigo, id_variedad, notas) SELECT '187a80d6', '187a80d6', id_variedad, NULL FROM Variedad WHERE nombre = 'Cabernet Sauvignon prensa';</t>
  </si>
  <si>
    <t>INSERT INTO Lote (id_lote, codigo, id_variedad, notas) SELECT '95f6ad50', '95f6ad50', id_variedad, NULL FROM Variedad WHERE nombre = 'Malbec Dulc';</t>
  </si>
  <si>
    <t>INSERT INTO Lote (id_lote, codigo, id_variedad, notas) SELECT 'f80e7320', 'f80e7320', id_variedad, NULL FROM Variedad WHERE nombre = 'Syrah Tempranillo';</t>
  </si>
  <si>
    <t>INSERT INTO Lote (id_lote, codigo, id_variedad, notas) SELECT '1bdfaa93', '1bdfaa93', id_variedad, NULL FROM Variedad WHERE nombre = 'Malbec';</t>
  </si>
  <si>
    <t>INSERT INTO Lote (id_lote, codigo, id_variedad, notas) SELECT '7488f497', '7488f497', id_variedad, NULL FROM Variedad WHERE nombre = 'Malbec Carricondo Venta';</t>
  </si>
  <si>
    <t>INSERT INTO Lote (id_lote, codigo, id_variedad, notas) SELECT '8deed384', '8deed384', id_variedad, NULL FROM Variedad WHERE nombre = 'Tinto (Chardonnay)';</t>
  </si>
  <si>
    <t>INSERT INTO Lote (id_lote, codigo, id_variedad, notas) SELECT '9c9a8832', '9c9a8832', id_variedad, NULL FROM Variedad WHERE nombre = 'Tinto G';</t>
  </si>
  <si>
    <t>INSERT INTO Lote (id_lote, codigo, id_variedad, notas) SELECT '500a69fc', '500a69fc', id_variedad, NULL FROM Variedad WHERE nombre = 'Ajuste Arqueo 10/05/25';</t>
  </si>
  <si>
    <t>INSERT INTO Lote (id_lote, codigo, id_variedad, notas) SELECT '61f14f41', '61f14f41', id_variedad, NULL FROM Variedad WHERE nombre = 'Claro de Filtro';</t>
  </si>
  <si>
    <t>INSERT INTO Lote (id_lote, codigo, id_variedad, notas) SELECT 'eaad107d', 'eaad107d', id_variedad, NULL FROM Variedad WHERE nombre = 'Ajuste Arqueo 10/05/25';</t>
  </si>
  <si>
    <t>INSERT INTO Lote (id_lote, codigo, id_variedad, notas) SELECT '26f754e9', '26f754e9', id_variedad, NULL FROM Variedad WHERE nombre = 'Ajuste Arqueo 10/05/25';</t>
  </si>
  <si>
    <t>INSERT INTO Lote (id_lote, codigo, id_variedad, notas) SELECT '1d9b14f9', '1d9b14f9', id_variedad, NULL FROM Variedad WHERE nombre = 'Ajuste Arqueo 10/05/25';</t>
  </si>
  <si>
    <t>INSERT INTO Lote (id_lote, codigo, id_variedad, notas) SELECT 'cce48a18', 'cce48a18', id_variedad, NULL FROM Variedad WHERE nombre = 'Ajuste Arqueo 10/05/25';</t>
  </si>
  <si>
    <t>INSERT INTO Lote (id_lote, codigo, id_variedad, notas) SELECT 'b043a39f', 'b043a39f', id_variedad, NULL FROM Variedad WHERE nombre = 'Ajuste Arqueo 10/05/25';</t>
  </si>
  <si>
    <t>INSERT INTO Lote (id_lote, codigo, id_variedad, notas) SELECT 'b1bcdf75', 'b1bcdf75', id_variedad, NULL FROM Variedad WHERE nombre = 'Ajuste Arqueo 10/05/25';</t>
  </si>
  <si>
    <t>INSERT INTO Lote (id_lote, codigo, id_variedad, notas) SELECT '12de67aa', '12de67aa', id_variedad, NULL FROM Variedad WHERE nombre = 'Ajuste Arqueo 10/05/25';</t>
  </si>
  <si>
    <t>INSERT INTO Lote (id_lote, codigo, id_variedad, notas) SELECT 'f2ba5339', 'f2ba5339', id_variedad, NULL FROM Variedad WHERE nombre = 'Borra';</t>
  </si>
  <si>
    <t>INSERT INTO Lote (id_lote, codigo, id_variedad, notas) SELECT '01383aba', '01383aba', id_variedad, NULL FROM Variedad WHERE nombre = 'Malbec Rectifciado';</t>
  </si>
  <si>
    <t>INSERT INTO Lote (id_lote, codigo, id_variedad, notas) SELECT '84ce039f', '84ce039f', id_variedad, NULL FROM Variedad WHERE nombre = 'Syrah';</t>
  </si>
  <si>
    <t>INSERT INTO Lote (id_lote, codigo, id_variedad, notas) SELECT '582ad1a3', '582ad1a3', id_variedad, NULL FROM Variedad WHERE nombre = 'Borra';</t>
  </si>
  <si>
    <t>INSERT INTO Lote (id_lote, codigo, id_variedad, notas) SELECT 'ef0e58f9', 'ef0e58f9', id_variedad, NULL FROM Variedad WHERE nombre = 'Torrontes tacho Plastico';</t>
  </si>
  <si>
    <t>INSERT INTO Lote (id_lote, codigo, id_variedad, notas) SELECT '83616429', '83616429', id_variedad, NULL FROM Variedad WHERE nombre = 'Malbec Carricondo Venta';</t>
  </si>
  <si>
    <t>INSERT INTO Lote (id_lote, codigo, id_variedad, notas) SELECT '9466c3f8', '9466c3f8', id_variedad, NULL FROM Variedad WHERE nombre = 'Ajuste Arqueo 10/05/25';</t>
  </si>
  <si>
    <t>INSERT INTO Lote (id_lote, codigo, id_variedad, notas) SELECT '7b6d5389', '7b6d5389', id_variedad, NULL FROM Variedad WHERE nombre = 'Malbec Mec';</t>
  </si>
  <si>
    <t>INSERT INTO Lote (id_lote, codigo, id_variedad, notas) SELECT 'c6964445', 'c6964445', id_variedad, NULL FROM Variedad WHERE nombre = 'Syrah';</t>
  </si>
  <si>
    <t>INSERT INTO Lote (id_lote, codigo, id_variedad, notas) SELECT '59034d88', '59034d88', id_variedad, NULL FROM Variedad WHERE nombre = 'Cabernet Sauvignon - Rectificado';</t>
  </si>
  <si>
    <t>INSERT INTO Lote (id_lote, codigo, id_variedad, notas) SELECT '5b29cdd7', '5b29cdd7', id_variedad, NULL FROM Variedad WHERE nombre = 'Cabernet Sauvignon - Rectificado';</t>
  </si>
  <si>
    <t>INSERT INTO Lote (id_lote, codigo, id_variedad, notas) SELECT 'b553478c', 'b553478c', id_variedad, NULL FROM Variedad WHERE nombre = 'Cabernet Sauvignon - Rectificado';</t>
  </si>
  <si>
    <t>INSERT INTO Lote (id_lote, codigo, id_variedad, notas) SELECT 'db062f06', 'db062f06', id_variedad, NULL FROM Variedad WHERE nombre = 'Borra';</t>
  </si>
  <si>
    <t>INSERT INTO Lote (id_lote, codigo, id_variedad, notas) SELECT 'a3608d6e', 'a3608d6e', id_variedad, NULL FROM Variedad WHERE nombre = 'Cabernet Sauvignon - Rectificado';</t>
  </si>
  <si>
    <t>INSERT INTO Lote (id_lote, codigo, id_variedad, notas) SELECT '39eae928', '39eae928', id_variedad, NULL FROM Variedad WHERE nombre = 'Tinto';</t>
  </si>
  <si>
    <t>INSERT INTO Lote (id_lote, codigo, id_variedad, notas) SELECT '65aa5ca5', '65aa5ca5', id_variedad, NULL FROM Variedad WHERE nombre = 'Borra';</t>
  </si>
  <si>
    <t>INSERT INTO Lote (id_lote, codigo, id_variedad, notas) SELECT 'ae9d3290', 'ae9d3290', id_variedad, NULL FROM Variedad WHERE nombre = 'Tinto (Claro F)';</t>
  </si>
  <si>
    <t>INSERT INTO Lote (id_lote, codigo, id_variedad, notas) SELECT '94fbbcb1', '94fbbcb1', id_variedad, NULL FROM Variedad WHERE nombre = 'Tinto (Claro F)';</t>
  </si>
  <si>
    <t>INSERT INTO Lote (id_lote, codigo, id_variedad, notas) SELECT '7b7453a5', '7b7453a5', id_variedad, NULL FROM Variedad WHERE nombre = 'Aspirant Anccelota Gota';</t>
  </si>
  <si>
    <t>INSERT INTO Lote (id_lote, codigo, id_variedad, notas) SELECT '49682afa', '49682afa', id_variedad, NULL FROM Variedad WHERE nombre = 'Ajuste Arqueo 19/05/2025';</t>
  </si>
  <si>
    <t>INSERT INTO Lote (id_lote, codigo, id_variedad, notas) SELECT '01cf6615', '01cf6615', id_variedad, NULL FROM Variedad WHERE nombre = 'Borra';</t>
  </si>
  <si>
    <t>INSERT INTO Lote (id_lote, codigo, id_variedad, notas) SELECT 'ea842d91', 'ea842d91', id_variedad, NULL FROM Variedad WHERE nombre = 'Borra';</t>
  </si>
  <si>
    <t>INSERT INTO Lote (id_lote, codigo, id_variedad, notas) SELECT 'a4bf5699', 'a4bf5699', id_variedad, NULL FROM Variedad WHERE nombre = 'Ajuste Arqueo 19/05/2025';</t>
  </si>
  <si>
    <t>INSERT INTO Lote (id_lote, codigo, id_variedad, notas) SELECT 'd24b2834', 'd24b2834', id_variedad, NULL FROM Variedad WHERE nombre = 'Ajuste Arqueo 19/05/2025';</t>
  </si>
  <si>
    <t>INSERT INTO Lote (id_lote, codigo, id_variedad, notas) SELECT 'b16ab165', 'b16ab165', id_variedad, NULL FROM Variedad WHERE nombre = 'Ajuste Arqueo 19/05/2025';</t>
  </si>
  <si>
    <t>INSERT INTO Lote (id_lote, codigo, id_variedad, notas) SELECT 'b82badfa', 'b82badfa', id_variedad, NULL FROM Variedad WHERE nombre = 'Ajuste Arqueo 19/05/2025';</t>
  </si>
  <si>
    <t>INSERT INTO Lote (id_lote, codigo, id_variedad, notas) SELECT '9059a425', '9059a425', id_variedad, NULL FROM Variedad WHERE nombre = 'Ajuste Arqueo 19/05/2025';</t>
  </si>
  <si>
    <t>INSERT INTO Lote (id_lote, codigo, id_variedad, notas) SELECT 'e9659899', 'e9659899', id_variedad, NULL FROM Variedad WHERE nombre = 'Ajuste Arqueo 19/05/2025';</t>
  </si>
  <si>
    <t>INSERT INTO Lote (id_lote, codigo, id_variedad, notas) SELECT 'b9348c96', 'b9348c96', id_variedad, NULL FROM Variedad WHERE nombre = 'Ajuste Arqueo 19/05/2025';</t>
  </si>
  <si>
    <t>INSERT INTO Lote (id_lote, codigo, id_variedad, notas) SELECT '2afd72e2', '2afd72e2', id_variedad, NULL FROM Variedad WHERE nombre = 'Ajuste Arqueo 19/05/2025';</t>
  </si>
  <si>
    <t>INSERT INTO Lote (id_lote, codigo, id_variedad, notas) SELECT '156fcfa6', '156fcfa6', id_variedad, NULL FROM Variedad WHERE nombre = 'Tinto Venta Garbin';</t>
  </si>
  <si>
    <t>INSERT INTO Lote (id_lote, codigo, id_variedad, notas) SELECT '3fbc32d2', '3fbc32d2', id_variedad, NULL FROM Variedad WHERE nombre = 'Tinto Venta Garbin';</t>
  </si>
  <si>
    <t>INSERT INTO Lote (id_lote, codigo, id_variedad, notas) SELECT 'f3656dbf', 'f3656dbf', id_variedad, NULL FROM Variedad WHERE nombre = 'Tinto Venta Garbin';</t>
  </si>
  <si>
    <t>INSERT INTO Lote (id_lote, codigo, id_variedad, notas) SELECT '5c83ebb2', '5c83ebb2', id_variedad, NULL FROM Variedad WHERE nombre = 'Tinto Venta Garbin';</t>
  </si>
  <si>
    <t>INSERT INTO Lote (id_lote, codigo, id_variedad, notas) SELECT 'ebb87073', 'ebb87073', id_variedad, NULL FROM Variedad WHERE nombre = 'Borra';</t>
  </si>
  <si>
    <t>INSERT INTO Lote (id_lote, codigo, id_variedad, notas) SELECT 'ab0df0a5', 'ab0df0a5', id_variedad, NULL FROM Variedad WHERE nombre = 'Tinto Venta Garbin';</t>
  </si>
  <si>
    <t>INSERT INTO Lote (id_lote, codigo, id_variedad, notas) SELECT '94013da4', '94013da4', id_variedad, NULL FROM Variedad WHERE nombre = 'Sin variedad';</t>
  </si>
  <si>
    <t>INSERT INTO Lote (id_lote, codigo, id_variedad, notas) SELECT '8fa197ac', '8fa197ac', id_variedad, NULL FROM Variedad WHERE nombre = 'Syrah Tempranillo';</t>
  </si>
  <si>
    <t>INSERT INTO Lote (id_lote, codigo, id_variedad, notas) SELECT 'a9aa0086', 'a9aa0086', id_variedad, NULL FROM Variedad WHERE nombre = 'Syrah Tempranillo';</t>
  </si>
  <si>
    <t>INSERT INTO Lote (id_lote, codigo, id_variedad, notas) SELECT '853ab9c1', '853ab9c1', id_variedad, NULL FROM Variedad WHERE nombre = 'Syrah';</t>
  </si>
  <si>
    <t>INSERT INTO Lote (id_lote, codigo, id_variedad, notas) SELECT '1fdf5dbd', '1fdf5dbd', id_variedad, NULL FROM Variedad WHERE nombre = 'Syrah';</t>
  </si>
  <si>
    <t>INSERT INTO Lote (id_lote, codigo, id_variedad, notas) SELECT '530c9456', '530c9456', id_variedad, NULL FROM Variedad WHERE nombre = 'Cabernet Sauvignon - Rectificado';</t>
  </si>
  <si>
    <t>INSERT INTO Lote (id_lote, codigo, id_variedad, notas) SELECT '536eff33', '536eff33', id_variedad, NULL FROM Variedad WHERE nombre = 'Tinto';</t>
  </si>
  <si>
    <t>INSERT INTO Lote (id_lote, codigo, id_variedad, notas) SELECT 'e81f7a10', 'e81f7a10', id_variedad, NULL FROM Variedad WHERE nombre = 'Malbec';</t>
  </si>
  <si>
    <t>INSERT INTO Lote (id_lote, codigo, id_variedad, notas) SELECT 'fcd4899d', 'fcd4899d', id_variedad, NULL FROM Variedad WHERE nombre = 'Malbec';</t>
  </si>
  <si>
    <t>INSERT INTO Lote (id_lote, codigo, id_variedad, notas) SELECT '1c1b6466', '1c1b6466', id_variedad, NULL FROM Variedad WHERE nombre = 'Malbec';</t>
  </si>
  <si>
    <t>INSERT INTO Lote (id_lote, codigo, id_variedad, notas) SELECT '3f1dcd1d', '3f1dcd1d', id_variedad, NULL FROM Variedad WHERE nombre = 'Malbec';</t>
  </si>
  <si>
    <t>INSERT INTO Lote (id_lote, codigo, id_variedad, notas) SELECT '1f03bf4a', '1f03bf4a', id_variedad, NULL FROM Variedad WHERE nombre = 'Malbec';</t>
  </si>
  <si>
    <t>INSERT INTO Lote (id_lote, codigo, id_variedad, notas) SELECT 'b3a40361', 'b3a40361', id_variedad, NULL FROM Variedad WHERE nombre = 'Malbec';</t>
  </si>
  <si>
    <t>INSERT INTO Lote (id_lote, codigo, id_variedad, notas) SELECT '39adf883', '39adf883', id_variedad, NULL FROM Variedad WHERE nombre = 'Ajustes 23/5/2025';</t>
  </si>
  <si>
    <t>INSERT INTO Lote (id_lote, codigo, id_variedad, notas) SELECT '44074e3a', '44074e3a', id_variedad, NULL FROM Variedad WHERE nombre = 'Ajustes 23/5/2025';</t>
  </si>
  <si>
    <t>INSERT INTO Lote (id_lote, codigo, id_variedad, notas) SELECT '0c98b90d', '0c98b90d', id_variedad, NULL FROM Variedad WHERE nombre = 'Malbec';</t>
  </si>
  <si>
    <t>INSERT INTO Lote (id_lote, codigo, id_variedad, notas) SELECT '831c7ff8', '831c7ff8', id_variedad, NULL FROM Variedad WHERE nombre = 'Malbec';</t>
  </si>
  <si>
    <t>INSERT INTO Lote (id_lote, codigo, id_variedad, notas) SELECT 'c5230377', 'c5230377', id_variedad, NULL FROM Variedad WHERE nombre = 'Malbec';</t>
  </si>
  <si>
    <t>INSERT INTO Lote (id_lote, codigo, id_variedad, notas) SELECT '08cd1438', '08cd1438', id_variedad, NULL FROM Variedad WHERE nombre = 'Malbec';</t>
  </si>
  <si>
    <t>INSERT INTO Lote (id_lote, codigo, id_variedad, notas) SELECT '62ec9377', '62ec9377', id_variedad, NULL FROM Variedad WHERE nombre = 'Ajustes 23/5/2025';</t>
  </si>
  <si>
    <t>INSERT INTO Lote (id_lote, codigo, id_variedad, notas) SELECT '9ad9bdea', '9ad9bdea', id_variedad, NULL FROM Variedad WHERE nombre = 'Malbec';</t>
  </si>
  <si>
    <t>INSERT INTO Lote (id_lote, codigo, id_variedad, notas) SELECT '6f76277b', '6f76277b', id_variedad, NULL FROM Variedad WHERE nombre = 'Bonarda Rect';</t>
  </si>
  <si>
    <t>INSERT INTO Lote (id_lote, codigo, id_variedad, notas) SELECT '434cf64c', '434cf64c', id_variedad, NULL FROM Variedad WHERE nombre = 'Malbec';</t>
  </si>
  <si>
    <t>INSERT INTO Lote (id_lote, codigo, id_variedad, notas) SELECT '1031b227', '1031b227', id_variedad, NULL FROM Variedad WHERE nombre = 'Malbec';</t>
  </si>
  <si>
    <t>INSERT INTO Lote (id_lote, codigo, id_variedad, notas) SELECT '654f35d0', '654f35d0', id_variedad, NULL FROM Variedad WHERE nombre = 'Anccelotta';</t>
  </si>
  <si>
    <t>INSERT INTO Lote (id_lote, codigo, id_variedad, notas) SELECT 'dc8b07fe', 'dc8b07fe', id_variedad, NULL FROM Variedad WHERE nombre = 'Cabernet Sauvignon Rectificado';</t>
  </si>
  <si>
    <t>INSERT INTO Lote (id_lote, codigo, id_variedad, notas) SELECT '36493bbe', '36493bbe', id_variedad, NULL FROM Variedad WHERE nombre = 'Tinto (Ch)';</t>
  </si>
  <si>
    <t>INSERT INTO Lote (id_lote, codigo, id_variedad, notas) SELECT '605416fd', '605416fd', id_variedad, NULL FROM Variedad WHERE nombre = 'Bonarda';</t>
  </si>
  <si>
    <t>INSERT INTO Lote (id_lote, codigo, id_variedad, notas) SELECT 'dfa54ee5', 'dfa54ee5', id_variedad, NULL FROM Variedad WHERE nombre = 'Cabernet Sauvignon Rectificado';</t>
  </si>
  <si>
    <t>INSERT INTO Lote (id_lote, codigo, id_variedad, notas) SELECT '179cf3c0', '179cf3c0', id_variedad, NULL FROM Variedad WHERE nombre = 'Cabernet Sauvignon';</t>
  </si>
  <si>
    <t>INSERT INTO Lote (id_lote, codigo, id_variedad, notas) SELECT 'ea27bb38', 'ea27bb38', id_variedad, NULL FROM Variedad WHERE nombre = 'Cabernet Sauvignon';</t>
  </si>
  <si>
    <t>INSERT INTO Lote (id_lote, codigo, id_variedad, notas) SELECT '2fa9b98c', '2fa9b98c', id_variedad, NULL FROM Variedad WHERE nombre = 'Tacho Pl Torrontes';</t>
  </si>
  <si>
    <t>INSERT INTO Lote (id_lote, codigo, id_variedad, notas) SELECT '443026c5', '443026c5', id_variedad, NULL FROM Variedad WHERE nombre = 'Ajuste Volumen 31/05/25';</t>
  </si>
  <si>
    <t>INSERT INTO Lote (id_lote, codigo, id_variedad, notas) SELECT 'b0fab2d5', 'b0fab2d5', id_variedad, NULL FROM Variedad WHERE nombre = 'Ajuste Volumen 31/05/25';</t>
  </si>
  <si>
    <t>INSERT INTO Lote (id_lote, codigo, id_variedad, notas) SELECT '0b40d5e5', '0b40d5e5', id_variedad, NULL FROM Variedad WHERE nombre = 'Ajuste Volumen 31/05/25';</t>
  </si>
  <si>
    <t>INSERT INTO Lote (id_lote, codigo, id_variedad, notas) SELECT 'c67f70aa', 'c67f70aa', id_variedad, NULL FROM Variedad WHERE nombre = 'Syrah';</t>
  </si>
  <si>
    <t>INSERT INTO Lote (id_lote, codigo, id_variedad, notas) SELECT 'a5c09bfd', 'a5c09bfd', id_variedad, NULL FROM Variedad WHERE nombre = 'Tanat';</t>
  </si>
  <si>
    <t>INSERT INTO Lote (id_lote, codigo, id_variedad, notas) SELECT '5bcfde25', '5bcfde25', id_variedad, NULL FROM Variedad WHERE nombre = 'Ajuste Volumen 31/05/25';</t>
  </si>
  <si>
    <t>INSERT INTO Lote (id_lote, codigo, id_variedad, notas) SELECT '282f2489', '282f2489', id_variedad, NULL FROM Variedad WHERE nombre = 'Ajuste Volumen 31/05/25';</t>
  </si>
  <si>
    <t>INSERT INTO Lote (id_lote, codigo, id_variedad, notas) SELECT 'bcb7028c', 'bcb7028c', id_variedad, NULL FROM Variedad WHERE nombre = 'Bonarda';</t>
  </si>
  <si>
    <t>INSERT INTO Lote (id_lote, codigo, id_variedad, notas) SELECT '7d603b31', '7d603b31', id_variedad, NULL FROM Variedad WHERE nombre = 'Bonarda';</t>
  </si>
  <si>
    <t>INSERT INTO Lote (id_lote, codigo, id_variedad, notas) SELECT '55f15634', '55f15634', id_variedad, NULL FROM Variedad WHERE nombre = 'Bonarda';</t>
  </si>
  <si>
    <t>INSERT INTO Lote (id_lote, codigo, id_variedad, notas) SELECT 'e62f11a1', 'e62f11a1', id_variedad, NULL FROM Variedad WHERE nombre = 'Bonarda';</t>
  </si>
  <si>
    <t>INSERT INTO Lote (id_lote, codigo, id_variedad, notas) SELECT 'da5fcb21', 'da5fcb21', id_variedad, NULL FROM Variedad WHERE nombre = 'Tanat';</t>
  </si>
  <si>
    <t>INSERT INTO Lote (id_lote, codigo, id_variedad, notas) SELECT 'eb6cce4f', 'eb6cce4f', id_variedad, NULL FROM Variedad WHERE nombre = 'Anccelotta';</t>
  </si>
  <si>
    <t>INSERT INTO Lote (id_lote, codigo, id_variedad, notas) SELECT '7a9e7f06', '7a9e7f06', id_variedad, NULL FROM Variedad WHERE nombre = 'Tanat';</t>
  </si>
  <si>
    <t>INSERT INTO Lote (id_lote, codigo, id_variedad, notas) SELECT 'eca5b8cb', 'eca5b8cb', id_variedad, NULL FROM Variedad WHERE nombre = 'Bonarda';</t>
  </si>
  <si>
    <t>INSERT INTO Lote (id_lote, codigo, id_variedad, notas) SELECT '4da9d1b8', '4da9d1b8', id_variedad, NULL FROM Variedad WHERE nombre = 'Chardonnay Venta La Vendimia';</t>
  </si>
  <si>
    <t>INSERT INTO Lote (id_lote, codigo, id_variedad, notas) SELECT '8ea18b46', '8ea18b46', id_variedad, NULL FROM Variedad WHERE nombre = 'Malbec Venta Lopez';</t>
  </si>
  <si>
    <t>INSERT INTO Lote (id_lote, codigo, id_variedad, notas) SELECT '909558a7', '909558a7', id_variedad, NULL FROM Variedad WHERE nombre = 'Malbec Venta Lopez';</t>
  </si>
  <si>
    <t>INSERT INTO Lote (id_lote, codigo, id_variedad, notas) SELECT '39710208', '39710208', id_variedad, NULL FROM Variedad WHERE nombre = 'Malbec Venta Lopez';</t>
  </si>
  <si>
    <t>INSERT INTO Lote (id_lote, codigo, id_variedad, notas) SELECT '9788a9f2', '9788a9f2', id_variedad, NULL FROM Variedad WHERE nombre = 'Malbec Venta Lopez';</t>
  </si>
  <si>
    <t>INSERT INTO Lote (id_lote, codigo, id_variedad, notas) SELECT 'c1ded7f4', 'c1ded7f4', id_variedad, NULL FROM Variedad WHERE nombre = 'Sin variedad';</t>
  </si>
  <si>
    <t>INSERT INTO Lote (id_lote, codigo, id_variedad, notas) SELECT '0148e4b4', '0148e4b4', id_variedad, NULL FROM Variedad WHERE nombre = 'Tinto';</t>
  </si>
  <si>
    <t>INSERT INTO Lote (id_lote, codigo, id_variedad, notas) SELECT 'c93a8335', 'c93a8335', id_variedad, NULL FROM Variedad WHERE nombre = 'Tinto';</t>
  </si>
  <si>
    <t>INSERT INTO Lote (id_lote, codigo, id_variedad, notas) SELECT '3f9e249f', '3f9e249f', id_variedad, NULL FROM Variedad WHERE nombre = 'Tinto';</t>
  </si>
  <si>
    <t>INSERT INTO Lote (id_lote, codigo, id_variedad, notas) SELECT '397c9478', '397c9478', id_variedad, NULL FROM Variedad WHERE nombre = 'Syrah Rectificado';</t>
  </si>
  <si>
    <t>INSERT INTO Lote (id_lote, codigo, id_variedad, notas) SELECT '4bb0e577', '4bb0e577', id_variedad, NULL FROM Variedad WHERE nombre = 'Tinto';</t>
  </si>
  <si>
    <t>INSERT INTO Lote (id_lote, codigo, id_variedad, notas) SELECT '7df69242', '7df69242', id_variedad, NULL FROM Variedad WHERE nombre = 'Tinto';</t>
  </si>
  <si>
    <t>INSERT INTO Lote (id_lote, codigo, id_variedad, notas) SELECT '2b0750b6', '2b0750b6', id_variedad, NULL FROM Variedad WHERE nombre = 'Tinto';</t>
  </si>
  <si>
    <t>INSERT INTO Lote (id_lote, codigo, id_variedad, notas) SELECT '5b15cadb', '5b15cadb', id_variedad, NULL FROM Variedad WHERE nombre = 'Tinto';</t>
  </si>
  <si>
    <t>INSERT INTO Lote (id_lote, codigo, id_variedad, notas) SELECT 'c18d0513', 'c18d0513', id_variedad, NULL FROM Variedad WHERE nombre = 'Tinto';</t>
  </si>
  <si>
    <t>INSERT INTO Lote (id_lote, codigo, id_variedad, notas) SELECT '6ea6229d', '6ea6229d', id_variedad, NULL FROM Variedad WHERE nombre = 'Tinto';</t>
  </si>
  <si>
    <t>INSERT INTO Lote (id_lote, codigo, id_variedad, notas) SELECT '9aa777e2', '9aa777e2', id_variedad, NULL FROM Variedad WHERE nombre = 'Tinto';</t>
  </si>
  <si>
    <t>INSERT INTO Lote (id_lote, codigo, id_variedad, notas) SELECT 'fd98c394', 'fd98c394', id_variedad, NULL FROM Variedad WHERE nombre = 'Tinto';</t>
  </si>
  <si>
    <t>INSERT INTO Lote (id_lote, codigo, id_variedad, notas) SELECT '5f7e8218', '5f7e8218', id_variedad, NULL FROM Variedad WHERE nombre = 'Syrah Tempranillo';</t>
  </si>
  <si>
    <t>INSERT INTO Lote (id_lote, codigo, id_variedad, notas) SELECT '65584c29', '65584c29', id_variedad, NULL FROM Variedad WHERE nombre = 'Tinto';</t>
  </si>
  <si>
    <t>INSERT INTO Lote (id_lote, codigo, id_variedad, notas) SELECT '1b1e47bd', '1b1e47bd', id_variedad, NULL FROM Variedad WHERE nombre = 'Ajuste Arqueo 17/06/2025';</t>
  </si>
  <si>
    <t>INSERT INTO Lote (id_lote, codigo, id_variedad, notas) SELECT '6998d133', '6998d133', id_variedad, NULL FROM Variedad WHERE nombre = 'Ajuste Arqueo 17/06/2025';</t>
  </si>
  <si>
    <t>INSERT INTO Lote (id_lote, codigo, id_variedad, notas) SELECT '1a738e1d', '1a738e1d', id_variedad, NULL FROM Variedad WHERE nombre = 'Ajuste Arqueo 17/06/2025';</t>
  </si>
  <si>
    <t>INSERT INTO Lote (id_lote, codigo, id_variedad, notas) SELECT '539224d6', '539224d6', id_variedad, NULL FROM Variedad WHERE nombre = 'Tinto';</t>
  </si>
  <si>
    <t>INSERT INTO Lote (id_lote, codigo, id_variedad, notas) SELECT 'd93b980f', 'd93b980f', id_variedad, NULL FROM Variedad WHERE nombre = 'Malbec Montecepas 24 - fraccionamiento bolsas 3 lts x 100';</t>
  </si>
  <si>
    <t>INSERT INTO Lote (id_lote, codigo, id_variedad, notas) SELECT 'f5100dbb', 'f5100dbb', id_variedad, NULL FROM Variedad WHERE nombre = 'Syrah Rectificado';</t>
  </si>
  <si>
    <t>INSERT INTO Lote (id_lote, codigo, id_variedad, notas) SELECT '0749b537', '0749b537', id_variedad, NULL FROM Variedad WHERE nombre = 'Syrah Rectificado';</t>
  </si>
  <si>
    <t>INSERT INTO Lote (id_lote, codigo, id_variedad, notas) SELECT '4466c2c4', '4466c2c4', id_variedad, NULL FROM Variedad WHERE nombre = 'Syrah';</t>
  </si>
  <si>
    <t>INSERT INTO Lote (id_lote, codigo, id_variedad, notas) SELECT '20f6d1c5', '20f6d1c5', id_variedad, NULL FROM Variedad WHERE nombre = 'Syrah';</t>
  </si>
  <si>
    <t>INSERT INTO Lote (id_lote, codigo, id_variedad, notas) SELECT 'e298408d', 'e298408d', id_variedad, NULL FROM Variedad WHERE nombre = 'Syrah';</t>
  </si>
  <si>
    <t>INSERT INTO Lote (id_lote, codigo, id_variedad, notas) SELECT '710b5805', '710b5805', id_variedad, NULL FROM Variedad WHERE nombre = 'Syrah Rect';</t>
  </si>
  <si>
    <t>INSERT INTO Lote (id_lote, codigo, id_variedad, notas) SELECT 'bb5f3ffb', 'bb5f3ffb', id_variedad, NULL FROM Variedad WHERE nombre = 'Syrah';</t>
  </si>
  <si>
    <t>INSERT INTO Lote (id_lote, codigo, id_variedad, notas) SELECT '502df566', '502df566', id_variedad, NULL FROM Variedad WHERE nombre = 'Syrah';</t>
  </si>
  <si>
    <t>INSERT INTO Lote (id_lote, codigo, id_variedad, notas) SELECT 'eed09ba0', 'eed09ba0', id_variedad, NULL FROM Variedad WHERE nombre = 'Syrah Tempranillo';</t>
  </si>
  <si>
    <t>INSERT INTO Lote (id_lote, codigo, id_variedad, notas) SELECT 'aa0c81d4', 'aa0c81d4', id_variedad, NULL FROM Variedad WHERE nombre = 'Ajuste 27/06/25';</t>
  </si>
  <si>
    <t>INSERT INTO Lote (id_lote, codigo, id_variedad, notas) SELECT '7794d5a9', '7794d5a9', id_variedad, NULL FROM Variedad WHERE nombre = 'Ajuste 27/06/25';</t>
  </si>
  <si>
    <t>INSERT INTO Lote (id_lote, codigo, id_variedad, notas) SELECT 'c441bbfa', 'c441bbfa', id_variedad, NULL FROM Variedad WHERE nombre = 'Claro de Filtro';</t>
  </si>
  <si>
    <t>INSERT INTO Lote (id_lote, codigo, id_variedad, notas) SELECT '15c039be', '15c039be', id_variedad, NULL FROM Variedad WHERE nombre = 'Borra Seca';</t>
  </si>
  <si>
    <t>INSERT INTO Lote (id_lote, codigo, id_variedad, notas) SELECT 'ae993fbd', 'ae993fbd', id_variedad, NULL FROM Variedad WHERE nombre = 'Claro de Filtro';</t>
  </si>
  <si>
    <t>INSERT INTO Lote (id_lote, codigo, id_variedad, notas) SELECT '0ff5560e', '0ff5560e', id_variedad, NULL FROM Variedad WHERE nombre = 'Borra Seca';</t>
  </si>
  <si>
    <t>INSERT INTO Lote (id_lote, codigo, id_variedad, notas) SELECT 'ece3c136', 'ece3c136', id_variedad, NULL FROM Variedad WHERE nombre = 'Borra Seca';</t>
  </si>
  <si>
    <t>INSERT INTO Lote (id_lote, codigo, id_variedad, notas) SELECT 'af74f307', 'af74f307', id_variedad, NULL FROM Variedad WHERE nombre = 'Borra Seca';</t>
  </si>
  <si>
    <t>INSERT INTO Lote (id_lote, codigo, id_variedad, notas) SELECT '0e2a111b', '0e2a111b', id_variedad, NULL FROM Variedad WHERE nombre = 'Cabernet Sauvignon';</t>
  </si>
  <si>
    <t>INSERT INTO Lote (id_lote, codigo, id_variedad, notas) SELECT '7b50f0b5', '7b50f0b5', id_variedad, NULL FROM Variedad WHERE nombre = 'Claro de Filtro';</t>
  </si>
  <si>
    <t>INSERT INTO Lote (id_lote, codigo, id_variedad, notas) SELECT 'f952d789', 'f952d789', id_variedad, NULL FROM Variedad WHERE nombre = 'Ajuste de filtrado Tang y rellenos 29/7/25';</t>
  </si>
  <si>
    <t>INSERT INTO Lote (id_lote, codigo, id_variedad, notas) SELECT 'e4144c4c', 'e4144c4c', id_variedad, NULL FROM Variedad WHERE nombre = 'Ajuste de filtrado Tang y rellenos 29/7/25';</t>
  </si>
  <si>
    <t>INSERT INTO Lote (id_lote, codigo, id_variedad, notas) SELECT '4d3f24b6', '4d3f24b6', id_variedad, NULL FROM Variedad WHERE nombre = 'Cabernet Sauvignon';</t>
  </si>
  <si>
    <t>INSERT INTO Lote (id_lote, codigo, id_variedad, notas) SELECT '32d80802', '32d80802', id_variedad, NULL FROM Variedad WHERE nombre = 'Cabernet Sauvignon';</t>
  </si>
  <si>
    <t>INSERT INTO Lote (id_lote, codigo, id_variedad, notas) SELECT '32fe7ee0', '32fe7ee0', id_variedad, NULL FROM Variedad WHERE nombre = 'Aspirant 24';</t>
  </si>
  <si>
    <t>INSERT INTO Lote (id_lote, codigo, id_variedad, notas) SELECT 'a2e5798e', 'a2e5798e', id_variedad, NULL FROM Variedad WHERE nombre = 'Malbec Lopez';</t>
  </si>
  <si>
    <t>INSERT INTO Lote (id_lote, codigo, id_variedad, notas) SELECT '83d74d31', '83d74d31', id_variedad, NULL FROM Variedad WHERE nombre = 'Malbec Lopez';</t>
  </si>
  <si>
    <t>INSERT INTO Lote (id_lote, codigo, id_variedad, notas) SELECT '93609069', '93609069', id_variedad, NULL FROM Variedad WHERE nombre = 'Malbec Lopez';</t>
  </si>
  <si>
    <t>INSERT INTO Lote (id_lote, codigo, id_variedad, notas) SELECT 'db0fbb38', 'db0fbb38', id_variedad, NULL FROM Variedad WHERE nombre = 'Malbec Lopez';</t>
  </si>
  <si>
    <t>INSERT INTO Lote (id_lote, codigo, id_variedad, notas) SELECT 'cc6978c9', 'cc6978c9', id_variedad, NULL FROM Variedad WHERE nombre = 'Malbec Lopez';</t>
  </si>
  <si>
    <t>INSERT INTO Lote (id_lote, codigo, id_variedad, notas) SELECT '686fc77a', '686fc77a', id_variedad, NULL FROM Variedad WHERE nombre = 'Bonarda';</t>
  </si>
  <si>
    <t>INSERT INTO Lote (id_lote, codigo, id_variedad, notas) SELECT '7a61df09', '7a61df09', id_variedad, NULL FROM Variedad WHERE nombre = 'Tinto';</t>
  </si>
  <si>
    <t>INSERT INTO Lote (id_lote, codigo, id_variedad, notas) SELECT '5da633b1', '5da633b1', id_variedad, NULL FROM Variedad WHERE nombre = 'Chardonnay Calia Venta';</t>
  </si>
  <si>
    <t>INSERT INTO Lote (id_lote, codigo, id_variedad, notas) SELECT '65fa0dbb', '65fa0dbb', id_variedad, NULL FROM Variedad WHERE nombre = 'Chardonnay Calia Venta';</t>
  </si>
  <si>
    <t>INSERT INTO Lote (id_lote, codigo, id_variedad, notas) SELECT '2a8efe4b', '2a8efe4b', id_variedad, NULL FROM Variedad WHERE nombre = 'Chardonnay Calia Venta';</t>
  </si>
  <si>
    <t>INSERT INTO Lote (id_lote, codigo, id_variedad, notas) SELECT 'e8a80129', 'e8a80129', id_variedad, NULL FROM Variedad WHERE nombre = 'Chardonnay Calia Venta';</t>
  </si>
  <si>
    <t>INSERT INTO Lote (id_lote, codigo, id_variedad, notas) SELECT '86648be2', '86648be2', id_variedad, NULL FROM Variedad WHERE nombre = 'Chardonnay Calia Venta';</t>
  </si>
  <si>
    <t>INSERT INTO Lote (id_lote, codigo, id_variedad, notas) SELECT '30c122f9', '30c122f9', id_variedad, NULL FROM Variedad WHERE nombre = 'Ajuste 11/08/25';</t>
  </si>
  <si>
    <t>INSERT INTO Lote (id_lote, codigo, id_variedad, notas) SELECT '21674f90', '21674f90', id_variedad, NULL FROM Variedad WHERE nombre = 'Ajuste 11/08/25';</t>
  </si>
  <si>
    <t>INSERT INTO Lote (id_lote, codigo, id_variedad, notas) SELECT '19243587', '19243587', id_variedad, NULL FROM Variedad WHERE nombre = 'Ajuste 11/08/25';</t>
  </si>
  <si>
    <t>INSERT INTO Lote (id_lote, codigo, id_variedad, notas) SELECT '613e2a90', '613e2a90', id_variedad, NULL FROM Variedad WHERE nombre = 'Ajuste 11/08/25';</t>
  </si>
  <si>
    <t>INSERT INTO Lote (id_lote, codigo, id_variedad, notas) SELECT 'd52c4944', 'd52c4944', id_variedad, NULL FROM Variedad WHERE nombre = 'Cabernet Sauvignon';</t>
  </si>
  <si>
    <t>INSERT INTO Lote (id_lote, codigo, id_variedad, notas) SELECT 'a9a1224c', 'a9a1224c', id_variedad, NULL FROM Variedad WHERE nombre = 'Ajuste 11/08/25';</t>
  </si>
  <si>
    <t>INSERT INTO Lote (id_lote, codigo, id_variedad, notas) SELECT 'ae07f26a', 'ae07f26a', id_variedad, NULL FROM Variedad WHERE nombre = 'Malbec Medrano L 5223';</t>
  </si>
  <si>
    <t>INSERT INTO Lote (id_lote, codigo, id_variedad, notas) SELECT '20dba0dd', '20dba0dd', id_variedad, NULL FROM Variedad WHERE nombre = 'Malbec Medrano L 5223';</t>
  </si>
  <si>
    <t>INSERT INTO Lote (id_lote, codigo, id_variedad, notas) SELECT '4cb5f547', '4cb5f547', id_variedad, NULL FROM Variedad WHERE nombre = 'Bonarda';</t>
  </si>
  <si>
    <t>INSERT INTO Lote (id_lote, codigo, id_variedad, notas) SELECT '6d97827a', '6d97827a', id_variedad, NULL FROM Variedad WHERE nombre = 'Syrah Tempranillo';</t>
  </si>
  <si>
    <t>INSERT INTO Lote (id_lote, codigo, id_variedad, notas) SELECT '99a4f454', '99a4f454', id_variedad, NULL FROM Variedad WHERE nombre = 'Malbec Medrano L 5223 - Fraccionado';</t>
  </si>
  <si>
    <t>INSERT INTO Lote (id_lote, codigo, id_variedad, notas) SELECT '5db7be38', '5db7be38', id_variedad, NULL FROM Variedad WHERE nombre = 'Malbec Montecepas L 5223';</t>
  </si>
  <si>
    <t>INSERT INTO Lote (id_lote, codigo, id_variedad, notas) SELECT 'df10fd91', 'df10fd91', id_variedad, NULL FROM Variedad WHERE nombre = 'Malbec Magneta Fraccionado L 5223';</t>
  </si>
  <si>
    <t>INSERT INTO Lote (id_lote, codigo, id_variedad, notas) SELECT 'aa688500', 'aa688500', id_variedad, NULL FROM Variedad WHERE nombre = 'Malbec Montecepas L 5223 - Fraccionado';</t>
  </si>
  <si>
    <t>INSERT INTO Lote (id_lote, codigo, id_variedad, notas) SELECT 'cbc84b48', 'cbc84b48', id_variedad, NULL FROM Variedad WHERE nombre = 'Malbec Montecepas L 5223 - Fraccionado';</t>
  </si>
  <si>
    <t>-- 6. TABLA: Pileta_contenido</t>
  </si>
  <si>
    <t>INSERT INTO Pileta_contenido (id_pileta, id_lote, fecha_inicio, cantidad_inicial_lts, cantidad_actual_lts, observaciones) VALUES (2, '04b35bd0', '2025-02-15 00:00:00', 12500, 12500, NULL);</t>
  </si>
  <si>
    <t>INSERT INTO Pileta_contenido (id_pileta, id_lote, fecha_inicio, cantidad_inicial_lts, cantidad_actual_lts, observaciones) VALUES (3, '51d6bbdd', '2025-02-15 00:00:00', 0, 14000, NULL);</t>
  </si>
  <si>
    <t>INSERT INTO Pileta_contenido (id_pileta, id_lote, fecha_inicio, cantidad_inicial_lts, cantidad_actual_lts, observaciones) VALUES (6, '6cde19b3', '2025-02-15 00:00:00', 0, 69750, NULL);</t>
  </si>
  <si>
    <t>INSERT INTO Pileta_contenido (id_pileta, id_lote, fecha_inicio, cantidad_inicial_lts, cantidad_actual_lts, observaciones) VALUES (7, '348ea8a7', '2025-02-15 00:00:00', 0, 12500, NULL);</t>
  </si>
  <si>
    <t>INSERT INTO Pileta_contenido (id_pileta, id_lote, fecha_inicio, cantidad_inicial_lts, cantidad_actual_lts, observaciones) VALUES (7, '8c336568', '2025-02-15 00:00:00', 12500, 26500, NULL);</t>
  </si>
  <si>
    <t>INSERT INTO Pileta_contenido (id_pileta, id_lote, fecha_inicio, cantidad_inicial_lts, cantidad_actual_lts, observaciones) VALUES (5, 'a1c20159', '2025-02-16 00:00:00', 0, 26500, NULL);</t>
  </si>
  <si>
    <t>INSERT INTO Pileta_contenido (id_pileta, id_lote, fecha_inicio, cantidad_inicial_lts, cantidad_actual_lts, observaciones) VALUES (79, 'c63f7bed', '2025-02-16 22:30:09', 0, 26000, NULL);</t>
  </si>
  <si>
    <t>INSERT INTO Pileta_contenido (id_pileta, id_lote, fecha_inicio, cantidad_inicial_lts, cantidad_actual_lts, observaciones) VALUES (30, 'd13652cf', '2025-02-16 22:44:12', 0, 37750, NULL);</t>
  </si>
  <si>
    <t>INSERT INTO Pileta_contenido (id_pileta, id_lote, fecha_inicio, cantidad_inicial_lts, cantidad_actual_lts, observaciones) VALUES (1, 'b27a5ea7', '2025-02-16 22:49:09', 0, 107500, NULL);</t>
  </si>
  <si>
    <t>INSERT INTO Pileta_contenido (id_pileta, id_lote, fecha_inicio, cantidad_inicial_lts, cantidad_actual_lts, observaciones) VALUES (11, '58b123c6', '2025-02-16 23:13:06', 0, 32000, NULL);</t>
  </si>
  <si>
    <t>INSERT INTO Pileta_contenido (id_pileta, id_lote, fecha_inicio, cantidad_inicial_lts, cantidad_actual_lts, observaciones) VALUES (11, '53f98d96', '2025-02-16 23:15:07', 32000, 32500, NULL);</t>
  </si>
  <si>
    <t>INSERT INTO Pileta_contenido (id_pileta, id_lote, fecha_inicio, cantidad_inicial_lts, cantidad_actual_lts, observaciones) VALUES (30, 'ce475c91', '2025-02-16 23:16:43', 37750, 37800, NULL);</t>
  </si>
  <si>
    <t>INSERT INTO Pileta_contenido (id_pileta, id_lote, fecha_inicio, cantidad_inicial_lts, cantidad_actual_lts, observaciones) VALUES (77, 'cedc0dc0', '2025-02-17 12:48:03', 0, 25000, NULL);</t>
  </si>
  <si>
    <t>INSERT INTO Pileta_contenido (id_pileta, id_lote, fecha_inicio, cantidad_inicial_lts, cantidad_actual_lts, observaciones) VALUES (80, '868560b2', '2025-02-17 12:48:45', 0, 12000, NULL);</t>
  </si>
  <si>
    <t>INSERT INTO Pileta_contenido (id_pileta, id_lote, fecha_inicio, cantidad_inicial_lts, cantidad_actual_lts, observaciones) VALUES (81, '5eb33d17', '2025-02-17 12:49:16', 0, 8000, NULL);</t>
  </si>
  <si>
    <t>INSERT INTO Pileta_contenido (id_pileta, id_lote, fecha_inicio, cantidad_inicial_lts, cantidad_actual_lts, observaciones) VALUES (82, '7c1795fa', '2025-02-17 12:49:43', 0, 20000, NULL);</t>
  </si>
  <si>
    <t>INSERT INTO Pileta_contenido (id_pileta, id_lote, fecha_inicio, cantidad_inicial_lts, cantidad_actual_lts, observaciones) VALUES (65, '7366c02e', '2025-02-17 12:50:36', 0, 15000, NULL);</t>
  </si>
  <si>
    <t>INSERT INTO Pileta_contenido (id_pileta, id_lote, fecha_inicio, cantidad_inicial_lts, cantidad_actual_lts, observaciones) VALUES (83, '0632409f', '2025-02-17 12:51:05', 0, 30000, NULL);</t>
  </si>
  <si>
    <t>INSERT INTO Pileta_contenido (id_pileta, id_lote, fecha_inicio, cantidad_inicial_lts, cantidad_actual_lts, observaciones) VALUES (84, '24b66da0', '2025-02-17 12:51:32', 0, 30000, NULL);</t>
  </si>
  <si>
    <t>INSERT INTO Pileta_contenido (id_pileta, id_lote, fecha_inicio, cantidad_inicial_lts, cantidad_actual_lts, observaciones) VALUES (85, 'e323890c', '2025-02-17 12:52:06', 0, 40000, NULL);</t>
  </si>
  <si>
    <t>INSERT INTO Pileta_contenido (id_pileta, id_lote, fecha_inicio, cantidad_inicial_lts, cantidad_actual_lts, observaciones) VALUES (86, 'c76dfce1', '2025-02-03 19:50:12', 0, 42000, NULL);</t>
  </si>
  <si>
    <t>INSERT INTO Pileta_contenido (id_pileta, id_lote, fecha_inicio, cantidad_inicial_lts, cantidad_actual_lts, observaciones) VALUES (88, 'f6f9d651', '2025-02-20 17:04:58', 0, 28000, NULL);</t>
  </si>
  <si>
    <t>INSERT INTO Pileta_contenido (id_pileta, id_lote, fecha_inicio, cantidad_inicial_lts, cantidad_actual_lts, observaciones) VALUES (102, '0835b42b', '2025-02-20 17:11:34', 0, 30000, 'Vino al c9rte de la vendimia');</t>
  </si>
  <si>
    <t>INSERT INTO Pileta_contenido (id_pileta, id_lote, fecha_inicio, cantidad_inicial_lts, cantidad_actual_lts, observaciones) VALUES (103, '903e1ab8', '2025-02-20 17:24:43', 0, 15000, NULL);</t>
  </si>
  <si>
    <t>INSERT INTO Pileta_contenido (id_pileta, id_lote, fecha_inicio, cantidad_inicial_lts, cantidad_actual_lts, observaciones) VALUES (86, '65eb8fac', '2025-02-20 17:49:28', 12000, 20000, NULL);</t>
  </si>
  <si>
    <t>INSERT INTO Pileta_contenido (id_pileta, id_lote, fecha_inicio, cantidad_inicial_lts, cantidad_actual_lts, observaciones) VALUES (86, '13b5f72f', '2025-02-20 17:56:49', 20000, 40000, NULL);</t>
  </si>
  <si>
    <t>INSERT INTO Pileta_contenido (id_pileta, id_lote, fecha_inicio, cantidad_inicial_lts, cantidad_actual_lts, observaciones) VALUES (84, '3c569c0a', '2025-02-20 18:01:13', 15000, 30000, NULL);</t>
  </si>
  <si>
    <t>INSERT INTO Pileta_contenido (id_pileta, id_lote, fecha_inicio, cantidad_inicial_lts, cantidad_actual_lts, observaciones) VALUES (104, 'd7af693c', '2025-02-20 18:03:35', 0, 29000, NULL);</t>
  </si>
  <si>
    <t>INSERT INTO Pileta_contenido (id_pileta, id_lote, fecha_inicio, cantidad_inicial_lts, cantidad_actual_lts, observaciones) VALUES (105, '1749cd27', '2025-02-20 18:06:26', 0, 5000, NULL);</t>
  </si>
  <si>
    <t>INSERT INTO Pileta_contenido (id_pileta, id_lote, fecha_inicio, cantidad_inicial_lts, cantidad_actual_lts, observaciones) VALUES (11, '5008e5a3', '2025-02-20 19:02:54', 0, 36000, NULL);</t>
  </si>
  <si>
    <t>INSERT INTO Pileta_contenido (id_pileta, id_lote, fecha_inicio, cantidad_inicial_lts, cantidad_actual_lts, observaciones) VALUES (16, '27abb7ee', '2025-02-20 19:03:40', 0, 19500, NULL);</t>
  </si>
  <si>
    <t>INSERT INTO Pileta_contenido (id_pileta, id_lote, fecha_inicio, cantidad_inicial_lts, cantidad_actual_lts, observaciones) VALUES (30, 'eec28962', '2025-02-20 19:04:13', 0, 38800, NULL);</t>
  </si>
  <si>
    <t>INSERT INTO Pileta_contenido (id_pileta, id_lote, fecha_inicio, cantidad_inicial_lts, cantidad_actual_lts, observaciones) VALUES (41, '30d0ce51', '2025-02-20 19:04:46', 0, 35100, NULL);</t>
  </si>
  <si>
    <t>INSERT INTO Pileta_contenido (id_pileta, id_lote, fecha_inicio, cantidad_inicial_lts, cantidad_actual_lts, observaciones) VALUES (42, '73b50dc4', '2025-02-20 19:07:38', 0, 35900, NULL);</t>
  </si>
  <si>
    <t>INSERT INTO Pileta_contenido (id_pileta, id_lote, fecha_inicio, cantidad_inicial_lts, cantidad_actual_lts, observaciones) VALUES (44, 'd5c7ee63', '2025-02-20 19:09:36', 0, 19100, NULL);</t>
  </si>
  <si>
    <t>INSERT INTO Pileta_contenido (id_pileta, id_lote, fecha_inicio, cantidad_inicial_lts, cantidad_actual_lts, observaciones) VALUES (45, '241b642a', '2025-02-20 19:10:00', 0, 30000, NULL);</t>
  </si>
  <si>
    <t>INSERT INTO Pileta_contenido (id_pileta, id_lote, fecha_inicio, cantidad_inicial_lts, cantidad_actual_lts, observaciones) VALUES (47, '665bbad3', '2025-02-20 19:10:27', 0, 20000, NULL);</t>
  </si>
  <si>
    <t>INSERT INTO Pileta_contenido (id_pileta, id_lote, fecha_inicio, cantidad_inicial_lts, cantidad_actual_lts, observaciones) VALUES (48, 'd9821c78', '2025-02-20 19:10:55', 0, 26000, NULL);</t>
  </si>
  <si>
    <t>INSERT INTO Pileta_contenido (id_pileta, id_lote, fecha_inicio, cantidad_inicial_lts, cantidad_actual_lts, observaciones) VALUES (49, 'a9ae339e', '2025-02-20 19:11:12', 0, 26000, NULL);</t>
  </si>
  <si>
    <t>INSERT INTO Pileta_contenido (id_pileta, id_lote, fecha_inicio, cantidad_inicial_lts, cantidad_actual_lts, observaciones) VALUES (50, '6ee897e9', '2025-02-20 19:11:35', 0, 5100, NULL);</t>
  </si>
  <si>
    <t>INSERT INTO Pileta_contenido (id_pileta, id_lote, fecha_inicio, cantidad_inicial_lts, cantidad_actual_lts, observaciones) VALUES (67, 'fe114136', '2025-02-20 19:11:55', 0, 23000, NULL);</t>
  </si>
  <si>
    <t>INSERT INTO Pileta_contenido (id_pileta, id_lote, fecha_inicio, cantidad_inicial_lts, cantidad_actual_lts, observaciones) VALUES (74, 'c4f0d9b2', '2025-02-20 19:17:14', 0, 13000, NULL);</t>
  </si>
  <si>
    <t>INSERT INTO Pileta_contenido (id_pileta, id_lote, fecha_inicio, cantidad_inicial_lts, cantidad_actual_lts, observaciones) VALUES (75, 'f1388e78', '2025-02-20 19:17:31', 0, 7000, NULL);</t>
  </si>
  <si>
    <t>INSERT INTO Pileta_contenido (id_pileta, id_lote, fecha_inicio, cantidad_inicial_lts, cantidad_actual_lts, observaciones) VALUES (90, '904bbb40', '2025-02-20 19:17:59', 0, 97500, NULL);</t>
  </si>
  <si>
    <t>INSERT INTO Pileta_contenido (id_pileta, id_lote, fecha_inicio, cantidad_inicial_lts, cantidad_actual_lts, observaciones) VALUES (35, '91f934c1', '2025-02-20 19:18:20', 0, 39300, NULL);</t>
  </si>
  <si>
    <t>INSERT INTO Pileta_contenido (id_pileta, id_lote, fecha_inicio, cantidad_inicial_lts, cantidad_actual_lts, observaciones) VALUES (94, 'b336cfcb', '2025-02-20 19:18:41', 0, 11600, NULL);</t>
  </si>
  <si>
    <t>INSERT INTO Pileta_contenido (id_pileta, id_lote, fecha_inicio, cantidad_inicial_lts, cantidad_actual_lts, observaciones) VALUES (111, '6a04e7d6', '2025-02-20 19:18:59', 0, 4000, '20/3
Degustación. Muy bien');</t>
  </si>
  <si>
    <t>INSERT INTO Pileta_contenido (id_pileta, id_lote, fecha_inicio, cantidad_inicial_lts, cantidad_actual_lts, observaciones) VALUES (114, 'b502a55e', '2025-02-20 19:19:19', 0, 125300, NULL);</t>
  </si>
  <si>
    <t>INSERT INTO Pileta_contenido (id_pileta, id_lote, fecha_inicio, cantidad_inicial_lts, cantidad_actual_lts, observaciones) VALUES (118, '4368dec6', '2025-02-20 19:19:41', 0, 155600, NULL);</t>
  </si>
  <si>
    <t>INSERT INTO Pileta_contenido (id_pileta, id_lote, fecha_inicio, cantidad_inicial_lts, cantidad_actual_lts, observaciones) VALUES (15, 'b9e5067b', '2025-02-20 19:21:47', 0, 20000, NULL);</t>
  </si>
  <si>
    <t>INSERT INTO Pileta_contenido (id_pileta, id_lote, fecha_inicio, cantidad_inicial_lts, cantidad_actual_lts, observaciones) VALUES (46, 'bd4decc8', '2025-02-20 19:25:33', 0, 29000, NULL);</t>
  </si>
  <si>
    <t>INSERT INTO Pileta_contenido (id_pileta, id_lote, fecha_inicio, cantidad_inicial_lts, cantidad_actual_lts, observaciones) VALUES (52, '26b37af9', '2025-02-20 19:28:12', 0, 27000, NULL);</t>
  </si>
  <si>
    <t>INSERT INTO Pileta_contenido (id_pileta, id_lote, fecha_inicio, cantidad_inicial_lts, cantidad_actual_lts, observaciones) VALUES (54, '4a5cb789', '2025-02-20 19:28:31', 0, 22900, NULL);</t>
  </si>
  <si>
    <t>INSERT INTO Pileta_contenido (id_pileta, id_lote, fecha_inicio, cantidad_inicial_lts, cantidad_actual_lts, observaciones) VALUES (89, 'e3903041', '2025-02-20 19:12:22', 0, 36000, 'Polilla');</t>
  </si>
  <si>
    <t>INSERT INTO Pileta_contenido (id_pileta, id_lote, fecha_inicio, cantidad_inicial_lts, cantidad_actual_lts, observaciones) VALUES (92, '977cb5a1', '2025-02-21 19:15:26', 0, 39700, NULL);</t>
  </si>
  <si>
    <t>INSERT INTO Pileta_contenido (id_pileta, id_lote, fecha_inicio, cantidad_inicial_lts, cantidad_actual_lts, observaciones) VALUES (80, 'd6272af5', '2025-02-21 20:02:52', 12000, 22000, NULL);</t>
  </si>
  <si>
    <t>INSERT INTO Pileta_contenido (id_pileta, id_lote, fecha_inicio, cantidad_inicial_lts, cantidad_actual_lts, observaciones) VALUES (107, '0aa8c362', '2025-02-21 20:04:55', 0, 30000, NULL);</t>
  </si>
  <si>
    <t>INSERT INTO Pileta_contenido (id_pileta, id_lote, fecha_inicio, cantidad_inicial_lts, cantidad_actual_lts, observaciones) VALUES (85, 'f8624f14', '2025-02-21 20:06:35', 10000, 28000, NULL);</t>
  </si>
  <si>
    <t>INSERT INTO Pileta_contenido (id_pileta, id_lote, fecha_inicio, cantidad_inicial_lts, cantidad_actual_lts, observaciones) VALUES (82, 'c3f4cae7', '2025-02-22 11:43:07', 0, 28000, NULL);</t>
  </si>
  <si>
    <t>INSERT INTO Pileta_contenido (id_pileta, id_lote, fecha_inicio, cantidad_inicial_lts, cantidad_actual_lts, observaciones) VALUES (32, 'a1e13111', '2025-02-24 11:14:59', 0, 36300, '14/5
Fresco, rico');</t>
  </si>
  <si>
    <t>INSERT INTO Pileta_contenido (id_pileta, id_lote, fecha_inicio, cantidad_inicial_lts, cantidad_actual_lts, observaciones) VALUES (33, '7def2139', '2025-02-24 11:15:24', 0, 25300, '14/5
.bien comercial');</t>
  </si>
  <si>
    <t>INSERT INTO Pileta_contenido (id_pileta, id_lote, fecha_inicio, cantidad_inicial_lts, cantidad_actual_lts, observaciones) VALUES (31, '8a7074cf', '2025-02-24 11:15:46', 0, 25700, '14/5
simple, para una base');</t>
  </si>
  <si>
    <t>INSERT INTO Pileta_contenido (id_pileta, id_lote, fecha_inicio, cantidad_inicial_lts, cantidad_actual_lts, observaciones) VALUES (40, '7c5390c8', '2025-02-24 11:16:08', 0, 24000, '14/5
muy rico');</t>
  </si>
  <si>
    <t>INSERT INTO Pileta_contenido (id_pileta, id_lote, fecha_inicio, cantidad_inicial_lts, cantidad_actual_lts, observaciones) VALUES (81, '861200f5', '2025-02-24 11:18:56', 0, 24000, NULL);</t>
  </si>
  <si>
    <t>INSERT INTO Pileta_contenido (id_pileta, id_lote, fecha_inicio, cantidad_inicial_lts, cantidad_actual_lts, observaciones) VALUES (78, '7e515c96', '2025-02-24 11:19:38', 0, 24000, NULL);</t>
  </si>
  <si>
    <t>INSERT INTO Pileta_contenido (id_pileta, id_lote, fecha_inicio, cantidad_inicial_lts, cantidad_actual_lts, observaciones) VALUES (79, 'dae2c109', '2025-02-24 11:20:10', 0, 24000, NULL);</t>
  </si>
  <si>
    <t>INSERT INTO Pileta_contenido (id_pileta, id_lote, fecha_inicio, cantidad_inicial_lts, cantidad_actual_lts, observaciones) VALUES (105, 'a43178d5', '2025-02-25 12:39:40', 5000, 30000, NULL);</t>
  </si>
  <si>
    <t>INSERT INTO Pileta_contenido (id_pileta, id_lote, fecha_inicio, cantidad_inicial_lts, cantidad_actual_lts, observaciones) VALUES (108, 'a1ad6cb4', '2025-02-25 12:57:18', 0, 7500, NULL);</t>
  </si>
  <si>
    <t>INSERT INTO Pileta_contenido (id_pileta, id_lote, fecha_inicio, cantidad_inicial_lts, cantidad_actual_lts, observaciones) VALUES (86, '3b2a1e70', '2025-02-25 12:59:56', 7500, 47200, 'Prueba offline');</t>
  </si>
  <si>
    <t>INSERT INTO Pileta_contenido (id_pileta, id_lote, fecha_inicio, cantidad_inicial_lts, cantidad_actual_lts, observaciones) VALUES (83, 'd177809a', '2025-02-25 13:01:07', 0, 35800, NULL);</t>
  </si>
  <si>
    <t>INSERT INTO Pileta_contenido (id_pileta, id_lote, fecha_inicio, cantidad_inicial_lts, cantidad_actual_lts, observaciones) VALUES (88, '8b03a986', '2025-02-25 13:03:33', 0, 37400, NULL);</t>
  </si>
  <si>
    <t>INSERT INTO Pileta_contenido (id_pileta, id_lote, fecha_inicio, cantidad_inicial_lts, cantidad_actual_lts, observaciones) VALUES (59, '00e2c403', '2025-02-25 17:00:43', 0, 10000, NULL);</t>
  </si>
  <si>
    <t>INSERT INTO Pileta_contenido (id_pileta, id_lote, fecha_inicio, cantidad_inicial_lts, cantidad_actual_lts, observaciones) VALUES (60, 'cff5f914', '2025-02-25 17:01:06', 12000, 55000, NULL);</t>
  </si>
  <si>
    <t>INSERT INTO Pileta_contenido (id_pileta, id_lote, fecha_inicio, cantidad_inicial_lts, cantidad_actual_lts, observaciones) VALUES (59, 'fa54e834', '2025-02-25 17:05:42', 10000, 18000, NULL);</t>
  </si>
  <si>
    <t>INSERT INTO Pileta_contenido (id_pileta, id_lote, fecha_inicio, cantidad_inicial_lts, cantidad_actual_lts, observaciones) VALUES (59, '24faf549', '2025-02-25 17:17:21', 18000, 25000, NULL);</t>
  </si>
  <si>
    <t>INSERT INTO Pileta_contenido (id_pileta, id_lote, fecha_inicio, cantidad_inicial_lts, cantidad_actual_lts, observaciones) VALUES (59, '57a0fadf', '2025-02-25 17:20:29', 25000, 35000, NULL);</t>
  </si>
  <si>
    <t>INSERT INTO Pileta_contenido (id_pileta, id_lote, fecha_inicio, cantidad_inicial_lts, cantidad_actual_lts, observaciones) VALUES (60, 'e2c70b60', '2025-02-25 17:43:28', 20000, 25000, NULL);</t>
  </si>
  <si>
    <t>INSERT INTO Pileta_contenido (id_pileta, id_lote, fecha_inicio, cantidad_inicial_lts, cantidad_actual_lts, observaciones) VALUES (60, '5e86e265', '2025-02-25 17:47:11', 25000, 28000, NULL);</t>
  </si>
  <si>
    <t>INSERT INTO Pileta_contenido (id_pileta, id_lote, fecha_inicio, cantidad_inicial_lts, cantidad_actual_lts, observaciones) VALUES (60, 'c1d665de', '2025-02-25 17:57:57', 28000, 29500, NULL);</t>
  </si>
  <si>
    <t>INSERT INTO Pileta_contenido (id_pileta, id_lote, fecha_inicio, cantidad_inicial_lts, cantidad_actual_lts, observaciones) VALUES (400, 'eeeff983', '2025-02-25 18:34:04', 0, 20000, NULL);</t>
  </si>
  <si>
    <t>INSERT INTO Pileta_contenido (id_pileta, id_lote, fecha_inicio, cantidad_inicial_lts, cantidad_actual_lts, observaciones) VALUES (51, 'b9edcc33', '2025-02-25 18:40:58', 0, 2500, NULL);</t>
  </si>
  <si>
    <t>INSERT INTO Pileta_contenido (id_pileta, id_lote, fecha_inicio, cantidad_inicial_lts, cantidad_actual_lts, observaciones) VALUES (400, 'ae4bc1ac', '2025-02-25 18:42:02', 20000, 30000, NULL);</t>
  </si>
  <si>
    <t>INSERT INTO Pileta_contenido (id_pileta, id_lote, fecha_inicio, cantidad_inicial_lts, cantidad_actual_lts, observaciones) VALUES (103, 'a22cb4a2', '2025-02-25 19:03:31', 15000, 30000, NULL);</t>
  </si>
  <si>
    <t>INSERT INTO Pileta_contenido (id_pileta, id_lote, fecha_inicio, cantidad_inicial_lts, cantidad_actual_lts, observaciones) VALUES (400, '0b7fd98e', '2025-02-25 19:08:18', 30000, 46000, NULL);</t>
  </si>
  <si>
    <t>INSERT INTO Pileta_contenido (id_pileta, id_lote, fecha_inicio, cantidad_inicial_lts, cantidad_actual_lts, observaciones) VALUES (105, '7ad5b1b2', '2025-02-25 19:10:09', 14000, 30000, NULL);</t>
  </si>
  <si>
    <t>INSERT INTO Pileta_contenido (id_pileta, id_lote, fecha_inicio, cantidad_inicial_lts, cantidad_actual_lts, observaciones) VALUES (106, '00bdd4ad', '2025-02-25 19:10:36', 0, 11000, NULL);</t>
  </si>
  <si>
    <t>INSERT INTO Pileta_contenido (id_pileta, id_lote, fecha_inicio, cantidad_inicial_lts, cantidad_actual_lts, observaciones) VALUES (92, '3e5c0749', '2025-02-25 19:25:55', 0, 35900, NULL);</t>
  </si>
  <si>
    <t>INSERT INTO Pileta_contenido (id_pileta, id_lote, fecha_inicio, cantidad_inicial_lts, cantidad_actual_lts, observaciones) VALUES (84, '7082548e', '2025-02-26 09:52:22', 3000, 39000, NULL);</t>
  </si>
  <si>
    <t>INSERT INTO Pileta_contenido (id_pileta, id_lote, fecha_inicio, cantidad_inicial_lts, cantidad_actual_lts, observaciones) VALUES (87, 'f3ebcf34', '2025-02-26 09:53:08', 16500, 38200, NULL);</t>
  </si>
  <si>
    <t>INSERT INTO Pileta_contenido (id_pileta, id_lote, fecha_inicio, cantidad_inicial_lts, cantidad_actual_lts, observaciones) VALUES (109, '9776a719', '2025-02-27 09:50:18', 0, 4000, NULL);</t>
  </si>
  <si>
    <t>INSERT INTO Pileta_contenido (id_pileta, id_lote, fecha_inicio, cantidad_inicial_lts, cantidad_actual_lts, observaciones) VALUES (109, 'd6ff9a07', '2025-02-27 09:51:19', 4000, 24000, 'Muy bueno');</t>
  </si>
  <si>
    <t>INSERT INTO Pileta_contenido (id_pileta, id_lote, fecha_inicio, cantidad_inicial_lts, cantidad_actual_lts, observaciones) VALUES (110, '8c09a554', '2025-02-27 09:52:29', 0, 3000, NULL);</t>
  </si>
  <si>
    <t>INSERT INTO Pileta_contenido (id_pileta, id_lote, fecha_inicio, cantidad_inicial_lts, cantidad_actual_lts, observaciones) VALUES (80, '7525cd32', '2025-02-27 09:53:57', 3000, 13000, NULL);</t>
  </si>
  <si>
    <t>INSERT INTO Pileta_contenido (id_pileta, id_lote, fecha_inicio, cantidad_inicial_lts, cantidad_actual_lts, observaciones) VALUES (85, '245cd9d6', '2025-02-27 09:54:50', 5000, 30800, 'Tiene Prensa con un amargo');</t>
  </si>
  <si>
    <t>INSERT INTO Pileta_contenido (id_pileta, id_lote, fecha_inicio, cantidad_inicial_lts, cantidad_actual_lts, observaciones) VALUES (110, '13d1574d', '2025-02-27 18:23:09', 3000, 13000, NULL);</t>
  </si>
  <si>
    <t>INSERT INTO Pileta_contenido (id_pileta, id_lote, fecha_inicio, cantidad_inicial_lts, cantidad_actual_lts, observaciones) VALUES (88, '9adbf19e', '2025-02-27 19:01:10', 37400, 42100, '16% de Rectificado agregado');</t>
  </si>
  <si>
    <t>INSERT INTO Pileta_contenido (id_pileta, id_lote, fecha_inicio, cantidad_inicial_lts, cantidad_actual_lts, observaciones) VALUES (83, 'b45049fe', '2025-02-27 20:12:17', 0, 45000, NULL);</t>
  </si>
  <si>
    <t>INSERT INTO Pileta_contenido (id_pileta, id_lote, fecha_inicio, cantidad_inicial_lts, cantidad_actual_lts, observaciones) VALUES (65, 'e95eaf53', '2025-02-27 20:14:31', 0, 20500, NULL);</t>
  </si>
  <si>
    <t>INSERT INTO Pileta_contenido (id_pileta, id_lote, fecha_inicio, cantidad_inicial_lts, cantidad_actual_lts, observaciones) VALUES (68, '4adbcbaf', '2025-02-28 20:00:35', 0, 7400, 'Tiene medio viaje del ciu 5899 (cornejo)');</t>
  </si>
  <si>
    <t>INSERT INTO Pileta_contenido (id_pileta, id_lote, fecha_inicio, cantidad_inicial_lts, cantidad_actual_lts, observaciones) VALUES (15, 'bf5594db', '2025-03-01 12:24:14', 0, 36500, NULL);</t>
  </si>
  <si>
    <t>INSERT INTO Pileta_contenido (id_pileta, id_lote, fecha_inicio, cantidad_inicial_lts, cantidad_actual_lts, observaciones) VALUES (34, 'fea4a82d', '2025-03-01 12:33:05', 0, 5000, NULL);</t>
  </si>
  <si>
    <t>INSERT INTO Pileta_contenido (id_pileta, id_lote, fecha_inicio, cantidad_inicial_lts, cantidad_actual_lts, observaciones) VALUES (34, '61098b0e', '2025-03-01 12:34:25', 5000, 30000, NULL);</t>
  </si>
  <si>
    <t>INSERT INTO Pileta_contenido (id_pileta, id_lote, fecha_inicio, cantidad_inicial_lts, cantidad_actual_lts, observaciones) VALUES (86, 'ce659e77', '2025-03-01 12:46:05', 6200, 48300, NULL);</t>
  </si>
  <si>
    <t>INSERT INTO Pileta_contenido (id_pileta, id_lote, fecha_inicio, cantidad_inicial_lts, cantidad_actual_lts, observaciones) VALUES (92, '3b85c155', '2025-03-01 12:46:54', 35900, 71800, NULL);</t>
  </si>
  <si>
    <t>INSERT INTO Pileta_contenido (id_pileta, id_lote, fecha_inicio, cantidad_inicial_lts, cantidad_actual_lts, observaciones) VALUES (85, '5f87c3d5', '2025-03-01 12:50:57', 5800, 41700, '4/3 desvinar y prensar');</t>
  </si>
  <si>
    <t>INSERT INTO Pileta_contenido (id_pileta, id_lote, fecha_inicio, cantidad_inicial_lts, cantidad_actual_lts, observaciones) VALUES (87, '6c3c93fd', '2025-03-01 12:53:14', 38200, 44200, 'Gusto 4//3');</t>
  </si>
  <si>
    <t>INSERT INTO Pileta_contenido (id_pileta, id_lote, fecha_inicio, cantidad_inicial_lts, cantidad_actual_lts, observaciones) VALUES (65, '15e7b86f', '2025-03-02 15:32:33', 20500, 24500, '7/3 hacer Az y recargar con 83
4/3 bien. Se puede recargar');</t>
  </si>
  <si>
    <t>INSERT INTO Pileta_contenido (id_pileta, id_lote, fecha_inicio, cantidad_inicial_lts, cantidad_actual_lts, observaciones) VALUES (83, '6c349523', '2025-03-02 15:40:35', 45000, 53000, NULL);</t>
  </si>
  <si>
    <t>INSERT INTO Pileta_contenido (id_pileta, id_lote, fecha_inicio, cantidad_inicial_lts, cantidad_actual_lts, observaciones) VALUES (88, '39ea0cc6', '2025-03-03 14:50:54', 0, 40000, 'Cochinilla en el Dique');</t>
  </si>
  <si>
    <t>INSERT INTO Pileta_contenido (id_pileta, id_lote, fecha_inicio, cantidad_inicial_lts, cantidad_actual_lts, observaciones) VALUES (150, 'd53930ff', '2025-03-03 15:04:26', 0, 14501, NULL);</t>
  </si>
  <si>
    <t>INSERT INTO Pileta_contenido (id_pileta, id_lote, fecha_inicio, cantidad_inicial_lts, cantidad_actual_lts, observaciones) VALUES (84, '994b8afe', '2025-03-03 16:45:43', 39000, 41000, NULL);</t>
  </si>
  <si>
    <t>INSERT INTO Pileta_contenido (id_pileta, id_lote, fecha_inicio, cantidad_inicial_lts, cantidad_actual_lts, observaciones) VALUES (66, '9c95c706', '2025-03-03 20:40:53', 0, 15000, '7/3
Reducida, agregar fosfato');</t>
  </si>
  <si>
    <t>INSERT INTO Pileta_contenido (id_pileta, id_lote, fecha_inicio, cantidad_inicial_lts, cantidad_actual_lts, observaciones) VALUES (68, '702b9808', '2025-03-04 18:49:29', 8000, 10000, NULL);</t>
  </si>
  <si>
    <t>INSERT INTO Pileta_contenido (id_pileta, id_lote, fecha_inicio, cantidad_inicial_lts, cantidad_actual_lts, observaciones) VALUES (89, 'd2779d8c', '2025-03-04 19:23:00', 0, 39000, NULL);</t>
  </si>
  <si>
    <t>INSERT INTO Pileta_contenido (id_pileta, id_lote, fecha_inicio, cantidad_inicial_lts, cantidad_actual_lts, observaciones) VALUES (121, '58c72f6a', '2025-03-05 11:58:35', 0, 48300, NULL);</t>
  </si>
  <si>
    <t>INSERT INTO Pileta_contenido (id_pileta, id_lote, fecha_inicio, cantidad_inicial_lts, cantidad_actual_lts, observaciones) VALUES (500, 'a18d2b54', '2025-03-05 12:00:01', 0, 5000, NULL);</t>
  </si>
  <si>
    <t>INSERT INTO Pileta_contenido (id_pileta, id_lote, fecha_inicio, cantidad_inicial_lts, cantidad_actual_lts, observaciones) VALUES (34, 'f41ecbda', '2025-03-05 12:04:36', 30000, 39500, '28/3 muy bueno y parejo para corte de Syrah');</t>
  </si>
  <si>
    <t>INSERT INTO Pileta_contenido (id_pileta, id_lote, fecha_inicio, cantidad_inicial_lts, cantidad_actual_lts, observaciones) VALUES (110, '963fbbab', '2025-03-05 12:13:35', 8000, 14000, NULL);</t>
  </si>
  <si>
    <t>INSERT INTO Pileta_contenido (id_pileta, id_lote, fecha_inicio, cantidad_inicial_lts, cantidad_actual_lts, observaciones) VALUES (121, 'f90482a4', '2025-03-05 12:14:24', 48300, 85800, '28/3 esta bien pero fue el mas flaco de la degustacion.  Completa el corte
10/3 ver correcciones de SO2 como quedó
Dulzura en boca');</t>
  </si>
  <si>
    <t>INSERT INTO Pileta_contenido (id_pileta, id_lote, fecha_inicio, cantidad_inicial_lts, cantidad_actual_lts, observaciones) VALUES (87, 'a62e4289', '2025-03-05 12:17:45', 44200, 47200, NULL);</t>
  </si>
  <si>
    <t>INSERT INTO Pileta_contenido (id_pileta, id_lote, fecha_inicio, cantidad_inicial_lts, cantidad_actual_lts, observaciones) VALUES (77, '94493a7b', '2025-03-05 12:21:53', 25000, 26000, NULL);</t>
  </si>
  <si>
    <t>INSERT INTO Pileta_contenido (id_pileta, id_lote, fecha_inicio, cantidad_inicial_lts, cantidad_actual_lts, observaciones) VALUES (78, '9f119881', '2025-03-05 12:22:21', 24000, 25800, NULL);</t>
  </si>
  <si>
    <t>INSERT INTO Pileta_contenido (id_pileta, id_lote, fecha_inicio, cantidad_inicial_lts, cantidad_actual_lts, observaciones) VALUES (79, 'e5b434bb', '2025-03-05 12:28:49', 24000, 26000, NULL);</t>
  </si>
  <si>
    <t>INSERT INTO Pileta_contenido (id_pileta, id_lote, fecha_inicio, cantidad_inicial_lts, cantidad_actual_lts, observaciones) VALUES (81, '1f033edd', '2025-03-05 12:29:38', 24000, 26500, '7/3
Tiene un amargo');</t>
  </si>
  <si>
    <t>INSERT INTO Pileta_contenido (id_pileta, id_lote, fecha_inicio, cantidad_inicial_lts, cantidad_actual_lts, observaciones) VALUES (10, 'f9bf68a3', '2025-03-05 12:30:21', 0, 21000, NULL);</t>
  </si>
  <si>
    <t>INSERT INTO Pileta_contenido (id_pileta, id_lote, fecha_inicio, cantidad_inicial_lts, cantidad_actual_lts, observaciones) VALUES (92, '3c90bae8', '2025-03-06 08:45:30', 0, 40700, '7/3
Hacer ph antes de rectificar
Buscar 3,5 ph al fermentar
Encubado');</t>
  </si>
  <si>
    <t>INSERT INTO Pileta_contenido (id_pileta, id_lote, fecha_inicio, cantidad_inicial_lts, cantidad_actual_lts, observaciones) VALUES (69, '99fabf46', '2025-03-06 09:08:13', 0, 9100, '7/3
Reducido agr fosfato y rectificar');</t>
  </si>
  <si>
    <t>INSERT INTO Pileta_contenido (id_pileta, id_lote, fecha_inicio, cantidad_inicial_lts, cantidad_actual_lts, observaciones) VALUES (89, '5d46dc83', '2025-03-06 09:36:23', 39000, 40500, NULL);</t>
  </si>
  <si>
    <t>INSERT INTO Pileta_contenido (id_pileta, id_lote, fecha_inicio, cantidad_inicial_lts, cantidad_actual_lts, observaciones) VALUES (110, 'd8ebe8ad', '2025-03-06 09:43:49', 14000, 15600, NULL);</t>
  </si>
  <si>
    <t>INSERT INTO Pileta_contenido (id_pileta, id_lote, fecha_inicio, cantidad_inicial_lts, cantidad_actual_lts, observaciones) VALUES (11, '40c05149', '2025-03-06 09:45:24', 0, 11000, NULL);</t>
  </si>
  <si>
    <t>INSERT INTO Pileta_contenido (id_pileta, id_lote, fecha_inicio, cantidad_inicial_lts, cantidad_actual_lts, observaciones) VALUES (11, '9c695ba3', '2025-03-06 09:47:13', 11000, 36000, '28/3 muy bueno y parejo para corte de Syrah');</t>
  </si>
  <si>
    <t>INSERT INTO Pileta_contenido (id_pileta, id_lote, fecha_inicio, cantidad_inicial_lts, cantidad_actual_lts, observaciones) VALUES (14, '21a02bb8', '2025-03-06 09:56:43', 0, 37000, '28/3 muy bueno y parejo para corte de Syrah');</t>
  </si>
  <si>
    <t>INSERT INTO Pileta_contenido (id_pileta, id_lote, fecha_inicio, cantidad_inicial_lts, cantidad_actual_lts, observaciones) VALUES (53, '577b30d8', '2025-03-06 09:58:01', 0, 10000, 'Tiene 3000 o 4000 7/3');</t>
  </si>
  <si>
    <t>INSERT INTO Pileta_contenido (id_pileta, id_lote, fecha_inicio, cantidad_inicial_lts, cantidad_actual_lts, observaciones) VALUES (88, '4bf00cf0', '2025-03-06 10:04:13', 40000, 49500, '14/3 Dio bien la volátil 0.54
7/3
Hacer volátil. Uva origen con Cochinilla');</t>
  </si>
  <si>
    <t>INSERT INTO Pileta_contenido (id_pileta, id_lote, fecha_inicio, cantidad_inicial_lts, cantidad_actual_lts, observaciones) VALUES (24, '5dbffbd0', '2025-03-06 10:07:52', 0, 59700, NULL);</t>
  </si>
  <si>
    <t>INSERT INTO Pileta_contenido (id_pileta, id_lote, fecha_inicio, cantidad_inicial_lts, cantidad_actual_lts, observaciones) VALUES (25, '6d7a380a', '2025-03-06 10:10:47', 0, 62100, NULL);</t>
  </si>
  <si>
    <t>INSERT INTO Pileta_contenido (id_pileta, id_lote, fecha_inicio, cantidad_inicial_lts, cantidad_actual_lts, observaciones) VALUES (95, '58ded1ae', '2025-03-06 10:11:17', 0, 24600, NULL);</t>
  </si>
  <si>
    <t>INSERT INTO Pileta_contenido (id_pileta, id_lote, fecha_inicio, cantidad_inicial_lts, cantidad_actual_lts, observaciones) VALUES (96, '0effecea', '2025-03-06 10:11:40', 0, 9200, NULL);</t>
  </si>
  <si>
    <t>INSERT INTO Pileta_contenido (id_pileta, id_lote, fecha_inicio, cantidad_inicial_lts, cantidad_actual_lts, observaciones) VALUES (84, '9089481b', '2025-03-06 18:03:34', 0, 44000, NULL);</t>
  </si>
  <si>
    <t>INSERT INTO Pileta_contenido (id_pileta, id_lote, fecha_inicio, cantidad_inicial_lts, cantidad_actual_lts, observaciones) VALUES (82, '6b4f5740', '2025-03-06 18:04:30', 0, 15000, '10/3
Un poco reducido');</t>
  </si>
  <si>
    <t>INSERT INTO Pileta_contenido (id_pileta, id_lote, fecha_inicio, cantidad_inicial_lts, cantidad_actual_lts, observaciones) VALUES (89, '3a5e04a4', '2025-03-06 18:15:28', 40500, 48500, '7/3 
Ver correcciones de SO2 originales?');</t>
  </si>
  <si>
    <t>INSERT INTO Pileta_contenido (id_pileta, id_lote, fecha_inicio, cantidad_inicial_lts, cantidad_actual_lts, observaciones) VALUES (931, 'abbbaccc', '2025-03-06 18:37:58', 0, 11200, NULL);</t>
  </si>
  <si>
    <t>INSERT INTO Pileta_contenido (id_pileta, id_lote, fecha_inicio, cantidad_inicial_lts, cantidad_actual_lts, observaciones) VALUES (24, '44d88f23', '2025-03-06 18:38:45', 59700, 100700, NULL);</t>
  </si>
  <si>
    <t>INSERT INTO Pileta_contenido (id_pileta, id_lote, fecha_inicio, cantidad_inicial_lts, cantidad_actual_lts, observaciones) VALUES (25, 'c4743b1b', '2025-03-06 18:40:36', 62100, 104800, NULL);</t>
  </si>
  <si>
    <t>INSERT INTO Pileta_contenido (id_pileta, id_lote, fecha_inicio, cantidad_inicial_lts, cantidad_actual_lts, observaciones) VALUES (95, '3bd6f9bf', '2025-03-06 18:41:15', 24600, 41600, NULL);</t>
  </si>
  <si>
    <t>INSERT INTO Pileta_contenido (id_pileta, id_lote, fecha_inicio, cantidad_inicial_lts, cantidad_actual_lts, observaciones) VALUES (96, '0799e5db', '2025-03-06 18:52:41', 9200, 22600, NULL);</t>
  </si>
  <si>
    <t>INSERT INTO Pileta_contenido (id_pileta, id_lote, fecha_inicio, cantidad_inicial_lts, cantidad_actual_lts, observaciones) VALUES (68, 'af88e380', '2025-03-07 10:45:21', 10000, 8000, '10/3');</t>
  </si>
  <si>
    <t>INSERT INTO Pileta_contenido (id_pileta, id_lote, fecha_inicio, cantidad_inicial_lts, cantidad_actual_lts, observaciones) VALUES (69, '9c317849', '2025-03-07 18:11:49', 7600, 8000, '10/3
Reducido Alf. Le gustó a Vic
20/3
Hay que desvinar y prensarla y ya saben signo que se está hundiendo el sombrero con líquido arriba');</t>
  </si>
  <si>
    <t>INSERT INTO Pileta_contenido (id_pileta, id_lote, fecha_inicio, cantidad_inicial_lts, cantidad_actual_lts, observaciones) VALUES (92, 'c85d74dc', '2025-03-07 18:13:59', 40700, 44700, NULL);</t>
  </si>
  <si>
    <t>INSERT INTO Pileta_contenido (id_pileta, id_lote, fecha_inicio, cantidad_inicial_lts, cantidad_actual_lts, observaciones) VALUES (66, '4d28a747', '2025-03-07 18:14:54', 15000, 17000, NULL);</t>
  </si>
  <si>
    <t>INSERT INTO Pileta_contenido (id_pileta, id_lote, fecha_inicio, cantidad_inicial_lts, cantidad_actual_lts, observaciones) VALUES (24, '915299ff', '2025-03-07 18:31:04', 100700, 115700, NULL);</t>
  </si>
  <si>
    <t>INSERT INTO Pileta_contenido (id_pileta, id_lote, fecha_inicio, cantidad_inicial_lts, cantidad_actual_lts, observaciones) VALUES (25, '0700b55d', '2025-03-07 18:33:41', 104800, 120300, NULL);</t>
  </si>
  <si>
    <t>INSERT INTO Pileta_contenido (id_pileta, id_lote, fecha_inicio, cantidad_inicial_lts, cantidad_actual_lts, observaciones) VALUES (95, 'df446c40', '2025-03-07 18:34:05', 41600, 47800, NULL);</t>
  </si>
  <si>
    <t>INSERT INTO Pileta_contenido (id_pileta, id_lote, fecha_inicio, cantidad_inicial_lts, cantidad_actual_lts, observaciones) VALUES (96, '61e7a661', '2025-03-07 18:34:21', 22600, 25200, NULL);</t>
  </si>
  <si>
    <t>INSERT INTO Pileta_contenido (id_pileta, id_lote, fecha_inicio, cantidad_inicial_lts, cantidad_actual_lts, observaciones) VALUES (95, '83cb5e85', '2025-03-07 19:02:46', 47800, 50500, NULL);</t>
  </si>
  <si>
    <t>INSERT INTO Pileta_contenido (id_pileta, id_lote, fecha_inicio, cantidad_inicial_lts, cantidad_actual_lts, observaciones) VALUES (96, '9c2bc1c1', '2025-03-07 19:03:55', 25200, 26300, NULL);</t>
  </si>
  <si>
    <t>INSERT INTO Pileta_contenido (id_pileta, id_lote, fecha_inicio, cantidad_inicial_lts, cantidad_actual_lts, observaciones) VALUES (24, '66440ff8', '2025-03-07 19:07:10', 115700, 122200, NULL);</t>
  </si>
  <si>
    <t>INSERT INTO Pileta_contenido (id_pileta, id_lote, fecha_inicio, cantidad_inicial_lts, cantidad_actual_lts, observaciones) VALUES (25, 'c883c10a', '2025-03-07 19:07:54', 120300, 127100, NULL);</t>
  </si>
  <si>
    <t>INSERT INTO Pileta_contenido (id_pileta, id_lote, fecha_inicio, cantidad_inicial_lts, cantidad_actual_lts, observaciones) VALUES (24, '8a8f8909', '2025-03-07 19:15:24', 122200, 159300, NULL);</t>
  </si>
  <si>
    <t>INSERT INTO Pileta_contenido (id_pileta, id_lote, fecha_inicio, cantidad_inicial_lts, cantidad_actual_lts, observaciones) VALUES (25, 'a826dd70', '2025-03-07 19:16:05', 127100, 165700, NULL);</t>
  </si>
  <si>
    <t>INSERT INTO Pileta_contenido (id_pileta, id_lote, fecha_inicio, cantidad_inicial_lts, cantidad_actual_lts, observaciones) VALUES (95, '0b1b410b', '2025-03-07 19:16:47', 50500, 65500, NULL);</t>
  </si>
  <si>
    <t>INSERT INTO Pileta_contenido (id_pileta, id_lote, fecha_inicio, cantidad_inicial_lts, cantidad_actual_lts, observaciones) VALUES (96, 'cdd54045', '2025-03-07 19:17:32', 26300, 33100, NULL);</t>
  </si>
  <si>
    <t>INSERT INTO Pileta_contenido (id_pileta, id_lote, fecha_inicio, cantidad_inicial_lts, cantidad_actual_lts, observaciones) VALUES (95, '69fc871f', '2025-03-07 19:39:50', 65500, 69100, NULL);</t>
  </si>
  <si>
    <t>INSERT INTO Pileta_contenido (id_pileta, id_lote, fecha_inicio, cantidad_inicial_lts, cantidad_actual_lts, observaciones) VALUES (24, '212851d2', '2025-03-07 19:40:44', 159300, 168000, NULL);</t>
  </si>
  <si>
    <t>INSERT INTO Pileta_contenido (id_pileta, id_lote, fecha_inicio, cantidad_inicial_lts, cantidad_actual_lts, observaciones) VALUES (25, '6ccc7bc6', '2025-03-07 19:41:26', 165700, 174800, NULL);</t>
  </si>
  <si>
    <t>INSERT INTO Pileta_contenido (id_pileta, id_lote, fecha_inicio, cantidad_inicial_lts, cantidad_actual_lts, observaciones) VALUES (96, 'c50c5100', '2025-03-07 19:41:46', 33100, 34700, NULL);</t>
  </si>
  <si>
    <t>INSERT INTO Pileta_contenido (id_pileta, id_lote, fecha_inicio, cantidad_inicial_lts, cantidad_actual_lts, observaciones) VALUES (80, 'ee917088', '2025-03-08 12:48:21', 0, 13000, NULL);</t>
  </si>
  <si>
    <t>INSERT INTO Pileta_contenido (id_pileta, id_lote, fecha_inicio, cantidad_inicial_lts, cantidad_actual_lts, observaciones) VALUES (5, '78ca3339', '2025-03-08 13:06:55', 0, 26000, NULL);</t>
  </si>
  <si>
    <t>INSERT INTO Pileta_contenido (id_pileta, id_lote, fecha_inicio, cantidad_inicial_lts, cantidad_actual_lts, observaciones) VALUES (5, '593f826f', '2025-03-08 13:08:02', 26000, 30000, 'Rico, amarillo. Llevar a 35 mg so');</t>
  </si>
  <si>
    <t>INSERT INTO Pileta_contenido (id_pileta, id_lote, fecha_inicio, cantidad_inicial_lts, cantidad_actual_lts, observaciones) VALUES (8, '376dbee6', '2025-03-08 13:09:05', 0, 22000, NULL);</t>
  </si>
  <si>
    <t>INSERT INTO Pileta_contenido (id_pileta, id_lote, fecha_inicio, cantidad_inicial_lts, cantidad_actual_lts, observaciones) VALUES (24, '8782f51d', '2025-03-08 13:12:40', 168000, 181600, NULL);</t>
  </si>
  <si>
    <t>INSERT INTO Pileta_contenido (id_pileta, id_lote, fecha_inicio, cantidad_inicial_lts, cantidad_actual_lts, observaciones) VALUES (25, '481ac202', '2025-03-08 13:13:04', 174800, 188900, NULL);</t>
  </si>
  <si>
    <t>INSERT INTO Pileta_contenido (id_pileta, id_lote, fecha_inicio, cantidad_inicial_lts, cantidad_actual_lts, observaciones) VALUES (95, '1953afee', '2025-03-08 13:13:20', 69100, 74700, NULL);</t>
  </si>
  <si>
    <t>INSERT INTO Pileta_contenido (id_pileta, id_lote, fecha_inicio, cantidad_inicial_lts, cantidad_actual_lts, observaciones) VALUES (96, '6a79f2ba', '2025-03-08 13:13:48', 34700, 37300, NULL);</t>
  </si>
  <si>
    <t>INSERT INTO Pileta_contenido (id_pileta, id_lote, fecha_inicio, cantidad_inicial_lts, cantidad_actual_lts, observaciones) VALUES (24, '8e7dc827', '2025-03-08 13:15:31', 181600, 186600, NULL);</t>
  </si>
  <si>
    <t>INSERT INTO Pileta_contenido (id_pileta, id_lote, fecha_inicio, cantidad_inicial_lts, cantidad_actual_lts, observaciones) VALUES (25, 'd65723e9', '2025-03-08 13:16:14', 188900, 194300, NULL);</t>
  </si>
  <si>
    <t>INSERT INTO Pileta_contenido (id_pileta, id_lote, fecha_inicio, cantidad_inicial_lts, cantidad_actual_lts, observaciones) VALUES (95, '7b5d098a', '2025-03-08 13:16:56', 74700, 77100, NULL);</t>
  </si>
  <si>
    <t>INSERT INTO Pileta_contenido (id_pileta, id_lote, fecha_inicio, cantidad_inicial_lts, cantidad_actual_lts, observaciones) VALUES (96, 'f76c3497', '2025-03-08 13:17:21', 37300, 38800, NULL);</t>
  </si>
  <si>
    <t>INSERT INTO Pileta_contenido (id_pileta, id_lote, fecha_inicio, cantidad_inicial_lts, cantidad_actual_lts, observaciones) VALUES (9, '6352eea8', '2025-03-10 11:18:15', 0, 25800, NULL);</t>
  </si>
  <si>
    <t>INSERT INTO Pileta_contenido (id_pileta, id_lote, fecha_inicio, cantidad_inicial_lts, cantidad_actual_lts, observaciones) VALUES (9, 'b73d8cd1', '2025-03-10 11:19:57', 25800, 30000, NULL);</t>
  </si>
  <si>
    <t>INSERT INTO Pileta_contenido (id_pileta, id_lote, fecha_inicio, cantidad_inicial_lts, cantidad_actual_lts, observaciones) VALUES (16, 'b5e03e7f', '2025-03-10 11:21:15', 0, 19500, '14/5
mas debil en boca');</t>
  </si>
  <si>
    <t>INSERT INTO Pileta_contenido (id_pileta, id_lote, fecha_inicio, cantidad_inicial_lts, cantidad_actual_lts, observaciones) VALUES (84, '76f1abe4', '2025-03-10 11:28:57', 20000, 49600, NULL);</t>
  </si>
  <si>
    <t>INSERT INTO Pileta_contenido (id_pileta, id_lote, fecha_inicio, cantidad_inicial_lts, cantidad_actual_lts, observaciones) VALUES (82, '4a9a65d1', '2025-03-10 11:29:22', 15000, 17000, NULL);</t>
  </si>
  <si>
    <t>INSERT INTO Pileta_contenido (id_pileta, id_lote, fecha_inicio, cantidad_inicial_lts, cantidad_actual_lts, observaciones) VALUES (85, '81703b0d', '2025-03-10 21:10:53', 0, 48900, NULL);</t>
  </si>
  <si>
    <t>INSERT INTO Pileta_contenido (id_pileta, id_lote, fecha_inicio, cantidad_inicial_lts, cantidad_actual_lts, observaciones) VALUES (86, 'dc7359e0', '2025-03-10 21:12:22', 0, 43000, NULL);</t>
  </si>
  <si>
    <t>INSERT INTO Pileta_contenido (id_pileta, id_lote, fecha_inicio, cantidad_inicial_lts, cantidad_actual_lts, observaciones) VALUES (78, '12aaaa1b', '2025-03-10 23:04:32', 0, 10000, NULL);</t>
  </si>
  <si>
    <t>INSERT INTO Pileta_contenido (id_pileta, id_lote, fecha_inicio, cantidad_inicial_lts, cantidad_actual_lts, observaciones) VALUES (500, '41324315', '2025-03-10 23:17:01', 0, 2500, NULL);</t>
  </si>
  <si>
    <t>INSERT INTO Pileta_contenido (id_pileta, id_lote, fecha_inicio, cantidad_inicial_lts, cantidad_actual_lts, observaciones) VALUES (500, 'f6596c23', '2025-03-10 23:18:19', 2500, 26500, NULL);</t>
  </si>
  <si>
    <t>INSERT INTO Pileta_contenido (id_pileta, id_lote, fecha_inicio, cantidad_inicial_lts, cantidad_actual_lts, observaciones) VALUES (500, '59e7d158', '2025-03-10 23:20:37', 26500, 32500, NULL);</t>
  </si>
  <si>
    <t>INSERT INTO Pileta_contenido (id_pileta, id_lote, fecha_inicio, cantidad_inicial_lts, cantidad_actual_lts, observaciones) VALUES (500, '219129bc', '2025-03-10 23:22:10', 32500, 37000, NULL);</t>
  </si>
  <si>
    <t>INSERT INTO Pileta_contenido (id_pileta, id_lote, fecha_inicio, cantidad_inicial_lts, cantidad_actual_lts, observaciones) VALUES (500, 'c286df65', '2025-03-11 08:49:46', 37000, 45800, NULL);</t>
  </si>
  <si>
    <t>INSERT INTO Pileta_contenido (id_pileta, id_lote, fecha_inicio, cantidad_inicial_lts, cantidad_actual_lts, observaciones) VALUES (500, '0a4970f2', '2025-03-11 09:01:04', 0, 1, NULL);</t>
  </si>
  <si>
    <t>INSERT INTO Pileta_contenido (id_pileta, id_lote, fecha_inicio, cantidad_inicial_lts, cantidad_actual_lts, observaciones) VALUES (108, 'ba3f8a31', '2025-03-11 09:02:19', 7500, 30000, NULL);</t>
  </si>
  <si>
    <t>INSERT INTO Pileta_contenido (id_pileta, id_lote, fecha_inicio, cantidad_inicial_lts, cantidad_actual_lts, observaciones) VALUES (104, '83599ef4', '2025-03-11 09:03:36', 29000, 30000, NULL);</t>
  </si>
  <si>
    <t>INSERT INTO Pileta_contenido (id_pileta, id_lote, fecha_inicio, cantidad_inicial_lts, cantidad_actual_lts, observaciones) VALUES (109, 'd83c9a57', '2025-03-11 09:08:09', 14000, 15000, NULL);</t>
  </si>
  <si>
    <t>INSERT INTO Pileta_contenido (id_pileta, id_lote, fecha_inicio, cantidad_inicial_lts, cantidad_actual_lts, observaciones) VALUES (500, 'dc3d5a11', '2025-03-11 09:08:54', -24499, -23899, NULL);</t>
  </si>
  <si>
    <t>INSERT INTO Pileta_contenido (id_pileta, id_lote, fecha_inicio, cantidad_inicial_lts, cantidad_actual_lts, observaciones) VALUES (90, '97384f9b', '2025-03-11 09:14:52', 0, 43300, NULL);</t>
  </si>
  <si>
    <t>INSERT INTO Pileta_contenido (id_pileta, id_lote, fecha_inicio, cantidad_inicial_lts, cantidad_actual_lts, observaciones) VALUES (35, 'b5300557', '2025-03-11 09:28:58', 0, 12900, NULL);</t>
  </si>
  <si>
    <t>INSERT INTO Pileta_contenido (id_pileta, id_lote, fecha_inicio, cantidad_inicial_lts, cantidad_actual_lts, observaciones) VALUES (35, 'e954d719', '2025-03-11 09:39:35', 12900, 39300, NULL);</t>
  </si>
  <si>
    <t>INSERT INTO Pileta_contenido (id_pileta, id_lote, fecha_inicio, cantidad_inicial_lts, cantidad_actual_lts, observaciones) VALUES (42, '56f7ac6d', '2025-03-11 09:40:50', 0, 3600, NULL);</t>
  </si>
  <si>
    <t>INSERT INTO Pileta_contenido (id_pileta, id_lote, fecha_inicio, cantidad_inicial_lts, cantidad_actual_lts, observaciones) VALUES (42, 'df4789cf', '2025-03-11 09:41:37', 3600, 33600, NULL);</t>
  </si>
  <si>
    <t>INSERT INTO Pileta_contenido (id_pileta, id_lote, fecha_inicio, cantidad_inicial_lts, cantidad_actual_lts, observaciones) VALUES (80, 'c210f1aa', '2025-03-11 17:03:25', 13000, 21300, '20/2
Mejoro');</t>
  </si>
  <si>
    <t>INSERT INTO Pileta_contenido (id_pileta, id_lote, fecha_inicio, cantidad_inicial_lts, cantidad_actual_lts, observaciones) VALUES (500, '397cd7e0', '2025-03-11 18:42:56', -23899, -7299, NULL);</t>
  </si>
  <si>
    <t>INSERT INTO Pileta_contenido (id_pileta, id_lote, fecha_inicio, cantidad_inicial_lts, cantidad_actual_lts, observaciones) VALUES (70, '7c1a7cd6', '2025-03-11 20:40:25', 0, 7000, NULL);</t>
  </si>
  <si>
    <t>INSERT INTO Pileta_contenido (id_pileta, id_lote, fecha_inicio, cantidad_inicial_lts, cantidad_actual_lts, observaciones) VALUES (500, 'e37067e3', '2025-03-11 20:42:42', -7299, -4499, NULL);</t>
  </si>
  <si>
    <t>INSERT INTO Pileta_contenido (id_pileta, id_lote, fecha_inicio, cantidad_inicial_lts, cantidad_actual_lts, observaciones) VALUES (81, 'f7f01b85', '2025-03-11 20:42:59', 0, 18400, NULL);</t>
  </si>
  <si>
    <t>INSERT INTO Pileta_contenido (id_pileta, id_lote, fecha_inicio, cantidad_inicial_lts, cantidad_actual_lts, observaciones) VALUES (91, '519804dd', '2025-03-11 20:45:52', 0, 39200, NULL);</t>
  </si>
  <si>
    <t>INSERT INTO Pileta_contenido (id_pileta, id_lote, fecha_inicio, cantidad_inicial_lts, cantidad_actual_lts, observaciones) VALUES (42, 'fdf22389', '2025-03-12 12:40:52', 17000, 32900, NULL);</t>
  </si>
  <si>
    <t>INSERT INTO Pileta_contenido (id_pileta, id_lote, fecha_inicio, cantidad_inicial_lts, cantidad_actual_lts, observaciones) VALUES (65, '844a05ee', '2025-03-12 13:00:56', 4100, 24100, NULL);</t>
  </si>
  <si>
    <t>INSERT INTO Pileta_contenido (id_pileta, id_lote, fecha_inicio, cantidad_inicial_lts, cantidad_actual_lts, observaciones) VALUES (66, '87ba9e1b', '2025-03-12 18:10:38', 17000, 19000, NULL);</t>
  </si>
  <si>
    <t>INSERT INTO Pileta_contenido (id_pileta, id_lote, fecha_inicio, cantidad_inicial_lts, cantidad_actual_lts, observaciones) VALUES (82, 'e2c3632b', '2025-03-12 18:11:02', 17000, 19000, NULL);</t>
  </si>
  <si>
    <t>INSERT INTO Pileta_contenido (id_pileta, id_lote, fecha_inicio, cantidad_inicial_lts, cantidad_actual_lts, observaciones) VALUES (84, '22dd4d8c', '2025-03-12 18:11:28', 49600, 52000, NULL);</t>
  </si>
  <si>
    <t>INSERT INTO Pileta_contenido (id_pileta, id_lote, fecha_inicio, cantidad_inicial_lts, cantidad_actual_lts, observaciones) VALUES (102, '4197a6b3', '2025-03-12 20:49:52', 0, 30000, NULL);</t>
  </si>
  <si>
    <t>INSERT INTO Pileta_contenido (id_pileta, id_lote, fecha_inicio, cantidad_inicial_lts, cantidad_actual_lts, observaciones) VALUES (53, '5433281e', '2025-03-13 19:22:14', 4000, 22000, NULL);</t>
  </si>
  <si>
    <t>INSERT INTO Pileta_contenido (id_pileta, id_lote, fecha_inicio, cantidad_inicial_lts, cantidad_actual_lts, observaciones) VALUES (52, 'fa937d00', '2025-03-13 19:23:32', 0, 15000, NULL);</t>
  </si>
  <si>
    <t>INSERT INTO Pileta_contenido (id_pileta, id_lote, fecha_inicio, cantidad_inicial_lts, cantidad_actual_lts, observaciones) VALUES (78, 'aecdf448', '2025-03-13 19:27:52', 10000, 11350, NULL);</t>
  </si>
  <si>
    <t>INSERT INTO Pileta_contenido (id_pileta, id_lote, fecha_inicio, cantidad_inicial_lts, cantidad_actual_lts, observaciones) VALUES (85, '1c0f3ac6', '2025-03-13 19:28:47', 48900, 54100, '20/3
Hacer azúcar. Ver de desvinar');</t>
  </si>
  <si>
    <t>INSERT INTO Pileta_contenido (id_pileta, id_lote, fecha_inicio, cantidad_inicial_lts, cantidad_actual_lts, observaciones) VALUES (79, '91a1bef0', '2025-03-13 20:26:28', 0, 14500, NULL);</t>
  </si>
  <si>
    <t>INSERT INTO Pileta_contenido (id_pileta, id_lote, fecha_inicio, cantidad_inicial_lts, cantidad_actual_lts, observaciones) VALUES (76, '31a16d29', '2025-03-13 20:29:00', 0, 15000, NULL);</t>
  </si>
  <si>
    <t>INSERT INTO Pileta_contenido (id_pileta, id_lote, fecha_inicio, cantidad_inicial_lts, cantidad_actual_lts, observaciones) VALUES (77, 'ee8f7e01', '2025-03-13 20:29:31', 0, 11300, NULL);</t>
  </si>
  <si>
    <t>INSERT INTO Pileta_contenido (id_pileta, id_lote, fecha_inicio, cantidad_inicial_lts, cantidad_actual_lts, observaciones) VALUES (96, '34a141e2', '2025-03-13 20:36:15', 0, 47600, NULL);</t>
  </si>
  <si>
    <t>INSERT INTO Pileta_contenido (id_pileta, id_lote, fecha_inicio, cantidad_inicial_lts, cantidad_actual_lts, observaciones) VALUES (118, 'c57dab01', '2025-03-14 09:24:03', 0, 48500, NULL);</t>
  </si>
  <si>
    <t>INSERT INTO Pileta_contenido (id_pileta, id_lote, fecha_inicio, cantidad_inicial_lts, cantidad_actual_lts, observaciones) VALUES (118, '7f2febfa', '2025-03-14 09:25:43', 48500, 93200, NULL);</t>
  </si>
  <si>
    <t>INSERT INTO Pileta_contenido (id_pileta, id_lote, fecha_inicio, cantidad_inicial_lts, cantidad_actual_lts, observaciones) VALUES (118, 'ef6021e0', '2025-03-14 17:40:16', 93200, 140400, NULL);</t>
  </si>
  <si>
    <t>INSERT INTO Pileta_contenido (id_pileta, id_lote, fecha_inicio, cantidad_inicial_lts, cantidad_actual_lts, observaciones) VALUES (70, '87540dbb', '2025-03-14 17:56:39', 7000, 8000, '20/3
Hacer azúcar
Ver se desvinar junto con 78 a pileta');</t>
  </si>
  <si>
    <t>INSERT INTO Pileta_contenido (id_pileta, id_lote, fecha_inicio, cantidad_inicial_lts, cantidad_actual_lts, observaciones) VALUES (91, '1a71b226', '2025-03-14 17:58:06', 39200, 45700, NULL);</t>
  </si>
  <si>
    <t>INSERT INTO Pileta_contenido (id_pileta, id_lote, fecha_inicio, cantidad_inicial_lts, cantidad_actual_lts, observaciones) VALUES (90, 'e0f68630', '2025-03-14 17:59:27', 43300, 52900, NULL);</t>
  </si>
  <si>
    <t>INSERT INTO Pileta_contenido (id_pileta, id_lote, fecha_inicio, cantidad_inicial_lts, cantidad_actual_lts, observaciones) VALUES (81, 'dea77610', '2025-03-14 18:48:09', 18400, 20600, '20/3');</t>
  </si>
  <si>
    <t>INSERT INTO Pileta_contenido (id_pileta, id_lote, fecha_inicio, cantidad_inicial_lts, cantidad_actual_lts, observaciones) VALUES (118, '03ffe0d5', '2025-03-14 18:56:58', 140400, 155600, '20/3 
Ver SOL y volátil. Colocar bandeja');</t>
  </si>
  <si>
    <t>INSERT INTO Pileta_contenido (id_pileta, id_lote, fecha_inicio, cantidad_inicial_lts, cantidad_actual_lts, observaciones) VALUES (52, 'b93c3154', '2025-03-14 18:58:00', 15000, 23900, NULL);</t>
  </si>
  <si>
    <t>INSERT INTO Pileta_contenido (id_pileta, id_lote, fecha_inicio, cantidad_inicial_lts, cantidad_actual_lts, observaciones) VALUES (86, 'ea43be80', '2025-03-14 19:00:56', 43000, 52500, NULL);</t>
  </si>
  <si>
    <t>INSERT INTO Pileta_contenido (id_pileta, id_lote, fecha_inicio, cantidad_inicial_lts, cantidad_actual_lts, observaciones) VALUES (116, 'fe482ba5', '2025-03-17 09:48:33', 0, 8000, NULL);</t>
  </si>
  <si>
    <t>INSERT INTO Pileta_contenido (id_pileta, id_lote, fecha_inicio, cantidad_inicial_lts, cantidad_actual_lts, observaciones) VALUES (52, 'b01eee66', '2025-03-17 09:50:31', 23900, 27000, NULL);</t>
  </si>
  <si>
    <t>INSERT INTO Pileta_contenido (id_pileta, id_lote, fecha_inicio, cantidad_inicial_lts, cantidad_actual_lts, observaciones) VALUES (116, '4649003c', '2025-03-17 09:51:19', 8000, 54400, NULL);</t>
  </si>
  <si>
    <t>INSERT INTO Pileta_contenido (id_pileta, id_lote, fecha_inicio, cantidad_inicial_lts, cantidad_actual_lts, observaciones) VALUES (91, 'f3ecd42b', '2025-03-17 09:58:29', 45700, 52200, '20/3
Hacer azúcar');</t>
  </si>
  <si>
    <t>INSERT INTO Pileta_contenido (id_pileta, id_lote, fecha_inicio, cantidad_inicial_lts, cantidad_actual_lts, observaciones) VALUES (79, '98f429d0', '2025-03-17 10:06:18', 14500, 16650, NULL);</t>
  </si>
  <si>
    <t>INSERT INTO Pileta_contenido (id_pileta, id_lote, fecha_inicio, cantidad_inicial_lts, cantidad_actual_lts, observaciones) VALUES (76, '3a308f07', '2025-03-17 10:07:13', 15000, 16600, NULL);</t>
  </si>
  <si>
    <t>INSERT INTO Pileta_contenido (id_pileta, id_lote, fecha_inicio, cantidad_inicial_lts, cantidad_actual_lts, observaciones) VALUES (77, '3d517070', '2025-03-17 10:07:33', 11300, 12900, NULL);</t>
  </si>
  <si>
    <t>INSERT INTO Pileta_contenido (id_pileta, id_lote, fecha_inicio, cantidad_inicial_lts, cantidad_actual_lts, observaciones) VALUES (83, '9d80dcac', '2025-03-17 17:17:03', 0, 38500, 'Encube');</t>
  </si>
  <si>
    <t>INSERT INTO Pileta_contenido (id_pileta, id_lote, fecha_inicio, cantidad_inicial_lts, cantidad_actual_lts, observaciones) VALUES (500, '8c8ffb39', '2025-03-17 19:13:47', 1, 1, NULL);</t>
  </si>
  <si>
    <t>INSERT INTO Pileta_contenido (id_pileta, id_lote, fecha_inicio, cantidad_inicial_lts, cantidad_actual_lts, observaciones) VALUES (78, '337ffa98', '2025-03-17 19:58:56', 11350, 13350, '20/3
Rico. Hacer azúcar
Se puede juntar con la 70');</t>
  </si>
  <si>
    <t>INSERT INTO Pileta_contenido (id_pileta, id_lote, fecha_inicio, cantidad_inicial_lts, cantidad_actual_lts, observaciones) VALUES (90, '76ba7fdf', '2025-03-17 20:12:51', 52900, 61800, NULL);</t>
  </si>
  <si>
    <t>INSERT INTO Pileta_contenido (id_pileta, id_lote, fecha_inicio, cantidad_inicial_lts, cantidad_actual_lts, observaciones) VALUES (90, 'de74d539', '2025-03-17 20:16:13', 61800, 74000, NULL);</t>
  </si>
  <si>
    <t>INSERT INTO Pileta_contenido (id_pileta, id_lote, fecha_inicio, cantidad_inicial_lts, cantidad_actual_lts, observaciones) VALUES (500, '79be12ab', '2025-03-18 08:46:40', -12199, -13049, NULL);</t>
  </si>
  <si>
    <t>INSERT INTO Pileta_contenido (id_pileta, id_lote, fecha_inicio, cantidad_inicial_lts, cantidad_actual_lts, observaciones) VALUES (500, '898d9689', '2025-03-18 08:48:06', -13049, -13749, NULL);</t>
  </si>
  <si>
    <t>INSERT INTO Pileta_contenido (id_pileta, id_lote, fecha_inicio, cantidad_inicial_lts, cantidad_actual_lts, observaciones) VALUES (500, '8d3c8a21', '2025-03-18 08:50:17', -13749, -13199, NULL);</t>
  </si>
  <si>
    <t>INSERT INTO Pileta_contenido (id_pileta, id_lote, fecha_inicio, cantidad_inicial_lts, cantidad_actual_lts, observaciones) VALUES (500, '71f4b567', '2025-03-18 08:51:05', -13199, -12199, NULL);</t>
  </si>
  <si>
    <t>INSERT INTO Pileta_contenido (id_pileta, id_lote, fecha_inicio, cantidad_inicial_lts, cantidad_actual_lts, observaciones) VALUES (500, 'a9139adb', '2025-03-18 08:52:25', -12199, -9599, NULL);</t>
  </si>
  <si>
    <t>INSERT INTO Pileta_contenido (id_pileta, id_lote, fecha_inicio, cantidad_inicial_lts, cantidad_actual_lts, observaciones) VALUES (500, '4a34674d', '2025-03-18 08:53:32', -9599, -12699, NULL);</t>
  </si>
  <si>
    <t>INSERT INTO Pileta_contenido (id_pileta, id_lote, fecha_inicio, cantidad_inicial_lts, cantidad_actual_lts, observaciones) VALUES (500, '5020af35', '2025-03-18 08:56:20', -12699, -17349, NULL);</t>
  </si>
  <si>
    <t>INSERT INTO Pileta_contenido (id_pileta, id_lote, fecha_inicio, cantidad_inicial_lts, cantidad_actual_lts, observaciones) VALUES (500, '3eacd39c', '2025-03-18 08:59:33', -17349, -20699, NULL);</t>
  </si>
  <si>
    <t>INSERT INTO Pileta_contenido (id_pileta, id_lote, fecha_inicio, cantidad_inicial_lts, cantidad_actual_lts, observaciones) VALUES (500, '562f51a9', '2025-03-18 09:00:25', -20699, -23399, NULL);</t>
  </si>
  <si>
    <t>INSERT INTO Pileta_contenido (id_pileta, id_lote, fecha_inicio, cantidad_inicial_lts, cantidad_actual_lts, observaciones) VALUES (500, '5cc545be', '2025-03-18 09:01:35', -23399, -24399, NULL);</t>
  </si>
  <si>
    <t>INSERT INTO Pileta_contenido (id_pileta, id_lote, fecha_inicio, cantidad_inicial_lts, cantidad_actual_lts, observaciones) VALUES (500, 'e861b4fa', '2025-03-18 09:02:46', -24399, -20299, NULL);</t>
  </si>
  <si>
    <t>INSERT INTO Pileta_contenido (id_pileta, id_lote, fecha_inicio, cantidad_inicial_lts, cantidad_actual_lts, observaciones) VALUES (500, 'd607821f', '2025-03-18 09:03:24', -20299, -17799, NULL);</t>
  </si>
  <si>
    <t>INSERT INTO Pileta_contenido (id_pileta, id_lote, fecha_inicio, cantidad_inicial_lts, cantidad_actual_lts, observaciones) VALUES (500, '84282478', '2025-03-18 09:04:06', -17799, -20599, NULL);</t>
  </si>
  <si>
    <t>INSERT INTO Pileta_contenido (id_pileta, id_lote, fecha_inicio, cantidad_inicial_lts, cantidad_actual_lts, observaciones) VALUES (500, '41c8d398', '2025-03-18 09:04:48', -20599, -19599, NULL);</t>
  </si>
  <si>
    <t>INSERT INTO Pileta_contenido (id_pileta, id_lote, fecha_inicio, cantidad_inicial_lts, cantidad_actual_lts, observaciones) VALUES (500, '5c98aafc', '2025-03-18 09:05:32', -19599, -22299, NULL);</t>
  </si>
  <si>
    <t>INSERT INTO Pileta_contenido (id_pileta, id_lote, fecha_inicio, cantidad_inicial_lts, cantidad_actual_lts, observaciones) VALUES (500, 'dd4b7b83', '2025-03-18 09:06:31', -22299, -19699, NULL);</t>
  </si>
  <si>
    <t>INSERT INTO Pileta_contenido (id_pileta, id_lote, fecha_inicio, cantidad_inicial_lts, cantidad_actual_lts, observaciones) VALUES (500, 'b5e8d166', '2025-03-18 09:07:11', -19699, -18699, NULL);</t>
  </si>
  <si>
    <t>INSERT INTO Pileta_contenido (id_pileta, id_lote, fecha_inicio, cantidad_inicial_lts, cantidad_actual_lts, observaciones) VALUES (500, '6cba92a2', '2025-03-18 09:08:10', -18699, 19300, 'Ajuste final del Arqueo 17/03/25  - 19300 lts');</t>
  </si>
  <si>
    <t>INSERT INTO Pileta_contenido (id_pileta, id_lote, fecha_inicio, cantidad_inicial_lts, cantidad_actual_lts, observaciones) VALUES (42, '0d46ca84', '2025-03-18 09:16:49', 32900, 35900, NULL);</t>
  </si>
  <si>
    <t>INSERT INTO Pileta_contenido (id_pileta, id_lote, fecha_inicio, cantidad_inicial_lts, cantidad_actual_lts, observaciones) VALUES (46, '92bbed34', '2025-03-18 09:18:52', 0, 29000, NULL);</t>
  </si>
  <si>
    <t>INSERT INTO Pileta_contenido (id_pileta, id_lote, fecha_inicio, cantidad_inicial_lts, cantidad_actual_lts, observaciones) VALUES (65, 'c3e5d902', '2025-03-18 09:27:28', 0, 20800, '20/3
Fermentando 
Cuando consumo unos dos boome más se agregaron unos 30 g de bentonita');</t>
  </si>
  <si>
    <t>INSERT INTO Pileta_contenido (id_pileta, id_lote, fecha_inicio, cantidad_inicial_lts, cantidad_actual_lts, observaciones) VALUES (96, 'b7799ff9', '2025-03-18 13:30:03', 45000, 53100, '20/3
Hacer azúcar');</t>
  </si>
  <si>
    <t>INSERT INTO Pileta_contenido (id_pileta, id_lote, fecha_inicio, cantidad_inicial_lts, cantidad_actual_lts, observaciones) VALUES (105, '238eb34e', '2025-03-18 13:31:04', 30000, 31000, NULL);</t>
  </si>
  <si>
    <t>INSERT INTO Pileta_contenido (id_pileta, id_lote, fecha_inicio, cantidad_inicial_lts, cantidad_actual_lts, observaciones) VALUES (108, '9446c412', '2025-03-18 13:31:21', 30000, 31000, NULL);</t>
  </si>
  <si>
    <t>INSERT INTO Pileta_contenido (id_pileta, id_lote, fecha_inicio, cantidad_inicial_lts, cantidad_actual_lts, observaciones) VALUES (109, '0d1b7f2c', '2025-03-18 13:31:34', 15000, 15600, NULL);</t>
  </si>
  <si>
    <t>INSERT INTO Pileta_contenido (id_pileta, id_lote, fecha_inicio, cantidad_inicial_lts, cantidad_actual_lts, observaciones) VALUES (110, '7d922df1', '2025-03-18 13:31:48', 15000, 15600, NULL);</t>
  </si>
  <si>
    <t>INSERT INTO Pileta_contenido (id_pileta, id_lote, fecha_inicio, cantidad_inicial_lts, cantidad_actual_lts, observaciones) VALUES (114, '6341d7bb', '2025-03-18 13:32:15', 0, 7800, NULL);</t>
  </si>
  <si>
    <t>INSERT INTO Pileta_contenido (id_pileta, id_lote, fecha_inicio, cantidad_inicial_lts, cantidad_actual_lts, observaciones) VALUES (114, 'dd0fd20d', '2025-03-18 16:10:41', 7800, 38800, NULL);</t>
  </si>
  <si>
    <t>INSERT INTO Pileta_contenido (id_pileta, id_lote, fecha_inicio, cantidad_inicial_lts, cantidad_actual_lts, observaciones) VALUES (114, '69d6b7d4', '2025-03-18 16:11:22', 38800, 69800, NULL);</t>
  </si>
  <si>
    <t>INSERT INTO Pileta_contenido (id_pileta, id_lote, fecha_inicio, cantidad_inicial_lts, cantidad_actual_lts, observaciones) VALUES (114, 'f2f249ef', '2025-03-18 16:11:44', 69800, 85400, NULL);</t>
  </si>
  <si>
    <t>INSERT INTO Pileta_contenido (id_pileta, id_lote, fecha_inicio, cantidad_inicial_lts, cantidad_actual_lts, observaciones) VALUES (114, '5c199eac', '2025-03-18 16:12:15', 85400, 101000, NULL);</t>
  </si>
  <si>
    <t>INSERT INTO Pileta_contenido (id_pileta, id_lote, fecha_inicio, cantidad_inicial_lts, cantidad_actual_lts, observaciones) VALUES (110, 'bd85e420', '2025-03-18 16:13:38', 0, 2000, NULL);</t>
  </si>
  <si>
    <t>INSERT INTO Pileta_contenido (id_pileta, id_lote, fecha_inicio, cantidad_inicial_lts, cantidad_actual_lts, observaciones) VALUES (67, 'c39e24cf', '2025-03-18 17:04:51', 0, 17100, NULL);</t>
  </si>
  <si>
    <t>INSERT INTO Pileta_contenido (id_pileta, id_lote, fecha_inicio, cantidad_inicial_lts, cantidad_actual_lts, observaciones) VALUES (86, '26cfa504', '2025-03-19 12:08:49', 50000, 52500, '20/3
El 18 de marzo llegó a 0 grados baume
Hacer azúcar. Parece que se ha frenado la fermentación
24 
Se descubra');</t>
  </si>
  <si>
    <t>INSERT INTO Pileta_contenido (id_pileta, id_lote, fecha_inicio, cantidad_inicial_lts, cantidad_actual_lts, observaciones) VALUES (116, 'd3910498', '2025-03-19 12:12:59', 55000, 99600, NULL);</t>
  </si>
  <si>
    <t>INSERT INTO Pileta_contenido (id_pileta, id_lote, fecha_inicio, cantidad_inicial_lts, cantidad_actual_lts, observaciones) VALUES (103, 'a3638ae6', '2025-03-19 12:13:57', 0, 7400, NULL);</t>
  </si>
  <si>
    <t>INSERT INTO Pileta_contenido (id_pileta, id_lote, fecha_inicio, cantidad_inicial_lts, cantidad_actual_lts, observaciones) VALUES (110, 'bf6d548a', '2025-03-19 12:14:54', 2000, 3000, NULL);</t>
  </si>
  <si>
    <t>INSERT INTO Pileta_contenido (id_pileta, id_lote, fecha_inicio, cantidad_inicial_lts, cantidad_actual_lts, observaciones) VALUES (500, '0f5a0357', '2025-03-19 12:20:38', 0, 29000, NULL);</t>
  </si>
  <si>
    <t>INSERT INTO Pileta_contenido (id_pileta, id_lote, fecha_inicio, cantidad_inicial_lts, cantidad_actual_lts, observaciones) VALUES (500, '6ca6737b', '2025-03-19 12:21:02', 29000, 106100, NULL);</t>
  </si>
  <si>
    <t>INSERT INTO Pileta_contenido (id_pileta, id_lote, fecha_inicio, cantidad_inicial_lts, cantidad_actual_lts, observaciones) VALUES (500, 'a58181b8', '2025-03-19 12:21:48', 106100, 300400, NULL);</t>
  </si>
  <si>
    <t>INSERT INTO Pileta_contenido (id_pileta, id_lote, fecha_inicio, cantidad_inicial_lts, cantidad_actual_lts, observaciones) VALUES (500, '5f1402b2', '2025-03-19 12:22:21', 300400, 487000, 'Traslado  a la Vendimia 19/3/25');</t>
  </si>
  <si>
    <t>INSERT INTO Pileta_contenido (id_pileta, id_lote, fecha_inicio, cantidad_inicial_lts, cantidad_actual_lts, observaciones) VALUES (79, 'a3cee476', '2025-03-19 16:28:14', 20000, 22860, '20/3
Bien
Se le va a cerrar la temperatura porque ya le quedan solamente tres baume');</t>
  </si>
  <si>
    <t>INSERT INTO Pileta_contenido (id_pileta, id_lote, fecha_inicio, cantidad_inicial_lts, cantidad_actual_lts, observaciones) VALUES (103, '8f28e62a', '2025-03-19 19:52:34', 7400, 20400, NULL);</t>
  </si>
  <si>
    <t>INSERT INTO Pileta_contenido (id_pileta, id_lote, fecha_inicio, cantidad_inicial_lts, cantidad_actual_lts, observaciones) VALUES (84, '8f7c7c26', '2025-03-20 08:37:49', 0, 38000, 'Criolla flotada');</t>
  </si>
  <si>
    <t>INSERT INTO Pileta_contenido (id_pileta, id_lote, fecha_inicio, cantidad_inicial_lts, cantidad_actual_lts, observaciones) VALUES (103, 'a2ec7d6d', '2025-03-20 08:42:48', 20400, 36000, NULL);</t>
  </si>
  <si>
    <t>INSERT INTO Pileta_contenido (id_pileta, id_lote, fecha_inicio, cantidad_inicial_lts, cantidad_actual_lts, observaciones) VALUES (66, '2cca878f', '2025-03-20 08:48:24', 5000, 15000, NULL);</t>
  </si>
  <si>
    <t>INSERT INTO Pileta_contenido (id_pileta, id_lote, fecha_inicio, cantidad_inicial_lts, cantidad_actual_lts, observaciones) VALUES (82, '538b2389', '2025-03-20 08:49:21', 4400, 32600, 'Cerrar frío nota 20 de marzo');</t>
  </si>
  <si>
    <t>INSERT INTO Pileta_contenido (id_pileta, id_lote, fecha_inicio, cantidad_inicial_lts, cantidad_actual_lts, observaciones) VALUES (500, '805a5dd9', '2025-03-20 11:44:32', 0, 5000, NULL);</t>
  </si>
  <si>
    <t>INSERT INTO Pileta_contenido (id_pileta, id_lote, fecha_inicio, cantidad_inicial_lts, cantidad_actual_lts, observaciones) VALUES (114, 'e53d4606', '2025-03-20 18:45:31', 99000, 125300, NULL);</t>
  </si>
  <si>
    <t>INSERT INTO Pileta_contenido (id_pileta, id_lote, fecha_inicio, cantidad_inicial_lts, cantidad_actual_lts, observaciones) VALUES (104, 'bb28f5a1', '2025-03-20 18:45:58', 0, 700, NULL);</t>
  </si>
  <si>
    <t>INSERT INTO Pileta_contenido (id_pileta, id_lote, fecha_inicio, cantidad_inicial_lts, cantidad_actual_lts, observaciones) VALUES (12, '00ec1fb2', '2025-03-20 19:02:57', 0, 4000, NULL);</t>
  </si>
  <si>
    <t>INSERT INTO Pileta_contenido (id_pileta, id_lote, fecha_inicio, cantidad_inicial_lts, cantidad_actual_lts, observaciones) VALUES (68, '7c51cd7c', '2025-03-20 19:05:33', 0, 4200, NULL);</t>
  </si>
  <si>
    <t>INSERT INTO Pileta_contenido (id_pileta, id_lote, fecha_inicio, cantidad_inicial_lts, cantidad_actual_lts, observaciones) VALUES (68, 'e16bba1c', '2025-03-20 19:06:00', 4200, 13000, '28/3 degustado y gusto mucho
25/3
No esta verde. Está muy bueno
Controlar SO2');</t>
  </si>
  <si>
    <t>INSERT INTO Pileta_contenido (id_pileta, id_lote, fecha_inicio, cantidad_inicial_lts, cantidad_actual_lts, observaciones) VALUES (51, '0bebff1a', '2025-03-20 19:09:09', 0, 3800, NULL);</t>
  </si>
  <si>
    <t>INSERT INTO Pileta_contenido (id_pileta, id_lote, fecha_inicio, cantidad_inicial_lts, cantidad_actual_lts, observaciones) VALUES (71, '8ba061c3', '2025-03-20 20:35:38', 0, 9500, '25/3
Notas de fruta negra ácida
Revisar ph');</t>
  </si>
  <si>
    <t>INSERT INTO Pileta_contenido (id_pileta, id_lote, fecha_inicio, cantidad_inicial_lts, cantidad_actual_lts, observaciones) VALUES (84, 'c60f6341', '2025-03-20 20:36:32', 0, 43000, NULL);</t>
  </si>
  <si>
    <t>INSERT INTO Pileta_contenido (id_pileta, id_lote, fecha_inicio, cantidad_inicial_lts, cantidad_actual_lts, observaciones) VALUES (104, '78caf863', '2025-03-21 19:40:02', 700, 31000, '1/4 
Está muy bien.');</t>
  </si>
  <si>
    <t>INSERT INTO Pileta_contenido (id_pileta, id_lote, fecha_inicio, cantidad_inicial_lts, cantidad_actual_lts, observaciones) VALUES (105, '01572a41', '2025-03-21 19:40:53', 0, 6800, NULL);</t>
  </si>
  <si>
    <t>INSERT INTO Pileta_contenido (id_pileta, id_lote, fecha_inicio, cantidad_inicial_lts, cantidad_actual_lts, observaciones) VALUES (70, '0cf5d8ff', '2025-03-21 19:51:53', 1800, 7400, NULL);</t>
  </si>
  <si>
    <t>INSERT INTO Pileta_contenido (id_pileta, id_lote, fecha_inicio, cantidad_inicial_lts, cantidad_actual_lts, observaciones) VALUES (69, '1640b5b7', '2025-03-21 20:28:53', 2400, 6400, NULL);</t>
  </si>
  <si>
    <t>INSERT INTO Pileta_contenido (id_pileta, id_lote, fecha_inicio, cantidad_inicial_lts, cantidad_actual_lts, observaciones) VALUES (83, 'd007d867', '2025-03-21 20:31:03', 38500, 47400, '25/3');</t>
  </si>
  <si>
    <t>INSERT INTO Pileta_contenido (id_pileta, id_lote, fecha_inicio, cantidad_inicial_lts, cantidad_actual_lts, observaciones) VALUES (92, 'd7576c4b', '2025-03-21 20:31:49', 0, 30000, 'Flotacion');</t>
  </si>
  <si>
    <t>INSERT INTO Pileta_contenido (id_pileta, id_lote, fecha_inicio, cantidad_inicial_lts, cantidad_actual_lts, observaciones) VALUES (78, 'd7488996', '2025-03-21 20:48:47', 5400, 12400, NULL);</t>
  </si>
  <si>
    <t>INSERT INTO Pileta_contenido (id_pileta, id_lote, fecha_inicio, cantidad_inicial_lts, cantidad_actual_lts, observaciones) VALUES (96, '7b27f7a2', '2025-03-21 20:50:05', 16000, 39000, '25/3
Hacer AZ y VOL');</t>
  </si>
  <si>
    <t>INSERT INTO Pileta_contenido (id_pileta, id_lote, fecha_inicio, cantidad_inicial_lts, cantidad_actual_lts, observaciones) VALUES (67, '730bdaa5', '2025-03-21 20:57:33', 17100, 21100, '25/3
Bien. Algo ácido. Lindo color');</t>
  </si>
  <si>
    <t>INSERT INTO Pileta_contenido (id_pileta, id_lote, fecha_inicio, cantidad_inicial_lts, cantidad_actual_lts, observaciones) VALUES (65, 'b2ddb184', '2025-03-21 20:59:25', 20800, 25000, '25/3
Llego a cero baume');</t>
  </si>
  <si>
    <t>INSERT INTO Pileta_contenido (id_pileta, id_lote, fecha_inicio, cantidad_inicial_lts, cantidad_actual_lts, observaciones) VALUES (72, '571333c6', '2025-03-21 21:02:33', 0, 7000, '25/3 
Cargar ph');</t>
  </si>
  <si>
    <t>INSERT INTO Pileta_contenido (id_pileta, id_lote, fecha_inicio, cantidad_inicial_lts, cantidad_actual_lts, observaciones) VALUES (89, '22e4f887', '2025-03-21 21:04:18', 0, 39200, 'Mecanica');</t>
  </si>
  <si>
    <t>INSERT INTO Pileta_contenido (id_pileta, id_lote, fecha_inicio, cantidad_inicial_lts, cantidad_actual_lts, observaciones) VALUES (88, '708b6ccb', '2025-03-21 21:06:20', 0, 28000, 'Falta rectificado de la 49');</t>
  </si>
  <si>
    <t>INSERT INTO Pileta_contenido (id_pileta, id_lote, fecha_inicio, cantidad_inicial_lts, cantidad_actual_lts, observaciones) VALUES (109, '33d70f3e', '2025-03-22 19:38:34', 0, 15600, '17/4');</t>
  </si>
  <si>
    <t>INSERT INTO Pileta_contenido (id_pileta, id_lote, fecha_inicio, cantidad_inicial_lts, cantidad_actual_lts, observaciones) VALUES (108, '3907dbfc', '2025-03-22 19:39:48', 0, 31000, '1/4
Tinto básico. Liviano.');</t>
  </si>
  <si>
    <t>INSERT INTO Pileta_contenido (id_pileta, id_lote, fecha_inicio, cantidad_inicial_lts, cantidad_actual_lts, observaciones) VALUES (107, 'c9e381e1', '2025-03-22 19:40:58', 0, 8400, NULL);</t>
  </si>
  <si>
    <t>INSERT INTO Pileta_contenido (id_pileta, id_lote, fecha_inicio, cantidad_inicial_lts, cantidad_actual_lts, observaciones) VALUES (105, '54d0d860', '2025-03-22 19:43:37', 6800, 31000, '1/4
Muy bien.');</t>
  </si>
  <si>
    <t>INSERT INTO Pileta_contenido (id_pileta, id_lote, fecha_inicio, cantidad_inicial_lts, cantidad_actual_lts, observaciones) VALUES (106, 'b1ca9458', '2025-03-22 19:44:52', 0, 11000, '17/4
Muy rico
1/4
Bien. Alineado con la 105. Se pueden unificar');</t>
  </si>
  <si>
    <t>INSERT INTO Pileta_contenido (id_pileta, id_lote, fecha_inicio, cantidad_inicial_lts, cantidad_actual_lts, observaciones) VALUES (107, 'afed01fa', '2025-03-22 19:48:41', 8400, 31000, '17/4
Simple
1/4
Está bien pero más básico. Co2 en boca');</t>
  </si>
  <si>
    <t>INSERT INTO Pileta_contenido (id_pileta, id_lote, fecha_inicio, cantidad_inicial_lts, cantidad_actual_lts, observaciones) VALUES (73, '6527d58b', '2025-03-24 10:39:26', 0, 6400, NULL);</t>
  </si>
  <si>
    <t>INSERT INTO Pileta_contenido (id_pileta, id_lote, fecha_inicio, cantidad_inicial_lts, cantidad_actual_lts, observaciones) VALUES (115, '34f051f2', '2025-03-24 10:55:02', 0, 50000, NULL);</t>
  </si>
  <si>
    <t>INSERT INTO Pileta_contenido (id_pileta, id_lote, fecha_inicio, cantidad_inicial_lts, cantidad_actual_lts, observaciones) VALUES (88, '8d1e611a', '2025-03-25 12:38:22', 28000, 35900, NULL);</t>
  </si>
  <si>
    <t>INSERT INTO Pileta_contenido (id_pileta, id_lote, fecha_inicio, cantidad_inicial_lts, cantidad_actual_lts, observaciones) VALUES (73, '2e224e71', '2025-03-25 12:39:33', 6400, 7800, '4/4 ver donde va el saldo de 1500 lts despues de ir a 15 el resto
1/4
Pasar por orujos tanat');</t>
  </si>
  <si>
    <t>INSERT INTO Pileta_contenido (id_pileta, id_lote, fecha_inicio, cantidad_inicial_lts, cantidad_actual_lts, observaciones) VALUES (89, '239b5e04', '2025-03-25 12:42:15', 39200, 46000, '1/4
Igual 84. Hacer AZ para pensar
Liviano, floral
No hace falta seguir dejando con los orujos
Juntar con 84');</t>
  </si>
  <si>
    <t>INSERT INTO Pileta_contenido (id_pileta, id_lote, fecha_inicio, cantidad_inicial_lts, cantidad_actual_lts, observaciones) VALUES (89, '95e67a02', '2025-03-25 12:42:53', 46000, 52800, NULL);</t>
  </si>
  <si>
    <t>INSERT INTO Pileta_contenido (id_pileta, id_lote, fecha_inicio, cantidad_inicial_lts, cantidad_actual_lts, observaciones) VALUES (80, '4fc3176a', '2025-03-25 12:44:58', 24000, 26100, NULL);</t>
  </si>
  <si>
    <t>INSERT INTO Pileta_contenido (id_pileta, id_lote, fecha_inicio, cantidad_inicial_lts, cantidad_actual_lts, observaciones) VALUES (95, '666d23a6', '2025-03-25 12:47:26', 0, 52500, '1/4
Cómo estaba parada la generación se le agrego el viernes 100 GR SO2 para limpiar el medio.
Hacer AZ hoy 1/4');</t>
  </si>
  <si>
    <t>INSERT INTO Pileta_contenido (id_pileta, id_lote, fecha_inicio, cantidad_inicial_lts, cantidad_actual_lts, observaciones) VALUES (51, '4eab3967', '2025-03-25 12:56:46', 3800, 3900, '1/4
Muy bueno. Redondo');</t>
  </si>
  <si>
    <t>INSERT INTO Pileta_contenido (id_pileta, id_lote, fecha_inicio, cantidad_inicial_lts, cantidad_actual_lts, observaciones) VALUES (55, '806c3920', '2025-03-25 12:58:12', 0, 3000, NULL);</t>
  </si>
  <si>
    <t>INSERT INTO Pileta_contenido (id_pileta, id_lote, fecha_inicio, cantidad_inicial_lts, cantidad_actual_lts, observaciones) VALUES (115, '45c7ce93', '2025-03-25 12:58:39', 50000, 54300, NULL);</t>
  </si>
  <si>
    <t>INSERT INTO Pileta_contenido (id_pileta, id_lote, fecha_inicio, cantidad_inicial_lts, cantidad_actual_lts, observaciones) VALUES (115, '35c5e060', '2025-03-25 12:59:32', 54300, 70300, NULL);</t>
  </si>
  <si>
    <t>INSERT INTO Pileta_contenido (id_pileta, id_lote, fecha_inicio, cantidad_inicial_lts, cantidad_actual_lts, observaciones) VALUES (115, '1fb0aecd', '2025-03-25 13:00:38', 70300, 84300, NULL);</t>
  </si>
  <si>
    <t>INSERT INTO Pileta_contenido (id_pileta, id_lote, fecha_inicio, cantidad_inicial_lts, cantidad_actual_lts, observaciones) VALUES (500, 'c10d9cc7', '2025-03-25 17:02:17', 0, 1, NULL);</t>
  </si>
  <si>
    <t>INSERT INTO Pileta_contenido (id_pileta, id_lote, fecha_inicio, cantidad_inicial_lts, cantidad_actual_lts, observaciones) VALUES (84, '2fe32030', '2025-03-25 17:13:52', 43000, 50400, '1/4
Buen color
Ver Az para ver si prensar porque está tqnico');</t>
  </si>
  <si>
    <t>INSERT INTO Pileta_contenido (id_pileta, id_lote, fecha_inicio, cantidad_inicial_lts, cantidad_actual_lts, observaciones) VALUES (500, 'e2c9de47', '2025-03-25 17:18:07', 1, 941, NULL);</t>
  </si>
  <si>
    <t>INSERT INTO Pileta_contenido (id_pileta, id_lote, fecha_inicio, cantidad_inicial_lts, cantidad_actual_lts, observaciones) VALUES (500, 'bf75bf0d', '2025-03-25 17:38:33', 941, 4941, NULL);</t>
  </si>
  <si>
    <t>INSERT INTO Pileta_contenido (id_pileta, id_lote, fecha_inicio, cantidad_inicial_lts, cantidad_actual_lts, observaciones) VALUES (500, '62023f37', '2025-03-25 17:42:16', 4941, 3341, NULL);</t>
  </si>
  <si>
    <t>INSERT INTO Pileta_contenido (id_pileta, id_lote, fecha_inicio, cantidad_inicial_lts, cantidad_actual_lts, observaciones) VALUES (72, '671aa5be', '2025-03-25 17:44:03', 7000, 8000, NULL);</t>
  </si>
  <si>
    <t>INSERT INTO Pileta_contenido (id_pileta, id_lote, fecha_inicio, cantidad_inicial_lts, cantidad_actual_lts, observaciones) VALUES (500, '48ce0b6f', '2025-03-25 17:47:48', 3341, 1141, NULL);</t>
  </si>
  <si>
    <t>INSERT INTO Pileta_contenido (id_pileta, id_lote, fecha_inicio, cantidad_inicial_lts, cantidad_actual_lts, observaciones) VALUES (500, '896bf192', '2025-03-25 17:48:31', 1141, -359, NULL);</t>
  </si>
  <si>
    <t>INSERT INTO Pileta_contenido (id_pileta, id_lote, fecha_inicio, cantidad_inicial_lts, cantidad_actual_lts, observaciones) VALUES (500, '22f56119', '2025-03-25 17:52:08', -359, -2959, NULL);</t>
  </si>
  <si>
    <t>INSERT INTO Pileta_contenido (id_pileta, id_lote, fecha_inicio, cantidad_inicial_lts, cantidad_actual_lts, observaciones) VALUES (500, '7059064e', '2025-03-25 19:23:51', -2959, -2099, NULL);</t>
  </si>
  <si>
    <t>INSERT INTO Pileta_contenido (id_pileta, id_lote, fecha_inicio, cantidad_inicial_lts, cantidad_actual_lts, observaciones) VALUES (500, '5b1a85aa', '2025-03-25 19:25:16', -2099, -5599, NULL);</t>
  </si>
  <si>
    <t>INSERT INTO Pileta_contenido (id_pileta, id_lote, fecha_inicio, cantidad_inicial_lts, cantidad_actual_lts, observaciones) VALUES (500, '9c08b5f2', '2025-03-25 19:26:52', -5599, -2499, NULL);</t>
  </si>
  <si>
    <t>INSERT INTO Pileta_contenido (id_pileta, id_lote, fecha_inicio, cantidad_inicial_lts, cantidad_actual_lts, observaciones) VALUES (500, 'a85e69f1', '2025-03-25 19:29:34', -2499, -2999, NULL);</t>
  </si>
  <si>
    <t>INSERT INTO Pileta_contenido (id_pileta, id_lote, fecha_inicio, cantidad_inicial_lts, cantidad_actual_lts, observaciones) VALUES (500, 'f9474150', '2025-03-25 19:30:10', -2999, -2399, NULL);</t>
  </si>
  <si>
    <t>INSERT INTO Pileta_contenido (id_pileta, id_lote, fecha_inicio, cantidad_inicial_lts, cantidad_actual_lts, observaciones) VALUES (500, '811c911e', '2025-03-25 19:31:08', -2399, 1, NULL);</t>
  </si>
  <si>
    <t>INSERT INTO Pileta_contenido (id_pileta, id_lote, fecha_inicio, cantidad_inicial_lts, cantidad_actual_lts, observaciones) VALUES (500, '7e71a1c9', '2025-03-25 19:31:48', 1, 401, NULL);</t>
  </si>
  <si>
    <t>INSERT INTO Pileta_contenido (id_pileta, id_lote, fecha_inicio, cantidad_inicial_lts, cantidad_actual_lts, observaciones) VALUES (500, 'd2438b41', '2025-03-25 19:46:46', 401, -4599, NULL);</t>
  </si>
  <si>
    <t>INSERT INTO Pileta_contenido (id_pileta, id_lote, fecha_inicio, cantidad_inicial_lts, cantidad_actual_lts, observaciones) VALUES (500, '4553393f', '2025-03-25 19:51:18', -4599, -2899, NULL);</t>
  </si>
  <si>
    <t>INSERT INTO Pileta_contenido (id_pileta, id_lote, fecha_inicio, cantidad_inicial_lts, cantidad_actual_lts, observaciones) VALUES (500, '4f64f8ff', '2025-03-25 19:51:46', -2899, -3899, NULL);</t>
  </si>
  <si>
    <t>INSERT INTO Pileta_contenido (id_pileta, id_lote, fecha_inicio, cantidad_inicial_lts, cantidad_actual_lts, observaciones) VALUES (500, '3f692936', '2025-03-25 19:52:12', -3899, -2899, NULL);</t>
  </si>
  <si>
    <t>INSERT INTO Pileta_contenido (id_pileta, id_lote, fecha_inicio, cantidad_inicial_lts, cantidad_actual_lts, observaciones) VALUES (500, 'c625482f', '2025-03-25 19:52:32', -2899, -1899, NULL);</t>
  </si>
  <si>
    <t>INSERT INTO Pileta_contenido (id_pileta, id_lote, fecha_inicio, cantidad_inicial_lts, cantidad_actual_lts, observaciones) VALUES (500, 'cddd0d08', '2025-03-25 19:54:12', -1899, 3101, NULL);</t>
  </si>
  <si>
    <t>INSERT INTO Pileta_contenido (id_pileta, id_lote, fecha_inicio, cantidad_inicial_lts, cantidad_actual_lts, observaciones) VALUES (500, '666c05a4', '2025-03-25 19:54:45', 3101, 4101, NULL);</t>
  </si>
  <si>
    <t>INSERT INTO Pileta_contenido (id_pileta, id_lote, fecha_inicio, cantidad_inicial_lts, cantidad_actual_lts, observaciones) VALUES (500, 'ba65567d', '2025-03-25 19:55:11', 4101, 5101, NULL);</t>
  </si>
  <si>
    <t>INSERT INTO Pileta_contenido (id_pileta, id_lote, fecha_inicio, cantidad_inicial_lts, cantidad_actual_lts, observaciones) VALUES (500, '37d13c67', '2025-03-25 19:55:34', 5101, 5701, NULL);</t>
  </si>
  <si>
    <t>INSERT INTO Pileta_contenido (id_pileta, id_lote, fecha_inicio, cantidad_inicial_lts, cantidad_actual_lts, observaciones) VALUES (500, '309834ec', '2025-03-25 19:55:58', 5701, 1701, NULL);</t>
  </si>
  <si>
    <t>INSERT INTO Pileta_contenido (id_pileta, id_lote, fecha_inicio, cantidad_inicial_lts, cantidad_actual_lts, observaciones) VALUES (92, '654f6921', '2025-03-26 18:14:07', 0, 23800, NULL);</t>
  </si>
  <si>
    <t>INSERT INTO Pileta_contenido (id_pileta, id_lote, fecha_inicio, cantidad_inicial_lts, cantidad_actual_lts, observaciones) VALUES (91, '8cca3230', '2025-03-26 18:15:14', 0, 49700, NULL);</t>
  </si>
  <si>
    <t>INSERT INTO Pileta_contenido (id_pileta, id_lote, fecha_inicio, cantidad_inicial_lts, cantidad_actual_lts, observaciones) VALUES (102, '32e9ec8f', '2025-03-26 18:19:29', 0, 20000, NULL);</t>
  </si>
  <si>
    <t>INSERT INTO Pileta_contenido (id_pileta, id_lote, fecha_inicio, cantidad_inicial_lts, cantidad_actual_lts, observaciones) VALUES (12, '9a9cd123', '2025-03-26 18:20:49', 0, 20000, NULL);</t>
  </si>
  <si>
    <t>INSERT INTO Pileta_contenido (id_pileta, id_lote, fecha_inicio, cantidad_inicial_lts, cantidad_actual_lts, observaciones) VALUES (102, '96467006', '2025-03-26 18:32:32', 20000, 30000, '4/4
Se puede controlar 102
109 12 109 107
1/4
Tinto básico simplon');</t>
  </si>
  <si>
    <t>INSERT INTO Pileta_contenido (id_pileta, id_lote, fecha_inicio, cantidad_inicial_lts, cantidad_actual_lts, observaciones) VALUES (115, '8102a15a', '2025-03-26 18:33:52', 84300, 120200, '1/4
Liviano pero linda base para hacer volumen. No hay verdes ni tanicos
Podría juntarse con la 96');</t>
  </si>
  <si>
    <t>INSERT INTO Pileta_contenido (id_pileta, id_lote, fecha_inicio, cantidad_inicial_lts, cantidad_actual_lts, observaciones) VALUES (12, '3cb72b04', '2025-03-26 19:30:06', 20000, 35000, NULL);</t>
  </si>
  <si>
    <t>INSERT INTO Pileta_contenido (id_pileta, id_lote, fecha_inicio, cantidad_inicial_lts, cantidad_actual_lts, observaciones) VALUES (12, '28029583', '2025-03-26 19:31:03', 35000, 35300, '4/4 
Tinto simple, pero bien');</t>
  </si>
  <si>
    <t>INSERT INTO Pileta_contenido (id_pileta, id_lote, fecha_inicio, cantidad_inicial_lts, cantidad_actual_lts, observaciones) VALUES (52, 'c85b5cb0', '2025-03-26 19:31:31', 0, 14700, NULL);</t>
  </si>
  <si>
    <t>INSERT INTO Pileta_contenido (id_pileta, id_lote, fecha_inicio, cantidad_inicial_lts, cantidad_actual_lts, observaciones) VALUES (52, 'bcd7e2f3', '2025-03-26 19:33:14', 14700, 27000, NULL);</t>
  </si>
  <si>
    <t>INSERT INTO Pileta_contenido (id_pileta, id_lote, fecha_inicio, cantidad_inicial_lts, cantidad_actual_lts, observaciones) VALUES (500, '2e2b3f01', '2025-03-26 20:02:32', 1701, 6401, NULL);</t>
  </si>
  <si>
    <t>INSERT INTO Pileta_contenido (id_pileta, id_lote, fecha_inicio, cantidad_inicial_lts, cantidad_actual_lts, observaciones) VALUES (52, 'c750a1d2', '2025-03-27 17:10:12', 27000, 30000, NULL);</t>
  </si>
  <si>
    <t>INSERT INTO Pileta_contenido (id_pileta, id_lote, fecha_inicio, cantidad_inicial_lts, cantidad_actual_lts, observaciones) VALUES (500, '3e5b524d', '2025-03-27 17:12:08', 6401, 9401, NULL);</t>
  </si>
  <si>
    <t>INSERT INTO Pileta_contenido (id_pileta, id_lote, fecha_inicio, cantidad_inicial_lts, cantidad_actual_lts, observaciones) VALUES (48, 'ef198a97', '2025-03-27 18:23:45', 0, 26000, '14/5
nota amoscatelada');</t>
  </si>
  <si>
    <t>INSERT INTO Pileta_contenido (id_pileta, id_lote, fecha_inicio, cantidad_inicial_lts, cantidad_actual_lts, observaciones) VALUES (47, 'eeb8e99d', '2025-03-27 18:24:27', 0, 2500, NULL);</t>
  </si>
  <si>
    <t>INSERT INTO Pileta_contenido (id_pileta, id_lote, fecha_inicio, cantidad_inicial_lts, cantidad_actual_lts, observaciones) VALUES (47, '5cdb12ce', '2025-03-27 18:25:15', 2500, 20000, '14/5
algo verde. rico,');</t>
  </si>
  <si>
    <t>INSERT INTO Pileta_contenido (id_pileta, id_lote, fecha_inicio, cantidad_inicial_lts, cantidad_actual_lts, observaciones) VALUES (36, 'b4fcbbdb', '2025-03-27 18:25:49', 0, 5500, NULL);</t>
  </si>
  <si>
    <t>INSERT INTO Pileta_contenido (id_pileta, id_lote, fecha_inicio, cantidad_inicial_lts, cantidad_actual_lts, observaciones) VALUES (36, '0997a77d', '2025-03-27 18:26:38', 5500, 19700, NULL);</t>
  </si>
  <si>
    <t>INSERT INTO Pileta_contenido (id_pileta, id_lote, fecha_inicio, cantidad_inicial_lts, cantidad_actual_lts, observaciones) VALUES (55, '30332ad5', '2025-03-27 18:27:38', 0, 3000, '14/5
tiene un sucio');</t>
  </si>
  <si>
    <t>INSERT INTO Pileta_contenido (id_pileta, id_lote, fecha_inicio, cantidad_inicial_lts, cantidad_actual_lts, observaciones) VALUES (110, 'd711de02', '2025-03-27 18:27:56', 7000, 8800, NULL);</t>
  </si>
  <si>
    <t>INSERT INTO Pileta_contenido (id_pileta, id_lote, fecha_inicio, cantidad_inicial_lts, cantidad_actual_lts, observaciones) VALUES (92, '2f246ad5', '2025-03-27 18:31:04', 23800, 39000, NULL);</t>
  </si>
  <si>
    <t>INSERT INTO Pileta_contenido (id_pileta, id_lote, fecha_inicio, cantidad_inicial_lts, cantidad_actual_lts, observaciones) VALUES (44, '7ae457f1', '2025-03-27 18:32:19', 0, 19100, '14/5
mas fino y reco que antes');</t>
  </si>
  <si>
    <t>INSERT INTO Pileta_contenido (id_pileta, id_lote, fecha_inicio, cantidad_inicial_lts, cantidad_actual_lts, observaciones) VALUES (85, '6d3395c8', '2025-03-28 12:15:41', 0, 44600, '1/4
Olor raro');</t>
  </si>
  <si>
    <t>INSERT INTO Pileta_contenido (id_pileta, id_lote, fecha_inicio, cantidad_inicial_lts, cantidad_actual_lts, observaciones) VALUES (2, 'f544d5bf', '2025-03-28 12:43:20', 0, 2000, NULL);</t>
  </si>
  <si>
    <t>INSERT INTO Pileta_contenido (id_pileta, id_lote, fecha_inicio, cantidad_inicial_lts, cantidad_actual_lts, observaciones) VALUES (500, '0ff5115b', '2025-03-28 12:45:25', 9401, 25601, NULL);</t>
  </si>
  <si>
    <t>INSERT INTO Pileta_contenido (id_pileta, id_lote, fecha_inicio, cantidad_inicial_lts, cantidad_actual_lts, observaciones) VALUES (96, 'c694d86c', '2025-03-28 20:23:07', 0, 8000, NULL);</t>
  </si>
  <si>
    <t>INSERT INTO Pileta_contenido (id_pileta, id_lote, fecha_inicio, cantidad_inicial_lts, cantidad_actual_lts, observaciones) VALUES (96, '50c7db36', '2025-03-28 20:23:52', 8000, 36000, '1/4 
Tinto recarga ver trazabilidad');</t>
  </si>
  <si>
    <t>INSERT INTO Pileta_contenido (id_pileta, id_lote, fecha_inicio, cantidad_inicial_lts, cantidad_actual_lts, observaciones) VALUES (69, 'c2b34610', '2025-03-28 20:41:59', 0, 5850, NULL);</t>
  </si>
  <si>
    <t>INSERT INTO Pileta_contenido (id_pileta, id_lote, fecha_inicio, cantidad_inicial_lts, cantidad_actual_lts, observaciones) VALUES (25, 'c97f270b', '2025-03-28 20:44:12', 0, 36500, NULL);</t>
  </si>
  <si>
    <t>INSERT INTO Pileta_contenido (id_pileta, id_lote, fecha_inicio, cantidad_inicial_lts, cantidad_actual_lts, observaciones) VALUES (25, '6dd6dc83', '2025-03-28 20:44:53', 36500, 73500, NULL);</t>
  </si>
  <si>
    <t>INSERT INTO Pileta_contenido (id_pileta, id_lote, fecha_inicio, cantidad_inicial_lts, cantidad_actual_lts, observaciones) VALUES (25, 'ec23e3f7', '2025-03-28 20:45:41', 73500, 109500, NULL);</t>
  </si>
  <si>
    <t>INSERT INTO Pileta_contenido (id_pileta, id_lote, fecha_inicio, cantidad_inicial_lts, cantidad_actual_lts, observaciones) VALUES (25, 'bc837f92', '2025-03-28 20:46:08', 109500, 149000, NULL);</t>
  </si>
  <si>
    <t>INSERT INTO Pileta_contenido (id_pileta, id_lote, fecha_inicio, cantidad_inicial_lts, cantidad_actual_lts, observaciones) VALUES (25, 'a6d28e88', '2025-03-29 12:01:39', 149000, 194300, '14/5
rico
4/4
Lindo color, está rico');</t>
  </si>
  <si>
    <t>INSERT INTO Pileta_contenido (id_pileta, id_lote, fecha_inicio, cantidad_inicial_lts, cantidad_actual_lts, observaciones) VALUES (11, 'd557e5fd', '2025-03-29 12:02:05', 0, 36000, '8/4 corregir volymen');</t>
  </si>
  <si>
    <t>INSERT INTO Pileta_contenido (id_pileta, id_lote, fecha_inicio, cantidad_inicial_lts, cantidad_actual_lts, observaciones) VALUES (110, 'd251428e', '2025-03-29 12:03:20', 8800, 15600, NULL);</t>
  </si>
  <si>
    <t>INSERT INTO Pileta_contenido (id_pileta, id_lote, fecha_inicio, cantidad_inicial_lts, cantidad_actual_lts, observaciones) VALUES (92, '857f0b04', '2025-03-31 18:10:59', 39000, 46300, '1/4 
Bueno. Fermentando');</t>
  </si>
  <si>
    <t>INSERT INTO Pileta_contenido (id_pileta, id_lote, fecha_inicio, cantidad_inicial_lts, cantidad_actual_lts, observaciones) VALUES (91, '0420c80a', '2025-03-31 18:11:33', 49700, 59300, '1/4
Se puede desvinar para recargar con criolla');</t>
  </si>
  <si>
    <t>INSERT INTO Pileta_contenido (id_pileta, id_lote, fecha_inicio, cantidad_inicial_lts, cantidad_actual_lts, observaciones) VALUES (69, '380532ea', '2025-03-31 18:14:16', 5850, 7650, NULL);</t>
  </si>
  <si>
    <t>INSERT INTO Pileta_contenido (id_pileta, id_lote, fecha_inicio, cantidad_inicial_lts, cantidad_actual_lts, observaciones) VALUES (125, '520b940d', '2025-03-31 19:04:49', 0, 6700, NULL);</t>
  </si>
  <si>
    <t>INSERT INTO Pileta_contenido (id_pileta, id_lote, fecha_inicio, cantidad_inicial_lts, cantidad_actual_lts, observaciones) VALUES (125, 'e01e8aa7', '2025-03-31 19:05:25', 6700, 8300, NULL);</t>
  </si>
  <si>
    <t>INSERT INTO Pileta_contenido (id_pileta, id_lote, fecha_inicio, cantidad_inicial_lts, cantidad_actual_lts, observaciones) VALUES (74, '1f683a42', '2025-03-31 19:06:31', 6300, 7340, NULL);</t>
  </si>
  <si>
    <t>INSERT INTO Pileta_contenido (id_pileta, id_lote, fecha_inicio, cantidad_inicial_lts, cantidad_actual_lts, observaciones) VALUES (111, '650c1db7', '2025-03-31 19:06:53', 2400, 3200, NULL);</t>
  </si>
  <si>
    <t>INSERT INTO Pileta_contenido (id_pileta, id_lote, fecha_inicio, cantidad_inicial_lts, cantidad_actual_lts, observaciones) VALUES (74, '8b30dc4c', '2025-03-31 19:07:31', 7340, 13000, '1/4
 Falta rellenar. Que se rellene de la 51 Tanat');</t>
  </si>
  <si>
    <t>INSERT INTO Pileta_contenido (id_pileta, id_lote, fecha_inicio, cantidad_inicial_lts, cantidad_actual_lts, observaciones) VALUES (111, 'a4c9e3f8', '2025-03-31 19:08:56', 3200, 3600, NULL);</t>
  </si>
  <si>
    <t>INSERT INTO Pileta_contenido (id_pileta, id_lote, fecha_inicio, cantidad_inicial_lts, cantidad_actual_lts, observaciones) VALUES (111, '3f3e8ee6', '2025-03-31 19:09:37', 3600, 4000, '1/4
Mejoro los rojos.
Poner las duelas del 74 para recuperar algo de madera.');</t>
  </si>
  <si>
    <t>INSERT INTO Pileta_contenido (id_pileta, id_lote, fecha_inicio, cantidad_inicial_lts, cantidad_actual_lts, observaciones) VALUES (103, '290ee918', '2025-03-31 19:11:32', 23940, 31000, NULL);</t>
  </si>
  <si>
    <t>INSERT INTO Pileta_contenido (id_pileta, id_lote, fecha_inicio, cantidad_inicial_lts, cantidad_actual_lts, observaciones) VALUES (500, '8fc418d7', '2025-04-01 16:12:20', 25601, 22801, NULL);</t>
  </si>
  <si>
    <t>INSERT INTO Pileta_contenido (id_pileta, id_lote, fecha_inicio, cantidad_inicial_lts, cantidad_actual_lts, observaciones) VALUES (49, 'c7ecff86', '2025-04-01 16:13:40', 0, 20800, NULL);</t>
  </si>
  <si>
    <t>INSERT INTO Pileta_contenido (id_pileta, id_lote, fecha_inicio, cantidad_inicial_lts, cantidad_actual_lts, observaciones) VALUES (127, 'd7991cf5', '2025-04-01 16:13:57', 0, 22100, NULL);</t>
  </si>
  <si>
    <t>INSERT INTO Pileta_contenido (id_pileta, id_lote, fecha_inicio, cantidad_inicial_lts, cantidad_actual_lts, observaciones) VALUES (88, 'dadb0851', '2025-04-01 16:16:47', 15100, 37200, NULL);</t>
  </si>
  <si>
    <t>INSERT INTO Pileta_contenido (id_pileta, id_lote, fecha_inicio, cantidad_inicial_lts, cantidad_actual_lts, observaciones) VALUES (83, 'becb2c75', '2025-04-01 16:18:35', 0, 44500, NULL);</t>
  </si>
  <si>
    <t>INSERT INTO Pileta_contenido (id_pileta, id_lote, fecha_inicio, cantidad_inicial_lts, cantidad_actual_lts, observaciones) VALUES (80, 'b7223c27', '2025-04-01 16:19:57', 0, 14200, NULL);</t>
  </si>
  <si>
    <t>INSERT INTO Pileta_contenido (id_pileta, id_lote, fecha_inicio, cantidad_inicial_lts, cantidad_actual_lts, observaciones) VALUES (68, 'b23211ad', '2025-04-01 19:22:23', 11160, 13000, NULL);</t>
  </si>
  <si>
    <t>INSERT INTO Pileta_contenido (id_pileta, id_lote, fecha_inicio, cantidad_inicial_lts, cantidad_actual_lts, observaciones) VALUES (500, 'c6c8568a', '2025-04-01 19:29:03', 0, 1, NULL);</t>
  </si>
  <si>
    <t>INSERT INTO Pileta_contenido (id_pileta, id_lote, fecha_inicio, cantidad_inicial_lts, cantidad_actual_lts, observaciones) VALUES (500, 'eb25ce6f', '2025-04-01 19:33:55', 1, 5001, NULL);</t>
  </si>
  <si>
    <t>INSERT INTO Pileta_contenido (id_pileta, id_lote, fecha_inicio, cantidad_inicial_lts, cantidad_actual_lts, observaciones) VALUES (500, '1a5b525d', '2025-04-01 19:35:01', 5001, 2001, NULL);</t>
  </si>
  <si>
    <t>INSERT INTO Pileta_contenido (id_pileta, id_lote, fecha_inicio, cantidad_inicial_lts, cantidad_actual_lts, observaciones) VALUES (500, '84e6afcb', '2025-04-01 19:39:00', 2001, 2501, NULL);</t>
  </si>
  <si>
    <t>INSERT INTO Pileta_contenido (id_pileta, id_lote, fecha_inicio, cantidad_inicial_lts, cantidad_actual_lts, observaciones) VALUES (500, '353f740c', '2025-04-01 19:39:58', 2501, -3999, NULL);</t>
  </si>
  <si>
    <t>INSERT INTO Pileta_contenido (id_pileta, id_lote, fecha_inicio, cantidad_inicial_lts, cantidad_actual_lts, observaciones) VALUES (500, 'c6c0786e', '2025-04-01 19:40:51', -3999, -13999, NULL);</t>
  </si>
  <si>
    <t>INSERT INTO Pileta_contenido (id_pileta, id_lote, fecha_inicio, cantidad_inicial_lts, cantidad_actual_lts, observaciones) VALUES (500, '21c38848', '2025-04-01 19:41:56', -13999, -12999, NULL);</t>
  </si>
  <si>
    <t>INSERT INTO Pileta_contenido (id_pileta, id_lote, fecha_inicio, cantidad_inicial_lts, cantidad_actual_lts, observaciones) VALUES (500, '97681120', '2025-04-01 19:42:37', -12999, -15999, NULL);</t>
  </si>
  <si>
    <t>INSERT INTO Pileta_contenido (id_pileta, id_lote, fecha_inicio, cantidad_inicial_lts, cantidad_actual_lts, observaciones) VALUES (500, 'd36de2d6', '2025-04-01 19:43:34', -15999, -16599, NULL);</t>
  </si>
  <si>
    <t>INSERT INTO Pileta_contenido (id_pileta, id_lote, fecha_inicio, cantidad_inicial_lts, cantidad_actual_lts, observaciones) VALUES (500, '02c0fc23', '2025-04-01 19:46:08', -16599, -16999, NULL);</t>
  </si>
  <si>
    <t>INSERT INTO Pileta_contenido (id_pileta, id_lote, fecha_inicio, cantidad_inicial_lts, cantidad_actual_lts, observaciones) VALUES (34, 'cf44f84a', '2025-04-02 10:03:37', 0, 35500, '4/4 sigue fermentando, va bien
Hacer AZ
Le faltan 40 CM 8000 lts
2/4 decubada con 20 gr y esta reduciendo');</t>
  </si>
  <si>
    <t>INSERT INTO Pileta_contenido (id_pileta, id_lote, fecha_inicio, cantidad_inicial_lts, cantidad_actual_lts, observaciones) VALUES (77, '2eb7d92e', '2025-04-02 10:04:53', 0, 17000, NULL);</t>
  </si>
  <si>
    <t>INSERT INTO Pileta_contenido (id_pileta, id_lote, fecha_inicio, cantidad_inicial_lts, cantidad_actual_lts, observaciones) VALUES (78, 'c355e18a', '2025-04-02 10:11:27', 0, 21500, NULL);</t>
  </si>
  <si>
    <t>INSERT INTO Pileta_contenido (id_pileta, id_lote, fecha_inicio, cantidad_inicial_lts, cantidad_actual_lts, observaciones) VALUES (91, '73108ca1', '2025-04-02 10:21:18', 23800, 40800, NULL);</t>
  </si>
  <si>
    <t>INSERT INTO Pileta_contenido (id_pileta, id_lote, fecha_inicio, cantidad_inicial_lts, cantidad_actual_lts, observaciones) VALUES (91, '6b249a3a', '2025-04-02 10:22:28', 40800, 62300, NULL);</t>
  </si>
  <si>
    <t>INSERT INTO Pileta_contenido (id_pileta, id_lote, fecha_inicio, cantidad_inicial_lts, cantidad_actual_lts, observaciones) VALUES (24, '1ba229d2', '2025-04-02 10:37:02', 0, 120200, NULL);</t>
  </si>
  <si>
    <t>INSERT INTO Pileta_contenido (id_pileta, id_lote, fecha_inicio, cantidad_inicial_lts, cantidad_actual_lts, observaciones) VALUES (24, 'b6dc5dc8', '2025-04-02 10:38:14', 120200, 166200, NULL);</t>
  </si>
  <si>
    <t>INSERT INTO Pileta_contenido (id_pileta, id_lote, fecha_inicio, cantidad_inicial_lts, cantidad_actual_lts, observaciones) VALUES (24, '37179342', '2025-04-02 10:38:45', 166200, 186600, '4/4
Está bien');</t>
  </si>
  <si>
    <t>INSERT INTO Pileta_contenido (id_pileta, id_lote, fecha_inicio, cantidad_inicial_lts, cantidad_actual_lts, observaciones) VALUES (94, 'a4cd80cd', '2025-04-02 10:39:23', 0, 9600, NULL);</t>
  </si>
  <si>
    <t>INSERT INTO Pileta_contenido (id_pileta, id_lote, fecha_inicio, cantidad_inicial_lts, cantidad_actual_lts, observaciones) VALUES (86, '89ea53f8', '2025-04-02 18:06:59', 0, 46000, NULL);</t>
  </si>
  <si>
    <t>INSERT INTO Pileta_contenido (id_pileta, id_lote, fecha_inicio, cantidad_inicial_lts, cantidad_actual_lts, observaciones) VALUES (87, '0d6140dc', '2025-04-02 18:16:27', 0, 50200, NULL);</t>
  </si>
  <si>
    <t>INSERT INTO Pileta_contenido (id_pileta, id_lote, fecha_inicio, cantidad_inicial_lts, cantidad_actual_lts, observaciones) VALUES (121, '2d913121', '2025-04-03 17:33:01', 0, 50000, NULL);</t>
  </si>
  <si>
    <t>INSERT INTO Pileta_contenido (id_pileta, id_lote, fecha_inicio, cantidad_inicial_lts, cantidad_actual_lts, observaciones) VALUES (121, '5c542a1f', '2025-04-03 17:34:11', 50000, 85800, NULL);</t>
  </si>
  <si>
    <t>INSERT INTO Pileta_contenido (id_pileta, id_lote, fecha_inicio, cantidad_inicial_lts, cantidad_actual_lts, observaciones) VALUES (14, '0869b66b', '2025-04-03 17:34:46', 0, 15200, NULL);</t>
  </si>
  <si>
    <t>INSERT INTO Pileta_contenido (id_pileta, id_lote, fecha_inicio, cantidad_inicial_lts, cantidad_actual_lts, observaciones) VALUES (14, '3640d88c', '2025-04-03 17:35:23', 15200, 37000, NULL);</t>
  </si>
  <si>
    <t>INSERT INTO Pileta_contenido (id_pileta, id_lote, fecha_inicio, cantidad_inicial_lts, cantidad_actual_lts, observaciones) VALUES (15, 'd9c4b92b', '2025-04-03 17:35:53', 0, 24500, '4/4
Bien
Posible 73 y 69 q está pileta');</t>
  </si>
  <si>
    <t>INSERT INTO Pileta_contenido (id_pileta, id_lote, fecha_inicio, cantidad_inicial_lts, cantidad_actual_lts, observaciones) VALUES (115, '3aa98d19', '2025-04-03 17:37:03', 0, 59000, NULL);</t>
  </si>
  <si>
    <t>INSERT INTO Pileta_contenido (id_pileta, id_lote, fecha_inicio, cantidad_inicial_lts, cantidad_actual_lts, observaciones) VALUES (115, '8042d6c2', '2025-04-03 17:40:59', 59000, 89000, NULL);</t>
  </si>
  <si>
    <t>INSERT INTO Pileta_contenido (id_pileta, id_lote, fecha_inicio, cantidad_inicial_lts, cantidad_actual_lts, observaciones) VALUES (115, '03e27ebe', '2025-04-03 17:41:41', 89000, 118000, '4/4
Bien');</t>
  </si>
  <si>
    <t>INSERT INTO Pileta_contenido (id_pileta, id_lote, fecha_inicio, cantidad_inicial_lts, cantidad_actual_lts, observaciones) VALUES (90, '1bba563a', '2025-04-03 18:03:25', 0, 57000, NULL);</t>
  </si>
  <si>
    <t>INSERT INTO Pileta_contenido (id_pileta, id_lote, fecha_inicio, cantidad_inicial_lts, cantidad_actual_lts, observaciones) VALUES (81, 'a00cfab3', '2025-04-03 18:19:52', 0, 14500, NULL);</t>
  </si>
  <si>
    <t>INSERT INTO Pileta_contenido (id_pileta, id_lote, fecha_inicio, cantidad_inicial_lts, cantidad_actual_lts, observaciones) VALUES (84, 'b90ba869', '2025-04-03 18:21:11', 0, 47000, NULL);</t>
  </si>
  <si>
    <t>INSERT INTO Pileta_contenido (id_pileta, id_lote, fecha_inicio, cantidad_inicial_lts, cantidad_actual_lts, observaciones) VALUES (127, '91eadabd', '2025-04-04 11:52:00', 0, 31000, '8/4
Tiene carbónico. Hacer SOL');</t>
  </si>
  <si>
    <t>INSERT INTO Pileta_contenido (id_pileta, id_lote, fecha_inicio, cantidad_inicial_lts, cantidad_actual_lts, observaciones) VALUES (91, '189ea379', '2025-04-04 11:52:29', 62300, 68500, NULL);</t>
  </si>
  <si>
    <t>INSERT INTO Pileta_contenido (id_pileta, id_lote, fecha_inicio, cantidad_inicial_lts, cantidad_actual_lts, observaciones) VALUES (89, 'Fri Feb 09 5387 00:00:00 GMT-0300 (Argentina Standard Time)', '2025-04-04 12:40:09', 0, 65000, '4/4
Pileta que fue un viaje de mas de uva');</t>
  </si>
  <si>
    <t>INSERT INTO Pileta_contenido (id_pileta, id_lote, fecha_inicio, cantidad_inicial_lts, cantidad_actual_lts, observaciones) VALUES (79, 'e986fa9f', '2025-04-04 20:08:33', 0, 17000, NULL);</t>
  </si>
  <si>
    <t>INSERT INTO Pileta_contenido (id_pileta, id_lote, fecha_inicio, cantidad_inicial_lts, cantidad_actual_lts, observaciones) VALUES (78, 'f2ca28c2', '2025-04-04 21:14:32', 0, 14000, NULL);</t>
  </si>
  <si>
    <t>INSERT INTO Pileta_contenido (id_pileta, id_lote, fecha_inicio, cantidad_inicial_lts, cantidad_actual_lts, observaciones) VALUES (92, 'cbb6852f', '2025-04-04 21:15:53', 0, 43000, NULL);</t>
  </si>
  <si>
    <t>INSERT INTO Pileta_contenido (id_pileta, id_lote, fecha_inicio, cantidad_inicial_lts, cantidad_actual_lts, observaciones) VALUES (108, 'b1b9580e', '2025-04-04 21:18:57', 0, 31000, '17/4
Sucio todavia');</t>
  </si>
  <si>
    <t>INSERT INTO Pileta_contenido (id_pileta, id_lote, fecha_inicio, cantidad_inicial_lts, cantidad_actual_lts, observaciones) VALUES (104, '1d042bcb', '2025-04-04 21:19:44', 0, 31000, NULL);</t>
  </si>
  <si>
    <t>INSERT INTO Pileta_contenido (id_pileta, id_lote, fecha_inicio, cantidad_inicial_lts, cantidad_actual_lts, observaciones) VALUES (105, 'dac100da', '2025-04-04 21:20:04', 0, 6500, NULL);</t>
  </si>
  <si>
    <t>INSERT INTO Pileta_contenido (id_pileta, id_lote, fecha_inicio, cantidad_inicial_lts, cantidad_actual_lts, observaciones) VALUES (70, '42842cde', '2025-04-04 21:34:49', 0, 5000, NULL);</t>
  </si>
  <si>
    <t>INSERT INTO Pileta_contenido (id_pileta, id_lote, fecha_inicio, cantidad_inicial_lts, cantidad_actual_lts, observaciones) VALUES (70, '65c7867f', '2025-04-04 21:35:14', 5000, 10000, '8/4
Está bien. Buena esteuctura.
Corregir sol antes de rellenar');</t>
  </si>
  <si>
    <t>INSERT INTO Pileta_contenido (id_pileta, id_lote, fecha_inicio, cantidad_inicial_lts, cantidad_actual_lts, observaciones) VALUES (71, '5c558cca', '2025-04-04 21:36:15', 3500, 8500, NULL);</t>
  </si>
  <si>
    <t>INSERT INTO Pileta_contenido (id_pileta, id_lote, fecha_inicio, cantidad_inicial_lts, cantidad_actual_lts, observaciones) VALUES (72, '3de4f15e', '2025-04-04 21:37:13', 3000, 8000, '11/4
Nora floral. No mover más');</t>
  </si>
  <si>
    <t>INSERT INTO Pileta_contenido (id_pileta, id_lote, fecha_inicio, cantidad_inicial_lts, cantidad_actual_lts, observaciones) VALUES (500, 'd56b533b', '2025-04-04 21:41:42', -16999, -12999, NULL);</t>
  </si>
  <si>
    <t>INSERT INTO Pileta_contenido (id_pileta, id_lote, fecha_inicio, cantidad_inicial_lts, cantidad_actual_lts, observaciones) VALUES (15, '5e0dbcce', '2025-04-04 21:43:01', 20500, 28150, NULL);</t>
  </si>
  <si>
    <t>INSERT INTO Pileta_contenido (id_pileta, id_lote, fecha_inicio, cantidad_inicial_lts, cantidad_actual_lts, observaciones) VALUES (15, 'f764d2d1', '2025-04-04 21:43:23', 28150, 36500, '8/4
Bien. Analizar');</t>
  </si>
  <si>
    <t>INSERT INTO Pileta_contenido (id_pileta, id_lote, fecha_inicio, cantidad_inicial_lts, cantidad_actual_lts, observaciones) VALUES (34, '7b6b2c2a', '2025-04-05 16:37:51', 35500, 37150, '14/5
muy bien
8/4
Se siente ácido. Bien. Ver SOL Y AZ');</t>
  </si>
  <si>
    <t>INSERT INTO Pileta_contenido (id_pileta, id_lote, fecha_inicio, cantidad_inicial_lts, cantidad_actual_lts, observaciones) VALUES (500, '21ebdd51', '2025-04-05 16:41:43', -12999, -6499, NULL);</t>
  </si>
  <si>
    <t>INSERT INTO Pileta_contenido (id_pileta, id_lote, fecha_inicio, cantidad_inicial_lts, cantidad_actual_lts, observaciones) VALUES (26, 'ff099ae0', '2025-04-05 16:44:47', 0, 99600, NULL);</t>
  </si>
  <si>
    <t>INSERT INTO Pileta_contenido (id_pileta, id_lote, fecha_inicio, cantidad_inicial_lts, cantidad_actual_lts, observaciones) VALUES (26, 'efada090', '2025-04-05 16:45:37', 99600, 207600, '14/5
muy bien.  mas rico la 25');</t>
  </si>
  <si>
    <t>INSERT INTO Pileta_contenido (id_pileta, id_lote, fecha_inicio, cantidad_inicial_lts, cantidad_actual_lts, observaciones) VALUES (116, '3807ead1', '2025-04-05 16:46:43', 0, 47600, NULL);</t>
  </si>
  <si>
    <t>INSERT INTO Pileta_contenido (id_pileta, id_lote, fecha_inicio, cantidad_inicial_lts, cantidad_actual_lts, observaciones) VALUES (116, 'ef3b4005', '2025-04-05 16:47:45', 47600, 78600, NULL);</t>
  </si>
  <si>
    <t>INSERT INTO Pileta_contenido (id_pileta, id_lote, fecha_inicio, cantidad_inicial_lts, cantidad_actual_lts, observaciones) VALUES (116, '492309f4', '2025-04-05 16:48:40', 78600, 99600, NULL);</t>
  </si>
  <si>
    <t>INSERT INTO Pileta_contenido (id_pileta, id_lote, fecha_inicio, cantidad_inicial_lts, cantidad_actual_lts, observaciones) VALUES (935, '81ccb7ca', '2025-04-05 16:49:46', 0, 1000, NULL);</t>
  </si>
  <si>
    <t>INSERT INTO Pileta_contenido (id_pileta, id_lote, fecha_inicio, cantidad_inicial_lts, cantidad_actual_lts, observaciones) VALUES (90, 'aafa35db', '2025-04-05 16:52:18', 57000, 65500, NULL);</t>
  </si>
  <si>
    <t>INSERT INTO Pileta_contenido (id_pileta, id_lote, fecha_inicio, cantidad_inicial_lts, cantidad_actual_lts, observaciones) VALUES (86, '97b5422c', '2025-04-05 16:53:05', 46000, 54500, NULL);</t>
  </si>
  <si>
    <t>INSERT INTO Pileta_contenido (id_pileta, id_lote, fecha_inicio, cantidad_inicial_lts, cantidad_actual_lts, observaciones) VALUES (87, 'b8ea839c', '2025-04-05 16:53:48', 40200, 49200, '11/4
Notas floral. Geranio?
8/4
Sangrado a Tanat
Bien. En cero baume. Hacer AZ 9/4');</t>
  </si>
  <si>
    <t>INSERT INTO Pileta_contenido (id_pileta, id_lote, fecha_inicio, cantidad_inicial_lts, cantidad_actual_lts, observaciones) VALUES (80, '1b8cfd3f', '2025-04-05 16:54:23', 14200, 17800, NULL);</t>
  </si>
  <si>
    <t>INSERT INTO Pileta_contenido (id_pileta, id_lote, fecha_inicio, cantidad_inicial_lts, cantidad_actual_lts, observaciones) VALUES (83, 'e8ae99cd', '2025-04-05 16:55:58', 44500, 51300, NULL);</t>
  </si>
  <si>
    <t>INSERT INTO Pileta_contenido (id_pileta, id_lote, fecha_inicio, cantidad_inicial_lts, cantidad_actual_lts, observaciones) VALUES (500, 'd5b5bf9c', '2025-04-07 18:40:24', 0, 1, NULL);</t>
  </si>
  <si>
    <t>INSERT INTO Pileta_contenido (id_pileta, id_lote, fecha_inicio, cantidad_inicial_lts, cantidad_actual_lts, observaciones) VALUES (500, '1c76e910', '2025-04-07 20:13:43', 1, 10001, NULL);</t>
  </si>
  <si>
    <t>INSERT INTO Pileta_contenido (id_pileta, id_lote, fecha_inicio, cantidad_inicial_lts, cantidad_actual_lts, observaciones) VALUES (500, '62e15cd1', '2025-04-07 20:15:21', 10001, 11351, NULL);</t>
  </si>
  <si>
    <t>INSERT INTO Pileta_contenido (id_pileta, id_lote, fecha_inicio, cantidad_inicial_lts, cantidad_actual_lts, observaciones) VALUES (500, 'a3fbf6d9', '2025-04-07 20:16:02', 11351, 14351, NULL);</t>
  </si>
  <si>
    <t>INSERT INTO Pileta_contenido (id_pileta, id_lote, fecha_inicio, cantidad_inicial_lts, cantidad_actual_lts, observaciones) VALUES (500, '90288eca', '2025-04-07 20:21:01', 14351, 7551, NULL);</t>
  </si>
  <si>
    <t>INSERT INTO Pileta_contenido (id_pileta, id_lote, fecha_inicio, cantidad_inicial_lts, cantidad_actual_lts, observaciones) VALUES (500, '371f5731', '2025-04-07 20:29:09', 7551, 4551, NULL);</t>
  </si>
  <si>
    <t>INSERT INTO Pileta_contenido (id_pileta, id_lote, fecha_inicio, cantidad_inicial_lts, cantidad_actual_lts, observaciones) VALUES (500, 'da6946d0', '2025-04-07 20:29:50', 4551, 2551, NULL);</t>
  </si>
  <si>
    <t>INSERT INTO Pileta_contenido (id_pileta, id_lote, fecha_inicio, cantidad_inicial_lts, cantidad_actual_lts, observaciones) VALUES (91, '189e6a11', '2025-04-07 21:22:40', 0, 48800, '15/4 falta rectificado?
Hacer azúcar');</t>
  </si>
  <si>
    <t>INSERT INTO Pileta_contenido (id_pileta, id_lote, fecha_inicio, cantidad_inicial_lts, cantidad_actual_lts, observaciones) VALUES (95, 'ed82825c', '2025-04-07 21:23:39', 0, 62000, NULL);</t>
  </si>
  <si>
    <t>INSERT INTO Pileta_contenido (id_pileta, id_lote, fecha_inicio, cantidad_inicial_lts, cantidad_actual_lts, observaciones) VALUES (96, 'b4377cb5', '2025-04-07 21:24:32', 0, 31300, NULL);</t>
  </si>
  <si>
    <t>INSERT INTO Pileta_contenido (id_pileta, id_lote, fecha_inicio, cantidad_inicial_lts, cantidad_actual_lts, observaciones) VALUES (6, 'deb94f70', '2025-04-07 21:25:23', 0, 30000, NULL);</t>
  </si>
  <si>
    <t>INSERT INTO Pileta_contenido (id_pileta, id_lote, fecha_inicio, cantidad_inicial_lts, cantidad_actual_lts, observaciones) VALUES (105, 'e33f8556', '2025-04-08 11:25:16', 0, 28000, '24/4 Llevar a SO2L  50 y el PH llevarlo a 3,50. Trasegar
17/4
Probada en laboratorios. Muy rica pero se siente dulce. Hacer azúcar');</t>
  </si>
  <si>
    <t>INSERT INTO Pileta_contenido (id_pileta, id_lote, fecha_inicio, cantidad_inicial_lts, cantidad_actual_lts, observaciones) VALUES (85, '12119242', '2025-04-08 11:26:48', 16600, 46600, NULL);</t>
  </si>
  <si>
    <t>INSERT INTO Pileta_contenido (id_pileta, id_lote, fecha_inicio, cantidad_inicial_lts, cantidad_actual_lts, observaciones) VALUES (84, 'b60fb43a', '2025-04-08 11:28:18', 47000, 53200, '15/4
Rico, media hora caramelo');</t>
  </si>
  <si>
    <t>INSERT INTO Pileta_contenido (id_pileta, id_lote, fecha_inicio, cantidad_inicial_lts, cantidad_actual_lts, observaciones) VALUES (96, 'd4245129', '2025-04-08 11:34:48', 31300, 46300, NULL);</t>
  </si>
  <si>
    <t>INSERT INTO Pileta_contenido (id_pileta, id_lote, fecha_inicio, cantidad_inicial_lts, cantidad_actual_lts, observaciones) VALUES (89, 'a042b2d1', '2025-04-08 11:37:22', 50000, 60800, '15/4
Cero baume el 10/4.
Listo para sacar.');</t>
  </si>
  <si>
    <t>INSERT INTO Pileta_contenido (id_pileta, id_lote, fecha_inicio, cantidad_inicial_lts, cantidad_actual_lts, observaciones) VALUES (81, '7678fbc3', '2025-04-08 11:39:37', 14500, 18100, '17/4
No hay remontajes');</t>
  </si>
  <si>
    <t>INSERT INTO Pileta_contenido (id_pileta, id_lote, fecha_inicio, cantidad_inicial_lts, cantidad_actual_lts, observaciones) VALUES (79, '254dce3b', '2025-04-08 12:40:10', 17000, 20600, '15/4');</t>
  </si>
  <si>
    <t>INSERT INTO Pileta_contenido (id_pileta, id_lote, fecha_inicio, cantidad_inicial_lts, cantidad_actual_lts, observaciones) VALUES (78, 'f954f065', '2025-04-08 12:41:40', 14000, 16700, NULL);</t>
  </si>
  <si>
    <t>INSERT INTO Pileta_contenido (id_pileta, id_lote, fecha_inicio, cantidad_inicial_lts, cantidad_actual_lts, observaciones) VALUES (92, 'f4ef7eb7', '2025-04-08 12:42:36', 43000, 48500, '17/4
Frenada. Az alta. Ojo
15/4
Floral. Cero baume 12/4');</t>
  </si>
  <si>
    <t>INSERT INTO Pileta_contenido (id_pileta, id_lote, fecha_inicio, cantidad_inicial_lts, cantidad_actual_lts, observaciones) VALUES (24, '7efc7da2', '2025-04-08 18:59:44', 176600, 186600, '19/4  Deberiamos corregir el SO2L que esta en 30 mg.  Pero vamos a esperar que pasa con los clientes Baudron y Tecnovitis');</t>
  </si>
  <si>
    <t>INSERT INTO Pileta_contenido (id_pileta, id_lote, fecha_inicio, cantidad_inicial_lts, cantidad_actual_lts, observaciones) VALUES (82, '0998b1b9', '2025-04-08 20:50:38', 0, 28500, NULL);</t>
  </si>
  <si>
    <t>INSERT INTO Pileta_contenido (id_pileta, id_lote, fecha_inicio, cantidad_inicial_lts, cantidad_actual_lts, observaciones) VALUES (88, 'e12682eb', '2025-04-08 20:51:35', 0, 38000, NULL);</t>
  </si>
  <si>
    <t>INSERT INTO Pileta_contenido (id_pileta, id_lote, fecha_inicio, cantidad_inicial_lts, cantidad_actual_lts, observaciones) VALUES (6, '36a5b1dd', '2025-04-08 20:53:03', 0, 17100, NULL);</t>
  </si>
  <si>
    <t>INSERT INTO Pileta_contenido (id_pileta, id_lote, fecha_inicio, cantidad_inicial_lts, cantidad_actual_lts, observaciones) VALUES (65, 'aa8ee5bf', '2025-04-09 18:27:54', 0, 20000, NULL);</t>
  </si>
  <si>
    <t>INSERT INTO Pileta_contenido (id_pileta, id_lote, fecha_inicio, cantidad_inicial_lts, cantidad_actual_lts, observaciones) VALUES (45, '6142f4ae', '2025-04-09 18:35:45', 0, 30000, NULL);</t>
  </si>
  <si>
    <t>INSERT INTO Pileta_contenido (id_pileta, id_lote, fecha_inicio, cantidad_inicial_lts, cantidad_actual_lts, observaciones) VALUES (18, '66fb3a88', '2025-04-09 18:40:11', 0, 38000, NULL);</t>
  </si>
  <si>
    <t>INSERT INTO Pileta_contenido (id_pileta, id_lote, fecha_inicio, cantidad_inicial_lts, cantidad_actual_lts, observaciones) VALUES (28, 'a35017ce', '2025-04-09 18:41:55', 0, 65500, NULL);</t>
  </si>
  <si>
    <t>INSERT INTO Pileta_contenido (id_pileta, id_lote, fecha_inicio, cantidad_inicial_lts, cantidad_actual_lts, observaciones) VALUES (41, '2169295d', '2025-04-09 18:43:38', 0, 35100, NULL);</t>
  </si>
  <si>
    <t>INSERT INTO Pileta_contenido (id_pileta, id_lote, fecha_inicio, cantidad_inicial_lts, cantidad_actual_lts, observaciones) VALUES (935, 'e5691d8b', '2025-04-09 18:44:04', 4000, 4900, NULL);</t>
  </si>
  <si>
    <t>INSERT INTO Pileta_contenido (id_pileta, id_lote, fecha_inicio, cantidad_inicial_lts, cantidad_actual_lts, observaciones) VALUES (85, '1324322a', '2025-04-09 18:49:36', 46600, 63700, '11/4
Está un poco reducido. Dulce. Notas banana dolca. Reducción');</t>
  </si>
  <si>
    <t>INSERT INTO Pileta_contenido (id_pileta, id_lote, fecha_inicio, cantidad_inicial_lts, cantidad_actual_lts, observaciones) VALUES (500, '86296256', '2025-04-09 19:11:09', 2551, 10151, 'Volumen final 10151');</t>
  </si>
  <si>
    <t>INSERT INTO Pileta_contenido (id_pileta, id_lote, fecha_inicio, cantidad_inicial_lts, cantidad_actual_lts, observaciones) VALUES (90, '9b730f37', '2025-04-10 17:59:39', 0, 59000, NULL);</t>
  </si>
  <si>
    <t>INSERT INTO Pileta_contenido (id_pileta, id_lote, fecha_inicio, cantidad_inicial_lts, cantidad_actual_lts, observaciones) VALUES (66, 'b87310b3', '2025-04-10 18:35:49', 0, 17600, '15/4 
Nos faltó el rectificado
Vamos a esperar. Está rico. Candidato a recibir recarga');</t>
  </si>
  <si>
    <t>INSERT INTO Pileta_contenido (id_pileta, id_lote, fecha_inicio, cantidad_inicial_lts, cantidad_actual_lts, observaciones) VALUES (67, 'ae5925ab', '2025-04-10 18:38:00', 0, 18000, NULL);</t>
  </si>
  <si>
    <t>INSERT INTO Pileta_contenido (id_pileta, id_lote, fecha_inicio, cantidad_inicial_lts, cantidad_actual_lts, observaciones) VALUES (28, '7617bf80', '2025-04-10 18:41:56', 65500, 120000, NULL);</t>
  </si>
  <si>
    <t>INSERT INTO Pileta_contenido (id_pileta, id_lote, fecha_inicio, cantidad_inicial_lts, cantidad_actual_lts, observaciones) VALUES (96, '4b2f415c', '2025-04-10 18:44:15', 46300, 52800, '15/4
Nota malvon.');</t>
  </si>
  <si>
    <t>INSERT INTO Pileta_contenido (id_pileta, id_lote, fecha_inicio, cantidad_inicial_lts, cantidad_actual_lts, observaciones) VALUES (95, '23f4cc53', '2025-04-10 18:45:10', 62000, 68500, '17/4
Medio pedorro. Mejor el 67 y 66. 
Hacer AZ
15/4
Cero baume hoy. Bien');</t>
  </si>
  <si>
    <t>INSERT INTO Pileta_contenido (id_pileta, id_lote, fecha_inicio, cantidad_inicial_lts, cantidad_actual_lts, observaciones) VALUES (86, '8d8607b8', '2025-04-10 18:47:03', 0, 50000, 'Si tiene rectificado');</t>
  </si>
  <si>
    <t>INSERT INTO Pileta_contenido (id_pileta, id_lote, fecha_inicio, cantidad_inicial_lts, cantidad_actual_lts, observaciones) VALUES (69, '7c26092b', '2025-04-10 20:01:58', 0, 7200, NULL);</t>
  </si>
  <si>
    <t>INSERT INTO Pileta_contenido (id_pileta, id_lote, fecha_inicio, cantidad_inicial_lts, cantidad_actual_lts, observaciones) VALUES (28, '459c7a85', '2025-04-11 17:02:22', 120000, 171300, '15/4 bien. Hacer AZ y corregir SOL');</t>
  </si>
  <si>
    <t>INSERT INTO Pileta_contenido (id_pileta, id_lote, fecha_inicio, cantidad_inicial_lts, cantidad_actual_lts, observaciones) VALUES (77, '17539ce3', '2025-04-11 20:37:49', 0, 10500, NULL);</t>
  </si>
  <si>
    <t>INSERT INTO Pileta_contenido (id_pileta, id_lote, fecha_inicio, cantidad_inicial_lts, cantidad_actual_lts, observaciones) VALUES (76, '14e4f6ad', '2025-04-11 20:39:22', 0, 22800, NULL);</t>
  </si>
  <si>
    <t>INSERT INTO Pileta_contenido (id_pileta, id_lote, fecha_inicio, cantidad_inicial_lts, cantidad_actual_lts, observaciones) VALUES (83, 'fd6b223b', '2025-04-11 20:40:47', 0, 81000, NULL);</t>
  </si>
  <si>
    <t>INSERT INTO Pileta_contenido (id_pileta, id_lote, fecha_inicio, cantidad_inicial_lts, cantidad_actual_lts, observaciones) VALUES (73, '5b2f3285', '2025-04-11 20:44:30', 0, 4200, NULL);</t>
  </si>
  <si>
    <t>INSERT INTO Pileta_contenido (id_pileta, id_lote, fecha_inicio, cantidad_inicial_lts, cantidad_actual_lts, observaciones) VALUES (88, '2aac908d', '2025-04-11 21:23:15', 38000, 46150, '17/4 
Falta pasar la recarga
15/4
Bien. Listo para recargar');</t>
  </si>
  <si>
    <t>INSERT INTO Pileta_contenido (id_pileta, id_lote, fecha_inicio, cantidad_inicial_lts, cantidad_actual_lts, observaciones) VALUES (82, 'db841e43', '2025-04-11 21:25:13', 28500, 33000, '17/4
Lista para descubar');</t>
  </si>
  <si>
    <t>INSERT INTO Pileta_contenido (id_pileta, id_lote, fecha_inicio, cantidad_inicial_lts, cantidad_actual_lts, observaciones) VALUES (65, 'e3bf14f2', '2025-04-11 21:26:06', 20000, 27250, '17/4
Hacer azúcar. 
15/5 bien rico');</t>
  </si>
  <si>
    <t>INSERT INTO Pileta_contenido (id_pileta, id_lote, fecha_inicio, cantidad_inicial_lts, cantidad_actual_lts, observaciones) VALUES (90, 'c0fd1ee4', '2025-04-11 21:27:37', 59000, 71600, '15/4 
Listo para descubar');</t>
  </si>
  <si>
    <t>INSERT INTO Pileta_contenido (id_pileta, id_lote, fecha_inicio, cantidad_inicial_lts, cantidad_actual_lts, observaciones) VALUES (120, '9ddc74ed', '2025-04-12 12:32:41', 0, 56000, NULL);</t>
  </si>
  <si>
    <t>INSERT INTO Pileta_contenido (id_pileta, id_lote, fecha_inicio, cantidad_inicial_lts, cantidad_actual_lts, observaciones) VALUES (120, 'f6d580e7', '2025-04-12 12:33:19', 56000, 64500, NULL);</t>
  </si>
  <si>
    <t>INSERT INTO Pileta_contenido (id_pileta, id_lote, fecha_inicio, cantidad_inicial_lts, cantidad_actual_lts, observaciones) VALUES (120, 'bb5ac12c', '2025-04-12 12:34:45', 64500, 72500, '15/4 cab sobre Tanat');</t>
  </si>
  <si>
    <t>INSERT INTO Pileta_contenido (id_pileta, id_lote, fecha_inicio, cantidad_inicial_lts, cantidad_actual_lts, observaciones) VALUES (120, '48a2409a', '2025-04-12 12:35:28', 72500, 76700, NULL);</t>
  </si>
  <si>
    <t>INSERT INTO Pileta_contenido (id_pileta, id_lote, fecha_inicio, cantidad_inicial_lts, cantidad_actual_lts, observaciones) VALUES (116, '27a8c5fb', '2025-04-12 12:37:54', 0, 63700, '15/4 hacer AZ');</t>
  </si>
  <si>
    <t>INSERT INTO Pileta_contenido (id_pileta, id_lote, fecha_inicio, cantidad_inicial_lts, cantidad_actual_lts, observaciones) VALUES (11, 'cb50df04', '2025-04-14 18:33:50', 0, 30000, NULL);</t>
  </si>
  <si>
    <t>INSERT INTO Pileta_contenido (id_pileta, id_lote, fecha_inicio, cantidad_inicial_lts, cantidad_actual_lts, observaciones) VALUES (67, 'b9461082', '2025-04-14 18:40:45', 18000, 22800, '17)4
Rico
15/4
Bien. Rico');</t>
  </si>
  <si>
    <t>INSERT INTO Pileta_contenido (id_pileta, id_lote, fecha_inicio, cantidad_inicial_lts, cantidad_actual_lts, observaciones) VALUES (500, 'f673bf6e', '2025-04-14 18:42:14', 0, 1, NULL);</t>
  </si>
  <si>
    <t>INSERT INTO Pileta_contenido (id_pileta, id_lote, fecha_inicio, cantidad_inicial_lts, cantidad_actual_lts, observaciones) VALUES (7, '95afa5f8', '2025-04-14 19:01:38', 0, 9000, NULL);</t>
  </si>
  <si>
    <t>INSERT INTO Pileta_contenido (id_pileta, id_lote, fecha_inicio, cantidad_inicial_lts, cantidad_actual_lts, observaciones) VALUES (500, 'c778eed0', '2025-04-14 19:20:41', 1, 301, NULL);</t>
  </si>
  <si>
    <t>INSERT INTO Pileta_contenido (id_pileta, id_lote, fecha_inicio, cantidad_inicial_lts, cantidad_actual_lts, observaciones) VALUES (500, '79c53d31', '2025-04-14 19:21:41', 301, 801, NULL);</t>
  </si>
  <si>
    <t>INSERT INTO Pileta_contenido (id_pileta, id_lote, fecha_inicio, cantidad_inicial_lts, cantidad_actual_lts, observaciones) VALUES (500, '3f1bcb3f', '2025-04-14 19:22:38', 801, 9101, NULL);</t>
  </si>
  <si>
    <t>INSERT INTO Pileta_contenido (id_pileta, id_lote, fecha_inicio, cantidad_inicial_lts, cantidad_actual_lts, observaciones) VALUES (500, '87e2f0ad', '2025-04-14 19:25:28', 9101, 12901, NULL);</t>
  </si>
  <si>
    <t>INSERT INTO Pileta_contenido (id_pileta, id_lote, fecha_inicio, cantidad_inicial_lts, cantidad_actual_lts, observaciones) VALUES (500, '64b6a040', '2025-04-14 19:31:33', 12901, 11901, NULL);</t>
  </si>
  <si>
    <t>INSERT INTO Pileta_contenido (id_pileta, id_lote, fecha_inicio, cantidad_inicial_lts, cantidad_actual_lts, observaciones) VALUES (500, 'dce718a8', '2025-04-14 19:32:09', 11901, 10901, NULL);</t>
  </si>
  <si>
    <t>INSERT INTO Pileta_contenido (id_pileta, id_lote, fecha_inicio, cantidad_inicial_lts, cantidad_actual_lts, observaciones) VALUES (500, '6323f237', '2025-04-14 19:32:52', 10901, 12901, NULL);</t>
  </si>
  <si>
    <t>INSERT INTO Pileta_contenido (id_pileta, id_lote, fecha_inicio, cantidad_inicial_lts, cantidad_actual_lts, observaciones) VALUES (500, '65fc01f0', '2025-04-14 19:36:15', 12901, 13901, NULL);</t>
  </si>
  <si>
    <t>INSERT INTO Pileta_contenido (id_pileta, id_lote, fecha_inicio, cantidad_inicial_lts, cantidad_actual_lts, observaciones) VALUES (500, 'edf54cc7', '2025-04-14 19:39:28', 13901, 11901, NULL);</t>
  </si>
  <si>
    <t>INSERT INTO Pileta_contenido (id_pileta, id_lote, fecha_inicio, cantidad_inicial_lts, cantidad_actual_lts, observaciones) VALUES (500, '7c10bfff', '2025-04-14 19:40:31', 11901, 12901, NULL);</t>
  </si>
  <si>
    <t>INSERT INTO Pileta_contenido (id_pileta, id_lote, fecha_inicio, cantidad_inicial_lts, cantidad_actual_lts, observaciones) VALUES (500, 'f3cffdb0', '2025-04-14 19:40:53', 12901, 13501, NULL);</t>
  </si>
  <si>
    <t>INSERT INTO Pileta_contenido (id_pileta, id_lote, fecha_inicio, cantidad_inicial_lts, cantidad_actual_lts, observaciones) VALUES (500, '4f5059a5', '2025-04-14 19:41:30', 13501, 11501, NULL);</t>
  </si>
  <si>
    <t>INSERT INTO Pileta_contenido (id_pileta, id_lote, fecha_inicio, cantidad_inicial_lts, cantidad_actual_lts, observaciones) VALUES (500, '48038afe', '2025-04-14 19:42:29', 11501, 18201, NULL);</t>
  </si>
  <si>
    <t>INSERT INTO Pileta_contenido (id_pileta, id_lote, fecha_inicio, cantidad_inicial_lts, cantidad_actual_lts, observaciones) VALUES (500, '24faac94', '2025-04-14 19:43:56', 18201, 26201, NULL);</t>
  </si>
  <si>
    <t>INSERT INTO Pileta_contenido (id_pileta, id_lote, fecha_inicio, cantidad_inicial_lts, cantidad_actual_lts, observaciones) VALUES (500, 'd4c8b868', '2025-04-14 19:44:31', 26201, 27201, NULL);</t>
  </si>
  <si>
    <t>INSERT INTO Pileta_contenido (id_pileta, id_lote, fecha_inicio, cantidad_inicial_lts, cantidad_actual_lts, observaciones) VALUES (86, 'afa1959b', '2025-04-15 11:36:04', 50000, 58500, NULL);</t>
  </si>
  <si>
    <t>INSERT INTO Pileta_contenido (id_pileta, id_lote, fecha_inicio, cantidad_inicial_lts, cantidad_actual_lts, observaciones) VALUES (87, '2dd2dee4', '2025-04-15 12:05:17', 0, 95000, '17/4
Volumen real 65000 lts');</t>
  </si>
  <si>
    <t>INSERT INTO Pileta_contenido (id_pileta, id_lote, fecha_inicio, cantidad_inicial_lts, cantidad_actual_lts, observaciones) VALUES (118, '7aef611b', '2025-04-16 18:03:26', 0, 50000, NULL);</t>
  </si>
  <si>
    <t>INSERT INTO Pileta_contenido (id_pileta, id_lote, fecha_inicio, cantidad_inicial_lts, cantidad_actual_lts, observaciones) VALUES (118, 'c5495c94', '2025-04-16 18:04:15', 50000, 88000, NULL);</t>
  </si>
  <si>
    <t>INSERT INTO Pileta_contenido (id_pileta, id_lote, fecha_inicio, cantidad_inicial_lts, cantidad_actual_lts, observaciones) VALUES (118, '29d21664', '2025-04-16 18:05:35', 88000, 125200, NULL);</t>
  </si>
  <si>
    <t>INSERT INTO Pileta_contenido (id_pileta, id_lote, fecha_inicio, cantidad_inicial_lts, cantidad_actual_lts, observaciones) VALUES (118, '8ec426a5', '2025-04-16 18:06:47', 125200, 155600, NULL);</t>
  </si>
  <si>
    <t>INSERT INTO Pileta_contenido (id_pileta, id_lote, fecha_inicio, cantidad_inicial_lts, cantidad_actual_lts, observaciones) VALUES (11, '49defec5', '2025-04-16 18:09:09', 16700, 33700, NULL);</t>
  </si>
  <si>
    <t>INSERT INTO Pileta_contenido (id_pileta, id_lote, fecha_inicio, cantidad_inicial_lts, cantidad_actual_lts, observaciones) VALUES (90, 'c1c626f1', '2025-04-16 18:13:54', 21600, 51600, '17/4
Lista para descubar');</t>
  </si>
  <si>
    <t>INSERT INTO Pileta_contenido (id_pileta, id_lote, fecha_inicio, cantidad_inicial_lts, cantidad_actual_lts, observaciones) VALUES (91, 'a1061f77', '2025-04-16 18:20:03', 10800, 19800, NULL);</t>
  </si>
  <si>
    <t>INSERT INTO Pileta_contenido (id_pileta, id_lote, fecha_inicio, cantidad_inicial_lts, cantidad_actual_lts, observaciones) VALUES (91, '5e2378bc', '2025-04-16 18:21:12', 19800, 44800, '17/4
Baume 5
Lista para descubar a tanque');</t>
  </si>
  <si>
    <t>INSERT INTO Pileta_contenido (id_pileta, id_lote, fecha_inicio, cantidad_inicial_lts, cantidad_actual_lts, observaciones) VALUES (84, 'da01d353', '2025-04-16 18:22:15', 16000, 33000, '17/4
Reducido. Descubar el sabado');</t>
  </si>
  <si>
    <t>INSERT INTO Pileta_contenido (id_pileta, id_lote, fecha_inicio, cantidad_inicial_lts, cantidad_actual_lts, observaciones) VALUES (88, 'b7df6d93', '2025-04-17 12:51:46', 15750, 37750, NULL);</t>
  </si>
  <si>
    <t>INSERT INTO Pileta_contenido (id_pileta, id_lote, fecha_inicio, cantidad_inicial_lts, cantidad_actual_lts, observaciones) VALUES (28, 'dc3a84e1', '2025-04-17 12:55:53', 163000, 174700, NULL);</t>
  </si>
  <si>
    <t>INSERT INTO Pileta_contenido (id_pileta, id_lote, fecha_inicio, cantidad_inicial_lts, cantidad_actual_lts, observaciones) VALUES (85, 'f5552916', '2025-04-17 12:58:42', 0, 41000, NULL);</t>
  </si>
  <si>
    <t>INSERT INTO Pileta_contenido (id_pileta, id_lote, fecha_inicio, cantidad_inicial_lts, cantidad_actual_lts, observaciones) VALUES (78, '247bde06', '2025-04-17 13:02:27', 5000, 14800, NULL);</t>
  </si>
  <si>
    <t>INSERT INTO Pileta_contenido (id_pileta, id_lote, fecha_inicio, cantidad_inicial_lts, cantidad_actual_lts, observaciones) VALUES (86, '714d2433', '2025-04-17 13:05:19', 17500, 45100, NULL);</t>
  </si>
  <si>
    <t>INSERT INTO Pileta_contenido (id_pileta, id_lote, fecha_inicio, cantidad_inicial_lts, cantidad_actual_lts, observaciones) VALUES (72, '62e7b644', '2025-04-17 13:06:40', 0, 7200, NULL);</t>
  </si>
  <si>
    <t>INSERT INTO Pileta_contenido (id_pileta, id_lote, fecha_inicio, cantidad_inicial_lts, cantidad_actual_lts, observaciones) VALUES (72, 'c98fe008', '2025-04-17 13:08:31', 7200, 11400, NULL);</t>
  </si>
  <si>
    <t>INSERT INTO Pileta_contenido (id_pileta, id_lote, fecha_inicio, cantidad_inicial_lts, cantidad_actual_lts, observaciones) VALUES (83, '12faab19', '2025-04-17 13:09:25', 0, 90000, NULL);</t>
  </si>
  <si>
    <t>INSERT INTO Pileta_contenido (id_pileta, id_lote, fecha_inicio, cantidad_inicial_lts, cantidad_actual_lts, observaciones) VALUES (500, '6191710d', '2025-04-17 17:49:32', 27201, 30201, NULL);</t>
  </si>
  <si>
    <t>INSERT INTO Pileta_contenido (id_pileta, id_lote, fecha_inicio, cantidad_inicial_lts, cantidad_actual_lts, observaciones) VALUES (76, 'df5e441f', '2025-04-17 17:51:11', 19800, 24800, NULL);</t>
  </si>
  <si>
    <t>INSERT INTO Pileta_contenido (id_pileta, id_lote, fecha_inicio, cantidad_inicial_lts, cantidad_actual_lts, observaciones) VALUES (77, '5d344df8', '2025-04-17 17:53:37', 10500, 16200, NULL);</t>
  </si>
  <si>
    <t>INSERT INTO Pileta_contenido (id_pileta, id_lote, fecha_inicio, cantidad_inicial_lts, cantidad_actual_lts, observaciones) VALUES (500, '7501c185', '2025-04-17 17:55:15', 30201, 27201, 'Total ajustado de la semana 27200');</t>
  </si>
  <si>
    <t>INSERT INTO Pileta_contenido (id_pileta, id_lote, fecha_inicio, cantidad_inicial_lts, cantidad_actual_lts, observaciones) VALUES (125, '5a534180', '2025-04-17 20:50:30', 0, 30500, NULL);</t>
  </si>
  <si>
    <t>INSERT INTO Pileta_contenido (id_pileta, id_lote, fecha_inicio, cantidad_inicial_lts, cantidad_actual_lts, observaciones) VALUES (126, '781075f7', '2025-04-17 20:51:34', 0, 30500, NULL);</t>
  </si>
  <si>
    <t>INSERT INTO Pileta_contenido (id_pileta, id_lote, fecha_inicio, cantidad_inicial_lts, cantidad_actual_lts, observaciones) VALUES (90, '33a1ed47', '2025-04-17 20:53:33', 21100, 56700, NULL);</t>
  </si>
  <si>
    <t>INSERT INTO Pileta_contenido (id_pileta, id_lote, fecha_inicio, cantidad_inicial_lts, cantidad_actual_lts, observaciones) VALUES (91, 'b0d32d3c', '2025-04-17 20:54:35', 14300, 49300, NULL);</t>
  </si>
  <si>
    <t>INSERT INTO Pileta_contenido (id_pileta, id_lote, fecha_inicio, cantidad_inicial_lts, cantidad_actual_lts, observaciones) VALUES (45, 'd2947d93', '2025-04-17 21:00:19', 0, 23000, '22/4 hay que controlar AZ');</t>
  </si>
  <si>
    <t>INSERT INTO Pileta_contenido (id_pileta, id_lote, fecha_inicio, cantidad_inicial_lts, cantidad_actual_lts, observaciones) VALUES (84, '88134c0a', '2025-04-17 21:01:03', 10000, 40000, NULL);</t>
  </si>
  <si>
    <t>INSERT INTO Pileta_contenido (id_pileta, id_lote, fecha_inicio, cantidad_inicial_lts, cantidad_actual_lts, observaciones) VALUES (87, 'e0ab57bf', '2025-04-19 12:30:20', 0, 60800, NULL);</t>
  </si>
  <si>
    <t>INSERT INTO Pileta_contenido (id_pileta, id_lote, fecha_inicio, cantidad_inicial_lts, cantidad_actual_lts, observaciones) VALUES (87, '8d234d23', '2025-04-19 12:31:22', 60800, 78600, NULL);</t>
  </si>
  <si>
    <t>INSERT INTO Pileta_contenido (id_pileta, id_lote, fecha_inicio, cantidad_inicial_lts, cantidad_actual_lts, observaciones) VALUES (87, 'bcf45804', '2025-04-19 12:35:29', 78600, 93700, NULL);</t>
  </si>
  <si>
    <t>INSERT INTO Pileta_contenido (id_pileta, id_lote, fecha_inicio, cantidad_inicial_lts, cantidad_actual_lts, observaciones) VALUES (935, '4c9ff21e', '2025-04-19 12:36:17', 6000, 9000, NULL);</t>
  </si>
  <si>
    <t>INSERT INTO Pileta_contenido (id_pileta, id_lote, fecha_inicio, cantidad_inicial_lts, cantidad_actual_lts, observaciones) VALUES (41, '65ce6f3f', '2025-04-21 11:24:28', 0, 35100, 'vegetal');</t>
  </si>
  <si>
    <t>INSERT INTO Pileta_contenido (id_pileta, id_lote, fecha_inicio, cantidad_inicial_lts, cantidad_actual_lts, observaciones) VALUES (54, 'e580a9d5', '2025-04-21 11:25:14', 0, 17700, 'muy floja, muy bajo el pH, hay que corregir');</t>
  </si>
  <si>
    <t>INSERT INTO Pileta_contenido (id_pileta, id_lote, fecha_inicio, cantidad_inicial_lts, cantidad_actual_lts, observaciones) VALUES (120, '0711f2d9', '2025-04-21 19:30:58', 64500, 88800, NULL);</t>
  </si>
  <si>
    <t>INSERT INTO Pileta_contenido (id_pileta, id_lote, fecha_inicio, cantidad_inicial_lts, cantidad_actual_lts, observaciones) VALUES (89, '09f2a666', '2025-04-21 19:31:20', 0, 44200, NULL);</t>
  </si>
  <si>
    <t>INSERT INTO Pileta_contenido (id_pileta, id_lote, fecha_inicio, cantidad_inicial_lts, cantidad_actual_lts, observaciones) VALUES (500, '425c8a1c', '2025-04-22 17:04:28', 0, 1, NULL);</t>
  </si>
  <si>
    <t>INSERT INTO Pileta_contenido (id_pileta, id_lote, fecha_inicio, cantidad_inicial_lts, cantidad_actual_lts, observaciones) VALUES (500, 'd1326da2', '2025-04-22 17:06:55', 1, 25001, NULL);</t>
  </si>
  <si>
    <t>INSERT INTO Pileta_contenido (id_pileta, id_lote, fecha_inicio, cantidad_inicial_lts, cantidad_actual_lts, observaciones) VALUES (89, '82a7be03', '2025-04-22 17:08:33', 19200, 44200, NULL);</t>
  </si>
  <si>
    <t>INSERT INTO Pileta_contenido (id_pileta, id_lote, fecha_inicio, cantidad_inicial_lts, cantidad_actual_lts, observaciones) VALUES (89, 'b9fc1e21', '2025-04-22 17:09:42', 44200, 56200, NULL);</t>
  </si>
  <si>
    <t>INSERT INTO Pileta_contenido (id_pileta, id_lote, fecha_inicio, cantidad_inicial_lts, cantidad_actual_lts, observaciones) VALUES (89, '51f2e92d', '2025-04-22 17:11:11', 56200, 72700, NULL);</t>
  </si>
  <si>
    <t>INSERT INTO Pileta_contenido (id_pileta, id_lote, fecha_inicio, cantidad_inicial_lts, cantidad_actual_lts, observaciones) VALUES (89, '47825ff1', '2025-04-22 17:11:47', 72700, 83500, 'Muy bueno, tiene azucar. Ojo.');</t>
  </si>
  <si>
    <t>INSERT INTO Pileta_contenido (id_pileta, id_lote, fecha_inicio, cantidad_inicial_lts, cantidad_actual_lts, observaciones) VALUES (80, 'd6e77ca9', '2025-04-22 17:12:49', 0, 8000, NULL);</t>
  </si>
  <si>
    <t>INSERT INTO Pileta_contenido (id_pileta, id_lote, fecha_inicio, cantidad_inicial_lts, cantidad_actual_lts, observaciones) VALUES (80, '1a2c1684', '2025-04-22 17:13:49', 8000, 13600, NULL);</t>
  </si>
  <si>
    <t>INSERT INTO Pileta_contenido (id_pileta, id_lote, fecha_inicio, cantidad_inicial_lts, cantidad_actual_lts, observaciones) VALUES (80, 'ffa53251', '2025-04-22 17:14:14', 13600, 19900, NULL);</t>
  </si>
  <si>
    <t>INSERT INTO Pileta_contenido (id_pileta, id_lote, fecha_inicio, cantidad_inicial_lts, cantidad_actual_lts, observaciones) VALUES (80, '31f824a6', '2025-04-22 17:14:44', 19900, 26100, NULL);</t>
  </si>
  <si>
    <t>INSERT INTO Pileta_contenido (id_pileta, id_lote, fecha_inicio, cantidad_inicial_lts, cantidad_actual_lts, observaciones) VALUES (935, '837659aa', '2025-04-22 17:15:31', 9000, 11200, NULL);</t>
  </si>
  <si>
    <t>INSERT INTO Pileta_contenido (id_pileta, id_lote, fecha_inicio, cantidad_inicial_lts, cantidad_actual_lts, observaciones) VALUES (500, '883b82dd', '2025-04-22 17:15:54', 25001, 26401, NULL);</t>
  </si>
  <si>
    <t>INSERT INTO Pileta_contenido (id_pileta, id_lote, fecha_inicio, cantidad_inicial_lts, cantidad_actual_lts, observaciones) VALUES (95, '64e4bdc2', '2025-04-23 17:45:19', 0, 56700, NULL);</t>
  </si>
  <si>
    <t>INSERT INTO Pileta_contenido (id_pileta, id_lote, fecha_inicio, cantidad_inicial_lts, cantidad_actual_lts, observaciones) VALUES (95, 'e8b9aa9f', '2025-04-23 17:46:14', 56700, 77100, NULL);</t>
  </si>
  <si>
    <t>INSERT INTO Pileta_contenido (id_pileta, id_lote, fecha_inicio, cantidad_inicial_lts, cantidad_actual_lts, observaciones) VALUES (96, 'e2301c9d', '2025-04-23 18:19:32', 0, 24700, NULL);</t>
  </si>
  <si>
    <t>INSERT INTO Pileta_contenido (id_pileta, id_lote, fecha_inicio, cantidad_inicial_lts, cantidad_actual_lts, observaciones) VALUES (91, '163518fc', '2025-04-23 18:29:20', 49300, 50000, NULL);</t>
  </si>
  <si>
    <t>INSERT INTO Pileta_contenido (id_pileta, id_lote, fecha_inicio, cantidad_inicial_lts, cantidad_actual_lts, observaciones) VALUES (84, '3cd08afc', '2025-04-23 18:31:20', 40000, 54000, NULL);</t>
  </si>
  <si>
    <t>INSERT INTO Pileta_contenido (id_pileta, id_lote, fecha_inicio, cantidad_inicial_lts, cantidad_actual_lts, observaciones) VALUES (88, 'd24bb01b', '2025-04-23 18:32:53', 37750, 40000, NULL);</t>
  </si>
  <si>
    <t>INSERT INTO Pileta_contenido (id_pileta, id_lote, fecha_inicio, cantidad_inicial_lts, cantidad_actual_lts, observaciones) VALUES (500, 'b1a71460', '2025-04-23 18:33:21', 26401, 32451, NULL);</t>
  </si>
  <si>
    <t>INSERT INTO Pileta_contenido (id_pileta, id_lote, fecha_inicio, cantidad_inicial_lts, cantidad_actual_lts, observaciones) VALUES (11, 'b26e8cc6', '2025-04-23 18:38:04', 0, 5000, NULL);</t>
  </si>
  <si>
    <t>INSERT INTO Pileta_contenido (id_pileta, id_lote, fecha_inicio, cantidad_inicial_lts, cantidad_actual_lts, observaciones) VALUES (500, 'b112ea4a', '2025-04-23 18:40:04', 32451, 33451, NULL);</t>
  </si>
  <si>
    <t>INSERT INTO Pileta_contenido (id_pileta, id_lote, fecha_inicio, cantidad_inicial_lts, cantidad_actual_lts, observaciones) VALUES (500, 'd10280b4', '2025-04-23 18:40:42', 33451, 34951, NULL);</t>
  </si>
  <si>
    <t>INSERT INTO Pileta_contenido (id_pileta, id_lote, fecha_inicio, cantidad_inicial_lts, cantidad_actual_lts, observaciones) VALUES (500, '32dccd3f', '2025-04-23 18:43:16', 34951, 36551, NULL);</t>
  </si>
  <si>
    <t>INSERT INTO Pileta_contenido (id_pileta, id_lote, fecha_inicio, cantidad_inicial_lts, cantidad_actual_lts, observaciones) VALUES (500, 'af42804b', '2025-04-23 19:09:38', 36551, 36851, NULL);</t>
  </si>
  <si>
    <t>INSERT INTO Pileta_contenido (id_pileta, id_lote, fecha_inicio, cantidad_inicial_lts, cantidad_actual_lts, observaciones) VALUES (500, 'd0135f24', '2025-04-23 19:10:23', 36851, 36951, NULL);</t>
  </si>
  <si>
    <t>INSERT INTO Pileta_contenido (id_pileta, id_lote, fecha_inicio, cantidad_inicial_lts, cantidad_actual_lts, observaciones) VALUES (500, 'be44e9f6', '2025-04-23 19:12:04', 36951, 31651, NULL);</t>
  </si>
  <si>
    <t>INSERT INTO Pileta_contenido (id_pileta, id_lote, fecha_inicio, cantidad_inicial_lts, cantidad_actual_lts, observaciones) VALUES (500, '920dc0b5', '2025-04-23 19:12:30', 31651, 31951, NULL);</t>
  </si>
  <si>
    <t>INSERT INTO Pileta_contenido (id_pileta, id_lote, fecha_inicio, cantidad_inicial_lts, cantidad_actual_lts, observaciones) VALUES (500, 'e3e955b1', '2025-04-23 19:13:08', 31951, 36751, NULL);</t>
  </si>
  <si>
    <t>INSERT INTO Pileta_contenido (id_pileta, id_lote, fecha_inicio, cantidad_inicial_lts, cantidad_actual_lts, observaciones) VALUES (500, 'e32c078a', '2025-04-23 19:13:45', 36751, 36851, NULL);</t>
  </si>
  <si>
    <t>INSERT INTO Pileta_contenido (id_pileta, id_lote, fecha_inicio, cantidad_inicial_lts, cantidad_actual_lts, observaciones) VALUES (500, '736fba40', '2025-04-23 19:14:13', 36851, 36951, NULL);</t>
  </si>
  <si>
    <t>INSERT INTO Pileta_contenido (id_pileta, id_lote, fecha_inicio, cantidad_inicial_lts, cantidad_actual_lts, observaciones) VALUES (500, 'ffeda620', '2025-04-23 19:14:39', 36951, 37451, NULL);</t>
  </si>
  <si>
    <t>INSERT INTO Pileta_contenido (id_pileta, id_lote, fecha_inicio, cantidad_inicial_lts, cantidad_actual_lts, observaciones) VALUES (500, 'f03419e2', '2025-04-23 19:14:58', 37451, 37951, NULL);</t>
  </si>
  <si>
    <t>INSERT INTO Pileta_contenido (id_pileta, id_lote, fecha_inicio, cantidad_inicial_lts, cantidad_actual_lts, observaciones) VALUES (500, '29562a89', '2025-04-23 19:15:27', 37951, 38951, NULL);</t>
  </si>
  <si>
    <t>INSERT INTO Pileta_contenido (id_pileta, id_lote, fecha_inicio, cantidad_inicial_lts, cantidad_actual_lts, observaciones) VALUES (500, 'f903f0b8', '2025-04-23 19:16:04', 38951, 43651, NULL);</t>
  </si>
  <si>
    <t>INSERT INTO Pileta_contenido (id_pileta, id_lote, fecha_inicio, cantidad_inicial_lts, cantidad_actual_lts, observaciones) VALUES (500, '5bb686b4', '2025-04-23 19:17:43', 43651, 50451, NULL);</t>
  </si>
  <si>
    <t>INSERT INTO Pileta_contenido (id_pileta, id_lote, fecha_inicio, cantidad_inicial_lts, cantidad_actual_lts, observaciones) VALUES (500, '3a00f0d2', '2025-04-23 19:18:05', 50451, 51651, NULL);</t>
  </si>
  <si>
    <t>INSERT INTO Pileta_contenido (id_pileta, id_lote, fecha_inicio, cantidad_inicial_lts, cantidad_actual_lts, observaciones) VALUES (500, 'a9e55b1f', '2025-04-23 19:18:43', 51651, 60751, NULL);</t>
  </si>
  <si>
    <t>INSERT INTO Pileta_contenido (id_pileta, id_lote, fecha_inicio, cantidad_inicial_lts, cantidad_actual_lts, observaciones) VALUES (500, 'c7e67b2b', '2025-04-23 19:19:25', 60751, 85751, NULL);</t>
  </si>
  <si>
    <t>INSERT INTO Pileta_contenido (id_pileta, id_lote, fecha_inicio, cantidad_inicial_lts, cantidad_actual_lts, observaciones) VALUES (500, '3e5de831', '2025-04-23 19:20:04', 85751, 91751, NULL);</t>
  </si>
  <si>
    <t>INSERT INTO Pileta_contenido (id_pileta, id_lote, fecha_inicio, cantidad_inicial_lts, cantidad_actual_lts, observaciones) VALUES (500, 'c162b136', '2025-04-23 19:20:50', 91751, 97451, NULL);</t>
  </si>
  <si>
    <t>INSERT INTO Pileta_contenido (id_pileta, id_lote, fecha_inicio, cantidad_inicial_lts, cantidad_actual_lts, observaciones) VALUES (500, '63f835d2', '2025-04-23 19:22:27', 97451, 99951, NULL);</t>
  </si>
  <si>
    <t>INSERT INTO Pileta_contenido (id_pileta, id_lote, fecha_inicio, cantidad_inicial_lts, cantidad_actual_lts, observaciones) VALUES (500, 'cc7d6ede', '2025-04-23 19:22:56', 99951, 101951, NULL);</t>
  </si>
  <si>
    <t>INSERT INTO Pileta_contenido (id_pileta, id_lote, fecha_inicio, cantidad_inicial_lts, cantidad_actual_lts, observaciones) VALUES (500, 'b72e8fa5', '2025-04-23 19:23:25', 101951, 100651, NULL);</t>
  </si>
  <si>
    <t>INSERT INTO Pileta_contenido (id_pileta, id_lote, fecha_inicio, cantidad_inicial_lts, cantidad_actual_lts, observaciones) VALUES (500, '6eff06c5', '2025-04-23 19:25:10', 100651, 109251, NULL);</t>
  </si>
  <si>
    <t>INSERT INTO Pileta_contenido (id_pileta, id_lote, fecha_inicio, cantidad_inicial_lts, cantidad_actual_lts, observaciones) VALUES (500, '8eb42fc1', '2025-04-23 19:25:58', 109251, 113251, NULL);</t>
  </si>
  <si>
    <t>INSERT INTO Pileta_contenido (id_pileta, id_lote, fecha_inicio, cantidad_inicial_lts, cantidad_actual_lts, observaciones) VALUES (500, '684dcfdb', '2025-04-23 19:31:00', 113251, 116251, NULL);</t>
  </si>
  <si>
    <t>INSERT INTO Pileta_contenido (id_pileta, id_lote, fecha_inicio, cantidad_inicial_lts, cantidad_actual_lts, observaciones) VALUES (500, 'f3aba56a', '2025-04-23 19:32:19', 116251, 116851, NULL);</t>
  </si>
  <si>
    <t>INSERT INTO Pileta_contenido (id_pileta, id_lote, fecha_inicio, cantidad_inicial_lts, cantidad_actual_lts, observaciones) VALUES (500, '3e75d6d3', '2025-04-23 19:33:02', 116851, 119351, NULL);</t>
  </si>
  <si>
    <t>INSERT INTO Pileta_contenido (id_pileta, id_lote, fecha_inicio, cantidad_inicial_lts, cantidad_actual_lts, observaciones) VALUES (500, '8024bac4', '2025-04-23 19:33:53', 119351, 121851, NULL);</t>
  </si>
  <si>
    <t>INSERT INTO Pileta_contenido (id_pileta, id_lote, fecha_inicio, cantidad_inicial_lts, cantidad_actual_lts, observaciones) VALUES (96, '6feed4a6', '2025-04-24 12:36:29', 24700, 74700, NULL);</t>
  </si>
  <si>
    <t>INSERT INTO Pileta_contenido (id_pileta, id_lote, fecha_inicio, cantidad_inicial_lts, cantidad_actual_lts, observaciones) VALUES (96, 'cf107ae5', '2025-04-24 12:37:03', 74700, 85600, 'Este saldo de 4400 debe ser borra.  Ya vemos como queda la pileta 118');</t>
  </si>
  <si>
    <t>INSERT INTO Pileta_contenido (id_pileta, id_lote, fecha_inicio, cantidad_inicial_lts, cantidad_actual_lts, observaciones) VALUES (83, '7ff93f30', '2025-04-24 12:38:10', 0, 43100, NULL);</t>
  </si>
  <si>
    <t>INSERT INTO Pileta_contenido (id_pileta, id_lote, fecha_inicio, cantidad_inicial_lts, cantidad_actual_lts, observaciones) VALUES (77, '0be7fff5', '2025-04-25 17:29:40', 18000, 19500, NULL);</t>
  </si>
  <si>
    <t>INSERT INTO Pileta_contenido (id_pileta, id_lote, fecha_inicio, cantidad_inicial_lts, cantidad_actual_lts, observaciones) VALUES (76, 'db10cc10', '2025-04-25 17:30:26', 18000, 19000, NULL);</t>
  </si>
  <si>
    <t>INSERT INTO Pileta_contenido (id_pileta, id_lote, fecha_inicio, cantidad_inicial_lts, cantidad_actual_lts, observaciones) VALUES (83, '7fce2b75', '2025-04-25 17:33:36', 43100, 81500, NULL);</t>
  </si>
  <si>
    <t>INSERT INTO Pileta_contenido (id_pileta, id_lote, fecha_inicio, cantidad_inicial_lts, cantidad_actual_lts, observaciones) VALUES (11, '60bf4ff8', '2025-04-28 16:06:35', 5000, 6600, NULL);</t>
  </si>
  <si>
    <t>INSERT INTO Pileta_contenido (id_pileta, id_lote, fecha_inicio, cantidad_inicial_lts, cantidad_actual_lts, observaciones) VALUES (90, 'ec4ee36d', '2025-04-28 16:10:46', 0, 35000, NULL);</t>
  </si>
  <si>
    <t>INSERT INTO Pileta_contenido (id_pileta, id_lote, fecha_inicio, cantidad_inicial_lts, cantidad_actual_lts, observaciones) VALUES (90, '28a7cc85', '2025-04-28 16:11:32', 35000, 40100, NULL);</t>
  </si>
  <si>
    <t>INSERT INTO Pileta_contenido (id_pileta, id_lote, fecha_inicio, cantidad_inicial_lts, cantidad_actual_lts, observaciones) VALUES (90, '8f113233', '2025-04-28 16:12:49', 40100, 70100, NULL);</t>
  </si>
  <si>
    <t>INSERT INTO Pileta_contenido (id_pileta, id_lote, fecha_inicio, cantidad_inicial_lts, cantidad_actual_lts, observaciones) VALUES (90, '1f012354', '2025-04-28 16:14:07', 70100, 97500, '14/5
muy rico, muy limpio. impecable.  Se ha limpiado con bentonita');</t>
  </si>
  <si>
    <t>INSERT INTO Pileta_contenido (id_pileta, id_lote, fecha_inicio, cantidad_inicial_lts, cantidad_actual_lts, observaciones) VALUES (11, 'ec820b78', '2025-04-28 16:16:59', 6600, 9200, NULL);</t>
  </si>
  <si>
    <t>INSERT INTO Pileta_contenido (id_pileta, id_lote, fecha_inicio, cantidad_inicial_lts, cantidad_actual_lts, observaciones) VALUES (88, '20906c4f', '2025-04-28 16:20:46', 0, 28000, NULL);</t>
  </si>
  <si>
    <t>INSERT INTO Pileta_contenido (id_pileta, id_lote, fecha_inicio, cantidad_inicial_lts, cantidad_actual_lts, observaciones) VALUES (88, 'b6e57561', '2025-04-28 16:21:29', 28000, 56000, NULL);</t>
  </si>
  <si>
    <t>INSERT INTO Pileta_contenido (id_pileta, id_lote, fecha_inicio, cantidad_inicial_lts, cantidad_actual_lts, observaciones) VALUES (91, '028fb505', '2025-04-28 16:38:17', 0, 46000, '30/4 Bien se puede juntar con la 66 y la 67 que son las que tienen azucar');</t>
  </si>
  <si>
    <t>INSERT INTO Pileta_contenido (id_pileta, id_lote, fecha_inicio, cantidad_inicial_lts, cantidad_actual_lts, observaciones) VALUES (66, 'b704cbde', '2025-04-28 16:41:53', 0, 19000, '30/4 buen color. Rico.  Sin movimiento
28/4 descubada con azucar viendo si reduce');</t>
  </si>
  <si>
    <t>INSERT INTO Pileta_contenido (id_pileta, id_lote, fecha_inicio, cantidad_inicial_lts, cantidad_actual_lts, observaciones) VALUES (81, '3559c80c', '2025-04-28 16:45:12', 0, 26500, '28/4 descubada con azucar');</t>
  </si>
  <si>
    <t>INSERT INTO Pileta_contenido (id_pileta, id_lote, fecha_inicio, cantidad_inicial_lts, cantidad_actual_lts, observaciones) VALUES (500, 'c999dbd9', '2025-04-28 16:46:14', 121851, 122601, NULL);</t>
  </si>
  <si>
    <t>INSERT INTO Pileta_contenido (id_pileta, id_lote, fecha_inicio, cantidad_inicial_lts, cantidad_actual_lts, observaciones) VALUES (67, 'de2017df', '2025-04-28 16:48:12', 0, 19500, '30/4 Buen color. rico, sabor a orujo semilla
28/4 descubadas con azucar a ver si termina de reducir.');</t>
  </si>
  <si>
    <t>INSERT INTO Pileta_contenido (id_pileta, id_lote, fecha_inicio, cantidad_inicial_lts, cantidad_actual_lts, observaciones) VALUES (88, '9f167646', '2025-04-28 17:58:29', 0, 14000, NULL);</t>
  </si>
  <si>
    <t>INSERT INTO Pileta_contenido (id_pileta, id_lote, fecha_inicio, cantidad_inicial_lts, cantidad_actual_lts, observaciones) VALUES (84, 'e341ebb9', '2025-04-28 17:58:56', 0, 14000, NULL);</t>
  </si>
  <si>
    <t>INSERT INTO Pileta_contenido (id_pileta, id_lote, fecha_inicio, cantidad_inicial_lts, cantidad_actual_lts, observaciones) VALUES (88, 'ad6fc72a', '2025-04-28 17:59:19', 14000, 28000, NULL);</t>
  </si>
  <si>
    <t>INSERT INTO Pileta_contenido (id_pileta, id_lote, fecha_inicio, cantidad_inicial_lts, cantidad_actual_lts, observaciones) VALUES (84, '8a8c9f52', '2025-04-28 17:59:31', 14000, 28000, NULL);</t>
  </si>
  <si>
    <t>INSERT INTO Pileta_contenido (id_pileta, id_lote, fecha_inicio, cantidad_inicial_lts, cantidad_actual_lts, observaciones) VALUES (88, 'c9833042', '2025-04-28 17:59:52', 28000, 43000, NULL);</t>
  </si>
  <si>
    <t>INSERT INTO Pileta_contenido (id_pileta, id_lote, fecha_inicio, cantidad_inicial_lts, cantidad_actual_lts, observaciones) VALUES (84, '2b3d385d', '2025-04-28 18:00:11', 28000, 43000, NULL);</t>
  </si>
  <si>
    <t>INSERT INTO Pileta_contenido (id_pileta, id_lote, fecha_inicio, cantidad_inicial_lts, cantidad_actual_lts, observaciones) VALUES (88, 'ab0559b8', '2025-04-28 18:00:33', 43000, 70000, NULL);</t>
  </si>
  <si>
    <t>INSERT INTO Pileta_contenido (id_pileta, id_lote, fecha_inicio, cantidad_inicial_lts, cantidad_actual_lts, observaciones) VALUES (84, '0aec25e6', '2025-04-28 18:00:50', 43000, 70000, NULL);</t>
  </si>
  <si>
    <t>INSERT INTO Pileta_contenido (id_pileta, id_lote, fecha_inicio, cantidad_inicial_lts, cantidad_actual_lts, observaciones) VALUES (79, '0f749555', '2025-04-29 20:22:55', 0, 14800, NULL);</t>
  </si>
  <si>
    <t>INSERT INTO Pileta_contenido (id_pileta, id_lote, fecha_inicio, cantidad_inicial_lts, cantidad_actual_lts, observaciones) VALUES (88, '3030acaa', '2025-04-29 20:25:02', 70000, 78900, '14/5
mas simple.  Gusto mas la 90.  pero bien.');</t>
  </si>
  <si>
    <t>INSERT INTO Pileta_contenido (id_pileta, id_lote, fecha_inicio, cantidad_inicial_lts, cantidad_actual_lts, observaciones) VALUES (84, '80d02e67', '2025-04-29 20:25:25', 70000, 83000, '14/5
Simple pero bien.');</t>
  </si>
  <si>
    <t>INSERT INTO Pileta_contenido (id_pileta, id_lote, fecha_inicio, cantidad_inicial_lts, cantidad_actual_lts, observaciones) VALUES (11, 'c1d9bfc2', '2025-04-29 20:25:40', 9200, 9800, NULL);</t>
  </si>
  <si>
    <t>INSERT INTO Pileta_contenido (id_pileta, id_lote, fecha_inicio, cantidad_inicial_lts, cantidad_actual_lts, observaciones) VALUES (82, '46acf5ed', '2025-04-29 21:48:14', 0, 30000, NULL);</t>
  </si>
  <si>
    <t>INSERT INTO Pileta_contenido (id_pileta, id_lote, fecha_inicio, cantidad_inicial_lts, cantidad_actual_lts, observaciones) VALUES (82, '20f062e7', '2025-04-29 21:48:45', 30000, 41000, NULL);</t>
  </si>
  <si>
    <t>INSERT INTO Pileta_contenido (id_pileta, id_lote, fecha_inicio, cantidad_inicial_lts, cantidad_actual_lts, observaciones) VALUES (116, '3c150dd5', '2025-04-29 21:50:24', 0, 24000, NULL);</t>
  </si>
  <si>
    <t>INSERT INTO Pileta_contenido (id_pileta, id_lote, fecha_inicio, cantidad_inicial_lts, cantidad_actual_lts, observaciones) VALUES (116, '57f606f3', '2025-04-29 21:50:54', 24000, 59000, NULL);</t>
  </si>
  <si>
    <t>INSERT INTO Pileta_contenido (id_pileta, id_lote, fecha_inicio, cantidad_inicial_lts, cantidad_actual_lts, observaciones) VALUES (116, '029318be', '2025-04-29 21:51:21', 59000, 89000, NULL);</t>
  </si>
  <si>
    <t>INSERT INTO Pileta_contenido (id_pileta, id_lote, fecha_inicio, cantidad_inicial_lts, cantidad_actual_lts, observaciones) VALUES (116, '7a999708', '2025-04-29 21:52:11', 89000, 99600, '14/5
muy bueno');</t>
  </si>
  <si>
    <t>INSERT INTO Pileta_contenido (id_pileta, id_lote, fecha_inicio, cantidad_inicial_lts, cantidad_actual_lts, observaciones) VALUES (125, '3b7f8f1f', '2025-04-29 22:01:36', 0, 30000, NULL);</t>
  </si>
  <si>
    <t>INSERT INTO Pileta_contenido (id_pileta, id_lote, fecha_inicio, cantidad_inicial_lts, cantidad_actual_lts, observaciones) VALUES (6, '295b868d', '2025-04-29 22:02:33', 0, 9000, NULL);</t>
  </si>
  <si>
    <t>INSERT INTO Pileta_contenido (id_pileta, id_lote, fecha_inicio, cantidad_inicial_lts, cantidad_actual_lts, observaciones) VALUES (125, 'f27aca73', '2025-04-29 22:02:56', 21000, 30000, NULL);</t>
  </si>
  <si>
    <t>INSERT INTO Pileta_contenido (id_pileta, id_lote, fecha_inicio, cantidad_inicial_lts, cantidad_actual_lts, observaciones) VALUES (500, 'd71a5bd5', '2025-04-30 10:28:23', 122601, 126101, 'Diferencias Totales del Arqueo del 22/04 fueron 126100 lts');</t>
  </si>
  <si>
    <t>INSERT INTO Pileta_contenido (id_pileta, id_lote, fecha_inicio, cantidad_inicial_lts, cantidad_actual_lts, observaciones) VALUES (126, '56888a83', '2025-04-30 19:23:24', 0, 30000, NULL);</t>
  </si>
  <si>
    <t>INSERT INTO Pileta_contenido (id_pileta, id_lote, fecha_inicio, cantidad_inicial_lts, cantidad_actual_lts, observaciones) VALUES (73, '042123a0', '2025-04-30 19:24:35', 0, 11000, NULL);</t>
  </si>
  <si>
    <t>INSERT INTO Pileta_contenido (id_pileta, id_lote, fecha_inicio, cantidad_inicial_lts, cantidad_actual_lts, observaciones) VALUES (73, '0760321a', '2025-04-30 19:25:37', 11000, 13000, NULL);</t>
  </si>
  <si>
    <t>INSERT INTO Pileta_contenido (id_pileta, id_lote, fecha_inicio, cantidad_inicial_lts, cantidad_actual_lts, observaciones) VALUES (94, '79317f47', '2025-04-30 19:29:48', 11600, 16000, NULL);</t>
  </si>
  <si>
    <t>INSERT INTO Pileta_contenido (id_pileta, id_lote, fecha_inicio, cantidad_inicial_lts, cantidad_actual_lts, observaciones) VALUES (12, '1afbb480', '2025-04-30 19:31:31', 0, 15000, NULL);</t>
  </si>
  <si>
    <t>INSERT INTO Pileta_contenido (id_pileta, id_lote, fecha_inicio, cantidad_inicial_lts, cantidad_actual_lts, observaciones) VALUES (102, 'cbf4bbc1', '2025-05-06 18:43:13', 0, 31000, 'bueno tiene carbonico');</t>
  </si>
  <si>
    <t>INSERT INTO Pileta_contenido (id_pileta, id_lote, fecha_inicio, cantidad_inicial_lts, cantidad_actual_lts, observaciones) VALUES (103, 'd0071dd4', '2025-05-06 18:43:34', 0, 31000, 'Mucha fruta, muy bueno');</t>
  </si>
  <si>
    <t>INSERT INTO Pileta_contenido (id_pileta, id_lote, fecha_inicio, cantidad_inicial_lts, cantidad_actual_lts, observaciones) VALUES (104, '1828d39f', '2025-05-06 18:43:59', 0, 31000, 'muy bien');</t>
  </si>
  <si>
    <t>INSERT INTO Pileta_contenido (id_pileta, id_lote, fecha_inicio, cantidad_inicial_lts, cantidad_actual_lts, observaciones) VALUES (105, 'ddc627ec', '2025-05-06 18:44:38', 0, 31000, NULL);</t>
  </si>
  <si>
    <t>INSERT INTO Pileta_contenido (id_pileta, id_lote, fecha_inicio, cantidad_inicial_lts, cantidad_actual_lts, observaciones) VALUES (107, '56ef2422', '2025-05-06 18:46:41', 0, 24000, NULL);</t>
  </si>
  <si>
    <t>INSERT INTO Pileta_contenido (id_pileta, id_lote, fecha_inicio, cantidad_inicial_lts, cantidad_actual_lts, observaciones) VALUES (108, 'e9379a58', '2025-05-06 18:47:11', 0, 17000, NULL);</t>
  </si>
  <si>
    <t>INSERT INTO Pileta_contenido (id_pileta, id_lote, fecha_inicio, cantidad_inicial_lts, cantidad_actual_lts, observaciones) VALUES (12, 'b3edc5e1', '2025-05-06 18:48:00', 15000, 30000, NULL);</t>
  </si>
  <si>
    <t>INSERT INTO Pileta_contenido (id_pileta, id_lote, fecha_inicio, cantidad_inicial_lts, cantidad_actual_lts, observaciones) VALUES (6, '49b10489', '2025-05-06 18:52:51', 0, 30000, NULL);</t>
  </si>
  <si>
    <t>INSERT INTO Pileta_contenido (id_pileta, id_lote, fecha_inicio, cantidad_inicial_lts, cantidad_actual_lts, observaciones) VALUES (12, 'd85a9e51', '2025-05-06 18:53:57', 30000, 34000, NULL);</t>
  </si>
  <si>
    <t>INSERT INTO Pileta_contenido (id_pileta, id_lote, fecha_inicio, cantidad_inicial_lts, cantidad_actual_lts, observaciones) VALUES (85, '769b3f5c', '2025-05-06 18:56:05', 0, 19000, NULL);</t>
  </si>
  <si>
    <t>INSERT INTO Pileta_contenido (id_pileta, id_lote, fecha_inicio, cantidad_inicial_lts, cantidad_actual_lts, observaciones) VALUES (85, '6c02e5fd', '2025-05-06 18:56:39', 19000, 38500, NULL);</t>
  </si>
  <si>
    <t>INSERT INTO Pileta_contenido (id_pileta, id_lote, fecha_inicio, cantidad_inicial_lts, cantidad_actual_lts, observaciones) VALUES (85, '55f5d2d3', '2025-05-06 18:57:11', 38500, 61500, NULL);</t>
  </si>
  <si>
    <t>INSERT INTO Pileta_contenido (id_pileta, id_lote, fecha_inicio, cantidad_inicial_lts, cantidad_actual_lts, observaciones) VALUES (76, '7a4910aa', '2025-05-06 18:59:50', 0, 17000, NULL);</t>
  </si>
  <si>
    <t>INSERT INTO Pileta_contenido (id_pileta, id_lote, fecha_inicio, cantidad_inicial_lts, cantidad_actual_lts, observaciones) VALUES (77, 'da2b6cac', '2025-05-06 19:00:19', 0, 14800, NULL);</t>
  </si>
  <si>
    <t>INSERT INTO Pileta_contenido (id_pileta, id_lote, fecha_inicio, cantidad_inicial_lts, cantidad_actual_lts, observaciones) VALUES (71, '9f02a2e8', '2025-05-06 19:00:53', 0, 11400, NULL);</t>
  </si>
  <si>
    <t>INSERT INTO Pileta_contenido (id_pileta, id_lote, fecha_inicio, cantidad_inicial_lts, cantidad_actual_lts, observaciones) VALUES (500, '196f5b8f', '2025-05-06 19:07:00', 0, 1, NULL);</t>
  </si>
  <si>
    <t>INSERT INTO Pileta_contenido (id_pileta, id_lote, fecha_inicio, cantidad_inicial_lts, cantidad_actual_lts, observaciones) VALUES (11, '0bf12134', '2025-05-06 19:31:20', 9800, 17300, NULL);</t>
  </si>
  <si>
    <t>INSERT INTO Pileta_contenido (id_pileta, id_lote, fecha_inicio, cantidad_inicial_lts, cantidad_actual_lts, observaciones) VALUES (11, '568f382f', '2025-05-06 19:33:07', 17300, 18300, NULL);</t>
  </si>
  <si>
    <t>INSERT INTO Pileta_contenido (id_pileta, id_lote, fecha_inicio, cantidad_inicial_lts, cantidad_actual_lts, observaciones) VALUES (11, 'e6ca31fd', '2025-05-06 19:34:41', 18300, 25300, '14/5
muy limpio');</t>
  </si>
  <si>
    <t>INSERT INTO Pileta_contenido (id_pileta, id_lote, fecha_inicio, cantidad_inicial_lts, cantidad_actual_lts, observaciones) VALUES (500, '4e2e27d9', '2025-05-06 19:37:22', 1, 5001, NULL);</t>
  </si>
  <si>
    <t>INSERT INTO Pileta_contenido (id_pileta, id_lote, fecha_inicio, cantidad_inicial_lts, cantidad_actual_lts, observaciones) VALUES (500, 'cb2ca221', '2025-05-06 19:37:55', 5001, -5699, NULL);</t>
  </si>
  <si>
    <t>INSERT INTO Pileta_contenido (id_pileta, id_lote, fecha_inicio, cantidad_inicial_lts, cantidad_actual_lts, observaciones) VALUES (500, '16e5e87f', '2025-05-06 19:43:28', -5699, 11301, NULL);</t>
  </si>
  <si>
    <t>INSERT INTO Pileta_contenido (id_pileta, id_lote, fecha_inicio, cantidad_inicial_lts, cantidad_actual_lts, observaciones) VALUES (500, '1169aeda', '2025-05-06 19:44:41', 11301, 10301, NULL);</t>
  </si>
  <si>
    <t>INSERT INTO Pileta_contenido (id_pileta, id_lote, fecha_inicio, cantidad_inicial_lts, cantidad_actual_lts, observaciones) VALUES (500, '4560c2a1', '2025-05-06 19:45:28', 10301, 9301, NULL);</t>
  </si>
  <si>
    <t>INSERT INTO Pileta_contenido (id_pileta, id_lote, fecha_inicio, cantidad_inicial_lts, cantidad_actual_lts, observaciones) VALUES (500, '62584ebc', '2025-05-06 19:46:18', 9301, 11301, NULL);</t>
  </si>
  <si>
    <t>INSERT INTO Pileta_contenido (id_pileta, id_lote, fecha_inicio, cantidad_inicial_lts, cantidad_actual_lts, observaciones) VALUES (500, '158a7d9d', '2025-05-06 19:48:06', 11301, 6301, NULL);</t>
  </si>
  <si>
    <t>INSERT INTO Pileta_contenido (id_pileta, id_lote, fecha_inicio, cantidad_inicial_lts, cantidad_actual_lts, observaciones) VALUES (500, 'cc1de158', '2025-05-06 19:48:56', 6301, 8801, NULL);</t>
  </si>
  <si>
    <t>INSERT INTO Pileta_contenido (id_pileta, id_lote, fecha_inicio, cantidad_inicial_lts, cantidad_actual_lts, observaciones) VALUES (500, 'd126860c', '2025-05-06 19:49:42', 8801, 7601, NULL);</t>
  </si>
  <si>
    <t>INSERT INTO Pileta_contenido (id_pileta, id_lote, fecha_inicio, cantidad_inicial_lts, cantidad_actual_lts, observaciones) VALUES (500, '7a97024d', '2025-05-06 19:50:26', 7601, 6001, NULL);</t>
  </si>
  <si>
    <t>INSERT INTO Pileta_contenido (id_pileta, id_lote, fecha_inicio, cantidad_inicial_lts, cantidad_actual_lts, observaciones) VALUES (500, 'eef5b1b3', '2025-05-06 19:51:09', 6001, 4001, NULL);</t>
  </si>
  <si>
    <t>INSERT INTO Pileta_contenido (id_pileta, id_lote, fecha_inicio, cantidad_inicial_lts, cantidad_actual_lts, observaciones) VALUES (500, 'b1e6b748', '2025-05-06 19:52:07', 4001, 2001, NULL);</t>
  </si>
  <si>
    <t>INSERT INTO Pileta_contenido (id_pileta, id_lote, fecha_inicio, cantidad_inicial_lts, cantidad_actual_lts, observaciones) VALUES (500, '690e2b0e', '2025-05-06 19:52:52', 2001, 4101, NULL);</t>
  </si>
  <si>
    <t>INSERT INTO Pileta_contenido (id_pileta, id_lote, fecha_inicio, cantidad_inicial_lts, cantidad_actual_lts, observaciones) VALUES (500, 'a0d9c177', '2025-05-06 19:53:42', 4101, 17101, NULL);</t>
  </si>
  <si>
    <t>INSERT INTO Pileta_contenido (id_pileta, id_lote, fecha_inicio, cantidad_inicial_lts, cantidad_actual_lts, observaciones) VALUES (500, '8f384525', '2025-05-06 19:54:47', 17101, 18101, NULL);</t>
  </si>
  <si>
    <t>INSERT INTO Pileta_contenido (id_pileta, id_lote, fecha_inicio, cantidad_inicial_lts, cantidad_actual_lts, observaciones) VALUES (28, '7597a62d', '2025-05-07 17:30:04', 0, 83000, NULL);</t>
  </si>
  <si>
    <t>INSERT INTO Pileta_contenido (id_pileta, id_lote, fecha_inicio, cantidad_inicial_lts, cantidad_actual_lts, observaciones) VALUES (28, 'b0d54181', '2025-05-07 17:30:41', 83000, 138000, NULL);</t>
  </si>
  <si>
    <t>INSERT INTO Pileta_contenido (id_pileta, id_lote, fecha_inicio, cantidad_inicial_lts, cantidad_actual_lts, observaciones) VALUES (28, 'cee6847e', '2025-05-07 17:31:07', 138000, 164000, NULL);</t>
  </si>
  <si>
    <t>INSERT INTO Pileta_contenido (id_pileta, id_lote, fecha_inicio, cantidad_inicial_lts, cantidad_actual_lts, observaciones) VALUES (28, '160a169f', '2025-05-07 17:31:32', 164000, 200600, NULL);</t>
  </si>
  <si>
    <t>INSERT INTO Pileta_contenido (id_pileta, id_lote, fecha_inicio, cantidad_inicial_lts, cantidad_actual_lts, observaciones) VALUES (86, '060cc284', '2025-05-07 18:14:24', 0, 15400, NULL);</t>
  </si>
  <si>
    <t>INSERT INTO Pileta_contenido (id_pileta, id_lote, fecha_inicio, cantidad_inicial_lts, cantidad_actual_lts, observaciones) VALUES (81, '2cf8d99b', '2025-05-07 18:15:04', 0, 4300, NULL);</t>
  </si>
  <si>
    <t>INSERT INTO Pileta_contenido (id_pileta, id_lote, fecha_inicio, cantidad_inicial_lts, cantidad_actual_lts, observaciones) VALUES (114, 'ffaf53fb', '2025-05-07 18:16:13', 22600, 44530, NULL);</t>
  </si>
  <si>
    <t>INSERT INTO Pileta_contenido (id_pileta, id_lote, fecha_inicio, cantidad_inicial_lts, cantidad_actual_lts, observaciones) VALUES (86, 'bc83d8e6', '2025-05-07 18:16:45', 15400, 30800, NULL);</t>
  </si>
  <si>
    <t>INSERT INTO Pileta_contenido (id_pileta, id_lote, fecha_inicio, cantidad_inicial_lts, cantidad_actual_lts, observaciones) VALUES (81, '378271b5', '2025-05-07 18:17:12', 4300, 8675, NULL);</t>
  </si>
  <si>
    <t>INSERT INTO Pileta_contenido (id_pileta, id_lote, fecha_inicio, cantidad_inicial_lts, cantidad_actual_lts, observaciones) VALUES (114, '821a1155', '2025-05-07 18:19:34', 44530, 125300, NULL);</t>
  </si>
  <si>
    <t>INSERT INTO Pileta_contenido (id_pileta, id_lote, fecha_inicio, cantidad_inicial_lts, cantidad_actual_lts, observaciones) VALUES (86, '098ad529', '2025-05-07 18:19:59', 30800, 88000, NULL);</t>
  </si>
  <si>
    <t>INSERT INTO Pileta_contenido (id_pileta, id_lote, fecha_inicio, cantidad_inicial_lts, cantidad_actual_lts, observaciones) VALUES (81, 'ff99f9ec', '2025-05-07 18:20:45', 8675, 19105, NULL);</t>
  </si>
  <si>
    <t>INSERT INTO Pileta_contenido (id_pileta, id_lote, fecha_inicio, cantidad_inicial_lts, cantidad_actual_lts, observaciones) VALUES (65, '4c2a65a6', '2025-05-07 18:46:06', 0, 16900, NULL);</t>
  </si>
  <si>
    <t>INSERT INTO Pileta_contenido (id_pileta, id_lote, fecha_inicio, cantidad_inicial_lts, cantidad_actual_lts, observaciones) VALUES (66, '063eed80', '2025-05-07 18:46:41', 0, 4700, NULL);</t>
  </si>
  <si>
    <t>INSERT INTO Pileta_contenido (id_pileta, id_lote, fecha_inicio, cantidad_inicial_lts, cantidad_actual_lts, observaciones) VALUES (85, '219552df', '2025-05-07 18:50:25', 39900, 56900, NULL);</t>
  </si>
  <si>
    <t>INSERT INTO Pileta_contenido (id_pileta, id_lote, fecha_inicio, cantidad_inicial_lts, cantidad_actual_lts, observaciones) VALUES (65, '6dc7a9f7', '2025-05-07 18:51:16', 16900, 23900, NULL);</t>
  </si>
  <si>
    <t>INSERT INTO Pileta_contenido (id_pileta, id_lote, fecha_inicio, cantidad_inicial_lts, cantidad_actual_lts, observaciones) VALUES (66, 'a03cb596', '2025-05-07 18:51:34', 4700, 5700, NULL);</t>
  </si>
  <si>
    <t>INSERT INTO Pileta_contenido (id_pileta, id_lote, fecha_inicio, cantidad_inicial_lts, cantidad_actual_lts, observaciones) VALUES (85, '33b26126', '2025-05-07 18:53:20', 56900, 84000, NULL);</t>
  </si>
  <si>
    <t>INSERT INTO Pileta_contenido (id_pileta, id_lote, fecha_inicio, cantidad_inicial_lts, cantidad_actual_lts, observaciones) VALUES (65, '91b01170', '2025-05-07 18:53:56', 23900, 35500, 'calificacion baja por el azucar');</t>
  </si>
  <si>
    <t>INSERT INTO Pileta_contenido (id_pileta, id_lote, fecha_inicio, cantidad_inicial_lts, cantidad_actual_lts, observaciones) VALUES (66, '7b01278e', '2025-05-07 18:54:17', 5700, 15000, 'con azucar. Buena pero con azucar');</t>
  </si>
  <si>
    <t>INSERT INTO Pileta_contenido (id_pileta, id_lote, fecha_inicio, cantidad_inicial_lts, cantidad_actual_lts, observaciones) VALUES (500, 'bfc481b0', '2025-05-08 10:53:52', 18101, 21101, NULL);</t>
  </si>
  <si>
    <t>INSERT INTO Pileta_contenido (id_pileta, id_lote, fecha_inicio, cantidad_inicial_lts, cantidad_actual_lts, observaciones) VALUES (500, '2e70766e', '2025-05-08 11:41:43', 21101, 15987, NULL);</t>
  </si>
  <si>
    <t>INSERT INTO Pileta_contenido (id_pileta, id_lote, fecha_inicio, cantidad_inicial_lts, cantidad_actual_lts, observaciones) VALUES (500, '3285bc9d', '2025-05-08 17:54:56', 0, 125300, NULL);</t>
  </si>
  <si>
    <t>INSERT INTO Pileta_contenido (id_pileta, id_lote, fecha_inicio, cantidad_inicial_lts, cantidad_actual_lts, observaciones) VALUES (500, 'cf5c62c4', '2025-05-08 17:57:01', 0, 200000, NULL);</t>
  </si>
  <si>
    <t>INSERT INTO Pileta_contenido (id_pileta, id_lote, fecha_inicio, cantidad_inicial_lts, cantidad_actual_lts, observaciones) VALUES (500, '19e8f31c', '2025-05-08 17:57:27', 200000, 200600, NULL);</t>
  </si>
  <si>
    <t>INSERT INTO Pileta_contenido (id_pileta, id_lote, fecha_inicio, cantidad_inicial_lts, cantidad_actual_lts, observaciones) VALUES (70, '97f43e08', '2025-05-08 18:02:46', 0, 13000, NULL);</t>
  </si>
  <si>
    <t>INSERT INTO Pileta_contenido (id_pileta, id_lote, fecha_inicio, cantidad_inicial_lts, cantidad_actual_lts, observaciones) VALUES (500, 'e07698b4', '2025-05-08 18:03:29', 0, 6105, NULL);</t>
  </si>
  <si>
    <t>INSERT INTO Pileta_contenido (id_pileta, id_lote, fecha_inicio, cantidad_inicial_lts, cantidad_actual_lts, observaciones) VALUES (107, '1c302922', '2025-05-08 19:04:52', 24000, 31000, NULL);</t>
  </si>
  <si>
    <t>INSERT INTO Pileta_contenido (id_pileta, id_lote, fecha_inicio, cantidad_inicial_lts, cantidad_actual_lts, observaciones) VALUES (108, 'ae7ca061', '2025-05-08 19:05:04', 17000, 31000, NULL);</t>
  </si>
  <si>
    <t>INSERT INTO Pileta_contenido (id_pileta, id_lote, fecha_inicio, cantidad_inicial_lts, cantidad_actual_lts, observaciones) VALUES (118, 'a2f1fdf7', '2025-05-08 19:06:03', 19295, 16995, NULL);</t>
  </si>
  <si>
    <t>INSERT INTO Pileta_contenido (id_pileta, id_lote, fecha_inicio, cantidad_inicial_lts, cantidad_actual_lts, observaciones) VALUES (118, '44e5df4d', '2025-05-08 19:06:33', 16995, 16395, NULL);</t>
  </si>
  <si>
    <t>INSERT INTO Pileta_contenido (id_pileta, id_lote, fecha_inicio, cantidad_inicial_lts, cantidad_actual_lts, observaciones) VALUES (118, 'e1fe7b8e', '2025-05-08 19:07:07', 16395, 12895, NULL);</t>
  </si>
  <si>
    <t>INSERT INTO Pileta_contenido (id_pileta, id_lote, fecha_inicio, cantidad_inicial_lts, cantidad_actual_lts, observaciones) VALUES (50, '0a82e5f5', '2025-05-09 16:15:42', 0, 4000, NULL);</t>
  </si>
  <si>
    <t>INSERT INTO Pileta_contenido (id_pileta, id_lote, fecha_inicio, cantidad_inicial_lts, cantidad_actual_lts, observaciones) VALUES (24, '55222a6e', '2025-05-09 16:18:32', 0, 37000, NULL);</t>
  </si>
  <si>
    <t>INSERT INTO Pileta_contenido (id_pileta, id_lote, fecha_inicio, cantidad_inicial_lts, cantidad_actual_lts, observaciones) VALUES (24, '2c481a58', '2025-05-09 16:19:01', 37000, 73000, NULL);</t>
  </si>
  <si>
    <t>INSERT INTO Pileta_contenido (id_pileta, id_lote, fecha_inicio, cantidad_inicial_lts, cantidad_actual_lts, observaciones) VALUES (24, '1bbddd37', '2025-05-09 16:19:32', 73000, 163000, NULL);</t>
  </si>
  <si>
    <t>INSERT INTO Pileta_contenido (id_pileta, id_lote, fecha_inicio, cantidad_inicial_lts, cantidad_actual_lts, observaciones) VALUES (24, '1eaa1fc2', '2025-05-09 16:20:01', 163000, 186600, 'Ph alto, tiene notas amargas. En el trasiego se va a agregar rectificado y algo de Anccelota para mejorar color');</t>
  </si>
  <si>
    <t>INSERT INTO Pileta_contenido (id_pileta, id_lote, fecha_inicio, cantidad_inicial_lts, cantidad_actual_lts, observaciones) VALUES (125, '18ab305b', '2025-05-09 16:20:53', 0, 11400, NULL);</t>
  </si>
  <si>
    <t>INSERT INTO Pileta_contenido (id_pileta, id_lote, fecha_inicio, cantidad_inicial_lts, cantidad_actual_lts, observaciones) VALUES (76, '187a80d6', '2025-05-09 16:22:16', 17000, 25500, NULL);</t>
  </si>
  <si>
    <t>INSERT INTO Pileta_contenido (id_pileta, id_lote, fecha_inicio, cantidad_inicial_lts, cantidad_actual_lts, observaciones) VALUES (66, '95f6ad50', '2025-05-09 16:22:49', 20114, 23000, NULL);</t>
  </si>
  <si>
    <t>INSERT INTO Pileta_contenido (id_pileta, id_lote, fecha_inicio, cantidad_inicial_lts, cantidad_actual_lts, observaciones) VALUES (114, '31b745c3', '2025-05-09 16:33:33', 0, 116000, NULL);</t>
  </si>
  <si>
    <t>INSERT INTO Pileta_contenido (id_pileta, id_lote, fecha_inicio, cantidad_inicial_lts, cantidad_actual_lts, observaciones) VALUES (114, 'f80e7320', '2025-05-09 16:34:06', 116000, 125300, NULL);</t>
  </si>
  <si>
    <t>INSERT INTO Pileta_contenido (id_pileta, id_lote, fecha_inicio, cantidad_inicial_lts, cantidad_actual_lts, observaciones) VALUES (125, '1bdfaa93', '2025-05-09 16:34:26', 11400, 14500, NULL);</t>
  </si>
  <si>
    <t>INSERT INTO Pileta_contenido (id_pileta, id_lote, fecha_inicio, cantidad_inicial_lts, cantidad_actual_lts, observaciones) VALUES (72, 'df7eab76', '2025-05-09 16:35:54', 0, 12000, NULL);</t>
  </si>
  <si>
    <t>INSERT INTO Pileta_contenido (id_pileta, id_lote, fecha_inicio, cantidad_inicial_lts, cantidad_actual_lts, observaciones) VALUES (72, '8173df5d', '2025-05-09 16:56:05', 12000, 13000, NULL);</t>
  </si>
  <si>
    <t>INSERT INTO Pileta_contenido (id_pileta, id_lote, fecha_inicio, cantidad_inicial_lts, cantidad_actual_lts, observaciones) VALUES (50, '7488f497', '2025-05-09 19:19:35', 4000, 5100, NULL);</t>
  </si>
  <si>
    <t>INSERT INTO Pileta_contenido (id_pileta, id_lote, fecha_inicio, cantidad_inicial_lts, cantidad_actual_lts, observaciones) VALUES (71, '8deed384', '2025-05-09 19:23:55', 11400, 13000, NULL);</t>
  </si>
  <si>
    <t>INSERT INTO Pileta_contenido (id_pileta, id_lote, fecha_inicio, cantidad_inicial_lts, cantidad_actual_lts, observaciones) VALUES (126, '9c9a8832', '2025-05-09 19:24:38', 29000, 31000, '14/5
menos fruta. correcto.');</t>
  </si>
  <si>
    <t>INSERT INTO Pileta_contenido (id_pileta, id_lote, fecha_inicio, cantidad_inicial_lts, cantidad_actual_lts, observaciones) VALUES (500, '500a69fc', '2025-05-12 09:57:16', 0, 1, NULL);</t>
  </si>
  <si>
    <t>INSERT INTO Pileta_contenido (id_pileta, id_lote, fecha_inicio, cantidad_inicial_lts, cantidad_actual_lts, observaciones) VALUES (12, '61f14f41', '2025-05-12 09:58:21', 17000, 18000, '14/5
mas rica que la 11');</t>
  </si>
  <si>
    <t>INSERT INTO Pileta_contenido (id_pileta, id_lote, fecha_inicio, cantidad_inicial_lts, cantidad_actual_lts, observaciones) VALUES (500, 'eaad107d', '2025-05-12 09:59:14', 1, -4999, NULL);</t>
  </si>
  <si>
    <t>INSERT INTO Pileta_contenido (id_pileta, id_lote, fecha_inicio, cantidad_inicial_lts, cantidad_actual_lts, observaciones) VALUES (500, '26f754e9', '2025-05-12 09:59:54', -4999, -8385, NULL);</t>
  </si>
  <si>
    <t>INSERT INTO Pileta_contenido (id_pileta, id_lote, fecha_inicio, cantidad_inicial_lts, cantidad_actual_lts, observaciones) VALUES (69, '271c9c71', '2025-05-12 10:00:09', 0, 0, NULL);</t>
  </si>
  <si>
    <t>INSERT INTO Pileta_contenido (id_pileta, id_lote, fecha_inicio, cantidad_inicial_lts, cantidad_actual_lts, observaciones) VALUES (500, '1d9b14f9', '2025-05-12 10:00:47', -8385, -21385, NULL);</t>
  </si>
  <si>
    <t>INSERT INTO Pileta_contenido (id_pileta, id_lote, fecha_inicio, cantidad_inicial_lts, cantidad_actual_lts, observaciones) VALUES (500, 'cce48a18', '2025-05-12 10:01:28', -21385, -20785, NULL);</t>
  </si>
  <si>
    <t>INSERT INTO Pileta_contenido (id_pileta, id_lote, fecha_inicio, cantidad_inicial_lts, cantidad_actual_lts, observaciones) VALUES (500, 'b043a39f', '2025-05-12 10:03:24', -20785, -12990, NULL);</t>
  </si>
  <si>
    <t>INSERT INTO Pileta_contenido (id_pileta, id_lote, fecha_inicio, cantidad_inicial_lts, cantidad_actual_lts, observaciones) VALUES (500, 'b1bcdf75', '2025-05-12 10:03:53', -12990, -12190, NULL);</t>
  </si>
  <si>
    <t>INSERT INTO Pileta_contenido (id_pileta, id_lote, fecha_inicio, cantidad_inicial_lts, cantidad_actual_lts, observaciones) VALUES (500, '12de67aa', '2025-05-12 10:04:26', -12190, -8690, NULL);</t>
  </si>
  <si>
    <t>INSERT INTO Pileta_contenido (id_pileta, id_lote, fecha_inicio, cantidad_inicial_lts, cantidad_actual_lts, observaciones) VALUES (118, '315f9ff5', '2025-05-12 10:27:22', 0, 75000, NULL);</t>
  </si>
  <si>
    <t>INSERT INTO Pileta_contenido (id_pileta, id_lote, fecha_inicio, cantidad_inicial_lts, cantidad_actual_lts, observaciones) VALUES (118, 'b8a3716d', '2025-05-12 10:28:01', 75000, 155600, NULL);</t>
  </si>
  <si>
    <t>INSERT INTO Pileta_contenido (id_pileta, id_lote, fecha_inicio, cantidad_inicial_lts, cantidad_actual_lts, observaciones) VALUES (115, '8871c0cd', '2025-05-13 10:21:44', 0, 60000, NULL);</t>
  </si>
  <si>
    <t>INSERT INTO Pileta_contenido (id_pileta, id_lote, fecha_inicio, cantidad_inicial_lts, cantidad_actual_lts, observaciones) VALUES (115, '7756a1a1', '2025-05-13 10:22:58', 60000, 120200, NULL);</t>
  </si>
  <si>
    <t>INSERT INTO Pileta_contenido (id_pileta, id_lote, fecha_inicio, cantidad_inicial_lts, cantidad_actual_lts, observaciones) VALUES (80, 'f2ba5339', '2025-05-13 10:51:12', 0, 4400, NULL);</t>
  </si>
  <si>
    <t>INSERT INTO Pileta_contenido (id_pileta, id_lote, fecha_inicio, cantidad_inicial_lts, cantidad_actual_lts, observaciones) VALUES (6, '01383aba', '2025-05-13 17:45:26', 0, 10000, NULL);</t>
  </si>
  <si>
    <t>INSERT INTO Pileta_contenido (id_pileta, id_lote, fecha_inicio, cantidad_inicial_lts, cantidad_actual_lts, observaciones) VALUES (67, 'e224205d', '2025-05-13 17:46:47', 0, 22000, NULL);</t>
  </si>
  <si>
    <t>INSERT INTO Pileta_contenido (id_pileta, id_lote, fecha_inicio, cantidad_inicial_lts, cantidad_actual_lts, observaciones) VALUES (80, '582ad1a3', '2025-05-13 17:48:34', 4400, 6400, NULL);</t>
  </si>
  <si>
    <t>INSERT INTO Pileta_contenido (id_pileta, id_lote, fecha_inicio, cantidad_inicial_lts, cantidad_actual_lts, observaciones) VALUES (91, '93b5ed3d', '2025-05-13 17:49:55', 0, 81500, NULL);</t>
  </si>
  <si>
    <t>INSERT INTO Pileta_contenido (id_pileta, id_lote, fecha_inicio, cantidad_inicial_lts, cantidad_actual_lts, observaciones) VALUES (125, 'c1d958fa', '2025-05-13 17:56:43', 0, 23500, NULL);</t>
  </si>
  <si>
    <t>INSERT INTO Pileta_contenido (id_pileta, id_lote, fecha_inicio, cantidad_inicial_lts, cantidad_actual_lts, observaciones) VALUES (125, '9fbe47cd', '2025-05-13 17:58:06', 23500, 31000, NULL);</t>
  </si>
  <si>
    <t>INSERT INTO Pileta_contenido (id_pileta, id_lote, fecha_inicio, cantidad_inicial_lts, cantidad_actual_lts, observaciones) VALUES (127, 'caa78680', '2025-05-13 17:58:43', 0, 21100, NULL);</t>
  </si>
  <si>
    <t>INSERT INTO Pileta_contenido (id_pileta, id_lote, fecha_inicio, cantidad_inicial_lts, cantidad_actual_lts, observaciones) VALUES (75, '8fc8112c', '2025-05-13 18:00:16', 0, 5100, NULL);</t>
  </si>
  <si>
    <t>INSERT INTO Pileta_contenido (id_pileta, id_lote, fecha_inicio, cantidad_inicial_lts, cantidad_actual_lts, observaciones) VALUES (2, 'ef0e58f9', '2025-05-13 18:02:00', 2000, 1900, NULL);</t>
  </si>
  <si>
    <t>INSERT INTO Pileta_contenido (id_pileta, id_lote, fecha_inicio, cantidad_inicial_lts, cantidad_actual_lts, observaciones) VALUES (75, '83616429', '2025-05-13 18:02:20', 5100, 7000, NULL);</t>
  </si>
  <si>
    <t>INSERT INTO Pileta_contenido (id_pileta, id_lote, fecha_inicio, cantidad_inicial_lts, cantidad_actual_lts, observaciones) VALUES (53, '7c0a5b23', '2025-05-13 18:36:46', 0, 20000, NULL);</t>
  </si>
  <si>
    <t>INSERT INTO Pileta_contenido (id_pileta, id_lote, fecha_inicio, cantidad_inicial_lts, cantidad_actual_lts, observaciones) VALUES (500, '9466c3f8', '2025-05-14 11:09:48', -8690, -9690, 'ajuste faltaron 9.600 lts');</t>
  </si>
  <si>
    <t>INSERT INTO Pileta_contenido (id_pileta, id_lote, fecha_inicio, cantidad_inicial_lts, cantidad_actual_lts, observaciones) VALUES (120, 'c7c2db60', '2025-05-14 17:17:31', 0, 85000, NULL);</t>
  </si>
  <si>
    <t>INSERT INTO Pileta_contenido (id_pileta, id_lote, fecha_inicio, cantidad_inicial_lts, cantidad_actual_lts, observaciones) VALUES (120, '7b6d5389', '2025-05-14 17:17:56', 85000, 88800, NULL);</t>
  </si>
  <si>
    <t>INSERT INTO Pileta_contenido (id_pileta, id_lote, fecha_inicio, cantidad_inicial_lts, cantidad_actual_lts, observaciones) VALUES (53, 'c6964445', '2025-05-14 17:20:15', 20000, 22000, NULL);</t>
  </si>
  <si>
    <t>INSERT INTO Pileta_contenido (id_pileta, id_lote, fecha_inicio, cantidad_inicial_lts, cantidad_actual_lts, observaciones) VALUES (6, '59034d88', '2025-05-14 17:25:08', 4200, 25300, NULL);</t>
  </si>
  <si>
    <t>INSERT INTO Pileta_contenido (id_pileta, id_lote, fecha_inicio, cantidad_inicial_lts, cantidad_actual_lts, observaciones) VALUES (6, '5b29cdd7', '2025-05-14 17:25:55', 25300, 32000, NULL);</t>
  </si>
  <si>
    <t>INSERT INTO Pileta_contenido (id_pileta, id_lote, fecha_inicio, cantidad_inicial_lts, cantidad_actual_lts, observaciones) VALUES (7, 'b553478c', '2025-05-14 17:26:32', 0, 24300, NULL);</t>
  </si>
  <si>
    <t>INSERT INTO Pileta_contenido (id_pileta, id_lote, fecha_inicio, cantidad_inicial_lts, cantidad_actual_lts, observaciones) VALUES (15, '8a5cc2ae', '2025-05-15 09:03:22', 0, 36500, NULL);</t>
  </si>
  <si>
    <t>INSERT INTO Pileta_contenido (id_pileta, id_lote, fecha_inicio, cantidad_inicial_lts, cantidad_actual_lts, observaciones) VALUES (80, 'db062f06', '2025-05-15 09:03:57', 6400, 9400, NULL);</t>
  </si>
  <si>
    <t>INSERT INTO Pileta_contenido (id_pileta, id_lote, fecha_inicio, cantidad_inicial_lts, cantidad_actual_lts, observaciones) VALUES (46, '545cf46a', '2025-05-15 09:05:08', 0, 3900, NULL);</t>
  </si>
  <si>
    <t>INSERT INTO Pileta_contenido (id_pileta, id_lote, fecha_inicio, cantidad_inicial_lts, cantidad_actual_lts, observaciones) VALUES (46, '92f39eaf', '2025-05-15 09:05:43', 3900, 16900, NULL);</t>
  </si>
  <si>
    <t>INSERT INTO Pileta_contenido (id_pileta, id_lote, fecha_inicio, cantidad_inicial_lts, cantidad_actual_lts, observaciones) VALUES (46, 'b72016d2', '2025-05-15 09:06:09', 16900, 29000, NULL);</t>
  </si>
  <si>
    <t>INSERT INTO Pileta_contenido (id_pileta, id_lote, fecha_inicio, cantidad_inicial_lts, cantidad_actual_lts, observaciones) VALUES (7, 'a3608d6e', '2025-05-15 09:06:49', 24300, 25200, NULL);</t>
  </si>
  <si>
    <t>INSERT INTO Pileta_contenido (id_pileta, id_lote, fecha_inicio, cantidad_inicial_lts, cantidad_actual_lts, observaciones) VALUES (91, '39eae928', '2025-05-15 09:08:42', 81500, 86000, NULL);</t>
  </si>
  <si>
    <t>INSERT INTO Pileta_contenido (id_pileta, id_lote, fecha_inicio, cantidad_inicial_lts, cantidad_actual_lts, observaciones) VALUES (80, '65aa5ca5', '2025-05-15 09:58:36', 9400, 16400, NULL);</t>
  </si>
  <si>
    <t>INSERT INTO Pileta_contenido (id_pileta, id_lote, fecha_inicio, cantidad_inicial_lts, cantidad_actual_lts, observaciones) VALUES (54, 'ae9d3290', '2025-05-15 16:16:55', 0, 22900, NULL);</t>
  </si>
  <si>
    <t>INSERT INTO Pileta_contenido (id_pileta, id_lote, fecha_inicio, cantidad_inicial_lts, cantidad_actual_lts, observaciones) VALUES (51, '94fbbcb1', '2025-05-15 16:18:03', 0, 1600, NULL);</t>
  </si>
  <si>
    <t>INSERT INTO Pileta_contenido (id_pileta, id_lote, fecha_inicio, cantidad_inicial_lts, cantidad_actual_lts, observaciones) VALUES (95, '263cc8c0', '2025-05-16 12:00:10', 0, 77100, NULL);</t>
  </si>
  <si>
    <t>INSERT INTO Pileta_contenido (id_pileta, id_lote, fecha_inicio, cantidad_inicial_lts, cantidad_actual_lts, observaciones) VALUES (96, '4b0ee075', '2025-05-16 12:00:52', 0, 85600, NULL);</t>
  </si>
  <si>
    <t>INSERT INTO Pileta_contenido (id_pileta, id_lote, fecha_inicio, cantidad_inicial_lts, cantidad_actual_lts, observaciones) VALUES (45, 'e44a0e79', '2025-05-16 12:01:28', 0, 30000, NULL);</t>
  </si>
  <si>
    <t>INSERT INTO Pileta_contenido (id_pileta, id_lote, fecha_inicio, cantidad_inicial_lts, cantidad_actual_lts, observaciones) VALUES (68, 'e869add7', '2025-05-16 12:02:38', 0, 1600, NULL);</t>
  </si>
  <si>
    <t>INSERT INTO Pileta_contenido (id_pileta, id_lote, fecha_inicio, cantidad_inicial_lts, cantidad_actual_lts, observaciones) VALUES (14, '10b87434', '2025-05-16 12:06:25', 0, 37000, NULL);</t>
  </si>
  <si>
    <t>INSERT INTO Pileta_contenido (id_pileta, id_lote, fecha_inicio, cantidad_inicial_lts, cantidad_actual_lts, observaciones) VALUES (50, 'bb793e4b', '2025-05-16 12:07:06', 0, 2300, NULL);</t>
  </si>
  <si>
    <t>INSERT INTO Pileta_contenido (id_pileta, id_lote, fecha_inicio, cantidad_inicial_lts, cantidad_actual_lts, observaciones) VALUES (41, '02391dea', '2025-05-16 12:07:34', 0, 35100, NULL);</t>
  </si>
  <si>
    <t>INSERT INTO Pileta_contenido (id_pileta, id_lote, fecha_inicio, cantidad_inicial_lts, cantidad_actual_lts, observaciones) VALUES (50, '0973d1bc', '2025-05-16 12:07:48', 2300, 3100, NULL);</t>
  </si>
  <si>
    <t>INSERT INTO Pileta_contenido (id_pileta, id_lote, fecha_inicio, cantidad_inicial_lts, cantidad_actual_lts, observaciones) VALUES (500, '2931c38f', '2025-05-16 12:09:54', 0, 13000, NULL);</t>
  </si>
  <si>
    <t>INSERT INTO Pileta_contenido (id_pileta, id_lote, fecha_inicio, cantidad_inicial_lts, cantidad_actual_lts, observaciones) VALUES (500, '6d157016', '2025-05-16 12:11:25', 13000, 101000, NULL);</t>
  </si>
  <si>
    <t>INSERT INTO Pileta_contenido (id_pileta, id_lote, fecha_inicio, cantidad_inicial_lts, cantidad_actual_lts, observaciones) VALUES (70, '1cdbd1a4', '2025-05-16 12:12:49', 0, 13000, NULL);</t>
  </si>
  <si>
    <t>INSERT INTO Pileta_contenido (id_pileta, id_lote, fecha_inicio, cantidad_inicial_lts, cantidad_actual_lts, observaciones) VALUES (125, '2443e08d', '2025-05-16 12:13:17', 0, 6500, NULL);</t>
  </si>
  <si>
    <t>INSERT INTO Pileta_contenido (id_pileta, id_lote, fecha_inicio, cantidad_inicial_lts, cantidad_actual_lts, observaciones) VALUES (25, '47816ee0', '2025-05-16 19:59:49', 0, 194300, NULL);</t>
  </si>
  <si>
    <t>INSERT INTO Pileta_contenido (id_pileta, id_lote, fecha_inicio, cantidad_inicial_lts, cantidad_actual_lts, observaciones) VALUES (68, 'e074b6e4', '2025-05-19 11:46:21', 1600, 13000, NULL);</t>
  </si>
  <si>
    <t>INSERT INTO Pileta_contenido (id_pileta, id_lote, fecha_inicio, cantidad_inicial_lts, cantidad_actual_lts, observaciones) VALUES (50, '7b7453a5', '2025-05-19 11:47:33', 3100, 5000, NULL);</t>
  </si>
  <si>
    <t>INSERT INTO Pileta_contenido (id_pileta, id_lote, fecha_inicio, cantidad_inicial_lts, cantidad_actual_lts, observaciones) VALUES (500, '49682afa', '2025-05-19 17:02:02', 0, 1, NULL);</t>
  </si>
  <si>
    <t>INSERT INTO Pileta_contenido (id_pileta, id_lote, fecha_inicio, cantidad_inicial_lts, cantidad_actual_lts, observaciones) VALUES (80, '01cf6615', '2025-05-19 17:13:12', 16400, 22900, NULL);</t>
  </si>
  <si>
    <t>INSERT INTO Pileta_contenido (id_pileta, id_lote, fecha_inicio, cantidad_inicial_lts, cantidad_actual_lts, observaciones) VALUES (80, 'ea842d91', '2025-05-19 17:15:33', 22900, 24000, NULL);</t>
  </si>
  <si>
    <t>INSERT INTO Pileta_contenido (id_pileta, id_lote, fecha_inicio, cantidad_inicial_lts, cantidad_actual_lts, observaciones) VALUES (500, 'a4bf5699', '2025-05-19 17:15:53', 1, 2101, NULL);</t>
  </si>
  <si>
    <t>INSERT INTO Pileta_contenido (id_pileta, id_lote, fecha_inicio, cantidad_inicial_lts, cantidad_actual_lts, observaciones) VALUES (500, 'd24b2834', '2025-05-19 17:16:46', 2101, 2001, NULL);</t>
  </si>
  <si>
    <t>INSERT INTO Pileta_contenido (id_pileta, id_lote, fecha_inicio, cantidad_inicial_lts, cantidad_actual_lts, observaciones) VALUES (500, 'b16ab165', '2025-05-19 17:18:00', 2001, 2101, NULL);</t>
  </si>
  <si>
    <t>INSERT INTO Pileta_contenido (id_pileta, id_lote, fecha_inicio, cantidad_inicial_lts, cantidad_actual_lts, observaciones) VALUES (500, 'b82badfa', '2025-05-19 17:18:27', 2101, 2201, NULL);</t>
  </si>
  <si>
    <t>INSERT INTO Pileta_contenido (id_pileta, id_lote, fecha_inicio, cantidad_inicial_lts, cantidad_actual_lts, observaciones) VALUES (500, '9059a425', '2025-05-19 17:18:54', 2201, 2001, NULL);</t>
  </si>
  <si>
    <t>INSERT INTO Pileta_contenido (id_pileta, id_lote, fecha_inicio, cantidad_inicial_lts, cantidad_actual_lts, observaciones) VALUES (500, 'e9659899', '2025-05-19 17:19:40', 2001, -299, NULL);</t>
  </si>
  <si>
    <t>INSERT INTO Pileta_contenido (id_pileta, id_lote, fecha_inicio, cantidad_inicial_lts, cantidad_actual_lts, observaciones) VALUES (500, 'b9348c96', '2025-05-19 17:20:22', -299, 201, NULL);</t>
  </si>
  <si>
    <t>INSERT INTO Pileta_contenido (id_pileta, id_lote, fecha_inicio, cantidad_inicial_lts, cantidad_actual_lts, observaciones) VALUES (500, '2afd72e2', '2025-05-19 17:20:45', 201, 701, 'Ajuste final solo 700 lts');</t>
  </si>
  <si>
    <t>INSERT INTO Pileta_contenido (id_pileta, id_lote, fecha_inicio, cantidad_inicial_lts, cantidad_actual_lts, observaciones) VALUES (26, '156fcfa6', '2025-05-19 17:43:34', 0, 95000, NULL);</t>
  </si>
  <si>
    <t>INSERT INTO Pileta_contenido (id_pileta, id_lote, fecha_inicio, cantidad_inicial_lts, cantidad_actual_lts, observaciones) VALUES (26, '3fbc32d2', '2025-05-19 18:16:00', 95000, 130000, NULL);</t>
  </si>
  <si>
    <t>INSERT INTO Pileta_contenido (id_pileta, id_lote, fecha_inicio, cantidad_inicial_lts, cantidad_actual_lts, observaciones) VALUES (26, 'f3656dbf', '2025-05-19 18:17:02', 130000, 166000, NULL);</t>
  </si>
  <si>
    <t>INSERT INTO Pileta_contenido (id_pileta, id_lote, fecha_inicio, cantidad_inicial_lts, cantidad_actual_lts, observaciones) VALUES (26, '5c83ebb2', '2025-05-19 18:18:45', 166000, 201000, NULL);</t>
  </si>
  <si>
    <t>INSERT INTO Pileta_contenido (id_pileta, id_lote, fecha_inicio, cantidad_inicial_lts, cantidad_actual_lts, observaciones) VALUES (80, 'ebb87073', '2025-05-19 18:34:35', 24000, 26100, NULL);</t>
  </si>
  <si>
    <t>INSERT INTO Pileta_contenido (id_pileta, id_lote, fecha_inicio, cantidad_inicial_lts, cantidad_actual_lts, observaciones) VALUES (26, 'ab0df0a5', '2025-05-19 18:37:35', 201000, 201400, NULL);</t>
  </si>
  <si>
    <t>INSERT INTO Pileta_contenido (id_pileta, id_lote, fecha_inicio, cantidad_inicial_lts, cantidad_actual_lts, observaciones) VALUES (500, '94013da4', '2025-05-19 19:23:58', 0, 7000, NULL);</t>
  </si>
  <si>
    <t>INSERT INTO Pileta_contenido (id_pileta, id_lote, fecha_inicio, cantidad_inicial_lts, cantidad_actual_lts, observaciones) VALUES (114, '8fa197ac', '2025-05-20 17:51:11', 90300, 120300, NULL);</t>
  </si>
  <si>
    <t>INSERT INTO Pileta_contenido (id_pileta, id_lote, fecha_inicio, cantidad_inicial_lts, cantidad_actual_lts, observaciones) VALUES (114, 'a9aa0086', '2025-05-20 17:52:13', 120300, 125300, '5/06  De todos los Syrah es el que mas gusto en la degustacion');</t>
  </si>
  <si>
    <t>INSERT INTO Pileta_contenido (id_pileta, id_lote, fecha_inicio, cantidad_inicial_lts, cantidad_actual_lts, observaciones) VALUES (68, '853ab9c1', '2025-05-20 17:53:09', 8000, 7500, NULL);</t>
  </si>
  <si>
    <t>INSERT INTO Pileta_contenido (id_pileta, id_lote, fecha_inicio, cantidad_inicial_lts, cantidad_actual_lts, observaciones) VALUES (68, '1fdf5dbd', '2025-05-20 17:53:37', 7500, 7000, NULL);</t>
  </si>
  <si>
    <t>INSERT INTO Pileta_contenido (id_pileta, id_lote, fecha_inicio, cantidad_inicial_lts, cantidad_actual_lts, observaciones) VALUES (87, 'c82e7f90', '2025-05-20 17:58:58', 0, 48000, NULL);</t>
  </si>
  <si>
    <t>INSERT INTO Pileta_contenido (id_pileta, id_lote, fecha_inicio, cantidad_inicial_lts, cantidad_actual_lts, observaciones) VALUES (87, 'b04cae80', '2025-05-20 18:08:56', 48000, 93700, NULL);</t>
  </si>
  <si>
    <t>INSERT INTO Pileta_contenido (id_pileta, id_lote, fecha_inicio, cantidad_inicial_lts, cantidad_actual_lts, observaciones) VALUES (45, 'a6d11ad4', '2025-05-20 18:11:08', 0, 30000, NULL);</t>
  </si>
  <si>
    <t>INSERT INTO Pileta_contenido (id_pileta, id_lote, fecha_inicio, cantidad_inicial_lts, cantidad_actual_lts, observaciones) VALUES (68, '9dfda5e0', '2025-05-20 18:12:44', 7000, 10200, NULL);</t>
  </si>
  <si>
    <t>INSERT INTO Pileta_contenido (id_pileta, id_lote, fecha_inicio, cantidad_inicial_lts, cantidad_actual_lts, observaciones) VALUES (7, '530c9456', '2025-05-20 18:13:52', 22000, 30000, NULL);</t>
  </si>
  <si>
    <t>INSERT INTO Pileta_contenido (id_pileta, id_lote, fecha_inicio, cantidad_inicial_lts, cantidad_actual_lts, observaciones) VALUES (49, '91ba2ba0', '2025-05-20 18:14:35', 0, 5000, NULL);</t>
  </si>
  <si>
    <t>INSERT INTO Pileta_contenido (id_pileta, id_lote, fecha_inicio, cantidad_inicial_lts, cantidad_actual_lts, observaciones) VALUES (90, 'cddb06a5', '2025-05-20 18:31:58', 0, 97500, NULL);</t>
  </si>
  <si>
    <t>INSERT INTO Pileta_contenido (id_pileta, id_lote, fecha_inicio, cantidad_inicial_lts, cantidad_actual_lts, observaciones) VALUES (68, '536eff33', '2025-05-20 18:32:57', 10200, 12300, NULL);</t>
  </si>
  <si>
    <t>INSERT INTO Pileta_contenido (id_pileta, id_lote, fecha_inicio, cantidad_inicial_lts, cantidad_actual_lts, observaciones) VALUES (49, 'e81f7a10', '2025-05-21 18:15:54', 5000, 17300, NULL);</t>
  </si>
  <si>
    <t>INSERT INTO Pileta_contenido (id_pileta, id_lote, fecha_inicio, cantidad_inicial_lts, cantidad_actual_lts, observaciones) VALUES (127, 'e375ee10', '2025-05-21 18:17:18', 0, 31000, NULL);</t>
  </si>
  <si>
    <t>INSERT INTO Pileta_contenido (id_pileta, id_lote, fecha_inicio, cantidad_inicial_lts, cantidad_actual_lts, observaciones) VALUES (121, '755eca56', '2025-05-21 18:25:30', 0, 10700, NULL);</t>
  </si>
  <si>
    <t>INSERT INTO Pileta_contenido (id_pileta, id_lote, fecha_inicio, cantidad_inicial_lts, cantidad_actual_lts, observaciones) VALUES (116, '3b8e0d4f', '2025-05-21 18:26:00', 0, 12900, NULL);</t>
  </si>
  <si>
    <t>INSERT INTO Pileta_contenido (id_pileta, id_lote, fecha_inicio, cantidad_inicial_lts, cantidad_actual_lts, observaciones) VALUES (121, '9fec443b', '2025-05-21 18:30:52', 10700, 14780, NULL);</t>
  </si>
  <si>
    <t>INSERT INTO Pileta_contenido (id_pileta, id_lote, fecha_inicio, cantidad_inicial_lts, cantidad_actual_lts, observaciones) VALUES (116, '60712aa8', '2025-05-21 18:31:18', 12900, 17900, NULL);</t>
  </si>
  <si>
    <t>INSERT INTO Pileta_contenido (id_pileta, id_lote, fecha_inicio, cantidad_inicial_lts, cantidad_actual_lts, observaciones) VALUES (34, 'e1971673', '2025-05-21 18:32:27', 0, 2000, NULL);</t>
  </si>
  <si>
    <t>INSERT INTO Pileta_contenido (id_pileta, id_lote, fecha_inicio, cantidad_inicial_lts, cantidad_actual_lts, observaciones) VALUES (116, 'b4fedb16', '2025-05-21 18:33:56', 17900, 99600, NULL);</t>
  </si>
  <si>
    <t>INSERT INTO Pileta_contenido (id_pileta, id_lote, fecha_inicio, cantidad_inicial_lts, cantidad_actual_lts, observaciones) VALUES (121, '589807bc', '2025-05-21 18:34:48', 14780, 85800, NULL);</t>
  </si>
  <si>
    <t>INSERT INTO Pileta_contenido (id_pileta, id_lote, fecha_inicio, cantidad_inicial_lts, cantidad_actual_lts, observaciones) VALUES (34, 'f213d575', '2025-05-21 18:37:25', 2000, 35880, NULL);</t>
  </si>
  <si>
    <t>INSERT INTO Pileta_contenido (id_pileta, id_lote, fecha_inicio, cantidad_inicial_lts, cantidad_actual_lts, observaciones) VALUES (24, 'fcd4899d', '2025-05-23 10:13:31', 0, 44400, NULL);</t>
  </si>
  <si>
    <t>INSERT INTO Pileta_contenido (id_pileta, id_lote, fecha_inicio, cantidad_inicial_lts, cantidad_actual_lts, observaciones) VALUES (24, '1c1b6466', '2025-05-23 10:14:18', 44400, 53900, NULL);</t>
  </si>
  <si>
    <t>INSERT INTO Pileta_contenido (id_pileta, id_lote, fecha_inicio, cantidad_inicial_lts, cantidad_actual_lts, observaciones) VALUES (24, '3f1dcd1d', '2025-05-23 10:14:59', 53900, 72000, NULL);</t>
  </si>
  <si>
    <t>INSERT INTO Pileta_contenido (id_pileta, id_lote, fecha_inicio, cantidad_inicial_lts, cantidad_actual_lts, observaciones) VALUES (24, '1f03bf4a', '2025-05-23 10:15:23', 72000, 156000, NULL);</t>
  </si>
  <si>
    <t>INSERT INTO Pileta_contenido (id_pileta, id_lote, fecha_inicio, cantidad_inicial_lts, cantidad_actual_lts, observaciones) VALUES (24, 'b3a40361', '2025-05-23 10:18:44', 156000, 186600, NULL);</t>
  </si>
  <si>
    <t>INSERT INTO Pileta_contenido (id_pileta, id_lote, fecha_inicio, cantidad_inicial_lts, cantidad_actual_lts, observaciones) VALUES (500, '39adf883', '2025-05-23 18:00:15', 0, 1, NULL);</t>
  </si>
  <si>
    <t>INSERT INTO Pileta_contenido (id_pileta, id_lote, fecha_inicio, cantidad_inicial_lts, cantidad_actual_lts, observaciones) VALUES (500, '44074e3a', '2025-05-23 18:01:18', 1, 2901, NULL);</t>
  </si>
  <si>
    <t>INSERT INTO Pileta_contenido (id_pileta, id_lote, fecha_inicio, cantidad_inicial_lts, cantidad_actual_lts, observaciones) VALUES (83, '0c98b90d', '2025-05-23 18:02:16', 0, 2000, NULL);</t>
  </si>
  <si>
    <t>INSERT INTO Pileta_contenido (id_pileta, id_lote, fecha_inicio, cantidad_inicial_lts, cantidad_actual_lts, observaciones) VALUES (83, '831c7ff8', '2025-05-23 18:02:43', 2000, 25000, NULL);</t>
  </si>
  <si>
    <t>INSERT INTO Pileta_contenido (id_pileta, id_lote, fecha_inicio, cantidad_inicial_lts, cantidad_actual_lts, observaciones) VALUES (83, 'c5230377', '2025-05-23 18:03:35', 25000, 69400, NULL);</t>
  </si>
  <si>
    <t>INSERT INTO Pileta_contenido (id_pileta, id_lote, fecha_inicio, cantidad_inicial_lts, cantidad_actual_lts, observaciones) VALUES (34, '08cd1438', '2025-05-23 18:06:25', 35880, 39500, NULL);</t>
  </si>
  <si>
    <t>INSERT INTO Pileta_contenido (id_pileta, id_lote, fecha_inicio, cantidad_inicial_lts, cantidad_actual_lts, observaciones) VALUES (500, '62ec9377', '2025-05-23 18:15:32', 2901, 7681, 'Ajuste final de 7681 lts');</t>
  </si>
  <si>
    <t>INSERT INTO Pileta_contenido (id_pileta, id_lote, fecha_inicio, cantidad_inicial_lts, cantidad_actual_lts, observaciones) VALUES (49, '9ad9bdea', '2025-05-23 18:19:51', 17300, 26000, NULL);</t>
  </si>
  <si>
    <t>INSERT INTO Pileta_contenido (id_pileta, id_lote, fecha_inicio, cantidad_inicial_lts, cantidad_actual_lts, observaciones) VALUES (6, '6f76277b', '2025-05-23 18:20:23', 0, 22300, NULL);</t>
  </si>
  <si>
    <t>INSERT INTO Pileta_contenido (id_pileta, id_lote, fecha_inicio, cantidad_inicial_lts, cantidad_actual_lts, observaciones) VALUES (83, '434cf64c', '2025-05-26 11:16:23', 69400, 81300, NULL);</t>
  </si>
  <si>
    <t>INSERT INTO Pileta_contenido (id_pileta, id_lote, fecha_inicio, cantidad_inicial_lts, cantidad_actual_lts, observaciones) VALUES (83, '1031b227', '2025-05-26 11:16:45', 81300, 81500, NULL);</t>
  </si>
  <si>
    <t>INSERT INTO Pileta_contenido (id_pileta, id_lote, fecha_inicio, cantidad_inicial_lts, cantidad_actual_lts, observaciones) VALUES (67, 'b31c1ec9', '2025-05-26 11:17:43', 0, 22020, NULL);</t>
  </si>
  <si>
    <t>INSERT INTO Pileta_contenido (id_pileta, id_lote, fecha_inicio, cantidad_inicial_lts, cantidad_actual_lts, observaciones) VALUES (67, '654f35d0', '2025-05-26 11:18:12', 22020, 23000, NULL);</t>
  </si>
  <si>
    <t>INSERT INTO Pileta_contenido (id_pileta, id_lote, fecha_inicio, cantidad_inicial_lts, cantidad_actual_lts, observaciones) VALUES (104, 'a9d727ca', '2025-05-27 11:52:57', 0, 3000, NULL);</t>
  </si>
  <si>
    <t>INSERT INTO Pileta_contenido (id_pileta, id_lote, fecha_inicio, cantidad_inicial_lts, cantidad_actual_lts, observaciones) VALUES (104, '029c104a', '2025-05-27 11:53:41', 3000, 31000, NULL);</t>
  </si>
  <si>
    <t>INSERT INTO Pileta_contenido (id_pileta, id_lote, fecha_inicio, cantidad_inicial_lts, cantidad_actual_lts, observaciones) VALUES (109, '61948e2d', '2025-05-27 12:24:45', 0, 3000, NULL);</t>
  </si>
  <si>
    <t>INSERT INTO Pileta_contenido (id_pileta, id_lote, fecha_inicio, cantidad_inicial_lts, cantidad_actual_lts, observaciones) VALUES (102, 'd1ac6d2d', '2025-05-27 12:25:54', 0, 3000, NULL);</t>
  </si>
  <si>
    <t>INSERT INTO Pileta_contenido (id_pileta, id_lote, fecha_inicio, cantidad_inicial_lts, cantidad_actual_lts, observaciones) VALUES (102, '5091788b', '2025-05-27 12:26:39', 3000, 31000, NULL);</t>
  </si>
  <si>
    <t>INSERT INTO Pileta_contenido (id_pileta, id_lote, fecha_inicio, cantidad_inicial_lts, cantidad_actual_lts, observaciones) VALUES (109, '4d16cc18', '2025-05-27 12:26:59', 3000, 6000, NULL);</t>
  </si>
  <si>
    <t>INSERT INTO Pileta_contenido (id_pileta, id_lote, fecha_inicio, cantidad_inicial_lts, cantidad_actual_lts, observaciones) VALUES (103, '6468b679', '2025-05-27 12:27:37', 0, 3000, NULL);</t>
  </si>
  <si>
    <t>INSERT INTO Pileta_contenido (id_pileta, id_lote, fecha_inicio, cantidad_inicial_lts, cantidad_actual_lts, observaciones) VALUES (103, 'eb5a88ac', '2025-05-27 12:28:06', 3000, 31000, NULL);</t>
  </si>
  <si>
    <t>INSERT INTO Pileta_contenido (id_pileta, id_lote, fecha_inicio, cantidad_inicial_lts, cantidad_actual_lts, observaciones) VALUES (109, '5621dc05', '2025-05-27 12:28:23', 6000, 9000, NULL);</t>
  </si>
  <si>
    <t>INSERT INTO Pileta_contenido (id_pileta, id_lote, fecha_inicio, cantidad_inicial_lts, cantidad_actual_lts, observaciones) VALUES (105, '9f20348c', '2025-05-27 12:29:01', 0, 3000, NULL);</t>
  </si>
  <si>
    <t>INSERT INTO Pileta_contenido (id_pileta, id_lote, fecha_inicio, cantidad_inicial_lts, cantidad_actual_lts, observaciones) VALUES (105, '57a4fe30', '2025-05-27 12:29:24', 3000, 31000, NULL);</t>
  </si>
  <si>
    <t>INSERT INTO Pileta_contenido (id_pileta, id_lote, fecha_inicio, cantidad_inicial_lts, cantidad_actual_lts, observaciones) VALUES (109, '0101284d', '2025-05-27 12:29:52', 9000, 12000, NULL);</t>
  </si>
  <si>
    <t>INSERT INTO Pileta_contenido (id_pileta, id_lote, fecha_inicio, cantidad_inicial_lts, cantidad_actual_lts, observaciones) VALUES (107, '743ab7d6', '2025-05-27 12:32:18', 0, 3000, NULL);</t>
  </si>
  <si>
    <t>INSERT INTO Pileta_contenido (id_pileta, id_lote, fecha_inicio, cantidad_inicial_lts, cantidad_actual_lts, observaciones) VALUES (107, '3f5178fd', '2025-05-27 12:32:47', 3000, 31000, NULL);</t>
  </si>
  <si>
    <t>INSERT INTO Pileta_contenido (id_pileta, id_lote, fecha_inicio, cantidad_inicial_lts, cantidad_actual_lts, observaciones) VALUES (109, '8cd3ea51', '2025-05-27 12:33:30', 12000, 15000, NULL);</t>
  </si>
  <si>
    <t>INSERT INTO Pileta_contenido (id_pileta, id_lote, fecha_inicio, cantidad_inicial_lts, cantidad_actual_lts, observaciones) VALUES (7, 'dc8b07fe', '2025-05-27 19:01:00', 0, 25500, NULL);</t>
  </si>
  <si>
    <t>INSERT INTO Pileta_contenido (id_pileta, id_lote, fecha_inicio, cantidad_inicial_lts, cantidad_actual_lts, observaciones) VALUES (125, 'ec873f45', '2025-05-27 19:02:43', 0, 30000, NULL);</t>
  </si>
  <si>
    <t>INSERT INTO Pileta_contenido (id_pileta, id_lote, fecha_inicio, cantidad_inicial_lts, cantidad_actual_lts, observaciones) VALUES (84, '9a261ef2', '2025-05-27 19:06:12', 0, 83000, NULL);</t>
  </si>
  <si>
    <t>INSERT INTO Pileta_contenido (id_pileta, id_lote, fecha_inicio, cantidad_inicial_lts, cantidad_actual_lts, observaciones) VALUES (85, '317f770a', '2025-05-27 19:07:49', 0, 72600, NULL);</t>
  </si>
  <si>
    <t>INSERT INTO Pileta_contenido (id_pileta, id_lote, fecha_inicio, cantidad_inicial_lts, cantidad_actual_lts, observaciones) VALUES (85, 'b7883137', '2025-05-27 19:09:27', 72600, 84000, NULL);</t>
  </si>
  <si>
    <t>INSERT INTO Pileta_contenido (id_pileta, id_lote, fecha_inicio, cantidad_inicial_lts, cantidad_actual_lts, observaciones) VALUES (92, 'fbfff24a', '2025-05-27 19:09:55', 0, 74600, NULL);</t>
  </si>
  <si>
    <t>INSERT INTO Pileta_contenido (id_pileta, id_lote, fecha_inicio, cantidad_inicial_lts, cantidad_actual_lts, observaciones) VALUES (68, '36493bbe', '2025-05-27 19:10:53', 0, 13000, NULL);</t>
  </si>
  <si>
    <t>INSERT INTO Pileta_contenido (id_pileta, id_lote, fecha_inicio, cantidad_inicial_lts, cantidad_actual_lts, observaciones) VALUES (500, '34934edf', '2025-05-28 17:41:01', 0, 200000, NULL);</t>
  </si>
  <si>
    <t>INSERT INTO Pileta_contenido (id_pileta, id_lote, fecha_inicio, cantidad_inicial_lts, cantidad_actual_lts, observaciones) VALUES (73, '9d9d68cd', '2025-05-28 17:41:31', 0, 1400, NULL);</t>
  </si>
  <si>
    <t>INSERT INTO Pileta_contenido (id_pileta, id_lote, fecha_inicio, cantidad_inicial_lts, cantidad_actual_lts, observaciones) VALUES (73, 'bb3607ba', '2025-05-28 17:42:19', 1400, 2400, NULL);</t>
  </si>
  <si>
    <t>INSERT INTO Pileta_contenido (id_pileta, id_lote, fecha_inicio, cantidad_inicial_lts, cantidad_actual_lts, observaciones) VALUES (109, '605416fd', '2025-05-28 17:42:50', 14000, 15600, NULL);</t>
  </si>
  <si>
    <t>INSERT INTO Pileta_contenido (id_pileta, id_lote, fecha_inicio, cantidad_inicial_lts, cantidad_actual_lts, observaciones) VALUES (7, 'dfa54ee5', '2025-05-28 17:47:29', 25500, 30000, NULL);</t>
  </si>
  <si>
    <t>INSERT INTO Pileta_contenido (id_pileta, id_lote, fecha_inicio, cantidad_inicial_lts, cantidad_actual_lts, observaciones) VALUES (45, '2d4e2ede', '2025-05-28 17:48:07', 0, 25500, NULL);</t>
  </si>
  <si>
    <t>INSERT INTO Pileta_contenido (id_pileta, id_lote, fecha_inicio, cantidad_inicial_lts, cantidad_actual_lts, observaciones) VALUES (118, '704cf4ee', '2025-05-28 17:51:50', 0, 120200, NULL);</t>
  </si>
  <si>
    <t>INSERT INTO Pileta_contenido (id_pileta, id_lote, fecha_inicio, cantidad_inicial_lts, cantidad_actual_lts, observaciones) VALUES (118, '179cf3c0', '2025-05-28 17:54:01', 120200, 150200, NULL);</t>
  </si>
  <si>
    <t>INSERT INTO Pileta_contenido (id_pileta, id_lote, fecha_inicio, cantidad_inicial_lts, cantidad_actual_lts, observaciones) VALUES (118, 'ea27bb38', '2025-05-28 17:55:16', 150200, 154720, NULL);</t>
  </si>
  <si>
    <t>INSERT INTO Pileta_contenido (id_pileta, id_lote, fecha_inicio, cantidad_inicial_lts, cantidad_actual_lts, observaciones) VALUES (66, 'f323c032', '2025-05-29 19:42:13', 0, 22000, NULL);</t>
  </si>
  <si>
    <t>INSERT INTO Pileta_contenido (id_pileta, id_lote, fecha_inicio, cantidad_inicial_lts, cantidad_actual_lts, observaciones) VALUES (53, 'd3025708', '2025-05-29 19:47:30', 0, 22000, NULL);</t>
  </si>
  <si>
    <t>INSERT INTO Pileta_contenido (id_pileta, id_lote, fecha_inicio, cantidad_inicial_lts, cantidad_actual_lts, observaciones) VALUES (75, 'c2c76c11', '2025-05-29 23:08:27', 0, 7000, NULL);</t>
  </si>
  <si>
    <t>INSERT INTO Pileta_contenido (id_pileta, id_lote, fecha_inicio, cantidad_inicial_lts, cantidad_actual_lts, observaciones) VALUES (2, '2fa9b98c', '2025-05-31 11:31:57', 0, 2000, NULL);</t>
  </si>
  <si>
    <t>INSERT INTO Pileta_contenido (id_pileta, id_lote, fecha_inicio, cantidad_inicial_lts, cantidad_actual_lts, observaciones) VALUES (500, '443026c5', '2025-05-31 11:33:23', 0, 1, NULL);</t>
  </si>
  <si>
    <t>INSERT INTO Pileta_contenido (id_pileta, id_lote, fecha_inicio, cantidad_inicial_lts, cantidad_actual_lts, observaciones) VALUES (500, 'b0fab2d5', '2025-05-31 11:36:12', 1, 1001, NULL);</t>
  </si>
  <si>
    <t>INSERT INTO Pileta_contenido (id_pileta, id_lote, fecha_inicio, cantidad_inicial_lts, cantidad_actual_lts, observaciones) VALUES (500, '0b40d5e5', '2025-05-31 11:37:37', 1001, 2001, NULL);</t>
  </si>
  <si>
    <t>INSERT INTO Pileta_contenido (id_pileta, id_lote, fecha_inicio, cantidad_inicial_lts, cantidad_actual_lts, observaciones) VALUES (66, 'c67f70aa', '2025-05-31 11:38:48', 21000, 23000, NULL);</t>
  </si>
  <si>
    <t>INSERT INTO Pileta_contenido (id_pileta, id_lote, fecha_inicio, cantidad_inicial_lts, cantidad_actual_lts, observaciones) VALUES (53, 'a5c09bfd', '2025-05-31 11:39:49', 20000, 22000, NULL);</t>
  </si>
  <si>
    <t>INSERT INTO Pileta_contenido (id_pileta, id_lote, fecha_inicio, cantidad_inicial_lts, cantidad_actual_lts, observaciones) VALUES (6, '309f9738', '2025-05-31 11:45:22', 0, 2400, NULL);</t>
  </si>
  <si>
    <t>INSERT INTO Pileta_contenido (id_pileta, id_lote, fecha_inicio, cantidad_inicial_lts, cantidad_actual_lts, observaciones) VALUES (500, '5bcfde25', '2025-06-03 09:22:42', 2001, 601, NULL);</t>
  </si>
  <si>
    <t>INSERT INTO Pileta_contenido (id_pileta, id_lote, fecha_inicio, cantidad_inicial_lts, cantidad_actual_lts, observaciones) VALUES (500, '282f2489', '2025-06-03 09:23:02', 601, -279, NULL);</t>
  </si>
  <si>
    <t>INSERT INTO Pileta_contenido (id_pileta, id_lote, fecha_inicio, cantidad_inicial_lts, cantidad_actual_lts, observaciones) VALUES (42, 'dccd4f5e', '2025-06-10 08:25:30', 0, 35900, NULL);</t>
  </si>
  <si>
    <t>INSERT INTO Pileta_contenido (id_pileta, id_lote, fecha_inicio, cantidad_inicial_lts, cantidad_actual_lts, observaciones) VALUES (46, 'ebd6326f', '2025-06-10 08:28:18', 0, 15000, NULL);</t>
  </si>
  <si>
    <t>INSERT INTO Pileta_contenido (id_pileta, id_lote, fecha_inicio, cantidad_inicial_lts, cantidad_actual_lts, observaciones) VALUES (46, 'bcb7028c', '2025-06-10 08:31:49', 15000, 17200, NULL);</t>
  </si>
  <si>
    <t>INSERT INTO Pileta_contenido (id_pileta, id_lote, fecha_inicio, cantidad_inicial_lts, cantidad_actual_lts, observaciones) VALUES (46, '7d603b31', '2025-06-10 08:32:12', 17200, 19400, NULL);</t>
  </si>
  <si>
    <t>INSERT INTO Pileta_contenido (id_pileta, id_lote, fecha_inicio, cantidad_inicial_lts, cantidad_actual_lts, observaciones) VALUES (46, '55f15634', '2025-06-10 08:33:21', 19400, 21400, NULL);</t>
  </si>
  <si>
    <t>INSERT INTO Pileta_contenido (id_pileta, id_lote, fecha_inicio, cantidad_inicial_lts, cantidad_actual_lts, observaciones) VALUES (90, 'e62f11a1', '2025-06-10 08:35:44', 82500, 97500, NULL);</t>
  </si>
  <si>
    <t>INSERT INTO Pileta_contenido (id_pileta, id_lote, fecha_inicio, cantidad_inicial_lts, cantidad_actual_lts, observaciones) VALUES (53, 'da5fcb21', '2025-06-10 08:37:15', 19800, 22000, NULL);</t>
  </si>
  <si>
    <t>INSERT INTO Pileta_contenido (id_pileta, id_lote, fecha_inicio, cantidad_inicial_lts, cantidad_actual_lts, observaciones) VALUES (67, 'eb6cce4f', '2025-06-10 08:37:28', 20800, 23000, NULL);</t>
  </si>
  <si>
    <t>INSERT INTO Pileta_contenido (id_pileta, id_lote, fecha_inicio, cantidad_inicial_lts, cantidad_actual_lts, observaciones) VALUES (75, '7a9e7f06', '2025-06-10 08:37:41', 5000, 7000, NULL);</t>
  </si>
  <si>
    <t>INSERT INTO Pileta_contenido (id_pileta, id_lote, fecha_inicio, cantidad_inicial_lts, cantidad_actual_lts, observaciones) VALUES (46, 'eca5b8cb', '2025-06-10 08:37:58', 21400, 24000, NULL);</t>
  </si>
  <si>
    <t>INSERT INTO Pileta_contenido (id_pileta, id_lote, fecha_inicio, cantidad_inicial_lts, cantidad_actual_lts, observaciones) VALUES (46, '7efc01f3', '2025-06-10 08:41:34', 24000, 24600, NULL);</t>
  </si>
  <si>
    <t>INSERT INTO Pileta_contenido (id_pileta, id_lote, fecha_inicio, cantidad_inicial_lts, cantidad_actual_lts, observaciones) VALUES (500, '45e5cc8e', '2025-06-10 09:15:48', 0, 3000, NULL);</t>
  </si>
  <si>
    <t>INSERT INTO Pileta_contenido (id_pileta, id_lote, fecha_inicio, cantidad_inicial_lts, cantidad_actual_lts, observaciones) VALUES (500, '4da9d1b8', '2025-06-10 09:16:26', 3000, 6000, NULL);</t>
  </si>
  <si>
    <t>INSERT INTO Pileta_contenido (id_pileta, id_lote, fecha_inicio, cantidad_inicial_lts, cantidad_actual_lts, observaciones) VALUES (5, 'ebf08055', '2025-06-10 09:16:52', 27000, 30000, NULL);</t>
  </si>
  <si>
    <t>INSERT INTO Pileta_contenido (id_pileta, id_lote, fecha_inicio, cantidad_inicial_lts, cantidad_actual_lts, observaciones) VALUES (11, '8eb3a624', '2025-06-10 09:17:16', 0, 19700, NULL);</t>
  </si>
  <si>
    <t>INSERT INTO Pileta_contenido (id_pileta, id_lote, fecha_inicio, cantidad_inicial_lts, cantidad_actual_lts, observaciones) VALUES (11, 'dcaf5b39', '2025-06-10 09:17:57', 19700, 36000, NULL);</t>
  </si>
  <si>
    <t>INSERT INTO Pileta_contenido (id_pileta, id_lote, fecha_inicio, cantidad_inicial_lts, cantidad_actual_lts, observaciones) VALUES (55, '2d412906', '2025-06-10 09:27:40', 0, 3000, NULL);</t>
  </si>
  <si>
    <t>INSERT INTO Pileta_contenido (id_pileta, id_lote, fecha_inicio, cantidad_inicial_lts, cantidad_actual_lts, observaciones) VALUES (115, '8ea18b46', '2025-06-10 15:38:26', 0, 15000, NULL);</t>
  </si>
  <si>
    <t>INSERT INTO Pileta_contenido (id_pileta, id_lote, fecha_inicio, cantidad_inicial_lts, cantidad_actual_lts, observaciones) VALUES (115, '909558a7', '2025-06-10 15:40:15', 15000, 46000, NULL);</t>
  </si>
  <si>
    <t>INSERT INTO Pileta_contenido (id_pileta, id_lote, fecha_inicio, cantidad_inicial_lts, cantidad_actual_lts, observaciones) VALUES (115, '39710208', '2025-06-10 15:42:11', 46000, 76000, NULL);</t>
  </si>
  <si>
    <t>INSERT INTO Pileta_contenido (id_pileta, id_lote, fecha_inicio, cantidad_inicial_lts, cantidad_actual_lts, observaciones) VALUES (115, '9788a9f2', '2025-06-10 15:43:06', 76000, 100000, 'Traslado realizado 11/06/25');</t>
  </si>
  <si>
    <t>INSERT INTO Pileta_contenido (id_pileta, id_lote, fecha_inicio, cantidad_inicial_lts, cantidad_actual_lts, observaciones) VALUES (26, 'a985bb2d', '2025-06-11 16:00:25', 0, 28600, NULL);</t>
  </si>
  <si>
    <t>INSERT INTO Pileta_contenido (id_pileta, id_lote, fecha_inicio, cantidad_inicial_lts, cantidad_actual_lts, observaciones) VALUES (26, '1c2d5fc0', '2025-06-11 16:01:37', 28600, 74800, NULL);</t>
  </si>
  <si>
    <t>INSERT INTO Pileta_contenido (id_pileta, id_lote, fecha_inicio, cantidad_inicial_lts, cantidad_actual_lts, observaciones) VALUES (26, '4eb11d7e', '2025-06-11 16:02:27', 74800, 126300, NULL);</t>
  </si>
  <si>
    <t>INSERT INTO Pileta_contenido (id_pileta, id_lote, fecha_inicio, cantidad_inicial_lts, cantidad_actual_lts, observaciones) VALUES (26, '347bb900', '2025-06-11 16:04:17', 126300, 142800, NULL);</t>
  </si>
  <si>
    <t>INSERT INTO Pileta_contenido (id_pileta, id_lote, fecha_inicio, cantidad_inicial_lts, cantidad_actual_lts, observaciones) VALUES (26, '0148e4b4', '2025-06-11 16:04:49', 142800, 149900, NULL);</t>
  </si>
  <si>
    <t>INSERT INTO Pileta_contenido (id_pileta, id_lote, fecha_inicio, cantidad_inicial_lts, cantidad_actual_lts, observaciones) VALUES (26, 'c93a8335', '2025-06-11 16:05:18', 149900, 157000, NULL);</t>
  </si>
  <si>
    <t>INSERT INTO Pileta_contenido (id_pileta, id_lote, fecha_inicio, cantidad_inicial_lts, cantidad_actual_lts, observaciones) VALUES (26, '3f9e249f', '2025-06-11 16:06:00', 157000, 169500, NULL);</t>
  </si>
  <si>
    <t>INSERT INTO Pileta_contenido (id_pileta, id_lote, fecha_inicio, cantidad_inicial_lts, cantidad_actual_lts, observaciones) VALUES (26, '46e42ed3', '2025-06-11 16:12:07', 169500, 203000, NULL);</t>
  </si>
  <si>
    <t>INSERT INTO Pileta_contenido (id_pileta, id_lote, fecha_inicio, cantidad_inicial_lts, cantidad_actual_lts, observaciones) VALUES (2, 'da997936', '2025-06-12 10:58:09', 2000, 2200, NULL);</t>
  </si>
  <si>
    <t>INSERT INTO Pileta_contenido (id_pileta, id_lote, fecha_inicio, cantidad_inicial_lts, cantidad_actual_lts, observaciones) VALUES (89, 'dddbf851', '2025-06-13 17:45:01', 0, 83500, NULL);</t>
  </si>
  <si>
    <t>INSERT INTO Pileta_contenido (id_pileta, id_lote, fecha_inicio, cantidad_inicial_lts, cantidad_actual_lts, observaciones) VALUES (72, 'fe6fc54b', '2025-06-13 17:45:19', 0, 11800, NULL);</t>
  </si>
  <si>
    <t>INSERT INTO Pileta_contenido (id_pileta, id_lote, fecha_inicio, cantidad_inicial_lts, cantidad_actual_lts, observaciones) VALUES (6, '397c9478', '2025-06-13 17:47:51', 2400, 32000, NULL);</t>
  </si>
  <si>
    <t>INSERT INTO Pileta_contenido (id_pileta, id_lote, fecha_inicio, cantidad_inicial_lts, cantidad_actual_lts, observaciones) VALUES (115, '4bb0e577', '2025-06-13 17:52:18', 0, 1200, NULL);</t>
  </si>
  <si>
    <t>INSERT INTO Pileta_contenido (id_pileta, id_lote, fecha_inicio, cantidad_inicial_lts, cantidad_actual_lts, observaciones) VALUES (54, '2cdc824f', '2025-06-13 17:53:13', 10400, 17600, NULL);</t>
  </si>
  <si>
    <t>INSERT INTO Pileta_contenido (id_pileta, id_lote, fecha_inicio, cantidad_inicial_lts, cantidad_actual_lts, observaciones) VALUES (115, '7df69242', '2025-06-13 17:54:38', 1200, 5200, NULL);</t>
  </si>
  <si>
    <t>INSERT INTO Pileta_contenido (id_pileta, id_lote, fecha_inicio, cantidad_inicial_lts, cantidad_actual_lts, observaciones) VALUES (115, '2b0750b6', '2025-06-13 17:55:17', 5200, 9200, NULL);</t>
  </si>
  <si>
    <t>INSERT INTO Pileta_contenido (id_pileta, id_lote, fecha_inicio, cantidad_inicial_lts, cantidad_actual_lts, observaciones) VALUES (115, '2b981b3e', '2025-06-13 17:57:31', 9200, 25200, NULL);</t>
  </si>
  <si>
    <t>INSERT INTO Pileta_contenido (id_pileta, id_lote, fecha_inicio, cantidad_inicial_lts, cantidad_actual_lts, observaciones) VALUES (115, '97133f07', '2025-06-13 17:58:04', 25200, 51600, NULL);</t>
  </si>
  <si>
    <t>INSERT INTO Pileta_contenido (id_pileta, id_lote, fecha_inicio, cantidad_inicial_lts, cantidad_actual_lts, observaciones) VALUES (115, '28e0faf1', '2025-06-13 17:58:46', 51600, 81000, NULL);</t>
  </si>
  <si>
    <t>INSERT INTO Pileta_contenido (id_pileta, id_lote, fecha_inicio, cantidad_inicial_lts, cantidad_actual_lts, observaciones) VALUES (115, '07d0b231', '2025-06-13 18:00:17', 81000, 90000, NULL);</t>
  </si>
  <si>
    <t>INSERT INTO Pileta_contenido (id_pileta, id_lote, fecha_inicio, cantidad_inicial_lts, cantidad_actual_lts, observaciones) VALUES (115, '72a3240d', '2025-06-13 18:01:01', 90000, 109200, NULL);</t>
  </si>
  <si>
    <t>INSERT INTO Pileta_contenido (id_pileta, id_lote, fecha_inicio, cantidad_inicial_lts, cantidad_actual_lts, observaciones) VALUES (115, '5b15cadb', '2025-06-13 18:07:25', 109200, 120200, NULL);</t>
  </si>
  <si>
    <t>INSERT INTO Pileta_contenido (id_pileta, id_lote, fecha_inicio, cantidad_inicial_lts, cantidad_actual_lts, observaciones) VALUES (82, 'c18d0513', '2025-06-13 18:08:22', 0, 2700, NULL);</t>
  </si>
  <si>
    <t>INSERT INTO Pileta_contenido (id_pileta, id_lote, fecha_inicio, cantidad_inicial_lts, cantidad_actual_lts, observaciones) VALUES (82, '6ea6229d', '2025-06-13 18:08:40', 2700, 9300, NULL);</t>
  </si>
  <si>
    <t>INSERT INTO Pileta_contenido (id_pileta, id_lote, fecha_inicio, cantidad_inicial_lts, cantidad_actual_lts, observaciones) VALUES (82, '9aa777e2', '2025-06-13 18:09:04', 9300, 11200, NULL);</t>
  </si>
  <si>
    <t>INSERT INTO Pileta_contenido (id_pileta, id_lote, fecha_inicio, cantidad_inicial_lts, cantidad_actual_lts, observaciones) VALUES (82, 'fd98c394', '2025-06-13 18:09:24', 11200, 13100, NULL);</t>
  </si>
  <si>
    <t>INSERT INTO Pileta_contenido (id_pileta, id_lote, fecha_inicio, cantidad_inicial_lts, cantidad_actual_lts, observaciones) VALUES (82, 'ec34455c', '2025-06-13 18:09:45', 13100, 20500, NULL);</t>
  </si>
  <si>
    <t>INSERT INTO Pileta_contenido (id_pileta, id_lote, fecha_inicio, cantidad_inicial_lts, cantidad_actual_lts, observaciones) VALUES (82, '10a0557e', '2025-06-13 18:10:19', 20500, 31900, NULL);</t>
  </si>
  <si>
    <t>INSERT INTO Pileta_contenido (id_pileta, id_lote, fecha_inicio, cantidad_inicial_lts, cantidad_actual_lts, observaciones) VALUES (82, '159aadce', '2025-06-13 18:10:42', 31900, 42600, NULL);</t>
  </si>
  <si>
    <t>INSERT INTO Pileta_contenido (id_pileta, id_lote, fecha_inicio, cantidad_inicial_lts, cantidad_actual_lts, observaciones) VALUES (46, '9b47717c', '2025-06-13 18:14:14', 24600, 29000, NULL);</t>
  </si>
  <si>
    <t>INSERT INTO Pileta_contenido (id_pileta, id_lote, fecha_inicio, cantidad_inicial_lts, cantidad_actual_lts, observaciones) VALUES (72, '5f7e8218', '2025-06-13 18:14:28', 11800, 13000, NULL);</t>
  </si>
  <si>
    <t>INSERT INTO Pileta_contenido (id_pileta, id_lote, fecha_inicio, cantidad_inicial_lts, cantidad_actual_lts, observaciones) VALUES (26, '65584c29', '2025-06-13 18:17:58', 203000, 204400, NULL);</t>
  </si>
  <si>
    <t>INSERT INTO Pileta_contenido (id_pileta, id_lote, fecha_inicio, cantidad_inicial_lts, cantidad_actual_lts, observaciones) VALUES (26, '3b8e29c8', '2025-06-13 18:18:24', 204400, 206500, NULL);</t>
  </si>
  <si>
    <t>INSERT INTO Pileta_contenido (id_pileta, id_lote, fecha_inicio, cantidad_inicial_lts, cantidad_actual_lts, observaciones) VALUES (26, 'a37dae6b', '2025-06-13 18:18:46', 206500, 207600, NULL);</t>
  </si>
  <si>
    <t>INSERT INTO Pileta_contenido (id_pileta, id_lote, fecha_inicio, cantidad_inicial_lts, cantidad_actual_lts, observaciones) VALUES (500, '1b1e47bd', '2025-06-17 12:55:49', 0, 1, NULL);</t>
  </si>
  <si>
    <t>INSERT INTO Pileta_contenido (id_pileta, id_lote, fecha_inicio, cantidad_inicial_lts, cantidad_actual_lts, observaciones) VALUES (500, '6998d133', '2025-06-17 12:57:36', 1, 2701, NULL);</t>
  </si>
  <si>
    <t>INSERT INTO Pileta_contenido (id_pileta, id_lote, fecha_inicio, cantidad_inicial_lts, cantidad_actual_lts, observaciones) VALUES (500, '1a738e1d', '2025-06-17 12:58:00', 2701, 9901, 'Diferencia Arqueo 17/6/25 faltaron 9900 lts, no esta claro porque?');</t>
  </si>
  <si>
    <t>INSERT INTO Pileta_contenido (id_pileta, id_lote, fecha_inicio, cantidad_inicial_lts, cantidad_actual_lts, observaciones) VALUES (82, '539224d6', '2025-06-19 18:20:12', 39900, 42600, NULL);</t>
  </si>
  <si>
    <t>INSERT INTO Pileta_contenido (id_pileta, id_lote, fecha_inicio, cantidad_inicial_lts, cantidad_actual_lts, observaciones) VALUES (500, 'd93b980f', '2025-06-19 18:22:03', 0, 300, 'Malbec Montecepas 24 - fraccionamiento bolsas 3 lts x 100');</t>
  </si>
  <si>
    <t>INSERT INTO Pileta_contenido (id_pileta, id_lote, fecha_inicio, cantidad_inicial_lts, cantidad_actual_lts, observaciones) VALUES (6, 'f5100dbb', '2025-06-19 18:23:14', 29300, 29000, NULL);</t>
  </si>
  <si>
    <t>INSERT INTO Pileta_contenido (id_pileta, id_lote, fecha_inicio, cantidad_inicial_lts, cantidad_actual_lts, observaciones) VALUES (6, '0749b537', '2025-06-19 18:24:10', 29000, 32000, NULL);</t>
  </si>
  <si>
    <t>INSERT INTO Pileta_contenido (id_pileta, id_lote, fecha_inicio, cantidad_inicial_lts, cantidad_actual_lts, observaciones) VALUES (87, 'b05164fd', '2025-06-26 08:35:20', 0, 46600, NULL);</t>
  </si>
  <si>
    <t>INSERT INTO Pileta_contenido (id_pileta, id_lote, fecha_inicio, cantidad_inicial_lts, cantidad_actual_lts, observaciones) VALUES (86, '3caa5d42', '2025-06-26 08:36:30', 0, 44600, NULL);</t>
  </si>
  <si>
    <t>INSERT INTO Pileta_contenido (id_pileta, id_lote, fecha_inicio, cantidad_inicial_lts, cantidad_actual_lts, observaciones) VALUES (87, '9bf6cbc3', '2025-06-26 08:37:29', 46600, 67100, NULL);</t>
  </si>
  <si>
    <t>INSERT INTO Pileta_contenido (id_pileta, id_lote, fecha_inicio, cantidad_inicial_lts, cantidad_actual_lts, observaciones) VALUES (86, 'dc00855e', '2025-06-26 08:39:01', 44600, 64200, NULL);</t>
  </si>
  <si>
    <t>INSERT INTO Pileta_contenido (id_pileta, id_lote, fecha_inicio, cantidad_inicial_lts, cantidad_actual_lts, observaciones) VALUES (87, '0eb090f9', '2025-06-26 08:39:42', 67100, 72600, NULL);</t>
  </si>
  <si>
    <t>INSERT INTO Pileta_contenido (id_pileta, id_lote, fecha_inicio, cantidad_inicial_lts, cantidad_actual_lts, observaciones) VALUES (86, 'd6036b7a', '2025-06-26 08:40:51', 64200, 69400, NULL);</t>
  </si>
  <si>
    <t>INSERT INTO Pileta_contenido (id_pileta, id_lote, fecha_inicio, cantidad_inicial_lts, cantidad_actual_lts, observaciones) VALUES (25, '5e53321b', '2025-06-26 08:41:58', 103100, 148600, NULL);</t>
  </si>
  <si>
    <t>INSERT INTO Pileta_contenido (id_pileta, id_lote, fecha_inicio, cantidad_inicial_lts, cantidad_actual_lts, observaciones) VALUES (25, '744b9f5f', '2025-06-26 08:42:27', 148600, 160900, NULL);</t>
  </si>
  <si>
    <t>INSERT INTO Pileta_contenido (id_pileta, id_lote, fecha_inicio, cantidad_inicial_lts, cantidad_actual_lts, observaciones) VALUES (25, '4466c2c4', '2025-06-26 08:43:25', 160900, 180900, NULL);</t>
  </si>
  <si>
    <t>INSERT INTO Pileta_contenido (id_pileta, id_lote, fecha_inicio, cantidad_inicial_lts, cantidad_actual_lts, observaciones) VALUES (87, '20f6d1c5', '2025-06-26 08:44:14', 72600, 82000, NULL);</t>
  </si>
  <si>
    <t>INSERT INTO Pileta_contenido (id_pileta, id_lote, fecha_inicio, cantidad_inicial_lts, cantidad_actual_lts, observaciones) VALUES (86, 'e298408d', '2025-06-26 08:44:57', 69400, 72000, NULL);</t>
  </si>
  <si>
    <t>INSERT INTO Pileta_contenido (id_pileta, id_lote, fecha_inicio, cantidad_inicial_lts, cantidad_actual_lts, observaciones) VALUES (7, '710b5805', '2025-06-26 09:12:26', 0, 12000, NULL);</t>
  </si>
  <si>
    <t>INSERT INTO Pileta_contenido (id_pileta, id_lote, fecha_inicio, cantidad_inicial_lts, cantidad_actual_lts, observaciones) VALUES (86, 'bb5f3ffb', '2025-06-26 09:16:39', 72000, 77000, NULL);</t>
  </si>
  <si>
    <t>INSERT INTO Pileta_contenido (id_pileta, id_lote, fecha_inicio, cantidad_inicial_lts, cantidad_actual_lts, observaciones) VALUES (25, 'd8fb0b2f', '2025-06-26 09:18:27', 180900, 194300, NULL);</t>
  </si>
  <si>
    <t>INSERT INTO Pileta_contenido (id_pileta, id_lote, fecha_inicio, cantidad_inicial_lts, cantidad_actual_lts, observaciones) VALUES (86, 'aa02cc0a', '2025-06-26 09:19:56', 77000, 88000, NULL);</t>
  </si>
  <si>
    <t>INSERT INTO Pileta_contenido (id_pileta, id_lote, fecha_inicio, cantidad_inicial_lts, cantidad_actual_lts, observaciones) VALUES (87, 'a8a4b52d', '2025-06-26 09:20:23', 82000, 90100, NULL);</t>
  </si>
  <si>
    <t>INSERT INTO Pileta_contenido (id_pileta, id_lote, fecha_inicio, cantidad_inicial_lts, cantidad_actual_lts, observaciones) VALUES (87, '502df566', '2025-06-27 09:30:44', 90100, 93700, NULL);</t>
  </si>
  <si>
    <t>INSERT INTO Pileta_contenido (id_pileta, id_lote, fecha_inicio, cantidad_inicial_lts, cantidad_actual_lts, observaciones) VALUES (89, 'eed09ba0', '2025-06-27 09:31:27', 79900, 83500, NULL);</t>
  </si>
  <si>
    <t>INSERT INTO Pileta_contenido (id_pileta, id_lote, fecha_inicio, cantidad_inicial_lts, cantidad_actual_lts, observaciones) VALUES (500, 'aa0c81d4', '2025-06-27 09:32:37', 0, 1, 'Sobró vino rectificado');</t>
  </si>
  <si>
    <t>INSERT INTO Pileta_contenido (id_pileta, id_lote, fecha_inicio, cantidad_inicial_lts, cantidad_actual_lts, observaciones) VALUES (500, '7794d5a9', '2025-06-27 09:33:53', 1, 3401, NULL);</t>
  </si>
  <si>
    <t>INSERT INTO Pileta_contenido (id_pileta, id_lote, fecha_inicio, cantidad_inicial_lts, cantidad_actual_lts, observaciones) VALUES (12, 'c441bbfa', '2025-07-03 08:38:42', 0, 20000, NULL);</t>
  </si>
  <si>
    <t>INSERT INTO Pileta_contenido (id_pileta, id_lote, fecha_inicio, cantidad_inicial_lts, cantidad_actual_lts, observaciones) VALUES (500, '15c039be', '2025-07-11 16:57:44', 0, 200000, NULL);</t>
  </si>
  <si>
    <t>INSERT INTO Pileta_contenido (id_pileta, id_lote, fecha_inicio, cantidad_inicial_lts, cantidad_actual_lts, observaciones) VALUES (12, 'ae993fbd', '2025-07-11 16:58:44', 20000, 23000, NULL);</t>
  </si>
  <si>
    <t>INSERT INTO Pileta_contenido (id_pileta, id_lote, fecha_inicio, cantidad_inicial_lts, cantidad_actual_lts, observaciones) VALUES (500, '0ff5560e', '2025-07-11 16:59:02', 0, 1, NULL);</t>
  </si>
  <si>
    <t>INSERT INTO Pileta_contenido (id_pileta, id_lote, fecha_inicio, cantidad_inicial_lts, cantidad_actual_lts, observaciones) VALUES (500, 'ece3c136', '2025-07-11 17:05:11', 1, 10001, NULL);</t>
  </si>
  <si>
    <t>INSERT INTO Pileta_contenido (id_pileta, id_lote, fecha_inicio, cantidad_inicial_lts, cantidad_actual_lts, observaciones) VALUES (500, 'af74f307', '2025-07-11 17:05:50', 10001, 16101, NULL);</t>
  </si>
  <si>
    <t>INSERT INTO Pileta_contenido (id_pileta, id_lote, fecha_inicio, cantidad_inicial_lts, cantidad_actual_lts, observaciones) VALUES (931, '90fc33de', '2025-07-11 17:06:52', 0, 11200, NULL);</t>
  </si>
  <si>
    <t>INSERT INTO Pileta_contenido (id_pileta, id_lote, fecha_inicio, cantidad_inicial_lts, cantidad_actual_lts, observaciones) VALUES (935, 'a774778b', '2025-07-11 17:07:02', 0, 11200, NULL);</t>
  </si>
  <si>
    <t>INSERT INTO Pileta_contenido (id_pileta, id_lote, fecha_inicio, cantidad_inicial_lts, cantidad_actual_lts, observaciones) VALUES (51, 'c0887c05', '2025-07-11 17:07:33', 0, 600, NULL);</t>
  </si>
  <si>
    <t>INSERT INTO Pileta_contenido (id_pileta, id_lote, fecha_inicio, cantidad_inicial_lts, cantidad_actual_lts, observaciones) VALUES (68, '22a75cd4', '2025-07-21 15:47:42', 0, 13000, NULL);</t>
  </si>
  <si>
    <t>INSERT INTO Pileta_contenido (id_pileta, id_lote, fecha_inicio, cantidad_inicial_lts, cantidad_actual_lts, observaciones) VALUES (69, '2ab540d2', '2025-07-21 15:49:09', 0, 4000, NULL);</t>
  </si>
  <si>
    <t>INSERT INTO Pileta_contenido (id_pileta, id_lote, fecha_inicio, cantidad_inicial_lts, cantidad_actual_lts, observaciones) VALUES (111, 'f8287724', '2025-07-21 15:50:05', 0, 4000, NULL);</t>
  </si>
  <si>
    <t>INSERT INTO Pileta_contenido (id_pileta, id_lote, fecha_inicio, cantidad_inicial_lts, cantidad_actual_lts, observaciones) VALUES (114, '32a3c024', '2025-07-22 17:44:34', 0, 22000, NULL);</t>
  </si>
  <si>
    <t>INSERT INTO Pileta_contenido (id_pileta, id_lote, fecha_inicio, cantidad_inicial_lts, cantidad_actual_lts, observaciones) VALUES (114, '7906df75', '2025-07-23 17:10:15', 22000, 59000, NULL);</t>
  </si>
  <si>
    <t>INSERT INTO Pileta_contenido (id_pileta, id_lote, fecha_inicio, cantidad_inicial_lts, cantidad_actual_lts, observaciones) VALUES (114, 'dd40b3a0', '2025-07-24 17:10:32', 59000, 81000, NULL);</t>
  </si>
  <si>
    <t>INSERT INTO Pileta_contenido (id_pileta, id_lote, fecha_inicio, cantidad_inicial_lts, cantidad_actual_lts, observaciones) VALUES (114, '0e2a111b', '2025-07-24 17:11:43', 81000, 100000, NULL);</t>
  </si>
  <si>
    <t>INSERT INTO Pileta_contenido (id_pileta, id_lote, fecha_inicio, cantidad_inicial_lts, cantidad_actual_lts, observaciones) VALUES (114, '2f7b2de3', '2025-07-28 15:55:43', 100000, 125300, NULL);</t>
  </si>
  <si>
    <t>INSERT INTO Pileta_contenido (id_pileta, id_lote, fecha_inicio, cantidad_inicial_lts, cantidad_actual_lts, observaciones) VALUES (65, 'c25a65f8', '2025-07-29 12:49:00', 0, 30000, NULL);</t>
  </si>
  <si>
    <t>INSERT INTO Pileta_contenido (id_pileta, id_lote, fecha_inicio, cantidad_inicial_lts, cantidad_actual_lts, observaciones) VALUES (66, '78e4849f', '2025-07-29 12:49:48', 0, 13500, NULL);</t>
  </si>
  <si>
    <t>INSERT INTO Pileta_contenido (id_pileta, id_lote, fecha_inicio, cantidad_inicial_lts, cantidad_actual_lts, observaciones) VALUES (51, '7b50f0b5', '2025-07-29 12:50:58', 600, 2300, NULL);</t>
  </si>
  <si>
    <t>INSERT INTO Pileta_contenido (id_pileta, id_lote, fecha_inicio, cantidad_inicial_lts, cantidad_actual_lts, observaciones) VALUES (51, '8bd3684f', '2025-07-29 12:52:35', 2300, 3900, NULL);</t>
  </si>
  <si>
    <t>INSERT INTO Pileta_contenido (id_pileta, id_lote, fecha_inicio, cantidad_inicial_lts, cantidad_actual_lts, observaciones) VALUES (500, 'f952d789', '2025-07-29 12:52:51', 0, 1, NULL);</t>
  </si>
  <si>
    <t>INSERT INTO Pileta_contenido (id_pileta, id_lote, fecha_inicio, cantidad_inicial_lts, cantidad_actual_lts, observaciones) VALUES (500, 'e4144c4c', '2025-07-29 12:53:42', 1, 2501, NULL);</t>
  </si>
  <si>
    <t>INSERT INTO Pileta_contenido (id_pileta, id_lote, fecha_inicio, cantidad_inicial_lts, cantidad_actual_lts, observaciones) VALUES (65, '4d3f24b6', '2025-07-30 16:14:54', 30000, 35500, NULL);</t>
  </si>
  <si>
    <t>INSERT INTO Pileta_contenido (id_pileta, id_lote, fecha_inicio, cantidad_inicial_lts, cantidad_actual_lts, observaciones) VALUES (66, '32d80802', '2025-07-30 16:16:10', 13500, 16900, NULL);</t>
  </si>
  <si>
    <t>INSERT INTO Pileta_contenido (id_pileta, id_lote, fecha_inicio, cantidad_inicial_lts, cantidad_actual_lts, observaciones) VALUES (69, 'ffb1e0f0', '2025-07-30 16:17:08', 0, 10900, NULL);</t>
  </si>
  <si>
    <t>INSERT INTO Pileta_contenido (id_pileta, id_lote, fecha_inicio, cantidad_inicial_lts, cantidad_actual_lts, observaciones) VALUES (85, '9b0ba02e', '2025-07-31 17:55:53', 0, 50000, NULL);</t>
  </si>
  <si>
    <t>INSERT INTO Pileta_contenido (id_pileta, id_lote, fecha_inicio, cantidad_inicial_lts, cantidad_actual_lts, observaciones) VALUES (106, '1443e2f4', '2025-07-31 17:57:15', 0, 10900, NULL);</t>
  </si>
  <si>
    <t>INSERT INTO Pileta_contenido (id_pileta, id_lote, fecha_inicio, cantidad_inicial_lts, cantidad_actual_lts, observaciones) VALUES (106, '32fe7ee0', '2025-07-31 17:57:58', 10900, 11000, NULL);</t>
  </si>
  <si>
    <t>INSERT INTO Pileta_contenido (id_pileta, id_lote, fecha_inicio, cantidad_inicial_lts, cantidad_actual_lts, observaciones) VALUES (85, '68dcdcc2', '2025-08-05 11:10:25', 50000, 78700, NULL);</t>
  </si>
  <si>
    <t>INSERT INTO Pileta_contenido (id_pileta, id_lote, fecha_inicio, cantidad_inicial_lts, cantidad_actual_lts, observaciones) VALUES (85, '99b9424e', '2025-08-05 11:14:42', 78700, 80700, NULL);</t>
  </si>
  <si>
    <t>INSERT INTO Pileta_contenido (id_pileta, id_lote, fecha_inicio, cantidad_inicial_lts, cantidad_actual_lts, observaciones) VALUES (85, 'dc08aecd', '2025-08-05 11:15:29', 80700, 84000, NULL);</t>
  </si>
  <si>
    <t>INSERT INTO Pileta_contenido (id_pileta, id_lote, fecha_inicio, cantidad_inicial_lts, cantidad_actual_lts, observaciones) VALUES (84, '8a500155', '2025-08-05 11:16:13', 0, 34700, NULL);</t>
  </si>
  <si>
    <t>INSERT INTO Pileta_contenido (id_pileta, id_lote, fecha_inicio, cantidad_inicial_lts, cantidad_actual_lts, observaciones) VALUES (84, '64504a57', '2025-08-05 11:19:50', 34700, 69700, NULL);</t>
  </si>
  <si>
    <t>INSERT INTO Pileta_contenido (id_pileta, id_lote, fecha_inicio, cantidad_inicial_lts, cantidad_actual_lts, observaciones) VALUES (500, 'd56d1e16', '2025-08-05 11:20:38', 2501, 3201, NULL);</t>
  </si>
  <si>
    <t>INSERT INTO Pileta_contenido (id_pileta, id_lote, fecha_inicio, cantidad_inicial_lts, cantidad_actual_lts, observaciones) VALUES (118, 'a2e5798e', '2025-08-05 11:26:17', 0, 27000, NULL);</t>
  </si>
  <si>
    <t>INSERT INTO Pileta_contenido (id_pileta, id_lote, fecha_inicio, cantidad_inicial_lts, cantidad_actual_lts, observaciones) VALUES (118, '83d74d31', '2025-08-05 11:30:14', 27000, 45000, NULL);</t>
  </si>
  <si>
    <t>INSERT INTO Pileta_contenido (id_pileta, id_lote, fecha_inicio, cantidad_inicial_lts, cantidad_actual_lts, observaciones) VALUES (118, '93609069', '2025-08-05 11:30:56', 45000, 52000, NULL);</t>
  </si>
  <si>
    <t>INSERT INTO Pileta_contenido (id_pileta, id_lote, fecha_inicio, cantidad_inicial_lts, cantidad_actual_lts, observaciones) VALUES (118, 'db0fbb38', '2025-08-05 11:31:42', 52000, 87000, NULL);</t>
  </si>
  <si>
    <t>INSERT INTO Pileta_contenido (id_pileta, id_lote, fecha_inicio, cantidad_inicial_lts, cantidad_actual_lts, observaciones) VALUES (118, 'cc6978c9', '2025-08-05 11:32:31', 87000, 100000, NULL);</t>
  </si>
  <si>
    <t>INSERT INTO Pileta_contenido (id_pileta, id_lote, fecha_inicio, cantidad_inicial_lts, cantidad_actual_lts, observaciones) VALUES (25, 'a2728d01', '2025-08-05 11:36:23', 167300, 194300, NULL);</t>
  </si>
  <si>
    <t>INSERT INTO Pileta_contenido (id_pileta, id_lote, fecha_inicio, cantidad_inicial_lts, cantidad_actual_lts, observaciones) VALUES (90, '686fc77a', '2025-08-05 11:36:59', 79500, 97500, NULL);</t>
  </si>
  <si>
    <t>INSERT INTO Pileta_contenido (id_pileta, id_lote, fecha_inicio, cantidad_inicial_lts, cantidad_actual_lts, observaciones) VALUES (54, '5c87f162', '2025-08-05 11:37:20', 0, 22900, NULL);</t>
  </si>
  <si>
    <t>INSERT INTO Pileta_contenido (id_pileta, id_lote, fecha_inicio, cantidad_inicial_lts, cantidad_actual_lts, observaciones) VALUES (16, '869e8a1b', '2025-08-05 11:38:18', 0, 19500, NULL);</t>
  </si>
  <si>
    <t>INSERT INTO Pileta_contenido (id_pileta, id_lote, fecha_inicio, cantidad_inicial_lts, cantidad_actual_lts, observaciones) VALUES (6, '4136ccb7', '2025-08-05 11:40:24', 0, 28100, NULL);</t>
  </si>
  <si>
    <t>INSERT INTO Pileta_contenido (id_pileta, id_lote, fecha_inicio, cantidad_inicial_lts, cantidad_actual_lts, observaciones) VALUES (6, '63b0e73c', '2025-08-05 11:45:32', 28100, 32000, NULL);</t>
  </si>
  <si>
    <t>INSERT INTO Pileta_contenido (id_pileta, id_lote, fecha_inicio, cantidad_inicial_lts, cantidad_actual_lts, observaciones) VALUES (84, '52e2d0ea', '2025-08-06 11:12:36', 69700, 83000, NULL);</t>
  </si>
  <si>
    <t>INSERT INTO Pileta_contenido (id_pileta, id_lote, fecha_inicio, cantidad_inicial_lts, cantidad_actual_lts, observaciones) VALUES (83, 'd8db7956', '2025-08-06 11:12:59', 0, 13300, NULL);</t>
  </si>
  <si>
    <t>INSERT INTO Pileta_contenido (id_pileta, id_lote, fecha_inicio, cantidad_inicial_lts, cantidad_actual_lts, observaciones) VALUES (83, '8e0dc7e2', '2025-08-06 11:13:32', 13300, 28300, NULL);</t>
  </si>
  <si>
    <t>INSERT INTO Pileta_contenido (id_pileta, id_lote, fecha_inicio, cantidad_inicial_lts, cantidad_actual_lts, observaciones) VALUES (115, '19567056', '2025-08-06 16:02:23', 85200, 120200, NULL);</t>
  </si>
  <si>
    <t>INSERT INTO Pileta_contenido (id_pileta, id_lote, fecha_inicio, cantidad_inicial_lts, cantidad_actual_lts, observaciones) VALUES (71, 'dd0a11e8', '2025-08-06 16:03:25', 0, 7600, NULL);</t>
  </si>
  <si>
    <t>INSERT INTO Pileta_contenido (id_pileta, id_lote, fecha_inicio, cantidad_inicial_lts, cantidad_actual_lts, observaciones) VALUES (71, '7a61df09', '2025-08-06 16:04:08', 7600, 11500, NULL);</t>
  </si>
  <si>
    <t>INSERT INTO Pileta_contenido (id_pileta, id_lote, fecha_inicio, cantidad_inicial_lts, cantidad_actual_lts, observaciones) VALUES (500, '5c2023e8', '2025-08-11 16:55:01', 0, 100000, NULL);</t>
  </si>
  <si>
    <t>INSERT INTO Pileta_contenido (id_pileta, id_lote, fecha_inicio, cantidad_inicial_lts, cantidad_actual_lts, observaciones) VALUES (500, '5da633b1', '2025-08-11 16:57:57', 0, 30000, NULL);</t>
  </si>
  <si>
    <t>INSERT INTO Pileta_contenido (id_pileta, id_lote, fecha_inicio, cantidad_inicial_lts, cantidad_actual_lts, observaciones) VALUES (500, '65fa0dbb', '2025-08-11 16:58:21', 30000, 54000, NULL);</t>
  </si>
  <si>
    <t>INSERT INTO Pileta_contenido (id_pileta, id_lote, fecha_inicio, cantidad_inicial_lts, cantidad_actual_lts, observaciones) VALUES (500, '2a8efe4b', '2025-08-11 16:58:55', 54000, 90300, NULL);</t>
  </si>
  <si>
    <t>INSERT INTO Pileta_contenido (id_pileta, id_lote, fecha_inicio, cantidad_inicial_lts, cantidad_actual_lts, observaciones) VALUES (500, 'e8a80129', '2025-08-11 16:59:44', 90300, 110300, NULL);</t>
  </si>
  <si>
    <t>INSERT INTO Pileta_contenido (id_pileta, id_lote, fecha_inicio, cantidad_inicial_lts, cantidad_actual_lts, observaciones) VALUES (500, '86648be2', '2025-08-11 17:00:08', 110300, 135300, NULL);</t>
  </si>
  <si>
    <t>INSERT INTO Pileta_contenido (id_pileta, id_lote, fecha_inicio, cantidad_inicial_lts, cantidad_actual_lts, observaciones) VALUES (83, '2ec84947', '2025-08-11 17:07:18', 28300, 50300, NULL);</t>
  </si>
  <si>
    <t>INSERT INTO Pileta_contenido (id_pileta, id_lote, fecha_inicio, cantidad_inicial_lts, cantidad_actual_lts, observaciones) VALUES (83, 'c9bdb7c9', '2025-08-11 17:07:46', 50300, 81300, NULL);</t>
  </si>
  <si>
    <t>INSERT INTO Pileta_contenido (id_pileta, id_lote, fecha_inicio, cantidad_inicial_lts, cantidad_actual_lts, observaciones) VALUES (83, '32396d27', '2025-08-11 17:09:05', 81300, 81500, NULL);</t>
  </si>
  <si>
    <t>INSERT INTO Pileta_contenido (id_pileta, id_lote, fecha_inicio, cantidad_inicial_lts, cantidad_actual_lts, observaciones) VALUES (500, '30c122f9', '2025-08-11 17:16:21', 0, 200000, NULL);</t>
  </si>
  <si>
    <t>INSERT INTO Pileta_contenido (id_pileta, id_lote, fecha_inicio, cantidad_inicial_lts, cantidad_actual_lts, observaciones) VALUES (500, '21674f90', '2025-08-11 17:17:23', 1, 201000, NULL);</t>
  </si>
  <si>
    <t>INSERT INTO Pileta_contenido (id_pileta, id_lote, fecha_inicio, cantidad_inicial_lts, cantidad_actual_lts, observaciones) VALUES (500, '19243587', '2025-08-11 17:20:16', 1, 600, NULL);</t>
  </si>
  <si>
    <t>INSERT INTO Pileta_contenido (id_pileta, id_lote, fecha_inicio, cantidad_inicial_lts, cantidad_actual_lts, observaciones) VALUES (500, '613e2a90', '2025-08-11 17:23:14', 600, 2200, NULL);</t>
  </si>
  <si>
    <t>INSERT INTO Pileta_contenido (id_pileta, id_lote, fecha_inicio, cantidad_inicial_lts, cantidad_actual_lts, observaciones) VALUES (86, '02df7859', '2025-08-11 17:24:14', 0, 17600, NULL);</t>
  </si>
  <si>
    <t>INSERT INTO Pileta_contenido (id_pileta, id_lote, fecha_inicio, cantidad_inicial_lts, cantidad_actual_lts, observaciones) VALUES (86, 'a520ce5e', '2025-08-13 17:18:09', 17600, 69600, NULL);</t>
  </si>
  <si>
    <t>INSERT INTO Pileta_contenido (id_pileta, id_lote, fecha_inicio, cantidad_inicial_lts, cantidad_actual_lts, observaciones) VALUES (86, '734aedeb', '2025-08-13 17:18:53', 69600, 88000, NULL);</t>
  </si>
  <si>
    <t>INSERT INTO Pileta_contenido (id_pileta, id_lote, fecha_inicio, cantidad_inicial_lts, cantidad_actual_lts, observaciones) VALUES (121, '4567a24d', '2025-08-13 17:19:32', 0, 30000, NULL);</t>
  </si>
  <si>
    <t>INSERT INTO Pileta_contenido (id_pileta, id_lote, fecha_inicio, cantidad_inicial_lts, cantidad_actual_lts, observaciones) VALUES (69, 'fdb74546', '2025-08-13 17:26:34', 0, 13000, NULL);</t>
  </si>
  <si>
    <t>INSERT INTO Pileta_contenido (id_pileta, id_lote, fecha_inicio, cantidad_inicial_lts, cantidad_actual_lts, observaciones) VALUES (66, 'd52c4944', '2025-08-13 17:44:18', 16900, 23000, NULL);</t>
  </si>
  <si>
    <t>INSERT INTO Pileta_contenido (id_pileta, id_lote, fecha_inicio, cantidad_inicial_lts, cantidad_actual_lts, observaciones) VALUES (121, 'ef0406f8', '2025-08-15 17:34:23', 30000, 75000, NULL);</t>
  </si>
  <si>
    <t>INSERT INTO Pileta_contenido (id_pileta, id_lote, fecha_inicio, cantidad_inicial_lts, cantidad_actual_lts, observaciones) VALUES (121, '887268c3', '2025-08-15 17:34:46', 75000, 85800, NULL);</t>
  </si>
  <si>
    <t>INSERT INTO Pileta_contenido (id_pileta, id_lote, fecha_inicio, cantidad_inicial_lts, cantidad_actual_lts, observaciones) VALUES (116, '95271efc', '2025-08-15 17:35:31', 0, 22000, NULL);</t>
  </si>
  <si>
    <t>INSERT INTO Pileta_contenido (id_pileta, id_lote, fecha_inicio, cantidad_inicial_lts, cantidad_actual_lts, observaciones) VALUES (116, '56916efb', '2025-08-15 17:37:26', 22000, 29845, NULL);</t>
  </si>
  <si>
    <t>INSERT INTO Pileta_contenido (id_pileta, id_lote, fecha_inicio, cantidad_inicial_lts, cantidad_actual_lts, observaciones) VALUES (500, 'a9a1224c', '2025-08-15 17:38:35', -3900, -3345, NULL);</t>
  </si>
  <si>
    <t>INSERT INTO Pileta_contenido (id_pileta, id_lote, fecha_inicio, cantidad_inicial_lts, cantidad_actual_lts, observaciones) VALUES (6, 'a324303d', '2025-08-15 18:10:42', 31000, 32000, NULL);</t>
  </si>
  <si>
    <t>INSERT INTO Pileta_contenido (id_pileta, id_lote, fecha_inicio, cantidad_inicial_lts, cantidad_actual_lts, observaciones) VALUES (50, 'ae07f26a', '2025-08-15 18:17:48', 0, 2700, NULL);</t>
  </si>
  <si>
    <t>INSERT INTO Pileta_contenido (id_pileta, id_lote, fecha_inicio, cantidad_inicial_lts, cantidad_actual_lts, observaciones) VALUES (50, '20dba0dd', '2025-08-15 18:18:16', 2700, 5100, NULL);</t>
  </si>
  <si>
    <t>INSERT INTO Pileta_contenido (id_pileta, id_lote, fecha_inicio, cantidad_inicial_lts, cantidad_actual_lts, observaciones) VALUES (103, '4cb5f547', '2025-08-15 18:20:05', 28300, 31000, NULL);</t>
  </si>
  <si>
    <t>INSERT INTO Pileta_contenido (id_pileta, id_lote, fecha_inicio, cantidad_inicial_lts, cantidad_actual_lts, observaciones) VALUES (89, '6d97827a', '2025-08-15 18:20:14', 81100, 83500, NULL);</t>
  </si>
  <si>
    <t>INSERT INTO Pileta_contenido (id_pileta, id_lote, fecha_inicio, cantidad_inicial_lts, cantidad_actual_lts, observaciones) VALUES (500, '99a4f454', '2025-08-15 18:46:33', 0, 2250, NULL);</t>
  </si>
  <si>
    <t>INSERT INTO Pileta_contenido (id_pileta, id_lote, fecha_inicio, cantidad_inicial_lts, cantidad_actual_lts, observaciones) VALUES (51, '26f083cf', '2025-08-15 18:47:29', 0, 600, NULL);</t>
  </si>
  <si>
    <t>INSERT INTO Pileta_contenido (id_pileta, id_lote, fecha_inicio, cantidad_inicial_lts, cantidad_actual_lts, observaciones) VALUES (50, '5db7be38', '2025-08-15 18:48:05', 2250, 5100, NULL);</t>
  </si>
  <si>
    <t>INSERT INTO Pileta_contenido (id_pileta, id_lote, fecha_inicio, cantidad_inicial_lts, cantidad_actual_lts, observaciones) VALUES (51, 'b7784dc8', '2025-08-15 18:48:24', 600, 3900, NULL);</t>
  </si>
  <si>
    <t>INSERT INTO Pileta_contenido (id_pileta, id_lote, fecha_inicio, cantidad_inicial_lts, cantidad_actual_lts, observaciones) VALUES (500, 'df10fd91', '2025-08-15 18:49:57', 0, 4000, NULL);</t>
  </si>
  <si>
    <t>INSERT INTO Pileta_contenido (id_pileta, id_lote, fecha_inicio, cantidad_inicial_lts, cantidad_actual_lts, observaciones) VALUES (500, 'aa688500', '2025-08-19 09:04:50', 0, 5100, NULL);</t>
  </si>
  <si>
    <t>INSERT INTO Pileta_contenido (id_pileta, id_lote, fecha_inicio, cantidad_inicial_lts, cantidad_actual_lts, observaciones) VALUES (500, 'cbc84b48', '2025-08-19 09:05:24', 5100, 6900, NULL);</t>
  </si>
  <si>
    <t>INSERT INTO Pileta_contenido (id_pileta, id_lote, fecha_inicio, cantidad_inicial_lts, cantidad_actual_lts, observaciones) VALUES (116, '8347bdfc', '2025-08-19 09:07:54', 29845, 38845, NULL);</t>
  </si>
  <si>
    <t>-- 7. TABLA: Movimiento</t>
  </si>
  <si>
    <t>INSERT INTO Movimiento (id_movimiento, fecha_hora, id_tipo_movimiento, observaciones) SELECT 'cdf62189', '2025-02-20 17:08:21', id_tipo_movimiento, 'Descube' FROM Tipo_movimiento WHERE nombre = 'Trasiego';</t>
  </si>
  <si>
    <t>INSERT INTO Movimiento (id_movimiento, fecha_hora, id_tipo_movimiento, observaciones) SELECT '14a9777e', '2025-02-20 17:24:13', id_tipo_movimiento, 'Descube Gota' FROM Tipo_movimiento WHERE nombre = 'Trasiego';</t>
  </si>
  <si>
    <t>INSERT INTO Movimiento (id_movimiento, fecha_hora, id_tipo_movimiento, observaciones) SELECT 'ee927519', '2025-02-20 17:47:15', id_tipo_movimiento, 'Descube gota y prensa a Aspirant' FROM Tipo_movimiento WHERE nombre = 'Trasiego';</t>
  </si>
  <si>
    <t>INSERT INTO Movimiento (id_movimiento, fecha_hora, id_tipo_movimiento, observaciones) SELECT '6f1c07ae', '2025-02-20 17:56:07', id_tipo_movimiento, 'Descube gota y prensa' FROM Tipo_movimiento WHERE nombre = 'Trasiego';</t>
  </si>
  <si>
    <t>INSERT INTO Movimiento (id_movimiento, fecha_hora, id_tipo_movimiento, observaciones) SELECT '662b2483', '2025-02-20 18:00:22', id_tipo_movimiento, 'Descube Gota y prensa sobre Aspirant' FROM Tipo_movimiento WHERE nombre = 'Trasiego';</t>
  </si>
  <si>
    <t>INSERT INTO Movimiento (id_movimiento, fecha_hora, id_tipo_movimiento, observaciones) SELECT '9f189d7d', '2025-02-20 18:02:36', id_tipo_movimiento, 'Descube Gota' FROM Tipo_movimiento WHERE nombre = 'Trasiego';</t>
  </si>
  <si>
    <t>INSERT INTO Movimiento (id_movimiento, fecha_hora, id_tipo_movimiento, observaciones) SELECT 'cfa35761', '2025-02-20 18:04:49', id_tipo_movimiento, 'Malbec descubado a prensa' FROM Tipo_movimiento WHERE nombre = 'Trasiego';</t>
  </si>
  <si>
    <t>INSERT INTO Movimiento (id_movimiento, fecha_hora, id_tipo_movimiento, observaciones) SELECT '8dbab148', '2025-02-21 20:04:19', id_tipo_movimiento, 'Sin prensar pileta origen para recargar' FROM Tipo_movimiento WHERE nombre = 'Trasiego';</t>
  </si>
  <si>
    <t>INSERT INTO Movimiento (id_movimiento, fecha_hora, id_tipo_movimiento, observaciones) SELECT '7039bd57', '2025-02-21 20:05:20', id_tipo_movimiento, 'Gota y Prensa sobre Aspirant' FROM Tipo_movimiento WHERE nombre = 'Trasiego';</t>
  </si>
  <si>
    <t>INSERT INTO Movimiento (id_movimiento, fecha_hora, id_tipo_movimiento, observaciones) SELECT '22cfff5c', '2025-02-25 12:32:48', id_tipo_movimiento, 'Descube Gota' FROM Tipo_movimiento WHERE nombre = 'Trasiego';</t>
  </si>
  <si>
    <t>INSERT INTO Movimiento (id_movimiento, fecha_hora, id_tipo_movimiento, observaciones) SELECT '9eab323a', '2025-02-25 12:58:28', id_tipo_movimiento, 'Gota y Prensa sobre orujos Aspiran 2da pasada' FROM Tipo_movimiento WHERE nombre = 'Trasiego';</t>
  </si>
  <si>
    <t>INSERT INTO Movimiento (id_movimiento, fecha_hora, id_tipo_movimiento, observaciones) SELECT '9e8d0f39', '2025-02-25 18:33:33', id_tipo_movimiento, 'Vino rectificado utilizado' FROM Tipo_movimiento WHERE nombre = 'Trasiego';</t>
  </si>
  <si>
    <t>INSERT INTO Movimiento (id_movimiento, fecha_hora, id_tipo_movimiento, observaciones) SELECT '7b4bffff', '2025-02-25 18:41:36', id_tipo_movimiento, 'Rectificado utilizado' FROM Tipo_movimiento WHERE nombre = 'Trasiego';</t>
  </si>
  <si>
    <t>INSERT INTO Movimiento (id_movimiento, fecha_hora, id_tipo_movimiento, observaciones) SELECT 'e1980736', '2025-02-25 19:07:47', id_tipo_movimiento, 'Ajuste Volumen' FROM Tipo_movimiento WHERE nombre = 'Ajuste Volumen';</t>
  </si>
  <si>
    <t>INSERT INTO Movimiento (id_movimiento, fecha_hora, id_tipo_movimiento, observaciones) SELECT 'c98d4615', '2025-02-26 09:51:16', id_tipo_movimiento, 'Gota y Prensa sobre Aspiran 2da pasada' FROM Tipo_movimiento WHERE nombre = 'Trasiego';</t>
  </si>
  <si>
    <t>INSERT INTO Movimiento (id_movimiento, fecha_hora, id_tipo_movimiento, observaciones) SELECT '828ab6d5', '2025-02-27 09:51:29', id_tipo_movimiento, 'Gota' FROM Tipo_movimiento WHERE nombre = 'Trasiego';</t>
  </si>
  <si>
    <t>INSERT INTO Movimiento (id_movimiento, fecha_hora, id_tipo_movimiento, observaciones) SELECT '7463f544', '2025-02-27 09:52:53', id_tipo_movimiento, 'Gota' FROM Tipo_movimiento WHERE nombre = 'Trasiego';</t>
  </si>
  <si>
    <t>INSERT INTO Movimiento (id_movimiento, fecha_hora, id_tipo_movimiento, observaciones) SELECT '01f1dc38', '2025-02-27 09:54:07', id_tipo_movimiento, 'Gota y prensa recarga' FROM Tipo_movimiento WHERE nombre = 'Trasiego';</t>
  </si>
  <si>
    <t>INSERT INTO Movimiento (id_movimiento, fecha_hora, id_tipo_movimiento, observaciones) SELECT '43efe779', '2025-02-27 18:22:12', id_tipo_movimiento, 'Envie volumen de mas a la 109 y lo estoy trasegando a la 110' FROM Tipo_movimiento WHERE nombre = 'Trasiego';</t>
  </si>
  <si>
    <t>INSERT INTO Movimiento (id_movimiento, fecha_hora, id_tipo_movimiento, observaciones) SELECT '41500743', '2025-02-27 19:00:19', id_tipo_movimiento, 'agregado de Rectificado al Syrah' FROM Tipo_movimiento WHERE nombre = 'Trasiego';</t>
  </si>
  <si>
    <t>INSERT INTO Movimiento (id_movimiento, fecha_hora, id_tipo_movimiento, observaciones) SELECT 'd7db7220', '2025-03-01 12:45:07', id_tipo_movimiento, 'Tercer recarga de Syrah sobre Aspirant' FROM Tipo_movimiento WHERE nombre = 'Trasiego';</t>
  </si>
  <si>
    <t>INSERT INTO Movimiento (id_movimiento, fecha_hora, id_tipo_movimiento, observaciones) SELECT '3bd69807', '2025-03-01 12:50:06', id_tipo_movimiento, 'Gota y Prensa sobre 3er de Aspirant' FROM Tipo_movimiento WHERE nombre = 'Trasiego';</t>
  </si>
  <si>
    <t>INSERT INTO Movimiento (id_movimiento, fecha_hora, id_tipo_movimiento, observaciones) SELECT '5c36256b', '2025-03-01 12:52:24', id_tipo_movimiento, 'agregado de rectificado' FROM Tipo_movimiento WHERE nombre = 'Trasiego';</t>
  </si>
  <si>
    <t>INSERT INTO Movimiento (id_movimiento, fecha_hora, id_tipo_movimiento, observaciones) SELECT 'c86ba992', '2025-03-03 16:44:49', id_tipo_movimiento, 'Correccion hecha en la pilta 89 antes de trasegar a la 84 sobre los orujos de Aspirant' FROM Tipo_movimiento WHERE nombre = 'Trasiego';</t>
  </si>
  <si>
    <t>INSERT INTO Movimiento (id_movimiento, fecha_hora, id_tipo_movimiento, observaciones) SELECT 'e0151fea', '2025-03-04 18:48:41', id_tipo_movimiento, 'Se agrega Rectificado 20%' FROM Tipo_movimiento WHERE nombre = 'Trasiego';</t>
  </si>
  <si>
    <t>INSERT INTO Movimiento (id_movimiento, fecha_hora, id_tipo_movimiento, observaciones) SELECT '85bf8a32', '2025-03-05 11:58:06', id_tipo_movimiento, 'Gota y Prensa' FROM Tipo_movimiento WHERE nombre = 'Trasiego';</t>
  </si>
  <si>
    <t>INSERT INTO Movimiento (id_movimiento, fecha_hora, id_tipo_movimiento, observaciones) SELECT 'f06d5126', '2025-03-05 12:13:46', id_tipo_movimiento, 'Descube gota y prensa' FROM Tipo_movimiento WHERE nombre = 'Trasiego';</t>
  </si>
  <si>
    <t>INSERT INTO Movimiento (id_movimiento, fecha_hora, id_tipo_movimiento, observaciones) SELECT '68cd71e8', '2025-03-05 12:17:06', id_tipo_movimiento, 'Correcion 150' FROM Tipo_movimiento WHERE nombre = 'Trasiego';</t>
  </si>
  <si>
    <t>INSERT INTO Movimiento (id_movimiento, fecha_hora, id_tipo_movimiento, observaciones) SELECT 'a9f9a0bf', '2025-03-06 09:35:47', id_tipo_movimiento, 'Sangria porque se lleno de mas la pileta' FROM Tipo_movimiento WHERE nombre = 'Trasiego';</t>
  </si>
  <si>
    <t>INSERT INTO Movimiento (id_movimiento, fecha_hora, id_tipo_movimiento, observaciones) SELECT '856d152a', '2025-03-06 09:43:04', id_tipo_movimiento, 'Desvine relleno' FROM Tipo_movimiento WHERE nombre = 'Trasiego';</t>
  </si>
  <si>
    <t>INSERT INTO Movimiento (id_movimiento, fecha_hora, id_tipo_movimiento, observaciones) SELECT 'ba7c9884', '2025-03-06 09:44:51', id_tipo_movimiento, 'Descube' FROM Tipo_movimiento WHERE nombre = 'Trasiego';</t>
  </si>
  <si>
    <t>INSERT INTO Movimiento (id_movimiento, fecha_hora, id_tipo_movimiento, observaciones) SELECT '0b7480e0', '2025-03-06 09:45:42', id_tipo_movimiento, 'Descube Gota y prensa' FROM Tipo_movimiento WHERE nombre = 'Trasiego';</t>
  </si>
  <si>
    <t>INSERT INTO Movimiento (id_movimiento, fecha_hora, id_tipo_movimiento, observaciones) SELECT 'd699073e', '2025-03-06 09:57:12', id_tipo_movimiento, 'Esto es volumen de mas que falto de la 86' FROM Tipo_movimiento WHERE nombre = 'Trasiego';</t>
  </si>
  <si>
    <t>INSERT INTO Movimiento (id_movimiento, fecha_hora, id_tipo_movimiento, observaciones) SELECT '039b3a15', '2025-03-06 10:03:14', id_tipo_movimiento, 'Rectificado agregado' FROM Tipo_movimiento WHERE nombre = 'Trasiego';</t>
  </si>
  <si>
    <t>INSERT INTO Movimiento (id_movimiento, fecha_hora, id_tipo_movimiento, observaciones) SELECT '268d8d70', '2025-03-06 10:07:03', id_tipo_movimiento, 'Corte La Vendimia' FROM Tipo_movimiento WHERE nombre = 'Trasiego';</t>
  </si>
  <si>
    <t>INSERT INTO Movimiento (id_movimiento, fecha_hora, id_tipo_movimiento, observaciones) SELECT 'b64c6496', '2025-03-06 18:14:40', id_tipo_movimiento, 'Agregado de Rectificado' FROM Tipo_movimiento WHERE nombre = 'Trasiego';</t>
  </si>
  <si>
    <t>INSERT INTO Movimiento (id_movimiento, fecha_hora, id_tipo_movimiento, observaciones) SELECT '7d00c4a9', '2025-03-10 23:16:38', id_tipo_movimiento, 'Despacho de vino' FROM Tipo_movimiento WHERE nombre = 'Trasiego';</t>
  </si>
  <si>
    <t>INSERT INTO Movimiento (id_movimiento, fecha_hora, id_tipo_movimiento, observaciones) SELECT '5491046b', '2025-03-10 23:17:45', id_tipo_movimiento, 'ajuste volumen rectificado' FROM Tipo_movimiento WHERE nombre = 'Ajuste Volumen';</t>
  </si>
  <si>
    <t>INSERT INTO Movimiento (id_movimiento, fecha_hora, id_tipo_movimiento, observaciones) SELECT 'eb4e7714', '2025-03-10 23:21:45', id_tipo_movimiento, 'ajuste volumen' FROM Tipo_movimiento WHERE nombre = 'Ajuste Volumen';</t>
  </si>
  <si>
    <t>INSERT INTO Movimiento (id_movimiento, fecha_hora, id_tipo_movimiento, observaciones) SELECT 'afa99dc2', '2025-03-11 08:49:19', id_tipo_movimiento, 'Ajuste' FROM Tipo_movimiento WHERE nombre = 'Ajuste Volumen';</t>
  </si>
  <si>
    <t>INSERT INTO Movimiento (id_movimiento, fecha_hora, id_tipo_movimiento, observaciones) SELECT '9add0c3a', '2025-03-11 09:01:26', id_tipo_movimiento, 'Ajuste de volumen' FROM Tipo_movimiento WHERE nombre = 'Ajuste Volumen';</t>
  </si>
  <si>
    <t>INSERT INTO Movimiento (id_movimiento, fecha_hora, id_tipo_movimiento, observaciones) SELECT 'e2f2138e', '2025-03-11 09:03:12', id_tipo_movimiento, 'Ajuste de volumen' FROM Tipo_movimiento WHERE nombre = 'Ajuste Volumen';</t>
  </si>
  <si>
    <t>INSERT INTO Movimiento (id_movimiento, fecha_hora, id_tipo_movimiento, observaciones) SELECT '83dd72f2', '2025-03-11 09:07:38', id_tipo_movimiento, 'Ajuste volumen' FROM Tipo_movimiento WHERE nombre = 'Ajuste Volumen';</t>
  </si>
  <si>
    <t>INSERT INTO Movimiento (id_movimiento, fecha_hora, id_tipo_movimiento, observaciones) SELECT '0c1fbd44', '2025-03-11 09:08:24', id_tipo_movimiento, 'Ajuste volumen' FROM Tipo_movimiento WHERE nombre = 'Ajuste Volumen';</t>
  </si>
  <si>
    <t>INSERT INTO Movimiento (id_movimiento, fecha_hora, id_tipo_movimiento, observaciones) SELECT '74bfc57b', '2025-03-11 18:42:02', id_tipo_movimiento, 'Hay Aspirant de menos según el arqueo' FROM Tipo_movimiento WHERE nombre = 'Trasiego';</t>
  </si>
  <si>
    <t>INSERT INTO Movimiento (id_movimiento, fecha_hora, id_tipo_movimiento, observaciones) SELECT '40da80f7', '2025-03-13 19:21:18', id_tipo_movimiento, 'Gota' FROM Tipo_movimiento WHERE nombre = 'Trasiego';</t>
  </si>
  <si>
    <t>INSERT INTO Movimiento (id_movimiento, fecha_hora, id_tipo_movimiento, observaciones) SELECT '50413875', '2025-03-13 19:22:28', id_tipo_movimiento, 'Gota y Prensa' FROM Tipo_movimiento WHERE nombre = 'Trasiego';</t>
  </si>
  <si>
    <t>INSERT INTO Movimiento (id_movimiento, fecha_hora, id_tipo_movimiento, observaciones) SELECT 'a434d241', '2025-03-13 19:27:15', id_tipo_movimiento, 'Agregado Rectificado PH' FROM Tipo_movimiento WHERE nombre = 'Trasiego';</t>
  </si>
  <si>
    <t>INSERT INTO Movimiento (id_movimiento, fecha_hora, id_tipo_movimiento, observaciones) SELECT '6a2ac77c', '2025-03-13 19:28:08', id_tipo_movimiento, 'Agregado Rectificado - corrección pH' FROM Tipo_movimiento WHERE nombre = 'Trasiego';</t>
  </si>
  <si>
    <t>INSERT INTO Movimiento (id_movimiento, fecha_hora, id_tipo_movimiento, observaciones) SELECT 'ef0c6006', '2025-03-14 09:23:21', id_tipo_movimiento, 'Gota y Prensa' FROM Tipo_movimiento WHERE nombre = 'Trasiego';</t>
  </si>
  <si>
    <t>INSERT INTO Movimiento (id_movimiento, fecha_hora, id_tipo_movimiento, observaciones) SELECT 'e4dad44b', '2025-03-14 09:24:49', id_tipo_movimiento, 'Gota y prensa' FROM Tipo_movimiento WHERE nombre = 'Trasiego';</t>
  </si>
  <si>
    <t>INSERT INTO Movimiento (id_movimiento, fecha_hora, id_tipo_movimiento, observaciones) SELECT '32477090', '2025-03-14 17:57:38', id_tipo_movimiento, 'Rectificado' FROM Tipo_movimiento WHERE nombre = 'Trasiego';</t>
  </si>
  <si>
    <t>INSERT INTO Movimiento (id_movimiento, fecha_hora, id_tipo_movimiento, observaciones) SELECT 'b058c3ad', '2025-03-14 17:58:51', id_tipo_movimiento, 'Rectificado' FROM Tipo_movimiento WHERE nombre = 'Trasiego';</t>
  </si>
  <si>
    <t>INSERT INTO Movimiento (id_movimiento, fecha_hora, id_tipo_movimiento, observaciones) SELECT '9ee0044e', '2025-03-14 18:47:29', id_tipo_movimiento, 'Rectificado' FROM Tipo_movimiento WHERE nombre = 'Trasiego';</t>
  </si>
  <si>
    <t>INSERT INTO Movimiento (id_movimiento, fecha_hora, id_tipo_movimiento, observaciones) SELECT 'ca94aa1f', '2025-03-14 18:59:28', id_tipo_movimiento, 'Correción pH - agregado rectificado' FROM Tipo_movimiento WHERE nombre = 'Trasiego';</t>
  </si>
  <si>
    <t>INSERT INTO Movimiento (id_movimiento, fecha_hora, id_tipo_movimiento, observaciones) SELECT '381b60d3', '2025-03-17 09:47:45', id_tipo_movimiento, 'Gota y Prensa' FROM Tipo_movimiento WHERE nombre = 'Trasiego';</t>
  </si>
  <si>
    <t>INSERT INTO Movimiento (id_movimiento, fecha_hora, id_tipo_movimiento, observaciones) SELECT 'ffd1066a', '2025-03-17 09:49:57', id_tipo_movimiento, 'Descube y dar lleno a la 52' FROM Tipo_movimiento WHERE nombre = 'Trasiego';</t>
  </si>
  <si>
    <t>INSERT INTO Movimiento (id_movimiento, fecha_hora, id_tipo_movimiento, observaciones) SELECT '478ea4af', '2025-03-17 09:50:36', id_tipo_movimiento, 'Gota y Prensa' FROM Tipo_movimiento WHERE nombre = 'Trasiego';</t>
  </si>
  <si>
    <t>INSERT INTO Movimiento (id_movimiento, fecha_hora, id_tipo_movimiento, observaciones) SELECT '3bc3c5bf', '2025-03-17 19:58:26', id_tipo_movimiento, 'Ajuste de volumen de Tanat' FROM Tipo_movimiento WHERE nombre = 'Ajuste Volumen';</t>
  </si>
  <si>
    <t>INSERT INTO Movimiento (id_movimiento, fecha_hora, id_tipo_movimiento, observaciones) SELECT '5b8cfa72', '2025-03-18 13:29:28', id_tipo_movimiento, 'Agregado de Rectificado' FROM Tipo_movimiento WHERE nombre = 'Trasiego';</t>
  </si>
  <si>
    <t>INSERT INTO Movimiento (id_movimiento, fecha_hora, id_tipo_movimiento, observaciones) SELECT '1f3f4269', '2025-03-19 12:13:03', id_tipo_movimiento, 'Descube gota y prensa' FROM Tipo_movimiento WHERE nombre = 'Trasiego';</t>
  </si>
  <si>
    <t>INSERT INTO Movimiento (id_movimiento, fecha_hora, id_tipo_movimiento, observaciones) SELECT '84d10532', '2025-03-19 12:15:41', id_tipo_movimiento, 'Traslado La Vendimia' FROM Tipo_movimiento WHERE nombre = 'Trasiego';</t>
  </si>
  <si>
    <t>INSERT INTO Movimiento (id_movimiento, fecha_hora, id_tipo_movimiento, observaciones) SELECT 'cdca4e05', '2025-03-20 19:01:28', id_tipo_movimiento, 'Esto es mosto filtrado que no ha pasado por los orujos pero tiene el mismo origen de CIU de esta Criolla' FROM Tipo_movimiento WHERE nombre = 'Trasiego';</t>
  </si>
  <si>
    <t>INSERT INTO Movimiento (id_movimiento, fecha_hora, id_tipo_movimiento, observaciones) SELECT '081c9204', '2025-03-24 10:54:37', id_tipo_movimiento, 'Gota y Prensa' FROM Tipo_movimiento WHERE nombre = 'Trasiego';</t>
  </si>
  <si>
    <t>INSERT INTO Movimiento (id_movimiento, fecha_hora, id_tipo_movimiento, observaciones) SELECT 'b3316a0a', '2025-03-25 12:37:57', id_tipo_movimiento, 'agregado Rectificado' FROM Tipo_movimiento WHERE nombre = 'Trasiego';</t>
  </si>
  <si>
    <t>INSERT INTO Movimiento (id_movimiento, fecha_hora, id_tipo_movimiento, observaciones) SELECT '0b4d2241', '2025-03-25 12:39:04', id_tipo_movimiento, 'Agregado Rectificado' FROM Tipo_movimiento WHERE nombre = 'Trasiego';</t>
  </si>
  <si>
    <t>INSERT INTO Movimiento (id_movimiento, fecha_hora, id_tipo_movimiento, observaciones) SELECT '9adf1669', '2025-03-25 12:41:49', id_tipo_movimiento, 'agregado Rectificado' FROM Tipo_movimiento WHERE nombre = 'Trasiego';</t>
  </si>
  <si>
    <t>INSERT INTO Movimiento (id_movimiento, fecha_hora, id_tipo_movimiento, observaciones) SELECT 'ecb02248', '2025-03-25 12:46:50', id_tipo_movimiento, 'Gota y Prensa' FROM Tipo_movimiento WHERE nombre = 'Trasiego';</t>
  </si>
  <si>
    <t>INSERT INTO Movimiento (id_movimiento, fecha_hora, id_tipo_movimiento, observaciones) SELECT 'f82b29f9', '2025-03-25 12:56:16', id_tipo_movimiento, 'Relleno, quiza fue 1000 lts' FROM Tipo_movimiento WHERE nombre = 'Trasiego';</t>
  </si>
  <si>
    <t>INSERT INTO Movimiento (id_movimiento, fecha_hora, id_tipo_movimiento, observaciones) SELECT 'c0d5d0bc', '2025-03-25 13:00:09', id_tipo_movimiento, 'Gota y prensa' FROM Tipo_movimiento WHERE nombre = 'Trasiego';</t>
  </si>
  <si>
    <t>INSERT INTO Movimiento (id_movimiento, fecha_hora, id_tipo_movimiento, observaciones) SELECT 'c991eeed', '2025-03-25 19:50:52', id_tipo_movimiento, 'Despacho vino venta' FROM Tipo_movimiento WHERE nombre = 'Trasiego';</t>
  </si>
  <si>
    <t>INSERT INTO Movimiento (id_movimiento, fecha_hora, id_tipo_movimiento, observaciones) SELECT 'e54bf9ef', '2025-03-26 18:18:36', id_tipo_movimiento, 'Gota y Prensa' FROM Tipo_movimiento WHERE nombre = 'Trasiego';</t>
  </si>
  <si>
    <t>INSERT INTO Movimiento (id_movimiento, fecha_hora, id_tipo_movimiento, observaciones) SELECT 'e5c6f49b', '2025-03-26 18:19:54', id_tipo_movimiento, 'Prensa' FROM Tipo_movimiento WHERE nombre = 'Trasiego';</t>
  </si>
  <si>
    <t>INSERT INTO Movimiento (id_movimiento, fecha_hora, id_tipo_movimiento, observaciones) SELECT '38564ae2', '2025-03-27 17:10:32', id_tipo_movimiento, 'Ajusste volumen sobrate' FROM Tipo_movimiento WHERE nombre = 'Trasiego';</t>
  </si>
  <si>
    <t>INSERT INTO Movimiento (id_movimiento, fecha_hora, id_tipo_movimiento, observaciones) SELECT 'c9fed906', '2025-03-27 18:30:33', id_tipo_movimiento, 'Rectificado' FROM Tipo_movimiento WHERE nombre = 'Trasiego';</t>
  </si>
  <si>
    <t>INSERT INTO Movimiento (id_movimiento, fecha_hora, id_tipo_movimiento, observaciones) SELECT 'c09ab39e', '2025-04-01 16:12:41', id_tipo_movimiento, 'Gota - Desvine' FROM Tipo_movimiento WHERE nombre = 'Trasiego';</t>
  </si>
  <si>
    <t>INSERT INTO Movimiento (id_movimiento, fecha_hora, id_tipo_movimiento, observaciones) SELECT 'cdc8cb92', '2025-04-01 19:36:49', id_tipo_movimiento, 'Venta de vino suelto' FROM Tipo_movimiento WHERE nombre = 'Trasiego';</t>
  </si>
  <si>
    <t>INSERT INTO Movimiento (id_movimiento, fecha_hora, id_tipo_movimiento, observaciones) SELECT 'e28112ad', '2025-04-03 17:32:32', id_tipo_movimiento, 'Gota y Prensa' FROM Tipo_movimiento WHERE nombre = 'Trasiego';</t>
  </si>
  <si>
    <t>INSERT INTO Movimiento (id_movimiento, fecha_hora, id_tipo_movimiento, observaciones) SELECT '42e4a292', '2025-04-04 21:34:27', id_tipo_movimiento, 'Desvine para recarga' FROM Tipo_movimiento WHERE nombre = 'Trasiego';</t>
  </si>
  <si>
    <t>INSERT INTO Movimiento (id_movimiento, fecha_hora, id_tipo_movimiento, observaciones) SELECT '5aac28a9', '2025-04-04 21:34:53', id_tipo_movimiento, 'Desvine para recarga' FROM Tipo_movimiento WHERE nombre = 'Trasiego';</t>
  </si>
  <si>
    <t>INSERT INTO Movimiento (id_movimiento, fecha_hora, id_tipo_movimiento, observaciones) SELECT '7e1211c8', '2025-04-04 21:42:20', id_tipo_movimiento, 'Gota y prensa' FROM Tipo_movimiento WHERE nombre = 'Trasiego';</t>
  </si>
  <si>
    <t>INSERT INTO Movimiento (id_movimiento, fecha_hora, id_tipo_movimiento, observaciones) SELECT '8c289f5a', '2025-04-04 21:43:05', id_tipo_movimiento, 'Gota y prensa' FROM Tipo_movimiento WHERE nombre = 'Trasiego';</t>
  </si>
  <si>
    <t>INSERT INTO Movimiento (id_movimiento, fecha_hora, id_tipo_movimiento, observaciones) SELECT '479daee5', '2025-04-05 16:51:43', id_tipo_movimiento, 'Agregado Rectificado' FROM Tipo_movimiento WHERE nombre = 'Trasiego';</t>
  </si>
  <si>
    <t>INSERT INTO Movimiento (id_movimiento, fecha_hora, id_tipo_movimiento, observaciones) SELECT '3430bfb7', '2025-04-05 16:52:34', id_tipo_movimiento, 'Agregado REctificado' FROM Tipo_movimiento WHERE nombre = 'Trasiego';</t>
  </si>
  <si>
    <t>INSERT INTO Movimiento (id_movimiento, fecha_hora, id_tipo_movimiento, observaciones) SELECT '11a72bbd', '2025-04-05 16:54:00', id_tipo_movimiento, 'Agregado REctificado' FROM Tipo_movimiento WHERE nombre = 'Trasiego';</t>
  </si>
  <si>
    <t>INSERT INTO Movimiento (id_movimiento, fecha_hora, id_tipo_movimiento, observaciones) SELECT 'b2c52506', '2025-04-05 16:55:23', id_tipo_movimiento, 'Agregado de Rectificado' FROM Tipo_movimiento WHERE nombre = 'Trasiego';</t>
  </si>
  <si>
    <t>INSERT INTO Movimiento (id_movimiento, fecha_hora, id_tipo_movimiento, observaciones) SELECT '94e49c13', '2025-04-08 11:27:51', id_tipo_movimiento, 'Agregado de Rectificado' FROM Tipo_movimiento WHERE nombre = 'Trasiego';</t>
  </si>
  <si>
    <t>INSERT INTO Movimiento (id_movimiento, fecha_hora, id_tipo_movimiento, observaciones) SELECT '9f356405', '2025-04-08 11:33:58', id_tipo_movimiento, 'Pta 89 se habia llenado de mas y se pasa mosto a la 96' FROM Tipo_movimiento WHERE nombre = 'Llenado';</t>
  </si>
  <si>
    <t>INSERT INTO Movimiento (id_movimiento, fecha_hora, id_tipo_movimiento, observaciones) SELECT '44d50628', '2025-04-08 11:36:53', id_tipo_movimiento, 'rectificado' FROM Tipo_movimiento WHERE nombre = 'Trasiego';</t>
  </si>
  <si>
    <t>INSERT INTO Movimiento (id_movimiento, fecha_hora, id_tipo_movimiento, observaciones) SELECT '6446e5bd', '2025-04-08 11:37:39', id_tipo_movimiento, 'agregado de rectificado' FROM Tipo_movimiento WHERE nombre = 'Trasiego';</t>
  </si>
  <si>
    <t>INSERT INTO Movimiento (id_movimiento, fecha_hora, id_tipo_movimiento, observaciones) SELECT 'd0ad7166', '2025-04-08 12:39:39', id_tipo_movimiento, 'agreagado rectificado' FROM Tipo_movimiento WHERE nombre = 'Trasiego';</t>
  </si>
  <si>
    <t>INSERT INTO Movimiento (id_movimiento, fecha_hora, id_tipo_movimiento, observaciones) SELECT '2af76f9c', '2025-04-08 12:41:10', id_tipo_movimiento, 'agregado rectificado' FROM Tipo_movimiento WHERE nombre = 'Trasiego';</t>
  </si>
  <si>
    <t>INSERT INTO Movimiento (id_movimiento, fecha_hora, id_tipo_movimiento, observaciones) SELECT 'c7f4c2f2', '2025-04-08 12:42:16', id_tipo_movimiento, 'Agregado de rectificado' FROM Tipo_movimiento WHERE nombre = 'Trasiego';</t>
  </si>
  <si>
    <t>INSERT INTO Movimiento (id_movimiento, fecha_hora, id_tipo_movimiento, observaciones) SELECT '0d8df612', '2025-04-10 18:43:43', id_tipo_movimiento, 'Agregado de rectificado' FROM Tipo_movimiento WHERE nombre = 'Trasiego';</t>
  </si>
  <si>
    <t>INSERT INTO Movimiento (id_movimiento, fecha_hora, id_tipo_movimiento, observaciones) SELECT '1a37214c', '2025-04-10 18:44:36', id_tipo_movimiento, 'Agregado REctificado' FROM Tipo_movimiento WHERE nombre = 'Trasiego';</t>
  </si>
  <si>
    <t>INSERT INTO Movimiento (id_movimiento, fecha_hora, id_tipo_movimiento, observaciones) SELECT 'b69ece35', '2025-04-14 18:33:21', id_tipo_movimiento, 'Rectificado con la Columna' FROM Tipo_movimiento WHERE nombre = 'Trasiego';</t>
  </si>
  <si>
    <t>INSERT INTO Movimiento (id_movimiento, fecha_hora, id_tipo_movimiento, observaciones) SELECT '1a58c494', '2025-04-14 18:39:21', id_tipo_movimiento, 'Agregado de REctificado' FROM Tipo_movimiento WHERE nombre = 'Trasiego';</t>
  </si>
  <si>
    <t>INSERT INTO Movimiento (id_movimiento, fecha_hora, id_tipo_movimiento, observaciones) SELECT 'a9cb12d7', '2025-04-16 18:00:57', id_tipo_movimiento, 'devine solo gota' FROM Tipo_movimiento WHERE nombre = 'Trasiego';</t>
  </si>
  <si>
    <t>INSERT INTO Movimiento (id_movimiento, fecha_hora, id_tipo_movimiento, observaciones) SELECT '99845561', '2025-04-16 18:06:20', id_tipo_movimiento, 'solo gota' FROM Tipo_movimiento WHERE nombre = 'Trasiego';</t>
  </si>
  <si>
    <t>INSERT INTO Movimiento (id_movimiento, fecha_hora, id_tipo_movimiento, observaciones) SELECT '29c4c29e', '2025-04-17 12:55:16', id_tipo_movimiento, 'Desvine solo gota' FROM Tipo_movimiento WHERE nombre = 'Trasiego';</t>
  </si>
  <si>
    <t>INSERT INTO Movimiento (id_movimiento, fecha_hora, id_tipo_movimiento, observaciones) SELECT '53a461f7', '2025-04-17 12:58:11', id_tipo_movimiento, 'Desvine solo gota' FROM Tipo_movimiento WHERE nombre = 'Trasiego';</t>
  </si>
  <si>
    <t>INSERT INTO Movimiento (id_movimiento, fecha_hora, id_tipo_movimiento, observaciones) SELECT '8228f3fb', '2025-04-17 13:06:00', id_tipo_movimiento, 'Gota y prensa' FROM Tipo_movimiento WHERE nombre = 'Trasiego';</t>
  </si>
  <si>
    <t>INSERT INTO Movimiento (id_movimiento, fecha_hora, id_tipo_movimiento, observaciones) SELECT '8f4b1ed2', '2025-04-17 13:08:10', id_tipo_movimiento, 'Gota y presna' FROM Tipo_movimiento WHERE nombre = 'Trasiego';</t>
  </si>
  <si>
    <t>INSERT INTO Movimiento (id_movimiento, fecha_hora, id_tipo_movimiento, observaciones) SELECT '488766b0', '2025-04-17 17:52:28', id_tipo_movimiento, 'Agregado de rectificado' FROM Tipo_movimiento WHERE nombre = 'Trasiego';</t>
  </si>
  <si>
    <t>INSERT INTO Movimiento (id_movimiento, fecha_hora, id_tipo_movimiento, observaciones) SELECT '363d4e26', '2025-04-17 17:54:37', id_tipo_movimiento, 'Volumen que sobraba en la 76 pasa a la 77 por la pileta ajuste' FROM Tipo_movimiento WHERE nombre = 'Ajuste Volumen';</t>
  </si>
  <si>
    <t>INSERT INTO Movimiento (id_movimiento, fecha_hora, id_tipo_movimiento, observaciones) SELECT 'bbccaee4', '2025-04-17 20:49:07', id_tipo_movimiento, 'Desvine' FROM Tipo_movimiento WHERE nombre = 'Trasiego';</t>
  </si>
  <si>
    <t>INSERT INTO Movimiento (id_movimiento, fecha_hora, id_tipo_movimiento, observaciones) SELECT 'b812a49c', '2025-04-19 12:35:01', id_tipo_movimiento, 'Gota y Prensa' FROM Tipo_movimiento WHERE nombre = 'Trasiego';</t>
  </si>
  <si>
    <t>INSERT INTO Movimiento (id_movimiento, fecha_hora, id_tipo_movimiento, observaciones) SELECT '3998063e', '2025-04-21 19:30:31', id_tipo_movimiento, 'Gota' FROM Tipo_movimiento WHERE nombre = 'Trasiego';</t>
  </si>
  <si>
    <t>INSERT INTO Movimiento (id_movimiento, fecha_hora, id_tipo_movimiento, observaciones) SELECT 'bcbed126', '2025-04-22 17:06:22', id_tipo_movimiento, 'Volumen que sobra de pileta 95 originalmente' FROM Tipo_movimiento WHERE nombre = 'Trasiego';</t>
  </si>
  <si>
    <t>INSERT INTO Movimiento (id_movimiento, fecha_hora, id_tipo_movimiento, observaciones) SELECT '17473616', '2025-04-22 17:07:48', id_tipo_movimiento, 'Gota' FROM Tipo_movimiento WHERE nombre = 'Trasiego';</t>
  </si>
  <si>
    <t>INSERT INTO Movimiento (id_movimiento, fecha_hora, id_tipo_movimiento, observaciones) SELECT '4fef8a3a', '2025-04-22 17:08:53', id_tipo_movimiento, 'descube gota' FROM Tipo_movimiento WHERE nombre = 'Trasiego';</t>
  </si>
  <si>
    <t>INSERT INTO Movimiento (id_movimiento, fecha_hora, id_tipo_movimiento, observaciones) SELECT '54643afb', '2025-04-22 17:09:58', id_tipo_movimiento, 'decube gota' FROM Tipo_movimiento WHERE nombre = 'Trasiego';</t>
  </si>
  <si>
    <t>INSERT INTO Movimiento (id_movimiento, fecha_hora, id_tipo_movimiento, observaciones) SELECT '25fb6238', '2025-04-22 17:11:20', id_tipo_movimiento, 'descibe gota' FROM Tipo_movimiento WHERE nombre = 'Trasiego';</t>
  </si>
  <si>
    <t>INSERT INTO Movimiento (id_movimiento, fecha_hora, id_tipo_movimiento, observaciones) SELECT '7597f9c4', '2025-04-22 17:14:21', id_tipo_movimiento, 'Prensa' FROM Tipo_movimiento WHERE nombre = 'Trasiego';</t>
  </si>
  <si>
    <t>INSERT INTO Movimiento (id_movimiento, fecha_hora, id_tipo_movimiento, observaciones) SELECT 'c3eb52cc', '2025-04-23 17:44:48', id_tipo_movimiento, 'Gota y Prensa' FROM Tipo_movimiento WHERE nombre = 'Trasiego';</t>
  </si>
  <si>
    <t>INSERT INTO Movimiento (id_movimiento, fecha_hora, id_tipo_movimiento, observaciones) SELECT '1fcedac0', '2025-04-23 19:22:37', id_tipo_movimiento, 'vino despachaado semana' FROM Tipo_movimiento WHERE nombre = 'Trasiego';</t>
  </si>
  <si>
    <t>INSERT INTO Movimiento (id_movimiento, fecha_hora, id_tipo_movimiento, observaciones) SELECT '4527cf43', '2025-04-24 12:36:06', id_tipo_movimiento, 'gota y prensa' FROM Tipo_movimiento WHERE nombre = 'Trasiego';</t>
  </si>
  <si>
    <t>INSERT INTO Movimiento (id_movimiento, fecha_hora, id_tipo_movimiento, observaciones) SELECT '8d771205', '2025-04-25 17:32:46', id_tipo_movimiento, 'descube gota y prensa' FROM Tipo_movimiento WHERE nombre = 'Trasiego';</t>
  </si>
  <si>
    <t>INSERT INTO Movimiento (id_movimiento, fecha_hora, id_tipo_movimiento, observaciones) SELECT '3414cb5c', '2025-04-28 16:14:25', id_tipo_movimiento, 'Esto fue al filtro , asi que lo enviamos ya' FROM Tipo_movimiento WHERE nombre = 'Trasiego';</t>
  </si>
  <si>
    <t>INSERT INTO Movimiento (id_movimiento, fecha_hora, id_tipo_movimiento, observaciones) SELECT '2abe291a', '2025-04-28 16:41:39', id_tipo_movimiento, 'Gota y prensa. Tiene azucar y hay que ver si reduce' FROM Tipo_movimiento WHERE nombre = 'Trasiego';</t>
  </si>
  <si>
    <t>INSERT INTO Movimiento (id_movimiento, fecha_hora, id_tipo_movimiento, observaciones) SELECT 'd6b9431a', '2025-04-28 16:47:53', id_tipo_movimiento, 'descubada con azucar' FROM Tipo_movimiento WHERE nombre = 'Trasiego';</t>
  </si>
  <si>
    <t>INSERT INTO Movimiento (id_movimiento, fecha_hora, id_tipo_movimiento, observaciones) SELECT '706da0ed', '2025-05-06 18:53:31', id_tipo_movimiento, 'vino despacho con paño' FROM Tipo_movimiento WHERE nombre = 'Trasiego';</t>
  </si>
  <si>
    <t>INSERT INTO Movimiento (id_movimiento, fecha_hora, id_tipo_movimiento, observaciones) SELECT '4a702305', '2025-05-08 17:54:14', id_tipo_movimiento, 'Traslado Millan' FROM Tipo_movimiento WHERE nombre = 'Trasiego';</t>
  </si>
  <si>
    <t>INSERT INTO Movimiento (id_movimiento, fecha_hora, id_tipo_movimiento, observaciones) SELECT '471c485a', '2025-05-08 17:55:49', id_tipo_movimiento, 'Malbec Millan 200 - TRASLADO' FROM Tipo_movimiento WHERE nombre = 'Trasiego';</t>
  </si>
  <si>
    <t>INSERT INTO Movimiento (id_movimiento, fecha_hora, id_tipo_movimiento, observaciones) SELECT '047ef3e0', '2025-05-08 18:02:55', id_tipo_movimiento, 'Cabernet Sauv Millan 233 - TRASLADO' FROM Tipo_movimiento WHERE nombre = 'Trasiego';</t>
  </si>
  <si>
    <t>INSERT INTO Movimiento (id_movimiento, fecha_hora, id_tipo_movimiento, observaciones) SELECT '29ce8f34', '2025-05-09 16:21:55', id_tipo_movimiento, 'Relleno' FROM Tipo_movimiento WHERE nombre = 'Trasiego';</t>
  </si>
  <si>
    <t>INSERT INTO Movimiento (id_movimiento, fecha_hora, id_tipo_movimiento, observaciones) SELECT '92ccaf32', '2025-05-13 18:01:38', id_tipo_movimiento, 'Relleno' FROM Tipo_movimiento WHERE nombre = 'Trasiego';</t>
  </si>
  <si>
    <t>INSERT INTO Movimiento (id_movimiento, fecha_hora, id_tipo_movimiento, observaciones) SELECT 'c83bd854', '2025-05-16 12:01:53', id_tipo_movimiento, 'Medir cuanto quedo en pileta.  SEgun sergi son 6000 lts' FROM Tipo_movimiento WHERE nombre = 'Trasiego';</t>
  </si>
  <si>
    <t>INSERT INTO Movimiento (id_movimiento, fecha_hora, id_tipo_movimiento, observaciones) SELECT 'af4a7a93', '2025-05-16 12:09:32', id_tipo_movimiento, 'Despacho traslado' FROM Tipo_movimiento WHERE nombre = 'Trasiego';</t>
  </si>
  <si>
    <t>INSERT INTO Movimiento (id_movimiento, fecha_hora, id_tipo_movimiento, observaciones) SELECT 'e58b43aa', '2025-05-16 12:10:18', id_tipo_movimiento, 'Traslado a Millan' FROM Tipo_movimiento WHERE nombre = 'Trasiego';</t>
  </si>
  <si>
    <t>INSERT INTO Movimiento (id_movimiento, fecha_hora, id_tipo_movimiento, observaciones) SELECT '70425ea7', '2025-05-31 11:37:12', id_tipo_movimiento, 'Volumen despacho' FROM Tipo_movimiento WHERE nombre = 'Trasiego';</t>
  </si>
  <si>
    <t>INSERT INTO Movimiento (id_movimiento, fecha_hora, id_tipo_movimiento, observaciones) SELECT '7130c806', '2025-05-31 11:39:23', id_tipo_movimiento, 'Corrección Ph' FROM Tipo_movimiento WHERE nombre = 'Trasiego';</t>
  </si>
  <si>
    <t>INSERT INTO Movimiento (id_movimiento, fecha_hora, id_tipo_movimiento, observaciones) SELECT 'fb81bc69', '2025-06-19 18:21:32', id_tipo_movimiento, 'Malbec Montecepas 24 - fraccionamiento bolsas 3 lts x 100' FROM Tipo_movimiento WHERE nombre = 'Trasiego';</t>
  </si>
  <si>
    <t>INSERT INTO Movimiento (id_movimiento, fecha_hora, id_tipo_movimiento, observaciones) SELECT '6b7817c7', '2025-06-27 09:33:28', id_tipo_movimiento, 'Sobró vino recrificado' FROM Tipo_movimiento WHERE nombre = 'Trasiego';</t>
  </si>
  <si>
    <t>INSERT INTO Movimiento (id_movimiento, fecha_hora, id_tipo_movimiento, observaciones) SELECT 'ec9d0254', '2025-07-11 16:58:17', id_tipo_movimiento, 'Filtrado de borra' FROM Tipo_movimiento WHERE nombre = 'Trasiego';</t>
  </si>
  <si>
    <t>INSERT INTO Movimiento (id_movimiento, fecha_hora, id_tipo_movimiento, observaciones) SELECT '8ff6cad4', '2025-07-11 17:04:55', id_tipo_movimiento, 'Borra seca del filtro' FROM Tipo_movimiento WHERE nombre = 'Trasiego';</t>
  </si>
  <si>
    <t>INSERT INTO Movimiento (id_movimiento, fecha_hora, id_tipo_movimiento, observaciones) SELECT '89ca5174', '2025-08-05 11:36:00', id_tipo_movimiento, 'Relleno' FROM Tipo_movimiento WHERE nombre = 'Trasiego';</t>
  </si>
  <si>
    <t>INSERT INTO Movimiento (id_movimiento, fecha_hora, id_tipo_movimiento, observaciones) SELECT '7bba3bd6', '2025-08-05 11:36:41', id_tipo_movimiento, 'relleno' FROM Tipo_movimiento WHERE nombre = 'Trasiego';</t>
  </si>
  <si>
    <t>INSERT INTO Movimiento (id_movimiento, fecha_hora, id_tipo_movimiento, observaciones) SELECT '93fa7431', '2025-08-13 17:43:36', id_tipo_movimiento, 'Ajuste de lo filtrado' FROM Tipo_movimiento WHERE nombre = 'Ajuste Volumen';</t>
  </si>
  <si>
    <t>-- 8. TABLA: Movimientos_Detalle</t>
  </si>
  <si>
    <t>-- FIN DEL SCRIPT SQL</t>
  </si>
  <si>
    <t>-- Total de sentencias generadas: 4363</t>
  </si>
  <si>
    <t>ID Global</t>
  </si>
  <si>
    <t>Pileta Llena</t>
  </si>
  <si>
    <t>Pileta Numero</t>
  </si>
  <si>
    <t>Lote</t>
  </si>
  <si>
    <t>15343ec1</t>
  </si>
  <si>
    <t>116</t>
  </si>
  <si>
    <t>ID Estado Pileta</t>
  </si>
  <si>
    <t>Desvinada</t>
  </si>
  <si>
    <t>Fecha</t>
  </si>
  <si>
    <t>Sem</t>
  </si>
  <si>
    <t xml:space="preserve">Rto. </t>
  </si>
  <si>
    <t>Productor</t>
  </si>
  <si>
    <t>Finca</t>
  </si>
  <si>
    <t>I.N.V.</t>
  </si>
  <si>
    <t>Cambio</t>
  </si>
  <si>
    <t>Ctel.</t>
  </si>
  <si>
    <t>Tachos</t>
  </si>
  <si>
    <t>Chofer</t>
  </si>
  <si>
    <t>CUIT / CUIL</t>
  </si>
  <si>
    <t>Camion</t>
  </si>
  <si>
    <t>Modelo</t>
  </si>
  <si>
    <t>Patente</t>
  </si>
  <si>
    <t>Bruto</t>
  </si>
  <si>
    <t>Tara</t>
  </si>
  <si>
    <t>Neto</t>
  </si>
  <si>
    <t>Uva Real</t>
  </si>
  <si>
    <t>Variedad CIU</t>
  </si>
  <si>
    <t>Destino VINO</t>
  </si>
  <si>
    <t>Brix Real</t>
  </si>
  <si>
    <t>T. Azuc.</t>
  </si>
  <si>
    <t>Nº  - CIU</t>
  </si>
  <si>
    <t xml:space="preserve"> Cosecha</t>
  </si>
  <si>
    <t>Vasija</t>
  </si>
  <si>
    <t>Varietal</t>
  </si>
  <si>
    <t>Volumen</t>
  </si>
  <si>
    <t>ID_Analaisis</t>
  </si>
  <si>
    <t>Pileta</t>
  </si>
  <si>
    <t>Capac</t>
  </si>
  <si>
    <t>Alcohol</t>
  </si>
  <si>
    <t>Azucar</t>
  </si>
  <si>
    <t>Volatil</t>
  </si>
  <si>
    <t>Ac. Total</t>
  </si>
  <si>
    <t>Ph</t>
  </si>
  <si>
    <t>Anhi. Libre</t>
  </si>
  <si>
    <t>Anhi. Total</t>
  </si>
  <si>
    <t>extracto seco</t>
  </si>
  <si>
    <t>Intensidad</t>
  </si>
  <si>
    <t>Indice</t>
  </si>
  <si>
    <t>Suma 420_520_620</t>
  </si>
  <si>
    <t>Brix</t>
  </si>
  <si>
    <t>oxigeno</t>
  </si>
  <si>
    <t>Observaciones</t>
  </si>
  <si>
    <t>ID Analisis Impresion</t>
  </si>
  <si>
    <t>Fecha Generacion</t>
  </si>
  <si>
    <t>5f9ee4d1</t>
  </si>
  <si>
    <t>Control Bodega</t>
  </si>
  <si>
    <t>b3c6eef9</t>
  </si>
  <si>
    <t>Control Arqueo</t>
  </si>
  <si>
    <t>f9997bec</t>
  </si>
  <si>
    <t>Visita Victoria</t>
  </si>
  <si>
    <t>db8f646a</t>
  </si>
  <si>
    <t>ffa52fc7</t>
  </si>
  <si>
    <t>Control Arqueo 23/4/25</t>
  </si>
  <si>
    <t>c7e3a881</t>
  </si>
  <si>
    <t>a143bd0e</t>
  </si>
  <si>
    <t>3326a654</t>
  </si>
  <si>
    <t>Control Arqueo 05/May</t>
  </si>
  <si>
    <t>4aa90bdd</t>
  </si>
  <si>
    <t>PRUEBA ORDENADAS</t>
  </si>
  <si>
    <t>3e08ac4a</t>
  </si>
  <si>
    <t>b8c7d185</t>
  </si>
  <si>
    <t>prueba calificacion</t>
  </si>
  <si>
    <t>d1ac56f6</t>
  </si>
  <si>
    <t>Arqueo control 10/05/25</t>
  </si>
  <si>
    <t>c4ff865b</t>
  </si>
  <si>
    <t>b8bdba78</t>
  </si>
  <si>
    <t>Cotrol Arqueo</t>
  </si>
  <si>
    <t>1b9ebd37</t>
  </si>
  <si>
    <t>187f10f7</t>
  </si>
  <si>
    <t>Arqueo Mauricio Control</t>
  </si>
  <si>
    <t>fd934e41</t>
  </si>
  <si>
    <t>Control SO2</t>
  </si>
  <si>
    <t>90ae073c</t>
  </si>
  <si>
    <t>dd630662</t>
  </si>
  <si>
    <t>ead15916</t>
  </si>
  <si>
    <t>852a436f</t>
  </si>
  <si>
    <t>8f3bca85</t>
  </si>
  <si>
    <t>5453d003</t>
  </si>
  <si>
    <t>fedc915b</t>
  </si>
  <si>
    <t>beedfd04</t>
  </si>
  <si>
    <t>7d82f18d</t>
  </si>
  <si>
    <t>Visita Victoria 17/07/25</t>
  </si>
  <si>
    <t>a9a7a132</t>
  </si>
  <si>
    <t>Visita Victoria 22/07</t>
  </si>
  <si>
    <t>de949ff4</t>
  </si>
  <si>
    <t>Visita Victoria 30-07-25</t>
  </si>
  <si>
    <t>6bcc3ab6</t>
  </si>
  <si>
    <t>Visita Victoria 07/08/25</t>
  </si>
  <si>
    <t>c4ac1700</t>
  </si>
  <si>
    <t>Visita Victoria 12/08/25</t>
  </si>
  <si>
    <t>ID Corte Teorico</t>
  </si>
  <si>
    <t>Nombre Corte</t>
  </si>
  <si>
    <t>a70dcd0c</t>
  </si>
  <si>
    <t>Corte prueba</t>
  </si>
  <si>
    <t>e48892a3</t>
  </si>
  <si>
    <t>Bonarda Baudron</t>
  </si>
  <si>
    <t>f47d7c5e</t>
  </si>
  <si>
    <t>Malbec Tecnovitis</t>
  </si>
  <si>
    <t>Tinto con numero de Malbec</t>
  </si>
  <si>
    <t>3e8987e7</t>
  </si>
  <si>
    <t>Malbec Millan 233</t>
  </si>
  <si>
    <t>d8d61385</t>
  </si>
  <si>
    <t>Malbec Millan 200k</t>
  </si>
  <si>
    <t>192efacd</t>
  </si>
  <si>
    <t>vino con azucar</t>
  </si>
  <si>
    <t>46fdd27a</t>
  </si>
  <si>
    <t>Chardonnay proporcional</t>
  </si>
  <si>
    <t>795f8f7d</t>
  </si>
  <si>
    <t>corte malbec</t>
  </si>
  <si>
    <t>df7dc1bc</t>
  </si>
  <si>
    <t>Blanco Aromatico</t>
  </si>
  <si>
    <t>105c2713</t>
  </si>
  <si>
    <t>Malbec Corte general</t>
  </si>
  <si>
    <t>76a5f033</t>
  </si>
  <si>
    <t>697c9a77</t>
  </si>
  <si>
    <t>Tinto Lopez</t>
  </si>
  <si>
    <t>ID Detalle Corte Teorico</t>
  </si>
  <si>
    <t>Corte Teorico</t>
  </si>
  <si>
    <t>Volumen al Corte</t>
  </si>
  <si>
    <t>Lote Pileta</t>
  </si>
  <si>
    <t>Volumen Actual</t>
  </si>
  <si>
    <t>ALC</t>
  </si>
  <si>
    <t>AC VOL</t>
  </si>
  <si>
    <t>AC T</t>
  </si>
  <si>
    <t>PH</t>
  </si>
  <si>
    <t>SO2L</t>
  </si>
  <si>
    <t>SO2T</t>
  </si>
  <si>
    <t>56ce5437</t>
  </si>
  <si>
    <t>b2f5b04b</t>
  </si>
  <si>
    <t>8dd4d002</t>
  </si>
  <si>
    <t>953e3d1a</t>
  </si>
  <si>
    <t>8f04eec7</t>
  </si>
  <si>
    <t>c0d5ccb3</t>
  </si>
  <si>
    <t>4d1f3ac3</t>
  </si>
  <si>
    <t>e6d0a217</t>
  </si>
  <si>
    <t>9ab7f8cd</t>
  </si>
  <si>
    <t>4c5b61ec</t>
  </si>
  <si>
    <t>13ec972a</t>
  </si>
  <si>
    <t>24c7878a</t>
  </si>
  <si>
    <t>4b011795</t>
  </si>
  <si>
    <t>c24482f3</t>
  </si>
  <si>
    <t>1a03a9f2</t>
  </si>
  <si>
    <t>1806b4d4</t>
  </si>
  <si>
    <t>500eb7d5</t>
  </si>
  <si>
    <t>90d70ae0</t>
  </si>
  <si>
    <t>c895fca9</t>
  </si>
  <si>
    <t>b8b42c8d</t>
  </si>
  <si>
    <t>68df4782</t>
  </si>
  <si>
    <t>5fb32084</t>
  </si>
  <si>
    <t>5efb86a8</t>
  </si>
  <si>
    <t>b1381b13</t>
  </si>
  <si>
    <t>8e19546c</t>
  </si>
  <si>
    <t>7f3df0d5</t>
  </si>
  <si>
    <t>9b0ff7c9</t>
  </si>
  <si>
    <t>2d17f022</t>
  </si>
  <si>
    <t>5f5bd14d</t>
  </si>
  <si>
    <t>a59c73ac</t>
  </si>
  <si>
    <t>062d16f3</t>
  </si>
  <si>
    <t>8ca60e0d</t>
  </si>
  <si>
    <t>7b3c7de2</t>
  </si>
  <si>
    <t>368b736a</t>
  </si>
  <si>
    <t>5245ce30</t>
  </si>
  <si>
    <t>397f936d</t>
  </si>
  <si>
    <t>8a0d952b</t>
  </si>
  <si>
    <t>1f114664</t>
  </si>
  <si>
    <t>1dbc1fce</t>
  </si>
  <si>
    <t>fa5cf782</t>
  </si>
  <si>
    <t>8cb3fb38</t>
  </si>
  <si>
    <t>154a3087</t>
  </si>
  <si>
    <t>39f9aced</t>
  </si>
  <si>
    <t>3274eeea</t>
  </si>
  <si>
    <t>32e703b2</t>
  </si>
  <si>
    <t>91163fc4</t>
  </si>
  <si>
    <t>19fe4ba9</t>
  </si>
  <si>
    <t>26507410</t>
  </si>
  <si>
    <t>94d143b1</t>
  </si>
  <si>
    <t>7f7014f0</t>
  </si>
  <si>
    <t>8d5efbdd</t>
  </si>
  <si>
    <t>d9943eda</t>
  </si>
  <si>
    <t>c1918663</t>
  </si>
  <si>
    <t>ID_Tarea</t>
  </si>
  <si>
    <t>OT Numero</t>
  </si>
  <si>
    <t>Tq</t>
  </si>
  <si>
    <t>Lot</t>
  </si>
  <si>
    <t>Vol Lleno</t>
  </si>
  <si>
    <t>Año</t>
  </si>
  <si>
    <t>Tarea</t>
  </si>
  <si>
    <t>Pta Destino</t>
  </si>
  <si>
    <t>Insumo</t>
  </si>
  <si>
    <t>Cantidad</t>
  </si>
  <si>
    <t>Col1</t>
  </si>
  <si>
    <t>Litros a Trasegar</t>
  </si>
  <si>
    <t>Pta Origen</t>
  </si>
  <si>
    <t>Lleno Disponible</t>
  </si>
  <si>
    <t>OT Pasada a Trazabilidad</t>
  </si>
  <si>
    <t>Operario</t>
  </si>
  <si>
    <t>Completada</t>
  </si>
  <si>
    <t>Fecha Completada</t>
  </si>
  <si>
    <t>Observaciones Completada</t>
  </si>
  <si>
    <t>SO2L Real</t>
  </si>
  <si>
    <t>1000 lts</t>
  </si>
  <si>
    <t>6500 lts</t>
  </si>
  <si>
    <t>Rectificado  2200</t>
  </si>
  <si>
    <t>avila</t>
  </si>
  <si>
    <t>Gil</t>
  </si>
  <si>
    <t>diaz s</t>
  </si>
  <si>
    <t>aracena</t>
  </si>
  <si>
    <t>rios</t>
  </si>
  <si>
    <t>Pedro Gimenez Flotado a pileta de fermentacion</t>
  </si>
  <si>
    <t>Con lo que sobra que no entra en la 46, a donde va?</t>
  </si>
  <si>
    <t>Fueron 2000 litros de prensa a tanque 103</t>
  </si>
  <si>
    <t>sosa</t>
  </si>
  <si>
    <t>Fueron 13000 a tanque 103</t>
  </si>
  <si>
    <t>orosco</t>
  </si>
  <si>
    <t>2860 lts</t>
  </si>
  <si>
    <t>10000 a 66</t>
  </si>
  <si>
    <t>Me sobra vino en la 90. Preguntar s Mauricio</t>
  </si>
  <si>
    <t>lepez</t>
  </si>
  <si>
    <t>6800 lts</t>
  </si>
  <si>
    <t>8500</t>
  </si>
  <si>
    <t>9000</t>
  </si>
  <si>
    <t>3600</t>
  </si>
  <si>
    <t>6800</t>
  </si>
  <si>
    <t>15000 lts de trasiego</t>
  </si>
  <si>
    <t>10800 lts</t>
  </si>
  <si>
    <t>3600 lts</t>
  </si>
  <si>
    <t>me sobraron 7000 lts.  A donde van?</t>
  </si>
  <si>
    <t>8150 lts</t>
  </si>
  <si>
    <t>4500 lts</t>
  </si>
  <si>
    <t>7250 lts</t>
  </si>
  <si>
    <t>12600 lts</t>
  </si>
  <si>
    <t>Fue a la 11 en vez de a la 41</t>
  </si>
  <si>
    <t>8500 lts se dosifican desde la pileta 11 que esta el rectificado</t>
  </si>
  <si>
    <t>4800</t>
  </si>
  <si>
    <t>190 x 30 = 5700</t>
  </si>
  <si>
    <t>A la pileta 72 del Chardonnay tardio</t>
  </si>
  <si>
    <t>resto a la 96</t>
  </si>
  <si>
    <t>Falta definir si el saldo fue a borra u a otra pileta</t>
  </si>
  <si>
    <t>Fue al 126</t>
  </si>
  <si>
    <t>Faltaron 40bcm y completo 118. Quedó llena</t>
  </si>
  <si>
    <t>No se realizó. Borrar</t>
  </si>
  <si>
    <t>Fue a la 79</t>
  </si>
  <si>
    <t>16900 lts</t>
  </si>
  <si>
    <t>4700 lts</t>
  </si>
  <si>
    <t>17000 lts</t>
  </si>
  <si>
    <t>Si falta se llena de la 120</t>
  </si>
  <si>
    <t>60000 lts</t>
  </si>
  <si>
    <t>15/5 falta ver a donde fue el saldo que no entrò a la 91</t>
  </si>
  <si>
    <t>sobraron 1600 lts que fueron 51</t>
  </si>
  <si>
    <t>35000 lts</t>
  </si>
  <si>
    <t>44400 lts a 24</t>
  </si>
  <si>
    <t>9500 lts</t>
  </si>
  <si>
    <t>18100 lts a 24  (10% del corte)</t>
  </si>
  <si>
    <t>completa</t>
  </si>
  <si>
    <t>hasta llenar deben sobrar aprox 5000 lts</t>
  </si>
  <si>
    <t>3000 lts</t>
  </si>
  <si>
    <t>me sobraron 600 lts</t>
  </si>
  <si>
    <t>No me hizo falta, me sobraron 600 lts en 15</t>
  </si>
  <si>
    <t>Fue a la 71</t>
  </si>
  <si>
    <t>ID Baume</t>
  </si>
  <si>
    <t>Turno</t>
  </si>
  <si>
    <t>Grado Bame</t>
  </si>
  <si>
    <t>Temperatura</t>
  </si>
  <si>
    <t>1db990ef</t>
  </si>
  <si>
    <t>Mañana</t>
  </si>
  <si>
    <t>baa8dcd9</t>
  </si>
  <si>
    <t>Tarde</t>
  </si>
  <si>
    <t>fee7e44e</t>
  </si>
  <si>
    <t>6e0538da</t>
  </si>
  <si>
    <t>497de2d4</t>
  </si>
  <si>
    <t>152288c3</t>
  </si>
  <si>
    <t>9be06c1d</t>
  </si>
  <si>
    <t>6b754189</t>
  </si>
  <si>
    <t>32c6e9a1</t>
  </si>
  <si>
    <t>68bf52f7</t>
  </si>
  <si>
    <t>ID OT Bodega</t>
  </si>
  <si>
    <t>Tarea OT</t>
  </si>
  <si>
    <t>Fecha Hora Completada</t>
  </si>
  <si>
    <t>be924618</t>
  </si>
  <si>
    <t>Lavado Pileta</t>
  </si>
  <si>
    <t>596c3ee3</t>
  </si>
  <si>
    <t>7350f188</t>
  </si>
  <si>
    <t>Lavar canaletas</t>
  </si>
  <si>
    <t>ID Tarea OT</t>
  </si>
  <si>
    <t>Desinfeccion Mochila y Peracetico Ac.</t>
  </si>
  <si>
    <t>Lavado de baños, laboratorio y Comedor</t>
  </si>
  <si>
    <t>Lavar lagares</t>
  </si>
  <si>
    <t>Descargar Prensa y Decolorar</t>
  </si>
  <si>
    <t>Descargar Prensa y lavar</t>
  </si>
  <si>
    <t>Decolorar refrigerante</t>
  </si>
  <si>
    <t>Lavado y Desf. Bomba y caño</t>
  </si>
  <si>
    <t>Lavado y Desinfectado Pileta</t>
  </si>
  <si>
    <t>ID_User</t>
  </si>
  <si>
    <t>Role</t>
  </si>
  <si>
    <t>arlanzarini@gmail.com</t>
  </si>
  <si>
    <t>admin</t>
  </si>
  <si>
    <t>lanzarini.apps@gmail.com</t>
  </si>
  <si>
    <t>mscala70@gmail.com</t>
  </si>
  <si>
    <t>enologo</t>
  </si>
  <si>
    <t>sergiodanieldiazpancher@gmail.com</t>
  </si>
  <si>
    <t>capataz</t>
  </si>
  <si>
    <t>vickiprandina@gmail.com</t>
  </si>
  <si>
    <t>ID Operario</t>
  </si>
  <si>
    <t>Nombre</t>
  </si>
  <si>
    <t>Gil Alejandro</t>
  </si>
  <si>
    <t>Aracena Agustin</t>
  </si>
  <si>
    <t>Sosa Lautaro</t>
  </si>
  <si>
    <t>Rios Agustin</t>
  </si>
  <si>
    <t>Orosco Alejandro</t>
  </si>
  <si>
    <t>Diaz Sergio</t>
  </si>
  <si>
    <t>Lepez Carlos</t>
  </si>
  <si>
    <t>Avila Marcelo</t>
  </si>
  <si>
    <t>scala</t>
  </si>
  <si>
    <t>Scala Mauricio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</si>
</sst>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dd/mm/yyyy h:mm:ss"/>
    <numFmt numFmtId="165" formatCode="d/m/yyyy h:mm:ss"/>
    <numFmt numFmtId="166" formatCode="yyyymmmd"/>
    <numFmt numFmtId="167" formatCode="d/MM/yyyy"/>
    <numFmt numFmtId="168" formatCode="#,##0_);(#,##0)"/>
    <numFmt numFmtId="169" formatCode="#,##0_);[Red](#,##0)"/>
    <numFmt numFmtId="170" formatCode="d&quot;/&quot;mm&quot;/&quot;yy"/>
    <numFmt numFmtId="171" formatCode="0.0"/>
    <numFmt numFmtId="172" formatCode="dd/mm/yyyy"/>
    <numFmt numFmtId="173" formatCode="d/m/yyyy"/>
  </numFmts>
  <fonts count="5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</font>
    <font>
      <b/>
      <color theme="1"/>
      <name val="Arial"/>
    </font>
    <font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980000"/>
        <bgColor rgb="FF980000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D5A6BD"/>
        <bgColor rgb="FFD5A6BD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FCE5CD"/>
        <bgColor rgb="FFFCE5C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/>
    </xf>
    <xf quotePrefix="1" borderId="0" fillId="0" fontId="2" numFmtId="0" xfId="0" applyAlignment="1" applyFont="1">
      <alignment horizontal="center"/>
    </xf>
    <xf borderId="0" fillId="0" fontId="2" numFmtId="0" xfId="0" applyFont="1"/>
    <xf quotePrefix="1" borderId="0" fillId="0" fontId="2" numFmtId="0" xfId="0" applyFont="1"/>
    <xf borderId="0" fillId="3" fontId="2" numFmtId="0" xfId="0" applyFill="1" applyFont="1"/>
    <xf borderId="0" fillId="4" fontId="3" numFmtId="0" xfId="0" applyFill="1" applyFont="1"/>
    <xf borderId="0" fillId="0" fontId="3" numFmtId="0" xfId="0" applyFont="1"/>
    <xf borderId="0" fillId="0" fontId="2" numFmtId="164" xfId="0" applyFont="1" applyNumberFormat="1"/>
    <xf borderId="0" fillId="0" fontId="2" numFmtId="0" xfId="0" applyAlignment="1" applyFont="1">
      <alignment horizontal="center" shrinkToFit="0" wrapText="1"/>
    </xf>
    <xf borderId="0" fillId="5" fontId="3" numFmtId="0" xfId="0" applyAlignment="1" applyFill="1" applyFont="1">
      <alignment horizontal="center" shrinkToFit="0" wrapText="1"/>
    </xf>
    <xf borderId="0" fillId="0" fontId="3" numFmtId="0" xfId="0" applyAlignment="1" applyFont="1">
      <alignment horizontal="center" shrinkToFit="0" wrapText="1"/>
    </xf>
    <xf borderId="0" fillId="3" fontId="3" numFmtId="0" xfId="0" applyAlignment="1" applyFont="1">
      <alignment horizontal="center" shrinkToFit="0" wrapText="1"/>
    </xf>
    <xf borderId="0" fillId="6" fontId="3" numFmtId="0" xfId="0" applyAlignment="1" applyFill="1" applyFont="1">
      <alignment horizontal="center" shrinkToFit="0" wrapText="1"/>
    </xf>
    <xf borderId="0" fillId="0" fontId="2" numFmtId="165" xfId="0" applyAlignment="1" applyFont="1" applyNumberFormat="1">
      <alignment horizontal="center" shrinkToFit="0" wrapText="1"/>
    </xf>
    <xf borderId="0" fillId="7" fontId="3" numFmtId="0" xfId="0" applyAlignment="1" applyFill="1" applyFont="1">
      <alignment horizontal="center" shrinkToFit="0" wrapText="1"/>
    </xf>
    <xf borderId="0" fillId="4" fontId="3" numFmtId="0" xfId="0" applyAlignment="1" applyFont="1">
      <alignment horizontal="center" shrinkToFit="0" wrapText="1"/>
    </xf>
    <xf borderId="0" fillId="0" fontId="4" numFmtId="0" xfId="0" applyFont="1"/>
    <xf borderId="0" fillId="6" fontId="2" numFmtId="0" xfId="0" applyFont="1"/>
    <xf borderId="0" fillId="7" fontId="3" numFmtId="0" xfId="0" applyFont="1"/>
    <xf borderId="0" fillId="0" fontId="4" numFmtId="164" xfId="0" applyFont="1" applyNumberFormat="1"/>
    <xf borderId="0" fillId="0" fontId="2" numFmtId="164" xfId="0" applyAlignment="1" applyFont="1" applyNumberFormat="1">
      <alignment horizontal="center" vertical="bottom"/>
    </xf>
    <xf borderId="0" fillId="0" fontId="2" numFmtId="164" xfId="0" applyAlignment="1" applyFont="1" applyNumberFormat="1">
      <alignment horizontal="center"/>
    </xf>
    <xf borderId="0" fillId="0" fontId="2" numFmtId="166" xfId="0" applyAlignment="1" applyFont="1" applyNumberFormat="1">
      <alignment horizontal="center"/>
    </xf>
    <xf borderId="0" fillId="0" fontId="2" numFmtId="165" xfId="0" applyAlignment="1" applyFont="1" applyNumberFormat="1">
      <alignment horizontal="center"/>
    </xf>
    <xf borderId="0" fillId="8" fontId="2" numFmtId="0" xfId="0" applyAlignment="1" applyFill="1" applyFont="1">
      <alignment horizontal="center"/>
    </xf>
    <xf borderId="0" fillId="8" fontId="2" numFmtId="165" xfId="0" applyAlignment="1" applyFont="1" applyNumberFormat="1">
      <alignment horizontal="center"/>
    </xf>
    <xf borderId="0" fillId="8" fontId="2" numFmtId="0" xfId="0" applyFont="1"/>
    <xf quotePrefix="1" borderId="0" fillId="8" fontId="2" numFmtId="0" xfId="0" applyFont="1"/>
    <xf borderId="0" fillId="2" fontId="1" numFmtId="0" xfId="0" applyAlignment="1" applyFont="1">
      <alignment horizontal="center" shrinkToFit="0" vertical="bottom" wrapText="1"/>
    </xf>
    <xf borderId="0" fillId="0" fontId="2" numFmtId="0" xfId="0" applyAlignment="1" applyFont="1">
      <alignment shrinkToFit="0" wrapText="1"/>
    </xf>
    <xf borderId="0" fillId="3" fontId="2" numFmtId="0" xfId="0" applyAlignment="1" applyFont="1">
      <alignment vertical="bottom"/>
    </xf>
    <xf borderId="0" fillId="3" fontId="2" numFmtId="165" xfId="0" applyAlignment="1" applyFont="1" applyNumberFormat="1">
      <alignment horizontal="right" vertical="bottom"/>
    </xf>
    <xf borderId="0" fillId="3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165" xfId="0" applyAlignment="1" applyFont="1" applyNumberFormat="1">
      <alignment horizontal="right" vertical="bottom"/>
    </xf>
    <xf borderId="0" fillId="5" fontId="2" numFmtId="0" xfId="0" applyFont="1"/>
    <xf borderId="0" fillId="0" fontId="2" numFmtId="165" xfId="0" applyFont="1" applyNumberFormat="1"/>
    <xf borderId="0" fillId="8" fontId="2" numFmtId="165" xfId="0" applyFont="1" applyNumberFormat="1"/>
    <xf borderId="0" fillId="3" fontId="2" numFmtId="165" xfId="0" applyFont="1" applyNumberFormat="1"/>
    <xf borderId="0" fillId="3" fontId="2" numFmtId="0" xfId="0" applyAlignment="1" applyFont="1">
      <alignment horizontal="center"/>
    </xf>
    <xf borderId="0" fillId="9" fontId="3" numFmtId="167" xfId="0" applyAlignment="1" applyFill="1" applyFont="1" applyNumberFormat="1">
      <alignment horizontal="center"/>
    </xf>
    <xf borderId="0" fillId="9" fontId="3" numFmtId="0" xfId="0" applyAlignment="1" applyFont="1">
      <alignment horizontal="center"/>
    </xf>
    <xf borderId="0" fillId="9" fontId="3" numFmtId="168" xfId="0" applyAlignment="1" applyFont="1" applyNumberFormat="1">
      <alignment horizontal="center"/>
    </xf>
    <xf borderId="0" fillId="9" fontId="3" numFmtId="169" xfId="0" applyAlignment="1" applyFont="1" applyNumberFormat="1">
      <alignment horizontal="center"/>
    </xf>
    <xf borderId="0" fillId="9" fontId="3" numFmtId="49" xfId="0" applyAlignment="1" applyFont="1" applyNumberFormat="1">
      <alignment horizontal="center"/>
    </xf>
    <xf borderId="1" fillId="10" fontId="3" numFmtId="0" xfId="0" applyAlignment="1" applyBorder="1" applyFill="1" applyFont="1">
      <alignment horizontal="center" shrinkToFit="0" wrapText="1"/>
    </xf>
    <xf borderId="1" fillId="10" fontId="3" numFmtId="1" xfId="0" applyAlignment="1" applyBorder="1" applyFont="1" applyNumberFormat="1">
      <alignment horizontal="center" shrinkToFit="0" wrapText="1"/>
    </xf>
    <xf borderId="1" fillId="10" fontId="3" numFmtId="4" xfId="0" applyAlignment="1" applyBorder="1" applyFont="1" applyNumberFormat="1">
      <alignment horizontal="center" shrinkToFit="0" wrapText="1"/>
    </xf>
    <xf borderId="1" fillId="10" fontId="3" numFmtId="0" xfId="0" applyAlignment="1" applyBorder="1" applyFont="1">
      <alignment horizontal="center"/>
    </xf>
    <xf borderId="1" fillId="10" fontId="3" numFmtId="2" xfId="0" applyAlignment="1" applyBorder="1" applyFont="1" applyNumberFormat="1">
      <alignment horizontal="center" shrinkToFit="0" wrapText="1"/>
    </xf>
    <xf borderId="0" fillId="0" fontId="2" numFmtId="170" xfId="0" applyAlignment="1" applyFont="1" applyNumberFormat="1">
      <alignment horizontal="center"/>
    </xf>
    <xf borderId="0" fillId="0" fontId="2" numFmtId="1" xfId="0" applyAlignment="1" applyFont="1" applyNumberFormat="1">
      <alignment horizontal="center"/>
    </xf>
    <xf borderId="0" fillId="0" fontId="2" numFmtId="4" xfId="0" applyAlignment="1" applyFont="1" applyNumberFormat="1">
      <alignment horizontal="center"/>
    </xf>
    <xf borderId="0" fillId="0" fontId="2" numFmtId="171" xfId="0" applyAlignment="1" applyFont="1" applyNumberFormat="1">
      <alignment horizontal="center"/>
    </xf>
    <xf borderId="0" fillId="0" fontId="2" numFmtId="2" xfId="0" applyAlignment="1" applyFont="1" applyNumberFormat="1">
      <alignment horizontal="center"/>
    </xf>
    <xf borderId="0" fillId="0" fontId="2" numFmtId="2" xfId="0" applyFont="1" applyNumberFormat="1"/>
    <xf borderId="0" fillId="0" fontId="2" numFmtId="172" xfId="0" applyFont="1" applyNumberFormat="1"/>
    <xf borderId="0" fillId="0" fontId="2" numFmtId="17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" id="{42e1f792-08c5-4e0d-9934-a59d695e7f48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1" dT="2026-07-05T23:29:24.00" personId="{42e1f792-08c5-4e0d-9934-a59d695e7f48}" id="{a580828e-d5a1-4f12-a5b9-a44e8f60b5dd}" done="0">
    <x18tc:text xml:space="preserve">=IF(B1554="";"";QUERY(Arqueo!A4:K134;"SELECT A, G, E WHERE B = "&amp;B1554;-1))
si no funciona la otra formula, esta es la que estaba antes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2.xml"/><Relationship Id="rId5" Type="http://schemas.openxmlformats.org/officeDocument/2006/relationships/vmlDrawing" Target="../drawings/vmlDrawing1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v>1.0</v>
      </c>
      <c r="B2" s="2">
        <v>107500.0</v>
      </c>
      <c r="C2" s="2"/>
      <c r="D2" s="3"/>
      <c r="E2" s="3" t="s">
        <v>6</v>
      </c>
      <c r="F2" s="2">
        <v>574.0</v>
      </c>
    </row>
    <row r="3" ht="15.75" customHeight="1">
      <c r="A3" s="2">
        <v>2.0</v>
      </c>
      <c r="B3" s="2">
        <v>8400.0</v>
      </c>
      <c r="C3" s="2" t="s">
        <v>7</v>
      </c>
      <c r="D3" s="3"/>
      <c r="E3" s="3" t="s">
        <v>6</v>
      </c>
      <c r="F3" s="2">
        <v>43.0</v>
      </c>
    </row>
    <row r="4" ht="15.75" customHeight="1">
      <c r="A4" s="2">
        <v>3.0</v>
      </c>
      <c r="B4" s="2">
        <v>15000.0</v>
      </c>
      <c r="C4" s="2"/>
      <c r="D4" s="3"/>
      <c r="E4" s="3" t="s">
        <v>6</v>
      </c>
      <c r="F4" s="2">
        <v>78.0</v>
      </c>
    </row>
    <row r="5" ht="15.75" customHeight="1">
      <c r="A5" s="2">
        <v>4.0</v>
      </c>
      <c r="B5" s="2">
        <v>26000.0</v>
      </c>
      <c r="C5" s="2"/>
      <c r="D5" s="3"/>
      <c r="E5" s="3" t="s">
        <v>6</v>
      </c>
      <c r="F5" s="2">
        <v>127.0</v>
      </c>
    </row>
    <row r="6" ht="15.75" customHeight="1">
      <c r="A6" s="2">
        <v>5.0</v>
      </c>
      <c r="B6" s="2">
        <v>30000.0</v>
      </c>
      <c r="C6" s="2" t="s">
        <v>8</v>
      </c>
      <c r="D6" s="3"/>
      <c r="E6" s="3" t="s">
        <v>6</v>
      </c>
      <c r="F6" s="2">
        <v>170.0</v>
      </c>
    </row>
    <row r="7" ht="15.75" customHeight="1">
      <c r="A7" s="2">
        <v>6.0</v>
      </c>
      <c r="B7" s="2">
        <v>32000.0</v>
      </c>
      <c r="C7" s="2" t="s">
        <v>9</v>
      </c>
      <c r="D7" s="3"/>
      <c r="E7" s="3" t="s">
        <v>6</v>
      </c>
      <c r="F7" s="2">
        <v>170.0</v>
      </c>
    </row>
    <row r="8" ht="15.75" customHeight="1">
      <c r="A8" s="2">
        <v>7.0</v>
      </c>
      <c r="B8" s="2">
        <v>30000.0</v>
      </c>
      <c r="C8" s="2"/>
      <c r="D8" s="3"/>
      <c r="E8" s="3" t="s">
        <v>6</v>
      </c>
      <c r="F8" s="2">
        <v>170.0</v>
      </c>
    </row>
    <row r="9" ht="15.75" customHeight="1">
      <c r="A9" s="2">
        <v>8.0</v>
      </c>
      <c r="B9" s="2">
        <v>22000.0</v>
      </c>
      <c r="C9" s="2" t="s">
        <v>10</v>
      </c>
      <c r="D9" s="3"/>
      <c r="E9" s="3" t="s">
        <v>6</v>
      </c>
      <c r="F9" s="2">
        <v>130.0</v>
      </c>
    </row>
    <row r="10" ht="15.75" customHeight="1">
      <c r="A10" s="2">
        <v>9.0</v>
      </c>
      <c r="B10" s="2">
        <v>30000.0</v>
      </c>
      <c r="C10" s="2"/>
      <c r="D10" s="3"/>
      <c r="E10" s="3" t="s">
        <v>6</v>
      </c>
      <c r="F10" s="2">
        <v>170.0</v>
      </c>
    </row>
    <row r="11" ht="15.75" customHeight="1">
      <c r="A11" s="2">
        <v>10.0</v>
      </c>
      <c r="B11" s="2">
        <v>21000.0</v>
      </c>
      <c r="C11" s="2" t="s">
        <v>11</v>
      </c>
      <c r="D11" s="3"/>
      <c r="E11" s="3" t="s">
        <v>6</v>
      </c>
      <c r="F11" s="2">
        <v>132.0</v>
      </c>
    </row>
    <row r="12" ht="15.75" customHeight="1">
      <c r="A12" s="3">
        <v>11.0</v>
      </c>
      <c r="B12" s="3">
        <v>36000.0</v>
      </c>
      <c r="C12" s="3"/>
      <c r="D12" s="3"/>
      <c r="E12" s="3" t="s">
        <v>6</v>
      </c>
      <c r="F12" s="3">
        <v>190.0</v>
      </c>
    </row>
    <row r="13" ht="15.75" customHeight="1">
      <c r="A13" s="3">
        <v>12.0</v>
      </c>
      <c r="B13" s="3">
        <v>35300.0</v>
      </c>
      <c r="C13" s="3"/>
      <c r="D13" s="3"/>
      <c r="E13" s="3" t="s">
        <v>6</v>
      </c>
      <c r="F13" s="3">
        <v>190.0</v>
      </c>
    </row>
    <row r="14" ht="15.75" customHeight="1">
      <c r="A14" s="3">
        <v>13.0</v>
      </c>
      <c r="B14" s="3">
        <v>20000.0</v>
      </c>
      <c r="C14" s="3"/>
      <c r="D14" s="3"/>
      <c r="E14" s="3" t="s">
        <v>6</v>
      </c>
      <c r="F14" s="3">
        <v>145.0</v>
      </c>
    </row>
    <row r="15" ht="15.75" customHeight="1">
      <c r="A15" s="3">
        <v>14.0</v>
      </c>
      <c r="B15" s="3">
        <v>37000.0</v>
      </c>
      <c r="C15" s="3" t="s">
        <v>12</v>
      </c>
      <c r="D15" s="3"/>
      <c r="E15" s="3" t="s">
        <v>6</v>
      </c>
      <c r="F15" s="3">
        <v>201.0</v>
      </c>
    </row>
    <row r="16" ht="15.75" customHeight="1">
      <c r="A16" s="3">
        <v>15.0</v>
      </c>
      <c r="B16" s="3">
        <v>36500.0</v>
      </c>
      <c r="C16" s="3"/>
      <c r="D16" s="3"/>
      <c r="E16" s="3" t="s">
        <v>6</v>
      </c>
      <c r="F16" s="3">
        <v>197.0</v>
      </c>
    </row>
    <row r="17" ht="15.75" customHeight="1">
      <c r="A17" s="3">
        <v>16.0</v>
      </c>
      <c r="B17" s="3">
        <v>19500.0</v>
      </c>
      <c r="C17" s="3" t="s">
        <v>13</v>
      </c>
      <c r="D17" s="3"/>
      <c r="E17" s="3" t="s">
        <v>6</v>
      </c>
      <c r="F17" s="3">
        <v>137.0</v>
      </c>
    </row>
    <row r="18" ht="15.75" customHeight="1">
      <c r="A18" s="3">
        <v>17.0</v>
      </c>
      <c r="B18" s="3">
        <v>39500.0</v>
      </c>
      <c r="C18" s="3"/>
      <c r="D18" s="3"/>
      <c r="E18" s="3" t="s">
        <v>6</v>
      </c>
      <c r="F18" s="3">
        <v>200.0</v>
      </c>
    </row>
    <row r="19" ht="15.75" customHeight="1">
      <c r="A19" s="3">
        <v>18.0</v>
      </c>
      <c r="B19" s="3">
        <v>39500.0</v>
      </c>
      <c r="C19" s="3"/>
      <c r="D19" s="3"/>
      <c r="E19" s="3" t="s">
        <v>6</v>
      </c>
      <c r="F19" s="3">
        <v>200.0</v>
      </c>
    </row>
    <row r="20" ht="15.75" customHeight="1">
      <c r="A20" s="3">
        <v>19.0</v>
      </c>
      <c r="B20" s="3">
        <v>27500.0</v>
      </c>
      <c r="C20" s="3"/>
      <c r="D20" s="3"/>
      <c r="E20" s="3" t="s">
        <v>6</v>
      </c>
      <c r="F20" s="3">
        <v>139.0</v>
      </c>
    </row>
    <row r="21" ht="15.75" customHeight="1">
      <c r="A21" s="3">
        <v>20.0</v>
      </c>
      <c r="B21" s="3">
        <v>38100.0</v>
      </c>
      <c r="C21" s="3"/>
      <c r="D21" s="3"/>
      <c r="E21" s="3" t="s">
        <v>6</v>
      </c>
      <c r="F21" s="3">
        <v>175.0</v>
      </c>
    </row>
    <row r="22" ht="15.75" customHeight="1">
      <c r="A22" s="3">
        <v>21.0</v>
      </c>
      <c r="B22" s="3">
        <v>28000.0</v>
      </c>
      <c r="C22" s="3"/>
      <c r="D22" s="3"/>
      <c r="E22" s="3" t="s">
        <v>6</v>
      </c>
      <c r="F22" s="3">
        <v>137.0</v>
      </c>
    </row>
    <row r="23" ht="15.75" customHeight="1">
      <c r="A23" s="3">
        <v>22.0</v>
      </c>
      <c r="B23" s="3">
        <v>41100.0</v>
      </c>
      <c r="C23" s="3"/>
      <c r="D23" s="3"/>
      <c r="E23" s="3" t="s">
        <v>6</v>
      </c>
      <c r="F23" s="3">
        <v>205.0</v>
      </c>
    </row>
    <row r="24" ht="15.75" customHeight="1">
      <c r="A24" s="3">
        <v>23.0</v>
      </c>
      <c r="B24" s="3">
        <v>197100.0</v>
      </c>
      <c r="C24" s="3"/>
      <c r="D24" s="3"/>
      <c r="E24" s="3" t="s">
        <v>6</v>
      </c>
      <c r="F24" s="3">
        <v>564.0</v>
      </c>
    </row>
    <row r="25" ht="15.75" customHeight="1">
      <c r="A25" s="3">
        <v>24.0</v>
      </c>
      <c r="B25" s="3">
        <v>186600.0</v>
      </c>
      <c r="C25" s="3" t="s">
        <v>14</v>
      </c>
      <c r="D25" s="3"/>
      <c r="E25" s="3" t="s">
        <v>6</v>
      </c>
      <c r="F25" s="3">
        <v>550.0</v>
      </c>
    </row>
    <row r="26" ht="15.75" customHeight="1">
      <c r="A26" s="3">
        <v>25.0</v>
      </c>
      <c r="B26" s="3">
        <v>194300.0</v>
      </c>
      <c r="C26" s="3" t="s">
        <v>15</v>
      </c>
      <c r="D26" s="3"/>
      <c r="E26" s="3" t="s">
        <v>6</v>
      </c>
      <c r="F26" s="3">
        <v>560.0</v>
      </c>
    </row>
    <row r="27" ht="15.75" customHeight="1">
      <c r="A27" s="3">
        <v>26.0</v>
      </c>
      <c r="B27" s="3">
        <v>207600.0</v>
      </c>
      <c r="C27" s="3" t="s">
        <v>16</v>
      </c>
      <c r="D27" s="3"/>
      <c r="E27" s="3" t="s">
        <v>6</v>
      </c>
      <c r="F27" s="3">
        <v>600.0</v>
      </c>
    </row>
    <row r="28" ht="15.75" customHeight="1">
      <c r="A28" s="3">
        <v>27.0</v>
      </c>
      <c r="B28" s="3">
        <v>207100.0</v>
      </c>
      <c r="C28" s="3"/>
      <c r="D28" s="3"/>
      <c r="E28" s="3" t="s">
        <v>6</v>
      </c>
      <c r="F28" s="3">
        <v>600.0</v>
      </c>
    </row>
    <row r="29" ht="15.75" customHeight="1">
      <c r="A29" s="3">
        <v>28.0</v>
      </c>
      <c r="B29" s="3">
        <v>216000.0</v>
      </c>
      <c r="C29" s="3"/>
      <c r="D29" s="3"/>
      <c r="E29" s="3" t="s">
        <v>6</v>
      </c>
      <c r="F29" s="3">
        <v>600.0</v>
      </c>
    </row>
    <row r="30" ht="15.75" customHeight="1">
      <c r="A30" s="3">
        <v>29.0</v>
      </c>
      <c r="B30" s="3">
        <v>20400.0</v>
      </c>
      <c r="C30" s="3"/>
      <c r="D30" s="3"/>
      <c r="E30" s="3" t="s">
        <v>6</v>
      </c>
      <c r="F30" s="3">
        <v>113.0</v>
      </c>
    </row>
    <row r="31" ht="15.75" customHeight="1">
      <c r="A31" s="3">
        <v>30.0</v>
      </c>
      <c r="B31" s="3">
        <v>38800.0</v>
      </c>
      <c r="C31" s="3"/>
      <c r="D31" s="3"/>
      <c r="E31" s="3" t="s">
        <v>6</v>
      </c>
      <c r="F31" s="3">
        <v>170.0</v>
      </c>
    </row>
    <row r="32" ht="15.75" customHeight="1">
      <c r="A32" s="3">
        <v>31.0</v>
      </c>
      <c r="B32" s="3">
        <v>25700.0</v>
      </c>
      <c r="C32" s="3"/>
      <c r="D32" s="3"/>
      <c r="E32" s="3" t="s">
        <v>6</v>
      </c>
      <c r="F32" s="3">
        <v>133.0</v>
      </c>
    </row>
    <row r="33" ht="15.75" customHeight="1">
      <c r="A33" s="3">
        <v>32.0</v>
      </c>
      <c r="B33" s="3">
        <v>36300.0</v>
      </c>
      <c r="C33" s="3"/>
      <c r="D33" s="3"/>
      <c r="E33" s="3" t="s">
        <v>6</v>
      </c>
      <c r="F33" s="3">
        <v>180.0</v>
      </c>
    </row>
    <row r="34" ht="15.75" customHeight="1">
      <c r="A34" s="3">
        <v>33.0</v>
      </c>
      <c r="B34" s="3">
        <v>25300.0</v>
      </c>
      <c r="C34" s="3" t="s">
        <v>17</v>
      </c>
      <c r="D34" s="3"/>
      <c r="E34" s="3" t="s">
        <v>6</v>
      </c>
      <c r="F34" s="3">
        <v>138.0</v>
      </c>
    </row>
    <row r="35" ht="15.75" customHeight="1">
      <c r="A35" s="3">
        <v>34.0</v>
      </c>
      <c r="B35" s="3">
        <v>39500.0</v>
      </c>
      <c r="C35" s="3" t="s">
        <v>18</v>
      </c>
      <c r="D35" s="3"/>
      <c r="E35" s="3" t="s">
        <v>6</v>
      </c>
      <c r="F35" s="3">
        <v>200.0</v>
      </c>
    </row>
    <row r="36" ht="15.75" customHeight="1">
      <c r="A36" s="3">
        <v>35.0</v>
      </c>
      <c r="B36" s="3">
        <v>39300.0</v>
      </c>
      <c r="C36" s="3"/>
      <c r="D36" s="3"/>
      <c r="E36" s="3" t="s">
        <v>6</v>
      </c>
      <c r="F36" s="3">
        <v>200.0</v>
      </c>
    </row>
    <row r="37" ht="15.75" customHeight="1">
      <c r="A37" s="3">
        <v>36.0</v>
      </c>
      <c r="B37" s="3">
        <v>19700.0</v>
      </c>
      <c r="C37" s="3" t="s">
        <v>19</v>
      </c>
      <c r="D37" s="3"/>
      <c r="E37" s="3" t="s">
        <v>6</v>
      </c>
      <c r="F37" s="3">
        <v>120.0</v>
      </c>
    </row>
    <row r="38" ht="15.75" customHeight="1">
      <c r="A38" s="3">
        <v>37.0</v>
      </c>
      <c r="B38" s="3">
        <v>39000.0</v>
      </c>
      <c r="C38" s="3"/>
      <c r="D38" s="3"/>
      <c r="E38" s="3" t="s">
        <v>6</v>
      </c>
      <c r="F38" s="3">
        <v>200.0</v>
      </c>
    </row>
    <row r="39" ht="15.75" customHeight="1">
      <c r="A39" s="3">
        <v>38.0</v>
      </c>
      <c r="B39" s="3">
        <v>23500.0</v>
      </c>
      <c r="C39" s="3"/>
      <c r="D39" s="3"/>
      <c r="E39" s="3" t="s">
        <v>6</v>
      </c>
      <c r="F39" s="3">
        <v>130.0</v>
      </c>
    </row>
    <row r="40" ht="15.75" customHeight="1">
      <c r="A40" s="3">
        <v>39.0</v>
      </c>
      <c r="B40" s="3">
        <v>40000.0</v>
      </c>
      <c r="C40" s="3"/>
      <c r="D40" s="3"/>
      <c r="E40" s="3" t="s">
        <v>6</v>
      </c>
      <c r="F40" s="3">
        <v>200.0</v>
      </c>
    </row>
    <row r="41" ht="15.75" customHeight="1">
      <c r="A41" s="3">
        <v>40.0</v>
      </c>
      <c r="B41" s="3">
        <v>24000.0</v>
      </c>
      <c r="C41" s="3"/>
      <c r="D41" s="3"/>
      <c r="E41" s="3" t="s">
        <v>6</v>
      </c>
      <c r="F41" s="3">
        <v>130.0</v>
      </c>
    </row>
    <row r="42" ht="15.75" customHeight="1">
      <c r="A42" s="3">
        <v>41.0</v>
      </c>
      <c r="B42" s="3">
        <v>35100.0</v>
      </c>
      <c r="C42" s="3"/>
      <c r="D42" s="3"/>
      <c r="E42" s="3" t="s">
        <v>6</v>
      </c>
      <c r="F42" s="3">
        <v>181.0</v>
      </c>
    </row>
    <row r="43" ht="15.75" customHeight="1">
      <c r="A43" s="3">
        <v>42.0</v>
      </c>
      <c r="B43" s="3">
        <v>35900.0</v>
      </c>
      <c r="C43" s="3" t="s">
        <v>20</v>
      </c>
      <c r="D43" s="3"/>
      <c r="E43" s="3" t="s">
        <v>6</v>
      </c>
      <c r="F43" s="3">
        <v>180.0</v>
      </c>
    </row>
    <row r="44" ht="15.75" customHeight="1">
      <c r="A44" s="3">
        <v>43.0</v>
      </c>
      <c r="B44" s="3">
        <v>17000.0</v>
      </c>
      <c r="C44" s="3"/>
      <c r="D44" s="3"/>
      <c r="E44" s="3" t="s">
        <v>6</v>
      </c>
      <c r="F44" s="3">
        <v>110.0</v>
      </c>
    </row>
    <row r="45" ht="15.75" customHeight="1">
      <c r="A45" s="3">
        <v>44.0</v>
      </c>
      <c r="B45" s="3">
        <v>19100.0</v>
      </c>
      <c r="C45" s="3" t="s">
        <v>21</v>
      </c>
      <c r="D45" s="3"/>
      <c r="E45" s="3" t="s">
        <v>6</v>
      </c>
      <c r="F45" s="3">
        <v>136.0</v>
      </c>
    </row>
    <row r="46" ht="15.75" customHeight="1">
      <c r="A46" s="3">
        <v>45.0</v>
      </c>
      <c r="B46" s="3">
        <v>30000.0</v>
      </c>
      <c r="C46" s="3"/>
      <c r="D46" s="3"/>
      <c r="E46" s="3" t="s">
        <v>6</v>
      </c>
      <c r="F46" s="3">
        <v>192.0</v>
      </c>
    </row>
    <row r="47" ht="15.75" customHeight="1">
      <c r="A47" s="3">
        <v>46.0</v>
      </c>
      <c r="B47" s="3">
        <v>29000.0</v>
      </c>
      <c r="C47" s="3" t="s">
        <v>22</v>
      </c>
      <c r="D47" s="3"/>
      <c r="E47" s="3" t="s">
        <v>6</v>
      </c>
      <c r="F47" s="3">
        <v>160.0</v>
      </c>
    </row>
    <row r="48" ht="15.75" customHeight="1">
      <c r="A48" s="3">
        <v>47.0</v>
      </c>
      <c r="B48" s="3">
        <v>20000.0</v>
      </c>
      <c r="C48" s="3"/>
      <c r="D48" s="3"/>
      <c r="E48" s="3" t="s">
        <v>6</v>
      </c>
      <c r="F48" s="3">
        <v>133.0</v>
      </c>
    </row>
    <row r="49" ht="15.75" customHeight="1">
      <c r="A49" s="3">
        <v>48.0</v>
      </c>
      <c r="B49" s="3">
        <v>26000.0</v>
      </c>
      <c r="C49" s="3" t="s">
        <v>23</v>
      </c>
      <c r="D49" s="3"/>
      <c r="E49" s="3" t="s">
        <v>6</v>
      </c>
      <c r="F49" s="3">
        <v>162.0</v>
      </c>
    </row>
    <row r="50" ht="15.75" customHeight="1">
      <c r="A50" s="3">
        <v>49.0</v>
      </c>
      <c r="B50" s="3">
        <v>26000.0</v>
      </c>
      <c r="C50" s="3"/>
      <c r="D50" s="3"/>
      <c r="E50" s="3" t="s">
        <v>6</v>
      </c>
      <c r="F50" s="3">
        <v>162.0</v>
      </c>
    </row>
    <row r="51" ht="15.75" customHeight="1">
      <c r="A51" s="3">
        <v>50.0</v>
      </c>
      <c r="B51" s="3">
        <v>5100.0</v>
      </c>
      <c r="C51" s="3" t="s">
        <v>24</v>
      </c>
      <c r="D51" s="3"/>
      <c r="E51" s="3" t="s">
        <v>6</v>
      </c>
      <c r="F51" s="3">
        <v>29.0</v>
      </c>
    </row>
    <row r="52" ht="15.75" customHeight="1">
      <c r="A52" s="3">
        <v>51.0</v>
      </c>
      <c r="B52" s="3">
        <v>3900.0</v>
      </c>
      <c r="C52" s="3" t="s">
        <v>25</v>
      </c>
      <c r="D52" s="3"/>
      <c r="E52" s="3" t="s">
        <v>6</v>
      </c>
      <c r="F52" s="3">
        <v>22.0</v>
      </c>
    </row>
    <row r="53" ht="15.75" customHeight="1">
      <c r="A53" s="3">
        <v>52.0</v>
      </c>
      <c r="B53" s="3">
        <v>27000.0</v>
      </c>
      <c r="C53" s="3"/>
      <c r="D53" s="3"/>
      <c r="E53" s="3" t="s">
        <v>6</v>
      </c>
      <c r="F53" s="3">
        <v>170.0</v>
      </c>
    </row>
    <row r="54" ht="15.75" customHeight="1">
      <c r="A54" s="3">
        <v>53.0</v>
      </c>
      <c r="B54" s="3">
        <v>22000.0</v>
      </c>
      <c r="C54" s="3" t="s">
        <v>26</v>
      </c>
      <c r="D54" s="3"/>
      <c r="E54" s="3" t="s">
        <v>6</v>
      </c>
      <c r="F54" s="3">
        <v>1.0</v>
      </c>
    </row>
    <row r="55" ht="15.75" customHeight="1">
      <c r="A55" s="3">
        <v>54.0</v>
      </c>
      <c r="B55" s="3">
        <v>22900.0</v>
      </c>
      <c r="C55" s="3" t="s">
        <v>27</v>
      </c>
      <c r="D55" s="3"/>
      <c r="E55" s="3" t="s">
        <v>6</v>
      </c>
      <c r="F55" s="3">
        <v>143.0</v>
      </c>
    </row>
    <row r="56" ht="15.75" customHeight="1">
      <c r="A56" s="3">
        <v>55.0</v>
      </c>
      <c r="B56" s="3">
        <v>3000.0</v>
      </c>
      <c r="C56" s="3" t="s">
        <v>28</v>
      </c>
      <c r="D56" s="3"/>
      <c r="E56" s="3" t="s">
        <v>6</v>
      </c>
      <c r="F56" s="3"/>
    </row>
    <row r="57" ht="15.75" customHeight="1">
      <c r="A57" s="3">
        <v>56.0</v>
      </c>
      <c r="B57" s="3">
        <v>3000.0</v>
      </c>
      <c r="C57" s="3"/>
      <c r="D57" s="3"/>
      <c r="E57" s="3" t="s">
        <v>6</v>
      </c>
      <c r="F57" s="3"/>
    </row>
    <row r="58" ht="15.75" customHeight="1">
      <c r="A58" s="3">
        <v>57.0</v>
      </c>
      <c r="B58" s="3">
        <v>96800.0</v>
      </c>
      <c r="C58" s="3"/>
      <c r="D58" s="3"/>
      <c r="E58" s="3" t="s">
        <v>6</v>
      </c>
      <c r="F58" s="3"/>
    </row>
    <row r="59" ht="15.75" customHeight="1">
      <c r="A59" s="3">
        <v>58.0</v>
      </c>
      <c r="B59" s="3">
        <v>58400.0</v>
      </c>
      <c r="C59" s="3"/>
      <c r="D59" s="3"/>
      <c r="E59" s="3" t="s">
        <v>6</v>
      </c>
      <c r="F59" s="3">
        <v>275.0</v>
      </c>
    </row>
    <row r="60" ht="15.75" customHeight="1">
      <c r="A60" s="3">
        <v>59.0</v>
      </c>
      <c r="B60" s="3">
        <v>58200.0</v>
      </c>
      <c r="C60" s="3"/>
      <c r="D60" s="3"/>
      <c r="E60" s="3" t="s">
        <v>6</v>
      </c>
      <c r="F60" s="3">
        <v>275.0</v>
      </c>
    </row>
    <row r="61" ht="15.75" customHeight="1">
      <c r="A61" s="3">
        <v>60.0</v>
      </c>
      <c r="B61" s="3">
        <v>55000.0</v>
      </c>
      <c r="C61" s="3"/>
      <c r="D61" s="3"/>
      <c r="E61" s="3" t="s">
        <v>6</v>
      </c>
      <c r="F61" s="3">
        <v>270.0</v>
      </c>
    </row>
    <row r="62" ht="15.75" customHeight="1">
      <c r="A62" s="3">
        <v>61.0</v>
      </c>
      <c r="B62" s="3">
        <v>57100.0</v>
      </c>
      <c r="C62" s="3"/>
      <c r="D62" s="3"/>
      <c r="E62" s="3" t="s">
        <v>6</v>
      </c>
      <c r="F62" s="3">
        <v>270.0</v>
      </c>
    </row>
    <row r="63" ht="15.75" customHeight="1">
      <c r="A63" s="3">
        <v>62.0</v>
      </c>
      <c r="B63" s="3">
        <v>55000.0</v>
      </c>
      <c r="C63" s="3"/>
      <c r="D63" s="3"/>
      <c r="E63" s="3" t="s">
        <v>6</v>
      </c>
      <c r="F63" s="3">
        <v>270.0</v>
      </c>
    </row>
    <row r="64" ht="15.75" customHeight="1">
      <c r="A64" s="3">
        <v>63.0</v>
      </c>
      <c r="B64" s="3">
        <v>70300.0</v>
      </c>
      <c r="C64" s="3"/>
      <c r="D64" s="3"/>
      <c r="E64" s="3" t="s">
        <v>6</v>
      </c>
      <c r="F64" s="3"/>
    </row>
    <row r="65" ht="15.75" customHeight="1">
      <c r="A65" s="3">
        <v>64.0</v>
      </c>
      <c r="B65" s="3">
        <v>259600.0</v>
      </c>
      <c r="C65" s="3"/>
      <c r="D65" s="3"/>
      <c r="E65" s="3" t="s">
        <v>6</v>
      </c>
      <c r="F65" s="3">
        <v>917.0</v>
      </c>
    </row>
    <row r="66" ht="15.75" customHeight="1">
      <c r="A66" s="3">
        <v>65.0</v>
      </c>
      <c r="B66" s="3">
        <v>35500.0</v>
      </c>
      <c r="C66" s="3" t="s">
        <v>29</v>
      </c>
      <c r="D66" s="3"/>
      <c r="E66" s="3" t="s">
        <v>30</v>
      </c>
      <c r="F66" s="3">
        <v>147.0</v>
      </c>
    </row>
    <row r="67" ht="15.75" customHeight="1">
      <c r="A67" s="3">
        <v>66.0</v>
      </c>
      <c r="B67" s="3">
        <v>23000.0</v>
      </c>
      <c r="C67" s="3" t="s">
        <v>31</v>
      </c>
      <c r="D67" s="3"/>
      <c r="E67" s="3" t="s">
        <v>30</v>
      </c>
      <c r="F67" s="3">
        <v>90.0</v>
      </c>
    </row>
    <row r="68" ht="15.75" customHeight="1">
      <c r="A68" s="3">
        <v>67.0</v>
      </c>
      <c r="B68" s="3">
        <v>23000.0</v>
      </c>
      <c r="C68" s="3" t="s">
        <v>32</v>
      </c>
      <c r="D68" s="3"/>
      <c r="E68" s="3" t="s">
        <v>30</v>
      </c>
      <c r="F68" s="3">
        <v>89.0</v>
      </c>
    </row>
    <row r="69" ht="15.75" customHeight="1">
      <c r="A69" s="3">
        <v>68.0</v>
      </c>
      <c r="B69" s="3">
        <v>13000.0</v>
      </c>
      <c r="C69" s="3" t="s">
        <v>33</v>
      </c>
      <c r="D69" s="3"/>
      <c r="E69" s="3" t="s">
        <v>30</v>
      </c>
      <c r="F69" s="3">
        <v>52.0</v>
      </c>
    </row>
    <row r="70" ht="15.75" customHeight="1">
      <c r="A70" s="3">
        <v>69.0</v>
      </c>
      <c r="B70" s="3">
        <v>13000.0</v>
      </c>
      <c r="C70" s="3" t="s">
        <v>34</v>
      </c>
      <c r="D70" s="3"/>
      <c r="E70" s="3" t="s">
        <v>30</v>
      </c>
      <c r="F70" s="3">
        <v>52.0</v>
      </c>
    </row>
    <row r="71" ht="15.75" customHeight="1">
      <c r="A71" s="3">
        <v>70.0</v>
      </c>
      <c r="B71" s="3">
        <v>13000.0</v>
      </c>
      <c r="C71" s="3"/>
      <c r="D71" s="3"/>
      <c r="E71" s="3" t="s">
        <v>30</v>
      </c>
      <c r="F71" s="3">
        <v>52.0</v>
      </c>
    </row>
    <row r="72" ht="15.75" customHeight="1">
      <c r="A72" s="3">
        <v>71.0</v>
      </c>
      <c r="B72" s="3">
        <v>13000.0</v>
      </c>
      <c r="C72" s="3" t="s">
        <v>35</v>
      </c>
      <c r="D72" s="3"/>
      <c r="E72" s="3" t="s">
        <v>30</v>
      </c>
      <c r="F72" s="3">
        <v>52.0</v>
      </c>
    </row>
    <row r="73" ht="15.75" customHeight="1">
      <c r="A73" s="3">
        <v>72.0</v>
      </c>
      <c r="B73" s="3">
        <v>13000.0</v>
      </c>
      <c r="C73" s="3"/>
      <c r="D73" s="3"/>
      <c r="E73" s="3" t="s">
        <v>30</v>
      </c>
      <c r="F73" s="3">
        <v>52.0</v>
      </c>
    </row>
    <row r="74" ht="15.75" customHeight="1">
      <c r="A74" s="3">
        <v>73.0</v>
      </c>
      <c r="B74" s="3">
        <v>13000.0</v>
      </c>
      <c r="C74" s="3"/>
      <c r="D74" s="3"/>
      <c r="E74" s="3" t="s">
        <v>30</v>
      </c>
      <c r="F74" s="3">
        <v>52.0</v>
      </c>
    </row>
    <row r="75" ht="15.75" customHeight="1">
      <c r="A75" s="3">
        <v>74.0</v>
      </c>
      <c r="B75" s="3">
        <v>13000.0</v>
      </c>
      <c r="C75" s="3"/>
      <c r="D75" s="3"/>
      <c r="E75" s="3" t="s">
        <v>30</v>
      </c>
      <c r="F75" s="3">
        <v>52.0</v>
      </c>
    </row>
    <row r="76" ht="15.75" customHeight="1">
      <c r="A76" s="3">
        <v>75.0</v>
      </c>
      <c r="B76" s="3">
        <v>7000.0</v>
      </c>
      <c r="C76" s="3" t="s">
        <v>36</v>
      </c>
      <c r="D76" s="3"/>
      <c r="E76" s="3" t="s">
        <v>6</v>
      </c>
      <c r="F76" s="3">
        <v>46.0</v>
      </c>
    </row>
    <row r="77" ht="15.75" customHeight="1">
      <c r="A77" s="3">
        <v>76.0</v>
      </c>
      <c r="B77" s="3">
        <v>25500.0</v>
      </c>
      <c r="C77" s="3"/>
      <c r="D77" s="3"/>
      <c r="E77" s="3" t="s">
        <v>30</v>
      </c>
      <c r="F77" s="3">
        <v>90.0</v>
      </c>
    </row>
    <row r="78" ht="15.75" customHeight="1">
      <c r="A78" s="3">
        <v>77.0</v>
      </c>
      <c r="B78" s="3">
        <v>26000.0</v>
      </c>
      <c r="C78" s="3"/>
      <c r="D78" s="3"/>
      <c r="E78" s="3" t="s">
        <v>30</v>
      </c>
      <c r="F78" s="3">
        <v>90.0</v>
      </c>
    </row>
    <row r="79" ht="15.75" customHeight="1">
      <c r="A79" s="3">
        <v>78.0</v>
      </c>
      <c r="B79" s="3">
        <v>25800.0</v>
      </c>
      <c r="C79" s="3"/>
      <c r="D79" s="3"/>
      <c r="E79" s="3" t="s">
        <v>30</v>
      </c>
      <c r="F79" s="3">
        <v>90.0</v>
      </c>
    </row>
    <row r="80" ht="15.75" customHeight="1">
      <c r="A80" s="3">
        <v>79.0</v>
      </c>
      <c r="B80" s="3">
        <v>26000.0</v>
      </c>
      <c r="C80" s="3"/>
      <c r="D80" s="3"/>
      <c r="E80" s="3" t="s">
        <v>30</v>
      </c>
      <c r="F80" s="3">
        <v>90.0</v>
      </c>
    </row>
    <row r="81" ht="15.75" customHeight="1">
      <c r="A81" s="3">
        <v>80.0</v>
      </c>
      <c r="B81" s="3">
        <v>26100.0</v>
      </c>
      <c r="C81" s="3"/>
      <c r="D81" s="3"/>
      <c r="E81" s="3" t="s">
        <v>30</v>
      </c>
      <c r="F81" s="3">
        <v>91.0</v>
      </c>
    </row>
    <row r="82" ht="15.75" customHeight="1">
      <c r="A82" s="3">
        <v>81.0</v>
      </c>
      <c r="B82" s="3">
        <v>26500.0</v>
      </c>
      <c r="C82" s="3"/>
      <c r="D82" s="3"/>
      <c r="E82" s="3" t="s">
        <v>30</v>
      </c>
      <c r="F82" s="3">
        <v>93.0</v>
      </c>
    </row>
    <row r="83" ht="15.75" customHeight="1">
      <c r="A83" s="3">
        <v>82.0</v>
      </c>
      <c r="B83" s="3">
        <v>42600.0</v>
      </c>
      <c r="C83" s="3"/>
      <c r="D83" s="3"/>
      <c r="E83" s="3" t="s">
        <v>30</v>
      </c>
      <c r="F83" s="3">
        <v>175.0</v>
      </c>
    </row>
    <row r="84" ht="15.75" customHeight="1">
      <c r="A84" s="3">
        <v>83.0</v>
      </c>
      <c r="B84" s="3">
        <v>81500.0</v>
      </c>
      <c r="C84" s="3" t="s">
        <v>37</v>
      </c>
      <c r="D84" s="3"/>
      <c r="E84" s="3" t="s">
        <v>30</v>
      </c>
      <c r="F84" s="3">
        <v>362.0</v>
      </c>
    </row>
    <row r="85" ht="15.75" customHeight="1">
      <c r="A85" s="3">
        <v>84.0</v>
      </c>
      <c r="B85" s="3">
        <v>83000.0</v>
      </c>
      <c r="C85" s="3" t="s">
        <v>38</v>
      </c>
      <c r="D85" s="3"/>
      <c r="E85" s="3" t="s">
        <v>30</v>
      </c>
      <c r="F85" s="3">
        <v>368.0</v>
      </c>
    </row>
    <row r="86" ht="15.75" customHeight="1">
      <c r="A86" s="3">
        <v>85.0</v>
      </c>
      <c r="B86" s="3">
        <v>84000.0</v>
      </c>
      <c r="C86" s="3" t="s">
        <v>39</v>
      </c>
      <c r="D86" s="3"/>
      <c r="E86" s="3" t="s">
        <v>30</v>
      </c>
      <c r="F86" s="3">
        <v>370.0</v>
      </c>
    </row>
    <row r="87" ht="15.75" customHeight="1">
      <c r="A87" s="3">
        <v>86.0</v>
      </c>
      <c r="B87" s="3">
        <v>88000.0</v>
      </c>
      <c r="C87" s="3" t="s">
        <v>40</v>
      </c>
      <c r="D87" s="3"/>
      <c r="E87" s="3" t="s">
        <v>30</v>
      </c>
      <c r="F87" s="3">
        <v>395.0</v>
      </c>
    </row>
    <row r="88" ht="15.75" customHeight="1">
      <c r="A88" s="3">
        <v>87.0</v>
      </c>
      <c r="B88" s="3">
        <v>93700.0</v>
      </c>
      <c r="C88" s="3" t="s">
        <v>41</v>
      </c>
      <c r="D88" s="3"/>
      <c r="E88" s="3" t="s">
        <v>30</v>
      </c>
      <c r="F88" s="3">
        <v>418.0</v>
      </c>
    </row>
    <row r="89" ht="15.75" customHeight="1">
      <c r="A89" s="3">
        <v>88.0</v>
      </c>
      <c r="B89" s="3">
        <v>78900.0</v>
      </c>
      <c r="C89" s="3"/>
      <c r="D89" s="3"/>
      <c r="E89" s="3" t="s">
        <v>30</v>
      </c>
      <c r="F89" s="3">
        <v>408.0</v>
      </c>
    </row>
    <row r="90" ht="15.75" customHeight="1">
      <c r="A90" s="3">
        <v>89.0</v>
      </c>
      <c r="B90" s="3">
        <v>83500.0</v>
      </c>
      <c r="C90" s="3" t="s">
        <v>42</v>
      </c>
      <c r="D90" s="3"/>
      <c r="E90" s="3" t="s">
        <v>30</v>
      </c>
      <c r="F90" s="3">
        <v>417.0</v>
      </c>
    </row>
    <row r="91" ht="15.75" customHeight="1">
      <c r="A91" s="3">
        <v>90.0</v>
      </c>
      <c r="B91" s="3">
        <v>97500.0</v>
      </c>
      <c r="C91" s="3" t="s">
        <v>43</v>
      </c>
      <c r="D91" s="3"/>
      <c r="E91" s="3" t="s">
        <v>30</v>
      </c>
      <c r="F91" s="3">
        <v>449.0</v>
      </c>
    </row>
    <row r="92" ht="15.75" customHeight="1">
      <c r="A92" s="3">
        <v>91.0</v>
      </c>
      <c r="B92" s="3">
        <v>86000.0</v>
      </c>
      <c r="C92" s="3"/>
      <c r="D92" s="3"/>
      <c r="E92" s="3" t="s">
        <v>30</v>
      </c>
      <c r="F92" s="3">
        <v>380.0</v>
      </c>
    </row>
    <row r="93" ht="15.75" customHeight="1">
      <c r="A93" s="3">
        <v>92.0</v>
      </c>
      <c r="B93" s="3">
        <v>76000.0</v>
      </c>
      <c r="C93" s="3"/>
      <c r="D93" s="3"/>
      <c r="E93" s="3" t="s">
        <v>30</v>
      </c>
      <c r="F93" s="3">
        <v>375.0</v>
      </c>
    </row>
    <row r="94" ht="15.75" customHeight="1">
      <c r="A94" s="3">
        <v>931.0</v>
      </c>
      <c r="B94" s="3">
        <v>11200.0</v>
      </c>
      <c r="C94" s="3" t="s">
        <v>44</v>
      </c>
      <c r="D94" s="3"/>
      <c r="E94" s="3" t="s">
        <v>6</v>
      </c>
      <c r="F94" s="3">
        <v>54.0</v>
      </c>
    </row>
    <row r="95" ht="15.75" customHeight="1">
      <c r="A95" s="3">
        <v>935.0</v>
      </c>
      <c r="B95" s="3">
        <v>11200.0</v>
      </c>
      <c r="C95" s="3" t="s">
        <v>45</v>
      </c>
      <c r="D95" s="3"/>
      <c r="E95" s="3" t="s">
        <v>6</v>
      </c>
      <c r="F95" s="3">
        <v>54.0</v>
      </c>
    </row>
    <row r="96" ht="15.75" customHeight="1">
      <c r="A96" s="3">
        <v>94.0</v>
      </c>
      <c r="B96" s="3">
        <v>11600.0</v>
      </c>
      <c r="C96" s="3"/>
      <c r="D96" s="3"/>
      <c r="E96" s="3" t="s">
        <v>6</v>
      </c>
      <c r="F96" s="3">
        <v>54.0</v>
      </c>
    </row>
    <row r="97" ht="15.75" customHeight="1">
      <c r="A97" s="3">
        <v>95.0</v>
      </c>
      <c r="B97" s="3">
        <v>77100.0</v>
      </c>
      <c r="C97" s="3"/>
      <c r="D97" s="3"/>
      <c r="E97" s="3" t="s">
        <v>30</v>
      </c>
      <c r="F97" s="3">
        <v>382.0</v>
      </c>
    </row>
    <row r="98" ht="15.75" customHeight="1">
      <c r="A98" s="3">
        <v>96.0</v>
      </c>
      <c r="B98" s="3">
        <v>85600.0</v>
      </c>
      <c r="C98" s="3"/>
      <c r="D98" s="3"/>
      <c r="E98" s="3" t="s">
        <v>30</v>
      </c>
      <c r="F98" s="3">
        <v>382.0</v>
      </c>
    </row>
    <row r="99" ht="15.75" customHeight="1">
      <c r="A99" s="3">
        <v>97.0</v>
      </c>
      <c r="B99" s="3">
        <v>299200.0</v>
      </c>
      <c r="C99" s="3"/>
      <c r="D99" s="3"/>
      <c r="E99" s="3" t="s">
        <v>6</v>
      </c>
      <c r="F99" s="3">
        <v>509.0</v>
      </c>
    </row>
    <row r="100" ht="15.75" customHeight="1">
      <c r="A100" s="3">
        <v>98.0</v>
      </c>
      <c r="B100" s="3">
        <v>254800.0</v>
      </c>
      <c r="C100" s="3"/>
      <c r="D100" s="3"/>
      <c r="E100" s="3" t="s">
        <v>6</v>
      </c>
      <c r="F100" s="3">
        <v>487.0</v>
      </c>
    </row>
    <row r="101" ht="15.75" customHeight="1">
      <c r="A101" s="3">
        <v>99.0</v>
      </c>
      <c r="B101" s="3">
        <v>240600.0</v>
      </c>
      <c r="C101" s="3"/>
      <c r="D101" s="3"/>
      <c r="E101" s="3" t="s">
        <v>6</v>
      </c>
      <c r="F101" s="3">
        <v>484.0</v>
      </c>
    </row>
    <row r="102" ht="15.75" customHeight="1">
      <c r="A102" s="3">
        <v>100.0</v>
      </c>
      <c r="B102" s="3">
        <v>242000.0</v>
      </c>
      <c r="C102" s="3"/>
      <c r="D102" s="3"/>
      <c r="E102" s="3" t="s">
        <v>6</v>
      </c>
      <c r="F102" s="3">
        <v>481.0</v>
      </c>
    </row>
    <row r="103" ht="15.75" customHeight="1">
      <c r="A103" s="3">
        <v>101.0</v>
      </c>
      <c r="B103" s="3">
        <v>244000.0</v>
      </c>
      <c r="C103" s="3"/>
      <c r="D103" s="3"/>
      <c r="E103" s="3" t="s">
        <v>6</v>
      </c>
      <c r="F103" s="3">
        <v>484.0</v>
      </c>
    </row>
    <row r="104" ht="15.75" customHeight="1">
      <c r="A104" s="3">
        <v>102.0</v>
      </c>
      <c r="B104" s="3">
        <v>31000.0</v>
      </c>
      <c r="C104" s="3"/>
      <c r="D104" s="3"/>
      <c r="E104" s="3" t="s">
        <v>6</v>
      </c>
      <c r="F104" s="3">
        <v>72.0</v>
      </c>
    </row>
    <row r="105" ht="15.75" customHeight="1">
      <c r="A105" s="3">
        <v>103.0</v>
      </c>
      <c r="B105" s="3">
        <v>31000.0</v>
      </c>
      <c r="C105" s="3" t="s">
        <v>46</v>
      </c>
      <c r="D105" s="3"/>
      <c r="E105" s="3" t="s">
        <v>6</v>
      </c>
      <c r="F105" s="3">
        <v>72.0</v>
      </c>
    </row>
    <row r="106" ht="15.75" customHeight="1">
      <c r="A106" s="3">
        <v>104.0</v>
      </c>
      <c r="B106" s="3">
        <v>31000.0</v>
      </c>
      <c r="C106" s="3" t="s">
        <v>47</v>
      </c>
      <c r="D106" s="3"/>
      <c r="E106" s="3" t="s">
        <v>6</v>
      </c>
      <c r="F106" s="3">
        <v>72.0</v>
      </c>
    </row>
    <row r="107" ht="15.75" customHeight="1">
      <c r="A107" s="3">
        <v>105.0</v>
      </c>
      <c r="B107" s="3">
        <v>31000.0</v>
      </c>
      <c r="C107" s="3" t="s">
        <v>48</v>
      </c>
      <c r="D107" s="3"/>
      <c r="E107" s="3" t="s">
        <v>6</v>
      </c>
      <c r="F107" s="3">
        <v>72.0</v>
      </c>
    </row>
    <row r="108" ht="15.75" customHeight="1">
      <c r="A108" s="3">
        <v>106.0</v>
      </c>
      <c r="B108" s="3">
        <v>11000.0</v>
      </c>
      <c r="C108" s="3" t="s">
        <v>49</v>
      </c>
      <c r="D108" s="3"/>
      <c r="E108" s="3" t="s">
        <v>6</v>
      </c>
      <c r="F108" s="3"/>
    </row>
    <row r="109" ht="15.75" customHeight="1">
      <c r="A109" s="3">
        <v>107.0</v>
      </c>
      <c r="B109" s="3">
        <v>31000.0</v>
      </c>
      <c r="C109" s="3" t="s">
        <v>50</v>
      </c>
      <c r="D109" s="3"/>
      <c r="E109" s="3" t="s">
        <v>6</v>
      </c>
      <c r="F109" s="3">
        <v>72.0</v>
      </c>
    </row>
    <row r="110" ht="15.75" customHeight="1">
      <c r="A110" s="3">
        <v>108.0</v>
      </c>
      <c r="B110" s="3">
        <v>31000.0</v>
      </c>
      <c r="C110" s="3"/>
      <c r="D110" s="3"/>
      <c r="E110" s="3" t="s">
        <v>6</v>
      </c>
      <c r="F110" s="3">
        <v>72.0</v>
      </c>
    </row>
    <row r="111" ht="15.75" customHeight="1">
      <c r="A111" s="3">
        <v>109.0</v>
      </c>
      <c r="B111" s="3">
        <v>15600.0</v>
      </c>
      <c r="C111" s="3" t="s">
        <v>51</v>
      </c>
      <c r="D111" s="3"/>
      <c r="E111" s="3" t="s">
        <v>6</v>
      </c>
      <c r="F111" s="3">
        <v>48.0</v>
      </c>
    </row>
    <row r="112" ht="15.75" customHeight="1">
      <c r="A112" s="3">
        <v>110.0</v>
      </c>
      <c r="B112" s="3">
        <v>15600.0</v>
      </c>
      <c r="C112" s="3"/>
      <c r="D112" s="3"/>
      <c r="E112" s="3" t="s">
        <v>6</v>
      </c>
      <c r="F112" s="3">
        <v>48.0</v>
      </c>
    </row>
    <row r="113" ht="15.75" customHeight="1">
      <c r="A113" s="3">
        <v>111.0</v>
      </c>
      <c r="B113" s="3">
        <v>4000.0</v>
      </c>
      <c r="C113" s="3"/>
      <c r="D113" s="3"/>
      <c r="E113" s="3" t="s">
        <v>6</v>
      </c>
      <c r="F113" s="3"/>
    </row>
    <row r="114" ht="15.75" customHeight="1">
      <c r="A114" s="3">
        <v>112.0</v>
      </c>
      <c r="B114" s="3">
        <v>702400.0</v>
      </c>
      <c r="C114" s="3"/>
      <c r="D114" s="3"/>
      <c r="E114" s="3" t="s">
        <v>6</v>
      </c>
      <c r="F114" s="3">
        <v>1398.0</v>
      </c>
    </row>
    <row r="115" ht="15.75" customHeight="1">
      <c r="A115" s="3">
        <v>113.0</v>
      </c>
      <c r="B115" s="3">
        <v>713100.0</v>
      </c>
      <c r="C115" s="3"/>
      <c r="D115" s="3"/>
      <c r="E115" s="3" t="s">
        <v>6</v>
      </c>
      <c r="F115" s="3">
        <v>1391.0</v>
      </c>
    </row>
    <row r="116" ht="15.75" customHeight="1">
      <c r="A116" s="3">
        <v>114.0</v>
      </c>
      <c r="B116" s="3">
        <v>125300.0</v>
      </c>
      <c r="C116" s="3" t="s">
        <v>52</v>
      </c>
      <c r="D116" s="3"/>
      <c r="E116" s="3" t="s">
        <v>30</v>
      </c>
      <c r="F116" s="3">
        <v>396.0</v>
      </c>
    </row>
    <row r="117" ht="15.75" customHeight="1">
      <c r="A117" s="3">
        <v>115.0</v>
      </c>
      <c r="B117" s="3">
        <v>120200.0</v>
      </c>
      <c r="C117" s="4" t="s">
        <v>53</v>
      </c>
      <c r="D117" s="3"/>
      <c r="E117" s="3" t="s">
        <v>30</v>
      </c>
      <c r="F117" s="3">
        <v>380.0</v>
      </c>
    </row>
    <row r="118" ht="15.75" customHeight="1">
      <c r="A118" s="3">
        <v>116.0</v>
      </c>
      <c r="B118" s="3">
        <v>99600.0</v>
      </c>
      <c r="C118" s="3" t="s">
        <v>54</v>
      </c>
      <c r="D118" s="3"/>
      <c r="E118" s="3" t="s">
        <v>30</v>
      </c>
      <c r="F118" s="3">
        <v>315.0</v>
      </c>
    </row>
    <row r="119" ht="15.75" customHeight="1">
      <c r="A119" s="3">
        <v>117.0</v>
      </c>
      <c r="B119" s="3">
        <v>96600.0</v>
      </c>
      <c r="C119" s="3"/>
      <c r="D119" s="3"/>
      <c r="E119" s="3" t="s">
        <v>30</v>
      </c>
      <c r="F119" s="3">
        <v>311.0</v>
      </c>
    </row>
    <row r="120" ht="15.75" customHeight="1">
      <c r="A120" s="3">
        <v>118.0</v>
      </c>
      <c r="B120" s="3">
        <v>155600.0</v>
      </c>
      <c r="C120" s="3"/>
      <c r="D120" s="3"/>
      <c r="E120" s="3" t="s">
        <v>30</v>
      </c>
      <c r="F120" s="3">
        <v>492.0</v>
      </c>
    </row>
    <row r="121" ht="15.75" customHeight="1">
      <c r="A121" s="3">
        <v>119.0</v>
      </c>
      <c r="B121" s="3">
        <v>159800.0</v>
      </c>
      <c r="C121" s="3"/>
      <c r="D121" s="3"/>
      <c r="E121" s="3" t="s">
        <v>30</v>
      </c>
      <c r="F121" s="3">
        <v>506.0</v>
      </c>
    </row>
    <row r="122" ht="15.75" customHeight="1">
      <c r="A122" s="3">
        <v>120.0</v>
      </c>
      <c r="B122" s="3">
        <v>88800.0</v>
      </c>
      <c r="C122" s="3"/>
      <c r="D122" s="3"/>
      <c r="E122" s="3" t="s">
        <v>6</v>
      </c>
      <c r="F122" s="3">
        <v>281.0</v>
      </c>
    </row>
    <row r="123" ht="15.75" customHeight="1">
      <c r="A123" s="3">
        <v>121.0</v>
      </c>
      <c r="B123" s="3">
        <v>85800.0</v>
      </c>
      <c r="C123" s="3" t="s">
        <v>55</v>
      </c>
      <c r="D123" s="3"/>
      <c r="E123" s="3" t="s">
        <v>6</v>
      </c>
      <c r="F123" s="3">
        <v>272.0</v>
      </c>
    </row>
    <row r="124" ht="15.75" customHeight="1">
      <c r="A124" s="3">
        <v>122.0</v>
      </c>
      <c r="B124" s="3">
        <v>63700.0</v>
      </c>
      <c r="C124" s="3"/>
      <c r="D124" s="3"/>
      <c r="E124" s="3" t="s">
        <v>6</v>
      </c>
      <c r="F124" s="3"/>
    </row>
    <row r="125" ht="15.75" customHeight="1">
      <c r="A125" s="3">
        <v>123.0</v>
      </c>
      <c r="B125" s="3">
        <v>10700.0</v>
      </c>
      <c r="C125" s="3"/>
      <c r="D125" s="3"/>
      <c r="E125" s="3" t="s">
        <v>6</v>
      </c>
      <c r="F125" s="3"/>
    </row>
    <row r="126" ht="15.75" customHeight="1">
      <c r="A126" s="3">
        <v>124.0</v>
      </c>
      <c r="B126" s="3">
        <v>10500.0</v>
      </c>
      <c r="C126" s="3"/>
      <c r="D126" s="3"/>
      <c r="E126" s="3" t="s">
        <v>6</v>
      </c>
      <c r="F126" s="3"/>
    </row>
    <row r="127" ht="15.75" customHeight="1">
      <c r="A127" s="3">
        <v>125.0</v>
      </c>
      <c r="B127" s="3">
        <v>31000.0</v>
      </c>
      <c r="C127" s="3"/>
      <c r="D127" s="3"/>
      <c r="E127" s="3" t="s">
        <v>30</v>
      </c>
      <c r="F127" s="3">
        <v>72.0</v>
      </c>
    </row>
    <row r="128" ht="15.75" customHeight="1">
      <c r="A128" s="3">
        <v>126.0</v>
      </c>
      <c r="B128" s="3">
        <v>31000.0</v>
      </c>
      <c r="C128" s="3"/>
      <c r="D128" s="3"/>
      <c r="E128" s="3" t="s">
        <v>30</v>
      </c>
      <c r="F128" s="3">
        <v>72.0</v>
      </c>
    </row>
    <row r="129" ht="15.75" customHeight="1">
      <c r="A129" s="3">
        <v>127.0</v>
      </c>
      <c r="B129" s="3">
        <v>31000.0</v>
      </c>
      <c r="C129" s="3"/>
      <c r="D129" s="3"/>
      <c r="E129" s="3" t="s">
        <v>30</v>
      </c>
      <c r="F129" s="3">
        <v>72.0</v>
      </c>
    </row>
    <row r="130" ht="15.75" customHeight="1">
      <c r="A130" s="3">
        <v>150.0</v>
      </c>
      <c r="B130" s="3">
        <v>200000.0</v>
      </c>
      <c r="C130" s="3" t="s">
        <v>56</v>
      </c>
      <c r="D130" s="3"/>
      <c r="E130" s="3"/>
      <c r="F130" s="3"/>
    </row>
    <row r="131" ht="15.75" customHeight="1">
      <c r="A131" s="3">
        <v>500.0</v>
      </c>
      <c r="B131" s="3">
        <v>200000.0</v>
      </c>
      <c r="C131" s="3" t="s">
        <v>57</v>
      </c>
      <c r="D131" s="3"/>
      <c r="E131" s="3"/>
      <c r="F131" s="3">
        <v>1.0</v>
      </c>
    </row>
    <row r="132" ht="15.75" customHeight="1">
      <c r="A132" s="3"/>
      <c r="B132" s="3"/>
      <c r="C132" s="3"/>
      <c r="D132" s="3"/>
      <c r="E132" s="3"/>
      <c r="F132" s="3"/>
    </row>
    <row r="133" ht="15.75" customHeight="1">
      <c r="A133" s="3"/>
      <c r="B133" s="3"/>
      <c r="C133" s="3"/>
      <c r="D133" s="3"/>
      <c r="E133" s="3"/>
      <c r="F133" s="3"/>
    </row>
    <row r="134" ht="15.75" customHeight="1">
      <c r="A134" s="3"/>
      <c r="B134" s="3"/>
      <c r="C134" s="3"/>
      <c r="D134" s="3"/>
      <c r="E134" s="3"/>
      <c r="F134" s="3"/>
    </row>
    <row r="135" ht="15.75" customHeight="1">
      <c r="A135" s="3"/>
      <c r="B135" s="3"/>
      <c r="C135" s="3"/>
      <c r="D135" s="3"/>
      <c r="E135" s="3"/>
      <c r="F135" s="3"/>
    </row>
    <row r="136" ht="15.75" customHeight="1">
      <c r="A136" s="3"/>
      <c r="B136" s="3"/>
      <c r="C136" s="3"/>
      <c r="D136" s="3"/>
      <c r="E136" s="3"/>
      <c r="F136" s="3"/>
    </row>
    <row r="137" ht="15.75" customHeight="1">
      <c r="A137" s="3"/>
      <c r="B137" s="3"/>
      <c r="C137" s="3"/>
      <c r="D137" s="3"/>
      <c r="E137" s="3"/>
      <c r="F137" s="3"/>
    </row>
    <row r="138" ht="15.75" customHeight="1">
      <c r="A138" s="3"/>
      <c r="B138" s="3"/>
      <c r="C138" s="3"/>
      <c r="D138" s="3"/>
      <c r="E138" s="3"/>
      <c r="F138" s="3"/>
    </row>
    <row r="139" ht="15.75" customHeight="1">
      <c r="A139" s="3"/>
      <c r="B139" s="3"/>
      <c r="C139" s="3"/>
      <c r="D139" s="3"/>
      <c r="E139" s="3"/>
      <c r="F139" s="3"/>
    </row>
    <row r="140" ht="15.75" customHeight="1">
      <c r="A140" s="3"/>
      <c r="B140" s="3"/>
      <c r="C140" s="3"/>
      <c r="D140" s="3"/>
      <c r="E140" s="3"/>
      <c r="F140" s="3"/>
    </row>
    <row r="141" ht="15.75" customHeight="1">
      <c r="A141" s="3"/>
      <c r="B141" s="3"/>
      <c r="C141" s="3"/>
      <c r="D141" s="3"/>
      <c r="E141" s="3"/>
      <c r="F141" s="3"/>
    </row>
    <row r="142" ht="15.75" customHeight="1">
      <c r="A142" s="3"/>
      <c r="B142" s="3"/>
      <c r="C142" s="3"/>
      <c r="D142" s="3"/>
      <c r="E142" s="3"/>
      <c r="F142" s="3"/>
    </row>
    <row r="143" ht="15.75" customHeight="1">
      <c r="A143" s="3"/>
      <c r="B143" s="3"/>
      <c r="C143" s="3"/>
      <c r="D143" s="3"/>
      <c r="E143" s="3"/>
      <c r="F143" s="3"/>
    </row>
    <row r="144" ht="15.75" customHeight="1">
      <c r="A144" s="3"/>
      <c r="B144" s="3"/>
      <c r="C144" s="3"/>
      <c r="D144" s="3"/>
      <c r="E144" s="3"/>
      <c r="F144" s="3"/>
    </row>
    <row r="145" ht="15.75" customHeight="1">
      <c r="A145" s="3"/>
      <c r="B145" s="3"/>
      <c r="C145" s="3"/>
      <c r="D145" s="3"/>
      <c r="E145" s="3"/>
      <c r="F145" s="3"/>
    </row>
    <row r="146" ht="15.75" customHeight="1">
      <c r="A146" s="3"/>
      <c r="B146" s="3"/>
      <c r="C146" s="3"/>
      <c r="D146" s="3"/>
      <c r="E146" s="3"/>
      <c r="F146" s="3"/>
    </row>
    <row r="147" ht="15.75" customHeight="1">
      <c r="A147" s="3"/>
      <c r="B147" s="3"/>
      <c r="C147" s="3"/>
      <c r="D147" s="3"/>
      <c r="E147" s="3"/>
      <c r="F147" s="3"/>
    </row>
    <row r="148" ht="15.75" customHeight="1">
      <c r="A148" s="3"/>
      <c r="B148" s="3"/>
      <c r="C148" s="3"/>
      <c r="D148" s="3"/>
      <c r="E148" s="3"/>
      <c r="F148" s="3"/>
    </row>
    <row r="149" ht="15.75" customHeight="1">
      <c r="A149" s="3"/>
      <c r="B149" s="3"/>
      <c r="C149" s="3"/>
      <c r="D149" s="3"/>
      <c r="E149" s="3"/>
      <c r="F149" s="3"/>
    </row>
    <row r="150" ht="15.75" customHeight="1">
      <c r="A150" s="3"/>
      <c r="B150" s="3"/>
      <c r="C150" s="3"/>
      <c r="D150" s="3"/>
      <c r="E150" s="3"/>
      <c r="F150" s="3"/>
    </row>
    <row r="151" ht="15.75" customHeight="1">
      <c r="A151" s="3"/>
      <c r="B151" s="3"/>
      <c r="C151" s="3"/>
      <c r="D151" s="3"/>
      <c r="E151" s="3"/>
      <c r="F151" s="3"/>
    </row>
    <row r="152" ht="15.75" customHeight="1">
      <c r="A152" s="3"/>
      <c r="B152" s="3"/>
      <c r="C152" s="3"/>
      <c r="D152" s="3"/>
      <c r="E152" s="3"/>
      <c r="F152" s="3"/>
    </row>
    <row r="153" ht="15.75" customHeight="1">
      <c r="A153" s="3"/>
      <c r="B153" s="3"/>
      <c r="C153" s="3"/>
      <c r="D153" s="3"/>
      <c r="E153" s="3"/>
      <c r="F153" s="3"/>
    </row>
    <row r="154" ht="15.75" customHeight="1">
      <c r="A154" s="3"/>
      <c r="B154" s="3"/>
      <c r="C154" s="3"/>
      <c r="D154" s="3"/>
      <c r="E154" s="3"/>
      <c r="F154" s="3"/>
    </row>
    <row r="155" ht="15.75" customHeight="1">
      <c r="A155" s="3"/>
      <c r="B155" s="3"/>
      <c r="C155" s="3"/>
      <c r="D155" s="3"/>
      <c r="E155" s="3"/>
      <c r="F155" s="3"/>
    </row>
    <row r="156" ht="15.75" customHeight="1">
      <c r="A156" s="3"/>
      <c r="B156" s="3"/>
      <c r="C156" s="3"/>
      <c r="D156" s="3"/>
      <c r="E156" s="3"/>
      <c r="F156" s="3"/>
    </row>
    <row r="157" ht="15.75" customHeight="1">
      <c r="A157" s="3"/>
      <c r="B157" s="3"/>
      <c r="C157" s="3"/>
      <c r="D157" s="3"/>
      <c r="E157" s="3"/>
      <c r="F157" s="3"/>
    </row>
    <row r="158" ht="15.75" customHeight="1">
      <c r="A158" s="3"/>
      <c r="B158" s="3"/>
      <c r="C158" s="3"/>
      <c r="D158" s="3"/>
      <c r="E158" s="3"/>
      <c r="F158" s="3"/>
    </row>
    <row r="159" ht="15.75" customHeight="1">
      <c r="A159" s="3"/>
      <c r="B159" s="3"/>
      <c r="C159" s="3"/>
      <c r="D159" s="3"/>
      <c r="E159" s="3"/>
      <c r="F159" s="3"/>
    </row>
    <row r="160" ht="15.75" customHeight="1">
      <c r="A160" s="3"/>
      <c r="B160" s="3"/>
      <c r="C160" s="3"/>
      <c r="D160" s="3"/>
      <c r="E160" s="3"/>
      <c r="F160" s="3"/>
    </row>
    <row r="161" ht="15.75" customHeight="1">
      <c r="A161" s="3"/>
      <c r="B161" s="3"/>
      <c r="C161" s="3"/>
      <c r="D161" s="3"/>
      <c r="E161" s="3"/>
      <c r="F161" s="3"/>
    </row>
    <row r="162" ht="15.75" customHeight="1">
      <c r="A162" s="3"/>
      <c r="B162" s="3"/>
      <c r="C162" s="3"/>
      <c r="D162" s="3"/>
      <c r="E162" s="3"/>
      <c r="F162" s="3"/>
    </row>
    <row r="163" ht="15.75" customHeight="1">
      <c r="A163" s="3"/>
      <c r="B163" s="3"/>
      <c r="C163" s="3"/>
      <c r="D163" s="3"/>
      <c r="E163" s="3"/>
      <c r="F163" s="3"/>
    </row>
    <row r="164" ht="15.75" customHeight="1">
      <c r="A164" s="3"/>
      <c r="B164" s="3"/>
      <c r="C164" s="3"/>
      <c r="D164" s="3"/>
      <c r="E164" s="3"/>
      <c r="F164" s="3"/>
    </row>
    <row r="165" ht="15.75" customHeight="1">
      <c r="A165" s="3"/>
      <c r="B165" s="3"/>
      <c r="C165" s="3"/>
      <c r="D165" s="3"/>
      <c r="E165" s="3"/>
      <c r="F165" s="3"/>
    </row>
    <row r="166" ht="15.75" customHeight="1">
      <c r="A166" s="3"/>
      <c r="B166" s="3"/>
      <c r="C166" s="3"/>
      <c r="D166" s="3"/>
      <c r="E166" s="3"/>
      <c r="F166" s="3"/>
    </row>
    <row r="167" ht="15.75" customHeight="1">
      <c r="A167" s="3"/>
      <c r="B167" s="3"/>
      <c r="C167" s="3"/>
      <c r="D167" s="3"/>
      <c r="E167" s="3"/>
      <c r="F167" s="3"/>
    </row>
    <row r="168" ht="15.75" customHeight="1">
      <c r="A168" s="3"/>
      <c r="B168" s="3"/>
      <c r="C168" s="3"/>
      <c r="D168" s="3"/>
      <c r="E168" s="3"/>
      <c r="F168" s="3"/>
    </row>
    <row r="169" ht="15.75" customHeight="1">
      <c r="A169" s="3"/>
      <c r="B169" s="3"/>
      <c r="C169" s="3"/>
      <c r="D169" s="3"/>
      <c r="E169" s="3"/>
      <c r="F169" s="3"/>
    </row>
    <row r="170" ht="15.75" customHeight="1">
      <c r="A170" s="3"/>
      <c r="B170" s="3"/>
      <c r="C170" s="3"/>
      <c r="D170" s="3"/>
      <c r="E170" s="3"/>
      <c r="F170" s="3"/>
    </row>
    <row r="171" ht="15.75" customHeight="1">
      <c r="A171" s="3"/>
      <c r="B171" s="3"/>
      <c r="C171" s="3"/>
      <c r="D171" s="3"/>
      <c r="E171" s="3"/>
      <c r="F171" s="3"/>
    </row>
    <row r="172" ht="15.75" customHeight="1">
      <c r="A172" s="3"/>
      <c r="B172" s="3"/>
      <c r="C172" s="3"/>
      <c r="D172" s="3"/>
      <c r="E172" s="3"/>
      <c r="F172" s="3"/>
    </row>
    <row r="173" ht="15.75" customHeight="1">
      <c r="A173" s="3"/>
      <c r="B173" s="3"/>
      <c r="C173" s="3"/>
      <c r="D173" s="3"/>
      <c r="E173" s="3"/>
      <c r="F173" s="3"/>
    </row>
    <row r="174" ht="15.75" customHeight="1">
      <c r="A174" s="3"/>
      <c r="B174" s="3"/>
      <c r="C174" s="3"/>
      <c r="D174" s="3"/>
      <c r="E174" s="3"/>
      <c r="F174" s="3"/>
    </row>
    <row r="175" ht="15.75" customHeight="1">
      <c r="A175" s="3"/>
      <c r="B175" s="3"/>
      <c r="C175" s="3"/>
      <c r="D175" s="3"/>
      <c r="E175" s="3"/>
      <c r="F175" s="3"/>
    </row>
    <row r="176" ht="15.75" customHeight="1">
      <c r="A176" s="3"/>
      <c r="B176" s="3"/>
      <c r="C176" s="3"/>
      <c r="D176" s="3"/>
      <c r="E176" s="3"/>
      <c r="F176" s="3"/>
    </row>
    <row r="177" ht="15.75" customHeight="1">
      <c r="A177" s="3"/>
      <c r="B177" s="3"/>
      <c r="C177" s="3"/>
      <c r="D177" s="3"/>
      <c r="E177" s="3"/>
      <c r="F177" s="3"/>
    </row>
    <row r="178" ht="15.75" customHeight="1">
      <c r="A178" s="3"/>
      <c r="B178" s="3"/>
      <c r="C178" s="3"/>
      <c r="D178" s="3"/>
      <c r="E178" s="3"/>
      <c r="F178" s="3"/>
    </row>
    <row r="179" ht="15.75" customHeight="1">
      <c r="A179" s="3"/>
      <c r="B179" s="3"/>
      <c r="C179" s="3"/>
      <c r="D179" s="3"/>
      <c r="E179" s="3"/>
      <c r="F179" s="3"/>
    </row>
    <row r="180" ht="15.75" customHeight="1">
      <c r="A180" s="3"/>
      <c r="B180" s="3"/>
      <c r="C180" s="3"/>
      <c r="D180" s="3"/>
      <c r="E180" s="3"/>
      <c r="F180" s="3"/>
    </row>
    <row r="181" ht="15.75" customHeight="1">
      <c r="A181" s="3"/>
      <c r="B181" s="3"/>
      <c r="C181" s="3"/>
      <c r="D181" s="3"/>
      <c r="E181" s="3"/>
      <c r="F181" s="3"/>
    </row>
    <row r="182" ht="15.75" customHeight="1">
      <c r="A182" s="3"/>
      <c r="B182" s="3"/>
      <c r="C182" s="3"/>
      <c r="D182" s="3"/>
      <c r="E182" s="3"/>
      <c r="F182" s="3"/>
    </row>
    <row r="183" ht="15.75" customHeight="1">
      <c r="A183" s="3"/>
      <c r="B183" s="3"/>
      <c r="C183" s="3"/>
      <c r="D183" s="3"/>
      <c r="E183" s="3"/>
      <c r="F183" s="3"/>
    </row>
    <row r="184" ht="15.75" customHeight="1">
      <c r="A184" s="3"/>
      <c r="B184" s="3"/>
      <c r="C184" s="3"/>
      <c r="D184" s="3"/>
      <c r="E184" s="3"/>
      <c r="F184" s="3"/>
    </row>
    <row r="185" ht="15.75" customHeight="1">
      <c r="A185" s="3"/>
      <c r="B185" s="3"/>
      <c r="C185" s="3"/>
      <c r="D185" s="3"/>
      <c r="E185" s="3"/>
      <c r="F185" s="3"/>
    </row>
    <row r="186" ht="15.75" customHeight="1">
      <c r="A186" s="3"/>
      <c r="B186" s="3"/>
      <c r="C186" s="3"/>
      <c r="D186" s="3"/>
      <c r="E186" s="3"/>
      <c r="F186" s="3"/>
    </row>
    <row r="187" ht="15.75" customHeight="1">
      <c r="A187" s="3"/>
      <c r="B187" s="3"/>
      <c r="C187" s="3"/>
      <c r="D187" s="3"/>
      <c r="E187" s="3"/>
      <c r="F187" s="3"/>
    </row>
    <row r="188" ht="15.75" customHeight="1">
      <c r="A188" s="3"/>
      <c r="B188" s="3"/>
      <c r="C188" s="3"/>
      <c r="D188" s="3"/>
      <c r="E188" s="3"/>
      <c r="F188" s="3"/>
    </row>
    <row r="189" ht="15.75" customHeight="1">
      <c r="A189" s="3"/>
      <c r="B189" s="3"/>
      <c r="C189" s="3"/>
      <c r="D189" s="3"/>
      <c r="E189" s="3"/>
      <c r="F189" s="3"/>
    </row>
    <row r="190" ht="15.75" customHeight="1">
      <c r="A190" s="3"/>
      <c r="B190" s="3"/>
      <c r="C190" s="3"/>
      <c r="D190" s="3"/>
      <c r="E190" s="3"/>
      <c r="F190" s="3"/>
    </row>
    <row r="191" ht="15.75" customHeight="1">
      <c r="A191" s="3"/>
      <c r="B191" s="3"/>
      <c r="C191" s="3"/>
      <c r="D191" s="3"/>
      <c r="E191" s="3"/>
      <c r="F191" s="3"/>
    </row>
    <row r="192" ht="15.75" customHeight="1">
      <c r="A192" s="3"/>
      <c r="B192" s="3"/>
      <c r="C192" s="3"/>
      <c r="D192" s="3"/>
      <c r="E192" s="3"/>
      <c r="F192" s="3"/>
    </row>
    <row r="193" ht="15.75" customHeight="1">
      <c r="A193" s="3"/>
      <c r="B193" s="3"/>
      <c r="C193" s="3"/>
      <c r="D193" s="3"/>
      <c r="E193" s="3"/>
      <c r="F193" s="3"/>
    </row>
    <row r="194" ht="15.75" customHeight="1">
      <c r="A194" s="3"/>
      <c r="B194" s="3"/>
      <c r="C194" s="3"/>
      <c r="D194" s="3"/>
      <c r="E194" s="3"/>
      <c r="F194" s="3"/>
    </row>
    <row r="195" ht="15.75" customHeight="1">
      <c r="A195" s="3"/>
      <c r="B195" s="3"/>
      <c r="C195" s="3"/>
      <c r="D195" s="3"/>
      <c r="E195" s="3"/>
      <c r="F195" s="3"/>
    </row>
    <row r="196" ht="15.75" customHeight="1">
      <c r="A196" s="3"/>
      <c r="B196" s="3"/>
      <c r="C196" s="3"/>
      <c r="D196" s="3"/>
      <c r="E196" s="3"/>
      <c r="F196" s="3"/>
    </row>
    <row r="197" ht="15.75" customHeight="1">
      <c r="A197" s="3"/>
      <c r="B197" s="3"/>
      <c r="C197" s="3"/>
      <c r="D197" s="3"/>
      <c r="E197" s="3"/>
      <c r="F197" s="3"/>
    </row>
    <row r="198" ht="15.75" customHeight="1">
      <c r="A198" s="3"/>
      <c r="B198" s="3"/>
      <c r="C198" s="3"/>
      <c r="D198" s="3"/>
      <c r="E198" s="3"/>
      <c r="F198" s="3"/>
    </row>
    <row r="199" ht="15.75" customHeight="1">
      <c r="A199" s="3"/>
      <c r="B199" s="3"/>
      <c r="C199" s="3"/>
      <c r="D199" s="3"/>
      <c r="E199" s="3"/>
      <c r="F199" s="3"/>
    </row>
    <row r="200" ht="15.75" customHeight="1">
      <c r="A200" s="3"/>
      <c r="B200" s="3"/>
      <c r="C200" s="3"/>
      <c r="D200" s="3"/>
      <c r="E200" s="3"/>
      <c r="F200" s="3"/>
    </row>
    <row r="201" ht="15.75" customHeight="1">
      <c r="A201" s="3"/>
      <c r="B201" s="3"/>
      <c r="C201" s="3"/>
      <c r="D201" s="3"/>
      <c r="E201" s="3"/>
      <c r="F201" s="3"/>
    </row>
    <row r="202" ht="15.75" customHeight="1">
      <c r="A202" s="3"/>
      <c r="B202" s="3"/>
      <c r="C202" s="3"/>
      <c r="D202" s="3"/>
      <c r="E202" s="3"/>
      <c r="F202" s="3"/>
    </row>
    <row r="203" ht="15.75" customHeight="1">
      <c r="A203" s="3"/>
      <c r="B203" s="3"/>
      <c r="C203" s="3"/>
      <c r="D203" s="3"/>
      <c r="E203" s="3"/>
      <c r="F203" s="3"/>
    </row>
    <row r="204" ht="15.75" customHeight="1">
      <c r="A204" s="3"/>
      <c r="B204" s="3"/>
      <c r="C204" s="3"/>
      <c r="D204" s="3"/>
      <c r="E204" s="3"/>
      <c r="F204" s="3"/>
    </row>
    <row r="205" ht="15.75" customHeight="1">
      <c r="A205" s="3"/>
      <c r="B205" s="3"/>
      <c r="C205" s="3"/>
      <c r="D205" s="3"/>
      <c r="E205" s="3"/>
      <c r="F205" s="3"/>
    </row>
    <row r="206" ht="15.75" customHeight="1">
      <c r="A206" s="3"/>
      <c r="B206" s="3"/>
      <c r="C206" s="3"/>
      <c r="D206" s="3"/>
      <c r="E206" s="3"/>
      <c r="F206" s="3"/>
    </row>
    <row r="207" ht="15.75" customHeight="1">
      <c r="A207" s="3"/>
      <c r="B207" s="3"/>
      <c r="C207" s="3"/>
      <c r="D207" s="3"/>
      <c r="E207" s="3"/>
      <c r="F207" s="3"/>
    </row>
    <row r="208" ht="15.75" customHeight="1">
      <c r="A208" s="3"/>
      <c r="B208" s="3"/>
      <c r="C208" s="3"/>
      <c r="D208" s="3"/>
      <c r="E208" s="3"/>
      <c r="F208" s="3"/>
    </row>
    <row r="209" ht="15.75" customHeight="1">
      <c r="A209" s="3"/>
      <c r="B209" s="3"/>
      <c r="C209" s="3"/>
      <c r="D209" s="3"/>
      <c r="E209" s="3"/>
      <c r="F209" s="3"/>
    </row>
    <row r="210" ht="15.75" customHeight="1">
      <c r="A210" s="3"/>
      <c r="B210" s="3"/>
      <c r="C210" s="3"/>
      <c r="D210" s="3"/>
      <c r="E210" s="3"/>
      <c r="F210" s="3"/>
    </row>
    <row r="211" ht="15.75" customHeight="1">
      <c r="A211" s="3"/>
      <c r="B211" s="3"/>
      <c r="C211" s="3"/>
      <c r="D211" s="3"/>
      <c r="E211" s="3"/>
      <c r="F211" s="3"/>
    </row>
    <row r="212" ht="15.75" customHeight="1">
      <c r="A212" s="3"/>
      <c r="B212" s="3"/>
      <c r="C212" s="3"/>
      <c r="D212" s="3"/>
      <c r="E212" s="3"/>
      <c r="F212" s="3"/>
    </row>
    <row r="213" ht="15.75" customHeight="1">
      <c r="A213" s="3"/>
      <c r="B213" s="3"/>
      <c r="C213" s="3"/>
      <c r="D213" s="3"/>
      <c r="E213" s="3"/>
      <c r="F213" s="3"/>
    </row>
    <row r="214" ht="15.75" customHeight="1">
      <c r="A214" s="3"/>
      <c r="B214" s="3"/>
      <c r="C214" s="3"/>
      <c r="D214" s="3"/>
      <c r="E214" s="3"/>
      <c r="F214" s="3"/>
    </row>
    <row r="215" ht="15.75" customHeight="1">
      <c r="A215" s="3"/>
      <c r="B215" s="3"/>
      <c r="C215" s="3"/>
      <c r="D215" s="3"/>
      <c r="E215" s="3"/>
      <c r="F215" s="3"/>
    </row>
    <row r="216" ht="15.75" customHeight="1">
      <c r="A216" s="3"/>
      <c r="B216" s="3"/>
      <c r="C216" s="3"/>
      <c r="D216" s="3"/>
      <c r="E216" s="3"/>
      <c r="F216" s="3"/>
    </row>
    <row r="217" ht="15.75" customHeight="1">
      <c r="A217" s="3"/>
      <c r="B217" s="3"/>
      <c r="C217" s="3"/>
      <c r="D217" s="3"/>
      <c r="E217" s="3"/>
      <c r="F217" s="3"/>
    </row>
    <row r="218" ht="15.75" customHeight="1">
      <c r="A218" s="3"/>
      <c r="B218" s="3"/>
      <c r="C218" s="3"/>
      <c r="D218" s="3"/>
      <c r="E218" s="3"/>
      <c r="F218" s="3"/>
    </row>
    <row r="219" ht="15.75" customHeight="1">
      <c r="A219" s="3"/>
      <c r="B219" s="3"/>
      <c r="C219" s="3"/>
      <c r="D219" s="3"/>
      <c r="E219" s="3"/>
      <c r="F219" s="3"/>
    </row>
    <row r="220" ht="15.75" customHeight="1">
      <c r="A220" s="3"/>
      <c r="B220" s="3"/>
      <c r="C220" s="3"/>
      <c r="D220" s="3"/>
      <c r="E220" s="3"/>
      <c r="F220" s="3"/>
    </row>
    <row r="221" ht="15.75" customHeight="1">
      <c r="A221" s="3"/>
      <c r="B221" s="3"/>
      <c r="C221" s="3"/>
      <c r="D221" s="3"/>
      <c r="E221" s="3"/>
      <c r="F221" s="3"/>
    </row>
    <row r="222" ht="15.75" customHeight="1">
      <c r="A222" s="3"/>
      <c r="B222" s="3"/>
      <c r="C222" s="3"/>
      <c r="D222" s="3"/>
      <c r="E222" s="3"/>
      <c r="F222" s="3"/>
    </row>
    <row r="223" ht="15.75" customHeight="1">
      <c r="A223" s="3"/>
      <c r="B223" s="3"/>
      <c r="C223" s="3"/>
      <c r="D223" s="3"/>
      <c r="E223" s="3"/>
      <c r="F223" s="3"/>
    </row>
    <row r="224" ht="15.75" customHeight="1">
      <c r="A224" s="3"/>
      <c r="B224" s="3"/>
      <c r="C224" s="3"/>
      <c r="D224" s="3"/>
      <c r="E224" s="3"/>
      <c r="F224" s="3"/>
    </row>
    <row r="225" ht="15.75" customHeight="1">
      <c r="A225" s="3"/>
      <c r="B225" s="3"/>
      <c r="C225" s="3"/>
      <c r="D225" s="3"/>
      <c r="E225" s="3"/>
      <c r="F225" s="3"/>
    </row>
    <row r="226" ht="15.75" customHeight="1">
      <c r="A226" s="3"/>
      <c r="B226" s="3"/>
      <c r="C226" s="3"/>
      <c r="D226" s="3"/>
      <c r="E226" s="3"/>
      <c r="F226" s="3"/>
    </row>
    <row r="227" ht="15.75" customHeight="1">
      <c r="A227" s="3"/>
      <c r="B227" s="3"/>
      <c r="C227" s="3"/>
      <c r="D227" s="3"/>
      <c r="E227" s="3"/>
      <c r="F227" s="3"/>
    </row>
    <row r="228" ht="15.75" customHeight="1">
      <c r="A228" s="3"/>
      <c r="B228" s="3"/>
      <c r="C228" s="3"/>
      <c r="D228" s="3"/>
      <c r="E228" s="3"/>
      <c r="F228" s="3"/>
    </row>
    <row r="229" ht="15.75" customHeight="1">
      <c r="A229" s="3"/>
      <c r="B229" s="3"/>
      <c r="C229" s="3"/>
      <c r="D229" s="3"/>
      <c r="E229" s="3"/>
      <c r="F229" s="3"/>
    </row>
    <row r="230" ht="15.75" customHeight="1">
      <c r="A230" s="3"/>
      <c r="B230" s="3"/>
      <c r="C230" s="3"/>
      <c r="D230" s="3"/>
      <c r="E230" s="3"/>
      <c r="F230" s="3"/>
    </row>
    <row r="231" ht="15.75" customHeight="1">
      <c r="A231" s="3"/>
      <c r="B231" s="3"/>
      <c r="C231" s="3"/>
      <c r="D231" s="3"/>
      <c r="E231" s="3"/>
      <c r="F231" s="3"/>
    </row>
    <row r="232" ht="15.75" customHeight="1">
      <c r="A232" s="3"/>
      <c r="B232" s="3"/>
      <c r="C232" s="3"/>
      <c r="D232" s="3"/>
      <c r="E232" s="3"/>
      <c r="F232" s="3"/>
    </row>
    <row r="233" ht="15.75" customHeight="1">
      <c r="A233" s="3"/>
      <c r="B233" s="3"/>
      <c r="C233" s="3"/>
      <c r="D233" s="3"/>
      <c r="E233" s="3"/>
      <c r="F233" s="3"/>
    </row>
    <row r="234" ht="15.75" customHeight="1">
      <c r="A234" s="3"/>
      <c r="B234" s="3"/>
      <c r="C234" s="3"/>
      <c r="D234" s="3"/>
      <c r="E234" s="3"/>
      <c r="F234" s="3"/>
    </row>
    <row r="235" ht="15.75" customHeight="1">
      <c r="A235" s="3"/>
      <c r="B235" s="3"/>
      <c r="C235" s="3"/>
      <c r="D235" s="3"/>
      <c r="E235" s="3"/>
      <c r="F235" s="3"/>
    </row>
    <row r="236" ht="15.75" customHeight="1">
      <c r="A236" s="3"/>
      <c r="B236" s="3"/>
      <c r="C236" s="3"/>
      <c r="D236" s="3"/>
      <c r="E236" s="3"/>
      <c r="F236" s="3"/>
    </row>
    <row r="237" ht="15.75" customHeight="1">
      <c r="A237" s="3"/>
      <c r="B237" s="3"/>
      <c r="C237" s="3"/>
      <c r="D237" s="3"/>
      <c r="E237" s="3"/>
      <c r="F237" s="3"/>
    </row>
    <row r="238" ht="15.75" customHeight="1">
      <c r="A238" s="3"/>
      <c r="B238" s="3"/>
      <c r="C238" s="3"/>
      <c r="D238" s="3"/>
      <c r="E238" s="3"/>
      <c r="F238" s="3"/>
    </row>
    <row r="239" ht="15.75" customHeight="1">
      <c r="A239" s="3"/>
      <c r="B239" s="3"/>
      <c r="C239" s="3"/>
      <c r="D239" s="3"/>
      <c r="E239" s="3"/>
      <c r="F239" s="3"/>
    </row>
    <row r="240" ht="15.75" customHeight="1">
      <c r="A240" s="3"/>
      <c r="B240" s="3"/>
      <c r="C240" s="3"/>
      <c r="D240" s="3"/>
      <c r="E240" s="3"/>
      <c r="F240" s="3"/>
    </row>
    <row r="241" ht="15.75" customHeight="1">
      <c r="A241" s="3"/>
      <c r="B241" s="3"/>
      <c r="C241" s="3"/>
      <c r="D241" s="3"/>
      <c r="E241" s="3"/>
      <c r="F241" s="3"/>
    </row>
    <row r="242" ht="15.75" customHeight="1">
      <c r="A242" s="3"/>
      <c r="B242" s="3"/>
      <c r="C242" s="3"/>
      <c r="D242" s="3"/>
      <c r="E242" s="3"/>
      <c r="F242" s="3"/>
    </row>
    <row r="243" ht="15.75" customHeight="1">
      <c r="A243" s="3"/>
      <c r="B243" s="3"/>
      <c r="C243" s="3"/>
      <c r="D243" s="3"/>
      <c r="E243" s="3"/>
      <c r="F243" s="3"/>
    </row>
    <row r="244" ht="15.75" customHeight="1">
      <c r="A244" s="3"/>
      <c r="B244" s="3"/>
      <c r="C244" s="3"/>
      <c r="D244" s="3"/>
      <c r="E244" s="3"/>
      <c r="F244" s="3"/>
    </row>
    <row r="245" ht="15.75" customHeight="1">
      <c r="A245" s="3"/>
      <c r="B245" s="3"/>
      <c r="C245" s="3"/>
      <c r="D245" s="3"/>
      <c r="E245" s="3"/>
      <c r="F245" s="3"/>
    </row>
    <row r="246" ht="15.75" customHeight="1">
      <c r="A246" s="3"/>
      <c r="B246" s="3"/>
      <c r="C246" s="3"/>
      <c r="D246" s="3"/>
      <c r="E246" s="3"/>
      <c r="F246" s="3"/>
    </row>
    <row r="247" ht="15.75" customHeight="1">
      <c r="A247" s="3"/>
      <c r="B247" s="3"/>
      <c r="C247" s="3"/>
      <c r="D247" s="3"/>
      <c r="E247" s="3"/>
      <c r="F247" s="3"/>
    </row>
    <row r="248" ht="15.75" customHeight="1">
      <c r="A248" s="3"/>
      <c r="B248" s="3"/>
      <c r="C248" s="3"/>
      <c r="D248" s="3"/>
      <c r="E248" s="3"/>
      <c r="F248" s="3"/>
    </row>
    <row r="249" ht="15.75" customHeight="1">
      <c r="A249" s="3"/>
      <c r="B249" s="3"/>
      <c r="C249" s="3"/>
      <c r="D249" s="3"/>
      <c r="E249" s="3"/>
      <c r="F249" s="3"/>
    </row>
    <row r="250" ht="15.75" customHeight="1">
      <c r="A250" s="3"/>
      <c r="B250" s="3"/>
      <c r="C250" s="3"/>
      <c r="D250" s="3"/>
      <c r="E250" s="3"/>
      <c r="F250" s="3"/>
    </row>
    <row r="251" ht="15.75" customHeight="1">
      <c r="A251" s="3"/>
      <c r="B251" s="3"/>
      <c r="C251" s="3"/>
      <c r="D251" s="3"/>
      <c r="E251" s="3"/>
      <c r="F251" s="3"/>
    </row>
    <row r="252" ht="15.75" customHeight="1">
      <c r="A252" s="3"/>
      <c r="B252" s="3"/>
      <c r="C252" s="3"/>
      <c r="D252" s="3"/>
      <c r="E252" s="3"/>
      <c r="F252" s="3"/>
    </row>
    <row r="253" ht="15.75" customHeight="1">
      <c r="A253" s="3"/>
      <c r="B253" s="3"/>
      <c r="C253" s="3"/>
      <c r="D253" s="3"/>
      <c r="E253" s="3"/>
      <c r="F253" s="3"/>
    </row>
    <row r="254" ht="15.75" customHeight="1">
      <c r="A254" s="3"/>
      <c r="B254" s="3"/>
      <c r="C254" s="3"/>
      <c r="D254" s="3"/>
      <c r="E254" s="3"/>
      <c r="F254" s="3"/>
    </row>
    <row r="255" ht="15.75" customHeight="1">
      <c r="A255" s="3"/>
      <c r="B255" s="3"/>
      <c r="C255" s="3"/>
      <c r="D255" s="3"/>
      <c r="E255" s="3"/>
      <c r="F255" s="3"/>
    </row>
    <row r="256" ht="15.75" customHeight="1">
      <c r="A256" s="3"/>
      <c r="B256" s="3"/>
      <c r="C256" s="3"/>
      <c r="D256" s="3"/>
      <c r="E256" s="3"/>
      <c r="F256" s="3"/>
    </row>
    <row r="257" ht="15.75" customHeight="1">
      <c r="A257" s="3"/>
      <c r="B257" s="3"/>
      <c r="C257" s="3"/>
      <c r="D257" s="3"/>
      <c r="E257" s="3"/>
      <c r="F257" s="3"/>
    </row>
    <row r="258" ht="15.75" customHeight="1">
      <c r="A258" s="3"/>
      <c r="B258" s="3"/>
      <c r="C258" s="3"/>
      <c r="D258" s="3"/>
      <c r="E258" s="3"/>
      <c r="F258" s="3"/>
    </row>
    <row r="259" ht="15.75" customHeight="1">
      <c r="A259" s="3"/>
      <c r="B259" s="3"/>
      <c r="C259" s="3"/>
      <c r="D259" s="3"/>
      <c r="E259" s="3"/>
      <c r="F259" s="3"/>
    </row>
    <row r="260" ht="15.75" customHeight="1">
      <c r="A260" s="3"/>
      <c r="B260" s="3"/>
      <c r="C260" s="3"/>
      <c r="D260" s="3"/>
      <c r="E260" s="3"/>
      <c r="F260" s="3"/>
    </row>
    <row r="261" ht="15.75" customHeight="1">
      <c r="A261" s="3"/>
      <c r="B261" s="3"/>
      <c r="C261" s="3"/>
      <c r="D261" s="3"/>
      <c r="E261" s="3"/>
      <c r="F261" s="3"/>
    </row>
    <row r="262" ht="15.75" customHeight="1">
      <c r="A262" s="3"/>
      <c r="B262" s="3"/>
      <c r="C262" s="3"/>
      <c r="D262" s="3"/>
      <c r="E262" s="3"/>
      <c r="F262" s="3"/>
    </row>
    <row r="263" ht="15.75" customHeight="1">
      <c r="A263" s="3"/>
      <c r="B263" s="3"/>
      <c r="C263" s="3"/>
      <c r="D263" s="3"/>
      <c r="E263" s="3"/>
      <c r="F263" s="3"/>
    </row>
    <row r="264" ht="15.75" customHeight="1">
      <c r="A264" s="3"/>
      <c r="B264" s="3"/>
      <c r="C264" s="3"/>
      <c r="D264" s="3"/>
      <c r="E264" s="3"/>
      <c r="F264" s="3"/>
    </row>
    <row r="265" ht="15.75" customHeight="1">
      <c r="A265" s="3"/>
      <c r="B265" s="3"/>
      <c r="C265" s="3"/>
      <c r="D265" s="3"/>
      <c r="E265" s="3"/>
      <c r="F265" s="3"/>
    </row>
    <row r="266" ht="15.75" customHeight="1">
      <c r="A266" s="3"/>
      <c r="B266" s="3"/>
      <c r="C266" s="3"/>
      <c r="D266" s="3"/>
      <c r="E266" s="3"/>
      <c r="F266" s="3"/>
    </row>
    <row r="267" ht="15.75" customHeight="1">
      <c r="A267" s="3"/>
      <c r="B267" s="3"/>
      <c r="C267" s="3"/>
      <c r="D267" s="3"/>
      <c r="E267" s="3"/>
      <c r="F267" s="3"/>
    </row>
    <row r="268" ht="15.75" customHeight="1">
      <c r="A268" s="3"/>
      <c r="B268" s="3"/>
      <c r="C268" s="3"/>
      <c r="D268" s="3"/>
      <c r="E268" s="3"/>
      <c r="F268" s="3"/>
    </row>
    <row r="269" ht="15.75" customHeight="1">
      <c r="A269" s="3"/>
      <c r="B269" s="3"/>
      <c r="C269" s="3"/>
      <c r="D269" s="3"/>
      <c r="E269" s="3"/>
      <c r="F269" s="3"/>
    </row>
    <row r="270" ht="15.75" customHeight="1">
      <c r="A270" s="3"/>
      <c r="B270" s="3"/>
      <c r="C270" s="3"/>
      <c r="D270" s="3"/>
      <c r="E270" s="3"/>
      <c r="F270" s="3"/>
    </row>
    <row r="271" ht="15.75" customHeight="1">
      <c r="A271" s="3"/>
      <c r="B271" s="3"/>
      <c r="C271" s="3"/>
      <c r="D271" s="3"/>
      <c r="E271" s="3"/>
      <c r="F271" s="3"/>
    </row>
    <row r="272" ht="15.75" customHeight="1">
      <c r="A272" s="3"/>
      <c r="B272" s="3"/>
      <c r="C272" s="3"/>
      <c r="D272" s="3"/>
      <c r="E272" s="3"/>
      <c r="F272" s="3"/>
    </row>
    <row r="273" ht="15.75" customHeight="1">
      <c r="A273" s="3"/>
      <c r="B273" s="3"/>
      <c r="C273" s="3"/>
      <c r="D273" s="3"/>
      <c r="E273" s="3"/>
      <c r="F273" s="3"/>
    </row>
    <row r="274" ht="15.75" customHeight="1">
      <c r="A274" s="3"/>
      <c r="B274" s="3"/>
      <c r="C274" s="3"/>
      <c r="D274" s="3"/>
      <c r="E274" s="3"/>
      <c r="F274" s="3"/>
    </row>
    <row r="275" ht="15.75" customHeight="1">
      <c r="A275" s="3"/>
      <c r="B275" s="3"/>
      <c r="C275" s="3"/>
      <c r="D275" s="3"/>
      <c r="E275" s="3"/>
      <c r="F275" s="3"/>
    </row>
    <row r="276" ht="15.75" customHeight="1">
      <c r="A276" s="3"/>
      <c r="B276" s="3"/>
      <c r="C276" s="3"/>
      <c r="D276" s="3"/>
      <c r="E276" s="3"/>
      <c r="F276" s="3"/>
    </row>
    <row r="277" ht="15.75" customHeight="1">
      <c r="A277" s="3"/>
      <c r="B277" s="3"/>
      <c r="C277" s="3"/>
      <c r="D277" s="3"/>
      <c r="E277" s="3"/>
      <c r="F277" s="3"/>
    </row>
    <row r="278" ht="15.75" customHeight="1">
      <c r="A278" s="3"/>
      <c r="B278" s="3"/>
      <c r="C278" s="3"/>
      <c r="D278" s="3"/>
      <c r="E278" s="3"/>
      <c r="F278" s="3"/>
    </row>
    <row r="279" ht="15.75" customHeight="1">
      <c r="A279" s="3"/>
      <c r="B279" s="3"/>
      <c r="C279" s="3"/>
      <c r="D279" s="3"/>
      <c r="E279" s="3"/>
      <c r="F279" s="3"/>
    </row>
    <row r="280" ht="15.75" customHeight="1">
      <c r="A280" s="3"/>
      <c r="B280" s="3"/>
      <c r="C280" s="3"/>
      <c r="D280" s="3"/>
      <c r="E280" s="3"/>
      <c r="F280" s="3"/>
    </row>
    <row r="281" ht="15.75" customHeight="1">
      <c r="A281" s="3"/>
      <c r="B281" s="3"/>
      <c r="C281" s="3"/>
      <c r="D281" s="3"/>
      <c r="E281" s="3"/>
      <c r="F281" s="3"/>
    </row>
    <row r="282" ht="15.75" customHeight="1">
      <c r="A282" s="3"/>
      <c r="B282" s="3"/>
      <c r="C282" s="3"/>
      <c r="D282" s="3"/>
      <c r="E282" s="3"/>
      <c r="F282" s="3"/>
    </row>
    <row r="283" ht="15.75" customHeight="1">
      <c r="A283" s="3"/>
      <c r="B283" s="3"/>
      <c r="C283" s="3"/>
      <c r="D283" s="3"/>
      <c r="E283" s="3"/>
      <c r="F283" s="3"/>
    </row>
    <row r="284" ht="15.75" customHeight="1">
      <c r="A284" s="3"/>
      <c r="B284" s="3"/>
      <c r="C284" s="3"/>
      <c r="D284" s="3"/>
      <c r="E284" s="3"/>
      <c r="F284" s="3"/>
    </row>
    <row r="285" ht="15.75" customHeight="1">
      <c r="A285" s="3"/>
      <c r="B285" s="3"/>
      <c r="C285" s="3"/>
      <c r="D285" s="3"/>
      <c r="E285" s="3"/>
      <c r="F285" s="3"/>
    </row>
    <row r="286" ht="15.75" customHeight="1">
      <c r="A286" s="3"/>
      <c r="B286" s="3"/>
      <c r="C286" s="3"/>
      <c r="D286" s="3"/>
      <c r="E286" s="3"/>
      <c r="F286" s="3"/>
    </row>
    <row r="287" ht="15.75" customHeight="1">
      <c r="A287" s="3"/>
      <c r="B287" s="3"/>
      <c r="C287" s="3"/>
      <c r="D287" s="3"/>
      <c r="E287" s="3"/>
      <c r="F287" s="3"/>
    </row>
    <row r="288" ht="15.75" customHeight="1">
      <c r="A288" s="3"/>
      <c r="B288" s="3"/>
      <c r="C288" s="3"/>
      <c r="D288" s="3"/>
      <c r="E288" s="3"/>
      <c r="F288" s="3"/>
    </row>
    <row r="289" ht="15.75" customHeight="1">
      <c r="A289" s="3"/>
      <c r="B289" s="3"/>
      <c r="C289" s="3"/>
      <c r="D289" s="3"/>
      <c r="E289" s="3"/>
      <c r="F289" s="3"/>
    </row>
    <row r="290" ht="15.75" customHeight="1">
      <c r="A290" s="3"/>
      <c r="B290" s="3"/>
      <c r="C290" s="3"/>
      <c r="D290" s="3"/>
      <c r="E290" s="3"/>
      <c r="F290" s="3"/>
    </row>
    <row r="291" ht="15.75" customHeight="1">
      <c r="A291" s="3"/>
      <c r="B291" s="3"/>
      <c r="C291" s="3"/>
      <c r="D291" s="3"/>
      <c r="E291" s="3"/>
      <c r="F291" s="3"/>
    </row>
    <row r="292" ht="15.75" customHeight="1">
      <c r="A292" s="3"/>
      <c r="B292" s="3"/>
      <c r="C292" s="3"/>
      <c r="D292" s="3"/>
      <c r="E292" s="3"/>
      <c r="F292" s="3"/>
    </row>
    <row r="293" ht="15.75" customHeight="1">
      <c r="A293" s="3"/>
      <c r="B293" s="3"/>
      <c r="C293" s="3"/>
      <c r="D293" s="3"/>
      <c r="E293" s="3"/>
      <c r="F293" s="3"/>
    </row>
    <row r="294" ht="15.75" customHeight="1">
      <c r="A294" s="3"/>
      <c r="B294" s="3"/>
      <c r="C294" s="3"/>
      <c r="D294" s="3"/>
      <c r="E294" s="3"/>
      <c r="F294" s="3"/>
    </row>
    <row r="295" ht="15.75" customHeight="1">
      <c r="A295" s="3"/>
      <c r="B295" s="3"/>
      <c r="C295" s="3"/>
      <c r="D295" s="3"/>
      <c r="E295" s="3"/>
      <c r="F295" s="3"/>
    </row>
    <row r="296" ht="15.75" customHeight="1">
      <c r="A296" s="3"/>
      <c r="B296" s="3"/>
      <c r="C296" s="3"/>
      <c r="D296" s="3"/>
      <c r="E296" s="3"/>
      <c r="F296" s="3"/>
    </row>
    <row r="297" ht="15.75" customHeight="1">
      <c r="A297" s="3"/>
      <c r="B297" s="3"/>
      <c r="C297" s="3"/>
      <c r="D297" s="3"/>
      <c r="E297" s="3"/>
      <c r="F297" s="3"/>
    </row>
    <row r="298" ht="15.75" customHeight="1">
      <c r="A298" s="3"/>
      <c r="B298" s="3"/>
      <c r="C298" s="3"/>
      <c r="D298" s="3"/>
      <c r="E298" s="3"/>
      <c r="F298" s="3"/>
    </row>
    <row r="299" ht="15.75" customHeight="1">
      <c r="A299" s="3"/>
      <c r="B299" s="3"/>
      <c r="C299" s="3"/>
      <c r="D299" s="3"/>
      <c r="E299" s="3"/>
      <c r="F299" s="3"/>
    </row>
    <row r="300" ht="15.75" customHeight="1">
      <c r="A300" s="3"/>
      <c r="B300" s="3"/>
      <c r="C300" s="3"/>
      <c r="D300" s="3"/>
      <c r="E300" s="3"/>
      <c r="F300" s="3"/>
    </row>
    <row r="301" ht="15.75" customHeight="1">
      <c r="A301" s="3"/>
      <c r="B301" s="3"/>
      <c r="C301" s="3"/>
      <c r="D301" s="3"/>
      <c r="E301" s="3"/>
      <c r="F301" s="3"/>
    </row>
    <row r="302" ht="15.75" customHeight="1">
      <c r="A302" s="3"/>
      <c r="B302" s="3"/>
      <c r="C302" s="3"/>
      <c r="D302" s="3"/>
      <c r="E302" s="3"/>
      <c r="F302" s="3"/>
    </row>
    <row r="303" ht="15.75" customHeight="1">
      <c r="A303" s="3"/>
      <c r="B303" s="3"/>
      <c r="C303" s="3"/>
      <c r="D303" s="3"/>
      <c r="E303" s="3"/>
      <c r="F303" s="3"/>
    </row>
    <row r="304" ht="15.75" customHeight="1">
      <c r="A304" s="3"/>
      <c r="B304" s="3"/>
      <c r="C304" s="3"/>
      <c r="D304" s="3"/>
      <c r="E304" s="3"/>
      <c r="F304" s="3"/>
    </row>
    <row r="305" ht="15.75" customHeight="1">
      <c r="A305" s="3"/>
      <c r="B305" s="3"/>
      <c r="C305" s="3"/>
      <c r="D305" s="3"/>
      <c r="E305" s="3"/>
      <c r="F305" s="3"/>
    </row>
    <row r="306" ht="15.75" customHeight="1">
      <c r="A306" s="3"/>
      <c r="B306" s="3"/>
      <c r="C306" s="3"/>
      <c r="D306" s="3"/>
      <c r="E306" s="3"/>
      <c r="F306" s="3"/>
    </row>
    <row r="307" ht="15.75" customHeight="1">
      <c r="A307" s="3"/>
      <c r="B307" s="3"/>
      <c r="C307" s="3"/>
      <c r="D307" s="3"/>
      <c r="E307" s="3"/>
      <c r="F307" s="3"/>
    </row>
    <row r="308" ht="15.75" customHeight="1">
      <c r="A308" s="3"/>
      <c r="B308" s="3"/>
      <c r="C308" s="3"/>
      <c r="D308" s="3"/>
      <c r="E308" s="3"/>
      <c r="F308" s="3"/>
    </row>
    <row r="309" ht="15.75" customHeight="1">
      <c r="A309" s="3"/>
      <c r="B309" s="3"/>
      <c r="C309" s="3"/>
      <c r="D309" s="3"/>
      <c r="E309" s="3"/>
      <c r="F309" s="3"/>
    </row>
    <row r="310" ht="15.75" customHeight="1">
      <c r="A310" s="3"/>
      <c r="B310" s="3"/>
      <c r="C310" s="3"/>
      <c r="D310" s="3"/>
      <c r="E310" s="3"/>
      <c r="F310" s="3"/>
    </row>
    <row r="311" ht="15.75" customHeight="1">
      <c r="A311" s="3"/>
      <c r="B311" s="3"/>
      <c r="C311" s="3"/>
      <c r="D311" s="3"/>
      <c r="E311" s="3"/>
      <c r="F311" s="3"/>
    </row>
    <row r="312" ht="15.75" customHeight="1">
      <c r="A312" s="3"/>
      <c r="B312" s="3"/>
      <c r="C312" s="3"/>
      <c r="D312" s="3"/>
      <c r="E312" s="3"/>
      <c r="F312" s="3"/>
    </row>
    <row r="313" ht="15.75" customHeight="1">
      <c r="A313" s="3"/>
      <c r="B313" s="3"/>
      <c r="C313" s="3"/>
      <c r="D313" s="3"/>
      <c r="E313" s="3"/>
      <c r="F313" s="3"/>
    </row>
    <row r="314" ht="15.75" customHeight="1">
      <c r="A314" s="3"/>
      <c r="B314" s="3"/>
      <c r="C314" s="3"/>
      <c r="D314" s="3"/>
      <c r="E314" s="3"/>
      <c r="F314" s="3"/>
    </row>
    <row r="315" ht="15.75" customHeight="1">
      <c r="A315" s="3"/>
      <c r="B315" s="3"/>
      <c r="C315" s="3"/>
      <c r="D315" s="3"/>
      <c r="E315" s="3"/>
      <c r="F315" s="3"/>
    </row>
    <row r="316" ht="15.75" customHeight="1">
      <c r="A316" s="3"/>
      <c r="B316" s="3"/>
      <c r="C316" s="3"/>
      <c r="D316" s="3"/>
      <c r="E316" s="3"/>
      <c r="F316" s="3"/>
    </row>
    <row r="317" ht="15.75" customHeight="1">
      <c r="A317" s="3"/>
      <c r="B317" s="3"/>
      <c r="C317" s="3"/>
      <c r="D317" s="3"/>
      <c r="E317" s="3"/>
      <c r="F317" s="3"/>
    </row>
    <row r="318" ht="15.75" customHeight="1">
      <c r="A318" s="3"/>
      <c r="B318" s="3"/>
      <c r="C318" s="3"/>
      <c r="D318" s="3"/>
      <c r="E318" s="3"/>
      <c r="F318" s="3"/>
    </row>
    <row r="319" ht="15.75" customHeight="1">
      <c r="A319" s="3"/>
      <c r="B319" s="3"/>
      <c r="C319" s="3"/>
      <c r="D319" s="3"/>
      <c r="E319" s="3"/>
      <c r="F319" s="3"/>
    </row>
    <row r="320" ht="15.75" customHeight="1">
      <c r="A320" s="3"/>
      <c r="B320" s="3"/>
      <c r="C320" s="3"/>
      <c r="D320" s="3"/>
      <c r="E320" s="3"/>
      <c r="F320" s="3"/>
    </row>
    <row r="321" ht="15.75" customHeight="1">
      <c r="A321" s="3"/>
      <c r="B321" s="3"/>
      <c r="C321" s="3"/>
      <c r="D321" s="3"/>
      <c r="E321" s="3"/>
      <c r="F321" s="3"/>
    </row>
    <row r="322" ht="15.75" customHeight="1">
      <c r="A322" s="3"/>
      <c r="B322" s="3"/>
      <c r="C322" s="3"/>
      <c r="D322" s="3"/>
      <c r="E322" s="3"/>
      <c r="F322" s="3"/>
    </row>
    <row r="323" ht="15.75" customHeight="1">
      <c r="A323" s="3"/>
      <c r="B323" s="3"/>
      <c r="C323" s="3"/>
      <c r="D323" s="3"/>
      <c r="E323" s="3"/>
      <c r="F323" s="3"/>
    </row>
    <row r="324" ht="15.75" customHeight="1">
      <c r="A324" s="3"/>
      <c r="B324" s="3"/>
      <c r="C324" s="3"/>
      <c r="D324" s="3"/>
      <c r="E324" s="3"/>
      <c r="F324" s="3"/>
    </row>
    <row r="325" ht="15.75" customHeight="1">
      <c r="A325" s="3"/>
      <c r="B325" s="3"/>
      <c r="C325" s="3"/>
      <c r="D325" s="3"/>
      <c r="E325" s="3"/>
      <c r="F325" s="3"/>
    </row>
    <row r="326" ht="15.75" customHeight="1">
      <c r="A326" s="3"/>
      <c r="B326" s="3"/>
      <c r="C326" s="3"/>
      <c r="D326" s="3"/>
      <c r="E326" s="3"/>
      <c r="F326" s="3"/>
    </row>
    <row r="327" ht="15.75" customHeight="1">
      <c r="A327" s="3"/>
      <c r="B327" s="3"/>
      <c r="C327" s="3"/>
      <c r="D327" s="3"/>
      <c r="E327" s="3"/>
      <c r="F327" s="3"/>
    </row>
    <row r="328" ht="15.75" customHeight="1">
      <c r="A328" s="3"/>
      <c r="B328" s="3"/>
      <c r="C328" s="3"/>
      <c r="D328" s="3"/>
      <c r="E328" s="3"/>
      <c r="F328" s="3"/>
    </row>
    <row r="329" ht="15.75" customHeight="1">
      <c r="A329" s="3"/>
      <c r="B329" s="3"/>
      <c r="C329" s="3"/>
      <c r="D329" s="3"/>
      <c r="E329" s="3"/>
      <c r="F329" s="3"/>
    </row>
    <row r="330" ht="15.75" customHeight="1">
      <c r="A330" s="3"/>
      <c r="B330" s="3"/>
      <c r="C330" s="3"/>
      <c r="D330" s="3"/>
      <c r="E330" s="3"/>
      <c r="F330" s="3"/>
    </row>
    <row r="331" ht="15.75" customHeight="1">
      <c r="A331" s="3"/>
      <c r="B331" s="3"/>
      <c r="C331" s="3"/>
      <c r="D331" s="3"/>
      <c r="E331" s="3"/>
      <c r="F331" s="3"/>
    </row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0.13"/>
    <col customWidth="1" min="2" max="6" width="12.63"/>
  </cols>
  <sheetData>
    <row r="1" ht="15.75" customHeight="1">
      <c r="A1" s="5" t="s">
        <v>58</v>
      </c>
    </row>
    <row r="2" ht="15.75" customHeight="1">
      <c r="A2" s="5"/>
    </row>
    <row r="3" ht="15.75" customHeight="1">
      <c r="A3" s="5" t="s">
        <v>59</v>
      </c>
    </row>
    <row r="4" ht="15.75" customHeight="1"/>
    <row r="5" ht="15.75" customHeight="1">
      <c r="A5" s="5" t="s">
        <v>60</v>
      </c>
    </row>
    <row r="6" ht="15.75" customHeight="1"/>
    <row r="7" ht="15.75" customHeight="1">
      <c r="A7" s="5" t="s">
        <v>61</v>
      </c>
    </row>
    <row r="8" ht="15.75" customHeight="1">
      <c r="A8" s="5" t="s">
        <v>62</v>
      </c>
    </row>
    <row r="9" ht="15.75" customHeight="1">
      <c r="A9" s="5" t="s">
        <v>63</v>
      </c>
    </row>
    <row r="10" ht="15.75" customHeight="1">
      <c r="A10" s="5"/>
    </row>
    <row r="11" ht="15.75" customHeight="1">
      <c r="A11" s="5" t="s">
        <v>64</v>
      </c>
    </row>
    <row r="12" ht="15.75" customHeight="1">
      <c r="A12" s="5"/>
    </row>
    <row r="13" ht="15.75" customHeight="1">
      <c r="A13" s="5" t="s">
        <v>65</v>
      </c>
    </row>
    <row r="14" ht="15.75" customHeight="1">
      <c r="A14" s="5" t="s">
        <v>66</v>
      </c>
    </row>
    <row r="15" ht="15.75" customHeight="1">
      <c r="A15" s="5" t="s">
        <v>67</v>
      </c>
    </row>
    <row r="16" ht="15.75" customHeight="1">
      <c r="A16" s="5" t="s">
        <v>68</v>
      </c>
    </row>
    <row r="17" ht="15.75" customHeight="1">
      <c r="A17" s="5" t="s">
        <v>69</v>
      </c>
    </row>
    <row r="18" ht="15.75" customHeight="1">
      <c r="A18" s="5" t="s">
        <v>70</v>
      </c>
    </row>
    <row r="19" ht="15.75" customHeight="1">
      <c r="A19" s="5" t="s">
        <v>71</v>
      </c>
    </row>
    <row r="20" ht="15.75" customHeight="1">
      <c r="A20" s="5" t="s">
        <v>72</v>
      </c>
    </row>
    <row r="21" ht="15.75" customHeight="1">
      <c r="A21" s="5" t="s">
        <v>73</v>
      </c>
    </row>
    <row r="22" ht="15.75" customHeight="1">
      <c r="A22" s="5" t="s">
        <v>74</v>
      </c>
    </row>
    <row r="23" ht="15.75" customHeight="1">
      <c r="A23" s="5" t="s">
        <v>75</v>
      </c>
    </row>
    <row r="24" ht="15.75" customHeight="1">
      <c r="A24" s="5" t="s">
        <v>76</v>
      </c>
    </row>
    <row r="25" ht="15.75" customHeight="1">
      <c r="A25" s="5" t="s">
        <v>77</v>
      </c>
    </row>
    <row r="26" ht="15.75" customHeight="1">
      <c r="A26" s="5" t="s">
        <v>78</v>
      </c>
    </row>
    <row r="27" ht="15.75" customHeight="1">
      <c r="A27" s="5" t="s">
        <v>79</v>
      </c>
    </row>
    <row r="28" ht="15.75" customHeight="1">
      <c r="A28" s="5" t="s">
        <v>80</v>
      </c>
    </row>
    <row r="29" ht="15.75" customHeight="1">
      <c r="A29" s="5" t="s">
        <v>81</v>
      </c>
    </row>
    <row r="30" ht="15.75" customHeight="1">
      <c r="A30" s="5" t="s">
        <v>82</v>
      </c>
    </row>
    <row r="31" ht="15.75" customHeight="1">
      <c r="A31" s="5" t="s">
        <v>83</v>
      </c>
    </row>
    <row r="32" ht="15.75" customHeight="1">
      <c r="A32" s="5" t="s">
        <v>84</v>
      </c>
    </row>
    <row r="33" ht="15.75" customHeight="1">
      <c r="A33" s="5" t="s">
        <v>85</v>
      </c>
    </row>
    <row r="34" ht="15.75" customHeight="1">
      <c r="A34" s="5" t="s">
        <v>86</v>
      </c>
    </row>
    <row r="35" ht="15.75" customHeight="1">
      <c r="A35" s="5" t="s">
        <v>87</v>
      </c>
    </row>
    <row r="36" ht="15.75" customHeight="1">
      <c r="A36" s="5" t="s">
        <v>88</v>
      </c>
    </row>
    <row r="37" ht="15.75" customHeight="1">
      <c r="A37" s="5" t="s">
        <v>89</v>
      </c>
    </row>
    <row r="38" ht="15.75" customHeight="1">
      <c r="A38" s="5" t="s">
        <v>90</v>
      </c>
    </row>
    <row r="39" ht="15.75" customHeight="1">
      <c r="A39" s="5" t="s">
        <v>91</v>
      </c>
    </row>
    <row r="40" ht="15.75" customHeight="1">
      <c r="A40" s="5" t="s">
        <v>92</v>
      </c>
    </row>
    <row r="41" ht="15.75" customHeight="1">
      <c r="A41" s="5" t="s">
        <v>93</v>
      </c>
    </row>
    <row r="42" ht="15.75" customHeight="1">
      <c r="A42" s="5" t="s">
        <v>94</v>
      </c>
    </row>
    <row r="43" ht="15.75" customHeight="1">
      <c r="A43" s="5" t="s">
        <v>95</v>
      </c>
    </row>
    <row r="44" ht="15.75" customHeight="1">
      <c r="A44" s="5" t="s">
        <v>96</v>
      </c>
    </row>
    <row r="45" ht="15.75" customHeight="1">
      <c r="A45" s="5" t="s">
        <v>97</v>
      </c>
    </row>
    <row r="46" ht="15.75" customHeight="1">
      <c r="A46" s="5" t="s">
        <v>98</v>
      </c>
    </row>
    <row r="47" ht="15.75" customHeight="1">
      <c r="A47" s="5" t="s">
        <v>99</v>
      </c>
    </row>
    <row r="48" ht="15.75" customHeight="1">
      <c r="A48" s="5" t="s">
        <v>100</v>
      </c>
    </row>
    <row r="49" ht="15.75" customHeight="1">
      <c r="A49" s="5" t="s">
        <v>101</v>
      </c>
    </row>
    <row r="50" ht="15.75" customHeight="1">
      <c r="A50" s="5" t="s">
        <v>102</v>
      </c>
    </row>
    <row r="51" ht="15.75" customHeight="1">
      <c r="A51" s="5" t="s">
        <v>103</v>
      </c>
    </row>
    <row r="52" ht="15.75" customHeight="1">
      <c r="A52" s="5" t="s">
        <v>104</v>
      </c>
    </row>
    <row r="53" ht="15.75" customHeight="1">
      <c r="A53" s="5" t="s">
        <v>105</v>
      </c>
    </row>
    <row r="54" ht="15.75" customHeight="1">
      <c r="A54" s="5" t="s">
        <v>106</v>
      </c>
    </row>
    <row r="55" ht="15.75" customHeight="1">
      <c r="A55" s="5" t="s">
        <v>107</v>
      </c>
    </row>
    <row r="56" ht="15.75" customHeight="1">
      <c r="A56" s="5" t="s">
        <v>108</v>
      </c>
    </row>
    <row r="57" ht="15.75" customHeight="1">
      <c r="A57" s="5" t="s">
        <v>109</v>
      </c>
    </row>
    <row r="58" ht="15.75" customHeight="1">
      <c r="A58" s="5" t="s">
        <v>110</v>
      </c>
    </row>
    <row r="59" ht="15.75" customHeight="1">
      <c r="A59" s="5" t="s">
        <v>111</v>
      </c>
    </row>
    <row r="60" ht="15.75" customHeight="1">
      <c r="A60" s="5" t="s">
        <v>112</v>
      </c>
    </row>
    <row r="61" ht="15.75" customHeight="1">
      <c r="A61" s="5" t="s">
        <v>113</v>
      </c>
    </row>
    <row r="62" ht="15.75" customHeight="1">
      <c r="A62" s="5" t="s">
        <v>114</v>
      </c>
    </row>
    <row r="63" ht="15.75" customHeight="1">
      <c r="A63" s="5" t="s">
        <v>115</v>
      </c>
    </row>
    <row r="64" ht="15.75" customHeight="1">
      <c r="A64" s="5" t="s">
        <v>116</v>
      </c>
    </row>
    <row r="65" ht="15.75" customHeight="1">
      <c r="A65" s="5" t="s">
        <v>117</v>
      </c>
    </row>
    <row r="66" ht="15.75" customHeight="1">
      <c r="A66" s="5" t="s">
        <v>118</v>
      </c>
    </row>
    <row r="67" ht="15.75" customHeight="1">
      <c r="A67" s="5" t="s">
        <v>119</v>
      </c>
    </row>
    <row r="68" ht="15.75" customHeight="1">
      <c r="A68" s="5" t="s">
        <v>120</v>
      </c>
    </row>
    <row r="69" ht="15.75" customHeight="1">
      <c r="A69" s="5" t="s">
        <v>121</v>
      </c>
    </row>
    <row r="70" ht="15.75" customHeight="1">
      <c r="A70" s="5" t="s">
        <v>122</v>
      </c>
    </row>
    <row r="71" ht="15.75" customHeight="1">
      <c r="A71" s="5" t="s">
        <v>123</v>
      </c>
    </row>
    <row r="72" ht="15.75" customHeight="1">
      <c r="A72" s="5" t="s">
        <v>124</v>
      </c>
    </row>
    <row r="73" ht="15.75" customHeight="1">
      <c r="A73" s="5" t="s">
        <v>125</v>
      </c>
    </row>
    <row r="74" ht="15.75" customHeight="1">
      <c r="A74" s="5" t="s">
        <v>126</v>
      </c>
    </row>
    <row r="75" ht="15.75" customHeight="1">
      <c r="A75" s="5" t="s">
        <v>127</v>
      </c>
    </row>
    <row r="76" ht="15.75" customHeight="1">
      <c r="A76" s="5" t="s">
        <v>128</v>
      </c>
    </row>
    <row r="77" ht="15.75" customHeight="1">
      <c r="A77" s="5" t="s">
        <v>129</v>
      </c>
    </row>
    <row r="78" ht="15.75" customHeight="1">
      <c r="A78" s="5" t="s">
        <v>130</v>
      </c>
    </row>
    <row r="79" ht="15.75" customHeight="1">
      <c r="A79" s="5" t="s">
        <v>131</v>
      </c>
    </row>
    <row r="80" ht="15.75" customHeight="1">
      <c r="A80" s="5" t="s">
        <v>132</v>
      </c>
    </row>
    <row r="81" ht="15.75" customHeight="1">
      <c r="A81" s="5" t="s">
        <v>133</v>
      </c>
    </row>
    <row r="82" ht="15.75" customHeight="1">
      <c r="A82" s="5" t="s">
        <v>134</v>
      </c>
    </row>
    <row r="83" ht="15.75" customHeight="1">
      <c r="A83" s="5" t="s">
        <v>135</v>
      </c>
    </row>
    <row r="84" ht="15.75" customHeight="1">
      <c r="A84" s="5" t="s">
        <v>136</v>
      </c>
    </row>
    <row r="85" ht="15.75" customHeight="1">
      <c r="A85" s="5" t="s">
        <v>137</v>
      </c>
    </row>
    <row r="86" ht="15.75" customHeight="1">
      <c r="A86" s="5" t="s">
        <v>138</v>
      </c>
    </row>
    <row r="87" ht="15.75" customHeight="1">
      <c r="A87" s="5" t="s">
        <v>139</v>
      </c>
    </row>
    <row r="88" ht="15.75" customHeight="1">
      <c r="A88" s="5" t="s">
        <v>140</v>
      </c>
    </row>
    <row r="89" ht="15.75" customHeight="1">
      <c r="A89" s="5" t="s">
        <v>141</v>
      </c>
    </row>
    <row r="90" ht="15.75" customHeight="1">
      <c r="A90" s="5" t="s">
        <v>142</v>
      </c>
    </row>
    <row r="91" ht="15.75" customHeight="1">
      <c r="A91" s="5" t="s">
        <v>143</v>
      </c>
    </row>
    <row r="92" ht="15.75" customHeight="1">
      <c r="A92" s="5" t="s">
        <v>144</v>
      </c>
    </row>
    <row r="93" ht="15.75" customHeight="1">
      <c r="A93" s="5" t="s">
        <v>145</v>
      </c>
    </row>
    <row r="94" ht="15.75" customHeight="1">
      <c r="A94" s="5" t="s">
        <v>146</v>
      </c>
    </row>
    <row r="95" ht="15.75" customHeight="1">
      <c r="A95" s="5" t="s">
        <v>147</v>
      </c>
    </row>
    <row r="96" ht="15.75" customHeight="1">
      <c r="A96" s="5" t="s">
        <v>148</v>
      </c>
    </row>
    <row r="97" ht="15.75" customHeight="1">
      <c r="A97" s="5" t="s">
        <v>149</v>
      </c>
    </row>
    <row r="98" ht="15.75" customHeight="1">
      <c r="A98" s="5" t="s">
        <v>150</v>
      </c>
    </row>
    <row r="99" ht="15.75" customHeight="1">
      <c r="A99" s="5" t="s">
        <v>151</v>
      </c>
    </row>
    <row r="100" ht="15.75" customHeight="1">
      <c r="A100" s="5" t="s">
        <v>152</v>
      </c>
    </row>
    <row r="101" ht="15.75" customHeight="1">
      <c r="A101" s="5" t="s">
        <v>153</v>
      </c>
    </row>
    <row r="102" ht="15.75" customHeight="1">
      <c r="A102" s="5" t="s">
        <v>154</v>
      </c>
    </row>
    <row r="103" ht="15.75" customHeight="1">
      <c r="A103" s="5" t="s">
        <v>155</v>
      </c>
    </row>
    <row r="104" ht="15.75" customHeight="1">
      <c r="A104" s="5" t="s">
        <v>156</v>
      </c>
    </row>
    <row r="105" ht="15.75" customHeight="1">
      <c r="A105" s="5" t="s">
        <v>157</v>
      </c>
    </row>
    <row r="106" ht="15.75" customHeight="1">
      <c r="A106" s="5" t="s">
        <v>158</v>
      </c>
    </row>
    <row r="107" ht="15.75" customHeight="1">
      <c r="A107" s="5" t="s">
        <v>159</v>
      </c>
    </row>
    <row r="108" ht="15.75" customHeight="1">
      <c r="A108" s="5" t="s">
        <v>160</v>
      </c>
    </row>
    <row r="109" ht="15.75" customHeight="1">
      <c r="A109" s="5" t="s">
        <v>161</v>
      </c>
    </row>
    <row r="110" ht="15.75" customHeight="1">
      <c r="A110" s="5" t="s">
        <v>162</v>
      </c>
    </row>
    <row r="111" ht="15.75" customHeight="1">
      <c r="A111" s="5" t="s">
        <v>163</v>
      </c>
    </row>
    <row r="112" ht="15.75" customHeight="1">
      <c r="A112" s="5" t="s">
        <v>164</v>
      </c>
    </row>
    <row r="113" ht="15.75" customHeight="1">
      <c r="A113" s="5" t="s">
        <v>165</v>
      </c>
    </row>
    <row r="114" ht="15.75" customHeight="1">
      <c r="A114" s="5" t="s">
        <v>166</v>
      </c>
    </row>
    <row r="115" ht="15.75" customHeight="1">
      <c r="A115" s="5" t="s">
        <v>167</v>
      </c>
    </row>
    <row r="116" ht="15.75" customHeight="1">
      <c r="A116" s="5" t="s">
        <v>168</v>
      </c>
    </row>
    <row r="117" ht="15.75" customHeight="1">
      <c r="A117" s="5" t="s">
        <v>169</v>
      </c>
    </row>
    <row r="118" ht="15.75" customHeight="1">
      <c r="A118" s="5" t="s">
        <v>170</v>
      </c>
    </row>
    <row r="119" ht="15.75" customHeight="1">
      <c r="A119" s="5" t="s">
        <v>171</v>
      </c>
    </row>
    <row r="120" ht="15.75" customHeight="1">
      <c r="A120" s="5" t="s">
        <v>172</v>
      </c>
    </row>
    <row r="121" ht="15.75" customHeight="1">
      <c r="A121" s="5" t="s">
        <v>173</v>
      </c>
    </row>
    <row r="122" ht="15.75" customHeight="1">
      <c r="A122" s="5" t="s">
        <v>174</v>
      </c>
    </row>
    <row r="123" ht="15.75" customHeight="1">
      <c r="A123" s="5" t="s">
        <v>175</v>
      </c>
    </row>
    <row r="124" ht="15.75" customHeight="1">
      <c r="A124" s="5" t="s">
        <v>176</v>
      </c>
    </row>
    <row r="125" ht="15.75" customHeight="1">
      <c r="A125" s="5" t="s">
        <v>177</v>
      </c>
    </row>
    <row r="126" ht="15.75" customHeight="1">
      <c r="A126" s="5" t="s">
        <v>178</v>
      </c>
    </row>
    <row r="127" ht="15.75" customHeight="1">
      <c r="A127" s="5" t="s">
        <v>179</v>
      </c>
    </row>
    <row r="128" ht="15.75" customHeight="1">
      <c r="A128" s="5" t="s">
        <v>180</v>
      </c>
    </row>
    <row r="129" ht="15.75" customHeight="1">
      <c r="A129" s="5" t="s">
        <v>181</v>
      </c>
    </row>
    <row r="130" ht="15.75" customHeight="1">
      <c r="A130" s="5" t="s">
        <v>182</v>
      </c>
    </row>
    <row r="131" ht="15.75" customHeight="1">
      <c r="A131" s="5" t="s">
        <v>183</v>
      </c>
    </row>
    <row r="132" ht="15.75" customHeight="1">
      <c r="A132" s="5" t="s">
        <v>184</v>
      </c>
    </row>
    <row r="133" ht="15.75" customHeight="1">
      <c r="A133" s="5" t="s">
        <v>185</v>
      </c>
    </row>
    <row r="134" ht="15.75" customHeight="1">
      <c r="A134" s="5" t="s">
        <v>186</v>
      </c>
    </row>
    <row r="135" ht="15.75" customHeight="1">
      <c r="A135" s="5" t="s">
        <v>187</v>
      </c>
    </row>
    <row r="136" ht="15.75" customHeight="1">
      <c r="A136" s="5" t="s">
        <v>188</v>
      </c>
    </row>
    <row r="137" ht="15.75" customHeight="1">
      <c r="A137" s="5" t="s">
        <v>189</v>
      </c>
    </row>
    <row r="138" ht="15.75" customHeight="1">
      <c r="A138" s="5" t="s">
        <v>190</v>
      </c>
    </row>
    <row r="139" ht="15.75" customHeight="1">
      <c r="A139" s="5" t="s">
        <v>191</v>
      </c>
    </row>
    <row r="140" ht="15.75" customHeight="1">
      <c r="A140" s="5" t="s">
        <v>192</v>
      </c>
    </row>
    <row r="141" ht="15.75" customHeight="1">
      <c r="A141" s="5" t="s">
        <v>193</v>
      </c>
    </row>
    <row r="142" ht="15.75" customHeight="1">
      <c r="A142" s="5" t="s">
        <v>194</v>
      </c>
    </row>
    <row r="143" ht="15.75" customHeight="1">
      <c r="A143" s="5" t="s">
        <v>195</v>
      </c>
    </row>
    <row r="144" ht="15.75" customHeight="1">
      <c r="A144" s="5" t="s">
        <v>196</v>
      </c>
    </row>
    <row r="145" ht="15.75" customHeight="1">
      <c r="A145" s="5" t="s">
        <v>197</v>
      </c>
    </row>
    <row r="146" ht="15.75" customHeight="1">
      <c r="A146" s="5" t="s">
        <v>198</v>
      </c>
    </row>
    <row r="147" ht="15.75" customHeight="1">
      <c r="A147" s="5" t="s">
        <v>199</v>
      </c>
    </row>
    <row r="148" ht="15.75" customHeight="1">
      <c r="A148" s="5" t="s">
        <v>200</v>
      </c>
    </row>
    <row r="149" ht="15.75" customHeight="1">
      <c r="A149" s="5" t="s">
        <v>201</v>
      </c>
    </row>
    <row r="150" ht="15.75" customHeight="1">
      <c r="A150" s="5" t="s">
        <v>202</v>
      </c>
    </row>
    <row r="151" ht="15.75" customHeight="1">
      <c r="A151" s="5" t="s">
        <v>203</v>
      </c>
    </row>
    <row r="152" ht="15.75" customHeight="1">
      <c r="A152" s="5" t="s">
        <v>204</v>
      </c>
    </row>
    <row r="153" ht="15.75" customHeight="1">
      <c r="A153" s="5" t="s">
        <v>205</v>
      </c>
    </row>
    <row r="154" ht="15.75" customHeight="1">
      <c r="A154" s="5" t="s">
        <v>206</v>
      </c>
    </row>
    <row r="155" ht="15.75" customHeight="1">
      <c r="A155" s="5" t="s">
        <v>207</v>
      </c>
    </row>
    <row r="156" ht="15.75" customHeight="1">
      <c r="A156" s="5" t="s">
        <v>208</v>
      </c>
    </row>
    <row r="157" ht="15.75" customHeight="1">
      <c r="A157" s="5" t="s">
        <v>209</v>
      </c>
    </row>
    <row r="158" ht="15.75" customHeight="1">
      <c r="A158" s="5" t="s">
        <v>210</v>
      </c>
    </row>
    <row r="159" ht="15.75" customHeight="1">
      <c r="A159" s="5" t="s">
        <v>211</v>
      </c>
    </row>
    <row r="160" ht="15.75" customHeight="1">
      <c r="A160" s="5"/>
    </row>
    <row r="161" ht="15.75" customHeight="1">
      <c r="A161" s="5" t="s">
        <v>212</v>
      </c>
    </row>
    <row r="162" ht="15.75" customHeight="1">
      <c r="A162" s="5"/>
    </row>
    <row r="163" ht="15.75" customHeight="1">
      <c r="A163" s="5" t="s">
        <v>213</v>
      </c>
    </row>
    <row r="164" ht="15.75" customHeight="1">
      <c r="A164" s="5" t="s">
        <v>214</v>
      </c>
    </row>
    <row r="165" ht="15.75" customHeight="1">
      <c r="A165" s="5" t="s">
        <v>215</v>
      </c>
    </row>
    <row r="166" ht="15.75" customHeight="1">
      <c r="A166" s="5" t="s">
        <v>216</v>
      </c>
    </row>
    <row r="167" ht="15.75" customHeight="1">
      <c r="A167" s="5" t="s">
        <v>217</v>
      </c>
    </row>
    <row r="168" ht="15.75" customHeight="1">
      <c r="A168" s="5" t="s">
        <v>218</v>
      </c>
    </row>
    <row r="169" ht="15.75" customHeight="1">
      <c r="A169" s="5" t="s">
        <v>219</v>
      </c>
    </row>
    <row r="170" ht="15.75" customHeight="1">
      <c r="A170" s="5" t="s">
        <v>220</v>
      </c>
    </row>
    <row r="171" ht="15.75" customHeight="1">
      <c r="A171" s="5" t="s">
        <v>221</v>
      </c>
    </row>
    <row r="172" ht="15.75" customHeight="1">
      <c r="A172" s="5" t="s">
        <v>222</v>
      </c>
    </row>
    <row r="173" ht="15.75" customHeight="1">
      <c r="A173" s="5" t="s">
        <v>223</v>
      </c>
    </row>
    <row r="174" ht="15.75" customHeight="1">
      <c r="A174" s="5" t="s">
        <v>224</v>
      </c>
    </row>
    <row r="175" ht="15.75" customHeight="1">
      <c r="A175" s="5" t="s">
        <v>225</v>
      </c>
    </row>
    <row r="176" ht="15.75" customHeight="1">
      <c r="A176" s="5" t="s">
        <v>226</v>
      </c>
    </row>
    <row r="177" ht="15.75" customHeight="1">
      <c r="A177" s="5" t="s">
        <v>227</v>
      </c>
    </row>
    <row r="178" ht="15.75" customHeight="1">
      <c r="A178" s="5" t="s">
        <v>228</v>
      </c>
    </row>
    <row r="179" ht="15.75" customHeight="1">
      <c r="A179" s="5" t="s">
        <v>229</v>
      </c>
    </row>
    <row r="180" ht="15.75" customHeight="1">
      <c r="A180" s="5" t="s">
        <v>230</v>
      </c>
    </row>
    <row r="181" ht="15.75" customHeight="1">
      <c r="A181" s="5" t="s">
        <v>231</v>
      </c>
    </row>
    <row r="182" ht="15.75" customHeight="1">
      <c r="A182" s="5" t="s">
        <v>232</v>
      </c>
    </row>
    <row r="183" ht="15.75" customHeight="1">
      <c r="A183" s="5" t="s">
        <v>233</v>
      </c>
    </row>
    <row r="184" ht="15.75" customHeight="1">
      <c r="A184" s="5" t="s">
        <v>234</v>
      </c>
    </row>
    <row r="185" ht="15.75" customHeight="1">
      <c r="A185" s="5" t="s">
        <v>235</v>
      </c>
    </row>
    <row r="186" ht="15.75" customHeight="1">
      <c r="A186" s="5" t="s">
        <v>236</v>
      </c>
    </row>
    <row r="187" ht="15.75" customHeight="1">
      <c r="A187" s="5" t="s">
        <v>237</v>
      </c>
    </row>
    <row r="188" ht="15.75" customHeight="1">
      <c r="A188" s="5" t="s">
        <v>238</v>
      </c>
    </row>
    <row r="189" ht="15.75" customHeight="1">
      <c r="A189" s="5" t="s">
        <v>239</v>
      </c>
    </row>
    <row r="190" ht="15.75" customHeight="1">
      <c r="A190" s="5" t="s">
        <v>240</v>
      </c>
    </row>
    <row r="191" ht="15.75" customHeight="1">
      <c r="A191" s="5" t="s">
        <v>241</v>
      </c>
    </row>
    <row r="192" ht="15.75" customHeight="1">
      <c r="A192" s="5" t="s">
        <v>242</v>
      </c>
    </row>
    <row r="193" ht="15.75" customHeight="1">
      <c r="A193" s="5" t="s">
        <v>243</v>
      </c>
    </row>
    <row r="194" ht="15.75" customHeight="1">
      <c r="A194" s="5" t="s">
        <v>244</v>
      </c>
    </row>
    <row r="195" ht="15.75" customHeight="1">
      <c r="A195" s="5" t="s">
        <v>245</v>
      </c>
    </row>
    <row r="196" ht="15.75" customHeight="1">
      <c r="A196" s="5" t="s">
        <v>246</v>
      </c>
    </row>
    <row r="197" ht="15.75" customHeight="1">
      <c r="A197" s="5" t="s">
        <v>247</v>
      </c>
    </row>
    <row r="198" ht="15.75" customHeight="1">
      <c r="A198" s="5" t="s">
        <v>248</v>
      </c>
    </row>
    <row r="199" ht="15.75" customHeight="1">
      <c r="A199" s="5" t="s">
        <v>249</v>
      </c>
    </row>
    <row r="200" ht="15.75" customHeight="1">
      <c r="A200" s="5" t="s">
        <v>250</v>
      </c>
    </row>
    <row r="201" ht="15.75" customHeight="1">
      <c r="A201" s="5" t="s">
        <v>251</v>
      </c>
    </row>
    <row r="202" ht="15.75" customHeight="1">
      <c r="A202" s="5" t="s">
        <v>252</v>
      </c>
    </row>
    <row r="203" ht="15.75" customHeight="1">
      <c r="A203" s="5" t="s">
        <v>253</v>
      </c>
    </row>
    <row r="204" ht="15.75" customHeight="1">
      <c r="A204" s="5" t="s">
        <v>254</v>
      </c>
    </row>
    <row r="205" ht="15.75" customHeight="1">
      <c r="A205" s="5" t="s">
        <v>255</v>
      </c>
    </row>
    <row r="206" ht="15.75" customHeight="1">
      <c r="A206" s="5" t="s">
        <v>256</v>
      </c>
    </row>
    <row r="207" ht="15.75" customHeight="1">
      <c r="A207" s="5" t="s">
        <v>257</v>
      </c>
    </row>
    <row r="208" ht="15.75" customHeight="1">
      <c r="A208" s="5" t="s">
        <v>258</v>
      </c>
    </row>
    <row r="209" ht="15.75" customHeight="1">
      <c r="A209" s="5" t="s">
        <v>259</v>
      </c>
    </row>
    <row r="210" ht="15.75" customHeight="1">
      <c r="A210" s="5" t="s">
        <v>260</v>
      </c>
    </row>
    <row r="211" ht="15.75" customHeight="1">
      <c r="A211" s="5" t="s">
        <v>261</v>
      </c>
    </row>
    <row r="212" ht="15.75" customHeight="1">
      <c r="A212" s="5" t="s">
        <v>262</v>
      </c>
    </row>
    <row r="213" ht="15.75" customHeight="1">
      <c r="A213" s="5" t="s">
        <v>263</v>
      </c>
    </row>
    <row r="214" ht="15.75" customHeight="1">
      <c r="A214" s="5" t="s">
        <v>264</v>
      </c>
    </row>
    <row r="215" ht="15.75" customHeight="1">
      <c r="A215" s="5" t="s">
        <v>265</v>
      </c>
    </row>
    <row r="216" ht="15.75" customHeight="1">
      <c r="A216" s="5" t="s">
        <v>266</v>
      </c>
    </row>
    <row r="217" ht="15.75" customHeight="1">
      <c r="A217" s="5" t="s">
        <v>267</v>
      </c>
    </row>
    <row r="218" ht="15.75" customHeight="1">
      <c r="A218" s="5" t="s">
        <v>268</v>
      </c>
    </row>
    <row r="219" ht="15.75" customHeight="1">
      <c r="A219" s="5" t="s">
        <v>269</v>
      </c>
    </row>
    <row r="220" ht="15.75" customHeight="1">
      <c r="A220" s="5" t="s">
        <v>270</v>
      </c>
    </row>
    <row r="221" ht="15.75" customHeight="1">
      <c r="A221" s="5" t="s">
        <v>271</v>
      </c>
    </row>
    <row r="222" ht="15.75" customHeight="1">
      <c r="A222" s="5" t="s">
        <v>272</v>
      </c>
    </row>
    <row r="223" ht="15.75" customHeight="1">
      <c r="A223" s="5" t="s">
        <v>273</v>
      </c>
    </row>
    <row r="224" ht="15.75" customHeight="1">
      <c r="A224" s="5" t="s">
        <v>274</v>
      </c>
    </row>
    <row r="225" ht="15.75" customHeight="1">
      <c r="A225" s="5" t="s">
        <v>275</v>
      </c>
    </row>
    <row r="226" ht="15.75" customHeight="1">
      <c r="A226" s="5" t="s">
        <v>276</v>
      </c>
    </row>
    <row r="227" ht="15.75" customHeight="1">
      <c r="A227" s="5" t="s">
        <v>277</v>
      </c>
    </row>
    <row r="228" ht="15.75" customHeight="1">
      <c r="A228" s="5" t="s">
        <v>278</v>
      </c>
    </row>
    <row r="229" ht="15.75" customHeight="1">
      <c r="A229" s="5" t="s">
        <v>279</v>
      </c>
    </row>
    <row r="230" ht="15.75" customHeight="1">
      <c r="A230" s="5" t="s">
        <v>280</v>
      </c>
    </row>
    <row r="231" ht="15.75" customHeight="1">
      <c r="A231" s="5" t="s">
        <v>281</v>
      </c>
    </row>
    <row r="232" ht="15.75" customHeight="1">
      <c r="A232" s="5" t="s">
        <v>282</v>
      </c>
    </row>
    <row r="233" ht="15.75" customHeight="1">
      <c r="A233" s="5" t="s">
        <v>283</v>
      </c>
    </row>
    <row r="234" ht="15.75" customHeight="1">
      <c r="A234" s="5" t="s">
        <v>284</v>
      </c>
    </row>
    <row r="235" ht="15.75" customHeight="1">
      <c r="A235" s="5" t="s">
        <v>285</v>
      </c>
    </row>
    <row r="236" ht="15.75" customHeight="1">
      <c r="A236" s="5" t="s">
        <v>286</v>
      </c>
    </row>
    <row r="237" ht="15.75" customHeight="1">
      <c r="A237" s="5" t="s">
        <v>287</v>
      </c>
    </row>
    <row r="238" ht="15.75" customHeight="1">
      <c r="A238" s="5" t="s">
        <v>288</v>
      </c>
    </row>
    <row r="239" ht="15.75" customHeight="1">
      <c r="A239" s="5" t="s">
        <v>289</v>
      </c>
    </row>
    <row r="240" ht="15.75" customHeight="1">
      <c r="A240" s="5" t="s">
        <v>290</v>
      </c>
    </row>
    <row r="241" ht="15.75" customHeight="1">
      <c r="A241" s="5" t="s">
        <v>291</v>
      </c>
    </row>
    <row r="242" ht="15.75" customHeight="1">
      <c r="A242" s="5" t="s">
        <v>292</v>
      </c>
    </row>
    <row r="243" ht="15.75" customHeight="1">
      <c r="A243" s="5" t="s">
        <v>293</v>
      </c>
    </row>
    <row r="244" ht="15.75" customHeight="1">
      <c r="A244" s="5" t="s">
        <v>294</v>
      </c>
    </row>
    <row r="245" ht="15.75" customHeight="1">
      <c r="A245" s="5" t="s">
        <v>295</v>
      </c>
    </row>
    <row r="246" ht="15.75" customHeight="1">
      <c r="A246" s="5" t="s">
        <v>296</v>
      </c>
    </row>
    <row r="247" ht="15.75" customHeight="1">
      <c r="A247" s="5" t="s">
        <v>297</v>
      </c>
    </row>
    <row r="248" ht="15.75" customHeight="1">
      <c r="A248" s="5" t="s">
        <v>298</v>
      </c>
    </row>
    <row r="249" ht="15.75" customHeight="1">
      <c r="A249" s="5" t="s">
        <v>299</v>
      </c>
    </row>
    <row r="250" ht="15.75" customHeight="1">
      <c r="A250" s="5" t="s">
        <v>300</v>
      </c>
    </row>
    <row r="251" ht="15.75" customHeight="1">
      <c r="A251" s="5" t="s">
        <v>301</v>
      </c>
    </row>
    <row r="252" ht="15.75" customHeight="1">
      <c r="A252" s="5" t="s">
        <v>302</v>
      </c>
    </row>
    <row r="253" ht="15.75" customHeight="1">
      <c r="A253" s="5" t="s">
        <v>303</v>
      </c>
    </row>
    <row r="254" ht="15.75" customHeight="1">
      <c r="A254" s="5" t="s">
        <v>304</v>
      </c>
    </row>
    <row r="255" ht="15.75" customHeight="1">
      <c r="A255" s="5" t="s">
        <v>305</v>
      </c>
    </row>
    <row r="256" ht="15.75" customHeight="1">
      <c r="A256" s="5" t="s">
        <v>306</v>
      </c>
    </row>
    <row r="257" ht="15.75" customHeight="1">
      <c r="A257" s="5" t="s">
        <v>307</v>
      </c>
    </row>
    <row r="258" ht="15.75" customHeight="1">
      <c r="A258" s="5" t="s">
        <v>308</v>
      </c>
    </row>
    <row r="259" ht="15.75" customHeight="1">
      <c r="A259" s="5" t="s">
        <v>309</v>
      </c>
    </row>
    <row r="260" ht="15.75" customHeight="1">
      <c r="A260" s="5" t="s">
        <v>310</v>
      </c>
    </row>
    <row r="261" ht="15.75" customHeight="1">
      <c r="A261" s="5" t="s">
        <v>311</v>
      </c>
    </row>
    <row r="262" ht="15.75" customHeight="1">
      <c r="A262" s="5" t="s">
        <v>312</v>
      </c>
    </row>
    <row r="263" ht="15.75" customHeight="1">
      <c r="A263" s="5" t="s">
        <v>313</v>
      </c>
    </row>
    <row r="264" ht="15.75" customHeight="1">
      <c r="A264" s="5" t="s">
        <v>314</v>
      </c>
    </row>
    <row r="265" ht="15.75" customHeight="1">
      <c r="A265" s="5" t="s">
        <v>315</v>
      </c>
    </row>
    <row r="266" ht="15.75" customHeight="1">
      <c r="A266" s="5" t="s">
        <v>316</v>
      </c>
    </row>
    <row r="267" ht="15.75" customHeight="1">
      <c r="A267" s="5" t="s">
        <v>317</v>
      </c>
    </row>
    <row r="268" ht="15.75" customHeight="1">
      <c r="A268" s="5" t="s">
        <v>318</v>
      </c>
    </row>
    <row r="269" ht="15.75" customHeight="1">
      <c r="A269" s="5" t="s">
        <v>319</v>
      </c>
    </row>
    <row r="270" ht="15.75" customHeight="1">
      <c r="A270" s="5" t="s">
        <v>320</v>
      </c>
    </row>
    <row r="271" ht="15.75" customHeight="1">
      <c r="A271" s="5" t="s">
        <v>321</v>
      </c>
    </row>
    <row r="272" ht="15.75" customHeight="1">
      <c r="A272" s="5" t="s">
        <v>322</v>
      </c>
    </row>
    <row r="273" ht="15.75" customHeight="1">
      <c r="A273" s="5" t="s">
        <v>323</v>
      </c>
    </row>
    <row r="274" ht="15.75" customHeight="1">
      <c r="A274" s="5" t="s">
        <v>324</v>
      </c>
    </row>
    <row r="275" ht="15.75" customHeight="1">
      <c r="A275" s="5" t="s">
        <v>325</v>
      </c>
    </row>
    <row r="276" ht="15.75" customHeight="1">
      <c r="A276" s="5" t="s">
        <v>326</v>
      </c>
    </row>
    <row r="277" ht="15.75" customHeight="1">
      <c r="A277" s="5" t="s">
        <v>327</v>
      </c>
    </row>
    <row r="278" ht="15.75" customHeight="1">
      <c r="A278" s="5" t="s">
        <v>328</v>
      </c>
    </row>
    <row r="279" ht="15.75" customHeight="1">
      <c r="A279" s="5" t="s">
        <v>329</v>
      </c>
    </row>
    <row r="280" ht="15.75" customHeight="1">
      <c r="A280" s="5" t="s">
        <v>330</v>
      </c>
    </row>
    <row r="281" ht="15.75" customHeight="1">
      <c r="A281" s="5" t="s">
        <v>331</v>
      </c>
    </row>
    <row r="282" ht="15.75" customHeight="1">
      <c r="A282" s="5" t="s">
        <v>332</v>
      </c>
    </row>
    <row r="283" ht="15.75" customHeight="1">
      <c r="A283" s="5" t="s">
        <v>333</v>
      </c>
    </row>
    <row r="284" ht="15.75" customHeight="1">
      <c r="A284" s="5" t="s">
        <v>334</v>
      </c>
    </row>
    <row r="285" ht="15.75" customHeight="1">
      <c r="A285" s="5" t="s">
        <v>335</v>
      </c>
    </row>
    <row r="286" ht="15.75" customHeight="1">
      <c r="A286" s="5" t="s">
        <v>336</v>
      </c>
    </row>
    <row r="287" ht="15.75" customHeight="1">
      <c r="A287" s="5" t="s">
        <v>337</v>
      </c>
    </row>
    <row r="288" ht="15.75" customHeight="1">
      <c r="A288" s="5" t="s">
        <v>338</v>
      </c>
    </row>
    <row r="289" ht="15.75" customHeight="1">
      <c r="A289" s="5" t="s">
        <v>339</v>
      </c>
    </row>
    <row r="290" ht="15.75" customHeight="1">
      <c r="A290" s="5" t="s">
        <v>340</v>
      </c>
    </row>
    <row r="291" ht="15.75" customHeight="1">
      <c r="A291" s="5" t="s">
        <v>341</v>
      </c>
    </row>
    <row r="292" ht="15.75" customHeight="1">
      <c r="A292" s="5" t="s">
        <v>342</v>
      </c>
    </row>
    <row r="293" ht="15.75" customHeight="1">
      <c r="A293" s="5"/>
    </row>
    <row r="294" ht="15.75" customHeight="1">
      <c r="A294" s="5" t="s">
        <v>343</v>
      </c>
    </row>
    <row r="295" ht="15.75" customHeight="1">
      <c r="A295" s="5"/>
    </row>
    <row r="296" ht="15.75" customHeight="1">
      <c r="A296" s="5" t="s">
        <v>344</v>
      </c>
    </row>
    <row r="297" ht="15.75" customHeight="1">
      <c r="A297" s="5" t="s">
        <v>345</v>
      </c>
    </row>
    <row r="298" ht="15.75" customHeight="1">
      <c r="A298" s="5" t="s">
        <v>346</v>
      </c>
    </row>
    <row r="299" ht="15.75" customHeight="1">
      <c r="A299" s="5" t="s">
        <v>347</v>
      </c>
    </row>
    <row r="300" ht="15.75" customHeight="1">
      <c r="A300" s="5" t="s">
        <v>348</v>
      </c>
    </row>
    <row r="301" ht="15.75" customHeight="1">
      <c r="A301" s="5" t="s">
        <v>349</v>
      </c>
    </row>
    <row r="302" ht="15.75" customHeight="1">
      <c r="A302" s="5" t="s">
        <v>350</v>
      </c>
    </row>
    <row r="303" ht="15.75" customHeight="1">
      <c r="A303" s="5" t="s">
        <v>351</v>
      </c>
    </row>
    <row r="304" ht="15.75" customHeight="1">
      <c r="A304" s="5" t="s">
        <v>352</v>
      </c>
    </row>
    <row r="305" ht="15.75" customHeight="1">
      <c r="A305" s="5" t="s">
        <v>353</v>
      </c>
    </row>
    <row r="306" ht="15.75" customHeight="1">
      <c r="A306" s="5" t="s">
        <v>354</v>
      </c>
    </row>
    <row r="307" ht="15.75" customHeight="1">
      <c r="A307" s="5" t="s">
        <v>355</v>
      </c>
    </row>
    <row r="308" ht="15.75" customHeight="1">
      <c r="A308" s="5" t="s">
        <v>356</v>
      </c>
    </row>
    <row r="309" ht="15.75" customHeight="1">
      <c r="A309" s="5" t="s">
        <v>357</v>
      </c>
    </row>
    <row r="310" ht="15.75" customHeight="1">
      <c r="A310" s="5" t="s">
        <v>358</v>
      </c>
    </row>
    <row r="311" ht="15.75" customHeight="1">
      <c r="A311" s="5" t="s">
        <v>359</v>
      </c>
    </row>
    <row r="312" ht="15.75" customHeight="1">
      <c r="A312" s="5" t="s">
        <v>360</v>
      </c>
    </row>
    <row r="313" ht="15.75" customHeight="1">
      <c r="A313" s="5" t="s">
        <v>361</v>
      </c>
    </row>
    <row r="314" ht="15.75" customHeight="1">
      <c r="A314" s="5" t="s">
        <v>362</v>
      </c>
    </row>
    <row r="315" ht="15.75" customHeight="1">
      <c r="A315" s="5" t="s">
        <v>363</v>
      </c>
    </row>
    <row r="316" ht="15.75" customHeight="1">
      <c r="A316" s="5" t="s">
        <v>364</v>
      </c>
    </row>
    <row r="317" ht="15.75" customHeight="1">
      <c r="A317" s="5" t="s">
        <v>365</v>
      </c>
    </row>
    <row r="318" ht="15.75" customHeight="1">
      <c r="A318" s="5" t="s">
        <v>366</v>
      </c>
    </row>
    <row r="319" ht="15.75" customHeight="1">
      <c r="A319" s="5" t="s">
        <v>367</v>
      </c>
    </row>
    <row r="320" ht="15.75" customHeight="1">
      <c r="A320" s="5" t="s">
        <v>368</v>
      </c>
    </row>
    <row r="321" ht="15.75" customHeight="1">
      <c r="A321" s="5" t="s">
        <v>369</v>
      </c>
    </row>
    <row r="322" ht="15.75" customHeight="1">
      <c r="A322" s="5" t="s">
        <v>370</v>
      </c>
    </row>
    <row r="323" ht="15.75" customHeight="1">
      <c r="A323" s="5" t="s">
        <v>371</v>
      </c>
    </row>
    <row r="324" ht="15.75" customHeight="1">
      <c r="A324" s="5" t="s">
        <v>372</v>
      </c>
    </row>
    <row r="325" ht="15.75" customHeight="1">
      <c r="A325" s="5" t="s">
        <v>373</v>
      </c>
    </row>
    <row r="326" ht="15.75" customHeight="1">
      <c r="A326" s="5" t="s">
        <v>374</v>
      </c>
    </row>
    <row r="327" ht="15.75" customHeight="1">
      <c r="A327" s="5" t="s">
        <v>375</v>
      </c>
    </row>
    <row r="328" ht="15.75" customHeight="1">
      <c r="A328" s="5" t="s">
        <v>376</v>
      </c>
    </row>
    <row r="329" ht="15.75" customHeight="1">
      <c r="A329" s="5" t="s">
        <v>377</v>
      </c>
    </row>
    <row r="330" ht="15.75" customHeight="1">
      <c r="A330" s="5" t="s">
        <v>378</v>
      </c>
    </row>
    <row r="331" ht="15.75" customHeight="1">
      <c r="A331" s="5" t="s">
        <v>379</v>
      </c>
    </row>
    <row r="332" ht="15.75" customHeight="1">
      <c r="A332" s="5" t="s">
        <v>380</v>
      </c>
    </row>
    <row r="333" ht="15.75" customHeight="1">
      <c r="A333" s="5" t="s">
        <v>381</v>
      </c>
    </row>
    <row r="334" ht="15.75" customHeight="1">
      <c r="A334" s="5" t="s">
        <v>382</v>
      </c>
    </row>
    <row r="335" ht="15.75" customHeight="1">
      <c r="A335" s="5" t="s">
        <v>383</v>
      </c>
    </row>
    <row r="336" ht="15.75" customHeight="1">
      <c r="A336" s="5" t="s">
        <v>384</v>
      </c>
    </row>
    <row r="337" ht="15.75" customHeight="1">
      <c r="A337" s="5" t="s">
        <v>385</v>
      </c>
    </row>
    <row r="338" ht="15.75" customHeight="1">
      <c r="A338" s="5" t="s">
        <v>386</v>
      </c>
    </row>
    <row r="339" ht="15.75" customHeight="1">
      <c r="A339" s="5" t="s">
        <v>387</v>
      </c>
    </row>
    <row r="340" ht="15.75" customHeight="1">
      <c r="A340" s="5" t="s">
        <v>388</v>
      </c>
    </row>
    <row r="341" ht="15.75" customHeight="1">
      <c r="A341" s="5" t="s">
        <v>389</v>
      </c>
    </row>
    <row r="342" ht="15.75" customHeight="1">
      <c r="A342" s="5" t="s">
        <v>390</v>
      </c>
    </row>
    <row r="343" ht="15.75" customHeight="1">
      <c r="A343" s="5" t="s">
        <v>391</v>
      </c>
    </row>
    <row r="344" ht="15.75" customHeight="1">
      <c r="A344" s="5" t="s">
        <v>392</v>
      </c>
    </row>
    <row r="345" ht="15.75" customHeight="1">
      <c r="A345" s="5" t="s">
        <v>393</v>
      </c>
    </row>
    <row r="346" ht="15.75" customHeight="1">
      <c r="A346" s="5" t="s">
        <v>394</v>
      </c>
    </row>
    <row r="347" ht="15.75" customHeight="1">
      <c r="A347" s="5" t="s">
        <v>395</v>
      </c>
    </row>
    <row r="348" ht="15.75" customHeight="1">
      <c r="A348" s="5" t="s">
        <v>396</v>
      </c>
    </row>
    <row r="349" ht="15.75" customHeight="1">
      <c r="A349" s="5" t="s">
        <v>397</v>
      </c>
    </row>
    <row r="350" ht="15.75" customHeight="1">
      <c r="A350" s="5" t="s">
        <v>398</v>
      </c>
    </row>
    <row r="351" ht="15.75" customHeight="1">
      <c r="A351" s="5" t="s">
        <v>399</v>
      </c>
    </row>
    <row r="352" ht="15.75" customHeight="1">
      <c r="A352" s="5" t="s">
        <v>400</v>
      </c>
    </row>
    <row r="353" ht="15.75" customHeight="1">
      <c r="A353" s="5" t="s">
        <v>401</v>
      </c>
    </row>
    <row r="354" ht="15.75" customHeight="1">
      <c r="A354" s="5" t="s">
        <v>402</v>
      </c>
    </row>
    <row r="355" ht="15.75" customHeight="1">
      <c r="A355" s="5" t="s">
        <v>403</v>
      </c>
    </row>
    <row r="356" ht="15.75" customHeight="1">
      <c r="A356" s="5" t="s">
        <v>404</v>
      </c>
    </row>
    <row r="357" ht="15.75" customHeight="1">
      <c r="A357" s="5" t="s">
        <v>405</v>
      </c>
    </row>
    <row r="358" ht="15.75" customHeight="1">
      <c r="A358" s="5" t="s">
        <v>406</v>
      </c>
    </row>
    <row r="359" ht="15.75" customHeight="1">
      <c r="A359" s="5" t="s">
        <v>407</v>
      </c>
    </row>
    <row r="360" ht="15.75" customHeight="1">
      <c r="A360" s="5" t="s">
        <v>408</v>
      </c>
    </row>
    <row r="361" ht="15.75" customHeight="1">
      <c r="A361" s="5" t="s">
        <v>409</v>
      </c>
    </row>
    <row r="362" ht="15.75" customHeight="1">
      <c r="A362" s="5" t="s">
        <v>410</v>
      </c>
    </row>
    <row r="363" ht="15.75" customHeight="1">
      <c r="A363" s="5" t="s">
        <v>411</v>
      </c>
    </row>
    <row r="364" ht="15.75" customHeight="1">
      <c r="A364" s="5" t="s">
        <v>412</v>
      </c>
    </row>
    <row r="365" ht="15.75" customHeight="1">
      <c r="A365" s="5" t="s">
        <v>413</v>
      </c>
    </row>
    <row r="366" ht="15.75" customHeight="1">
      <c r="A366" s="5" t="s">
        <v>414</v>
      </c>
    </row>
    <row r="367" ht="15.75" customHeight="1">
      <c r="A367" s="5" t="s">
        <v>415</v>
      </c>
    </row>
    <row r="368" ht="15.75" customHeight="1">
      <c r="A368" s="5" t="s">
        <v>416</v>
      </c>
    </row>
    <row r="369" ht="15.75" customHeight="1">
      <c r="A369" s="5" t="s">
        <v>417</v>
      </c>
    </row>
    <row r="370" ht="15.75" customHeight="1">
      <c r="A370" s="5" t="s">
        <v>418</v>
      </c>
    </row>
    <row r="371" ht="15.75" customHeight="1">
      <c r="A371" s="5" t="s">
        <v>419</v>
      </c>
    </row>
    <row r="372" ht="15.75" customHeight="1">
      <c r="A372" s="5" t="s">
        <v>420</v>
      </c>
    </row>
    <row r="373" ht="15.75" customHeight="1">
      <c r="A373" s="5" t="s">
        <v>421</v>
      </c>
    </row>
    <row r="374" ht="15.75" customHeight="1">
      <c r="A374" s="5" t="s">
        <v>422</v>
      </c>
    </row>
    <row r="375" ht="15.75" customHeight="1">
      <c r="A375" s="5" t="s">
        <v>423</v>
      </c>
    </row>
    <row r="376" ht="15.75" customHeight="1">
      <c r="A376" s="5" t="s">
        <v>424</v>
      </c>
    </row>
    <row r="377" ht="15.75" customHeight="1">
      <c r="A377" s="5" t="s">
        <v>425</v>
      </c>
    </row>
    <row r="378" ht="15.75" customHeight="1">
      <c r="A378" s="5" t="s">
        <v>426</v>
      </c>
    </row>
    <row r="379" ht="15.75" customHeight="1">
      <c r="A379" s="5" t="s">
        <v>427</v>
      </c>
    </row>
    <row r="380" ht="15.75" customHeight="1">
      <c r="A380" s="5" t="s">
        <v>428</v>
      </c>
    </row>
    <row r="381" ht="15.75" customHeight="1">
      <c r="A381" s="5" t="s">
        <v>429</v>
      </c>
    </row>
    <row r="382" ht="15.75" customHeight="1">
      <c r="A382" s="5" t="s">
        <v>430</v>
      </c>
    </row>
    <row r="383" ht="15.75" customHeight="1">
      <c r="A383" s="5" t="s">
        <v>431</v>
      </c>
    </row>
    <row r="384" ht="15.75" customHeight="1">
      <c r="A384" s="5" t="s">
        <v>432</v>
      </c>
    </row>
    <row r="385" ht="15.75" customHeight="1">
      <c r="A385" s="5" t="s">
        <v>433</v>
      </c>
    </row>
    <row r="386" ht="15.75" customHeight="1">
      <c r="A386" s="5" t="s">
        <v>434</v>
      </c>
    </row>
    <row r="387" ht="15.75" customHeight="1">
      <c r="A387" s="5" t="s">
        <v>435</v>
      </c>
    </row>
    <row r="388" ht="15.75" customHeight="1">
      <c r="A388" s="5" t="s">
        <v>436</v>
      </c>
    </row>
    <row r="389" ht="15.75" customHeight="1">
      <c r="A389" s="5" t="s">
        <v>437</v>
      </c>
    </row>
    <row r="390" ht="15.75" customHeight="1">
      <c r="A390" s="5" t="s">
        <v>438</v>
      </c>
    </row>
    <row r="391" ht="15.75" customHeight="1">
      <c r="A391" s="5" t="s">
        <v>439</v>
      </c>
    </row>
    <row r="392" ht="15.75" customHeight="1">
      <c r="A392" s="5" t="s">
        <v>440</v>
      </c>
    </row>
    <row r="393" ht="15.75" customHeight="1">
      <c r="A393" s="5" t="s">
        <v>441</v>
      </c>
    </row>
    <row r="394" ht="15.75" customHeight="1">
      <c r="A394" s="5" t="s">
        <v>442</v>
      </c>
    </row>
    <row r="395" ht="15.75" customHeight="1">
      <c r="A395" s="5" t="s">
        <v>443</v>
      </c>
    </row>
    <row r="396" ht="15.75" customHeight="1">
      <c r="A396" s="5" t="s">
        <v>444</v>
      </c>
    </row>
    <row r="397" ht="15.75" customHeight="1">
      <c r="A397" s="5" t="s">
        <v>445</v>
      </c>
    </row>
    <row r="398" ht="15.75" customHeight="1">
      <c r="A398" s="5" t="s">
        <v>446</v>
      </c>
    </row>
    <row r="399" ht="15.75" customHeight="1">
      <c r="A399" s="5" t="s">
        <v>447</v>
      </c>
    </row>
    <row r="400" ht="15.75" customHeight="1">
      <c r="A400" s="5" t="s">
        <v>448</v>
      </c>
    </row>
    <row r="401" ht="15.75" customHeight="1">
      <c r="A401" s="5" t="s">
        <v>449</v>
      </c>
    </row>
    <row r="402" ht="15.75" customHeight="1">
      <c r="A402" s="5" t="s">
        <v>450</v>
      </c>
    </row>
    <row r="403" ht="15.75" customHeight="1">
      <c r="A403" s="5" t="s">
        <v>451</v>
      </c>
    </row>
    <row r="404" ht="15.75" customHeight="1">
      <c r="A404" s="5" t="s">
        <v>452</v>
      </c>
    </row>
    <row r="405" ht="15.75" customHeight="1">
      <c r="A405" s="5" t="s">
        <v>453</v>
      </c>
    </row>
    <row r="406" ht="15.75" customHeight="1">
      <c r="A406" s="5" t="s">
        <v>454</v>
      </c>
    </row>
    <row r="407" ht="15.75" customHeight="1">
      <c r="A407" s="5" t="s">
        <v>455</v>
      </c>
    </row>
    <row r="408" ht="15.75" customHeight="1">
      <c r="A408" s="5" t="s">
        <v>456</v>
      </c>
    </row>
    <row r="409" ht="15.75" customHeight="1">
      <c r="A409" s="5" t="s">
        <v>457</v>
      </c>
    </row>
    <row r="410" ht="15.75" customHeight="1">
      <c r="A410" s="5" t="s">
        <v>458</v>
      </c>
    </row>
    <row r="411" ht="15.75" customHeight="1">
      <c r="A411" s="5" t="s">
        <v>459</v>
      </c>
    </row>
    <row r="412" ht="15.75" customHeight="1">
      <c r="A412" s="5" t="s">
        <v>460</v>
      </c>
    </row>
    <row r="413" ht="15.75" customHeight="1">
      <c r="A413" s="5" t="s">
        <v>461</v>
      </c>
    </row>
    <row r="414" ht="15.75" customHeight="1">
      <c r="A414" s="5" t="s">
        <v>462</v>
      </c>
    </row>
    <row r="415" ht="15.75" customHeight="1">
      <c r="A415" s="5" t="s">
        <v>463</v>
      </c>
    </row>
    <row r="416" ht="15.75" customHeight="1">
      <c r="A416" s="5" t="s">
        <v>464</v>
      </c>
    </row>
    <row r="417" ht="15.75" customHeight="1">
      <c r="A417" s="5" t="s">
        <v>465</v>
      </c>
    </row>
    <row r="418" ht="15.75" customHeight="1">
      <c r="A418" s="5" t="s">
        <v>466</v>
      </c>
    </row>
    <row r="419" ht="15.75" customHeight="1">
      <c r="A419" s="5" t="s">
        <v>467</v>
      </c>
    </row>
    <row r="420" ht="15.75" customHeight="1">
      <c r="A420" s="5" t="s">
        <v>468</v>
      </c>
    </row>
    <row r="421" ht="15.75" customHeight="1">
      <c r="A421" s="5" t="s">
        <v>469</v>
      </c>
    </row>
    <row r="422" ht="15.75" customHeight="1">
      <c r="A422" s="5" t="s">
        <v>470</v>
      </c>
    </row>
    <row r="423" ht="15.75" customHeight="1">
      <c r="A423" s="5" t="s">
        <v>471</v>
      </c>
    </row>
    <row r="424" ht="15.75" customHeight="1">
      <c r="A424" s="5" t="s">
        <v>472</v>
      </c>
    </row>
    <row r="425" ht="15.75" customHeight="1">
      <c r="A425" s="5" t="s">
        <v>473</v>
      </c>
    </row>
    <row r="426" ht="15.75" customHeight="1">
      <c r="A426" s="5" t="s">
        <v>474</v>
      </c>
    </row>
    <row r="427" ht="15.75" customHeight="1">
      <c r="A427" s="5" t="s">
        <v>475</v>
      </c>
    </row>
    <row r="428" ht="15.75" customHeight="1">
      <c r="A428" s="5" t="s">
        <v>476</v>
      </c>
    </row>
    <row r="429" ht="15.75" customHeight="1">
      <c r="A429" s="5" t="s">
        <v>477</v>
      </c>
    </row>
    <row r="430" ht="15.75" customHeight="1">
      <c r="A430" s="5" t="s">
        <v>478</v>
      </c>
    </row>
    <row r="431" ht="15.75" customHeight="1">
      <c r="A431" s="5" t="s">
        <v>479</v>
      </c>
    </row>
    <row r="432" ht="15.75" customHeight="1">
      <c r="A432" s="5" t="s">
        <v>480</v>
      </c>
    </row>
    <row r="433" ht="15.75" customHeight="1">
      <c r="A433" s="5" t="s">
        <v>481</v>
      </c>
    </row>
    <row r="434" ht="15.75" customHeight="1">
      <c r="A434" s="5" t="s">
        <v>482</v>
      </c>
    </row>
    <row r="435" ht="15.75" customHeight="1">
      <c r="A435" s="5" t="s">
        <v>483</v>
      </c>
    </row>
    <row r="436" ht="15.75" customHeight="1">
      <c r="A436" s="5" t="s">
        <v>484</v>
      </c>
    </row>
    <row r="437" ht="15.75" customHeight="1">
      <c r="A437" s="5" t="s">
        <v>485</v>
      </c>
    </row>
    <row r="438" ht="15.75" customHeight="1">
      <c r="A438" s="5" t="s">
        <v>486</v>
      </c>
    </row>
    <row r="439" ht="15.75" customHeight="1">
      <c r="A439" s="5" t="s">
        <v>487</v>
      </c>
    </row>
    <row r="440" ht="15.75" customHeight="1">
      <c r="A440" s="5" t="s">
        <v>488</v>
      </c>
    </row>
    <row r="441" ht="15.75" customHeight="1">
      <c r="A441" s="5" t="s">
        <v>489</v>
      </c>
    </row>
    <row r="442" ht="15.75" customHeight="1">
      <c r="A442" s="5" t="s">
        <v>490</v>
      </c>
    </row>
    <row r="443" ht="15.75" customHeight="1">
      <c r="A443" s="5" t="s">
        <v>491</v>
      </c>
    </row>
    <row r="444" ht="15.75" customHeight="1">
      <c r="A444" s="5" t="s">
        <v>492</v>
      </c>
    </row>
    <row r="445" ht="15.75" customHeight="1">
      <c r="A445" s="5" t="s">
        <v>493</v>
      </c>
    </row>
    <row r="446" ht="15.75" customHeight="1">
      <c r="A446" s="5" t="s">
        <v>494</v>
      </c>
    </row>
    <row r="447" ht="15.75" customHeight="1">
      <c r="A447" s="5" t="s">
        <v>495</v>
      </c>
    </row>
    <row r="448" ht="15.75" customHeight="1">
      <c r="A448" s="5" t="s">
        <v>496</v>
      </c>
    </row>
    <row r="449" ht="15.75" customHeight="1">
      <c r="A449" s="5" t="s">
        <v>497</v>
      </c>
    </row>
    <row r="450" ht="15.75" customHeight="1">
      <c r="A450" s="5" t="s">
        <v>498</v>
      </c>
    </row>
    <row r="451" ht="15.75" customHeight="1">
      <c r="A451" s="5" t="s">
        <v>499</v>
      </c>
    </row>
    <row r="452" ht="15.75" customHeight="1">
      <c r="A452" s="5" t="s">
        <v>500</v>
      </c>
    </row>
    <row r="453" ht="15.75" customHeight="1">
      <c r="A453" s="5" t="s">
        <v>501</v>
      </c>
    </row>
    <row r="454" ht="15.75" customHeight="1">
      <c r="A454" s="5" t="s">
        <v>502</v>
      </c>
    </row>
    <row r="455" ht="15.75" customHeight="1">
      <c r="A455" s="5" t="s">
        <v>503</v>
      </c>
    </row>
    <row r="456" ht="15.75" customHeight="1">
      <c r="A456" s="5" t="s">
        <v>504</v>
      </c>
    </row>
    <row r="457" ht="15.75" customHeight="1">
      <c r="A457" s="5" t="s">
        <v>505</v>
      </c>
    </row>
    <row r="458" ht="15.75" customHeight="1">
      <c r="A458" s="5" t="s">
        <v>506</v>
      </c>
    </row>
    <row r="459" ht="15.75" customHeight="1">
      <c r="A459" s="5" t="s">
        <v>507</v>
      </c>
    </row>
    <row r="460" ht="15.75" customHeight="1">
      <c r="A460" s="5" t="s">
        <v>508</v>
      </c>
    </row>
    <row r="461" ht="15.75" customHeight="1">
      <c r="A461" s="5" t="s">
        <v>509</v>
      </c>
    </row>
    <row r="462" ht="15.75" customHeight="1">
      <c r="A462" s="5" t="s">
        <v>510</v>
      </c>
    </row>
    <row r="463" ht="15.75" customHeight="1">
      <c r="A463" s="5" t="s">
        <v>511</v>
      </c>
    </row>
    <row r="464" ht="15.75" customHeight="1">
      <c r="A464" s="5" t="s">
        <v>512</v>
      </c>
    </row>
    <row r="465" ht="15.75" customHeight="1">
      <c r="A465" s="5" t="s">
        <v>513</v>
      </c>
    </row>
    <row r="466" ht="15.75" customHeight="1">
      <c r="A466" s="5" t="s">
        <v>514</v>
      </c>
    </row>
    <row r="467" ht="15.75" customHeight="1">
      <c r="A467" s="5" t="s">
        <v>515</v>
      </c>
    </row>
    <row r="468" ht="15.75" customHeight="1">
      <c r="A468" s="5" t="s">
        <v>516</v>
      </c>
    </row>
    <row r="469" ht="15.75" customHeight="1">
      <c r="A469" s="5" t="s">
        <v>517</v>
      </c>
    </row>
    <row r="470" ht="15.75" customHeight="1">
      <c r="A470" s="5" t="s">
        <v>518</v>
      </c>
    </row>
    <row r="471" ht="15.75" customHeight="1">
      <c r="A471" s="5" t="s">
        <v>519</v>
      </c>
    </row>
    <row r="472" ht="15.75" customHeight="1">
      <c r="A472" s="5" t="s">
        <v>520</v>
      </c>
    </row>
    <row r="473" ht="15.75" customHeight="1">
      <c r="A473" s="5" t="s">
        <v>521</v>
      </c>
    </row>
    <row r="474" ht="15.75" customHeight="1">
      <c r="A474" s="5" t="s">
        <v>522</v>
      </c>
    </row>
    <row r="475" ht="15.75" customHeight="1">
      <c r="A475" s="5" t="s">
        <v>523</v>
      </c>
    </row>
    <row r="476" ht="15.75" customHeight="1">
      <c r="A476" s="5" t="s">
        <v>524</v>
      </c>
    </row>
    <row r="477" ht="15.75" customHeight="1">
      <c r="A477" s="5" t="s">
        <v>525</v>
      </c>
    </row>
    <row r="478" ht="15.75" customHeight="1">
      <c r="A478" s="5" t="s">
        <v>526</v>
      </c>
    </row>
    <row r="479" ht="15.75" customHeight="1">
      <c r="A479" s="5" t="s">
        <v>527</v>
      </c>
    </row>
    <row r="480" ht="15.75" customHeight="1">
      <c r="A480" s="5" t="s">
        <v>528</v>
      </c>
    </row>
    <row r="481" ht="15.75" customHeight="1">
      <c r="A481" s="5" t="s">
        <v>529</v>
      </c>
    </row>
    <row r="482" ht="15.75" customHeight="1">
      <c r="A482" s="5" t="s">
        <v>530</v>
      </c>
    </row>
    <row r="483" ht="15.75" customHeight="1">
      <c r="A483" s="5" t="s">
        <v>531</v>
      </c>
    </row>
    <row r="484" ht="15.75" customHeight="1">
      <c r="A484" s="5" t="s">
        <v>532</v>
      </c>
    </row>
    <row r="485" ht="15.75" customHeight="1">
      <c r="A485" s="5" t="s">
        <v>533</v>
      </c>
    </row>
    <row r="486" ht="15.75" customHeight="1">
      <c r="A486" s="5" t="s">
        <v>534</v>
      </c>
    </row>
    <row r="487" ht="15.75" customHeight="1">
      <c r="A487" s="5" t="s">
        <v>535</v>
      </c>
    </row>
    <row r="488" ht="15.75" customHeight="1">
      <c r="A488" s="5" t="s">
        <v>536</v>
      </c>
    </row>
    <row r="489" ht="15.75" customHeight="1">
      <c r="A489" s="5" t="s">
        <v>537</v>
      </c>
    </row>
    <row r="490" ht="15.75" customHeight="1">
      <c r="A490" s="5" t="s">
        <v>538</v>
      </c>
    </row>
    <row r="491" ht="15.75" customHeight="1">
      <c r="A491" s="5" t="s">
        <v>539</v>
      </c>
    </row>
    <row r="492" ht="15.75" customHeight="1">
      <c r="A492" s="5" t="s">
        <v>540</v>
      </c>
    </row>
    <row r="493" ht="15.75" customHeight="1">
      <c r="A493" s="5" t="s">
        <v>541</v>
      </c>
    </row>
    <row r="494" ht="15.75" customHeight="1">
      <c r="A494" s="5" t="s">
        <v>542</v>
      </c>
    </row>
    <row r="495" ht="15.75" customHeight="1">
      <c r="A495" s="5" t="s">
        <v>543</v>
      </c>
    </row>
    <row r="496" ht="15.75" customHeight="1">
      <c r="A496" s="5" t="s">
        <v>544</v>
      </c>
    </row>
    <row r="497" ht="15.75" customHeight="1">
      <c r="A497" s="5" t="s">
        <v>545</v>
      </c>
    </row>
    <row r="498" ht="15.75" customHeight="1">
      <c r="A498" s="5" t="s">
        <v>546</v>
      </c>
    </row>
    <row r="499" ht="15.75" customHeight="1">
      <c r="A499" s="5" t="s">
        <v>547</v>
      </c>
    </row>
    <row r="500" ht="15.75" customHeight="1">
      <c r="A500" s="5" t="s">
        <v>548</v>
      </c>
    </row>
    <row r="501" ht="15.75" customHeight="1">
      <c r="A501" s="5" t="s">
        <v>549</v>
      </c>
    </row>
    <row r="502" ht="15.75" customHeight="1">
      <c r="A502" s="5" t="s">
        <v>550</v>
      </c>
    </row>
    <row r="503" ht="15.75" customHeight="1">
      <c r="A503" s="5" t="s">
        <v>551</v>
      </c>
    </row>
    <row r="504" ht="15.75" customHeight="1">
      <c r="A504" s="5" t="s">
        <v>552</v>
      </c>
    </row>
    <row r="505" ht="15.75" customHeight="1">
      <c r="A505" s="5" t="s">
        <v>553</v>
      </c>
    </row>
    <row r="506" ht="15.75" customHeight="1">
      <c r="A506" s="5" t="s">
        <v>554</v>
      </c>
    </row>
    <row r="507" ht="15.75" customHeight="1">
      <c r="A507" s="5" t="s">
        <v>555</v>
      </c>
    </row>
    <row r="508" ht="15.75" customHeight="1">
      <c r="A508" s="5" t="s">
        <v>556</v>
      </c>
    </row>
    <row r="509" ht="15.75" customHeight="1">
      <c r="A509" s="5" t="s">
        <v>557</v>
      </c>
    </row>
    <row r="510" ht="15.75" customHeight="1">
      <c r="A510" s="5" t="s">
        <v>558</v>
      </c>
    </row>
    <row r="511" ht="15.75" customHeight="1">
      <c r="A511" s="5" t="s">
        <v>559</v>
      </c>
    </row>
    <row r="512" ht="15.75" customHeight="1">
      <c r="A512" s="5" t="s">
        <v>560</v>
      </c>
    </row>
    <row r="513" ht="15.75" customHeight="1">
      <c r="A513" s="5" t="s">
        <v>561</v>
      </c>
    </row>
    <row r="514" ht="15.75" customHeight="1">
      <c r="A514" s="5" t="s">
        <v>562</v>
      </c>
    </row>
    <row r="515" ht="15.75" customHeight="1">
      <c r="A515" s="5" t="s">
        <v>563</v>
      </c>
    </row>
    <row r="516" ht="15.75" customHeight="1">
      <c r="A516" s="5" t="s">
        <v>564</v>
      </c>
    </row>
    <row r="517" ht="15.75" customHeight="1">
      <c r="A517" s="5" t="s">
        <v>565</v>
      </c>
    </row>
    <row r="518" ht="15.75" customHeight="1">
      <c r="A518" s="5" t="s">
        <v>566</v>
      </c>
    </row>
    <row r="519" ht="15.75" customHeight="1">
      <c r="A519" s="5" t="s">
        <v>567</v>
      </c>
    </row>
    <row r="520" ht="15.75" customHeight="1">
      <c r="A520" s="5" t="s">
        <v>568</v>
      </c>
    </row>
    <row r="521" ht="15.75" customHeight="1">
      <c r="A521" s="5" t="s">
        <v>569</v>
      </c>
    </row>
    <row r="522" ht="15.75" customHeight="1">
      <c r="A522" s="5" t="s">
        <v>570</v>
      </c>
    </row>
    <row r="523" ht="15.75" customHeight="1">
      <c r="A523" s="5" t="s">
        <v>571</v>
      </c>
    </row>
    <row r="524" ht="15.75" customHeight="1">
      <c r="A524" s="5" t="s">
        <v>572</v>
      </c>
    </row>
    <row r="525" ht="15.75" customHeight="1">
      <c r="A525" s="5" t="s">
        <v>573</v>
      </c>
    </row>
    <row r="526" ht="15.75" customHeight="1">
      <c r="A526" s="5" t="s">
        <v>574</v>
      </c>
    </row>
    <row r="527" ht="15.75" customHeight="1">
      <c r="A527" s="5" t="s">
        <v>575</v>
      </c>
    </row>
    <row r="528" ht="15.75" customHeight="1">
      <c r="A528" s="5" t="s">
        <v>576</v>
      </c>
    </row>
    <row r="529" ht="15.75" customHeight="1">
      <c r="A529" s="5" t="s">
        <v>577</v>
      </c>
    </row>
    <row r="530" ht="15.75" customHeight="1">
      <c r="A530" s="5" t="s">
        <v>578</v>
      </c>
    </row>
    <row r="531" ht="15.75" customHeight="1">
      <c r="A531" s="5" t="s">
        <v>579</v>
      </c>
    </row>
    <row r="532" ht="15.75" customHeight="1">
      <c r="A532" s="5" t="s">
        <v>580</v>
      </c>
    </row>
    <row r="533" ht="15.75" customHeight="1">
      <c r="A533" s="5" t="s">
        <v>581</v>
      </c>
    </row>
    <row r="534" ht="15.75" customHeight="1">
      <c r="A534" s="5" t="s">
        <v>582</v>
      </c>
    </row>
    <row r="535" ht="15.75" customHeight="1">
      <c r="A535" s="5" t="s">
        <v>583</v>
      </c>
    </row>
    <row r="536" ht="15.75" customHeight="1">
      <c r="A536" s="5" t="s">
        <v>584</v>
      </c>
    </row>
    <row r="537" ht="15.75" customHeight="1">
      <c r="A537" s="5" t="s">
        <v>585</v>
      </c>
    </row>
    <row r="538" ht="15.75" customHeight="1">
      <c r="A538" s="5" t="s">
        <v>586</v>
      </c>
    </row>
    <row r="539" ht="15.75" customHeight="1">
      <c r="A539" s="5" t="s">
        <v>587</v>
      </c>
    </row>
    <row r="540" ht="15.75" customHeight="1">
      <c r="A540" s="5" t="s">
        <v>588</v>
      </c>
    </row>
    <row r="541" ht="15.75" customHeight="1">
      <c r="A541" s="5" t="s">
        <v>589</v>
      </c>
    </row>
    <row r="542" ht="15.75" customHeight="1">
      <c r="A542" s="5" t="s">
        <v>590</v>
      </c>
    </row>
    <row r="543" ht="15.75" customHeight="1">
      <c r="A543" s="5" t="s">
        <v>591</v>
      </c>
    </row>
    <row r="544" ht="15.75" customHeight="1">
      <c r="A544" s="5" t="s">
        <v>592</v>
      </c>
    </row>
    <row r="545" ht="15.75" customHeight="1">
      <c r="A545" s="5" t="s">
        <v>593</v>
      </c>
    </row>
    <row r="546" ht="15.75" customHeight="1">
      <c r="A546" s="5" t="s">
        <v>594</v>
      </c>
    </row>
    <row r="547" ht="15.75" customHeight="1">
      <c r="A547" s="5" t="s">
        <v>595</v>
      </c>
    </row>
    <row r="548" ht="15.75" customHeight="1">
      <c r="A548" s="5" t="s">
        <v>596</v>
      </c>
    </row>
    <row r="549" ht="15.75" customHeight="1">
      <c r="A549" s="5" t="s">
        <v>597</v>
      </c>
    </row>
    <row r="550" ht="15.75" customHeight="1">
      <c r="A550" s="5" t="s">
        <v>598</v>
      </c>
    </row>
    <row r="551" ht="15.75" customHeight="1">
      <c r="A551" s="5" t="s">
        <v>599</v>
      </c>
    </row>
    <row r="552" ht="15.75" customHeight="1">
      <c r="A552" s="5" t="s">
        <v>600</v>
      </c>
    </row>
    <row r="553" ht="15.75" customHeight="1">
      <c r="A553" s="5" t="s">
        <v>601</v>
      </c>
    </row>
    <row r="554" ht="15.75" customHeight="1">
      <c r="A554" s="5" t="s">
        <v>602</v>
      </c>
    </row>
    <row r="555" ht="15.75" customHeight="1">
      <c r="A555" s="5" t="s">
        <v>603</v>
      </c>
    </row>
    <row r="556" ht="15.75" customHeight="1">
      <c r="A556" s="5" t="s">
        <v>604</v>
      </c>
    </row>
    <row r="557" ht="15.75" customHeight="1">
      <c r="A557" s="5" t="s">
        <v>605</v>
      </c>
    </row>
    <row r="558" ht="15.75" customHeight="1">
      <c r="A558" s="5" t="s">
        <v>606</v>
      </c>
    </row>
    <row r="559" ht="15.75" customHeight="1">
      <c r="A559" s="5" t="s">
        <v>607</v>
      </c>
    </row>
    <row r="560" ht="15.75" customHeight="1">
      <c r="A560" s="5" t="s">
        <v>608</v>
      </c>
    </row>
    <row r="561" ht="15.75" customHeight="1">
      <c r="A561" s="5" t="s">
        <v>609</v>
      </c>
    </row>
    <row r="562" ht="15.75" customHeight="1">
      <c r="A562" s="5" t="s">
        <v>610</v>
      </c>
    </row>
    <row r="563" ht="15.75" customHeight="1">
      <c r="A563" s="5" t="s">
        <v>611</v>
      </c>
    </row>
    <row r="564" ht="15.75" customHeight="1">
      <c r="A564" s="5" t="s">
        <v>612</v>
      </c>
    </row>
    <row r="565" ht="15.75" customHeight="1">
      <c r="A565" s="5" t="s">
        <v>613</v>
      </c>
    </row>
    <row r="566" ht="15.75" customHeight="1">
      <c r="A566" s="5" t="s">
        <v>614</v>
      </c>
    </row>
    <row r="567" ht="15.75" customHeight="1">
      <c r="A567" s="5" t="s">
        <v>615</v>
      </c>
    </row>
    <row r="568" ht="15.75" customHeight="1">
      <c r="A568" s="5" t="s">
        <v>616</v>
      </c>
    </row>
    <row r="569" ht="15.75" customHeight="1">
      <c r="A569" s="5" t="s">
        <v>617</v>
      </c>
    </row>
    <row r="570" ht="15.75" customHeight="1">
      <c r="A570" s="5" t="s">
        <v>618</v>
      </c>
    </row>
    <row r="571" ht="15.75" customHeight="1">
      <c r="A571" s="5" t="s">
        <v>619</v>
      </c>
    </row>
    <row r="572" ht="15.75" customHeight="1">
      <c r="A572" s="5" t="s">
        <v>620</v>
      </c>
    </row>
    <row r="573" ht="15.75" customHeight="1">
      <c r="A573" s="5" t="s">
        <v>621</v>
      </c>
    </row>
    <row r="574" ht="15.75" customHeight="1">
      <c r="A574" s="5" t="s">
        <v>622</v>
      </c>
    </row>
    <row r="575" ht="15.75" customHeight="1">
      <c r="A575" s="5" t="s">
        <v>623</v>
      </c>
    </row>
    <row r="576" ht="15.75" customHeight="1">
      <c r="A576" s="5" t="s">
        <v>624</v>
      </c>
    </row>
    <row r="577" ht="15.75" customHeight="1">
      <c r="A577" s="5" t="s">
        <v>625</v>
      </c>
    </row>
    <row r="578" ht="15.75" customHeight="1">
      <c r="A578" s="5" t="s">
        <v>626</v>
      </c>
    </row>
    <row r="579" ht="15.75" customHeight="1">
      <c r="A579" s="5" t="s">
        <v>627</v>
      </c>
    </row>
    <row r="580" ht="15.75" customHeight="1">
      <c r="A580" s="5" t="s">
        <v>628</v>
      </c>
    </row>
    <row r="581" ht="15.75" customHeight="1">
      <c r="A581" s="5" t="s">
        <v>629</v>
      </c>
    </row>
    <row r="582" ht="15.75" customHeight="1">
      <c r="A582" s="5" t="s">
        <v>630</v>
      </c>
    </row>
    <row r="583" ht="15.75" customHeight="1">
      <c r="A583" s="5" t="s">
        <v>631</v>
      </c>
    </row>
    <row r="584" ht="15.75" customHeight="1">
      <c r="A584" s="5" t="s">
        <v>632</v>
      </c>
    </row>
    <row r="585" ht="15.75" customHeight="1">
      <c r="A585" s="5" t="s">
        <v>633</v>
      </c>
    </row>
    <row r="586" ht="15.75" customHeight="1">
      <c r="A586" s="5" t="s">
        <v>634</v>
      </c>
    </row>
    <row r="587" ht="15.75" customHeight="1">
      <c r="A587" s="5" t="s">
        <v>635</v>
      </c>
    </row>
    <row r="588" ht="15.75" customHeight="1">
      <c r="A588" s="5" t="s">
        <v>636</v>
      </c>
    </row>
    <row r="589" ht="15.75" customHeight="1">
      <c r="A589" s="5" t="s">
        <v>637</v>
      </c>
    </row>
    <row r="590" ht="15.75" customHeight="1">
      <c r="A590" s="5" t="s">
        <v>638</v>
      </c>
    </row>
    <row r="591" ht="15.75" customHeight="1">
      <c r="A591" s="5" t="s">
        <v>639</v>
      </c>
    </row>
    <row r="592" ht="15.75" customHeight="1">
      <c r="A592" s="5" t="s">
        <v>640</v>
      </c>
    </row>
    <row r="593" ht="15.75" customHeight="1">
      <c r="A593" s="5" t="s">
        <v>641</v>
      </c>
    </row>
    <row r="594" ht="15.75" customHeight="1">
      <c r="A594" s="5" t="s">
        <v>642</v>
      </c>
    </row>
    <row r="595" ht="15.75" customHeight="1">
      <c r="A595" s="5" t="s">
        <v>643</v>
      </c>
    </row>
    <row r="596" ht="15.75" customHeight="1">
      <c r="A596" s="5" t="s">
        <v>644</v>
      </c>
    </row>
    <row r="597" ht="15.75" customHeight="1">
      <c r="A597" s="5" t="s">
        <v>645</v>
      </c>
    </row>
    <row r="598" ht="15.75" customHeight="1">
      <c r="A598" s="5" t="s">
        <v>646</v>
      </c>
    </row>
    <row r="599" ht="15.75" customHeight="1">
      <c r="A599" s="5" t="s">
        <v>647</v>
      </c>
    </row>
    <row r="600" ht="15.75" customHeight="1">
      <c r="A600" s="5" t="s">
        <v>648</v>
      </c>
    </row>
    <row r="601" ht="15.75" customHeight="1">
      <c r="A601" s="5" t="s">
        <v>649</v>
      </c>
    </row>
    <row r="602" ht="15.75" customHeight="1">
      <c r="A602" s="5" t="s">
        <v>650</v>
      </c>
    </row>
    <row r="603" ht="15.75" customHeight="1">
      <c r="A603" s="5" t="s">
        <v>651</v>
      </c>
    </row>
    <row r="604" ht="15.75" customHeight="1">
      <c r="A604" s="5" t="s">
        <v>652</v>
      </c>
    </row>
    <row r="605" ht="15.75" customHeight="1">
      <c r="A605" s="5" t="s">
        <v>653</v>
      </c>
    </row>
    <row r="606" ht="15.75" customHeight="1">
      <c r="A606" s="5" t="s">
        <v>654</v>
      </c>
    </row>
    <row r="607" ht="15.75" customHeight="1">
      <c r="A607" s="5" t="s">
        <v>655</v>
      </c>
    </row>
    <row r="608" ht="15.75" customHeight="1">
      <c r="A608" s="5" t="s">
        <v>656</v>
      </c>
    </row>
    <row r="609" ht="15.75" customHeight="1">
      <c r="A609" s="5" t="s">
        <v>657</v>
      </c>
    </row>
    <row r="610" ht="15.75" customHeight="1">
      <c r="A610" s="5" t="s">
        <v>658</v>
      </c>
    </row>
    <row r="611" ht="15.75" customHeight="1">
      <c r="A611" s="5" t="s">
        <v>659</v>
      </c>
    </row>
    <row r="612" ht="15.75" customHeight="1">
      <c r="A612" s="5" t="s">
        <v>660</v>
      </c>
    </row>
    <row r="613" ht="15.75" customHeight="1">
      <c r="A613" s="5" t="s">
        <v>661</v>
      </c>
    </row>
    <row r="614" ht="15.75" customHeight="1">
      <c r="A614" s="5" t="s">
        <v>662</v>
      </c>
    </row>
    <row r="615" ht="15.75" customHeight="1">
      <c r="A615" s="5" t="s">
        <v>663</v>
      </c>
    </row>
    <row r="616" ht="15.75" customHeight="1">
      <c r="A616" s="5" t="s">
        <v>664</v>
      </c>
    </row>
    <row r="617" ht="15.75" customHeight="1">
      <c r="A617" s="5" t="s">
        <v>665</v>
      </c>
    </row>
    <row r="618" ht="15.75" customHeight="1">
      <c r="A618" s="5" t="s">
        <v>666</v>
      </c>
    </row>
    <row r="619" ht="15.75" customHeight="1">
      <c r="A619" s="5" t="s">
        <v>667</v>
      </c>
    </row>
    <row r="620" ht="15.75" customHeight="1">
      <c r="A620" s="5" t="s">
        <v>668</v>
      </c>
    </row>
    <row r="621" ht="15.75" customHeight="1">
      <c r="A621" s="5" t="s">
        <v>669</v>
      </c>
    </row>
    <row r="622" ht="15.75" customHeight="1">
      <c r="A622" s="5" t="s">
        <v>670</v>
      </c>
    </row>
    <row r="623" ht="15.75" customHeight="1">
      <c r="A623" s="5" t="s">
        <v>671</v>
      </c>
    </row>
    <row r="624" ht="15.75" customHeight="1">
      <c r="A624" s="5" t="s">
        <v>672</v>
      </c>
    </row>
    <row r="625" ht="15.75" customHeight="1">
      <c r="A625" s="5" t="s">
        <v>673</v>
      </c>
    </row>
    <row r="626" ht="15.75" customHeight="1">
      <c r="A626" s="5" t="s">
        <v>674</v>
      </c>
    </row>
    <row r="627" ht="15.75" customHeight="1">
      <c r="A627" s="5" t="s">
        <v>675</v>
      </c>
    </row>
    <row r="628" ht="15.75" customHeight="1">
      <c r="A628" s="5" t="s">
        <v>676</v>
      </c>
    </row>
    <row r="629" ht="15.75" customHeight="1">
      <c r="A629" s="5" t="s">
        <v>677</v>
      </c>
    </row>
    <row r="630" ht="15.75" customHeight="1">
      <c r="A630" s="5" t="s">
        <v>678</v>
      </c>
    </row>
    <row r="631" ht="15.75" customHeight="1">
      <c r="A631" s="5" t="s">
        <v>679</v>
      </c>
    </row>
    <row r="632" ht="15.75" customHeight="1">
      <c r="A632" s="5" t="s">
        <v>680</v>
      </c>
    </row>
    <row r="633" ht="15.75" customHeight="1">
      <c r="A633" s="5" t="s">
        <v>681</v>
      </c>
    </row>
    <row r="634" ht="15.75" customHeight="1">
      <c r="A634" s="5" t="s">
        <v>682</v>
      </c>
    </row>
    <row r="635" ht="15.75" customHeight="1">
      <c r="A635" s="5" t="s">
        <v>683</v>
      </c>
    </row>
    <row r="636" ht="15.75" customHeight="1">
      <c r="A636" s="5" t="s">
        <v>684</v>
      </c>
    </row>
    <row r="637" ht="15.75" customHeight="1">
      <c r="A637" s="5" t="s">
        <v>685</v>
      </c>
    </row>
    <row r="638" ht="15.75" customHeight="1">
      <c r="A638" s="5" t="s">
        <v>686</v>
      </c>
    </row>
    <row r="639" ht="15.75" customHeight="1">
      <c r="A639" s="5" t="s">
        <v>687</v>
      </c>
    </row>
    <row r="640" ht="15.75" customHeight="1">
      <c r="A640" s="5" t="s">
        <v>688</v>
      </c>
    </row>
    <row r="641" ht="15.75" customHeight="1">
      <c r="A641" s="5" t="s">
        <v>689</v>
      </c>
    </row>
    <row r="642" ht="15.75" customHeight="1">
      <c r="A642" s="5" t="s">
        <v>690</v>
      </c>
    </row>
    <row r="643" ht="15.75" customHeight="1">
      <c r="A643" s="5" t="s">
        <v>691</v>
      </c>
    </row>
    <row r="644" ht="15.75" customHeight="1">
      <c r="A644" s="5" t="s">
        <v>692</v>
      </c>
    </row>
    <row r="645" ht="15.75" customHeight="1">
      <c r="A645" s="5" t="s">
        <v>693</v>
      </c>
    </row>
    <row r="646" ht="15.75" customHeight="1">
      <c r="A646" s="5" t="s">
        <v>694</v>
      </c>
    </row>
    <row r="647" ht="15.75" customHeight="1">
      <c r="A647" s="5" t="s">
        <v>695</v>
      </c>
    </row>
    <row r="648" ht="15.75" customHeight="1">
      <c r="A648" s="5" t="s">
        <v>696</v>
      </c>
    </row>
    <row r="649" ht="15.75" customHeight="1">
      <c r="A649" s="5" t="s">
        <v>697</v>
      </c>
    </row>
    <row r="650" ht="15.75" customHeight="1">
      <c r="A650" s="5" t="s">
        <v>698</v>
      </c>
    </row>
    <row r="651" ht="15.75" customHeight="1">
      <c r="A651" s="5" t="s">
        <v>699</v>
      </c>
    </row>
    <row r="652" ht="15.75" customHeight="1">
      <c r="A652" s="5" t="s">
        <v>700</v>
      </c>
    </row>
    <row r="653" ht="15.75" customHeight="1">
      <c r="A653" s="5" t="s">
        <v>701</v>
      </c>
    </row>
    <row r="654" ht="15.75" customHeight="1">
      <c r="A654" s="5" t="s">
        <v>702</v>
      </c>
    </row>
    <row r="655" ht="15.75" customHeight="1">
      <c r="A655" s="5" t="s">
        <v>703</v>
      </c>
    </row>
    <row r="656" ht="15.75" customHeight="1">
      <c r="A656" s="5" t="s">
        <v>704</v>
      </c>
    </row>
    <row r="657" ht="15.75" customHeight="1">
      <c r="A657" s="5" t="s">
        <v>705</v>
      </c>
    </row>
    <row r="658" ht="15.75" customHeight="1">
      <c r="A658" s="5" t="s">
        <v>706</v>
      </c>
    </row>
    <row r="659" ht="15.75" customHeight="1">
      <c r="A659" s="5" t="s">
        <v>707</v>
      </c>
    </row>
    <row r="660" ht="15.75" customHeight="1">
      <c r="A660" s="5" t="s">
        <v>708</v>
      </c>
    </row>
    <row r="661" ht="15.75" customHeight="1">
      <c r="A661" s="5" t="s">
        <v>709</v>
      </c>
    </row>
    <row r="662" ht="15.75" customHeight="1">
      <c r="A662" s="5" t="s">
        <v>710</v>
      </c>
    </row>
    <row r="663" ht="15.75" customHeight="1">
      <c r="A663" s="5" t="s">
        <v>711</v>
      </c>
    </row>
    <row r="664" ht="15.75" customHeight="1">
      <c r="A664" s="5" t="s">
        <v>712</v>
      </c>
    </row>
    <row r="665" ht="15.75" customHeight="1">
      <c r="A665" s="5" t="s">
        <v>713</v>
      </c>
    </row>
    <row r="666" ht="15.75" customHeight="1">
      <c r="A666" s="5" t="s">
        <v>714</v>
      </c>
    </row>
    <row r="667" ht="15.75" customHeight="1">
      <c r="A667" s="5" t="s">
        <v>715</v>
      </c>
    </row>
    <row r="668" ht="15.75" customHeight="1">
      <c r="A668" s="5" t="s">
        <v>716</v>
      </c>
    </row>
    <row r="669" ht="15.75" customHeight="1">
      <c r="A669" s="5" t="s">
        <v>717</v>
      </c>
    </row>
    <row r="670" ht="15.75" customHeight="1">
      <c r="A670" s="5" t="s">
        <v>718</v>
      </c>
    </row>
    <row r="671" ht="15.75" customHeight="1">
      <c r="A671" s="5" t="s">
        <v>719</v>
      </c>
    </row>
    <row r="672" ht="15.75" customHeight="1">
      <c r="A672" s="5" t="s">
        <v>720</v>
      </c>
    </row>
    <row r="673" ht="15.75" customHeight="1">
      <c r="A673" s="5" t="s">
        <v>721</v>
      </c>
    </row>
    <row r="674" ht="15.75" customHeight="1">
      <c r="A674" s="5" t="s">
        <v>722</v>
      </c>
    </row>
    <row r="675" ht="15.75" customHeight="1">
      <c r="A675" s="5" t="s">
        <v>723</v>
      </c>
    </row>
    <row r="676" ht="15.75" customHeight="1">
      <c r="A676" s="5" t="s">
        <v>724</v>
      </c>
    </row>
    <row r="677" ht="15.75" customHeight="1">
      <c r="A677" s="5" t="s">
        <v>725</v>
      </c>
    </row>
    <row r="678" ht="15.75" customHeight="1">
      <c r="A678" s="5" t="s">
        <v>726</v>
      </c>
    </row>
    <row r="679" ht="15.75" customHeight="1">
      <c r="A679" s="5" t="s">
        <v>727</v>
      </c>
    </row>
    <row r="680" ht="15.75" customHeight="1">
      <c r="A680" s="5" t="s">
        <v>728</v>
      </c>
    </row>
    <row r="681" ht="15.75" customHeight="1">
      <c r="A681" s="5" t="s">
        <v>729</v>
      </c>
    </row>
    <row r="682" ht="15.75" customHeight="1">
      <c r="A682" s="5" t="s">
        <v>730</v>
      </c>
    </row>
    <row r="683" ht="15.75" customHeight="1">
      <c r="A683" s="5" t="s">
        <v>731</v>
      </c>
    </row>
    <row r="684" ht="15.75" customHeight="1">
      <c r="A684" s="5" t="s">
        <v>732</v>
      </c>
    </row>
    <row r="685" ht="15.75" customHeight="1">
      <c r="A685" s="5" t="s">
        <v>733</v>
      </c>
    </row>
    <row r="686" ht="15.75" customHeight="1">
      <c r="A686" s="5" t="s">
        <v>734</v>
      </c>
    </row>
    <row r="687" ht="15.75" customHeight="1">
      <c r="A687" s="5" t="s">
        <v>735</v>
      </c>
    </row>
    <row r="688" ht="15.75" customHeight="1">
      <c r="A688" s="5" t="s">
        <v>736</v>
      </c>
    </row>
    <row r="689" ht="15.75" customHeight="1">
      <c r="A689" s="5" t="s">
        <v>737</v>
      </c>
    </row>
    <row r="690" ht="15.75" customHeight="1">
      <c r="A690" s="5" t="s">
        <v>738</v>
      </c>
    </row>
    <row r="691" ht="15.75" customHeight="1">
      <c r="A691" s="5" t="s">
        <v>739</v>
      </c>
    </row>
    <row r="692" ht="15.75" customHeight="1">
      <c r="A692" s="5" t="s">
        <v>740</v>
      </c>
    </row>
    <row r="693" ht="15.75" customHeight="1">
      <c r="A693" s="5" t="s">
        <v>741</v>
      </c>
    </row>
    <row r="694" ht="15.75" customHeight="1">
      <c r="A694" s="5" t="s">
        <v>742</v>
      </c>
    </row>
    <row r="695" ht="15.75" customHeight="1">
      <c r="A695" s="5" t="s">
        <v>743</v>
      </c>
    </row>
    <row r="696" ht="15.75" customHeight="1">
      <c r="A696" s="5" t="s">
        <v>744</v>
      </c>
    </row>
    <row r="697" ht="15.75" customHeight="1">
      <c r="A697" s="5" t="s">
        <v>745</v>
      </c>
    </row>
    <row r="698" ht="15.75" customHeight="1">
      <c r="A698" s="5" t="s">
        <v>746</v>
      </c>
    </row>
    <row r="699" ht="15.75" customHeight="1">
      <c r="A699" s="5" t="s">
        <v>747</v>
      </c>
    </row>
    <row r="700" ht="15.75" customHeight="1">
      <c r="A700" s="5" t="s">
        <v>748</v>
      </c>
    </row>
    <row r="701" ht="15.75" customHeight="1">
      <c r="A701" s="5" t="s">
        <v>749</v>
      </c>
    </row>
    <row r="702" ht="15.75" customHeight="1">
      <c r="A702" s="5" t="s">
        <v>750</v>
      </c>
    </row>
    <row r="703" ht="15.75" customHeight="1">
      <c r="A703" s="5" t="s">
        <v>751</v>
      </c>
    </row>
    <row r="704" ht="15.75" customHeight="1">
      <c r="A704" s="5" t="s">
        <v>752</v>
      </c>
    </row>
    <row r="705" ht="15.75" customHeight="1">
      <c r="A705" s="5" t="s">
        <v>753</v>
      </c>
    </row>
    <row r="706" ht="15.75" customHeight="1">
      <c r="A706" s="5" t="s">
        <v>754</v>
      </c>
    </row>
    <row r="707" ht="15.75" customHeight="1">
      <c r="A707" s="5" t="s">
        <v>755</v>
      </c>
    </row>
    <row r="708" ht="15.75" customHeight="1">
      <c r="A708" s="5" t="s">
        <v>756</v>
      </c>
    </row>
    <row r="709" ht="15.75" customHeight="1">
      <c r="A709" s="5" t="s">
        <v>757</v>
      </c>
    </row>
    <row r="710" ht="15.75" customHeight="1">
      <c r="A710" s="5" t="s">
        <v>758</v>
      </c>
    </row>
    <row r="711" ht="15.75" customHeight="1">
      <c r="A711" s="5" t="s">
        <v>759</v>
      </c>
    </row>
    <row r="712" ht="15.75" customHeight="1">
      <c r="A712" s="5" t="s">
        <v>760</v>
      </c>
    </row>
    <row r="713" ht="15.75" customHeight="1">
      <c r="A713" s="5" t="s">
        <v>761</v>
      </c>
    </row>
    <row r="714" ht="15.75" customHeight="1">
      <c r="A714" s="5" t="s">
        <v>762</v>
      </c>
    </row>
    <row r="715" ht="15.75" customHeight="1">
      <c r="A715" s="5" t="s">
        <v>763</v>
      </c>
    </row>
    <row r="716" ht="15.75" customHeight="1">
      <c r="A716" s="5" t="s">
        <v>764</v>
      </c>
    </row>
    <row r="717" ht="15.75" customHeight="1">
      <c r="A717" s="5" t="s">
        <v>765</v>
      </c>
    </row>
    <row r="718" ht="15.75" customHeight="1">
      <c r="A718" s="5" t="s">
        <v>766</v>
      </c>
    </row>
    <row r="719" ht="15.75" customHeight="1">
      <c r="A719" s="5" t="s">
        <v>767</v>
      </c>
    </row>
    <row r="720" ht="15.75" customHeight="1">
      <c r="A720" s="5" t="s">
        <v>768</v>
      </c>
    </row>
    <row r="721" ht="15.75" customHeight="1">
      <c r="A721" s="5" t="s">
        <v>769</v>
      </c>
    </row>
    <row r="722" ht="15.75" customHeight="1">
      <c r="A722" s="5" t="s">
        <v>770</v>
      </c>
    </row>
    <row r="723" ht="15.75" customHeight="1">
      <c r="A723" s="5" t="s">
        <v>771</v>
      </c>
    </row>
    <row r="724" ht="15.75" customHeight="1">
      <c r="A724" s="5" t="s">
        <v>772</v>
      </c>
    </row>
    <row r="725" ht="15.75" customHeight="1">
      <c r="A725" s="5" t="s">
        <v>773</v>
      </c>
    </row>
    <row r="726" ht="15.75" customHeight="1">
      <c r="A726" s="5" t="s">
        <v>774</v>
      </c>
    </row>
    <row r="727" ht="15.75" customHeight="1">
      <c r="A727" s="5" t="s">
        <v>775</v>
      </c>
    </row>
    <row r="728" ht="15.75" customHeight="1">
      <c r="A728" s="5" t="s">
        <v>776</v>
      </c>
    </row>
    <row r="729" ht="15.75" customHeight="1">
      <c r="A729" s="5" t="s">
        <v>777</v>
      </c>
    </row>
    <row r="730" ht="15.75" customHeight="1">
      <c r="A730" s="5" t="s">
        <v>778</v>
      </c>
    </row>
    <row r="731" ht="15.75" customHeight="1">
      <c r="A731" s="5" t="s">
        <v>779</v>
      </c>
    </row>
    <row r="732" ht="15.75" customHeight="1">
      <c r="A732" s="5" t="s">
        <v>780</v>
      </c>
    </row>
    <row r="733" ht="15.75" customHeight="1">
      <c r="A733" s="5" t="s">
        <v>781</v>
      </c>
    </row>
    <row r="734" ht="15.75" customHeight="1">
      <c r="A734" s="5" t="s">
        <v>782</v>
      </c>
    </row>
    <row r="735" ht="15.75" customHeight="1">
      <c r="A735" s="5" t="s">
        <v>783</v>
      </c>
    </row>
    <row r="736" ht="15.75" customHeight="1">
      <c r="A736" s="5" t="s">
        <v>784</v>
      </c>
    </row>
    <row r="737" ht="15.75" customHeight="1">
      <c r="A737" s="5" t="s">
        <v>785</v>
      </c>
    </row>
    <row r="738" ht="15.75" customHeight="1">
      <c r="A738" s="5" t="s">
        <v>786</v>
      </c>
    </row>
    <row r="739" ht="15.75" customHeight="1">
      <c r="A739" s="5" t="s">
        <v>787</v>
      </c>
    </row>
    <row r="740" ht="15.75" customHeight="1">
      <c r="A740" s="5" t="s">
        <v>788</v>
      </c>
    </row>
    <row r="741" ht="15.75" customHeight="1">
      <c r="A741" s="5" t="s">
        <v>789</v>
      </c>
    </row>
    <row r="742" ht="15.75" customHeight="1">
      <c r="A742" s="5" t="s">
        <v>790</v>
      </c>
    </row>
    <row r="743" ht="15.75" customHeight="1">
      <c r="A743" s="5" t="s">
        <v>791</v>
      </c>
    </row>
    <row r="744" ht="15.75" customHeight="1">
      <c r="A744" s="5" t="s">
        <v>792</v>
      </c>
    </row>
    <row r="745" ht="15.75" customHeight="1">
      <c r="A745" s="5" t="s">
        <v>793</v>
      </c>
    </row>
    <row r="746" ht="15.75" customHeight="1">
      <c r="A746" s="5" t="s">
        <v>794</v>
      </c>
    </row>
    <row r="747" ht="15.75" customHeight="1">
      <c r="A747" s="5" t="s">
        <v>795</v>
      </c>
    </row>
    <row r="748" ht="15.75" customHeight="1">
      <c r="A748" s="5" t="s">
        <v>796</v>
      </c>
    </row>
    <row r="749" ht="15.75" customHeight="1">
      <c r="A749" s="5" t="s">
        <v>797</v>
      </c>
    </row>
    <row r="750" ht="15.75" customHeight="1">
      <c r="A750" s="5" t="s">
        <v>798</v>
      </c>
    </row>
    <row r="751" ht="15.75" customHeight="1">
      <c r="A751" s="5" t="s">
        <v>799</v>
      </c>
    </row>
    <row r="752" ht="15.75" customHeight="1">
      <c r="A752" s="5" t="s">
        <v>800</v>
      </c>
    </row>
    <row r="753" ht="15.75" customHeight="1">
      <c r="A753" s="5" t="s">
        <v>801</v>
      </c>
    </row>
    <row r="754" ht="15.75" customHeight="1">
      <c r="A754" s="5" t="s">
        <v>802</v>
      </c>
    </row>
    <row r="755" ht="15.75" customHeight="1">
      <c r="A755" s="5" t="s">
        <v>803</v>
      </c>
    </row>
    <row r="756" ht="15.75" customHeight="1">
      <c r="A756" s="5" t="s">
        <v>804</v>
      </c>
    </row>
    <row r="757" ht="15.75" customHeight="1">
      <c r="A757" s="5" t="s">
        <v>805</v>
      </c>
    </row>
    <row r="758" ht="15.75" customHeight="1">
      <c r="A758" s="5" t="s">
        <v>806</v>
      </c>
    </row>
    <row r="759" ht="15.75" customHeight="1">
      <c r="A759" s="5" t="s">
        <v>807</v>
      </c>
    </row>
    <row r="760" ht="15.75" customHeight="1">
      <c r="A760" s="5" t="s">
        <v>808</v>
      </c>
    </row>
    <row r="761" ht="15.75" customHeight="1">
      <c r="A761" s="5" t="s">
        <v>809</v>
      </c>
    </row>
    <row r="762" ht="15.75" customHeight="1">
      <c r="A762" s="5" t="s">
        <v>810</v>
      </c>
    </row>
    <row r="763" ht="15.75" customHeight="1">
      <c r="A763" s="5" t="s">
        <v>811</v>
      </c>
    </row>
    <row r="764" ht="15.75" customHeight="1">
      <c r="A764" s="5" t="s">
        <v>812</v>
      </c>
    </row>
    <row r="765" ht="15.75" customHeight="1">
      <c r="A765" s="5" t="s">
        <v>813</v>
      </c>
    </row>
    <row r="766" ht="15.75" customHeight="1">
      <c r="A766" s="5" t="s">
        <v>814</v>
      </c>
    </row>
    <row r="767" ht="15.75" customHeight="1">
      <c r="A767" s="5" t="s">
        <v>815</v>
      </c>
    </row>
    <row r="768" ht="15.75" customHeight="1">
      <c r="A768" s="5" t="s">
        <v>816</v>
      </c>
    </row>
    <row r="769" ht="15.75" customHeight="1">
      <c r="A769" s="5" t="s">
        <v>817</v>
      </c>
    </row>
    <row r="770" ht="15.75" customHeight="1">
      <c r="A770" s="5" t="s">
        <v>818</v>
      </c>
    </row>
    <row r="771" ht="15.75" customHeight="1">
      <c r="A771" s="5" t="s">
        <v>819</v>
      </c>
    </row>
    <row r="772" ht="15.75" customHeight="1">
      <c r="A772" s="5" t="s">
        <v>820</v>
      </c>
    </row>
    <row r="773" ht="15.75" customHeight="1">
      <c r="A773" s="5" t="s">
        <v>821</v>
      </c>
    </row>
    <row r="774" ht="15.75" customHeight="1">
      <c r="A774" s="5" t="s">
        <v>822</v>
      </c>
    </row>
    <row r="775" ht="15.75" customHeight="1">
      <c r="A775" s="5" t="s">
        <v>823</v>
      </c>
    </row>
    <row r="776" ht="15.75" customHeight="1">
      <c r="A776" s="5" t="s">
        <v>824</v>
      </c>
    </row>
    <row r="777" ht="15.75" customHeight="1">
      <c r="A777" s="5" t="s">
        <v>825</v>
      </c>
    </row>
    <row r="778" ht="15.75" customHeight="1">
      <c r="A778" s="5" t="s">
        <v>826</v>
      </c>
    </row>
    <row r="779" ht="15.75" customHeight="1">
      <c r="A779" s="5" t="s">
        <v>827</v>
      </c>
    </row>
    <row r="780" ht="15.75" customHeight="1">
      <c r="A780" s="5" t="s">
        <v>828</v>
      </c>
    </row>
    <row r="781" ht="15.75" customHeight="1">
      <c r="A781" s="5" t="s">
        <v>829</v>
      </c>
    </row>
    <row r="782" ht="15.75" customHeight="1">
      <c r="A782" s="5" t="s">
        <v>830</v>
      </c>
    </row>
    <row r="783" ht="15.75" customHeight="1">
      <c r="A783" s="5" t="s">
        <v>831</v>
      </c>
    </row>
    <row r="784" ht="15.75" customHeight="1">
      <c r="A784" s="5" t="s">
        <v>832</v>
      </c>
    </row>
    <row r="785" ht="15.75" customHeight="1">
      <c r="A785" s="5" t="s">
        <v>833</v>
      </c>
    </row>
    <row r="786" ht="15.75" customHeight="1">
      <c r="A786" s="5" t="s">
        <v>834</v>
      </c>
    </row>
    <row r="787" ht="15.75" customHeight="1">
      <c r="A787" s="5" t="s">
        <v>835</v>
      </c>
    </row>
    <row r="788" ht="15.75" customHeight="1">
      <c r="A788" s="5" t="s">
        <v>836</v>
      </c>
    </row>
    <row r="789" ht="15.75" customHeight="1">
      <c r="A789" s="5" t="s">
        <v>837</v>
      </c>
    </row>
    <row r="790" ht="15.75" customHeight="1">
      <c r="A790" s="5" t="s">
        <v>838</v>
      </c>
    </row>
    <row r="791" ht="15.75" customHeight="1">
      <c r="A791" s="5" t="s">
        <v>839</v>
      </c>
    </row>
    <row r="792" ht="15.75" customHeight="1">
      <c r="A792" s="5" t="s">
        <v>840</v>
      </c>
    </row>
    <row r="793" ht="15.75" customHeight="1">
      <c r="A793" s="5" t="s">
        <v>841</v>
      </c>
    </row>
    <row r="794" ht="15.75" customHeight="1">
      <c r="A794" s="5" t="s">
        <v>842</v>
      </c>
    </row>
    <row r="795" ht="15.75" customHeight="1">
      <c r="A795" s="5" t="s">
        <v>843</v>
      </c>
    </row>
    <row r="796" ht="15.75" customHeight="1">
      <c r="A796" s="5" t="s">
        <v>844</v>
      </c>
    </row>
    <row r="797" ht="15.75" customHeight="1">
      <c r="A797" s="5" t="s">
        <v>845</v>
      </c>
    </row>
    <row r="798" ht="15.75" customHeight="1">
      <c r="A798" s="5" t="s">
        <v>846</v>
      </c>
    </row>
    <row r="799" ht="15.75" customHeight="1">
      <c r="A799" s="5" t="s">
        <v>847</v>
      </c>
    </row>
    <row r="800" ht="15.75" customHeight="1">
      <c r="A800" s="5" t="s">
        <v>848</v>
      </c>
    </row>
    <row r="801" ht="15.75" customHeight="1">
      <c r="A801" s="5" t="s">
        <v>849</v>
      </c>
    </row>
    <row r="802" ht="15.75" customHeight="1">
      <c r="A802" s="5" t="s">
        <v>850</v>
      </c>
    </row>
    <row r="803" ht="15.75" customHeight="1">
      <c r="A803" s="5" t="s">
        <v>851</v>
      </c>
    </row>
    <row r="804" ht="15.75" customHeight="1">
      <c r="A804" s="5" t="s">
        <v>852</v>
      </c>
    </row>
    <row r="805" ht="15.75" customHeight="1">
      <c r="A805" s="5" t="s">
        <v>853</v>
      </c>
    </row>
    <row r="806" ht="15.75" customHeight="1">
      <c r="A806" s="5" t="s">
        <v>854</v>
      </c>
    </row>
    <row r="807" ht="15.75" customHeight="1">
      <c r="A807" s="5" t="s">
        <v>855</v>
      </c>
    </row>
    <row r="808" ht="15.75" customHeight="1">
      <c r="A808" s="5" t="s">
        <v>856</v>
      </c>
    </row>
    <row r="809" ht="15.75" customHeight="1">
      <c r="A809" s="5" t="s">
        <v>857</v>
      </c>
    </row>
    <row r="810" ht="15.75" customHeight="1">
      <c r="A810" s="5" t="s">
        <v>858</v>
      </c>
    </row>
    <row r="811" ht="15.75" customHeight="1">
      <c r="A811" s="5" t="s">
        <v>859</v>
      </c>
    </row>
    <row r="812" ht="15.75" customHeight="1">
      <c r="A812" s="5" t="s">
        <v>860</v>
      </c>
    </row>
    <row r="813" ht="15.75" customHeight="1">
      <c r="A813" s="5" t="s">
        <v>861</v>
      </c>
    </row>
    <row r="814" ht="15.75" customHeight="1">
      <c r="A814" s="5" t="s">
        <v>862</v>
      </c>
    </row>
    <row r="815" ht="15.75" customHeight="1">
      <c r="A815" s="5" t="s">
        <v>863</v>
      </c>
    </row>
    <row r="816" ht="15.75" customHeight="1">
      <c r="A816" s="5" t="s">
        <v>864</v>
      </c>
    </row>
    <row r="817" ht="15.75" customHeight="1">
      <c r="A817" s="5" t="s">
        <v>865</v>
      </c>
    </row>
    <row r="818" ht="15.75" customHeight="1">
      <c r="A818" s="5" t="s">
        <v>866</v>
      </c>
    </row>
    <row r="819" ht="15.75" customHeight="1">
      <c r="A819" s="5" t="s">
        <v>867</v>
      </c>
    </row>
    <row r="820" ht="15.75" customHeight="1">
      <c r="A820" s="5" t="s">
        <v>868</v>
      </c>
    </row>
    <row r="821" ht="15.75" customHeight="1">
      <c r="A821" s="5" t="s">
        <v>869</v>
      </c>
    </row>
    <row r="822" ht="15.75" customHeight="1">
      <c r="A822" s="5" t="s">
        <v>870</v>
      </c>
    </row>
    <row r="823" ht="15.75" customHeight="1">
      <c r="A823" s="5" t="s">
        <v>871</v>
      </c>
    </row>
    <row r="824" ht="15.75" customHeight="1">
      <c r="A824" s="5" t="s">
        <v>872</v>
      </c>
    </row>
    <row r="825" ht="15.75" customHeight="1">
      <c r="A825" s="5" t="s">
        <v>873</v>
      </c>
    </row>
    <row r="826" ht="15.75" customHeight="1">
      <c r="A826" s="5" t="s">
        <v>874</v>
      </c>
    </row>
    <row r="827" ht="15.75" customHeight="1">
      <c r="A827" s="5" t="s">
        <v>875</v>
      </c>
    </row>
    <row r="828" ht="15.75" customHeight="1">
      <c r="A828" s="5" t="s">
        <v>876</v>
      </c>
    </row>
    <row r="829" ht="15.75" customHeight="1">
      <c r="A829" s="5" t="s">
        <v>877</v>
      </c>
    </row>
    <row r="830" ht="15.75" customHeight="1">
      <c r="A830" s="5" t="s">
        <v>878</v>
      </c>
    </row>
    <row r="831" ht="15.75" customHeight="1">
      <c r="A831" s="5" t="s">
        <v>879</v>
      </c>
    </row>
    <row r="832" ht="15.75" customHeight="1">
      <c r="A832" s="5" t="s">
        <v>880</v>
      </c>
    </row>
    <row r="833" ht="15.75" customHeight="1">
      <c r="A833" s="5" t="s">
        <v>881</v>
      </c>
    </row>
    <row r="834" ht="15.75" customHeight="1">
      <c r="A834" s="5" t="s">
        <v>882</v>
      </c>
    </row>
    <row r="835" ht="15.75" customHeight="1">
      <c r="A835" s="5" t="s">
        <v>883</v>
      </c>
    </row>
    <row r="836" ht="15.75" customHeight="1">
      <c r="A836" s="5" t="s">
        <v>884</v>
      </c>
    </row>
    <row r="837" ht="15.75" customHeight="1">
      <c r="A837" s="5" t="s">
        <v>885</v>
      </c>
    </row>
    <row r="838" ht="15.75" customHeight="1">
      <c r="A838" s="5" t="s">
        <v>886</v>
      </c>
    </row>
    <row r="839" ht="15.75" customHeight="1">
      <c r="A839" s="5" t="s">
        <v>887</v>
      </c>
    </row>
    <row r="840" ht="15.75" customHeight="1">
      <c r="A840" s="5" t="s">
        <v>888</v>
      </c>
    </row>
    <row r="841" ht="15.75" customHeight="1">
      <c r="A841" s="5" t="s">
        <v>889</v>
      </c>
    </row>
    <row r="842" ht="15.75" customHeight="1">
      <c r="A842" s="5" t="s">
        <v>890</v>
      </c>
    </row>
    <row r="843" ht="15.75" customHeight="1">
      <c r="A843" s="5" t="s">
        <v>891</v>
      </c>
    </row>
    <row r="844" ht="15.75" customHeight="1">
      <c r="A844" s="5" t="s">
        <v>892</v>
      </c>
    </row>
    <row r="845" ht="15.75" customHeight="1">
      <c r="A845" s="5" t="s">
        <v>893</v>
      </c>
    </row>
    <row r="846" ht="15.75" customHeight="1">
      <c r="A846" s="5" t="s">
        <v>894</v>
      </c>
    </row>
    <row r="847" ht="15.75" customHeight="1">
      <c r="A847" s="5" t="s">
        <v>895</v>
      </c>
    </row>
    <row r="848" ht="15.75" customHeight="1">
      <c r="A848" s="5" t="s">
        <v>896</v>
      </c>
    </row>
    <row r="849" ht="15.75" customHeight="1">
      <c r="A849" s="5" t="s">
        <v>897</v>
      </c>
    </row>
    <row r="850" ht="15.75" customHeight="1">
      <c r="A850" s="5" t="s">
        <v>898</v>
      </c>
    </row>
    <row r="851" ht="15.75" customHeight="1">
      <c r="A851" s="5" t="s">
        <v>899</v>
      </c>
    </row>
    <row r="852" ht="15.75" customHeight="1">
      <c r="A852" s="5" t="s">
        <v>900</v>
      </c>
    </row>
    <row r="853" ht="15.75" customHeight="1">
      <c r="A853" s="5" t="s">
        <v>901</v>
      </c>
    </row>
    <row r="854" ht="15.75" customHeight="1">
      <c r="A854" s="5" t="s">
        <v>902</v>
      </c>
    </row>
    <row r="855" ht="15.75" customHeight="1">
      <c r="A855" s="5" t="s">
        <v>903</v>
      </c>
    </row>
    <row r="856" ht="15.75" customHeight="1">
      <c r="A856" s="5" t="s">
        <v>904</v>
      </c>
    </row>
    <row r="857" ht="15.75" customHeight="1">
      <c r="A857" s="5" t="s">
        <v>905</v>
      </c>
    </row>
    <row r="858" ht="15.75" customHeight="1">
      <c r="A858" s="5" t="s">
        <v>906</v>
      </c>
    </row>
    <row r="859" ht="15.75" customHeight="1">
      <c r="A859" s="5" t="s">
        <v>907</v>
      </c>
    </row>
    <row r="860" ht="15.75" customHeight="1">
      <c r="A860" s="5" t="s">
        <v>908</v>
      </c>
    </row>
    <row r="861" ht="15.75" customHeight="1">
      <c r="A861" s="5" t="s">
        <v>909</v>
      </c>
    </row>
    <row r="862" ht="15.75" customHeight="1">
      <c r="A862" s="5" t="s">
        <v>910</v>
      </c>
    </row>
    <row r="863" ht="15.75" customHeight="1">
      <c r="A863" s="5" t="s">
        <v>911</v>
      </c>
    </row>
    <row r="864" ht="15.75" customHeight="1">
      <c r="A864" s="5" t="s">
        <v>912</v>
      </c>
    </row>
    <row r="865" ht="15.75" customHeight="1">
      <c r="A865" s="5" t="s">
        <v>913</v>
      </c>
    </row>
    <row r="866" ht="15.75" customHeight="1">
      <c r="A866" s="5" t="s">
        <v>914</v>
      </c>
    </row>
    <row r="867" ht="15.75" customHeight="1">
      <c r="A867" s="5" t="s">
        <v>915</v>
      </c>
    </row>
    <row r="868" ht="15.75" customHeight="1">
      <c r="A868" s="5" t="s">
        <v>916</v>
      </c>
    </row>
    <row r="869" ht="15.75" customHeight="1">
      <c r="A869" s="5" t="s">
        <v>917</v>
      </c>
    </row>
    <row r="870" ht="15.75" customHeight="1">
      <c r="A870" s="5" t="s">
        <v>918</v>
      </c>
    </row>
    <row r="871" ht="15.75" customHeight="1">
      <c r="A871" s="5" t="s">
        <v>919</v>
      </c>
    </row>
    <row r="872" ht="15.75" customHeight="1">
      <c r="A872" s="5" t="s">
        <v>920</v>
      </c>
    </row>
    <row r="873" ht="15.75" customHeight="1">
      <c r="A873" s="5" t="s">
        <v>921</v>
      </c>
    </row>
    <row r="874" ht="15.75" customHeight="1">
      <c r="A874" s="5" t="s">
        <v>922</v>
      </c>
    </row>
    <row r="875" ht="15.75" customHeight="1">
      <c r="A875" s="5" t="s">
        <v>923</v>
      </c>
    </row>
    <row r="876" ht="15.75" customHeight="1">
      <c r="A876" s="5" t="s">
        <v>924</v>
      </c>
    </row>
    <row r="877" ht="15.75" customHeight="1">
      <c r="A877" s="5" t="s">
        <v>925</v>
      </c>
    </row>
    <row r="878" ht="15.75" customHeight="1">
      <c r="A878" s="5" t="s">
        <v>926</v>
      </c>
    </row>
    <row r="879" ht="15.75" customHeight="1">
      <c r="A879" s="5" t="s">
        <v>927</v>
      </c>
    </row>
    <row r="880" ht="15.75" customHeight="1">
      <c r="A880" s="5" t="s">
        <v>928</v>
      </c>
    </row>
    <row r="881" ht="15.75" customHeight="1">
      <c r="A881" s="5" t="s">
        <v>929</v>
      </c>
    </row>
    <row r="882" ht="15.75" customHeight="1">
      <c r="A882" s="5" t="s">
        <v>930</v>
      </c>
    </row>
    <row r="883" ht="15.75" customHeight="1">
      <c r="A883" s="5" t="s">
        <v>931</v>
      </c>
    </row>
    <row r="884" ht="15.75" customHeight="1">
      <c r="A884" s="5" t="s">
        <v>932</v>
      </c>
    </row>
    <row r="885" ht="15.75" customHeight="1">
      <c r="A885" s="5" t="s">
        <v>933</v>
      </c>
    </row>
    <row r="886" ht="15.75" customHeight="1">
      <c r="A886" s="5" t="s">
        <v>934</v>
      </c>
    </row>
    <row r="887" ht="15.75" customHeight="1">
      <c r="A887" s="5" t="s">
        <v>935</v>
      </c>
    </row>
    <row r="888" ht="15.75" customHeight="1">
      <c r="A888" s="5" t="s">
        <v>936</v>
      </c>
    </row>
    <row r="889" ht="15.75" customHeight="1">
      <c r="A889" s="5" t="s">
        <v>937</v>
      </c>
    </row>
    <row r="890" ht="15.75" customHeight="1">
      <c r="A890" s="5" t="s">
        <v>938</v>
      </c>
    </row>
    <row r="891" ht="15.75" customHeight="1">
      <c r="A891" s="5" t="s">
        <v>939</v>
      </c>
    </row>
    <row r="892" ht="15.75" customHeight="1">
      <c r="A892" s="5" t="s">
        <v>940</v>
      </c>
    </row>
    <row r="893" ht="15.75" customHeight="1">
      <c r="A893" s="5" t="s">
        <v>941</v>
      </c>
    </row>
    <row r="894" ht="15.75" customHeight="1">
      <c r="A894" s="5" t="s">
        <v>942</v>
      </c>
    </row>
    <row r="895" ht="15.75" customHeight="1">
      <c r="A895" s="5" t="s">
        <v>943</v>
      </c>
    </row>
    <row r="896" ht="15.75" customHeight="1">
      <c r="A896" s="5" t="s">
        <v>944</v>
      </c>
    </row>
    <row r="897" ht="15.75" customHeight="1">
      <c r="A897" s="5" t="s">
        <v>945</v>
      </c>
    </row>
    <row r="898" ht="15.75" customHeight="1">
      <c r="A898" s="5" t="s">
        <v>946</v>
      </c>
    </row>
    <row r="899" ht="15.75" customHeight="1">
      <c r="A899" s="5" t="s">
        <v>947</v>
      </c>
    </row>
    <row r="900" ht="15.75" customHeight="1">
      <c r="A900" s="5" t="s">
        <v>948</v>
      </c>
    </row>
    <row r="901" ht="15.75" customHeight="1">
      <c r="A901" s="5" t="s">
        <v>949</v>
      </c>
    </row>
    <row r="902" ht="15.75" customHeight="1">
      <c r="A902" s="5" t="s">
        <v>950</v>
      </c>
    </row>
    <row r="903" ht="15.75" customHeight="1">
      <c r="A903" s="5" t="s">
        <v>951</v>
      </c>
    </row>
    <row r="904" ht="15.75" customHeight="1">
      <c r="A904" s="5" t="s">
        <v>952</v>
      </c>
    </row>
    <row r="905" ht="15.75" customHeight="1">
      <c r="A905" s="5" t="s">
        <v>953</v>
      </c>
    </row>
    <row r="906" ht="15.75" customHeight="1">
      <c r="A906" s="5" t="s">
        <v>954</v>
      </c>
    </row>
    <row r="907" ht="15.75" customHeight="1">
      <c r="A907" s="5" t="s">
        <v>955</v>
      </c>
    </row>
    <row r="908" ht="15.75" customHeight="1">
      <c r="A908" s="5" t="s">
        <v>956</v>
      </c>
    </row>
    <row r="909" ht="15.75" customHeight="1">
      <c r="A909" s="5" t="s">
        <v>957</v>
      </c>
    </row>
    <row r="910" ht="15.75" customHeight="1">
      <c r="A910" s="5" t="s">
        <v>958</v>
      </c>
    </row>
    <row r="911" ht="15.75" customHeight="1">
      <c r="A911" s="5" t="s">
        <v>959</v>
      </c>
    </row>
    <row r="912" ht="15.75" customHeight="1">
      <c r="A912" s="5" t="s">
        <v>960</v>
      </c>
    </row>
    <row r="913" ht="15.75" customHeight="1">
      <c r="A913" s="5" t="s">
        <v>961</v>
      </c>
    </row>
    <row r="914" ht="15.75" customHeight="1">
      <c r="A914" s="5" t="s">
        <v>962</v>
      </c>
    </row>
    <row r="915" ht="15.75" customHeight="1">
      <c r="A915" s="5" t="s">
        <v>963</v>
      </c>
    </row>
    <row r="916" ht="15.75" customHeight="1">
      <c r="A916" s="5" t="s">
        <v>964</v>
      </c>
    </row>
    <row r="917" ht="15.75" customHeight="1">
      <c r="A917" s="5" t="s">
        <v>965</v>
      </c>
    </row>
    <row r="918" ht="15.75" customHeight="1">
      <c r="A918" s="5" t="s">
        <v>966</v>
      </c>
    </row>
    <row r="919" ht="15.75" customHeight="1">
      <c r="A919" s="5" t="s">
        <v>967</v>
      </c>
    </row>
    <row r="920" ht="15.75" customHeight="1">
      <c r="A920" s="5" t="s">
        <v>968</v>
      </c>
    </row>
    <row r="921" ht="15.75" customHeight="1">
      <c r="A921" s="5" t="s">
        <v>969</v>
      </c>
    </row>
    <row r="922" ht="15.75" customHeight="1">
      <c r="A922" s="5" t="s">
        <v>970</v>
      </c>
    </row>
    <row r="923" ht="15.75" customHeight="1">
      <c r="A923" s="5" t="s">
        <v>971</v>
      </c>
    </row>
    <row r="924" ht="15.75" customHeight="1">
      <c r="A924" s="5" t="s">
        <v>972</v>
      </c>
    </row>
    <row r="925" ht="15.75" customHeight="1">
      <c r="A925" s="5" t="s">
        <v>973</v>
      </c>
    </row>
    <row r="926" ht="15.75" customHeight="1">
      <c r="A926" s="5" t="s">
        <v>974</v>
      </c>
    </row>
    <row r="927" ht="15.75" customHeight="1">
      <c r="A927" s="5" t="s">
        <v>975</v>
      </c>
    </row>
    <row r="928" ht="15.75" customHeight="1">
      <c r="A928" s="5" t="s">
        <v>976</v>
      </c>
    </row>
    <row r="929" ht="15.75" customHeight="1">
      <c r="A929" s="5" t="s">
        <v>977</v>
      </c>
    </row>
    <row r="930" ht="15.75" customHeight="1">
      <c r="A930" s="5" t="s">
        <v>978</v>
      </c>
    </row>
    <row r="931" ht="15.75" customHeight="1">
      <c r="A931" s="5" t="s">
        <v>979</v>
      </c>
    </row>
    <row r="932" ht="15.75" customHeight="1">
      <c r="A932" s="5" t="s">
        <v>980</v>
      </c>
    </row>
    <row r="933" ht="15.75" customHeight="1">
      <c r="A933" s="5" t="s">
        <v>981</v>
      </c>
    </row>
    <row r="934" ht="15.75" customHeight="1">
      <c r="A934" s="5" t="s">
        <v>982</v>
      </c>
    </row>
    <row r="935" ht="15.75" customHeight="1">
      <c r="A935" s="5" t="s">
        <v>983</v>
      </c>
    </row>
    <row r="936" ht="15.75" customHeight="1">
      <c r="A936" s="5" t="s">
        <v>984</v>
      </c>
    </row>
    <row r="937" ht="15.75" customHeight="1">
      <c r="A937" s="5" t="s">
        <v>985</v>
      </c>
    </row>
    <row r="938" ht="15.75" customHeight="1">
      <c r="A938" s="5" t="s">
        <v>986</v>
      </c>
    </row>
    <row r="939" ht="15.75" customHeight="1">
      <c r="A939" s="5" t="s">
        <v>987</v>
      </c>
    </row>
    <row r="940" ht="15.75" customHeight="1">
      <c r="A940" s="5" t="s">
        <v>988</v>
      </c>
    </row>
    <row r="941" ht="15.75" customHeight="1">
      <c r="A941" s="5" t="s">
        <v>989</v>
      </c>
    </row>
    <row r="942" ht="15.75" customHeight="1">
      <c r="A942" s="5" t="s">
        <v>990</v>
      </c>
    </row>
    <row r="943" ht="15.75" customHeight="1">
      <c r="A943" s="5" t="s">
        <v>991</v>
      </c>
    </row>
    <row r="944" ht="15.75" customHeight="1">
      <c r="A944" s="5" t="s">
        <v>992</v>
      </c>
    </row>
    <row r="945" ht="15.75" customHeight="1">
      <c r="A945" s="5" t="s">
        <v>993</v>
      </c>
    </row>
    <row r="946" ht="15.75" customHeight="1">
      <c r="A946" s="5" t="s">
        <v>994</v>
      </c>
    </row>
    <row r="947" ht="15.75" customHeight="1">
      <c r="A947" s="5" t="s">
        <v>995</v>
      </c>
    </row>
    <row r="948" ht="15.75" customHeight="1">
      <c r="A948" s="5" t="s">
        <v>996</v>
      </c>
    </row>
    <row r="949" ht="15.75" customHeight="1">
      <c r="A949" s="5" t="s">
        <v>997</v>
      </c>
    </row>
    <row r="950" ht="15.75" customHeight="1">
      <c r="A950" s="5" t="s">
        <v>998</v>
      </c>
    </row>
    <row r="951" ht="15.75" customHeight="1">
      <c r="A951" s="5" t="s">
        <v>999</v>
      </c>
    </row>
    <row r="952" ht="15.75" customHeight="1">
      <c r="A952" s="5" t="s">
        <v>1000</v>
      </c>
    </row>
    <row r="953" ht="15.75" customHeight="1">
      <c r="A953" s="5" t="s">
        <v>1001</v>
      </c>
    </row>
    <row r="954" ht="15.75" customHeight="1">
      <c r="A954" s="5" t="s">
        <v>1002</v>
      </c>
    </row>
    <row r="955" ht="15.75" customHeight="1">
      <c r="A955" s="5" t="s">
        <v>1003</v>
      </c>
    </row>
    <row r="956" ht="15.75" customHeight="1">
      <c r="A956" s="5" t="s">
        <v>1004</v>
      </c>
    </row>
    <row r="957" ht="15.75" customHeight="1">
      <c r="A957" s="5" t="s">
        <v>1005</v>
      </c>
    </row>
    <row r="958" ht="15.75" customHeight="1">
      <c r="A958" s="5" t="s">
        <v>1006</v>
      </c>
    </row>
    <row r="959" ht="15.75" customHeight="1">
      <c r="A959" s="5" t="s">
        <v>1007</v>
      </c>
    </row>
    <row r="960" ht="15.75" customHeight="1">
      <c r="A960" s="5" t="s">
        <v>1008</v>
      </c>
    </row>
    <row r="961" ht="15.75" customHeight="1">
      <c r="A961" s="5" t="s">
        <v>1009</v>
      </c>
    </row>
    <row r="962" ht="15.75" customHeight="1">
      <c r="A962" s="5" t="s">
        <v>1010</v>
      </c>
    </row>
    <row r="963" ht="15.75" customHeight="1">
      <c r="A963" s="5" t="s">
        <v>1011</v>
      </c>
    </row>
    <row r="964" ht="15.75" customHeight="1">
      <c r="A964" s="5" t="s">
        <v>1012</v>
      </c>
    </row>
    <row r="965" ht="15.75" customHeight="1">
      <c r="A965" s="5" t="s">
        <v>1013</v>
      </c>
    </row>
    <row r="966" ht="15.75" customHeight="1">
      <c r="A966" s="5" t="s">
        <v>1014</v>
      </c>
    </row>
    <row r="967" ht="15.75" customHeight="1">
      <c r="A967" s="5" t="s">
        <v>1015</v>
      </c>
    </row>
    <row r="968" ht="15.75" customHeight="1">
      <c r="A968" s="5" t="s">
        <v>1016</v>
      </c>
    </row>
    <row r="969" ht="15.75" customHeight="1">
      <c r="A969" s="5" t="s">
        <v>1017</v>
      </c>
    </row>
    <row r="970" ht="15.75" customHeight="1">
      <c r="A970" s="5" t="s">
        <v>1018</v>
      </c>
    </row>
    <row r="971" ht="15.75" customHeight="1">
      <c r="A971" s="5" t="s">
        <v>1019</v>
      </c>
    </row>
    <row r="972" ht="15.75" customHeight="1">
      <c r="A972" s="5" t="s">
        <v>1020</v>
      </c>
    </row>
    <row r="973" ht="15.75" customHeight="1">
      <c r="A973" s="5" t="s">
        <v>1021</v>
      </c>
    </row>
    <row r="974" ht="15.75" customHeight="1">
      <c r="A974" s="5" t="s">
        <v>1022</v>
      </c>
    </row>
    <row r="975" ht="15.75" customHeight="1">
      <c r="A975" s="5" t="s">
        <v>1023</v>
      </c>
    </row>
    <row r="976" ht="15.75" customHeight="1">
      <c r="A976" s="5" t="s">
        <v>1024</v>
      </c>
    </row>
    <row r="977" ht="15.75" customHeight="1">
      <c r="A977" s="5" t="s">
        <v>1025</v>
      </c>
    </row>
    <row r="978" ht="15.75" customHeight="1">
      <c r="A978" s="5" t="s">
        <v>1026</v>
      </c>
    </row>
    <row r="979" ht="15.75" customHeight="1">
      <c r="A979" s="5" t="s">
        <v>1027</v>
      </c>
    </row>
    <row r="980" ht="15.75" customHeight="1">
      <c r="A980" s="5" t="s">
        <v>1028</v>
      </c>
    </row>
    <row r="981" ht="15.75" customHeight="1">
      <c r="A981" s="5" t="s">
        <v>1029</v>
      </c>
    </row>
    <row r="982" ht="15.75" customHeight="1">
      <c r="A982" s="5" t="s">
        <v>1030</v>
      </c>
    </row>
    <row r="983" ht="15.75" customHeight="1">
      <c r="A983" s="5" t="s">
        <v>1031</v>
      </c>
    </row>
    <row r="984" ht="15.75" customHeight="1">
      <c r="A984" s="5" t="s">
        <v>1032</v>
      </c>
    </row>
    <row r="985" ht="15.75" customHeight="1">
      <c r="A985" s="5" t="s">
        <v>1033</v>
      </c>
    </row>
    <row r="986" ht="15.75" customHeight="1">
      <c r="A986" s="5" t="s">
        <v>1034</v>
      </c>
    </row>
    <row r="987" ht="15.75" customHeight="1">
      <c r="A987" s="5" t="s">
        <v>1035</v>
      </c>
    </row>
    <row r="988" ht="15.75" customHeight="1">
      <c r="A988" s="5" t="s">
        <v>1036</v>
      </c>
    </row>
    <row r="989" ht="15.75" customHeight="1">
      <c r="A989" s="5" t="s">
        <v>1037</v>
      </c>
    </row>
    <row r="990" ht="15.75" customHeight="1">
      <c r="A990" s="5" t="s">
        <v>1038</v>
      </c>
    </row>
    <row r="991" ht="15.75" customHeight="1">
      <c r="A991" s="5" t="s">
        <v>1039</v>
      </c>
    </row>
    <row r="992" ht="15.75" customHeight="1">
      <c r="A992" s="5" t="s">
        <v>1040</v>
      </c>
    </row>
    <row r="993" ht="15.75" customHeight="1">
      <c r="A993" s="5" t="s">
        <v>1041</v>
      </c>
    </row>
    <row r="994" ht="15.75" customHeight="1">
      <c r="A994" s="5" t="s">
        <v>1042</v>
      </c>
    </row>
    <row r="995" ht="15.75" customHeight="1">
      <c r="A995" s="5" t="s">
        <v>1043</v>
      </c>
    </row>
    <row r="996" ht="15.75" customHeight="1">
      <c r="A996" s="5" t="s">
        <v>1044</v>
      </c>
    </row>
    <row r="997" ht="15.75" customHeight="1">
      <c r="A997" s="5" t="s">
        <v>1045</v>
      </c>
    </row>
    <row r="998" ht="15.75" customHeight="1">
      <c r="A998" s="5" t="s">
        <v>1046</v>
      </c>
    </row>
    <row r="999" ht="15.75" customHeight="1">
      <c r="A999" s="5" t="s">
        <v>1047</v>
      </c>
    </row>
    <row r="1000" ht="15.75" customHeight="1">
      <c r="A1000" s="5" t="s">
        <v>1048</v>
      </c>
    </row>
    <row r="1001" ht="15.75" customHeight="1">
      <c r="A1001" s="5" t="s">
        <v>1049</v>
      </c>
    </row>
    <row r="1002" ht="15.75" customHeight="1">
      <c r="A1002" s="5" t="s">
        <v>1050</v>
      </c>
    </row>
    <row r="1003" ht="15.75" customHeight="1">
      <c r="A1003" s="5" t="s">
        <v>1051</v>
      </c>
    </row>
    <row r="1004" ht="15.75" customHeight="1">
      <c r="A1004" s="5" t="s">
        <v>1052</v>
      </c>
    </row>
    <row r="1005" ht="15.75" customHeight="1">
      <c r="A1005" s="5" t="s">
        <v>1053</v>
      </c>
    </row>
    <row r="1006" ht="15.75" customHeight="1">
      <c r="A1006" s="5" t="s">
        <v>1054</v>
      </c>
    </row>
    <row r="1007" ht="15.75" customHeight="1">
      <c r="A1007" s="5" t="s">
        <v>1055</v>
      </c>
    </row>
    <row r="1008" ht="15.75" customHeight="1">
      <c r="A1008" s="5" t="s">
        <v>1056</v>
      </c>
    </row>
    <row r="1009" ht="15.75" customHeight="1">
      <c r="A1009" s="5" t="s">
        <v>1057</v>
      </c>
    </row>
    <row r="1010" ht="15.75" customHeight="1">
      <c r="A1010" s="5" t="s">
        <v>1058</v>
      </c>
    </row>
    <row r="1011" ht="15.75" customHeight="1">
      <c r="A1011" s="5" t="s">
        <v>1059</v>
      </c>
    </row>
    <row r="1012" ht="15.75" customHeight="1">
      <c r="A1012" s="5" t="s">
        <v>1060</v>
      </c>
    </row>
    <row r="1013" ht="15.75" customHeight="1">
      <c r="A1013" s="5" t="s">
        <v>1061</v>
      </c>
    </row>
    <row r="1014" ht="15.75" customHeight="1">
      <c r="A1014" s="5" t="s">
        <v>1062</v>
      </c>
    </row>
    <row r="1015" ht="15.75" customHeight="1">
      <c r="A1015" s="5" t="s">
        <v>1063</v>
      </c>
    </row>
    <row r="1016" ht="15.75" customHeight="1">
      <c r="A1016" s="5" t="s">
        <v>1064</v>
      </c>
    </row>
    <row r="1017" ht="15.75" customHeight="1">
      <c r="A1017" s="5" t="s">
        <v>1065</v>
      </c>
    </row>
    <row r="1018" ht="15.75" customHeight="1">
      <c r="A1018" s="5" t="s">
        <v>1066</v>
      </c>
    </row>
    <row r="1019" ht="15.75" customHeight="1">
      <c r="A1019" s="5" t="s">
        <v>1067</v>
      </c>
    </row>
    <row r="1020" ht="15.75" customHeight="1">
      <c r="A1020" s="5" t="s">
        <v>1068</v>
      </c>
    </row>
    <row r="1021" ht="15.75" customHeight="1">
      <c r="A1021" s="5" t="s">
        <v>1069</v>
      </c>
    </row>
    <row r="1022" ht="15.75" customHeight="1">
      <c r="A1022" s="5" t="s">
        <v>1070</v>
      </c>
    </row>
    <row r="1023" ht="15.75" customHeight="1">
      <c r="A1023" s="5" t="s">
        <v>1071</v>
      </c>
    </row>
    <row r="1024" ht="15.75" customHeight="1">
      <c r="A1024" s="5" t="s">
        <v>1072</v>
      </c>
    </row>
    <row r="1025" ht="15.75" customHeight="1">
      <c r="A1025" s="5" t="s">
        <v>1073</v>
      </c>
    </row>
    <row r="1026" ht="15.75" customHeight="1">
      <c r="A1026" s="5" t="s">
        <v>1074</v>
      </c>
    </row>
    <row r="1027" ht="15.75" customHeight="1">
      <c r="A1027" s="5" t="s">
        <v>1075</v>
      </c>
    </row>
    <row r="1028" ht="15.75" customHeight="1">
      <c r="A1028" s="5" t="s">
        <v>1076</v>
      </c>
    </row>
    <row r="1029" ht="15.75" customHeight="1">
      <c r="A1029" s="5" t="s">
        <v>1077</v>
      </c>
    </row>
    <row r="1030" ht="15.75" customHeight="1">
      <c r="A1030" s="5" t="s">
        <v>1078</v>
      </c>
    </row>
    <row r="1031" ht="15.75" customHeight="1">
      <c r="A1031" s="5" t="s">
        <v>1079</v>
      </c>
    </row>
    <row r="1032" ht="15.75" customHeight="1">
      <c r="A1032" s="5" t="s">
        <v>1080</v>
      </c>
    </row>
    <row r="1033" ht="15.75" customHeight="1">
      <c r="A1033" s="5" t="s">
        <v>1081</v>
      </c>
    </row>
    <row r="1034" ht="15.75" customHeight="1">
      <c r="A1034" s="5" t="s">
        <v>1082</v>
      </c>
    </row>
    <row r="1035" ht="15.75" customHeight="1">
      <c r="A1035" s="5" t="s">
        <v>1083</v>
      </c>
    </row>
    <row r="1036" ht="15.75" customHeight="1">
      <c r="A1036" s="5" t="s">
        <v>1084</v>
      </c>
    </row>
    <row r="1037" ht="15.75" customHeight="1">
      <c r="A1037" s="5" t="s">
        <v>1085</v>
      </c>
    </row>
    <row r="1038" ht="15.75" customHeight="1">
      <c r="A1038" s="5" t="s">
        <v>1086</v>
      </c>
    </row>
    <row r="1039" ht="15.75" customHeight="1">
      <c r="A1039" s="5" t="s">
        <v>1087</v>
      </c>
    </row>
    <row r="1040" ht="15.75" customHeight="1">
      <c r="A1040" s="5" t="s">
        <v>1088</v>
      </c>
    </row>
    <row r="1041" ht="15.75" customHeight="1">
      <c r="A1041" s="5" t="s">
        <v>1089</v>
      </c>
    </row>
    <row r="1042" ht="15.75" customHeight="1">
      <c r="A1042" s="5" t="s">
        <v>1090</v>
      </c>
    </row>
    <row r="1043" ht="15.75" customHeight="1">
      <c r="A1043" s="5" t="s">
        <v>1091</v>
      </c>
    </row>
    <row r="1044" ht="15.75" customHeight="1">
      <c r="A1044" s="5" t="s">
        <v>1092</v>
      </c>
    </row>
    <row r="1045" ht="15.75" customHeight="1">
      <c r="A1045" s="5" t="s">
        <v>1093</v>
      </c>
    </row>
    <row r="1046" ht="15.75" customHeight="1">
      <c r="A1046" s="5" t="s">
        <v>1094</v>
      </c>
    </row>
    <row r="1047" ht="15.75" customHeight="1">
      <c r="A1047" s="5" t="s">
        <v>1095</v>
      </c>
    </row>
    <row r="1048" ht="15.75" customHeight="1">
      <c r="A1048" s="5" t="s">
        <v>1096</v>
      </c>
    </row>
    <row r="1049" ht="15.75" customHeight="1">
      <c r="A1049" s="5" t="s">
        <v>1097</v>
      </c>
    </row>
    <row r="1050" ht="15.75" customHeight="1">
      <c r="A1050" s="5" t="s">
        <v>1098</v>
      </c>
    </row>
    <row r="1051" ht="15.75" customHeight="1">
      <c r="A1051" s="5" t="s">
        <v>1099</v>
      </c>
    </row>
    <row r="1052" ht="15.75" customHeight="1">
      <c r="A1052" s="5" t="s">
        <v>1100</v>
      </c>
    </row>
    <row r="1053" ht="15.75" customHeight="1">
      <c r="A1053" s="5" t="s">
        <v>1101</v>
      </c>
    </row>
    <row r="1054" ht="15.75" customHeight="1">
      <c r="A1054" s="5" t="s">
        <v>1102</v>
      </c>
    </row>
    <row r="1055" ht="15.75" customHeight="1">
      <c r="A1055" s="5" t="s">
        <v>1103</v>
      </c>
    </row>
    <row r="1056" ht="15.75" customHeight="1">
      <c r="A1056" s="5" t="s">
        <v>1104</v>
      </c>
    </row>
    <row r="1057" ht="15.75" customHeight="1">
      <c r="A1057" s="5" t="s">
        <v>1105</v>
      </c>
    </row>
    <row r="1058" ht="15.75" customHeight="1">
      <c r="A1058" s="5" t="s">
        <v>1106</v>
      </c>
    </row>
    <row r="1059" ht="15.75" customHeight="1">
      <c r="A1059" s="5" t="s">
        <v>1107</v>
      </c>
    </row>
    <row r="1060" ht="15.75" customHeight="1">
      <c r="A1060" s="5" t="s">
        <v>1108</v>
      </c>
    </row>
    <row r="1061" ht="15.75" customHeight="1">
      <c r="A1061" s="5" t="s">
        <v>1109</v>
      </c>
    </row>
    <row r="1062" ht="15.75" customHeight="1">
      <c r="A1062" s="5" t="s">
        <v>1110</v>
      </c>
    </row>
    <row r="1063" ht="15.75" customHeight="1">
      <c r="A1063" s="5" t="s">
        <v>1111</v>
      </c>
    </row>
    <row r="1064" ht="15.75" customHeight="1">
      <c r="A1064" s="5" t="s">
        <v>1112</v>
      </c>
    </row>
    <row r="1065" ht="15.75" customHeight="1">
      <c r="A1065" s="5" t="s">
        <v>1113</v>
      </c>
    </row>
    <row r="1066" ht="15.75" customHeight="1">
      <c r="A1066" s="5" t="s">
        <v>1114</v>
      </c>
    </row>
    <row r="1067" ht="15.75" customHeight="1">
      <c r="A1067" s="5" t="s">
        <v>1115</v>
      </c>
    </row>
    <row r="1068" ht="15.75" customHeight="1">
      <c r="A1068" s="5" t="s">
        <v>1116</v>
      </c>
    </row>
    <row r="1069" ht="15.75" customHeight="1">
      <c r="A1069" s="5" t="s">
        <v>1117</v>
      </c>
    </row>
    <row r="1070" ht="15.75" customHeight="1">
      <c r="A1070" s="5" t="s">
        <v>1118</v>
      </c>
    </row>
    <row r="1071" ht="15.75" customHeight="1">
      <c r="A1071" s="5" t="s">
        <v>1119</v>
      </c>
    </row>
    <row r="1072" ht="15.75" customHeight="1">
      <c r="A1072" s="5" t="s">
        <v>1120</v>
      </c>
    </row>
    <row r="1073" ht="15.75" customHeight="1">
      <c r="A1073" s="5" t="s">
        <v>1121</v>
      </c>
    </row>
    <row r="1074" ht="15.75" customHeight="1">
      <c r="A1074" s="5" t="s">
        <v>1122</v>
      </c>
    </row>
    <row r="1075" ht="15.75" customHeight="1">
      <c r="A1075" s="5" t="s">
        <v>1123</v>
      </c>
    </row>
    <row r="1076" ht="15.75" customHeight="1">
      <c r="A1076" s="5" t="s">
        <v>1124</v>
      </c>
    </row>
    <row r="1077" ht="15.75" customHeight="1">
      <c r="A1077" s="5" t="s">
        <v>1125</v>
      </c>
    </row>
    <row r="1078" ht="15.75" customHeight="1">
      <c r="A1078" s="5" t="s">
        <v>1126</v>
      </c>
    </row>
    <row r="1079" ht="15.75" customHeight="1">
      <c r="A1079" s="5" t="s">
        <v>1127</v>
      </c>
    </row>
    <row r="1080" ht="15.75" customHeight="1">
      <c r="A1080" s="5" t="s">
        <v>1128</v>
      </c>
    </row>
    <row r="1081" ht="15.75" customHeight="1">
      <c r="A1081" s="5" t="s">
        <v>1129</v>
      </c>
    </row>
    <row r="1082" ht="15.75" customHeight="1">
      <c r="A1082" s="5" t="s">
        <v>1130</v>
      </c>
    </row>
    <row r="1083" ht="15.75" customHeight="1">
      <c r="A1083" s="5" t="s">
        <v>1131</v>
      </c>
    </row>
    <row r="1084" ht="15.75" customHeight="1">
      <c r="A1084" s="5" t="s">
        <v>1132</v>
      </c>
    </row>
    <row r="1085" ht="15.75" customHeight="1">
      <c r="A1085" s="5" t="s">
        <v>1133</v>
      </c>
    </row>
    <row r="1086" ht="15.75" customHeight="1">
      <c r="A1086" s="5" t="s">
        <v>1134</v>
      </c>
    </row>
    <row r="1087" ht="15.75" customHeight="1">
      <c r="A1087" s="5" t="s">
        <v>1135</v>
      </c>
    </row>
    <row r="1088" ht="15.75" customHeight="1">
      <c r="A1088" s="5" t="s">
        <v>1136</v>
      </c>
    </row>
    <row r="1089" ht="15.75" customHeight="1">
      <c r="A1089" s="5" t="s">
        <v>1137</v>
      </c>
    </row>
    <row r="1090" ht="15.75" customHeight="1">
      <c r="A1090" s="5" t="s">
        <v>1138</v>
      </c>
    </row>
    <row r="1091" ht="15.75" customHeight="1">
      <c r="A1091" s="5" t="s">
        <v>1139</v>
      </c>
    </row>
    <row r="1092" ht="15.75" customHeight="1">
      <c r="A1092" s="5" t="s">
        <v>1140</v>
      </c>
    </row>
    <row r="1093" ht="15.75" customHeight="1">
      <c r="A1093" s="5" t="s">
        <v>1141</v>
      </c>
    </row>
    <row r="1094" ht="15.75" customHeight="1">
      <c r="A1094" s="5" t="s">
        <v>1142</v>
      </c>
    </row>
    <row r="1095" ht="15.75" customHeight="1">
      <c r="A1095" s="5" t="s">
        <v>1143</v>
      </c>
    </row>
    <row r="1096" ht="15.75" customHeight="1">
      <c r="A1096" s="5" t="s">
        <v>1144</v>
      </c>
    </row>
    <row r="1097" ht="15.75" customHeight="1">
      <c r="A1097" s="5" t="s">
        <v>1145</v>
      </c>
    </row>
    <row r="1098" ht="15.75" customHeight="1">
      <c r="A1098" s="5" t="s">
        <v>1146</v>
      </c>
    </row>
    <row r="1099" ht="15.75" customHeight="1">
      <c r="A1099" s="5" t="s">
        <v>1147</v>
      </c>
    </row>
    <row r="1100" ht="15.75" customHeight="1">
      <c r="A1100" s="5" t="s">
        <v>1148</v>
      </c>
    </row>
    <row r="1101" ht="15.75" customHeight="1">
      <c r="A1101" s="5" t="s">
        <v>1149</v>
      </c>
    </row>
    <row r="1102" ht="15.75" customHeight="1">
      <c r="A1102" s="5" t="s">
        <v>1150</v>
      </c>
    </row>
    <row r="1103" ht="15.75" customHeight="1">
      <c r="A1103" s="5" t="s">
        <v>1151</v>
      </c>
    </row>
    <row r="1104" ht="15.75" customHeight="1">
      <c r="A1104" s="5" t="s">
        <v>1152</v>
      </c>
    </row>
    <row r="1105" ht="15.75" customHeight="1">
      <c r="A1105" s="5" t="s">
        <v>1153</v>
      </c>
    </row>
    <row r="1106" ht="15.75" customHeight="1">
      <c r="A1106" s="5" t="s">
        <v>1154</v>
      </c>
    </row>
    <row r="1107" ht="15.75" customHeight="1">
      <c r="A1107" s="5" t="s">
        <v>1155</v>
      </c>
    </row>
    <row r="1108" ht="15.75" customHeight="1">
      <c r="A1108" s="5" t="s">
        <v>1156</v>
      </c>
    </row>
    <row r="1109" ht="15.75" customHeight="1">
      <c r="A1109" s="5" t="s">
        <v>1157</v>
      </c>
    </row>
    <row r="1110" ht="15.75" customHeight="1">
      <c r="A1110" s="5" t="s">
        <v>1158</v>
      </c>
    </row>
    <row r="1111" ht="15.75" customHeight="1">
      <c r="A1111" s="5" t="s">
        <v>1159</v>
      </c>
    </row>
    <row r="1112" ht="15.75" customHeight="1">
      <c r="A1112" s="5" t="s">
        <v>1160</v>
      </c>
    </row>
    <row r="1113" ht="15.75" customHeight="1">
      <c r="A1113" s="5" t="s">
        <v>1161</v>
      </c>
    </row>
    <row r="1114" ht="15.75" customHeight="1">
      <c r="A1114" s="5" t="s">
        <v>1162</v>
      </c>
    </row>
    <row r="1115" ht="15.75" customHeight="1">
      <c r="A1115" s="5" t="s">
        <v>1163</v>
      </c>
    </row>
    <row r="1116" ht="15.75" customHeight="1">
      <c r="A1116" s="5" t="s">
        <v>1164</v>
      </c>
    </row>
    <row r="1117" ht="15.75" customHeight="1">
      <c r="A1117" s="5" t="s">
        <v>1165</v>
      </c>
    </row>
    <row r="1118" ht="15.75" customHeight="1">
      <c r="A1118" s="5" t="s">
        <v>1166</v>
      </c>
    </row>
    <row r="1119" ht="15.75" customHeight="1">
      <c r="A1119" s="5" t="s">
        <v>1167</v>
      </c>
    </row>
    <row r="1120" ht="15.75" customHeight="1">
      <c r="A1120" s="5" t="s">
        <v>1168</v>
      </c>
    </row>
    <row r="1121" ht="15.75" customHeight="1">
      <c r="A1121" s="5" t="s">
        <v>1169</v>
      </c>
    </row>
    <row r="1122" ht="15.75" customHeight="1">
      <c r="A1122" s="5" t="s">
        <v>1170</v>
      </c>
    </row>
    <row r="1123" ht="15.75" customHeight="1">
      <c r="A1123" s="5" t="s">
        <v>1171</v>
      </c>
    </row>
    <row r="1124" ht="15.75" customHeight="1">
      <c r="A1124" s="5" t="s">
        <v>1172</v>
      </c>
    </row>
    <row r="1125" ht="15.75" customHeight="1">
      <c r="A1125" s="5" t="s">
        <v>1173</v>
      </c>
    </row>
    <row r="1126" ht="15.75" customHeight="1">
      <c r="A1126" s="5" t="s">
        <v>1174</v>
      </c>
    </row>
    <row r="1127" ht="15.75" customHeight="1">
      <c r="A1127" s="5" t="s">
        <v>1175</v>
      </c>
    </row>
    <row r="1128" ht="15.75" customHeight="1">
      <c r="A1128" s="5" t="s">
        <v>1176</v>
      </c>
    </row>
    <row r="1129" ht="15.75" customHeight="1">
      <c r="A1129" s="5" t="s">
        <v>1177</v>
      </c>
    </row>
    <row r="1130" ht="15.75" customHeight="1">
      <c r="A1130" s="5" t="s">
        <v>1178</v>
      </c>
    </row>
    <row r="1131" ht="15.75" customHeight="1">
      <c r="A1131" s="5" t="s">
        <v>1179</v>
      </c>
    </row>
    <row r="1132" ht="15.75" customHeight="1">
      <c r="A1132" s="5" t="s">
        <v>1180</v>
      </c>
    </row>
    <row r="1133" ht="15.75" customHeight="1">
      <c r="A1133" s="5" t="s">
        <v>1181</v>
      </c>
    </row>
    <row r="1134" ht="15.75" customHeight="1">
      <c r="A1134" s="5" t="s">
        <v>1182</v>
      </c>
    </row>
    <row r="1135" ht="15.75" customHeight="1">
      <c r="A1135" s="5" t="s">
        <v>1183</v>
      </c>
    </row>
    <row r="1136" ht="15.75" customHeight="1">
      <c r="A1136" s="5" t="s">
        <v>1184</v>
      </c>
    </row>
    <row r="1137" ht="15.75" customHeight="1">
      <c r="A1137" s="5" t="s">
        <v>1185</v>
      </c>
    </row>
    <row r="1138" ht="15.75" customHeight="1">
      <c r="A1138" s="5" t="s">
        <v>1186</v>
      </c>
    </row>
    <row r="1139" ht="15.75" customHeight="1">
      <c r="A1139" s="5" t="s">
        <v>1187</v>
      </c>
    </row>
    <row r="1140" ht="15.75" customHeight="1">
      <c r="A1140" s="5" t="s">
        <v>1188</v>
      </c>
    </row>
    <row r="1141" ht="15.75" customHeight="1">
      <c r="A1141" s="5" t="s">
        <v>1189</v>
      </c>
    </row>
    <row r="1142" ht="15.75" customHeight="1">
      <c r="A1142" s="5" t="s">
        <v>1190</v>
      </c>
    </row>
    <row r="1143" ht="15.75" customHeight="1">
      <c r="A1143" s="5" t="s">
        <v>1191</v>
      </c>
    </row>
    <row r="1144" ht="15.75" customHeight="1">
      <c r="A1144" s="5" t="s">
        <v>1192</v>
      </c>
    </row>
    <row r="1145" ht="15.75" customHeight="1">
      <c r="A1145" s="5" t="s">
        <v>1193</v>
      </c>
    </row>
    <row r="1146" ht="15.75" customHeight="1">
      <c r="A1146" s="5" t="s">
        <v>1194</v>
      </c>
    </row>
    <row r="1147" ht="15.75" customHeight="1">
      <c r="A1147" s="5" t="s">
        <v>1195</v>
      </c>
    </row>
    <row r="1148" ht="15.75" customHeight="1">
      <c r="A1148" s="5" t="s">
        <v>1196</v>
      </c>
    </row>
    <row r="1149" ht="15.75" customHeight="1">
      <c r="A1149" s="5" t="s">
        <v>1197</v>
      </c>
    </row>
    <row r="1150" ht="15.75" customHeight="1">
      <c r="A1150" s="5" t="s">
        <v>1198</v>
      </c>
    </row>
    <row r="1151" ht="15.75" customHeight="1">
      <c r="A1151" s="5" t="s">
        <v>1199</v>
      </c>
    </row>
    <row r="1152" ht="15.75" customHeight="1">
      <c r="A1152" s="5" t="s">
        <v>1200</v>
      </c>
    </row>
    <row r="1153" ht="15.75" customHeight="1">
      <c r="A1153" s="5" t="s">
        <v>1201</v>
      </c>
    </row>
    <row r="1154" ht="15.75" customHeight="1">
      <c r="A1154" s="5" t="s">
        <v>1202</v>
      </c>
    </row>
    <row r="1155" ht="15.75" customHeight="1">
      <c r="A1155" s="5" t="s">
        <v>1203</v>
      </c>
    </row>
    <row r="1156" ht="15.75" customHeight="1">
      <c r="A1156" s="5" t="s">
        <v>1204</v>
      </c>
    </row>
    <row r="1157" ht="15.75" customHeight="1">
      <c r="A1157" s="5" t="s">
        <v>1205</v>
      </c>
    </row>
    <row r="1158" ht="15.75" customHeight="1">
      <c r="A1158" s="5" t="s">
        <v>1206</v>
      </c>
    </row>
    <row r="1159" ht="15.75" customHeight="1">
      <c r="A1159" s="5" t="s">
        <v>1207</v>
      </c>
    </row>
    <row r="1160" ht="15.75" customHeight="1">
      <c r="A1160" s="5" t="s">
        <v>1208</v>
      </c>
    </row>
    <row r="1161" ht="15.75" customHeight="1">
      <c r="A1161" s="5" t="s">
        <v>1209</v>
      </c>
    </row>
    <row r="1162" ht="15.75" customHeight="1">
      <c r="A1162" s="5" t="s">
        <v>1210</v>
      </c>
    </row>
    <row r="1163" ht="15.75" customHeight="1">
      <c r="A1163" s="5" t="s">
        <v>1211</v>
      </c>
    </row>
    <row r="1164" ht="15.75" customHeight="1">
      <c r="A1164" s="5" t="s">
        <v>1212</v>
      </c>
    </row>
    <row r="1165" ht="15.75" customHeight="1">
      <c r="A1165" s="5" t="s">
        <v>1213</v>
      </c>
    </row>
    <row r="1166" ht="15.75" customHeight="1">
      <c r="A1166" s="5" t="s">
        <v>1214</v>
      </c>
    </row>
    <row r="1167" ht="15.75" customHeight="1">
      <c r="A1167" s="5" t="s">
        <v>1215</v>
      </c>
    </row>
    <row r="1168" ht="15.75" customHeight="1">
      <c r="A1168" s="5" t="s">
        <v>1216</v>
      </c>
    </row>
    <row r="1169" ht="15.75" customHeight="1">
      <c r="A1169" s="5" t="s">
        <v>1217</v>
      </c>
    </row>
    <row r="1170" ht="15.75" customHeight="1">
      <c r="A1170" s="5" t="s">
        <v>1218</v>
      </c>
    </row>
    <row r="1171" ht="15.75" customHeight="1">
      <c r="A1171" s="5" t="s">
        <v>1219</v>
      </c>
    </row>
    <row r="1172" ht="15.75" customHeight="1">
      <c r="A1172" s="5" t="s">
        <v>1220</v>
      </c>
    </row>
    <row r="1173" ht="15.75" customHeight="1">
      <c r="A1173" s="5" t="s">
        <v>1221</v>
      </c>
    </row>
    <row r="1174" ht="15.75" customHeight="1">
      <c r="A1174" s="5" t="s">
        <v>1222</v>
      </c>
    </row>
    <row r="1175" ht="15.75" customHeight="1">
      <c r="A1175" s="5" t="s">
        <v>1223</v>
      </c>
    </row>
    <row r="1176" ht="15.75" customHeight="1">
      <c r="A1176" s="5" t="s">
        <v>1224</v>
      </c>
    </row>
    <row r="1177" ht="15.75" customHeight="1">
      <c r="A1177" s="5" t="s">
        <v>1225</v>
      </c>
    </row>
    <row r="1178" ht="15.75" customHeight="1">
      <c r="A1178" s="5" t="s">
        <v>1226</v>
      </c>
    </row>
    <row r="1179" ht="15.75" customHeight="1">
      <c r="A1179" s="5" t="s">
        <v>1227</v>
      </c>
    </row>
    <row r="1180" ht="15.75" customHeight="1">
      <c r="A1180" s="5" t="s">
        <v>1228</v>
      </c>
    </row>
    <row r="1181" ht="15.75" customHeight="1">
      <c r="A1181" s="5" t="s">
        <v>1229</v>
      </c>
    </row>
    <row r="1182" ht="15.75" customHeight="1">
      <c r="A1182" s="5" t="s">
        <v>1230</v>
      </c>
    </row>
    <row r="1183" ht="15.75" customHeight="1">
      <c r="A1183" s="5" t="s">
        <v>1231</v>
      </c>
    </row>
    <row r="1184" ht="15.75" customHeight="1">
      <c r="A1184" s="5" t="s">
        <v>1232</v>
      </c>
    </row>
    <row r="1185" ht="15.75" customHeight="1">
      <c r="A1185" s="5" t="s">
        <v>1233</v>
      </c>
    </row>
    <row r="1186" ht="15.75" customHeight="1">
      <c r="A1186" s="5" t="s">
        <v>1234</v>
      </c>
    </row>
    <row r="1187" ht="15.75" customHeight="1">
      <c r="A1187" s="5" t="s">
        <v>1235</v>
      </c>
    </row>
    <row r="1188" ht="15.75" customHeight="1">
      <c r="A1188" s="5" t="s">
        <v>1236</v>
      </c>
    </row>
    <row r="1189" ht="15.75" customHeight="1">
      <c r="A1189" s="5" t="s">
        <v>1237</v>
      </c>
    </row>
    <row r="1190" ht="15.75" customHeight="1">
      <c r="A1190" s="5" t="s">
        <v>1238</v>
      </c>
    </row>
    <row r="1191" ht="15.75" customHeight="1">
      <c r="A1191" s="5" t="s">
        <v>1239</v>
      </c>
    </row>
    <row r="1192" ht="15.75" customHeight="1">
      <c r="A1192" s="5" t="s">
        <v>1240</v>
      </c>
    </row>
    <row r="1193" ht="15.75" customHeight="1">
      <c r="A1193" s="5" t="s">
        <v>1241</v>
      </c>
    </row>
    <row r="1194" ht="15.75" customHeight="1">
      <c r="A1194" s="5" t="s">
        <v>1242</v>
      </c>
    </row>
    <row r="1195" ht="15.75" customHeight="1">
      <c r="A1195" s="5" t="s">
        <v>1243</v>
      </c>
    </row>
    <row r="1196" ht="15.75" customHeight="1">
      <c r="A1196" s="5" t="s">
        <v>1244</v>
      </c>
    </row>
    <row r="1197" ht="15.75" customHeight="1">
      <c r="A1197" s="5" t="s">
        <v>1245</v>
      </c>
    </row>
    <row r="1198" ht="15.75" customHeight="1">
      <c r="A1198" s="5" t="s">
        <v>1246</v>
      </c>
    </row>
    <row r="1199" ht="15.75" customHeight="1">
      <c r="A1199" s="5" t="s">
        <v>1247</v>
      </c>
    </row>
    <row r="1200" ht="15.75" customHeight="1">
      <c r="A1200" s="5" t="s">
        <v>1248</v>
      </c>
    </row>
    <row r="1201" ht="15.75" customHeight="1">
      <c r="A1201" s="5" t="s">
        <v>1249</v>
      </c>
    </row>
    <row r="1202" ht="15.75" customHeight="1">
      <c r="A1202" s="5" t="s">
        <v>1250</v>
      </c>
    </row>
    <row r="1203" ht="15.75" customHeight="1">
      <c r="A1203" s="5" t="s">
        <v>1251</v>
      </c>
    </row>
    <row r="1204" ht="15.75" customHeight="1">
      <c r="A1204" s="5" t="s">
        <v>1252</v>
      </c>
    </row>
    <row r="1205" ht="15.75" customHeight="1">
      <c r="A1205" s="5" t="s">
        <v>1253</v>
      </c>
    </row>
    <row r="1206" ht="15.75" customHeight="1">
      <c r="A1206" s="5" t="s">
        <v>1254</v>
      </c>
    </row>
    <row r="1207" ht="15.75" customHeight="1">
      <c r="A1207" s="5" t="s">
        <v>1255</v>
      </c>
    </row>
    <row r="1208" ht="15.75" customHeight="1">
      <c r="A1208" s="5" t="s">
        <v>1256</v>
      </c>
    </row>
    <row r="1209" ht="15.75" customHeight="1">
      <c r="A1209" s="5" t="s">
        <v>1257</v>
      </c>
    </row>
    <row r="1210" ht="15.75" customHeight="1">
      <c r="A1210" s="5" t="s">
        <v>1258</v>
      </c>
    </row>
    <row r="1211" ht="15.75" customHeight="1">
      <c r="A1211" s="5" t="s">
        <v>1259</v>
      </c>
    </row>
    <row r="1212" ht="15.75" customHeight="1">
      <c r="A1212" s="5" t="s">
        <v>1260</v>
      </c>
    </row>
    <row r="1213" ht="15.75" customHeight="1">
      <c r="A1213" s="5" t="s">
        <v>1261</v>
      </c>
    </row>
    <row r="1214" ht="15.75" customHeight="1">
      <c r="A1214" s="5" t="s">
        <v>1262</v>
      </c>
    </row>
    <row r="1215" ht="15.75" customHeight="1">
      <c r="A1215" s="5" t="s">
        <v>1263</v>
      </c>
    </row>
    <row r="1216" ht="15.75" customHeight="1">
      <c r="A1216" s="5" t="s">
        <v>1264</v>
      </c>
    </row>
    <row r="1217" ht="15.75" customHeight="1">
      <c r="A1217" s="5" t="s">
        <v>1265</v>
      </c>
    </row>
    <row r="1218" ht="15.75" customHeight="1">
      <c r="A1218" s="5" t="s">
        <v>1266</v>
      </c>
    </row>
    <row r="1219" ht="15.75" customHeight="1">
      <c r="A1219" s="5" t="s">
        <v>1267</v>
      </c>
    </row>
    <row r="1220" ht="15.75" customHeight="1">
      <c r="A1220" s="5" t="s">
        <v>1268</v>
      </c>
    </row>
    <row r="1221" ht="15.75" customHeight="1">
      <c r="A1221" s="5" t="s">
        <v>1269</v>
      </c>
    </row>
    <row r="1222" ht="15.75" customHeight="1">
      <c r="A1222" s="5" t="s">
        <v>1270</v>
      </c>
    </row>
    <row r="1223" ht="15.75" customHeight="1">
      <c r="A1223" s="5" t="s">
        <v>1271</v>
      </c>
    </row>
    <row r="1224" ht="15.75" customHeight="1">
      <c r="A1224" s="5" t="s">
        <v>1272</v>
      </c>
    </row>
    <row r="1225" ht="15.75" customHeight="1">
      <c r="A1225" s="5" t="s">
        <v>1273</v>
      </c>
    </row>
    <row r="1226" ht="15.75" customHeight="1">
      <c r="A1226" s="5" t="s">
        <v>1274</v>
      </c>
    </row>
    <row r="1227" ht="15.75" customHeight="1">
      <c r="A1227" s="5" t="s">
        <v>1275</v>
      </c>
    </row>
    <row r="1228" ht="15.75" customHeight="1">
      <c r="A1228" s="5" t="s">
        <v>1276</v>
      </c>
    </row>
    <row r="1229" ht="15.75" customHeight="1">
      <c r="A1229" s="5" t="s">
        <v>1277</v>
      </c>
    </row>
    <row r="1230" ht="15.75" customHeight="1">
      <c r="A1230" s="5" t="s">
        <v>1278</v>
      </c>
    </row>
    <row r="1231" ht="15.75" customHeight="1">
      <c r="A1231" s="5" t="s">
        <v>1279</v>
      </c>
    </row>
    <row r="1232" ht="15.75" customHeight="1">
      <c r="A1232" s="5" t="s">
        <v>1280</v>
      </c>
    </row>
    <row r="1233" ht="15.75" customHeight="1">
      <c r="A1233" s="5" t="s">
        <v>1281</v>
      </c>
    </row>
    <row r="1234" ht="15.75" customHeight="1">
      <c r="A1234" s="5" t="s">
        <v>1282</v>
      </c>
    </row>
    <row r="1235" ht="15.75" customHeight="1">
      <c r="A1235" s="5" t="s">
        <v>1283</v>
      </c>
    </row>
    <row r="1236" ht="15.75" customHeight="1">
      <c r="A1236" s="5" t="s">
        <v>1284</v>
      </c>
    </row>
    <row r="1237" ht="15.75" customHeight="1">
      <c r="A1237" s="5" t="s">
        <v>1285</v>
      </c>
    </row>
    <row r="1238" ht="15.75" customHeight="1">
      <c r="A1238" s="5" t="s">
        <v>1286</v>
      </c>
    </row>
    <row r="1239" ht="15.75" customHeight="1">
      <c r="A1239" s="5" t="s">
        <v>1287</v>
      </c>
    </row>
    <row r="1240" ht="15.75" customHeight="1">
      <c r="A1240" s="5" t="s">
        <v>1288</v>
      </c>
    </row>
    <row r="1241" ht="15.75" customHeight="1">
      <c r="A1241" s="5" t="s">
        <v>1289</v>
      </c>
    </row>
    <row r="1242" ht="15.75" customHeight="1">
      <c r="A1242" s="5" t="s">
        <v>1290</v>
      </c>
    </row>
    <row r="1243" ht="15.75" customHeight="1">
      <c r="A1243" s="5" t="s">
        <v>1291</v>
      </c>
    </row>
    <row r="1244" ht="15.75" customHeight="1">
      <c r="A1244" s="5" t="s">
        <v>1292</v>
      </c>
    </row>
    <row r="1245" ht="15.75" customHeight="1">
      <c r="A1245" s="5" t="s">
        <v>1293</v>
      </c>
    </row>
    <row r="1246" ht="15.75" customHeight="1">
      <c r="A1246" s="5" t="s">
        <v>1294</v>
      </c>
    </row>
    <row r="1247" ht="15.75" customHeight="1">
      <c r="A1247" s="5" t="s">
        <v>1295</v>
      </c>
    </row>
    <row r="1248" ht="15.75" customHeight="1">
      <c r="A1248" s="5" t="s">
        <v>1296</v>
      </c>
    </row>
    <row r="1249" ht="15.75" customHeight="1">
      <c r="A1249" s="5" t="s">
        <v>1297</v>
      </c>
    </row>
    <row r="1250" ht="15.75" customHeight="1">
      <c r="A1250" s="5" t="s">
        <v>1298</v>
      </c>
    </row>
    <row r="1251" ht="15.75" customHeight="1">
      <c r="A1251" s="5" t="s">
        <v>1299</v>
      </c>
    </row>
    <row r="1252" ht="15.75" customHeight="1">
      <c r="A1252" s="5" t="s">
        <v>1300</v>
      </c>
    </row>
    <row r="1253" ht="15.75" customHeight="1">
      <c r="A1253" s="5" t="s">
        <v>1301</v>
      </c>
    </row>
    <row r="1254" ht="15.75" customHeight="1">
      <c r="A1254" s="5" t="s">
        <v>1302</v>
      </c>
    </row>
    <row r="1255" ht="15.75" customHeight="1">
      <c r="A1255" s="5" t="s">
        <v>1303</v>
      </c>
    </row>
    <row r="1256" ht="15.75" customHeight="1">
      <c r="A1256" s="5" t="s">
        <v>1304</v>
      </c>
    </row>
    <row r="1257" ht="15.75" customHeight="1">
      <c r="A1257" s="5" t="s">
        <v>1305</v>
      </c>
    </row>
    <row r="1258" ht="15.75" customHeight="1">
      <c r="A1258" s="5" t="s">
        <v>1306</v>
      </c>
    </row>
    <row r="1259" ht="15.75" customHeight="1">
      <c r="A1259" s="5" t="s">
        <v>1307</v>
      </c>
    </row>
    <row r="1260" ht="15.75" customHeight="1">
      <c r="A1260" s="5" t="s">
        <v>1308</v>
      </c>
    </row>
    <row r="1261" ht="15.75" customHeight="1">
      <c r="A1261" s="5" t="s">
        <v>1309</v>
      </c>
    </row>
    <row r="1262" ht="15.75" customHeight="1">
      <c r="A1262" s="5" t="s">
        <v>1310</v>
      </c>
    </row>
    <row r="1263" ht="15.75" customHeight="1">
      <c r="A1263" s="5" t="s">
        <v>1311</v>
      </c>
    </row>
    <row r="1264" ht="15.75" customHeight="1">
      <c r="A1264" s="5" t="s">
        <v>1312</v>
      </c>
    </row>
    <row r="1265" ht="15.75" customHeight="1">
      <c r="A1265" s="5" t="s">
        <v>1313</v>
      </c>
    </row>
    <row r="1266" ht="15.75" customHeight="1">
      <c r="A1266" s="5" t="s">
        <v>1314</v>
      </c>
    </row>
    <row r="1267" ht="15.75" customHeight="1">
      <c r="A1267" s="5" t="s">
        <v>1315</v>
      </c>
    </row>
    <row r="1268" ht="15.75" customHeight="1">
      <c r="A1268" s="5" t="s">
        <v>1316</v>
      </c>
    </row>
    <row r="1269" ht="15.75" customHeight="1">
      <c r="A1269" s="5" t="s">
        <v>1317</v>
      </c>
    </row>
    <row r="1270" ht="15.75" customHeight="1">
      <c r="A1270" s="5" t="s">
        <v>1318</v>
      </c>
    </row>
    <row r="1271" ht="15.75" customHeight="1">
      <c r="A1271" s="5" t="s">
        <v>1319</v>
      </c>
    </row>
    <row r="1272" ht="15.75" customHeight="1">
      <c r="A1272" s="5" t="s">
        <v>1320</v>
      </c>
    </row>
    <row r="1273" ht="15.75" customHeight="1">
      <c r="A1273" s="5" t="s">
        <v>1321</v>
      </c>
    </row>
    <row r="1274" ht="15.75" customHeight="1">
      <c r="A1274" s="5" t="s">
        <v>1322</v>
      </c>
    </row>
    <row r="1275" ht="15.75" customHeight="1">
      <c r="A1275" s="5" t="s">
        <v>1323</v>
      </c>
    </row>
    <row r="1276" ht="15.75" customHeight="1">
      <c r="A1276" s="5" t="s">
        <v>1324</v>
      </c>
    </row>
    <row r="1277" ht="15.75" customHeight="1">
      <c r="A1277" s="5" t="s">
        <v>1325</v>
      </c>
    </row>
    <row r="1278" ht="15.75" customHeight="1">
      <c r="A1278" s="5" t="s">
        <v>1326</v>
      </c>
    </row>
    <row r="1279" ht="15.75" customHeight="1">
      <c r="A1279" s="5" t="s">
        <v>1327</v>
      </c>
    </row>
    <row r="1280" ht="15.75" customHeight="1">
      <c r="A1280" s="5" t="s">
        <v>1328</v>
      </c>
    </row>
    <row r="1281" ht="15.75" customHeight="1">
      <c r="A1281" s="5" t="s">
        <v>1329</v>
      </c>
    </row>
    <row r="1282" ht="15.75" customHeight="1">
      <c r="A1282" s="5" t="s">
        <v>1330</v>
      </c>
    </row>
    <row r="1283" ht="15.75" customHeight="1">
      <c r="A1283" s="5" t="s">
        <v>1331</v>
      </c>
    </row>
    <row r="1284" ht="15.75" customHeight="1">
      <c r="A1284" s="5" t="s">
        <v>1332</v>
      </c>
    </row>
    <row r="1285" ht="15.75" customHeight="1">
      <c r="A1285" s="5" t="s">
        <v>1333</v>
      </c>
    </row>
    <row r="1286" ht="15.75" customHeight="1">
      <c r="A1286" s="5" t="s">
        <v>1334</v>
      </c>
    </row>
    <row r="1287" ht="15.75" customHeight="1">
      <c r="A1287" s="5" t="s">
        <v>1335</v>
      </c>
    </row>
    <row r="1288" ht="15.75" customHeight="1">
      <c r="A1288" s="5" t="s">
        <v>1336</v>
      </c>
    </row>
    <row r="1289" ht="15.75" customHeight="1">
      <c r="A1289" s="5" t="s">
        <v>1337</v>
      </c>
    </row>
    <row r="1290" ht="15.75" customHeight="1">
      <c r="A1290" s="5" t="s">
        <v>1338</v>
      </c>
    </row>
    <row r="1291" ht="15.75" customHeight="1">
      <c r="A1291" s="5" t="s">
        <v>1339</v>
      </c>
    </row>
    <row r="1292" ht="15.75" customHeight="1">
      <c r="A1292" s="5" t="s">
        <v>1340</v>
      </c>
    </row>
    <row r="1293" ht="15.75" customHeight="1">
      <c r="A1293" s="5" t="s">
        <v>1341</v>
      </c>
    </row>
    <row r="1294" ht="15.75" customHeight="1">
      <c r="A1294" s="5" t="s">
        <v>1342</v>
      </c>
    </row>
    <row r="1295" ht="15.75" customHeight="1">
      <c r="A1295" s="5" t="s">
        <v>1343</v>
      </c>
    </row>
    <row r="1296" ht="15.75" customHeight="1">
      <c r="A1296" s="5" t="s">
        <v>1344</v>
      </c>
    </row>
    <row r="1297" ht="15.75" customHeight="1">
      <c r="A1297" s="5" t="s">
        <v>1345</v>
      </c>
    </row>
    <row r="1298" ht="15.75" customHeight="1">
      <c r="A1298" s="5" t="s">
        <v>1346</v>
      </c>
    </row>
    <row r="1299" ht="15.75" customHeight="1">
      <c r="A1299" s="5" t="s">
        <v>1347</v>
      </c>
    </row>
    <row r="1300" ht="15.75" customHeight="1">
      <c r="A1300" s="5" t="s">
        <v>1348</v>
      </c>
    </row>
    <row r="1301" ht="15.75" customHeight="1">
      <c r="A1301" s="5" t="s">
        <v>1349</v>
      </c>
    </row>
    <row r="1302" ht="15.75" customHeight="1">
      <c r="A1302" s="5" t="s">
        <v>1350</v>
      </c>
    </row>
    <row r="1303" ht="15.75" customHeight="1">
      <c r="A1303" s="5" t="s">
        <v>1351</v>
      </c>
    </row>
    <row r="1304" ht="15.75" customHeight="1">
      <c r="A1304" s="5" t="s">
        <v>1352</v>
      </c>
    </row>
    <row r="1305" ht="15.75" customHeight="1">
      <c r="A1305" s="5" t="s">
        <v>1353</v>
      </c>
    </row>
    <row r="1306" ht="15.75" customHeight="1">
      <c r="A1306" s="5" t="s">
        <v>1354</v>
      </c>
    </row>
    <row r="1307" ht="15.75" customHeight="1">
      <c r="A1307" s="5" t="s">
        <v>1355</v>
      </c>
    </row>
    <row r="1308" ht="15.75" customHeight="1">
      <c r="A1308" s="5" t="s">
        <v>1356</v>
      </c>
    </row>
    <row r="1309" ht="15.75" customHeight="1">
      <c r="A1309" s="5" t="s">
        <v>1357</v>
      </c>
    </row>
    <row r="1310" ht="15.75" customHeight="1">
      <c r="A1310" s="5" t="s">
        <v>1358</v>
      </c>
    </row>
    <row r="1311" ht="15.75" customHeight="1">
      <c r="A1311" s="5" t="s">
        <v>1359</v>
      </c>
    </row>
    <row r="1312" ht="15.75" customHeight="1">
      <c r="A1312" s="5" t="s">
        <v>1360</v>
      </c>
    </row>
    <row r="1313" ht="15.75" customHeight="1">
      <c r="A1313" s="5" t="s">
        <v>1361</v>
      </c>
    </row>
    <row r="1314" ht="15.75" customHeight="1">
      <c r="A1314" s="5" t="s">
        <v>1362</v>
      </c>
    </row>
    <row r="1315" ht="15.75" customHeight="1">
      <c r="A1315" s="5" t="s">
        <v>1363</v>
      </c>
    </row>
    <row r="1316" ht="15.75" customHeight="1">
      <c r="A1316" s="5" t="s">
        <v>1364</v>
      </c>
    </row>
    <row r="1317" ht="15.75" customHeight="1">
      <c r="A1317" s="5" t="s">
        <v>1365</v>
      </c>
    </row>
    <row r="1318" ht="15.75" customHeight="1">
      <c r="A1318" s="5" t="s">
        <v>1366</v>
      </c>
    </row>
    <row r="1319" ht="15.75" customHeight="1">
      <c r="A1319" s="5" t="s">
        <v>1367</v>
      </c>
    </row>
    <row r="1320" ht="15.75" customHeight="1">
      <c r="A1320" s="5"/>
    </row>
    <row r="1321" ht="15.75" customHeight="1">
      <c r="A1321" s="5" t="s">
        <v>1368</v>
      </c>
    </row>
    <row r="1322" ht="15.75" customHeight="1">
      <c r="A1322" s="5"/>
    </row>
    <row r="1323" ht="15.75" customHeight="1">
      <c r="A1323" s="5" t="s">
        <v>1369</v>
      </c>
    </row>
    <row r="1324" ht="15.75" customHeight="1">
      <c r="A1324" s="5" t="s">
        <v>1370</v>
      </c>
    </row>
    <row r="1325" ht="15.75" customHeight="1">
      <c r="A1325" s="5" t="s">
        <v>1371</v>
      </c>
    </row>
    <row r="1326" ht="15.75" customHeight="1">
      <c r="A1326" s="5" t="s">
        <v>1372</v>
      </c>
    </row>
    <row r="1327" ht="15.75" customHeight="1">
      <c r="A1327" s="5" t="s">
        <v>1373</v>
      </c>
    </row>
    <row r="1328" ht="15.75" customHeight="1">
      <c r="A1328" s="5" t="s">
        <v>1374</v>
      </c>
    </row>
    <row r="1329" ht="15.75" customHeight="1">
      <c r="A1329" s="5" t="s">
        <v>1375</v>
      </c>
    </row>
    <row r="1330" ht="15.75" customHeight="1">
      <c r="A1330" s="5" t="s">
        <v>1376</v>
      </c>
    </row>
    <row r="1331" ht="15.75" customHeight="1">
      <c r="A1331" s="5" t="s">
        <v>1377</v>
      </c>
    </row>
    <row r="1332" ht="15.75" customHeight="1">
      <c r="A1332" s="5" t="s">
        <v>1378</v>
      </c>
    </row>
    <row r="1333" ht="15.75" customHeight="1">
      <c r="A1333" s="5" t="s">
        <v>1379</v>
      </c>
    </row>
    <row r="1334" ht="15.75" customHeight="1">
      <c r="A1334" s="5" t="s">
        <v>1380</v>
      </c>
    </row>
    <row r="1335" ht="15.75" customHeight="1">
      <c r="A1335" s="5" t="s">
        <v>1381</v>
      </c>
    </row>
    <row r="1336" ht="15.75" customHeight="1">
      <c r="A1336" s="5" t="s">
        <v>1382</v>
      </c>
    </row>
    <row r="1337" ht="15.75" customHeight="1">
      <c r="A1337" s="5" t="s">
        <v>1383</v>
      </c>
    </row>
    <row r="1338" ht="15.75" customHeight="1">
      <c r="A1338" s="5" t="s">
        <v>1384</v>
      </c>
    </row>
    <row r="1339" ht="15.75" customHeight="1">
      <c r="A1339" s="5" t="s">
        <v>1385</v>
      </c>
    </row>
    <row r="1340" ht="15.75" customHeight="1">
      <c r="A1340" s="5" t="s">
        <v>1386</v>
      </c>
    </row>
    <row r="1341" ht="15.75" customHeight="1">
      <c r="A1341" s="5" t="s">
        <v>1387</v>
      </c>
    </row>
    <row r="1342" ht="15.75" customHeight="1">
      <c r="A1342" s="5" t="s">
        <v>1388</v>
      </c>
    </row>
    <row r="1343" ht="15.75" customHeight="1">
      <c r="A1343" s="5" t="s">
        <v>1389</v>
      </c>
    </row>
    <row r="1344" ht="15.75" customHeight="1">
      <c r="A1344" s="5" t="s">
        <v>1390</v>
      </c>
    </row>
    <row r="1345" ht="15.75" customHeight="1">
      <c r="A1345" s="5" t="s">
        <v>1391</v>
      </c>
    </row>
    <row r="1346" ht="15.75" customHeight="1">
      <c r="A1346" s="5" t="s">
        <v>1392</v>
      </c>
    </row>
    <row r="1347" ht="15.75" customHeight="1">
      <c r="A1347" s="5" t="s">
        <v>1393</v>
      </c>
    </row>
    <row r="1348" ht="15.75" customHeight="1">
      <c r="A1348" s="5" t="s">
        <v>1394</v>
      </c>
    </row>
    <row r="1349" ht="15.75" customHeight="1">
      <c r="A1349" s="5" t="s">
        <v>1395</v>
      </c>
    </row>
    <row r="1350" ht="15.75" customHeight="1">
      <c r="A1350" s="5" t="s">
        <v>1396</v>
      </c>
    </row>
    <row r="1351" ht="15.75" customHeight="1">
      <c r="A1351" s="5" t="s">
        <v>1397</v>
      </c>
    </row>
    <row r="1352" ht="15.75" customHeight="1">
      <c r="A1352" s="5" t="s">
        <v>1398</v>
      </c>
    </row>
    <row r="1353" ht="15.75" customHeight="1">
      <c r="A1353" s="5" t="s">
        <v>1399</v>
      </c>
    </row>
    <row r="1354" ht="15.75" customHeight="1">
      <c r="A1354" s="5" t="s">
        <v>1400</v>
      </c>
    </row>
    <row r="1355" ht="15.75" customHeight="1">
      <c r="A1355" s="5" t="s">
        <v>1401</v>
      </c>
    </row>
    <row r="1356" ht="15.75" customHeight="1">
      <c r="A1356" s="5" t="s">
        <v>1402</v>
      </c>
    </row>
    <row r="1357" ht="15.75" customHeight="1">
      <c r="A1357" s="5" t="s">
        <v>1403</v>
      </c>
    </row>
    <row r="1358" ht="15.75" customHeight="1">
      <c r="A1358" s="5" t="s">
        <v>1404</v>
      </c>
    </row>
    <row r="1359" ht="15.75" customHeight="1">
      <c r="A1359" s="5" t="s">
        <v>1405</v>
      </c>
    </row>
    <row r="1360" ht="15.75" customHeight="1">
      <c r="A1360" s="5" t="s">
        <v>1406</v>
      </c>
    </row>
    <row r="1361" ht="15.75" customHeight="1">
      <c r="A1361" s="5" t="s">
        <v>1407</v>
      </c>
    </row>
    <row r="1362" ht="15.75" customHeight="1">
      <c r="A1362" s="5" t="s">
        <v>1408</v>
      </c>
    </row>
    <row r="1363" ht="15.75" customHeight="1">
      <c r="A1363" s="5" t="s">
        <v>1409</v>
      </c>
    </row>
    <row r="1364" ht="15.75" customHeight="1">
      <c r="A1364" s="5" t="s">
        <v>1410</v>
      </c>
    </row>
    <row r="1365" ht="15.75" customHeight="1">
      <c r="A1365" s="5" t="s">
        <v>1411</v>
      </c>
    </row>
    <row r="1366" ht="15.75" customHeight="1">
      <c r="A1366" s="5" t="s">
        <v>1412</v>
      </c>
    </row>
    <row r="1367" ht="15.75" customHeight="1">
      <c r="A1367" s="5" t="s">
        <v>1413</v>
      </c>
    </row>
    <row r="1368" ht="15.75" customHeight="1">
      <c r="A1368" s="5" t="s">
        <v>1414</v>
      </c>
    </row>
    <row r="1369" ht="15.75" customHeight="1">
      <c r="A1369" s="5" t="s">
        <v>1415</v>
      </c>
    </row>
    <row r="1370" ht="15.75" customHeight="1">
      <c r="A1370" s="5" t="s">
        <v>1416</v>
      </c>
    </row>
    <row r="1371" ht="15.75" customHeight="1">
      <c r="A1371" s="5" t="s">
        <v>1417</v>
      </c>
    </row>
    <row r="1372" ht="15.75" customHeight="1">
      <c r="A1372" s="5" t="s">
        <v>1418</v>
      </c>
    </row>
    <row r="1373" ht="15.75" customHeight="1">
      <c r="A1373" s="5" t="s">
        <v>1419</v>
      </c>
    </row>
    <row r="1374" ht="15.75" customHeight="1">
      <c r="A1374" s="5" t="s">
        <v>1420</v>
      </c>
    </row>
    <row r="1375" ht="15.75" customHeight="1">
      <c r="A1375" s="5" t="s">
        <v>1421</v>
      </c>
    </row>
    <row r="1376" ht="15.75" customHeight="1">
      <c r="A1376" s="5" t="s">
        <v>1422</v>
      </c>
    </row>
    <row r="1377" ht="15.75" customHeight="1">
      <c r="A1377" s="5" t="s">
        <v>1423</v>
      </c>
    </row>
    <row r="1378" ht="15.75" customHeight="1">
      <c r="A1378" s="5" t="s">
        <v>1424</v>
      </c>
    </row>
    <row r="1379" ht="15.75" customHeight="1">
      <c r="A1379" s="5" t="s">
        <v>1425</v>
      </c>
    </row>
    <row r="1380" ht="15.75" customHeight="1">
      <c r="A1380" s="5" t="s">
        <v>1426</v>
      </c>
    </row>
    <row r="1381" ht="15.75" customHeight="1">
      <c r="A1381" s="5" t="s">
        <v>1427</v>
      </c>
    </row>
    <row r="1382" ht="15.75" customHeight="1">
      <c r="A1382" s="5" t="s">
        <v>1428</v>
      </c>
    </row>
    <row r="1383" ht="15.75" customHeight="1">
      <c r="A1383" s="5" t="s">
        <v>1429</v>
      </c>
    </row>
    <row r="1384" ht="15.75" customHeight="1">
      <c r="A1384" s="5" t="s">
        <v>1430</v>
      </c>
    </row>
    <row r="1385" ht="15.75" customHeight="1">
      <c r="A1385" s="5" t="s">
        <v>1431</v>
      </c>
    </row>
    <row r="1386" ht="15.75" customHeight="1">
      <c r="A1386" s="5" t="s">
        <v>1432</v>
      </c>
    </row>
    <row r="1387" ht="15.75" customHeight="1">
      <c r="A1387" s="5" t="s">
        <v>1433</v>
      </c>
    </row>
    <row r="1388" ht="15.75" customHeight="1">
      <c r="A1388" s="5" t="s">
        <v>1434</v>
      </c>
    </row>
    <row r="1389" ht="15.75" customHeight="1">
      <c r="A1389" s="5" t="s">
        <v>1435</v>
      </c>
    </row>
    <row r="1390" ht="15.75" customHeight="1">
      <c r="A1390" s="5" t="s">
        <v>1436</v>
      </c>
    </row>
    <row r="1391" ht="15.75" customHeight="1">
      <c r="A1391" s="5" t="s">
        <v>1437</v>
      </c>
    </row>
    <row r="1392" ht="15.75" customHeight="1">
      <c r="A1392" s="5" t="s">
        <v>1438</v>
      </c>
    </row>
    <row r="1393" ht="15.75" customHeight="1">
      <c r="A1393" s="5" t="s">
        <v>1439</v>
      </c>
    </row>
    <row r="1394" ht="15.75" customHeight="1">
      <c r="A1394" s="5" t="s">
        <v>1440</v>
      </c>
    </row>
    <row r="1395" ht="15.75" customHeight="1">
      <c r="A1395" s="5" t="s">
        <v>1441</v>
      </c>
    </row>
    <row r="1396" ht="15.75" customHeight="1">
      <c r="A1396" s="5" t="s">
        <v>1442</v>
      </c>
    </row>
    <row r="1397" ht="15.75" customHeight="1">
      <c r="A1397" s="5" t="s">
        <v>1443</v>
      </c>
    </row>
    <row r="1398" ht="15.75" customHeight="1">
      <c r="A1398" s="5" t="s">
        <v>1444</v>
      </c>
    </row>
    <row r="1399" ht="15.75" customHeight="1">
      <c r="A1399" s="5" t="s">
        <v>1445</v>
      </c>
    </row>
    <row r="1400" ht="15.75" customHeight="1">
      <c r="A1400" s="5" t="s">
        <v>1446</v>
      </c>
    </row>
    <row r="1401" ht="15.75" customHeight="1">
      <c r="A1401" s="5" t="s">
        <v>1447</v>
      </c>
    </row>
    <row r="1402" ht="15.75" customHeight="1">
      <c r="A1402" s="5" t="s">
        <v>1448</v>
      </c>
    </row>
    <row r="1403" ht="15.75" customHeight="1">
      <c r="A1403" s="5" t="s">
        <v>1449</v>
      </c>
    </row>
    <row r="1404" ht="15.75" customHeight="1">
      <c r="A1404" s="5" t="s">
        <v>1450</v>
      </c>
    </row>
    <row r="1405" ht="15.75" customHeight="1">
      <c r="A1405" s="5" t="s">
        <v>1451</v>
      </c>
    </row>
    <row r="1406" ht="15.75" customHeight="1">
      <c r="A1406" s="5" t="s">
        <v>1452</v>
      </c>
    </row>
    <row r="1407" ht="15.75" customHeight="1">
      <c r="A1407" s="5" t="s">
        <v>1453</v>
      </c>
    </row>
    <row r="1408" ht="15.75" customHeight="1">
      <c r="A1408" s="5" t="s">
        <v>1454</v>
      </c>
    </row>
    <row r="1409" ht="15.75" customHeight="1">
      <c r="A1409" s="5" t="s">
        <v>1455</v>
      </c>
    </row>
    <row r="1410" ht="15.75" customHeight="1">
      <c r="A1410" s="5" t="s">
        <v>1456</v>
      </c>
    </row>
    <row r="1411" ht="15.75" customHeight="1">
      <c r="A1411" s="5" t="s">
        <v>1457</v>
      </c>
    </row>
    <row r="1412" ht="15.75" customHeight="1">
      <c r="A1412" s="5" t="s">
        <v>1458</v>
      </c>
    </row>
    <row r="1413" ht="15.75" customHeight="1">
      <c r="A1413" s="5" t="s">
        <v>1459</v>
      </c>
    </row>
    <row r="1414" ht="15.75" customHeight="1">
      <c r="A1414" s="5" t="s">
        <v>1460</v>
      </c>
    </row>
    <row r="1415" ht="15.75" customHeight="1">
      <c r="A1415" s="5" t="s">
        <v>1461</v>
      </c>
    </row>
    <row r="1416" ht="15.75" customHeight="1">
      <c r="A1416" s="5" t="s">
        <v>1462</v>
      </c>
    </row>
    <row r="1417" ht="15.75" customHeight="1">
      <c r="A1417" s="5" t="s">
        <v>1463</v>
      </c>
    </row>
    <row r="1418" ht="15.75" customHeight="1">
      <c r="A1418" s="5" t="s">
        <v>1464</v>
      </c>
    </row>
    <row r="1419" ht="15.75" customHeight="1">
      <c r="A1419" s="5" t="s">
        <v>1465</v>
      </c>
    </row>
    <row r="1420" ht="15.75" customHeight="1">
      <c r="A1420" s="5" t="s">
        <v>1466</v>
      </c>
    </row>
    <row r="1421" ht="15.75" customHeight="1">
      <c r="A1421" s="5" t="s">
        <v>1467</v>
      </c>
    </row>
    <row r="1422" ht="15.75" customHeight="1">
      <c r="A1422" s="5" t="s">
        <v>1468</v>
      </c>
    </row>
    <row r="1423" ht="15.75" customHeight="1">
      <c r="A1423" s="5" t="s">
        <v>1469</v>
      </c>
    </row>
    <row r="1424" ht="15.75" customHeight="1">
      <c r="A1424" s="5" t="s">
        <v>1470</v>
      </c>
    </row>
    <row r="1425" ht="15.75" customHeight="1">
      <c r="A1425" s="5" t="s">
        <v>1471</v>
      </c>
    </row>
    <row r="1426" ht="15.75" customHeight="1">
      <c r="A1426" s="5" t="s">
        <v>1472</v>
      </c>
    </row>
    <row r="1427" ht="15.75" customHeight="1">
      <c r="A1427" s="5" t="s">
        <v>1473</v>
      </c>
    </row>
    <row r="1428" ht="15.75" customHeight="1">
      <c r="A1428" s="5" t="s">
        <v>1474</v>
      </c>
    </row>
    <row r="1429" ht="15.75" customHeight="1">
      <c r="A1429" s="5" t="s">
        <v>1475</v>
      </c>
    </row>
    <row r="1430" ht="15.75" customHeight="1">
      <c r="A1430" s="5" t="s">
        <v>1476</v>
      </c>
    </row>
    <row r="1431" ht="15.75" customHeight="1">
      <c r="A1431" s="5" t="s">
        <v>1477</v>
      </c>
    </row>
    <row r="1432" ht="15.75" customHeight="1">
      <c r="A1432" s="5" t="s">
        <v>1478</v>
      </c>
    </row>
    <row r="1433" ht="15.75" customHeight="1">
      <c r="A1433" s="5" t="s">
        <v>1479</v>
      </c>
    </row>
    <row r="1434" ht="15.75" customHeight="1">
      <c r="A1434" s="5" t="s">
        <v>1480</v>
      </c>
    </row>
    <row r="1435" ht="15.75" customHeight="1">
      <c r="A1435" s="5" t="s">
        <v>1481</v>
      </c>
    </row>
    <row r="1436" ht="15.75" customHeight="1">
      <c r="A1436" s="5" t="s">
        <v>1482</v>
      </c>
    </row>
    <row r="1437" ht="15.75" customHeight="1">
      <c r="A1437" s="5" t="s">
        <v>1483</v>
      </c>
    </row>
    <row r="1438" ht="15.75" customHeight="1">
      <c r="A1438" s="5" t="s">
        <v>1484</v>
      </c>
    </row>
    <row r="1439" ht="15.75" customHeight="1">
      <c r="A1439" s="5" t="s">
        <v>1485</v>
      </c>
    </row>
    <row r="1440" ht="15.75" customHeight="1">
      <c r="A1440" s="5" t="s">
        <v>1486</v>
      </c>
    </row>
    <row r="1441" ht="15.75" customHeight="1">
      <c r="A1441" s="5" t="s">
        <v>1487</v>
      </c>
    </row>
    <row r="1442" ht="15.75" customHeight="1">
      <c r="A1442" s="5" t="s">
        <v>1488</v>
      </c>
    </row>
    <row r="1443" ht="15.75" customHeight="1">
      <c r="A1443" s="5" t="s">
        <v>1489</v>
      </c>
    </row>
    <row r="1444" ht="15.75" customHeight="1">
      <c r="A1444" s="5" t="s">
        <v>1490</v>
      </c>
    </row>
    <row r="1445" ht="15.75" customHeight="1">
      <c r="A1445" s="5" t="s">
        <v>1491</v>
      </c>
    </row>
    <row r="1446" ht="15.75" customHeight="1">
      <c r="A1446" s="5" t="s">
        <v>1492</v>
      </c>
    </row>
    <row r="1447" ht="15.75" customHeight="1">
      <c r="A1447" s="5" t="s">
        <v>1493</v>
      </c>
    </row>
    <row r="1448" ht="15.75" customHeight="1">
      <c r="A1448" s="5" t="s">
        <v>1494</v>
      </c>
    </row>
    <row r="1449" ht="15.75" customHeight="1">
      <c r="A1449" s="5" t="s">
        <v>1495</v>
      </c>
    </row>
    <row r="1450" ht="15.75" customHeight="1">
      <c r="A1450" s="5" t="s">
        <v>1496</v>
      </c>
    </row>
    <row r="1451" ht="15.75" customHeight="1">
      <c r="A1451" s="5" t="s">
        <v>1497</v>
      </c>
    </row>
    <row r="1452" ht="15.75" customHeight="1">
      <c r="A1452" s="5" t="s">
        <v>1498</v>
      </c>
    </row>
    <row r="1453" ht="15.75" customHeight="1">
      <c r="A1453" s="5" t="s">
        <v>1499</v>
      </c>
    </row>
    <row r="1454" ht="15.75" customHeight="1">
      <c r="A1454" s="5" t="s">
        <v>1500</v>
      </c>
    </row>
    <row r="1455" ht="15.75" customHeight="1">
      <c r="A1455" s="5" t="s">
        <v>1501</v>
      </c>
    </row>
    <row r="1456" ht="15.75" customHeight="1">
      <c r="A1456" s="5" t="s">
        <v>1502</v>
      </c>
    </row>
    <row r="1457" ht="15.75" customHeight="1">
      <c r="A1457" s="5" t="s">
        <v>1503</v>
      </c>
    </row>
    <row r="1458" ht="15.75" customHeight="1">
      <c r="A1458" s="5" t="s">
        <v>1504</v>
      </c>
    </row>
    <row r="1459" ht="15.75" customHeight="1">
      <c r="A1459" s="5" t="s">
        <v>1505</v>
      </c>
    </row>
    <row r="1460" ht="15.75" customHeight="1">
      <c r="A1460" s="5" t="s">
        <v>1506</v>
      </c>
    </row>
    <row r="1461" ht="15.75" customHeight="1">
      <c r="A1461" s="5" t="s">
        <v>1507</v>
      </c>
    </row>
    <row r="1462" ht="15.75" customHeight="1">
      <c r="A1462" s="5" t="s">
        <v>1508</v>
      </c>
    </row>
    <row r="1463" ht="15.75" customHeight="1">
      <c r="A1463" s="5" t="s">
        <v>1509</v>
      </c>
    </row>
    <row r="1464" ht="15.75" customHeight="1">
      <c r="A1464" s="5" t="s">
        <v>1510</v>
      </c>
    </row>
    <row r="1465" ht="15.75" customHeight="1">
      <c r="A1465" s="5" t="s">
        <v>1511</v>
      </c>
    </row>
    <row r="1466" ht="15.75" customHeight="1">
      <c r="A1466" s="5" t="s">
        <v>1512</v>
      </c>
    </row>
    <row r="1467" ht="15.75" customHeight="1">
      <c r="A1467" s="5" t="s">
        <v>1513</v>
      </c>
    </row>
    <row r="1468" ht="15.75" customHeight="1">
      <c r="A1468" s="5" t="s">
        <v>1514</v>
      </c>
    </row>
    <row r="1469" ht="15.75" customHeight="1">
      <c r="A1469" s="5" t="s">
        <v>1515</v>
      </c>
    </row>
    <row r="1470" ht="15.75" customHeight="1">
      <c r="A1470" s="5" t="s">
        <v>1516</v>
      </c>
    </row>
    <row r="1471" ht="15.75" customHeight="1">
      <c r="A1471" s="5" t="s">
        <v>1517</v>
      </c>
    </row>
    <row r="1472" ht="15.75" customHeight="1">
      <c r="A1472" s="5" t="s">
        <v>1518</v>
      </c>
    </row>
    <row r="1473" ht="15.75" customHeight="1">
      <c r="A1473" s="5" t="s">
        <v>1519</v>
      </c>
    </row>
    <row r="1474" ht="15.75" customHeight="1">
      <c r="A1474" s="5" t="s">
        <v>1520</v>
      </c>
    </row>
    <row r="1475" ht="15.75" customHeight="1">
      <c r="A1475" s="5" t="s">
        <v>1521</v>
      </c>
    </row>
    <row r="1476" ht="15.75" customHeight="1">
      <c r="A1476" s="5" t="s">
        <v>1522</v>
      </c>
    </row>
    <row r="1477" ht="15.75" customHeight="1">
      <c r="A1477" s="5" t="s">
        <v>1523</v>
      </c>
    </row>
    <row r="1478" ht="15.75" customHeight="1">
      <c r="A1478" s="5" t="s">
        <v>1524</v>
      </c>
    </row>
    <row r="1479" ht="15.75" customHeight="1">
      <c r="A1479" s="5" t="s">
        <v>1525</v>
      </c>
    </row>
    <row r="1480" ht="15.75" customHeight="1">
      <c r="A1480" s="5" t="s">
        <v>1526</v>
      </c>
    </row>
    <row r="1481" ht="15.75" customHeight="1">
      <c r="A1481" s="5" t="s">
        <v>1527</v>
      </c>
    </row>
    <row r="1482" ht="15.75" customHeight="1">
      <c r="A1482" s="5" t="s">
        <v>1528</v>
      </c>
    </row>
    <row r="1483" ht="15.75" customHeight="1">
      <c r="A1483" s="5" t="s">
        <v>1529</v>
      </c>
    </row>
    <row r="1484" ht="15.75" customHeight="1">
      <c r="A1484" s="5" t="s">
        <v>1530</v>
      </c>
    </row>
    <row r="1485" ht="15.75" customHeight="1">
      <c r="A1485" s="5" t="s">
        <v>1531</v>
      </c>
    </row>
    <row r="1486" ht="15.75" customHeight="1">
      <c r="A1486" s="5" t="s">
        <v>1532</v>
      </c>
    </row>
    <row r="1487" ht="15.75" customHeight="1">
      <c r="A1487" s="5" t="s">
        <v>1533</v>
      </c>
    </row>
    <row r="1488" ht="15.75" customHeight="1">
      <c r="A1488" s="5" t="s">
        <v>1534</v>
      </c>
    </row>
    <row r="1489" ht="15.75" customHeight="1">
      <c r="A1489" s="5" t="s">
        <v>1535</v>
      </c>
    </row>
    <row r="1490" ht="15.75" customHeight="1">
      <c r="A1490" s="5" t="s">
        <v>1536</v>
      </c>
    </row>
    <row r="1491" ht="15.75" customHeight="1">
      <c r="A1491" s="5" t="s">
        <v>1537</v>
      </c>
    </row>
    <row r="1492" ht="15.75" customHeight="1">
      <c r="A1492" s="5" t="s">
        <v>1538</v>
      </c>
    </row>
    <row r="1493" ht="15.75" customHeight="1">
      <c r="A1493" s="5" t="s">
        <v>1539</v>
      </c>
    </row>
    <row r="1494" ht="15.75" customHeight="1">
      <c r="A1494" s="5" t="s">
        <v>1540</v>
      </c>
    </row>
    <row r="1495" ht="15.75" customHeight="1">
      <c r="A1495" s="5" t="s">
        <v>1541</v>
      </c>
    </row>
    <row r="1496" ht="15.75" customHeight="1">
      <c r="A1496" s="5" t="s">
        <v>1542</v>
      </c>
    </row>
    <row r="1497" ht="15.75" customHeight="1">
      <c r="A1497" s="5" t="s">
        <v>1543</v>
      </c>
    </row>
    <row r="1498" ht="15.75" customHeight="1">
      <c r="A1498" s="5" t="s">
        <v>1544</v>
      </c>
    </row>
    <row r="1499" ht="15.75" customHeight="1">
      <c r="A1499" s="5" t="s">
        <v>1545</v>
      </c>
    </row>
    <row r="1500" ht="15.75" customHeight="1">
      <c r="A1500" s="5" t="s">
        <v>1546</v>
      </c>
    </row>
    <row r="1501" ht="15.75" customHeight="1">
      <c r="A1501" s="5" t="s">
        <v>1547</v>
      </c>
    </row>
    <row r="1502" ht="15.75" customHeight="1">
      <c r="A1502" s="5" t="s">
        <v>1548</v>
      </c>
    </row>
    <row r="1503" ht="15.75" customHeight="1">
      <c r="A1503" s="5" t="s">
        <v>1549</v>
      </c>
    </row>
    <row r="1504" ht="15.75" customHeight="1">
      <c r="A1504" s="5" t="s">
        <v>1550</v>
      </c>
    </row>
    <row r="1505" ht="15.75" customHeight="1">
      <c r="A1505" s="5" t="s">
        <v>1551</v>
      </c>
    </row>
    <row r="1506" ht="15.75" customHeight="1">
      <c r="A1506" s="5" t="s">
        <v>1552</v>
      </c>
    </row>
    <row r="1507" ht="15.75" customHeight="1">
      <c r="A1507" s="5" t="s">
        <v>1553</v>
      </c>
    </row>
    <row r="1508" ht="15.75" customHeight="1">
      <c r="A1508" s="5" t="s">
        <v>1554</v>
      </c>
    </row>
    <row r="1509" ht="15.75" customHeight="1">
      <c r="A1509" s="5" t="s">
        <v>1555</v>
      </c>
    </row>
    <row r="1510" ht="15.75" customHeight="1">
      <c r="A1510" s="5" t="s">
        <v>1556</v>
      </c>
    </row>
    <row r="1511" ht="15.75" customHeight="1">
      <c r="A1511" s="5" t="s">
        <v>1557</v>
      </c>
    </row>
    <row r="1512" ht="15.75" customHeight="1">
      <c r="A1512" s="5" t="s">
        <v>1558</v>
      </c>
    </row>
    <row r="1513" ht="15.75" customHeight="1">
      <c r="A1513" s="5" t="s">
        <v>1559</v>
      </c>
    </row>
    <row r="1514" ht="15.75" customHeight="1">
      <c r="A1514" s="5" t="s">
        <v>1560</v>
      </c>
    </row>
    <row r="1515" ht="15.75" customHeight="1">
      <c r="A1515" s="5" t="s">
        <v>1561</v>
      </c>
    </row>
    <row r="1516" ht="15.75" customHeight="1">
      <c r="A1516" s="5" t="s">
        <v>1562</v>
      </c>
    </row>
    <row r="1517" ht="15.75" customHeight="1">
      <c r="A1517" s="5" t="s">
        <v>1563</v>
      </c>
    </row>
    <row r="1518" ht="15.75" customHeight="1">
      <c r="A1518" s="5" t="s">
        <v>1564</v>
      </c>
    </row>
    <row r="1519" ht="15.75" customHeight="1">
      <c r="A1519" s="5" t="s">
        <v>1565</v>
      </c>
    </row>
    <row r="1520" ht="15.75" customHeight="1">
      <c r="A1520" s="5" t="s">
        <v>1566</v>
      </c>
    </row>
    <row r="1521" ht="15.75" customHeight="1">
      <c r="A1521" s="5" t="s">
        <v>1567</v>
      </c>
    </row>
    <row r="1522" ht="15.75" customHeight="1">
      <c r="A1522" s="5" t="s">
        <v>1568</v>
      </c>
    </row>
    <row r="1523" ht="15.75" customHeight="1">
      <c r="A1523" s="5" t="s">
        <v>1569</v>
      </c>
    </row>
    <row r="1524" ht="15.75" customHeight="1">
      <c r="A1524" s="5" t="s">
        <v>1570</v>
      </c>
    </row>
    <row r="1525" ht="15.75" customHeight="1">
      <c r="A1525" s="5" t="s">
        <v>1571</v>
      </c>
    </row>
    <row r="1526" ht="15.75" customHeight="1">
      <c r="A1526" s="5" t="s">
        <v>1572</v>
      </c>
    </row>
    <row r="1527" ht="15.75" customHeight="1">
      <c r="A1527" s="5" t="s">
        <v>1573</v>
      </c>
    </row>
    <row r="1528" ht="15.75" customHeight="1">
      <c r="A1528" s="5" t="s">
        <v>1574</v>
      </c>
    </row>
    <row r="1529" ht="15.75" customHeight="1">
      <c r="A1529" s="5" t="s">
        <v>1575</v>
      </c>
    </row>
    <row r="1530" ht="15.75" customHeight="1">
      <c r="A1530" s="5" t="s">
        <v>1576</v>
      </c>
    </row>
    <row r="1531" ht="15.75" customHeight="1">
      <c r="A1531" s="5" t="s">
        <v>1577</v>
      </c>
    </row>
    <row r="1532" ht="15.75" customHeight="1">
      <c r="A1532" s="5" t="s">
        <v>1578</v>
      </c>
    </row>
    <row r="1533" ht="15.75" customHeight="1">
      <c r="A1533" s="5" t="s">
        <v>1579</v>
      </c>
    </row>
    <row r="1534" ht="15.75" customHeight="1">
      <c r="A1534" s="5" t="s">
        <v>1580</v>
      </c>
    </row>
    <row r="1535" ht="15.75" customHeight="1">
      <c r="A1535" s="5" t="s">
        <v>1581</v>
      </c>
    </row>
    <row r="1536" ht="15.75" customHeight="1">
      <c r="A1536" s="5" t="s">
        <v>1582</v>
      </c>
    </row>
    <row r="1537" ht="15.75" customHeight="1">
      <c r="A1537" s="5" t="s">
        <v>1583</v>
      </c>
    </row>
    <row r="1538" ht="15.75" customHeight="1">
      <c r="A1538" s="5" t="s">
        <v>1584</v>
      </c>
    </row>
    <row r="1539" ht="15.75" customHeight="1">
      <c r="A1539" s="5" t="s">
        <v>1585</v>
      </c>
    </row>
    <row r="1540" ht="15.75" customHeight="1">
      <c r="A1540" s="5" t="s">
        <v>1586</v>
      </c>
    </row>
    <row r="1541" ht="15.75" customHeight="1">
      <c r="A1541" s="5" t="s">
        <v>1587</v>
      </c>
    </row>
    <row r="1542" ht="15.75" customHeight="1">
      <c r="A1542" s="5" t="s">
        <v>1588</v>
      </c>
    </row>
    <row r="1543" ht="15.75" customHeight="1">
      <c r="A1543" s="5" t="s">
        <v>1589</v>
      </c>
    </row>
    <row r="1544" ht="15.75" customHeight="1">
      <c r="A1544" s="5" t="s">
        <v>1590</v>
      </c>
    </row>
    <row r="1545" ht="15.75" customHeight="1">
      <c r="A1545" s="5" t="s">
        <v>1591</v>
      </c>
    </row>
    <row r="1546" ht="15.75" customHeight="1">
      <c r="A1546" s="5" t="s">
        <v>1592</v>
      </c>
    </row>
    <row r="1547" ht="15.75" customHeight="1">
      <c r="A1547" s="5" t="s">
        <v>1593</v>
      </c>
    </row>
    <row r="1548" ht="15.75" customHeight="1">
      <c r="A1548" s="5" t="s">
        <v>1594</v>
      </c>
    </row>
    <row r="1549" ht="15.75" customHeight="1">
      <c r="A1549" s="5" t="s">
        <v>1595</v>
      </c>
    </row>
    <row r="1550" ht="15.75" customHeight="1">
      <c r="A1550" s="5" t="s">
        <v>1596</v>
      </c>
    </row>
    <row r="1551" ht="15.75" customHeight="1">
      <c r="A1551" s="5" t="s">
        <v>1597</v>
      </c>
    </row>
    <row r="1552" ht="15.75" customHeight="1">
      <c r="A1552" s="5" t="s">
        <v>1598</v>
      </c>
    </row>
    <row r="1553" ht="15.75" customHeight="1">
      <c r="A1553" s="5" t="s">
        <v>1599</v>
      </c>
    </row>
    <row r="1554" ht="15.75" customHeight="1">
      <c r="A1554" s="5" t="s">
        <v>1600</v>
      </c>
    </row>
    <row r="1555" ht="15.75" customHeight="1">
      <c r="A1555" s="5" t="s">
        <v>1601</v>
      </c>
    </row>
    <row r="1556" ht="15.75" customHeight="1">
      <c r="A1556" s="5" t="s">
        <v>1602</v>
      </c>
    </row>
    <row r="1557" ht="15.75" customHeight="1">
      <c r="A1557" s="5" t="s">
        <v>1603</v>
      </c>
    </row>
    <row r="1558" ht="15.75" customHeight="1">
      <c r="A1558" s="5" t="s">
        <v>1604</v>
      </c>
    </row>
    <row r="1559" ht="15.75" customHeight="1">
      <c r="A1559" s="5" t="s">
        <v>1605</v>
      </c>
    </row>
    <row r="1560" ht="15.75" customHeight="1">
      <c r="A1560" s="5" t="s">
        <v>1606</v>
      </c>
    </row>
    <row r="1561" ht="15.75" customHeight="1">
      <c r="A1561" s="5" t="s">
        <v>1607</v>
      </c>
    </row>
    <row r="1562" ht="15.75" customHeight="1">
      <c r="A1562" s="5" t="s">
        <v>1608</v>
      </c>
    </row>
    <row r="1563" ht="15.75" customHeight="1">
      <c r="A1563" s="5" t="s">
        <v>1609</v>
      </c>
    </row>
    <row r="1564" ht="15.75" customHeight="1">
      <c r="A1564" s="5" t="s">
        <v>1610</v>
      </c>
    </row>
    <row r="1565" ht="15.75" customHeight="1">
      <c r="A1565" s="5" t="s">
        <v>1611</v>
      </c>
    </row>
    <row r="1566" ht="15.75" customHeight="1">
      <c r="A1566" s="5" t="s">
        <v>1612</v>
      </c>
    </row>
    <row r="1567" ht="15.75" customHeight="1">
      <c r="A1567" s="5" t="s">
        <v>1613</v>
      </c>
    </row>
    <row r="1568" ht="15.75" customHeight="1">
      <c r="A1568" s="5" t="s">
        <v>1614</v>
      </c>
    </row>
    <row r="1569" ht="15.75" customHeight="1">
      <c r="A1569" s="5" t="s">
        <v>1615</v>
      </c>
    </row>
    <row r="1570" ht="15.75" customHeight="1">
      <c r="A1570" s="5" t="s">
        <v>1616</v>
      </c>
    </row>
    <row r="1571" ht="15.75" customHeight="1">
      <c r="A1571" s="5" t="s">
        <v>1617</v>
      </c>
    </row>
    <row r="1572" ht="15.75" customHeight="1">
      <c r="A1572" s="5" t="s">
        <v>1618</v>
      </c>
    </row>
    <row r="1573" ht="15.75" customHeight="1">
      <c r="A1573" s="5" t="s">
        <v>1619</v>
      </c>
    </row>
    <row r="1574" ht="15.75" customHeight="1">
      <c r="A1574" s="5" t="s">
        <v>1620</v>
      </c>
    </row>
    <row r="1575" ht="15.75" customHeight="1">
      <c r="A1575" s="5" t="s">
        <v>1621</v>
      </c>
    </row>
    <row r="1576" ht="15.75" customHeight="1">
      <c r="A1576" s="5" t="s">
        <v>1622</v>
      </c>
    </row>
    <row r="1577" ht="15.75" customHeight="1">
      <c r="A1577" s="5" t="s">
        <v>1623</v>
      </c>
    </row>
    <row r="1578" ht="15.75" customHeight="1">
      <c r="A1578" s="5" t="s">
        <v>1624</v>
      </c>
    </row>
    <row r="1579" ht="15.75" customHeight="1">
      <c r="A1579" s="5" t="s">
        <v>1625</v>
      </c>
    </row>
    <row r="1580" ht="15.75" customHeight="1">
      <c r="A1580" s="5" t="s">
        <v>1626</v>
      </c>
    </row>
    <row r="1581" ht="15.75" customHeight="1">
      <c r="A1581" s="5" t="s">
        <v>1627</v>
      </c>
    </row>
    <row r="1582" ht="15.75" customHeight="1">
      <c r="A1582" s="5" t="s">
        <v>1628</v>
      </c>
    </row>
    <row r="1583" ht="15.75" customHeight="1">
      <c r="A1583" s="5" t="s">
        <v>1629</v>
      </c>
    </row>
    <row r="1584" ht="15.75" customHeight="1">
      <c r="A1584" s="5" t="s">
        <v>1630</v>
      </c>
    </row>
    <row r="1585" ht="15.75" customHeight="1">
      <c r="A1585" s="5" t="s">
        <v>1631</v>
      </c>
    </row>
    <row r="1586" ht="15.75" customHeight="1">
      <c r="A1586" s="5" t="s">
        <v>1632</v>
      </c>
    </row>
    <row r="1587" ht="15.75" customHeight="1">
      <c r="A1587" s="5" t="s">
        <v>1633</v>
      </c>
    </row>
    <row r="1588" ht="15.75" customHeight="1">
      <c r="A1588" s="5" t="s">
        <v>1634</v>
      </c>
    </row>
    <row r="1589" ht="15.75" customHeight="1">
      <c r="A1589" s="5" t="s">
        <v>1635</v>
      </c>
    </row>
    <row r="1590" ht="15.75" customHeight="1">
      <c r="A1590" s="5" t="s">
        <v>1636</v>
      </c>
    </row>
    <row r="1591" ht="15.75" customHeight="1">
      <c r="A1591" s="5" t="s">
        <v>1637</v>
      </c>
    </row>
    <row r="1592" ht="15.75" customHeight="1">
      <c r="A1592" s="5" t="s">
        <v>1638</v>
      </c>
    </row>
    <row r="1593" ht="15.75" customHeight="1">
      <c r="A1593" s="5" t="s">
        <v>1639</v>
      </c>
    </row>
    <row r="1594" ht="15.75" customHeight="1">
      <c r="A1594" s="5" t="s">
        <v>1640</v>
      </c>
    </row>
    <row r="1595" ht="15.75" customHeight="1">
      <c r="A1595" s="5" t="s">
        <v>1641</v>
      </c>
    </row>
    <row r="1596" ht="15.75" customHeight="1">
      <c r="A1596" s="5" t="s">
        <v>1642</v>
      </c>
    </row>
    <row r="1597" ht="15.75" customHeight="1">
      <c r="A1597" s="5" t="s">
        <v>1643</v>
      </c>
    </row>
    <row r="1598" ht="15.75" customHeight="1">
      <c r="A1598" s="5" t="s">
        <v>1644</v>
      </c>
    </row>
    <row r="1599" ht="15.75" customHeight="1">
      <c r="A1599" s="5" t="s">
        <v>1645</v>
      </c>
    </row>
    <row r="1600" ht="15.75" customHeight="1">
      <c r="A1600" s="5" t="s">
        <v>1646</v>
      </c>
    </row>
    <row r="1601" ht="15.75" customHeight="1">
      <c r="A1601" s="5" t="s">
        <v>1647</v>
      </c>
    </row>
    <row r="1602" ht="15.75" customHeight="1">
      <c r="A1602" s="5" t="s">
        <v>1648</v>
      </c>
    </row>
    <row r="1603" ht="15.75" customHeight="1">
      <c r="A1603" s="5" t="s">
        <v>1649</v>
      </c>
    </row>
    <row r="1604" ht="15.75" customHeight="1">
      <c r="A1604" s="5" t="s">
        <v>1650</v>
      </c>
    </row>
    <row r="1605" ht="15.75" customHeight="1">
      <c r="A1605" s="5" t="s">
        <v>1651</v>
      </c>
    </row>
    <row r="1606" ht="15.75" customHeight="1">
      <c r="A1606" s="5" t="s">
        <v>1652</v>
      </c>
    </row>
    <row r="1607" ht="15.75" customHeight="1">
      <c r="A1607" s="5" t="s">
        <v>1653</v>
      </c>
    </row>
    <row r="1608" ht="15.75" customHeight="1">
      <c r="A1608" s="5" t="s">
        <v>1654</v>
      </c>
    </row>
    <row r="1609" ht="15.75" customHeight="1">
      <c r="A1609" s="5" t="s">
        <v>1655</v>
      </c>
    </row>
    <row r="1610" ht="15.75" customHeight="1">
      <c r="A1610" s="5" t="s">
        <v>1656</v>
      </c>
    </row>
    <row r="1611" ht="15.75" customHeight="1">
      <c r="A1611" s="5" t="s">
        <v>1657</v>
      </c>
    </row>
    <row r="1612" ht="15.75" customHeight="1">
      <c r="A1612" s="5" t="s">
        <v>1658</v>
      </c>
    </row>
    <row r="1613" ht="15.75" customHeight="1">
      <c r="A1613" s="5" t="s">
        <v>1659</v>
      </c>
    </row>
    <row r="1614" ht="15.75" customHeight="1">
      <c r="A1614" s="5" t="s">
        <v>1660</v>
      </c>
    </row>
    <row r="1615" ht="15.75" customHeight="1">
      <c r="A1615" s="5" t="s">
        <v>1661</v>
      </c>
    </row>
    <row r="1616" ht="15.75" customHeight="1">
      <c r="A1616" s="5" t="s">
        <v>1662</v>
      </c>
    </row>
    <row r="1617" ht="15.75" customHeight="1">
      <c r="A1617" s="5" t="s">
        <v>1663</v>
      </c>
    </row>
    <row r="1618" ht="15.75" customHeight="1">
      <c r="A1618" s="5" t="s">
        <v>1664</v>
      </c>
    </row>
    <row r="1619" ht="15.75" customHeight="1">
      <c r="A1619" s="5" t="s">
        <v>1665</v>
      </c>
    </row>
    <row r="1620" ht="15.75" customHeight="1">
      <c r="A1620" s="5" t="s">
        <v>1666</v>
      </c>
    </row>
    <row r="1621" ht="15.75" customHeight="1">
      <c r="A1621" s="5" t="s">
        <v>1667</v>
      </c>
    </row>
    <row r="1622" ht="15.75" customHeight="1">
      <c r="A1622" s="5" t="s">
        <v>1668</v>
      </c>
    </row>
    <row r="1623" ht="15.75" customHeight="1">
      <c r="A1623" s="5" t="s">
        <v>1669</v>
      </c>
    </row>
    <row r="1624" ht="15.75" customHeight="1">
      <c r="A1624" s="5" t="s">
        <v>1670</v>
      </c>
    </row>
    <row r="1625" ht="15.75" customHeight="1">
      <c r="A1625" s="5" t="s">
        <v>1671</v>
      </c>
    </row>
    <row r="1626" ht="15.75" customHeight="1">
      <c r="A1626" s="5" t="s">
        <v>1672</v>
      </c>
    </row>
    <row r="1627" ht="15.75" customHeight="1">
      <c r="A1627" s="5" t="s">
        <v>1673</v>
      </c>
    </row>
    <row r="1628" ht="15.75" customHeight="1">
      <c r="A1628" s="5" t="s">
        <v>1674</v>
      </c>
    </row>
    <row r="1629" ht="15.75" customHeight="1">
      <c r="A1629" s="5" t="s">
        <v>1675</v>
      </c>
    </row>
    <row r="1630" ht="15.75" customHeight="1">
      <c r="A1630" s="5" t="s">
        <v>1676</v>
      </c>
    </row>
    <row r="1631" ht="15.75" customHeight="1">
      <c r="A1631" s="5" t="s">
        <v>1677</v>
      </c>
    </row>
    <row r="1632" ht="15.75" customHeight="1">
      <c r="A1632" s="5" t="s">
        <v>1678</v>
      </c>
    </row>
    <row r="1633" ht="15.75" customHeight="1">
      <c r="A1633" s="5" t="s">
        <v>1679</v>
      </c>
    </row>
    <row r="1634" ht="15.75" customHeight="1">
      <c r="A1634" s="5" t="s">
        <v>1680</v>
      </c>
    </row>
    <row r="1635" ht="15.75" customHeight="1">
      <c r="A1635" s="5" t="s">
        <v>1681</v>
      </c>
    </row>
    <row r="1636" ht="15.75" customHeight="1">
      <c r="A1636" s="5" t="s">
        <v>1682</v>
      </c>
    </row>
    <row r="1637" ht="15.75" customHeight="1">
      <c r="A1637" s="5" t="s">
        <v>1683</v>
      </c>
    </row>
    <row r="1638" ht="15.75" customHeight="1">
      <c r="A1638" s="5" t="s">
        <v>1684</v>
      </c>
    </row>
    <row r="1639" ht="15.75" customHeight="1">
      <c r="A1639" s="5" t="s">
        <v>1685</v>
      </c>
    </row>
    <row r="1640" ht="15.75" customHeight="1">
      <c r="A1640" s="5" t="s">
        <v>1686</v>
      </c>
    </row>
    <row r="1641" ht="15.75" customHeight="1">
      <c r="A1641" s="5" t="s">
        <v>1687</v>
      </c>
    </row>
    <row r="1642" ht="15.75" customHeight="1">
      <c r="A1642" s="5" t="s">
        <v>1688</v>
      </c>
    </row>
    <row r="1643" ht="15.75" customHeight="1">
      <c r="A1643" s="5" t="s">
        <v>1689</v>
      </c>
    </row>
    <row r="1644" ht="15.75" customHeight="1">
      <c r="A1644" s="5" t="s">
        <v>1690</v>
      </c>
    </row>
    <row r="1645" ht="15.75" customHeight="1">
      <c r="A1645" s="5" t="s">
        <v>1691</v>
      </c>
    </row>
    <row r="1646" ht="15.75" customHeight="1">
      <c r="A1646" s="5" t="s">
        <v>1692</v>
      </c>
    </row>
    <row r="1647" ht="15.75" customHeight="1">
      <c r="A1647" s="5" t="s">
        <v>1693</v>
      </c>
    </row>
    <row r="1648" ht="15.75" customHeight="1">
      <c r="A1648" s="5" t="s">
        <v>1694</v>
      </c>
    </row>
    <row r="1649" ht="15.75" customHeight="1">
      <c r="A1649" s="5" t="s">
        <v>1695</v>
      </c>
    </row>
    <row r="1650" ht="15.75" customHeight="1">
      <c r="A1650" s="5" t="s">
        <v>1696</v>
      </c>
    </row>
    <row r="1651" ht="15.75" customHeight="1">
      <c r="A1651" s="5" t="s">
        <v>1697</v>
      </c>
    </row>
    <row r="1652" ht="15.75" customHeight="1">
      <c r="A1652" s="5" t="s">
        <v>1698</v>
      </c>
    </row>
    <row r="1653" ht="15.75" customHeight="1">
      <c r="A1653" s="5" t="s">
        <v>1699</v>
      </c>
    </row>
    <row r="1654" ht="15.75" customHeight="1">
      <c r="A1654" s="5" t="s">
        <v>1700</v>
      </c>
    </row>
    <row r="1655" ht="15.75" customHeight="1">
      <c r="A1655" s="5" t="s">
        <v>1701</v>
      </c>
    </row>
    <row r="1656" ht="15.75" customHeight="1">
      <c r="A1656" s="5" t="s">
        <v>1702</v>
      </c>
    </row>
    <row r="1657" ht="15.75" customHeight="1">
      <c r="A1657" s="5" t="s">
        <v>1703</v>
      </c>
    </row>
    <row r="1658" ht="15.75" customHeight="1">
      <c r="A1658" s="5" t="s">
        <v>1704</v>
      </c>
    </row>
    <row r="1659" ht="15.75" customHeight="1">
      <c r="A1659" s="5" t="s">
        <v>1705</v>
      </c>
    </row>
    <row r="1660" ht="15.75" customHeight="1">
      <c r="A1660" s="5" t="s">
        <v>1706</v>
      </c>
    </row>
    <row r="1661" ht="15.75" customHeight="1">
      <c r="A1661" s="5" t="s">
        <v>1707</v>
      </c>
    </row>
    <row r="1662" ht="15.75" customHeight="1">
      <c r="A1662" s="5" t="s">
        <v>1708</v>
      </c>
    </row>
    <row r="1663" ht="15.75" customHeight="1">
      <c r="A1663" s="5" t="s">
        <v>1709</v>
      </c>
    </row>
    <row r="1664" ht="15.75" customHeight="1">
      <c r="A1664" s="5" t="s">
        <v>1710</v>
      </c>
    </row>
    <row r="1665" ht="15.75" customHeight="1">
      <c r="A1665" s="5" t="s">
        <v>1711</v>
      </c>
    </row>
    <row r="1666" ht="15.75" customHeight="1">
      <c r="A1666" s="5" t="s">
        <v>1712</v>
      </c>
    </row>
    <row r="1667" ht="15.75" customHeight="1">
      <c r="A1667" s="5" t="s">
        <v>1713</v>
      </c>
    </row>
    <row r="1668" ht="15.75" customHeight="1">
      <c r="A1668" s="5" t="s">
        <v>1714</v>
      </c>
    </row>
    <row r="1669" ht="15.75" customHeight="1">
      <c r="A1669" s="5" t="s">
        <v>1715</v>
      </c>
    </row>
    <row r="1670" ht="15.75" customHeight="1">
      <c r="A1670" s="5" t="s">
        <v>1716</v>
      </c>
    </row>
    <row r="1671" ht="15.75" customHeight="1">
      <c r="A1671" s="5" t="s">
        <v>1717</v>
      </c>
    </row>
    <row r="1672" ht="15.75" customHeight="1">
      <c r="A1672" s="5" t="s">
        <v>1718</v>
      </c>
    </row>
    <row r="1673" ht="15.75" customHeight="1">
      <c r="A1673" s="5" t="s">
        <v>1719</v>
      </c>
    </row>
    <row r="1674" ht="15.75" customHeight="1">
      <c r="A1674" s="5" t="s">
        <v>1720</v>
      </c>
    </row>
    <row r="1675" ht="15.75" customHeight="1">
      <c r="A1675" s="5" t="s">
        <v>1721</v>
      </c>
    </row>
    <row r="1676" ht="15.75" customHeight="1">
      <c r="A1676" s="5" t="s">
        <v>1722</v>
      </c>
    </row>
    <row r="1677" ht="15.75" customHeight="1">
      <c r="A1677" s="5" t="s">
        <v>1723</v>
      </c>
    </row>
    <row r="1678" ht="15.75" customHeight="1">
      <c r="A1678" s="5" t="s">
        <v>1724</v>
      </c>
    </row>
    <row r="1679" ht="15.75" customHeight="1">
      <c r="A1679" s="5" t="s">
        <v>1725</v>
      </c>
    </row>
    <row r="1680" ht="15.75" customHeight="1">
      <c r="A1680" s="5" t="s">
        <v>1726</v>
      </c>
    </row>
    <row r="1681" ht="15.75" customHeight="1">
      <c r="A1681" s="5" t="s">
        <v>1727</v>
      </c>
    </row>
    <row r="1682" ht="15.75" customHeight="1">
      <c r="A1682" s="5" t="s">
        <v>1728</v>
      </c>
    </row>
    <row r="1683" ht="15.75" customHeight="1">
      <c r="A1683" s="5" t="s">
        <v>1729</v>
      </c>
    </row>
    <row r="1684" ht="15.75" customHeight="1">
      <c r="A1684" s="5" t="s">
        <v>1730</v>
      </c>
    </row>
    <row r="1685" ht="15.75" customHeight="1">
      <c r="A1685" s="5" t="s">
        <v>1731</v>
      </c>
    </row>
    <row r="1686" ht="15.75" customHeight="1">
      <c r="A1686" s="5" t="s">
        <v>1732</v>
      </c>
    </row>
    <row r="1687" ht="15.75" customHeight="1">
      <c r="A1687" s="5" t="s">
        <v>1733</v>
      </c>
    </row>
    <row r="1688" ht="15.75" customHeight="1">
      <c r="A1688" s="5" t="s">
        <v>1734</v>
      </c>
    </row>
    <row r="1689" ht="15.75" customHeight="1">
      <c r="A1689" s="5" t="s">
        <v>1735</v>
      </c>
    </row>
    <row r="1690" ht="15.75" customHeight="1">
      <c r="A1690" s="5" t="s">
        <v>1736</v>
      </c>
    </row>
    <row r="1691" ht="15.75" customHeight="1">
      <c r="A1691" s="5" t="s">
        <v>1737</v>
      </c>
    </row>
    <row r="1692" ht="15.75" customHeight="1">
      <c r="A1692" s="5" t="s">
        <v>1738</v>
      </c>
    </row>
    <row r="1693" ht="15.75" customHeight="1">
      <c r="A1693" s="5" t="s">
        <v>1739</v>
      </c>
    </row>
    <row r="1694" ht="15.75" customHeight="1">
      <c r="A1694" s="5" t="s">
        <v>1740</v>
      </c>
    </row>
    <row r="1695" ht="15.75" customHeight="1">
      <c r="A1695" s="5" t="s">
        <v>1741</v>
      </c>
    </row>
    <row r="1696" ht="15.75" customHeight="1">
      <c r="A1696" s="5" t="s">
        <v>1742</v>
      </c>
    </row>
    <row r="1697" ht="15.75" customHeight="1">
      <c r="A1697" s="5" t="s">
        <v>1743</v>
      </c>
    </row>
    <row r="1698" ht="15.75" customHeight="1">
      <c r="A1698" s="5" t="s">
        <v>1744</v>
      </c>
    </row>
    <row r="1699" ht="15.75" customHeight="1">
      <c r="A1699" s="5" t="s">
        <v>1745</v>
      </c>
    </row>
    <row r="1700" ht="15.75" customHeight="1">
      <c r="A1700" s="5" t="s">
        <v>1746</v>
      </c>
    </row>
    <row r="1701" ht="15.75" customHeight="1">
      <c r="A1701" s="5" t="s">
        <v>1747</v>
      </c>
    </row>
    <row r="1702" ht="15.75" customHeight="1">
      <c r="A1702" s="5" t="s">
        <v>1748</v>
      </c>
    </row>
    <row r="1703" ht="15.75" customHeight="1">
      <c r="A1703" s="5" t="s">
        <v>1749</v>
      </c>
    </row>
    <row r="1704" ht="15.75" customHeight="1">
      <c r="A1704" s="5" t="s">
        <v>1750</v>
      </c>
    </row>
    <row r="1705" ht="15.75" customHeight="1">
      <c r="A1705" s="5" t="s">
        <v>1751</v>
      </c>
    </row>
    <row r="1706" ht="15.75" customHeight="1">
      <c r="A1706" s="5" t="s">
        <v>1752</v>
      </c>
    </row>
    <row r="1707" ht="15.75" customHeight="1">
      <c r="A1707" s="5" t="s">
        <v>1753</v>
      </c>
    </row>
    <row r="1708" ht="15.75" customHeight="1">
      <c r="A1708" s="5" t="s">
        <v>1754</v>
      </c>
    </row>
    <row r="1709" ht="15.75" customHeight="1">
      <c r="A1709" s="5" t="s">
        <v>1755</v>
      </c>
    </row>
    <row r="1710" ht="15.75" customHeight="1">
      <c r="A1710" s="5" t="s">
        <v>1756</v>
      </c>
    </row>
    <row r="1711" ht="15.75" customHeight="1">
      <c r="A1711" s="5" t="s">
        <v>1757</v>
      </c>
    </row>
    <row r="1712" ht="15.75" customHeight="1">
      <c r="A1712" s="5" t="s">
        <v>1758</v>
      </c>
    </row>
    <row r="1713" ht="15.75" customHeight="1">
      <c r="A1713" s="5" t="s">
        <v>1759</v>
      </c>
    </row>
    <row r="1714" ht="15.75" customHeight="1">
      <c r="A1714" s="5" t="s">
        <v>1760</v>
      </c>
    </row>
    <row r="1715" ht="15.75" customHeight="1">
      <c r="A1715" s="5" t="s">
        <v>1761</v>
      </c>
    </row>
    <row r="1716" ht="15.75" customHeight="1">
      <c r="A1716" s="5" t="s">
        <v>1762</v>
      </c>
    </row>
    <row r="1717" ht="15.75" customHeight="1">
      <c r="A1717" s="5" t="s">
        <v>1763</v>
      </c>
    </row>
    <row r="1718" ht="15.75" customHeight="1">
      <c r="A1718" s="5" t="s">
        <v>1764</v>
      </c>
    </row>
    <row r="1719" ht="15.75" customHeight="1">
      <c r="A1719" s="5" t="s">
        <v>1765</v>
      </c>
    </row>
    <row r="1720" ht="15.75" customHeight="1">
      <c r="A1720" s="5" t="s">
        <v>1766</v>
      </c>
    </row>
    <row r="1721" ht="15.75" customHeight="1">
      <c r="A1721" s="5" t="s">
        <v>1767</v>
      </c>
    </row>
    <row r="1722" ht="15.75" customHeight="1">
      <c r="A1722" s="5" t="s">
        <v>1768</v>
      </c>
    </row>
    <row r="1723" ht="15.75" customHeight="1">
      <c r="A1723" s="5" t="s">
        <v>1769</v>
      </c>
    </row>
    <row r="1724" ht="15.75" customHeight="1">
      <c r="A1724" s="5" t="s">
        <v>1770</v>
      </c>
    </row>
    <row r="1725" ht="15.75" customHeight="1">
      <c r="A1725" s="5" t="s">
        <v>1771</v>
      </c>
    </row>
    <row r="1726" ht="15.75" customHeight="1">
      <c r="A1726" s="5" t="s">
        <v>1772</v>
      </c>
    </row>
    <row r="1727" ht="15.75" customHeight="1">
      <c r="A1727" s="5" t="s">
        <v>1773</v>
      </c>
    </row>
    <row r="1728" ht="15.75" customHeight="1">
      <c r="A1728" s="5" t="s">
        <v>1774</v>
      </c>
    </row>
    <row r="1729" ht="15.75" customHeight="1">
      <c r="A1729" s="5" t="s">
        <v>1775</v>
      </c>
    </row>
    <row r="1730" ht="15.75" customHeight="1">
      <c r="A1730" s="5" t="s">
        <v>1776</v>
      </c>
    </row>
    <row r="1731" ht="15.75" customHeight="1">
      <c r="A1731" s="5" t="s">
        <v>1777</v>
      </c>
    </row>
    <row r="1732" ht="15.75" customHeight="1">
      <c r="A1732" s="5" t="s">
        <v>1778</v>
      </c>
    </row>
    <row r="1733" ht="15.75" customHeight="1">
      <c r="A1733" s="5" t="s">
        <v>1779</v>
      </c>
    </row>
    <row r="1734" ht="15.75" customHeight="1">
      <c r="A1734" s="5" t="s">
        <v>1780</v>
      </c>
    </row>
    <row r="1735" ht="15.75" customHeight="1">
      <c r="A1735" s="5" t="s">
        <v>1781</v>
      </c>
    </row>
    <row r="1736" ht="15.75" customHeight="1">
      <c r="A1736" s="5" t="s">
        <v>1782</v>
      </c>
    </row>
    <row r="1737" ht="15.75" customHeight="1">
      <c r="A1737" s="5" t="s">
        <v>1783</v>
      </c>
    </row>
    <row r="1738" ht="15.75" customHeight="1">
      <c r="A1738" s="5" t="s">
        <v>1784</v>
      </c>
    </row>
    <row r="1739" ht="15.75" customHeight="1">
      <c r="A1739" s="5" t="s">
        <v>1785</v>
      </c>
    </row>
    <row r="1740" ht="15.75" customHeight="1">
      <c r="A1740" s="5" t="s">
        <v>1786</v>
      </c>
    </row>
    <row r="1741" ht="15.75" customHeight="1">
      <c r="A1741" s="5" t="s">
        <v>1787</v>
      </c>
    </row>
    <row r="1742" ht="15.75" customHeight="1">
      <c r="A1742" s="5" t="s">
        <v>1788</v>
      </c>
    </row>
    <row r="1743" ht="15.75" customHeight="1">
      <c r="A1743" s="5" t="s">
        <v>1789</v>
      </c>
    </row>
    <row r="1744" ht="15.75" customHeight="1">
      <c r="A1744" s="5" t="s">
        <v>1790</v>
      </c>
    </row>
    <row r="1745" ht="15.75" customHeight="1">
      <c r="A1745" s="5" t="s">
        <v>1791</v>
      </c>
    </row>
    <row r="1746" ht="15.75" customHeight="1">
      <c r="A1746" s="5" t="s">
        <v>1792</v>
      </c>
    </row>
    <row r="1747" ht="15.75" customHeight="1">
      <c r="A1747" s="5" t="s">
        <v>1793</v>
      </c>
    </row>
    <row r="1748" ht="15.75" customHeight="1">
      <c r="A1748" s="5" t="s">
        <v>1794</v>
      </c>
    </row>
    <row r="1749" ht="15.75" customHeight="1">
      <c r="A1749" s="5" t="s">
        <v>1795</v>
      </c>
    </row>
    <row r="1750" ht="15.75" customHeight="1">
      <c r="A1750" s="5" t="s">
        <v>1796</v>
      </c>
    </row>
    <row r="1751" ht="15.75" customHeight="1">
      <c r="A1751" s="5" t="s">
        <v>1797</v>
      </c>
    </row>
    <row r="1752" ht="15.75" customHeight="1">
      <c r="A1752" s="5" t="s">
        <v>1798</v>
      </c>
    </row>
    <row r="1753" ht="15.75" customHeight="1">
      <c r="A1753" s="5" t="s">
        <v>1799</v>
      </c>
    </row>
    <row r="1754" ht="15.75" customHeight="1">
      <c r="A1754" s="5" t="s">
        <v>1800</v>
      </c>
    </row>
    <row r="1755" ht="15.75" customHeight="1">
      <c r="A1755" s="5" t="s">
        <v>1801</v>
      </c>
    </row>
    <row r="1756" ht="15.75" customHeight="1">
      <c r="A1756" s="5" t="s">
        <v>1802</v>
      </c>
    </row>
    <row r="1757" ht="15.75" customHeight="1">
      <c r="A1757" s="5" t="s">
        <v>1803</v>
      </c>
    </row>
    <row r="1758" ht="15.75" customHeight="1">
      <c r="A1758" s="5" t="s">
        <v>1804</v>
      </c>
    </row>
    <row r="1759" ht="15.75" customHeight="1">
      <c r="A1759" s="5" t="s">
        <v>1805</v>
      </c>
    </row>
    <row r="1760" ht="15.75" customHeight="1">
      <c r="A1760" s="5" t="s">
        <v>1806</v>
      </c>
    </row>
    <row r="1761" ht="15.75" customHeight="1">
      <c r="A1761" s="5" t="s">
        <v>1807</v>
      </c>
    </row>
    <row r="1762" ht="15.75" customHeight="1">
      <c r="A1762" s="5" t="s">
        <v>1808</v>
      </c>
    </row>
    <row r="1763" ht="15.75" customHeight="1">
      <c r="A1763" s="5" t="s">
        <v>1809</v>
      </c>
    </row>
    <row r="1764" ht="15.75" customHeight="1">
      <c r="A1764" s="5" t="s">
        <v>1810</v>
      </c>
    </row>
    <row r="1765" ht="15.75" customHeight="1">
      <c r="A1765" s="5" t="s">
        <v>1811</v>
      </c>
    </row>
    <row r="1766" ht="15.75" customHeight="1">
      <c r="A1766" s="5" t="s">
        <v>1812</v>
      </c>
    </row>
    <row r="1767" ht="15.75" customHeight="1">
      <c r="A1767" s="5" t="s">
        <v>1813</v>
      </c>
    </row>
    <row r="1768" ht="15.75" customHeight="1">
      <c r="A1768" s="5" t="s">
        <v>1814</v>
      </c>
    </row>
    <row r="1769" ht="15.75" customHeight="1">
      <c r="A1769" s="5" t="s">
        <v>1815</v>
      </c>
    </row>
    <row r="1770" ht="15.75" customHeight="1">
      <c r="A1770" s="5" t="s">
        <v>1816</v>
      </c>
    </row>
    <row r="1771" ht="15.75" customHeight="1">
      <c r="A1771" s="5" t="s">
        <v>1817</v>
      </c>
    </row>
    <row r="1772" ht="15.75" customHeight="1">
      <c r="A1772" s="5" t="s">
        <v>1818</v>
      </c>
    </row>
    <row r="1773" ht="15.75" customHeight="1">
      <c r="A1773" s="5" t="s">
        <v>1819</v>
      </c>
    </row>
    <row r="1774" ht="15.75" customHeight="1">
      <c r="A1774" s="5" t="s">
        <v>1820</v>
      </c>
    </row>
    <row r="1775" ht="15.75" customHeight="1">
      <c r="A1775" s="5" t="s">
        <v>1821</v>
      </c>
    </row>
    <row r="1776" ht="15.75" customHeight="1">
      <c r="A1776" s="5" t="s">
        <v>1822</v>
      </c>
    </row>
    <row r="1777" ht="15.75" customHeight="1">
      <c r="A1777" s="5" t="s">
        <v>1823</v>
      </c>
    </row>
    <row r="1778" ht="15.75" customHeight="1">
      <c r="A1778" s="5" t="s">
        <v>1824</v>
      </c>
    </row>
    <row r="1779" ht="15.75" customHeight="1">
      <c r="A1779" s="5" t="s">
        <v>1825</v>
      </c>
    </row>
    <row r="1780" ht="15.75" customHeight="1">
      <c r="A1780" s="5" t="s">
        <v>1826</v>
      </c>
    </row>
    <row r="1781" ht="15.75" customHeight="1">
      <c r="A1781" s="5" t="s">
        <v>1827</v>
      </c>
    </row>
    <row r="1782" ht="15.75" customHeight="1">
      <c r="A1782" s="5" t="s">
        <v>1828</v>
      </c>
    </row>
    <row r="1783" ht="15.75" customHeight="1">
      <c r="A1783" s="5" t="s">
        <v>1829</v>
      </c>
    </row>
    <row r="1784" ht="15.75" customHeight="1">
      <c r="A1784" s="5" t="s">
        <v>1830</v>
      </c>
    </row>
    <row r="1785" ht="15.75" customHeight="1">
      <c r="A1785" s="5" t="s">
        <v>1831</v>
      </c>
    </row>
    <row r="1786" ht="15.75" customHeight="1">
      <c r="A1786" s="5" t="s">
        <v>1832</v>
      </c>
    </row>
    <row r="1787" ht="15.75" customHeight="1">
      <c r="A1787" s="5" t="s">
        <v>1833</v>
      </c>
    </row>
    <row r="1788" ht="15.75" customHeight="1">
      <c r="A1788" s="5" t="s">
        <v>1834</v>
      </c>
    </row>
    <row r="1789" ht="15.75" customHeight="1">
      <c r="A1789" s="5" t="s">
        <v>1835</v>
      </c>
    </row>
    <row r="1790" ht="15.75" customHeight="1">
      <c r="A1790" s="5" t="s">
        <v>1836</v>
      </c>
    </row>
    <row r="1791" ht="15.75" customHeight="1">
      <c r="A1791" s="5" t="s">
        <v>1837</v>
      </c>
    </row>
    <row r="1792" ht="15.75" customHeight="1">
      <c r="A1792" s="5" t="s">
        <v>1838</v>
      </c>
    </row>
    <row r="1793" ht="15.75" customHeight="1">
      <c r="A1793" s="5" t="s">
        <v>1839</v>
      </c>
    </row>
    <row r="1794" ht="15.75" customHeight="1">
      <c r="A1794" s="5" t="s">
        <v>1840</v>
      </c>
    </row>
    <row r="1795" ht="15.75" customHeight="1">
      <c r="A1795" s="5" t="s">
        <v>1841</v>
      </c>
    </row>
    <row r="1796" ht="15.75" customHeight="1">
      <c r="A1796" s="5" t="s">
        <v>1842</v>
      </c>
    </row>
    <row r="1797" ht="15.75" customHeight="1">
      <c r="A1797" s="5" t="s">
        <v>1843</v>
      </c>
    </row>
    <row r="1798" ht="15.75" customHeight="1">
      <c r="A1798" s="5" t="s">
        <v>1844</v>
      </c>
    </row>
    <row r="1799" ht="15.75" customHeight="1">
      <c r="A1799" s="5" t="s">
        <v>1845</v>
      </c>
    </row>
    <row r="1800" ht="15.75" customHeight="1">
      <c r="A1800" s="5" t="s">
        <v>1846</v>
      </c>
    </row>
    <row r="1801" ht="15.75" customHeight="1">
      <c r="A1801" s="5" t="s">
        <v>1847</v>
      </c>
    </row>
    <row r="1802" ht="15.75" customHeight="1">
      <c r="A1802" s="5" t="s">
        <v>1848</v>
      </c>
    </row>
    <row r="1803" ht="15.75" customHeight="1">
      <c r="A1803" s="5" t="s">
        <v>1849</v>
      </c>
    </row>
    <row r="1804" ht="15.75" customHeight="1">
      <c r="A1804" s="5" t="s">
        <v>1850</v>
      </c>
    </row>
    <row r="1805" ht="15.75" customHeight="1">
      <c r="A1805" s="5" t="s">
        <v>1851</v>
      </c>
    </row>
    <row r="1806" ht="15.75" customHeight="1">
      <c r="A1806" s="5" t="s">
        <v>1852</v>
      </c>
    </row>
    <row r="1807" ht="15.75" customHeight="1">
      <c r="A1807" s="5" t="s">
        <v>1853</v>
      </c>
    </row>
    <row r="1808" ht="15.75" customHeight="1">
      <c r="A1808" s="5" t="s">
        <v>1854</v>
      </c>
    </row>
    <row r="1809" ht="15.75" customHeight="1">
      <c r="A1809" s="5" t="s">
        <v>1855</v>
      </c>
    </row>
    <row r="1810" ht="15.75" customHeight="1">
      <c r="A1810" s="5" t="s">
        <v>1856</v>
      </c>
    </row>
    <row r="1811" ht="15.75" customHeight="1">
      <c r="A1811" s="5" t="s">
        <v>1857</v>
      </c>
    </row>
    <row r="1812" ht="15.75" customHeight="1">
      <c r="A1812" s="5" t="s">
        <v>1858</v>
      </c>
    </row>
    <row r="1813" ht="15.75" customHeight="1">
      <c r="A1813" s="5" t="s">
        <v>1859</v>
      </c>
    </row>
    <row r="1814" ht="15.75" customHeight="1">
      <c r="A1814" s="5" t="s">
        <v>1860</v>
      </c>
    </row>
    <row r="1815" ht="15.75" customHeight="1">
      <c r="A1815" s="5" t="s">
        <v>1861</v>
      </c>
    </row>
    <row r="1816" ht="15.75" customHeight="1">
      <c r="A1816" s="5" t="s">
        <v>1862</v>
      </c>
    </row>
    <row r="1817" ht="15.75" customHeight="1">
      <c r="A1817" s="5" t="s">
        <v>1863</v>
      </c>
    </row>
    <row r="1818" ht="15.75" customHeight="1">
      <c r="A1818" s="5" t="s">
        <v>1864</v>
      </c>
    </row>
    <row r="1819" ht="15.75" customHeight="1">
      <c r="A1819" s="5" t="s">
        <v>1865</v>
      </c>
    </row>
    <row r="1820" ht="15.75" customHeight="1">
      <c r="A1820" s="5" t="s">
        <v>1866</v>
      </c>
    </row>
    <row r="1821" ht="15.75" customHeight="1">
      <c r="A1821" s="5" t="s">
        <v>1867</v>
      </c>
    </row>
    <row r="1822" ht="15.75" customHeight="1">
      <c r="A1822" s="5" t="s">
        <v>1868</v>
      </c>
    </row>
    <row r="1823" ht="15.75" customHeight="1">
      <c r="A1823" s="5" t="s">
        <v>1869</v>
      </c>
    </row>
    <row r="1824" ht="15.75" customHeight="1">
      <c r="A1824" s="5" t="s">
        <v>1870</v>
      </c>
    </row>
    <row r="1825" ht="15.75" customHeight="1">
      <c r="A1825" s="5" t="s">
        <v>1871</v>
      </c>
    </row>
    <row r="1826" ht="15.75" customHeight="1">
      <c r="A1826" s="5" t="s">
        <v>1872</v>
      </c>
    </row>
    <row r="1827" ht="15.75" customHeight="1">
      <c r="A1827" s="5" t="s">
        <v>1873</v>
      </c>
    </row>
    <row r="1828" ht="15.75" customHeight="1">
      <c r="A1828" s="5" t="s">
        <v>1874</v>
      </c>
    </row>
    <row r="1829" ht="15.75" customHeight="1">
      <c r="A1829" s="5" t="s">
        <v>1875</v>
      </c>
    </row>
    <row r="1830" ht="15.75" customHeight="1">
      <c r="A1830" s="5" t="s">
        <v>1876</v>
      </c>
    </row>
    <row r="1831" ht="15.75" customHeight="1">
      <c r="A1831" s="5" t="s">
        <v>1877</v>
      </c>
    </row>
    <row r="1832" ht="15.75" customHeight="1">
      <c r="A1832" s="5" t="s">
        <v>1878</v>
      </c>
    </row>
    <row r="1833" ht="15.75" customHeight="1">
      <c r="A1833" s="5" t="s">
        <v>1879</v>
      </c>
    </row>
    <row r="1834" ht="15.75" customHeight="1">
      <c r="A1834" s="5" t="s">
        <v>1880</v>
      </c>
    </row>
    <row r="1835" ht="15.75" customHeight="1">
      <c r="A1835" s="5" t="s">
        <v>1881</v>
      </c>
    </row>
    <row r="1836" ht="15.75" customHeight="1">
      <c r="A1836" s="5" t="s">
        <v>1882</v>
      </c>
    </row>
    <row r="1837" ht="15.75" customHeight="1">
      <c r="A1837" s="5" t="s">
        <v>1883</v>
      </c>
    </row>
    <row r="1838" ht="15.75" customHeight="1">
      <c r="A1838" s="5" t="s">
        <v>1884</v>
      </c>
    </row>
    <row r="1839" ht="15.75" customHeight="1">
      <c r="A1839" s="5" t="s">
        <v>1885</v>
      </c>
    </row>
    <row r="1840" ht="15.75" customHeight="1">
      <c r="A1840" s="5" t="s">
        <v>1886</v>
      </c>
    </row>
    <row r="1841" ht="15.75" customHeight="1">
      <c r="A1841" s="5" t="s">
        <v>1887</v>
      </c>
    </row>
    <row r="1842" ht="15.75" customHeight="1">
      <c r="A1842" s="5" t="s">
        <v>1888</v>
      </c>
    </row>
    <row r="1843" ht="15.75" customHeight="1">
      <c r="A1843" s="5" t="s">
        <v>1889</v>
      </c>
    </row>
    <row r="1844" ht="15.75" customHeight="1">
      <c r="A1844" s="5" t="s">
        <v>1890</v>
      </c>
    </row>
    <row r="1845" ht="15.75" customHeight="1">
      <c r="A1845" s="5" t="s">
        <v>1891</v>
      </c>
    </row>
    <row r="1846" ht="15.75" customHeight="1">
      <c r="A1846" s="5" t="s">
        <v>1892</v>
      </c>
    </row>
    <row r="1847" ht="15.75" customHeight="1">
      <c r="A1847" s="5" t="s">
        <v>1893</v>
      </c>
    </row>
    <row r="1848" ht="15.75" customHeight="1">
      <c r="A1848" s="5" t="s">
        <v>1894</v>
      </c>
    </row>
    <row r="1849" ht="15.75" customHeight="1">
      <c r="A1849" s="5" t="s">
        <v>1895</v>
      </c>
    </row>
    <row r="1850" ht="15.75" customHeight="1">
      <c r="A1850" s="5" t="s">
        <v>1896</v>
      </c>
    </row>
    <row r="1851" ht="15.75" customHeight="1">
      <c r="A1851" s="5" t="s">
        <v>1897</v>
      </c>
    </row>
    <row r="1852" ht="15.75" customHeight="1">
      <c r="A1852" s="5" t="s">
        <v>1898</v>
      </c>
    </row>
    <row r="1853" ht="15.75" customHeight="1">
      <c r="A1853" s="5" t="s">
        <v>1899</v>
      </c>
    </row>
    <row r="1854" ht="15.75" customHeight="1">
      <c r="A1854" s="5" t="s">
        <v>1900</v>
      </c>
    </row>
    <row r="1855" ht="15.75" customHeight="1">
      <c r="A1855" s="5" t="s">
        <v>1901</v>
      </c>
    </row>
    <row r="1856" ht="15.75" customHeight="1">
      <c r="A1856" s="5" t="s">
        <v>1902</v>
      </c>
    </row>
    <row r="1857" ht="15.75" customHeight="1">
      <c r="A1857" s="5" t="s">
        <v>1903</v>
      </c>
    </row>
    <row r="1858" ht="15.75" customHeight="1">
      <c r="A1858" s="5" t="s">
        <v>1904</v>
      </c>
    </row>
    <row r="1859" ht="15.75" customHeight="1">
      <c r="A1859" s="5" t="s">
        <v>1905</v>
      </c>
    </row>
    <row r="1860" ht="15.75" customHeight="1">
      <c r="A1860" s="5" t="s">
        <v>1906</v>
      </c>
    </row>
    <row r="1861" ht="15.75" customHeight="1">
      <c r="A1861" s="5" t="s">
        <v>1907</v>
      </c>
    </row>
    <row r="1862" ht="15.75" customHeight="1">
      <c r="A1862" s="5" t="s">
        <v>1908</v>
      </c>
    </row>
    <row r="1863" ht="15.75" customHeight="1">
      <c r="A1863" s="5" t="s">
        <v>1909</v>
      </c>
    </row>
    <row r="1864" ht="15.75" customHeight="1">
      <c r="A1864" s="5" t="s">
        <v>1910</v>
      </c>
    </row>
    <row r="1865" ht="15.75" customHeight="1">
      <c r="A1865" s="5" t="s">
        <v>1911</v>
      </c>
    </row>
    <row r="1866" ht="15.75" customHeight="1">
      <c r="A1866" s="5" t="s">
        <v>1912</v>
      </c>
    </row>
    <row r="1867" ht="15.75" customHeight="1">
      <c r="A1867" s="5" t="s">
        <v>1913</v>
      </c>
    </row>
    <row r="1868" ht="15.75" customHeight="1">
      <c r="A1868" s="5" t="s">
        <v>1914</v>
      </c>
    </row>
    <row r="1869" ht="15.75" customHeight="1">
      <c r="A1869" s="5" t="s">
        <v>1915</v>
      </c>
    </row>
    <row r="1870" ht="15.75" customHeight="1">
      <c r="A1870" s="5" t="s">
        <v>1916</v>
      </c>
    </row>
    <row r="1871" ht="15.75" customHeight="1">
      <c r="A1871" s="5" t="s">
        <v>1917</v>
      </c>
    </row>
    <row r="1872" ht="15.75" customHeight="1">
      <c r="A1872" s="5" t="s">
        <v>1918</v>
      </c>
    </row>
    <row r="1873" ht="15.75" customHeight="1">
      <c r="A1873" s="5" t="s">
        <v>1919</v>
      </c>
    </row>
    <row r="1874" ht="15.75" customHeight="1">
      <c r="A1874" s="5" t="s">
        <v>1920</v>
      </c>
    </row>
    <row r="1875" ht="15.75" customHeight="1">
      <c r="A1875" s="5" t="s">
        <v>1921</v>
      </c>
    </row>
    <row r="1876" ht="15.75" customHeight="1">
      <c r="A1876" s="5" t="s">
        <v>1922</v>
      </c>
    </row>
    <row r="1877" ht="15.75" customHeight="1">
      <c r="A1877" s="5" t="s">
        <v>1923</v>
      </c>
    </row>
    <row r="1878" ht="15.75" customHeight="1">
      <c r="A1878" s="5" t="s">
        <v>1924</v>
      </c>
    </row>
    <row r="1879" ht="15.75" customHeight="1">
      <c r="A1879" s="5" t="s">
        <v>1925</v>
      </c>
    </row>
    <row r="1880" ht="15.75" customHeight="1">
      <c r="A1880" s="5" t="s">
        <v>1926</v>
      </c>
    </row>
    <row r="1881" ht="15.75" customHeight="1">
      <c r="A1881" s="5" t="s">
        <v>1927</v>
      </c>
    </row>
    <row r="1882" ht="15.75" customHeight="1">
      <c r="A1882" s="5" t="s">
        <v>1928</v>
      </c>
    </row>
    <row r="1883" ht="15.75" customHeight="1">
      <c r="A1883" s="5" t="s">
        <v>1929</v>
      </c>
    </row>
    <row r="1884" ht="15.75" customHeight="1">
      <c r="A1884" s="5" t="s">
        <v>1930</v>
      </c>
    </row>
    <row r="1885" ht="15.75" customHeight="1">
      <c r="A1885" s="5" t="s">
        <v>1931</v>
      </c>
    </row>
    <row r="1886" ht="15.75" customHeight="1">
      <c r="A1886" s="5" t="s">
        <v>1932</v>
      </c>
    </row>
    <row r="1887" ht="15.75" customHeight="1">
      <c r="A1887" s="5" t="s">
        <v>1933</v>
      </c>
    </row>
    <row r="1888" ht="15.75" customHeight="1">
      <c r="A1888" s="5" t="s">
        <v>1934</v>
      </c>
    </row>
    <row r="1889" ht="15.75" customHeight="1">
      <c r="A1889" s="5" t="s">
        <v>1935</v>
      </c>
    </row>
    <row r="1890" ht="15.75" customHeight="1">
      <c r="A1890" s="5" t="s">
        <v>1936</v>
      </c>
    </row>
    <row r="1891" ht="15.75" customHeight="1">
      <c r="A1891" s="5" t="s">
        <v>1937</v>
      </c>
    </row>
    <row r="1892" ht="15.75" customHeight="1">
      <c r="A1892" s="5" t="s">
        <v>1938</v>
      </c>
    </row>
    <row r="1893" ht="15.75" customHeight="1">
      <c r="A1893" s="5" t="s">
        <v>1939</v>
      </c>
    </row>
    <row r="1894" ht="15.75" customHeight="1">
      <c r="A1894" s="5" t="s">
        <v>1940</v>
      </c>
    </row>
    <row r="1895" ht="15.75" customHeight="1">
      <c r="A1895" s="5" t="s">
        <v>1941</v>
      </c>
    </row>
    <row r="1896" ht="15.75" customHeight="1">
      <c r="A1896" s="5" t="s">
        <v>1942</v>
      </c>
    </row>
    <row r="1897" ht="15.75" customHeight="1">
      <c r="A1897" s="5" t="s">
        <v>1943</v>
      </c>
    </row>
    <row r="1898" ht="15.75" customHeight="1">
      <c r="A1898" s="5" t="s">
        <v>1944</v>
      </c>
    </row>
    <row r="1899" ht="15.75" customHeight="1">
      <c r="A1899" s="5" t="s">
        <v>1945</v>
      </c>
    </row>
    <row r="1900" ht="15.75" customHeight="1">
      <c r="A1900" s="5" t="s">
        <v>1946</v>
      </c>
    </row>
    <row r="1901" ht="15.75" customHeight="1">
      <c r="A1901" s="5" t="s">
        <v>1947</v>
      </c>
    </row>
    <row r="1902" ht="15.75" customHeight="1">
      <c r="A1902" s="5" t="s">
        <v>1948</v>
      </c>
    </row>
    <row r="1903" ht="15.75" customHeight="1">
      <c r="A1903" s="5" t="s">
        <v>1949</v>
      </c>
    </row>
    <row r="1904" ht="15.75" customHeight="1">
      <c r="A1904" s="5" t="s">
        <v>1950</v>
      </c>
    </row>
    <row r="1905" ht="15.75" customHeight="1">
      <c r="A1905" s="5" t="s">
        <v>1951</v>
      </c>
    </row>
    <row r="1906" ht="15.75" customHeight="1">
      <c r="A1906" s="5" t="s">
        <v>1952</v>
      </c>
    </row>
    <row r="1907" ht="15.75" customHeight="1">
      <c r="A1907" s="5" t="s">
        <v>1953</v>
      </c>
    </row>
    <row r="1908" ht="15.75" customHeight="1">
      <c r="A1908" s="5" t="s">
        <v>1954</v>
      </c>
    </row>
    <row r="1909" ht="15.75" customHeight="1">
      <c r="A1909" s="5" t="s">
        <v>1955</v>
      </c>
    </row>
    <row r="1910" ht="15.75" customHeight="1">
      <c r="A1910" s="5" t="s">
        <v>1956</v>
      </c>
    </row>
    <row r="1911" ht="15.75" customHeight="1">
      <c r="A1911" s="5" t="s">
        <v>1957</v>
      </c>
    </row>
    <row r="1912" ht="15.75" customHeight="1">
      <c r="A1912" s="5" t="s">
        <v>1958</v>
      </c>
    </row>
    <row r="1913" ht="15.75" customHeight="1">
      <c r="A1913" s="5" t="s">
        <v>1959</v>
      </c>
    </row>
    <row r="1914" ht="15.75" customHeight="1">
      <c r="A1914" s="5" t="s">
        <v>1960</v>
      </c>
    </row>
    <row r="1915" ht="15.75" customHeight="1">
      <c r="A1915" s="5" t="s">
        <v>1961</v>
      </c>
    </row>
    <row r="1916" ht="15.75" customHeight="1">
      <c r="A1916" s="5" t="s">
        <v>1962</v>
      </c>
    </row>
    <row r="1917" ht="15.75" customHeight="1">
      <c r="A1917" s="5" t="s">
        <v>1963</v>
      </c>
    </row>
    <row r="1918" ht="15.75" customHeight="1">
      <c r="A1918" s="5" t="s">
        <v>1964</v>
      </c>
    </row>
    <row r="1919" ht="15.75" customHeight="1">
      <c r="A1919" s="5" t="s">
        <v>1965</v>
      </c>
    </row>
    <row r="1920" ht="15.75" customHeight="1">
      <c r="A1920" s="5" t="s">
        <v>1966</v>
      </c>
    </row>
    <row r="1921" ht="15.75" customHeight="1">
      <c r="A1921" s="5" t="s">
        <v>1967</v>
      </c>
    </row>
    <row r="1922" ht="15.75" customHeight="1">
      <c r="A1922" s="5" t="s">
        <v>1968</v>
      </c>
    </row>
    <row r="1923" ht="15.75" customHeight="1">
      <c r="A1923" s="5" t="s">
        <v>1969</v>
      </c>
    </row>
    <row r="1924" ht="15.75" customHeight="1">
      <c r="A1924" s="5" t="s">
        <v>1970</v>
      </c>
    </row>
    <row r="1925" ht="15.75" customHeight="1">
      <c r="A1925" s="5" t="s">
        <v>1971</v>
      </c>
    </row>
    <row r="1926" ht="15.75" customHeight="1">
      <c r="A1926" s="5" t="s">
        <v>1972</v>
      </c>
    </row>
    <row r="1927" ht="15.75" customHeight="1">
      <c r="A1927" s="5" t="s">
        <v>1973</v>
      </c>
    </row>
    <row r="1928" ht="15.75" customHeight="1">
      <c r="A1928" s="5" t="s">
        <v>1974</v>
      </c>
    </row>
    <row r="1929" ht="15.75" customHeight="1">
      <c r="A1929" s="5" t="s">
        <v>1975</v>
      </c>
    </row>
    <row r="1930" ht="15.75" customHeight="1">
      <c r="A1930" s="5" t="s">
        <v>1976</v>
      </c>
    </row>
    <row r="1931" ht="15.75" customHeight="1">
      <c r="A1931" s="5" t="s">
        <v>1977</v>
      </c>
    </row>
    <row r="1932" ht="15.75" customHeight="1">
      <c r="A1932" s="5" t="s">
        <v>1978</v>
      </c>
    </row>
    <row r="1933" ht="15.75" customHeight="1">
      <c r="A1933" s="5" t="s">
        <v>1979</v>
      </c>
    </row>
    <row r="1934" ht="15.75" customHeight="1">
      <c r="A1934" s="5" t="s">
        <v>1980</v>
      </c>
    </row>
    <row r="1935" ht="15.75" customHeight="1">
      <c r="A1935" s="5" t="s">
        <v>1981</v>
      </c>
    </row>
    <row r="1936" ht="15.75" customHeight="1">
      <c r="A1936" s="5" t="s">
        <v>1982</v>
      </c>
    </row>
    <row r="1937" ht="15.75" customHeight="1">
      <c r="A1937" s="5" t="s">
        <v>1983</v>
      </c>
    </row>
    <row r="1938" ht="15.75" customHeight="1">
      <c r="A1938" s="5" t="s">
        <v>1984</v>
      </c>
    </row>
    <row r="1939" ht="15.75" customHeight="1">
      <c r="A1939" s="5" t="s">
        <v>1985</v>
      </c>
    </row>
    <row r="1940" ht="15.75" customHeight="1">
      <c r="A1940" s="5" t="s">
        <v>1986</v>
      </c>
    </row>
    <row r="1941" ht="15.75" customHeight="1">
      <c r="A1941" s="5" t="s">
        <v>1987</v>
      </c>
    </row>
    <row r="1942" ht="15.75" customHeight="1">
      <c r="A1942" s="5" t="s">
        <v>1988</v>
      </c>
    </row>
    <row r="1943" ht="15.75" customHeight="1">
      <c r="A1943" s="5" t="s">
        <v>1989</v>
      </c>
    </row>
    <row r="1944" ht="15.75" customHeight="1">
      <c r="A1944" s="5" t="s">
        <v>1990</v>
      </c>
    </row>
    <row r="1945" ht="15.75" customHeight="1">
      <c r="A1945" s="5" t="s">
        <v>1991</v>
      </c>
    </row>
    <row r="1946" ht="15.75" customHeight="1">
      <c r="A1946" s="5" t="s">
        <v>1992</v>
      </c>
    </row>
    <row r="1947" ht="15.75" customHeight="1">
      <c r="A1947" s="5" t="s">
        <v>1993</v>
      </c>
    </row>
    <row r="1948" ht="15.75" customHeight="1">
      <c r="A1948" s="5" t="s">
        <v>1994</v>
      </c>
    </row>
    <row r="1949" ht="15.75" customHeight="1">
      <c r="A1949" s="5" t="s">
        <v>1995</v>
      </c>
    </row>
    <row r="1950" ht="15.75" customHeight="1">
      <c r="A1950" s="5" t="s">
        <v>1996</v>
      </c>
    </row>
    <row r="1951" ht="15.75" customHeight="1">
      <c r="A1951" s="5" t="s">
        <v>1997</v>
      </c>
    </row>
    <row r="1952" ht="15.75" customHeight="1">
      <c r="A1952" s="5" t="s">
        <v>1998</v>
      </c>
    </row>
    <row r="1953" ht="15.75" customHeight="1">
      <c r="A1953" s="5" t="s">
        <v>1999</v>
      </c>
    </row>
    <row r="1954" ht="15.75" customHeight="1">
      <c r="A1954" s="5" t="s">
        <v>2000</v>
      </c>
    </row>
    <row r="1955" ht="15.75" customHeight="1">
      <c r="A1955" s="5" t="s">
        <v>2001</v>
      </c>
    </row>
    <row r="1956" ht="15.75" customHeight="1">
      <c r="A1956" s="5" t="s">
        <v>2002</v>
      </c>
    </row>
    <row r="1957" ht="15.75" customHeight="1">
      <c r="A1957" s="5" t="s">
        <v>2003</v>
      </c>
    </row>
    <row r="1958" ht="15.75" customHeight="1">
      <c r="A1958" s="5" t="s">
        <v>2004</v>
      </c>
    </row>
    <row r="1959" ht="15.75" customHeight="1">
      <c r="A1959" s="5" t="s">
        <v>2005</v>
      </c>
    </row>
    <row r="1960" ht="15.75" customHeight="1">
      <c r="A1960" s="5" t="s">
        <v>2006</v>
      </c>
    </row>
    <row r="1961" ht="15.75" customHeight="1">
      <c r="A1961" s="5" t="s">
        <v>2007</v>
      </c>
    </row>
    <row r="1962" ht="15.75" customHeight="1">
      <c r="A1962" s="5" t="s">
        <v>2008</v>
      </c>
    </row>
    <row r="1963" ht="15.75" customHeight="1">
      <c r="A1963" s="5" t="s">
        <v>2009</v>
      </c>
    </row>
    <row r="1964" ht="15.75" customHeight="1">
      <c r="A1964" s="5" t="s">
        <v>2010</v>
      </c>
    </row>
    <row r="1965" ht="15.75" customHeight="1">
      <c r="A1965" s="5" t="s">
        <v>2011</v>
      </c>
    </row>
    <row r="1966" ht="15.75" customHeight="1">
      <c r="A1966" s="5" t="s">
        <v>2012</v>
      </c>
    </row>
    <row r="1967" ht="15.75" customHeight="1">
      <c r="A1967" s="5" t="s">
        <v>2013</v>
      </c>
    </row>
    <row r="1968" ht="15.75" customHeight="1">
      <c r="A1968" s="5" t="s">
        <v>2014</v>
      </c>
    </row>
    <row r="1969" ht="15.75" customHeight="1">
      <c r="A1969" s="5" t="s">
        <v>2015</v>
      </c>
    </row>
    <row r="1970" ht="15.75" customHeight="1">
      <c r="A1970" s="5" t="s">
        <v>2016</v>
      </c>
    </row>
    <row r="1971" ht="15.75" customHeight="1">
      <c r="A1971" s="5" t="s">
        <v>2017</v>
      </c>
    </row>
    <row r="1972" ht="15.75" customHeight="1">
      <c r="A1972" s="5" t="s">
        <v>2018</v>
      </c>
    </row>
    <row r="1973" ht="15.75" customHeight="1">
      <c r="A1973" s="5" t="s">
        <v>2019</v>
      </c>
    </row>
    <row r="1974" ht="15.75" customHeight="1">
      <c r="A1974" s="5" t="s">
        <v>2020</v>
      </c>
    </row>
    <row r="1975" ht="15.75" customHeight="1">
      <c r="A1975" s="5" t="s">
        <v>2021</v>
      </c>
    </row>
    <row r="1976" ht="15.75" customHeight="1">
      <c r="A1976" s="5" t="s">
        <v>2022</v>
      </c>
    </row>
    <row r="1977" ht="15.75" customHeight="1">
      <c r="A1977" s="5" t="s">
        <v>2023</v>
      </c>
    </row>
    <row r="1978" ht="15.75" customHeight="1">
      <c r="A1978" s="5" t="s">
        <v>2024</v>
      </c>
    </row>
    <row r="1979" ht="15.75" customHeight="1">
      <c r="A1979" s="5" t="s">
        <v>2025</v>
      </c>
    </row>
    <row r="1980" ht="15.75" customHeight="1">
      <c r="A1980" s="5" t="s">
        <v>2026</v>
      </c>
    </row>
    <row r="1981" ht="15.75" customHeight="1">
      <c r="A1981" s="5" t="s">
        <v>2027</v>
      </c>
    </row>
    <row r="1982" ht="15.75" customHeight="1">
      <c r="A1982" s="5" t="s">
        <v>2028</v>
      </c>
    </row>
    <row r="1983" ht="15.75" customHeight="1">
      <c r="A1983" s="5" t="s">
        <v>2029</v>
      </c>
    </row>
    <row r="1984" ht="15.75" customHeight="1">
      <c r="A1984" s="5" t="s">
        <v>2030</v>
      </c>
    </row>
    <row r="1985" ht="15.75" customHeight="1">
      <c r="A1985" s="5" t="s">
        <v>2031</v>
      </c>
    </row>
    <row r="1986" ht="15.75" customHeight="1">
      <c r="A1986" s="5" t="s">
        <v>2032</v>
      </c>
    </row>
    <row r="1987" ht="15.75" customHeight="1">
      <c r="A1987" s="5" t="s">
        <v>2033</v>
      </c>
    </row>
    <row r="1988" ht="15.75" customHeight="1">
      <c r="A1988" s="5" t="s">
        <v>2034</v>
      </c>
    </row>
    <row r="1989" ht="15.75" customHeight="1">
      <c r="A1989" s="5" t="s">
        <v>2035</v>
      </c>
    </row>
    <row r="1990" ht="15.75" customHeight="1">
      <c r="A1990" s="5" t="s">
        <v>2036</v>
      </c>
    </row>
    <row r="1991" ht="15.75" customHeight="1">
      <c r="A1991" s="5" t="s">
        <v>2037</v>
      </c>
    </row>
    <row r="1992" ht="15.75" customHeight="1">
      <c r="A1992" s="5" t="s">
        <v>2038</v>
      </c>
    </row>
    <row r="1993" ht="15.75" customHeight="1">
      <c r="A1993" s="5" t="s">
        <v>2039</v>
      </c>
    </row>
    <row r="1994" ht="15.75" customHeight="1">
      <c r="A1994" s="5" t="s">
        <v>2040</v>
      </c>
    </row>
    <row r="1995" ht="15.75" customHeight="1">
      <c r="A1995" s="5" t="s">
        <v>2041</v>
      </c>
    </row>
    <row r="1996" ht="15.75" customHeight="1">
      <c r="A1996" s="5" t="s">
        <v>2042</v>
      </c>
    </row>
    <row r="1997" ht="15.75" customHeight="1">
      <c r="A1997" s="5" t="s">
        <v>2043</v>
      </c>
    </row>
    <row r="1998" ht="15.75" customHeight="1">
      <c r="A1998" s="5" t="s">
        <v>2044</v>
      </c>
    </row>
    <row r="1999" ht="15.75" customHeight="1">
      <c r="A1999" s="5" t="s">
        <v>2045</v>
      </c>
    </row>
    <row r="2000" ht="15.75" customHeight="1">
      <c r="A2000" s="5" t="s">
        <v>2046</v>
      </c>
    </row>
    <row r="2001" ht="15.75" customHeight="1">
      <c r="A2001" s="5" t="s">
        <v>2047</v>
      </c>
    </row>
    <row r="2002" ht="15.75" customHeight="1">
      <c r="A2002" s="5" t="s">
        <v>2048</v>
      </c>
    </row>
    <row r="2003" ht="15.75" customHeight="1">
      <c r="A2003" s="5" t="s">
        <v>2049</v>
      </c>
    </row>
    <row r="2004" ht="15.75" customHeight="1">
      <c r="A2004" s="5" t="s">
        <v>2050</v>
      </c>
    </row>
    <row r="2005" ht="15.75" customHeight="1">
      <c r="A2005" s="5" t="s">
        <v>2051</v>
      </c>
    </row>
    <row r="2006" ht="15.75" customHeight="1">
      <c r="A2006" s="5" t="s">
        <v>2052</v>
      </c>
    </row>
    <row r="2007" ht="15.75" customHeight="1">
      <c r="A2007" s="5" t="s">
        <v>2053</v>
      </c>
    </row>
    <row r="2008" ht="15.75" customHeight="1">
      <c r="A2008" s="5" t="s">
        <v>2054</v>
      </c>
    </row>
    <row r="2009" ht="15.75" customHeight="1">
      <c r="A2009" s="5" t="s">
        <v>2055</v>
      </c>
    </row>
    <row r="2010" ht="15.75" customHeight="1">
      <c r="A2010" s="5" t="s">
        <v>2056</v>
      </c>
    </row>
    <row r="2011" ht="15.75" customHeight="1">
      <c r="A2011" s="5" t="s">
        <v>2057</v>
      </c>
    </row>
    <row r="2012" ht="15.75" customHeight="1">
      <c r="A2012" s="5" t="s">
        <v>2058</v>
      </c>
    </row>
    <row r="2013" ht="15.75" customHeight="1">
      <c r="A2013" s="5" t="s">
        <v>2059</v>
      </c>
    </row>
    <row r="2014" ht="15.75" customHeight="1">
      <c r="A2014" s="5" t="s">
        <v>2060</v>
      </c>
    </row>
    <row r="2015" ht="15.75" customHeight="1">
      <c r="A2015" s="5" t="s">
        <v>2061</v>
      </c>
    </row>
    <row r="2016" ht="15.75" customHeight="1">
      <c r="A2016" s="5" t="s">
        <v>2062</v>
      </c>
    </row>
    <row r="2017" ht="15.75" customHeight="1">
      <c r="A2017" s="5" t="s">
        <v>2063</v>
      </c>
    </row>
    <row r="2018" ht="15.75" customHeight="1">
      <c r="A2018" s="5" t="s">
        <v>2064</v>
      </c>
    </row>
    <row r="2019" ht="15.75" customHeight="1">
      <c r="A2019" s="5" t="s">
        <v>2065</v>
      </c>
    </row>
    <row r="2020" ht="15.75" customHeight="1">
      <c r="A2020" s="5" t="s">
        <v>2066</v>
      </c>
    </row>
    <row r="2021" ht="15.75" customHeight="1">
      <c r="A2021" s="5" t="s">
        <v>2067</v>
      </c>
    </row>
    <row r="2022" ht="15.75" customHeight="1">
      <c r="A2022" s="5" t="s">
        <v>2068</v>
      </c>
    </row>
    <row r="2023" ht="15.75" customHeight="1">
      <c r="A2023" s="5" t="s">
        <v>2069</v>
      </c>
    </row>
    <row r="2024" ht="15.75" customHeight="1">
      <c r="A2024" s="5" t="s">
        <v>2070</v>
      </c>
    </row>
    <row r="2025" ht="15.75" customHeight="1">
      <c r="A2025" s="5" t="s">
        <v>2071</v>
      </c>
    </row>
    <row r="2026" ht="15.75" customHeight="1">
      <c r="A2026" s="5" t="s">
        <v>2072</v>
      </c>
    </row>
    <row r="2027" ht="15.75" customHeight="1">
      <c r="A2027" s="5" t="s">
        <v>2073</v>
      </c>
    </row>
    <row r="2028" ht="15.75" customHeight="1">
      <c r="A2028" s="5" t="s">
        <v>2074</v>
      </c>
    </row>
    <row r="2029" ht="15.75" customHeight="1">
      <c r="A2029" s="5" t="s">
        <v>2075</v>
      </c>
    </row>
    <row r="2030" ht="15.75" customHeight="1">
      <c r="A2030" s="5" t="s">
        <v>2076</v>
      </c>
    </row>
    <row r="2031" ht="15.75" customHeight="1">
      <c r="A2031" s="5" t="s">
        <v>2077</v>
      </c>
    </row>
    <row r="2032" ht="15.75" customHeight="1">
      <c r="A2032" s="5" t="s">
        <v>2078</v>
      </c>
    </row>
    <row r="2033" ht="15.75" customHeight="1">
      <c r="A2033" s="5" t="s">
        <v>2079</v>
      </c>
    </row>
    <row r="2034" ht="15.75" customHeight="1">
      <c r="A2034" s="5" t="s">
        <v>2080</v>
      </c>
    </row>
    <row r="2035" ht="15.75" customHeight="1">
      <c r="A2035" s="5" t="s">
        <v>2081</v>
      </c>
    </row>
    <row r="2036" ht="15.75" customHeight="1">
      <c r="A2036" s="5" t="s">
        <v>2082</v>
      </c>
    </row>
    <row r="2037" ht="15.75" customHeight="1">
      <c r="A2037" s="5" t="s">
        <v>2083</v>
      </c>
    </row>
    <row r="2038" ht="15.75" customHeight="1">
      <c r="A2038" s="5" t="s">
        <v>2084</v>
      </c>
    </row>
    <row r="2039" ht="15.75" customHeight="1">
      <c r="A2039" s="5" t="s">
        <v>2085</v>
      </c>
    </row>
    <row r="2040" ht="15.75" customHeight="1">
      <c r="A2040" s="5" t="s">
        <v>2086</v>
      </c>
    </row>
    <row r="2041" ht="15.75" customHeight="1">
      <c r="A2041" s="5" t="s">
        <v>2087</v>
      </c>
    </row>
    <row r="2042" ht="15.75" customHeight="1">
      <c r="A2042" s="5" t="s">
        <v>2088</v>
      </c>
    </row>
    <row r="2043" ht="15.75" customHeight="1">
      <c r="A2043" s="5" t="s">
        <v>2089</v>
      </c>
    </row>
    <row r="2044" ht="15.75" customHeight="1">
      <c r="A2044" s="5" t="s">
        <v>2090</v>
      </c>
    </row>
    <row r="2045" ht="15.75" customHeight="1">
      <c r="A2045" s="5" t="s">
        <v>2091</v>
      </c>
    </row>
    <row r="2046" ht="15.75" customHeight="1">
      <c r="A2046" s="5" t="s">
        <v>2092</v>
      </c>
    </row>
    <row r="2047" ht="15.75" customHeight="1">
      <c r="A2047" s="5" t="s">
        <v>2093</v>
      </c>
    </row>
    <row r="2048" ht="15.75" customHeight="1">
      <c r="A2048" s="5" t="s">
        <v>2094</v>
      </c>
    </row>
    <row r="2049" ht="15.75" customHeight="1">
      <c r="A2049" s="5" t="s">
        <v>2095</v>
      </c>
    </row>
    <row r="2050" ht="15.75" customHeight="1">
      <c r="A2050" s="5" t="s">
        <v>2096</v>
      </c>
    </row>
    <row r="2051" ht="15.75" customHeight="1">
      <c r="A2051" s="5" t="s">
        <v>2097</v>
      </c>
    </row>
    <row r="2052" ht="15.75" customHeight="1">
      <c r="A2052" s="5" t="s">
        <v>2098</v>
      </c>
    </row>
    <row r="2053" ht="15.75" customHeight="1">
      <c r="A2053" s="5" t="s">
        <v>2099</v>
      </c>
    </row>
    <row r="2054" ht="15.75" customHeight="1">
      <c r="A2054" s="5" t="s">
        <v>2100</v>
      </c>
    </row>
    <row r="2055" ht="15.75" customHeight="1">
      <c r="A2055" s="5" t="s">
        <v>2101</v>
      </c>
    </row>
    <row r="2056" ht="15.75" customHeight="1">
      <c r="A2056" s="5" t="s">
        <v>2102</v>
      </c>
    </row>
    <row r="2057" ht="15.75" customHeight="1">
      <c r="A2057" s="5" t="s">
        <v>2103</v>
      </c>
    </row>
    <row r="2058" ht="15.75" customHeight="1">
      <c r="A2058" s="5" t="s">
        <v>2104</v>
      </c>
    </row>
    <row r="2059" ht="15.75" customHeight="1">
      <c r="A2059" s="5" t="s">
        <v>2105</v>
      </c>
    </row>
    <row r="2060" ht="15.75" customHeight="1">
      <c r="A2060" s="5" t="s">
        <v>2106</v>
      </c>
    </row>
    <row r="2061" ht="15.75" customHeight="1">
      <c r="A2061" s="5" t="s">
        <v>2107</v>
      </c>
    </row>
    <row r="2062" ht="15.75" customHeight="1">
      <c r="A2062" s="5" t="s">
        <v>2108</v>
      </c>
    </row>
    <row r="2063" ht="15.75" customHeight="1">
      <c r="A2063" s="5" t="s">
        <v>2109</v>
      </c>
    </row>
    <row r="2064" ht="15.75" customHeight="1">
      <c r="A2064" s="5" t="s">
        <v>2110</v>
      </c>
    </row>
    <row r="2065" ht="15.75" customHeight="1">
      <c r="A2065" s="5" t="s">
        <v>2111</v>
      </c>
    </row>
    <row r="2066" ht="15.75" customHeight="1">
      <c r="A2066" s="5" t="s">
        <v>2112</v>
      </c>
    </row>
    <row r="2067" ht="15.75" customHeight="1">
      <c r="A2067" s="5" t="s">
        <v>2113</v>
      </c>
    </row>
    <row r="2068" ht="15.75" customHeight="1">
      <c r="A2068" s="5" t="s">
        <v>2114</v>
      </c>
    </row>
    <row r="2069" ht="15.75" customHeight="1">
      <c r="A2069" s="5" t="s">
        <v>2115</v>
      </c>
    </row>
    <row r="2070" ht="15.75" customHeight="1">
      <c r="A2070" s="5" t="s">
        <v>2116</v>
      </c>
    </row>
    <row r="2071" ht="15.75" customHeight="1">
      <c r="A2071" s="5" t="s">
        <v>2117</v>
      </c>
    </row>
    <row r="2072" ht="15.75" customHeight="1">
      <c r="A2072" s="5" t="s">
        <v>2118</v>
      </c>
    </row>
    <row r="2073" ht="15.75" customHeight="1">
      <c r="A2073" s="5" t="s">
        <v>2119</v>
      </c>
    </row>
    <row r="2074" ht="15.75" customHeight="1">
      <c r="A2074" s="5" t="s">
        <v>2120</v>
      </c>
    </row>
    <row r="2075" ht="15.75" customHeight="1">
      <c r="A2075" s="5" t="s">
        <v>2121</v>
      </c>
    </row>
    <row r="2076" ht="15.75" customHeight="1">
      <c r="A2076" s="5" t="s">
        <v>2122</v>
      </c>
    </row>
    <row r="2077" ht="15.75" customHeight="1">
      <c r="A2077" s="5" t="s">
        <v>2123</v>
      </c>
    </row>
    <row r="2078" ht="15.75" customHeight="1">
      <c r="A2078" s="5" t="s">
        <v>2124</v>
      </c>
    </row>
    <row r="2079" ht="15.75" customHeight="1">
      <c r="A2079" s="5" t="s">
        <v>2125</v>
      </c>
    </row>
    <row r="2080" ht="15.75" customHeight="1">
      <c r="A2080" s="5" t="s">
        <v>2126</v>
      </c>
    </row>
    <row r="2081" ht="15.75" customHeight="1">
      <c r="A2081" s="5" t="s">
        <v>2127</v>
      </c>
    </row>
    <row r="2082" ht="15.75" customHeight="1">
      <c r="A2082" s="5" t="s">
        <v>2128</v>
      </c>
    </row>
    <row r="2083" ht="15.75" customHeight="1">
      <c r="A2083" s="5" t="s">
        <v>2129</v>
      </c>
    </row>
    <row r="2084" ht="15.75" customHeight="1">
      <c r="A2084" s="5" t="s">
        <v>2130</v>
      </c>
    </row>
    <row r="2085" ht="15.75" customHeight="1">
      <c r="A2085" s="5" t="s">
        <v>2131</v>
      </c>
    </row>
    <row r="2086" ht="15.75" customHeight="1">
      <c r="A2086" s="5" t="s">
        <v>2132</v>
      </c>
    </row>
    <row r="2087" ht="15.75" customHeight="1">
      <c r="A2087" s="5" t="s">
        <v>2133</v>
      </c>
    </row>
    <row r="2088" ht="15.75" customHeight="1">
      <c r="A2088" s="5" t="s">
        <v>2134</v>
      </c>
    </row>
    <row r="2089" ht="15.75" customHeight="1">
      <c r="A2089" s="5" t="s">
        <v>2135</v>
      </c>
    </row>
    <row r="2090" ht="15.75" customHeight="1">
      <c r="A2090" s="5" t="s">
        <v>2136</v>
      </c>
    </row>
    <row r="2091" ht="15.75" customHeight="1">
      <c r="A2091" s="5" t="s">
        <v>2137</v>
      </c>
    </row>
    <row r="2092" ht="15.75" customHeight="1">
      <c r="A2092" s="5" t="s">
        <v>2138</v>
      </c>
    </row>
    <row r="2093" ht="15.75" customHeight="1">
      <c r="A2093" s="5" t="s">
        <v>2139</v>
      </c>
    </row>
    <row r="2094" ht="15.75" customHeight="1">
      <c r="A2094" s="5" t="s">
        <v>2140</v>
      </c>
    </row>
    <row r="2095" ht="15.75" customHeight="1">
      <c r="A2095" s="5" t="s">
        <v>2141</v>
      </c>
    </row>
    <row r="2096" ht="15.75" customHeight="1">
      <c r="A2096" s="5" t="s">
        <v>2142</v>
      </c>
    </row>
    <row r="2097" ht="15.75" customHeight="1">
      <c r="A2097" s="5" t="s">
        <v>2143</v>
      </c>
    </row>
    <row r="2098" ht="15.75" customHeight="1">
      <c r="A2098" s="5" t="s">
        <v>2144</v>
      </c>
    </row>
    <row r="2099" ht="15.75" customHeight="1">
      <c r="A2099" s="5" t="s">
        <v>2145</v>
      </c>
    </row>
    <row r="2100" ht="15.75" customHeight="1">
      <c r="A2100" s="5" t="s">
        <v>2146</v>
      </c>
    </row>
    <row r="2101" ht="15.75" customHeight="1">
      <c r="A2101" s="5" t="s">
        <v>2147</v>
      </c>
    </row>
    <row r="2102" ht="15.75" customHeight="1">
      <c r="A2102" s="5" t="s">
        <v>2148</v>
      </c>
    </row>
    <row r="2103" ht="15.75" customHeight="1">
      <c r="A2103" s="5" t="s">
        <v>2149</v>
      </c>
    </row>
    <row r="2104" ht="15.75" customHeight="1">
      <c r="A2104" s="5" t="s">
        <v>2150</v>
      </c>
    </row>
    <row r="2105" ht="15.75" customHeight="1">
      <c r="A2105" s="5" t="s">
        <v>2151</v>
      </c>
    </row>
    <row r="2106" ht="15.75" customHeight="1">
      <c r="A2106" s="5" t="s">
        <v>2152</v>
      </c>
    </row>
    <row r="2107" ht="15.75" customHeight="1">
      <c r="A2107" s="5" t="s">
        <v>2153</v>
      </c>
    </row>
    <row r="2108" ht="15.75" customHeight="1">
      <c r="A2108" s="5" t="s">
        <v>2154</v>
      </c>
    </row>
    <row r="2109" ht="15.75" customHeight="1">
      <c r="A2109" s="5" t="s">
        <v>2155</v>
      </c>
    </row>
    <row r="2110" ht="15.75" customHeight="1">
      <c r="A2110" s="5" t="s">
        <v>2156</v>
      </c>
    </row>
    <row r="2111" ht="15.75" customHeight="1">
      <c r="A2111" s="5" t="s">
        <v>2157</v>
      </c>
    </row>
    <row r="2112" ht="15.75" customHeight="1">
      <c r="A2112" s="5" t="s">
        <v>2158</v>
      </c>
    </row>
    <row r="2113" ht="15.75" customHeight="1">
      <c r="A2113" s="5" t="s">
        <v>2159</v>
      </c>
    </row>
    <row r="2114" ht="15.75" customHeight="1">
      <c r="A2114" s="5" t="s">
        <v>2160</v>
      </c>
    </row>
    <row r="2115" ht="15.75" customHeight="1">
      <c r="A2115" s="5" t="s">
        <v>2161</v>
      </c>
    </row>
    <row r="2116" ht="15.75" customHeight="1">
      <c r="A2116" s="5" t="s">
        <v>2162</v>
      </c>
    </row>
    <row r="2117" ht="15.75" customHeight="1">
      <c r="A2117" s="5" t="s">
        <v>2163</v>
      </c>
    </row>
    <row r="2118" ht="15.75" customHeight="1">
      <c r="A2118" s="5" t="s">
        <v>2164</v>
      </c>
    </row>
    <row r="2119" ht="15.75" customHeight="1">
      <c r="A2119" s="5" t="s">
        <v>2165</v>
      </c>
    </row>
    <row r="2120" ht="15.75" customHeight="1">
      <c r="A2120" s="5" t="s">
        <v>2166</v>
      </c>
    </row>
    <row r="2121" ht="15.75" customHeight="1">
      <c r="A2121" s="5" t="s">
        <v>2167</v>
      </c>
    </row>
    <row r="2122" ht="15.75" customHeight="1">
      <c r="A2122" s="5" t="s">
        <v>2168</v>
      </c>
    </row>
    <row r="2123" ht="15.75" customHeight="1">
      <c r="A2123" s="5" t="s">
        <v>2169</v>
      </c>
    </row>
    <row r="2124" ht="15.75" customHeight="1">
      <c r="A2124" s="5" t="s">
        <v>2170</v>
      </c>
    </row>
    <row r="2125" ht="15.75" customHeight="1">
      <c r="A2125" s="5" t="s">
        <v>2171</v>
      </c>
    </row>
    <row r="2126" ht="15.75" customHeight="1">
      <c r="A2126" s="5" t="s">
        <v>2172</v>
      </c>
    </row>
    <row r="2127" ht="15.75" customHeight="1">
      <c r="A2127" s="5" t="s">
        <v>2173</v>
      </c>
    </row>
    <row r="2128" ht="15.75" customHeight="1">
      <c r="A2128" s="5" t="s">
        <v>2174</v>
      </c>
    </row>
    <row r="2129" ht="15.75" customHeight="1">
      <c r="A2129" s="5" t="s">
        <v>2175</v>
      </c>
    </row>
    <row r="2130" ht="15.75" customHeight="1">
      <c r="A2130" s="5" t="s">
        <v>2176</v>
      </c>
    </row>
    <row r="2131" ht="15.75" customHeight="1">
      <c r="A2131" s="5" t="s">
        <v>2177</v>
      </c>
    </row>
    <row r="2132" ht="15.75" customHeight="1">
      <c r="A2132" s="5" t="s">
        <v>2178</v>
      </c>
    </row>
    <row r="2133" ht="15.75" customHeight="1">
      <c r="A2133" s="5" t="s">
        <v>2179</v>
      </c>
    </row>
    <row r="2134" ht="15.75" customHeight="1">
      <c r="A2134" s="5" t="s">
        <v>2180</v>
      </c>
    </row>
    <row r="2135" ht="15.75" customHeight="1">
      <c r="A2135" s="5" t="s">
        <v>2181</v>
      </c>
    </row>
    <row r="2136" ht="15.75" customHeight="1">
      <c r="A2136" s="5" t="s">
        <v>2182</v>
      </c>
    </row>
    <row r="2137" ht="15.75" customHeight="1">
      <c r="A2137" s="5" t="s">
        <v>2183</v>
      </c>
    </row>
    <row r="2138" ht="15.75" customHeight="1">
      <c r="A2138" s="5" t="s">
        <v>2184</v>
      </c>
    </row>
    <row r="2139" ht="15.75" customHeight="1">
      <c r="A2139" s="5" t="s">
        <v>2185</v>
      </c>
    </row>
    <row r="2140" ht="15.75" customHeight="1">
      <c r="A2140" s="5" t="s">
        <v>2186</v>
      </c>
    </row>
    <row r="2141" ht="15.75" customHeight="1">
      <c r="A2141" s="5" t="s">
        <v>2187</v>
      </c>
    </row>
    <row r="2142" ht="15.75" customHeight="1">
      <c r="A2142" s="5" t="s">
        <v>2188</v>
      </c>
    </row>
    <row r="2143" ht="15.75" customHeight="1">
      <c r="A2143" s="5" t="s">
        <v>2189</v>
      </c>
    </row>
    <row r="2144" ht="15.75" customHeight="1">
      <c r="A2144" s="5" t="s">
        <v>2190</v>
      </c>
    </row>
    <row r="2145" ht="15.75" customHeight="1">
      <c r="A2145" s="5" t="s">
        <v>2191</v>
      </c>
    </row>
    <row r="2146" ht="15.75" customHeight="1">
      <c r="A2146" s="5" t="s">
        <v>2192</v>
      </c>
    </row>
    <row r="2147" ht="15.75" customHeight="1">
      <c r="A2147" s="5" t="s">
        <v>2193</v>
      </c>
    </row>
    <row r="2148" ht="15.75" customHeight="1">
      <c r="A2148" s="5" t="s">
        <v>2194</v>
      </c>
    </row>
    <row r="2149" ht="15.75" customHeight="1">
      <c r="A2149" s="5" t="s">
        <v>2195</v>
      </c>
    </row>
    <row r="2150" ht="15.75" customHeight="1">
      <c r="A2150" s="5" t="s">
        <v>2196</v>
      </c>
    </row>
    <row r="2151" ht="15.75" customHeight="1">
      <c r="A2151" s="5" t="s">
        <v>2197</v>
      </c>
    </row>
    <row r="2152" ht="15.75" customHeight="1">
      <c r="A2152" s="5" t="s">
        <v>2198</v>
      </c>
    </row>
    <row r="2153" ht="15.75" customHeight="1">
      <c r="A2153" s="5" t="s">
        <v>2199</v>
      </c>
    </row>
    <row r="2154" ht="15.75" customHeight="1">
      <c r="A2154" s="5" t="s">
        <v>2200</v>
      </c>
    </row>
    <row r="2155" ht="15.75" customHeight="1">
      <c r="A2155" s="5" t="s">
        <v>2201</v>
      </c>
    </row>
    <row r="2156" ht="15.75" customHeight="1">
      <c r="A2156" s="5" t="s">
        <v>2202</v>
      </c>
    </row>
    <row r="2157" ht="15.75" customHeight="1">
      <c r="A2157" s="5" t="s">
        <v>2203</v>
      </c>
    </row>
    <row r="2158" ht="15.75" customHeight="1">
      <c r="A2158" s="5" t="s">
        <v>2204</v>
      </c>
    </row>
    <row r="2159" ht="15.75" customHeight="1">
      <c r="A2159" s="5" t="s">
        <v>2205</v>
      </c>
    </row>
    <row r="2160" ht="15.75" customHeight="1">
      <c r="A2160" s="5" t="s">
        <v>2206</v>
      </c>
    </row>
    <row r="2161" ht="15.75" customHeight="1">
      <c r="A2161" s="5" t="s">
        <v>2207</v>
      </c>
    </row>
    <row r="2162" ht="15.75" customHeight="1">
      <c r="A2162" s="5" t="s">
        <v>2208</v>
      </c>
    </row>
    <row r="2163" ht="15.75" customHeight="1">
      <c r="A2163" s="5" t="s">
        <v>2209</v>
      </c>
    </row>
    <row r="2164" ht="15.75" customHeight="1">
      <c r="A2164" s="5" t="s">
        <v>2210</v>
      </c>
    </row>
    <row r="2165" ht="15.75" customHeight="1">
      <c r="A2165" s="5" t="s">
        <v>2211</v>
      </c>
    </row>
    <row r="2166" ht="15.75" customHeight="1">
      <c r="A2166" s="5" t="s">
        <v>2212</v>
      </c>
    </row>
    <row r="2167" ht="15.75" customHeight="1">
      <c r="A2167" s="5" t="s">
        <v>2213</v>
      </c>
    </row>
    <row r="2168" ht="15.75" customHeight="1">
      <c r="A2168" s="5" t="s">
        <v>2214</v>
      </c>
    </row>
    <row r="2169" ht="15.75" customHeight="1">
      <c r="A2169" s="5" t="s">
        <v>2215</v>
      </c>
    </row>
    <row r="2170" ht="15.75" customHeight="1">
      <c r="A2170" s="5" t="s">
        <v>2216</v>
      </c>
    </row>
    <row r="2171" ht="15.75" customHeight="1">
      <c r="A2171" s="5" t="s">
        <v>2217</v>
      </c>
    </row>
    <row r="2172" ht="15.75" customHeight="1">
      <c r="A2172" s="5" t="s">
        <v>2218</v>
      </c>
    </row>
    <row r="2173" ht="15.75" customHeight="1">
      <c r="A2173" s="5" t="s">
        <v>2219</v>
      </c>
    </row>
    <row r="2174" ht="15.75" customHeight="1">
      <c r="A2174" s="5" t="s">
        <v>2220</v>
      </c>
    </row>
    <row r="2175" ht="15.75" customHeight="1">
      <c r="A2175" s="5" t="s">
        <v>2221</v>
      </c>
    </row>
    <row r="2176" ht="15.75" customHeight="1">
      <c r="A2176" s="5" t="s">
        <v>2222</v>
      </c>
    </row>
    <row r="2177" ht="15.75" customHeight="1">
      <c r="A2177" s="5" t="s">
        <v>2223</v>
      </c>
    </row>
    <row r="2178" ht="15.75" customHeight="1">
      <c r="A2178" s="5" t="s">
        <v>2224</v>
      </c>
    </row>
    <row r="2179" ht="15.75" customHeight="1">
      <c r="A2179" s="5" t="s">
        <v>2225</v>
      </c>
    </row>
    <row r="2180" ht="15.75" customHeight="1">
      <c r="A2180" s="5" t="s">
        <v>2226</v>
      </c>
    </row>
    <row r="2181" ht="15.75" customHeight="1">
      <c r="A2181" s="5" t="s">
        <v>2227</v>
      </c>
    </row>
    <row r="2182" ht="15.75" customHeight="1">
      <c r="A2182" s="5" t="s">
        <v>2228</v>
      </c>
    </row>
    <row r="2183" ht="15.75" customHeight="1">
      <c r="A2183" s="5" t="s">
        <v>2229</v>
      </c>
    </row>
    <row r="2184" ht="15.75" customHeight="1">
      <c r="A2184" s="5" t="s">
        <v>2230</v>
      </c>
    </row>
    <row r="2185" ht="15.75" customHeight="1">
      <c r="A2185" s="5" t="s">
        <v>2231</v>
      </c>
    </row>
    <row r="2186" ht="15.75" customHeight="1">
      <c r="A2186" s="5" t="s">
        <v>2232</v>
      </c>
    </row>
    <row r="2187" ht="15.75" customHeight="1">
      <c r="A2187" s="5" t="s">
        <v>2233</v>
      </c>
    </row>
    <row r="2188" ht="15.75" customHeight="1">
      <c r="A2188" s="5" t="s">
        <v>2234</v>
      </c>
    </row>
    <row r="2189" ht="15.75" customHeight="1">
      <c r="A2189" s="5" t="s">
        <v>2235</v>
      </c>
    </row>
    <row r="2190" ht="15.75" customHeight="1">
      <c r="A2190" s="5" t="s">
        <v>2236</v>
      </c>
    </row>
    <row r="2191" ht="15.75" customHeight="1">
      <c r="A2191" s="5" t="s">
        <v>2237</v>
      </c>
    </row>
    <row r="2192" ht="15.75" customHeight="1">
      <c r="A2192" s="5" t="s">
        <v>2238</v>
      </c>
    </row>
    <row r="2193" ht="15.75" customHeight="1">
      <c r="A2193" s="5" t="s">
        <v>2239</v>
      </c>
    </row>
    <row r="2194" ht="15.75" customHeight="1">
      <c r="A2194" s="5" t="s">
        <v>2240</v>
      </c>
    </row>
    <row r="2195" ht="15.75" customHeight="1">
      <c r="A2195" s="5" t="s">
        <v>2241</v>
      </c>
    </row>
    <row r="2196" ht="15.75" customHeight="1">
      <c r="A2196" s="5" t="s">
        <v>2242</v>
      </c>
    </row>
    <row r="2197" ht="15.75" customHeight="1">
      <c r="A2197" s="5" t="s">
        <v>2243</v>
      </c>
    </row>
    <row r="2198" ht="15.75" customHeight="1">
      <c r="A2198" s="5" t="s">
        <v>2244</v>
      </c>
    </row>
    <row r="2199" ht="15.75" customHeight="1">
      <c r="A2199" s="5" t="s">
        <v>2245</v>
      </c>
    </row>
    <row r="2200" ht="15.75" customHeight="1">
      <c r="A2200" s="5" t="s">
        <v>2246</v>
      </c>
    </row>
    <row r="2201" ht="15.75" customHeight="1">
      <c r="A2201" s="5" t="s">
        <v>2247</v>
      </c>
    </row>
    <row r="2202" ht="15.75" customHeight="1">
      <c r="A2202" s="5" t="s">
        <v>2248</v>
      </c>
    </row>
    <row r="2203" ht="15.75" customHeight="1">
      <c r="A2203" s="5" t="s">
        <v>2249</v>
      </c>
    </row>
    <row r="2204" ht="15.75" customHeight="1">
      <c r="A2204" s="5" t="s">
        <v>2250</v>
      </c>
    </row>
    <row r="2205" ht="15.75" customHeight="1">
      <c r="A2205" s="5" t="s">
        <v>2251</v>
      </c>
    </row>
    <row r="2206" ht="15.75" customHeight="1">
      <c r="A2206" s="5" t="s">
        <v>2252</v>
      </c>
    </row>
    <row r="2207" ht="15.75" customHeight="1">
      <c r="A2207" s="5" t="s">
        <v>2253</v>
      </c>
    </row>
    <row r="2208" ht="15.75" customHeight="1">
      <c r="A2208" s="5" t="s">
        <v>2254</v>
      </c>
    </row>
    <row r="2209" ht="15.75" customHeight="1">
      <c r="A2209" s="5" t="s">
        <v>2255</v>
      </c>
    </row>
    <row r="2210" ht="15.75" customHeight="1">
      <c r="A2210" s="5" t="s">
        <v>2256</v>
      </c>
    </row>
    <row r="2211" ht="15.75" customHeight="1">
      <c r="A2211" s="5" t="s">
        <v>2257</v>
      </c>
    </row>
    <row r="2212" ht="15.75" customHeight="1">
      <c r="A2212" s="5" t="s">
        <v>2258</v>
      </c>
    </row>
    <row r="2213" ht="15.75" customHeight="1">
      <c r="A2213" s="5" t="s">
        <v>2259</v>
      </c>
    </row>
    <row r="2214" ht="15.75" customHeight="1">
      <c r="A2214" s="5" t="s">
        <v>2260</v>
      </c>
    </row>
    <row r="2215" ht="15.75" customHeight="1">
      <c r="A2215" s="5" t="s">
        <v>2261</v>
      </c>
    </row>
    <row r="2216" ht="15.75" customHeight="1">
      <c r="A2216" s="5" t="s">
        <v>2262</v>
      </c>
    </row>
    <row r="2217" ht="15.75" customHeight="1">
      <c r="A2217" s="5" t="s">
        <v>2263</v>
      </c>
    </row>
    <row r="2218" ht="15.75" customHeight="1">
      <c r="A2218" s="5" t="s">
        <v>2264</v>
      </c>
    </row>
    <row r="2219" ht="15.75" customHeight="1">
      <c r="A2219" s="5" t="s">
        <v>2265</v>
      </c>
    </row>
    <row r="2220" ht="15.75" customHeight="1">
      <c r="A2220" s="5" t="s">
        <v>2266</v>
      </c>
    </row>
    <row r="2221" ht="15.75" customHeight="1">
      <c r="A2221" s="5" t="s">
        <v>2267</v>
      </c>
    </row>
    <row r="2222" ht="15.75" customHeight="1">
      <c r="A2222" s="5" t="s">
        <v>2268</v>
      </c>
    </row>
    <row r="2223" ht="15.75" customHeight="1">
      <c r="A2223" s="5" t="s">
        <v>2269</v>
      </c>
    </row>
    <row r="2224" ht="15.75" customHeight="1">
      <c r="A2224" s="5" t="s">
        <v>2270</v>
      </c>
    </row>
    <row r="2225" ht="15.75" customHeight="1">
      <c r="A2225" s="5" t="s">
        <v>2271</v>
      </c>
    </row>
    <row r="2226" ht="15.75" customHeight="1">
      <c r="A2226" s="5" t="s">
        <v>2272</v>
      </c>
    </row>
    <row r="2227" ht="15.75" customHeight="1">
      <c r="A2227" s="5" t="s">
        <v>2273</v>
      </c>
    </row>
    <row r="2228" ht="15.75" customHeight="1">
      <c r="A2228" s="5" t="s">
        <v>2274</v>
      </c>
    </row>
    <row r="2229" ht="15.75" customHeight="1">
      <c r="A2229" s="5" t="s">
        <v>2275</v>
      </c>
    </row>
    <row r="2230" ht="15.75" customHeight="1">
      <c r="A2230" s="5" t="s">
        <v>2276</v>
      </c>
    </row>
    <row r="2231" ht="15.75" customHeight="1">
      <c r="A2231" s="5" t="s">
        <v>2277</v>
      </c>
    </row>
    <row r="2232" ht="15.75" customHeight="1">
      <c r="A2232" s="5" t="s">
        <v>2278</v>
      </c>
    </row>
    <row r="2233" ht="15.75" customHeight="1">
      <c r="A2233" s="5" t="s">
        <v>2279</v>
      </c>
    </row>
    <row r="2234" ht="15.75" customHeight="1">
      <c r="A2234" s="5" t="s">
        <v>2280</v>
      </c>
    </row>
    <row r="2235" ht="15.75" customHeight="1">
      <c r="A2235" s="5" t="s">
        <v>2281</v>
      </c>
    </row>
    <row r="2236" ht="15.75" customHeight="1">
      <c r="A2236" s="5" t="s">
        <v>2282</v>
      </c>
    </row>
    <row r="2237" ht="15.75" customHeight="1">
      <c r="A2237" s="5" t="s">
        <v>2283</v>
      </c>
    </row>
    <row r="2238" ht="15.75" customHeight="1">
      <c r="A2238" s="5" t="s">
        <v>2284</v>
      </c>
    </row>
    <row r="2239" ht="15.75" customHeight="1">
      <c r="A2239" s="5" t="s">
        <v>2285</v>
      </c>
    </row>
    <row r="2240" ht="15.75" customHeight="1">
      <c r="A2240" s="5" t="s">
        <v>2286</v>
      </c>
    </row>
    <row r="2241" ht="15.75" customHeight="1">
      <c r="A2241" s="5" t="s">
        <v>2287</v>
      </c>
    </row>
    <row r="2242" ht="15.75" customHeight="1">
      <c r="A2242" s="5" t="s">
        <v>2288</v>
      </c>
    </row>
    <row r="2243" ht="15.75" customHeight="1">
      <c r="A2243" s="5" t="s">
        <v>2289</v>
      </c>
    </row>
    <row r="2244" ht="15.75" customHeight="1">
      <c r="A2244" s="5" t="s">
        <v>2290</v>
      </c>
    </row>
    <row r="2245" ht="15.75" customHeight="1">
      <c r="A2245" s="5" t="s">
        <v>2291</v>
      </c>
    </row>
    <row r="2246" ht="15.75" customHeight="1">
      <c r="A2246" s="5" t="s">
        <v>2292</v>
      </c>
    </row>
    <row r="2247" ht="15.75" customHeight="1">
      <c r="A2247" s="5" t="s">
        <v>2293</v>
      </c>
    </row>
    <row r="2248" ht="15.75" customHeight="1">
      <c r="A2248" s="5" t="s">
        <v>2294</v>
      </c>
    </row>
    <row r="2249" ht="15.75" customHeight="1">
      <c r="A2249" s="5" t="s">
        <v>2295</v>
      </c>
    </row>
    <row r="2250" ht="15.75" customHeight="1">
      <c r="A2250" s="5" t="s">
        <v>2296</v>
      </c>
    </row>
    <row r="2251" ht="15.75" customHeight="1">
      <c r="A2251" s="5" t="s">
        <v>2297</v>
      </c>
    </row>
    <row r="2252" ht="15.75" customHeight="1">
      <c r="A2252" s="5" t="s">
        <v>2298</v>
      </c>
    </row>
    <row r="2253" ht="15.75" customHeight="1">
      <c r="A2253" s="5" t="s">
        <v>2299</v>
      </c>
    </row>
    <row r="2254" ht="15.75" customHeight="1">
      <c r="A2254" s="5" t="s">
        <v>2300</v>
      </c>
    </row>
    <row r="2255" ht="15.75" customHeight="1">
      <c r="A2255" s="5" t="s">
        <v>2301</v>
      </c>
    </row>
    <row r="2256" ht="15.75" customHeight="1">
      <c r="A2256" s="5" t="s">
        <v>2302</v>
      </c>
    </row>
    <row r="2257" ht="15.75" customHeight="1">
      <c r="A2257" s="5" t="s">
        <v>2303</v>
      </c>
    </row>
    <row r="2258" ht="15.75" customHeight="1">
      <c r="A2258" s="5" t="s">
        <v>2304</v>
      </c>
    </row>
    <row r="2259" ht="15.75" customHeight="1">
      <c r="A2259" s="5" t="s">
        <v>2305</v>
      </c>
    </row>
    <row r="2260" ht="15.75" customHeight="1">
      <c r="A2260" s="5"/>
    </row>
    <row r="2261" ht="15.75" customHeight="1">
      <c r="A2261" s="5" t="s">
        <v>2306</v>
      </c>
    </row>
    <row r="2262" ht="15.75" customHeight="1">
      <c r="A2262" s="5"/>
    </row>
    <row r="2263" ht="15.75" customHeight="1">
      <c r="A2263" s="5" t="s">
        <v>2307</v>
      </c>
    </row>
    <row r="2264" ht="15.75" customHeight="1">
      <c r="A2264" s="5" t="s">
        <v>2308</v>
      </c>
    </row>
    <row r="2265" ht="15.75" customHeight="1">
      <c r="A2265" s="5" t="s">
        <v>2309</v>
      </c>
    </row>
    <row r="2266" ht="15.75" customHeight="1">
      <c r="A2266" s="5" t="s">
        <v>2310</v>
      </c>
    </row>
    <row r="2267" ht="15.75" customHeight="1">
      <c r="A2267" s="5" t="s">
        <v>2311</v>
      </c>
    </row>
    <row r="2268" ht="15.75" customHeight="1">
      <c r="A2268" s="5" t="s">
        <v>2312</v>
      </c>
    </row>
    <row r="2269" ht="15.75" customHeight="1">
      <c r="A2269" s="5" t="s">
        <v>2313</v>
      </c>
    </row>
    <row r="2270" ht="15.75" customHeight="1">
      <c r="A2270" s="5" t="s">
        <v>2314</v>
      </c>
    </row>
    <row r="2271" ht="15.75" customHeight="1">
      <c r="A2271" s="5" t="s">
        <v>2315</v>
      </c>
    </row>
    <row r="2272" ht="15.75" customHeight="1">
      <c r="A2272" s="5" t="s">
        <v>2316</v>
      </c>
    </row>
    <row r="2273" ht="15.75" customHeight="1">
      <c r="A2273" s="5" t="s">
        <v>2317</v>
      </c>
    </row>
    <row r="2274" ht="15.75" customHeight="1">
      <c r="A2274" s="5" t="s">
        <v>2318</v>
      </c>
    </row>
    <row r="2275" ht="15.75" customHeight="1">
      <c r="A2275" s="5" t="s">
        <v>2319</v>
      </c>
    </row>
    <row r="2276" ht="15.75" customHeight="1">
      <c r="A2276" s="5" t="s">
        <v>2320</v>
      </c>
    </row>
    <row r="2277" ht="15.75" customHeight="1">
      <c r="A2277" s="5" t="s">
        <v>2321</v>
      </c>
    </row>
    <row r="2278" ht="15.75" customHeight="1">
      <c r="A2278" s="5" t="s">
        <v>2322</v>
      </c>
    </row>
    <row r="2279" ht="15.75" customHeight="1">
      <c r="A2279" s="5" t="s">
        <v>2323</v>
      </c>
    </row>
    <row r="2280" ht="15.75" customHeight="1">
      <c r="A2280" s="5" t="s">
        <v>2324</v>
      </c>
    </row>
    <row r="2281" ht="15.75" customHeight="1">
      <c r="A2281" s="5" t="s">
        <v>2325</v>
      </c>
    </row>
    <row r="2282" ht="15.75" customHeight="1">
      <c r="A2282" s="5" t="s">
        <v>2326</v>
      </c>
    </row>
    <row r="2283" ht="15.75" customHeight="1">
      <c r="A2283" s="5" t="s">
        <v>2327</v>
      </c>
    </row>
    <row r="2284" ht="15.75" customHeight="1">
      <c r="A2284" s="5" t="s">
        <v>2328</v>
      </c>
    </row>
    <row r="2285" ht="15.75" customHeight="1">
      <c r="A2285" s="5" t="s">
        <v>2329</v>
      </c>
    </row>
    <row r="2286" ht="15.75" customHeight="1">
      <c r="A2286" s="5" t="s">
        <v>2330</v>
      </c>
    </row>
    <row r="2287" ht="15.75" customHeight="1">
      <c r="A2287" s="5" t="s">
        <v>2331</v>
      </c>
    </row>
    <row r="2288" ht="15.75" customHeight="1">
      <c r="A2288" s="5" t="s">
        <v>2332</v>
      </c>
    </row>
    <row r="2289" ht="15.75" customHeight="1">
      <c r="A2289" s="5" t="s">
        <v>2333</v>
      </c>
    </row>
    <row r="2290" ht="15.75" customHeight="1">
      <c r="A2290" s="5" t="s">
        <v>2334</v>
      </c>
    </row>
    <row r="2291" ht="15.75" customHeight="1">
      <c r="A2291" s="5" t="s">
        <v>2335</v>
      </c>
    </row>
    <row r="2292" ht="15.75" customHeight="1">
      <c r="A2292" s="5" t="s">
        <v>2336</v>
      </c>
    </row>
    <row r="2293" ht="15.75" customHeight="1">
      <c r="A2293" s="5" t="s">
        <v>2337</v>
      </c>
    </row>
    <row r="2294" ht="15.75" customHeight="1">
      <c r="A2294" s="5" t="s">
        <v>2338</v>
      </c>
    </row>
    <row r="2295" ht="15.75" customHeight="1">
      <c r="A2295" s="5" t="s">
        <v>2339</v>
      </c>
    </row>
    <row r="2296" ht="15.75" customHeight="1">
      <c r="A2296" s="5" t="s">
        <v>2340</v>
      </c>
    </row>
    <row r="2297" ht="15.75" customHeight="1">
      <c r="A2297" s="5" t="s">
        <v>2341</v>
      </c>
    </row>
    <row r="2298" ht="15.75" customHeight="1">
      <c r="A2298" s="5" t="s">
        <v>2342</v>
      </c>
    </row>
    <row r="2299" ht="15.75" customHeight="1">
      <c r="A2299" s="5" t="s">
        <v>2343</v>
      </c>
    </row>
    <row r="2300" ht="15.75" customHeight="1">
      <c r="A2300" s="5" t="s">
        <v>2344</v>
      </c>
    </row>
    <row r="2301" ht="15.75" customHeight="1">
      <c r="A2301" s="5" t="s">
        <v>2345</v>
      </c>
    </row>
    <row r="2302" ht="15.75" customHeight="1">
      <c r="A2302" s="5" t="s">
        <v>2346</v>
      </c>
    </row>
    <row r="2303" ht="15.75" customHeight="1">
      <c r="A2303" s="5" t="s">
        <v>2347</v>
      </c>
    </row>
    <row r="2304" ht="15.75" customHeight="1">
      <c r="A2304" s="5" t="s">
        <v>2348</v>
      </c>
    </row>
    <row r="2305" ht="15.75" customHeight="1">
      <c r="A2305" s="5" t="s">
        <v>2349</v>
      </c>
    </row>
    <row r="2306" ht="15.75" customHeight="1">
      <c r="A2306" s="5" t="s">
        <v>2350</v>
      </c>
    </row>
    <row r="2307" ht="15.75" customHeight="1">
      <c r="A2307" s="5" t="s">
        <v>2351</v>
      </c>
    </row>
    <row r="2308" ht="15.75" customHeight="1">
      <c r="A2308" s="5" t="s">
        <v>2352</v>
      </c>
    </row>
    <row r="2309" ht="15.75" customHeight="1">
      <c r="A2309" s="5" t="s">
        <v>2353</v>
      </c>
    </row>
    <row r="2310" ht="15.75" customHeight="1">
      <c r="A2310" s="5" t="s">
        <v>2354</v>
      </c>
    </row>
    <row r="2311" ht="15.75" customHeight="1">
      <c r="A2311" s="5" t="s">
        <v>2355</v>
      </c>
    </row>
    <row r="2312" ht="15.75" customHeight="1">
      <c r="A2312" s="5" t="s">
        <v>2356</v>
      </c>
    </row>
    <row r="2313" ht="15.75" customHeight="1">
      <c r="A2313" s="5" t="s">
        <v>2357</v>
      </c>
    </row>
    <row r="2314" ht="15.75" customHeight="1">
      <c r="A2314" s="5" t="s">
        <v>2358</v>
      </c>
    </row>
    <row r="2315" ht="15.75" customHeight="1">
      <c r="A2315" s="5" t="s">
        <v>2359</v>
      </c>
    </row>
    <row r="2316" ht="15.75" customHeight="1">
      <c r="A2316" s="5" t="s">
        <v>2360</v>
      </c>
    </row>
    <row r="2317" ht="15.75" customHeight="1">
      <c r="A2317" s="5" t="s">
        <v>2361</v>
      </c>
    </row>
    <row r="2318" ht="15.75" customHeight="1">
      <c r="A2318" s="5" t="s">
        <v>2362</v>
      </c>
    </row>
    <row r="2319" ht="15.75" customHeight="1">
      <c r="A2319" s="5" t="s">
        <v>2363</v>
      </c>
    </row>
    <row r="2320" ht="15.75" customHeight="1">
      <c r="A2320" s="5" t="s">
        <v>2364</v>
      </c>
    </row>
    <row r="2321" ht="15.75" customHeight="1">
      <c r="A2321" s="5" t="s">
        <v>2365</v>
      </c>
    </row>
    <row r="2322" ht="15.75" customHeight="1">
      <c r="A2322" s="5" t="s">
        <v>2366</v>
      </c>
    </row>
    <row r="2323" ht="15.75" customHeight="1">
      <c r="A2323" s="5" t="s">
        <v>2367</v>
      </c>
    </row>
    <row r="2324" ht="15.75" customHeight="1">
      <c r="A2324" s="5" t="s">
        <v>2368</v>
      </c>
    </row>
    <row r="2325" ht="15.75" customHeight="1">
      <c r="A2325" s="5" t="s">
        <v>2369</v>
      </c>
    </row>
    <row r="2326" ht="15.75" customHeight="1">
      <c r="A2326" s="5" t="s">
        <v>2370</v>
      </c>
    </row>
    <row r="2327" ht="15.75" customHeight="1">
      <c r="A2327" s="5" t="s">
        <v>2371</v>
      </c>
    </row>
    <row r="2328" ht="15.75" customHeight="1">
      <c r="A2328" s="5" t="s">
        <v>2372</v>
      </c>
    </row>
    <row r="2329" ht="15.75" customHeight="1">
      <c r="A2329" s="5" t="s">
        <v>2373</v>
      </c>
    </row>
    <row r="2330" ht="15.75" customHeight="1">
      <c r="A2330" s="5" t="s">
        <v>2374</v>
      </c>
    </row>
    <row r="2331" ht="15.75" customHeight="1">
      <c r="A2331" s="5" t="s">
        <v>2375</v>
      </c>
    </row>
    <row r="2332" ht="15.75" customHeight="1">
      <c r="A2332" s="5" t="s">
        <v>2376</v>
      </c>
    </row>
    <row r="2333" ht="15.75" customHeight="1">
      <c r="A2333" s="5" t="s">
        <v>2377</v>
      </c>
    </row>
    <row r="2334" ht="15.75" customHeight="1">
      <c r="A2334" s="5" t="s">
        <v>2378</v>
      </c>
    </row>
    <row r="2335" ht="15.75" customHeight="1">
      <c r="A2335" s="5" t="s">
        <v>2379</v>
      </c>
    </row>
    <row r="2336" ht="15.75" customHeight="1">
      <c r="A2336" s="5" t="s">
        <v>2380</v>
      </c>
    </row>
    <row r="2337" ht="15.75" customHeight="1">
      <c r="A2337" s="5" t="s">
        <v>2381</v>
      </c>
    </row>
    <row r="2338" ht="15.75" customHeight="1">
      <c r="A2338" s="5" t="s">
        <v>2382</v>
      </c>
    </row>
    <row r="2339" ht="15.75" customHeight="1">
      <c r="A2339" s="5" t="s">
        <v>2383</v>
      </c>
    </row>
    <row r="2340" ht="15.75" customHeight="1">
      <c r="A2340" s="5" t="s">
        <v>2384</v>
      </c>
    </row>
    <row r="2341" ht="15.75" customHeight="1">
      <c r="A2341" s="5" t="s">
        <v>2385</v>
      </c>
    </row>
    <row r="2342" ht="15.75" customHeight="1">
      <c r="A2342" s="5" t="s">
        <v>2386</v>
      </c>
    </row>
    <row r="2343" ht="15.75" customHeight="1">
      <c r="A2343" s="5" t="s">
        <v>2387</v>
      </c>
    </row>
    <row r="2344" ht="15.75" customHeight="1">
      <c r="A2344" s="5" t="s">
        <v>2388</v>
      </c>
    </row>
    <row r="2345" ht="15.75" customHeight="1">
      <c r="A2345" s="5" t="s">
        <v>2389</v>
      </c>
    </row>
    <row r="2346" ht="15.75" customHeight="1">
      <c r="A2346" s="5" t="s">
        <v>2390</v>
      </c>
    </row>
    <row r="2347" ht="15.75" customHeight="1">
      <c r="A2347" s="5" t="s">
        <v>2391</v>
      </c>
    </row>
    <row r="2348" ht="15.75" customHeight="1">
      <c r="A2348" s="5" t="s">
        <v>2392</v>
      </c>
    </row>
    <row r="2349" ht="15.75" customHeight="1">
      <c r="A2349" s="5" t="s">
        <v>2393</v>
      </c>
    </row>
    <row r="2350" ht="15.75" customHeight="1">
      <c r="A2350" s="5" t="s">
        <v>2394</v>
      </c>
    </row>
    <row r="2351" ht="15.75" customHeight="1">
      <c r="A2351" s="5" t="s">
        <v>2395</v>
      </c>
    </row>
    <row r="2352" ht="15.75" customHeight="1">
      <c r="A2352" s="5" t="s">
        <v>2396</v>
      </c>
    </row>
    <row r="2353" ht="15.75" customHeight="1">
      <c r="A2353" s="5" t="s">
        <v>2397</v>
      </c>
    </row>
    <row r="2354" ht="15.75" customHeight="1">
      <c r="A2354" s="5" t="s">
        <v>2398</v>
      </c>
    </row>
    <row r="2355" ht="15.75" customHeight="1">
      <c r="A2355" s="5" t="s">
        <v>2399</v>
      </c>
    </row>
    <row r="2356" ht="15.75" customHeight="1">
      <c r="A2356" s="5" t="s">
        <v>2400</v>
      </c>
    </row>
    <row r="2357" ht="15.75" customHeight="1">
      <c r="A2357" s="5" t="s">
        <v>2401</v>
      </c>
    </row>
    <row r="2358" ht="15.75" customHeight="1">
      <c r="A2358" s="5" t="s">
        <v>2402</v>
      </c>
    </row>
    <row r="2359" ht="15.75" customHeight="1">
      <c r="A2359" s="5" t="s">
        <v>2403</v>
      </c>
    </row>
    <row r="2360" ht="15.75" customHeight="1">
      <c r="A2360" s="5" t="s">
        <v>2404</v>
      </c>
    </row>
    <row r="2361" ht="15.75" customHeight="1">
      <c r="A2361" s="5" t="s">
        <v>2405</v>
      </c>
    </row>
    <row r="2362" ht="15.75" customHeight="1">
      <c r="A2362" s="5" t="s">
        <v>2406</v>
      </c>
    </row>
    <row r="2363" ht="15.75" customHeight="1">
      <c r="A2363" s="5" t="s">
        <v>2407</v>
      </c>
    </row>
    <row r="2364" ht="15.75" customHeight="1">
      <c r="A2364" s="5" t="s">
        <v>2408</v>
      </c>
    </row>
    <row r="2365" ht="15.75" customHeight="1">
      <c r="A2365" s="5" t="s">
        <v>2409</v>
      </c>
    </row>
    <row r="2366" ht="15.75" customHeight="1">
      <c r="A2366" s="5" t="s">
        <v>2410</v>
      </c>
    </row>
    <row r="2367" ht="15.75" customHeight="1">
      <c r="A2367" s="5" t="s">
        <v>2411</v>
      </c>
    </row>
    <row r="2368" ht="15.75" customHeight="1">
      <c r="A2368" s="5" t="s">
        <v>2412</v>
      </c>
    </row>
    <row r="2369" ht="15.75" customHeight="1">
      <c r="A2369" s="5" t="s">
        <v>2413</v>
      </c>
    </row>
    <row r="2370" ht="15.75" customHeight="1">
      <c r="A2370" s="5" t="s">
        <v>2414</v>
      </c>
    </row>
    <row r="2371" ht="15.75" customHeight="1">
      <c r="A2371" s="5" t="s">
        <v>2415</v>
      </c>
    </row>
    <row r="2372" ht="15.75" customHeight="1">
      <c r="A2372" s="5" t="s">
        <v>2416</v>
      </c>
    </row>
    <row r="2373" ht="15.75" customHeight="1">
      <c r="A2373" s="5" t="s">
        <v>2417</v>
      </c>
    </row>
    <row r="2374" ht="15.75" customHeight="1">
      <c r="A2374" s="5" t="s">
        <v>2418</v>
      </c>
    </row>
    <row r="2375" ht="15.75" customHeight="1">
      <c r="A2375" s="5" t="s">
        <v>2419</v>
      </c>
    </row>
    <row r="2376" ht="15.75" customHeight="1">
      <c r="A2376" s="5" t="s">
        <v>2420</v>
      </c>
    </row>
    <row r="2377" ht="15.75" customHeight="1">
      <c r="A2377" s="5" t="s">
        <v>2421</v>
      </c>
    </row>
    <row r="2378" ht="15.75" customHeight="1">
      <c r="A2378" s="5" t="s">
        <v>2422</v>
      </c>
    </row>
    <row r="2379" ht="15.75" customHeight="1">
      <c r="A2379" s="5" t="s">
        <v>2423</v>
      </c>
    </row>
    <row r="2380" ht="15.75" customHeight="1">
      <c r="A2380" s="5" t="s">
        <v>2424</v>
      </c>
    </row>
    <row r="2381" ht="15.75" customHeight="1">
      <c r="A2381" s="5" t="s">
        <v>2425</v>
      </c>
    </row>
    <row r="2382" ht="15.75" customHeight="1">
      <c r="A2382" s="5" t="s">
        <v>2426</v>
      </c>
    </row>
    <row r="2383" ht="15.75" customHeight="1">
      <c r="A2383" s="5" t="s">
        <v>2427</v>
      </c>
    </row>
    <row r="2384" ht="15.75" customHeight="1">
      <c r="A2384" s="5" t="s">
        <v>2428</v>
      </c>
    </row>
    <row r="2385" ht="15.75" customHeight="1">
      <c r="A2385" s="5" t="s">
        <v>2429</v>
      </c>
    </row>
    <row r="2386" ht="15.75" customHeight="1">
      <c r="A2386" s="5" t="s">
        <v>2430</v>
      </c>
    </row>
    <row r="2387" ht="15.75" customHeight="1">
      <c r="A2387" s="5" t="s">
        <v>2431</v>
      </c>
    </row>
    <row r="2388" ht="15.75" customHeight="1">
      <c r="A2388" s="5" t="s">
        <v>2432</v>
      </c>
    </row>
    <row r="2389" ht="15.75" customHeight="1">
      <c r="A2389" s="5" t="s">
        <v>2433</v>
      </c>
    </row>
    <row r="2390" ht="15.75" customHeight="1">
      <c r="A2390" s="5" t="s">
        <v>2434</v>
      </c>
    </row>
    <row r="2391" ht="15.75" customHeight="1">
      <c r="A2391" s="5" t="s">
        <v>2435</v>
      </c>
    </row>
    <row r="2392" ht="15.75" customHeight="1">
      <c r="A2392" s="5" t="s">
        <v>2436</v>
      </c>
    </row>
    <row r="2393" ht="15.75" customHeight="1">
      <c r="A2393" s="5" t="s">
        <v>2437</v>
      </c>
    </row>
    <row r="2394" ht="15.75" customHeight="1">
      <c r="A2394" s="5" t="s">
        <v>2438</v>
      </c>
    </row>
    <row r="2395" ht="15.75" customHeight="1">
      <c r="A2395" s="5" t="s">
        <v>2439</v>
      </c>
    </row>
    <row r="2396" ht="15.75" customHeight="1">
      <c r="A2396" s="5" t="s">
        <v>2440</v>
      </c>
    </row>
    <row r="2397" ht="15.75" customHeight="1">
      <c r="A2397" s="5" t="s">
        <v>2441</v>
      </c>
    </row>
    <row r="2398" ht="15.75" customHeight="1">
      <c r="A2398" s="5" t="s">
        <v>2442</v>
      </c>
    </row>
    <row r="2399" ht="15.75" customHeight="1">
      <c r="A2399" s="5" t="s">
        <v>2443</v>
      </c>
    </row>
    <row r="2400" ht="15.75" customHeight="1">
      <c r="A2400" s="5" t="s">
        <v>2444</v>
      </c>
    </row>
    <row r="2401" ht="15.75" customHeight="1">
      <c r="A2401" s="5" t="s">
        <v>2445</v>
      </c>
    </row>
    <row r="2402" ht="15.75" customHeight="1">
      <c r="A2402" s="5" t="s">
        <v>2446</v>
      </c>
    </row>
    <row r="2403" ht="15.75" customHeight="1">
      <c r="A2403" s="5" t="s">
        <v>2447</v>
      </c>
    </row>
    <row r="2404" ht="15.75" customHeight="1">
      <c r="A2404" s="5" t="s">
        <v>2448</v>
      </c>
    </row>
    <row r="2405" ht="15.75" customHeight="1">
      <c r="A2405" s="5" t="s">
        <v>2449</v>
      </c>
    </row>
    <row r="2406" ht="15.75" customHeight="1">
      <c r="A2406" s="5" t="s">
        <v>2450</v>
      </c>
    </row>
    <row r="2407" ht="15.75" customHeight="1">
      <c r="A2407" s="5" t="s">
        <v>2451</v>
      </c>
    </row>
    <row r="2408" ht="15.75" customHeight="1">
      <c r="A2408" s="5" t="s">
        <v>2452</v>
      </c>
    </row>
    <row r="2409" ht="15.75" customHeight="1">
      <c r="A2409" s="5" t="s">
        <v>2453</v>
      </c>
    </row>
    <row r="2410" ht="15.75" customHeight="1">
      <c r="A2410" s="5" t="s">
        <v>2454</v>
      </c>
    </row>
    <row r="2411" ht="15.75" customHeight="1">
      <c r="A2411" s="5" t="s">
        <v>2455</v>
      </c>
    </row>
    <row r="2412" ht="15.75" customHeight="1">
      <c r="A2412" s="5" t="s">
        <v>2456</v>
      </c>
    </row>
    <row r="2413" ht="15.75" customHeight="1">
      <c r="A2413" s="5" t="s">
        <v>2457</v>
      </c>
    </row>
    <row r="2414" ht="15.75" customHeight="1">
      <c r="A2414" s="5" t="s">
        <v>2458</v>
      </c>
    </row>
    <row r="2415" ht="15.75" customHeight="1">
      <c r="A2415" s="5" t="s">
        <v>2459</v>
      </c>
    </row>
    <row r="2416" ht="15.75" customHeight="1">
      <c r="A2416" s="5" t="s">
        <v>2460</v>
      </c>
    </row>
    <row r="2417" ht="15.75" customHeight="1">
      <c r="A2417" s="5" t="s">
        <v>2461</v>
      </c>
    </row>
    <row r="2418" ht="15.75" customHeight="1">
      <c r="A2418" s="5" t="s">
        <v>2462</v>
      </c>
    </row>
    <row r="2419" ht="15.75" customHeight="1">
      <c r="A2419" s="5" t="s">
        <v>2463</v>
      </c>
    </row>
    <row r="2420" ht="15.75" customHeight="1">
      <c r="A2420" s="5" t="s">
        <v>2464</v>
      </c>
    </row>
    <row r="2421" ht="15.75" customHeight="1">
      <c r="A2421" s="5" t="s">
        <v>2465</v>
      </c>
    </row>
    <row r="2422" ht="15.75" customHeight="1">
      <c r="A2422" s="5" t="s">
        <v>2466</v>
      </c>
    </row>
    <row r="2423" ht="15.75" customHeight="1">
      <c r="A2423" s="5" t="s">
        <v>2467</v>
      </c>
    </row>
    <row r="2424" ht="15.75" customHeight="1">
      <c r="A2424" s="5" t="s">
        <v>2468</v>
      </c>
    </row>
    <row r="2425" ht="15.75" customHeight="1">
      <c r="A2425" s="5" t="s">
        <v>2469</v>
      </c>
    </row>
    <row r="2426" ht="15.75" customHeight="1">
      <c r="A2426" s="5" t="s">
        <v>2470</v>
      </c>
    </row>
    <row r="2427" ht="15.75" customHeight="1">
      <c r="A2427" s="5" t="s">
        <v>2471</v>
      </c>
    </row>
    <row r="2428" ht="15.75" customHeight="1">
      <c r="A2428" s="5" t="s">
        <v>2472</v>
      </c>
    </row>
    <row r="2429" ht="15.75" customHeight="1">
      <c r="A2429" s="5" t="s">
        <v>2473</v>
      </c>
    </row>
    <row r="2430" ht="15.75" customHeight="1">
      <c r="A2430" s="5" t="s">
        <v>2474</v>
      </c>
    </row>
    <row r="2431" ht="15.75" customHeight="1">
      <c r="A2431" s="5" t="s">
        <v>2475</v>
      </c>
    </row>
    <row r="2432" ht="15.75" customHeight="1">
      <c r="A2432" s="5" t="s">
        <v>2476</v>
      </c>
    </row>
    <row r="2433" ht="15.75" customHeight="1">
      <c r="A2433" s="5" t="s">
        <v>2477</v>
      </c>
    </row>
    <row r="2434" ht="15.75" customHeight="1">
      <c r="A2434" s="5" t="s">
        <v>2478</v>
      </c>
    </row>
    <row r="2435" ht="15.75" customHeight="1">
      <c r="A2435" s="5" t="s">
        <v>2479</v>
      </c>
    </row>
    <row r="2436" ht="15.75" customHeight="1">
      <c r="A2436" s="5" t="s">
        <v>2480</v>
      </c>
    </row>
    <row r="2437" ht="15.75" customHeight="1">
      <c r="A2437" s="5" t="s">
        <v>2481</v>
      </c>
    </row>
    <row r="2438" ht="15.75" customHeight="1">
      <c r="A2438" s="5" t="s">
        <v>2482</v>
      </c>
    </row>
    <row r="2439" ht="15.75" customHeight="1">
      <c r="A2439" s="5" t="s">
        <v>2483</v>
      </c>
    </row>
    <row r="2440" ht="15.75" customHeight="1">
      <c r="A2440" s="5" t="s">
        <v>2484</v>
      </c>
    </row>
    <row r="2441" ht="15.75" customHeight="1">
      <c r="A2441" s="5" t="s">
        <v>2485</v>
      </c>
    </row>
    <row r="2442" ht="15.75" customHeight="1">
      <c r="A2442" s="5" t="s">
        <v>2486</v>
      </c>
    </row>
    <row r="2443" ht="15.75" customHeight="1">
      <c r="A2443" s="5" t="s">
        <v>2487</v>
      </c>
    </row>
    <row r="2444" ht="15.75" customHeight="1">
      <c r="A2444" s="5" t="s">
        <v>2488</v>
      </c>
    </row>
    <row r="2445" ht="15.75" customHeight="1">
      <c r="A2445" s="5" t="s">
        <v>2489</v>
      </c>
    </row>
    <row r="2446" ht="15.75" customHeight="1">
      <c r="A2446" s="5" t="s">
        <v>2490</v>
      </c>
    </row>
    <row r="2447" ht="15.75" customHeight="1">
      <c r="A2447" s="5" t="s">
        <v>2491</v>
      </c>
    </row>
    <row r="2448" ht="15.75" customHeight="1">
      <c r="A2448" s="5" t="s">
        <v>2492</v>
      </c>
    </row>
    <row r="2449" ht="15.75" customHeight="1">
      <c r="A2449" s="5" t="s">
        <v>2493</v>
      </c>
    </row>
    <row r="2450" ht="15.75" customHeight="1">
      <c r="A2450" s="5" t="s">
        <v>2494</v>
      </c>
    </row>
    <row r="2451" ht="15.75" customHeight="1">
      <c r="A2451" s="5" t="s">
        <v>2495</v>
      </c>
    </row>
    <row r="2452" ht="15.75" customHeight="1">
      <c r="A2452" s="5" t="s">
        <v>2496</v>
      </c>
    </row>
    <row r="2453" ht="15.75" customHeight="1">
      <c r="A2453" s="5" t="s">
        <v>2497</v>
      </c>
    </row>
    <row r="2454" ht="15.75" customHeight="1">
      <c r="A2454" s="5" t="s">
        <v>2498</v>
      </c>
    </row>
    <row r="2455" ht="15.75" customHeight="1">
      <c r="A2455" s="5" t="s">
        <v>2499</v>
      </c>
    </row>
    <row r="2456" ht="15.75" customHeight="1">
      <c r="A2456" s="5" t="s">
        <v>2500</v>
      </c>
    </row>
    <row r="2457" ht="15.75" customHeight="1">
      <c r="A2457" s="5" t="s">
        <v>2501</v>
      </c>
    </row>
    <row r="2458" ht="15.75" customHeight="1">
      <c r="A2458" s="5" t="s">
        <v>2502</v>
      </c>
    </row>
    <row r="2459" ht="15.75" customHeight="1">
      <c r="A2459" s="5" t="s">
        <v>2503</v>
      </c>
    </row>
    <row r="2460" ht="15.75" customHeight="1">
      <c r="A2460" s="5" t="s">
        <v>2504</v>
      </c>
    </row>
    <row r="2461" ht="15.75" customHeight="1">
      <c r="A2461" s="5" t="s">
        <v>2505</v>
      </c>
    </row>
    <row r="2462" ht="15.75" customHeight="1">
      <c r="A2462" s="5" t="s">
        <v>2506</v>
      </c>
    </row>
    <row r="2463" ht="15.75" customHeight="1">
      <c r="A2463" s="5" t="s">
        <v>2507</v>
      </c>
    </row>
    <row r="2464" ht="15.75" customHeight="1">
      <c r="A2464" s="5" t="s">
        <v>2508</v>
      </c>
    </row>
    <row r="2465" ht="15.75" customHeight="1">
      <c r="A2465" s="5" t="s">
        <v>2509</v>
      </c>
    </row>
    <row r="2466" ht="15.75" customHeight="1">
      <c r="A2466" s="5" t="s">
        <v>2510</v>
      </c>
    </row>
    <row r="2467" ht="15.75" customHeight="1">
      <c r="A2467" s="5" t="s">
        <v>2511</v>
      </c>
    </row>
    <row r="2468" ht="15.75" customHeight="1">
      <c r="A2468" s="5" t="s">
        <v>2512</v>
      </c>
    </row>
    <row r="2469" ht="15.75" customHeight="1">
      <c r="A2469" s="5" t="s">
        <v>2513</v>
      </c>
    </row>
    <row r="2470" ht="15.75" customHeight="1">
      <c r="A2470" s="5" t="s">
        <v>2514</v>
      </c>
    </row>
    <row r="2471" ht="15.75" customHeight="1">
      <c r="A2471" s="5" t="s">
        <v>2515</v>
      </c>
    </row>
    <row r="2472" ht="15.75" customHeight="1">
      <c r="A2472" s="5" t="s">
        <v>2516</v>
      </c>
    </row>
    <row r="2473" ht="15.75" customHeight="1">
      <c r="A2473" s="5" t="s">
        <v>2517</v>
      </c>
    </row>
    <row r="2474" ht="15.75" customHeight="1">
      <c r="A2474" s="5" t="s">
        <v>2518</v>
      </c>
    </row>
    <row r="2475" ht="15.75" customHeight="1">
      <c r="A2475" s="5" t="s">
        <v>2519</v>
      </c>
    </row>
    <row r="2476" ht="15.75" customHeight="1">
      <c r="A2476" s="5" t="s">
        <v>2520</v>
      </c>
    </row>
    <row r="2477" ht="15.75" customHeight="1">
      <c r="A2477" s="5" t="s">
        <v>2521</v>
      </c>
    </row>
    <row r="2478" ht="15.75" customHeight="1">
      <c r="A2478" s="5" t="s">
        <v>2522</v>
      </c>
    </row>
    <row r="2479" ht="15.75" customHeight="1">
      <c r="A2479" s="5" t="s">
        <v>2523</v>
      </c>
    </row>
    <row r="2480" ht="15.75" customHeight="1">
      <c r="A2480" s="5" t="s">
        <v>2524</v>
      </c>
    </row>
    <row r="2481" ht="15.75" customHeight="1">
      <c r="A2481" s="5" t="s">
        <v>2525</v>
      </c>
    </row>
    <row r="2482" ht="15.75" customHeight="1">
      <c r="A2482" s="5" t="s">
        <v>2526</v>
      </c>
    </row>
    <row r="2483" ht="15.75" customHeight="1">
      <c r="A2483" s="5" t="s">
        <v>2527</v>
      </c>
    </row>
    <row r="2484" ht="15.75" customHeight="1">
      <c r="A2484" s="5" t="s">
        <v>2528</v>
      </c>
    </row>
    <row r="2485" ht="15.75" customHeight="1">
      <c r="A2485" s="5" t="s">
        <v>2529</v>
      </c>
    </row>
    <row r="2486" ht="15.75" customHeight="1">
      <c r="A2486" s="5" t="s">
        <v>2530</v>
      </c>
    </row>
    <row r="2487" ht="15.75" customHeight="1">
      <c r="A2487" s="5" t="s">
        <v>2531</v>
      </c>
    </row>
    <row r="2488" ht="15.75" customHeight="1">
      <c r="A2488" s="5" t="s">
        <v>2532</v>
      </c>
    </row>
    <row r="2489" ht="15.75" customHeight="1">
      <c r="A2489" s="5" t="s">
        <v>2533</v>
      </c>
    </row>
    <row r="2490" ht="15.75" customHeight="1">
      <c r="A2490" s="5" t="s">
        <v>2534</v>
      </c>
    </row>
    <row r="2491" ht="15.75" customHeight="1">
      <c r="A2491" s="5" t="s">
        <v>2535</v>
      </c>
    </row>
    <row r="2492" ht="15.75" customHeight="1">
      <c r="A2492" s="5" t="s">
        <v>2536</v>
      </c>
    </row>
    <row r="2493" ht="15.75" customHeight="1">
      <c r="A2493" s="5" t="s">
        <v>2537</v>
      </c>
    </row>
    <row r="2494" ht="15.75" customHeight="1">
      <c r="A2494" s="5" t="s">
        <v>2538</v>
      </c>
    </row>
    <row r="2495" ht="15.75" customHeight="1">
      <c r="A2495" s="5" t="s">
        <v>2539</v>
      </c>
    </row>
    <row r="2496" ht="15.75" customHeight="1">
      <c r="A2496" s="5" t="s">
        <v>2540</v>
      </c>
    </row>
    <row r="2497" ht="15.75" customHeight="1">
      <c r="A2497" s="5" t="s">
        <v>2541</v>
      </c>
    </row>
    <row r="2498" ht="15.75" customHeight="1">
      <c r="A2498" s="5" t="s">
        <v>2542</v>
      </c>
    </row>
    <row r="2499" ht="15.75" customHeight="1">
      <c r="A2499" s="5" t="s">
        <v>2543</v>
      </c>
    </row>
    <row r="2500" ht="15.75" customHeight="1">
      <c r="A2500" s="5" t="s">
        <v>2544</v>
      </c>
    </row>
    <row r="2501" ht="15.75" customHeight="1">
      <c r="A2501" s="5" t="s">
        <v>2545</v>
      </c>
    </row>
    <row r="2502" ht="15.75" customHeight="1">
      <c r="A2502" s="5" t="s">
        <v>2546</v>
      </c>
    </row>
    <row r="2503" ht="15.75" customHeight="1">
      <c r="A2503" s="5" t="s">
        <v>2547</v>
      </c>
    </row>
    <row r="2504" ht="15.75" customHeight="1">
      <c r="A2504" s="5" t="s">
        <v>2548</v>
      </c>
    </row>
    <row r="2505" ht="15.75" customHeight="1">
      <c r="A2505" s="5" t="s">
        <v>2549</v>
      </c>
    </row>
    <row r="2506" ht="15.75" customHeight="1">
      <c r="A2506" s="5" t="s">
        <v>2550</v>
      </c>
    </row>
    <row r="2507" ht="15.75" customHeight="1">
      <c r="A2507" s="5" t="s">
        <v>2551</v>
      </c>
    </row>
    <row r="2508" ht="15.75" customHeight="1">
      <c r="A2508" s="5" t="s">
        <v>2552</v>
      </c>
    </row>
    <row r="2509" ht="15.75" customHeight="1">
      <c r="A2509" s="5" t="s">
        <v>2553</v>
      </c>
    </row>
    <row r="2510" ht="15.75" customHeight="1">
      <c r="A2510" s="5" t="s">
        <v>2554</v>
      </c>
    </row>
    <row r="2511" ht="15.75" customHeight="1">
      <c r="A2511" s="5" t="s">
        <v>2555</v>
      </c>
    </row>
    <row r="2512" ht="15.75" customHeight="1">
      <c r="A2512" s="5" t="s">
        <v>2556</v>
      </c>
    </row>
    <row r="2513" ht="15.75" customHeight="1">
      <c r="A2513" s="5" t="s">
        <v>2557</v>
      </c>
    </row>
    <row r="2514" ht="15.75" customHeight="1">
      <c r="A2514" s="5" t="s">
        <v>2558</v>
      </c>
    </row>
    <row r="2515" ht="15.75" customHeight="1">
      <c r="A2515" s="5" t="s">
        <v>2559</v>
      </c>
    </row>
    <row r="2516" ht="15.75" customHeight="1">
      <c r="A2516" s="5" t="s">
        <v>2560</v>
      </c>
    </row>
    <row r="2517" ht="15.75" customHeight="1">
      <c r="A2517" s="5" t="s">
        <v>2561</v>
      </c>
    </row>
    <row r="2518" ht="15.75" customHeight="1">
      <c r="A2518" s="5" t="s">
        <v>2562</v>
      </c>
    </row>
    <row r="2519" ht="15.75" customHeight="1">
      <c r="A2519" s="5" t="s">
        <v>2563</v>
      </c>
    </row>
    <row r="2520" ht="15.75" customHeight="1">
      <c r="A2520" s="5" t="s">
        <v>2564</v>
      </c>
    </row>
    <row r="2521" ht="15.75" customHeight="1">
      <c r="A2521" s="5" t="s">
        <v>2565</v>
      </c>
    </row>
    <row r="2522" ht="15.75" customHeight="1">
      <c r="A2522" s="5" t="s">
        <v>2566</v>
      </c>
    </row>
    <row r="2523" ht="15.75" customHeight="1">
      <c r="A2523" s="5" t="s">
        <v>2567</v>
      </c>
    </row>
    <row r="2524" ht="15.75" customHeight="1">
      <c r="A2524" s="5" t="s">
        <v>2568</v>
      </c>
    </row>
    <row r="2525" ht="15.75" customHeight="1">
      <c r="A2525" s="5" t="s">
        <v>2569</v>
      </c>
    </row>
    <row r="2526" ht="15.75" customHeight="1">
      <c r="A2526" s="5" t="s">
        <v>2570</v>
      </c>
    </row>
    <row r="2527" ht="15.75" customHeight="1">
      <c r="A2527" s="5" t="s">
        <v>2571</v>
      </c>
    </row>
    <row r="2528" ht="15.75" customHeight="1">
      <c r="A2528" s="5" t="s">
        <v>2572</v>
      </c>
    </row>
    <row r="2529" ht="15.75" customHeight="1">
      <c r="A2529" s="5" t="s">
        <v>2573</v>
      </c>
    </row>
    <row r="2530" ht="15.75" customHeight="1">
      <c r="A2530" s="5" t="s">
        <v>2574</v>
      </c>
    </row>
    <row r="2531" ht="15.75" customHeight="1">
      <c r="A2531" s="5" t="s">
        <v>2575</v>
      </c>
    </row>
    <row r="2532" ht="15.75" customHeight="1">
      <c r="A2532" s="5" t="s">
        <v>2576</v>
      </c>
    </row>
    <row r="2533" ht="15.75" customHeight="1">
      <c r="A2533" s="5" t="s">
        <v>2577</v>
      </c>
    </row>
    <row r="2534" ht="15.75" customHeight="1">
      <c r="A2534" s="5" t="s">
        <v>2578</v>
      </c>
    </row>
    <row r="2535" ht="15.75" customHeight="1">
      <c r="A2535" s="5" t="s">
        <v>2579</v>
      </c>
    </row>
    <row r="2536" ht="15.75" customHeight="1">
      <c r="A2536" s="5" t="s">
        <v>2580</v>
      </c>
    </row>
    <row r="2537" ht="15.75" customHeight="1">
      <c r="A2537" s="5" t="s">
        <v>2581</v>
      </c>
    </row>
    <row r="2538" ht="15.75" customHeight="1">
      <c r="A2538" s="5" t="s">
        <v>2582</v>
      </c>
    </row>
    <row r="2539" ht="15.75" customHeight="1">
      <c r="A2539" s="5" t="s">
        <v>2583</v>
      </c>
    </row>
    <row r="2540" ht="15.75" customHeight="1">
      <c r="A2540" s="5" t="s">
        <v>2584</v>
      </c>
    </row>
    <row r="2541" ht="15.75" customHeight="1">
      <c r="A2541" s="5" t="s">
        <v>2585</v>
      </c>
    </row>
    <row r="2542" ht="15.75" customHeight="1">
      <c r="A2542" s="5" t="s">
        <v>2586</v>
      </c>
    </row>
    <row r="2543" ht="15.75" customHeight="1">
      <c r="A2543" s="5" t="s">
        <v>2587</v>
      </c>
    </row>
    <row r="2544" ht="15.75" customHeight="1">
      <c r="A2544" s="5" t="s">
        <v>2588</v>
      </c>
    </row>
    <row r="2545" ht="15.75" customHeight="1">
      <c r="A2545" s="5" t="s">
        <v>2589</v>
      </c>
    </row>
    <row r="2546" ht="15.75" customHeight="1">
      <c r="A2546" s="5" t="s">
        <v>2590</v>
      </c>
    </row>
    <row r="2547" ht="15.75" customHeight="1">
      <c r="A2547" s="5" t="s">
        <v>2591</v>
      </c>
    </row>
    <row r="2548" ht="15.75" customHeight="1">
      <c r="A2548" s="5" t="s">
        <v>2592</v>
      </c>
    </row>
    <row r="2549" ht="15.75" customHeight="1">
      <c r="A2549" s="5" t="s">
        <v>2593</v>
      </c>
    </row>
    <row r="2550" ht="15.75" customHeight="1">
      <c r="A2550" s="5" t="s">
        <v>2594</v>
      </c>
    </row>
    <row r="2551" ht="15.75" customHeight="1">
      <c r="A2551" s="5" t="s">
        <v>2595</v>
      </c>
    </row>
    <row r="2552" ht="15.75" customHeight="1">
      <c r="A2552" s="5" t="s">
        <v>2596</v>
      </c>
    </row>
    <row r="2553" ht="15.75" customHeight="1">
      <c r="A2553" s="5" t="s">
        <v>2597</v>
      </c>
    </row>
    <row r="2554" ht="15.75" customHeight="1">
      <c r="A2554" s="5" t="s">
        <v>2598</v>
      </c>
    </row>
    <row r="2555" ht="15.75" customHeight="1">
      <c r="A2555" s="5" t="s">
        <v>2599</v>
      </c>
    </row>
    <row r="2556" ht="15.75" customHeight="1">
      <c r="A2556" s="5" t="s">
        <v>2600</v>
      </c>
    </row>
    <row r="2557" ht="15.75" customHeight="1">
      <c r="A2557" s="5" t="s">
        <v>2601</v>
      </c>
    </row>
    <row r="2558" ht="15.75" customHeight="1">
      <c r="A2558" s="5" t="s">
        <v>2602</v>
      </c>
    </row>
    <row r="2559" ht="15.75" customHeight="1">
      <c r="A2559" s="5" t="s">
        <v>2603</v>
      </c>
    </row>
    <row r="2560" ht="15.75" customHeight="1">
      <c r="A2560" s="5" t="s">
        <v>2604</v>
      </c>
    </row>
    <row r="2561" ht="15.75" customHeight="1">
      <c r="A2561" s="5" t="s">
        <v>2605</v>
      </c>
    </row>
    <row r="2562" ht="15.75" customHeight="1">
      <c r="A2562" s="5" t="s">
        <v>2606</v>
      </c>
    </row>
    <row r="2563" ht="15.75" customHeight="1">
      <c r="A2563" s="5" t="s">
        <v>2607</v>
      </c>
    </row>
    <row r="2564" ht="15.75" customHeight="1">
      <c r="A2564" s="5" t="s">
        <v>2608</v>
      </c>
    </row>
    <row r="2565" ht="15.75" customHeight="1">
      <c r="A2565" s="5" t="s">
        <v>2609</v>
      </c>
    </row>
    <row r="2566" ht="15.75" customHeight="1">
      <c r="A2566" s="5" t="s">
        <v>2610</v>
      </c>
    </row>
    <row r="2567" ht="15.75" customHeight="1">
      <c r="A2567" s="5" t="s">
        <v>2611</v>
      </c>
    </row>
    <row r="2568" ht="15.75" customHeight="1">
      <c r="A2568" s="5" t="s">
        <v>2612</v>
      </c>
    </row>
    <row r="2569" ht="15.75" customHeight="1">
      <c r="A2569" s="5" t="s">
        <v>2613</v>
      </c>
    </row>
    <row r="2570" ht="15.75" customHeight="1">
      <c r="A2570" s="5" t="s">
        <v>2614</v>
      </c>
    </row>
    <row r="2571" ht="15.75" customHeight="1">
      <c r="A2571" s="5" t="s">
        <v>2615</v>
      </c>
    </row>
    <row r="2572" ht="15.75" customHeight="1">
      <c r="A2572" s="5" t="s">
        <v>2616</v>
      </c>
    </row>
    <row r="2573" ht="15.75" customHeight="1">
      <c r="A2573" s="5" t="s">
        <v>2617</v>
      </c>
    </row>
    <row r="2574" ht="15.75" customHeight="1">
      <c r="A2574" s="5" t="s">
        <v>2618</v>
      </c>
    </row>
    <row r="2575" ht="15.75" customHeight="1">
      <c r="A2575" s="5" t="s">
        <v>2619</v>
      </c>
    </row>
    <row r="2576" ht="15.75" customHeight="1">
      <c r="A2576" s="5" t="s">
        <v>2620</v>
      </c>
    </row>
    <row r="2577" ht="15.75" customHeight="1">
      <c r="A2577" s="5" t="s">
        <v>2621</v>
      </c>
    </row>
    <row r="2578" ht="15.75" customHeight="1">
      <c r="A2578" s="5" t="s">
        <v>2622</v>
      </c>
    </row>
    <row r="2579" ht="15.75" customHeight="1">
      <c r="A2579" s="5" t="s">
        <v>2623</v>
      </c>
    </row>
    <row r="2580" ht="15.75" customHeight="1">
      <c r="A2580" s="5" t="s">
        <v>2624</v>
      </c>
    </row>
    <row r="2581" ht="15.75" customHeight="1">
      <c r="A2581" s="5" t="s">
        <v>2625</v>
      </c>
    </row>
    <row r="2582" ht="15.75" customHeight="1">
      <c r="A2582" s="5" t="s">
        <v>2626</v>
      </c>
    </row>
    <row r="2583" ht="15.75" customHeight="1">
      <c r="A2583" s="5" t="s">
        <v>2627</v>
      </c>
    </row>
    <row r="2584" ht="15.75" customHeight="1">
      <c r="A2584" s="5" t="s">
        <v>2628</v>
      </c>
    </row>
    <row r="2585" ht="15.75" customHeight="1">
      <c r="A2585" s="5" t="s">
        <v>2629</v>
      </c>
    </row>
    <row r="2586" ht="15.75" customHeight="1">
      <c r="A2586" s="5" t="s">
        <v>2630</v>
      </c>
    </row>
    <row r="2587" ht="15.75" customHeight="1">
      <c r="A2587" s="5" t="s">
        <v>2631</v>
      </c>
    </row>
    <row r="2588" ht="15.75" customHeight="1">
      <c r="A2588" s="5" t="s">
        <v>2632</v>
      </c>
    </row>
    <row r="2589" ht="15.75" customHeight="1">
      <c r="A2589" s="5" t="s">
        <v>2633</v>
      </c>
    </row>
    <row r="2590" ht="15.75" customHeight="1">
      <c r="A2590" s="5" t="s">
        <v>2634</v>
      </c>
    </row>
    <row r="2591" ht="15.75" customHeight="1">
      <c r="A2591" s="5" t="s">
        <v>2635</v>
      </c>
    </row>
    <row r="2592" ht="15.75" customHeight="1">
      <c r="A2592" s="5" t="s">
        <v>2636</v>
      </c>
    </row>
    <row r="2593" ht="15.75" customHeight="1">
      <c r="A2593" s="5" t="s">
        <v>2637</v>
      </c>
    </row>
    <row r="2594" ht="15.75" customHeight="1">
      <c r="A2594" s="5" t="s">
        <v>2638</v>
      </c>
    </row>
    <row r="2595" ht="15.75" customHeight="1">
      <c r="A2595" s="5" t="s">
        <v>2639</v>
      </c>
    </row>
    <row r="2596" ht="15.75" customHeight="1">
      <c r="A2596" s="5" t="s">
        <v>2640</v>
      </c>
    </row>
    <row r="2597" ht="15.75" customHeight="1">
      <c r="A2597" s="5" t="s">
        <v>2641</v>
      </c>
    </row>
    <row r="2598" ht="15.75" customHeight="1">
      <c r="A2598" s="5" t="s">
        <v>2642</v>
      </c>
    </row>
    <row r="2599" ht="15.75" customHeight="1">
      <c r="A2599" s="5" t="s">
        <v>2643</v>
      </c>
    </row>
    <row r="2600" ht="15.75" customHeight="1">
      <c r="A2600" s="5" t="s">
        <v>2644</v>
      </c>
    </row>
    <row r="2601" ht="15.75" customHeight="1">
      <c r="A2601" s="5" t="s">
        <v>2645</v>
      </c>
    </row>
    <row r="2602" ht="15.75" customHeight="1">
      <c r="A2602" s="5" t="s">
        <v>2646</v>
      </c>
    </row>
    <row r="2603" ht="15.75" customHeight="1">
      <c r="A2603" s="5" t="s">
        <v>2647</v>
      </c>
    </row>
    <row r="2604" ht="15.75" customHeight="1">
      <c r="A2604" s="5" t="s">
        <v>2648</v>
      </c>
    </row>
    <row r="2605" ht="15.75" customHeight="1">
      <c r="A2605" s="5" t="s">
        <v>2649</v>
      </c>
    </row>
    <row r="2606" ht="15.75" customHeight="1">
      <c r="A2606" s="5" t="s">
        <v>2650</v>
      </c>
    </row>
    <row r="2607" ht="15.75" customHeight="1">
      <c r="A2607" s="5" t="s">
        <v>2651</v>
      </c>
    </row>
    <row r="2608" ht="15.75" customHeight="1">
      <c r="A2608" s="5" t="s">
        <v>2652</v>
      </c>
    </row>
    <row r="2609" ht="15.75" customHeight="1">
      <c r="A2609" s="5" t="s">
        <v>2653</v>
      </c>
    </row>
    <row r="2610" ht="15.75" customHeight="1">
      <c r="A2610" s="5" t="s">
        <v>2654</v>
      </c>
    </row>
    <row r="2611" ht="15.75" customHeight="1">
      <c r="A2611" s="5" t="s">
        <v>2655</v>
      </c>
    </row>
    <row r="2612" ht="15.75" customHeight="1">
      <c r="A2612" s="5" t="s">
        <v>2656</v>
      </c>
    </row>
    <row r="2613" ht="15.75" customHeight="1">
      <c r="A2613" s="5" t="s">
        <v>2657</v>
      </c>
    </row>
    <row r="2614" ht="15.75" customHeight="1">
      <c r="A2614" s="5" t="s">
        <v>2658</v>
      </c>
    </row>
    <row r="2615" ht="15.75" customHeight="1">
      <c r="A2615" s="5" t="s">
        <v>2659</v>
      </c>
    </row>
    <row r="2616" ht="15.75" customHeight="1">
      <c r="A2616" s="5" t="s">
        <v>2660</v>
      </c>
    </row>
    <row r="2617" ht="15.75" customHeight="1">
      <c r="A2617" s="5" t="s">
        <v>2661</v>
      </c>
    </row>
    <row r="2618" ht="15.75" customHeight="1">
      <c r="A2618" s="5" t="s">
        <v>2662</v>
      </c>
    </row>
    <row r="2619" ht="15.75" customHeight="1">
      <c r="A2619" s="5" t="s">
        <v>2663</v>
      </c>
    </row>
    <row r="2620" ht="15.75" customHeight="1">
      <c r="A2620" s="5" t="s">
        <v>2664</v>
      </c>
    </row>
    <row r="2621" ht="15.75" customHeight="1">
      <c r="A2621" s="5" t="s">
        <v>2665</v>
      </c>
    </row>
    <row r="2622" ht="15.75" customHeight="1">
      <c r="A2622" s="5" t="s">
        <v>2666</v>
      </c>
    </row>
    <row r="2623" ht="15.75" customHeight="1">
      <c r="A2623" s="5" t="s">
        <v>2667</v>
      </c>
    </row>
    <row r="2624" ht="15.75" customHeight="1">
      <c r="A2624" s="5" t="s">
        <v>2668</v>
      </c>
    </row>
    <row r="2625" ht="15.75" customHeight="1">
      <c r="A2625" s="5" t="s">
        <v>2669</v>
      </c>
    </row>
    <row r="2626" ht="15.75" customHeight="1">
      <c r="A2626" s="5" t="s">
        <v>2670</v>
      </c>
    </row>
    <row r="2627" ht="15.75" customHeight="1">
      <c r="A2627" s="5" t="s">
        <v>2671</v>
      </c>
    </row>
    <row r="2628" ht="15.75" customHeight="1">
      <c r="A2628" s="5" t="s">
        <v>2672</v>
      </c>
    </row>
    <row r="2629" ht="15.75" customHeight="1">
      <c r="A2629" s="5" t="s">
        <v>2673</v>
      </c>
    </row>
    <row r="2630" ht="15.75" customHeight="1">
      <c r="A2630" s="5" t="s">
        <v>2674</v>
      </c>
    </row>
    <row r="2631" ht="15.75" customHeight="1">
      <c r="A2631" s="5" t="s">
        <v>2675</v>
      </c>
    </row>
    <row r="2632" ht="15.75" customHeight="1">
      <c r="A2632" s="5" t="s">
        <v>2676</v>
      </c>
    </row>
    <row r="2633" ht="15.75" customHeight="1">
      <c r="A2633" s="5" t="s">
        <v>2677</v>
      </c>
    </row>
    <row r="2634" ht="15.75" customHeight="1">
      <c r="A2634" s="5" t="s">
        <v>2678</v>
      </c>
    </row>
    <row r="2635" ht="15.75" customHeight="1">
      <c r="A2635" s="5" t="s">
        <v>2679</v>
      </c>
    </row>
    <row r="2636" ht="15.75" customHeight="1">
      <c r="A2636" s="5" t="s">
        <v>2680</v>
      </c>
    </row>
    <row r="2637" ht="15.75" customHeight="1">
      <c r="A2637" s="5" t="s">
        <v>2681</v>
      </c>
    </row>
    <row r="2638" ht="15.75" customHeight="1">
      <c r="A2638" s="5" t="s">
        <v>2682</v>
      </c>
    </row>
    <row r="2639" ht="15.75" customHeight="1">
      <c r="A2639" s="5" t="s">
        <v>2683</v>
      </c>
    </row>
    <row r="2640" ht="15.75" customHeight="1">
      <c r="A2640" s="5" t="s">
        <v>2684</v>
      </c>
    </row>
    <row r="2641" ht="15.75" customHeight="1">
      <c r="A2641" s="5" t="s">
        <v>2685</v>
      </c>
    </row>
    <row r="2642" ht="15.75" customHeight="1">
      <c r="A2642" s="5" t="s">
        <v>2686</v>
      </c>
    </row>
    <row r="2643" ht="15.75" customHeight="1">
      <c r="A2643" s="5" t="s">
        <v>2687</v>
      </c>
    </row>
    <row r="2644" ht="15.75" customHeight="1">
      <c r="A2644" s="5" t="s">
        <v>2688</v>
      </c>
    </row>
    <row r="2645" ht="15.75" customHeight="1">
      <c r="A2645" s="5" t="s">
        <v>2689</v>
      </c>
    </row>
    <row r="2646" ht="15.75" customHeight="1">
      <c r="A2646" s="5" t="s">
        <v>2690</v>
      </c>
    </row>
    <row r="2647" ht="15.75" customHeight="1">
      <c r="A2647" s="5" t="s">
        <v>2691</v>
      </c>
    </row>
    <row r="2648" ht="15.75" customHeight="1">
      <c r="A2648" s="5" t="s">
        <v>2692</v>
      </c>
    </row>
    <row r="2649" ht="15.75" customHeight="1">
      <c r="A2649" s="5" t="s">
        <v>2693</v>
      </c>
    </row>
    <row r="2650" ht="15.75" customHeight="1">
      <c r="A2650" s="5" t="s">
        <v>2694</v>
      </c>
    </row>
    <row r="2651" ht="15.75" customHeight="1">
      <c r="A2651" s="5" t="s">
        <v>2695</v>
      </c>
    </row>
    <row r="2652" ht="15.75" customHeight="1">
      <c r="A2652" s="5" t="s">
        <v>2696</v>
      </c>
    </row>
    <row r="2653" ht="15.75" customHeight="1">
      <c r="A2653" s="5" t="s">
        <v>2697</v>
      </c>
    </row>
    <row r="2654" ht="15.75" customHeight="1">
      <c r="A2654" s="5" t="s">
        <v>2698</v>
      </c>
    </row>
    <row r="2655" ht="15.75" customHeight="1">
      <c r="A2655" s="5" t="s">
        <v>2699</v>
      </c>
    </row>
    <row r="2656" ht="15.75" customHeight="1">
      <c r="A2656" s="5" t="s">
        <v>2700</v>
      </c>
    </row>
    <row r="2657" ht="15.75" customHeight="1">
      <c r="A2657" s="5" t="s">
        <v>2701</v>
      </c>
    </row>
    <row r="2658" ht="15.75" customHeight="1">
      <c r="A2658" s="5" t="s">
        <v>2702</v>
      </c>
    </row>
    <row r="2659" ht="15.75" customHeight="1">
      <c r="A2659" s="5" t="s">
        <v>2703</v>
      </c>
    </row>
    <row r="2660" ht="15.75" customHeight="1">
      <c r="A2660" s="5" t="s">
        <v>2704</v>
      </c>
    </row>
    <row r="2661" ht="15.75" customHeight="1">
      <c r="A2661" s="5" t="s">
        <v>2705</v>
      </c>
    </row>
    <row r="2662" ht="15.75" customHeight="1">
      <c r="A2662" s="5" t="s">
        <v>2706</v>
      </c>
    </row>
    <row r="2663" ht="15.75" customHeight="1">
      <c r="A2663" s="5" t="s">
        <v>2707</v>
      </c>
    </row>
    <row r="2664" ht="15.75" customHeight="1">
      <c r="A2664" s="5" t="s">
        <v>2708</v>
      </c>
    </row>
    <row r="2665" ht="15.75" customHeight="1">
      <c r="A2665" s="5" t="s">
        <v>2709</v>
      </c>
    </row>
    <row r="2666" ht="15.75" customHeight="1">
      <c r="A2666" s="5" t="s">
        <v>2710</v>
      </c>
    </row>
    <row r="2667" ht="15.75" customHeight="1">
      <c r="A2667" s="5" t="s">
        <v>2711</v>
      </c>
    </row>
    <row r="2668" ht="15.75" customHeight="1">
      <c r="A2668" s="5" t="s">
        <v>2712</v>
      </c>
    </row>
    <row r="2669" ht="15.75" customHeight="1">
      <c r="A2669" s="5" t="s">
        <v>2713</v>
      </c>
    </row>
    <row r="2670" ht="15.75" customHeight="1">
      <c r="A2670" s="5" t="s">
        <v>2714</v>
      </c>
    </row>
    <row r="2671" ht="15.75" customHeight="1">
      <c r="A2671" s="5" t="s">
        <v>2715</v>
      </c>
    </row>
    <row r="2672" ht="15.75" customHeight="1">
      <c r="A2672" s="5" t="s">
        <v>2716</v>
      </c>
    </row>
    <row r="2673" ht="15.75" customHeight="1">
      <c r="A2673" s="5" t="s">
        <v>2717</v>
      </c>
    </row>
    <row r="2674" ht="15.75" customHeight="1">
      <c r="A2674" s="5" t="s">
        <v>2718</v>
      </c>
    </row>
    <row r="2675" ht="15.75" customHeight="1">
      <c r="A2675" s="5" t="s">
        <v>2719</v>
      </c>
    </row>
    <row r="2676" ht="15.75" customHeight="1">
      <c r="A2676" s="5" t="s">
        <v>2720</v>
      </c>
    </row>
    <row r="2677" ht="15.75" customHeight="1">
      <c r="A2677" s="5" t="s">
        <v>2721</v>
      </c>
    </row>
    <row r="2678" ht="15.75" customHeight="1">
      <c r="A2678" s="5" t="s">
        <v>2722</v>
      </c>
    </row>
    <row r="2679" ht="15.75" customHeight="1">
      <c r="A2679" s="5" t="s">
        <v>2723</v>
      </c>
    </row>
    <row r="2680" ht="15.75" customHeight="1">
      <c r="A2680" s="5" t="s">
        <v>2724</v>
      </c>
    </row>
    <row r="2681" ht="15.75" customHeight="1">
      <c r="A2681" s="5" t="s">
        <v>2725</v>
      </c>
    </row>
    <row r="2682" ht="15.75" customHeight="1">
      <c r="A2682" s="5" t="s">
        <v>2726</v>
      </c>
    </row>
    <row r="2683" ht="15.75" customHeight="1">
      <c r="A2683" s="5" t="s">
        <v>2727</v>
      </c>
    </row>
    <row r="2684" ht="15.75" customHeight="1">
      <c r="A2684" s="5" t="s">
        <v>2728</v>
      </c>
    </row>
    <row r="2685" ht="15.75" customHeight="1">
      <c r="A2685" s="5" t="s">
        <v>2729</v>
      </c>
    </row>
    <row r="2686" ht="15.75" customHeight="1">
      <c r="A2686" s="5" t="s">
        <v>2730</v>
      </c>
    </row>
    <row r="2687" ht="15.75" customHeight="1">
      <c r="A2687" s="5" t="s">
        <v>2731</v>
      </c>
    </row>
    <row r="2688" ht="15.75" customHeight="1">
      <c r="A2688" s="5" t="s">
        <v>2732</v>
      </c>
    </row>
    <row r="2689" ht="15.75" customHeight="1">
      <c r="A2689" s="5" t="s">
        <v>2733</v>
      </c>
    </row>
    <row r="2690" ht="15.75" customHeight="1">
      <c r="A2690" s="5" t="s">
        <v>2734</v>
      </c>
    </row>
    <row r="2691" ht="15.75" customHeight="1">
      <c r="A2691" s="5" t="s">
        <v>2735</v>
      </c>
    </row>
    <row r="2692" ht="15.75" customHeight="1">
      <c r="A2692" s="5" t="s">
        <v>2736</v>
      </c>
    </row>
    <row r="2693" ht="15.75" customHeight="1">
      <c r="A2693" s="5" t="s">
        <v>2737</v>
      </c>
    </row>
    <row r="2694" ht="15.75" customHeight="1">
      <c r="A2694" s="5" t="s">
        <v>2738</v>
      </c>
    </row>
    <row r="2695" ht="15.75" customHeight="1">
      <c r="A2695" s="5" t="s">
        <v>2739</v>
      </c>
    </row>
    <row r="2696" ht="15.75" customHeight="1">
      <c r="A2696" s="5" t="s">
        <v>2740</v>
      </c>
    </row>
    <row r="2697" ht="15.75" customHeight="1">
      <c r="A2697" s="5" t="s">
        <v>2741</v>
      </c>
    </row>
    <row r="2698" ht="15.75" customHeight="1">
      <c r="A2698" s="5" t="s">
        <v>2742</v>
      </c>
    </row>
    <row r="2699" ht="15.75" customHeight="1">
      <c r="A2699" s="5" t="s">
        <v>2743</v>
      </c>
    </row>
    <row r="2700" ht="15.75" customHeight="1">
      <c r="A2700" s="5" t="s">
        <v>2744</v>
      </c>
    </row>
    <row r="2701" ht="15.75" customHeight="1">
      <c r="A2701" s="5" t="s">
        <v>2745</v>
      </c>
    </row>
    <row r="2702" ht="15.75" customHeight="1">
      <c r="A2702" s="5" t="s">
        <v>2746</v>
      </c>
    </row>
    <row r="2703" ht="15.75" customHeight="1">
      <c r="A2703" s="5" t="s">
        <v>2747</v>
      </c>
    </row>
    <row r="2704" ht="15.75" customHeight="1">
      <c r="A2704" s="5" t="s">
        <v>2748</v>
      </c>
    </row>
    <row r="2705" ht="15.75" customHeight="1">
      <c r="A2705" s="5" t="s">
        <v>2749</v>
      </c>
    </row>
    <row r="2706" ht="15.75" customHeight="1">
      <c r="A2706" s="5" t="s">
        <v>2750</v>
      </c>
    </row>
    <row r="2707" ht="15.75" customHeight="1">
      <c r="A2707" s="5" t="s">
        <v>2751</v>
      </c>
    </row>
    <row r="2708" ht="15.75" customHeight="1">
      <c r="A2708" s="5" t="s">
        <v>2752</v>
      </c>
    </row>
    <row r="2709" ht="15.75" customHeight="1">
      <c r="A2709" s="5" t="s">
        <v>2753</v>
      </c>
    </row>
    <row r="2710" ht="15.75" customHeight="1">
      <c r="A2710" s="5" t="s">
        <v>2754</v>
      </c>
    </row>
    <row r="2711" ht="15.75" customHeight="1">
      <c r="A2711" s="5" t="s">
        <v>2755</v>
      </c>
    </row>
    <row r="2712" ht="15.75" customHeight="1">
      <c r="A2712" s="5" t="s">
        <v>2756</v>
      </c>
    </row>
    <row r="2713" ht="15.75" customHeight="1">
      <c r="A2713" s="5" t="s">
        <v>2757</v>
      </c>
    </row>
    <row r="2714" ht="15.75" customHeight="1">
      <c r="A2714" s="5" t="s">
        <v>2758</v>
      </c>
    </row>
    <row r="2715" ht="15.75" customHeight="1">
      <c r="A2715" s="5" t="s">
        <v>2759</v>
      </c>
    </row>
    <row r="2716" ht="15.75" customHeight="1">
      <c r="A2716" s="5" t="s">
        <v>2760</v>
      </c>
    </row>
    <row r="2717" ht="15.75" customHeight="1">
      <c r="A2717" s="5" t="s">
        <v>2761</v>
      </c>
    </row>
    <row r="2718" ht="15.75" customHeight="1">
      <c r="A2718" s="5" t="s">
        <v>2762</v>
      </c>
    </row>
    <row r="2719" ht="15.75" customHeight="1">
      <c r="A2719" s="5" t="s">
        <v>2763</v>
      </c>
    </row>
    <row r="2720" ht="15.75" customHeight="1">
      <c r="A2720" s="5" t="s">
        <v>2764</v>
      </c>
    </row>
    <row r="2721" ht="15.75" customHeight="1">
      <c r="A2721" s="5" t="s">
        <v>2765</v>
      </c>
    </row>
    <row r="2722" ht="15.75" customHeight="1">
      <c r="A2722" s="5" t="s">
        <v>2766</v>
      </c>
    </row>
    <row r="2723" ht="15.75" customHeight="1">
      <c r="A2723" s="5" t="s">
        <v>2767</v>
      </c>
    </row>
    <row r="2724" ht="15.75" customHeight="1">
      <c r="A2724" s="5" t="s">
        <v>2768</v>
      </c>
    </row>
    <row r="2725" ht="15.75" customHeight="1">
      <c r="A2725" s="5" t="s">
        <v>2769</v>
      </c>
    </row>
    <row r="2726" ht="15.75" customHeight="1">
      <c r="A2726" s="5" t="s">
        <v>2770</v>
      </c>
    </row>
    <row r="2727" ht="15.75" customHeight="1">
      <c r="A2727" s="5" t="s">
        <v>2771</v>
      </c>
    </row>
    <row r="2728" ht="15.75" customHeight="1">
      <c r="A2728" s="5" t="s">
        <v>2772</v>
      </c>
    </row>
    <row r="2729" ht="15.75" customHeight="1">
      <c r="A2729" s="5" t="s">
        <v>2773</v>
      </c>
    </row>
    <row r="2730" ht="15.75" customHeight="1">
      <c r="A2730" s="5" t="s">
        <v>2774</v>
      </c>
    </row>
    <row r="2731" ht="15.75" customHeight="1">
      <c r="A2731" s="5" t="s">
        <v>2775</v>
      </c>
    </row>
    <row r="2732" ht="15.75" customHeight="1">
      <c r="A2732" s="5" t="s">
        <v>2776</v>
      </c>
    </row>
    <row r="2733" ht="15.75" customHeight="1">
      <c r="A2733" s="5" t="s">
        <v>2777</v>
      </c>
    </row>
    <row r="2734" ht="15.75" customHeight="1">
      <c r="A2734" s="5" t="s">
        <v>2778</v>
      </c>
    </row>
    <row r="2735" ht="15.75" customHeight="1">
      <c r="A2735" s="5" t="s">
        <v>2779</v>
      </c>
    </row>
    <row r="2736" ht="15.75" customHeight="1">
      <c r="A2736" s="5" t="s">
        <v>2780</v>
      </c>
    </row>
    <row r="2737" ht="15.75" customHeight="1">
      <c r="A2737" s="5" t="s">
        <v>2781</v>
      </c>
    </row>
    <row r="2738" ht="15.75" customHeight="1">
      <c r="A2738" s="5" t="s">
        <v>2782</v>
      </c>
    </row>
    <row r="2739" ht="15.75" customHeight="1">
      <c r="A2739" s="5" t="s">
        <v>2783</v>
      </c>
    </row>
    <row r="2740" ht="15.75" customHeight="1">
      <c r="A2740" s="5" t="s">
        <v>2784</v>
      </c>
    </row>
    <row r="2741" ht="15.75" customHeight="1">
      <c r="A2741" s="5" t="s">
        <v>2785</v>
      </c>
    </row>
    <row r="2742" ht="15.75" customHeight="1">
      <c r="A2742" s="5" t="s">
        <v>2786</v>
      </c>
    </row>
    <row r="2743" ht="15.75" customHeight="1">
      <c r="A2743" s="5" t="s">
        <v>2787</v>
      </c>
    </row>
    <row r="2744" ht="15.75" customHeight="1">
      <c r="A2744" s="5" t="s">
        <v>2788</v>
      </c>
    </row>
    <row r="2745" ht="15.75" customHeight="1">
      <c r="A2745" s="5" t="s">
        <v>2789</v>
      </c>
    </row>
    <row r="2746" ht="15.75" customHeight="1">
      <c r="A2746" s="5" t="s">
        <v>2790</v>
      </c>
    </row>
    <row r="2747" ht="15.75" customHeight="1">
      <c r="A2747" s="5" t="s">
        <v>2791</v>
      </c>
    </row>
    <row r="2748" ht="15.75" customHeight="1">
      <c r="A2748" s="5" t="s">
        <v>2792</v>
      </c>
    </row>
    <row r="2749" ht="15.75" customHeight="1">
      <c r="A2749" s="5" t="s">
        <v>2793</v>
      </c>
    </row>
    <row r="2750" ht="15.75" customHeight="1">
      <c r="A2750" s="5" t="s">
        <v>2794</v>
      </c>
    </row>
    <row r="2751" ht="15.75" customHeight="1">
      <c r="A2751" s="5" t="s">
        <v>2795</v>
      </c>
    </row>
    <row r="2752" ht="15.75" customHeight="1">
      <c r="A2752" s="5" t="s">
        <v>2796</v>
      </c>
    </row>
    <row r="2753" ht="15.75" customHeight="1">
      <c r="A2753" s="5" t="s">
        <v>2797</v>
      </c>
    </row>
    <row r="2754" ht="15.75" customHeight="1">
      <c r="A2754" s="5" t="s">
        <v>2798</v>
      </c>
    </row>
    <row r="2755" ht="15.75" customHeight="1">
      <c r="A2755" s="5" t="s">
        <v>2799</v>
      </c>
    </row>
    <row r="2756" ht="15.75" customHeight="1">
      <c r="A2756" s="5" t="s">
        <v>2800</v>
      </c>
    </row>
    <row r="2757" ht="15.75" customHeight="1">
      <c r="A2757" s="5" t="s">
        <v>2801</v>
      </c>
    </row>
    <row r="2758" ht="15.75" customHeight="1">
      <c r="A2758" s="5" t="s">
        <v>2802</v>
      </c>
    </row>
    <row r="2759" ht="15.75" customHeight="1">
      <c r="A2759" s="5" t="s">
        <v>2803</v>
      </c>
    </row>
    <row r="2760" ht="15.75" customHeight="1">
      <c r="A2760" s="5" t="s">
        <v>2804</v>
      </c>
    </row>
    <row r="2761" ht="15.75" customHeight="1">
      <c r="A2761" s="5" t="s">
        <v>2805</v>
      </c>
    </row>
    <row r="2762" ht="15.75" customHeight="1">
      <c r="A2762" s="5" t="s">
        <v>2806</v>
      </c>
    </row>
    <row r="2763" ht="15.75" customHeight="1">
      <c r="A2763" s="5" t="s">
        <v>2807</v>
      </c>
    </row>
    <row r="2764" ht="15.75" customHeight="1">
      <c r="A2764" s="5" t="s">
        <v>2808</v>
      </c>
    </row>
    <row r="2765" ht="15.75" customHeight="1">
      <c r="A2765" s="5" t="s">
        <v>2809</v>
      </c>
    </row>
    <row r="2766" ht="15.75" customHeight="1">
      <c r="A2766" s="5" t="s">
        <v>2810</v>
      </c>
    </row>
    <row r="2767" ht="15.75" customHeight="1">
      <c r="A2767" s="5" t="s">
        <v>2811</v>
      </c>
    </row>
    <row r="2768" ht="15.75" customHeight="1">
      <c r="A2768" s="5" t="s">
        <v>2812</v>
      </c>
    </row>
    <row r="2769" ht="15.75" customHeight="1">
      <c r="A2769" s="5" t="s">
        <v>2813</v>
      </c>
    </row>
    <row r="2770" ht="15.75" customHeight="1">
      <c r="A2770" s="5" t="s">
        <v>2814</v>
      </c>
    </row>
    <row r="2771" ht="15.75" customHeight="1">
      <c r="A2771" s="5" t="s">
        <v>2815</v>
      </c>
    </row>
    <row r="2772" ht="15.75" customHeight="1">
      <c r="A2772" s="5" t="s">
        <v>2816</v>
      </c>
    </row>
    <row r="2773" ht="15.75" customHeight="1">
      <c r="A2773" s="5" t="s">
        <v>2817</v>
      </c>
    </row>
    <row r="2774" ht="15.75" customHeight="1">
      <c r="A2774" s="5" t="s">
        <v>2818</v>
      </c>
    </row>
    <row r="2775" ht="15.75" customHeight="1">
      <c r="A2775" s="5" t="s">
        <v>2819</v>
      </c>
    </row>
    <row r="2776" ht="15.75" customHeight="1">
      <c r="A2776" s="5" t="s">
        <v>2820</v>
      </c>
    </row>
    <row r="2777" ht="15.75" customHeight="1">
      <c r="A2777" s="5" t="s">
        <v>2821</v>
      </c>
    </row>
    <row r="2778" ht="15.75" customHeight="1">
      <c r="A2778" s="5" t="s">
        <v>2822</v>
      </c>
    </row>
    <row r="2779" ht="15.75" customHeight="1">
      <c r="A2779" s="5" t="s">
        <v>2823</v>
      </c>
    </row>
    <row r="2780" ht="15.75" customHeight="1">
      <c r="A2780" s="5" t="s">
        <v>2824</v>
      </c>
    </row>
    <row r="2781" ht="15.75" customHeight="1">
      <c r="A2781" s="5" t="s">
        <v>2825</v>
      </c>
    </row>
    <row r="2782" ht="15.75" customHeight="1">
      <c r="A2782" s="5" t="s">
        <v>2826</v>
      </c>
    </row>
    <row r="2783" ht="15.75" customHeight="1">
      <c r="A2783" s="5" t="s">
        <v>2827</v>
      </c>
    </row>
    <row r="2784" ht="15.75" customHeight="1">
      <c r="A2784" s="5" t="s">
        <v>2828</v>
      </c>
    </row>
    <row r="2785" ht="15.75" customHeight="1">
      <c r="A2785" s="5" t="s">
        <v>2829</v>
      </c>
    </row>
    <row r="2786" ht="15.75" customHeight="1">
      <c r="A2786" s="5" t="s">
        <v>2830</v>
      </c>
    </row>
    <row r="2787" ht="15.75" customHeight="1">
      <c r="A2787" s="5" t="s">
        <v>2831</v>
      </c>
    </row>
    <row r="2788" ht="15.75" customHeight="1">
      <c r="A2788" s="5" t="s">
        <v>2832</v>
      </c>
    </row>
    <row r="2789" ht="15.75" customHeight="1">
      <c r="A2789" s="5" t="s">
        <v>2833</v>
      </c>
    </row>
    <row r="2790" ht="15.75" customHeight="1">
      <c r="A2790" s="5" t="s">
        <v>2834</v>
      </c>
    </row>
    <row r="2791" ht="15.75" customHeight="1">
      <c r="A2791" s="5" t="s">
        <v>2835</v>
      </c>
    </row>
    <row r="2792" ht="15.75" customHeight="1">
      <c r="A2792" s="5" t="s">
        <v>2836</v>
      </c>
    </row>
    <row r="2793" ht="15.75" customHeight="1">
      <c r="A2793" s="5" t="s">
        <v>2837</v>
      </c>
    </row>
    <row r="2794" ht="15.75" customHeight="1">
      <c r="A2794" s="5" t="s">
        <v>2838</v>
      </c>
    </row>
    <row r="2795" ht="15.75" customHeight="1">
      <c r="A2795" s="5" t="s">
        <v>2839</v>
      </c>
    </row>
    <row r="2796" ht="15.75" customHeight="1">
      <c r="A2796" s="5" t="s">
        <v>2840</v>
      </c>
    </row>
    <row r="2797" ht="15.75" customHeight="1">
      <c r="A2797" s="5" t="s">
        <v>2841</v>
      </c>
    </row>
    <row r="2798" ht="15.75" customHeight="1">
      <c r="A2798" s="5" t="s">
        <v>2842</v>
      </c>
    </row>
    <row r="2799" ht="15.75" customHeight="1">
      <c r="A2799" s="5" t="s">
        <v>2843</v>
      </c>
    </row>
    <row r="2800" ht="15.75" customHeight="1">
      <c r="A2800" s="5" t="s">
        <v>2844</v>
      </c>
    </row>
    <row r="2801" ht="15.75" customHeight="1">
      <c r="A2801" s="5" t="s">
        <v>2845</v>
      </c>
    </row>
    <row r="2802" ht="15.75" customHeight="1">
      <c r="A2802" s="5" t="s">
        <v>2846</v>
      </c>
    </row>
    <row r="2803" ht="15.75" customHeight="1">
      <c r="A2803" s="5" t="s">
        <v>2847</v>
      </c>
    </row>
    <row r="2804" ht="15.75" customHeight="1">
      <c r="A2804" s="5" t="s">
        <v>2848</v>
      </c>
    </row>
    <row r="2805" ht="15.75" customHeight="1">
      <c r="A2805" s="5" t="s">
        <v>2849</v>
      </c>
    </row>
    <row r="2806" ht="15.75" customHeight="1">
      <c r="A2806" s="5" t="s">
        <v>2850</v>
      </c>
    </row>
    <row r="2807" ht="15.75" customHeight="1">
      <c r="A2807" s="5" t="s">
        <v>2851</v>
      </c>
    </row>
    <row r="2808" ht="15.75" customHeight="1">
      <c r="A2808" s="5" t="s">
        <v>2852</v>
      </c>
    </row>
    <row r="2809" ht="15.75" customHeight="1">
      <c r="A2809" s="5" t="s">
        <v>2853</v>
      </c>
    </row>
    <row r="2810" ht="15.75" customHeight="1">
      <c r="A2810" s="5" t="s">
        <v>2854</v>
      </c>
    </row>
    <row r="2811" ht="15.75" customHeight="1">
      <c r="A2811" s="5" t="s">
        <v>2855</v>
      </c>
    </row>
    <row r="2812" ht="15.75" customHeight="1">
      <c r="A2812" s="5" t="s">
        <v>2856</v>
      </c>
    </row>
    <row r="2813" ht="15.75" customHeight="1">
      <c r="A2813" s="5" t="s">
        <v>2857</v>
      </c>
    </row>
    <row r="2814" ht="15.75" customHeight="1">
      <c r="A2814" s="5" t="s">
        <v>2858</v>
      </c>
    </row>
    <row r="2815" ht="15.75" customHeight="1">
      <c r="A2815" s="5" t="s">
        <v>2859</v>
      </c>
    </row>
    <row r="2816" ht="15.75" customHeight="1">
      <c r="A2816" s="5" t="s">
        <v>2860</v>
      </c>
    </row>
    <row r="2817" ht="15.75" customHeight="1">
      <c r="A2817" s="5" t="s">
        <v>2861</v>
      </c>
    </row>
    <row r="2818" ht="15.75" customHeight="1">
      <c r="A2818" s="5" t="s">
        <v>2862</v>
      </c>
    </row>
    <row r="2819" ht="15.75" customHeight="1">
      <c r="A2819" s="5" t="s">
        <v>2863</v>
      </c>
    </row>
    <row r="2820" ht="15.75" customHeight="1">
      <c r="A2820" s="5" t="s">
        <v>2864</v>
      </c>
    </row>
    <row r="2821" ht="15.75" customHeight="1">
      <c r="A2821" s="5" t="s">
        <v>2865</v>
      </c>
    </row>
    <row r="2822" ht="15.75" customHeight="1">
      <c r="A2822" s="5" t="s">
        <v>2866</v>
      </c>
    </row>
    <row r="2823" ht="15.75" customHeight="1">
      <c r="A2823" s="5" t="s">
        <v>2867</v>
      </c>
    </row>
    <row r="2824" ht="15.75" customHeight="1">
      <c r="A2824" s="5" t="s">
        <v>2868</v>
      </c>
    </row>
    <row r="2825" ht="15.75" customHeight="1">
      <c r="A2825" s="5" t="s">
        <v>2869</v>
      </c>
    </row>
    <row r="2826" ht="15.75" customHeight="1">
      <c r="A2826" s="5" t="s">
        <v>2870</v>
      </c>
    </row>
    <row r="2827" ht="15.75" customHeight="1">
      <c r="A2827" s="5" t="s">
        <v>2871</v>
      </c>
    </row>
    <row r="2828" ht="15.75" customHeight="1">
      <c r="A2828" s="5" t="s">
        <v>2872</v>
      </c>
    </row>
    <row r="2829" ht="15.75" customHeight="1">
      <c r="A2829" s="5" t="s">
        <v>2873</v>
      </c>
    </row>
    <row r="2830" ht="15.75" customHeight="1">
      <c r="A2830" s="5" t="s">
        <v>2874</v>
      </c>
    </row>
    <row r="2831" ht="15.75" customHeight="1">
      <c r="A2831" s="5" t="s">
        <v>2875</v>
      </c>
    </row>
    <row r="2832" ht="15.75" customHeight="1">
      <c r="A2832" s="5" t="s">
        <v>2876</v>
      </c>
    </row>
    <row r="2833" ht="15.75" customHeight="1">
      <c r="A2833" s="5" t="s">
        <v>2877</v>
      </c>
    </row>
    <row r="2834" ht="15.75" customHeight="1">
      <c r="A2834" s="5" t="s">
        <v>2878</v>
      </c>
    </row>
    <row r="2835" ht="15.75" customHeight="1">
      <c r="A2835" s="5" t="s">
        <v>2879</v>
      </c>
    </row>
    <row r="2836" ht="15.75" customHeight="1">
      <c r="A2836" s="5" t="s">
        <v>2880</v>
      </c>
    </row>
    <row r="2837" ht="15.75" customHeight="1">
      <c r="A2837" s="5" t="s">
        <v>2881</v>
      </c>
    </row>
    <row r="2838" ht="15.75" customHeight="1">
      <c r="A2838" s="5" t="s">
        <v>2882</v>
      </c>
    </row>
    <row r="2839" ht="15.75" customHeight="1">
      <c r="A2839" s="5" t="s">
        <v>2883</v>
      </c>
    </row>
    <row r="2840" ht="15.75" customHeight="1">
      <c r="A2840" s="5" t="s">
        <v>2884</v>
      </c>
    </row>
    <row r="2841" ht="15.75" customHeight="1">
      <c r="A2841" s="5" t="s">
        <v>2885</v>
      </c>
    </row>
    <row r="2842" ht="15.75" customHeight="1">
      <c r="A2842" s="5" t="s">
        <v>2886</v>
      </c>
    </row>
    <row r="2843" ht="15.75" customHeight="1">
      <c r="A2843" s="5" t="s">
        <v>2887</v>
      </c>
    </row>
    <row r="2844" ht="15.75" customHeight="1">
      <c r="A2844" s="5" t="s">
        <v>2888</v>
      </c>
    </row>
    <row r="2845" ht="15.75" customHeight="1">
      <c r="A2845" s="5" t="s">
        <v>2889</v>
      </c>
    </row>
    <row r="2846" ht="15.75" customHeight="1">
      <c r="A2846" s="5" t="s">
        <v>2890</v>
      </c>
    </row>
    <row r="2847" ht="15.75" customHeight="1">
      <c r="A2847" s="5" t="s">
        <v>2891</v>
      </c>
    </row>
    <row r="2848" ht="15.75" customHeight="1">
      <c r="A2848" s="5" t="s">
        <v>2892</v>
      </c>
    </row>
    <row r="2849" ht="15.75" customHeight="1">
      <c r="A2849" s="5" t="s">
        <v>2893</v>
      </c>
    </row>
    <row r="2850" ht="15.75" customHeight="1">
      <c r="A2850" s="5" t="s">
        <v>2894</v>
      </c>
    </row>
    <row r="2851" ht="15.75" customHeight="1">
      <c r="A2851" s="5" t="s">
        <v>2895</v>
      </c>
    </row>
    <row r="2852" ht="15.75" customHeight="1">
      <c r="A2852" s="5" t="s">
        <v>2896</v>
      </c>
    </row>
    <row r="2853" ht="15.75" customHeight="1">
      <c r="A2853" s="5" t="s">
        <v>2897</v>
      </c>
    </row>
    <row r="2854" ht="15.75" customHeight="1">
      <c r="A2854" s="5" t="s">
        <v>2898</v>
      </c>
    </row>
    <row r="2855" ht="15.75" customHeight="1">
      <c r="A2855" s="5" t="s">
        <v>2899</v>
      </c>
    </row>
    <row r="2856" ht="15.75" customHeight="1">
      <c r="A2856" s="5" t="s">
        <v>2900</v>
      </c>
    </row>
    <row r="2857" ht="15.75" customHeight="1">
      <c r="A2857" s="5" t="s">
        <v>2901</v>
      </c>
    </row>
    <row r="2858" ht="15.75" customHeight="1">
      <c r="A2858" s="5" t="s">
        <v>2902</v>
      </c>
    </row>
    <row r="2859" ht="15.75" customHeight="1">
      <c r="A2859" s="5" t="s">
        <v>2903</v>
      </c>
    </row>
    <row r="2860" ht="15.75" customHeight="1">
      <c r="A2860" s="5" t="s">
        <v>2904</v>
      </c>
    </row>
    <row r="2861" ht="15.75" customHeight="1">
      <c r="A2861" s="5" t="s">
        <v>2905</v>
      </c>
    </row>
    <row r="2862" ht="15.75" customHeight="1">
      <c r="A2862" s="5" t="s">
        <v>2906</v>
      </c>
    </row>
    <row r="2863" ht="15.75" customHeight="1">
      <c r="A2863" s="5" t="s">
        <v>2907</v>
      </c>
    </row>
    <row r="2864" ht="15.75" customHeight="1">
      <c r="A2864" s="5" t="s">
        <v>2908</v>
      </c>
    </row>
    <row r="2865" ht="15.75" customHeight="1">
      <c r="A2865" s="5" t="s">
        <v>2909</v>
      </c>
    </row>
    <row r="2866" ht="15.75" customHeight="1">
      <c r="A2866" s="5" t="s">
        <v>2910</v>
      </c>
    </row>
    <row r="2867" ht="15.75" customHeight="1">
      <c r="A2867" s="5" t="s">
        <v>2911</v>
      </c>
    </row>
    <row r="2868" ht="15.75" customHeight="1">
      <c r="A2868" s="5" t="s">
        <v>2912</v>
      </c>
    </row>
    <row r="2869" ht="15.75" customHeight="1">
      <c r="A2869" s="5" t="s">
        <v>2913</v>
      </c>
    </row>
    <row r="2870" ht="15.75" customHeight="1">
      <c r="A2870" s="5" t="s">
        <v>2914</v>
      </c>
    </row>
    <row r="2871" ht="15.75" customHeight="1">
      <c r="A2871" s="5" t="s">
        <v>2915</v>
      </c>
    </row>
    <row r="2872" ht="15.75" customHeight="1">
      <c r="A2872" s="5" t="s">
        <v>2916</v>
      </c>
    </row>
    <row r="2873" ht="15.75" customHeight="1">
      <c r="A2873" s="5" t="s">
        <v>2917</v>
      </c>
    </row>
    <row r="2874" ht="15.75" customHeight="1">
      <c r="A2874" s="5" t="s">
        <v>2918</v>
      </c>
    </row>
    <row r="2875" ht="15.75" customHeight="1">
      <c r="A2875" s="5" t="s">
        <v>2919</v>
      </c>
    </row>
    <row r="2876" ht="15.75" customHeight="1">
      <c r="A2876" s="5" t="s">
        <v>2920</v>
      </c>
    </row>
    <row r="2877" ht="15.75" customHeight="1">
      <c r="A2877" s="5" t="s">
        <v>2921</v>
      </c>
    </row>
    <row r="2878" ht="15.75" customHeight="1">
      <c r="A2878" s="5" t="s">
        <v>2922</v>
      </c>
    </row>
    <row r="2879" ht="15.75" customHeight="1">
      <c r="A2879" s="5" t="s">
        <v>2923</v>
      </c>
    </row>
    <row r="2880" ht="15.75" customHeight="1">
      <c r="A2880" s="5" t="s">
        <v>2924</v>
      </c>
    </row>
    <row r="2881" ht="15.75" customHeight="1">
      <c r="A2881" s="5" t="s">
        <v>2925</v>
      </c>
    </row>
    <row r="2882" ht="15.75" customHeight="1">
      <c r="A2882" s="5" t="s">
        <v>2926</v>
      </c>
    </row>
    <row r="2883" ht="15.75" customHeight="1">
      <c r="A2883" s="5" t="s">
        <v>2927</v>
      </c>
    </row>
    <row r="2884" ht="15.75" customHeight="1">
      <c r="A2884" s="5" t="s">
        <v>2928</v>
      </c>
    </row>
    <row r="2885" ht="15.75" customHeight="1">
      <c r="A2885" s="5" t="s">
        <v>2929</v>
      </c>
    </row>
    <row r="2886" ht="15.75" customHeight="1">
      <c r="A2886" s="5" t="s">
        <v>2930</v>
      </c>
    </row>
    <row r="2887" ht="15.75" customHeight="1">
      <c r="A2887" s="5" t="s">
        <v>2931</v>
      </c>
    </row>
    <row r="2888" ht="15.75" customHeight="1">
      <c r="A2888" s="5" t="s">
        <v>2932</v>
      </c>
    </row>
    <row r="2889" ht="15.75" customHeight="1">
      <c r="A2889" s="5" t="s">
        <v>2933</v>
      </c>
    </row>
    <row r="2890" ht="15.75" customHeight="1">
      <c r="A2890" s="5" t="s">
        <v>2934</v>
      </c>
    </row>
    <row r="2891" ht="15.75" customHeight="1">
      <c r="A2891" s="5" t="s">
        <v>2935</v>
      </c>
    </row>
    <row r="2892" ht="15.75" customHeight="1">
      <c r="A2892" s="5" t="s">
        <v>2936</v>
      </c>
    </row>
    <row r="2893" ht="15.75" customHeight="1">
      <c r="A2893" s="5" t="s">
        <v>2937</v>
      </c>
    </row>
    <row r="2894" ht="15.75" customHeight="1">
      <c r="A2894" s="5" t="s">
        <v>2938</v>
      </c>
    </row>
    <row r="2895" ht="15.75" customHeight="1">
      <c r="A2895" s="5" t="s">
        <v>2939</v>
      </c>
    </row>
    <row r="2896" ht="15.75" customHeight="1">
      <c r="A2896" s="5" t="s">
        <v>2940</v>
      </c>
    </row>
    <row r="2897" ht="15.75" customHeight="1">
      <c r="A2897" s="5" t="s">
        <v>2941</v>
      </c>
    </row>
    <row r="2898" ht="15.75" customHeight="1">
      <c r="A2898" s="5" t="s">
        <v>2942</v>
      </c>
    </row>
    <row r="2899" ht="15.75" customHeight="1">
      <c r="A2899" s="5" t="s">
        <v>2943</v>
      </c>
    </row>
    <row r="2900" ht="15.75" customHeight="1">
      <c r="A2900" s="5" t="s">
        <v>2944</v>
      </c>
    </row>
    <row r="2901" ht="15.75" customHeight="1">
      <c r="A2901" s="5" t="s">
        <v>2945</v>
      </c>
    </row>
    <row r="2902" ht="15.75" customHeight="1">
      <c r="A2902" s="5" t="s">
        <v>2946</v>
      </c>
    </row>
    <row r="2903" ht="15.75" customHeight="1">
      <c r="A2903" s="5" t="s">
        <v>2947</v>
      </c>
    </row>
    <row r="2904" ht="15.75" customHeight="1">
      <c r="A2904" s="5" t="s">
        <v>2948</v>
      </c>
    </row>
    <row r="2905" ht="15.75" customHeight="1">
      <c r="A2905" s="5" t="s">
        <v>2949</v>
      </c>
    </row>
    <row r="2906" ht="15.75" customHeight="1">
      <c r="A2906" s="5" t="s">
        <v>2950</v>
      </c>
    </row>
    <row r="2907" ht="15.75" customHeight="1">
      <c r="A2907" s="5" t="s">
        <v>2951</v>
      </c>
    </row>
    <row r="2908" ht="15.75" customHeight="1">
      <c r="A2908" s="5" t="s">
        <v>2952</v>
      </c>
    </row>
    <row r="2909" ht="15.75" customHeight="1">
      <c r="A2909" s="5" t="s">
        <v>2953</v>
      </c>
    </row>
    <row r="2910" ht="15.75" customHeight="1">
      <c r="A2910" s="5" t="s">
        <v>2954</v>
      </c>
    </row>
    <row r="2911" ht="15.75" customHeight="1">
      <c r="A2911" s="5" t="s">
        <v>2955</v>
      </c>
    </row>
    <row r="2912" ht="15.75" customHeight="1">
      <c r="A2912" s="5" t="s">
        <v>2956</v>
      </c>
    </row>
    <row r="2913" ht="15.75" customHeight="1">
      <c r="A2913" s="5" t="s">
        <v>2957</v>
      </c>
    </row>
    <row r="2914" ht="15.75" customHeight="1">
      <c r="A2914" s="5" t="s">
        <v>2958</v>
      </c>
    </row>
    <row r="2915" ht="15.75" customHeight="1">
      <c r="A2915" s="5" t="s">
        <v>2959</v>
      </c>
    </row>
    <row r="2916" ht="15.75" customHeight="1">
      <c r="A2916" s="5" t="s">
        <v>2960</v>
      </c>
    </row>
    <row r="2917" ht="15.75" customHeight="1">
      <c r="A2917" s="5" t="s">
        <v>2961</v>
      </c>
    </row>
    <row r="2918" ht="15.75" customHeight="1">
      <c r="A2918" s="5" t="s">
        <v>2962</v>
      </c>
    </row>
    <row r="2919" ht="15.75" customHeight="1">
      <c r="A2919" s="5" t="s">
        <v>2963</v>
      </c>
    </row>
    <row r="2920" ht="15.75" customHeight="1">
      <c r="A2920" s="5" t="s">
        <v>2964</v>
      </c>
    </row>
    <row r="2921" ht="15.75" customHeight="1">
      <c r="A2921" s="5" t="s">
        <v>2965</v>
      </c>
    </row>
    <row r="2922" ht="15.75" customHeight="1">
      <c r="A2922" s="5" t="s">
        <v>2966</v>
      </c>
    </row>
    <row r="2923" ht="15.75" customHeight="1">
      <c r="A2923" s="5" t="s">
        <v>2967</v>
      </c>
    </row>
    <row r="2924" ht="15.75" customHeight="1">
      <c r="A2924" s="5" t="s">
        <v>2968</v>
      </c>
    </row>
    <row r="2925" ht="15.75" customHeight="1">
      <c r="A2925" s="5" t="s">
        <v>2969</v>
      </c>
    </row>
    <row r="2926" ht="15.75" customHeight="1">
      <c r="A2926" s="5" t="s">
        <v>2970</v>
      </c>
    </row>
    <row r="2927" ht="15.75" customHeight="1">
      <c r="A2927" s="5" t="s">
        <v>2971</v>
      </c>
    </row>
    <row r="2928" ht="15.75" customHeight="1">
      <c r="A2928" s="5" t="s">
        <v>2972</v>
      </c>
    </row>
    <row r="2929" ht="15.75" customHeight="1">
      <c r="A2929" s="5" t="s">
        <v>2973</v>
      </c>
    </row>
    <row r="2930" ht="15.75" customHeight="1">
      <c r="A2930" s="5" t="s">
        <v>2974</v>
      </c>
    </row>
    <row r="2931" ht="15.75" customHeight="1">
      <c r="A2931" s="5" t="s">
        <v>2975</v>
      </c>
    </row>
    <row r="2932" ht="15.75" customHeight="1">
      <c r="A2932" s="5" t="s">
        <v>2976</v>
      </c>
    </row>
    <row r="2933" ht="15.75" customHeight="1">
      <c r="A2933" s="5" t="s">
        <v>2977</v>
      </c>
    </row>
    <row r="2934" ht="15.75" customHeight="1">
      <c r="A2934" s="5" t="s">
        <v>2978</v>
      </c>
    </row>
    <row r="2935" ht="15.75" customHeight="1">
      <c r="A2935" s="5" t="s">
        <v>2979</v>
      </c>
    </row>
    <row r="2936" ht="15.75" customHeight="1">
      <c r="A2936" s="5" t="s">
        <v>2980</v>
      </c>
    </row>
    <row r="2937" ht="15.75" customHeight="1">
      <c r="A2937" s="5" t="s">
        <v>2981</v>
      </c>
    </row>
    <row r="2938" ht="15.75" customHeight="1">
      <c r="A2938" s="5" t="s">
        <v>2982</v>
      </c>
    </row>
    <row r="2939" ht="15.75" customHeight="1">
      <c r="A2939" s="5" t="s">
        <v>2983</v>
      </c>
    </row>
    <row r="2940" ht="15.75" customHeight="1">
      <c r="A2940" s="5" t="s">
        <v>2984</v>
      </c>
    </row>
    <row r="2941" ht="15.75" customHeight="1">
      <c r="A2941" s="5" t="s">
        <v>2985</v>
      </c>
    </row>
    <row r="2942" ht="15.75" customHeight="1">
      <c r="A2942" s="5" t="s">
        <v>2986</v>
      </c>
    </row>
    <row r="2943" ht="15.75" customHeight="1">
      <c r="A2943" s="5" t="s">
        <v>2987</v>
      </c>
    </row>
    <row r="2944" ht="15.75" customHeight="1">
      <c r="A2944" s="5" t="s">
        <v>2988</v>
      </c>
    </row>
    <row r="2945" ht="15.75" customHeight="1">
      <c r="A2945" s="5" t="s">
        <v>2989</v>
      </c>
    </row>
    <row r="2946" ht="15.75" customHeight="1">
      <c r="A2946" s="5" t="s">
        <v>2990</v>
      </c>
    </row>
    <row r="2947" ht="15.75" customHeight="1">
      <c r="A2947" s="5" t="s">
        <v>2991</v>
      </c>
    </row>
    <row r="2948" ht="15.75" customHeight="1">
      <c r="A2948" s="5" t="s">
        <v>2992</v>
      </c>
    </row>
    <row r="2949" ht="15.75" customHeight="1">
      <c r="A2949" s="5" t="s">
        <v>2993</v>
      </c>
    </row>
    <row r="2950" ht="15.75" customHeight="1">
      <c r="A2950" s="5" t="s">
        <v>2994</v>
      </c>
    </row>
    <row r="2951" ht="15.75" customHeight="1">
      <c r="A2951" s="5" t="s">
        <v>2995</v>
      </c>
    </row>
    <row r="2952" ht="15.75" customHeight="1">
      <c r="A2952" s="5" t="s">
        <v>2996</v>
      </c>
    </row>
    <row r="2953" ht="15.75" customHeight="1">
      <c r="A2953" s="5" t="s">
        <v>2997</v>
      </c>
    </row>
    <row r="2954" ht="15.75" customHeight="1">
      <c r="A2954" s="5" t="s">
        <v>2998</v>
      </c>
    </row>
    <row r="2955" ht="15.75" customHeight="1">
      <c r="A2955" s="5" t="s">
        <v>2999</v>
      </c>
    </row>
    <row r="2956" ht="15.75" customHeight="1">
      <c r="A2956" s="5" t="s">
        <v>3000</v>
      </c>
    </row>
    <row r="2957" ht="15.75" customHeight="1">
      <c r="A2957" s="5" t="s">
        <v>3001</v>
      </c>
    </row>
    <row r="2958" ht="15.75" customHeight="1">
      <c r="A2958" s="5" t="s">
        <v>3002</v>
      </c>
    </row>
    <row r="2959" ht="15.75" customHeight="1">
      <c r="A2959" s="5" t="s">
        <v>3003</v>
      </c>
    </row>
    <row r="2960" ht="15.75" customHeight="1">
      <c r="A2960" s="5" t="s">
        <v>3004</v>
      </c>
    </row>
    <row r="2961" ht="15.75" customHeight="1">
      <c r="A2961" s="5" t="s">
        <v>3005</v>
      </c>
    </row>
    <row r="2962" ht="15.75" customHeight="1">
      <c r="A2962" s="5" t="s">
        <v>3006</v>
      </c>
    </row>
    <row r="2963" ht="15.75" customHeight="1">
      <c r="A2963" s="5" t="s">
        <v>3007</v>
      </c>
    </row>
    <row r="2964" ht="15.75" customHeight="1">
      <c r="A2964" s="5" t="s">
        <v>3008</v>
      </c>
    </row>
    <row r="2965" ht="15.75" customHeight="1">
      <c r="A2965" s="5" t="s">
        <v>3009</v>
      </c>
    </row>
    <row r="2966" ht="15.75" customHeight="1">
      <c r="A2966" s="5" t="s">
        <v>3010</v>
      </c>
    </row>
    <row r="2967" ht="15.75" customHeight="1">
      <c r="A2967" s="5" t="s">
        <v>3011</v>
      </c>
    </row>
    <row r="2968" ht="15.75" customHeight="1">
      <c r="A2968" s="5" t="s">
        <v>3012</v>
      </c>
    </row>
    <row r="2969" ht="15.75" customHeight="1">
      <c r="A2969" s="5" t="s">
        <v>3013</v>
      </c>
    </row>
    <row r="2970" ht="15.75" customHeight="1">
      <c r="A2970" s="5" t="s">
        <v>3014</v>
      </c>
    </row>
    <row r="2971" ht="15.75" customHeight="1">
      <c r="A2971" s="5" t="s">
        <v>3015</v>
      </c>
    </row>
    <row r="2972" ht="15.75" customHeight="1">
      <c r="A2972" s="5" t="s">
        <v>3016</v>
      </c>
    </row>
    <row r="2973" ht="15.75" customHeight="1">
      <c r="A2973" s="5" t="s">
        <v>3017</v>
      </c>
    </row>
    <row r="2974" ht="15.75" customHeight="1">
      <c r="A2974" s="5" t="s">
        <v>3018</v>
      </c>
    </row>
    <row r="2975" ht="15.75" customHeight="1">
      <c r="A2975" s="5" t="s">
        <v>3019</v>
      </c>
    </row>
    <row r="2976" ht="15.75" customHeight="1">
      <c r="A2976" s="5" t="s">
        <v>3020</v>
      </c>
    </row>
    <row r="2977" ht="15.75" customHeight="1">
      <c r="A2977" s="5" t="s">
        <v>3021</v>
      </c>
    </row>
    <row r="2978" ht="15.75" customHeight="1">
      <c r="A2978" s="5" t="s">
        <v>3022</v>
      </c>
    </row>
    <row r="2979" ht="15.75" customHeight="1">
      <c r="A2979" s="5" t="s">
        <v>3023</v>
      </c>
    </row>
    <row r="2980" ht="15.75" customHeight="1">
      <c r="A2980" s="5" t="s">
        <v>3024</v>
      </c>
    </row>
    <row r="2981" ht="15.75" customHeight="1">
      <c r="A2981" s="5" t="s">
        <v>3025</v>
      </c>
    </row>
    <row r="2982" ht="15.75" customHeight="1">
      <c r="A2982" s="5" t="s">
        <v>3026</v>
      </c>
    </row>
    <row r="2983" ht="15.75" customHeight="1">
      <c r="A2983" s="5" t="s">
        <v>3027</v>
      </c>
    </row>
    <row r="2984" ht="15.75" customHeight="1">
      <c r="A2984" s="5" t="s">
        <v>3028</v>
      </c>
    </row>
    <row r="2985" ht="15.75" customHeight="1">
      <c r="A2985" s="5" t="s">
        <v>3029</v>
      </c>
    </row>
    <row r="2986" ht="15.75" customHeight="1">
      <c r="A2986" s="5" t="s">
        <v>3030</v>
      </c>
    </row>
    <row r="2987" ht="15.75" customHeight="1">
      <c r="A2987" s="5" t="s">
        <v>3031</v>
      </c>
    </row>
    <row r="2988" ht="15.75" customHeight="1">
      <c r="A2988" s="5" t="s">
        <v>3032</v>
      </c>
    </row>
    <row r="2989" ht="15.75" customHeight="1">
      <c r="A2989" s="5" t="s">
        <v>3033</v>
      </c>
    </row>
    <row r="2990" ht="15.75" customHeight="1">
      <c r="A2990" s="5" t="s">
        <v>3034</v>
      </c>
    </row>
    <row r="2991" ht="15.75" customHeight="1">
      <c r="A2991" s="5" t="s">
        <v>3035</v>
      </c>
    </row>
    <row r="2992" ht="15.75" customHeight="1">
      <c r="A2992" s="5" t="s">
        <v>3036</v>
      </c>
    </row>
    <row r="2993" ht="15.75" customHeight="1">
      <c r="A2993" s="5" t="s">
        <v>3037</v>
      </c>
    </row>
    <row r="2994" ht="15.75" customHeight="1">
      <c r="A2994" s="5" t="s">
        <v>3038</v>
      </c>
    </row>
    <row r="2995" ht="15.75" customHeight="1">
      <c r="A2995" s="5" t="s">
        <v>3039</v>
      </c>
    </row>
    <row r="2996" ht="15.75" customHeight="1">
      <c r="A2996" s="5" t="s">
        <v>3040</v>
      </c>
    </row>
    <row r="2997" ht="15.75" customHeight="1">
      <c r="A2997" s="5" t="s">
        <v>3041</v>
      </c>
    </row>
    <row r="2998" ht="15.75" customHeight="1">
      <c r="A2998" s="5" t="s">
        <v>3042</v>
      </c>
    </row>
    <row r="2999" ht="15.75" customHeight="1">
      <c r="A2999" s="5" t="s">
        <v>3043</v>
      </c>
    </row>
    <row r="3000" ht="15.75" customHeight="1">
      <c r="A3000" s="5" t="s">
        <v>3044</v>
      </c>
    </row>
    <row r="3001" ht="15.75" customHeight="1">
      <c r="A3001" s="5" t="s">
        <v>3045</v>
      </c>
    </row>
    <row r="3002" ht="15.75" customHeight="1">
      <c r="A3002" s="5" t="s">
        <v>3046</v>
      </c>
    </row>
    <row r="3003" ht="15.75" customHeight="1">
      <c r="A3003" s="5" t="s">
        <v>3047</v>
      </c>
    </row>
    <row r="3004" ht="15.75" customHeight="1">
      <c r="A3004" s="5" t="s">
        <v>3048</v>
      </c>
    </row>
    <row r="3005" ht="15.75" customHeight="1">
      <c r="A3005" s="5" t="s">
        <v>3049</v>
      </c>
    </row>
    <row r="3006" ht="15.75" customHeight="1">
      <c r="A3006" s="5" t="s">
        <v>3050</v>
      </c>
    </row>
    <row r="3007" ht="15.75" customHeight="1">
      <c r="A3007" s="5" t="s">
        <v>3051</v>
      </c>
    </row>
    <row r="3008" ht="15.75" customHeight="1">
      <c r="A3008" s="5" t="s">
        <v>3052</v>
      </c>
    </row>
    <row r="3009" ht="15.75" customHeight="1">
      <c r="A3009" s="5" t="s">
        <v>3053</v>
      </c>
    </row>
    <row r="3010" ht="15.75" customHeight="1">
      <c r="A3010" s="5" t="s">
        <v>3054</v>
      </c>
    </row>
    <row r="3011" ht="15.75" customHeight="1">
      <c r="A3011" s="5" t="s">
        <v>3055</v>
      </c>
    </row>
    <row r="3012" ht="15.75" customHeight="1">
      <c r="A3012" s="5" t="s">
        <v>3056</v>
      </c>
    </row>
    <row r="3013" ht="15.75" customHeight="1">
      <c r="A3013" s="5" t="s">
        <v>3057</v>
      </c>
    </row>
    <row r="3014" ht="15.75" customHeight="1">
      <c r="A3014" s="5" t="s">
        <v>3058</v>
      </c>
    </row>
    <row r="3015" ht="15.75" customHeight="1">
      <c r="A3015" s="5" t="s">
        <v>3059</v>
      </c>
    </row>
    <row r="3016" ht="15.75" customHeight="1">
      <c r="A3016" s="5" t="s">
        <v>3060</v>
      </c>
    </row>
    <row r="3017" ht="15.75" customHeight="1">
      <c r="A3017" s="5" t="s">
        <v>3061</v>
      </c>
    </row>
    <row r="3018" ht="15.75" customHeight="1">
      <c r="A3018" s="5" t="s">
        <v>3062</v>
      </c>
    </row>
    <row r="3019" ht="15.75" customHeight="1">
      <c r="A3019" s="5" t="s">
        <v>3063</v>
      </c>
    </row>
    <row r="3020" ht="15.75" customHeight="1">
      <c r="A3020" s="5" t="s">
        <v>3064</v>
      </c>
    </row>
    <row r="3021" ht="15.75" customHeight="1">
      <c r="A3021" s="5" t="s">
        <v>3065</v>
      </c>
    </row>
    <row r="3022" ht="15.75" customHeight="1">
      <c r="A3022" s="5" t="s">
        <v>3066</v>
      </c>
    </row>
    <row r="3023" ht="15.75" customHeight="1">
      <c r="A3023" s="5" t="s">
        <v>3067</v>
      </c>
    </row>
    <row r="3024" ht="15.75" customHeight="1">
      <c r="A3024" s="5" t="s">
        <v>3068</v>
      </c>
    </row>
    <row r="3025" ht="15.75" customHeight="1">
      <c r="A3025" s="5" t="s">
        <v>3069</v>
      </c>
    </row>
    <row r="3026" ht="15.75" customHeight="1">
      <c r="A3026" s="5" t="s">
        <v>3070</v>
      </c>
    </row>
    <row r="3027" ht="15.75" customHeight="1">
      <c r="A3027" s="5" t="s">
        <v>3071</v>
      </c>
    </row>
    <row r="3028" ht="15.75" customHeight="1">
      <c r="A3028" s="5" t="s">
        <v>3072</v>
      </c>
    </row>
    <row r="3029" ht="15.75" customHeight="1">
      <c r="A3029" s="5" t="s">
        <v>3073</v>
      </c>
    </row>
    <row r="3030" ht="15.75" customHeight="1">
      <c r="A3030" s="5" t="s">
        <v>3074</v>
      </c>
    </row>
    <row r="3031" ht="15.75" customHeight="1">
      <c r="A3031" s="5" t="s">
        <v>3075</v>
      </c>
    </row>
    <row r="3032" ht="15.75" customHeight="1">
      <c r="A3032" s="5" t="s">
        <v>3076</v>
      </c>
    </row>
    <row r="3033" ht="15.75" customHeight="1">
      <c r="A3033" s="5" t="s">
        <v>3077</v>
      </c>
    </row>
    <row r="3034" ht="15.75" customHeight="1">
      <c r="A3034" s="5" t="s">
        <v>3078</v>
      </c>
    </row>
    <row r="3035" ht="15.75" customHeight="1">
      <c r="A3035" s="5" t="s">
        <v>3079</v>
      </c>
    </row>
    <row r="3036" ht="15.75" customHeight="1">
      <c r="A3036" s="5" t="s">
        <v>3080</v>
      </c>
    </row>
    <row r="3037" ht="15.75" customHeight="1">
      <c r="A3037" s="5" t="s">
        <v>3081</v>
      </c>
    </row>
    <row r="3038" ht="15.75" customHeight="1">
      <c r="A3038" s="5" t="s">
        <v>3082</v>
      </c>
    </row>
    <row r="3039" ht="15.75" customHeight="1">
      <c r="A3039" s="5" t="s">
        <v>3083</v>
      </c>
    </row>
    <row r="3040" ht="15.75" customHeight="1">
      <c r="A3040" s="5" t="s">
        <v>3084</v>
      </c>
    </row>
    <row r="3041" ht="15.75" customHeight="1">
      <c r="A3041" s="5" t="s">
        <v>3085</v>
      </c>
    </row>
    <row r="3042" ht="15.75" customHeight="1">
      <c r="A3042" s="5" t="s">
        <v>3086</v>
      </c>
    </row>
    <row r="3043" ht="15.75" customHeight="1">
      <c r="A3043" s="5" t="s">
        <v>3087</v>
      </c>
    </row>
    <row r="3044" ht="15.75" customHeight="1">
      <c r="A3044" s="5" t="s">
        <v>3088</v>
      </c>
    </row>
    <row r="3045" ht="15.75" customHeight="1">
      <c r="A3045" s="5" t="s">
        <v>3089</v>
      </c>
    </row>
    <row r="3046" ht="15.75" customHeight="1">
      <c r="A3046" s="5" t="s">
        <v>3090</v>
      </c>
    </row>
    <row r="3047" ht="15.75" customHeight="1">
      <c r="A3047" s="5" t="s">
        <v>3091</v>
      </c>
    </row>
    <row r="3048" ht="15.75" customHeight="1">
      <c r="A3048" s="5" t="s">
        <v>3092</v>
      </c>
    </row>
    <row r="3049" ht="15.75" customHeight="1">
      <c r="A3049" s="5" t="s">
        <v>3093</v>
      </c>
    </row>
    <row r="3050" ht="15.75" customHeight="1">
      <c r="A3050" s="5" t="s">
        <v>3094</v>
      </c>
    </row>
    <row r="3051" ht="15.75" customHeight="1">
      <c r="A3051" s="5" t="s">
        <v>3095</v>
      </c>
    </row>
    <row r="3052" ht="15.75" customHeight="1">
      <c r="A3052" s="5" t="s">
        <v>3096</v>
      </c>
    </row>
    <row r="3053" ht="15.75" customHeight="1">
      <c r="A3053" s="5" t="s">
        <v>3097</v>
      </c>
    </row>
    <row r="3054" ht="15.75" customHeight="1">
      <c r="A3054" s="5" t="s">
        <v>3098</v>
      </c>
    </row>
    <row r="3055" ht="15.75" customHeight="1">
      <c r="A3055" s="5" t="s">
        <v>3099</v>
      </c>
    </row>
    <row r="3056" ht="15.75" customHeight="1">
      <c r="A3056" s="5" t="s">
        <v>3100</v>
      </c>
    </row>
    <row r="3057" ht="15.75" customHeight="1">
      <c r="A3057" s="5" t="s">
        <v>3101</v>
      </c>
    </row>
    <row r="3058" ht="15.75" customHeight="1">
      <c r="A3058" s="5" t="s">
        <v>3102</v>
      </c>
    </row>
    <row r="3059" ht="15.75" customHeight="1">
      <c r="A3059" s="5" t="s">
        <v>3103</v>
      </c>
    </row>
    <row r="3060" ht="15.75" customHeight="1">
      <c r="A3060" s="5" t="s">
        <v>3104</v>
      </c>
    </row>
    <row r="3061" ht="15.75" customHeight="1">
      <c r="A3061" s="5" t="s">
        <v>3105</v>
      </c>
    </row>
    <row r="3062" ht="15.75" customHeight="1">
      <c r="A3062" s="5" t="s">
        <v>3106</v>
      </c>
    </row>
    <row r="3063" ht="15.75" customHeight="1">
      <c r="A3063" s="5" t="s">
        <v>3107</v>
      </c>
    </row>
    <row r="3064" ht="15.75" customHeight="1">
      <c r="A3064" s="5" t="s">
        <v>3108</v>
      </c>
    </row>
    <row r="3065" ht="15.75" customHeight="1">
      <c r="A3065" s="5" t="s">
        <v>3109</v>
      </c>
    </row>
    <row r="3066" ht="15.75" customHeight="1">
      <c r="A3066" s="5" t="s">
        <v>3110</v>
      </c>
    </row>
    <row r="3067" ht="15.75" customHeight="1">
      <c r="A3067" s="5" t="s">
        <v>3111</v>
      </c>
    </row>
    <row r="3068" ht="15.75" customHeight="1">
      <c r="A3068" s="5" t="s">
        <v>3112</v>
      </c>
    </row>
    <row r="3069" ht="15.75" customHeight="1">
      <c r="A3069" s="5" t="s">
        <v>3113</v>
      </c>
    </row>
    <row r="3070" ht="15.75" customHeight="1">
      <c r="A3070" s="5" t="s">
        <v>3114</v>
      </c>
    </row>
    <row r="3071" ht="15.75" customHeight="1">
      <c r="A3071" s="5" t="s">
        <v>3115</v>
      </c>
    </row>
    <row r="3072" ht="15.75" customHeight="1">
      <c r="A3072" s="5" t="s">
        <v>3116</v>
      </c>
    </row>
    <row r="3073" ht="15.75" customHeight="1">
      <c r="A3073" s="5" t="s">
        <v>3117</v>
      </c>
    </row>
    <row r="3074" ht="15.75" customHeight="1">
      <c r="A3074" s="5" t="s">
        <v>3118</v>
      </c>
    </row>
    <row r="3075" ht="15.75" customHeight="1">
      <c r="A3075" s="5" t="s">
        <v>3119</v>
      </c>
    </row>
    <row r="3076" ht="15.75" customHeight="1">
      <c r="A3076" s="5" t="s">
        <v>3120</v>
      </c>
    </row>
    <row r="3077" ht="15.75" customHeight="1">
      <c r="A3077" s="5" t="s">
        <v>3121</v>
      </c>
    </row>
    <row r="3078" ht="15.75" customHeight="1">
      <c r="A3078" s="5" t="s">
        <v>3122</v>
      </c>
    </row>
    <row r="3079" ht="15.75" customHeight="1">
      <c r="A3079" s="5" t="s">
        <v>3123</v>
      </c>
    </row>
    <row r="3080" ht="15.75" customHeight="1">
      <c r="A3080" s="5" t="s">
        <v>3124</v>
      </c>
    </row>
    <row r="3081" ht="15.75" customHeight="1">
      <c r="A3081" s="5" t="s">
        <v>3125</v>
      </c>
    </row>
    <row r="3082" ht="15.75" customHeight="1">
      <c r="A3082" s="5" t="s">
        <v>3126</v>
      </c>
    </row>
    <row r="3083" ht="15.75" customHeight="1">
      <c r="A3083" s="5" t="s">
        <v>3127</v>
      </c>
    </row>
    <row r="3084" ht="15.75" customHeight="1">
      <c r="A3084" s="5" t="s">
        <v>3128</v>
      </c>
    </row>
    <row r="3085" ht="15.75" customHeight="1">
      <c r="A3085" s="5" t="s">
        <v>3129</v>
      </c>
    </row>
    <row r="3086" ht="15.75" customHeight="1">
      <c r="A3086" s="5" t="s">
        <v>3130</v>
      </c>
    </row>
    <row r="3087" ht="15.75" customHeight="1">
      <c r="A3087" s="5" t="s">
        <v>3131</v>
      </c>
    </row>
    <row r="3088" ht="15.75" customHeight="1">
      <c r="A3088" s="5" t="s">
        <v>3132</v>
      </c>
    </row>
    <row r="3089" ht="15.75" customHeight="1">
      <c r="A3089" s="5" t="s">
        <v>3133</v>
      </c>
    </row>
    <row r="3090" ht="15.75" customHeight="1">
      <c r="A3090" s="5" t="s">
        <v>3134</v>
      </c>
    </row>
    <row r="3091" ht="15.75" customHeight="1">
      <c r="A3091" s="5" t="s">
        <v>3135</v>
      </c>
    </row>
    <row r="3092" ht="15.75" customHeight="1">
      <c r="A3092" s="5" t="s">
        <v>3136</v>
      </c>
    </row>
    <row r="3093" ht="15.75" customHeight="1">
      <c r="A3093" s="5" t="s">
        <v>3137</v>
      </c>
    </row>
    <row r="3094" ht="15.75" customHeight="1">
      <c r="A3094" s="5" t="s">
        <v>3138</v>
      </c>
    </row>
    <row r="3095" ht="15.75" customHeight="1">
      <c r="A3095" s="5" t="s">
        <v>3139</v>
      </c>
    </row>
    <row r="3096" ht="15.75" customHeight="1">
      <c r="A3096" s="5" t="s">
        <v>3140</v>
      </c>
    </row>
    <row r="3097" ht="15.75" customHeight="1">
      <c r="A3097" s="5" t="s">
        <v>3141</v>
      </c>
    </row>
    <row r="3098" ht="15.75" customHeight="1">
      <c r="A3098" s="5" t="s">
        <v>3142</v>
      </c>
    </row>
    <row r="3099" ht="15.75" customHeight="1">
      <c r="A3099" s="5" t="s">
        <v>3143</v>
      </c>
    </row>
    <row r="3100" ht="15.75" customHeight="1">
      <c r="A3100" s="5" t="s">
        <v>3144</v>
      </c>
    </row>
    <row r="3101" ht="15.75" customHeight="1">
      <c r="A3101" s="5" t="s">
        <v>3145</v>
      </c>
    </row>
    <row r="3102" ht="15.75" customHeight="1">
      <c r="A3102" s="5" t="s">
        <v>3146</v>
      </c>
    </row>
    <row r="3103" ht="15.75" customHeight="1">
      <c r="A3103" s="5" t="s">
        <v>3147</v>
      </c>
    </row>
    <row r="3104" ht="15.75" customHeight="1">
      <c r="A3104" s="5" t="s">
        <v>3148</v>
      </c>
    </row>
    <row r="3105" ht="15.75" customHeight="1">
      <c r="A3105" s="5" t="s">
        <v>3149</v>
      </c>
    </row>
    <row r="3106" ht="15.75" customHeight="1">
      <c r="A3106" s="5" t="s">
        <v>3150</v>
      </c>
    </row>
    <row r="3107" ht="15.75" customHeight="1">
      <c r="A3107" s="5" t="s">
        <v>3151</v>
      </c>
    </row>
    <row r="3108" ht="15.75" customHeight="1">
      <c r="A3108" s="5" t="s">
        <v>3152</v>
      </c>
    </row>
    <row r="3109" ht="15.75" customHeight="1">
      <c r="A3109" s="5" t="s">
        <v>3153</v>
      </c>
    </row>
    <row r="3110" ht="15.75" customHeight="1">
      <c r="A3110" s="5" t="s">
        <v>3154</v>
      </c>
    </row>
    <row r="3111" ht="15.75" customHeight="1">
      <c r="A3111" s="5" t="s">
        <v>3155</v>
      </c>
    </row>
    <row r="3112" ht="15.75" customHeight="1">
      <c r="A3112" s="5" t="s">
        <v>3156</v>
      </c>
    </row>
    <row r="3113" ht="15.75" customHeight="1">
      <c r="A3113" s="5" t="s">
        <v>3157</v>
      </c>
    </row>
    <row r="3114" ht="15.75" customHeight="1">
      <c r="A3114" s="5" t="s">
        <v>3158</v>
      </c>
    </row>
    <row r="3115" ht="15.75" customHeight="1">
      <c r="A3115" s="5" t="s">
        <v>3159</v>
      </c>
    </row>
    <row r="3116" ht="15.75" customHeight="1">
      <c r="A3116" s="5" t="s">
        <v>3160</v>
      </c>
    </row>
    <row r="3117" ht="15.75" customHeight="1">
      <c r="A3117" s="5" t="s">
        <v>3161</v>
      </c>
    </row>
    <row r="3118" ht="15.75" customHeight="1">
      <c r="A3118" s="5" t="s">
        <v>3162</v>
      </c>
    </row>
    <row r="3119" ht="15.75" customHeight="1">
      <c r="A3119" s="5" t="s">
        <v>3163</v>
      </c>
    </row>
    <row r="3120" ht="15.75" customHeight="1">
      <c r="A3120" s="5" t="s">
        <v>3164</v>
      </c>
    </row>
    <row r="3121" ht="15.75" customHeight="1">
      <c r="A3121" s="5" t="s">
        <v>3165</v>
      </c>
    </row>
    <row r="3122" ht="15.75" customHeight="1">
      <c r="A3122" s="5" t="s">
        <v>3166</v>
      </c>
    </row>
    <row r="3123" ht="15.75" customHeight="1">
      <c r="A3123" s="5" t="s">
        <v>3167</v>
      </c>
    </row>
    <row r="3124" ht="15.75" customHeight="1">
      <c r="A3124" s="5" t="s">
        <v>3168</v>
      </c>
    </row>
    <row r="3125" ht="15.75" customHeight="1">
      <c r="A3125" s="5" t="s">
        <v>3169</v>
      </c>
    </row>
    <row r="3126" ht="15.75" customHeight="1">
      <c r="A3126" s="5" t="s">
        <v>3170</v>
      </c>
    </row>
    <row r="3127" ht="15.75" customHeight="1">
      <c r="A3127" s="5" t="s">
        <v>3171</v>
      </c>
    </row>
    <row r="3128" ht="15.75" customHeight="1">
      <c r="A3128" s="5" t="s">
        <v>3172</v>
      </c>
    </row>
    <row r="3129" ht="15.75" customHeight="1">
      <c r="A3129" s="5" t="s">
        <v>3173</v>
      </c>
    </row>
    <row r="3130" ht="15.75" customHeight="1">
      <c r="A3130" s="5" t="s">
        <v>3174</v>
      </c>
    </row>
    <row r="3131" ht="15.75" customHeight="1">
      <c r="A3131" s="5" t="s">
        <v>3175</v>
      </c>
    </row>
    <row r="3132" ht="15.75" customHeight="1">
      <c r="A3132" s="5" t="s">
        <v>3176</v>
      </c>
    </row>
    <row r="3133" ht="15.75" customHeight="1">
      <c r="A3133" s="5" t="s">
        <v>3177</v>
      </c>
    </row>
    <row r="3134" ht="15.75" customHeight="1">
      <c r="A3134" s="5" t="s">
        <v>3178</v>
      </c>
    </row>
    <row r="3135" ht="15.75" customHeight="1">
      <c r="A3135" s="5" t="s">
        <v>3179</v>
      </c>
    </row>
    <row r="3136" ht="15.75" customHeight="1">
      <c r="A3136" s="5" t="s">
        <v>3180</v>
      </c>
    </row>
    <row r="3137" ht="15.75" customHeight="1">
      <c r="A3137" s="5" t="s">
        <v>3181</v>
      </c>
    </row>
    <row r="3138" ht="15.75" customHeight="1">
      <c r="A3138" s="5" t="s">
        <v>3182</v>
      </c>
    </row>
    <row r="3139" ht="15.75" customHeight="1">
      <c r="A3139" s="5" t="s">
        <v>3183</v>
      </c>
    </row>
    <row r="3140" ht="15.75" customHeight="1">
      <c r="A3140" s="5" t="s">
        <v>3184</v>
      </c>
    </row>
    <row r="3141" ht="15.75" customHeight="1">
      <c r="A3141" s="5" t="s">
        <v>3185</v>
      </c>
    </row>
    <row r="3142" ht="15.75" customHeight="1">
      <c r="A3142" s="5" t="s">
        <v>3186</v>
      </c>
    </row>
    <row r="3143" ht="15.75" customHeight="1">
      <c r="A3143" s="5" t="s">
        <v>3187</v>
      </c>
    </row>
    <row r="3144" ht="15.75" customHeight="1">
      <c r="A3144" s="5" t="s">
        <v>3188</v>
      </c>
    </row>
    <row r="3145" ht="15.75" customHeight="1">
      <c r="A3145" s="5" t="s">
        <v>3189</v>
      </c>
    </row>
    <row r="3146" ht="15.75" customHeight="1">
      <c r="A3146" s="5" t="s">
        <v>3190</v>
      </c>
    </row>
    <row r="3147" ht="15.75" customHeight="1">
      <c r="A3147" s="5" t="s">
        <v>3191</v>
      </c>
    </row>
    <row r="3148" ht="15.75" customHeight="1">
      <c r="A3148" s="5" t="s">
        <v>3192</v>
      </c>
    </row>
    <row r="3149" ht="15.75" customHeight="1">
      <c r="A3149" s="5" t="s">
        <v>3193</v>
      </c>
    </row>
    <row r="3150" ht="15.75" customHeight="1">
      <c r="A3150" s="5" t="s">
        <v>3194</v>
      </c>
    </row>
    <row r="3151" ht="15.75" customHeight="1">
      <c r="A3151" s="5" t="s">
        <v>3195</v>
      </c>
    </row>
    <row r="3152" ht="15.75" customHeight="1">
      <c r="A3152" s="5" t="s">
        <v>3196</v>
      </c>
    </row>
    <row r="3153" ht="15.75" customHeight="1">
      <c r="A3153" s="5" t="s">
        <v>3197</v>
      </c>
    </row>
    <row r="3154" ht="15.75" customHeight="1">
      <c r="A3154" s="5" t="s">
        <v>3198</v>
      </c>
    </row>
    <row r="3155" ht="15.75" customHeight="1">
      <c r="A3155" s="5" t="s">
        <v>3199</v>
      </c>
    </row>
    <row r="3156" ht="15.75" customHeight="1">
      <c r="A3156" s="5" t="s">
        <v>3200</v>
      </c>
    </row>
    <row r="3157" ht="15.75" customHeight="1">
      <c r="A3157" s="5" t="s">
        <v>3201</v>
      </c>
    </row>
    <row r="3158" ht="15.75" customHeight="1">
      <c r="A3158" s="5" t="s">
        <v>3202</v>
      </c>
    </row>
    <row r="3159" ht="15.75" customHeight="1">
      <c r="A3159" s="5" t="s">
        <v>3203</v>
      </c>
    </row>
    <row r="3160" ht="15.75" customHeight="1">
      <c r="A3160" s="5" t="s">
        <v>3204</v>
      </c>
    </row>
    <row r="3161" ht="15.75" customHeight="1">
      <c r="A3161" s="5" t="s">
        <v>3205</v>
      </c>
    </row>
    <row r="3162" ht="15.75" customHeight="1">
      <c r="A3162" s="5" t="s">
        <v>3206</v>
      </c>
    </row>
    <row r="3163" ht="15.75" customHeight="1">
      <c r="A3163" s="5" t="s">
        <v>3207</v>
      </c>
    </row>
    <row r="3164" ht="15.75" customHeight="1">
      <c r="A3164" s="5" t="s">
        <v>3208</v>
      </c>
    </row>
    <row r="3165" ht="15.75" customHeight="1">
      <c r="A3165" s="5" t="s">
        <v>3209</v>
      </c>
    </row>
    <row r="3166" ht="15.75" customHeight="1">
      <c r="A3166" s="5" t="s">
        <v>3210</v>
      </c>
    </row>
    <row r="3167" ht="15.75" customHeight="1">
      <c r="A3167" s="5" t="s">
        <v>3211</v>
      </c>
    </row>
    <row r="3168" ht="15.75" customHeight="1">
      <c r="A3168" s="5" t="s">
        <v>3212</v>
      </c>
    </row>
    <row r="3169" ht="15.75" customHeight="1">
      <c r="A3169" s="5" t="s">
        <v>3213</v>
      </c>
    </row>
    <row r="3170" ht="15.75" customHeight="1">
      <c r="A3170" s="5" t="s">
        <v>3214</v>
      </c>
    </row>
    <row r="3171" ht="15.75" customHeight="1">
      <c r="A3171" s="5" t="s">
        <v>3215</v>
      </c>
    </row>
    <row r="3172" ht="15.75" customHeight="1">
      <c r="A3172" s="5" t="s">
        <v>3216</v>
      </c>
    </row>
    <row r="3173" ht="15.75" customHeight="1">
      <c r="A3173" s="5" t="s">
        <v>3217</v>
      </c>
    </row>
    <row r="3174" ht="15.75" customHeight="1">
      <c r="A3174" s="5" t="s">
        <v>3218</v>
      </c>
    </row>
    <row r="3175" ht="15.75" customHeight="1">
      <c r="A3175" s="5" t="s">
        <v>3219</v>
      </c>
    </row>
    <row r="3176" ht="15.75" customHeight="1">
      <c r="A3176" s="5" t="s">
        <v>3220</v>
      </c>
    </row>
    <row r="3177" ht="15.75" customHeight="1">
      <c r="A3177" s="5" t="s">
        <v>3221</v>
      </c>
    </row>
    <row r="3178" ht="15.75" customHeight="1">
      <c r="A3178" s="5" t="s">
        <v>3222</v>
      </c>
    </row>
    <row r="3179" ht="15.75" customHeight="1">
      <c r="A3179" s="5" t="s">
        <v>3223</v>
      </c>
    </row>
    <row r="3180" ht="15.75" customHeight="1">
      <c r="A3180" s="5" t="s">
        <v>3224</v>
      </c>
    </row>
    <row r="3181" ht="15.75" customHeight="1">
      <c r="A3181" s="5" t="s">
        <v>3225</v>
      </c>
    </row>
    <row r="3182" ht="15.75" customHeight="1">
      <c r="A3182" s="5" t="s">
        <v>3226</v>
      </c>
    </row>
    <row r="3183" ht="15.75" customHeight="1">
      <c r="A3183" s="5" t="s">
        <v>3227</v>
      </c>
    </row>
    <row r="3184" ht="15.75" customHeight="1">
      <c r="A3184" s="5" t="s">
        <v>3228</v>
      </c>
    </row>
    <row r="3185" ht="15.75" customHeight="1">
      <c r="A3185" s="5" t="s">
        <v>3229</v>
      </c>
    </row>
    <row r="3186" ht="15.75" customHeight="1">
      <c r="A3186" s="5" t="s">
        <v>3230</v>
      </c>
    </row>
    <row r="3187" ht="15.75" customHeight="1">
      <c r="A3187" s="5" t="s">
        <v>3231</v>
      </c>
    </row>
    <row r="3188" ht="15.75" customHeight="1">
      <c r="A3188" s="5" t="s">
        <v>3232</v>
      </c>
    </row>
    <row r="3189" ht="15.75" customHeight="1">
      <c r="A3189" s="5" t="s">
        <v>3233</v>
      </c>
    </row>
    <row r="3190" ht="15.75" customHeight="1">
      <c r="A3190" s="5" t="s">
        <v>3234</v>
      </c>
    </row>
    <row r="3191" ht="15.75" customHeight="1">
      <c r="A3191" s="5" t="s">
        <v>3235</v>
      </c>
    </row>
    <row r="3192" ht="15.75" customHeight="1">
      <c r="A3192" s="5" t="s">
        <v>3236</v>
      </c>
    </row>
    <row r="3193" ht="15.75" customHeight="1">
      <c r="A3193" s="5" t="s">
        <v>3237</v>
      </c>
    </row>
    <row r="3194" ht="15.75" customHeight="1">
      <c r="A3194" s="5" t="s">
        <v>3238</v>
      </c>
    </row>
    <row r="3195" ht="15.75" customHeight="1">
      <c r="A3195" s="5" t="s">
        <v>3239</v>
      </c>
    </row>
    <row r="3196" ht="15.75" customHeight="1">
      <c r="A3196" s="5" t="s">
        <v>3240</v>
      </c>
    </row>
    <row r="3197" ht="15.75" customHeight="1">
      <c r="A3197" s="5" t="s">
        <v>3241</v>
      </c>
    </row>
    <row r="3198" ht="15.75" customHeight="1">
      <c r="A3198" s="5" t="s">
        <v>3242</v>
      </c>
    </row>
    <row r="3199" ht="15.75" customHeight="1">
      <c r="A3199" s="5" t="s">
        <v>3243</v>
      </c>
    </row>
    <row r="3200" ht="15.75" customHeight="1">
      <c r="A3200" s="5"/>
    </row>
    <row r="3201" ht="15.75" customHeight="1">
      <c r="A3201" s="5" t="s">
        <v>3244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2.63"/>
  </cols>
  <sheetData>
    <row r="1" ht="15.75" customHeight="1">
      <c r="A1" s="1" t="s">
        <v>3245</v>
      </c>
    </row>
    <row r="2" ht="15.75" customHeight="1">
      <c r="A2" s="5" t="s">
        <v>3246</v>
      </c>
    </row>
    <row r="3" ht="15.75" customHeight="1">
      <c r="A3" s="6" t="s">
        <v>3247</v>
      </c>
    </row>
    <row r="4" ht="15.75" customHeight="1">
      <c r="A4" s="6" t="s">
        <v>3248</v>
      </c>
    </row>
    <row r="5" ht="15.75" customHeight="1">
      <c r="A5" s="5" t="s">
        <v>3249</v>
      </c>
    </row>
    <row r="6" ht="15.75" customHeight="1">
      <c r="A6" s="6" t="s">
        <v>3250</v>
      </c>
    </row>
    <row r="7" ht="15.75" customHeight="1">
      <c r="A7" s="6" t="s">
        <v>3251</v>
      </c>
    </row>
    <row r="8" ht="15.75" customHeight="1">
      <c r="A8" s="5" t="s">
        <v>3252</v>
      </c>
    </row>
    <row r="9" ht="15.75" customHeight="1">
      <c r="A9" s="6" t="s">
        <v>3253</v>
      </c>
    </row>
    <row r="10" ht="15.75" customHeight="1">
      <c r="A10" s="6" t="s">
        <v>3254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4.0" topLeftCell="E5" activePane="bottomRight" state="frozen"/>
      <selection activeCell="E1" sqref="E1" pane="topRight"/>
      <selection activeCell="A5" sqref="A5" pane="bottomLeft"/>
      <selection activeCell="E5" sqref="E5" pane="bottomRight"/>
    </sheetView>
  </sheetViews>
  <sheetFormatPr customHeight="1" defaultColWidth="12.63" defaultRowHeight="15.0"/>
  <cols>
    <col customWidth="1" min="1" max="6" width="12.63"/>
    <col customWidth="1" min="8" max="8" width="17.88"/>
    <col customWidth="1" min="9" max="9" width="21.13"/>
    <col customWidth="1" min="10" max="10" width="19.88"/>
  </cols>
  <sheetData>
    <row r="1" ht="15.75" customHeight="1">
      <c r="A1" s="5" t="s">
        <v>3255</v>
      </c>
      <c r="B1" s="7">
        <v>83.0</v>
      </c>
    </row>
    <row r="2" ht="15.75" customHeight="1">
      <c r="A2" s="5" t="s">
        <v>3256</v>
      </c>
    </row>
    <row r="3" ht="15.75" customHeight="1">
      <c r="A3" s="5" t="str">
        <f>IFERROR(__xludf.DUMMYFUNCTION("query(PILETAS!A1:D132,""SELECT * WHERE A=""&amp;B1,1)"),"ID_PILETA")</f>
        <v>ID_PILETA</v>
      </c>
      <c r="B3" s="5" t="str">
        <f>IFERROR(__xludf.DUMMYFUNCTION("""COMPUTED_VALUE"""),"Capacidad")</f>
        <v>Capacidad</v>
      </c>
      <c r="C3" s="5" t="str">
        <f>IFERROR(__xludf.DUMMYFUNCTION("""COMPUTED_VALUE"""),"Lote Pta")</f>
        <v>Lote Pta</v>
      </c>
      <c r="D3" s="5" t="str">
        <f>IFERROR(__xludf.DUMMYFUNCTION("""COMPUTED_VALUE"""),"Estado")</f>
        <v>Estado</v>
      </c>
    </row>
    <row r="4" ht="15.75" customHeight="1">
      <c r="A4" s="7">
        <f>IFERROR(__xludf.DUMMYFUNCTION("""COMPUTED_VALUE"""),83.0)</f>
        <v>83</v>
      </c>
      <c r="B4" s="5">
        <f>IFERROR(__xludf.DUMMYFUNCTION("""COMPUTED_VALUE"""),81500.0)</f>
        <v>81500</v>
      </c>
      <c r="C4" s="8" t="str">
        <f>IFERROR(__xludf.DUMMYFUNCTION("""COMPUTED_VALUE"""),"32396d27")</f>
        <v>32396d27</v>
      </c>
      <c r="D4" s="5"/>
    </row>
    <row r="5" ht="15.75" customHeight="1"/>
    <row r="6" ht="15.75" customHeight="1">
      <c r="A6" s="9" t="s">
        <v>3257</v>
      </c>
    </row>
    <row r="7" ht="15.75" customHeight="1">
      <c r="A7" s="5" t="str">
        <f>IFERROR(__xludf.DUMMYFUNCTION("QUERY('PILETAS LOTES'!A1:L1001,""SELECT * WHERE A='""&amp;C4&amp;""'"",1)"),"ID Lote Pileta")</f>
        <v>ID Lote Pileta</v>
      </c>
      <c r="B7" s="5" t="str">
        <f>IFERROR(__xludf.DUMMYFUNCTION("""COMPUTED_VALUE"""),"Lotes Origen")</f>
        <v>Lotes Origen</v>
      </c>
      <c r="C7" s="5" t="str">
        <f>IFERROR(__xludf.DUMMYFUNCTION("""COMPUTED_VALUE"""),"DateTime")</f>
        <v>DateTime</v>
      </c>
      <c r="D7" s="5" t="str">
        <f>IFERROR(__xludf.DUMMYFUNCTION("""COMPUTED_VALUE"""),"Pileta Nro")</f>
        <v>Pileta Nro</v>
      </c>
      <c r="E7" s="5" t="str">
        <f>IFERROR(__xludf.DUMMYFUNCTION("""COMPUTED_VALUE"""),"Capacidad")</f>
        <v>Capacidad</v>
      </c>
      <c r="F7" s="5" t="str">
        <f>IFERROR(__xludf.DUMMYFUNCTION("""COMPUTED_VALUE"""),"Variedad")</f>
        <v>Variedad</v>
      </c>
      <c r="G7" s="5" t="str">
        <f>IFERROR(__xludf.DUMMYFUNCTION("""COMPUTED_VALUE"""),"Cantidad Inicial")</f>
        <v>Cantidad Inicial</v>
      </c>
      <c r="H7" s="5" t="str">
        <f>IFERROR(__xludf.DUMMYFUNCTION("""COMPUTED_VALUE"""),"Cantidad Actual")</f>
        <v>Cantidad Actual</v>
      </c>
      <c r="I7" s="5" t="str">
        <f>IFERROR(__xludf.DUMMYFUNCTION("""COMPUTED_VALUE"""),"Observaciones Lote")</f>
        <v>Observaciones Lote</v>
      </c>
      <c r="J7" s="5" t="str">
        <f>IFERROR(__xludf.DUMMYFUNCTION("""COMPUTED_VALUE"""),"CIU")</f>
        <v>CIU</v>
      </c>
      <c r="K7" s="5" t="str">
        <f>IFERROR(__xludf.DUMMYFUNCTION("""COMPUTED_VALUE"""),"Estado")</f>
        <v>Estado</v>
      </c>
      <c r="L7" s="5" t="str">
        <f>IFERROR(__xludf.DUMMYFUNCTION("""COMPUTED_VALUE"""),"Califiacion Vino")</f>
        <v>Califiacion Vino</v>
      </c>
    </row>
    <row r="8" ht="15.75" customHeight="1">
      <c r="A8" s="8"/>
      <c r="B8" s="5"/>
      <c r="C8" s="10"/>
      <c r="D8" s="5"/>
      <c r="E8" s="5"/>
      <c r="F8" s="5"/>
      <c r="G8" s="5"/>
      <c r="H8" s="5"/>
      <c r="I8" s="5"/>
      <c r="J8" s="5"/>
      <c r="K8" s="5"/>
      <c r="L8" s="5"/>
    </row>
    <row r="9" ht="15.75" customHeight="1"/>
    <row r="10" ht="15.75" customHeight="1">
      <c r="A10" s="9" t="s">
        <v>3258</v>
      </c>
    </row>
    <row r="11" ht="15.75" customHeight="1">
      <c r="A11" s="11" t="str">
        <f>IFERROR(__xludf.DUMMYFUNCTION("QUERY(MOVIMIENTO!A1:R1001,""SELECT * WHERE L='""&amp;A8&amp;""'"",1)"),"#REF!")</f>
        <v>#REF!</v>
      </c>
      <c r="B11" s="11"/>
      <c r="C11" s="11"/>
      <c r="D11" s="12"/>
      <c r="E11" s="11"/>
      <c r="F11" s="13"/>
      <c r="G11" s="14"/>
      <c r="H11" s="15"/>
      <c r="I11" s="11"/>
      <c r="J11" s="13"/>
      <c r="K11" s="13"/>
      <c r="L11" s="13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5.75" customHeight="1">
      <c r="A12" s="11"/>
      <c r="B12" s="16"/>
      <c r="C12" s="17"/>
      <c r="D12" s="12"/>
      <c r="E12" s="11"/>
      <c r="F12" s="13"/>
      <c r="G12" s="14"/>
      <c r="H12" s="15"/>
      <c r="I12" s="11"/>
      <c r="J12" s="13"/>
      <c r="K12" s="13"/>
      <c r="L12" s="18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5.75" customHeight="1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</row>
    <row r="14" ht="15.75" customHeight="1">
      <c r="A14" s="9" t="s">
        <v>3259</v>
      </c>
    </row>
    <row r="15" ht="15.75" customHeight="1">
      <c r="A15" s="20" t="str">
        <f>IFERROR(__xludf.DUMMYFUNCTION("QUERY('PILETAS LOTES'!A1:L1001,""SELECT * WHERE A='""&amp;C12&amp;""' OR A='""&amp;H12&amp;""'""  ,1)"),"ID Lote Pileta")</f>
        <v>ID Lote Pileta</v>
      </c>
      <c r="B15" s="5" t="str">
        <f>IFERROR(__xludf.DUMMYFUNCTION("""COMPUTED_VALUE"""),"Lotes Origen")</f>
        <v>Lotes Origen</v>
      </c>
      <c r="C15" s="5" t="str">
        <f>IFERROR(__xludf.DUMMYFUNCTION("""COMPUTED_VALUE"""),"DateTime")</f>
        <v>DateTime</v>
      </c>
      <c r="D15" s="5" t="str">
        <f>IFERROR(__xludf.DUMMYFUNCTION("""COMPUTED_VALUE"""),"Pileta Nro")</f>
        <v>Pileta Nro</v>
      </c>
      <c r="E15" s="5" t="str">
        <f>IFERROR(__xludf.DUMMYFUNCTION("""COMPUTED_VALUE"""),"Capacidad")</f>
        <v>Capacidad</v>
      </c>
      <c r="F15" s="5" t="str">
        <f>IFERROR(__xludf.DUMMYFUNCTION("""COMPUTED_VALUE"""),"Variedad")</f>
        <v>Variedad</v>
      </c>
      <c r="G15" s="5" t="str">
        <f>IFERROR(__xludf.DUMMYFUNCTION("""COMPUTED_VALUE"""),"Cantidad Inicial")</f>
        <v>Cantidad Inicial</v>
      </c>
      <c r="H15" s="5" t="str">
        <f>IFERROR(__xludf.DUMMYFUNCTION("""COMPUTED_VALUE"""),"Cantidad Actual")</f>
        <v>Cantidad Actual</v>
      </c>
      <c r="I15" s="5" t="str">
        <f>IFERROR(__xludf.DUMMYFUNCTION("""COMPUTED_VALUE"""),"Observaciones Lote")</f>
        <v>Observaciones Lote</v>
      </c>
      <c r="J15" s="5" t="str">
        <f>IFERROR(__xludf.DUMMYFUNCTION("""COMPUTED_VALUE"""),"CIU")</f>
        <v>CIU</v>
      </c>
      <c r="K15" s="5" t="str">
        <f>IFERROR(__xludf.DUMMYFUNCTION("""COMPUTED_VALUE"""),"Estado")</f>
        <v>Estado</v>
      </c>
      <c r="L15" s="5" t="str">
        <f>IFERROR(__xludf.DUMMYFUNCTION("""COMPUTED_VALUE"""),"Califiacion Vino")</f>
        <v>Califiacion Vino</v>
      </c>
    </row>
    <row r="16" ht="15.75" customHeight="1">
      <c r="A16" s="21"/>
      <c r="B16" s="5"/>
      <c r="C16" s="10"/>
      <c r="D16" s="5"/>
      <c r="E16" s="5"/>
      <c r="F16" s="5"/>
      <c r="G16" s="5"/>
      <c r="H16" s="5"/>
      <c r="I16" s="5"/>
      <c r="J16" s="5"/>
      <c r="K16" s="5"/>
      <c r="L16" s="5"/>
    </row>
    <row r="17" ht="15.75" customHeight="1">
      <c r="A17" s="20"/>
      <c r="B17" s="5"/>
      <c r="C17" s="10"/>
      <c r="D17" s="5"/>
      <c r="E17" s="5"/>
      <c r="F17" s="5"/>
      <c r="G17" s="5"/>
      <c r="H17" s="5"/>
      <c r="I17" s="5"/>
      <c r="J17" s="5"/>
      <c r="K17" s="5"/>
      <c r="L17" s="5"/>
    </row>
    <row r="18" ht="15.75" customHeight="1">
      <c r="A18" s="19"/>
      <c r="B18" s="19"/>
      <c r="C18" s="22"/>
      <c r="D18" s="19"/>
      <c r="E18" s="19"/>
      <c r="F18" s="19"/>
      <c r="G18" s="19"/>
      <c r="H18" s="19"/>
      <c r="I18" s="19"/>
      <c r="J18" s="19"/>
      <c r="K18" s="19"/>
      <c r="L18" s="19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2" width="18.13"/>
    <col customWidth="1" min="3" max="3" width="16.75"/>
    <col customWidth="1" min="4" max="4" width="11.38"/>
    <col customWidth="1" min="5" max="5" width="12.13"/>
    <col customWidth="1" min="6" max="6" width="18.63"/>
    <col customWidth="1" min="7" max="7" width="10.75"/>
    <col customWidth="1" min="8" max="8" width="12.63"/>
    <col customWidth="1" min="9" max="9" width="18.5"/>
    <col customWidth="1" min="10" max="10" width="13.88"/>
    <col customWidth="1" min="11" max="11" width="11.25"/>
    <col customWidth="1" min="12" max="12" width="15.63"/>
    <col customWidth="1" min="13" max="13" width="8.63"/>
  </cols>
  <sheetData>
    <row r="1" ht="15.75" customHeight="1">
      <c r="A1" s="1" t="s">
        <v>3260</v>
      </c>
      <c r="B1" s="1" t="s">
        <v>3261</v>
      </c>
      <c r="C1" s="1" t="s">
        <v>3262</v>
      </c>
      <c r="D1" s="1" t="s">
        <v>3263</v>
      </c>
      <c r="E1" s="1" t="s">
        <v>1</v>
      </c>
      <c r="F1" s="1" t="s">
        <v>3264</v>
      </c>
      <c r="G1" s="1" t="s">
        <v>3265</v>
      </c>
      <c r="H1" s="1" t="s">
        <v>3266</v>
      </c>
      <c r="I1" s="1" t="s">
        <v>3267</v>
      </c>
      <c r="J1" s="1" t="s">
        <v>3268</v>
      </c>
      <c r="K1" s="1" t="s">
        <v>3</v>
      </c>
      <c r="L1" s="1" t="s">
        <v>3269</v>
      </c>
      <c r="M1" s="1" t="s">
        <v>3270</v>
      </c>
    </row>
    <row r="2" ht="15.75" customHeight="1">
      <c r="A2" s="2" t="s">
        <v>3271</v>
      </c>
      <c r="B2" s="2"/>
      <c r="C2" s="23">
        <v>45703.0</v>
      </c>
      <c r="D2" s="2">
        <v>2.0</v>
      </c>
      <c r="E2" s="2">
        <v>12500.0</v>
      </c>
      <c r="F2" s="2" t="s">
        <v>3272</v>
      </c>
      <c r="G2" s="2">
        <v>12500.0</v>
      </c>
      <c r="H2" s="3">
        <v>12500.0</v>
      </c>
      <c r="M2" s="5" t="s">
        <v>3273</v>
      </c>
    </row>
    <row r="3" ht="15.75" customHeight="1">
      <c r="A3" s="2" t="s">
        <v>3274</v>
      </c>
      <c r="B3" s="2"/>
      <c r="C3" s="23">
        <v>45703.0</v>
      </c>
      <c r="D3" s="2">
        <v>3.0</v>
      </c>
      <c r="E3" s="2">
        <v>14000.0</v>
      </c>
      <c r="F3" s="2" t="s">
        <v>3275</v>
      </c>
      <c r="G3" s="2"/>
      <c r="H3" s="3">
        <v>14000.0</v>
      </c>
    </row>
    <row r="4" ht="15.75" customHeight="1">
      <c r="A4" s="2" t="s">
        <v>3276</v>
      </c>
      <c r="B4" s="2"/>
      <c r="C4" s="23">
        <v>45703.0</v>
      </c>
      <c r="D4" s="2">
        <v>6.0</v>
      </c>
      <c r="E4" s="2">
        <v>69750.0</v>
      </c>
      <c r="F4" s="2" t="s">
        <v>3277</v>
      </c>
      <c r="G4" s="2"/>
      <c r="H4" s="3">
        <v>69750.0</v>
      </c>
    </row>
    <row r="5" ht="15.75" customHeight="1">
      <c r="A5" s="2" t="s">
        <v>3278</v>
      </c>
      <c r="B5" s="2" t="s">
        <v>3271</v>
      </c>
      <c r="C5" s="23">
        <v>45703.0</v>
      </c>
      <c r="D5" s="2">
        <v>7.0</v>
      </c>
      <c r="E5" s="2">
        <v>85000.0</v>
      </c>
      <c r="F5" s="2" t="s">
        <v>3272</v>
      </c>
      <c r="G5" s="2"/>
      <c r="H5" s="3">
        <v>12500.0</v>
      </c>
    </row>
    <row r="6" ht="15.75" customHeight="1">
      <c r="A6" s="2" t="s">
        <v>3279</v>
      </c>
      <c r="B6" s="2" t="s">
        <v>3280</v>
      </c>
      <c r="C6" s="23">
        <v>45703.0</v>
      </c>
      <c r="D6" s="2">
        <v>7.0</v>
      </c>
      <c r="E6" s="2">
        <v>85000.0</v>
      </c>
      <c r="F6" s="2" t="s">
        <v>3281</v>
      </c>
      <c r="G6" s="2">
        <v>12500.0</v>
      </c>
      <c r="H6" s="3">
        <v>26500.0</v>
      </c>
    </row>
    <row r="7" ht="15.75" customHeight="1">
      <c r="A7" s="2" t="s">
        <v>3282</v>
      </c>
      <c r="B7" s="2" t="s">
        <v>3279</v>
      </c>
      <c r="C7" s="23">
        <v>45704.0</v>
      </c>
      <c r="D7" s="2">
        <v>5.0</v>
      </c>
      <c r="E7" s="2">
        <v>52000.0</v>
      </c>
      <c r="F7" s="2" t="s">
        <v>3281</v>
      </c>
      <c r="G7" s="2">
        <v>0.0</v>
      </c>
      <c r="H7" s="3">
        <v>26500.0</v>
      </c>
    </row>
    <row r="8" ht="15.75" customHeight="1">
      <c r="A8" s="2" t="s">
        <v>3283</v>
      </c>
      <c r="B8" s="2" t="s">
        <v>3282</v>
      </c>
      <c r="C8" s="23">
        <v>45704.93760416667</v>
      </c>
      <c r="D8" s="2">
        <v>79.0</v>
      </c>
      <c r="E8" s="2">
        <v>26000.0</v>
      </c>
      <c r="F8" s="2" t="s">
        <v>3281</v>
      </c>
      <c r="G8" s="2">
        <v>0.0</v>
      </c>
      <c r="H8" s="3">
        <v>26000.0</v>
      </c>
    </row>
    <row r="9" ht="15.75" customHeight="1">
      <c r="A9" s="2" t="s">
        <v>3284</v>
      </c>
      <c r="B9" s="2" t="s">
        <v>3276</v>
      </c>
      <c r="C9" s="23">
        <v>45704.94736111111</v>
      </c>
      <c r="D9" s="2">
        <v>30.0</v>
      </c>
      <c r="E9" s="2">
        <v>38800.0</v>
      </c>
      <c r="F9" s="2" t="s">
        <v>3277</v>
      </c>
      <c r="G9" s="2">
        <v>0.0</v>
      </c>
      <c r="H9" s="3">
        <v>37750.0</v>
      </c>
    </row>
    <row r="10" ht="15.75" customHeight="1">
      <c r="A10" s="2" t="s">
        <v>3285</v>
      </c>
      <c r="B10" s="2"/>
      <c r="C10" s="23">
        <v>45704.95079861111</v>
      </c>
      <c r="D10" s="2">
        <v>1.0</v>
      </c>
      <c r="E10" s="2">
        <v>107500.0</v>
      </c>
      <c r="F10" s="2" t="s">
        <v>3286</v>
      </c>
      <c r="G10" s="2"/>
      <c r="H10" s="3">
        <v>107500.0</v>
      </c>
    </row>
    <row r="11" ht="15.75" customHeight="1">
      <c r="A11" s="2" t="s">
        <v>3287</v>
      </c>
      <c r="B11" s="2" t="s">
        <v>3276</v>
      </c>
      <c r="C11" s="23">
        <v>45704.96743055555</v>
      </c>
      <c r="D11" s="2">
        <v>11.0</v>
      </c>
      <c r="E11" s="2">
        <v>36000.0</v>
      </c>
      <c r="F11" s="2" t="s">
        <v>3277</v>
      </c>
      <c r="G11" s="2">
        <v>0.0</v>
      </c>
      <c r="H11" s="3">
        <v>32000.0</v>
      </c>
    </row>
    <row r="12" ht="15.75" customHeight="1">
      <c r="A12" s="3" t="s">
        <v>3288</v>
      </c>
      <c r="B12" s="3" t="s">
        <v>3289</v>
      </c>
      <c r="C12" s="24">
        <v>45704.968831018516</v>
      </c>
      <c r="D12" s="3">
        <v>11.0</v>
      </c>
      <c r="E12" s="3">
        <v>36000.0</v>
      </c>
      <c r="F12" s="3" t="s">
        <v>3277</v>
      </c>
      <c r="G12" s="3">
        <v>32000.0</v>
      </c>
      <c r="H12" s="3">
        <v>32500.0</v>
      </c>
    </row>
    <row r="13" ht="15.75" customHeight="1">
      <c r="A13" s="3" t="s">
        <v>3290</v>
      </c>
      <c r="B13" s="3" t="s">
        <v>3291</v>
      </c>
      <c r="C13" s="24">
        <v>45704.96994212963</v>
      </c>
      <c r="D13" s="3">
        <v>30.0</v>
      </c>
      <c r="E13" s="3">
        <v>38800.0</v>
      </c>
      <c r="F13" s="3" t="s">
        <v>3286</v>
      </c>
      <c r="G13" s="3">
        <v>37750.0</v>
      </c>
      <c r="H13" s="3">
        <v>37800.0</v>
      </c>
    </row>
    <row r="14" ht="15.75" customHeight="1">
      <c r="A14" s="3" t="s">
        <v>3292</v>
      </c>
      <c r="B14" s="3"/>
      <c r="C14" s="24">
        <v>45705.533368055556</v>
      </c>
      <c r="D14" s="3">
        <v>77.0</v>
      </c>
      <c r="E14" s="3">
        <v>26000.0</v>
      </c>
      <c r="F14" s="3" t="s">
        <v>3293</v>
      </c>
      <c r="G14" s="3"/>
      <c r="H14" s="3">
        <v>25000.0</v>
      </c>
      <c r="K14" s="5" t="s">
        <v>3294</v>
      </c>
    </row>
    <row r="15" ht="15.75" customHeight="1">
      <c r="A15" s="3" t="s">
        <v>3295</v>
      </c>
      <c r="B15" s="3"/>
      <c r="C15" s="24">
        <v>45705.533854166664</v>
      </c>
      <c r="D15" s="3">
        <v>80.0</v>
      </c>
      <c r="E15" s="3">
        <v>26100.0</v>
      </c>
      <c r="F15" s="3" t="s">
        <v>3296</v>
      </c>
      <c r="G15" s="3"/>
      <c r="H15" s="3">
        <v>12000.0</v>
      </c>
      <c r="J15" s="5" t="s">
        <v>3297</v>
      </c>
    </row>
    <row r="16" ht="15.75" customHeight="1">
      <c r="A16" s="3" t="s">
        <v>3298</v>
      </c>
      <c r="B16" s="3"/>
      <c r="C16" s="24">
        <v>45705.534212962964</v>
      </c>
      <c r="D16" s="3">
        <v>81.0</v>
      </c>
      <c r="E16" s="3">
        <v>26500.0</v>
      </c>
      <c r="F16" s="3" t="s">
        <v>3299</v>
      </c>
      <c r="G16" s="3"/>
      <c r="H16" s="3">
        <v>8000.0</v>
      </c>
      <c r="J16" s="5">
        <v>5790.0</v>
      </c>
    </row>
    <row r="17" ht="15.75" customHeight="1">
      <c r="A17" s="3" t="s">
        <v>3300</v>
      </c>
      <c r="B17" s="3"/>
      <c r="C17" s="24">
        <v>45705.534525462965</v>
      </c>
      <c r="D17" s="3">
        <v>82.0</v>
      </c>
      <c r="E17" s="3">
        <v>42600.0</v>
      </c>
      <c r="F17" s="3" t="s">
        <v>3301</v>
      </c>
      <c r="G17" s="3"/>
      <c r="H17" s="3">
        <v>20000.0</v>
      </c>
      <c r="J17" s="5" t="s">
        <v>3302</v>
      </c>
    </row>
    <row r="18" ht="15.75" customHeight="1">
      <c r="A18" s="3" t="s">
        <v>3303</v>
      </c>
      <c r="B18" s="3"/>
      <c r="C18" s="24">
        <v>45705.53513888889</v>
      </c>
      <c r="D18" s="3">
        <v>65.0</v>
      </c>
      <c r="E18" s="3">
        <v>35500.0</v>
      </c>
      <c r="F18" s="3" t="s">
        <v>3301</v>
      </c>
      <c r="G18" s="3"/>
      <c r="H18" s="3">
        <v>15000.0</v>
      </c>
      <c r="J18" s="5" t="s">
        <v>3304</v>
      </c>
    </row>
    <row r="19" ht="15.75" customHeight="1">
      <c r="A19" s="3" t="s">
        <v>3305</v>
      </c>
      <c r="B19" s="3"/>
      <c r="C19" s="24">
        <v>45705.535474537035</v>
      </c>
      <c r="D19" s="3">
        <v>83.0</v>
      </c>
      <c r="E19" s="3">
        <v>81500.0</v>
      </c>
      <c r="F19" s="3" t="s">
        <v>3306</v>
      </c>
      <c r="G19" s="3"/>
      <c r="H19" s="3">
        <v>30000.0</v>
      </c>
      <c r="J19" s="5" t="s">
        <v>3307</v>
      </c>
    </row>
    <row r="20" ht="15.75" customHeight="1">
      <c r="A20" s="3" t="s">
        <v>3308</v>
      </c>
      <c r="B20" s="3"/>
      <c r="C20" s="24">
        <v>45705.535787037035</v>
      </c>
      <c r="D20" s="3">
        <v>84.0</v>
      </c>
      <c r="E20" s="3">
        <v>83000.0</v>
      </c>
      <c r="F20" s="3" t="s">
        <v>3296</v>
      </c>
      <c r="G20" s="3"/>
      <c r="H20" s="3">
        <v>30000.0</v>
      </c>
      <c r="J20" s="5" t="s">
        <v>3309</v>
      </c>
    </row>
    <row r="21" ht="15.75" customHeight="1">
      <c r="A21" s="3" t="s">
        <v>3310</v>
      </c>
      <c r="B21" s="3"/>
      <c r="C21" s="24">
        <v>45705.53618055556</v>
      </c>
      <c r="D21" s="3">
        <v>85.0</v>
      </c>
      <c r="E21" s="3">
        <v>84000.0</v>
      </c>
      <c r="F21" s="3" t="s">
        <v>3311</v>
      </c>
      <c r="G21" s="3"/>
      <c r="H21" s="3">
        <v>40000.0</v>
      </c>
      <c r="J21" s="5" t="s">
        <v>3312</v>
      </c>
    </row>
    <row r="22" ht="15.75" customHeight="1">
      <c r="A22" s="3"/>
      <c r="B22" s="3"/>
      <c r="C22" s="24"/>
      <c r="D22" s="3"/>
      <c r="E22" s="3"/>
      <c r="F22" s="3"/>
      <c r="G22" s="3"/>
      <c r="H22" s="3"/>
      <c r="J22" s="5"/>
    </row>
    <row r="23" ht="15.75" customHeight="1">
      <c r="A23" s="3" t="s">
        <v>3313</v>
      </c>
      <c r="B23" s="3"/>
      <c r="C23" s="24">
        <v>45691.826527777775</v>
      </c>
      <c r="D23" s="3">
        <v>86.0</v>
      </c>
      <c r="E23" s="3">
        <v>88000.0</v>
      </c>
      <c r="F23" s="3" t="s">
        <v>3314</v>
      </c>
      <c r="G23" s="3"/>
      <c r="H23" s="3">
        <v>42000.0</v>
      </c>
      <c r="J23" s="5" t="s">
        <v>3315</v>
      </c>
    </row>
    <row r="24" ht="15.75" customHeight="1">
      <c r="A24" s="3" t="s">
        <v>3316</v>
      </c>
      <c r="B24" s="3"/>
      <c r="C24" s="24">
        <v>45708.71178240741</v>
      </c>
      <c r="D24" s="3">
        <v>88.0</v>
      </c>
      <c r="E24" s="3">
        <v>78900.0</v>
      </c>
      <c r="F24" s="3" t="s">
        <v>3277</v>
      </c>
      <c r="G24" s="3"/>
      <c r="H24" s="3">
        <v>28000.0</v>
      </c>
      <c r="J24" s="5" t="s">
        <v>3317</v>
      </c>
    </row>
    <row r="25" ht="15.75" customHeight="1">
      <c r="A25" s="3" t="s">
        <v>3318</v>
      </c>
      <c r="B25" s="3" t="s">
        <v>3313</v>
      </c>
      <c r="C25" s="24">
        <v>45708.716365740744</v>
      </c>
      <c r="D25" s="3">
        <v>102.0</v>
      </c>
      <c r="E25" s="3">
        <v>31000.0</v>
      </c>
      <c r="F25" s="3" t="s">
        <v>3314</v>
      </c>
      <c r="G25" s="3">
        <v>0.0</v>
      </c>
      <c r="H25" s="3">
        <v>30000.0</v>
      </c>
      <c r="I25" s="5" t="s">
        <v>3319</v>
      </c>
      <c r="K25" s="5" t="s">
        <v>3320</v>
      </c>
    </row>
    <row r="26" ht="15.75" customHeight="1">
      <c r="A26" s="3" t="s">
        <v>3321</v>
      </c>
      <c r="B26" s="3" t="s">
        <v>3308</v>
      </c>
      <c r="C26" s="24">
        <v>45708.725497685184</v>
      </c>
      <c r="D26" s="3">
        <v>103.0</v>
      </c>
      <c r="E26" s="3">
        <v>31000.0</v>
      </c>
      <c r="F26" s="3" t="s">
        <v>3314</v>
      </c>
      <c r="G26" s="3">
        <v>0.0</v>
      </c>
      <c r="H26" s="3">
        <v>15000.0</v>
      </c>
    </row>
    <row r="27" ht="15.75" customHeight="1">
      <c r="A27" s="3" t="s">
        <v>3322</v>
      </c>
      <c r="B27" s="3" t="s">
        <v>3323</v>
      </c>
      <c r="C27" s="24">
        <v>45708.742685185185</v>
      </c>
      <c r="D27" s="3">
        <v>86.0</v>
      </c>
      <c r="E27" s="3">
        <v>88000.0</v>
      </c>
      <c r="F27" s="3" t="s">
        <v>3324</v>
      </c>
      <c r="G27" s="3">
        <v>12000.0</v>
      </c>
      <c r="H27" s="3">
        <v>20000.0</v>
      </c>
    </row>
    <row r="28" ht="15.75" customHeight="1">
      <c r="A28" s="3" t="s">
        <v>3325</v>
      </c>
      <c r="B28" s="3" t="s">
        <v>3326</v>
      </c>
      <c r="C28" s="24">
        <v>45708.74778935185</v>
      </c>
      <c r="D28" s="3">
        <v>86.0</v>
      </c>
      <c r="E28" s="3">
        <v>88000.0</v>
      </c>
      <c r="F28" s="3" t="s">
        <v>3327</v>
      </c>
      <c r="G28" s="3">
        <v>20000.0</v>
      </c>
      <c r="H28" s="3">
        <v>40000.0</v>
      </c>
    </row>
    <row r="29" ht="15.75" customHeight="1">
      <c r="A29" s="3" t="s">
        <v>3328</v>
      </c>
      <c r="B29" s="3" t="s">
        <v>3329</v>
      </c>
      <c r="C29" s="24">
        <v>45708.75084490741</v>
      </c>
      <c r="D29" s="3">
        <v>84.0</v>
      </c>
      <c r="E29" s="3">
        <v>83000.0</v>
      </c>
      <c r="F29" s="3" t="s">
        <v>3330</v>
      </c>
      <c r="G29" s="3">
        <v>15000.0</v>
      </c>
      <c r="H29" s="3">
        <v>30000.0</v>
      </c>
    </row>
    <row r="30" ht="15.75" customHeight="1">
      <c r="A30" s="3" t="s">
        <v>3331</v>
      </c>
      <c r="B30" s="3" t="s">
        <v>3305</v>
      </c>
      <c r="C30" s="24">
        <v>45708.752488425926</v>
      </c>
      <c r="D30" s="3">
        <v>104.0</v>
      </c>
      <c r="E30" s="3">
        <v>31000.0</v>
      </c>
      <c r="F30" s="3" t="s">
        <v>3332</v>
      </c>
      <c r="G30" s="3">
        <v>0.0</v>
      </c>
      <c r="H30" s="3">
        <v>29000.0</v>
      </c>
      <c r="K30" s="5" t="s">
        <v>3320</v>
      </c>
    </row>
    <row r="31" ht="15.75" customHeight="1">
      <c r="A31" s="3" t="s">
        <v>3333</v>
      </c>
      <c r="B31" s="3" t="s">
        <v>3305</v>
      </c>
      <c r="C31" s="24">
        <v>45708.75446759259</v>
      </c>
      <c r="D31" s="3">
        <v>105.0</v>
      </c>
      <c r="E31" s="3">
        <v>31000.0</v>
      </c>
      <c r="F31" s="3" t="s">
        <v>3334</v>
      </c>
      <c r="G31" s="3">
        <v>0.0</v>
      </c>
      <c r="H31" s="3">
        <v>5000.0</v>
      </c>
    </row>
    <row r="32" ht="15.75" customHeight="1">
      <c r="A32" s="3" t="s">
        <v>3335</v>
      </c>
      <c r="B32" s="3"/>
      <c r="C32" s="24">
        <v>45708.79368055556</v>
      </c>
      <c r="D32" s="3">
        <v>11.0</v>
      </c>
      <c r="E32" s="3">
        <v>36000.0</v>
      </c>
      <c r="F32" s="3" t="s">
        <v>3336</v>
      </c>
      <c r="G32" s="3"/>
      <c r="H32" s="3">
        <v>36000.0</v>
      </c>
      <c r="K32" s="5" t="s">
        <v>3337</v>
      </c>
    </row>
    <row r="33" ht="15.75" customHeight="1">
      <c r="A33" s="3" t="s">
        <v>3338</v>
      </c>
      <c r="B33" s="3"/>
      <c r="C33" s="24">
        <v>45708.79421296297</v>
      </c>
      <c r="D33" s="3">
        <v>16.0</v>
      </c>
      <c r="E33" s="3">
        <v>19500.0</v>
      </c>
      <c r="F33" s="3" t="s">
        <v>3339</v>
      </c>
      <c r="G33" s="3"/>
      <c r="H33" s="3">
        <v>19500.0</v>
      </c>
      <c r="K33" s="5" t="s">
        <v>3337</v>
      </c>
    </row>
    <row r="34" ht="15.75" customHeight="1">
      <c r="A34" s="3" t="s">
        <v>3340</v>
      </c>
      <c r="B34" s="3"/>
      <c r="C34" s="24">
        <v>45708.794594907406</v>
      </c>
      <c r="D34" s="3">
        <v>30.0</v>
      </c>
      <c r="E34" s="3">
        <v>38800.0</v>
      </c>
      <c r="F34" s="3" t="s">
        <v>3341</v>
      </c>
      <c r="G34" s="3"/>
      <c r="H34" s="3">
        <v>38800.0</v>
      </c>
      <c r="K34" s="5" t="s">
        <v>3342</v>
      </c>
      <c r="M34" s="5" t="s">
        <v>3273</v>
      </c>
    </row>
    <row r="35" ht="15.75" customHeight="1">
      <c r="A35" s="3" t="s">
        <v>3343</v>
      </c>
      <c r="B35" s="3"/>
      <c r="C35" s="24">
        <v>45708.79497685185</v>
      </c>
      <c r="D35" s="3">
        <v>41.0</v>
      </c>
      <c r="E35" s="3">
        <v>35100.0</v>
      </c>
      <c r="F35" s="3" t="s">
        <v>3344</v>
      </c>
      <c r="G35" s="3"/>
      <c r="H35" s="3">
        <v>35100.0</v>
      </c>
      <c r="K35" s="5" t="s">
        <v>3337</v>
      </c>
    </row>
    <row r="36" ht="15.75" customHeight="1">
      <c r="A36" s="3" t="s">
        <v>3345</v>
      </c>
      <c r="B36" s="3"/>
      <c r="C36" s="24">
        <v>45708.79696759259</v>
      </c>
      <c r="D36" s="3">
        <v>42.0</v>
      </c>
      <c r="E36" s="3">
        <v>35900.0</v>
      </c>
      <c r="F36" s="3" t="s">
        <v>3346</v>
      </c>
      <c r="G36" s="3"/>
      <c r="H36" s="3">
        <v>35900.0</v>
      </c>
      <c r="K36" s="5" t="s">
        <v>3342</v>
      </c>
    </row>
    <row r="37" ht="15.75" customHeight="1">
      <c r="A37" s="3" t="s">
        <v>3347</v>
      </c>
      <c r="B37" s="3"/>
      <c r="C37" s="24">
        <v>45708.79833333333</v>
      </c>
      <c r="D37" s="3">
        <v>44.0</v>
      </c>
      <c r="E37" s="3">
        <v>19100.0</v>
      </c>
      <c r="F37" s="3" t="s">
        <v>3344</v>
      </c>
      <c r="G37" s="3"/>
      <c r="H37" s="3">
        <v>19100.0</v>
      </c>
      <c r="K37" s="5" t="s">
        <v>3337</v>
      </c>
    </row>
    <row r="38" ht="15.75" customHeight="1">
      <c r="A38" s="3" t="s">
        <v>3348</v>
      </c>
      <c r="B38" s="3"/>
      <c r="C38" s="24">
        <v>45708.79861111111</v>
      </c>
      <c r="D38" s="3">
        <v>45.0</v>
      </c>
      <c r="E38" s="3">
        <v>30000.0</v>
      </c>
      <c r="F38" s="3" t="s">
        <v>3349</v>
      </c>
      <c r="G38" s="3"/>
      <c r="H38" s="3">
        <v>30000.0</v>
      </c>
      <c r="K38" s="5" t="s">
        <v>3337</v>
      </c>
    </row>
    <row r="39" ht="15.75" customHeight="1">
      <c r="A39" s="3" t="s">
        <v>3350</v>
      </c>
      <c r="B39" s="3"/>
      <c r="C39" s="24">
        <v>45708.79892361111</v>
      </c>
      <c r="D39" s="3">
        <v>47.0</v>
      </c>
      <c r="E39" s="3">
        <v>20000.0</v>
      </c>
      <c r="F39" s="3" t="s">
        <v>3351</v>
      </c>
      <c r="G39" s="3"/>
      <c r="H39" s="3">
        <v>20000.0</v>
      </c>
      <c r="K39" s="5" t="s">
        <v>3337</v>
      </c>
    </row>
    <row r="40" ht="15.75" customHeight="1">
      <c r="A40" s="3" t="s">
        <v>3352</v>
      </c>
      <c r="B40" s="3"/>
      <c r="C40" s="24">
        <v>45708.79924768519</v>
      </c>
      <c r="D40" s="3">
        <v>48.0</v>
      </c>
      <c r="E40" s="3">
        <v>26000.0</v>
      </c>
      <c r="F40" s="3" t="s">
        <v>3349</v>
      </c>
      <c r="G40" s="3"/>
      <c r="H40" s="3">
        <v>26000.0</v>
      </c>
      <c r="K40" s="5" t="s">
        <v>3337</v>
      </c>
    </row>
    <row r="41" ht="15.75" customHeight="1">
      <c r="A41" s="3" t="s">
        <v>3353</v>
      </c>
      <c r="B41" s="3"/>
      <c r="C41" s="24">
        <v>45708.79944444444</v>
      </c>
      <c r="D41" s="3">
        <v>49.0</v>
      </c>
      <c r="E41" s="3">
        <v>26000.0</v>
      </c>
      <c r="F41" s="3" t="s">
        <v>3349</v>
      </c>
      <c r="G41" s="3"/>
      <c r="H41" s="3">
        <v>26000.0</v>
      </c>
      <c r="K41" s="5" t="s">
        <v>3337</v>
      </c>
    </row>
    <row r="42" ht="15.75" customHeight="1">
      <c r="A42" s="3" t="s">
        <v>3354</v>
      </c>
      <c r="B42" s="3"/>
      <c r="C42" s="24">
        <v>45708.79971064815</v>
      </c>
      <c r="D42" s="3">
        <v>50.0</v>
      </c>
      <c r="E42" s="3">
        <v>5100.0</v>
      </c>
      <c r="F42" s="3" t="s">
        <v>3355</v>
      </c>
      <c r="G42" s="3"/>
      <c r="H42" s="3">
        <v>5100.0</v>
      </c>
      <c r="K42" s="5" t="s">
        <v>3337</v>
      </c>
    </row>
    <row r="43" ht="15.75" customHeight="1">
      <c r="A43" s="3" t="s">
        <v>3356</v>
      </c>
      <c r="B43" s="3"/>
      <c r="C43" s="24">
        <v>45708.799942129626</v>
      </c>
      <c r="D43" s="3">
        <v>67.0</v>
      </c>
      <c r="E43" s="3">
        <v>23000.0</v>
      </c>
      <c r="F43" s="3" t="s">
        <v>3346</v>
      </c>
      <c r="G43" s="3"/>
      <c r="H43" s="3">
        <v>23000.0</v>
      </c>
      <c r="K43" s="5" t="s">
        <v>3342</v>
      </c>
    </row>
    <row r="44" ht="15.75" customHeight="1">
      <c r="A44" s="3" t="s">
        <v>3357</v>
      </c>
      <c r="B44" s="3"/>
      <c r="C44" s="24">
        <v>45708.80363425926</v>
      </c>
      <c r="D44" s="3">
        <v>74.0</v>
      </c>
      <c r="E44" s="3">
        <v>13000.0</v>
      </c>
      <c r="F44" s="3" t="s">
        <v>3346</v>
      </c>
      <c r="G44" s="3"/>
      <c r="H44" s="3">
        <v>13000.0</v>
      </c>
      <c r="K44" s="5" t="s">
        <v>3342</v>
      </c>
    </row>
    <row r="45" ht="15.75" customHeight="1">
      <c r="A45" s="3" t="s">
        <v>3358</v>
      </c>
      <c r="B45" s="3"/>
      <c r="C45" s="24">
        <v>45708.80383101852</v>
      </c>
      <c r="D45" s="3">
        <v>75.0</v>
      </c>
      <c r="E45" s="3">
        <v>7000.0</v>
      </c>
      <c r="F45" s="3" t="s">
        <v>3359</v>
      </c>
      <c r="G45" s="3"/>
      <c r="H45" s="3">
        <v>7000.0</v>
      </c>
      <c r="K45" s="5" t="s">
        <v>3337</v>
      </c>
    </row>
    <row r="46" ht="15.75" customHeight="1">
      <c r="A46" s="3" t="s">
        <v>3360</v>
      </c>
      <c r="B46" s="3"/>
      <c r="C46" s="24">
        <v>45708.80415509259</v>
      </c>
      <c r="D46" s="3">
        <v>90.0</v>
      </c>
      <c r="E46" s="3">
        <v>97500.0</v>
      </c>
      <c r="F46" s="3" t="s">
        <v>3361</v>
      </c>
      <c r="G46" s="3"/>
      <c r="H46" s="3">
        <v>97500.0</v>
      </c>
      <c r="K46" s="5" t="s">
        <v>3342</v>
      </c>
    </row>
    <row r="47" ht="15.75" customHeight="1">
      <c r="A47" s="3" t="s">
        <v>3362</v>
      </c>
      <c r="B47" s="3"/>
      <c r="C47" s="24">
        <v>45708.804398148146</v>
      </c>
      <c r="D47" s="3">
        <v>35.0</v>
      </c>
      <c r="E47" s="3">
        <v>39300.0</v>
      </c>
      <c r="F47" s="3" t="s">
        <v>3361</v>
      </c>
      <c r="G47" s="3"/>
      <c r="H47" s="3">
        <v>39300.0</v>
      </c>
      <c r="K47" s="5" t="s">
        <v>3342</v>
      </c>
    </row>
    <row r="48" ht="15.75" customHeight="1">
      <c r="A48" s="3" t="s">
        <v>3363</v>
      </c>
      <c r="B48" s="3"/>
      <c r="C48" s="24">
        <v>45708.8046412037</v>
      </c>
      <c r="D48" s="3">
        <v>94.0</v>
      </c>
      <c r="E48" s="3">
        <v>11600.0</v>
      </c>
      <c r="F48" s="3" t="s">
        <v>3361</v>
      </c>
      <c r="G48" s="3"/>
      <c r="H48" s="3">
        <v>11600.0</v>
      </c>
      <c r="K48" s="5" t="s">
        <v>3342</v>
      </c>
    </row>
    <row r="49" ht="15.75" customHeight="1">
      <c r="A49" s="3" t="s">
        <v>3364</v>
      </c>
      <c r="B49" s="3"/>
      <c r="C49" s="24">
        <v>45708.80484953704</v>
      </c>
      <c r="D49" s="3">
        <v>111.0</v>
      </c>
      <c r="E49" s="3">
        <v>4000.0</v>
      </c>
      <c r="F49" s="3" t="s">
        <v>3365</v>
      </c>
      <c r="G49" s="3"/>
      <c r="H49" s="3">
        <v>4000.0</v>
      </c>
      <c r="I49" s="5" t="s">
        <v>3366</v>
      </c>
      <c r="K49" s="5" t="s">
        <v>3342</v>
      </c>
    </row>
    <row r="50" ht="15.75" customHeight="1">
      <c r="A50" s="3" t="s">
        <v>3367</v>
      </c>
      <c r="B50" s="3"/>
      <c r="C50" s="24">
        <v>45708.805081018516</v>
      </c>
      <c r="D50" s="3">
        <v>114.0</v>
      </c>
      <c r="E50" s="3">
        <v>125300.0</v>
      </c>
      <c r="F50" s="3" t="s">
        <v>3368</v>
      </c>
      <c r="G50" s="3"/>
      <c r="H50" s="3">
        <v>125300.0</v>
      </c>
      <c r="K50" s="5" t="s">
        <v>3342</v>
      </c>
    </row>
    <row r="51" ht="15.75" customHeight="1">
      <c r="A51" s="3" t="s">
        <v>3369</v>
      </c>
      <c r="B51" s="3"/>
      <c r="C51" s="24">
        <v>45708.80533564815</v>
      </c>
      <c r="D51" s="3">
        <v>118.0</v>
      </c>
      <c r="E51" s="3">
        <v>155600.0</v>
      </c>
      <c r="F51" s="3" t="s">
        <v>3346</v>
      </c>
      <c r="G51" s="3"/>
      <c r="H51" s="3">
        <v>155600.0</v>
      </c>
      <c r="K51" s="5" t="s">
        <v>3342</v>
      </c>
    </row>
    <row r="52" ht="15.75" customHeight="1">
      <c r="A52" s="3" t="s">
        <v>3370</v>
      </c>
      <c r="B52" s="3"/>
      <c r="C52" s="24">
        <v>45708.80679398148</v>
      </c>
      <c r="D52" s="3">
        <v>15.0</v>
      </c>
      <c r="E52" s="3">
        <v>36500.0</v>
      </c>
      <c r="F52" s="3" t="s">
        <v>3351</v>
      </c>
      <c r="G52" s="3"/>
      <c r="H52" s="3">
        <v>20000.0</v>
      </c>
    </row>
    <row r="53" ht="15.75" customHeight="1">
      <c r="A53" s="3" t="s">
        <v>3371</v>
      </c>
      <c r="B53" s="3"/>
      <c r="C53" s="24">
        <v>45708.80940972222</v>
      </c>
      <c r="D53" s="3">
        <v>46.0</v>
      </c>
      <c r="E53" s="3">
        <v>29000.0</v>
      </c>
      <c r="F53" s="3" t="s">
        <v>3351</v>
      </c>
      <c r="G53" s="3"/>
      <c r="H53" s="3">
        <v>29000.0</v>
      </c>
      <c r="K53" s="5" t="s">
        <v>3337</v>
      </c>
    </row>
    <row r="54" ht="15.75" customHeight="1">
      <c r="A54" s="3" t="s">
        <v>3372</v>
      </c>
      <c r="B54" s="3"/>
      <c r="C54" s="24">
        <v>45708.81125</v>
      </c>
      <c r="D54" s="3">
        <v>52.0</v>
      </c>
      <c r="E54" s="3">
        <v>27000.0</v>
      </c>
      <c r="F54" s="3" t="s">
        <v>3373</v>
      </c>
      <c r="G54" s="3"/>
      <c r="H54" s="3">
        <v>27000.0</v>
      </c>
      <c r="K54" s="5" t="s">
        <v>3337</v>
      </c>
    </row>
    <row r="55" ht="15.75" customHeight="1">
      <c r="A55" s="3" t="s">
        <v>3374</v>
      </c>
      <c r="B55" s="3"/>
      <c r="C55" s="24">
        <v>45708.81146990741</v>
      </c>
      <c r="D55" s="3">
        <v>54.0</v>
      </c>
      <c r="E55" s="3">
        <v>22900.0</v>
      </c>
      <c r="F55" s="3" t="s">
        <v>3373</v>
      </c>
      <c r="G55" s="3"/>
      <c r="H55" s="3">
        <v>22900.0</v>
      </c>
      <c r="K55" s="5" t="s">
        <v>3337</v>
      </c>
    </row>
    <row r="56" ht="15.75" customHeight="1">
      <c r="A56" s="3" t="s">
        <v>3375</v>
      </c>
      <c r="B56" s="3"/>
      <c r="C56" s="24">
        <v>45708.80025462963</v>
      </c>
      <c r="D56" s="3">
        <v>89.0</v>
      </c>
      <c r="E56" s="3">
        <v>83500.0</v>
      </c>
      <c r="F56" s="3" t="s">
        <v>3376</v>
      </c>
      <c r="G56" s="3"/>
      <c r="H56" s="3">
        <v>36000.0</v>
      </c>
      <c r="I56" s="5" t="s">
        <v>3377</v>
      </c>
      <c r="J56" s="5" t="s">
        <v>3378</v>
      </c>
    </row>
    <row r="57" ht="15.75" customHeight="1">
      <c r="A57" s="3" t="s">
        <v>3379</v>
      </c>
      <c r="B57" s="3"/>
      <c r="C57" s="24">
        <v>45709.80238425926</v>
      </c>
      <c r="D57" s="3">
        <v>92.0</v>
      </c>
      <c r="E57" s="3">
        <v>76000.0</v>
      </c>
      <c r="F57" s="3" t="s">
        <v>3380</v>
      </c>
      <c r="G57" s="3"/>
      <c r="H57" s="3">
        <v>39700.0</v>
      </c>
      <c r="J57" s="5" t="s">
        <v>3381</v>
      </c>
    </row>
    <row r="58" ht="15.75" customHeight="1">
      <c r="A58" s="3" t="s">
        <v>3382</v>
      </c>
      <c r="B58" s="3" t="s">
        <v>3383</v>
      </c>
      <c r="C58" s="24">
        <v>45709.835324074076</v>
      </c>
      <c r="D58" s="3">
        <v>80.0</v>
      </c>
      <c r="E58" s="3">
        <v>26100.0</v>
      </c>
      <c r="F58" s="3" t="s">
        <v>3384</v>
      </c>
      <c r="G58" s="3">
        <v>12000.0</v>
      </c>
      <c r="H58" s="3">
        <v>22000.0</v>
      </c>
      <c r="K58" s="5" t="s">
        <v>3294</v>
      </c>
    </row>
    <row r="59" ht="15.75" customHeight="1">
      <c r="A59" s="3" t="s">
        <v>3385</v>
      </c>
      <c r="B59" s="3" t="s">
        <v>3310</v>
      </c>
      <c r="C59" s="24">
        <v>45709.836747685185</v>
      </c>
      <c r="D59" s="3">
        <v>107.0</v>
      </c>
      <c r="E59" s="3">
        <v>31000.0</v>
      </c>
      <c r="F59" s="3" t="s">
        <v>3386</v>
      </c>
      <c r="G59" s="3">
        <v>0.0</v>
      </c>
      <c r="H59" s="3">
        <v>30000.0</v>
      </c>
      <c r="K59" s="5" t="s">
        <v>3320</v>
      </c>
    </row>
    <row r="60" ht="15.75" customHeight="1">
      <c r="A60" s="3" t="s">
        <v>3387</v>
      </c>
      <c r="B60" s="3" t="s">
        <v>3388</v>
      </c>
      <c r="C60" s="24">
        <v>45709.837905092594</v>
      </c>
      <c r="D60" s="3">
        <v>85.0</v>
      </c>
      <c r="E60" s="3">
        <v>84000.0</v>
      </c>
      <c r="F60" s="3" t="s">
        <v>3330</v>
      </c>
      <c r="G60" s="3">
        <v>10000.0</v>
      </c>
      <c r="H60" s="3">
        <v>28000.0</v>
      </c>
      <c r="K60" s="5" t="s">
        <v>3294</v>
      </c>
    </row>
    <row r="61" ht="15.75" customHeight="1">
      <c r="A61" s="3" t="s">
        <v>3389</v>
      </c>
      <c r="B61" s="3"/>
      <c r="C61" s="24">
        <v>45710.488275462965</v>
      </c>
      <c r="D61" s="3">
        <v>82.0</v>
      </c>
      <c r="E61" s="3">
        <v>42600.0</v>
      </c>
      <c r="F61" s="3" t="s">
        <v>3293</v>
      </c>
      <c r="G61" s="3"/>
      <c r="H61" s="3">
        <v>28000.0</v>
      </c>
      <c r="J61" s="5" t="s">
        <v>3390</v>
      </c>
      <c r="K61" s="5" t="s">
        <v>3294</v>
      </c>
    </row>
    <row r="62" ht="15.75" customHeight="1">
      <c r="A62" s="3" t="s">
        <v>3391</v>
      </c>
      <c r="B62" s="3"/>
      <c r="C62" s="24">
        <v>45712.46873842592</v>
      </c>
      <c r="D62" s="3">
        <v>32.0</v>
      </c>
      <c r="E62" s="3">
        <v>36300.0</v>
      </c>
      <c r="F62" s="3" t="s">
        <v>3392</v>
      </c>
      <c r="G62" s="3"/>
      <c r="H62" s="3">
        <v>36300.0</v>
      </c>
      <c r="I62" s="5" t="s">
        <v>3393</v>
      </c>
      <c r="K62" s="5" t="s">
        <v>3320</v>
      </c>
      <c r="L62" s="6" t="s">
        <v>3247</v>
      </c>
      <c r="M62" s="5" t="s">
        <v>3394</v>
      </c>
    </row>
    <row r="63" ht="15.75" customHeight="1">
      <c r="A63" s="3" t="s">
        <v>17</v>
      </c>
      <c r="B63" s="3"/>
      <c r="C63" s="24">
        <v>45712.46902777778</v>
      </c>
      <c r="D63" s="3">
        <v>33.0</v>
      </c>
      <c r="E63" s="3">
        <v>25300.0</v>
      </c>
      <c r="F63" s="3" t="s">
        <v>3293</v>
      </c>
      <c r="G63" s="3"/>
      <c r="H63" s="3">
        <v>25300.0</v>
      </c>
      <c r="I63" s="5" t="s">
        <v>3395</v>
      </c>
      <c r="K63" s="5" t="s">
        <v>3320</v>
      </c>
      <c r="L63" s="6" t="s">
        <v>3248</v>
      </c>
      <c r="M63" s="5" t="s">
        <v>3394</v>
      </c>
    </row>
    <row r="64" ht="15.75" customHeight="1">
      <c r="A64" s="3" t="s">
        <v>3396</v>
      </c>
      <c r="B64" s="3"/>
      <c r="C64" s="24">
        <v>45712.46928240741</v>
      </c>
      <c r="D64" s="3">
        <v>31.0</v>
      </c>
      <c r="E64" s="3">
        <v>25700.0</v>
      </c>
      <c r="F64" s="3" t="s">
        <v>3293</v>
      </c>
      <c r="G64" s="3"/>
      <c r="H64" s="3">
        <v>25700.0</v>
      </c>
      <c r="I64" s="5" t="s">
        <v>3397</v>
      </c>
      <c r="K64" s="5" t="s">
        <v>3320</v>
      </c>
    </row>
    <row r="65" ht="15.75" customHeight="1">
      <c r="A65" s="3" t="s">
        <v>3398</v>
      </c>
      <c r="B65" s="3"/>
      <c r="C65" s="24">
        <v>45712.46953703704</v>
      </c>
      <c r="D65" s="3">
        <v>40.0</v>
      </c>
      <c r="E65" s="3">
        <v>24000.0</v>
      </c>
      <c r="F65" s="3" t="s">
        <v>3293</v>
      </c>
      <c r="G65" s="3"/>
      <c r="H65" s="3">
        <v>24000.0</v>
      </c>
      <c r="I65" s="5" t="s">
        <v>3399</v>
      </c>
      <c r="K65" s="5" t="s">
        <v>3320</v>
      </c>
      <c r="L65" s="6" t="s">
        <v>3247</v>
      </c>
      <c r="M65" s="5" t="s">
        <v>3394</v>
      </c>
    </row>
    <row r="66" ht="15.75" customHeight="1">
      <c r="A66" s="3" t="s">
        <v>3400</v>
      </c>
      <c r="B66" s="3"/>
      <c r="C66" s="24">
        <v>45712.47148148148</v>
      </c>
      <c r="D66" s="3">
        <v>81.0</v>
      </c>
      <c r="E66" s="3">
        <v>26500.0</v>
      </c>
      <c r="F66" s="3" t="s">
        <v>3293</v>
      </c>
      <c r="G66" s="3"/>
      <c r="H66" s="3">
        <v>24000.0</v>
      </c>
      <c r="K66" s="5" t="s">
        <v>3294</v>
      </c>
    </row>
    <row r="67" ht="15.75" customHeight="1">
      <c r="A67" s="3" t="s">
        <v>3401</v>
      </c>
      <c r="B67" s="3"/>
      <c r="C67" s="24">
        <v>45712.471967592595</v>
      </c>
      <c r="D67" s="3">
        <v>78.0</v>
      </c>
      <c r="E67" s="3">
        <v>25800.0</v>
      </c>
      <c r="F67" s="3" t="s">
        <v>3293</v>
      </c>
      <c r="G67" s="3"/>
      <c r="H67" s="3">
        <v>24000.0</v>
      </c>
      <c r="K67" s="5" t="s">
        <v>3294</v>
      </c>
    </row>
    <row r="68" ht="15.75" customHeight="1">
      <c r="A68" s="3" t="s">
        <v>3402</v>
      </c>
      <c r="B68" s="3"/>
      <c r="C68" s="24">
        <v>45712.472337962965</v>
      </c>
      <c r="D68" s="3">
        <v>79.0</v>
      </c>
      <c r="E68" s="3">
        <v>26000.0</v>
      </c>
      <c r="F68" s="3" t="s">
        <v>3293</v>
      </c>
      <c r="G68" s="3"/>
      <c r="H68" s="3">
        <v>24000.0</v>
      </c>
      <c r="K68" s="5" t="s">
        <v>3294</v>
      </c>
    </row>
    <row r="69" ht="15.75" customHeight="1">
      <c r="A69" s="3" t="s">
        <v>3403</v>
      </c>
      <c r="B69" s="3" t="s">
        <v>3404</v>
      </c>
      <c r="C69" s="24">
        <v>45713.527546296296</v>
      </c>
      <c r="D69" s="3">
        <v>105.0</v>
      </c>
      <c r="E69" s="3">
        <v>31000.0</v>
      </c>
      <c r="F69" s="3" t="s">
        <v>3405</v>
      </c>
      <c r="G69" s="3">
        <v>5000.0</v>
      </c>
      <c r="H69" s="3">
        <v>30000.0</v>
      </c>
    </row>
    <row r="70" ht="15.75" customHeight="1">
      <c r="A70" s="3" t="s">
        <v>3406</v>
      </c>
      <c r="B70" s="3" t="s">
        <v>3407</v>
      </c>
      <c r="C70" s="24">
        <v>45713.53979166667</v>
      </c>
      <c r="D70" s="3">
        <v>108.0</v>
      </c>
      <c r="E70" s="3">
        <v>31000.0</v>
      </c>
      <c r="F70" s="3" t="s">
        <v>3408</v>
      </c>
      <c r="G70" s="3">
        <v>0.0</v>
      </c>
      <c r="H70" s="3">
        <v>7500.0</v>
      </c>
      <c r="K70" s="5" t="s">
        <v>3320</v>
      </c>
    </row>
    <row r="71" ht="15.75" customHeight="1">
      <c r="A71" s="3" t="s">
        <v>3409</v>
      </c>
      <c r="B71" s="3" t="s">
        <v>3410</v>
      </c>
      <c r="C71" s="24">
        <v>45713.54162037037</v>
      </c>
      <c r="D71" s="3">
        <v>86.0</v>
      </c>
      <c r="E71" s="3">
        <v>88000.0</v>
      </c>
      <c r="F71" s="3" t="s">
        <v>3411</v>
      </c>
      <c r="G71" s="3">
        <v>7500.0</v>
      </c>
      <c r="H71" s="3">
        <v>47200.0</v>
      </c>
      <c r="I71" s="5" t="s">
        <v>3412</v>
      </c>
      <c r="K71" s="5" t="s">
        <v>3294</v>
      </c>
    </row>
    <row r="72" ht="15.75" customHeight="1">
      <c r="A72" s="3" t="s">
        <v>3413</v>
      </c>
      <c r="B72" s="3"/>
      <c r="C72" s="24">
        <v>45713.54244212963</v>
      </c>
      <c r="D72" s="3">
        <v>83.0</v>
      </c>
      <c r="E72" s="3">
        <v>81500.0</v>
      </c>
      <c r="F72" s="3" t="s">
        <v>3272</v>
      </c>
      <c r="G72" s="3"/>
      <c r="H72" s="3">
        <v>35800.0</v>
      </c>
      <c r="J72" s="5" t="s">
        <v>3414</v>
      </c>
      <c r="K72" s="5" t="s">
        <v>3294</v>
      </c>
    </row>
    <row r="73" ht="15.75" customHeight="1">
      <c r="A73" s="3" t="s">
        <v>3415</v>
      </c>
      <c r="B73" s="3"/>
      <c r="C73" s="24">
        <v>45713.54413194444</v>
      </c>
      <c r="D73" s="3">
        <v>88.0</v>
      </c>
      <c r="E73" s="3">
        <v>78900.0</v>
      </c>
      <c r="F73" s="3" t="s">
        <v>3272</v>
      </c>
      <c r="G73" s="3"/>
      <c r="H73" s="3">
        <v>37400.0</v>
      </c>
      <c r="J73" s="5" t="s">
        <v>3416</v>
      </c>
      <c r="K73" s="5" t="s">
        <v>3294</v>
      </c>
    </row>
    <row r="74" ht="15.75" customHeight="1">
      <c r="A74" s="3" t="s">
        <v>3417</v>
      </c>
      <c r="B74" s="3"/>
      <c r="C74" s="24">
        <v>45713.70883101852</v>
      </c>
      <c r="D74" s="3">
        <v>59.0</v>
      </c>
      <c r="E74" s="3">
        <v>58200.0</v>
      </c>
      <c r="F74" s="3" t="s">
        <v>3418</v>
      </c>
      <c r="G74" s="3"/>
      <c r="H74" s="3">
        <v>10000.0</v>
      </c>
    </row>
    <row r="75" ht="15.75" customHeight="1">
      <c r="A75" s="3" t="s">
        <v>3419</v>
      </c>
      <c r="B75" s="3"/>
      <c r="C75" s="24">
        <v>45713.70909722222</v>
      </c>
      <c r="D75" s="3">
        <v>60.0</v>
      </c>
      <c r="E75" s="3">
        <v>55000.0</v>
      </c>
      <c r="F75" s="3" t="s">
        <v>3420</v>
      </c>
      <c r="G75" s="3">
        <v>12000.0</v>
      </c>
      <c r="H75" s="3">
        <v>55000.0</v>
      </c>
    </row>
    <row r="76" ht="15.75" customHeight="1">
      <c r="A76" s="3" t="s">
        <v>3421</v>
      </c>
      <c r="B76" s="3" t="s">
        <v>3422</v>
      </c>
      <c r="C76" s="24">
        <v>45713.71229166666</v>
      </c>
      <c r="D76" s="3">
        <v>59.0</v>
      </c>
      <c r="E76" s="3">
        <v>58200.0</v>
      </c>
      <c r="F76" s="3" t="s">
        <v>3420</v>
      </c>
      <c r="G76" s="3">
        <v>10000.0</v>
      </c>
      <c r="H76" s="3">
        <v>18000.0</v>
      </c>
    </row>
    <row r="77" ht="15.75" customHeight="1">
      <c r="A77" s="3" t="s">
        <v>3423</v>
      </c>
      <c r="B77" s="3" t="s">
        <v>3424</v>
      </c>
      <c r="C77" s="24">
        <v>45713.72038194445</v>
      </c>
      <c r="D77" s="3">
        <v>59.0</v>
      </c>
      <c r="E77" s="3">
        <v>58200.0</v>
      </c>
      <c r="F77" s="3" t="s">
        <v>3420</v>
      </c>
      <c r="G77" s="3">
        <v>18000.0</v>
      </c>
      <c r="H77" s="3">
        <v>25000.0</v>
      </c>
    </row>
    <row r="78" ht="15.75" customHeight="1">
      <c r="A78" s="3" t="s">
        <v>3425</v>
      </c>
      <c r="B78" s="3" t="s">
        <v>3426</v>
      </c>
      <c r="C78" s="24">
        <v>45713.72255787037</v>
      </c>
      <c r="D78" s="3">
        <v>59.0</v>
      </c>
      <c r="E78" s="3">
        <v>58200.0</v>
      </c>
      <c r="F78" s="3" t="s">
        <v>3420</v>
      </c>
      <c r="G78" s="3">
        <v>25000.0</v>
      </c>
      <c r="H78" s="3">
        <v>35000.0</v>
      </c>
    </row>
    <row r="79" ht="15.75" customHeight="1">
      <c r="A79" s="3" t="s">
        <v>3427</v>
      </c>
      <c r="B79" s="3" t="s">
        <v>3428</v>
      </c>
      <c r="C79" s="24">
        <v>45713.73851851852</v>
      </c>
      <c r="D79" s="3">
        <v>60.0</v>
      </c>
      <c r="E79" s="3">
        <v>55000.0</v>
      </c>
      <c r="F79" s="3" t="s">
        <v>3420</v>
      </c>
      <c r="G79" s="3">
        <v>20000.0</v>
      </c>
      <c r="H79" s="3">
        <v>25000.0</v>
      </c>
    </row>
    <row r="80" ht="15.75" customHeight="1">
      <c r="A80" s="3" t="s">
        <v>3429</v>
      </c>
      <c r="B80" s="3"/>
      <c r="C80" s="24">
        <v>45713.74109953704</v>
      </c>
      <c r="D80" s="3">
        <v>60.0</v>
      </c>
      <c r="E80" s="3">
        <v>55000.0</v>
      </c>
      <c r="F80" s="3" t="s">
        <v>3420</v>
      </c>
      <c r="G80" s="3">
        <v>25000.0</v>
      </c>
      <c r="H80" s="3">
        <v>28000.0</v>
      </c>
    </row>
    <row r="81" ht="15.75" customHeight="1">
      <c r="A81" s="3" t="s">
        <v>3430</v>
      </c>
      <c r="B81" s="3"/>
      <c r="C81" s="24">
        <v>45713.74857638889</v>
      </c>
      <c r="D81" s="3">
        <v>60.0</v>
      </c>
      <c r="E81" s="3">
        <v>55000.0</v>
      </c>
      <c r="F81" s="3" t="s">
        <v>3420</v>
      </c>
      <c r="G81" s="3">
        <v>28000.0</v>
      </c>
      <c r="H81" s="3">
        <v>29500.0</v>
      </c>
    </row>
    <row r="82" ht="15.75" customHeight="1">
      <c r="A82" s="3" t="s">
        <v>3431</v>
      </c>
      <c r="B82" s="3"/>
      <c r="C82" s="24">
        <v>45713.77365740741</v>
      </c>
      <c r="D82" s="3">
        <v>400.0</v>
      </c>
      <c r="E82" s="3">
        <v>200000.0</v>
      </c>
      <c r="F82" s="3" t="s">
        <v>3351</v>
      </c>
      <c r="G82" s="3">
        <v>0.0</v>
      </c>
      <c r="H82" s="3">
        <v>20000.0</v>
      </c>
    </row>
    <row r="83" ht="15.75" customHeight="1">
      <c r="A83" s="3" t="s">
        <v>3432</v>
      </c>
      <c r="B83" s="3"/>
      <c r="C83" s="24">
        <v>45713.778449074074</v>
      </c>
      <c r="D83" s="3">
        <v>51.0</v>
      </c>
      <c r="E83" s="3">
        <v>3900.0</v>
      </c>
      <c r="F83" s="3" t="s">
        <v>3433</v>
      </c>
      <c r="G83" s="3"/>
      <c r="H83" s="3">
        <v>2500.0</v>
      </c>
      <c r="K83" s="5" t="s">
        <v>3342</v>
      </c>
    </row>
    <row r="84" ht="15.75" customHeight="1">
      <c r="A84" s="3" t="s">
        <v>3434</v>
      </c>
      <c r="B84" s="3"/>
      <c r="C84" s="24">
        <v>45713.77918981481</v>
      </c>
      <c r="D84" s="3">
        <v>400.0</v>
      </c>
      <c r="E84" s="3">
        <v>200000.0</v>
      </c>
      <c r="F84" s="3" t="s">
        <v>3373</v>
      </c>
      <c r="G84" s="3">
        <v>20000.0</v>
      </c>
      <c r="H84" s="3">
        <v>30000.0</v>
      </c>
    </row>
    <row r="85" ht="15.75" customHeight="1">
      <c r="A85" s="3" t="s">
        <v>3435</v>
      </c>
      <c r="B85" s="3"/>
      <c r="C85" s="24">
        <v>45713.7941087963</v>
      </c>
      <c r="D85" s="3">
        <v>103.0</v>
      </c>
      <c r="E85" s="3">
        <v>31000.0</v>
      </c>
      <c r="F85" s="3" t="s">
        <v>3436</v>
      </c>
      <c r="G85" s="3">
        <v>15000.0</v>
      </c>
      <c r="H85" s="3">
        <v>30000.0</v>
      </c>
      <c r="K85" s="5" t="s">
        <v>3320</v>
      </c>
    </row>
    <row r="86" ht="15.75" customHeight="1">
      <c r="A86" s="3" t="s">
        <v>3437</v>
      </c>
      <c r="B86" s="3"/>
      <c r="C86" s="24">
        <v>45713.797430555554</v>
      </c>
      <c r="D86" s="3">
        <v>400.0</v>
      </c>
      <c r="E86" s="3">
        <v>200000.0</v>
      </c>
      <c r="F86" s="3" t="s">
        <v>3405</v>
      </c>
      <c r="G86" s="3">
        <v>30000.0</v>
      </c>
      <c r="H86" s="3">
        <v>46000.0</v>
      </c>
    </row>
    <row r="87" ht="15.75" customHeight="1">
      <c r="A87" s="3" t="s">
        <v>3438</v>
      </c>
      <c r="B87" s="3"/>
      <c r="C87" s="24">
        <v>45713.79871527778</v>
      </c>
      <c r="D87" s="3">
        <v>105.0</v>
      </c>
      <c r="E87" s="3">
        <v>31000.0</v>
      </c>
      <c r="F87" s="3" t="s">
        <v>3439</v>
      </c>
      <c r="G87" s="3">
        <v>14000.0</v>
      </c>
      <c r="H87" s="3">
        <v>30000.0</v>
      </c>
      <c r="K87" s="5" t="s">
        <v>3320</v>
      </c>
    </row>
    <row r="88" ht="15.75" customHeight="1">
      <c r="A88" s="3" t="s">
        <v>3440</v>
      </c>
      <c r="B88" s="3"/>
      <c r="C88" s="24">
        <v>45713.79902777778</v>
      </c>
      <c r="D88" s="3">
        <v>106.0</v>
      </c>
      <c r="E88" s="3">
        <v>11000.0</v>
      </c>
      <c r="F88" s="3" t="s">
        <v>3330</v>
      </c>
      <c r="G88" s="3">
        <v>0.0</v>
      </c>
      <c r="H88" s="3">
        <v>11000.0</v>
      </c>
      <c r="K88" s="5" t="s">
        <v>3320</v>
      </c>
    </row>
    <row r="89" ht="15.75" customHeight="1">
      <c r="A89" s="3" t="s">
        <v>3441</v>
      </c>
      <c r="B89" s="3"/>
      <c r="C89" s="24">
        <v>45713.80966435185</v>
      </c>
      <c r="D89" s="3">
        <v>92.0</v>
      </c>
      <c r="E89" s="3">
        <v>76000.0</v>
      </c>
      <c r="F89" s="3" t="s">
        <v>3442</v>
      </c>
      <c r="G89" s="3"/>
      <c r="H89" s="3">
        <v>35900.0</v>
      </c>
      <c r="J89" s="5" t="s">
        <v>3443</v>
      </c>
      <c r="K89" s="5" t="s">
        <v>3294</v>
      </c>
    </row>
    <row r="90" ht="15.75" customHeight="1">
      <c r="A90" s="3" t="s">
        <v>3444</v>
      </c>
      <c r="B90" s="3"/>
      <c r="C90" s="24">
        <v>45714.41136574074</v>
      </c>
      <c r="D90" s="3">
        <v>84.0</v>
      </c>
      <c r="E90" s="3">
        <v>83000.0</v>
      </c>
      <c r="F90" s="3" t="s">
        <v>3445</v>
      </c>
      <c r="G90" s="3">
        <v>3000.0</v>
      </c>
      <c r="H90" s="3">
        <v>39000.0</v>
      </c>
      <c r="K90" s="5" t="s">
        <v>3294</v>
      </c>
    </row>
    <row r="91" ht="15.75" customHeight="1">
      <c r="A91" s="3" t="s">
        <v>3446</v>
      </c>
      <c r="B91" s="3"/>
      <c r="C91" s="24">
        <v>45714.41189814815</v>
      </c>
      <c r="D91" s="3">
        <v>87.0</v>
      </c>
      <c r="E91" s="3">
        <v>93700.0</v>
      </c>
      <c r="F91" s="3" t="s">
        <v>3447</v>
      </c>
      <c r="G91" s="3">
        <v>16500.0</v>
      </c>
      <c r="H91" s="3">
        <v>38200.0</v>
      </c>
      <c r="J91" s="5" t="s">
        <v>3448</v>
      </c>
      <c r="K91" s="5" t="s">
        <v>3294</v>
      </c>
    </row>
    <row r="92" ht="15.75" customHeight="1">
      <c r="A92" s="3" t="s">
        <v>3449</v>
      </c>
      <c r="B92" s="3"/>
      <c r="C92" s="24">
        <v>45715.40993055556</v>
      </c>
      <c r="D92" s="3">
        <v>109.0</v>
      </c>
      <c r="E92" s="3">
        <v>15600.0</v>
      </c>
      <c r="F92" s="3" t="s">
        <v>3450</v>
      </c>
      <c r="G92" s="3">
        <v>0.0</v>
      </c>
      <c r="H92" s="3">
        <v>4000.0</v>
      </c>
    </row>
    <row r="93" ht="15.75" customHeight="1">
      <c r="A93" s="3" t="s">
        <v>3451</v>
      </c>
      <c r="B93" s="3"/>
      <c r="C93" s="24">
        <v>45715.41063657407</v>
      </c>
      <c r="D93" s="3">
        <v>109.0</v>
      </c>
      <c r="E93" s="3">
        <v>15600.0</v>
      </c>
      <c r="F93" s="3" t="s">
        <v>3452</v>
      </c>
      <c r="G93" s="3">
        <v>4000.0</v>
      </c>
      <c r="H93" s="3">
        <v>24000.0</v>
      </c>
      <c r="I93" s="5" t="s">
        <v>3453</v>
      </c>
      <c r="K93" s="5" t="s">
        <v>3320</v>
      </c>
    </row>
    <row r="94" ht="15.75" customHeight="1">
      <c r="A94" s="3" t="s">
        <v>3454</v>
      </c>
      <c r="B94" s="3"/>
      <c r="C94" s="24">
        <v>45715.41144675926</v>
      </c>
      <c r="D94" s="3">
        <v>110.0</v>
      </c>
      <c r="E94" s="3">
        <v>15600.0</v>
      </c>
      <c r="F94" s="3" t="s">
        <v>3452</v>
      </c>
      <c r="G94" s="3">
        <v>0.0</v>
      </c>
      <c r="H94" s="3">
        <v>3000.0</v>
      </c>
      <c r="K94" s="5" t="s">
        <v>3320</v>
      </c>
    </row>
    <row r="95" ht="15.75" customHeight="1">
      <c r="A95" s="3" t="s">
        <v>3455</v>
      </c>
      <c r="B95" s="3"/>
      <c r="C95" s="24">
        <v>45715.412465277775</v>
      </c>
      <c r="D95" s="3">
        <v>80.0</v>
      </c>
      <c r="E95" s="3">
        <v>26100.0</v>
      </c>
      <c r="F95" s="3" t="s">
        <v>3456</v>
      </c>
      <c r="G95" s="3">
        <v>3000.0</v>
      </c>
      <c r="H95" s="3">
        <v>13000.0</v>
      </c>
      <c r="I95" s="5"/>
      <c r="K95" s="5" t="s">
        <v>3457</v>
      </c>
    </row>
    <row r="96" ht="15.75" customHeight="1">
      <c r="A96" s="3" t="s">
        <v>3458</v>
      </c>
      <c r="B96" s="3"/>
      <c r="C96" s="24">
        <v>45715.41307870371</v>
      </c>
      <c r="D96" s="3">
        <v>85.0</v>
      </c>
      <c r="E96" s="3">
        <v>84000.0</v>
      </c>
      <c r="F96" s="3" t="s">
        <v>3456</v>
      </c>
      <c r="G96" s="3">
        <v>5000.0</v>
      </c>
      <c r="H96" s="3">
        <v>30800.0</v>
      </c>
      <c r="I96" s="5" t="s">
        <v>3459</v>
      </c>
      <c r="K96" s="5" t="s">
        <v>3294</v>
      </c>
    </row>
    <row r="97" ht="15.75" customHeight="1">
      <c r="A97" s="3" t="s">
        <v>3460</v>
      </c>
      <c r="B97" s="3"/>
      <c r="C97" s="24">
        <v>45715.766076388885</v>
      </c>
      <c r="D97" s="3">
        <v>110.0</v>
      </c>
      <c r="E97" s="3">
        <v>15600.0</v>
      </c>
      <c r="F97" s="3" t="s">
        <v>3452</v>
      </c>
      <c r="G97" s="3">
        <v>3000.0</v>
      </c>
      <c r="H97" s="3">
        <v>13000.0</v>
      </c>
      <c r="K97" s="5" t="s">
        <v>3320</v>
      </c>
    </row>
    <row r="98" ht="15.75" customHeight="1">
      <c r="A98" s="3" t="s">
        <v>3461</v>
      </c>
      <c r="B98" s="3"/>
      <c r="C98" s="24">
        <v>45715.79247685185</v>
      </c>
      <c r="D98" s="3">
        <v>88.0</v>
      </c>
      <c r="E98" s="3">
        <v>78900.0</v>
      </c>
      <c r="F98" s="3" t="s">
        <v>3272</v>
      </c>
      <c r="G98" s="3">
        <v>37400.0</v>
      </c>
      <c r="H98" s="3">
        <v>42100.0</v>
      </c>
      <c r="I98" s="5" t="s">
        <v>3462</v>
      </c>
      <c r="K98" s="5" t="s">
        <v>3294</v>
      </c>
    </row>
    <row r="99" ht="15.75" customHeight="1">
      <c r="A99" s="3" t="s">
        <v>3463</v>
      </c>
      <c r="B99" s="3"/>
      <c r="C99" s="24">
        <v>45715.84186342593</v>
      </c>
      <c r="D99" s="3">
        <v>83.0</v>
      </c>
      <c r="E99" s="3">
        <v>81500.0</v>
      </c>
      <c r="F99" s="3" t="s">
        <v>3272</v>
      </c>
      <c r="G99" s="3"/>
      <c r="H99" s="3">
        <v>45000.0</v>
      </c>
      <c r="J99" s="5" t="s">
        <v>3464</v>
      </c>
      <c r="K99" s="5" t="s">
        <v>3294</v>
      </c>
    </row>
    <row r="100" ht="15.75" customHeight="1">
      <c r="A100" s="3" t="s">
        <v>3465</v>
      </c>
      <c r="B100" s="3"/>
      <c r="C100" s="24">
        <v>45715.84341435185</v>
      </c>
      <c r="D100" s="3">
        <v>65.0</v>
      </c>
      <c r="E100" s="3">
        <v>35500.0</v>
      </c>
      <c r="F100" s="3" t="s">
        <v>3466</v>
      </c>
      <c r="G100" s="3"/>
      <c r="H100" s="3">
        <v>20500.0</v>
      </c>
      <c r="J100" s="5" t="s">
        <v>3467</v>
      </c>
      <c r="K100" s="5" t="s">
        <v>3294</v>
      </c>
    </row>
    <row r="101" ht="15.75" customHeight="1">
      <c r="A101" s="3" t="s">
        <v>3468</v>
      </c>
      <c r="B101" s="3"/>
      <c r="C101" s="24">
        <v>45716.83373842593</v>
      </c>
      <c r="D101" s="3">
        <v>68.0</v>
      </c>
      <c r="E101" s="3">
        <v>13000.0</v>
      </c>
      <c r="F101" s="3" t="s">
        <v>3272</v>
      </c>
      <c r="G101" s="3"/>
      <c r="H101" s="3">
        <v>7400.0</v>
      </c>
      <c r="I101" s="5" t="s">
        <v>3469</v>
      </c>
      <c r="J101" s="5">
        <v>5901.0</v>
      </c>
      <c r="K101" s="5" t="s">
        <v>3294</v>
      </c>
    </row>
    <row r="102" ht="15.75" customHeight="1">
      <c r="A102" s="3" t="s">
        <v>3470</v>
      </c>
      <c r="B102" s="3"/>
      <c r="C102" s="24">
        <v>45717.5168287037</v>
      </c>
      <c r="D102" s="3">
        <v>15.0</v>
      </c>
      <c r="E102" s="3">
        <v>36500.0</v>
      </c>
      <c r="F102" s="3" t="s">
        <v>3411</v>
      </c>
      <c r="G102" s="3">
        <v>0.0</v>
      </c>
      <c r="H102" s="3">
        <v>36500.0</v>
      </c>
      <c r="K102" s="5" t="s">
        <v>3320</v>
      </c>
    </row>
    <row r="103" ht="15.75" customHeight="1">
      <c r="A103" s="3" t="s">
        <v>3471</v>
      </c>
      <c r="B103" s="3"/>
      <c r="C103" s="24">
        <v>45717.52297453704</v>
      </c>
      <c r="D103" s="3">
        <v>34.0</v>
      </c>
      <c r="E103" s="3">
        <v>39500.0</v>
      </c>
      <c r="F103" s="3" t="s">
        <v>3411</v>
      </c>
      <c r="G103" s="3">
        <v>0.0</v>
      </c>
      <c r="H103" s="3">
        <v>5000.0</v>
      </c>
      <c r="K103" s="5" t="s">
        <v>3320</v>
      </c>
    </row>
    <row r="104" ht="15.75" customHeight="1">
      <c r="A104" s="3" t="s">
        <v>3472</v>
      </c>
      <c r="B104" s="3"/>
      <c r="C104" s="24">
        <v>45717.52390046296</v>
      </c>
      <c r="D104" s="3">
        <v>34.0</v>
      </c>
      <c r="E104" s="3">
        <v>39500.0</v>
      </c>
      <c r="F104" s="3" t="s">
        <v>3456</v>
      </c>
      <c r="G104" s="3">
        <v>5000.0</v>
      </c>
      <c r="H104" s="3">
        <v>30000.0</v>
      </c>
      <c r="K104" s="5" t="s">
        <v>3320</v>
      </c>
    </row>
    <row r="105" ht="15.75" customHeight="1">
      <c r="A105" s="3" t="s">
        <v>3473</v>
      </c>
      <c r="B105" s="3"/>
      <c r="C105" s="24">
        <v>45717.532002314816</v>
      </c>
      <c r="D105" s="3">
        <v>86.0</v>
      </c>
      <c r="E105" s="3">
        <v>88000.0</v>
      </c>
      <c r="F105" s="3" t="s">
        <v>3474</v>
      </c>
      <c r="G105" s="3">
        <v>6200.0</v>
      </c>
      <c r="H105" s="3">
        <v>48300.0</v>
      </c>
      <c r="K105" s="5" t="s">
        <v>3457</v>
      </c>
    </row>
    <row r="106" ht="15.75" customHeight="1">
      <c r="A106" s="3" t="s">
        <v>3475</v>
      </c>
      <c r="B106" s="3"/>
      <c r="C106" s="24">
        <v>45717.53256944445</v>
      </c>
      <c r="D106" s="3">
        <v>92.0</v>
      </c>
      <c r="E106" s="3">
        <v>76000.0</v>
      </c>
      <c r="F106" s="3" t="s">
        <v>3474</v>
      </c>
      <c r="G106" s="3">
        <v>35900.0</v>
      </c>
      <c r="H106" s="3">
        <v>71800.0</v>
      </c>
      <c r="K106" s="5" t="s">
        <v>3294</v>
      </c>
    </row>
    <row r="107" ht="15.75" customHeight="1">
      <c r="A107" s="3" t="s">
        <v>3476</v>
      </c>
      <c r="B107" s="3"/>
      <c r="C107" s="24">
        <v>45717.53538194444</v>
      </c>
      <c r="D107" s="3">
        <v>85.0</v>
      </c>
      <c r="E107" s="3">
        <v>84000.0</v>
      </c>
      <c r="F107" s="3" t="s">
        <v>3474</v>
      </c>
      <c r="G107" s="3">
        <v>5800.0</v>
      </c>
      <c r="H107" s="3">
        <v>41700.0</v>
      </c>
      <c r="I107" s="5" t="s">
        <v>3477</v>
      </c>
      <c r="K107" s="5" t="s">
        <v>3457</v>
      </c>
    </row>
    <row r="108" ht="15.75" customHeight="1">
      <c r="A108" s="3" t="s">
        <v>3478</v>
      </c>
      <c r="B108" s="3"/>
      <c r="C108" s="24">
        <v>45717.53696759259</v>
      </c>
      <c r="D108" s="3">
        <v>87.0</v>
      </c>
      <c r="E108" s="3">
        <v>93700.0</v>
      </c>
      <c r="F108" s="3" t="s">
        <v>3277</v>
      </c>
      <c r="G108" s="3">
        <v>38200.0</v>
      </c>
      <c r="H108" s="3">
        <v>44200.0</v>
      </c>
      <c r="I108" s="5" t="s">
        <v>3479</v>
      </c>
      <c r="K108" s="5" t="s">
        <v>3294</v>
      </c>
    </row>
    <row r="109" ht="15.75" customHeight="1">
      <c r="A109" s="3" t="s">
        <v>3480</v>
      </c>
      <c r="B109" s="3"/>
      <c r="C109" s="24">
        <v>45718.64760416667</v>
      </c>
      <c r="D109" s="3">
        <v>65.0</v>
      </c>
      <c r="E109" s="3">
        <v>35500.0</v>
      </c>
      <c r="F109" s="3" t="s">
        <v>3466</v>
      </c>
      <c r="G109" s="3">
        <v>20500.0</v>
      </c>
      <c r="H109" s="3">
        <v>24500.0</v>
      </c>
      <c r="I109" s="5" t="s">
        <v>3481</v>
      </c>
      <c r="K109" s="5" t="s">
        <v>3294</v>
      </c>
    </row>
    <row r="110" ht="15.75" customHeight="1">
      <c r="A110" s="3" t="s">
        <v>3482</v>
      </c>
      <c r="B110" s="3"/>
      <c r="C110" s="24">
        <v>45718.653182870374</v>
      </c>
      <c r="D110" s="3">
        <v>83.0</v>
      </c>
      <c r="E110" s="3">
        <v>81500.0</v>
      </c>
      <c r="F110" s="3" t="s">
        <v>3272</v>
      </c>
      <c r="G110" s="3">
        <v>45000.0</v>
      </c>
      <c r="H110" s="3">
        <v>53000.0</v>
      </c>
      <c r="K110" s="5" t="s">
        <v>3294</v>
      </c>
    </row>
    <row r="111" ht="15.75" customHeight="1">
      <c r="A111" s="3" t="s">
        <v>3483</v>
      </c>
      <c r="B111" s="3"/>
      <c r="C111" s="24">
        <v>45719.618680555555</v>
      </c>
      <c r="D111" s="3">
        <v>88.0</v>
      </c>
      <c r="E111" s="3">
        <v>78900.0</v>
      </c>
      <c r="F111" s="3" t="s">
        <v>3442</v>
      </c>
      <c r="G111" s="3"/>
      <c r="H111" s="3">
        <v>40000.0</v>
      </c>
      <c r="I111" s="5" t="s">
        <v>3484</v>
      </c>
      <c r="J111" s="5" t="s">
        <v>3485</v>
      </c>
      <c r="K111" s="5" t="s">
        <v>3294</v>
      </c>
    </row>
    <row r="112" ht="15.75" customHeight="1">
      <c r="A112" s="3" t="s">
        <v>56</v>
      </c>
      <c r="B112" s="3"/>
      <c r="C112" s="24">
        <v>45719.6280787037</v>
      </c>
      <c r="D112" s="3">
        <v>150.0</v>
      </c>
      <c r="E112" s="3">
        <v>200000.0</v>
      </c>
      <c r="F112" s="3" t="s">
        <v>3486</v>
      </c>
      <c r="G112" s="3"/>
      <c r="H112" s="3">
        <v>14501.0</v>
      </c>
      <c r="K112" s="5" t="s">
        <v>3342</v>
      </c>
    </row>
    <row r="113" ht="15.75" customHeight="1">
      <c r="A113" s="3" t="s">
        <v>3487</v>
      </c>
      <c r="B113" s="3"/>
      <c r="C113" s="24">
        <v>45719.69841435185</v>
      </c>
      <c r="D113" s="3">
        <v>84.0</v>
      </c>
      <c r="E113" s="3">
        <v>83000.0</v>
      </c>
      <c r="F113" s="3" t="s">
        <v>3445</v>
      </c>
      <c r="G113" s="3">
        <v>39000.0</v>
      </c>
      <c r="H113" s="3">
        <v>41000.0</v>
      </c>
      <c r="K113" s="5" t="s">
        <v>3457</v>
      </c>
    </row>
    <row r="114" ht="15.75" customHeight="1">
      <c r="A114" s="3" t="s">
        <v>3488</v>
      </c>
      <c r="B114" s="3"/>
      <c r="C114" s="24">
        <v>45719.86172453704</v>
      </c>
      <c r="D114" s="3">
        <v>66.0</v>
      </c>
      <c r="E114" s="3">
        <v>23000.0</v>
      </c>
      <c r="F114" s="3" t="s">
        <v>3466</v>
      </c>
      <c r="G114" s="3"/>
      <c r="H114" s="3">
        <v>15000.0</v>
      </c>
      <c r="I114" s="5" t="s">
        <v>3489</v>
      </c>
      <c r="J114" s="5" t="s">
        <v>3490</v>
      </c>
      <c r="K114" s="5" t="s">
        <v>3294</v>
      </c>
    </row>
    <row r="115" ht="15.75" customHeight="1">
      <c r="A115" s="3" t="s">
        <v>3491</v>
      </c>
      <c r="B115" s="3"/>
      <c r="C115" s="24">
        <v>45720.784363425926</v>
      </c>
      <c r="D115" s="3">
        <v>68.0</v>
      </c>
      <c r="E115" s="3">
        <v>13000.0</v>
      </c>
      <c r="F115" s="3" t="s">
        <v>3272</v>
      </c>
      <c r="G115" s="3">
        <v>8000.0</v>
      </c>
      <c r="H115" s="3">
        <v>10000.0</v>
      </c>
      <c r="K115" s="5" t="s">
        <v>3294</v>
      </c>
    </row>
    <row r="116" ht="15.75" customHeight="1">
      <c r="A116" s="3" t="s">
        <v>3492</v>
      </c>
      <c r="B116" s="3"/>
      <c r="C116" s="24">
        <v>45720.80763888889</v>
      </c>
      <c r="D116" s="3">
        <v>89.0</v>
      </c>
      <c r="E116" s="3">
        <v>83500.0</v>
      </c>
      <c r="F116" s="3" t="s">
        <v>3272</v>
      </c>
      <c r="G116" s="3"/>
      <c r="H116" s="3">
        <v>39000.0</v>
      </c>
      <c r="J116" s="5" t="s">
        <v>3493</v>
      </c>
      <c r="K116" s="5" t="s">
        <v>3294</v>
      </c>
    </row>
    <row r="117" ht="15.75" customHeight="1">
      <c r="A117" s="3" t="s">
        <v>3494</v>
      </c>
      <c r="B117" s="3"/>
      <c r="C117" s="24">
        <v>45721.49901620371</v>
      </c>
      <c r="D117" s="3">
        <v>121.0</v>
      </c>
      <c r="E117" s="3">
        <v>85800.0</v>
      </c>
      <c r="F117" s="3" t="s">
        <v>3474</v>
      </c>
      <c r="G117" s="3">
        <v>0.0</v>
      </c>
      <c r="H117" s="3">
        <v>48300.0</v>
      </c>
      <c r="K117" s="5" t="s">
        <v>3457</v>
      </c>
    </row>
    <row r="118" ht="15.75" customHeight="1">
      <c r="A118" s="3" t="s">
        <v>3495</v>
      </c>
      <c r="B118" s="3"/>
      <c r="C118" s="24">
        <v>45721.50001157408</v>
      </c>
      <c r="D118" s="3">
        <v>500.0</v>
      </c>
      <c r="E118" s="3">
        <v>200000.0</v>
      </c>
      <c r="F118" s="3" t="s">
        <v>3452</v>
      </c>
      <c r="G118" s="3">
        <v>0.0</v>
      </c>
      <c r="H118" s="3">
        <v>5000.0</v>
      </c>
      <c r="K118" s="5" t="s">
        <v>3320</v>
      </c>
    </row>
    <row r="119" ht="15.75" customHeight="1">
      <c r="A119" s="3" t="s">
        <v>3496</v>
      </c>
      <c r="B119" s="3"/>
      <c r="C119" s="24">
        <v>45721.50319444444</v>
      </c>
      <c r="D119" s="3">
        <v>34.0</v>
      </c>
      <c r="E119" s="3">
        <v>39500.0</v>
      </c>
      <c r="F119" s="3" t="s">
        <v>3456</v>
      </c>
      <c r="G119" s="3">
        <v>30000.0</v>
      </c>
      <c r="H119" s="3">
        <v>39500.0</v>
      </c>
      <c r="I119" s="5" t="s">
        <v>3497</v>
      </c>
      <c r="K119" s="5" t="s">
        <v>3320</v>
      </c>
    </row>
    <row r="120" ht="15.75" customHeight="1">
      <c r="A120" s="3" t="s">
        <v>3498</v>
      </c>
      <c r="B120" s="3"/>
      <c r="C120" s="24">
        <v>45721.50943287037</v>
      </c>
      <c r="D120" s="3">
        <v>110.0</v>
      </c>
      <c r="E120" s="3">
        <v>15600.0</v>
      </c>
      <c r="F120" s="3" t="s">
        <v>3499</v>
      </c>
      <c r="G120" s="3">
        <v>8000.0</v>
      </c>
      <c r="H120" s="3">
        <v>14000.0</v>
      </c>
      <c r="K120" s="5" t="s">
        <v>3320</v>
      </c>
    </row>
    <row r="121" ht="15.75" customHeight="1">
      <c r="A121" s="3" t="s">
        <v>3500</v>
      </c>
      <c r="B121" s="3"/>
      <c r="C121" s="24">
        <v>45721.51</v>
      </c>
      <c r="D121" s="3">
        <v>121.0</v>
      </c>
      <c r="E121" s="3">
        <v>85800.0</v>
      </c>
      <c r="F121" s="3" t="s">
        <v>3474</v>
      </c>
      <c r="G121" s="3">
        <v>48300.0</v>
      </c>
      <c r="H121" s="3">
        <v>85800.0</v>
      </c>
      <c r="I121" s="5" t="s">
        <v>3501</v>
      </c>
      <c r="K121" s="5" t="s">
        <v>3320</v>
      </c>
    </row>
    <row r="122" ht="15.75" customHeight="1">
      <c r="A122" s="3" t="s">
        <v>3502</v>
      </c>
      <c r="B122" s="3"/>
      <c r="C122" s="24">
        <v>45721.51232638889</v>
      </c>
      <c r="D122" s="3">
        <v>87.0</v>
      </c>
      <c r="E122" s="3">
        <v>93700.0</v>
      </c>
      <c r="F122" s="3" t="s">
        <v>3277</v>
      </c>
      <c r="G122" s="3">
        <v>44200.0</v>
      </c>
      <c r="H122" s="3">
        <v>47200.0</v>
      </c>
      <c r="K122" s="5" t="s">
        <v>3342</v>
      </c>
    </row>
    <row r="123" ht="15.75" customHeight="1">
      <c r="A123" s="3" t="s">
        <v>3503</v>
      </c>
      <c r="B123" s="3"/>
      <c r="C123" s="24">
        <v>45721.51519675926</v>
      </c>
      <c r="D123" s="3">
        <v>77.0</v>
      </c>
      <c r="E123" s="3">
        <v>26000.0</v>
      </c>
      <c r="F123" s="3" t="s">
        <v>3293</v>
      </c>
      <c r="G123" s="3">
        <v>25000.0</v>
      </c>
      <c r="H123" s="3">
        <v>26000.0</v>
      </c>
      <c r="K123" s="5" t="s">
        <v>3294</v>
      </c>
    </row>
    <row r="124" ht="15.75" customHeight="1">
      <c r="A124" s="3" t="s">
        <v>3504</v>
      </c>
      <c r="B124" s="3"/>
      <c r="C124" s="24">
        <v>45721.51552083333</v>
      </c>
      <c r="D124" s="3">
        <v>78.0</v>
      </c>
      <c r="E124" s="3">
        <v>25800.0</v>
      </c>
      <c r="F124" s="3" t="s">
        <v>3293</v>
      </c>
      <c r="G124" s="3">
        <v>24000.0</v>
      </c>
      <c r="H124" s="3">
        <v>25800.0</v>
      </c>
      <c r="K124" s="5" t="s">
        <v>3294</v>
      </c>
    </row>
    <row r="125" ht="15.75" customHeight="1">
      <c r="A125" s="3" t="s">
        <v>3505</v>
      </c>
      <c r="B125" s="3"/>
      <c r="C125" s="24">
        <v>45721.52001157407</v>
      </c>
      <c r="D125" s="3">
        <v>79.0</v>
      </c>
      <c r="E125" s="3">
        <v>26000.0</v>
      </c>
      <c r="F125" s="3" t="s">
        <v>3293</v>
      </c>
      <c r="G125" s="3">
        <v>24000.0</v>
      </c>
      <c r="H125" s="3">
        <v>26000.0</v>
      </c>
      <c r="K125" s="5" t="s">
        <v>3294</v>
      </c>
    </row>
    <row r="126" ht="15.75" customHeight="1">
      <c r="A126" s="3" t="s">
        <v>3506</v>
      </c>
      <c r="B126" s="3"/>
      <c r="C126" s="24">
        <v>45721.520578703705</v>
      </c>
      <c r="D126" s="3">
        <v>81.0</v>
      </c>
      <c r="E126" s="3">
        <v>26500.0</v>
      </c>
      <c r="F126" s="3" t="s">
        <v>3293</v>
      </c>
      <c r="G126" s="3">
        <v>24000.0</v>
      </c>
      <c r="H126" s="3">
        <v>26500.0</v>
      </c>
      <c r="I126" s="5" t="s">
        <v>3507</v>
      </c>
      <c r="K126" s="5" t="s">
        <v>3294</v>
      </c>
    </row>
    <row r="127" ht="15.75" customHeight="1">
      <c r="A127" s="3" t="s">
        <v>11</v>
      </c>
      <c r="B127" s="3"/>
      <c r="C127" s="24">
        <v>45721.52107638889</v>
      </c>
      <c r="D127" s="3">
        <v>10.0</v>
      </c>
      <c r="E127" s="3">
        <v>21000.0</v>
      </c>
      <c r="F127" s="3" t="s">
        <v>3293</v>
      </c>
      <c r="G127" s="3">
        <v>0.0</v>
      </c>
      <c r="H127" s="3">
        <v>21000.0</v>
      </c>
      <c r="K127" s="5" t="s">
        <v>3320</v>
      </c>
      <c r="L127" s="6" t="s">
        <v>3248</v>
      </c>
      <c r="M127" s="5" t="s">
        <v>3394</v>
      </c>
    </row>
    <row r="128" ht="15.75" customHeight="1">
      <c r="A128" s="3" t="s">
        <v>3508</v>
      </c>
      <c r="B128" s="3"/>
      <c r="C128" s="24">
        <v>45722.36493055556</v>
      </c>
      <c r="D128" s="3">
        <v>92.0</v>
      </c>
      <c r="E128" s="3">
        <v>76000.0</v>
      </c>
      <c r="F128" s="3" t="s">
        <v>3380</v>
      </c>
      <c r="G128" s="3"/>
      <c r="H128" s="3">
        <v>40700.0</v>
      </c>
      <c r="I128" s="5" t="s">
        <v>3509</v>
      </c>
      <c r="J128" s="5" t="s">
        <v>3510</v>
      </c>
      <c r="K128" s="5" t="s">
        <v>3294</v>
      </c>
    </row>
    <row r="129" ht="15.75" customHeight="1">
      <c r="A129" s="3" t="s">
        <v>3511</v>
      </c>
      <c r="B129" s="3"/>
      <c r="C129" s="24">
        <v>45722.38070601852</v>
      </c>
      <c r="D129" s="3">
        <v>69.0</v>
      </c>
      <c r="E129" s="3">
        <v>13000.0</v>
      </c>
      <c r="F129" s="3" t="s">
        <v>3275</v>
      </c>
      <c r="G129" s="3"/>
      <c r="H129" s="3">
        <v>9100.0</v>
      </c>
      <c r="I129" s="5" t="s">
        <v>3512</v>
      </c>
      <c r="J129" s="5">
        <v>5918.0</v>
      </c>
      <c r="K129" s="5" t="s">
        <v>3294</v>
      </c>
    </row>
    <row r="130" ht="15.75" customHeight="1">
      <c r="A130" s="3" t="s">
        <v>3513</v>
      </c>
      <c r="B130" s="3"/>
      <c r="C130" s="24">
        <v>45722.4002662037</v>
      </c>
      <c r="D130" s="3">
        <v>89.0</v>
      </c>
      <c r="E130" s="3">
        <v>83500.0</v>
      </c>
      <c r="F130" s="3" t="s">
        <v>3272</v>
      </c>
      <c r="G130" s="3">
        <v>39000.0</v>
      </c>
      <c r="H130" s="3">
        <v>40500.0</v>
      </c>
      <c r="K130" s="5" t="s">
        <v>3294</v>
      </c>
    </row>
    <row r="131" ht="15.75" customHeight="1">
      <c r="A131" s="3" t="s">
        <v>3514</v>
      </c>
      <c r="B131" s="3"/>
      <c r="C131" s="24">
        <v>45722.40542824074</v>
      </c>
      <c r="D131" s="3">
        <v>110.0</v>
      </c>
      <c r="E131" s="3">
        <v>15600.0</v>
      </c>
      <c r="F131" s="3" t="s">
        <v>3456</v>
      </c>
      <c r="G131" s="3">
        <v>14000.0</v>
      </c>
      <c r="H131" s="3">
        <v>15600.0</v>
      </c>
      <c r="K131" s="5" t="s">
        <v>3320</v>
      </c>
    </row>
    <row r="132" ht="15.75" customHeight="1">
      <c r="A132" s="3" t="s">
        <v>3515</v>
      </c>
      <c r="B132" s="3"/>
      <c r="C132" s="24">
        <v>45722.40652777778</v>
      </c>
      <c r="D132" s="3">
        <v>11.0</v>
      </c>
      <c r="E132" s="3">
        <v>36000.0</v>
      </c>
      <c r="F132" s="3" t="s">
        <v>3456</v>
      </c>
      <c r="G132" s="3">
        <v>0.0</v>
      </c>
      <c r="H132" s="3">
        <v>11000.0</v>
      </c>
      <c r="K132" s="5" t="s">
        <v>3457</v>
      </c>
    </row>
    <row r="133" ht="15.75" customHeight="1">
      <c r="A133" s="3" t="s">
        <v>3516</v>
      </c>
      <c r="B133" s="3"/>
      <c r="C133" s="24">
        <v>45722.407789351855</v>
      </c>
      <c r="D133" s="3">
        <v>11.0</v>
      </c>
      <c r="E133" s="3">
        <v>36000.0</v>
      </c>
      <c r="F133" s="3" t="s">
        <v>3445</v>
      </c>
      <c r="G133" s="3">
        <v>11000.0</v>
      </c>
      <c r="H133" s="3">
        <v>36000.0</v>
      </c>
      <c r="I133" s="5" t="s">
        <v>3497</v>
      </c>
      <c r="K133" s="5" t="s">
        <v>3320</v>
      </c>
    </row>
    <row r="134" ht="15.75" customHeight="1">
      <c r="A134" s="3" t="s">
        <v>3517</v>
      </c>
      <c r="B134" s="3"/>
      <c r="C134" s="24">
        <v>45722.41438657408</v>
      </c>
      <c r="D134" s="3">
        <v>14.0</v>
      </c>
      <c r="E134" s="3">
        <v>37000.0</v>
      </c>
      <c r="F134" s="3" t="s">
        <v>3445</v>
      </c>
      <c r="G134" s="3">
        <v>0.0</v>
      </c>
      <c r="H134" s="3">
        <v>37000.0</v>
      </c>
      <c r="I134" s="5" t="s">
        <v>3497</v>
      </c>
      <c r="K134" s="5" t="s">
        <v>3320</v>
      </c>
    </row>
    <row r="135" ht="15.75" customHeight="1">
      <c r="A135" s="3" t="s">
        <v>3518</v>
      </c>
      <c r="B135" s="3"/>
      <c r="C135" s="24">
        <v>45722.415289351855</v>
      </c>
      <c r="D135" s="3">
        <v>53.0</v>
      </c>
      <c r="E135" s="3">
        <v>22000.0</v>
      </c>
      <c r="F135" s="3" t="s">
        <v>3519</v>
      </c>
      <c r="G135" s="3">
        <v>0.0</v>
      </c>
      <c r="H135" s="3">
        <v>10000.0</v>
      </c>
      <c r="I135" s="5" t="s">
        <v>3520</v>
      </c>
      <c r="K135" s="5" t="s">
        <v>3320</v>
      </c>
    </row>
    <row r="136" ht="15.75" customHeight="1">
      <c r="A136" s="3" t="s">
        <v>3521</v>
      </c>
      <c r="B136" s="3"/>
      <c r="C136" s="24">
        <v>45722.419594907406</v>
      </c>
      <c r="D136" s="3">
        <v>88.0</v>
      </c>
      <c r="E136" s="3">
        <v>78900.0</v>
      </c>
      <c r="F136" s="3" t="s">
        <v>3442</v>
      </c>
      <c r="G136" s="3">
        <v>40000.0</v>
      </c>
      <c r="H136" s="3">
        <v>49500.0</v>
      </c>
      <c r="I136" s="5" t="s">
        <v>3522</v>
      </c>
      <c r="K136" s="5" t="s">
        <v>3294</v>
      </c>
    </row>
    <row r="137" ht="15.75" customHeight="1">
      <c r="A137" s="3" t="s">
        <v>3523</v>
      </c>
      <c r="B137" s="3"/>
      <c r="C137" s="24">
        <v>45722.42212962963</v>
      </c>
      <c r="D137" s="3">
        <v>24.0</v>
      </c>
      <c r="E137" s="3">
        <v>186600.0</v>
      </c>
      <c r="F137" s="3" t="s">
        <v>3524</v>
      </c>
      <c r="G137" s="3">
        <v>0.0</v>
      </c>
      <c r="H137" s="3">
        <v>59700.0</v>
      </c>
      <c r="K137" s="5" t="s">
        <v>3342</v>
      </c>
    </row>
    <row r="138" ht="15.75" customHeight="1">
      <c r="A138" s="3" t="s">
        <v>3525</v>
      </c>
      <c r="B138" s="3"/>
      <c r="C138" s="24">
        <v>45722.424155092594</v>
      </c>
      <c r="D138" s="3">
        <v>25.0</v>
      </c>
      <c r="E138" s="3">
        <v>194300.0</v>
      </c>
      <c r="F138" s="3" t="s">
        <v>3524</v>
      </c>
      <c r="G138" s="3">
        <v>0.0</v>
      </c>
      <c r="H138" s="3">
        <v>62100.0</v>
      </c>
      <c r="K138" s="5" t="s">
        <v>3342</v>
      </c>
    </row>
    <row r="139" ht="15.75" customHeight="1">
      <c r="A139" s="3" t="s">
        <v>3526</v>
      </c>
      <c r="B139" s="3"/>
      <c r="C139" s="24">
        <v>45722.42450231482</v>
      </c>
      <c r="D139" s="3">
        <v>95.0</v>
      </c>
      <c r="E139" s="3">
        <v>77100.0</v>
      </c>
      <c r="F139" s="3" t="s">
        <v>3524</v>
      </c>
      <c r="G139" s="3">
        <v>0.0</v>
      </c>
      <c r="H139" s="3">
        <v>24600.0</v>
      </c>
      <c r="K139" s="5" t="s">
        <v>3342</v>
      </c>
    </row>
    <row r="140" ht="15.75" customHeight="1">
      <c r="A140" s="3" t="s">
        <v>3527</v>
      </c>
      <c r="B140" s="3"/>
      <c r="C140" s="24">
        <v>45722.42476851852</v>
      </c>
      <c r="D140" s="3">
        <v>96.0</v>
      </c>
      <c r="E140" s="3">
        <v>85600.0</v>
      </c>
      <c r="F140" s="3" t="s">
        <v>3524</v>
      </c>
      <c r="G140" s="3">
        <v>0.0</v>
      </c>
      <c r="H140" s="3">
        <v>9200.0</v>
      </c>
      <c r="K140" s="5" t="s">
        <v>3342</v>
      </c>
    </row>
    <row r="141" ht="15.75" customHeight="1">
      <c r="A141" s="3" t="s">
        <v>3528</v>
      </c>
      <c r="B141" s="3"/>
      <c r="C141" s="24">
        <v>45722.75247685185</v>
      </c>
      <c r="D141" s="3">
        <v>84.0</v>
      </c>
      <c r="E141" s="3">
        <v>83000.0</v>
      </c>
      <c r="F141" s="3" t="s">
        <v>3272</v>
      </c>
      <c r="G141" s="3"/>
      <c r="H141" s="3">
        <v>44000.0</v>
      </c>
      <c r="J141" s="5" t="s">
        <v>3529</v>
      </c>
      <c r="K141" s="5" t="s">
        <v>3294</v>
      </c>
    </row>
    <row r="142" ht="15.75" customHeight="1">
      <c r="A142" s="3" t="s">
        <v>3530</v>
      </c>
      <c r="B142" s="3"/>
      <c r="C142" s="24">
        <v>45722.753125</v>
      </c>
      <c r="D142" s="3">
        <v>82.0</v>
      </c>
      <c r="E142" s="3">
        <v>42600.0</v>
      </c>
      <c r="F142" s="3" t="s">
        <v>3466</v>
      </c>
      <c r="G142" s="3"/>
      <c r="H142" s="3">
        <v>15000.0</v>
      </c>
      <c r="I142" s="5" t="s">
        <v>3531</v>
      </c>
      <c r="J142" s="5" t="s">
        <v>3532</v>
      </c>
      <c r="K142" s="5" t="s">
        <v>3294</v>
      </c>
    </row>
    <row r="143" ht="15.75" customHeight="1">
      <c r="A143" s="3" t="s">
        <v>3533</v>
      </c>
      <c r="B143" s="3"/>
      <c r="C143" s="24">
        <v>45722.76074074074</v>
      </c>
      <c r="D143" s="3">
        <v>89.0</v>
      </c>
      <c r="E143" s="3">
        <v>83500.0</v>
      </c>
      <c r="F143" s="3" t="s">
        <v>3272</v>
      </c>
      <c r="G143" s="3">
        <v>40500.0</v>
      </c>
      <c r="H143" s="3">
        <v>48500.0</v>
      </c>
      <c r="I143" s="5" t="s">
        <v>3534</v>
      </c>
      <c r="K143" s="5" t="s">
        <v>3294</v>
      </c>
    </row>
    <row r="144" ht="15.75" customHeight="1">
      <c r="A144" s="3" t="s">
        <v>3535</v>
      </c>
      <c r="B144" s="3"/>
      <c r="C144" s="24">
        <v>45722.77636574074</v>
      </c>
      <c r="D144" s="3">
        <v>931.0</v>
      </c>
      <c r="E144" s="3">
        <v>11200.0</v>
      </c>
      <c r="F144" s="3" t="s">
        <v>3368</v>
      </c>
      <c r="G144" s="3">
        <v>0.0</v>
      </c>
      <c r="H144" s="3">
        <v>11200.0</v>
      </c>
      <c r="K144" s="5" t="s">
        <v>3342</v>
      </c>
    </row>
    <row r="145" ht="15.75" customHeight="1">
      <c r="A145" s="3" t="s">
        <v>3536</v>
      </c>
      <c r="B145" s="3"/>
      <c r="C145" s="24">
        <v>45722.77690972222</v>
      </c>
      <c r="D145" s="3">
        <v>24.0</v>
      </c>
      <c r="E145" s="3">
        <v>186600.0</v>
      </c>
      <c r="F145" s="3" t="s">
        <v>3524</v>
      </c>
      <c r="G145" s="3">
        <v>59700.0</v>
      </c>
      <c r="H145" s="3">
        <v>100700.0</v>
      </c>
      <c r="K145" s="5" t="s">
        <v>3342</v>
      </c>
    </row>
    <row r="146" ht="15.75" customHeight="1">
      <c r="A146" s="3" t="s">
        <v>3537</v>
      </c>
      <c r="B146" s="3"/>
      <c r="C146" s="24">
        <v>45722.77819444444</v>
      </c>
      <c r="D146" s="3">
        <v>25.0</v>
      </c>
      <c r="E146" s="3">
        <v>194300.0</v>
      </c>
      <c r="F146" s="3" t="s">
        <v>3524</v>
      </c>
      <c r="G146" s="3">
        <v>62100.0</v>
      </c>
      <c r="H146" s="3">
        <v>104800.0</v>
      </c>
      <c r="K146" s="5" t="s">
        <v>3342</v>
      </c>
    </row>
    <row r="147" ht="15.75" customHeight="1">
      <c r="A147" s="3" t="s">
        <v>3538</v>
      </c>
      <c r="B147" s="3"/>
      <c r="C147" s="24">
        <v>45722.778645833336</v>
      </c>
      <c r="D147" s="3">
        <v>95.0</v>
      </c>
      <c r="E147" s="3">
        <v>77100.0</v>
      </c>
      <c r="F147" s="3" t="s">
        <v>3524</v>
      </c>
      <c r="G147" s="3">
        <v>24600.0</v>
      </c>
      <c r="H147" s="3">
        <v>41600.0</v>
      </c>
      <c r="K147" s="5" t="s">
        <v>3342</v>
      </c>
    </row>
    <row r="148" ht="15.75" customHeight="1">
      <c r="A148" s="3" t="s">
        <v>3539</v>
      </c>
      <c r="B148" s="3"/>
      <c r="C148" s="24">
        <v>45722.78658564815</v>
      </c>
      <c r="D148" s="3">
        <v>96.0</v>
      </c>
      <c r="E148" s="3">
        <v>85600.0</v>
      </c>
      <c r="F148" s="3" t="s">
        <v>3524</v>
      </c>
      <c r="G148" s="3">
        <v>9200.0</v>
      </c>
      <c r="H148" s="3">
        <v>22600.0</v>
      </c>
      <c r="K148" s="5" t="s">
        <v>3342</v>
      </c>
    </row>
    <row r="149" ht="15.75" customHeight="1">
      <c r="A149" s="3" t="s">
        <v>3540</v>
      </c>
      <c r="B149" s="3"/>
      <c r="C149" s="24">
        <v>45723.448159722226</v>
      </c>
      <c r="D149" s="3">
        <v>68.0</v>
      </c>
      <c r="E149" s="3">
        <v>13000.0</v>
      </c>
      <c r="F149" s="3" t="s">
        <v>3272</v>
      </c>
      <c r="G149" s="3">
        <v>10000.0</v>
      </c>
      <c r="H149" s="3">
        <v>8000.0</v>
      </c>
      <c r="I149" s="6" t="s">
        <v>3541</v>
      </c>
      <c r="K149" s="5" t="s">
        <v>3294</v>
      </c>
    </row>
    <row r="150" ht="15.75" customHeight="1">
      <c r="A150" s="3" t="s">
        <v>3542</v>
      </c>
      <c r="B150" s="3"/>
      <c r="C150" s="24">
        <v>45723.758206018516</v>
      </c>
      <c r="D150" s="3">
        <v>69.0</v>
      </c>
      <c r="E150" s="3">
        <v>13000.0</v>
      </c>
      <c r="F150" s="3" t="s">
        <v>3275</v>
      </c>
      <c r="G150" s="3">
        <v>7600.0</v>
      </c>
      <c r="H150" s="3">
        <v>8000.0</v>
      </c>
      <c r="I150" s="5" t="s">
        <v>3543</v>
      </c>
      <c r="K150" s="5" t="s">
        <v>3294</v>
      </c>
    </row>
    <row r="151" ht="15.75" customHeight="1">
      <c r="A151" s="3" t="s">
        <v>3544</v>
      </c>
      <c r="B151" s="3"/>
      <c r="C151" s="24">
        <v>45723.75971064815</v>
      </c>
      <c r="D151" s="3">
        <v>92.0</v>
      </c>
      <c r="E151" s="3">
        <v>76000.0</v>
      </c>
      <c r="F151" s="3" t="s">
        <v>3380</v>
      </c>
      <c r="G151" s="3">
        <v>40700.0</v>
      </c>
      <c r="H151" s="3">
        <v>44700.0</v>
      </c>
      <c r="K151" s="5" t="s">
        <v>3294</v>
      </c>
    </row>
    <row r="152" ht="15.75" customHeight="1">
      <c r="A152" s="3" t="s">
        <v>3545</v>
      </c>
      <c r="B152" s="3"/>
      <c r="C152" s="24">
        <v>45723.760347222225</v>
      </c>
      <c r="D152" s="3">
        <v>66.0</v>
      </c>
      <c r="E152" s="3">
        <v>23000.0</v>
      </c>
      <c r="F152" s="3" t="s">
        <v>3466</v>
      </c>
      <c r="G152" s="3">
        <v>15000.0</v>
      </c>
      <c r="H152" s="3">
        <v>17000.0</v>
      </c>
      <c r="K152" s="5" t="s">
        <v>3294</v>
      </c>
    </row>
    <row r="153" ht="15.75" customHeight="1">
      <c r="A153" s="3" t="s">
        <v>3546</v>
      </c>
      <c r="B153" s="3"/>
      <c r="C153" s="24">
        <v>45723.771574074075</v>
      </c>
      <c r="D153" s="3">
        <v>24.0</v>
      </c>
      <c r="E153" s="3">
        <v>186600.0</v>
      </c>
      <c r="F153" s="3" t="s">
        <v>3524</v>
      </c>
      <c r="G153" s="3">
        <v>100700.0</v>
      </c>
      <c r="H153" s="3">
        <v>115700.0</v>
      </c>
      <c r="K153" s="5" t="s">
        <v>3342</v>
      </c>
    </row>
    <row r="154" ht="15.75" customHeight="1">
      <c r="A154" s="3" t="s">
        <v>3547</v>
      </c>
      <c r="B154" s="3"/>
      <c r="C154" s="24">
        <v>45723.7733912037</v>
      </c>
      <c r="D154" s="3">
        <v>25.0</v>
      </c>
      <c r="E154" s="3">
        <v>194300.0</v>
      </c>
      <c r="F154" s="3" t="s">
        <v>3524</v>
      </c>
      <c r="G154" s="3">
        <v>104800.0</v>
      </c>
      <c r="H154" s="3">
        <v>120300.0</v>
      </c>
      <c r="K154" s="5" t="s">
        <v>3342</v>
      </c>
    </row>
    <row r="155" ht="15.75" customHeight="1">
      <c r="A155" s="3" t="s">
        <v>3548</v>
      </c>
      <c r="B155" s="3"/>
      <c r="C155" s="24">
        <v>45723.773668981485</v>
      </c>
      <c r="D155" s="3">
        <v>95.0</v>
      </c>
      <c r="E155" s="3">
        <v>77100.0</v>
      </c>
      <c r="F155" s="3" t="s">
        <v>3524</v>
      </c>
      <c r="G155" s="3">
        <v>41600.0</v>
      </c>
      <c r="H155" s="3">
        <v>47800.0</v>
      </c>
      <c r="K155" s="5" t="s">
        <v>3342</v>
      </c>
    </row>
    <row r="156" ht="15.75" customHeight="1">
      <c r="A156" s="3" t="s">
        <v>3549</v>
      </c>
      <c r="B156" s="3"/>
      <c r="C156" s="24">
        <v>45723.77385416667</v>
      </c>
      <c r="D156" s="3">
        <v>96.0</v>
      </c>
      <c r="E156" s="3">
        <v>85600.0</v>
      </c>
      <c r="F156" s="3" t="s">
        <v>3524</v>
      </c>
      <c r="G156" s="3">
        <v>22600.0</v>
      </c>
      <c r="H156" s="3">
        <v>25200.0</v>
      </c>
      <c r="K156" s="5" t="s">
        <v>3342</v>
      </c>
    </row>
    <row r="157" ht="15.75" customHeight="1">
      <c r="A157" s="3" t="s">
        <v>3550</v>
      </c>
      <c r="B157" s="3"/>
      <c r="C157" s="24">
        <v>45723.793587962966</v>
      </c>
      <c r="D157" s="3">
        <v>95.0</v>
      </c>
      <c r="E157" s="3">
        <v>77100.0</v>
      </c>
      <c r="F157" s="3" t="s">
        <v>3524</v>
      </c>
      <c r="G157" s="3">
        <v>47800.0</v>
      </c>
      <c r="H157" s="3">
        <v>50500.0</v>
      </c>
      <c r="K157" s="5" t="s">
        <v>3342</v>
      </c>
    </row>
    <row r="158" ht="15.75" customHeight="1">
      <c r="A158" s="3" t="s">
        <v>3551</v>
      </c>
      <c r="B158" s="3"/>
      <c r="C158" s="24">
        <v>45723.794386574074</v>
      </c>
      <c r="D158" s="3">
        <v>96.0</v>
      </c>
      <c r="E158" s="3">
        <v>85600.0</v>
      </c>
      <c r="F158" s="3" t="s">
        <v>3524</v>
      </c>
      <c r="G158" s="3">
        <v>25200.0</v>
      </c>
      <c r="H158" s="3">
        <v>26300.0</v>
      </c>
      <c r="K158" s="5" t="s">
        <v>3342</v>
      </c>
    </row>
    <row r="159" ht="15.75" customHeight="1">
      <c r="A159" s="3" t="s">
        <v>3552</v>
      </c>
      <c r="B159" s="3"/>
      <c r="C159" s="24">
        <v>45723.796643518515</v>
      </c>
      <c r="D159" s="3">
        <v>24.0</v>
      </c>
      <c r="E159" s="3">
        <v>186600.0</v>
      </c>
      <c r="F159" s="3" t="s">
        <v>3524</v>
      </c>
      <c r="G159" s="3">
        <v>115700.0</v>
      </c>
      <c r="H159" s="3">
        <v>122200.0</v>
      </c>
      <c r="K159" s="5" t="s">
        <v>3342</v>
      </c>
    </row>
    <row r="160" ht="15.75" customHeight="1">
      <c r="A160" s="3" t="s">
        <v>3553</v>
      </c>
      <c r="B160" s="3"/>
      <c r="C160" s="24">
        <v>45723.79715277778</v>
      </c>
      <c r="D160" s="3">
        <v>25.0</v>
      </c>
      <c r="E160" s="3">
        <v>194300.0</v>
      </c>
      <c r="F160" s="3" t="s">
        <v>3524</v>
      </c>
      <c r="G160" s="3">
        <v>120300.0</v>
      </c>
      <c r="H160" s="3">
        <v>127100.0</v>
      </c>
      <c r="K160" s="5" t="s">
        <v>3342</v>
      </c>
    </row>
    <row r="161" ht="15.75" customHeight="1">
      <c r="A161" s="3" t="s">
        <v>3554</v>
      </c>
      <c r="B161" s="3"/>
      <c r="C161" s="24">
        <v>45723.80236111111</v>
      </c>
      <c r="D161" s="3">
        <v>24.0</v>
      </c>
      <c r="E161" s="3">
        <v>186600.0</v>
      </c>
      <c r="F161" s="3" t="s">
        <v>3524</v>
      </c>
      <c r="G161" s="3">
        <v>122200.0</v>
      </c>
      <c r="H161" s="3">
        <v>159300.0</v>
      </c>
      <c r="K161" s="5" t="s">
        <v>3342</v>
      </c>
    </row>
    <row r="162" ht="15.75" customHeight="1">
      <c r="A162" s="3" t="s">
        <v>3555</v>
      </c>
      <c r="B162" s="3"/>
      <c r="C162" s="24">
        <v>45723.802835648145</v>
      </c>
      <c r="D162" s="3">
        <v>25.0</v>
      </c>
      <c r="E162" s="3">
        <v>194300.0</v>
      </c>
      <c r="F162" s="3" t="s">
        <v>3524</v>
      </c>
      <c r="G162" s="3">
        <v>127100.0</v>
      </c>
      <c r="H162" s="3">
        <v>165700.0</v>
      </c>
      <c r="K162" s="5" t="s">
        <v>3342</v>
      </c>
    </row>
    <row r="163" ht="15.75" customHeight="1">
      <c r="A163" s="3" t="s">
        <v>3556</v>
      </c>
      <c r="B163" s="3"/>
      <c r="C163" s="24">
        <v>45723.80332175926</v>
      </c>
      <c r="D163" s="3">
        <v>95.0</v>
      </c>
      <c r="E163" s="3">
        <v>77100.0</v>
      </c>
      <c r="F163" s="3" t="s">
        <v>3524</v>
      </c>
      <c r="G163" s="3">
        <v>50500.0</v>
      </c>
      <c r="H163" s="3">
        <v>65500.0</v>
      </c>
      <c r="K163" s="5" t="s">
        <v>3342</v>
      </c>
    </row>
    <row r="164" ht="15.75" customHeight="1">
      <c r="A164" s="3" t="s">
        <v>3557</v>
      </c>
      <c r="B164" s="3"/>
      <c r="C164" s="24">
        <v>45723.80384259259</v>
      </c>
      <c r="D164" s="3">
        <v>96.0</v>
      </c>
      <c r="E164" s="3">
        <v>85600.0</v>
      </c>
      <c r="F164" s="3" t="s">
        <v>3524</v>
      </c>
      <c r="G164" s="3">
        <v>26300.0</v>
      </c>
      <c r="H164" s="3">
        <v>33100.0</v>
      </c>
      <c r="K164" s="5" t="s">
        <v>3342</v>
      </c>
    </row>
    <row r="165" ht="15.75" customHeight="1">
      <c r="A165" s="3" t="s">
        <v>3558</v>
      </c>
      <c r="B165" s="3"/>
      <c r="C165" s="24">
        <v>45723.81932870371</v>
      </c>
      <c r="D165" s="3">
        <v>95.0</v>
      </c>
      <c r="E165" s="3">
        <v>77100.0</v>
      </c>
      <c r="F165" s="3" t="s">
        <v>3524</v>
      </c>
      <c r="G165" s="3">
        <v>65500.0</v>
      </c>
      <c r="H165" s="3">
        <v>69100.0</v>
      </c>
      <c r="K165" s="5" t="s">
        <v>3342</v>
      </c>
    </row>
    <row r="166" ht="15.75" customHeight="1">
      <c r="A166" s="3" t="s">
        <v>3559</v>
      </c>
      <c r="B166" s="3"/>
      <c r="C166" s="24">
        <v>45723.81995370371</v>
      </c>
      <c r="D166" s="3">
        <v>24.0</v>
      </c>
      <c r="E166" s="3">
        <v>186600.0</v>
      </c>
      <c r="F166" s="3" t="s">
        <v>3524</v>
      </c>
      <c r="G166" s="3">
        <v>159300.0</v>
      </c>
      <c r="H166" s="3">
        <v>168000.0</v>
      </c>
      <c r="K166" s="5" t="s">
        <v>3342</v>
      </c>
    </row>
    <row r="167" ht="15.75" customHeight="1">
      <c r="A167" s="3" t="s">
        <v>3560</v>
      </c>
      <c r="B167" s="3"/>
      <c r="C167" s="24">
        <v>45723.820439814815</v>
      </c>
      <c r="D167" s="3">
        <v>25.0</v>
      </c>
      <c r="E167" s="3">
        <v>194300.0</v>
      </c>
      <c r="F167" s="3" t="s">
        <v>3524</v>
      </c>
      <c r="G167" s="3">
        <v>165700.0</v>
      </c>
      <c r="H167" s="3">
        <v>174800.0</v>
      </c>
      <c r="K167" s="5" t="s">
        <v>3342</v>
      </c>
    </row>
    <row r="168" ht="15.75" customHeight="1">
      <c r="A168" s="3" t="s">
        <v>3561</v>
      </c>
      <c r="B168" s="3"/>
      <c r="C168" s="24">
        <v>45723.82067129629</v>
      </c>
      <c r="D168" s="3">
        <v>96.0</v>
      </c>
      <c r="E168" s="3">
        <v>85600.0</v>
      </c>
      <c r="F168" s="3" t="s">
        <v>3524</v>
      </c>
      <c r="G168" s="3">
        <v>33100.0</v>
      </c>
      <c r="H168" s="3">
        <v>34700.0</v>
      </c>
      <c r="K168" s="5" t="s">
        <v>3342</v>
      </c>
    </row>
    <row r="169" ht="15.75" customHeight="1">
      <c r="A169" s="3" t="s">
        <v>3562</v>
      </c>
      <c r="B169" s="3"/>
      <c r="C169" s="24">
        <v>45724.53357638889</v>
      </c>
      <c r="D169" s="3">
        <v>80.0</v>
      </c>
      <c r="E169" s="3">
        <v>26100.0</v>
      </c>
      <c r="F169" s="3" t="s">
        <v>3563</v>
      </c>
      <c r="G169" s="3"/>
      <c r="H169" s="3">
        <v>13000.0</v>
      </c>
      <c r="J169" s="5" t="s">
        <v>3564</v>
      </c>
      <c r="K169" s="5" t="s">
        <v>3294</v>
      </c>
    </row>
    <row r="170" ht="15.75" customHeight="1">
      <c r="A170" s="3" t="s">
        <v>3565</v>
      </c>
      <c r="B170" s="3"/>
      <c r="C170" s="24">
        <v>45724.54646990741</v>
      </c>
      <c r="D170" s="3">
        <v>5.0</v>
      </c>
      <c r="E170" s="3">
        <v>30000.0</v>
      </c>
      <c r="F170" s="3" t="s">
        <v>3293</v>
      </c>
      <c r="G170" s="3">
        <v>0.0</v>
      </c>
      <c r="H170" s="3">
        <v>26000.0</v>
      </c>
      <c r="K170" s="5" t="s">
        <v>3294</v>
      </c>
    </row>
    <row r="171" ht="15.75" customHeight="1">
      <c r="A171" s="3" t="s">
        <v>3566</v>
      </c>
      <c r="B171" s="3"/>
      <c r="C171" s="24">
        <v>45724.54724537037</v>
      </c>
      <c r="D171" s="3">
        <v>5.0</v>
      </c>
      <c r="E171" s="3">
        <v>30000.0</v>
      </c>
      <c r="F171" s="3" t="s">
        <v>3293</v>
      </c>
      <c r="G171" s="3">
        <v>26000.0</v>
      </c>
      <c r="H171" s="3">
        <v>30000.0</v>
      </c>
      <c r="I171" s="5" t="s">
        <v>3567</v>
      </c>
      <c r="K171" s="5" t="s">
        <v>3320</v>
      </c>
      <c r="L171" s="6" t="s">
        <v>3247</v>
      </c>
    </row>
    <row r="172" ht="15.75" customHeight="1">
      <c r="A172" s="3" t="s">
        <v>10</v>
      </c>
      <c r="B172" s="3"/>
      <c r="C172" s="24">
        <v>45724.54797453704</v>
      </c>
      <c r="D172" s="3">
        <v>8.0</v>
      </c>
      <c r="E172" s="3">
        <v>22000.0</v>
      </c>
      <c r="F172" s="3" t="s">
        <v>3293</v>
      </c>
      <c r="G172" s="3">
        <v>0.0</v>
      </c>
      <c r="H172" s="3">
        <v>22000.0</v>
      </c>
      <c r="K172" s="5" t="s">
        <v>3320</v>
      </c>
      <c r="L172" s="6" t="s">
        <v>3247</v>
      </c>
      <c r="M172" s="5" t="s">
        <v>3394</v>
      </c>
    </row>
    <row r="173" ht="15.75" customHeight="1">
      <c r="A173" s="3" t="s">
        <v>3568</v>
      </c>
      <c r="B173" s="3"/>
      <c r="C173" s="24">
        <v>45724.550462962965</v>
      </c>
      <c r="D173" s="3">
        <v>24.0</v>
      </c>
      <c r="E173" s="3">
        <v>186600.0</v>
      </c>
      <c r="F173" s="3" t="s">
        <v>3524</v>
      </c>
      <c r="G173" s="3">
        <v>168000.0</v>
      </c>
      <c r="H173" s="3">
        <v>181600.0</v>
      </c>
      <c r="K173" s="5" t="s">
        <v>3342</v>
      </c>
    </row>
    <row r="174" ht="15.75" customHeight="1">
      <c r="A174" s="3" t="s">
        <v>3569</v>
      </c>
      <c r="B174" s="3"/>
      <c r="C174" s="24">
        <v>45724.55074074074</v>
      </c>
      <c r="D174" s="3">
        <v>25.0</v>
      </c>
      <c r="E174" s="3">
        <v>194300.0</v>
      </c>
      <c r="F174" s="3" t="s">
        <v>3524</v>
      </c>
      <c r="G174" s="3">
        <v>174800.0</v>
      </c>
      <c r="H174" s="3">
        <v>188900.0</v>
      </c>
      <c r="K174" s="5" t="s">
        <v>3342</v>
      </c>
    </row>
    <row r="175" ht="15.75" customHeight="1">
      <c r="A175" s="3" t="s">
        <v>3570</v>
      </c>
      <c r="B175" s="3"/>
      <c r="C175" s="24">
        <v>45724.55092592593</v>
      </c>
      <c r="D175" s="3">
        <v>95.0</v>
      </c>
      <c r="E175" s="3">
        <v>77100.0</v>
      </c>
      <c r="F175" s="3" t="s">
        <v>3524</v>
      </c>
      <c r="G175" s="3">
        <v>69100.0</v>
      </c>
      <c r="H175" s="3">
        <v>74700.0</v>
      </c>
      <c r="K175" s="5" t="s">
        <v>3342</v>
      </c>
    </row>
    <row r="176" ht="15.75" customHeight="1">
      <c r="A176" s="3" t="s">
        <v>3571</v>
      </c>
      <c r="B176" s="3"/>
      <c r="C176" s="24">
        <v>45724.55125</v>
      </c>
      <c r="D176" s="3">
        <v>96.0</v>
      </c>
      <c r="E176" s="3">
        <v>85600.0</v>
      </c>
      <c r="F176" s="3" t="s">
        <v>3524</v>
      </c>
      <c r="G176" s="3">
        <v>34700.0</v>
      </c>
      <c r="H176" s="3">
        <v>37300.0</v>
      </c>
      <c r="K176" s="5" t="s">
        <v>3342</v>
      </c>
    </row>
    <row r="177" ht="15.75" customHeight="1">
      <c r="A177" s="3" t="s">
        <v>3572</v>
      </c>
      <c r="B177" s="3"/>
      <c r="C177" s="24">
        <v>45724.55244212963</v>
      </c>
      <c r="D177" s="3">
        <v>24.0</v>
      </c>
      <c r="E177" s="3">
        <v>186600.0</v>
      </c>
      <c r="F177" s="3" t="s">
        <v>3524</v>
      </c>
      <c r="G177" s="3">
        <v>181600.0</v>
      </c>
      <c r="H177" s="3">
        <v>186600.0</v>
      </c>
      <c r="K177" s="5" t="s">
        <v>3342</v>
      </c>
    </row>
    <row r="178" ht="15.75" customHeight="1">
      <c r="A178" s="3" t="s">
        <v>3573</v>
      </c>
      <c r="B178" s="3"/>
      <c r="C178" s="24">
        <v>45724.552939814814</v>
      </c>
      <c r="D178" s="3">
        <v>25.0</v>
      </c>
      <c r="E178" s="3">
        <v>194300.0</v>
      </c>
      <c r="F178" s="3" t="s">
        <v>3524</v>
      </c>
      <c r="G178" s="3">
        <v>188900.0</v>
      </c>
      <c r="H178" s="3">
        <v>194300.0</v>
      </c>
      <c r="K178" s="5" t="s">
        <v>3342</v>
      </c>
    </row>
    <row r="179" ht="15.75" customHeight="1">
      <c r="A179" s="3" t="s">
        <v>3574</v>
      </c>
      <c r="B179" s="3"/>
      <c r="C179" s="24">
        <v>45724.55342592593</v>
      </c>
      <c r="D179" s="3">
        <v>95.0</v>
      </c>
      <c r="E179" s="3">
        <v>77100.0</v>
      </c>
      <c r="F179" s="3" t="s">
        <v>3524</v>
      </c>
      <c r="G179" s="3">
        <v>74700.0</v>
      </c>
      <c r="H179" s="3">
        <v>77100.0</v>
      </c>
      <c r="K179" s="5" t="s">
        <v>3342</v>
      </c>
    </row>
    <row r="180" ht="15.75" customHeight="1">
      <c r="A180" s="3" t="s">
        <v>3575</v>
      </c>
      <c r="B180" s="3"/>
      <c r="C180" s="24">
        <v>45724.553715277776</v>
      </c>
      <c r="D180" s="3">
        <v>96.0</v>
      </c>
      <c r="E180" s="3">
        <v>85600.0</v>
      </c>
      <c r="F180" s="3" t="s">
        <v>3524</v>
      </c>
      <c r="G180" s="3">
        <v>37300.0</v>
      </c>
      <c r="H180" s="3">
        <v>38800.0</v>
      </c>
      <c r="K180" s="5" t="s">
        <v>3342</v>
      </c>
    </row>
    <row r="181" ht="15.75" customHeight="1">
      <c r="A181" s="3" t="s">
        <v>3576</v>
      </c>
      <c r="B181" s="3"/>
      <c r="C181" s="24">
        <v>45726.47100694444</v>
      </c>
      <c r="D181" s="3">
        <v>9.0</v>
      </c>
      <c r="E181" s="3">
        <v>30000.0</v>
      </c>
      <c r="F181" s="3" t="s">
        <v>3293</v>
      </c>
      <c r="G181" s="3">
        <v>0.0</v>
      </c>
      <c r="H181" s="3">
        <v>25800.0</v>
      </c>
      <c r="K181" s="5" t="s">
        <v>3320</v>
      </c>
    </row>
    <row r="182" ht="15.75" customHeight="1">
      <c r="A182" s="3" t="s">
        <v>3577</v>
      </c>
      <c r="B182" s="3"/>
      <c r="C182" s="24">
        <v>45726.4721875</v>
      </c>
      <c r="D182" s="3">
        <v>9.0</v>
      </c>
      <c r="E182" s="3">
        <v>30000.0</v>
      </c>
      <c r="F182" s="3" t="s">
        <v>3293</v>
      </c>
      <c r="G182" s="3">
        <v>25800.0</v>
      </c>
      <c r="H182" s="3">
        <v>30000.0</v>
      </c>
      <c r="K182" s="5" t="s">
        <v>3320</v>
      </c>
      <c r="L182" s="5" t="s">
        <v>3246</v>
      </c>
      <c r="M182" s="5" t="s">
        <v>3394</v>
      </c>
    </row>
    <row r="183" ht="15.75" customHeight="1">
      <c r="A183" s="3" t="s">
        <v>3578</v>
      </c>
      <c r="B183" s="3"/>
      <c r="C183" s="24">
        <v>45726.47309027778</v>
      </c>
      <c r="D183" s="3">
        <v>16.0</v>
      </c>
      <c r="E183" s="3">
        <v>19500.0</v>
      </c>
      <c r="F183" s="3" t="s">
        <v>3293</v>
      </c>
      <c r="G183" s="3">
        <v>0.0</v>
      </c>
      <c r="H183" s="3">
        <v>19500.0</v>
      </c>
      <c r="I183" s="5" t="s">
        <v>3579</v>
      </c>
      <c r="K183" s="5" t="s">
        <v>3320</v>
      </c>
      <c r="L183" s="6" t="s">
        <v>3248</v>
      </c>
    </row>
    <row r="184" ht="15.75" customHeight="1">
      <c r="A184" s="3" t="s">
        <v>3580</v>
      </c>
      <c r="B184" s="3"/>
      <c r="C184" s="24">
        <v>45726.4784375</v>
      </c>
      <c r="D184" s="3">
        <v>84.0</v>
      </c>
      <c r="E184" s="3">
        <v>83000.0</v>
      </c>
      <c r="F184" s="3" t="s">
        <v>3272</v>
      </c>
      <c r="G184" s="3">
        <v>20000.0</v>
      </c>
      <c r="H184" s="3">
        <v>49600.0</v>
      </c>
      <c r="K184" s="5" t="s">
        <v>3294</v>
      </c>
    </row>
    <row r="185" ht="15.75" customHeight="1">
      <c r="A185" s="3" t="s">
        <v>3581</v>
      </c>
      <c r="B185" s="3"/>
      <c r="C185" s="24">
        <v>45726.47872685185</v>
      </c>
      <c r="D185" s="3">
        <v>82.0</v>
      </c>
      <c r="E185" s="3">
        <v>42600.0</v>
      </c>
      <c r="F185" s="3" t="s">
        <v>3466</v>
      </c>
      <c r="G185" s="3">
        <v>15000.0</v>
      </c>
      <c r="H185" s="3">
        <v>17000.0</v>
      </c>
      <c r="K185" s="5" t="s">
        <v>3294</v>
      </c>
    </row>
    <row r="186" ht="15.75" customHeight="1">
      <c r="A186" s="3" t="s">
        <v>3582</v>
      </c>
      <c r="B186" s="3"/>
      <c r="C186" s="24">
        <v>45726.88255787037</v>
      </c>
      <c r="D186" s="3">
        <v>85.0</v>
      </c>
      <c r="E186" s="3">
        <v>84000.0</v>
      </c>
      <c r="F186" s="3" t="s">
        <v>3583</v>
      </c>
      <c r="G186" s="3"/>
      <c r="H186" s="3">
        <v>48900.0</v>
      </c>
      <c r="J186" s="5" t="s">
        <v>3584</v>
      </c>
      <c r="K186" s="5" t="s">
        <v>3294</v>
      </c>
    </row>
    <row r="187" ht="15.75" customHeight="1">
      <c r="A187" s="3" t="s">
        <v>3585</v>
      </c>
      <c r="B187" s="3"/>
      <c r="C187" s="24">
        <v>45726.88358796296</v>
      </c>
      <c r="D187" s="3">
        <v>86.0</v>
      </c>
      <c r="E187" s="3">
        <v>88000.0</v>
      </c>
      <c r="F187" s="3" t="s">
        <v>3272</v>
      </c>
      <c r="G187" s="3"/>
      <c r="H187" s="3">
        <v>43000.0</v>
      </c>
      <c r="J187" s="5" t="s">
        <v>3586</v>
      </c>
      <c r="K187" s="5" t="s">
        <v>3294</v>
      </c>
    </row>
    <row r="188" ht="15.75" customHeight="1">
      <c r="A188" s="3" t="s">
        <v>3587</v>
      </c>
      <c r="B188" s="3"/>
      <c r="C188" s="24">
        <v>45726.961481481485</v>
      </c>
      <c r="D188" s="3">
        <v>78.0</v>
      </c>
      <c r="E188" s="3">
        <v>25800.0</v>
      </c>
      <c r="F188" s="3" t="s">
        <v>3588</v>
      </c>
      <c r="G188" s="3"/>
      <c r="H188" s="3">
        <v>10000.0</v>
      </c>
      <c r="J188" s="5">
        <v>5938.0</v>
      </c>
      <c r="K188" s="5" t="s">
        <v>3294</v>
      </c>
    </row>
    <row r="189" ht="15.75" customHeight="1">
      <c r="A189" s="4" t="s">
        <v>3589</v>
      </c>
      <c r="B189" s="3"/>
      <c r="C189" s="24">
        <v>45726.97015046296</v>
      </c>
      <c r="D189" s="3">
        <v>500.0</v>
      </c>
      <c r="E189" s="3">
        <v>200000.0</v>
      </c>
      <c r="F189" s="3" t="s">
        <v>3433</v>
      </c>
      <c r="G189" s="3">
        <v>0.0</v>
      </c>
      <c r="H189" s="3">
        <v>2500.0</v>
      </c>
      <c r="K189" s="5" t="s">
        <v>3342</v>
      </c>
    </row>
    <row r="190" ht="15.75" customHeight="1">
      <c r="A190" s="3" t="s">
        <v>3590</v>
      </c>
      <c r="B190" s="3"/>
      <c r="C190" s="24">
        <v>45726.97105324074</v>
      </c>
      <c r="D190" s="3">
        <v>500.0</v>
      </c>
      <c r="E190" s="3">
        <v>200000.0</v>
      </c>
      <c r="F190" s="3" t="s">
        <v>3373</v>
      </c>
      <c r="G190" s="3">
        <v>2500.0</v>
      </c>
      <c r="H190" s="3">
        <v>26500.0</v>
      </c>
      <c r="K190" s="5" t="s">
        <v>3337</v>
      </c>
    </row>
    <row r="191" ht="15.75" customHeight="1">
      <c r="A191" s="3" t="s">
        <v>3591</v>
      </c>
      <c r="B191" s="3"/>
      <c r="C191" s="24">
        <v>45726.972650462965</v>
      </c>
      <c r="D191" s="3">
        <v>500.0</v>
      </c>
      <c r="E191" s="3">
        <v>200000.0</v>
      </c>
      <c r="F191" s="3" t="s">
        <v>3519</v>
      </c>
      <c r="G191" s="3">
        <v>26500.0</v>
      </c>
      <c r="H191" s="3">
        <v>32500.0</v>
      </c>
      <c r="K191" s="5" t="s">
        <v>3320</v>
      </c>
    </row>
    <row r="192" ht="15.75" customHeight="1">
      <c r="A192" s="3" t="s">
        <v>3592</v>
      </c>
      <c r="B192" s="3"/>
      <c r="C192" s="24">
        <v>45726.97372685185</v>
      </c>
      <c r="D192" s="3">
        <v>500.0</v>
      </c>
      <c r="E192" s="3">
        <v>200000.0</v>
      </c>
      <c r="F192" s="3" t="s">
        <v>3466</v>
      </c>
      <c r="G192" s="3">
        <v>32500.0</v>
      </c>
      <c r="H192" s="3">
        <v>37000.0</v>
      </c>
      <c r="K192" s="5" t="s">
        <v>3294</v>
      </c>
    </row>
    <row r="193" ht="15.75" customHeight="1">
      <c r="A193" s="3" t="s">
        <v>3593</v>
      </c>
      <c r="B193" s="3"/>
      <c r="C193" s="24">
        <v>45727.367893518516</v>
      </c>
      <c r="D193" s="3">
        <v>500.0</v>
      </c>
      <c r="E193" s="3">
        <v>200000.0</v>
      </c>
      <c r="F193" s="3" t="s">
        <v>3524</v>
      </c>
      <c r="G193" s="3">
        <v>37000.0</v>
      </c>
      <c r="H193" s="3">
        <v>45800.0</v>
      </c>
      <c r="K193" s="5" t="s">
        <v>3342</v>
      </c>
    </row>
    <row r="194" ht="15.75" customHeight="1">
      <c r="A194" s="3"/>
      <c r="B194" s="3"/>
      <c r="C194" s="24"/>
      <c r="D194" s="3"/>
      <c r="E194" s="3"/>
      <c r="F194" s="3"/>
      <c r="G194" s="3"/>
      <c r="H194" s="3"/>
      <c r="K194" s="5"/>
    </row>
    <row r="195" ht="15.75" customHeight="1">
      <c r="A195" s="3" t="s">
        <v>3594</v>
      </c>
      <c r="B195" s="3"/>
      <c r="C195" s="24">
        <v>45727.37574074074</v>
      </c>
      <c r="D195" s="3">
        <v>500.0</v>
      </c>
      <c r="E195" s="3">
        <v>200000.0</v>
      </c>
      <c r="F195" s="3" t="s">
        <v>3595</v>
      </c>
      <c r="G195" s="3"/>
      <c r="H195" s="3">
        <v>1.0</v>
      </c>
    </row>
    <row r="196" ht="15.75" customHeight="1">
      <c r="A196" s="3" t="s">
        <v>3596</v>
      </c>
      <c r="B196" s="3"/>
      <c r="C196" s="24">
        <v>45727.376608796294</v>
      </c>
      <c r="D196" s="3">
        <v>108.0</v>
      </c>
      <c r="E196" s="3">
        <v>31000.0</v>
      </c>
      <c r="F196" s="3" t="s">
        <v>3408</v>
      </c>
      <c r="G196" s="3">
        <v>7500.0</v>
      </c>
      <c r="H196" s="3">
        <v>30000.0</v>
      </c>
      <c r="K196" s="5" t="s">
        <v>3320</v>
      </c>
    </row>
    <row r="197" ht="15.75" customHeight="1">
      <c r="A197" s="3" t="s">
        <v>3597</v>
      </c>
      <c r="B197" s="3"/>
      <c r="C197" s="24">
        <v>45727.3775</v>
      </c>
      <c r="D197" s="3">
        <v>104.0</v>
      </c>
      <c r="E197" s="3">
        <v>31000.0</v>
      </c>
      <c r="F197" s="3" t="s">
        <v>3332</v>
      </c>
      <c r="G197" s="3">
        <v>29000.0</v>
      </c>
      <c r="H197" s="3">
        <v>30000.0</v>
      </c>
      <c r="K197" s="5" t="s">
        <v>3320</v>
      </c>
    </row>
    <row r="198" ht="15.75" customHeight="1">
      <c r="A198" s="3" t="s">
        <v>3598</v>
      </c>
      <c r="B198" s="3"/>
      <c r="C198" s="24">
        <v>45727.38065972222</v>
      </c>
      <c r="D198" s="3">
        <v>109.0</v>
      </c>
      <c r="E198" s="3">
        <v>15600.0</v>
      </c>
      <c r="F198" s="3" t="s">
        <v>3452</v>
      </c>
      <c r="G198" s="3">
        <v>14000.0</v>
      </c>
      <c r="H198" s="3">
        <v>15000.0</v>
      </c>
      <c r="K198" s="5" t="s">
        <v>3320</v>
      </c>
    </row>
    <row r="199" ht="15.75" customHeight="1">
      <c r="A199" s="3" t="s">
        <v>3599</v>
      </c>
      <c r="B199" s="3"/>
      <c r="C199" s="24">
        <v>45727.38118055555</v>
      </c>
      <c r="D199" s="3">
        <v>500.0</v>
      </c>
      <c r="E199" s="3">
        <v>200000.0</v>
      </c>
      <c r="F199" s="3" t="s">
        <v>3595</v>
      </c>
      <c r="G199" s="3">
        <v>-24499.0</v>
      </c>
      <c r="H199" s="3">
        <v>-23899.0</v>
      </c>
    </row>
    <row r="200" ht="15.75" customHeight="1">
      <c r="A200" s="3" t="s">
        <v>3600</v>
      </c>
      <c r="B200" s="3"/>
      <c r="C200" s="24">
        <v>45727.38532407407</v>
      </c>
      <c r="D200" s="3">
        <v>90.0</v>
      </c>
      <c r="E200" s="3">
        <v>97500.0</v>
      </c>
      <c r="F200" s="3" t="s">
        <v>3601</v>
      </c>
      <c r="G200" s="3"/>
      <c r="H200" s="3">
        <v>43300.0</v>
      </c>
      <c r="J200" s="5" t="s">
        <v>3602</v>
      </c>
      <c r="K200" s="5" t="s">
        <v>3294</v>
      </c>
    </row>
    <row r="201" ht="15.75" customHeight="1">
      <c r="A201" s="3" t="s">
        <v>3603</v>
      </c>
      <c r="B201" s="3"/>
      <c r="C201" s="24">
        <v>45727.39511574074</v>
      </c>
      <c r="D201" s="3">
        <v>35.0</v>
      </c>
      <c r="E201" s="3">
        <v>39300.0</v>
      </c>
      <c r="F201" s="3" t="s">
        <v>3314</v>
      </c>
      <c r="G201" s="3">
        <v>0.0</v>
      </c>
      <c r="H201" s="3">
        <v>12900.0</v>
      </c>
      <c r="K201" s="5" t="s">
        <v>3320</v>
      </c>
    </row>
    <row r="202" ht="15.75" customHeight="1">
      <c r="A202" s="3" t="s">
        <v>3604</v>
      </c>
      <c r="B202" s="3"/>
      <c r="C202" s="24">
        <v>45727.40248842593</v>
      </c>
      <c r="D202" s="3">
        <v>35.0</v>
      </c>
      <c r="E202" s="3">
        <v>39300.0</v>
      </c>
      <c r="F202" s="3" t="s">
        <v>3314</v>
      </c>
      <c r="G202" s="3">
        <v>12900.0</v>
      </c>
      <c r="H202" s="3">
        <v>39300.0</v>
      </c>
      <c r="K202" s="5" t="s">
        <v>3605</v>
      </c>
    </row>
    <row r="203" ht="15.75" customHeight="1">
      <c r="A203" s="3" t="s">
        <v>3606</v>
      </c>
      <c r="B203" s="3"/>
      <c r="C203" s="24">
        <v>45727.40335648148</v>
      </c>
      <c r="D203" s="3">
        <v>42.0</v>
      </c>
      <c r="E203" s="3">
        <v>35900.0</v>
      </c>
      <c r="F203" s="3" t="s">
        <v>3436</v>
      </c>
      <c r="G203" s="3">
        <v>0.0</v>
      </c>
      <c r="H203" s="3">
        <v>3600.0</v>
      </c>
      <c r="K203" s="5" t="s">
        <v>3605</v>
      </c>
    </row>
    <row r="204" ht="15.75" customHeight="1">
      <c r="A204" s="3" t="s">
        <v>3607</v>
      </c>
      <c r="B204" s="3"/>
      <c r="C204" s="24">
        <v>45727.40390046296</v>
      </c>
      <c r="D204" s="3">
        <v>42.0</v>
      </c>
      <c r="E204" s="3">
        <v>35900.0</v>
      </c>
      <c r="F204" s="3" t="s">
        <v>3386</v>
      </c>
      <c r="G204" s="3">
        <v>3600.0</v>
      </c>
      <c r="H204" s="3">
        <v>33600.0</v>
      </c>
      <c r="K204" s="5" t="s">
        <v>3605</v>
      </c>
    </row>
    <row r="205" ht="15.75" customHeight="1">
      <c r="A205" s="3" t="s">
        <v>3608</v>
      </c>
      <c r="B205" s="3"/>
      <c r="C205" s="24">
        <v>45727.710706018515</v>
      </c>
      <c r="D205" s="3">
        <v>80.0</v>
      </c>
      <c r="E205" s="3">
        <v>26100.0</v>
      </c>
      <c r="F205" s="3" t="s">
        <v>3563</v>
      </c>
      <c r="G205" s="3">
        <v>13000.0</v>
      </c>
      <c r="H205" s="3">
        <v>21300.0</v>
      </c>
      <c r="I205" s="5" t="s">
        <v>3609</v>
      </c>
      <c r="J205" s="5" t="s">
        <v>3610</v>
      </c>
      <c r="K205" s="5" t="s">
        <v>3294</v>
      </c>
    </row>
    <row r="206" ht="15.75" customHeight="1">
      <c r="A206" s="3" t="s">
        <v>3611</v>
      </c>
      <c r="B206" s="3"/>
      <c r="C206" s="24">
        <v>45727.779814814814</v>
      </c>
      <c r="D206" s="3">
        <v>500.0</v>
      </c>
      <c r="E206" s="3">
        <v>200000.0</v>
      </c>
      <c r="F206" s="3" t="s">
        <v>3595</v>
      </c>
      <c r="G206" s="3">
        <v>-23899.0</v>
      </c>
      <c r="H206" s="3">
        <v>-7299.0</v>
      </c>
    </row>
    <row r="207" ht="15.75" customHeight="1">
      <c r="A207" s="3" t="s">
        <v>3612</v>
      </c>
      <c r="B207" s="3"/>
      <c r="C207" s="24">
        <v>45727.86140046296</v>
      </c>
      <c r="D207" s="3">
        <v>70.0</v>
      </c>
      <c r="E207" s="3">
        <v>13000.0</v>
      </c>
      <c r="F207" s="3" t="s">
        <v>3588</v>
      </c>
      <c r="G207" s="3"/>
      <c r="H207" s="3">
        <v>7000.0</v>
      </c>
      <c r="J207" s="5">
        <v>5948.0</v>
      </c>
      <c r="K207" s="5" t="s">
        <v>3294</v>
      </c>
    </row>
    <row r="208" ht="15.75" customHeight="1">
      <c r="A208" s="3" t="s">
        <v>3613</v>
      </c>
      <c r="B208" s="3"/>
      <c r="C208" s="24">
        <v>45727.86298611111</v>
      </c>
      <c r="D208" s="3">
        <v>500.0</v>
      </c>
      <c r="E208" s="3">
        <v>200000.0</v>
      </c>
      <c r="F208" s="3" t="s">
        <v>3293</v>
      </c>
      <c r="G208" s="3">
        <v>-7299.0</v>
      </c>
      <c r="H208" s="3">
        <v>-4499.0</v>
      </c>
      <c r="K208" s="5" t="s">
        <v>3294</v>
      </c>
    </row>
    <row r="209" ht="15.75" customHeight="1">
      <c r="A209" s="3" t="s">
        <v>3614</v>
      </c>
      <c r="B209" s="3"/>
      <c r="C209" s="24">
        <v>45727.86318287037</v>
      </c>
      <c r="D209" s="3">
        <v>81.0</v>
      </c>
      <c r="E209" s="3">
        <v>26500.0</v>
      </c>
      <c r="F209" s="3" t="s">
        <v>3615</v>
      </c>
      <c r="G209" s="3"/>
      <c r="H209" s="3">
        <v>18400.0</v>
      </c>
      <c r="J209" s="5" t="s">
        <v>3616</v>
      </c>
      <c r="K209" s="5" t="s">
        <v>3294</v>
      </c>
    </row>
    <row r="210" ht="15.75" customHeight="1">
      <c r="A210" s="3" t="s">
        <v>3617</v>
      </c>
      <c r="B210" s="3"/>
      <c r="C210" s="24">
        <v>45727.86518518518</v>
      </c>
      <c r="D210" s="3">
        <v>91.0</v>
      </c>
      <c r="E210" s="3">
        <v>86000.0</v>
      </c>
      <c r="F210" s="3" t="s">
        <v>3583</v>
      </c>
      <c r="G210" s="3"/>
      <c r="H210" s="3">
        <v>39200.0</v>
      </c>
      <c r="J210" s="5" t="s">
        <v>3618</v>
      </c>
      <c r="K210" s="5" t="s">
        <v>3294</v>
      </c>
    </row>
    <row r="211" ht="15.75" customHeight="1">
      <c r="A211" s="3" t="s">
        <v>3619</v>
      </c>
      <c r="B211" s="3"/>
      <c r="C211" s="24">
        <v>45728.52837962963</v>
      </c>
      <c r="D211" s="3">
        <v>42.0</v>
      </c>
      <c r="E211" s="3">
        <v>35900.0</v>
      </c>
      <c r="F211" s="3" t="s">
        <v>3386</v>
      </c>
      <c r="G211" s="3">
        <v>17000.0</v>
      </c>
      <c r="H211" s="3">
        <v>32900.0</v>
      </c>
      <c r="K211" s="5" t="s">
        <v>3605</v>
      </c>
    </row>
    <row r="212" ht="15.75" customHeight="1">
      <c r="A212" s="3" t="s">
        <v>3620</v>
      </c>
      <c r="B212" s="3"/>
      <c r="C212" s="24">
        <v>45728.54231481482</v>
      </c>
      <c r="D212" s="3">
        <v>65.0</v>
      </c>
      <c r="E212" s="3">
        <v>35500.0</v>
      </c>
      <c r="F212" s="3" t="s">
        <v>3621</v>
      </c>
      <c r="G212" s="3">
        <v>4100.0</v>
      </c>
      <c r="H212" s="3">
        <v>24100.0</v>
      </c>
      <c r="K212" s="5" t="s">
        <v>3457</v>
      </c>
    </row>
    <row r="213" ht="15.75" customHeight="1">
      <c r="A213" s="3" t="s">
        <v>3622</v>
      </c>
      <c r="B213" s="3"/>
      <c r="C213" s="24">
        <v>45728.75738425926</v>
      </c>
      <c r="D213" s="3">
        <v>66.0</v>
      </c>
      <c r="E213" s="3">
        <v>23000.0</v>
      </c>
      <c r="F213" s="3" t="s">
        <v>3466</v>
      </c>
      <c r="G213" s="3">
        <v>17000.0</v>
      </c>
      <c r="H213" s="3">
        <v>19000.0</v>
      </c>
      <c r="I213" s="5"/>
      <c r="K213" s="5" t="s">
        <v>3294</v>
      </c>
    </row>
    <row r="214" ht="15.75" customHeight="1">
      <c r="A214" s="3" t="s">
        <v>3623</v>
      </c>
      <c r="B214" s="3"/>
      <c r="C214" s="24">
        <v>45728.75766203704</v>
      </c>
      <c r="D214" s="3">
        <v>82.0</v>
      </c>
      <c r="E214" s="3">
        <v>42600.0</v>
      </c>
      <c r="F214" s="3" t="s">
        <v>3466</v>
      </c>
      <c r="G214" s="3">
        <v>17000.0</v>
      </c>
      <c r="H214" s="3">
        <v>19000.0</v>
      </c>
      <c r="K214" s="5" t="s">
        <v>3294</v>
      </c>
    </row>
    <row r="215" ht="15.75" customHeight="1">
      <c r="A215" s="3" t="s">
        <v>3624</v>
      </c>
      <c r="B215" s="3"/>
      <c r="C215" s="24">
        <v>45728.75796296296</v>
      </c>
      <c r="D215" s="3">
        <v>84.0</v>
      </c>
      <c r="E215" s="3">
        <v>83000.0</v>
      </c>
      <c r="F215" s="3" t="s">
        <v>3272</v>
      </c>
      <c r="G215" s="3">
        <v>49600.0</v>
      </c>
      <c r="H215" s="3">
        <v>52000.0</v>
      </c>
      <c r="K215" s="5" t="s">
        <v>3294</v>
      </c>
    </row>
    <row r="216" ht="15.75" customHeight="1">
      <c r="A216" s="3" t="s">
        <v>3625</v>
      </c>
      <c r="B216" s="3"/>
      <c r="C216" s="24">
        <v>45728.86796296296</v>
      </c>
      <c r="D216" s="3">
        <v>102.0</v>
      </c>
      <c r="E216" s="3">
        <v>31000.0</v>
      </c>
      <c r="F216" s="3" t="s">
        <v>3524</v>
      </c>
      <c r="G216" s="3">
        <v>0.0</v>
      </c>
      <c r="H216" s="3">
        <v>30000.0</v>
      </c>
      <c r="K216" s="5" t="s">
        <v>3342</v>
      </c>
    </row>
    <row r="217" ht="15.75" customHeight="1">
      <c r="A217" s="3" t="s">
        <v>3626</v>
      </c>
      <c r="B217" s="3"/>
      <c r="C217" s="24">
        <v>45729.80710648148</v>
      </c>
      <c r="D217" s="3">
        <v>53.0</v>
      </c>
      <c r="E217" s="3">
        <v>22000.0</v>
      </c>
      <c r="F217" s="3" t="s">
        <v>3272</v>
      </c>
      <c r="G217" s="3">
        <v>4000.0</v>
      </c>
      <c r="H217" s="3">
        <v>22000.0</v>
      </c>
      <c r="K217" s="5" t="s">
        <v>3320</v>
      </c>
    </row>
    <row r="218" ht="15.75" customHeight="1">
      <c r="A218" s="3" t="s">
        <v>3627</v>
      </c>
      <c r="B218" s="3"/>
      <c r="C218" s="24">
        <v>45729.80800925926</v>
      </c>
      <c r="D218" s="3">
        <v>52.0</v>
      </c>
      <c r="E218" s="3">
        <v>27000.0</v>
      </c>
      <c r="F218" s="3" t="s">
        <v>3272</v>
      </c>
      <c r="G218" s="3">
        <v>0.0</v>
      </c>
      <c r="H218" s="3">
        <v>15000.0</v>
      </c>
      <c r="K218" s="5" t="s">
        <v>3320</v>
      </c>
    </row>
    <row r="219" ht="15.75" customHeight="1">
      <c r="A219" s="3" t="s">
        <v>3628</v>
      </c>
      <c r="B219" s="3"/>
      <c r="C219" s="24">
        <v>45729.81101851852</v>
      </c>
      <c r="D219" s="3">
        <v>78.0</v>
      </c>
      <c r="E219" s="3">
        <v>25800.0</v>
      </c>
      <c r="F219" s="3" t="s">
        <v>3588</v>
      </c>
      <c r="G219" s="3">
        <v>10000.0</v>
      </c>
      <c r="H219" s="3">
        <v>11350.0</v>
      </c>
      <c r="K219" s="5" t="s">
        <v>3294</v>
      </c>
    </row>
    <row r="220" ht="15.75" customHeight="1">
      <c r="A220" s="3" t="s">
        <v>3629</v>
      </c>
      <c r="B220" s="3"/>
      <c r="C220" s="24">
        <v>45729.81165509259</v>
      </c>
      <c r="D220" s="3">
        <v>85.0</v>
      </c>
      <c r="E220" s="3">
        <v>84000.0</v>
      </c>
      <c r="F220" s="3" t="s">
        <v>3583</v>
      </c>
      <c r="G220" s="3">
        <v>48900.0</v>
      </c>
      <c r="H220" s="3">
        <v>54100.0</v>
      </c>
      <c r="I220" s="5" t="s">
        <v>3630</v>
      </c>
      <c r="K220" s="5" t="s">
        <v>3294</v>
      </c>
    </row>
    <row r="221" ht="15.75" customHeight="1">
      <c r="A221" s="3" t="s">
        <v>3631</v>
      </c>
      <c r="B221" s="3"/>
      <c r="C221" s="24">
        <v>45729.85171296296</v>
      </c>
      <c r="D221" s="3">
        <v>79.0</v>
      </c>
      <c r="E221" s="3">
        <v>26000.0</v>
      </c>
      <c r="F221" s="3" t="s">
        <v>3615</v>
      </c>
      <c r="G221" s="3"/>
      <c r="H221" s="3">
        <v>14500.0</v>
      </c>
      <c r="J221" s="5" t="s">
        <v>3632</v>
      </c>
      <c r="K221" s="5" t="s">
        <v>3294</v>
      </c>
    </row>
    <row r="222" ht="15.75" customHeight="1">
      <c r="A222" s="3" t="s">
        <v>3633</v>
      </c>
      <c r="B222" s="3"/>
      <c r="C222" s="24">
        <v>45729.853472222225</v>
      </c>
      <c r="D222" s="3">
        <v>76.0</v>
      </c>
      <c r="E222" s="3">
        <v>25500.0</v>
      </c>
      <c r="F222" s="3" t="s">
        <v>3583</v>
      </c>
      <c r="G222" s="3"/>
      <c r="H222" s="3">
        <v>15000.0</v>
      </c>
      <c r="J222" s="5" t="s">
        <v>3634</v>
      </c>
      <c r="K222" s="5" t="s">
        <v>3294</v>
      </c>
    </row>
    <row r="223" ht="15.75" customHeight="1">
      <c r="A223" s="3" t="s">
        <v>3635</v>
      </c>
      <c r="B223" s="3"/>
      <c r="C223" s="24">
        <v>45729.85383101852</v>
      </c>
      <c r="D223" s="3">
        <v>77.0</v>
      </c>
      <c r="E223" s="3">
        <v>26000.0</v>
      </c>
      <c r="F223" s="3" t="s">
        <v>3583</v>
      </c>
      <c r="G223" s="3"/>
      <c r="H223" s="3">
        <v>11300.0</v>
      </c>
      <c r="J223" s="5" t="s">
        <v>3636</v>
      </c>
      <c r="K223" s="5" t="s">
        <v>3294</v>
      </c>
    </row>
    <row r="224" ht="15.75" customHeight="1">
      <c r="A224" s="3" t="s">
        <v>3637</v>
      </c>
      <c r="B224" s="3"/>
      <c r="C224" s="24">
        <v>45729.858506944445</v>
      </c>
      <c r="D224" s="3">
        <v>96.0</v>
      </c>
      <c r="E224" s="3">
        <v>85600.0</v>
      </c>
      <c r="F224" s="3" t="s">
        <v>3638</v>
      </c>
      <c r="G224" s="3"/>
      <c r="H224" s="3">
        <v>47600.0</v>
      </c>
      <c r="J224" s="5" t="s">
        <v>3639</v>
      </c>
      <c r="K224" s="5" t="s">
        <v>3294</v>
      </c>
    </row>
    <row r="225" ht="15.75" customHeight="1">
      <c r="A225" s="3" t="s">
        <v>3640</v>
      </c>
      <c r="B225" s="3"/>
      <c r="C225" s="24">
        <v>45730.391701388886</v>
      </c>
      <c r="D225" s="3">
        <v>118.0</v>
      </c>
      <c r="E225" s="3">
        <v>155600.0</v>
      </c>
      <c r="F225" s="3" t="s">
        <v>3272</v>
      </c>
      <c r="G225" s="3">
        <v>0.0</v>
      </c>
      <c r="H225" s="3">
        <v>48500.0</v>
      </c>
      <c r="K225" s="5" t="s">
        <v>3294</v>
      </c>
    </row>
    <row r="226" ht="15.75" customHeight="1">
      <c r="A226" s="3" t="s">
        <v>3641</v>
      </c>
      <c r="B226" s="3"/>
      <c r="C226" s="24">
        <v>45730.392858796295</v>
      </c>
      <c r="D226" s="3">
        <v>118.0</v>
      </c>
      <c r="E226" s="3">
        <v>155600.0</v>
      </c>
      <c r="F226" s="3" t="s">
        <v>3272</v>
      </c>
      <c r="G226" s="3">
        <v>48500.0</v>
      </c>
      <c r="H226" s="3">
        <v>93200.0</v>
      </c>
      <c r="K226" s="5" t="s">
        <v>3320</v>
      </c>
    </row>
    <row r="227" ht="15.75" customHeight="1">
      <c r="A227" s="3" t="s">
        <v>3642</v>
      </c>
      <c r="B227" s="3"/>
      <c r="C227" s="24">
        <v>45730.736296296294</v>
      </c>
      <c r="D227" s="3">
        <v>118.0</v>
      </c>
      <c r="E227" s="3">
        <v>155600.0</v>
      </c>
      <c r="F227" s="3" t="s">
        <v>3272</v>
      </c>
      <c r="G227" s="3">
        <v>93200.0</v>
      </c>
      <c r="H227" s="3">
        <v>140400.0</v>
      </c>
      <c r="K227" s="5" t="s">
        <v>3320</v>
      </c>
    </row>
    <row r="228" ht="15.75" customHeight="1">
      <c r="A228" s="3" t="s">
        <v>3643</v>
      </c>
      <c r="B228" s="3"/>
      <c r="C228" s="24">
        <v>45730.74767361111</v>
      </c>
      <c r="D228" s="3">
        <v>70.0</v>
      </c>
      <c r="E228" s="3">
        <v>13000.0</v>
      </c>
      <c r="F228" s="3" t="s">
        <v>3588</v>
      </c>
      <c r="G228" s="3">
        <v>7000.0</v>
      </c>
      <c r="H228" s="3">
        <v>8000.0</v>
      </c>
      <c r="I228" s="5" t="s">
        <v>3644</v>
      </c>
      <c r="K228" s="5" t="s">
        <v>3294</v>
      </c>
    </row>
    <row r="229" ht="15.75" customHeight="1">
      <c r="A229" s="3" t="s">
        <v>3645</v>
      </c>
      <c r="B229" s="3"/>
      <c r="C229" s="24">
        <v>45730.74868055555</v>
      </c>
      <c r="D229" s="3">
        <v>91.0</v>
      </c>
      <c r="E229" s="3">
        <v>86000.0</v>
      </c>
      <c r="F229" s="3" t="s">
        <v>3583</v>
      </c>
      <c r="G229" s="3">
        <v>39200.0</v>
      </c>
      <c r="H229" s="3">
        <v>45700.0</v>
      </c>
      <c r="K229" s="5" t="s">
        <v>3294</v>
      </c>
    </row>
    <row r="230" ht="15.75" customHeight="1">
      <c r="A230" s="3" t="s">
        <v>3646</v>
      </c>
      <c r="B230" s="3"/>
      <c r="C230" s="24">
        <v>45730.74961805555</v>
      </c>
      <c r="D230" s="3">
        <v>90.0</v>
      </c>
      <c r="E230" s="3">
        <v>97500.0</v>
      </c>
      <c r="F230" s="3" t="s">
        <v>3601</v>
      </c>
      <c r="G230" s="3">
        <v>43300.0</v>
      </c>
      <c r="H230" s="3">
        <v>52900.0</v>
      </c>
      <c r="K230" s="5" t="s">
        <v>3294</v>
      </c>
    </row>
    <row r="231" ht="15.75" customHeight="1">
      <c r="A231" s="3" t="s">
        <v>3647</v>
      </c>
      <c r="B231" s="3"/>
      <c r="C231" s="24">
        <v>45730.7834375</v>
      </c>
      <c r="D231" s="3">
        <v>81.0</v>
      </c>
      <c r="E231" s="3">
        <v>26500.0</v>
      </c>
      <c r="F231" s="3" t="s">
        <v>3615</v>
      </c>
      <c r="G231" s="3">
        <v>18400.0</v>
      </c>
      <c r="H231" s="3">
        <v>20600.0</v>
      </c>
      <c r="I231" s="6" t="s">
        <v>3648</v>
      </c>
      <c r="K231" s="5" t="s">
        <v>3294</v>
      </c>
    </row>
    <row r="232" ht="15.75" customHeight="1">
      <c r="A232" s="3" t="s">
        <v>3649</v>
      </c>
      <c r="B232" s="3"/>
      <c r="C232" s="24">
        <v>45730.789560185185</v>
      </c>
      <c r="D232" s="3">
        <v>118.0</v>
      </c>
      <c r="E232" s="3">
        <v>155600.0</v>
      </c>
      <c r="F232" s="3" t="s">
        <v>3272</v>
      </c>
      <c r="G232" s="3">
        <v>140400.0</v>
      </c>
      <c r="H232" s="3">
        <v>155600.0</v>
      </c>
      <c r="I232" s="5" t="s">
        <v>3650</v>
      </c>
      <c r="K232" s="5" t="s">
        <v>3320</v>
      </c>
    </row>
    <row r="233" ht="15.75" customHeight="1">
      <c r="A233" s="3" t="s">
        <v>3651</v>
      </c>
      <c r="B233" s="3"/>
      <c r="C233" s="24">
        <v>45730.79027777778</v>
      </c>
      <c r="D233" s="3">
        <v>52.0</v>
      </c>
      <c r="E233" s="3">
        <v>27000.0</v>
      </c>
      <c r="F233" s="3" t="s">
        <v>3272</v>
      </c>
      <c r="G233" s="3">
        <v>15000.0</v>
      </c>
      <c r="H233" s="3">
        <v>23900.0</v>
      </c>
      <c r="K233" s="5" t="s">
        <v>3320</v>
      </c>
    </row>
    <row r="234" ht="15.75" customHeight="1">
      <c r="A234" s="3" t="s">
        <v>3652</v>
      </c>
      <c r="B234" s="3"/>
      <c r="C234" s="24">
        <v>45730.79231481482</v>
      </c>
      <c r="D234" s="3">
        <v>86.0</v>
      </c>
      <c r="E234" s="3">
        <v>88000.0</v>
      </c>
      <c r="F234" s="3" t="s">
        <v>3272</v>
      </c>
      <c r="G234" s="3">
        <v>43000.0</v>
      </c>
      <c r="H234" s="3">
        <v>52500.0</v>
      </c>
      <c r="K234" s="5" t="s">
        <v>3294</v>
      </c>
    </row>
    <row r="235" ht="15.75" customHeight="1">
      <c r="A235" s="3" t="s">
        <v>3653</v>
      </c>
      <c r="B235" s="3"/>
      <c r="C235" s="24">
        <v>45733.40871527778</v>
      </c>
      <c r="D235" s="3">
        <v>116.0</v>
      </c>
      <c r="E235" s="3">
        <v>99600.0</v>
      </c>
      <c r="F235" s="3" t="s">
        <v>3272</v>
      </c>
      <c r="G235" s="3">
        <v>0.0</v>
      </c>
      <c r="H235" s="3">
        <v>8000.0</v>
      </c>
      <c r="K235" s="5" t="s">
        <v>3320</v>
      </c>
    </row>
    <row r="236" ht="15.75" customHeight="1">
      <c r="A236" s="3" t="s">
        <v>3654</v>
      </c>
      <c r="B236" s="3"/>
      <c r="C236" s="24">
        <v>45733.41008101852</v>
      </c>
      <c r="D236" s="3">
        <v>52.0</v>
      </c>
      <c r="E236" s="3">
        <v>27000.0</v>
      </c>
      <c r="F236" s="3" t="s">
        <v>3272</v>
      </c>
      <c r="G236" s="3">
        <v>23900.0</v>
      </c>
      <c r="H236" s="3">
        <v>27000.0</v>
      </c>
      <c r="K236" s="5" t="s">
        <v>3320</v>
      </c>
    </row>
    <row r="237" ht="15.75" customHeight="1">
      <c r="A237" s="3" t="s">
        <v>3655</v>
      </c>
      <c r="B237" s="3"/>
      <c r="C237" s="24">
        <v>45733.41063657407</v>
      </c>
      <c r="D237" s="3">
        <v>116.0</v>
      </c>
      <c r="E237" s="3">
        <v>99600.0</v>
      </c>
      <c r="F237" s="3" t="s">
        <v>3272</v>
      </c>
      <c r="G237" s="3">
        <v>8000.0</v>
      </c>
      <c r="H237" s="3">
        <v>54400.0</v>
      </c>
      <c r="K237" s="5" t="s">
        <v>3320</v>
      </c>
    </row>
    <row r="238" ht="15.75" customHeight="1">
      <c r="A238" s="3" t="s">
        <v>3656</v>
      </c>
      <c r="B238" s="3"/>
      <c r="C238" s="24">
        <v>45733.415613425925</v>
      </c>
      <c r="D238" s="3">
        <v>91.0</v>
      </c>
      <c r="E238" s="3">
        <v>86000.0</v>
      </c>
      <c r="F238" s="3" t="s">
        <v>3583</v>
      </c>
      <c r="G238" s="3">
        <v>45700.0</v>
      </c>
      <c r="H238" s="3">
        <v>52200.0</v>
      </c>
      <c r="I238" s="5" t="s">
        <v>3657</v>
      </c>
      <c r="K238" s="5" t="s">
        <v>3294</v>
      </c>
    </row>
    <row r="239" ht="15.75" customHeight="1">
      <c r="A239" s="3" t="s">
        <v>3658</v>
      </c>
      <c r="B239" s="3"/>
      <c r="C239" s="24">
        <v>45733.42104166667</v>
      </c>
      <c r="D239" s="3">
        <v>79.0</v>
      </c>
      <c r="E239" s="3">
        <v>26000.0</v>
      </c>
      <c r="F239" s="3" t="s">
        <v>3615</v>
      </c>
      <c r="G239" s="3">
        <v>14500.0</v>
      </c>
      <c r="H239" s="3">
        <v>16650.0</v>
      </c>
      <c r="K239" s="5" t="s">
        <v>3294</v>
      </c>
    </row>
    <row r="240" ht="15.75" customHeight="1">
      <c r="A240" s="3" t="s">
        <v>3659</v>
      </c>
      <c r="B240" s="3"/>
      <c r="C240" s="24">
        <v>45733.42167824074</v>
      </c>
      <c r="D240" s="3">
        <v>76.0</v>
      </c>
      <c r="E240" s="3">
        <v>25500.0</v>
      </c>
      <c r="F240" s="3" t="s">
        <v>3583</v>
      </c>
      <c r="G240" s="3">
        <v>15000.0</v>
      </c>
      <c r="H240" s="3">
        <v>16600.0</v>
      </c>
      <c r="K240" s="5" t="s">
        <v>3294</v>
      </c>
    </row>
    <row r="241" ht="15.75" customHeight="1">
      <c r="A241" s="3" t="s">
        <v>3660</v>
      </c>
      <c r="B241" s="3"/>
      <c r="C241" s="24">
        <v>45733.42190972222</v>
      </c>
      <c r="D241" s="3">
        <v>77.0</v>
      </c>
      <c r="E241" s="3">
        <v>26000.0</v>
      </c>
      <c r="F241" s="3" t="s">
        <v>3583</v>
      </c>
      <c r="G241" s="3">
        <v>11300.0</v>
      </c>
      <c r="H241" s="3">
        <v>12900.0</v>
      </c>
      <c r="K241" s="5" t="s">
        <v>3294</v>
      </c>
    </row>
    <row r="242" ht="15.75" customHeight="1">
      <c r="A242" s="3" t="s">
        <v>3661</v>
      </c>
      <c r="B242" s="3"/>
      <c r="C242" s="24">
        <v>45733.72017361111</v>
      </c>
      <c r="D242" s="3">
        <v>83.0</v>
      </c>
      <c r="E242" s="3">
        <v>81500.0</v>
      </c>
      <c r="F242" s="3" t="s">
        <v>3662</v>
      </c>
      <c r="G242" s="3"/>
      <c r="H242" s="3">
        <v>38500.0</v>
      </c>
      <c r="I242" s="5" t="s">
        <v>3663</v>
      </c>
      <c r="J242" s="5" t="s">
        <v>3664</v>
      </c>
      <c r="K242" s="5" t="s">
        <v>3294</v>
      </c>
    </row>
    <row r="243" ht="15.75" customHeight="1">
      <c r="A243" s="3" t="s">
        <v>3665</v>
      </c>
      <c r="B243" s="3"/>
      <c r="C243" s="24">
        <v>45733.80123842593</v>
      </c>
      <c r="D243" s="3">
        <v>500.0</v>
      </c>
      <c r="E243" s="3">
        <v>200000.0</v>
      </c>
      <c r="F243" s="3" t="s">
        <v>3595</v>
      </c>
      <c r="G243" s="3">
        <v>1.0</v>
      </c>
      <c r="H243" s="3">
        <v>1.0</v>
      </c>
    </row>
    <row r="244" ht="15.75" customHeight="1">
      <c r="A244" s="3" t="s">
        <v>3666</v>
      </c>
      <c r="B244" s="3"/>
      <c r="C244" s="24">
        <v>45733.83259259259</v>
      </c>
      <c r="D244" s="3">
        <v>78.0</v>
      </c>
      <c r="E244" s="3">
        <v>25800.0</v>
      </c>
      <c r="F244" s="3" t="s">
        <v>3588</v>
      </c>
      <c r="G244" s="3">
        <v>11350.0</v>
      </c>
      <c r="H244" s="3">
        <v>13350.0</v>
      </c>
      <c r="I244" s="5" t="s">
        <v>3667</v>
      </c>
      <c r="K244" s="5" t="s">
        <v>3294</v>
      </c>
    </row>
    <row r="245" ht="15.75" customHeight="1">
      <c r="A245" s="3" t="s">
        <v>3668</v>
      </c>
      <c r="B245" s="3"/>
      <c r="C245" s="24">
        <v>45733.842256944445</v>
      </c>
      <c r="D245" s="3">
        <v>90.0</v>
      </c>
      <c r="E245" s="3">
        <v>97500.0</v>
      </c>
      <c r="F245" s="3" t="s">
        <v>3601</v>
      </c>
      <c r="G245" s="3">
        <v>52900.0</v>
      </c>
      <c r="H245" s="3">
        <v>61800.0</v>
      </c>
      <c r="K245" s="5" t="s">
        <v>3294</v>
      </c>
    </row>
    <row r="246" ht="15.75" customHeight="1">
      <c r="A246" s="3" t="s">
        <v>3669</v>
      </c>
      <c r="B246" s="3"/>
      <c r="C246" s="24">
        <v>45733.84459490741</v>
      </c>
      <c r="D246" s="3">
        <v>90.0</v>
      </c>
      <c r="E246" s="3">
        <v>97500.0</v>
      </c>
      <c r="F246" s="3" t="s">
        <v>3601</v>
      </c>
      <c r="G246" s="3">
        <v>61800.0</v>
      </c>
      <c r="H246" s="3">
        <v>74000.0</v>
      </c>
      <c r="K246" s="5" t="s">
        <v>3294</v>
      </c>
    </row>
    <row r="247" ht="15.75" customHeight="1">
      <c r="A247" s="3" t="s">
        <v>3670</v>
      </c>
      <c r="B247" s="3"/>
      <c r="C247" s="24">
        <v>45734.36574074074</v>
      </c>
      <c r="D247" s="3">
        <v>500.0</v>
      </c>
      <c r="E247" s="3">
        <v>200000.0</v>
      </c>
      <c r="F247" s="3" t="s">
        <v>3595</v>
      </c>
      <c r="G247" s="3">
        <v>-12199.0</v>
      </c>
      <c r="H247" s="3">
        <v>-13049.0</v>
      </c>
    </row>
    <row r="248" ht="15.75" customHeight="1">
      <c r="A248" s="3" t="s">
        <v>3671</v>
      </c>
      <c r="B248" s="3"/>
      <c r="C248" s="24">
        <v>45734.366736111115</v>
      </c>
      <c r="D248" s="3">
        <v>500.0</v>
      </c>
      <c r="E248" s="3">
        <v>200000.0</v>
      </c>
      <c r="F248" s="3" t="s">
        <v>3595</v>
      </c>
      <c r="G248" s="3">
        <v>-13049.0</v>
      </c>
      <c r="H248" s="3">
        <v>-13749.0</v>
      </c>
    </row>
    <row r="249" ht="15.75" customHeight="1">
      <c r="A249" s="3" t="s">
        <v>3672</v>
      </c>
      <c r="B249" s="3"/>
      <c r="C249" s="24">
        <v>45734.368252314816</v>
      </c>
      <c r="D249" s="3">
        <v>500.0</v>
      </c>
      <c r="E249" s="3">
        <v>200000.0</v>
      </c>
      <c r="F249" s="3" t="s">
        <v>3595</v>
      </c>
      <c r="G249" s="3">
        <v>-13749.0</v>
      </c>
      <c r="H249" s="3">
        <v>-13199.0</v>
      </c>
    </row>
    <row r="250" ht="15.75" customHeight="1">
      <c r="A250" s="3" t="s">
        <v>3673</v>
      </c>
      <c r="B250" s="3"/>
      <c r="C250" s="24">
        <v>45734.36880787037</v>
      </c>
      <c r="D250" s="3">
        <v>500.0</v>
      </c>
      <c r="E250" s="3">
        <v>200000.0</v>
      </c>
      <c r="F250" s="3" t="s">
        <v>3595</v>
      </c>
      <c r="G250" s="3">
        <v>-13199.0</v>
      </c>
      <c r="H250" s="3">
        <v>-12199.0</v>
      </c>
    </row>
    <row r="251" ht="15.75" customHeight="1">
      <c r="A251" s="3" t="s">
        <v>3674</v>
      </c>
      <c r="B251" s="3"/>
      <c r="C251" s="24">
        <v>45734.369733796295</v>
      </c>
      <c r="D251" s="3">
        <v>500.0</v>
      </c>
      <c r="E251" s="3">
        <v>200000.0</v>
      </c>
      <c r="F251" s="3" t="s">
        <v>3595</v>
      </c>
      <c r="G251" s="3">
        <v>-12199.0</v>
      </c>
      <c r="H251" s="3">
        <v>-9599.0</v>
      </c>
    </row>
    <row r="252" ht="15.75" customHeight="1">
      <c r="A252" s="3" t="s">
        <v>3675</v>
      </c>
      <c r="B252" s="3"/>
      <c r="C252" s="24">
        <v>45734.37050925926</v>
      </c>
      <c r="D252" s="3">
        <v>500.0</v>
      </c>
      <c r="E252" s="3">
        <v>200000.0</v>
      </c>
      <c r="F252" s="3" t="s">
        <v>3595</v>
      </c>
      <c r="G252" s="3">
        <v>-9599.0</v>
      </c>
      <c r="H252" s="3">
        <v>-12699.0</v>
      </c>
    </row>
    <row r="253" ht="15.75" customHeight="1">
      <c r="A253" s="3" t="s">
        <v>3676</v>
      </c>
      <c r="B253" s="3"/>
      <c r="C253" s="24">
        <v>45734.372453703705</v>
      </c>
      <c r="D253" s="3">
        <v>500.0</v>
      </c>
      <c r="E253" s="3">
        <v>200000.0</v>
      </c>
      <c r="F253" s="3" t="s">
        <v>3595</v>
      </c>
      <c r="G253" s="3">
        <v>-12699.0</v>
      </c>
      <c r="H253" s="3">
        <v>-17349.0</v>
      </c>
    </row>
    <row r="254" ht="15.75" customHeight="1">
      <c r="A254" s="3" t="s">
        <v>3677</v>
      </c>
      <c r="B254" s="3"/>
      <c r="C254" s="24">
        <v>45734.3746875</v>
      </c>
      <c r="D254" s="3">
        <v>500.0</v>
      </c>
      <c r="E254" s="3">
        <v>200000.0</v>
      </c>
      <c r="F254" s="3" t="s">
        <v>3595</v>
      </c>
      <c r="G254" s="3">
        <v>-17349.0</v>
      </c>
      <c r="H254" s="3">
        <v>-20699.0</v>
      </c>
    </row>
    <row r="255" ht="15.75" customHeight="1">
      <c r="A255" s="3" t="s">
        <v>3678</v>
      </c>
      <c r="B255" s="3"/>
      <c r="C255" s="24">
        <v>45734.375289351854</v>
      </c>
      <c r="D255" s="3">
        <v>500.0</v>
      </c>
      <c r="E255" s="3">
        <v>200000.0</v>
      </c>
      <c r="F255" s="3" t="s">
        <v>3595</v>
      </c>
      <c r="G255" s="3">
        <v>-20699.0</v>
      </c>
      <c r="H255" s="3">
        <v>-23399.0</v>
      </c>
    </row>
    <row r="256" ht="15.75" customHeight="1">
      <c r="A256" s="3" t="s">
        <v>3679</v>
      </c>
      <c r="B256" s="3"/>
      <c r="C256" s="24">
        <v>45734.37609953704</v>
      </c>
      <c r="D256" s="3">
        <v>500.0</v>
      </c>
      <c r="E256" s="3">
        <v>200000.0</v>
      </c>
      <c r="F256" s="3" t="s">
        <v>3595</v>
      </c>
      <c r="G256" s="3">
        <v>-23399.0</v>
      </c>
      <c r="H256" s="3">
        <v>-24399.0</v>
      </c>
    </row>
    <row r="257" ht="15.75" customHeight="1">
      <c r="A257" s="3" t="s">
        <v>3680</v>
      </c>
      <c r="B257" s="3"/>
      <c r="C257" s="24">
        <v>45734.376921296294</v>
      </c>
      <c r="D257" s="3">
        <v>500.0</v>
      </c>
      <c r="E257" s="3">
        <v>200000.0</v>
      </c>
      <c r="F257" s="3" t="s">
        <v>3595</v>
      </c>
      <c r="G257" s="3">
        <v>-24399.0</v>
      </c>
      <c r="H257" s="3">
        <v>-20299.0</v>
      </c>
    </row>
    <row r="258" ht="15.75" customHeight="1">
      <c r="A258" s="3" t="s">
        <v>3681</v>
      </c>
      <c r="B258" s="3"/>
      <c r="C258" s="24">
        <v>45734.37736111111</v>
      </c>
      <c r="D258" s="3">
        <v>500.0</v>
      </c>
      <c r="E258" s="3">
        <v>200000.0</v>
      </c>
      <c r="F258" s="3" t="s">
        <v>3595</v>
      </c>
      <c r="G258" s="3">
        <v>-20299.0</v>
      </c>
      <c r="H258" s="3">
        <v>-17799.0</v>
      </c>
    </row>
    <row r="259" ht="15.75" customHeight="1">
      <c r="A259" s="4" t="s">
        <v>3682</v>
      </c>
      <c r="B259" s="3"/>
      <c r="C259" s="24">
        <v>45734.377847222226</v>
      </c>
      <c r="D259" s="3">
        <v>500.0</v>
      </c>
      <c r="E259" s="3">
        <v>200000.0</v>
      </c>
      <c r="F259" s="3" t="s">
        <v>3595</v>
      </c>
      <c r="G259" s="3">
        <v>-17799.0</v>
      </c>
      <c r="H259" s="3">
        <v>-20599.0</v>
      </c>
    </row>
    <row r="260" ht="15.75" customHeight="1">
      <c r="A260" s="3" t="s">
        <v>3683</v>
      </c>
      <c r="B260" s="3"/>
      <c r="C260" s="24">
        <v>45734.378333333334</v>
      </c>
      <c r="D260" s="3">
        <v>500.0</v>
      </c>
      <c r="E260" s="3">
        <v>200000.0</v>
      </c>
      <c r="F260" s="3" t="s">
        <v>3595</v>
      </c>
      <c r="G260" s="3">
        <v>-20599.0</v>
      </c>
      <c r="H260" s="3">
        <v>-19599.0</v>
      </c>
    </row>
    <row r="261" ht="15.75" customHeight="1">
      <c r="A261" s="3" t="s">
        <v>3684</v>
      </c>
      <c r="B261" s="3"/>
      <c r="C261" s="24">
        <v>45734.378842592596</v>
      </c>
      <c r="D261" s="3">
        <v>500.0</v>
      </c>
      <c r="E261" s="3">
        <v>200000.0</v>
      </c>
      <c r="F261" s="3" t="s">
        <v>3595</v>
      </c>
      <c r="G261" s="3">
        <v>-19599.0</v>
      </c>
      <c r="H261" s="3">
        <v>-22299.0</v>
      </c>
    </row>
    <row r="262" ht="15.75" customHeight="1">
      <c r="A262" s="3" t="s">
        <v>3685</v>
      </c>
      <c r="B262" s="3"/>
      <c r="C262" s="24">
        <v>45734.379525462966</v>
      </c>
      <c r="D262" s="3">
        <v>500.0</v>
      </c>
      <c r="E262" s="3">
        <v>200000.0</v>
      </c>
      <c r="F262" s="3" t="s">
        <v>3595</v>
      </c>
      <c r="G262" s="3">
        <v>-22299.0</v>
      </c>
      <c r="H262" s="3">
        <v>-19699.0</v>
      </c>
    </row>
    <row r="263" ht="15.75" customHeight="1">
      <c r="A263" s="3" t="s">
        <v>3686</v>
      </c>
      <c r="B263" s="3"/>
      <c r="C263" s="24">
        <v>45734.37998842593</v>
      </c>
      <c r="D263" s="3">
        <v>500.0</v>
      </c>
      <c r="E263" s="3">
        <v>200000.0</v>
      </c>
      <c r="F263" s="3" t="s">
        <v>3595</v>
      </c>
      <c r="G263" s="3">
        <v>-19699.0</v>
      </c>
      <c r="H263" s="3">
        <v>-18699.0</v>
      </c>
    </row>
    <row r="264" ht="15.75" customHeight="1">
      <c r="A264" s="3" t="s">
        <v>3687</v>
      </c>
      <c r="B264" s="3"/>
      <c r="C264" s="24">
        <v>45734.3806712963</v>
      </c>
      <c r="D264" s="3">
        <v>500.0</v>
      </c>
      <c r="E264" s="3">
        <v>200000.0</v>
      </c>
      <c r="F264" s="3" t="s">
        <v>3595</v>
      </c>
      <c r="G264" s="3">
        <v>-18699.0</v>
      </c>
      <c r="H264" s="3">
        <v>19300.0</v>
      </c>
      <c r="I264" s="5" t="s">
        <v>3688</v>
      </c>
      <c r="K264" s="5" t="s">
        <v>3342</v>
      </c>
    </row>
    <row r="265" ht="15.75" customHeight="1">
      <c r="A265" s="3" t="s">
        <v>3689</v>
      </c>
      <c r="B265" s="3"/>
      <c r="C265" s="24">
        <v>45734.38667824074</v>
      </c>
      <c r="D265" s="3">
        <v>42.0</v>
      </c>
      <c r="E265" s="3">
        <v>35900.0</v>
      </c>
      <c r="F265" s="3" t="s">
        <v>3386</v>
      </c>
      <c r="G265" s="3">
        <v>32900.0</v>
      </c>
      <c r="H265" s="3">
        <v>35900.0</v>
      </c>
      <c r="K265" s="5" t="s">
        <v>3605</v>
      </c>
    </row>
    <row r="266" ht="15.75" customHeight="1">
      <c r="A266" s="3" t="s">
        <v>3690</v>
      </c>
      <c r="B266" s="3"/>
      <c r="C266" s="24">
        <v>45734.38810185185</v>
      </c>
      <c r="D266" s="3">
        <v>46.0</v>
      </c>
      <c r="E266" s="3">
        <v>29000.0</v>
      </c>
      <c r="F266" s="3" t="s">
        <v>3332</v>
      </c>
      <c r="G266" s="3">
        <v>0.0</v>
      </c>
      <c r="H266" s="3">
        <v>29000.0</v>
      </c>
      <c r="K266" s="5" t="s">
        <v>3605</v>
      </c>
    </row>
    <row r="267" ht="15.75" customHeight="1">
      <c r="A267" s="3" t="s">
        <v>3691</v>
      </c>
      <c r="B267" s="3"/>
      <c r="C267" s="24">
        <v>45734.39407407407</v>
      </c>
      <c r="D267" s="3">
        <v>65.0</v>
      </c>
      <c r="E267" s="3">
        <v>35500.0</v>
      </c>
      <c r="F267" s="3" t="s">
        <v>3692</v>
      </c>
      <c r="G267" s="3"/>
      <c r="H267" s="3">
        <v>20800.0</v>
      </c>
      <c r="I267" s="5" t="s">
        <v>3693</v>
      </c>
      <c r="J267" s="5" t="s">
        <v>3694</v>
      </c>
      <c r="K267" s="5" t="s">
        <v>3294</v>
      </c>
    </row>
    <row r="268" ht="15.75" customHeight="1">
      <c r="A268" s="3" t="s">
        <v>3695</v>
      </c>
      <c r="B268" s="3"/>
      <c r="C268" s="24">
        <v>45734.56253472222</v>
      </c>
      <c r="D268" s="3">
        <v>96.0</v>
      </c>
      <c r="E268" s="3">
        <v>85600.0</v>
      </c>
      <c r="F268" s="3" t="s">
        <v>3638</v>
      </c>
      <c r="G268" s="3">
        <v>45000.0</v>
      </c>
      <c r="H268" s="3">
        <v>53100.0</v>
      </c>
      <c r="I268" s="5" t="s">
        <v>3657</v>
      </c>
      <c r="K268" s="5" t="s">
        <v>3294</v>
      </c>
    </row>
    <row r="269" ht="15.75" customHeight="1">
      <c r="A269" s="3" t="s">
        <v>3696</v>
      </c>
      <c r="B269" s="3"/>
      <c r="C269" s="24">
        <v>45734.56324074074</v>
      </c>
      <c r="D269" s="3">
        <v>105.0</v>
      </c>
      <c r="E269" s="3">
        <v>31000.0</v>
      </c>
      <c r="F269" s="3" t="s">
        <v>3439</v>
      </c>
      <c r="G269" s="3">
        <v>30000.0</v>
      </c>
      <c r="H269" s="3">
        <v>31000.0</v>
      </c>
      <c r="K269" s="5" t="s">
        <v>3320</v>
      </c>
    </row>
    <row r="270" ht="15.75" customHeight="1">
      <c r="A270" s="3" t="s">
        <v>3697</v>
      </c>
      <c r="B270" s="3"/>
      <c r="C270" s="24">
        <v>45734.5634375</v>
      </c>
      <c r="D270" s="3">
        <v>108.0</v>
      </c>
      <c r="E270" s="3">
        <v>31000.0</v>
      </c>
      <c r="F270" s="3" t="s">
        <v>3408</v>
      </c>
      <c r="G270" s="3">
        <v>30000.0</v>
      </c>
      <c r="H270" s="3">
        <v>31000.0</v>
      </c>
      <c r="K270" s="5" t="s">
        <v>3320</v>
      </c>
    </row>
    <row r="271" ht="15.75" customHeight="1">
      <c r="A271" s="3" t="s">
        <v>3698</v>
      </c>
      <c r="B271" s="3"/>
      <c r="C271" s="24">
        <v>45734.56358796296</v>
      </c>
      <c r="D271" s="3">
        <v>109.0</v>
      </c>
      <c r="E271" s="3">
        <v>15600.0</v>
      </c>
      <c r="F271" s="3" t="s">
        <v>3452</v>
      </c>
      <c r="G271" s="3">
        <v>15000.0</v>
      </c>
      <c r="H271" s="3">
        <v>15600.0</v>
      </c>
      <c r="K271" s="5" t="s">
        <v>3320</v>
      </c>
    </row>
    <row r="272" ht="15.75" customHeight="1">
      <c r="A272" s="3" t="s">
        <v>3699</v>
      </c>
      <c r="B272" s="3"/>
      <c r="C272" s="24">
        <v>45734.56375</v>
      </c>
      <c r="D272" s="3">
        <v>110.0</v>
      </c>
      <c r="E272" s="3">
        <v>15600.0</v>
      </c>
      <c r="F272" s="3" t="s">
        <v>3456</v>
      </c>
      <c r="G272" s="3">
        <v>15000.0</v>
      </c>
      <c r="H272" s="3">
        <v>15600.0</v>
      </c>
      <c r="K272" s="5" t="s">
        <v>3320</v>
      </c>
    </row>
    <row r="273" ht="15.75" customHeight="1">
      <c r="A273" s="3" t="s">
        <v>3700</v>
      </c>
      <c r="B273" s="3"/>
      <c r="C273" s="24">
        <v>45734.5640625</v>
      </c>
      <c r="D273" s="3">
        <v>114.0</v>
      </c>
      <c r="E273" s="3">
        <v>125300.0</v>
      </c>
      <c r="F273" s="3" t="s">
        <v>3330</v>
      </c>
      <c r="G273" s="3">
        <v>0.0</v>
      </c>
      <c r="H273" s="3">
        <v>7800.0</v>
      </c>
      <c r="K273" s="5" t="s">
        <v>3605</v>
      </c>
    </row>
    <row r="274" ht="15.75" customHeight="1">
      <c r="A274" s="3" t="s">
        <v>3701</v>
      </c>
      <c r="B274" s="3"/>
      <c r="C274" s="24">
        <v>45734.67408564815</v>
      </c>
      <c r="D274" s="3">
        <v>114.0</v>
      </c>
      <c r="E274" s="3">
        <v>125300.0</v>
      </c>
      <c r="F274" s="3" t="s">
        <v>3272</v>
      </c>
      <c r="G274" s="3">
        <v>7800.0</v>
      </c>
      <c r="H274" s="3">
        <v>38800.0</v>
      </c>
      <c r="K274" s="5" t="s">
        <v>3605</v>
      </c>
    </row>
    <row r="275" ht="15.75" customHeight="1">
      <c r="A275" s="3" t="s">
        <v>3702</v>
      </c>
      <c r="B275" s="3"/>
      <c r="C275" s="24">
        <v>45734.67456018519</v>
      </c>
      <c r="D275" s="3">
        <v>114.0</v>
      </c>
      <c r="E275" s="3">
        <v>125300.0</v>
      </c>
      <c r="F275" s="3" t="s">
        <v>3272</v>
      </c>
      <c r="G275" s="3">
        <v>38800.0</v>
      </c>
      <c r="H275" s="3">
        <v>69800.0</v>
      </c>
      <c r="K275" s="5" t="s">
        <v>3605</v>
      </c>
    </row>
    <row r="276" ht="15.75" customHeight="1">
      <c r="A276" s="3" t="s">
        <v>3703</v>
      </c>
      <c r="B276" s="3"/>
      <c r="C276" s="24">
        <v>45734.67481481482</v>
      </c>
      <c r="D276" s="3">
        <v>114.0</v>
      </c>
      <c r="E276" s="3">
        <v>125300.0</v>
      </c>
      <c r="F276" s="3" t="s">
        <v>3272</v>
      </c>
      <c r="G276" s="3">
        <v>69800.0</v>
      </c>
      <c r="H276" s="3">
        <v>85400.0</v>
      </c>
      <c r="K276" s="5" t="s">
        <v>3605</v>
      </c>
    </row>
    <row r="277" ht="15.75" customHeight="1">
      <c r="A277" s="3" t="s">
        <v>3704</v>
      </c>
      <c r="B277" s="3"/>
      <c r="C277" s="24">
        <v>45734.67517361111</v>
      </c>
      <c r="D277" s="3">
        <v>114.0</v>
      </c>
      <c r="E277" s="3">
        <v>125300.0</v>
      </c>
      <c r="F277" s="3" t="s">
        <v>3272</v>
      </c>
      <c r="G277" s="3">
        <v>85400.0</v>
      </c>
      <c r="H277" s="3">
        <v>101000.0</v>
      </c>
      <c r="K277" s="5" t="s">
        <v>3605</v>
      </c>
    </row>
    <row r="278" ht="15.75" customHeight="1">
      <c r="A278" s="3" t="s">
        <v>3705</v>
      </c>
      <c r="B278" s="3"/>
      <c r="C278" s="24">
        <v>45734.67613425926</v>
      </c>
      <c r="D278" s="3">
        <v>110.0</v>
      </c>
      <c r="E278" s="3">
        <v>15600.0</v>
      </c>
      <c r="F278" s="3" t="s">
        <v>3706</v>
      </c>
      <c r="G278" s="3">
        <v>0.0</v>
      </c>
      <c r="H278" s="3">
        <v>2000.0</v>
      </c>
      <c r="K278" s="5" t="s">
        <v>3605</v>
      </c>
    </row>
    <row r="279" ht="15.75" customHeight="1">
      <c r="A279" s="3" t="s">
        <v>3707</v>
      </c>
      <c r="B279" s="3"/>
      <c r="C279" s="24">
        <v>45734.711701388886</v>
      </c>
      <c r="D279" s="3">
        <v>67.0</v>
      </c>
      <c r="E279" s="3">
        <v>23000.0</v>
      </c>
      <c r="F279" s="3" t="s">
        <v>3662</v>
      </c>
      <c r="G279" s="3"/>
      <c r="H279" s="3">
        <v>17100.0</v>
      </c>
      <c r="J279" s="5" t="s">
        <v>3708</v>
      </c>
      <c r="K279" s="5" t="s">
        <v>3294</v>
      </c>
    </row>
    <row r="280" ht="15.75" customHeight="1">
      <c r="A280" s="3" t="s">
        <v>3709</v>
      </c>
      <c r="B280" s="3"/>
      <c r="C280" s="24">
        <v>45735.50612268518</v>
      </c>
      <c r="D280" s="3">
        <v>86.0</v>
      </c>
      <c r="E280" s="3">
        <v>88000.0</v>
      </c>
      <c r="F280" s="3" t="s">
        <v>3272</v>
      </c>
      <c r="G280" s="3">
        <v>50000.0</v>
      </c>
      <c r="H280" s="3">
        <v>52500.0</v>
      </c>
      <c r="I280" s="5" t="s">
        <v>3710</v>
      </c>
      <c r="K280" s="5" t="s">
        <v>3294</v>
      </c>
    </row>
    <row r="281" ht="15.75" customHeight="1">
      <c r="A281" s="3" t="s">
        <v>3711</v>
      </c>
      <c r="B281" s="3"/>
      <c r="C281" s="24">
        <v>45735.5090162037</v>
      </c>
      <c r="D281" s="3">
        <v>116.0</v>
      </c>
      <c r="E281" s="3">
        <v>99600.0</v>
      </c>
      <c r="F281" s="3" t="s">
        <v>3272</v>
      </c>
      <c r="G281" s="3">
        <v>55000.0</v>
      </c>
      <c r="H281" s="3">
        <v>99600.0</v>
      </c>
      <c r="K281" s="5" t="s">
        <v>3320</v>
      </c>
    </row>
    <row r="282" ht="15.75" customHeight="1">
      <c r="A282" s="3" t="s">
        <v>3712</v>
      </c>
      <c r="B282" s="3"/>
      <c r="C282" s="24">
        <v>45735.5096875</v>
      </c>
      <c r="D282" s="3">
        <v>103.0</v>
      </c>
      <c r="E282" s="3">
        <v>31000.0</v>
      </c>
      <c r="F282" s="3" t="s">
        <v>3272</v>
      </c>
      <c r="G282" s="3">
        <v>0.0</v>
      </c>
      <c r="H282" s="3">
        <v>7400.0</v>
      </c>
      <c r="K282" s="5" t="s">
        <v>3320</v>
      </c>
    </row>
    <row r="283" ht="15.75" customHeight="1">
      <c r="A283" s="3" t="s">
        <v>3713</v>
      </c>
      <c r="B283" s="3"/>
      <c r="C283" s="24">
        <v>45735.510347222225</v>
      </c>
      <c r="D283" s="3">
        <v>110.0</v>
      </c>
      <c r="E283" s="3">
        <v>15600.0</v>
      </c>
      <c r="F283" s="3" t="s">
        <v>3706</v>
      </c>
      <c r="G283" s="3">
        <v>2000.0</v>
      </c>
      <c r="H283" s="3">
        <v>3000.0</v>
      </c>
      <c r="K283" s="5" t="s">
        <v>3320</v>
      </c>
    </row>
    <row r="284" ht="15.75" customHeight="1">
      <c r="A284" s="3" t="s">
        <v>3714</v>
      </c>
      <c r="B284" s="3"/>
      <c r="C284" s="24">
        <v>45735.512453703705</v>
      </c>
      <c r="D284" s="3"/>
      <c r="E284" s="3"/>
      <c r="F284" s="3" t="s">
        <v>3524</v>
      </c>
      <c r="G284" s="3"/>
      <c r="H284" s="3">
        <v>0.0</v>
      </c>
      <c r="K284" s="5" t="s">
        <v>3715</v>
      </c>
    </row>
    <row r="285" ht="15.75" customHeight="1">
      <c r="A285" s="3" t="s">
        <v>3716</v>
      </c>
      <c r="B285" s="3"/>
      <c r="C285" s="24">
        <v>45735.514328703706</v>
      </c>
      <c r="D285" s="3">
        <v>500.0</v>
      </c>
      <c r="E285" s="3">
        <v>200000.0</v>
      </c>
      <c r="F285" s="3" t="s">
        <v>3524</v>
      </c>
      <c r="G285" s="3">
        <v>0.0</v>
      </c>
      <c r="H285" s="3">
        <v>29000.0</v>
      </c>
      <c r="K285" s="5" t="s">
        <v>3342</v>
      </c>
    </row>
    <row r="286" ht="15.75" customHeight="1">
      <c r="A286" s="3" t="s">
        <v>3717</v>
      </c>
      <c r="B286" s="3"/>
      <c r="C286" s="24">
        <v>45735.51460648148</v>
      </c>
      <c r="D286" s="3">
        <v>500.0</v>
      </c>
      <c r="E286" s="3">
        <v>200000.0</v>
      </c>
      <c r="F286" s="3" t="s">
        <v>3524</v>
      </c>
      <c r="G286" s="3">
        <v>29000.0</v>
      </c>
      <c r="H286" s="3">
        <v>106100.0</v>
      </c>
      <c r="K286" s="5" t="s">
        <v>3342</v>
      </c>
    </row>
    <row r="287" ht="15.75" customHeight="1">
      <c r="A287" s="3" t="s">
        <v>3718</v>
      </c>
      <c r="B287" s="3"/>
      <c r="C287" s="24">
        <v>45735.51513888889</v>
      </c>
      <c r="D287" s="3">
        <v>500.0</v>
      </c>
      <c r="E287" s="3">
        <v>200000.0</v>
      </c>
      <c r="F287" s="3" t="s">
        <v>3524</v>
      </c>
      <c r="G287" s="3">
        <v>106100.0</v>
      </c>
      <c r="H287" s="3">
        <v>300400.0</v>
      </c>
      <c r="K287" s="5" t="s">
        <v>3342</v>
      </c>
    </row>
    <row r="288" ht="15.75" customHeight="1">
      <c r="A288" s="3" t="s">
        <v>3719</v>
      </c>
      <c r="B288" s="3"/>
      <c r="C288" s="24">
        <v>45735.51552083333</v>
      </c>
      <c r="D288" s="3">
        <v>500.0</v>
      </c>
      <c r="E288" s="3">
        <v>200000.0</v>
      </c>
      <c r="F288" s="3" t="s">
        <v>3524</v>
      </c>
      <c r="G288" s="3">
        <v>300400.0</v>
      </c>
      <c r="H288" s="3">
        <v>487000.0</v>
      </c>
      <c r="I288" s="5" t="s">
        <v>3720</v>
      </c>
      <c r="K288" s="5" t="s">
        <v>3342</v>
      </c>
    </row>
    <row r="289" ht="15.75" customHeight="1">
      <c r="A289" s="3" t="s">
        <v>3721</v>
      </c>
      <c r="B289" s="3"/>
      <c r="C289" s="24">
        <v>45735.686273148145</v>
      </c>
      <c r="D289" s="3">
        <v>79.0</v>
      </c>
      <c r="E289" s="3">
        <v>26000.0</v>
      </c>
      <c r="F289" s="3" t="s">
        <v>3615</v>
      </c>
      <c r="G289" s="3">
        <v>20000.0</v>
      </c>
      <c r="H289" s="3">
        <v>22860.0</v>
      </c>
      <c r="I289" s="5" t="s">
        <v>3722</v>
      </c>
      <c r="K289" s="5" t="s">
        <v>3294</v>
      </c>
    </row>
    <row r="290" ht="15.75" customHeight="1">
      <c r="A290" s="3" t="s">
        <v>3723</v>
      </c>
      <c r="B290" s="3"/>
      <c r="C290" s="24">
        <v>45735.8281712963</v>
      </c>
      <c r="D290" s="3">
        <v>103.0</v>
      </c>
      <c r="E290" s="3">
        <v>31000.0</v>
      </c>
      <c r="F290" s="3" t="s">
        <v>3466</v>
      </c>
      <c r="G290" s="3">
        <v>7400.0</v>
      </c>
      <c r="H290" s="3">
        <v>20400.0</v>
      </c>
      <c r="K290" s="5" t="s">
        <v>3320</v>
      </c>
    </row>
    <row r="291" ht="15.75" customHeight="1">
      <c r="A291" s="3" t="s">
        <v>3724</v>
      </c>
      <c r="B291" s="3"/>
      <c r="C291" s="24">
        <v>45736.35959490741</v>
      </c>
      <c r="D291" s="3">
        <v>84.0</v>
      </c>
      <c r="E291" s="3">
        <v>83000.0</v>
      </c>
      <c r="F291" s="3" t="s">
        <v>3725</v>
      </c>
      <c r="G291" s="3"/>
      <c r="H291" s="3">
        <v>38000.0</v>
      </c>
      <c r="I291" s="5" t="s">
        <v>3726</v>
      </c>
      <c r="J291" s="5" t="s">
        <v>3727</v>
      </c>
      <c r="K291" s="5" t="s">
        <v>3294</v>
      </c>
    </row>
    <row r="292" ht="15.75" customHeight="1">
      <c r="A292" s="3" t="s">
        <v>3728</v>
      </c>
      <c r="B292" s="3"/>
      <c r="C292" s="24">
        <v>45736.36305555556</v>
      </c>
      <c r="D292" s="3">
        <v>103.0</v>
      </c>
      <c r="E292" s="3">
        <v>31000.0</v>
      </c>
      <c r="F292" s="3" t="s">
        <v>3466</v>
      </c>
      <c r="G292" s="3">
        <v>20400.0</v>
      </c>
      <c r="H292" s="3">
        <v>36000.0</v>
      </c>
      <c r="K292" s="5" t="s">
        <v>3320</v>
      </c>
    </row>
    <row r="293" ht="15.75" customHeight="1">
      <c r="A293" s="3" t="s">
        <v>3729</v>
      </c>
      <c r="B293" s="3"/>
      <c r="C293" s="24">
        <v>45736.366944444446</v>
      </c>
      <c r="D293" s="3">
        <v>66.0</v>
      </c>
      <c r="E293" s="3">
        <v>23000.0</v>
      </c>
      <c r="F293" s="3" t="s">
        <v>3730</v>
      </c>
      <c r="G293" s="3">
        <v>5000.0</v>
      </c>
      <c r="H293" s="3">
        <v>15000.0</v>
      </c>
      <c r="K293" s="5" t="s">
        <v>3457</v>
      </c>
    </row>
    <row r="294" ht="15.75" customHeight="1">
      <c r="A294" s="3" t="s">
        <v>3731</v>
      </c>
      <c r="B294" s="3"/>
      <c r="C294" s="24">
        <v>45736.36760416667</v>
      </c>
      <c r="D294" s="3">
        <v>82.0</v>
      </c>
      <c r="E294" s="3">
        <v>42600.0</v>
      </c>
      <c r="F294" s="3" t="s">
        <v>3730</v>
      </c>
      <c r="G294" s="3">
        <v>4400.0</v>
      </c>
      <c r="H294" s="3">
        <v>32600.0</v>
      </c>
      <c r="I294" s="5" t="s">
        <v>3732</v>
      </c>
      <c r="K294" s="5" t="s">
        <v>3457</v>
      </c>
    </row>
    <row r="295" ht="15.75" customHeight="1">
      <c r="A295" s="3" t="s">
        <v>3733</v>
      </c>
      <c r="B295" s="3"/>
      <c r="C295" s="24">
        <v>45736.48925925926</v>
      </c>
      <c r="D295" s="3">
        <v>500.0</v>
      </c>
      <c r="E295" s="3">
        <v>200000.0</v>
      </c>
      <c r="F295" s="3" t="s">
        <v>3286</v>
      </c>
      <c r="G295" s="3">
        <v>0.0</v>
      </c>
      <c r="H295" s="3">
        <v>5000.0</v>
      </c>
      <c r="K295" s="5" t="s">
        <v>3342</v>
      </c>
    </row>
    <row r="296" ht="15.75" customHeight="1">
      <c r="A296" s="3" t="s">
        <v>3734</v>
      </c>
      <c r="B296" s="3"/>
      <c r="C296" s="24">
        <v>45736.78160879629</v>
      </c>
      <c r="D296" s="3">
        <v>114.0</v>
      </c>
      <c r="E296" s="3">
        <v>125300.0</v>
      </c>
      <c r="F296" s="3" t="s">
        <v>3272</v>
      </c>
      <c r="G296" s="3">
        <v>99000.0</v>
      </c>
      <c r="H296" s="3">
        <v>125300.0</v>
      </c>
      <c r="K296" s="5" t="s">
        <v>3605</v>
      </c>
    </row>
    <row r="297" ht="15.75" customHeight="1">
      <c r="A297" s="3" t="s">
        <v>3735</v>
      </c>
      <c r="B297" s="3"/>
      <c r="C297" s="24">
        <v>45736.78192129629</v>
      </c>
      <c r="D297" s="3">
        <v>104.0</v>
      </c>
      <c r="E297" s="3">
        <v>31000.0</v>
      </c>
      <c r="F297" s="3" t="s">
        <v>3272</v>
      </c>
      <c r="G297" s="3">
        <v>0.0</v>
      </c>
      <c r="H297" s="3">
        <v>700.0</v>
      </c>
      <c r="K297" s="5" t="s">
        <v>3605</v>
      </c>
    </row>
    <row r="298" ht="15.75" customHeight="1">
      <c r="A298" s="3" t="s">
        <v>3736</v>
      </c>
      <c r="B298" s="3"/>
      <c r="C298" s="24">
        <v>45736.79371527778</v>
      </c>
      <c r="D298" s="3">
        <v>12.0</v>
      </c>
      <c r="E298" s="3">
        <v>35300.0</v>
      </c>
      <c r="F298" s="3" t="s">
        <v>3737</v>
      </c>
      <c r="G298" s="3">
        <v>0.0</v>
      </c>
      <c r="H298" s="3">
        <v>4000.0</v>
      </c>
      <c r="K298" s="5" t="s">
        <v>3294</v>
      </c>
    </row>
    <row r="299" ht="15.75" customHeight="1">
      <c r="A299" s="3" t="s">
        <v>3738</v>
      </c>
      <c r="B299" s="3"/>
      <c r="C299" s="24">
        <v>45736.79552083334</v>
      </c>
      <c r="D299" s="3">
        <v>68.0</v>
      </c>
      <c r="E299" s="3">
        <v>13000.0</v>
      </c>
      <c r="F299" s="3" t="s">
        <v>3588</v>
      </c>
      <c r="G299" s="3">
        <v>0.0</v>
      </c>
      <c r="H299" s="3">
        <v>4200.0</v>
      </c>
      <c r="K299" s="5" t="s">
        <v>3320</v>
      </c>
    </row>
    <row r="300" ht="15.75" customHeight="1">
      <c r="A300" s="3" t="s">
        <v>3739</v>
      </c>
      <c r="B300" s="3"/>
      <c r="C300" s="24">
        <v>45736.79583333333</v>
      </c>
      <c r="D300" s="3">
        <v>68.0</v>
      </c>
      <c r="E300" s="3">
        <v>13000.0</v>
      </c>
      <c r="F300" s="3" t="s">
        <v>3588</v>
      </c>
      <c r="G300" s="3">
        <v>4200.0</v>
      </c>
      <c r="H300" s="3">
        <v>13000.0</v>
      </c>
      <c r="I300" s="5" t="s">
        <v>3740</v>
      </c>
      <c r="K300" s="5" t="s">
        <v>3320</v>
      </c>
    </row>
    <row r="301" ht="15.75" customHeight="1">
      <c r="A301" s="3" t="s">
        <v>3741</v>
      </c>
      <c r="B301" s="3"/>
      <c r="C301" s="24">
        <v>45736.79802083333</v>
      </c>
      <c r="D301" s="3">
        <v>51.0</v>
      </c>
      <c r="E301" s="3">
        <v>3900.0</v>
      </c>
      <c r="F301" s="3" t="s">
        <v>3588</v>
      </c>
      <c r="G301" s="3">
        <v>0.0</v>
      </c>
      <c r="H301" s="3">
        <v>3800.0</v>
      </c>
      <c r="K301" s="5" t="s">
        <v>3320</v>
      </c>
    </row>
    <row r="302" ht="15.75" customHeight="1">
      <c r="A302" s="3" t="s">
        <v>3742</v>
      </c>
      <c r="B302" s="3"/>
      <c r="C302" s="24">
        <v>45736.858078703706</v>
      </c>
      <c r="D302" s="3">
        <v>71.0</v>
      </c>
      <c r="E302" s="3">
        <v>13000.0</v>
      </c>
      <c r="F302" s="3" t="s">
        <v>3588</v>
      </c>
      <c r="G302" s="3"/>
      <c r="H302" s="3">
        <v>9500.0</v>
      </c>
      <c r="I302" s="5" t="s">
        <v>3743</v>
      </c>
      <c r="J302" s="5">
        <v>5988.0</v>
      </c>
      <c r="K302" s="5" t="s">
        <v>3294</v>
      </c>
    </row>
    <row r="303" ht="15.75" customHeight="1">
      <c r="A303" s="3" t="s">
        <v>3744</v>
      </c>
      <c r="B303" s="3"/>
      <c r="C303" s="24">
        <v>45736.85870370371</v>
      </c>
      <c r="D303" s="3">
        <v>84.0</v>
      </c>
      <c r="E303" s="3">
        <v>83000.0</v>
      </c>
      <c r="F303" s="3" t="s">
        <v>3745</v>
      </c>
      <c r="G303" s="3"/>
      <c r="H303" s="3">
        <v>43000.0</v>
      </c>
      <c r="J303" s="5" t="s">
        <v>3746</v>
      </c>
      <c r="K303" s="5" t="s">
        <v>3294</v>
      </c>
    </row>
    <row r="304" ht="15.75" customHeight="1">
      <c r="A304" s="3" t="s">
        <v>3747</v>
      </c>
      <c r="B304" s="3"/>
      <c r="C304" s="24">
        <v>45737.81946759259</v>
      </c>
      <c r="D304" s="3">
        <v>104.0</v>
      </c>
      <c r="E304" s="3">
        <v>31000.0</v>
      </c>
      <c r="F304" s="3" t="s">
        <v>3638</v>
      </c>
      <c r="G304" s="3">
        <v>700.0</v>
      </c>
      <c r="H304" s="3">
        <v>31000.0</v>
      </c>
      <c r="I304" s="5" t="s">
        <v>3748</v>
      </c>
      <c r="K304" s="5" t="s">
        <v>3320</v>
      </c>
    </row>
    <row r="305" ht="15.75" customHeight="1">
      <c r="A305" s="3" t="s">
        <v>3749</v>
      </c>
      <c r="B305" s="3"/>
      <c r="C305" s="24">
        <v>45737.82005787037</v>
      </c>
      <c r="D305" s="3">
        <v>105.0</v>
      </c>
      <c r="E305" s="3">
        <v>31000.0</v>
      </c>
      <c r="F305" s="3" t="s">
        <v>3638</v>
      </c>
      <c r="G305" s="3">
        <v>0.0</v>
      </c>
      <c r="H305" s="3">
        <v>6800.0</v>
      </c>
      <c r="K305" s="5" t="s">
        <v>3294</v>
      </c>
    </row>
    <row r="306" ht="15.75" customHeight="1">
      <c r="A306" s="3" t="s">
        <v>3750</v>
      </c>
      <c r="B306" s="3"/>
      <c r="C306" s="24">
        <v>45737.82769675926</v>
      </c>
      <c r="D306" s="3">
        <v>70.0</v>
      </c>
      <c r="E306" s="3">
        <v>13000.0</v>
      </c>
      <c r="F306" s="3" t="s">
        <v>3275</v>
      </c>
      <c r="G306" s="3">
        <v>1800.0</v>
      </c>
      <c r="H306" s="3">
        <v>7400.0</v>
      </c>
      <c r="K306" s="5" t="s">
        <v>3294</v>
      </c>
    </row>
    <row r="307" ht="15.75" customHeight="1">
      <c r="A307" s="3" t="s">
        <v>3751</v>
      </c>
      <c r="B307" s="3"/>
      <c r="C307" s="24">
        <v>45737.8533912037</v>
      </c>
      <c r="D307" s="3">
        <v>69.0</v>
      </c>
      <c r="E307" s="3">
        <v>13000.0</v>
      </c>
      <c r="F307" s="3" t="s">
        <v>3752</v>
      </c>
      <c r="G307" s="3">
        <v>2400.0</v>
      </c>
      <c r="H307" s="3">
        <v>6400.0</v>
      </c>
      <c r="K307" s="5" t="s">
        <v>3457</v>
      </c>
    </row>
    <row r="308" ht="15.75" customHeight="1">
      <c r="A308" s="3" t="s">
        <v>3753</v>
      </c>
      <c r="B308" s="3"/>
      <c r="C308" s="24">
        <v>45737.854895833334</v>
      </c>
      <c r="D308" s="3">
        <v>83.0</v>
      </c>
      <c r="E308" s="3">
        <v>81500.0</v>
      </c>
      <c r="F308" s="3" t="s">
        <v>3662</v>
      </c>
      <c r="G308" s="3">
        <v>38500.0</v>
      </c>
      <c r="H308" s="3">
        <v>47400.0</v>
      </c>
      <c r="I308" s="6" t="s">
        <v>3754</v>
      </c>
      <c r="K308" s="5" t="s">
        <v>3294</v>
      </c>
    </row>
    <row r="309" ht="15.75" customHeight="1">
      <c r="A309" s="3" t="s">
        <v>3755</v>
      </c>
      <c r="B309" s="3"/>
      <c r="C309" s="24">
        <v>45737.85542824074</v>
      </c>
      <c r="D309" s="3">
        <v>92.0</v>
      </c>
      <c r="E309" s="3">
        <v>76000.0</v>
      </c>
      <c r="F309" s="3" t="s">
        <v>3725</v>
      </c>
      <c r="G309" s="3"/>
      <c r="H309" s="3">
        <v>30000.0</v>
      </c>
      <c r="I309" s="5" t="s">
        <v>3756</v>
      </c>
      <c r="J309" s="5" t="s">
        <v>3757</v>
      </c>
      <c r="K309" s="5" t="s">
        <v>3294</v>
      </c>
    </row>
    <row r="310" ht="15.75" customHeight="1">
      <c r="A310" s="3" t="s">
        <v>3758</v>
      </c>
      <c r="B310" s="3"/>
      <c r="C310" s="24">
        <v>45737.867210648146</v>
      </c>
      <c r="D310" s="3">
        <v>78.0</v>
      </c>
      <c r="E310" s="3">
        <v>25800.0</v>
      </c>
      <c r="F310" s="3" t="s">
        <v>3759</v>
      </c>
      <c r="G310" s="3">
        <v>5400.0</v>
      </c>
      <c r="H310" s="3">
        <v>12400.0</v>
      </c>
      <c r="K310" s="5" t="s">
        <v>3457</v>
      </c>
    </row>
    <row r="311" ht="15.75" customHeight="1">
      <c r="A311" s="3" t="s">
        <v>3760</v>
      </c>
      <c r="B311" s="3"/>
      <c r="C311" s="24">
        <v>45737.868113425924</v>
      </c>
      <c r="D311" s="3">
        <v>96.0</v>
      </c>
      <c r="E311" s="3">
        <v>85600.0</v>
      </c>
      <c r="F311" s="3" t="s">
        <v>3759</v>
      </c>
      <c r="G311" s="3">
        <v>16000.0</v>
      </c>
      <c r="H311" s="3">
        <v>39000.0</v>
      </c>
      <c r="I311" s="5" t="s">
        <v>3761</v>
      </c>
      <c r="K311" s="5" t="s">
        <v>3457</v>
      </c>
    </row>
    <row r="312" ht="15.75" customHeight="1">
      <c r="A312" s="3" t="s">
        <v>3762</v>
      </c>
      <c r="B312" s="3"/>
      <c r="C312" s="24">
        <v>45737.87329861111</v>
      </c>
      <c r="D312" s="3">
        <v>67.0</v>
      </c>
      <c r="E312" s="3">
        <v>23000.0</v>
      </c>
      <c r="F312" s="3" t="s">
        <v>3662</v>
      </c>
      <c r="G312" s="3">
        <v>17100.0</v>
      </c>
      <c r="H312" s="3">
        <v>21100.0</v>
      </c>
      <c r="I312" s="5" t="s">
        <v>3763</v>
      </c>
      <c r="K312" s="5" t="s">
        <v>3294</v>
      </c>
    </row>
    <row r="313" ht="15.75" customHeight="1">
      <c r="A313" s="3" t="s">
        <v>3764</v>
      </c>
      <c r="B313" s="3"/>
      <c r="C313" s="24">
        <v>45737.87459490741</v>
      </c>
      <c r="D313" s="3">
        <v>65.0</v>
      </c>
      <c r="E313" s="3">
        <v>35500.0</v>
      </c>
      <c r="F313" s="3" t="s">
        <v>3692</v>
      </c>
      <c r="G313" s="3">
        <v>20800.0</v>
      </c>
      <c r="H313" s="3">
        <v>25000.0</v>
      </c>
      <c r="I313" s="5" t="s">
        <v>3765</v>
      </c>
      <c r="K313" s="5" t="s">
        <v>3294</v>
      </c>
    </row>
    <row r="314" ht="15.75" customHeight="1">
      <c r="A314" s="3" t="s">
        <v>3766</v>
      </c>
      <c r="B314" s="3"/>
      <c r="C314" s="24">
        <v>45737.87677083333</v>
      </c>
      <c r="D314" s="3">
        <v>72.0</v>
      </c>
      <c r="E314" s="3">
        <v>13000.0</v>
      </c>
      <c r="F314" s="3" t="s">
        <v>3588</v>
      </c>
      <c r="G314" s="3"/>
      <c r="H314" s="3">
        <v>7000.0</v>
      </c>
      <c r="I314" s="5" t="s">
        <v>3767</v>
      </c>
      <c r="J314" s="5">
        <v>5998.0</v>
      </c>
      <c r="K314" s="5" t="s">
        <v>3294</v>
      </c>
    </row>
    <row r="315" ht="15.75" customHeight="1">
      <c r="A315" s="3" t="s">
        <v>3768</v>
      </c>
      <c r="B315" s="3"/>
      <c r="C315" s="24">
        <v>45737.87798611111</v>
      </c>
      <c r="D315" s="3">
        <v>89.0</v>
      </c>
      <c r="E315" s="3">
        <v>83500.0</v>
      </c>
      <c r="F315" s="3" t="s">
        <v>3745</v>
      </c>
      <c r="G315" s="3"/>
      <c r="H315" s="3">
        <v>39200.0</v>
      </c>
      <c r="I315" s="5" t="s">
        <v>3769</v>
      </c>
      <c r="J315" s="5" t="s">
        <v>3770</v>
      </c>
      <c r="K315" s="5" t="s">
        <v>3294</v>
      </c>
    </row>
    <row r="316" ht="15.75" customHeight="1">
      <c r="A316" s="3" t="s">
        <v>3771</v>
      </c>
      <c r="B316" s="3"/>
      <c r="C316" s="24">
        <v>45737.87939814815</v>
      </c>
      <c r="D316" s="3">
        <v>88.0</v>
      </c>
      <c r="E316" s="3">
        <v>78900.0</v>
      </c>
      <c r="F316" s="3" t="s">
        <v>3662</v>
      </c>
      <c r="G316" s="3"/>
      <c r="H316" s="3">
        <v>28000.0</v>
      </c>
      <c r="I316" s="5" t="s">
        <v>3772</v>
      </c>
      <c r="J316" s="5" t="s">
        <v>3773</v>
      </c>
      <c r="K316" s="5" t="s">
        <v>3294</v>
      </c>
    </row>
    <row r="317" ht="15.75" customHeight="1">
      <c r="A317" s="3" t="s">
        <v>3774</v>
      </c>
      <c r="B317" s="3"/>
      <c r="C317" s="24">
        <v>45738.818449074075</v>
      </c>
      <c r="D317" s="3">
        <v>109.0</v>
      </c>
      <c r="E317" s="3">
        <v>15600.0</v>
      </c>
      <c r="F317" s="3" t="s">
        <v>3583</v>
      </c>
      <c r="G317" s="3">
        <v>0.0</v>
      </c>
      <c r="H317" s="3">
        <v>15600.0</v>
      </c>
      <c r="I317" s="6" t="s">
        <v>3775</v>
      </c>
      <c r="K317" s="5" t="s">
        <v>3320</v>
      </c>
    </row>
    <row r="318" ht="15.75" customHeight="1">
      <c r="A318" s="3" t="s">
        <v>3776</v>
      </c>
      <c r="B318" s="3"/>
      <c r="C318" s="24">
        <v>45738.81930555555</v>
      </c>
      <c r="D318" s="3">
        <v>108.0</v>
      </c>
      <c r="E318" s="3">
        <v>31000.0</v>
      </c>
      <c r="F318" s="3" t="s">
        <v>3583</v>
      </c>
      <c r="G318" s="3">
        <v>0.0</v>
      </c>
      <c r="H318" s="3">
        <v>31000.0</v>
      </c>
      <c r="I318" s="5" t="s">
        <v>3777</v>
      </c>
      <c r="K318" s="5" t="s">
        <v>3320</v>
      </c>
    </row>
    <row r="319" ht="15.75" customHeight="1">
      <c r="A319" s="3" t="s">
        <v>3778</v>
      </c>
      <c r="B319" s="3"/>
      <c r="C319" s="24">
        <v>45738.82011574074</v>
      </c>
      <c r="D319" s="3">
        <v>107.0</v>
      </c>
      <c r="E319" s="3">
        <v>31000.0</v>
      </c>
      <c r="F319" s="3" t="s">
        <v>3583</v>
      </c>
      <c r="G319" s="3">
        <v>0.0</v>
      </c>
      <c r="H319" s="3">
        <v>8400.0</v>
      </c>
      <c r="K319" s="5" t="s">
        <v>3320</v>
      </c>
    </row>
    <row r="320" ht="15.75" customHeight="1">
      <c r="A320" s="3" t="s">
        <v>3779</v>
      </c>
      <c r="B320" s="3"/>
      <c r="C320" s="24">
        <v>45738.82195601852</v>
      </c>
      <c r="D320" s="3">
        <v>105.0</v>
      </c>
      <c r="E320" s="3">
        <v>31000.0</v>
      </c>
      <c r="F320" s="3" t="s">
        <v>3601</v>
      </c>
      <c r="G320" s="3">
        <v>6800.0</v>
      </c>
      <c r="H320" s="3">
        <v>31000.0</v>
      </c>
      <c r="I320" s="5" t="s">
        <v>3780</v>
      </c>
      <c r="K320" s="5" t="s">
        <v>3320</v>
      </c>
    </row>
    <row r="321" ht="15.75" customHeight="1">
      <c r="A321" s="3" t="s">
        <v>3781</v>
      </c>
      <c r="B321" s="3"/>
      <c r="C321" s="24">
        <v>45738.82282407407</v>
      </c>
      <c r="D321" s="3">
        <v>106.0</v>
      </c>
      <c r="E321" s="3">
        <v>11000.0</v>
      </c>
      <c r="F321" s="3" t="s">
        <v>3601</v>
      </c>
      <c r="G321" s="3">
        <v>0.0</v>
      </c>
      <c r="H321" s="3">
        <v>11000.0</v>
      </c>
      <c r="I321" s="5" t="s">
        <v>3782</v>
      </c>
      <c r="K321" s="5" t="s">
        <v>3320</v>
      </c>
    </row>
    <row r="322" ht="15.75" customHeight="1">
      <c r="A322" s="3" t="s">
        <v>3783</v>
      </c>
      <c r="B322" s="3"/>
      <c r="C322" s="24">
        <v>45738.825474537036</v>
      </c>
      <c r="D322" s="3">
        <v>107.0</v>
      </c>
      <c r="E322" s="3">
        <v>31000.0</v>
      </c>
      <c r="F322" s="3" t="s">
        <v>3784</v>
      </c>
      <c r="G322" s="3">
        <v>8400.0</v>
      </c>
      <c r="H322" s="3">
        <v>31000.0</v>
      </c>
      <c r="I322" s="5" t="s">
        <v>3785</v>
      </c>
      <c r="K322" s="5" t="s">
        <v>3320</v>
      </c>
    </row>
    <row r="323" ht="15.75" customHeight="1">
      <c r="A323" s="3" t="s">
        <v>3786</v>
      </c>
      <c r="B323" s="3"/>
      <c r="C323" s="24">
        <v>45740.44405092593</v>
      </c>
      <c r="D323" s="3">
        <v>73.0</v>
      </c>
      <c r="E323" s="3">
        <v>13000.0</v>
      </c>
      <c r="F323" s="3" t="s">
        <v>3275</v>
      </c>
      <c r="G323" s="3"/>
      <c r="H323" s="3">
        <v>6400.0</v>
      </c>
      <c r="J323" s="5">
        <v>6008.0</v>
      </c>
      <c r="K323" s="5" t="s">
        <v>3294</v>
      </c>
    </row>
    <row r="324" ht="15.75" customHeight="1">
      <c r="A324" s="3" t="s">
        <v>3787</v>
      </c>
      <c r="B324" s="3"/>
      <c r="C324" s="24">
        <v>45740.454884259256</v>
      </c>
      <c r="D324" s="3">
        <v>115.0</v>
      </c>
      <c r="E324" s="3">
        <v>120200.0</v>
      </c>
      <c r="F324" s="3" t="s">
        <v>3583</v>
      </c>
      <c r="G324" s="3">
        <v>0.0</v>
      </c>
      <c r="H324" s="3">
        <v>50000.0</v>
      </c>
      <c r="K324" s="5" t="s">
        <v>3320</v>
      </c>
    </row>
    <row r="325" ht="15.75" customHeight="1">
      <c r="A325" s="3" t="s">
        <v>3788</v>
      </c>
      <c r="B325" s="3"/>
      <c r="C325" s="24">
        <v>45741.52664351852</v>
      </c>
      <c r="D325" s="3">
        <v>88.0</v>
      </c>
      <c r="E325" s="3">
        <v>78900.0</v>
      </c>
      <c r="F325" s="3" t="s">
        <v>3662</v>
      </c>
      <c r="G325" s="3">
        <v>28000.0</v>
      </c>
      <c r="H325" s="3">
        <v>35900.0</v>
      </c>
      <c r="K325" s="5" t="s">
        <v>3294</v>
      </c>
    </row>
    <row r="326" ht="15.75" customHeight="1">
      <c r="A326" s="3" t="s">
        <v>3789</v>
      </c>
      <c r="B326" s="3"/>
      <c r="C326" s="24">
        <v>45741.52746527778</v>
      </c>
      <c r="D326" s="3">
        <v>73.0</v>
      </c>
      <c r="E326" s="3">
        <v>13000.0</v>
      </c>
      <c r="F326" s="3" t="s">
        <v>3275</v>
      </c>
      <c r="G326" s="3">
        <v>6400.0</v>
      </c>
      <c r="H326" s="3">
        <v>7800.0</v>
      </c>
      <c r="I326" s="5" t="s">
        <v>3790</v>
      </c>
      <c r="K326" s="5" t="s">
        <v>3294</v>
      </c>
    </row>
    <row r="327" ht="15.75" customHeight="1">
      <c r="A327" s="3" t="s">
        <v>3791</v>
      </c>
      <c r="B327" s="3"/>
      <c r="C327" s="24">
        <v>45741.529340277775</v>
      </c>
      <c r="D327" s="3">
        <v>89.0</v>
      </c>
      <c r="E327" s="3">
        <v>83500.0</v>
      </c>
      <c r="F327" s="3" t="s">
        <v>3745</v>
      </c>
      <c r="G327" s="3">
        <v>39200.0</v>
      </c>
      <c r="H327" s="3">
        <v>46000.0</v>
      </c>
      <c r="I327" s="5" t="s">
        <v>3792</v>
      </c>
      <c r="K327" s="5" t="s">
        <v>3294</v>
      </c>
    </row>
    <row r="328" ht="15.75" customHeight="1">
      <c r="A328" s="3" t="s">
        <v>3793</v>
      </c>
      <c r="B328" s="3"/>
      <c r="C328" s="24">
        <v>45741.52978009259</v>
      </c>
      <c r="D328" s="3">
        <v>89.0</v>
      </c>
      <c r="E328" s="3">
        <v>83500.0</v>
      </c>
      <c r="F328" s="3" t="s">
        <v>3745</v>
      </c>
      <c r="G328" s="3">
        <v>46000.0</v>
      </c>
      <c r="H328" s="3">
        <v>52800.0</v>
      </c>
      <c r="K328" s="5" t="s">
        <v>3294</v>
      </c>
    </row>
    <row r="329" ht="15.75" customHeight="1">
      <c r="A329" s="3" t="s">
        <v>3794</v>
      </c>
      <c r="B329" s="3"/>
      <c r="C329" s="24">
        <v>45741.531226851854</v>
      </c>
      <c r="D329" s="3">
        <v>80.0</v>
      </c>
      <c r="E329" s="3">
        <v>26100.0</v>
      </c>
      <c r="F329" s="3" t="s">
        <v>3563</v>
      </c>
      <c r="G329" s="3">
        <v>24000.0</v>
      </c>
      <c r="H329" s="3">
        <v>26100.0</v>
      </c>
      <c r="K329" s="5" t="s">
        <v>3294</v>
      </c>
    </row>
    <row r="330" ht="15.75" customHeight="1">
      <c r="A330" s="3" t="s">
        <v>3795</v>
      </c>
      <c r="B330" s="3"/>
      <c r="C330" s="24">
        <v>45741.53293981482</v>
      </c>
      <c r="D330" s="3">
        <v>95.0</v>
      </c>
      <c r="E330" s="3">
        <v>77100.0</v>
      </c>
      <c r="F330" s="3" t="s">
        <v>3272</v>
      </c>
      <c r="G330" s="3">
        <v>0.0</v>
      </c>
      <c r="H330" s="3">
        <v>52500.0</v>
      </c>
      <c r="I330" s="5" t="s">
        <v>3796</v>
      </c>
      <c r="K330" s="5" t="s">
        <v>3320</v>
      </c>
    </row>
    <row r="331" ht="15.75" customHeight="1">
      <c r="A331" s="3" t="s">
        <v>3797</v>
      </c>
      <c r="B331" s="3"/>
      <c r="C331" s="24">
        <v>45741.53942129629</v>
      </c>
      <c r="D331" s="3">
        <v>51.0</v>
      </c>
      <c r="E331" s="3">
        <v>3900.0</v>
      </c>
      <c r="F331" s="3" t="s">
        <v>3588</v>
      </c>
      <c r="G331" s="3">
        <v>3800.0</v>
      </c>
      <c r="H331" s="3">
        <v>3900.0</v>
      </c>
      <c r="I331" s="5" t="s">
        <v>3798</v>
      </c>
      <c r="K331" s="5" t="s">
        <v>3320</v>
      </c>
      <c r="L331" s="6" t="s">
        <v>3247</v>
      </c>
    </row>
    <row r="332" ht="15.75" customHeight="1">
      <c r="A332" s="3" t="s">
        <v>3799</v>
      </c>
      <c r="B332" s="3"/>
      <c r="C332" s="24">
        <v>45741.54041666666</v>
      </c>
      <c r="D332" s="3">
        <v>55.0</v>
      </c>
      <c r="E332" s="3">
        <v>3000.0</v>
      </c>
      <c r="F332" s="3" t="s">
        <v>3800</v>
      </c>
      <c r="G332" s="3">
        <v>0.0</v>
      </c>
      <c r="H332" s="3">
        <v>3000.0</v>
      </c>
      <c r="K332" s="5" t="s">
        <v>3320</v>
      </c>
    </row>
    <row r="333" ht="15.75" customHeight="1">
      <c r="A333" s="3" t="s">
        <v>3801</v>
      </c>
      <c r="B333" s="3"/>
      <c r="C333" s="24">
        <v>45741.54072916666</v>
      </c>
      <c r="D333" s="3">
        <v>115.0</v>
      </c>
      <c r="E333" s="3">
        <v>120200.0</v>
      </c>
      <c r="F333" s="3" t="s">
        <v>3583</v>
      </c>
      <c r="G333" s="3">
        <v>50000.0</v>
      </c>
      <c r="H333" s="3">
        <v>54300.0</v>
      </c>
      <c r="K333" s="5" t="s">
        <v>3320</v>
      </c>
    </row>
    <row r="334" ht="15.75" customHeight="1">
      <c r="A334" s="3" t="s">
        <v>3802</v>
      </c>
      <c r="B334" s="3"/>
      <c r="C334" s="24">
        <v>45741.541342592594</v>
      </c>
      <c r="D334" s="3">
        <v>115.0</v>
      </c>
      <c r="E334" s="3">
        <v>120200.0</v>
      </c>
      <c r="F334" s="3" t="s">
        <v>3583</v>
      </c>
      <c r="G334" s="3">
        <v>54300.0</v>
      </c>
      <c r="H334" s="3">
        <v>70300.0</v>
      </c>
      <c r="K334" s="5" t="s">
        <v>3320</v>
      </c>
    </row>
    <row r="335" ht="15.75" customHeight="1">
      <c r="A335" s="3" t="s">
        <v>3803</v>
      </c>
      <c r="B335" s="3"/>
      <c r="C335" s="24">
        <v>45741.54210648148</v>
      </c>
      <c r="D335" s="3">
        <v>115.0</v>
      </c>
      <c r="E335" s="3">
        <v>120200.0</v>
      </c>
      <c r="F335" s="3" t="s">
        <v>3583</v>
      </c>
      <c r="G335" s="3">
        <v>70300.0</v>
      </c>
      <c r="H335" s="3">
        <v>84300.0</v>
      </c>
      <c r="K335" s="5" t="s">
        <v>3320</v>
      </c>
    </row>
    <row r="336" ht="15.75" customHeight="1">
      <c r="A336" s="3" t="s">
        <v>3804</v>
      </c>
      <c r="B336" s="3"/>
      <c r="C336" s="24">
        <v>45741.70991898148</v>
      </c>
      <c r="D336" s="3">
        <v>500.0</v>
      </c>
      <c r="E336" s="3">
        <v>200000.0</v>
      </c>
      <c r="F336" s="3" t="s">
        <v>3805</v>
      </c>
      <c r="G336" s="3"/>
      <c r="H336" s="3">
        <v>1.0</v>
      </c>
    </row>
    <row r="337" ht="15.75" customHeight="1">
      <c r="A337" s="3" t="s">
        <v>3806</v>
      </c>
      <c r="B337" s="3"/>
      <c r="C337" s="24">
        <v>45741.71796296296</v>
      </c>
      <c r="D337" s="3">
        <v>84.0</v>
      </c>
      <c r="E337" s="3">
        <v>83000.0</v>
      </c>
      <c r="F337" s="3" t="s">
        <v>3745</v>
      </c>
      <c r="G337" s="3">
        <v>43000.0</v>
      </c>
      <c r="H337" s="3">
        <v>50400.0</v>
      </c>
      <c r="I337" s="5" t="s">
        <v>3807</v>
      </c>
      <c r="K337" s="5" t="s">
        <v>3294</v>
      </c>
    </row>
    <row r="338" ht="15.75" customHeight="1">
      <c r="A338" s="3" t="s">
        <v>3808</v>
      </c>
      <c r="B338" s="3"/>
      <c r="C338" s="24">
        <v>45741.72091435185</v>
      </c>
      <c r="D338" s="3">
        <v>500.0</v>
      </c>
      <c r="E338" s="3">
        <v>200000.0</v>
      </c>
      <c r="F338" s="3" t="s">
        <v>3805</v>
      </c>
      <c r="G338" s="3">
        <v>1.0</v>
      </c>
      <c r="H338" s="3">
        <v>941.0</v>
      </c>
    </row>
    <row r="339" ht="15.75" customHeight="1">
      <c r="A339" s="3" t="s">
        <v>3809</v>
      </c>
      <c r="B339" s="3"/>
      <c r="C339" s="24">
        <v>45741.73510416667</v>
      </c>
      <c r="D339" s="3">
        <v>500.0</v>
      </c>
      <c r="E339" s="3">
        <v>200000.0</v>
      </c>
      <c r="F339" s="3" t="s">
        <v>3805</v>
      </c>
      <c r="G339" s="3">
        <v>941.0</v>
      </c>
      <c r="H339" s="3">
        <v>4941.0</v>
      </c>
    </row>
    <row r="340" ht="15.75" customHeight="1">
      <c r="A340" s="3" t="s">
        <v>3810</v>
      </c>
      <c r="B340" s="3"/>
      <c r="C340" s="24">
        <v>45741.73768518519</v>
      </c>
      <c r="D340" s="3">
        <v>500.0</v>
      </c>
      <c r="E340" s="3">
        <v>200000.0</v>
      </c>
      <c r="F340" s="3" t="s">
        <v>3805</v>
      </c>
      <c r="G340" s="3">
        <v>4941.0</v>
      </c>
      <c r="H340" s="3">
        <v>3341.0</v>
      </c>
    </row>
    <row r="341" ht="15.75" customHeight="1">
      <c r="A341" s="3" t="s">
        <v>3811</v>
      </c>
      <c r="B341" s="3"/>
      <c r="C341" s="24">
        <v>45741.73892361111</v>
      </c>
      <c r="D341" s="3">
        <v>72.0</v>
      </c>
      <c r="E341" s="3">
        <v>13000.0</v>
      </c>
      <c r="F341" s="3" t="s">
        <v>3588</v>
      </c>
      <c r="G341" s="3">
        <v>7000.0</v>
      </c>
      <c r="H341" s="3">
        <v>8000.0</v>
      </c>
      <c r="K341" s="5" t="s">
        <v>3294</v>
      </c>
    </row>
    <row r="342" ht="15.75" customHeight="1">
      <c r="A342" s="3" t="s">
        <v>3812</v>
      </c>
      <c r="B342" s="3"/>
      <c r="C342" s="24">
        <v>45741.741527777776</v>
      </c>
      <c r="D342" s="3">
        <v>500.0</v>
      </c>
      <c r="E342" s="3">
        <v>200000.0</v>
      </c>
      <c r="F342" s="3" t="s">
        <v>3805</v>
      </c>
      <c r="G342" s="3">
        <v>3341.0</v>
      </c>
      <c r="H342" s="3">
        <v>1141.0</v>
      </c>
    </row>
    <row r="343" ht="15.75" customHeight="1">
      <c r="A343" s="3" t="s">
        <v>3813</v>
      </c>
      <c r="B343" s="3"/>
      <c r="C343" s="24">
        <v>45741.74202546296</v>
      </c>
      <c r="D343" s="3">
        <v>500.0</v>
      </c>
      <c r="E343" s="3">
        <v>200000.0</v>
      </c>
      <c r="F343" s="3" t="s">
        <v>3805</v>
      </c>
      <c r="G343" s="3">
        <v>1141.0</v>
      </c>
      <c r="H343" s="3">
        <v>-359.0</v>
      </c>
    </row>
    <row r="344" ht="15.75" customHeight="1">
      <c r="A344" s="3" t="s">
        <v>3814</v>
      </c>
      <c r="B344" s="3"/>
      <c r="C344" s="24">
        <v>45741.74453703704</v>
      </c>
      <c r="D344" s="3">
        <v>500.0</v>
      </c>
      <c r="E344" s="3">
        <v>200000.0</v>
      </c>
      <c r="F344" s="3" t="s">
        <v>3805</v>
      </c>
      <c r="G344" s="3">
        <v>-359.0</v>
      </c>
      <c r="H344" s="3">
        <v>-2959.0</v>
      </c>
    </row>
    <row r="345" ht="15.75" customHeight="1">
      <c r="A345" s="3" t="s">
        <v>3815</v>
      </c>
      <c r="B345" s="3"/>
      <c r="C345" s="24">
        <v>45741.808229166665</v>
      </c>
      <c r="D345" s="3">
        <v>500.0</v>
      </c>
      <c r="E345" s="3">
        <v>200000.0</v>
      </c>
      <c r="F345" s="3" t="s">
        <v>3805</v>
      </c>
      <c r="G345" s="3">
        <v>-2959.0</v>
      </c>
      <c r="H345" s="3">
        <v>-2099.0</v>
      </c>
    </row>
    <row r="346" ht="15.75" customHeight="1">
      <c r="A346" s="3" t="s">
        <v>3816</v>
      </c>
      <c r="B346" s="3"/>
      <c r="C346" s="24">
        <v>45741.809212962966</v>
      </c>
      <c r="D346" s="3">
        <v>500.0</v>
      </c>
      <c r="E346" s="3">
        <v>200000.0</v>
      </c>
      <c r="F346" s="3" t="s">
        <v>3805</v>
      </c>
      <c r="G346" s="3">
        <v>-2099.0</v>
      </c>
      <c r="H346" s="3">
        <v>-5599.0</v>
      </c>
    </row>
    <row r="347" ht="15.75" customHeight="1">
      <c r="A347" s="3" t="s">
        <v>3817</v>
      </c>
      <c r="B347" s="3"/>
      <c r="C347" s="24">
        <v>45741.810324074075</v>
      </c>
      <c r="D347" s="3">
        <v>500.0</v>
      </c>
      <c r="E347" s="3">
        <v>200000.0</v>
      </c>
      <c r="F347" s="3" t="s">
        <v>3805</v>
      </c>
      <c r="G347" s="3">
        <v>-5599.0</v>
      </c>
      <c r="H347" s="3">
        <v>-2499.0</v>
      </c>
    </row>
    <row r="348" ht="15.75" customHeight="1">
      <c r="A348" s="3" t="s">
        <v>3818</v>
      </c>
      <c r="B348" s="3"/>
      <c r="C348" s="24">
        <v>45741.81219907408</v>
      </c>
      <c r="D348" s="3">
        <v>500.0</v>
      </c>
      <c r="E348" s="3">
        <v>200000.0</v>
      </c>
      <c r="F348" s="3" t="s">
        <v>3805</v>
      </c>
      <c r="G348" s="3">
        <v>-2499.0</v>
      </c>
      <c r="H348" s="3">
        <v>-2999.0</v>
      </c>
    </row>
    <row r="349" ht="15.75" customHeight="1">
      <c r="A349" s="3" t="s">
        <v>3819</v>
      </c>
      <c r="B349" s="3"/>
      <c r="C349" s="24">
        <v>45741.81261574074</v>
      </c>
      <c r="D349" s="3">
        <v>500.0</v>
      </c>
      <c r="E349" s="3">
        <v>200000.0</v>
      </c>
      <c r="F349" s="3" t="s">
        <v>3805</v>
      </c>
      <c r="G349" s="3">
        <v>-2999.0</v>
      </c>
      <c r="H349" s="3">
        <v>-2399.0</v>
      </c>
    </row>
    <row r="350" ht="15.75" customHeight="1">
      <c r="A350" s="3" t="s">
        <v>3820</v>
      </c>
      <c r="B350" s="3"/>
      <c r="C350" s="24">
        <v>45741.81328703704</v>
      </c>
      <c r="D350" s="3">
        <v>500.0</v>
      </c>
      <c r="E350" s="3">
        <v>200000.0</v>
      </c>
      <c r="F350" s="3" t="s">
        <v>3805</v>
      </c>
      <c r="G350" s="3">
        <v>-2399.0</v>
      </c>
      <c r="H350" s="3">
        <v>1.0</v>
      </c>
    </row>
    <row r="351" ht="15.75" customHeight="1">
      <c r="A351" s="3" t="s">
        <v>3821</v>
      </c>
      <c r="B351" s="3"/>
      <c r="C351" s="24">
        <v>45741.81375</v>
      </c>
      <c r="D351" s="3">
        <v>500.0</v>
      </c>
      <c r="E351" s="3">
        <v>200000.0</v>
      </c>
      <c r="F351" s="3" t="s">
        <v>3805</v>
      </c>
      <c r="G351" s="3">
        <v>1.0</v>
      </c>
      <c r="H351" s="3">
        <v>401.0</v>
      </c>
    </row>
    <row r="352" ht="15.75" customHeight="1">
      <c r="A352" s="3" t="s">
        <v>3822</v>
      </c>
      <c r="B352" s="3"/>
      <c r="C352" s="24">
        <v>45741.82414351852</v>
      </c>
      <c r="D352" s="3">
        <v>500.0</v>
      </c>
      <c r="E352" s="3">
        <v>200000.0</v>
      </c>
      <c r="F352" s="3" t="s">
        <v>3805</v>
      </c>
      <c r="G352" s="3">
        <v>401.0</v>
      </c>
      <c r="H352" s="3">
        <v>-4599.0</v>
      </c>
    </row>
    <row r="353" ht="15.75" customHeight="1">
      <c r="A353" s="3" t="s">
        <v>3823</v>
      </c>
      <c r="B353" s="3"/>
      <c r="C353" s="24">
        <v>45741.82729166667</v>
      </c>
      <c r="D353" s="3">
        <v>500.0</v>
      </c>
      <c r="E353" s="3">
        <v>200000.0</v>
      </c>
      <c r="F353" s="3" t="s">
        <v>3368</v>
      </c>
      <c r="G353" s="3">
        <v>-4599.0</v>
      </c>
      <c r="H353" s="3">
        <v>-2899.0</v>
      </c>
      <c r="K353" s="5" t="s">
        <v>3342</v>
      </c>
    </row>
    <row r="354" ht="15.75" customHeight="1">
      <c r="A354" s="3" t="s">
        <v>3824</v>
      </c>
      <c r="B354" s="3"/>
      <c r="C354" s="24">
        <v>45741.82761574074</v>
      </c>
      <c r="D354" s="3">
        <v>500.0</v>
      </c>
      <c r="E354" s="3">
        <v>200000.0</v>
      </c>
      <c r="F354" s="3" t="s">
        <v>3368</v>
      </c>
      <c r="G354" s="3">
        <v>-2899.0</v>
      </c>
      <c r="H354" s="3">
        <v>-3899.0</v>
      </c>
      <c r="K354" s="5" t="s">
        <v>3342</v>
      </c>
    </row>
    <row r="355" ht="15.75" customHeight="1">
      <c r="A355" s="3" t="s">
        <v>3825</v>
      </c>
      <c r="B355" s="3"/>
      <c r="C355" s="24">
        <v>45741.82791666667</v>
      </c>
      <c r="D355" s="3">
        <v>500.0</v>
      </c>
      <c r="E355" s="3">
        <v>200000.0</v>
      </c>
      <c r="F355" s="3" t="s">
        <v>3368</v>
      </c>
      <c r="G355" s="3">
        <v>-3899.0</v>
      </c>
      <c r="H355" s="3">
        <v>-2899.0</v>
      </c>
      <c r="K355" s="5" t="s">
        <v>3342</v>
      </c>
    </row>
    <row r="356" ht="15.75" customHeight="1">
      <c r="A356" s="3" t="s">
        <v>3826</v>
      </c>
      <c r="B356" s="3"/>
      <c r="C356" s="24">
        <v>45741.828148148146</v>
      </c>
      <c r="D356" s="3">
        <v>500.0</v>
      </c>
      <c r="E356" s="3">
        <v>200000.0</v>
      </c>
      <c r="F356" s="3" t="s">
        <v>3368</v>
      </c>
      <c r="G356" s="3">
        <v>-2899.0</v>
      </c>
      <c r="H356" s="3">
        <v>-1899.0</v>
      </c>
      <c r="K356" s="5" t="s">
        <v>3342</v>
      </c>
    </row>
    <row r="357" ht="15.75" customHeight="1">
      <c r="A357" s="3" t="s">
        <v>3827</v>
      </c>
      <c r="B357" s="3"/>
      <c r="C357" s="24">
        <v>45741.829305555555</v>
      </c>
      <c r="D357" s="3">
        <v>500.0</v>
      </c>
      <c r="E357" s="3">
        <v>200000.0</v>
      </c>
      <c r="F357" s="3" t="s">
        <v>3828</v>
      </c>
      <c r="G357" s="3">
        <v>-1899.0</v>
      </c>
      <c r="H357" s="3">
        <v>3101.0</v>
      </c>
      <c r="K357" s="5" t="s">
        <v>3342</v>
      </c>
    </row>
    <row r="358" ht="15.75" customHeight="1">
      <c r="A358" s="3" t="s">
        <v>3829</v>
      </c>
      <c r="B358" s="3"/>
      <c r="C358" s="24">
        <v>45741.8296875</v>
      </c>
      <c r="D358" s="3">
        <v>500.0</v>
      </c>
      <c r="E358" s="3">
        <v>200000.0</v>
      </c>
      <c r="F358" s="3" t="s">
        <v>3828</v>
      </c>
      <c r="G358" s="3">
        <v>3101.0</v>
      </c>
      <c r="H358" s="3">
        <v>4101.0</v>
      </c>
      <c r="K358" s="5" t="s">
        <v>3342</v>
      </c>
    </row>
    <row r="359" ht="15.75" customHeight="1">
      <c r="A359" s="3" t="s">
        <v>3830</v>
      </c>
      <c r="B359" s="3"/>
      <c r="C359" s="24">
        <v>45741.829988425925</v>
      </c>
      <c r="D359" s="3">
        <v>500.0</v>
      </c>
      <c r="E359" s="3">
        <v>200000.0</v>
      </c>
      <c r="F359" s="3" t="s">
        <v>3828</v>
      </c>
      <c r="G359" s="3">
        <v>4101.0</v>
      </c>
      <c r="H359" s="3">
        <v>5101.0</v>
      </c>
      <c r="K359" s="5" t="s">
        <v>3342</v>
      </c>
    </row>
    <row r="360" ht="15.75" customHeight="1">
      <c r="A360" s="3" t="s">
        <v>3831</v>
      </c>
      <c r="B360" s="3"/>
      <c r="C360" s="24">
        <v>45741.83025462963</v>
      </c>
      <c r="D360" s="3">
        <v>500.0</v>
      </c>
      <c r="E360" s="3">
        <v>200000.0</v>
      </c>
      <c r="F360" s="3" t="s">
        <v>3828</v>
      </c>
      <c r="G360" s="3">
        <v>5101.0</v>
      </c>
      <c r="H360" s="3">
        <v>5701.0</v>
      </c>
      <c r="K360" s="5" t="s">
        <v>3342</v>
      </c>
    </row>
    <row r="361" ht="15.75" customHeight="1">
      <c r="A361" s="3" t="s">
        <v>3832</v>
      </c>
      <c r="B361" s="3"/>
      <c r="C361" s="24">
        <v>45741.83053240741</v>
      </c>
      <c r="D361" s="3">
        <v>500.0</v>
      </c>
      <c r="E361" s="3">
        <v>200000.0</v>
      </c>
      <c r="F361" s="3" t="s">
        <v>3828</v>
      </c>
      <c r="G361" s="3">
        <v>5701.0</v>
      </c>
      <c r="H361" s="3">
        <v>1701.0</v>
      </c>
      <c r="K361" s="5" t="s">
        <v>3342</v>
      </c>
    </row>
    <row r="362" ht="15.75" customHeight="1">
      <c r="A362" s="3" t="s">
        <v>3833</v>
      </c>
      <c r="B362" s="3"/>
      <c r="C362" s="24">
        <v>45742.75980324074</v>
      </c>
      <c r="D362" s="3">
        <v>92.0</v>
      </c>
      <c r="E362" s="3">
        <v>76000.0</v>
      </c>
      <c r="F362" s="3" t="s">
        <v>3275</v>
      </c>
      <c r="G362" s="3"/>
      <c r="H362" s="3">
        <v>23800.0</v>
      </c>
      <c r="J362" s="5" t="s">
        <v>3834</v>
      </c>
      <c r="K362" s="5" t="s">
        <v>3294</v>
      </c>
    </row>
    <row r="363" ht="15.75" customHeight="1">
      <c r="A363" s="3" t="s">
        <v>3835</v>
      </c>
      <c r="B363" s="3"/>
      <c r="C363" s="24">
        <v>45742.7605787037</v>
      </c>
      <c r="D363" s="3">
        <v>91.0</v>
      </c>
      <c r="E363" s="3">
        <v>86000.0</v>
      </c>
      <c r="F363" s="3" t="s">
        <v>3662</v>
      </c>
      <c r="G363" s="3"/>
      <c r="H363" s="3">
        <v>49700.0</v>
      </c>
      <c r="J363" s="5" t="s">
        <v>3836</v>
      </c>
      <c r="K363" s="5" t="s">
        <v>3294</v>
      </c>
    </row>
    <row r="364" ht="15.75" customHeight="1">
      <c r="A364" s="3" t="s">
        <v>3837</v>
      </c>
      <c r="B364" s="3"/>
      <c r="C364" s="24">
        <v>45742.76353009259</v>
      </c>
      <c r="D364" s="3">
        <v>102.0</v>
      </c>
      <c r="E364" s="3">
        <v>31000.0</v>
      </c>
      <c r="F364" s="3" t="s">
        <v>3759</v>
      </c>
      <c r="G364" s="3">
        <v>0.0</v>
      </c>
      <c r="H364" s="3">
        <v>20000.0</v>
      </c>
      <c r="K364" s="5" t="s">
        <v>3457</v>
      </c>
    </row>
    <row r="365" ht="15.75" customHeight="1">
      <c r="A365" s="3" t="s">
        <v>3838</v>
      </c>
      <c r="B365" s="3"/>
      <c r="C365" s="24">
        <v>45742.76445601852</v>
      </c>
      <c r="D365" s="3">
        <v>12.0</v>
      </c>
      <c r="E365" s="3">
        <v>35300.0</v>
      </c>
      <c r="F365" s="3" t="s">
        <v>3839</v>
      </c>
      <c r="G365" s="3">
        <v>0.0</v>
      </c>
      <c r="H365" s="3">
        <v>20000.0</v>
      </c>
      <c r="K365" s="5" t="s">
        <v>3320</v>
      </c>
    </row>
    <row r="366" ht="15.75" customHeight="1">
      <c r="A366" s="4" t="s">
        <v>3840</v>
      </c>
      <c r="B366" s="3"/>
      <c r="C366" s="24">
        <v>45742.77259259259</v>
      </c>
      <c r="D366" s="3">
        <v>102.0</v>
      </c>
      <c r="E366" s="3">
        <v>31000.0</v>
      </c>
      <c r="F366" s="3" t="s">
        <v>3759</v>
      </c>
      <c r="G366" s="3">
        <v>20000.0</v>
      </c>
      <c r="H366" s="3">
        <v>30000.0</v>
      </c>
      <c r="I366" s="5" t="s">
        <v>3841</v>
      </c>
      <c r="K366" s="5" t="s">
        <v>3320</v>
      </c>
    </row>
    <row r="367" ht="15.75" customHeight="1">
      <c r="A367" s="3" t="s">
        <v>3842</v>
      </c>
      <c r="B367" s="3"/>
      <c r="C367" s="24">
        <v>45742.773518518516</v>
      </c>
      <c r="D367" s="3">
        <v>115.0</v>
      </c>
      <c r="E367" s="3">
        <v>120200.0</v>
      </c>
      <c r="F367" s="3" t="s">
        <v>3662</v>
      </c>
      <c r="G367" s="3">
        <v>84300.0</v>
      </c>
      <c r="H367" s="3">
        <v>120200.0</v>
      </c>
      <c r="I367" s="5" t="s">
        <v>3843</v>
      </c>
      <c r="K367" s="5" t="s">
        <v>3320</v>
      </c>
    </row>
    <row r="368" ht="15.75" customHeight="1">
      <c r="A368" s="3" t="s">
        <v>3844</v>
      </c>
      <c r="B368" s="3"/>
      <c r="C368" s="24">
        <v>45742.812569444446</v>
      </c>
      <c r="D368" s="3">
        <v>12.0</v>
      </c>
      <c r="E368" s="3">
        <v>35300.0</v>
      </c>
      <c r="F368" s="3" t="s">
        <v>3839</v>
      </c>
      <c r="G368" s="3">
        <v>20000.0</v>
      </c>
      <c r="H368" s="3">
        <v>35000.0</v>
      </c>
      <c r="K368" s="5" t="s">
        <v>3320</v>
      </c>
    </row>
    <row r="369" ht="15.75" customHeight="1">
      <c r="A369" s="4" t="s">
        <v>3845</v>
      </c>
      <c r="B369" s="3"/>
      <c r="C369" s="24">
        <v>45742.81322916667</v>
      </c>
      <c r="D369" s="3">
        <v>12.0</v>
      </c>
      <c r="E369" s="3">
        <v>35300.0</v>
      </c>
      <c r="F369" s="3" t="s">
        <v>3839</v>
      </c>
      <c r="G369" s="3">
        <v>35000.0</v>
      </c>
      <c r="H369" s="3">
        <v>35300.0</v>
      </c>
      <c r="I369" s="5" t="s">
        <v>3846</v>
      </c>
      <c r="K369" s="5" t="s">
        <v>3320</v>
      </c>
    </row>
    <row r="370" ht="15.75" customHeight="1">
      <c r="A370" s="3" t="s">
        <v>3847</v>
      </c>
      <c r="B370" s="3"/>
      <c r="C370" s="24">
        <v>45742.81355324074</v>
      </c>
      <c r="D370" s="3">
        <v>52.0</v>
      </c>
      <c r="E370" s="3">
        <v>27000.0</v>
      </c>
      <c r="F370" s="3" t="s">
        <v>3759</v>
      </c>
      <c r="G370" s="3">
        <v>0.0</v>
      </c>
      <c r="H370" s="3">
        <v>14700.0</v>
      </c>
      <c r="K370" s="5" t="s">
        <v>3320</v>
      </c>
    </row>
    <row r="371" ht="15.75" customHeight="1">
      <c r="A371" s="3" t="s">
        <v>3848</v>
      </c>
      <c r="B371" s="3"/>
      <c r="C371" s="24">
        <v>45742.81474537037</v>
      </c>
      <c r="D371" s="3">
        <v>52.0</v>
      </c>
      <c r="E371" s="3">
        <v>27000.0</v>
      </c>
      <c r="F371" s="3" t="s">
        <v>3662</v>
      </c>
      <c r="G371" s="3">
        <v>14700.0</v>
      </c>
      <c r="H371" s="3">
        <v>27000.0</v>
      </c>
      <c r="K371" s="5" t="s">
        <v>3320</v>
      </c>
    </row>
    <row r="372" ht="15.75" customHeight="1">
      <c r="A372" s="3" t="s">
        <v>3849</v>
      </c>
      <c r="B372" s="3"/>
      <c r="C372" s="24">
        <v>45742.83509259259</v>
      </c>
      <c r="D372" s="3">
        <v>500.0</v>
      </c>
      <c r="E372" s="3">
        <v>200000.0</v>
      </c>
      <c r="F372" s="3" t="s">
        <v>3828</v>
      </c>
      <c r="G372" s="3">
        <v>1701.0</v>
      </c>
      <c r="H372" s="3">
        <v>6401.0</v>
      </c>
      <c r="K372" s="5" t="s">
        <v>3342</v>
      </c>
    </row>
    <row r="373" ht="15.75" customHeight="1">
      <c r="A373" s="3" t="s">
        <v>3850</v>
      </c>
      <c r="B373" s="3"/>
      <c r="C373" s="24">
        <v>45743.715416666666</v>
      </c>
      <c r="D373" s="3">
        <v>52.0</v>
      </c>
      <c r="E373" s="3">
        <v>27000.0</v>
      </c>
      <c r="F373" s="3" t="s">
        <v>3662</v>
      </c>
      <c r="G373" s="3">
        <v>27000.0</v>
      </c>
      <c r="H373" s="3">
        <v>30000.0</v>
      </c>
      <c r="K373" s="5" t="s">
        <v>3320</v>
      </c>
    </row>
    <row r="374" ht="15.75" customHeight="1">
      <c r="A374" s="3" t="s">
        <v>3851</v>
      </c>
      <c r="B374" s="3"/>
      <c r="C374" s="24">
        <v>45743.71675925926</v>
      </c>
      <c r="D374" s="3">
        <v>500.0</v>
      </c>
      <c r="E374" s="3">
        <v>200000.0</v>
      </c>
      <c r="F374" s="3" t="s">
        <v>3828</v>
      </c>
      <c r="G374" s="3">
        <v>6401.0</v>
      </c>
      <c r="H374" s="3">
        <v>9401.0</v>
      </c>
      <c r="K374" s="5" t="s">
        <v>3342</v>
      </c>
    </row>
    <row r="375" ht="15.75" customHeight="1">
      <c r="A375" s="3" t="s">
        <v>23</v>
      </c>
      <c r="B375" s="3"/>
      <c r="C375" s="24">
        <v>45743.766493055555</v>
      </c>
      <c r="D375" s="3">
        <v>48.0</v>
      </c>
      <c r="E375" s="3">
        <v>26000.0</v>
      </c>
      <c r="F375" s="3" t="s">
        <v>3692</v>
      </c>
      <c r="G375" s="3">
        <v>0.0</v>
      </c>
      <c r="H375" s="3">
        <v>26000.0</v>
      </c>
      <c r="I375" s="5" t="s">
        <v>3852</v>
      </c>
      <c r="K375" s="5" t="s">
        <v>3320</v>
      </c>
      <c r="L375" s="6" t="s">
        <v>3247</v>
      </c>
      <c r="M375" s="5" t="s">
        <v>3394</v>
      </c>
    </row>
    <row r="376" ht="15.75" customHeight="1">
      <c r="A376" s="3" t="s">
        <v>3853</v>
      </c>
      <c r="B376" s="3"/>
      <c r="C376" s="24">
        <v>45743.76697916666</v>
      </c>
      <c r="D376" s="3">
        <v>47.0</v>
      </c>
      <c r="E376" s="3">
        <v>20000.0</v>
      </c>
      <c r="F376" s="3" t="s">
        <v>3692</v>
      </c>
      <c r="G376" s="3">
        <v>0.0</v>
      </c>
      <c r="H376" s="3">
        <v>2500.0</v>
      </c>
      <c r="K376" s="5" t="s">
        <v>3320</v>
      </c>
    </row>
    <row r="377" ht="15.75" customHeight="1">
      <c r="A377" s="3" t="s">
        <v>3854</v>
      </c>
      <c r="B377" s="3"/>
      <c r="C377" s="24">
        <v>45743.767534722225</v>
      </c>
      <c r="D377" s="3">
        <v>47.0</v>
      </c>
      <c r="E377" s="3">
        <v>20000.0</v>
      </c>
      <c r="F377" s="3" t="s">
        <v>3563</v>
      </c>
      <c r="G377" s="3">
        <v>2500.0</v>
      </c>
      <c r="H377" s="3">
        <v>20000.0</v>
      </c>
      <c r="I377" s="5" t="s">
        <v>3855</v>
      </c>
      <c r="K377" s="5" t="s">
        <v>3320</v>
      </c>
      <c r="L377" s="6" t="s">
        <v>3247</v>
      </c>
      <c r="M377" s="5" t="s">
        <v>3394</v>
      </c>
    </row>
    <row r="378" ht="15.75" customHeight="1">
      <c r="A378" s="3" t="s">
        <v>3856</v>
      </c>
      <c r="B378" s="3"/>
      <c r="C378" s="24">
        <v>45743.76792824074</v>
      </c>
      <c r="D378" s="3">
        <v>36.0</v>
      </c>
      <c r="E378" s="3">
        <v>19700.0</v>
      </c>
      <c r="F378" s="3" t="s">
        <v>3563</v>
      </c>
      <c r="G378" s="3">
        <v>0.0</v>
      </c>
      <c r="H378" s="3">
        <v>5500.0</v>
      </c>
      <c r="K378" s="5" t="s">
        <v>3320</v>
      </c>
    </row>
    <row r="379" ht="15.75" customHeight="1">
      <c r="A379" s="3" t="s">
        <v>19</v>
      </c>
      <c r="B379" s="3"/>
      <c r="C379" s="24">
        <v>45743.76849537037</v>
      </c>
      <c r="D379" s="3">
        <v>36.0</v>
      </c>
      <c r="E379" s="3">
        <v>19700.0</v>
      </c>
      <c r="F379" s="3" t="s">
        <v>3615</v>
      </c>
      <c r="G379" s="3">
        <v>5500.0</v>
      </c>
      <c r="H379" s="3">
        <v>19700.0</v>
      </c>
      <c r="K379" s="5" t="s">
        <v>3320</v>
      </c>
      <c r="L379" s="6" t="s">
        <v>3247</v>
      </c>
      <c r="M379" s="5" t="s">
        <v>3394</v>
      </c>
    </row>
    <row r="380" ht="15.75" customHeight="1">
      <c r="A380" s="3" t="s">
        <v>3857</v>
      </c>
      <c r="B380" s="3"/>
      <c r="C380" s="24">
        <v>45743.76918981481</v>
      </c>
      <c r="D380" s="3">
        <v>55.0</v>
      </c>
      <c r="E380" s="3">
        <v>3000.0</v>
      </c>
      <c r="F380" s="3" t="s">
        <v>3615</v>
      </c>
      <c r="G380" s="3">
        <v>0.0</v>
      </c>
      <c r="H380" s="3">
        <v>3000.0</v>
      </c>
      <c r="I380" s="5" t="s">
        <v>3858</v>
      </c>
      <c r="K380" s="5" t="s">
        <v>3320</v>
      </c>
      <c r="L380" s="6" t="s">
        <v>3248</v>
      </c>
    </row>
    <row r="381" ht="15.75" customHeight="1">
      <c r="A381" s="3" t="s">
        <v>3859</v>
      </c>
      <c r="B381" s="3"/>
      <c r="C381" s="24">
        <v>45743.76939814815</v>
      </c>
      <c r="D381" s="3">
        <v>110.0</v>
      </c>
      <c r="E381" s="3">
        <v>15600.0</v>
      </c>
      <c r="F381" s="3" t="s">
        <v>3706</v>
      </c>
      <c r="G381" s="3">
        <v>7000.0</v>
      </c>
      <c r="H381" s="3">
        <v>8800.0</v>
      </c>
      <c r="K381" s="5" t="s">
        <v>3320</v>
      </c>
    </row>
    <row r="382" ht="15.75" customHeight="1">
      <c r="A382" s="3" t="s">
        <v>3860</v>
      </c>
      <c r="B382" s="3"/>
      <c r="C382" s="24">
        <v>45743.771574074075</v>
      </c>
      <c r="D382" s="3">
        <v>92.0</v>
      </c>
      <c r="E382" s="3">
        <v>76000.0</v>
      </c>
      <c r="F382" s="3" t="s">
        <v>3275</v>
      </c>
      <c r="G382" s="3">
        <v>23800.0</v>
      </c>
      <c r="H382" s="3">
        <v>39000.0</v>
      </c>
      <c r="J382" s="5" t="s">
        <v>3861</v>
      </c>
      <c r="K382" s="5" t="s">
        <v>3294</v>
      </c>
    </row>
    <row r="383" ht="15.75" customHeight="1">
      <c r="A383" s="3" t="s">
        <v>21</v>
      </c>
      <c r="B383" s="3"/>
      <c r="C383" s="24">
        <v>45743.77244212963</v>
      </c>
      <c r="D383" s="3">
        <v>44.0</v>
      </c>
      <c r="E383" s="3">
        <v>19100.0</v>
      </c>
      <c r="F383" s="3" t="s">
        <v>3615</v>
      </c>
      <c r="G383" s="3">
        <v>0.0</v>
      </c>
      <c r="H383" s="3">
        <v>19100.0</v>
      </c>
      <c r="I383" s="5" t="s">
        <v>3862</v>
      </c>
      <c r="K383" s="5" t="s">
        <v>3320</v>
      </c>
      <c r="L383" s="6" t="s">
        <v>3247</v>
      </c>
      <c r="M383" s="5" t="s">
        <v>3394</v>
      </c>
    </row>
    <row r="384" ht="15.75" customHeight="1">
      <c r="A384" s="3" t="s">
        <v>3863</v>
      </c>
      <c r="B384" s="3"/>
      <c r="C384" s="24">
        <v>45744.5108912037</v>
      </c>
      <c r="D384" s="3">
        <v>85.0</v>
      </c>
      <c r="E384" s="3">
        <v>84000.0</v>
      </c>
      <c r="F384" s="3" t="s">
        <v>3864</v>
      </c>
      <c r="G384" s="3"/>
      <c r="H384" s="3">
        <v>44600.0</v>
      </c>
      <c r="I384" s="5" t="s">
        <v>3865</v>
      </c>
      <c r="J384" s="5" t="s">
        <v>3866</v>
      </c>
      <c r="K384" s="5" t="s">
        <v>3294</v>
      </c>
    </row>
    <row r="385" ht="15.75" customHeight="1">
      <c r="A385" s="3" t="s">
        <v>3867</v>
      </c>
      <c r="B385" s="3"/>
      <c r="C385" s="24">
        <v>45744.53009259259</v>
      </c>
      <c r="D385" s="3">
        <v>2.0</v>
      </c>
      <c r="E385" s="3">
        <v>8400.0</v>
      </c>
      <c r="F385" s="3" t="s">
        <v>3868</v>
      </c>
      <c r="G385" s="3">
        <v>0.0</v>
      </c>
      <c r="H385" s="3">
        <v>2000.0</v>
      </c>
      <c r="K385" s="5" t="s">
        <v>3320</v>
      </c>
      <c r="L385" s="5"/>
    </row>
    <row r="386" ht="15.75" customHeight="1">
      <c r="A386" s="3" t="s">
        <v>3869</v>
      </c>
      <c r="B386" s="3"/>
      <c r="C386" s="24">
        <v>45744.531539351854</v>
      </c>
      <c r="D386" s="3">
        <v>500.0</v>
      </c>
      <c r="E386" s="3">
        <v>200000.0</v>
      </c>
      <c r="F386" s="3" t="s">
        <v>3601</v>
      </c>
      <c r="G386" s="3">
        <v>9401.0</v>
      </c>
      <c r="H386" s="3">
        <v>25601.0</v>
      </c>
      <c r="K386" s="5" t="s">
        <v>3294</v>
      </c>
    </row>
    <row r="387" ht="15.75" customHeight="1">
      <c r="A387" s="3" t="s">
        <v>3870</v>
      </c>
      <c r="B387" s="3"/>
      <c r="C387" s="24">
        <v>45744.849386574075</v>
      </c>
      <c r="D387" s="3">
        <v>96.0</v>
      </c>
      <c r="E387" s="3">
        <v>85600.0</v>
      </c>
      <c r="F387" s="3" t="s">
        <v>3752</v>
      </c>
      <c r="G387" s="3">
        <v>0.0</v>
      </c>
      <c r="H387" s="3">
        <v>8000.0</v>
      </c>
      <c r="K387" s="5" t="s">
        <v>3320</v>
      </c>
    </row>
    <row r="388" ht="15.75" customHeight="1">
      <c r="A388" s="3" t="s">
        <v>3871</v>
      </c>
      <c r="B388" s="3"/>
      <c r="C388" s="24">
        <v>45744.849907407406</v>
      </c>
      <c r="D388" s="3">
        <v>96.0</v>
      </c>
      <c r="E388" s="3">
        <v>85600.0</v>
      </c>
      <c r="F388" s="3" t="s">
        <v>3752</v>
      </c>
      <c r="G388" s="3">
        <v>8000.0</v>
      </c>
      <c r="H388" s="3">
        <v>36000.0</v>
      </c>
      <c r="I388" s="5" t="s">
        <v>3872</v>
      </c>
      <c r="K388" s="5" t="s">
        <v>3320</v>
      </c>
    </row>
    <row r="389" ht="15.75" customHeight="1">
      <c r="A389" s="3" t="s">
        <v>3873</v>
      </c>
      <c r="B389" s="3"/>
      <c r="C389" s="24">
        <v>45744.862488425926</v>
      </c>
      <c r="D389" s="3">
        <v>69.0</v>
      </c>
      <c r="E389" s="3">
        <v>13000.0</v>
      </c>
      <c r="F389" s="3" t="s">
        <v>3874</v>
      </c>
      <c r="G389" s="3"/>
      <c r="H389" s="3">
        <v>5850.0</v>
      </c>
      <c r="J389" s="5">
        <v>6027.0</v>
      </c>
      <c r="K389" s="5" t="s">
        <v>3294</v>
      </c>
    </row>
    <row r="390" ht="15.75" customHeight="1">
      <c r="A390" s="3" t="s">
        <v>3875</v>
      </c>
      <c r="B390" s="3"/>
      <c r="C390" s="24">
        <v>45744.86402777778</v>
      </c>
      <c r="D390" s="3">
        <v>25.0</v>
      </c>
      <c r="E390" s="3">
        <v>194300.0</v>
      </c>
      <c r="F390" s="3" t="s">
        <v>3272</v>
      </c>
      <c r="G390" s="3">
        <v>0.0</v>
      </c>
      <c r="H390" s="3">
        <v>36500.0</v>
      </c>
      <c r="K390" s="5" t="s">
        <v>3605</v>
      </c>
    </row>
    <row r="391" ht="15.75" customHeight="1">
      <c r="A391" s="3" t="s">
        <v>3876</v>
      </c>
      <c r="B391" s="3"/>
      <c r="C391" s="24">
        <v>45744.86450231481</v>
      </c>
      <c r="D391" s="3">
        <v>25.0</v>
      </c>
      <c r="E391" s="3">
        <v>194300.0</v>
      </c>
      <c r="F391" s="3" t="s">
        <v>3272</v>
      </c>
      <c r="G391" s="3">
        <v>36500.0</v>
      </c>
      <c r="H391" s="3">
        <v>73500.0</v>
      </c>
      <c r="K391" s="5" t="s">
        <v>3605</v>
      </c>
    </row>
    <row r="392" ht="15.75" customHeight="1">
      <c r="A392" s="3" t="s">
        <v>3877</v>
      </c>
      <c r="B392" s="3"/>
      <c r="C392" s="24">
        <v>45744.86505787037</v>
      </c>
      <c r="D392" s="3">
        <v>25.0</v>
      </c>
      <c r="E392" s="3">
        <v>194300.0</v>
      </c>
      <c r="F392" s="3" t="s">
        <v>3272</v>
      </c>
      <c r="G392" s="3">
        <v>73500.0</v>
      </c>
      <c r="H392" s="3">
        <v>109500.0</v>
      </c>
      <c r="K392" s="5" t="s">
        <v>3605</v>
      </c>
    </row>
    <row r="393" ht="15.75" customHeight="1">
      <c r="A393" s="3" t="s">
        <v>3878</v>
      </c>
      <c r="B393" s="3"/>
      <c r="C393" s="24">
        <v>45744.86537037037</v>
      </c>
      <c r="D393" s="3">
        <v>25.0</v>
      </c>
      <c r="E393" s="3">
        <v>194300.0</v>
      </c>
      <c r="F393" s="3" t="s">
        <v>3272</v>
      </c>
      <c r="G393" s="3">
        <v>109500.0</v>
      </c>
      <c r="H393" s="3">
        <v>149000.0</v>
      </c>
      <c r="K393" s="5" t="s">
        <v>3605</v>
      </c>
    </row>
    <row r="394" ht="15.75" customHeight="1">
      <c r="A394" s="3" t="s">
        <v>3879</v>
      </c>
      <c r="B394" s="3"/>
      <c r="C394" s="24">
        <v>45745.50114583333</v>
      </c>
      <c r="D394" s="3">
        <v>25.0</v>
      </c>
      <c r="E394" s="3">
        <v>194300.0</v>
      </c>
      <c r="F394" s="3" t="s">
        <v>3272</v>
      </c>
      <c r="G394" s="3">
        <v>149000.0</v>
      </c>
      <c r="H394" s="3">
        <v>194300.0</v>
      </c>
      <c r="I394" s="5" t="s">
        <v>3880</v>
      </c>
      <c r="K394" s="5" t="s">
        <v>3605</v>
      </c>
      <c r="L394" s="6" t="s">
        <v>3247</v>
      </c>
    </row>
    <row r="395" ht="15.75" customHeight="1">
      <c r="A395" s="3" t="s">
        <v>3881</v>
      </c>
      <c r="B395" s="3"/>
      <c r="C395" s="24">
        <v>45745.50144675926</v>
      </c>
      <c r="D395" s="3">
        <v>11.0</v>
      </c>
      <c r="E395" s="3">
        <v>36000.0</v>
      </c>
      <c r="F395" s="3" t="s">
        <v>3474</v>
      </c>
      <c r="G395" s="3">
        <v>0.0</v>
      </c>
      <c r="H395" s="3">
        <v>36000.0</v>
      </c>
      <c r="I395" s="5" t="s">
        <v>3882</v>
      </c>
      <c r="K395" s="5" t="s">
        <v>3320</v>
      </c>
    </row>
    <row r="396" ht="15.75" customHeight="1">
      <c r="A396" s="3" t="s">
        <v>3883</v>
      </c>
      <c r="B396" s="3"/>
      <c r="C396" s="24">
        <v>45745.50231481482</v>
      </c>
      <c r="D396" s="3">
        <v>110.0</v>
      </c>
      <c r="E396" s="3">
        <v>15600.0</v>
      </c>
      <c r="F396" s="3" t="s">
        <v>3706</v>
      </c>
      <c r="G396" s="3">
        <v>8800.0</v>
      </c>
      <c r="H396" s="3">
        <v>15600.0</v>
      </c>
      <c r="K396" s="5" t="s">
        <v>3320</v>
      </c>
    </row>
    <row r="397" ht="15.75" customHeight="1">
      <c r="A397" s="3" t="s">
        <v>3884</v>
      </c>
      <c r="B397" s="3"/>
      <c r="C397" s="24">
        <v>45747.757627314815</v>
      </c>
      <c r="D397" s="3">
        <v>92.0</v>
      </c>
      <c r="E397" s="3">
        <v>76000.0</v>
      </c>
      <c r="F397" s="3" t="s">
        <v>3275</v>
      </c>
      <c r="G397" s="3">
        <v>39000.0</v>
      </c>
      <c r="H397" s="3">
        <v>46300.0</v>
      </c>
      <c r="I397" s="5" t="s">
        <v>3885</v>
      </c>
      <c r="K397" s="5" t="s">
        <v>3294</v>
      </c>
    </row>
    <row r="398" ht="15.75" customHeight="1">
      <c r="A398" s="3" t="s">
        <v>3886</v>
      </c>
      <c r="B398" s="3"/>
      <c r="C398" s="24">
        <v>45747.75802083333</v>
      </c>
      <c r="D398" s="3">
        <v>91.0</v>
      </c>
      <c r="E398" s="3">
        <v>86000.0</v>
      </c>
      <c r="F398" s="3" t="s">
        <v>3662</v>
      </c>
      <c r="G398" s="3">
        <v>49700.0</v>
      </c>
      <c r="H398" s="3">
        <v>59300.0</v>
      </c>
      <c r="I398" s="5" t="s">
        <v>3887</v>
      </c>
      <c r="K398" s="5" t="s">
        <v>3294</v>
      </c>
    </row>
    <row r="399" ht="15.75" customHeight="1">
      <c r="A399" s="3" t="s">
        <v>3888</v>
      </c>
      <c r="B399" s="3"/>
      <c r="C399" s="24">
        <v>45747.75990740741</v>
      </c>
      <c r="D399" s="3">
        <v>69.0</v>
      </c>
      <c r="E399" s="3">
        <v>13000.0</v>
      </c>
      <c r="F399" s="3" t="s">
        <v>3874</v>
      </c>
      <c r="G399" s="3">
        <v>5850.0</v>
      </c>
      <c r="H399" s="3">
        <v>7650.0</v>
      </c>
      <c r="K399" s="5" t="s">
        <v>3294</v>
      </c>
    </row>
    <row r="400" ht="15.75" customHeight="1">
      <c r="A400" s="3" t="s">
        <v>3889</v>
      </c>
      <c r="B400" s="3"/>
      <c r="C400" s="24">
        <v>45747.795011574075</v>
      </c>
      <c r="D400" s="3">
        <v>125.0</v>
      </c>
      <c r="E400" s="3">
        <v>31000.0</v>
      </c>
      <c r="F400" s="3" t="s">
        <v>3346</v>
      </c>
      <c r="G400" s="3">
        <v>0.0</v>
      </c>
      <c r="H400" s="3">
        <v>6700.0</v>
      </c>
      <c r="K400" s="5" t="s">
        <v>3342</v>
      </c>
    </row>
    <row r="401" ht="15.75" customHeight="1">
      <c r="A401" s="3" t="s">
        <v>3890</v>
      </c>
      <c r="B401" s="3"/>
      <c r="C401" s="24">
        <v>45747.79542824074</v>
      </c>
      <c r="D401" s="3">
        <v>125.0</v>
      </c>
      <c r="E401" s="3">
        <v>31000.0</v>
      </c>
      <c r="F401" s="3" t="s">
        <v>3346</v>
      </c>
      <c r="G401" s="3">
        <v>6700.0</v>
      </c>
      <c r="H401" s="3">
        <v>8300.0</v>
      </c>
      <c r="K401" s="5" t="s">
        <v>3342</v>
      </c>
    </row>
    <row r="402" ht="15.75" customHeight="1">
      <c r="A402" s="3" t="s">
        <v>3891</v>
      </c>
      <c r="B402" s="3"/>
      <c r="C402" s="24">
        <v>45747.79619212963</v>
      </c>
      <c r="D402" s="3">
        <v>74.0</v>
      </c>
      <c r="E402" s="3">
        <v>13000.0</v>
      </c>
      <c r="F402" s="3" t="s">
        <v>3346</v>
      </c>
      <c r="G402" s="3">
        <v>6300.0</v>
      </c>
      <c r="H402" s="3">
        <v>7340.0</v>
      </c>
      <c r="K402" s="5" t="s">
        <v>3342</v>
      </c>
    </row>
    <row r="403" ht="15.75" customHeight="1">
      <c r="A403" s="3" t="s">
        <v>3892</v>
      </c>
      <c r="B403" s="3"/>
      <c r="C403" s="24">
        <v>45747.79644675926</v>
      </c>
      <c r="D403" s="3">
        <v>111.0</v>
      </c>
      <c r="E403" s="3">
        <v>4000.0</v>
      </c>
      <c r="F403" s="3" t="s">
        <v>3365</v>
      </c>
      <c r="G403" s="3">
        <v>2400.0</v>
      </c>
      <c r="H403" s="3">
        <v>3200.0</v>
      </c>
      <c r="K403" s="5" t="s">
        <v>3342</v>
      </c>
    </row>
    <row r="404" ht="15.75" customHeight="1">
      <c r="A404" s="3" t="s">
        <v>3893</v>
      </c>
      <c r="B404" s="3"/>
      <c r="C404" s="24">
        <v>45747.79688657408</v>
      </c>
      <c r="D404" s="3">
        <v>74.0</v>
      </c>
      <c r="E404" s="3">
        <v>13000.0</v>
      </c>
      <c r="F404" s="3" t="s">
        <v>3894</v>
      </c>
      <c r="G404" s="3">
        <v>7340.0</v>
      </c>
      <c r="H404" s="3">
        <v>13000.0</v>
      </c>
      <c r="I404" s="5" t="s">
        <v>3895</v>
      </c>
      <c r="K404" s="5" t="s">
        <v>3342</v>
      </c>
      <c r="L404" s="5" t="s">
        <v>3246</v>
      </c>
      <c r="M404" s="5" t="s">
        <v>3273</v>
      </c>
    </row>
    <row r="405" ht="15.75" customHeight="1">
      <c r="A405" s="3" t="s">
        <v>3896</v>
      </c>
      <c r="B405" s="3"/>
      <c r="C405" s="24">
        <v>45747.79787037037</v>
      </c>
      <c r="D405" s="3">
        <v>111.0</v>
      </c>
      <c r="E405" s="3">
        <v>4000.0</v>
      </c>
      <c r="F405" s="3" t="s">
        <v>3365</v>
      </c>
      <c r="G405" s="3">
        <v>3200.0</v>
      </c>
      <c r="H405" s="3">
        <v>3600.0</v>
      </c>
      <c r="K405" s="5" t="s">
        <v>3342</v>
      </c>
    </row>
    <row r="406" ht="15.75" customHeight="1">
      <c r="A406" s="3" t="s">
        <v>3897</v>
      </c>
      <c r="B406" s="3"/>
      <c r="C406" s="24">
        <v>45747.79834490741</v>
      </c>
      <c r="D406" s="3">
        <v>111.0</v>
      </c>
      <c r="E406" s="3">
        <v>4000.0</v>
      </c>
      <c r="F406" s="3" t="s">
        <v>3365</v>
      </c>
      <c r="G406" s="3">
        <v>3600.0</v>
      </c>
      <c r="H406" s="3">
        <v>4000.0</v>
      </c>
      <c r="I406" s="5" t="s">
        <v>3898</v>
      </c>
      <c r="K406" s="5" t="s">
        <v>3342</v>
      </c>
      <c r="M406" s="5" t="s">
        <v>3273</v>
      </c>
    </row>
    <row r="407" ht="15.75" customHeight="1">
      <c r="A407" s="3" t="s">
        <v>3899</v>
      </c>
      <c r="B407" s="3"/>
      <c r="C407" s="24">
        <v>45747.799675925926</v>
      </c>
      <c r="D407" s="3">
        <v>103.0</v>
      </c>
      <c r="E407" s="3">
        <v>31000.0</v>
      </c>
      <c r="F407" s="3" t="s">
        <v>3466</v>
      </c>
      <c r="G407" s="3">
        <v>23940.0</v>
      </c>
      <c r="H407" s="3">
        <v>31000.0</v>
      </c>
      <c r="K407" s="5" t="s">
        <v>3320</v>
      </c>
    </row>
    <row r="408" ht="15.75" customHeight="1">
      <c r="A408" s="3" t="s">
        <v>3900</v>
      </c>
      <c r="B408" s="3"/>
      <c r="C408" s="24">
        <v>45748.67523148148</v>
      </c>
      <c r="D408" s="3">
        <v>500.0</v>
      </c>
      <c r="E408" s="3">
        <v>200000.0</v>
      </c>
      <c r="F408" s="3" t="s">
        <v>3901</v>
      </c>
      <c r="G408" s="3">
        <v>25601.0</v>
      </c>
      <c r="H408" s="3">
        <v>22801.0</v>
      </c>
      <c r="K408" s="5" t="s">
        <v>3294</v>
      </c>
    </row>
    <row r="409" ht="15.75" customHeight="1">
      <c r="A409" s="3" t="s">
        <v>3902</v>
      </c>
      <c r="B409" s="3"/>
      <c r="C409" s="24">
        <v>45748.676157407404</v>
      </c>
      <c r="D409" s="3">
        <v>49.0</v>
      </c>
      <c r="E409" s="3">
        <v>26000.0</v>
      </c>
      <c r="F409" s="3" t="s">
        <v>3903</v>
      </c>
      <c r="G409" s="3">
        <v>0.0</v>
      </c>
      <c r="H409" s="3">
        <v>20800.0</v>
      </c>
      <c r="K409" s="5" t="s">
        <v>3320</v>
      </c>
    </row>
    <row r="410" ht="15.75" customHeight="1">
      <c r="A410" s="3" t="s">
        <v>3904</v>
      </c>
      <c r="B410" s="3"/>
      <c r="C410" s="24">
        <v>45748.676354166666</v>
      </c>
      <c r="D410" s="3">
        <v>127.0</v>
      </c>
      <c r="E410" s="3">
        <v>31000.0</v>
      </c>
      <c r="F410" s="3" t="s">
        <v>3905</v>
      </c>
      <c r="G410" s="3"/>
      <c r="H410" s="3">
        <v>22100.0</v>
      </c>
      <c r="J410" s="5" t="s">
        <v>3906</v>
      </c>
    </row>
    <row r="411" ht="15.75" customHeight="1">
      <c r="A411" s="3" t="s">
        <v>3907</v>
      </c>
      <c r="B411" s="3"/>
      <c r="C411" s="24">
        <v>45748.67832175926</v>
      </c>
      <c r="D411" s="3">
        <v>88.0</v>
      </c>
      <c r="E411" s="3">
        <v>78900.0</v>
      </c>
      <c r="F411" s="3" t="s">
        <v>3908</v>
      </c>
      <c r="G411" s="3">
        <v>15100.0</v>
      </c>
      <c r="H411" s="3">
        <v>37200.0</v>
      </c>
      <c r="K411" s="5" t="s">
        <v>3457</v>
      </c>
    </row>
    <row r="412" ht="15.75" customHeight="1">
      <c r="A412" s="3" t="s">
        <v>3909</v>
      </c>
      <c r="B412" s="3"/>
      <c r="C412" s="24">
        <v>45748.67957175926</v>
      </c>
      <c r="D412" s="3">
        <v>83.0</v>
      </c>
      <c r="E412" s="3">
        <v>81500.0</v>
      </c>
      <c r="F412" s="3" t="s">
        <v>3662</v>
      </c>
      <c r="G412" s="3"/>
      <c r="H412" s="3">
        <v>44500.0</v>
      </c>
      <c r="J412" s="5" t="s">
        <v>3910</v>
      </c>
      <c r="K412" s="5" t="s">
        <v>3294</v>
      </c>
    </row>
    <row r="413" ht="15.75" customHeight="1">
      <c r="A413" s="3" t="s">
        <v>3911</v>
      </c>
      <c r="B413" s="3"/>
      <c r="C413" s="24">
        <v>45748.68052083333</v>
      </c>
      <c r="D413" s="3">
        <v>80.0</v>
      </c>
      <c r="E413" s="3">
        <v>26100.0</v>
      </c>
      <c r="F413" s="3" t="s">
        <v>3275</v>
      </c>
      <c r="G413" s="3"/>
      <c r="H413" s="3">
        <v>14200.0</v>
      </c>
      <c r="J413" s="5" t="s">
        <v>3912</v>
      </c>
      <c r="K413" s="5" t="s">
        <v>3294</v>
      </c>
    </row>
    <row r="414" ht="15.75" customHeight="1">
      <c r="A414" s="3" t="s">
        <v>3913</v>
      </c>
      <c r="B414" s="3"/>
      <c r="C414" s="24">
        <v>45748.80721064815</v>
      </c>
      <c r="D414" s="3">
        <v>68.0</v>
      </c>
      <c r="E414" s="3">
        <v>13000.0</v>
      </c>
      <c r="F414" s="3" t="s">
        <v>3588</v>
      </c>
      <c r="G414" s="3">
        <v>11160.0</v>
      </c>
      <c r="H414" s="3">
        <v>13000.0</v>
      </c>
      <c r="K414" s="5" t="s">
        <v>3320</v>
      </c>
    </row>
    <row r="415" ht="15.75" customHeight="1">
      <c r="A415" s="3" t="s">
        <v>3914</v>
      </c>
      <c r="B415" s="3"/>
      <c r="C415" s="24">
        <v>45748.811840277776</v>
      </c>
      <c r="D415" s="3">
        <v>500.0</v>
      </c>
      <c r="E415" s="3">
        <v>200000.0</v>
      </c>
      <c r="F415" s="3" t="s">
        <v>3915</v>
      </c>
      <c r="G415" s="3"/>
      <c r="H415" s="3">
        <v>1.0</v>
      </c>
    </row>
    <row r="416" ht="15.75" customHeight="1">
      <c r="A416" s="3" t="s">
        <v>3916</v>
      </c>
      <c r="B416" s="3"/>
      <c r="C416" s="24">
        <v>45748.81521990741</v>
      </c>
      <c r="D416" s="3">
        <v>500.0</v>
      </c>
      <c r="E416" s="3">
        <v>200000.0</v>
      </c>
      <c r="F416" s="3" t="s">
        <v>3915</v>
      </c>
      <c r="G416" s="3">
        <v>1.0</v>
      </c>
      <c r="H416" s="3">
        <v>5001.0</v>
      </c>
      <c r="K416" s="5" t="s">
        <v>3342</v>
      </c>
    </row>
    <row r="417" ht="15.75" customHeight="1">
      <c r="A417" s="3" t="s">
        <v>3917</v>
      </c>
      <c r="B417" s="3"/>
      <c r="C417" s="24">
        <v>45748.815983796296</v>
      </c>
      <c r="D417" s="3">
        <v>500.0</v>
      </c>
      <c r="E417" s="3">
        <v>200000.0</v>
      </c>
      <c r="F417" s="3" t="s">
        <v>3915</v>
      </c>
      <c r="G417" s="3">
        <v>5001.0</v>
      </c>
      <c r="H417" s="3">
        <v>2001.0</v>
      </c>
      <c r="K417" s="5" t="s">
        <v>3342</v>
      </c>
    </row>
    <row r="418" ht="15.75" customHeight="1">
      <c r="A418" s="3" t="s">
        <v>3918</v>
      </c>
      <c r="B418" s="3"/>
      <c r="C418" s="24">
        <v>45748.81875</v>
      </c>
      <c r="D418" s="3">
        <v>500.0</v>
      </c>
      <c r="E418" s="3">
        <v>200000.0</v>
      </c>
      <c r="F418" s="3" t="s">
        <v>3915</v>
      </c>
      <c r="G418" s="3">
        <v>2001.0</v>
      </c>
      <c r="H418" s="3">
        <v>2501.0</v>
      </c>
      <c r="K418" s="5" t="s">
        <v>3342</v>
      </c>
    </row>
    <row r="419" ht="15.75" customHeight="1">
      <c r="A419" s="3" t="s">
        <v>3919</v>
      </c>
      <c r="B419" s="3"/>
      <c r="C419" s="24">
        <v>45748.8194212963</v>
      </c>
      <c r="D419" s="3">
        <v>500.0</v>
      </c>
      <c r="E419" s="3">
        <v>200000.0</v>
      </c>
      <c r="F419" s="3" t="s">
        <v>3915</v>
      </c>
      <c r="G419" s="3">
        <v>2501.0</v>
      </c>
      <c r="H419" s="3">
        <v>-3999.0</v>
      </c>
      <c r="K419" s="5" t="s">
        <v>3342</v>
      </c>
    </row>
    <row r="420" ht="15.75" customHeight="1">
      <c r="A420" s="3" t="s">
        <v>3920</v>
      </c>
      <c r="B420" s="3"/>
      <c r="C420" s="24">
        <v>45748.82003472222</v>
      </c>
      <c r="D420" s="3">
        <v>500.0</v>
      </c>
      <c r="E420" s="3">
        <v>200000.0</v>
      </c>
      <c r="F420" s="3" t="s">
        <v>3915</v>
      </c>
      <c r="G420" s="3">
        <v>-3999.0</v>
      </c>
      <c r="H420" s="3">
        <v>-13999.0</v>
      </c>
      <c r="K420" s="5" t="s">
        <v>3342</v>
      </c>
    </row>
    <row r="421" ht="15.75" customHeight="1">
      <c r="A421" s="3" t="s">
        <v>3921</v>
      </c>
      <c r="B421" s="3"/>
      <c r="C421" s="24">
        <v>45748.82078703704</v>
      </c>
      <c r="D421" s="3">
        <v>500.0</v>
      </c>
      <c r="E421" s="3">
        <v>200000.0</v>
      </c>
      <c r="F421" s="3" t="s">
        <v>3915</v>
      </c>
      <c r="G421" s="3">
        <v>-13999.0</v>
      </c>
      <c r="H421" s="3">
        <v>-12999.0</v>
      </c>
      <c r="K421" s="5" t="s">
        <v>3342</v>
      </c>
    </row>
    <row r="422" ht="15.75" customHeight="1">
      <c r="A422" s="4" t="s">
        <v>3922</v>
      </c>
      <c r="B422" s="3"/>
      <c r="C422" s="24">
        <v>45748.82126157408</v>
      </c>
      <c r="D422" s="3">
        <v>500.0</v>
      </c>
      <c r="E422" s="3">
        <v>200000.0</v>
      </c>
      <c r="F422" s="3" t="s">
        <v>3915</v>
      </c>
      <c r="G422" s="3">
        <v>-12999.0</v>
      </c>
      <c r="H422" s="3">
        <v>-15999.0</v>
      </c>
      <c r="K422" s="5" t="s">
        <v>3342</v>
      </c>
    </row>
    <row r="423" ht="15.75" customHeight="1">
      <c r="A423" s="3" t="s">
        <v>3923</v>
      </c>
      <c r="B423" s="3"/>
      <c r="C423" s="24">
        <v>45748.821921296294</v>
      </c>
      <c r="D423" s="3">
        <v>500.0</v>
      </c>
      <c r="E423" s="3">
        <v>200000.0</v>
      </c>
      <c r="F423" s="3" t="s">
        <v>3915</v>
      </c>
      <c r="G423" s="3">
        <v>-15999.0</v>
      </c>
      <c r="H423" s="3">
        <v>-16599.0</v>
      </c>
      <c r="K423" s="5" t="s">
        <v>3320</v>
      </c>
    </row>
    <row r="424" ht="15.75" customHeight="1">
      <c r="A424" s="3" t="s">
        <v>3924</v>
      </c>
      <c r="B424" s="3"/>
      <c r="C424" s="24">
        <v>45748.8237037037</v>
      </c>
      <c r="D424" s="3">
        <v>500.0</v>
      </c>
      <c r="E424" s="3">
        <v>200000.0</v>
      </c>
      <c r="F424" s="3" t="s">
        <v>3915</v>
      </c>
      <c r="G424" s="3">
        <v>-16599.0</v>
      </c>
      <c r="H424" s="3">
        <v>-16999.0</v>
      </c>
      <c r="K424" s="5" t="s">
        <v>3320</v>
      </c>
    </row>
    <row r="425" ht="15.75" customHeight="1">
      <c r="A425" s="3" t="s">
        <v>3925</v>
      </c>
      <c r="B425" s="3"/>
      <c r="C425" s="24">
        <v>45749.41917824074</v>
      </c>
      <c r="D425" s="3">
        <v>34.0</v>
      </c>
      <c r="E425" s="3">
        <v>39500.0</v>
      </c>
      <c r="F425" s="3" t="s">
        <v>3662</v>
      </c>
      <c r="G425" s="3">
        <v>0.0</v>
      </c>
      <c r="H425" s="3">
        <v>35500.0</v>
      </c>
      <c r="I425" s="5" t="s">
        <v>3926</v>
      </c>
      <c r="K425" s="5" t="s">
        <v>3320</v>
      </c>
    </row>
    <row r="426" ht="15.75" customHeight="1">
      <c r="A426" s="3" t="s">
        <v>3927</v>
      </c>
      <c r="B426" s="3"/>
      <c r="C426" s="24">
        <v>45749.42005787037</v>
      </c>
      <c r="D426" s="3">
        <v>77.0</v>
      </c>
      <c r="E426" s="3">
        <v>26000.0</v>
      </c>
      <c r="F426" s="3" t="s">
        <v>3905</v>
      </c>
      <c r="G426" s="3"/>
      <c r="H426" s="3">
        <v>17000.0</v>
      </c>
      <c r="J426" s="5" t="s">
        <v>3928</v>
      </c>
      <c r="K426" s="5" t="s">
        <v>3294</v>
      </c>
    </row>
    <row r="427" ht="15.75" customHeight="1">
      <c r="A427" s="3" t="s">
        <v>3929</v>
      </c>
      <c r="B427" s="3"/>
      <c r="C427" s="24">
        <v>45749.42461805556</v>
      </c>
      <c r="D427" s="3">
        <v>78.0</v>
      </c>
      <c r="E427" s="3">
        <v>25800.0</v>
      </c>
      <c r="F427" s="3" t="s">
        <v>3905</v>
      </c>
      <c r="G427" s="3"/>
      <c r="H427" s="3">
        <v>21500.0</v>
      </c>
      <c r="J427" s="5" t="s">
        <v>3930</v>
      </c>
      <c r="K427" s="5" t="s">
        <v>3294</v>
      </c>
    </row>
    <row r="428" ht="15.75" customHeight="1">
      <c r="A428" s="3" t="s">
        <v>3931</v>
      </c>
      <c r="B428" s="3"/>
      <c r="C428" s="24">
        <v>45749.43145833333</v>
      </c>
      <c r="D428" s="3">
        <v>91.0</v>
      </c>
      <c r="E428" s="3">
        <v>86000.0</v>
      </c>
      <c r="F428" s="3" t="s">
        <v>3932</v>
      </c>
      <c r="G428" s="3">
        <v>23800.0</v>
      </c>
      <c r="H428" s="3">
        <v>40800.0</v>
      </c>
      <c r="K428" s="5" t="s">
        <v>3457</v>
      </c>
    </row>
    <row r="429" ht="15.75" customHeight="1">
      <c r="A429" s="3" t="s">
        <v>3933</v>
      </c>
      <c r="B429" s="3"/>
      <c r="C429" s="24">
        <v>45749.43226851852</v>
      </c>
      <c r="D429" s="3">
        <v>91.0</v>
      </c>
      <c r="E429" s="3">
        <v>86000.0</v>
      </c>
      <c r="F429" s="3" t="s">
        <v>3932</v>
      </c>
      <c r="G429" s="3">
        <v>40800.0</v>
      </c>
      <c r="H429" s="3">
        <v>62300.0</v>
      </c>
      <c r="K429" s="5" t="s">
        <v>3457</v>
      </c>
    </row>
    <row r="430" ht="15.75" customHeight="1">
      <c r="A430" s="3" t="s">
        <v>3934</v>
      </c>
      <c r="B430" s="3"/>
      <c r="C430" s="24">
        <v>45749.44238425926</v>
      </c>
      <c r="D430" s="3">
        <v>24.0</v>
      </c>
      <c r="E430" s="3">
        <v>186600.0</v>
      </c>
      <c r="F430" s="3" t="s">
        <v>3662</v>
      </c>
      <c r="G430" s="3">
        <v>0.0</v>
      </c>
      <c r="H430" s="3">
        <v>120200.0</v>
      </c>
      <c r="K430" s="5" t="s">
        <v>3320</v>
      </c>
    </row>
    <row r="431" ht="15.75" customHeight="1">
      <c r="A431" s="3" t="s">
        <v>3935</v>
      </c>
      <c r="B431" s="3"/>
      <c r="C431" s="24">
        <v>45749.44321759259</v>
      </c>
      <c r="D431" s="3">
        <v>24.0</v>
      </c>
      <c r="E431" s="3">
        <v>186600.0</v>
      </c>
      <c r="F431" s="3" t="s">
        <v>3583</v>
      </c>
      <c r="G431" s="3">
        <v>120200.0</v>
      </c>
      <c r="H431" s="3">
        <v>166200.0</v>
      </c>
      <c r="K431" s="5" t="s">
        <v>3605</v>
      </c>
    </row>
    <row r="432" ht="15.75" customHeight="1">
      <c r="A432" s="4" t="s">
        <v>3936</v>
      </c>
      <c r="B432" s="3"/>
      <c r="C432" s="24">
        <v>45749.44357638889</v>
      </c>
      <c r="D432" s="3">
        <v>24.0</v>
      </c>
      <c r="E432" s="3">
        <v>186600.0</v>
      </c>
      <c r="F432" s="3" t="s">
        <v>3583</v>
      </c>
      <c r="G432" s="3">
        <v>166200.0</v>
      </c>
      <c r="H432" s="3">
        <v>186600.0</v>
      </c>
      <c r="I432" s="5" t="s">
        <v>3937</v>
      </c>
      <c r="K432" s="5" t="s">
        <v>3605</v>
      </c>
    </row>
    <row r="433" ht="15.75" customHeight="1">
      <c r="A433" s="3" t="s">
        <v>3938</v>
      </c>
      <c r="B433" s="3"/>
      <c r="C433" s="24">
        <v>45749.444016203706</v>
      </c>
      <c r="D433" s="3">
        <v>94.0</v>
      </c>
      <c r="E433" s="3">
        <v>11600.0</v>
      </c>
      <c r="F433" s="3" t="s">
        <v>3706</v>
      </c>
      <c r="G433" s="3">
        <v>0.0</v>
      </c>
      <c r="H433" s="3">
        <v>9600.0</v>
      </c>
      <c r="K433" s="5" t="s">
        <v>3320</v>
      </c>
    </row>
    <row r="434" ht="15.75" customHeight="1">
      <c r="A434" s="3" t="s">
        <v>3939</v>
      </c>
      <c r="B434" s="3"/>
      <c r="C434" s="24">
        <v>45749.754849537036</v>
      </c>
      <c r="D434" s="3">
        <v>86.0</v>
      </c>
      <c r="E434" s="3">
        <v>88000.0</v>
      </c>
      <c r="F434" s="3" t="s">
        <v>3662</v>
      </c>
      <c r="G434" s="3"/>
      <c r="H434" s="3">
        <v>46000.0</v>
      </c>
      <c r="J434" s="5" t="s">
        <v>3940</v>
      </c>
      <c r="K434" s="5" t="s">
        <v>3294</v>
      </c>
    </row>
    <row r="435" ht="15.75" customHeight="1">
      <c r="A435" s="3" t="s">
        <v>3941</v>
      </c>
      <c r="B435" s="3"/>
      <c r="C435" s="24">
        <v>45749.76142361111</v>
      </c>
      <c r="D435" s="3">
        <v>87.0</v>
      </c>
      <c r="E435" s="3">
        <v>93700.0</v>
      </c>
      <c r="F435" s="3" t="s">
        <v>3942</v>
      </c>
      <c r="G435" s="3"/>
      <c r="H435" s="3">
        <v>50200.0</v>
      </c>
      <c r="J435" s="5" t="s">
        <v>3943</v>
      </c>
      <c r="K435" s="5" t="s">
        <v>3294</v>
      </c>
    </row>
    <row r="436" ht="15.75" customHeight="1">
      <c r="A436" s="3" t="s">
        <v>3944</v>
      </c>
      <c r="B436" s="3"/>
      <c r="C436" s="24">
        <v>45750.731261574074</v>
      </c>
      <c r="D436" s="3">
        <v>121.0</v>
      </c>
      <c r="E436" s="3">
        <v>85800.0</v>
      </c>
      <c r="F436" s="3" t="s">
        <v>3745</v>
      </c>
      <c r="G436" s="3">
        <v>0.0</v>
      </c>
      <c r="H436" s="3">
        <v>50000.0</v>
      </c>
      <c r="K436" s="5" t="s">
        <v>3320</v>
      </c>
    </row>
    <row r="437" ht="15.75" customHeight="1">
      <c r="A437" s="3" t="s">
        <v>3945</v>
      </c>
      <c r="B437" s="3"/>
      <c r="C437" s="24">
        <v>45750.73207175926</v>
      </c>
      <c r="D437" s="3">
        <v>121.0</v>
      </c>
      <c r="E437" s="3">
        <v>85800.0</v>
      </c>
      <c r="F437" s="3" t="s">
        <v>3745</v>
      </c>
      <c r="G437" s="3">
        <v>50000.0</v>
      </c>
      <c r="H437" s="3">
        <v>85800.0</v>
      </c>
      <c r="K437" s="5" t="s">
        <v>3320</v>
      </c>
      <c r="L437" s="6" t="s">
        <v>3250</v>
      </c>
    </row>
    <row r="438" ht="15.75" customHeight="1">
      <c r="A438" s="3" t="s">
        <v>3946</v>
      </c>
      <c r="B438" s="3"/>
      <c r="C438" s="24">
        <v>45750.73247685185</v>
      </c>
      <c r="D438" s="3">
        <v>14.0</v>
      </c>
      <c r="E438" s="3">
        <v>37000.0</v>
      </c>
      <c r="F438" s="3" t="s">
        <v>3745</v>
      </c>
      <c r="G438" s="3">
        <v>0.0</v>
      </c>
      <c r="H438" s="3">
        <v>15200.0</v>
      </c>
      <c r="K438" s="5" t="s">
        <v>3320</v>
      </c>
    </row>
    <row r="439" ht="15.75" customHeight="1">
      <c r="A439" s="3" t="s">
        <v>3947</v>
      </c>
      <c r="B439" s="3"/>
      <c r="C439" s="24">
        <v>45750.73290509259</v>
      </c>
      <c r="D439" s="3">
        <v>14.0</v>
      </c>
      <c r="E439" s="3">
        <v>37000.0</v>
      </c>
      <c r="F439" s="3" t="s">
        <v>3745</v>
      </c>
      <c r="G439" s="3">
        <v>15200.0</v>
      </c>
      <c r="H439" s="3">
        <v>37000.0</v>
      </c>
      <c r="K439" s="5" t="s">
        <v>3320</v>
      </c>
      <c r="L439" s="6" t="s">
        <v>3247</v>
      </c>
    </row>
    <row r="440" ht="15.75" customHeight="1">
      <c r="A440" s="3" t="s">
        <v>3948</v>
      </c>
      <c r="B440" s="3"/>
      <c r="C440" s="24">
        <v>45750.733252314814</v>
      </c>
      <c r="D440" s="3">
        <v>15.0</v>
      </c>
      <c r="E440" s="3">
        <v>36500.0</v>
      </c>
      <c r="F440" s="3" t="s">
        <v>3275</v>
      </c>
      <c r="G440" s="3">
        <v>0.0</v>
      </c>
      <c r="H440" s="3">
        <v>24500.0</v>
      </c>
      <c r="I440" s="5" t="s">
        <v>3949</v>
      </c>
      <c r="K440" s="5" t="s">
        <v>3320</v>
      </c>
    </row>
    <row r="441" ht="15.75" customHeight="1">
      <c r="A441" s="3" t="s">
        <v>3950</v>
      </c>
      <c r="B441" s="3"/>
      <c r="C441" s="24">
        <v>45750.7340625</v>
      </c>
      <c r="D441" s="3">
        <v>115.0</v>
      </c>
      <c r="E441" s="3">
        <v>120200.0</v>
      </c>
      <c r="F441" s="3" t="s">
        <v>3272</v>
      </c>
      <c r="G441" s="3">
        <v>0.0</v>
      </c>
      <c r="H441" s="3">
        <v>59000.0</v>
      </c>
      <c r="K441" s="5" t="s">
        <v>3605</v>
      </c>
    </row>
    <row r="442" ht="15.75" customHeight="1">
      <c r="A442" s="3" t="s">
        <v>3951</v>
      </c>
      <c r="B442" s="3"/>
      <c r="C442" s="24">
        <v>45750.73679398148</v>
      </c>
      <c r="D442" s="3">
        <v>115.0</v>
      </c>
      <c r="E442" s="3">
        <v>120200.0</v>
      </c>
      <c r="F442" s="3" t="s">
        <v>3380</v>
      </c>
      <c r="G442" s="3">
        <v>59000.0</v>
      </c>
      <c r="H442" s="3">
        <v>89000.0</v>
      </c>
      <c r="K442" s="5" t="s">
        <v>3605</v>
      </c>
    </row>
    <row r="443" ht="15.75" customHeight="1">
      <c r="A443" s="3" t="s">
        <v>3952</v>
      </c>
      <c r="B443" s="3"/>
      <c r="C443" s="24">
        <v>45750.737280092595</v>
      </c>
      <c r="D443" s="3">
        <v>115.0</v>
      </c>
      <c r="E443" s="3">
        <v>120200.0</v>
      </c>
      <c r="F443" s="3" t="s">
        <v>3380</v>
      </c>
      <c r="G443" s="3">
        <v>89000.0</v>
      </c>
      <c r="H443" s="3">
        <v>118000.0</v>
      </c>
      <c r="I443" s="5" t="s">
        <v>3953</v>
      </c>
      <c r="K443" s="5" t="s">
        <v>3605</v>
      </c>
    </row>
    <row r="444" ht="15.75" customHeight="1">
      <c r="A444" s="3" t="s">
        <v>3954</v>
      </c>
      <c r="B444" s="3"/>
      <c r="C444" s="24">
        <v>45750.75237268519</v>
      </c>
      <c r="D444" s="3">
        <v>90.0</v>
      </c>
      <c r="E444" s="3">
        <v>97500.0</v>
      </c>
      <c r="F444" s="3" t="s">
        <v>3662</v>
      </c>
      <c r="G444" s="3"/>
      <c r="H444" s="3">
        <v>57000.0</v>
      </c>
      <c r="J444" s="5" t="s">
        <v>3955</v>
      </c>
      <c r="K444" s="5" t="s">
        <v>3294</v>
      </c>
    </row>
    <row r="445" ht="15.75" customHeight="1">
      <c r="A445" s="3" t="s">
        <v>3956</v>
      </c>
      <c r="B445" s="3"/>
      <c r="C445" s="24">
        <v>45750.7637962963</v>
      </c>
      <c r="D445" s="3">
        <v>81.0</v>
      </c>
      <c r="E445" s="3">
        <v>26500.0</v>
      </c>
      <c r="F445" s="3" t="s">
        <v>3275</v>
      </c>
      <c r="G445" s="3"/>
      <c r="H445" s="3">
        <v>14500.0</v>
      </c>
      <c r="J445" s="5" t="s">
        <v>3957</v>
      </c>
      <c r="K445" s="5" t="s">
        <v>3294</v>
      </c>
    </row>
    <row r="446" ht="15.75" customHeight="1">
      <c r="A446" s="3" t="s">
        <v>3958</v>
      </c>
      <c r="B446" s="3"/>
      <c r="C446" s="24">
        <v>45750.764710648145</v>
      </c>
      <c r="D446" s="3">
        <v>84.0</v>
      </c>
      <c r="E446" s="3">
        <v>83000.0</v>
      </c>
      <c r="F446" s="3" t="s">
        <v>3662</v>
      </c>
      <c r="G446" s="3"/>
      <c r="H446" s="3">
        <v>47000.0</v>
      </c>
      <c r="J446" s="5" t="s">
        <v>3959</v>
      </c>
      <c r="K446" s="5" t="s">
        <v>3294</v>
      </c>
    </row>
    <row r="447" ht="15.75" customHeight="1">
      <c r="A447" s="3" t="s">
        <v>3960</v>
      </c>
      <c r="B447" s="3"/>
      <c r="C447" s="24">
        <v>45751.49444444444</v>
      </c>
      <c r="D447" s="3">
        <v>127.0</v>
      </c>
      <c r="E447" s="3">
        <v>31000.0</v>
      </c>
      <c r="F447" s="3" t="s">
        <v>3908</v>
      </c>
      <c r="G447" s="3">
        <v>0.0</v>
      </c>
      <c r="H447" s="3">
        <v>31000.0</v>
      </c>
      <c r="I447" s="5" t="s">
        <v>3961</v>
      </c>
      <c r="K447" s="5" t="s">
        <v>3320</v>
      </c>
    </row>
    <row r="448" ht="15.75" customHeight="1">
      <c r="A448" s="3" t="s">
        <v>3962</v>
      </c>
      <c r="B448" s="3"/>
      <c r="C448" s="24">
        <v>45751.494780092595</v>
      </c>
      <c r="D448" s="3">
        <v>91.0</v>
      </c>
      <c r="E448" s="3">
        <v>86000.0</v>
      </c>
      <c r="F448" s="3" t="s">
        <v>3932</v>
      </c>
      <c r="G448" s="3">
        <v>62300.0</v>
      </c>
      <c r="H448" s="3">
        <v>68500.0</v>
      </c>
      <c r="K448" s="5" t="s">
        <v>3457</v>
      </c>
    </row>
    <row r="449" ht="15.75" customHeight="1">
      <c r="A449" s="25">
        <v>1273642.0</v>
      </c>
      <c r="B449" s="3"/>
      <c r="C449" s="24">
        <v>45751.52788194444</v>
      </c>
      <c r="D449" s="3">
        <v>89.0</v>
      </c>
      <c r="E449" s="3">
        <v>83500.0</v>
      </c>
      <c r="F449" s="3" t="s">
        <v>3275</v>
      </c>
      <c r="G449" s="3"/>
      <c r="H449" s="3">
        <v>65000.0</v>
      </c>
      <c r="I449" s="5" t="s">
        <v>3963</v>
      </c>
      <c r="J449" s="5" t="s">
        <v>3964</v>
      </c>
      <c r="K449" s="5" t="s">
        <v>3294</v>
      </c>
    </row>
    <row r="450" ht="15.75" customHeight="1">
      <c r="A450" s="3" t="s">
        <v>3965</v>
      </c>
      <c r="B450" s="3"/>
      <c r="C450" s="24">
        <v>45751.839270833334</v>
      </c>
      <c r="D450" s="3">
        <v>79.0</v>
      </c>
      <c r="E450" s="3">
        <v>26000.0</v>
      </c>
      <c r="F450" s="3" t="s">
        <v>3966</v>
      </c>
      <c r="G450" s="3"/>
      <c r="H450" s="3">
        <v>17000.0</v>
      </c>
      <c r="J450" s="5" t="s">
        <v>3967</v>
      </c>
      <c r="K450" s="5" t="s">
        <v>3294</v>
      </c>
    </row>
    <row r="451" ht="15.75" customHeight="1">
      <c r="A451" s="3" t="s">
        <v>3968</v>
      </c>
      <c r="B451" s="3"/>
      <c r="C451" s="24">
        <v>45751.885092592594</v>
      </c>
      <c r="D451" s="3">
        <v>78.0</v>
      </c>
      <c r="E451" s="3">
        <v>25800.0</v>
      </c>
      <c r="F451" s="3" t="s">
        <v>3662</v>
      </c>
      <c r="G451" s="3"/>
      <c r="H451" s="3">
        <v>14000.0</v>
      </c>
      <c r="J451" s="5" t="s">
        <v>3969</v>
      </c>
      <c r="K451" s="5" t="s">
        <v>3294</v>
      </c>
    </row>
    <row r="452" ht="15.75" customHeight="1">
      <c r="A452" s="3" t="s">
        <v>3970</v>
      </c>
      <c r="B452" s="3"/>
      <c r="C452" s="24">
        <v>45751.886030092595</v>
      </c>
      <c r="D452" s="3">
        <v>92.0</v>
      </c>
      <c r="E452" s="3">
        <v>76000.0</v>
      </c>
      <c r="F452" s="3" t="s">
        <v>3275</v>
      </c>
      <c r="G452" s="3"/>
      <c r="H452" s="3">
        <v>43000.0</v>
      </c>
      <c r="J452" s="5" t="s">
        <v>3971</v>
      </c>
      <c r="K452" s="5" t="s">
        <v>3294</v>
      </c>
    </row>
    <row r="453" ht="15.75" customHeight="1">
      <c r="A453" s="3" t="s">
        <v>3972</v>
      </c>
      <c r="B453" s="3"/>
      <c r="C453" s="24">
        <v>45751.88815972222</v>
      </c>
      <c r="D453" s="3">
        <v>108.0</v>
      </c>
      <c r="E453" s="3">
        <v>31000.0</v>
      </c>
      <c r="F453" s="3" t="s">
        <v>3973</v>
      </c>
      <c r="G453" s="3">
        <v>0.0</v>
      </c>
      <c r="H453" s="3">
        <v>31000.0</v>
      </c>
      <c r="I453" s="5" t="s">
        <v>3974</v>
      </c>
      <c r="K453" s="5" t="s">
        <v>3320</v>
      </c>
    </row>
    <row r="454" ht="15.75" customHeight="1">
      <c r="A454" s="3" t="s">
        <v>3975</v>
      </c>
      <c r="B454" s="3"/>
      <c r="C454" s="24">
        <v>45751.888703703706</v>
      </c>
      <c r="D454" s="3">
        <v>104.0</v>
      </c>
      <c r="E454" s="3">
        <v>31000.0</v>
      </c>
      <c r="F454" s="3" t="s">
        <v>3273</v>
      </c>
      <c r="G454" s="3">
        <v>0.0</v>
      </c>
      <c r="H454" s="3">
        <v>31000.0</v>
      </c>
      <c r="K454" s="5" t="s">
        <v>3320</v>
      </c>
    </row>
    <row r="455" ht="15.75" customHeight="1">
      <c r="A455" s="3" t="s">
        <v>3976</v>
      </c>
      <c r="B455" s="3"/>
      <c r="C455" s="24">
        <v>45751.88893518518</v>
      </c>
      <c r="D455" s="3">
        <v>105.0</v>
      </c>
      <c r="E455" s="3">
        <v>31000.0</v>
      </c>
      <c r="F455" s="3" t="s">
        <v>3932</v>
      </c>
      <c r="G455" s="3">
        <v>0.0</v>
      </c>
      <c r="H455" s="3">
        <v>6500.0</v>
      </c>
      <c r="K455" s="5" t="s">
        <v>3320</v>
      </c>
    </row>
    <row r="456" ht="15.75" customHeight="1">
      <c r="A456" s="3" t="s">
        <v>3977</v>
      </c>
      <c r="B456" s="3"/>
      <c r="C456" s="24">
        <v>45751.89917824074</v>
      </c>
      <c r="D456" s="3">
        <v>70.0</v>
      </c>
      <c r="E456" s="3">
        <v>13000.0</v>
      </c>
      <c r="F456" s="3" t="s">
        <v>3588</v>
      </c>
      <c r="G456" s="3">
        <v>0.0</v>
      </c>
      <c r="H456" s="3">
        <v>5000.0</v>
      </c>
      <c r="K456" s="5" t="s">
        <v>3320</v>
      </c>
    </row>
    <row r="457" ht="15.75" customHeight="1">
      <c r="A457" s="3" t="s">
        <v>3978</v>
      </c>
      <c r="B457" s="3"/>
      <c r="C457" s="24">
        <v>45751.89946759259</v>
      </c>
      <c r="D457" s="3">
        <v>70.0</v>
      </c>
      <c r="E457" s="3">
        <v>13000.0</v>
      </c>
      <c r="F457" s="3" t="s">
        <v>3588</v>
      </c>
      <c r="G457" s="3">
        <v>5000.0</v>
      </c>
      <c r="H457" s="3">
        <v>10000.0</v>
      </c>
      <c r="I457" s="5" t="s">
        <v>3979</v>
      </c>
      <c r="K457" s="5" t="s">
        <v>3320</v>
      </c>
    </row>
    <row r="458" ht="15.75" customHeight="1">
      <c r="A458" s="3" t="s">
        <v>3980</v>
      </c>
      <c r="B458" s="3"/>
      <c r="C458" s="24">
        <v>45751.90017361111</v>
      </c>
      <c r="D458" s="3">
        <v>71.0</v>
      </c>
      <c r="E458" s="3">
        <v>13000.0</v>
      </c>
      <c r="F458" s="3" t="s">
        <v>3981</v>
      </c>
      <c r="G458" s="3">
        <v>3500.0</v>
      </c>
      <c r="H458" s="3">
        <v>8500.0</v>
      </c>
      <c r="K458" s="5" t="s">
        <v>3457</v>
      </c>
    </row>
    <row r="459" ht="15.75" customHeight="1">
      <c r="A459" s="3" t="s">
        <v>3982</v>
      </c>
      <c r="B459" s="3"/>
      <c r="C459" s="24">
        <v>45751.90084490741</v>
      </c>
      <c r="D459" s="3">
        <v>72.0</v>
      </c>
      <c r="E459" s="3">
        <v>13000.0</v>
      </c>
      <c r="F459" s="3" t="s">
        <v>3981</v>
      </c>
      <c r="G459" s="3">
        <v>3000.0</v>
      </c>
      <c r="H459" s="3">
        <v>8000.0</v>
      </c>
      <c r="I459" s="5" t="s">
        <v>3983</v>
      </c>
      <c r="K459" s="5" t="s">
        <v>3457</v>
      </c>
    </row>
    <row r="460" ht="15.75" customHeight="1">
      <c r="A460" s="3" t="s">
        <v>3984</v>
      </c>
      <c r="B460" s="3"/>
      <c r="C460" s="24">
        <v>45751.903958333336</v>
      </c>
      <c r="D460" s="3">
        <v>500.0</v>
      </c>
      <c r="E460" s="3">
        <v>200000.0</v>
      </c>
      <c r="F460" s="3" t="s">
        <v>3915</v>
      </c>
      <c r="G460" s="3">
        <v>-16999.0</v>
      </c>
      <c r="H460" s="3">
        <v>-12999.0</v>
      </c>
      <c r="K460" s="5" t="s">
        <v>3320</v>
      </c>
    </row>
    <row r="461" ht="15.75" customHeight="1">
      <c r="A461" s="3" t="s">
        <v>3985</v>
      </c>
      <c r="B461" s="3"/>
      <c r="C461" s="24">
        <v>45751.90487268518</v>
      </c>
      <c r="D461" s="3">
        <v>15.0</v>
      </c>
      <c r="E461" s="3">
        <v>36500.0</v>
      </c>
      <c r="F461" s="3" t="s">
        <v>3275</v>
      </c>
      <c r="G461" s="3">
        <v>20500.0</v>
      </c>
      <c r="H461" s="3">
        <v>28150.0</v>
      </c>
      <c r="K461" s="5" t="s">
        <v>3320</v>
      </c>
    </row>
    <row r="462" ht="15.75" customHeight="1">
      <c r="A462" s="3" t="s">
        <v>3986</v>
      </c>
      <c r="B462" s="3"/>
      <c r="C462" s="24">
        <v>45751.905127314814</v>
      </c>
      <c r="D462" s="3">
        <v>15.0</v>
      </c>
      <c r="E462" s="3">
        <v>36500.0</v>
      </c>
      <c r="F462" s="3" t="s">
        <v>3275</v>
      </c>
      <c r="G462" s="3">
        <v>28150.0</v>
      </c>
      <c r="H462" s="3">
        <v>36500.0</v>
      </c>
      <c r="I462" s="5" t="s">
        <v>3987</v>
      </c>
      <c r="K462" s="5" t="s">
        <v>3320</v>
      </c>
      <c r="L462" s="6" t="s">
        <v>3247</v>
      </c>
    </row>
    <row r="463" ht="15.75" customHeight="1">
      <c r="A463" s="3" t="s">
        <v>3988</v>
      </c>
      <c r="B463" s="3"/>
      <c r="C463" s="24">
        <v>45752.69295138889</v>
      </c>
      <c r="D463" s="3">
        <v>34.0</v>
      </c>
      <c r="E463" s="3">
        <v>39500.0</v>
      </c>
      <c r="F463" s="3" t="s">
        <v>3662</v>
      </c>
      <c r="G463" s="3">
        <v>35500.0</v>
      </c>
      <c r="H463" s="3">
        <v>37150.0</v>
      </c>
      <c r="I463" s="5" t="s">
        <v>3989</v>
      </c>
      <c r="K463" s="5" t="s">
        <v>3320</v>
      </c>
      <c r="L463" s="6" t="s">
        <v>3247</v>
      </c>
    </row>
    <row r="464" ht="15.75" customHeight="1">
      <c r="A464" s="3" t="s">
        <v>3990</v>
      </c>
      <c r="B464" s="3"/>
      <c r="C464" s="24">
        <v>45752.69563657408</v>
      </c>
      <c r="D464" s="3">
        <v>500.0</v>
      </c>
      <c r="E464" s="3">
        <v>200000.0</v>
      </c>
      <c r="F464" s="3" t="s">
        <v>3915</v>
      </c>
      <c r="G464" s="3">
        <v>-12999.0</v>
      </c>
      <c r="H464" s="3">
        <v>-6499.0</v>
      </c>
      <c r="K464" s="5" t="s">
        <v>3320</v>
      </c>
    </row>
    <row r="465" ht="15.75" customHeight="1">
      <c r="A465" s="3" t="s">
        <v>3991</v>
      </c>
      <c r="B465" s="3"/>
      <c r="C465" s="24">
        <v>45752.6977662037</v>
      </c>
      <c r="D465" s="3">
        <v>26.0</v>
      </c>
      <c r="E465" s="3">
        <v>207600.0</v>
      </c>
      <c r="F465" s="3" t="s">
        <v>3272</v>
      </c>
      <c r="G465" s="3">
        <v>0.0</v>
      </c>
      <c r="H465" s="3">
        <v>99600.0</v>
      </c>
      <c r="K465" s="5" t="s">
        <v>3605</v>
      </c>
    </row>
    <row r="466" ht="15.75" customHeight="1">
      <c r="A466" s="3" t="s">
        <v>3992</v>
      </c>
      <c r="B466" s="3"/>
      <c r="C466" s="24">
        <v>45752.69834490741</v>
      </c>
      <c r="D466" s="3">
        <v>26.0</v>
      </c>
      <c r="E466" s="3">
        <v>207600.0</v>
      </c>
      <c r="F466" s="3" t="s">
        <v>3272</v>
      </c>
      <c r="G466" s="3">
        <v>99600.0</v>
      </c>
      <c r="H466" s="3">
        <v>207600.0</v>
      </c>
      <c r="I466" s="5" t="s">
        <v>3993</v>
      </c>
      <c r="K466" s="5" t="s">
        <v>3605</v>
      </c>
      <c r="L466" s="6" t="s">
        <v>3248</v>
      </c>
    </row>
    <row r="467" ht="15.75" customHeight="1">
      <c r="A467" s="3" t="s">
        <v>3994</v>
      </c>
      <c r="B467" s="3"/>
      <c r="C467" s="24">
        <v>45752.699108796296</v>
      </c>
      <c r="D467" s="3">
        <v>116.0</v>
      </c>
      <c r="E467" s="3">
        <v>99600.0</v>
      </c>
      <c r="F467" s="3" t="s">
        <v>3272</v>
      </c>
      <c r="G467" s="3">
        <v>0.0</v>
      </c>
      <c r="H467" s="3">
        <v>47600.0</v>
      </c>
      <c r="K467" s="5" t="s">
        <v>3605</v>
      </c>
    </row>
    <row r="468" ht="15.75" customHeight="1">
      <c r="A468" s="3" t="s">
        <v>3995</v>
      </c>
      <c r="B468" s="3"/>
      <c r="C468" s="24">
        <v>45752.69982638889</v>
      </c>
      <c r="D468" s="3">
        <v>116.0</v>
      </c>
      <c r="E468" s="3">
        <v>99600.0</v>
      </c>
      <c r="F468" s="3" t="s">
        <v>3272</v>
      </c>
      <c r="G468" s="3">
        <v>47600.0</v>
      </c>
      <c r="H468" s="3">
        <v>78600.0</v>
      </c>
      <c r="K468" s="5" t="s">
        <v>3605</v>
      </c>
    </row>
    <row r="469" ht="15.75" customHeight="1">
      <c r="A469" s="3" t="s">
        <v>3996</v>
      </c>
      <c r="B469" s="3"/>
      <c r="C469" s="24">
        <v>45752.70046296297</v>
      </c>
      <c r="D469" s="3">
        <v>116.0</v>
      </c>
      <c r="E469" s="3">
        <v>99600.0</v>
      </c>
      <c r="F469" s="3" t="s">
        <v>3272</v>
      </c>
      <c r="G469" s="3">
        <v>78600.0</v>
      </c>
      <c r="H469" s="3">
        <v>99600.0</v>
      </c>
      <c r="K469" s="5" t="s">
        <v>3605</v>
      </c>
    </row>
    <row r="470" ht="15.75" customHeight="1">
      <c r="A470" s="3" t="s">
        <v>3997</v>
      </c>
      <c r="B470" s="3"/>
      <c r="C470" s="24">
        <v>45752.70122685185</v>
      </c>
      <c r="D470" s="3">
        <v>935.0</v>
      </c>
      <c r="E470" s="3">
        <v>11200.0</v>
      </c>
      <c r="F470" s="3" t="s">
        <v>3706</v>
      </c>
      <c r="G470" s="3">
        <v>0.0</v>
      </c>
      <c r="H470" s="3">
        <v>1000.0</v>
      </c>
      <c r="K470" s="5" t="s">
        <v>3320</v>
      </c>
    </row>
    <row r="471" ht="15.75" customHeight="1">
      <c r="A471" s="3" t="s">
        <v>3998</v>
      </c>
      <c r="B471" s="3"/>
      <c r="C471" s="24">
        <v>45752.70298611111</v>
      </c>
      <c r="D471" s="3">
        <v>90.0</v>
      </c>
      <c r="E471" s="3">
        <v>97500.0</v>
      </c>
      <c r="F471" s="3" t="s">
        <v>3662</v>
      </c>
      <c r="G471" s="3">
        <v>57000.0</v>
      </c>
      <c r="H471" s="3">
        <v>65500.0</v>
      </c>
      <c r="K471" s="5" t="s">
        <v>3294</v>
      </c>
    </row>
    <row r="472" ht="15.75" customHeight="1">
      <c r="A472" s="3" t="s">
        <v>3999</v>
      </c>
      <c r="B472" s="3"/>
      <c r="C472" s="24">
        <v>45752.70353009259</v>
      </c>
      <c r="D472" s="3">
        <v>86.0</v>
      </c>
      <c r="E472" s="3">
        <v>88000.0</v>
      </c>
      <c r="F472" s="3" t="s">
        <v>3662</v>
      </c>
      <c r="G472" s="3">
        <v>46000.0</v>
      </c>
      <c r="H472" s="3">
        <v>54500.0</v>
      </c>
      <c r="K472" s="5" t="s">
        <v>3294</v>
      </c>
    </row>
    <row r="473" ht="15.75" customHeight="1">
      <c r="A473" s="3" t="s">
        <v>4000</v>
      </c>
      <c r="B473" s="3"/>
      <c r="C473" s="24">
        <v>45752.70402777778</v>
      </c>
      <c r="D473" s="3">
        <v>87.0</v>
      </c>
      <c r="E473" s="3">
        <v>93700.0</v>
      </c>
      <c r="F473" s="3" t="s">
        <v>3942</v>
      </c>
      <c r="G473" s="3">
        <v>40200.0</v>
      </c>
      <c r="H473" s="3">
        <v>49200.0</v>
      </c>
      <c r="I473" s="5" t="s">
        <v>4001</v>
      </c>
      <c r="K473" s="5" t="s">
        <v>3294</v>
      </c>
    </row>
    <row r="474" ht="15.75" customHeight="1">
      <c r="A474" s="3" t="s">
        <v>4002</v>
      </c>
      <c r="B474" s="3"/>
      <c r="C474" s="24">
        <v>45752.70443287037</v>
      </c>
      <c r="D474" s="3">
        <v>80.0</v>
      </c>
      <c r="E474" s="3">
        <v>26100.0</v>
      </c>
      <c r="F474" s="3" t="s">
        <v>3275</v>
      </c>
      <c r="G474" s="3">
        <v>14200.0</v>
      </c>
      <c r="H474" s="3">
        <v>17800.0</v>
      </c>
      <c r="K474" s="5" t="s">
        <v>3294</v>
      </c>
    </row>
    <row r="475" ht="15.75" customHeight="1">
      <c r="A475" s="3" t="s">
        <v>4003</v>
      </c>
      <c r="B475" s="3"/>
      <c r="C475" s="24">
        <v>45752.70553240741</v>
      </c>
      <c r="D475" s="3">
        <v>83.0</v>
      </c>
      <c r="E475" s="3">
        <v>81500.0</v>
      </c>
      <c r="F475" s="3" t="s">
        <v>3662</v>
      </c>
      <c r="G475" s="3">
        <v>44500.0</v>
      </c>
      <c r="H475" s="3">
        <v>51300.0</v>
      </c>
      <c r="K475" s="5" t="s">
        <v>3294</v>
      </c>
    </row>
    <row r="476" ht="15.75" customHeight="1">
      <c r="A476" s="3" t="s">
        <v>4004</v>
      </c>
      <c r="B476" s="3"/>
      <c r="C476" s="24">
        <v>45754.77805555556</v>
      </c>
      <c r="D476" s="3">
        <v>500.0</v>
      </c>
      <c r="E476" s="3">
        <v>200000.0</v>
      </c>
      <c r="F476" s="3" t="s">
        <v>4005</v>
      </c>
      <c r="G476" s="3"/>
      <c r="H476" s="3">
        <v>1.0</v>
      </c>
    </row>
    <row r="477" ht="15.75" customHeight="1">
      <c r="A477" s="3" t="s">
        <v>4006</v>
      </c>
      <c r="B477" s="3"/>
      <c r="C477" s="24">
        <v>45754.8428587963</v>
      </c>
      <c r="D477" s="3">
        <v>500.0</v>
      </c>
      <c r="E477" s="3">
        <v>200000.0</v>
      </c>
      <c r="F477" s="3" t="s">
        <v>4005</v>
      </c>
      <c r="G477" s="3">
        <v>1.0</v>
      </c>
      <c r="H477" s="3">
        <v>10001.0</v>
      </c>
    </row>
    <row r="478" ht="15.75" customHeight="1">
      <c r="A478" s="3" t="s">
        <v>4007</v>
      </c>
      <c r="B478" s="3"/>
      <c r="C478" s="24">
        <v>45754.843993055554</v>
      </c>
      <c r="D478" s="3">
        <v>500.0</v>
      </c>
      <c r="E478" s="3">
        <v>200000.0</v>
      </c>
      <c r="F478" s="3" t="s">
        <v>4005</v>
      </c>
      <c r="G478" s="3">
        <v>10001.0</v>
      </c>
      <c r="H478" s="3">
        <v>11351.0</v>
      </c>
    </row>
    <row r="479" ht="15.75" customHeight="1">
      <c r="A479" s="3" t="s">
        <v>4008</v>
      </c>
      <c r="B479" s="3"/>
      <c r="C479" s="24">
        <v>45754.84446759259</v>
      </c>
      <c r="D479" s="3">
        <v>500.0</v>
      </c>
      <c r="E479" s="3">
        <v>200000.0</v>
      </c>
      <c r="F479" s="3" t="s">
        <v>4005</v>
      </c>
      <c r="G479" s="3">
        <v>11351.0</v>
      </c>
      <c r="H479" s="3">
        <v>14351.0</v>
      </c>
    </row>
    <row r="480" ht="15.75" customHeight="1">
      <c r="A480" s="3" t="s">
        <v>4009</v>
      </c>
      <c r="B480" s="3"/>
      <c r="C480" s="24">
        <v>45754.84792824074</v>
      </c>
      <c r="D480" s="3">
        <v>500.0</v>
      </c>
      <c r="E480" s="3">
        <v>200000.0</v>
      </c>
      <c r="F480" s="3" t="s">
        <v>4005</v>
      </c>
      <c r="G480" s="3">
        <v>14351.0</v>
      </c>
      <c r="H480" s="3">
        <v>7551.0</v>
      </c>
    </row>
    <row r="481" ht="15.75" customHeight="1">
      <c r="A481" s="3" t="s">
        <v>4010</v>
      </c>
      <c r="B481" s="3"/>
      <c r="C481" s="24">
        <v>45754.85357638889</v>
      </c>
      <c r="D481" s="3">
        <v>500.0</v>
      </c>
      <c r="E481" s="3">
        <v>200000.0</v>
      </c>
      <c r="F481" s="3" t="s">
        <v>4005</v>
      </c>
      <c r="G481" s="3">
        <v>7551.0</v>
      </c>
      <c r="H481" s="3">
        <v>4551.0</v>
      </c>
    </row>
    <row r="482" ht="15.75" customHeight="1">
      <c r="A482" s="3" t="s">
        <v>4011</v>
      </c>
      <c r="B482" s="3"/>
      <c r="C482" s="24">
        <v>45754.854050925926</v>
      </c>
      <c r="D482" s="3">
        <v>500.0</v>
      </c>
      <c r="E482" s="3">
        <v>200000.0</v>
      </c>
      <c r="F482" s="3" t="s">
        <v>4005</v>
      </c>
      <c r="G482" s="3">
        <v>4551.0</v>
      </c>
      <c r="H482" s="3">
        <v>2551.0</v>
      </c>
      <c r="K482" s="5" t="s">
        <v>3342</v>
      </c>
    </row>
    <row r="483" ht="15.75" customHeight="1">
      <c r="A483" s="3" t="s">
        <v>4012</v>
      </c>
      <c r="B483" s="3"/>
      <c r="C483" s="24">
        <v>45754.89074074074</v>
      </c>
      <c r="D483" s="3">
        <v>91.0</v>
      </c>
      <c r="E483" s="3">
        <v>86000.0</v>
      </c>
      <c r="F483" s="3" t="s">
        <v>4013</v>
      </c>
      <c r="G483" s="3"/>
      <c r="H483" s="3">
        <v>48800.0</v>
      </c>
      <c r="I483" s="5" t="s">
        <v>4014</v>
      </c>
      <c r="J483" s="5" t="s">
        <v>4015</v>
      </c>
      <c r="K483" s="5" t="s">
        <v>3294</v>
      </c>
    </row>
    <row r="484" ht="15.75" customHeight="1">
      <c r="A484" s="3" t="s">
        <v>4016</v>
      </c>
      <c r="B484" s="3"/>
      <c r="C484" s="24">
        <v>45754.89142361111</v>
      </c>
      <c r="D484" s="3">
        <v>95.0</v>
      </c>
      <c r="E484" s="3">
        <v>77100.0</v>
      </c>
      <c r="F484" s="3" t="s">
        <v>4017</v>
      </c>
      <c r="G484" s="3"/>
      <c r="H484" s="3">
        <v>62000.0</v>
      </c>
      <c r="J484" s="5" t="s">
        <v>4018</v>
      </c>
      <c r="K484" s="5" t="s">
        <v>3294</v>
      </c>
    </row>
    <row r="485" ht="15.75" customHeight="1">
      <c r="A485" s="3" t="s">
        <v>4019</v>
      </c>
      <c r="B485" s="3"/>
      <c r="C485" s="24">
        <v>45754.89203703704</v>
      </c>
      <c r="D485" s="3">
        <v>96.0</v>
      </c>
      <c r="E485" s="3">
        <v>85600.0</v>
      </c>
      <c r="F485" s="3" t="s">
        <v>3275</v>
      </c>
      <c r="G485" s="3"/>
      <c r="H485" s="3">
        <v>31300.0</v>
      </c>
      <c r="J485" s="5" t="s">
        <v>4020</v>
      </c>
      <c r="K485" s="5" t="s">
        <v>3294</v>
      </c>
    </row>
    <row r="486" ht="15.75" customHeight="1">
      <c r="A486" s="3" t="s">
        <v>4021</v>
      </c>
      <c r="B486" s="3"/>
      <c r="C486" s="24">
        <v>45754.89262731482</v>
      </c>
      <c r="D486" s="3">
        <v>6.0</v>
      </c>
      <c r="E486" s="3">
        <v>32000.0</v>
      </c>
      <c r="F486" s="3" t="s">
        <v>3905</v>
      </c>
      <c r="G486" s="3"/>
      <c r="H486" s="3">
        <v>30000.0</v>
      </c>
      <c r="J486" s="5" t="s">
        <v>4022</v>
      </c>
      <c r="K486" s="5" t="s">
        <v>3294</v>
      </c>
    </row>
    <row r="487" ht="15.75" customHeight="1">
      <c r="A487" s="3" t="s">
        <v>4023</v>
      </c>
      <c r="B487" s="3"/>
      <c r="C487" s="24">
        <v>45755.47587962963</v>
      </c>
      <c r="D487" s="3">
        <v>105.0</v>
      </c>
      <c r="E487" s="3">
        <v>31000.0</v>
      </c>
      <c r="F487" s="3" t="s">
        <v>3864</v>
      </c>
      <c r="G487" s="3">
        <v>0.0</v>
      </c>
      <c r="H487" s="3">
        <v>28000.0</v>
      </c>
      <c r="I487" s="5" t="s">
        <v>4024</v>
      </c>
      <c r="K487" s="5" t="s">
        <v>3320</v>
      </c>
    </row>
    <row r="488" ht="15.75" customHeight="1">
      <c r="A488" s="4" t="s">
        <v>4025</v>
      </c>
      <c r="B488" s="3"/>
      <c r="C488" s="24">
        <v>45755.47694444445</v>
      </c>
      <c r="D488" s="3">
        <v>85.0</v>
      </c>
      <c r="E488" s="3">
        <v>84000.0</v>
      </c>
      <c r="F488" s="3" t="s">
        <v>4026</v>
      </c>
      <c r="G488" s="3">
        <v>16600.0</v>
      </c>
      <c r="H488" s="3">
        <v>46600.0</v>
      </c>
      <c r="K488" s="5" t="s">
        <v>3457</v>
      </c>
    </row>
    <row r="489" ht="15.75" customHeight="1">
      <c r="A489" s="3" t="s">
        <v>4027</v>
      </c>
      <c r="B489" s="3"/>
      <c r="C489" s="24">
        <v>45755.47798611111</v>
      </c>
      <c r="D489" s="3">
        <v>84.0</v>
      </c>
      <c r="E489" s="3">
        <v>83000.0</v>
      </c>
      <c r="F489" s="3" t="s">
        <v>3662</v>
      </c>
      <c r="G489" s="3">
        <v>47000.0</v>
      </c>
      <c r="H489" s="3">
        <v>53200.0</v>
      </c>
      <c r="I489" s="5" t="s">
        <v>4028</v>
      </c>
      <c r="K489" s="5" t="s">
        <v>3294</v>
      </c>
    </row>
    <row r="490" ht="15.75" customHeight="1">
      <c r="A490" s="3" t="s">
        <v>4029</v>
      </c>
      <c r="B490" s="3"/>
      <c r="C490" s="24">
        <v>45755.4825</v>
      </c>
      <c r="D490" s="3">
        <v>96.0</v>
      </c>
      <c r="E490" s="3">
        <v>85600.0</v>
      </c>
      <c r="F490" s="3" t="s">
        <v>3275</v>
      </c>
      <c r="G490" s="3">
        <v>31300.0</v>
      </c>
      <c r="H490" s="3">
        <v>46300.0</v>
      </c>
      <c r="K490" s="5" t="s">
        <v>3294</v>
      </c>
    </row>
    <row r="491" ht="15.75" customHeight="1">
      <c r="A491" s="3" t="s">
        <v>4030</v>
      </c>
      <c r="B491" s="3"/>
      <c r="C491" s="24">
        <v>45755.48428240741</v>
      </c>
      <c r="D491" s="3">
        <v>89.0</v>
      </c>
      <c r="E491" s="3">
        <v>83500.0</v>
      </c>
      <c r="F491" s="3" t="s">
        <v>3275</v>
      </c>
      <c r="G491" s="3">
        <v>50000.0</v>
      </c>
      <c r="H491" s="3">
        <v>60800.0</v>
      </c>
      <c r="I491" s="5" t="s">
        <v>4031</v>
      </c>
      <c r="K491" s="5" t="s">
        <v>3294</v>
      </c>
    </row>
    <row r="492" ht="15.75" customHeight="1">
      <c r="A492" s="3" t="s">
        <v>4032</v>
      </c>
      <c r="B492" s="3"/>
      <c r="C492" s="24">
        <v>45755.48584490741</v>
      </c>
      <c r="D492" s="3">
        <v>81.0</v>
      </c>
      <c r="E492" s="3">
        <v>26500.0</v>
      </c>
      <c r="F492" s="3" t="s">
        <v>3275</v>
      </c>
      <c r="G492" s="3">
        <v>14500.0</v>
      </c>
      <c r="H492" s="3">
        <v>18100.0</v>
      </c>
      <c r="I492" s="5" t="s">
        <v>4033</v>
      </c>
      <c r="K492" s="5" t="s">
        <v>3294</v>
      </c>
    </row>
    <row r="493" ht="15.75" customHeight="1">
      <c r="A493" s="3" t="s">
        <v>4034</v>
      </c>
      <c r="B493" s="3"/>
      <c r="C493" s="24">
        <v>45755.52789351852</v>
      </c>
      <c r="D493" s="3">
        <v>79.0</v>
      </c>
      <c r="E493" s="3">
        <v>26000.0</v>
      </c>
      <c r="F493" s="3" t="s">
        <v>3966</v>
      </c>
      <c r="G493" s="3">
        <v>17000.0</v>
      </c>
      <c r="H493" s="3">
        <v>20600.0</v>
      </c>
      <c r="I493" s="6" t="s">
        <v>4035</v>
      </c>
      <c r="K493" s="5" t="s">
        <v>3294</v>
      </c>
    </row>
    <row r="494" ht="15.75" customHeight="1">
      <c r="A494" s="3" t="s">
        <v>4036</v>
      </c>
      <c r="B494" s="3"/>
      <c r="C494" s="24">
        <v>45755.52893518518</v>
      </c>
      <c r="D494" s="3">
        <v>78.0</v>
      </c>
      <c r="E494" s="3">
        <v>25800.0</v>
      </c>
      <c r="F494" s="3" t="s">
        <v>3662</v>
      </c>
      <c r="G494" s="3">
        <v>14000.0</v>
      </c>
      <c r="H494" s="3">
        <v>16700.0</v>
      </c>
      <c r="K494" s="5" t="s">
        <v>3294</v>
      </c>
    </row>
    <row r="495" ht="15.75" customHeight="1">
      <c r="A495" s="3" t="s">
        <v>4037</v>
      </c>
      <c r="B495" s="3"/>
      <c r="C495" s="24">
        <v>45755.52958333334</v>
      </c>
      <c r="D495" s="3">
        <v>92.0</v>
      </c>
      <c r="E495" s="3">
        <v>76000.0</v>
      </c>
      <c r="F495" s="3" t="s">
        <v>3275</v>
      </c>
      <c r="G495" s="3">
        <v>43000.0</v>
      </c>
      <c r="H495" s="3">
        <v>48500.0</v>
      </c>
      <c r="I495" s="5" t="s">
        <v>4038</v>
      </c>
      <c r="K495" s="5" t="s">
        <v>3294</v>
      </c>
    </row>
    <row r="496" ht="15.75" customHeight="1">
      <c r="A496" s="3" t="s">
        <v>4039</v>
      </c>
      <c r="B496" s="3"/>
      <c r="C496" s="26">
        <v>45755.79148148148</v>
      </c>
      <c r="D496" s="3">
        <v>24.0</v>
      </c>
      <c r="E496" s="3">
        <v>186600.0</v>
      </c>
      <c r="F496" s="3" t="s">
        <v>3583</v>
      </c>
      <c r="G496" s="3">
        <v>176600.0</v>
      </c>
      <c r="H496" s="3">
        <v>186600.0</v>
      </c>
      <c r="I496" s="5" t="s">
        <v>4040</v>
      </c>
      <c r="K496" s="5" t="s">
        <v>3605</v>
      </c>
    </row>
    <row r="497" ht="15.75" customHeight="1">
      <c r="A497" s="3" t="s">
        <v>4041</v>
      </c>
      <c r="B497" s="3"/>
      <c r="C497" s="26">
        <v>45755.86849537037</v>
      </c>
      <c r="D497" s="3">
        <v>82.0</v>
      </c>
      <c r="E497" s="3">
        <v>42600.0</v>
      </c>
      <c r="F497" s="3" t="s">
        <v>3275</v>
      </c>
      <c r="G497" s="3"/>
      <c r="H497" s="3">
        <v>28500.0</v>
      </c>
      <c r="J497" s="5" t="s">
        <v>4042</v>
      </c>
      <c r="K497" s="5" t="s">
        <v>3294</v>
      </c>
    </row>
    <row r="498" ht="15.75" customHeight="1">
      <c r="A498" s="3" t="s">
        <v>4043</v>
      </c>
      <c r="B498" s="3"/>
      <c r="C498" s="26">
        <v>45755.869155092594</v>
      </c>
      <c r="D498" s="3">
        <v>88.0</v>
      </c>
      <c r="E498" s="3">
        <v>78900.0</v>
      </c>
      <c r="F498" s="3" t="s">
        <v>3662</v>
      </c>
      <c r="G498" s="3"/>
      <c r="H498" s="3">
        <v>38000.0</v>
      </c>
      <c r="J498" s="5" t="s">
        <v>4044</v>
      </c>
      <c r="K498" s="5" t="s">
        <v>3294</v>
      </c>
    </row>
    <row r="499" ht="15.75" customHeight="1">
      <c r="A499" s="3" t="s">
        <v>4045</v>
      </c>
      <c r="B499" s="3"/>
      <c r="C499" s="26">
        <v>45755.87017361111</v>
      </c>
      <c r="D499" s="3">
        <v>6.0</v>
      </c>
      <c r="E499" s="3">
        <v>32000.0</v>
      </c>
      <c r="F499" s="3" t="s">
        <v>3905</v>
      </c>
      <c r="G499" s="3"/>
      <c r="H499" s="3">
        <v>17100.0</v>
      </c>
      <c r="J499" s="5" t="s">
        <v>4046</v>
      </c>
      <c r="K499" s="5" t="s">
        <v>3294</v>
      </c>
    </row>
    <row r="500" ht="15.75" customHeight="1">
      <c r="A500" s="3" t="s">
        <v>4047</v>
      </c>
      <c r="B500" s="3"/>
      <c r="C500" s="26">
        <v>45756.769375</v>
      </c>
      <c r="D500" s="3">
        <v>65.0</v>
      </c>
      <c r="E500" s="3">
        <v>35500.0</v>
      </c>
      <c r="F500" s="3" t="s">
        <v>4017</v>
      </c>
      <c r="G500" s="3"/>
      <c r="H500" s="3">
        <v>20000.0</v>
      </c>
      <c r="J500" s="5" t="s">
        <v>4048</v>
      </c>
      <c r="K500" s="5" t="s">
        <v>3294</v>
      </c>
    </row>
    <row r="501" ht="15.75" customHeight="1">
      <c r="A501" s="3" t="s">
        <v>4049</v>
      </c>
      <c r="B501" s="3"/>
      <c r="C501" s="26">
        <v>45756.774826388886</v>
      </c>
      <c r="D501" s="3">
        <v>45.0</v>
      </c>
      <c r="E501" s="3">
        <v>30000.0</v>
      </c>
      <c r="F501" s="3" t="s">
        <v>3272</v>
      </c>
      <c r="G501" s="3">
        <v>0.0</v>
      </c>
      <c r="H501" s="3">
        <v>30000.0</v>
      </c>
      <c r="K501" s="5" t="s">
        <v>3605</v>
      </c>
    </row>
    <row r="502" ht="15.75" customHeight="1">
      <c r="A502" s="3" t="s">
        <v>4050</v>
      </c>
      <c r="B502" s="3"/>
      <c r="C502" s="26">
        <v>45756.77790509259</v>
      </c>
      <c r="D502" s="3">
        <v>18.0</v>
      </c>
      <c r="E502" s="3">
        <v>39500.0</v>
      </c>
      <c r="F502" s="3" t="s">
        <v>3662</v>
      </c>
      <c r="G502" s="3">
        <v>0.0</v>
      </c>
      <c r="H502" s="3">
        <v>38000.0</v>
      </c>
      <c r="K502" s="5" t="s">
        <v>3320</v>
      </c>
    </row>
    <row r="503" ht="15.75" customHeight="1">
      <c r="A503" s="3" t="s">
        <v>4051</v>
      </c>
      <c r="B503" s="3"/>
      <c r="C503" s="26">
        <v>45756.7791087963</v>
      </c>
      <c r="D503" s="3">
        <v>28.0</v>
      </c>
      <c r="E503" s="3">
        <v>216000.0</v>
      </c>
      <c r="F503" s="3" t="s">
        <v>3662</v>
      </c>
      <c r="G503" s="3">
        <v>0.0</v>
      </c>
      <c r="H503" s="3">
        <v>65500.0</v>
      </c>
      <c r="K503" s="5" t="s">
        <v>3320</v>
      </c>
    </row>
    <row r="504" ht="15.75" customHeight="1">
      <c r="A504" s="3" t="s">
        <v>4052</v>
      </c>
      <c r="B504" s="3"/>
      <c r="C504" s="26">
        <v>45756.78030092592</v>
      </c>
      <c r="D504" s="3">
        <v>41.0</v>
      </c>
      <c r="E504" s="3">
        <v>35100.0</v>
      </c>
      <c r="F504" s="3" t="s">
        <v>4053</v>
      </c>
      <c r="G504" s="3">
        <v>0.0</v>
      </c>
      <c r="H504" s="3">
        <v>35100.0</v>
      </c>
      <c r="K504" s="5" t="s">
        <v>3337</v>
      </c>
    </row>
    <row r="505" ht="15.75" customHeight="1">
      <c r="A505" s="3" t="s">
        <v>4054</v>
      </c>
      <c r="B505" s="3"/>
      <c r="C505" s="26">
        <v>45756.78060185185</v>
      </c>
      <c r="D505" s="3">
        <v>935.0</v>
      </c>
      <c r="E505" s="3">
        <v>11200.0</v>
      </c>
      <c r="F505" s="3" t="s">
        <v>3706</v>
      </c>
      <c r="G505" s="3">
        <v>4000.0</v>
      </c>
      <c r="H505" s="3">
        <v>4900.0</v>
      </c>
      <c r="K505" s="5" t="s">
        <v>3320</v>
      </c>
    </row>
    <row r="506" ht="15.75" customHeight="1">
      <c r="A506" s="3" t="s">
        <v>4055</v>
      </c>
      <c r="B506" s="3"/>
      <c r="C506" s="26">
        <v>45756.78444444444</v>
      </c>
      <c r="D506" s="3">
        <v>85.0</v>
      </c>
      <c r="E506" s="3">
        <v>84000.0</v>
      </c>
      <c r="F506" s="3" t="s">
        <v>4026</v>
      </c>
      <c r="G506" s="3">
        <v>46600.0</v>
      </c>
      <c r="H506" s="3">
        <v>63700.0</v>
      </c>
      <c r="I506" s="5" t="s">
        <v>4056</v>
      </c>
      <c r="K506" s="5" t="s">
        <v>3457</v>
      </c>
    </row>
    <row r="507" ht="15.75" customHeight="1">
      <c r="A507" s="4" t="s">
        <v>4057</v>
      </c>
      <c r="B507" s="3"/>
      <c r="C507" s="26">
        <v>45756.799409722225</v>
      </c>
      <c r="D507" s="3">
        <v>500.0</v>
      </c>
      <c r="E507" s="3">
        <v>200000.0</v>
      </c>
      <c r="F507" s="3" t="s">
        <v>4005</v>
      </c>
      <c r="G507" s="3">
        <v>2551.0</v>
      </c>
      <c r="H507" s="3">
        <v>10151.0</v>
      </c>
      <c r="I507" s="5" t="s">
        <v>4058</v>
      </c>
      <c r="K507" s="5" t="s">
        <v>3342</v>
      </c>
    </row>
    <row r="508" ht="15.75" customHeight="1">
      <c r="A508" s="3" t="s">
        <v>4059</v>
      </c>
      <c r="B508" s="3"/>
      <c r="C508" s="26">
        <v>45757.749756944446</v>
      </c>
      <c r="D508" s="3">
        <v>90.0</v>
      </c>
      <c r="E508" s="3">
        <v>97500.0</v>
      </c>
      <c r="F508" s="3" t="s">
        <v>3662</v>
      </c>
      <c r="G508" s="3"/>
      <c r="H508" s="3">
        <v>59000.0</v>
      </c>
      <c r="J508" s="5" t="s">
        <v>4060</v>
      </c>
      <c r="K508" s="5" t="s">
        <v>3294</v>
      </c>
    </row>
    <row r="509" ht="15.75" customHeight="1">
      <c r="A509" s="3" t="s">
        <v>4061</v>
      </c>
      <c r="B509" s="3"/>
      <c r="C509" s="26">
        <v>45757.774872685186</v>
      </c>
      <c r="D509" s="3">
        <v>66.0</v>
      </c>
      <c r="E509" s="3">
        <v>23000.0</v>
      </c>
      <c r="F509" s="3" t="s">
        <v>4062</v>
      </c>
      <c r="G509" s="3"/>
      <c r="H509" s="3">
        <v>17600.0</v>
      </c>
      <c r="I509" s="5" t="s">
        <v>4063</v>
      </c>
      <c r="J509" s="5" t="s">
        <v>4064</v>
      </c>
      <c r="K509" s="5" t="s">
        <v>3294</v>
      </c>
    </row>
    <row r="510" ht="15.75" customHeight="1">
      <c r="A510" s="3" t="s">
        <v>4065</v>
      </c>
      <c r="B510" s="3"/>
      <c r="C510" s="26">
        <v>45757.77638888889</v>
      </c>
      <c r="D510" s="3">
        <v>67.0</v>
      </c>
      <c r="E510" s="3">
        <v>23000.0</v>
      </c>
      <c r="F510" s="3" t="s">
        <v>4017</v>
      </c>
      <c r="G510" s="3"/>
      <c r="H510" s="3">
        <v>18000.0</v>
      </c>
      <c r="J510" s="5" t="s">
        <v>4066</v>
      </c>
      <c r="K510" s="5" t="s">
        <v>3294</v>
      </c>
    </row>
    <row r="511" ht="15.75" customHeight="1">
      <c r="A511" s="3" t="s">
        <v>4067</v>
      </c>
      <c r="B511" s="3"/>
      <c r="C511" s="26">
        <v>45757.77912037037</v>
      </c>
      <c r="D511" s="3">
        <v>28.0</v>
      </c>
      <c r="E511" s="3">
        <v>216000.0</v>
      </c>
      <c r="F511" s="3" t="s">
        <v>3662</v>
      </c>
      <c r="G511" s="3">
        <v>65500.0</v>
      </c>
      <c r="H511" s="3">
        <v>120000.0</v>
      </c>
      <c r="K511" s="5" t="s">
        <v>3320</v>
      </c>
    </row>
    <row r="512" ht="15.75" customHeight="1">
      <c r="A512" s="3" t="s">
        <v>4068</v>
      </c>
      <c r="B512" s="3"/>
      <c r="C512" s="26">
        <v>45757.78072916667</v>
      </c>
      <c r="D512" s="3">
        <v>96.0</v>
      </c>
      <c r="E512" s="3">
        <v>85600.0</v>
      </c>
      <c r="F512" s="3" t="s">
        <v>3275</v>
      </c>
      <c r="G512" s="3">
        <v>46300.0</v>
      </c>
      <c r="H512" s="3">
        <v>52800.0</v>
      </c>
      <c r="I512" s="5" t="s">
        <v>4069</v>
      </c>
      <c r="K512" s="5" t="s">
        <v>3294</v>
      </c>
    </row>
    <row r="513" ht="15.75" customHeight="1">
      <c r="A513" s="3" t="s">
        <v>4070</v>
      </c>
      <c r="B513" s="3"/>
      <c r="C513" s="26">
        <v>45757.78136574074</v>
      </c>
      <c r="D513" s="3">
        <v>95.0</v>
      </c>
      <c r="E513" s="3">
        <v>77100.0</v>
      </c>
      <c r="F513" s="3" t="s">
        <v>4017</v>
      </c>
      <c r="G513" s="3">
        <v>62000.0</v>
      </c>
      <c r="H513" s="3">
        <v>68500.0</v>
      </c>
      <c r="I513" s="5" t="s">
        <v>4071</v>
      </c>
      <c r="K513" s="5" t="s">
        <v>3294</v>
      </c>
    </row>
    <row r="514" ht="15.75" customHeight="1">
      <c r="A514" s="3" t="s">
        <v>4072</v>
      </c>
      <c r="B514" s="3"/>
      <c r="C514" s="26">
        <v>45757.78267361111</v>
      </c>
      <c r="D514" s="3">
        <v>86.0</v>
      </c>
      <c r="E514" s="3">
        <v>88000.0</v>
      </c>
      <c r="F514" s="3" t="s">
        <v>3662</v>
      </c>
      <c r="G514" s="3"/>
      <c r="H514" s="3">
        <v>50000.0</v>
      </c>
      <c r="I514" s="5" t="s">
        <v>4073</v>
      </c>
      <c r="J514" s="5" t="s">
        <v>4074</v>
      </c>
      <c r="K514" s="5" t="s">
        <v>3294</v>
      </c>
    </row>
    <row r="515" ht="15.75" customHeight="1">
      <c r="A515" s="3" t="s">
        <v>4075</v>
      </c>
      <c r="B515" s="3"/>
      <c r="C515" s="26">
        <v>45757.834699074076</v>
      </c>
      <c r="D515" s="3">
        <v>69.0</v>
      </c>
      <c r="E515" s="3">
        <v>13000.0</v>
      </c>
      <c r="F515" s="3" t="s">
        <v>3293</v>
      </c>
      <c r="G515" s="3"/>
      <c r="H515" s="3">
        <v>7200.0</v>
      </c>
      <c r="J515" s="5">
        <v>6145.0</v>
      </c>
      <c r="K515" s="5" t="s">
        <v>3294</v>
      </c>
    </row>
    <row r="516" ht="15.75" customHeight="1">
      <c r="A516" s="3" t="s">
        <v>4076</v>
      </c>
      <c r="B516" s="3"/>
      <c r="C516" s="26">
        <v>45758.70997685185</v>
      </c>
      <c r="D516" s="3">
        <v>28.0</v>
      </c>
      <c r="E516" s="3">
        <v>216000.0</v>
      </c>
      <c r="F516" s="3" t="s">
        <v>3662</v>
      </c>
      <c r="G516" s="3">
        <v>120000.0</v>
      </c>
      <c r="H516" s="3">
        <v>171300.0</v>
      </c>
      <c r="I516" s="5" t="s">
        <v>4077</v>
      </c>
      <c r="K516" s="5" t="s">
        <v>3320</v>
      </c>
    </row>
    <row r="517" ht="15.75" customHeight="1">
      <c r="A517" s="3" t="s">
        <v>4078</v>
      </c>
      <c r="B517" s="3"/>
      <c r="C517" s="26">
        <v>45758.85959490741</v>
      </c>
      <c r="D517" s="3">
        <v>77.0</v>
      </c>
      <c r="E517" s="3">
        <v>26000.0</v>
      </c>
      <c r="F517" s="3" t="s">
        <v>3275</v>
      </c>
      <c r="G517" s="3"/>
      <c r="H517" s="3">
        <v>10500.0</v>
      </c>
      <c r="J517" s="5" t="s">
        <v>4079</v>
      </c>
      <c r="K517" s="5" t="s">
        <v>3294</v>
      </c>
    </row>
    <row r="518" ht="15.75" customHeight="1">
      <c r="A518" s="3" t="s">
        <v>4080</v>
      </c>
      <c r="B518" s="3"/>
      <c r="C518" s="26">
        <v>45758.860671296294</v>
      </c>
      <c r="D518" s="3">
        <v>76.0</v>
      </c>
      <c r="E518" s="3">
        <v>25500.0</v>
      </c>
      <c r="F518" s="3" t="s">
        <v>3275</v>
      </c>
      <c r="G518" s="3"/>
      <c r="H518" s="3">
        <v>22800.0</v>
      </c>
      <c r="J518" s="5" t="s">
        <v>4081</v>
      </c>
      <c r="K518" s="5" t="s">
        <v>3294</v>
      </c>
    </row>
    <row r="519" ht="15.75" customHeight="1">
      <c r="A519" s="3" t="s">
        <v>4082</v>
      </c>
      <c r="B519" s="3"/>
      <c r="C519" s="26">
        <v>45758.861655092594</v>
      </c>
      <c r="D519" s="3">
        <v>83.0</v>
      </c>
      <c r="E519" s="3">
        <v>81500.0</v>
      </c>
      <c r="F519" s="3" t="s">
        <v>3905</v>
      </c>
      <c r="G519" s="3"/>
      <c r="H519" s="3">
        <v>81000.0</v>
      </c>
      <c r="J519" s="5" t="s">
        <v>4083</v>
      </c>
      <c r="K519" s="5" t="s">
        <v>3294</v>
      </c>
    </row>
    <row r="520" ht="15.75" customHeight="1">
      <c r="A520" s="3" t="s">
        <v>4084</v>
      </c>
      <c r="B520" s="3"/>
      <c r="C520" s="26">
        <v>45758.86423611111</v>
      </c>
      <c r="D520" s="3">
        <v>73.0</v>
      </c>
      <c r="E520" s="3">
        <v>13000.0</v>
      </c>
      <c r="F520" s="3" t="s">
        <v>3293</v>
      </c>
      <c r="G520" s="3"/>
      <c r="H520" s="3">
        <v>4200.0</v>
      </c>
      <c r="J520" s="5">
        <v>6158.0</v>
      </c>
      <c r="K520" s="5" t="s">
        <v>3294</v>
      </c>
    </row>
    <row r="521" ht="15.75" customHeight="1">
      <c r="A521" s="3" t="s">
        <v>4085</v>
      </c>
      <c r="B521" s="3"/>
      <c r="C521" s="26">
        <v>45758.89114583333</v>
      </c>
      <c r="D521" s="3">
        <v>88.0</v>
      </c>
      <c r="E521" s="3">
        <v>78900.0</v>
      </c>
      <c r="F521" s="3" t="s">
        <v>3662</v>
      </c>
      <c r="G521" s="3">
        <v>38000.0</v>
      </c>
      <c r="H521" s="3">
        <v>46150.0</v>
      </c>
      <c r="I521" s="5" t="s">
        <v>4086</v>
      </c>
      <c r="K521" s="5" t="s">
        <v>3457</v>
      </c>
    </row>
    <row r="522" ht="15.75" customHeight="1">
      <c r="A522" s="3" t="s">
        <v>4087</v>
      </c>
      <c r="B522" s="3"/>
      <c r="C522" s="26">
        <v>45758.89251157407</v>
      </c>
      <c r="D522" s="3">
        <v>82.0</v>
      </c>
      <c r="E522" s="3">
        <v>42600.0</v>
      </c>
      <c r="F522" s="3" t="s">
        <v>3275</v>
      </c>
      <c r="G522" s="3">
        <v>28500.0</v>
      </c>
      <c r="H522" s="3">
        <v>33000.0</v>
      </c>
      <c r="I522" s="5" t="s">
        <v>4088</v>
      </c>
      <c r="K522" s="5" t="s">
        <v>3294</v>
      </c>
    </row>
    <row r="523" ht="15.75" customHeight="1">
      <c r="A523" s="3" t="s">
        <v>4089</v>
      </c>
      <c r="B523" s="3"/>
      <c r="C523" s="26">
        <v>45758.893125</v>
      </c>
      <c r="D523" s="3">
        <v>65.0</v>
      </c>
      <c r="E523" s="3">
        <v>35500.0</v>
      </c>
      <c r="F523" s="3" t="s">
        <v>4017</v>
      </c>
      <c r="G523" s="3">
        <v>20000.0</v>
      </c>
      <c r="H523" s="3">
        <v>27250.0</v>
      </c>
      <c r="I523" s="5" t="s">
        <v>4090</v>
      </c>
      <c r="K523" s="5" t="s">
        <v>3294</v>
      </c>
    </row>
    <row r="524" ht="15.75" customHeight="1">
      <c r="A524" s="3" t="s">
        <v>4091</v>
      </c>
      <c r="B524" s="3"/>
      <c r="C524" s="26">
        <v>45758.89417824074</v>
      </c>
      <c r="D524" s="3">
        <v>90.0</v>
      </c>
      <c r="E524" s="3">
        <v>97500.0</v>
      </c>
      <c r="F524" s="3" t="s">
        <v>3662</v>
      </c>
      <c r="G524" s="3">
        <v>59000.0</v>
      </c>
      <c r="H524" s="3">
        <v>71600.0</v>
      </c>
      <c r="I524" s="5" t="s">
        <v>4092</v>
      </c>
      <c r="K524" s="5" t="s">
        <v>3294</v>
      </c>
    </row>
    <row r="525" ht="15.75" customHeight="1">
      <c r="A525" s="3" t="s">
        <v>4093</v>
      </c>
      <c r="B525" s="3"/>
      <c r="C525" s="26">
        <v>45759.52269675926</v>
      </c>
      <c r="D525" s="3">
        <v>120.0</v>
      </c>
      <c r="E525" s="3">
        <v>88800.0</v>
      </c>
      <c r="F525" s="3" t="s">
        <v>4017</v>
      </c>
      <c r="G525" s="3">
        <v>0.0</v>
      </c>
      <c r="H525" s="3">
        <v>56000.0</v>
      </c>
      <c r="K525" s="5" t="s">
        <v>3320</v>
      </c>
    </row>
    <row r="526" ht="15.75" customHeight="1">
      <c r="A526" s="3" t="s">
        <v>4094</v>
      </c>
      <c r="B526" s="3"/>
      <c r="C526" s="26">
        <v>45759.52313657408</v>
      </c>
      <c r="D526" s="3">
        <v>120.0</v>
      </c>
      <c r="E526" s="3">
        <v>88800.0</v>
      </c>
      <c r="F526" s="3" t="s">
        <v>4017</v>
      </c>
      <c r="G526" s="3">
        <v>56000.0</v>
      </c>
      <c r="H526" s="3">
        <v>64500.0</v>
      </c>
      <c r="K526" s="5" t="s">
        <v>3320</v>
      </c>
    </row>
    <row r="527" ht="15.75" customHeight="1">
      <c r="A527" s="3" t="s">
        <v>4095</v>
      </c>
      <c r="B527" s="3"/>
      <c r="C527" s="26">
        <v>45759.52413194445</v>
      </c>
      <c r="D527" s="3">
        <v>120.0</v>
      </c>
      <c r="E527" s="3">
        <v>88800.0</v>
      </c>
      <c r="F527" s="3" t="s">
        <v>4017</v>
      </c>
      <c r="G527" s="3">
        <v>64500.0</v>
      </c>
      <c r="H527" s="3">
        <v>72500.0</v>
      </c>
      <c r="I527" s="5" t="s">
        <v>4096</v>
      </c>
      <c r="K527" s="5" t="s">
        <v>3320</v>
      </c>
    </row>
    <row r="528" ht="15.75" customHeight="1">
      <c r="A528" s="3" t="s">
        <v>4097</v>
      </c>
      <c r="B528" s="3"/>
      <c r="C528" s="26">
        <v>45759.52462962963</v>
      </c>
      <c r="D528" s="3">
        <v>120.0</v>
      </c>
      <c r="E528" s="3">
        <v>88800.0</v>
      </c>
      <c r="F528" s="3" t="s">
        <v>4017</v>
      </c>
      <c r="G528" s="3">
        <v>72500.0</v>
      </c>
      <c r="H528" s="3">
        <v>76700.0</v>
      </c>
      <c r="K528" s="5" t="s">
        <v>3320</v>
      </c>
    </row>
    <row r="529" ht="15.75" customHeight="1">
      <c r="A529" s="3" t="s">
        <v>4098</v>
      </c>
      <c r="B529" s="3"/>
      <c r="C529" s="26">
        <v>45759.52631944444</v>
      </c>
      <c r="D529" s="3">
        <v>116.0</v>
      </c>
      <c r="E529" s="3">
        <v>99600.0</v>
      </c>
      <c r="F529" s="3" t="s">
        <v>3273</v>
      </c>
      <c r="G529" s="3">
        <v>0.0</v>
      </c>
      <c r="H529" s="3">
        <v>63700.0</v>
      </c>
      <c r="I529" s="5" t="s">
        <v>4099</v>
      </c>
      <c r="K529" s="5" t="s">
        <v>3320</v>
      </c>
    </row>
    <row r="530" ht="15.75" customHeight="1">
      <c r="A530" s="3" t="s">
        <v>4100</v>
      </c>
      <c r="B530" s="3"/>
      <c r="C530" s="26">
        <v>45761.77349537037</v>
      </c>
      <c r="D530" s="3">
        <v>11.0</v>
      </c>
      <c r="E530" s="3">
        <v>36000.0</v>
      </c>
      <c r="F530" s="3" t="s">
        <v>4053</v>
      </c>
      <c r="G530" s="3">
        <v>0.0</v>
      </c>
      <c r="H530" s="3">
        <v>30000.0</v>
      </c>
      <c r="K530" s="5" t="s">
        <v>3337</v>
      </c>
    </row>
    <row r="531" ht="15.75" customHeight="1">
      <c r="A531" s="3" t="s">
        <v>4101</v>
      </c>
      <c r="B531" s="3"/>
      <c r="C531" s="26">
        <v>45761.77829861111</v>
      </c>
      <c r="D531" s="3">
        <v>67.0</v>
      </c>
      <c r="E531" s="3">
        <v>23000.0</v>
      </c>
      <c r="F531" s="3" t="s">
        <v>4062</v>
      </c>
      <c r="G531" s="3">
        <v>18000.0</v>
      </c>
      <c r="H531" s="3">
        <v>22800.0</v>
      </c>
      <c r="I531" s="5" t="s">
        <v>4102</v>
      </c>
      <c r="K531" s="5" t="s">
        <v>3294</v>
      </c>
    </row>
    <row r="532" ht="15.75" customHeight="1">
      <c r="A532" s="3" t="s">
        <v>4103</v>
      </c>
      <c r="B532" s="3"/>
      <c r="C532" s="26">
        <v>45761.779328703706</v>
      </c>
      <c r="D532" s="3">
        <v>500.0</v>
      </c>
      <c r="E532" s="3">
        <v>200000.0</v>
      </c>
      <c r="F532" s="3" t="s">
        <v>4104</v>
      </c>
      <c r="G532" s="3">
        <v>0.0</v>
      </c>
      <c r="H532" s="3">
        <v>1.0</v>
      </c>
      <c r="K532" s="5" t="s">
        <v>3320</v>
      </c>
    </row>
    <row r="533" ht="15.75" customHeight="1">
      <c r="A533" s="3" t="s">
        <v>4105</v>
      </c>
      <c r="B533" s="3"/>
      <c r="C533" s="26">
        <v>45761.79280092593</v>
      </c>
      <c r="D533" s="3">
        <v>7.0</v>
      </c>
      <c r="E533" s="3">
        <v>30000.0</v>
      </c>
      <c r="F533" s="3" t="s">
        <v>3905</v>
      </c>
      <c r="G533" s="3">
        <v>0.0</v>
      </c>
      <c r="H533" s="3">
        <v>9000.0</v>
      </c>
      <c r="K533" s="5" t="s">
        <v>3294</v>
      </c>
    </row>
    <row r="534" ht="15.75" customHeight="1">
      <c r="A534" s="3" t="s">
        <v>4106</v>
      </c>
      <c r="B534" s="3"/>
      <c r="C534" s="26">
        <v>45761.80603009259</v>
      </c>
      <c r="D534" s="3">
        <v>500.0</v>
      </c>
      <c r="E534" s="3">
        <v>200000.0</v>
      </c>
      <c r="F534" s="3" t="s">
        <v>4104</v>
      </c>
      <c r="G534" s="3">
        <v>1.0</v>
      </c>
      <c r="H534" s="3">
        <v>301.0</v>
      </c>
      <c r="K534" s="5" t="s">
        <v>3320</v>
      </c>
    </row>
    <row r="535" ht="15.75" customHeight="1">
      <c r="A535" s="3" t="s">
        <v>4107</v>
      </c>
      <c r="B535" s="3"/>
      <c r="C535" s="26">
        <v>45761.80672453704</v>
      </c>
      <c r="D535" s="3">
        <v>500.0</v>
      </c>
      <c r="E535" s="3">
        <v>200000.0</v>
      </c>
      <c r="F535" s="3" t="s">
        <v>4104</v>
      </c>
      <c r="G535" s="3">
        <v>301.0</v>
      </c>
      <c r="H535" s="3">
        <v>801.0</v>
      </c>
      <c r="K535" s="5" t="s">
        <v>3320</v>
      </c>
    </row>
    <row r="536" ht="15.75" customHeight="1">
      <c r="A536" s="3" t="s">
        <v>4108</v>
      </c>
      <c r="B536" s="3"/>
      <c r="C536" s="26">
        <v>45761.80738425926</v>
      </c>
      <c r="D536" s="3">
        <v>500.0</v>
      </c>
      <c r="E536" s="3">
        <v>200000.0</v>
      </c>
      <c r="F536" s="3" t="s">
        <v>4104</v>
      </c>
      <c r="G536" s="3">
        <v>801.0</v>
      </c>
      <c r="H536" s="3">
        <v>9101.0</v>
      </c>
      <c r="K536" s="5" t="s">
        <v>3320</v>
      </c>
    </row>
    <row r="537" ht="15.75" customHeight="1">
      <c r="A537" s="3" t="s">
        <v>4109</v>
      </c>
      <c r="B537" s="3"/>
      <c r="C537" s="26">
        <v>45761.80935185185</v>
      </c>
      <c r="D537" s="3">
        <v>500.0</v>
      </c>
      <c r="E537" s="3">
        <v>200000.0</v>
      </c>
      <c r="F537" s="3" t="s">
        <v>4104</v>
      </c>
      <c r="G537" s="3">
        <v>9101.0</v>
      </c>
      <c r="H537" s="3">
        <v>12901.0</v>
      </c>
      <c r="K537" s="5" t="s">
        <v>3320</v>
      </c>
    </row>
    <row r="538" ht="15.75" customHeight="1">
      <c r="A538" s="3" t="s">
        <v>4110</v>
      </c>
      <c r="B538" s="3"/>
      <c r="C538" s="26">
        <v>45761.813576388886</v>
      </c>
      <c r="D538" s="3">
        <v>500.0</v>
      </c>
      <c r="E538" s="3">
        <v>200000.0</v>
      </c>
      <c r="F538" s="3" t="s">
        <v>4104</v>
      </c>
      <c r="G538" s="3">
        <v>12901.0</v>
      </c>
      <c r="H538" s="3">
        <v>11901.0</v>
      </c>
      <c r="K538" s="5" t="s">
        <v>3320</v>
      </c>
    </row>
    <row r="539" ht="15.75" customHeight="1">
      <c r="A539" s="3" t="s">
        <v>4111</v>
      </c>
      <c r="B539" s="3"/>
      <c r="C539" s="26">
        <v>45761.813993055555</v>
      </c>
      <c r="D539" s="3">
        <v>500.0</v>
      </c>
      <c r="E539" s="3">
        <v>200000.0</v>
      </c>
      <c r="F539" s="3" t="s">
        <v>4104</v>
      </c>
      <c r="G539" s="3">
        <v>11901.0</v>
      </c>
      <c r="H539" s="3">
        <v>10901.0</v>
      </c>
      <c r="K539" s="5" t="s">
        <v>3320</v>
      </c>
    </row>
    <row r="540" ht="15.75" customHeight="1">
      <c r="A540" s="3" t="s">
        <v>4112</v>
      </c>
      <c r="B540" s="3"/>
      <c r="C540" s="26">
        <v>45761.81449074074</v>
      </c>
      <c r="D540" s="3">
        <v>500.0</v>
      </c>
      <c r="E540" s="3">
        <v>200000.0</v>
      </c>
      <c r="F540" s="3" t="s">
        <v>4104</v>
      </c>
      <c r="G540" s="3">
        <v>10901.0</v>
      </c>
      <c r="H540" s="3">
        <v>12901.0</v>
      </c>
      <c r="K540" s="5" t="s">
        <v>3320</v>
      </c>
    </row>
    <row r="541" ht="15.75" customHeight="1">
      <c r="A541" s="3" t="s">
        <v>4113</v>
      </c>
      <c r="B541" s="3"/>
      <c r="C541" s="26">
        <v>45761.81481481482</v>
      </c>
      <c r="D541" s="3"/>
      <c r="E541" s="3"/>
      <c r="F541" s="3"/>
      <c r="G541" s="3"/>
      <c r="H541" s="3">
        <v>-1100.0</v>
      </c>
    </row>
    <row r="542" ht="15.75" customHeight="1">
      <c r="A542" s="3" t="s">
        <v>4114</v>
      </c>
      <c r="B542" s="3"/>
      <c r="C542" s="26">
        <v>45761.81684027778</v>
      </c>
      <c r="D542" s="3">
        <v>500.0</v>
      </c>
      <c r="E542" s="3">
        <v>200000.0</v>
      </c>
      <c r="F542" s="3" t="s">
        <v>4104</v>
      </c>
      <c r="G542" s="3">
        <v>12901.0</v>
      </c>
      <c r="H542" s="3">
        <v>13901.0</v>
      </c>
      <c r="K542" s="5" t="s">
        <v>3320</v>
      </c>
    </row>
    <row r="543" ht="15.75" customHeight="1">
      <c r="A543" s="3" t="s">
        <v>4115</v>
      </c>
      <c r="B543" s="3"/>
      <c r="C543" s="26">
        <v>45761.819074074076</v>
      </c>
      <c r="D543" s="3">
        <v>500.0</v>
      </c>
      <c r="E543" s="3">
        <v>200000.0</v>
      </c>
      <c r="F543" s="3" t="s">
        <v>4104</v>
      </c>
      <c r="G543" s="3">
        <v>13901.0</v>
      </c>
      <c r="H543" s="3">
        <v>11901.0</v>
      </c>
      <c r="K543" s="5" t="s">
        <v>3320</v>
      </c>
    </row>
    <row r="544" ht="15.75" customHeight="1">
      <c r="A544" s="3" t="s">
        <v>4116</v>
      </c>
      <c r="B544" s="3"/>
      <c r="C544" s="26">
        <v>45761.81980324074</v>
      </c>
      <c r="D544" s="3">
        <v>500.0</v>
      </c>
      <c r="E544" s="3">
        <v>200000.0</v>
      </c>
      <c r="F544" s="3" t="s">
        <v>4104</v>
      </c>
      <c r="G544" s="3">
        <v>11901.0</v>
      </c>
      <c r="H544" s="3">
        <v>12901.0</v>
      </c>
      <c r="K544" s="5" t="s">
        <v>3320</v>
      </c>
    </row>
    <row r="545" ht="15.75" customHeight="1">
      <c r="A545" s="3" t="s">
        <v>4117</v>
      </c>
      <c r="B545" s="3"/>
      <c r="C545" s="26">
        <v>45761.82005787037</v>
      </c>
      <c r="D545" s="3">
        <v>500.0</v>
      </c>
      <c r="E545" s="3">
        <v>200000.0</v>
      </c>
      <c r="F545" s="3" t="s">
        <v>4104</v>
      </c>
      <c r="G545" s="3">
        <v>12901.0</v>
      </c>
      <c r="H545" s="3">
        <v>13501.0</v>
      </c>
      <c r="K545" s="5" t="s">
        <v>3320</v>
      </c>
    </row>
    <row r="546" ht="15.75" customHeight="1">
      <c r="A546" s="3" t="s">
        <v>4118</v>
      </c>
      <c r="B546" s="3"/>
      <c r="C546" s="26">
        <v>45761.82048611111</v>
      </c>
      <c r="D546" s="3">
        <v>500.0</v>
      </c>
      <c r="E546" s="3">
        <v>200000.0</v>
      </c>
      <c r="F546" s="3" t="s">
        <v>4104</v>
      </c>
      <c r="G546" s="3">
        <v>13501.0</v>
      </c>
      <c r="H546" s="3">
        <v>11501.0</v>
      </c>
      <c r="K546" s="5" t="s">
        <v>3320</v>
      </c>
    </row>
    <row r="547" ht="15.75" customHeight="1">
      <c r="A547" s="3" t="s">
        <v>4119</v>
      </c>
      <c r="B547" s="3"/>
      <c r="C547" s="26">
        <v>45761.82116898148</v>
      </c>
      <c r="D547" s="3">
        <v>500.0</v>
      </c>
      <c r="E547" s="3">
        <v>200000.0</v>
      </c>
      <c r="F547" s="3" t="s">
        <v>4104</v>
      </c>
      <c r="G547" s="3">
        <v>11501.0</v>
      </c>
      <c r="H547" s="3">
        <v>18201.0</v>
      </c>
      <c r="K547" s="5" t="s">
        <v>3320</v>
      </c>
    </row>
    <row r="548" ht="15.75" customHeight="1">
      <c r="A548" s="3" t="s">
        <v>4120</v>
      </c>
      <c r="B548" s="3"/>
      <c r="C548" s="26">
        <v>45761.822175925925</v>
      </c>
      <c r="D548" s="3">
        <v>500.0</v>
      </c>
      <c r="E548" s="3">
        <v>200000.0</v>
      </c>
      <c r="F548" s="3" t="s">
        <v>4104</v>
      </c>
      <c r="G548" s="3">
        <v>18201.0</v>
      </c>
      <c r="H548" s="3">
        <v>26201.0</v>
      </c>
      <c r="K548" s="5" t="s">
        <v>3320</v>
      </c>
    </row>
    <row r="549" ht="15.75" customHeight="1">
      <c r="A549" s="3" t="s">
        <v>4121</v>
      </c>
      <c r="B549" s="3"/>
      <c r="C549" s="26">
        <v>45761.82258101852</v>
      </c>
      <c r="D549" s="3">
        <v>500.0</v>
      </c>
      <c r="E549" s="3">
        <v>200000.0</v>
      </c>
      <c r="F549" s="3" t="s">
        <v>4104</v>
      </c>
      <c r="G549" s="3">
        <v>26201.0</v>
      </c>
      <c r="H549" s="3">
        <v>27201.0</v>
      </c>
      <c r="K549" s="5" t="s">
        <v>3320</v>
      </c>
    </row>
    <row r="550" ht="15.75" customHeight="1">
      <c r="A550" s="3" t="s">
        <v>4122</v>
      </c>
      <c r="B550" s="3"/>
      <c r="C550" s="26">
        <v>45762.48337962963</v>
      </c>
      <c r="D550" s="3">
        <v>86.0</v>
      </c>
      <c r="E550" s="3">
        <v>88000.0</v>
      </c>
      <c r="F550" s="3" t="s">
        <v>3662</v>
      </c>
      <c r="G550" s="3">
        <v>50000.0</v>
      </c>
      <c r="H550" s="3">
        <v>58500.0</v>
      </c>
      <c r="K550" s="5" t="s">
        <v>3294</v>
      </c>
    </row>
    <row r="551" ht="15.75" customHeight="1">
      <c r="A551" s="3" t="s">
        <v>4123</v>
      </c>
      <c r="B551" s="3"/>
      <c r="C551" s="26">
        <v>45762.50366898148</v>
      </c>
      <c r="D551" s="3">
        <v>87.0</v>
      </c>
      <c r="E551" s="3">
        <v>93700.0</v>
      </c>
      <c r="F551" s="3" t="s">
        <v>3905</v>
      </c>
      <c r="G551" s="3"/>
      <c r="H551" s="3">
        <v>95000.0</v>
      </c>
      <c r="I551" s="5" t="s">
        <v>4124</v>
      </c>
      <c r="J551" s="5" t="s">
        <v>4125</v>
      </c>
      <c r="K551" s="5" t="s">
        <v>3294</v>
      </c>
    </row>
    <row r="552" ht="15.75" customHeight="1">
      <c r="A552" s="3" t="s">
        <v>4126</v>
      </c>
      <c r="B552" s="3"/>
      <c r="C552" s="26">
        <v>45763.748402777775</v>
      </c>
      <c r="D552" s="3"/>
      <c r="E552" s="3"/>
      <c r="F552" s="3" t="s">
        <v>3662</v>
      </c>
      <c r="G552" s="3"/>
      <c r="H552" s="3">
        <v>50000.0</v>
      </c>
      <c r="K552" s="5" t="s">
        <v>3320</v>
      </c>
    </row>
    <row r="553" ht="15.75" customHeight="1">
      <c r="A553" s="3" t="s">
        <v>4127</v>
      </c>
      <c r="B553" s="3"/>
      <c r="C553" s="26">
        <v>45763.752384259256</v>
      </c>
      <c r="D553" s="3">
        <v>118.0</v>
      </c>
      <c r="E553" s="3">
        <v>155600.0</v>
      </c>
      <c r="F553" s="3" t="s">
        <v>3662</v>
      </c>
      <c r="G553" s="3">
        <v>0.0</v>
      </c>
      <c r="H553" s="3">
        <v>50000.0</v>
      </c>
      <c r="K553" s="5" t="s">
        <v>3320</v>
      </c>
    </row>
    <row r="554" ht="15.75" customHeight="1">
      <c r="A554" s="3" t="s">
        <v>4128</v>
      </c>
      <c r="B554" s="3"/>
      <c r="C554" s="26">
        <v>45763.75295138889</v>
      </c>
      <c r="D554" s="3">
        <v>118.0</v>
      </c>
      <c r="E554" s="3">
        <v>155600.0</v>
      </c>
      <c r="F554" s="3" t="s">
        <v>3662</v>
      </c>
      <c r="G554" s="3">
        <v>50000.0</v>
      </c>
      <c r="H554" s="3">
        <v>88000.0</v>
      </c>
      <c r="K554" s="5" t="s">
        <v>3320</v>
      </c>
    </row>
    <row r="555" ht="15.75" customHeight="1">
      <c r="A555" s="3" t="s">
        <v>4129</v>
      </c>
      <c r="B555" s="3"/>
      <c r="C555" s="26">
        <v>45763.75387731481</v>
      </c>
      <c r="D555" s="3">
        <v>118.0</v>
      </c>
      <c r="E555" s="3">
        <v>155600.0</v>
      </c>
      <c r="F555" s="3" t="s">
        <v>3662</v>
      </c>
      <c r="G555" s="3">
        <v>88000.0</v>
      </c>
      <c r="H555" s="3">
        <v>125200.0</v>
      </c>
      <c r="K555" s="5" t="s">
        <v>3320</v>
      </c>
    </row>
    <row r="556" ht="15.75" customHeight="1">
      <c r="A556" s="3" t="s">
        <v>4130</v>
      </c>
      <c r="B556" s="3"/>
      <c r="C556" s="26">
        <v>45763.75471064815</v>
      </c>
      <c r="D556" s="3">
        <v>118.0</v>
      </c>
      <c r="E556" s="3">
        <v>155600.0</v>
      </c>
      <c r="F556" s="3" t="s">
        <v>3662</v>
      </c>
      <c r="G556" s="3">
        <v>125200.0</v>
      </c>
      <c r="H556" s="3">
        <v>155600.0</v>
      </c>
      <c r="K556" s="5" t="s">
        <v>3320</v>
      </c>
      <c r="L556" s="6" t="s">
        <v>3247</v>
      </c>
    </row>
    <row r="557" ht="15.75" customHeight="1">
      <c r="A557" s="3" t="s">
        <v>4131</v>
      </c>
      <c r="B557" s="3"/>
      <c r="C557" s="26">
        <v>45763.75635416667</v>
      </c>
      <c r="D557" s="3">
        <v>11.0</v>
      </c>
      <c r="E557" s="3">
        <v>36000.0</v>
      </c>
      <c r="F557" s="3" t="s">
        <v>4132</v>
      </c>
      <c r="G557" s="3">
        <v>16700.0</v>
      </c>
      <c r="H557" s="3">
        <v>33700.0</v>
      </c>
      <c r="K557" s="5" t="s">
        <v>3337</v>
      </c>
    </row>
    <row r="558" ht="15.75" customHeight="1">
      <c r="A558" s="3" t="s">
        <v>4133</v>
      </c>
      <c r="B558" s="3"/>
      <c r="C558" s="26">
        <v>45763.75965277778</v>
      </c>
      <c r="D558" s="3">
        <v>90.0</v>
      </c>
      <c r="E558" s="3">
        <v>97500.0</v>
      </c>
      <c r="F558" s="3" t="s">
        <v>3932</v>
      </c>
      <c r="G558" s="3">
        <v>21600.0</v>
      </c>
      <c r="H558" s="3">
        <v>51600.0</v>
      </c>
      <c r="I558" s="5" t="s">
        <v>4088</v>
      </c>
      <c r="K558" s="5" t="s">
        <v>3457</v>
      </c>
    </row>
    <row r="559" ht="15.75" customHeight="1">
      <c r="A559" s="3" t="s">
        <v>4134</v>
      </c>
      <c r="B559" s="3"/>
      <c r="C559" s="26">
        <v>45763.76392361111</v>
      </c>
      <c r="D559" s="3">
        <v>91.0</v>
      </c>
      <c r="E559" s="3">
        <v>86000.0</v>
      </c>
      <c r="F559" s="3" t="s">
        <v>3932</v>
      </c>
      <c r="G559" s="3">
        <v>10800.0</v>
      </c>
      <c r="H559" s="3">
        <v>19800.0</v>
      </c>
      <c r="K559" s="5" t="s">
        <v>3294</v>
      </c>
    </row>
    <row r="560" ht="15.75" customHeight="1">
      <c r="A560" s="3" t="s">
        <v>4135</v>
      </c>
      <c r="B560" s="3"/>
      <c r="C560" s="26">
        <v>45763.76472222222</v>
      </c>
      <c r="D560" s="3">
        <v>91.0</v>
      </c>
      <c r="E560" s="3">
        <v>86000.0</v>
      </c>
      <c r="F560" s="3" t="s">
        <v>3932</v>
      </c>
      <c r="G560" s="3">
        <v>19800.0</v>
      </c>
      <c r="H560" s="3">
        <v>44800.0</v>
      </c>
      <c r="I560" s="5" t="s">
        <v>4136</v>
      </c>
      <c r="K560" s="5" t="s">
        <v>3457</v>
      </c>
    </row>
    <row r="561" ht="15.75" customHeight="1">
      <c r="A561" s="3" t="s">
        <v>4137</v>
      </c>
      <c r="B561" s="3"/>
      <c r="C561" s="26">
        <v>45763.76545138889</v>
      </c>
      <c r="D561" s="3">
        <v>84.0</v>
      </c>
      <c r="E561" s="3">
        <v>83000.0</v>
      </c>
      <c r="F561" s="3" t="s">
        <v>3932</v>
      </c>
      <c r="G561" s="3">
        <v>16000.0</v>
      </c>
      <c r="H561" s="3">
        <v>33000.0</v>
      </c>
      <c r="I561" s="5" t="s">
        <v>4138</v>
      </c>
      <c r="K561" s="5" t="s">
        <v>3457</v>
      </c>
    </row>
    <row r="562" ht="15.75" customHeight="1">
      <c r="A562" s="3" t="s">
        <v>4139</v>
      </c>
      <c r="B562" s="3"/>
      <c r="C562" s="26">
        <v>45764.535949074074</v>
      </c>
      <c r="D562" s="3">
        <v>88.0</v>
      </c>
      <c r="E562" s="3">
        <v>78900.0</v>
      </c>
      <c r="F562" s="3" t="s">
        <v>3932</v>
      </c>
      <c r="G562" s="3">
        <v>15750.0</v>
      </c>
      <c r="H562" s="3">
        <v>37750.0</v>
      </c>
      <c r="K562" s="5" t="s">
        <v>3457</v>
      </c>
    </row>
    <row r="563" ht="15.75" customHeight="1">
      <c r="A563" s="3" t="s">
        <v>4140</v>
      </c>
      <c r="B563" s="3"/>
      <c r="C563" s="26">
        <v>45764.53880787037</v>
      </c>
      <c r="D563" s="3">
        <v>28.0</v>
      </c>
      <c r="E563" s="3">
        <v>216000.0</v>
      </c>
      <c r="F563" s="3" t="s">
        <v>3662</v>
      </c>
      <c r="G563" s="3">
        <v>163000.0</v>
      </c>
      <c r="H563" s="3">
        <v>174700.0</v>
      </c>
      <c r="K563" s="5" t="s">
        <v>3320</v>
      </c>
    </row>
    <row r="564" ht="15.75" customHeight="1">
      <c r="A564" s="3" t="s">
        <v>4141</v>
      </c>
      <c r="B564" s="3"/>
      <c r="C564" s="26">
        <v>45764.54076388889</v>
      </c>
      <c r="D564" s="3">
        <v>85.0</v>
      </c>
      <c r="E564" s="3">
        <v>84000.0</v>
      </c>
      <c r="F564" s="3" t="s">
        <v>3903</v>
      </c>
      <c r="G564" s="3">
        <v>0.0</v>
      </c>
      <c r="H564" s="3">
        <v>41000.0</v>
      </c>
      <c r="K564" s="5" t="s">
        <v>3320</v>
      </c>
    </row>
    <row r="565" ht="15.75" customHeight="1">
      <c r="A565" s="3" t="s">
        <v>4142</v>
      </c>
      <c r="B565" s="3"/>
      <c r="C565" s="26">
        <v>45764.54336805556</v>
      </c>
      <c r="D565" s="3">
        <v>78.0</v>
      </c>
      <c r="E565" s="3">
        <v>25800.0</v>
      </c>
      <c r="F565" s="3" t="s">
        <v>3932</v>
      </c>
      <c r="G565" s="3">
        <v>5000.0</v>
      </c>
      <c r="H565" s="3">
        <v>14800.0</v>
      </c>
      <c r="K565" s="5" t="s">
        <v>3457</v>
      </c>
    </row>
    <row r="566" ht="15.75" customHeight="1">
      <c r="A566" s="3" t="s">
        <v>4143</v>
      </c>
      <c r="B566" s="3"/>
      <c r="C566" s="26">
        <v>45764.5453587963</v>
      </c>
      <c r="D566" s="3">
        <v>86.0</v>
      </c>
      <c r="E566" s="3">
        <v>88000.0</v>
      </c>
      <c r="F566" s="3" t="s">
        <v>3932</v>
      </c>
      <c r="G566" s="3">
        <v>17500.0</v>
      </c>
      <c r="H566" s="3">
        <v>45100.0</v>
      </c>
      <c r="K566" s="5" t="s">
        <v>3457</v>
      </c>
    </row>
    <row r="567" ht="15.75" customHeight="1">
      <c r="A567" s="3" t="s">
        <v>4144</v>
      </c>
      <c r="B567" s="3"/>
      <c r="C567" s="26">
        <v>45764.5462962963</v>
      </c>
      <c r="D567" s="3">
        <v>72.0</v>
      </c>
      <c r="E567" s="3">
        <v>13000.0</v>
      </c>
      <c r="F567" s="3" t="s">
        <v>3293</v>
      </c>
      <c r="G567" s="3">
        <v>0.0</v>
      </c>
      <c r="H567" s="3">
        <v>7200.0</v>
      </c>
      <c r="K567" s="5" t="s">
        <v>3294</v>
      </c>
    </row>
    <row r="568" ht="15.75" customHeight="1">
      <c r="A568" s="3" t="s">
        <v>4145</v>
      </c>
      <c r="B568" s="3"/>
      <c r="C568" s="26">
        <v>45764.54672453704</v>
      </c>
      <c r="D568" s="3"/>
      <c r="E568" s="3"/>
      <c r="F568" s="3" t="s">
        <v>4146</v>
      </c>
      <c r="G568" s="3"/>
      <c r="H568" s="3">
        <v>0.0</v>
      </c>
    </row>
    <row r="569" ht="15.75" customHeight="1">
      <c r="A569" s="3" t="s">
        <v>4147</v>
      </c>
      <c r="B569" s="3"/>
      <c r="C569" s="26">
        <v>45764.547581018516</v>
      </c>
      <c r="D569" s="3">
        <v>72.0</v>
      </c>
      <c r="E569" s="3">
        <v>13000.0</v>
      </c>
      <c r="F569" s="3" t="s">
        <v>4148</v>
      </c>
      <c r="G569" s="3">
        <v>7200.0</v>
      </c>
      <c r="H569" s="3">
        <v>11400.0</v>
      </c>
      <c r="K569" s="5" t="s">
        <v>3294</v>
      </c>
    </row>
    <row r="570" ht="15.75" customHeight="1">
      <c r="A570" s="3" t="s">
        <v>4149</v>
      </c>
      <c r="B570" s="3"/>
      <c r="C570" s="26">
        <v>45764.54820601852</v>
      </c>
      <c r="D570" s="3">
        <v>83.0</v>
      </c>
      <c r="E570" s="3">
        <v>81500.0</v>
      </c>
      <c r="F570" s="3" t="s">
        <v>3905</v>
      </c>
      <c r="G570" s="3"/>
      <c r="H570" s="3">
        <v>90000.0</v>
      </c>
      <c r="J570" s="5" t="s">
        <v>4150</v>
      </c>
    </row>
    <row r="571" ht="15.75" customHeight="1">
      <c r="A571" s="3" t="s">
        <v>4151</v>
      </c>
      <c r="B571" s="3"/>
      <c r="C571" s="26">
        <v>45764.742731481485</v>
      </c>
      <c r="D571" s="3">
        <v>500.0</v>
      </c>
      <c r="E571" s="3">
        <v>200000.0</v>
      </c>
      <c r="F571" s="3" t="s">
        <v>4104</v>
      </c>
      <c r="G571" s="3">
        <v>27201.0</v>
      </c>
      <c r="H571" s="3">
        <v>30201.0</v>
      </c>
      <c r="K571" s="5" t="s">
        <v>3320</v>
      </c>
    </row>
    <row r="572" ht="15.75" customHeight="1">
      <c r="A572" s="3" t="s">
        <v>4152</v>
      </c>
      <c r="B572" s="3"/>
      <c r="C572" s="26">
        <v>45764.74387731482</v>
      </c>
      <c r="D572" s="3">
        <v>76.0</v>
      </c>
      <c r="E572" s="3">
        <v>25500.0</v>
      </c>
      <c r="F572" s="3" t="s">
        <v>3275</v>
      </c>
      <c r="G572" s="3">
        <v>19800.0</v>
      </c>
      <c r="H572" s="3">
        <v>24800.0</v>
      </c>
      <c r="K572" s="5" t="s">
        <v>3294</v>
      </c>
    </row>
    <row r="573" ht="15.75" customHeight="1">
      <c r="A573" s="3" t="s">
        <v>4153</v>
      </c>
      <c r="B573" s="3"/>
      <c r="C573" s="26">
        <v>45764.74556712963</v>
      </c>
      <c r="D573" s="3">
        <v>77.0</v>
      </c>
      <c r="E573" s="3">
        <v>26000.0</v>
      </c>
      <c r="F573" s="3" t="s">
        <v>3275</v>
      </c>
      <c r="G573" s="3">
        <v>10500.0</v>
      </c>
      <c r="H573" s="3">
        <v>16200.0</v>
      </c>
      <c r="K573" s="5" t="s">
        <v>3294</v>
      </c>
    </row>
    <row r="574" ht="15.75" customHeight="1">
      <c r="A574" s="3" t="s">
        <v>4154</v>
      </c>
      <c r="B574" s="3"/>
      <c r="C574" s="26">
        <v>45764.74670138889</v>
      </c>
      <c r="D574" s="3">
        <v>500.0</v>
      </c>
      <c r="E574" s="3">
        <v>200000.0</v>
      </c>
      <c r="F574" s="3" t="s">
        <v>4104</v>
      </c>
      <c r="G574" s="3">
        <v>30201.0</v>
      </c>
      <c r="H574" s="3">
        <v>27201.0</v>
      </c>
      <c r="I574" s="5" t="s">
        <v>4155</v>
      </c>
      <c r="K574" s="5" t="s">
        <v>3320</v>
      </c>
    </row>
    <row r="575" ht="15.75" customHeight="1">
      <c r="A575" s="3" t="s">
        <v>4156</v>
      </c>
      <c r="B575" s="3"/>
      <c r="C575" s="26">
        <v>45764.86840277778</v>
      </c>
      <c r="D575" s="3">
        <v>125.0</v>
      </c>
      <c r="E575" s="3">
        <v>31000.0</v>
      </c>
      <c r="F575" s="3" t="s">
        <v>3932</v>
      </c>
      <c r="G575" s="3">
        <v>0.0</v>
      </c>
      <c r="H575" s="3">
        <v>30500.0</v>
      </c>
      <c r="K575" s="5" t="s">
        <v>3320</v>
      </c>
    </row>
    <row r="576" ht="15.75" customHeight="1">
      <c r="A576" s="3" t="s">
        <v>4157</v>
      </c>
      <c r="B576" s="3"/>
      <c r="C576" s="26">
        <v>45764.86914351852</v>
      </c>
      <c r="D576" s="3">
        <v>126.0</v>
      </c>
      <c r="E576" s="3">
        <v>31000.0</v>
      </c>
      <c r="F576" s="3" t="s">
        <v>3932</v>
      </c>
      <c r="G576" s="3">
        <v>0.0</v>
      </c>
      <c r="H576" s="3">
        <v>30500.0</v>
      </c>
      <c r="K576" s="5" t="s">
        <v>3320</v>
      </c>
    </row>
    <row r="577" ht="15.75" customHeight="1">
      <c r="A577" s="3" t="s">
        <v>4158</v>
      </c>
      <c r="B577" s="3"/>
      <c r="C577" s="26">
        <v>45764.870520833334</v>
      </c>
      <c r="D577" s="3">
        <v>90.0</v>
      </c>
      <c r="E577" s="3">
        <v>97500.0</v>
      </c>
      <c r="F577" s="3" t="s">
        <v>4159</v>
      </c>
      <c r="G577" s="3">
        <v>21100.0</v>
      </c>
      <c r="H577" s="3">
        <v>56700.0</v>
      </c>
      <c r="K577" s="5" t="s">
        <v>3457</v>
      </c>
    </row>
    <row r="578" ht="15.75" customHeight="1">
      <c r="A578" s="3" t="s">
        <v>4160</v>
      </c>
      <c r="B578" s="3"/>
      <c r="C578" s="26">
        <v>45764.87123842593</v>
      </c>
      <c r="D578" s="3">
        <v>91.0</v>
      </c>
      <c r="E578" s="3">
        <v>86000.0</v>
      </c>
      <c r="F578" s="3" t="s">
        <v>4159</v>
      </c>
      <c r="G578" s="3">
        <v>14300.0</v>
      </c>
      <c r="H578" s="3">
        <v>49300.0</v>
      </c>
      <c r="K578" s="5" t="s">
        <v>3457</v>
      </c>
    </row>
    <row r="579" ht="15.75" customHeight="1">
      <c r="A579" s="3" t="s">
        <v>4161</v>
      </c>
      <c r="B579" s="3"/>
      <c r="C579" s="26">
        <v>45764.87521990741</v>
      </c>
      <c r="D579" s="3">
        <v>45.0</v>
      </c>
      <c r="E579" s="3">
        <v>30000.0</v>
      </c>
      <c r="F579" s="3" t="s">
        <v>3932</v>
      </c>
      <c r="G579" s="3">
        <v>0.0</v>
      </c>
      <c r="H579" s="3">
        <v>23000.0</v>
      </c>
      <c r="I579" s="5" t="s">
        <v>4162</v>
      </c>
      <c r="K579" s="5" t="s">
        <v>3320</v>
      </c>
    </row>
    <row r="580" ht="15.75" customHeight="1">
      <c r="A580" s="3" t="s">
        <v>4163</v>
      </c>
      <c r="B580" s="3"/>
      <c r="C580" s="26">
        <v>45764.87572916667</v>
      </c>
      <c r="D580" s="3">
        <v>84.0</v>
      </c>
      <c r="E580" s="3">
        <v>83000.0</v>
      </c>
      <c r="F580" s="3" t="s">
        <v>4159</v>
      </c>
      <c r="G580" s="3">
        <v>10000.0</v>
      </c>
      <c r="H580" s="3">
        <v>40000.0</v>
      </c>
      <c r="K580" s="5" t="s">
        <v>3457</v>
      </c>
    </row>
    <row r="581" ht="15.75" customHeight="1">
      <c r="A581" s="3" t="s">
        <v>4164</v>
      </c>
      <c r="B581" s="3"/>
      <c r="C581" s="26">
        <v>45766.52106481481</v>
      </c>
      <c r="D581" s="3">
        <v>87.0</v>
      </c>
      <c r="E581" s="3">
        <v>93700.0</v>
      </c>
      <c r="F581" s="3" t="s">
        <v>3275</v>
      </c>
      <c r="G581" s="3">
        <v>0.0</v>
      </c>
      <c r="H581" s="3">
        <v>60800.0</v>
      </c>
      <c r="K581" s="5" t="s">
        <v>3320</v>
      </c>
    </row>
    <row r="582" ht="15.75" customHeight="1">
      <c r="A582" s="3" t="s">
        <v>4165</v>
      </c>
      <c r="B582" s="3"/>
      <c r="C582" s="26">
        <v>45766.521782407406</v>
      </c>
      <c r="D582" s="3">
        <v>87.0</v>
      </c>
      <c r="E582" s="3">
        <v>93700.0</v>
      </c>
      <c r="F582" s="3" t="s">
        <v>3275</v>
      </c>
      <c r="G582" s="3">
        <v>60800.0</v>
      </c>
      <c r="H582" s="3">
        <v>78600.0</v>
      </c>
      <c r="K582" s="5" t="s">
        <v>3320</v>
      </c>
    </row>
    <row r="583" ht="15.75" customHeight="1">
      <c r="A583" s="3" t="s">
        <v>4166</v>
      </c>
      <c r="B583" s="3"/>
      <c r="C583" s="26">
        <v>45766.5246412037</v>
      </c>
      <c r="D583" s="3">
        <v>87.0</v>
      </c>
      <c r="E583" s="3">
        <v>93700.0</v>
      </c>
      <c r="F583" s="3" t="s">
        <v>3275</v>
      </c>
      <c r="G583" s="3">
        <v>78600.0</v>
      </c>
      <c r="H583" s="3">
        <v>93700.0</v>
      </c>
      <c r="K583" s="5" t="s">
        <v>3320</v>
      </c>
      <c r="L583" s="6" t="s">
        <v>3248</v>
      </c>
    </row>
    <row r="584" ht="15.75" customHeight="1">
      <c r="A584" s="3" t="s">
        <v>4167</v>
      </c>
      <c r="B584" s="3"/>
      <c r="C584" s="26">
        <v>45766.525196759256</v>
      </c>
      <c r="D584" s="3">
        <v>935.0</v>
      </c>
      <c r="E584" s="3">
        <v>11200.0</v>
      </c>
      <c r="F584" s="3" t="s">
        <v>3706</v>
      </c>
      <c r="G584" s="3">
        <v>6000.0</v>
      </c>
      <c r="H584" s="3">
        <v>9000.0</v>
      </c>
      <c r="K584" s="5" t="s">
        <v>3320</v>
      </c>
    </row>
    <row r="585" ht="15.75" customHeight="1">
      <c r="A585" s="3" t="s">
        <v>4168</v>
      </c>
      <c r="B585" s="3"/>
      <c r="C585" s="26">
        <v>45768.475324074076</v>
      </c>
      <c r="D585" s="3">
        <v>41.0</v>
      </c>
      <c r="E585" s="3">
        <v>35100.0</v>
      </c>
      <c r="F585" s="3" t="s">
        <v>3275</v>
      </c>
      <c r="G585" s="3">
        <v>0.0</v>
      </c>
      <c r="H585" s="3">
        <v>35100.0</v>
      </c>
      <c r="I585" s="5" t="s">
        <v>4169</v>
      </c>
      <c r="K585" s="5" t="s">
        <v>3320</v>
      </c>
      <c r="L585" s="5" t="s">
        <v>3249</v>
      </c>
    </row>
    <row r="586" ht="15.75" customHeight="1">
      <c r="A586" s="3" t="s">
        <v>4170</v>
      </c>
      <c r="B586" s="3"/>
      <c r="C586" s="26">
        <v>45768.475856481484</v>
      </c>
      <c r="D586" s="3">
        <v>54.0</v>
      </c>
      <c r="E586" s="3">
        <v>22900.0</v>
      </c>
      <c r="F586" s="3" t="s">
        <v>3275</v>
      </c>
      <c r="G586" s="3">
        <v>0.0</v>
      </c>
      <c r="H586" s="3">
        <v>17700.0</v>
      </c>
      <c r="I586" s="5" t="s">
        <v>4171</v>
      </c>
      <c r="K586" s="5" t="s">
        <v>3320</v>
      </c>
      <c r="L586" s="5" t="s">
        <v>3249</v>
      </c>
    </row>
    <row r="587" ht="15.75" customHeight="1">
      <c r="A587" s="3" t="s">
        <v>4172</v>
      </c>
      <c r="B587" s="3"/>
      <c r="C587" s="26">
        <v>45768.81317129629</v>
      </c>
      <c r="D587" s="3">
        <v>120.0</v>
      </c>
      <c r="E587" s="3">
        <v>88800.0</v>
      </c>
      <c r="F587" s="3" t="s">
        <v>4017</v>
      </c>
      <c r="G587" s="3">
        <v>64500.0</v>
      </c>
      <c r="H587" s="3">
        <v>88800.0</v>
      </c>
      <c r="K587" s="5" t="s">
        <v>3320</v>
      </c>
    </row>
    <row r="588" ht="15.75" customHeight="1">
      <c r="A588" s="3" t="s">
        <v>4173</v>
      </c>
      <c r="B588" s="3"/>
      <c r="C588" s="26">
        <v>45768.813425925924</v>
      </c>
      <c r="D588" s="3">
        <v>89.0</v>
      </c>
      <c r="E588" s="3">
        <v>83500.0</v>
      </c>
      <c r="F588" s="3" t="s">
        <v>4017</v>
      </c>
      <c r="G588" s="3">
        <v>0.0</v>
      </c>
      <c r="H588" s="3">
        <v>44200.0</v>
      </c>
      <c r="K588" s="5" t="s">
        <v>3320</v>
      </c>
    </row>
    <row r="589" ht="15.75" customHeight="1">
      <c r="A589" s="3" t="s">
        <v>4174</v>
      </c>
      <c r="B589" s="3"/>
      <c r="C589" s="26">
        <v>45769.711435185185</v>
      </c>
      <c r="D589" s="3">
        <v>500.0</v>
      </c>
      <c r="E589" s="3">
        <v>200000.0</v>
      </c>
      <c r="F589" s="3" t="s">
        <v>4175</v>
      </c>
      <c r="G589" s="3"/>
      <c r="H589" s="3">
        <v>1.0</v>
      </c>
    </row>
    <row r="590" ht="15.75" customHeight="1">
      <c r="A590" s="3" t="s">
        <v>4176</v>
      </c>
      <c r="B590" s="3"/>
      <c r="C590" s="26">
        <v>45769.71313657407</v>
      </c>
      <c r="D590" s="3">
        <v>500.0</v>
      </c>
      <c r="E590" s="3">
        <v>200000.0</v>
      </c>
      <c r="F590" s="3" t="s">
        <v>4175</v>
      </c>
      <c r="G590" s="3">
        <v>1.0</v>
      </c>
      <c r="H590" s="3">
        <v>25001.0</v>
      </c>
    </row>
    <row r="591" ht="15.75" customHeight="1">
      <c r="A591" s="3" t="s">
        <v>4177</v>
      </c>
      <c r="B591" s="3"/>
      <c r="C591" s="26">
        <v>45769.714270833334</v>
      </c>
      <c r="D591" s="3">
        <v>89.0</v>
      </c>
      <c r="E591" s="3">
        <v>83500.0</v>
      </c>
      <c r="F591" s="3" t="s">
        <v>4017</v>
      </c>
      <c r="G591" s="3">
        <v>19200.0</v>
      </c>
      <c r="H591" s="3">
        <v>44200.0</v>
      </c>
      <c r="K591" s="5" t="s">
        <v>3320</v>
      </c>
    </row>
    <row r="592" ht="15.75" customHeight="1">
      <c r="A592" s="3" t="s">
        <v>4178</v>
      </c>
      <c r="B592" s="3"/>
      <c r="C592" s="26">
        <v>45769.71506944444</v>
      </c>
      <c r="D592" s="3">
        <v>89.0</v>
      </c>
      <c r="E592" s="3">
        <v>83500.0</v>
      </c>
      <c r="F592" s="3" t="s">
        <v>4017</v>
      </c>
      <c r="G592" s="3">
        <v>44200.0</v>
      </c>
      <c r="H592" s="3">
        <v>56200.0</v>
      </c>
      <c r="K592" s="5" t="s">
        <v>3320</v>
      </c>
    </row>
    <row r="593" ht="15.75" customHeight="1">
      <c r="A593" s="3" t="s">
        <v>4179</v>
      </c>
      <c r="B593" s="3"/>
      <c r="C593" s="26">
        <v>45769.716099537036</v>
      </c>
      <c r="D593" s="3">
        <v>89.0</v>
      </c>
      <c r="E593" s="3">
        <v>83500.0</v>
      </c>
      <c r="F593" s="3" t="s">
        <v>4017</v>
      </c>
      <c r="G593" s="3">
        <v>56200.0</v>
      </c>
      <c r="H593" s="3">
        <v>72700.0</v>
      </c>
      <c r="K593" s="5" t="s">
        <v>3320</v>
      </c>
    </row>
    <row r="594" ht="15.75" customHeight="1">
      <c r="A594" s="3" t="s">
        <v>4180</v>
      </c>
      <c r="B594" s="3"/>
      <c r="C594" s="26">
        <v>45769.716516203705</v>
      </c>
      <c r="D594" s="3">
        <v>89.0</v>
      </c>
      <c r="E594" s="3">
        <v>83500.0</v>
      </c>
      <c r="F594" s="3" t="s">
        <v>4017</v>
      </c>
      <c r="G594" s="3">
        <v>72700.0</v>
      </c>
      <c r="H594" s="3">
        <v>83500.0</v>
      </c>
      <c r="I594" s="5" t="s">
        <v>4181</v>
      </c>
      <c r="K594" s="5" t="s">
        <v>3320</v>
      </c>
      <c r="L594" s="6" t="s">
        <v>3247</v>
      </c>
    </row>
    <row r="595" ht="15.75" customHeight="1">
      <c r="A595" s="3" t="s">
        <v>4182</v>
      </c>
      <c r="B595" s="3"/>
      <c r="C595" s="26">
        <v>45769.7172337963</v>
      </c>
      <c r="D595" s="3">
        <v>80.0</v>
      </c>
      <c r="E595" s="3">
        <v>26100.0</v>
      </c>
      <c r="F595" s="3" t="s">
        <v>3334</v>
      </c>
      <c r="G595" s="3">
        <v>0.0</v>
      </c>
      <c r="H595" s="3">
        <v>8000.0</v>
      </c>
      <c r="K595" s="5" t="s">
        <v>3320</v>
      </c>
    </row>
    <row r="596" ht="15.75" customHeight="1">
      <c r="A596" s="3" t="s">
        <v>4183</v>
      </c>
      <c r="B596" s="3"/>
      <c r="C596" s="26">
        <v>45769.71792824074</v>
      </c>
      <c r="D596" s="3">
        <v>80.0</v>
      </c>
      <c r="E596" s="3">
        <v>26100.0</v>
      </c>
      <c r="F596" s="3" t="s">
        <v>4184</v>
      </c>
      <c r="G596" s="3">
        <v>8000.0</v>
      </c>
      <c r="H596" s="3">
        <v>13600.0</v>
      </c>
      <c r="K596" s="5" t="s">
        <v>3294</v>
      </c>
    </row>
    <row r="597" ht="15.75" customHeight="1">
      <c r="A597" s="3" t="s">
        <v>4185</v>
      </c>
      <c r="B597" s="3"/>
      <c r="C597" s="26">
        <v>45769.71821759259</v>
      </c>
      <c r="D597" s="3">
        <v>80.0</v>
      </c>
      <c r="E597" s="3">
        <v>26100.0</v>
      </c>
      <c r="F597" s="3" t="s">
        <v>4184</v>
      </c>
      <c r="G597" s="3">
        <v>13600.0</v>
      </c>
      <c r="H597" s="3">
        <v>19900.0</v>
      </c>
      <c r="K597" s="5" t="s">
        <v>3294</v>
      </c>
    </row>
    <row r="598" ht="15.75" customHeight="1">
      <c r="A598" s="3" t="s">
        <v>4186</v>
      </c>
      <c r="B598" s="3"/>
      <c r="C598" s="26">
        <v>45769.718564814815</v>
      </c>
      <c r="D598" s="3">
        <v>80.0</v>
      </c>
      <c r="E598" s="3">
        <v>26100.0</v>
      </c>
      <c r="F598" s="3" t="s">
        <v>4184</v>
      </c>
      <c r="G598" s="3">
        <v>19900.0</v>
      </c>
      <c r="H598" s="3">
        <v>26100.0</v>
      </c>
      <c r="K598" s="5" t="s">
        <v>3320</v>
      </c>
    </row>
    <row r="599" ht="15.75" customHeight="1">
      <c r="A599" s="3" t="s">
        <v>4187</v>
      </c>
      <c r="B599" s="3"/>
      <c r="C599" s="26">
        <v>45769.71910879629</v>
      </c>
      <c r="D599" s="3">
        <v>935.0</v>
      </c>
      <c r="E599" s="3">
        <v>11200.0</v>
      </c>
      <c r="F599" s="3" t="s">
        <v>3706</v>
      </c>
      <c r="G599" s="3">
        <v>9000.0</v>
      </c>
      <c r="H599" s="3">
        <v>11200.0</v>
      </c>
      <c r="K599" s="5" t="s">
        <v>3320</v>
      </c>
    </row>
    <row r="600" ht="15.75" customHeight="1">
      <c r="A600" s="3" t="s">
        <v>4188</v>
      </c>
      <c r="B600" s="3"/>
      <c r="C600" s="26">
        <v>45769.719375</v>
      </c>
      <c r="D600" s="3">
        <v>500.0</v>
      </c>
      <c r="E600" s="3">
        <v>200000.0</v>
      </c>
      <c r="F600" s="3" t="s">
        <v>4175</v>
      </c>
      <c r="G600" s="3">
        <v>25001.0</v>
      </c>
      <c r="H600" s="3">
        <v>26401.0</v>
      </c>
      <c r="K600" s="5" t="s">
        <v>3342</v>
      </c>
    </row>
    <row r="601" ht="15.75" customHeight="1">
      <c r="A601" s="3" t="s">
        <v>4189</v>
      </c>
      <c r="B601" s="3"/>
      <c r="C601" s="26">
        <v>45770.739803240744</v>
      </c>
      <c r="D601" s="3">
        <v>95.0</v>
      </c>
      <c r="E601" s="3">
        <v>77100.0</v>
      </c>
      <c r="F601" s="3" t="s">
        <v>4159</v>
      </c>
      <c r="G601" s="3">
        <v>0.0</v>
      </c>
      <c r="H601" s="3">
        <v>56700.0</v>
      </c>
      <c r="K601" s="5" t="s">
        <v>3320</v>
      </c>
    </row>
    <row r="602" ht="15.75" customHeight="1">
      <c r="A602" s="3" t="s">
        <v>4190</v>
      </c>
      <c r="B602" s="3"/>
      <c r="C602" s="26">
        <v>45770.740439814814</v>
      </c>
      <c r="D602" s="3">
        <v>95.0</v>
      </c>
      <c r="E602" s="3">
        <v>77100.0</v>
      </c>
      <c r="F602" s="3" t="s">
        <v>4159</v>
      </c>
      <c r="G602" s="3">
        <v>56700.0</v>
      </c>
      <c r="H602" s="3">
        <v>77100.0</v>
      </c>
      <c r="K602" s="5" t="s">
        <v>3320</v>
      </c>
    </row>
    <row r="603" ht="15.75" customHeight="1">
      <c r="A603" s="3" t="s">
        <v>4191</v>
      </c>
      <c r="B603" s="3"/>
      <c r="C603" s="26">
        <v>45770.76356481481</v>
      </c>
      <c r="D603" s="3">
        <v>96.0</v>
      </c>
      <c r="E603" s="3">
        <v>85600.0</v>
      </c>
      <c r="F603" s="3" t="s">
        <v>3273</v>
      </c>
      <c r="G603" s="3">
        <v>0.0</v>
      </c>
      <c r="H603" s="3">
        <v>24700.0</v>
      </c>
      <c r="K603" s="5" t="s">
        <v>3320</v>
      </c>
    </row>
    <row r="604" ht="15.75" customHeight="1">
      <c r="A604" s="3" t="s">
        <v>4192</v>
      </c>
      <c r="B604" s="3"/>
      <c r="C604" s="26">
        <v>45770.770370370374</v>
      </c>
      <c r="D604" s="3">
        <v>91.0</v>
      </c>
      <c r="E604" s="3">
        <v>86000.0</v>
      </c>
      <c r="F604" s="3" t="s">
        <v>4159</v>
      </c>
      <c r="G604" s="3">
        <v>49300.0</v>
      </c>
      <c r="H604" s="3">
        <v>50000.0</v>
      </c>
      <c r="K604" s="5" t="s">
        <v>3457</v>
      </c>
    </row>
    <row r="605" ht="15.75" customHeight="1">
      <c r="A605" s="3" t="s">
        <v>4193</v>
      </c>
      <c r="B605" s="3"/>
      <c r="C605" s="26">
        <v>45770.77175925926</v>
      </c>
      <c r="D605" s="3">
        <v>84.0</v>
      </c>
      <c r="E605" s="3">
        <v>83000.0</v>
      </c>
      <c r="F605" s="3" t="s">
        <v>4159</v>
      </c>
      <c r="G605" s="3">
        <v>40000.0</v>
      </c>
      <c r="H605" s="3">
        <v>54000.0</v>
      </c>
      <c r="K605" s="5" t="s">
        <v>3457</v>
      </c>
    </row>
    <row r="606" ht="15.75" customHeight="1">
      <c r="A606" s="3" t="s">
        <v>4194</v>
      </c>
      <c r="B606" s="3"/>
      <c r="C606" s="26">
        <v>45770.772835648146</v>
      </c>
      <c r="D606" s="3">
        <v>88.0</v>
      </c>
      <c r="E606" s="3">
        <v>78900.0</v>
      </c>
      <c r="F606" s="3" t="s">
        <v>3932</v>
      </c>
      <c r="G606" s="3">
        <v>37750.0</v>
      </c>
      <c r="H606" s="3">
        <v>40000.0</v>
      </c>
      <c r="K606" s="5" t="s">
        <v>3457</v>
      </c>
    </row>
    <row r="607" ht="15.75" customHeight="1">
      <c r="A607" s="3" t="s">
        <v>4195</v>
      </c>
      <c r="B607" s="3"/>
      <c r="C607" s="26">
        <v>45770.77315972222</v>
      </c>
      <c r="D607" s="3">
        <v>500.0</v>
      </c>
      <c r="E607" s="3">
        <v>200000.0</v>
      </c>
      <c r="F607" s="3" t="s">
        <v>4175</v>
      </c>
      <c r="G607" s="3">
        <v>26401.0</v>
      </c>
      <c r="H607" s="3">
        <v>32451.0</v>
      </c>
      <c r="K607" s="5" t="s">
        <v>3342</v>
      </c>
    </row>
    <row r="608" ht="15.75" customHeight="1">
      <c r="A608" s="3" t="s">
        <v>4196</v>
      </c>
      <c r="B608" s="3"/>
      <c r="C608" s="26">
        <v>45770.77643518519</v>
      </c>
      <c r="D608" s="3">
        <v>11.0</v>
      </c>
      <c r="E608" s="3">
        <v>36000.0</v>
      </c>
      <c r="F608" s="3" t="s">
        <v>4197</v>
      </c>
      <c r="G608" s="3">
        <v>0.0</v>
      </c>
      <c r="H608" s="3">
        <v>5000.0</v>
      </c>
      <c r="K608" s="5" t="s">
        <v>3320</v>
      </c>
    </row>
    <row r="609" ht="15.75" customHeight="1">
      <c r="A609" s="3" t="s">
        <v>4198</v>
      </c>
      <c r="B609" s="3"/>
      <c r="C609" s="26">
        <v>45770.77782407407</v>
      </c>
      <c r="D609" s="3">
        <v>500.0</v>
      </c>
      <c r="E609" s="3">
        <v>200000.0</v>
      </c>
      <c r="F609" s="3" t="s">
        <v>4175</v>
      </c>
      <c r="G609" s="3">
        <v>32451.0</v>
      </c>
      <c r="H609" s="3">
        <v>33451.0</v>
      </c>
      <c r="K609" s="5" t="s">
        <v>3342</v>
      </c>
    </row>
    <row r="610" ht="15.75" customHeight="1">
      <c r="A610" s="3" t="s">
        <v>4199</v>
      </c>
      <c r="B610" s="3"/>
      <c r="C610" s="26">
        <v>45770.77826388889</v>
      </c>
      <c r="D610" s="3">
        <v>500.0</v>
      </c>
      <c r="E610" s="3">
        <v>200000.0</v>
      </c>
      <c r="F610" s="3" t="s">
        <v>4175</v>
      </c>
      <c r="G610" s="3">
        <v>33451.0</v>
      </c>
      <c r="H610" s="3">
        <v>34951.0</v>
      </c>
      <c r="K610" s="5" t="s">
        <v>3342</v>
      </c>
    </row>
    <row r="611" ht="15.75" customHeight="1">
      <c r="A611" s="3" t="s">
        <v>4200</v>
      </c>
      <c r="B611" s="3"/>
      <c r="C611" s="26">
        <v>45770.7800462963</v>
      </c>
      <c r="D611" s="3">
        <v>500.0</v>
      </c>
      <c r="E611" s="3">
        <v>200000.0</v>
      </c>
      <c r="F611" s="3" t="s">
        <v>4175</v>
      </c>
      <c r="G611" s="3">
        <v>34951.0</v>
      </c>
      <c r="H611" s="3">
        <v>36551.0</v>
      </c>
      <c r="K611" s="5" t="s">
        <v>3342</v>
      </c>
    </row>
    <row r="612" ht="15.75" customHeight="1">
      <c r="A612" s="3" t="s">
        <v>4201</v>
      </c>
      <c r="B612" s="3"/>
      <c r="C612" s="26">
        <v>45770.79835648148</v>
      </c>
      <c r="D612" s="3">
        <v>500.0</v>
      </c>
      <c r="E612" s="3">
        <v>200000.0</v>
      </c>
      <c r="F612" s="3" t="s">
        <v>4175</v>
      </c>
      <c r="G612" s="3">
        <v>36551.0</v>
      </c>
      <c r="H612" s="3">
        <v>36851.0</v>
      </c>
      <c r="K612" s="5" t="s">
        <v>3342</v>
      </c>
    </row>
    <row r="613" ht="15.75" customHeight="1">
      <c r="A613" s="3" t="s">
        <v>4202</v>
      </c>
      <c r="B613" s="3"/>
      <c r="C613" s="26">
        <v>45770.79887731482</v>
      </c>
      <c r="D613" s="3">
        <v>500.0</v>
      </c>
      <c r="E613" s="3">
        <v>200000.0</v>
      </c>
      <c r="F613" s="3" t="s">
        <v>4175</v>
      </c>
      <c r="G613" s="3">
        <v>36851.0</v>
      </c>
      <c r="H613" s="3">
        <v>36951.0</v>
      </c>
      <c r="K613" s="5" t="s">
        <v>3342</v>
      </c>
    </row>
    <row r="614" ht="15.75" customHeight="1">
      <c r="A614" s="3" t="s">
        <v>4203</v>
      </c>
      <c r="B614" s="3"/>
      <c r="C614" s="26">
        <v>45770.800046296295</v>
      </c>
      <c r="D614" s="3">
        <v>500.0</v>
      </c>
      <c r="E614" s="3">
        <v>200000.0</v>
      </c>
      <c r="F614" s="3" t="s">
        <v>4175</v>
      </c>
      <c r="G614" s="3">
        <v>36951.0</v>
      </c>
      <c r="H614" s="3">
        <v>31651.0</v>
      </c>
      <c r="K614" s="5" t="s">
        <v>3342</v>
      </c>
    </row>
    <row r="615" ht="15.75" customHeight="1">
      <c r="A615" s="3" t="s">
        <v>4204</v>
      </c>
      <c r="B615" s="3"/>
      <c r="C615" s="26">
        <v>45770.80034722222</v>
      </c>
      <c r="D615" s="3">
        <v>500.0</v>
      </c>
      <c r="E615" s="3">
        <v>200000.0</v>
      </c>
      <c r="F615" s="3" t="s">
        <v>4175</v>
      </c>
      <c r="G615" s="3">
        <v>31651.0</v>
      </c>
      <c r="H615" s="3">
        <v>31951.0</v>
      </c>
      <c r="K615" s="5" t="s">
        <v>3342</v>
      </c>
    </row>
    <row r="616" ht="15.75" customHeight="1">
      <c r="A616" s="3" t="s">
        <v>4205</v>
      </c>
      <c r="B616" s="3"/>
      <c r="C616" s="26">
        <v>45770.800787037035</v>
      </c>
      <c r="D616" s="3">
        <v>500.0</v>
      </c>
      <c r="E616" s="3">
        <v>200000.0</v>
      </c>
      <c r="F616" s="3" t="s">
        <v>4175</v>
      </c>
      <c r="G616" s="3">
        <v>31951.0</v>
      </c>
      <c r="H616" s="3">
        <v>36751.0</v>
      </c>
      <c r="K616" s="5" t="s">
        <v>3342</v>
      </c>
    </row>
    <row r="617" ht="15.75" customHeight="1">
      <c r="A617" s="3" t="s">
        <v>4206</v>
      </c>
      <c r="B617" s="3"/>
      <c r="C617" s="26">
        <v>45770.80121527778</v>
      </c>
      <c r="D617" s="3">
        <v>500.0</v>
      </c>
      <c r="E617" s="3">
        <v>200000.0</v>
      </c>
      <c r="F617" s="3" t="s">
        <v>4175</v>
      </c>
      <c r="G617" s="3">
        <v>36751.0</v>
      </c>
      <c r="H617" s="3">
        <v>36851.0</v>
      </c>
      <c r="K617" s="5" t="s">
        <v>3342</v>
      </c>
    </row>
    <row r="618" ht="15.75" customHeight="1">
      <c r="A618" s="3" t="s">
        <v>4207</v>
      </c>
      <c r="B618" s="3"/>
      <c r="C618" s="26">
        <v>45770.80153935185</v>
      </c>
      <c r="D618" s="3">
        <v>500.0</v>
      </c>
      <c r="E618" s="3">
        <v>200000.0</v>
      </c>
      <c r="F618" s="3" t="s">
        <v>4175</v>
      </c>
      <c r="G618" s="3">
        <v>36851.0</v>
      </c>
      <c r="H618" s="3">
        <v>36951.0</v>
      </c>
      <c r="K618" s="5" t="s">
        <v>3342</v>
      </c>
    </row>
    <row r="619" ht="15.75" customHeight="1">
      <c r="A619" s="3" t="s">
        <v>4208</v>
      </c>
      <c r="B619" s="3"/>
      <c r="C619" s="26">
        <v>45770.801840277774</v>
      </c>
      <c r="D619" s="3">
        <v>500.0</v>
      </c>
      <c r="E619" s="3">
        <v>200000.0</v>
      </c>
      <c r="F619" s="3" t="s">
        <v>4175</v>
      </c>
      <c r="G619" s="3">
        <v>36951.0</v>
      </c>
      <c r="H619" s="3">
        <v>37451.0</v>
      </c>
      <c r="K619" s="5" t="s">
        <v>3342</v>
      </c>
    </row>
    <row r="620" ht="15.75" customHeight="1">
      <c r="A620" s="3" t="s">
        <v>4209</v>
      </c>
      <c r="B620" s="3"/>
      <c r="C620" s="26">
        <v>45770.80206018518</v>
      </c>
      <c r="D620" s="3">
        <v>500.0</v>
      </c>
      <c r="E620" s="3">
        <v>200000.0</v>
      </c>
      <c r="F620" s="3" t="s">
        <v>4175</v>
      </c>
      <c r="G620" s="3">
        <v>37451.0</v>
      </c>
      <c r="H620" s="3">
        <v>37951.0</v>
      </c>
      <c r="K620" s="5" t="s">
        <v>3342</v>
      </c>
    </row>
    <row r="621" ht="15.75" customHeight="1">
      <c r="A621" s="3" t="s">
        <v>4210</v>
      </c>
      <c r="B621" s="3"/>
      <c r="C621" s="26">
        <v>45770.802395833336</v>
      </c>
      <c r="D621" s="3">
        <v>500.0</v>
      </c>
      <c r="E621" s="3">
        <v>200000.0</v>
      </c>
      <c r="F621" s="3" t="s">
        <v>4175</v>
      </c>
      <c r="G621" s="3">
        <v>37951.0</v>
      </c>
      <c r="H621" s="3">
        <v>38951.0</v>
      </c>
      <c r="K621" s="5" t="s">
        <v>3342</v>
      </c>
    </row>
    <row r="622" ht="15.75" customHeight="1">
      <c r="A622" s="3" t="s">
        <v>4211</v>
      </c>
      <c r="B622" s="3"/>
      <c r="C622" s="26">
        <v>45770.802824074075</v>
      </c>
      <c r="D622" s="3">
        <v>500.0</v>
      </c>
      <c r="E622" s="3">
        <v>200000.0</v>
      </c>
      <c r="F622" s="3" t="s">
        <v>4175</v>
      </c>
      <c r="G622" s="3">
        <v>38951.0</v>
      </c>
      <c r="H622" s="3">
        <v>43651.0</v>
      </c>
      <c r="K622" s="5" t="s">
        <v>3342</v>
      </c>
    </row>
    <row r="623" ht="15.75" customHeight="1">
      <c r="A623" s="3" t="s">
        <v>4212</v>
      </c>
      <c r="B623" s="3"/>
      <c r="C623" s="26">
        <v>45770.80396990741</v>
      </c>
      <c r="D623" s="3">
        <v>500.0</v>
      </c>
      <c r="E623" s="3">
        <v>200000.0</v>
      </c>
      <c r="F623" s="3" t="s">
        <v>4175</v>
      </c>
      <c r="G623" s="3">
        <v>43651.0</v>
      </c>
      <c r="H623" s="3">
        <v>50451.0</v>
      </c>
      <c r="K623" s="5" t="s">
        <v>3342</v>
      </c>
    </row>
    <row r="624" ht="15.75" customHeight="1">
      <c r="A624" s="3" t="s">
        <v>4213</v>
      </c>
      <c r="B624" s="3"/>
      <c r="C624" s="26">
        <v>45770.80422453704</v>
      </c>
      <c r="D624" s="3">
        <v>500.0</v>
      </c>
      <c r="E624" s="3">
        <v>200000.0</v>
      </c>
      <c r="F624" s="3" t="s">
        <v>4175</v>
      </c>
      <c r="G624" s="3">
        <v>50451.0</v>
      </c>
      <c r="H624" s="3">
        <v>51651.0</v>
      </c>
      <c r="K624" s="5" t="s">
        <v>3342</v>
      </c>
    </row>
    <row r="625" ht="15.75" customHeight="1">
      <c r="A625" s="3" t="s">
        <v>4214</v>
      </c>
      <c r="B625" s="3"/>
      <c r="C625" s="26">
        <v>45770.804664351854</v>
      </c>
      <c r="D625" s="3">
        <v>500.0</v>
      </c>
      <c r="E625" s="3">
        <v>200000.0</v>
      </c>
      <c r="F625" s="3" t="s">
        <v>4175</v>
      </c>
      <c r="G625" s="3">
        <v>51651.0</v>
      </c>
      <c r="H625" s="3">
        <v>60751.0</v>
      </c>
      <c r="K625" s="5" t="s">
        <v>3342</v>
      </c>
    </row>
    <row r="626" ht="15.75" customHeight="1">
      <c r="A626" s="3" t="s">
        <v>4215</v>
      </c>
      <c r="B626" s="3"/>
      <c r="C626" s="26">
        <v>45770.80515046296</v>
      </c>
      <c r="D626" s="3">
        <v>500.0</v>
      </c>
      <c r="E626" s="3">
        <v>200000.0</v>
      </c>
      <c r="F626" s="3" t="s">
        <v>4175</v>
      </c>
      <c r="G626" s="3">
        <v>60751.0</v>
      </c>
      <c r="H626" s="3">
        <v>85751.0</v>
      </c>
      <c r="K626" s="5" t="s">
        <v>3342</v>
      </c>
    </row>
    <row r="627" ht="15.75" customHeight="1">
      <c r="A627" s="3" t="s">
        <v>4216</v>
      </c>
      <c r="B627" s="3"/>
      <c r="C627" s="26">
        <v>45770.805601851855</v>
      </c>
      <c r="D627" s="3">
        <v>500.0</v>
      </c>
      <c r="E627" s="3">
        <v>200000.0</v>
      </c>
      <c r="F627" s="3" t="s">
        <v>4175</v>
      </c>
      <c r="G627" s="3">
        <v>85751.0</v>
      </c>
      <c r="H627" s="3">
        <v>91751.0</v>
      </c>
      <c r="K627" s="5" t="s">
        <v>3342</v>
      </c>
    </row>
    <row r="628" ht="15.75" customHeight="1">
      <c r="A628" s="3" t="s">
        <v>4217</v>
      </c>
      <c r="B628" s="3"/>
      <c r="C628" s="26">
        <v>45770.80613425926</v>
      </c>
      <c r="D628" s="3">
        <v>500.0</v>
      </c>
      <c r="E628" s="3">
        <v>200000.0</v>
      </c>
      <c r="F628" s="3" t="s">
        <v>4175</v>
      </c>
      <c r="G628" s="3">
        <v>91751.0</v>
      </c>
      <c r="H628" s="3">
        <v>97451.0</v>
      </c>
      <c r="K628" s="5" t="s">
        <v>3342</v>
      </c>
    </row>
    <row r="629" ht="15.75" customHeight="1">
      <c r="A629" s="3" t="s">
        <v>4218</v>
      </c>
      <c r="B629" s="3"/>
      <c r="C629" s="26">
        <v>45770.80725694444</v>
      </c>
      <c r="D629" s="3">
        <v>500.0</v>
      </c>
      <c r="E629" s="3">
        <v>200000.0</v>
      </c>
      <c r="F629" s="3" t="s">
        <v>4175</v>
      </c>
      <c r="G629" s="3">
        <v>97451.0</v>
      </c>
      <c r="H629" s="3">
        <v>99951.0</v>
      </c>
      <c r="K629" s="5" t="s">
        <v>3342</v>
      </c>
    </row>
    <row r="630" ht="15.75" customHeight="1">
      <c r="A630" s="3" t="s">
        <v>4219</v>
      </c>
      <c r="B630" s="3"/>
      <c r="C630" s="26">
        <v>45770.807592592595</v>
      </c>
      <c r="D630" s="3">
        <v>500.0</v>
      </c>
      <c r="E630" s="3">
        <v>200000.0</v>
      </c>
      <c r="F630" s="3" t="s">
        <v>4175</v>
      </c>
      <c r="G630" s="3">
        <v>99951.0</v>
      </c>
      <c r="H630" s="3">
        <v>101951.0</v>
      </c>
      <c r="K630" s="5" t="s">
        <v>3342</v>
      </c>
    </row>
    <row r="631" ht="15.75" customHeight="1">
      <c r="A631" s="3" t="s">
        <v>4220</v>
      </c>
      <c r="B631" s="3"/>
      <c r="C631" s="26">
        <v>45770.80792824074</v>
      </c>
      <c r="D631" s="3">
        <v>500.0</v>
      </c>
      <c r="E631" s="3">
        <v>200000.0</v>
      </c>
      <c r="F631" s="3" t="s">
        <v>4175</v>
      </c>
      <c r="G631" s="3">
        <v>101951.0</v>
      </c>
      <c r="H631" s="3">
        <v>100651.0</v>
      </c>
      <c r="K631" s="5" t="s">
        <v>3342</v>
      </c>
    </row>
    <row r="632" ht="15.75" customHeight="1">
      <c r="A632" s="3" t="s">
        <v>4221</v>
      </c>
      <c r="B632" s="3"/>
      <c r="C632" s="26">
        <v>45770.80914351852</v>
      </c>
      <c r="D632" s="3">
        <v>500.0</v>
      </c>
      <c r="E632" s="3">
        <v>200000.0</v>
      </c>
      <c r="F632" s="3" t="s">
        <v>4175</v>
      </c>
      <c r="G632" s="3">
        <v>100651.0</v>
      </c>
      <c r="H632" s="3">
        <v>109251.0</v>
      </c>
      <c r="K632" s="5" t="s">
        <v>3342</v>
      </c>
    </row>
    <row r="633" ht="15.75" customHeight="1">
      <c r="A633" s="3" t="s">
        <v>4222</v>
      </c>
      <c r="B633" s="3"/>
      <c r="C633" s="26">
        <v>45770.809699074074</v>
      </c>
      <c r="D633" s="3">
        <v>500.0</v>
      </c>
      <c r="E633" s="3">
        <v>200000.0</v>
      </c>
      <c r="F633" s="3" t="s">
        <v>4175</v>
      </c>
      <c r="G633" s="3">
        <v>109251.0</v>
      </c>
      <c r="H633" s="3">
        <v>113251.0</v>
      </c>
      <c r="K633" s="5" t="s">
        <v>3342</v>
      </c>
    </row>
    <row r="634" ht="15.75" customHeight="1">
      <c r="A634" s="3" t="s">
        <v>4223</v>
      </c>
      <c r="B634" s="3"/>
      <c r="C634" s="26">
        <v>45770.81319444445</v>
      </c>
      <c r="D634" s="3">
        <v>500.0</v>
      </c>
      <c r="E634" s="3">
        <v>200000.0</v>
      </c>
      <c r="F634" s="3" t="s">
        <v>4175</v>
      </c>
      <c r="G634" s="3">
        <v>113251.0</v>
      </c>
      <c r="H634" s="3">
        <v>116251.0</v>
      </c>
      <c r="K634" s="5" t="s">
        <v>3342</v>
      </c>
    </row>
    <row r="635" ht="15.75" customHeight="1">
      <c r="A635" s="3" t="s">
        <v>4224</v>
      </c>
      <c r="B635" s="3"/>
      <c r="C635" s="26">
        <v>45770.814108796294</v>
      </c>
      <c r="D635" s="3">
        <v>500.0</v>
      </c>
      <c r="E635" s="3">
        <v>200000.0</v>
      </c>
      <c r="F635" s="3" t="s">
        <v>4175</v>
      </c>
      <c r="G635" s="3">
        <v>116251.0</v>
      </c>
      <c r="H635" s="3">
        <v>116851.0</v>
      </c>
      <c r="K635" s="5" t="s">
        <v>3342</v>
      </c>
    </row>
    <row r="636" ht="15.75" customHeight="1">
      <c r="A636" s="3" t="s">
        <v>4225</v>
      </c>
      <c r="B636" s="3"/>
      <c r="C636" s="26">
        <v>45770.81460648148</v>
      </c>
      <c r="D636" s="3">
        <v>500.0</v>
      </c>
      <c r="E636" s="3">
        <v>200000.0</v>
      </c>
      <c r="F636" s="3" t="s">
        <v>4175</v>
      </c>
      <c r="G636" s="3">
        <v>116851.0</v>
      </c>
      <c r="H636" s="3">
        <v>119351.0</v>
      </c>
      <c r="K636" s="5" t="s">
        <v>3342</v>
      </c>
    </row>
    <row r="637" ht="15.75" customHeight="1">
      <c r="A637" s="3" t="s">
        <v>4226</v>
      </c>
      <c r="B637" s="3"/>
      <c r="C637" s="26">
        <v>45770.81519675926</v>
      </c>
      <c r="D637" s="3">
        <v>500.0</v>
      </c>
      <c r="E637" s="3">
        <v>200000.0</v>
      </c>
      <c r="F637" s="3" t="s">
        <v>4175</v>
      </c>
      <c r="G637" s="3">
        <v>119351.0</v>
      </c>
      <c r="H637" s="3">
        <v>121851.0</v>
      </c>
      <c r="K637" s="5" t="s">
        <v>3342</v>
      </c>
    </row>
    <row r="638" ht="15.75" customHeight="1">
      <c r="A638" s="3" t="s">
        <v>4227</v>
      </c>
      <c r="B638" s="3"/>
      <c r="C638" s="26">
        <v>45771.52533564815</v>
      </c>
      <c r="D638" s="3">
        <v>96.0</v>
      </c>
      <c r="E638" s="3">
        <v>85600.0</v>
      </c>
      <c r="F638" s="3" t="s">
        <v>3273</v>
      </c>
      <c r="G638" s="3">
        <v>24700.0</v>
      </c>
      <c r="H638" s="3">
        <v>74700.0</v>
      </c>
      <c r="K638" s="5" t="s">
        <v>3320</v>
      </c>
    </row>
    <row r="639" ht="15.75" customHeight="1">
      <c r="A639" s="3" t="s">
        <v>4228</v>
      </c>
      <c r="B639" s="3"/>
      <c r="C639" s="26">
        <v>45771.525729166664</v>
      </c>
      <c r="D639" s="3">
        <v>96.0</v>
      </c>
      <c r="E639" s="3">
        <v>85600.0</v>
      </c>
      <c r="F639" s="3" t="s">
        <v>3273</v>
      </c>
      <c r="G639" s="3">
        <v>74700.0</v>
      </c>
      <c r="H639" s="3">
        <v>85600.0</v>
      </c>
      <c r="I639" s="5" t="s">
        <v>4229</v>
      </c>
      <c r="K639" s="5" t="s">
        <v>3320</v>
      </c>
    </row>
    <row r="640" ht="15.75" customHeight="1">
      <c r="A640" s="3" t="s">
        <v>4230</v>
      </c>
      <c r="B640" s="3"/>
      <c r="C640" s="26">
        <v>45771.526504629626</v>
      </c>
      <c r="D640" s="3">
        <v>83.0</v>
      </c>
      <c r="E640" s="3">
        <v>81500.0</v>
      </c>
      <c r="F640" s="3" t="s">
        <v>4231</v>
      </c>
      <c r="G640" s="3">
        <v>0.0</v>
      </c>
      <c r="H640" s="3">
        <v>43100.0</v>
      </c>
      <c r="K640" s="5" t="s">
        <v>3320</v>
      </c>
    </row>
    <row r="641" ht="15.75" customHeight="1">
      <c r="A641" s="3" t="s">
        <v>4232</v>
      </c>
      <c r="B641" s="3"/>
      <c r="C641" s="26">
        <v>45772.72893518519</v>
      </c>
      <c r="D641" s="3">
        <v>77.0</v>
      </c>
      <c r="E641" s="3">
        <v>26000.0</v>
      </c>
      <c r="F641" s="3" t="s">
        <v>3275</v>
      </c>
      <c r="G641" s="3">
        <v>18000.0</v>
      </c>
      <c r="H641" s="3">
        <v>19500.0</v>
      </c>
      <c r="K641" s="5" t="s">
        <v>3294</v>
      </c>
    </row>
    <row r="642" ht="15.75" customHeight="1">
      <c r="A642" s="3" t="s">
        <v>4233</v>
      </c>
      <c r="B642" s="3"/>
      <c r="C642" s="26">
        <v>45772.729467592595</v>
      </c>
      <c r="D642" s="3">
        <v>76.0</v>
      </c>
      <c r="E642" s="3">
        <v>25500.0</v>
      </c>
      <c r="F642" s="3" t="s">
        <v>3275</v>
      </c>
      <c r="G642" s="3">
        <v>18000.0</v>
      </c>
      <c r="H642" s="3">
        <v>19000.0</v>
      </c>
      <c r="K642" s="5" t="s">
        <v>3294</v>
      </c>
    </row>
    <row r="643" ht="15.75" customHeight="1">
      <c r="A643" s="3" t="s">
        <v>4234</v>
      </c>
      <c r="B643" s="3"/>
      <c r="C643" s="26">
        <v>45772.73166666667</v>
      </c>
      <c r="D643" s="3">
        <v>83.0</v>
      </c>
      <c r="E643" s="3">
        <v>81500.0</v>
      </c>
      <c r="F643" s="3" t="s">
        <v>3273</v>
      </c>
      <c r="G643" s="3">
        <v>43100.0</v>
      </c>
      <c r="H643" s="3">
        <v>81500.0</v>
      </c>
      <c r="K643" s="5" t="s">
        <v>3320</v>
      </c>
    </row>
    <row r="644" ht="15.75" customHeight="1">
      <c r="A644" s="3" t="s">
        <v>4235</v>
      </c>
      <c r="B644" s="3"/>
      <c r="C644" s="26">
        <v>45775.67123842592</v>
      </c>
      <c r="D644" s="3">
        <v>11.0</v>
      </c>
      <c r="E644" s="3">
        <v>36000.0</v>
      </c>
      <c r="F644" s="3" t="s">
        <v>4197</v>
      </c>
      <c r="G644" s="3">
        <v>5000.0</v>
      </c>
      <c r="H644" s="3">
        <v>6600.0</v>
      </c>
      <c r="K644" s="5" t="s">
        <v>3320</v>
      </c>
    </row>
    <row r="645" ht="15.75" customHeight="1">
      <c r="A645" s="3" t="s">
        <v>4236</v>
      </c>
      <c r="B645" s="3"/>
      <c r="C645" s="26">
        <v>45775.67414351852</v>
      </c>
      <c r="D645" s="3">
        <v>90.0</v>
      </c>
      <c r="E645" s="3">
        <v>97500.0</v>
      </c>
      <c r="F645" s="3" t="s">
        <v>3759</v>
      </c>
      <c r="G645" s="3">
        <v>0.0</v>
      </c>
      <c r="H645" s="3">
        <v>35000.0</v>
      </c>
      <c r="K645" s="5" t="s">
        <v>3605</v>
      </c>
    </row>
    <row r="646" ht="15.75" customHeight="1">
      <c r="A646" s="3" t="s">
        <v>4237</v>
      </c>
      <c r="B646" s="3"/>
      <c r="C646" s="26">
        <v>45775.674675925926</v>
      </c>
      <c r="D646" s="3">
        <v>90.0</v>
      </c>
      <c r="E646" s="3">
        <v>97500.0</v>
      </c>
      <c r="F646" s="3" t="s">
        <v>3759</v>
      </c>
      <c r="G646" s="3">
        <v>35000.0</v>
      </c>
      <c r="H646" s="3">
        <v>40100.0</v>
      </c>
      <c r="K646" s="5" t="s">
        <v>3605</v>
      </c>
    </row>
    <row r="647" ht="15.75" customHeight="1">
      <c r="A647" s="3" t="s">
        <v>4238</v>
      </c>
      <c r="B647" s="3"/>
      <c r="C647" s="26">
        <v>45775.67556712963</v>
      </c>
      <c r="D647" s="3">
        <v>90.0</v>
      </c>
      <c r="E647" s="3">
        <v>97500.0</v>
      </c>
      <c r="F647" s="3" t="s">
        <v>3759</v>
      </c>
      <c r="G647" s="3">
        <v>40100.0</v>
      </c>
      <c r="H647" s="3">
        <v>70100.0</v>
      </c>
      <c r="K647" s="5" t="s">
        <v>3605</v>
      </c>
    </row>
    <row r="648" ht="15.75" customHeight="1">
      <c r="A648" s="3" t="s">
        <v>4239</v>
      </c>
      <c r="B648" s="3"/>
      <c r="C648" s="26">
        <v>45775.676469907405</v>
      </c>
      <c r="D648" s="3">
        <v>90.0</v>
      </c>
      <c r="E648" s="3">
        <v>97500.0</v>
      </c>
      <c r="F648" s="3" t="s">
        <v>3759</v>
      </c>
      <c r="G648" s="3">
        <v>70100.0</v>
      </c>
      <c r="H648" s="3">
        <v>97500.0</v>
      </c>
      <c r="I648" s="5" t="s">
        <v>4240</v>
      </c>
      <c r="K648" s="5" t="s">
        <v>3605</v>
      </c>
      <c r="L648" s="6" t="s">
        <v>3248</v>
      </c>
    </row>
    <row r="649" ht="15.75" customHeight="1">
      <c r="A649" s="3" t="s">
        <v>4241</v>
      </c>
      <c r="B649" s="3"/>
      <c r="C649" s="26">
        <v>45775.678460648145</v>
      </c>
      <c r="D649" s="3">
        <v>11.0</v>
      </c>
      <c r="E649" s="3">
        <v>36000.0</v>
      </c>
      <c r="F649" s="3" t="s">
        <v>4197</v>
      </c>
      <c r="G649" s="3">
        <v>6600.0</v>
      </c>
      <c r="H649" s="3">
        <v>9200.0</v>
      </c>
      <c r="K649" s="5" t="s">
        <v>3320</v>
      </c>
    </row>
    <row r="650" ht="15.75" customHeight="1">
      <c r="A650" s="3" t="s">
        <v>4242</v>
      </c>
      <c r="B650" s="3"/>
      <c r="C650" s="26">
        <v>45775.68108796296</v>
      </c>
      <c r="D650" s="3">
        <v>88.0</v>
      </c>
      <c r="E650" s="3">
        <v>78900.0</v>
      </c>
      <c r="F650" s="3" t="s">
        <v>3932</v>
      </c>
      <c r="G650" s="3">
        <v>0.0</v>
      </c>
      <c r="H650" s="3">
        <v>28000.0</v>
      </c>
      <c r="K650" s="5" t="s">
        <v>3605</v>
      </c>
    </row>
    <row r="651" ht="15.75" customHeight="1">
      <c r="A651" s="3" t="s">
        <v>4243</v>
      </c>
      <c r="B651" s="3"/>
      <c r="C651" s="26">
        <v>45775.68158564815</v>
      </c>
      <c r="D651" s="3">
        <v>88.0</v>
      </c>
      <c r="E651" s="3">
        <v>78900.0</v>
      </c>
      <c r="F651" s="3" t="s">
        <v>3932</v>
      </c>
      <c r="G651" s="3">
        <v>28000.0</v>
      </c>
      <c r="H651" s="3">
        <v>56000.0</v>
      </c>
      <c r="K651" s="5" t="s">
        <v>3320</v>
      </c>
    </row>
    <row r="652" ht="15.75" customHeight="1">
      <c r="A652" s="3" t="s">
        <v>4244</v>
      </c>
      <c r="B652" s="3"/>
      <c r="C652" s="26">
        <v>45775.69325231481</v>
      </c>
      <c r="D652" s="3">
        <v>91.0</v>
      </c>
      <c r="E652" s="3">
        <v>86000.0</v>
      </c>
      <c r="F652" s="3" t="s">
        <v>4245</v>
      </c>
      <c r="G652" s="3">
        <v>0.0</v>
      </c>
      <c r="H652" s="3">
        <v>46000.0</v>
      </c>
      <c r="I652" s="5" t="s">
        <v>4246</v>
      </c>
      <c r="K652" s="5" t="s">
        <v>3320</v>
      </c>
    </row>
    <row r="653" ht="15.75" customHeight="1">
      <c r="A653" s="3"/>
      <c r="B653" s="3"/>
      <c r="C653" s="26"/>
      <c r="D653" s="3"/>
      <c r="E653" s="3"/>
      <c r="F653" s="3"/>
      <c r="G653" s="3"/>
      <c r="H653" s="3"/>
      <c r="K653" s="5"/>
    </row>
    <row r="654" ht="15.75" customHeight="1">
      <c r="A654" s="3" t="s">
        <v>4247</v>
      </c>
      <c r="B654" s="3"/>
      <c r="C654" s="26">
        <v>45775.695752314816</v>
      </c>
      <c r="D654" s="3">
        <v>66.0</v>
      </c>
      <c r="E654" s="3">
        <v>23000.0</v>
      </c>
      <c r="F654" s="3" t="s">
        <v>3275</v>
      </c>
      <c r="G654" s="3">
        <v>0.0</v>
      </c>
      <c r="H654" s="3">
        <v>19000.0</v>
      </c>
      <c r="I654" s="5" t="s">
        <v>4248</v>
      </c>
      <c r="K654" s="5" t="s">
        <v>3320</v>
      </c>
    </row>
    <row r="655" ht="15.75" customHeight="1">
      <c r="A655" s="3" t="s">
        <v>4249</v>
      </c>
      <c r="B655" s="3"/>
      <c r="C655" s="26">
        <v>45775.69805555556</v>
      </c>
      <c r="D655" s="3">
        <v>81.0</v>
      </c>
      <c r="E655" s="3">
        <v>26500.0</v>
      </c>
      <c r="F655" s="3" t="s">
        <v>4017</v>
      </c>
      <c r="G655" s="3">
        <v>0.0</v>
      </c>
      <c r="H655" s="3">
        <v>26500.0</v>
      </c>
      <c r="I655" s="5" t="s">
        <v>4250</v>
      </c>
      <c r="K655" s="5" t="s">
        <v>3320</v>
      </c>
    </row>
    <row r="656" ht="15.75" customHeight="1">
      <c r="A656" s="3" t="s">
        <v>4251</v>
      </c>
      <c r="B656" s="3"/>
      <c r="C656" s="26">
        <v>45775.69877314815</v>
      </c>
      <c r="D656" s="3">
        <v>500.0</v>
      </c>
      <c r="E656" s="3">
        <v>200000.0</v>
      </c>
      <c r="F656" s="3" t="s">
        <v>4175</v>
      </c>
      <c r="G656" s="3">
        <v>121851.0</v>
      </c>
      <c r="H656" s="3">
        <v>122601.0</v>
      </c>
      <c r="K656" s="5" t="s">
        <v>3342</v>
      </c>
    </row>
    <row r="657" ht="15.75" customHeight="1">
      <c r="A657" s="3" t="s">
        <v>4252</v>
      </c>
      <c r="B657" s="3"/>
      <c r="C657" s="26">
        <v>45775.70013888889</v>
      </c>
      <c r="D657" s="3">
        <v>67.0</v>
      </c>
      <c r="E657" s="3">
        <v>23000.0</v>
      </c>
      <c r="F657" s="3" t="s">
        <v>3275</v>
      </c>
      <c r="G657" s="3">
        <v>0.0</v>
      </c>
      <c r="H657" s="3">
        <v>19500.0</v>
      </c>
      <c r="I657" s="5" t="s">
        <v>4253</v>
      </c>
      <c r="K657" s="5" t="s">
        <v>3320</v>
      </c>
    </row>
    <row r="658" ht="15.75" customHeight="1">
      <c r="A658" s="3" t="s">
        <v>4254</v>
      </c>
      <c r="B658" s="3"/>
      <c r="C658" s="26">
        <v>45775.74894675926</v>
      </c>
      <c r="D658" s="3">
        <v>88.0</v>
      </c>
      <c r="E658" s="3">
        <v>78900.0</v>
      </c>
      <c r="F658" s="3" t="s">
        <v>3273</v>
      </c>
      <c r="G658" s="3">
        <v>0.0</v>
      </c>
      <c r="H658" s="3">
        <v>14000.0</v>
      </c>
      <c r="K658" s="5" t="s">
        <v>3605</v>
      </c>
    </row>
    <row r="659" ht="15.75" customHeight="1">
      <c r="A659" s="3" t="s">
        <v>4255</v>
      </c>
      <c r="B659" s="3"/>
      <c r="C659" s="26">
        <v>45775.74925925926</v>
      </c>
      <c r="D659" s="3">
        <v>84.0</v>
      </c>
      <c r="E659" s="3">
        <v>83000.0</v>
      </c>
      <c r="F659" s="3" t="s">
        <v>3273</v>
      </c>
      <c r="G659" s="3">
        <v>0.0</v>
      </c>
      <c r="H659" s="3">
        <v>14000.0</v>
      </c>
      <c r="K659" s="5" t="s">
        <v>3605</v>
      </c>
    </row>
    <row r="660" ht="15.75" customHeight="1">
      <c r="A660" s="3" t="s">
        <v>4256</v>
      </c>
      <c r="B660" s="3"/>
      <c r="C660" s="26">
        <v>45775.74952546296</v>
      </c>
      <c r="D660" s="3">
        <v>88.0</v>
      </c>
      <c r="E660" s="3">
        <v>78900.0</v>
      </c>
      <c r="F660" s="3" t="s">
        <v>3273</v>
      </c>
      <c r="G660" s="3">
        <v>14000.0</v>
      </c>
      <c r="H660" s="3">
        <v>28000.0</v>
      </c>
      <c r="K660" s="5" t="s">
        <v>3605</v>
      </c>
    </row>
    <row r="661" ht="15.75" customHeight="1">
      <c r="A661" s="3" t="s">
        <v>4257</v>
      </c>
      <c r="B661" s="3"/>
      <c r="C661" s="26">
        <v>45775.74966435185</v>
      </c>
      <c r="D661" s="3">
        <v>84.0</v>
      </c>
      <c r="E661" s="3">
        <v>83000.0</v>
      </c>
      <c r="F661" s="3" t="s">
        <v>3273</v>
      </c>
      <c r="G661" s="3">
        <v>14000.0</v>
      </c>
      <c r="H661" s="3">
        <v>28000.0</v>
      </c>
      <c r="K661" s="5" t="s">
        <v>3605</v>
      </c>
    </row>
    <row r="662" ht="15.75" customHeight="1">
      <c r="A662" s="3" t="s">
        <v>4258</v>
      </c>
      <c r="B662" s="3"/>
      <c r="C662" s="26">
        <v>45775.74990740741</v>
      </c>
      <c r="D662" s="3">
        <v>88.0</v>
      </c>
      <c r="E662" s="3">
        <v>78900.0</v>
      </c>
      <c r="F662" s="3" t="s">
        <v>3273</v>
      </c>
      <c r="G662" s="3">
        <v>28000.0</v>
      </c>
      <c r="H662" s="3">
        <v>43000.0</v>
      </c>
      <c r="K662" s="5" t="s">
        <v>3605</v>
      </c>
    </row>
    <row r="663" ht="15.75" customHeight="1">
      <c r="A663" s="3" t="s">
        <v>4259</v>
      </c>
      <c r="B663" s="3"/>
      <c r="C663" s="26">
        <v>45775.750127314815</v>
      </c>
      <c r="D663" s="3">
        <v>84.0</v>
      </c>
      <c r="E663" s="3">
        <v>83000.0</v>
      </c>
      <c r="F663" s="3" t="s">
        <v>3273</v>
      </c>
      <c r="G663" s="3">
        <v>28000.0</v>
      </c>
      <c r="H663" s="3">
        <v>43000.0</v>
      </c>
      <c r="K663" s="5" t="s">
        <v>3605</v>
      </c>
    </row>
    <row r="664" ht="15.75" customHeight="1">
      <c r="A664" s="3" t="s">
        <v>4260</v>
      </c>
      <c r="B664" s="3"/>
      <c r="C664" s="26">
        <v>45775.75038194445</v>
      </c>
      <c r="D664" s="3">
        <v>88.0</v>
      </c>
      <c r="E664" s="3">
        <v>78900.0</v>
      </c>
      <c r="F664" s="3" t="s">
        <v>3273</v>
      </c>
      <c r="G664" s="3">
        <v>43000.0</v>
      </c>
      <c r="H664" s="3">
        <v>70000.0</v>
      </c>
      <c r="K664" s="5" t="s">
        <v>3605</v>
      </c>
    </row>
    <row r="665" ht="15.75" customHeight="1">
      <c r="A665" s="3" t="s">
        <v>4261</v>
      </c>
      <c r="B665" s="3"/>
      <c r="C665" s="26">
        <v>45775.7505787037</v>
      </c>
      <c r="D665" s="3">
        <v>84.0</v>
      </c>
      <c r="E665" s="3">
        <v>83000.0</v>
      </c>
      <c r="F665" s="3" t="s">
        <v>3273</v>
      </c>
      <c r="G665" s="3">
        <v>43000.0</v>
      </c>
      <c r="H665" s="3">
        <v>70000.0</v>
      </c>
      <c r="K665" s="5" t="s">
        <v>3605</v>
      </c>
    </row>
    <row r="666" ht="15.75" customHeight="1">
      <c r="A666" s="3" t="s">
        <v>4262</v>
      </c>
      <c r="B666" s="3"/>
      <c r="C666" s="26">
        <v>45776.84924768518</v>
      </c>
      <c r="D666" s="3">
        <v>79.0</v>
      </c>
      <c r="E666" s="3">
        <v>26000.0</v>
      </c>
      <c r="F666" s="3" t="s">
        <v>3932</v>
      </c>
      <c r="G666" s="3">
        <v>0.0</v>
      </c>
      <c r="H666" s="3">
        <v>14800.0</v>
      </c>
      <c r="K666" s="5" t="s">
        <v>3320</v>
      </c>
    </row>
    <row r="667" ht="15.75" customHeight="1">
      <c r="A667" s="3" t="s">
        <v>4263</v>
      </c>
      <c r="B667" s="3"/>
      <c r="C667" s="26">
        <v>45776.85071759259</v>
      </c>
      <c r="D667" s="3">
        <v>88.0</v>
      </c>
      <c r="E667" s="3">
        <v>78900.0</v>
      </c>
      <c r="F667" s="3" t="s">
        <v>3273</v>
      </c>
      <c r="G667" s="3">
        <v>70000.0</v>
      </c>
      <c r="H667" s="3">
        <v>78900.0</v>
      </c>
      <c r="I667" s="5" t="s">
        <v>4264</v>
      </c>
      <c r="K667" s="5" t="s">
        <v>3605</v>
      </c>
      <c r="L667" s="5" t="s">
        <v>3249</v>
      </c>
    </row>
    <row r="668" ht="15.75" customHeight="1">
      <c r="A668" s="3" t="s">
        <v>4265</v>
      </c>
      <c r="B668" s="3"/>
      <c r="C668" s="26">
        <v>45776.8509837963</v>
      </c>
      <c r="D668" s="3">
        <v>84.0</v>
      </c>
      <c r="E668" s="3">
        <v>83000.0</v>
      </c>
      <c r="F668" s="3" t="s">
        <v>3273</v>
      </c>
      <c r="G668" s="3">
        <v>70000.0</v>
      </c>
      <c r="H668" s="3">
        <v>83000.0</v>
      </c>
      <c r="I668" s="5" t="s">
        <v>4266</v>
      </c>
      <c r="K668" s="5" t="s">
        <v>3605</v>
      </c>
      <c r="L668" s="5" t="s">
        <v>3249</v>
      </c>
    </row>
    <row r="669" ht="15.75" customHeight="1">
      <c r="A669" s="3" t="s">
        <v>4267</v>
      </c>
      <c r="B669" s="3"/>
      <c r="C669" s="26">
        <v>45776.85115740741</v>
      </c>
      <c r="D669" s="3">
        <v>11.0</v>
      </c>
      <c r="E669" s="3">
        <v>36000.0</v>
      </c>
      <c r="F669" s="3" t="s">
        <v>4197</v>
      </c>
      <c r="G669" s="3">
        <v>9200.0</v>
      </c>
      <c r="H669" s="3">
        <v>9800.0</v>
      </c>
      <c r="K669" s="5" t="s">
        <v>3320</v>
      </c>
    </row>
    <row r="670" ht="15.75" customHeight="1">
      <c r="A670" s="3" t="s">
        <v>4268</v>
      </c>
      <c r="B670" s="3"/>
      <c r="C670" s="26">
        <v>45776.90849537037</v>
      </c>
      <c r="D670" s="3">
        <v>82.0</v>
      </c>
      <c r="E670" s="3">
        <v>42600.0</v>
      </c>
      <c r="F670" s="3" t="s">
        <v>3466</v>
      </c>
      <c r="G670" s="3">
        <v>0.0</v>
      </c>
      <c r="H670" s="3">
        <v>30000.0</v>
      </c>
      <c r="K670" s="5" t="s">
        <v>3320</v>
      </c>
    </row>
    <row r="671" ht="15.75" customHeight="1">
      <c r="A671" s="3" t="s">
        <v>4269</v>
      </c>
      <c r="B671" s="3"/>
      <c r="C671" s="26">
        <v>45776.908854166664</v>
      </c>
      <c r="D671" s="3">
        <v>82.0</v>
      </c>
      <c r="E671" s="3">
        <v>42600.0</v>
      </c>
      <c r="F671" s="3" t="s">
        <v>3466</v>
      </c>
      <c r="G671" s="3">
        <v>30000.0</v>
      </c>
      <c r="H671" s="3">
        <v>41000.0</v>
      </c>
      <c r="K671" s="5" t="s">
        <v>3605</v>
      </c>
    </row>
    <row r="672" ht="15.75" customHeight="1">
      <c r="A672" s="3" t="s">
        <v>4270</v>
      </c>
      <c r="B672" s="3"/>
      <c r="C672" s="26">
        <v>45776.91</v>
      </c>
      <c r="D672" s="3">
        <v>116.0</v>
      </c>
      <c r="E672" s="3">
        <v>99600.0</v>
      </c>
      <c r="F672" s="3" t="s">
        <v>3662</v>
      </c>
      <c r="G672" s="3">
        <v>0.0</v>
      </c>
      <c r="H672" s="3">
        <v>24000.0</v>
      </c>
      <c r="K672" s="5" t="s">
        <v>3605</v>
      </c>
    </row>
    <row r="673" ht="15.75" customHeight="1">
      <c r="A673" s="3" t="s">
        <v>4271</v>
      </c>
      <c r="B673" s="3"/>
      <c r="C673" s="26">
        <v>45776.91034722222</v>
      </c>
      <c r="D673" s="3">
        <v>116.0</v>
      </c>
      <c r="E673" s="3">
        <v>99600.0</v>
      </c>
      <c r="F673" s="3" t="s">
        <v>3662</v>
      </c>
      <c r="G673" s="3">
        <v>24000.0</v>
      </c>
      <c r="H673" s="3">
        <v>59000.0</v>
      </c>
      <c r="K673" s="5" t="s">
        <v>3605</v>
      </c>
    </row>
    <row r="674" ht="15.75" customHeight="1">
      <c r="A674" s="3" t="s">
        <v>4272</v>
      </c>
      <c r="B674" s="3"/>
      <c r="C674" s="26">
        <v>45776.91065972222</v>
      </c>
      <c r="D674" s="3">
        <v>116.0</v>
      </c>
      <c r="E674" s="3">
        <v>99600.0</v>
      </c>
      <c r="F674" s="3" t="s">
        <v>3662</v>
      </c>
      <c r="G674" s="3">
        <v>59000.0</v>
      </c>
      <c r="H674" s="3">
        <v>89000.0</v>
      </c>
      <c r="K674" s="5" t="s">
        <v>3605</v>
      </c>
    </row>
    <row r="675" ht="15.75" customHeight="1">
      <c r="A675" s="3" t="s">
        <v>4273</v>
      </c>
      <c r="B675" s="3"/>
      <c r="C675" s="26">
        <v>45776.91123842593</v>
      </c>
      <c r="D675" s="3">
        <v>116.0</v>
      </c>
      <c r="E675" s="3">
        <v>99600.0</v>
      </c>
      <c r="F675" s="3" t="s">
        <v>3662</v>
      </c>
      <c r="G675" s="3">
        <v>89000.0</v>
      </c>
      <c r="H675" s="3">
        <v>99600.0</v>
      </c>
      <c r="I675" s="5" t="s">
        <v>4274</v>
      </c>
      <c r="K675" s="5" t="s">
        <v>3605</v>
      </c>
      <c r="L675" s="6" t="s">
        <v>3247</v>
      </c>
    </row>
    <row r="676" ht="15.75" customHeight="1">
      <c r="A676" s="3" t="s">
        <v>4275</v>
      </c>
      <c r="B676" s="3"/>
      <c r="C676" s="26">
        <v>45776.91777777778</v>
      </c>
      <c r="D676" s="3">
        <v>125.0</v>
      </c>
      <c r="E676" s="3">
        <v>31000.0</v>
      </c>
      <c r="F676" s="3" t="s">
        <v>3864</v>
      </c>
      <c r="G676" s="3">
        <v>0.0</v>
      </c>
      <c r="H676" s="3">
        <v>30000.0</v>
      </c>
      <c r="K676" s="5" t="s">
        <v>3605</v>
      </c>
    </row>
    <row r="677" ht="15.75" customHeight="1">
      <c r="A677" s="3" t="s">
        <v>4276</v>
      </c>
      <c r="B677" s="3"/>
      <c r="C677" s="26">
        <v>45776.9184375</v>
      </c>
      <c r="D677" s="3">
        <v>6.0</v>
      </c>
      <c r="E677" s="3">
        <v>32000.0</v>
      </c>
      <c r="F677" s="3" t="s">
        <v>3864</v>
      </c>
      <c r="G677" s="3">
        <v>0.0</v>
      </c>
      <c r="H677" s="3">
        <v>9000.0</v>
      </c>
      <c r="K677" s="5" t="s">
        <v>3337</v>
      </c>
    </row>
    <row r="678" ht="15.75" customHeight="1">
      <c r="A678" s="3" t="s">
        <v>4277</v>
      </c>
      <c r="B678" s="3"/>
      <c r="C678" s="26">
        <v>45776.918703703705</v>
      </c>
      <c r="D678" s="3">
        <v>125.0</v>
      </c>
      <c r="E678" s="3">
        <v>31000.0</v>
      </c>
      <c r="F678" s="3" t="s">
        <v>3864</v>
      </c>
      <c r="G678" s="3">
        <v>21000.0</v>
      </c>
      <c r="H678" s="3">
        <v>30000.0</v>
      </c>
      <c r="K678" s="5" t="s">
        <v>3605</v>
      </c>
    </row>
    <row r="679" ht="15.75" customHeight="1">
      <c r="A679" s="3" t="s">
        <v>4278</v>
      </c>
      <c r="B679" s="3"/>
      <c r="C679" s="26">
        <v>45777.436377314814</v>
      </c>
      <c r="D679" s="3">
        <v>500.0</v>
      </c>
      <c r="E679" s="3">
        <v>200000.0</v>
      </c>
      <c r="F679" s="3" t="s">
        <v>4175</v>
      </c>
      <c r="G679" s="3">
        <v>122601.0</v>
      </c>
      <c r="H679" s="3">
        <v>126101.0</v>
      </c>
      <c r="I679" s="5" t="s">
        <v>4279</v>
      </c>
      <c r="K679" s="5" t="s">
        <v>3342</v>
      </c>
    </row>
    <row r="680" ht="15.75" customHeight="1">
      <c r="A680" s="3" t="s">
        <v>4280</v>
      </c>
      <c r="B680" s="3"/>
      <c r="C680" s="26">
        <v>45777.807916666665</v>
      </c>
      <c r="D680" s="3">
        <v>126.0</v>
      </c>
      <c r="E680" s="3">
        <v>31000.0</v>
      </c>
      <c r="F680" s="3" t="s">
        <v>3973</v>
      </c>
      <c r="G680" s="3">
        <v>0.0</v>
      </c>
      <c r="H680" s="3">
        <v>30000.0</v>
      </c>
      <c r="K680" s="5" t="s">
        <v>3605</v>
      </c>
    </row>
    <row r="681" ht="15.75" customHeight="1">
      <c r="A681" s="3" t="s">
        <v>4281</v>
      </c>
      <c r="B681" s="3"/>
      <c r="C681" s="26">
        <v>45777.80873842593</v>
      </c>
      <c r="D681" s="3">
        <v>73.0</v>
      </c>
      <c r="E681" s="3">
        <v>13000.0</v>
      </c>
      <c r="F681" s="3" t="s">
        <v>3588</v>
      </c>
      <c r="G681" s="3">
        <v>0.0</v>
      </c>
      <c r="H681" s="3">
        <v>11000.0</v>
      </c>
      <c r="K681" s="5" t="s">
        <v>3605</v>
      </c>
    </row>
    <row r="682" ht="15.75" customHeight="1">
      <c r="A682" s="3" t="s">
        <v>4282</v>
      </c>
      <c r="B682" s="3"/>
      <c r="C682" s="26">
        <v>45777.80945601852</v>
      </c>
      <c r="D682" s="3">
        <v>73.0</v>
      </c>
      <c r="E682" s="3">
        <v>13000.0</v>
      </c>
      <c r="F682" s="3" t="s">
        <v>3588</v>
      </c>
      <c r="G682" s="3">
        <v>11000.0</v>
      </c>
      <c r="H682" s="3">
        <v>13000.0</v>
      </c>
      <c r="K682" s="5" t="s">
        <v>3605</v>
      </c>
    </row>
    <row r="683" ht="15.75" customHeight="1">
      <c r="A683" s="3" t="s">
        <v>4283</v>
      </c>
      <c r="B683" s="3"/>
      <c r="C683" s="26">
        <v>45777.81236111111</v>
      </c>
      <c r="D683" s="3">
        <v>94.0</v>
      </c>
      <c r="E683" s="3">
        <v>11600.0</v>
      </c>
      <c r="F683" s="3" t="s">
        <v>3706</v>
      </c>
      <c r="G683" s="3">
        <v>11600.0</v>
      </c>
      <c r="H683" s="3">
        <v>16000.0</v>
      </c>
      <c r="K683" s="5" t="s">
        <v>3320</v>
      </c>
    </row>
    <row r="684" ht="15.75" customHeight="1">
      <c r="A684" s="3" t="s">
        <v>4284</v>
      </c>
      <c r="B684" s="3"/>
      <c r="C684" s="26">
        <v>45777.81355324074</v>
      </c>
      <c r="D684" s="3">
        <v>12.0</v>
      </c>
      <c r="E684" s="3">
        <v>35300.0</v>
      </c>
      <c r="F684" s="3" t="s">
        <v>4285</v>
      </c>
      <c r="G684" s="3">
        <v>0.0</v>
      </c>
      <c r="H684" s="3">
        <v>15000.0</v>
      </c>
      <c r="K684" s="5" t="s">
        <v>3320</v>
      </c>
    </row>
    <row r="685" ht="15.75" customHeight="1">
      <c r="A685" s="3" t="s">
        <v>4286</v>
      </c>
      <c r="B685" s="3"/>
      <c r="C685" s="26">
        <v>45783.780011574076</v>
      </c>
      <c r="D685" s="3">
        <v>102.0</v>
      </c>
      <c r="E685" s="3">
        <v>31000.0</v>
      </c>
      <c r="F685" s="3" t="s">
        <v>3662</v>
      </c>
      <c r="G685" s="3">
        <v>0.0</v>
      </c>
      <c r="H685" s="3">
        <v>31000.0</v>
      </c>
      <c r="I685" s="5" t="s">
        <v>4287</v>
      </c>
      <c r="K685" s="5" t="s">
        <v>3605</v>
      </c>
      <c r="L685" s="6" t="s">
        <v>3247</v>
      </c>
    </row>
    <row r="686" ht="15.75" customHeight="1">
      <c r="A686" s="3" t="s">
        <v>4288</v>
      </c>
      <c r="B686" s="3"/>
      <c r="C686" s="26">
        <v>45783.78025462963</v>
      </c>
      <c r="D686" s="3">
        <v>103.0</v>
      </c>
      <c r="E686" s="3">
        <v>31000.0</v>
      </c>
      <c r="F686" s="3" t="s">
        <v>3662</v>
      </c>
      <c r="G686" s="3">
        <v>0.0</v>
      </c>
      <c r="H686" s="3">
        <v>31000.0</v>
      </c>
      <c r="I686" s="5" t="s">
        <v>4289</v>
      </c>
      <c r="K686" s="5" t="s">
        <v>3605</v>
      </c>
      <c r="L686" s="5" t="s">
        <v>3246</v>
      </c>
    </row>
    <row r="687" ht="15.75" customHeight="1">
      <c r="A687" s="3" t="s">
        <v>4290</v>
      </c>
      <c r="B687" s="3"/>
      <c r="C687" s="26">
        <v>45783.780543981484</v>
      </c>
      <c r="D687" s="3">
        <v>104.0</v>
      </c>
      <c r="E687" s="3">
        <v>31000.0</v>
      </c>
      <c r="F687" s="3" t="s">
        <v>3662</v>
      </c>
      <c r="G687" s="3">
        <v>0.0</v>
      </c>
      <c r="H687" s="3">
        <v>31000.0</v>
      </c>
      <c r="I687" s="5" t="s">
        <v>4291</v>
      </c>
      <c r="K687" s="5" t="s">
        <v>3605</v>
      </c>
      <c r="L687" s="6" t="s">
        <v>3247</v>
      </c>
    </row>
    <row r="688" ht="15.75" customHeight="1">
      <c r="A688" s="3" t="s">
        <v>4292</v>
      </c>
      <c r="B688" s="3"/>
      <c r="C688" s="26">
        <v>45783.78099537037</v>
      </c>
      <c r="D688" s="3">
        <v>105.0</v>
      </c>
      <c r="E688" s="3">
        <v>31000.0</v>
      </c>
      <c r="F688" s="3" t="s">
        <v>3662</v>
      </c>
      <c r="G688" s="3">
        <v>0.0</v>
      </c>
      <c r="H688" s="3">
        <v>31000.0</v>
      </c>
      <c r="K688" s="5" t="s">
        <v>3605</v>
      </c>
      <c r="L688" s="6" t="s">
        <v>3248</v>
      </c>
    </row>
    <row r="689" ht="15.75" customHeight="1">
      <c r="A689" s="3" t="s">
        <v>4293</v>
      </c>
      <c r="B689" s="3"/>
      <c r="C689" s="26">
        <v>45783.78241898148</v>
      </c>
      <c r="D689" s="3">
        <v>107.0</v>
      </c>
      <c r="E689" s="3">
        <v>31000.0</v>
      </c>
      <c r="F689" s="3" t="s">
        <v>3662</v>
      </c>
      <c r="G689" s="3">
        <v>0.0</v>
      </c>
      <c r="H689" s="3">
        <v>24000.0</v>
      </c>
      <c r="K689" s="5" t="s">
        <v>3605</v>
      </c>
      <c r="L689" s="5" t="s">
        <v>3246</v>
      </c>
    </row>
    <row r="690" ht="15.75" customHeight="1">
      <c r="A690" s="3" t="s">
        <v>4294</v>
      </c>
      <c r="B690" s="3"/>
      <c r="C690" s="26">
        <v>45783.7827662037</v>
      </c>
      <c r="D690" s="3">
        <v>108.0</v>
      </c>
      <c r="E690" s="3">
        <v>31000.0</v>
      </c>
      <c r="F690" s="3" t="s">
        <v>3662</v>
      </c>
      <c r="G690" s="3">
        <v>0.0</v>
      </c>
      <c r="H690" s="3">
        <v>17000.0</v>
      </c>
      <c r="K690" s="5" t="s">
        <v>3605</v>
      </c>
      <c r="L690" s="6" t="s">
        <v>3247</v>
      </c>
    </row>
    <row r="691" ht="15.75" customHeight="1">
      <c r="A691" s="3" t="s">
        <v>4295</v>
      </c>
      <c r="B691" s="3"/>
      <c r="C691" s="26">
        <v>45783.78333333333</v>
      </c>
      <c r="D691" s="3">
        <v>12.0</v>
      </c>
      <c r="E691" s="3">
        <v>35300.0</v>
      </c>
      <c r="F691" s="3" t="s">
        <v>4285</v>
      </c>
      <c r="G691" s="3">
        <v>15000.0</v>
      </c>
      <c r="H691" s="3">
        <v>30000.0</v>
      </c>
      <c r="K691" s="5" t="s">
        <v>3320</v>
      </c>
    </row>
    <row r="692" ht="15.75" customHeight="1">
      <c r="A692" s="3" t="s">
        <v>4296</v>
      </c>
      <c r="B692" s="3"/>
      <c r="C692" s="26">
        <v>45783.78670138889</v>
      </c>
      <c r="D692" s="3">
        <v>6.0</v>
      </c>
      <c r="E692" s="3">
        <v>32000.0</v>
      </c>
      <c r="F692" s="3" t="s">
        <v>4297</v>
      </c>
      <c r="G692" s="3">
        <v>0.0</v>
      </c>
      <c r="H692" s="3">
        <v>30000.0</v>
      </c>
      <c r="K692" s="5" t="s">
        <v>3337</v>
      </c>
    </row>
    <row r="693" ht="15.75" customHeight="1">
      <c r="A693" s="3" t="s">
        <v>4298</v>
      </c>
      <c r="B693" s="3"/>
      <c r="C693" s="26">
        <v>45783.787465277775</v>
      </c>
      <c r="D693" s="3">
        <v>12.0</v>
      </c>
      <c r="E693" s="3">
        <v>35300.0</v>
      </c>
      <c r="F693" s="3" t="s">
        <v>4285</v>
      </c>
      <c r="G693" s="3">
        <v>30000.0</v>
      </c>
      <c r="H693" s="3">
        <v>34000.0</v>
      </c>
      <c r="K693" s="5" t="s">
        <v>3320</v>
      </c>
    </row>
    <row r="694" ht="15.75" customHeight="1">
      <c r="A694" s="3" t="s">
        <v>4299</v>
      </c>
      <c r="B694" s="3"/>
      <c r="C694" s="26">
        <v>45783.78894675926</v>
      </c>
      <c r="D694" s="3">
        <v>85.0</v>
      </c>
      <c r="E694" s="3">
        <v>84000.0</v>
      </c>
      <c r="F694" s="3" t="s">
        <v>3275</v>
      </c>
      <c r="G694" s="3">
        <v>0.0</v>
      </c>
      <c r="H694" s="3">
        <v>19000.0</v>
      </c>
      <c r="K694" s="5" t="s">
        <v>3605</v>
      </c>
    </row>
    <row r="695" ht="15.75" customHeight="1">
      <c r="A695" s="3" t="s">
        <v>4300</v>
      </c>
      <c r="B695" s="3"/>
      <c r="C695" s="26">
        <v>45783.78934027778</v>
      </c>
      <c r="D695" s="3">
        <v>85.0</v>
      </c>
      <c r="E695" s="3">
        <v>84000.0</v>
      </c>
      <c r="F695" s="3" t="s">
        <v>3275</v>
      </c>
      <c r="G695" s="3">
        <v>19000.0</v>
      </c>
      <c r="H695" s="3">
        <v>38500.0</v>
      </c>
      <c r="K695" s="5" t="s">
        <v>3605</v>
      </c>
    </row>
    <row r="696" ht="15.75" customHeight="1">
      <c r="A696" s="3" t="s">
        <v>4301</v>
      </c>
      <c r="B696" s="3"/>
      <c r="C696" s="26">
        <v>45783.78971064815</v>
      </c>
      <c r="D696" s="3">
        <v>85.0</v>
      </c>
      <c r="E696" s="3">
        <v>84000.0</v>
      </c>
      <c r="F696" s="3" t="s">
        <v>4245</v>
      </c>
      <c r="G696" s="3">
        <v>38500.0</v>
      </c>
      <c r="H696" s="3">
        <v>61500.0</v>
      </c>
      <c r="K696" s="5" t="s">
        <v>3605</v>
      </c>
    </row>
    <row r="697" ht="15.75" customHeight="1">
      <c r="A697" s="3" t="s">
        <v>4302</v>
      </c>
      <c r="B697" s="3"/>
      <c r="C697" s="26">
        <v>45783.791550925926</v>
      </c>
      <c r="D697" s="3">
        <v>76.0</v>
      </c>
      <c r="E697" s="3">
        <v>25500.0</v>
      </c>
      <c r="F697" s="3" t="s">
        <v>4184</v>
      </c>
      <c r="G697" s="3">
        <v>0.0</v>
      </c>
      <c r="H697" s="3">
        <v>17000.0</v>
      </c>
      <c r="K697" s="5" t="s">
        <v>3605</v>
      </c>
    </row>
    <row r="698" ht="15.75" customHeight="1">
      <c r="A698" s="3" t="s">
        <v>4303</v>
      </c>
      <c r="B698" s="3"/>
      <c r="C698" s="26">
        <v>45783.79188657407</v>
      </c>
      <c r="D698" s="3">
        <v>77.0</v>
      </c>
      <c r="E698" s="3">
        <v>26000.0</v>
      </c>
      <c r="F698" s="3" t="s">
        <v>3932</v>
      </c>
      <c r="G698" s="3">
        <v>0.0</v>
      </c>
      <c r="H698" s="3">
        <v>14800.0</v>
      </c>
      <c r="K698" s="5" t="s">
        <v>3605</v>
      </c>
    </row>
    <row r="699" ht="15.75" customHeight="1">
      <c r="A699" s="3" t="s">
        <v>4304</v>
      </c>
      <c r="B699" s="3"/>
      <c r="C699" s="26">
        <v>45783.792280092595</v>
      </c>
      <c r="D699" s="3">
        <v>71.0</v>
      </c>
      <c r="E699" s="3">
        <v>13000.0</v>
      </c>
      <c r="F699" s="3" t="s">
        <v>4148</v>
      </c>
      <c r="G699" s="3">
        <v>0.0</v>
      </c>
      <c r="H699" s="3">
        <v>11400.0</v>
      </c>
      <c r="K699" s="5" t="s">
        <v>3320</v>
      </c>
    </row>
    <row r="700" ht="15.75" customHeight="1">
      <c r="A700" s="3" t="s">
        <v>4305</v>
      </c>
      <c r="B700" s="3"/>
      <c r="C700" s="26">
        <v>45783.79652777778</v>
      </c>
      <c r="D700" s="3">
        <v>500.0</v>
      </c>
      <c r="E700" s="3">
        <v>200000.0</v>
      </c>
      <c r="F700" s="3" t="s">
        <v>4306</v>
      </c>
      <c r="G700" s="3"/>
      <c r="H700" s="3">
        <v>1.0</v>
      </c>
    </row>
    <row r="701" ht="15.75" customHeight="1">
      <c r="A701" s="3" t="s">
        <v>4307</v>
      </c>
      <c r="B701" s="3"/>
      <c r="C701" s="26">
        <v>45783.813425925924</v>
      </c>
      <c r="D701" s="3">
        <v>11.0</v>
      </c>
      <c r="E701" s="3">
        <v>36000.0</v>
      </c>
      <c r="F701" s="3" t="s">
        <v>4197</v>
      </c>
      <c r="G701" s="3">
        <v>9800.0</v>
      </c>
      <c r="H701" s="3">
        <v>17300.0</v>
      </c>
      <c r="K701" s="5" t="s">
        <v>3320</v>
      </c>
    </row>
    <row r="702" ht="15.75" customHeight="1">
      <c r="A702" s="3" t="s">
        <v>4308</v>
      </c>
      <c r="B702" s="3"/>
      <c r="C702" s="26">
        <v>45783.81466435185</v>
      </c>
      <c r="D702" s="3">
        <v>11.0</v>
      </c>
      <c r="E702" s="3">
        <v>36000.0</v>
      </c>
      <c r="F702" s="3" t="s">
        <v>4197</v>
      </c>
      <c r="G702" s="3">
        <v>17300.0</v>
      </c>
      <c r="H702" s="3">
        <v>18300.0</v>
      </c>
      <c r="K702" s="5" t="s">
        <v>3320</v>
      </c>
    </row>
    <row r="703" ht="15.75" customHeight="1">
      <c r="A703" s="3" t="s">
        <v>4309</v>
      </c>
      <c r="B703" s="3"/>
      <c r="C703" s="26">
        <v>45783.81575231482</v>
      </c>
      <c r="D703" s="3">
        <v>11.0</v>
      </c>
      <c r="E703" s="3">
        <v>36000.0</v>
      </c>
      <c r="F703" s="3" t="s">
        <v>4197</v>
      </c>
      <c r="G703" s="3">
        <v>18300.0</v>
      </c>
      <c r="H703" s="3">
        <v>25300.0</v>
      </c>
      <c r="I703" s="5" t="s">
        <v>4310</v>
      </c>
      <c r="K703" s="5" t="s">
        <v>3320</v>
      </c>
      <c r="L703" s="5" t="s">
        <v>3249</v>
      </c>
    </row>
    <row r="704" ht="15.75" customHeight="1">
      <c r="A704" s="3" t="s">
        <v>4311</v>
      </c>
      <c r="B704" s="3"/>
      <c r="C704" s="26">
        <v>45783.81761574074</v>
      </c>
      <c r="D704" s="3">
        <v>500.0</v>
      </c>
      <c r="E704" s="3">
        <v>200000.0</v>
      </c>
      <c r="F704" s="3" t="s">
        <v>4306</v>
      </c>
      <c r="G704" s="3">
        <v>1.0</v>
      </c>
      <c r="H704" s="3">
        <v>5001.0</v>
      </c>
    </row>
    <row r="705" ht="15.75" customHeight="1">
      <c r="A705" s="3" t="s">
        <v>4312</v>
      </c>
      <c r="B705" s="3"/>
      <c r="C705" s="26">
        <v>45783.81799768518</v>
      </c>
      <c r="D705" s="3">
        <v>500.0</v>
      </c>
      <c r="E705" s="3">
        <v>200000.0</v>
      </c>
      <c r="F705" s="3" t="s">
        <v>4306</v>
      </c>
      <c r="G705" s="3">
        <v>5001.0</v>
      </c>
      <c r="H705" s="3">
        <v>-5699.0</v>
      </c>
    </row>
    <row r="706" ht="15.75" customHeight="1">
      <c r="A706" s="3" t="s">
        <v>4313</v>
      </c>
      <c r="B706" s="3"/>
      <c r="C706" s="26">
        <v>45783.821851851855</v>
      </c>
      <c r="D706" s="3">
        <v>500.0</v>
      </c>
      <c r="E706" s="3">
        <v>200000.0</v>
      </c>
      <c r="F706" s="3" t="s">
        <v>4306</v>
      </c>
      <c r="G706" s="3">
        <v>-5699.0</v>
      </c>
      <c r="H706" s="3">
        <v>11301.0</v>
      </c>
    </row>
    <row r="707" ht="15.75" customHeight="1">
      <c r="A707" s="3" t="s">
        <v>4314</v>
      </c>
      <c r="B707" s="3"/>
      <c r="C707" s="26">
        <v>45783.822696759256</v>
      </c>
      <c r="D707" s="3">
        <v>500.0</v>
      </c>
      <c r="E707" s="3">
        <v>200000.0</v>
      </c>
      <c r="F707" s="3" t="s">
        <v>4306</v>
      </c>
      <c r="G707" s="3">
        <v>11301.0</v>
      </c>
      <c r="H707" s="3">
        <v>10301.0</v>
      </c>
    </row>
    <row r="708" ht="15.75" customHeight="1">
      <c r="A708" s="3" t="s">
        <v>4315</v>
      </c>
      <c r="B708" s="3"/>
      <c r="C708" s="26">
        <v>45783.82324074074</v>
      </c>
      <c r="D708" s="3">
        <v>500.0</v>
      </c>
      <c r="E708" s="3">
        <v>200000.0</v>
      </c>
      <c r="F708" s="3" t="s">
        <v>4306</v>
      </c>
      <c r="G708" s="3">
        <v>10301.0</v>
      </c>
      <c r="H708" s="3">
        <v>9301.0</v>
      </c>
    </row>
    <row r="709" ht="15.75" customHeight="1">
      <c r="A709" s="3" t="s">
        <v>4316</v>
      </c>
      <c r="B709" s="3"/>
      <c r="C709" s="26">
        <v>45783.82381944444</v>
      </c>
      <c r="D709" s="3">
        <v>500.0</v>
      </c>
      <c r="E709" s="3">
        <v>200000.0</v>
      </c>
      <c r="F709" s="3" t="s">
        <v>4306</v>
      </c>
      <c r="G709" s="3">
        <v>9301.0</v>
      </c>
      <c r="H709" s="3">
        <v>11301.0</v>
      </c>
    </row>
    <row r="710" ht="15.75" customHeight="1">
      <c r="A710" s="3" t="s">
        <v>4317</v>
      </c>
      <c r="B710" s="3"/>
      <c r="C710" s="26">
        <v>45783.824467592596</v>
      </c>
      <c r="D710" s="3"/>
      <c r="E710" s="3"/>
      <c r="F710" s="3"/>
      <c r="G710" s="3"/>
      <c r="H710" s="3">
        <v>-300.0</v>
      </c>
    </row>
    <row r="711" ht="15.75" customHeight="1">
      <c r="A711" s="3" t="s">
        <v>4318</v>
      </c>
      <c r="B711" s="3"/>
      <c r="C711" s="26">
        <v>45783.82506944444</v>
      </c>
      <c r="D711" s="3">
        <v>500.0</v>
      </c>
      <c r="E711" s="3">
        <v>200000.0</v>
      </c>
      <c r="F711" s="3" t="s">
        <v>4306</v>
      </c>
      <c r="G711" s="3">
        <v>11301.0</v>
      </c>
      <c r="H711" s="3">
        <v>6301.0</v>
      </c>
    </row>
    <row r="712" ht="15.75" customHeight="1">
      <c r="A712" s="3" t="s">
        <v>4319</v>
      </c>
      <c r="B712" s="3"/>
      <c r="C712" s="26">
        <v>45783.82564814815</v>
      </c>
      <c r="D712" s="3">
        <v>500.0</v>
      </c>
      <c r="E712" s="3">
        <v>200000.0</v>
      </c>
      <c r="F712" s="3" t="s">
        <v>4306</v>
      </c>
      <c r="G712" s="3">
        <v>6301.0</v>
      </c>
      <c r="H712" s="3">
        <v>8801.0</v>
      </c>
    </row>
    <row r="713" ht="15.75" customHeight="1">
      <c r="A713" s="3" t="s">
        <v>4320</v>
      </c>
      <c r="B713" s="3"/>
      <c r="C713" s="26">
        <v>45783.82618055555</v>
      </c>
      <c r="D713" s="3">
        <v>500.0</v>
      </c>
      <c r="E713" s="3">
        <v>200000.0</v>
      </c>
      <c r="F713" s="3" t="s">
        <v>4306</v>
      </c>
      <c r="G713" s="3">
        <v>8801.0</v>
      </c>
      <c r="H713" s="3">
        <v>7601.0</v>
      </c>
    </row>
    <row r="714" ht="15.75" customHeight="1">
      <c r="A714" s="3" t="s">
        <v>4321</v>
      </c>
      <c r="B714" s="3"/>
      <c r="C714" s="26">
        <v>45783.826689814814</v>
      </c>
      <c r="D714" s="3">
        <v>500.0</v>
      </c>
      <c r="E714" s="3">
        <v>200000.0</v>
      </c>
      <c r="F714" s="3" t="s">
        <v>4306</v>
      </c>
      <c r="G714" s="3">
        <v>7601.0</v>
      </c>
      <c r="H714" s="3">
        <v>6001.0</v>
      </c>
    </row>
    <row r="715" ht="15.75" customHeight="1">
      <c r="A715" s="3" t="s">
        <v>4322</v>
      </c>
      <c r="B715" s="3"/>
      <c r="C715" s="26">
        <v>45783.8271875</v>
      </c>
      <c r="D715" s="3">
        <v>500.0</v>
      </c>
      <c r="E715" s="3">
        <v>200000.0</v>
      </c>
      <c r="F715" s="3" t="s">
        <v>4306</v>
      </c>
      <c r="G715" s="3">
        <v>6001.0</v>
      </c>
      <c r="H715" s="3">
        <v>4001.0</v>
      </c>
    </row>
    <row r="716" ht="15.75" customHeight="1">
      <c r="A716" s="3" t="s">
        <v>4323</v>
      </c>
      <c r="B716" s="3"/>
      <c r="C716" s="26">
        <v>45783.8278587963</v>
      </c>
      <c r="D716" s="3">
        <v>500.0</v>
      </c>
      <c r="E716" s="3">
        <v>200000.0</v>
      </c>
      <c r="F716" s="3" t="s">
        <v>4306</v>
      </c>
      <c r="G716" s="3">
        <v>4001.0</v>
      </c>
      <c r="H716" s="3">
        <v>2001.0</v>
      </c>
    </row>
    <row r="717" ht="15.75" customHeight="1">
      <c r="A717" s="3" t="s">
        <v>4324</v>
      </c>
      <c r="B717" s="3"/>
      <c r="C717" s="26">
        <v>45783.82837962963</v>
      </c>
      <c r="D717" s="3">
        <v>500.0</v>
      </c>
      <c r="E717" s="3">
        <v>200000.0</v>
      </c>
      <c r="F717" s="3" t="s">
        <v>4306</v>
      </c>
      <c r="G717" s="3">
        <v>2001.0</v>
      </c>
      <c r="H717" s="3">
        <v>4101.0</v>
      </c>
    </row>
    <row r="718" ht="15.75" customHeight="1">
      <c r="A718" s="3" t="s">
        <v>4325</v>
      </c>
      <c r="B718" s="3"/>
      <c r="C718" s="26">
        <v>45783.82895833333</v>
      </c>
      <c r="D718" s="3">
        <v>500.0</v>
      </c>
      <c r="E718" s="3">
        <v>200000.0</v>
      </c>
      <c r="F718" s="3" t="s">
        <v>4306</v>
      </c>
      <c r="G718" s="3">
        <v>4101.0</v>
      </c>
      <c r="H718" s="3">
        <v>17101.0</v>
      </c>
    </row>
    <row r="719" ht="15.75" customHeight="1">
      <c r="A719" s="3" t="s">
        <v>4326</v>
      </c>
      <c r="B719" s="3"/>
      <c r="C719" s="26">
        <v>45783.82971064815</v>
      </c>
      <c r="D719" s="3">
        <v>500.0</v>
      </c>
      <c r="E719" s="3">
        <v>200000.0</v>
      </c>
      <c r="F719" s="3" t="s">
        <v>4306</v>
      </c>
      <c r="G719" s="3">
        <v>17101.0</v>
      </c>
      <c r="H719" s="3">
        <v>18101.0</v>
      </c>
      <c r="K719" s="5" t="s">
        <v>3342</v>
      </c>
    </row>
    <row r="720" ht="15.75" customHeight="1">
      <c r="A720" s="3" t="s">
        <v>4327</v>
      </c>
      <c r="B720" s="3"/>
      <c r="C720" s="26">
        <v>45784.729212962964</v>
      </c>
      <c r="D720" s="3">
        <v>28.0</v>
      </c>
      <c r="E720" s="3">
        <v>216000.0</v>
      </c>
      <c r="F720" s="3" t="s">
        <v>4328</v>
      </c>
      <c r="G720" s="3">
        <v>0.0</v>
      </c>
      <c r="H720" s="3">
        <v>83000.0</v>
      </c>
      <c r="K720" s="5" t="s">
        <v>3605</v>
      </c>
    </row>
    <row r="721" ht="15.75" customHeight="1">
      <c r="A721" s="3" t="s">
        <v>4329</v>
      </c>
      <c r="B721" s="3"/>
      <c r="C721" s="26">
        <v>45784.7296412037</v>
      </c>
      <c r="D721" s="3">
        <v>28.0</v>
      </c>
      <c r="E721" s="3">
        <v>216000.0</v>
      </c>
      <c r="F721" s="3" t="s">
        <v>4328</v>
      </c>
      <c r="G721" s="3">
        <v>83000.0</v>
      </c>
      <c r="H721" s="3">
        <v>138000.0</v>
      </c>
      <c r="K721" s="5" t="s">
        <v>3605</v>
      </c>
    </row>
    <row r="722" ht="15.75" customHeight="1">
      <c r="A722" s="3" t="s">
        <v>4330</v>
      </c>
      <c r="B722" s="3"/>
      <c r="C722" s="26">
        <v>45784.72994212963</v>
      </c>
      <c r="D722" s="3">
        <v>28.0</v>
      </c>
      <c r="E722" s="3">
        <v>216000.0</v>
      </c>
      <c r="F722" s="3" t="s">
        <v>4328</v>
      </c>
      <c r="G722" s="3">
        <v>138000.0</v>
      </c>
      <c r="H722" s="3">
        <v>164000.0</v>
      </c>
      <c r="K722" s="5" t="s">
        <v>3605</v>
      </c>
    </row>
    <row r="723" ht="15.75" customHeight="1">
      <c r="A723" s="3" t="s">
        <v>4331</v>
      </c>
      <c r="B723" s="3"/>
      <c r="C723" s="26">
        <v>45784.73023148148</v>
      </c>
      <c r="D723" s="3">
        <v>28.0</v>
      </c>
      <c r="E723" s="3">
        <v>216000.0</v>
      </c>
      <c r="F723" s="3" t="s">
        <v>4328</v>
      </c>
      <c r="G723" s="3">
        <v>164000.0</v>
      </c>
      <c r="H723" s="3">
        <v>200600.0</v>
      </c>
      <c r="K723" s="5" t="s">
        <v>3342</v>
      </c>
    </row>
    <row r="724" ht="15.75" customHeight="1">
      <c r="A724" s="3" t="s">
        <v>4332</v>
      </c>
      <c r="B724" s="3"/>
      <c r="C724" s="26">
        <v>45784.76</v>
      </c>
      <c r="D724" s="3">
        <v>86.0</v>
      </c>
      <c r="E724" s="3">
        <v>88000.0</v>
      </c>
      <c r="F724" s="3" t="s">
        <v>4333</v>
      </c>
      <c r="G724" s="3">
        <v>0.0</v>
      </c>
      <c r="H724" s="3">
        <v>15400.0</v>
      </c>
      <c r="K724" s="5" t="s">
        <v>3342</v>
      </c>
    </row>
    <row r="725" ht="15.75" customHeight="1">
      <c r="A725" s="3" t="s">
        <v>4334</v>
      </c>
      <c r="B725" s="3"/>
      <c r="C725" s="26">
        <v>45784.760462962964</v>
      </c>
      <c r="D725" s="3">
        <v>81.0</v>
      </c>
      <c r="E725" s="3">
        <v>26500.0</v>
      </c>
      <c r="F725" s="3" t="s">
        <v>4333</v>
      </c>
      <c r="G725" s="3">
        <v>0.0</v>
      </c>
      <c r="H725" s="3">
        <v>4300.0</v>
      </c>
      <c r="K725" s="5" t="s">
        <v>3342</v>
      </c>
    </row>
    <row r="726" ht="15.75" customHeight="1">
      <c r="A726" s="3" t="s">
        <v>4335</v>
      </c>
      <c r="B726" s="3"/>
      <c r="C726" s="26">
        <v>45784.76126157407</v>
      </c>
      <c r="D726" s="3">
        <v>114.0</v>
      </c>
      <c r="E726" s="3">
        <v>125300.0</v>
      </c>
      <c r="F726" s="3" t="s">
        <v>4333</v>
      </c>
      <c r="G726" s="3">
        <v>22600.0</v>
      </c>
      <c r="H726" s="3">
        <v>44530.0</v>
      </c>
      <c r="K726" s="5" t="s">
        <v>3342</v>
      </c>
    </row>
    <row r="727" ht="15.75" customHeight="1">
      <c r="A727" s="3" t="s">
        <v>4336</v>
      </c>
      <c r="B727" s="3"/>
      <c r="C727" s="26">
        <v>45784.76163194444</v>
      </c>
      <c r="D727" s="3">
        <v>86.0</v>
      </c>
      <c r="E727" s="3">
        <v>88000.0</v>
      </c>
      <c r="F727" s="3" t="s">
        <v>4333</v>
      </c>
      <c r="G727" s="3">
        <v>15400.0</v>
      </c>
      <c r="H727" s="3">
        <v>30800.0</v>
      </c>
      <c r="K727" s="5" t="s">
        <v>3342</v>
      </c>
    </row>
    <row r="728" ht="15.75" customHeight="1">
      <c r="A728" s="3" t="s">
        <v>4337</v>
      </c>
      <c r="B728" s="3"/>
      <c r="C728" s="26">
        <v>45784.76194444444</v>
      </c>
      <c r="D728" s="3">
        <v>81.0</v>
      </c>
      <c r="E728" s="3">
        <v>26500.0</v>
      </c>
      <c r="F728" s="3" t="s">
        <v>4333</v>
      </c>
      <c r="G728" s="3">
        <v>4300.0</v>
      </c>
      <c r="H728" s="3">
        <v>8675.0</v>
      </c>
      <c r="K728" s="5" t="s">
        <v>3342</v>
      </c>
    </row>
    <row r="729" ht="15.75" customHeight="1">
      <c r="A729" s="3" t="s">
        <v>4338</v>
      </c>
      <c r="B729" s="3"/>
      <c r="C729" s="26">
        <v>45784.76358796296</v>
      </c>
      <c r="D729" s="3">
        <v>114.0</v>
      </c>
      <c r="E729" s="3">
        <v>125300.0</v>
      </c>
      <c r="F729" s="3" t="s">
        <v>4333</v>
      </c>
      <c r="G729" s="3">
        <v>44530.0</v>
      </c>
      <c r="H729" s="3">
        <v>125300.0</v>
      </c>
      <c r="K729" s="5" t="s">
        <v>3342</v>
      </c>
    </row>
    <row r="730" ht="15.75" customHeight="1">
      <c r="A730" s="3" t="s">
        <v>4339</v>
      </c>
      <c r="B730" s="3"/>
      <c r="C730" s="26">
        <v>45784.763877314814</v>
      </c>
      <c r="D730" s="3">
        <v>86.0</v>
      </c>
      <c r="E730" s="3">
        <v>88000.0</v>
      </c>
      <c r="F730" s="3" t="s">
        <v>4333</v>
      </c>
      <c r="G730" s="3">
        <v>30800.0</v>
      </c>
      <c r="H730" s="3">
        <v>88000.0</v>
      </c>
      <c r="K730" s="5" t="s">
        <v>3715</v>
      </c>
    </row>
    <row r="731" ht="15.75" customHeight="1">
      <c r="A731" s="3" t="s">
        <v>4340</v>
      </c>
      <c r="B731" s="3"/>
      <c r="C731" s="26">
        <v>45784.76440972222</v>
      </c>
      <c r="D731" s="3">
        <v>81.0</v>
      </c>
      <c r="E731" s="3">
        <v>26500.0</v>
      </c>
      <c r="F731" s="3" t="s">
        <v>4333</v>
      </c>
      <c r="G731" s="3">
        <v>8675.0</v>
      </c>
      <c r="H731" s="3">
        <v>19105.0</v>
      </c>
      <c r="K731" s="5" t="s">
        <v>3342</v>
      </c>
    </row>
    <row r="732" ht="15.75" customHeight="1">
      <c r="A732" s="3" t="s">
        <v>4341</v>
      </c>
      <c r="B732" s="3"/>
      <c r="C732" s="26">
        <v>45784.782013888886</v>
      </c>
      <c r="D732" s="3">
        <v>65.0</v>
      </c>
      <c r="E732" s="3">
        <v>35500.0</v>
      </c>
      <c r="F732" s="3" t="s">
        <v>4245</v>
      </c>
      <c r="G732" s="3">
        <v>0.0</v>
      </c>
      <c r="H732" s="3">
        <v>16900.0</v>
      </c>
      <c r="K732" s="5" t="s">
        <v>4342</v>
      </c>
    </row>
    <row r="733" ht="15.75" customHeight="1">
      <c r="A733" s="3" t="s">
        <v>4343</v>
      </c>
      <c r="B733" s="3"/>
      <c r="C733" s="26">
        <v>45784.78241898148</v>
      </c>
      <c r="D733" s="3">
        <v>66.0</v>
      </c>
      <c r="E733" s="3">
        <v>23000.0</v>
      </c>
      <c r="F733" s="3" t="s">
        <v>4245</v>
      </c>
      <c r="G733" s="3">
        <v>0.0</v>
      </c>
      <c r="H733" s="3">
        <v>4700.0</v>
      </c>
      <c r="K733" s="5" t="s">
        <v>4342</v>
      </c>
    </row>
    <row r="734" ht="15.75" customHeight="1">
      <c r="A734" s="3" t="s">
        <v>4344</v>
      </c>
      <c r="B734" s="3"/>
      <c r="C734" s="26">
        <v>45784.78501157407</v>
      </c>
      <c r="D734" s="3">
        <v>85.0</v>
      </c>
      <c r="E734" s="3">
        <v>84000.0</v>
      </c>
      <c r="F734" s="3" t="s">
        <v>4245</v>
      </c>
      <c r="G734" s="3">
        <v>39900.0</v>
      </c>
      <c r="H734" s="3">
        <v>56900.0</v>
      </c>
      <c r="K734" s="5" t="s">
        <v>3605</v>
      </c>
    </row>
    <row r="735" ht="15.75" customHeight="1">
      <c r="A735" s="3" t="s">
        <v>4345</v>
      </c>
      <c r="B735" s="3"/>
      <c r="C735" s="26">
        <v>45784.78560185185</v>
      </c>
      <c r="D735" s="3">
        <v>65.0</v>
      </c>
      <c r="E735" s="3">
        <v>35500.0</v>
      </c>
      <c r="F735" s="3" t="s">
        <v>4245</v>
      </c>
      <c r="G735" s="3">
        <v>16900.0</v>
      </c>
      <c r="H735" s="3">
        <v>23900.0</v>
      </c>
      <c r="K735" s="5" t="s">
        <v>4342</v>
      </c>
    </row>
    <row r="736" ht="15.75" customHeight="1">
      <c r="A736" s="3" t="s">
        <v>4346</v>
      </c>
      <c r="B736" s="3"/>
      <c r="C736" s="26">
        <v>45784.78581018518</v>
      </c>
      <c r="D736" s="3">
        <v>66.0</v>
      </c>
      <c r="E736" s="3">
        <v>23000.0</v>
      </c>
      <c r="F736" s="3" t="s">
        <v>4245</v>
      </c>
      <c r="G736" s="3">
        <v>4700.0</v>
      </c>
      <c r="H736" s="3">
        <v>5700.0</v>
      </c>
      <c r="K736" s="5" t="s">
        <v>4342</v>
      </c>
    </row>
    <row r="737" ht="15.75" customHeight="1">
      <c r="A737" s="3" t="s">
        <v>4347</v>
      </c>
      <c r="B737" s="3"/>
      <c r="C737" s="26">
        <v>45784.78703703704</v>
      </c>
      <c r="D737" s="3">
        <v>85.0</v>
      </c>
      <c r="E737" s="3">
        <v>84000.0</v>
      </c>
      <c r="F737" s="3" t="s">
        <v>4245</v>
      </c>
      <c r="G737" s="3">
        <v>56900.0</v>
      </c>
      <c r="H737" s="3">
        <v>84000.0</v>
      </c>
      <c r="K737" s="5" t="s">
        <v>3605</v>
      </c>
      <c r="L737" s="5" t="s">
        <v>3249</v>
      </c>
    </row>
    <row r="738" ht="15.75" customHeight="1">
      <c r="A738" s="3" t="s">
        <v>4348</v>
      </c>
      <c r="B738" s="3"/>
      <c r="C738" s="26">
        <v>45784.787453703706</v>
      </c>
      <c r="D738" s="3">
        <v>65.0</v>
      </c>
      <c r="E738" s="3">
        <v>35500.0</v>
      </c>
      <c r="F738" s="3" t="s">
        <v>4245</v>
      </c>
      <c r="G738" s="3">
        <v>23900.0</v>
      </c>
      <c r="H738" s="3">
        <v>35500.0</v>
      </c>
      <c r="I738" s="5" t="s">
        <v>4349</v>
      </c>
      <c r="K738" s="5" t="s">
        <v>4342</v>
      </c>
      <c r="L738" s="5" t="s">
        <v>3249</v>
      </c>
    </row>
    <row r="739" ht="15.75" customHeight="1">
      <c r="A739" s="3" t="s">
        <v>4350</v>
      </c>
      <c r="B739" s="3"/>
      <c r="C739" s="26">
        <v>45784.78769675926</v>
      </c>
      <c r="D739" s="3">
        <v>66.0</v>
      </c>
      <c r="E739" s="3">
        <v>23000.0</v>
      </c>
      <c r="F739" s="3" t="s">
        <v>4245</v>
      </c>
      <c r="G739" s="3">
        <v>5700.0</v>
      </c>
      <c r="H739" s="3">
        <v>15000.0</v>
      </c>
      <c r="I739" s="5" t="s">
        <v>4351</v>
      </c>
      <c r="K739" s="5" t="s">
        <v>4342</v>
      </c>
      <c r="L739" s="6" t="s">
        <v>3250</v>
      </c>
    </row>
    <row r="740" ht="15.75" customHeight="1">
      <c r="A740" s="3" t="s">
        <v>4352</v>
      </c>
      <c r="B740" s="3"/>
      <c r="C740" s="26">
        <v>45785.45407407408</v>
      </c>
      <c r="D740" s="3">
        <v>500.0</v>
      </c>
      <c r="E740" s="3">
        <v>200000.0</v>
      </c>
      <c r="F740" s="3" t="s">
        <v>4306</v>
      </c>
      <c r="G740" s="3">
        <v>18101.0</v>
      </c>
      <c r="H740" s="3">
        <v>21101.0</v>
      </c>
      <c r="K740" s="5" t="s">
        <v>3342</v>
      </c>
    </row>
    <row r="741" ht="15.75" customHeight="1">
      <c r="A741" s="3" t="s">
        <v>4353</v>
      </c>
      <c r="B741" s="3"/>
      <c r="C741" s="26">
        <v>45785.48730324074</v>
      </c>
      <c r="D741" s="3">
        <v>500.0</v>
      </c>
      <c r="E741" s="3">
        <v>200000.0</v>
      </c>
      <c r="F741" s="3" t="s">
        <v>4306</v>
      </c>
      <c r="G741" s="3">
        <v>21101.0</v>
      </c>
      <c r="H741" s="3">
        <v>15987.0</v>
      </c>
      <c r="K741" s="5" t="s">
        <v>3342</v>
      </c>
    </row>
    <row r="742" ht="15.75" customHeight="1">
      <c r="A742" s="3" t="s">
        <v>4354</v>
      </c>
      <c r="B742" s="3"/>
      <c r="C742" s="26">
        <v>45785.74648148148</v>
      </c>
      <c r="D742" s="3">
        <v>500.0</v>
      </c>
      <c r="E742" s="3">
        <v>200000.0</v>
      </c>
      <c r="F742" s="3" t="s">
        <v>4355</v>
      </c>
      <c r="G742" s="3">
        <v>0.0</v>
      </c>
      <c r="H742" s="3">
        <v>125300.0</v>
      </c>
      <c r="K742" s="5" t="s">
        <v>3342</v>
      </c>
    </row>
    <row r="743" ht="15.75" customHeight="1">
      <c r="A743" s="3" t="s">
        <v>4356</v>
      </c>
      <c r="B743" s="3"/>
      <c r="C743" s="26">
        <v>45785.747928240744</v>
      </c>
      <c r="D743" s="3">
        <v>500.0</v>
      </c>
      <c r="E743" s="3">
        <v>200000.0</v>
      </c>
      <c r="F743" s="3" t="s">
        <v>4357</v>
      </c>
      <c r="G743" s="3">
        <v>0.0</v>
      </c>
      <c r="H743" s="3">
        <v>200000.0</v>
      </c>
      <c r="K743" s="5" t="s">
        <v>3715</v>
      </c>
    </row>
    <row r="744" ht="15.75" customHeight="1">
      <c r="A744" s="3" t="s">
        <v>4358</v>
      </c>
      <c r="B744" s="3"/>
      <c r="C744" s="26">
        <v>45785.74822916667</v>
      </c>
      <c r="D744" s="3">
        <v>500.0</v>
      </c>
      <c r="E744" s="3">
        <v>200000.0</v>
      </c>
      <c r="F744" s="3" t="s">
        <v>4357</v>
      </c>
      <c r="G744" s="3">
        <v>200000.0</v>
      </c>
      <c r="H744" s="3">
        <v>200600.0</v>
      </c>
      <c r="K744" s="5" t="s">
        <v>3715</v>
      </c>
    </row>
    <row r="745" ht="15.75" customHeight="1">
      <c r="A745" s="3" t="s">
        <v>4359</v>
      </c>
      <c r="B745" s="3"/>
      <c r="C745" s="26">
        <v>45785.751921296294</v>
      </c>
      <c r="D745" s="3">
        <v>70.0</v>
      </c>
      <c r="E745" s="3">
        <v>13000.0</v>
      </c>
      <c r="F745" s="3" t="s">
        <v>4333</v>
      </c>
      <c r="G745" s="3">
        <v>0.0</v>
      </c>
      <c r="H745" s="3">
        <v>13000.0</v>
      </c>
      <c r="K745" s="5" t="s">
        <v>3715</v>
      </c>
    </row>
    <row r="746" ht="15.75" customHeight="1">
      <c r="A746" s="3" t="s">
        <v>4360</v>
      </c>
      <c r="B746" s="3"/>
      <c r="C746" s="26">
        <v>45785.75241898148</v>
      </c>
      <c r="D746" s="3">
        <v>500.0</v>
      </c>
      <c r="E746" s="3">
        <v>200000.0</v>
      </c>
      <c r="F746" s="3" t="s">
        <v>4361</v>
      </c>
      <c r="G746" s="3">
        <v>0.0</v>
      </c>
      <c r="H746" s="3">
        <v>6105.0</v>
      </c>
      <c r="K746" s="5" t="s">
        <v>3715</v>
      </c>
    </row>
    <row r="747" ht="15.75" customHeight="1">
      <c r="A747" s="3" t="s">
        <v>4362</v>
      </c>
      <c r="B747" s="3"/>
      <c r="C747" s="26">
        <v>45785.7950462963</v>
      </c>
      <c r="D747" s="3">
        <v>107.0</v>
      </c>
      <c r="E747" s="3">
        <v>31000.0</v>
      </c>
      <c r="F747" s="3" t="s">
        <v>3662</v>
      </c>
      <c r="G747" s="3">
        <v>24000.0</v>
      </c>
      <c r="H747" s="3">
        <v>31000.0</v>
      </c>
      <c r="K747" s="5" t="s">
        <v>3605</v>
      </c>
      <c r="L747" s="6" t="s">
        <v>3247</v>
      </c>
    </row>
    <row r="748" ht="15.75" customHeight="1">
      <c r="A748" s="3" t="s">
        <v>4363</v>
      </c>
      <c r="B748" s="3"/>
      <c r="C748" s="26">
        <v>45785.79518518518</v>
      </c>
      <c r="D748" s="3">
        <v>108.0</v>
      </c>
      <c r="E748" s="3">
        <v>31000.0</v>
      </c>
      <c r="F748" s="3" t="s">
        <v>3662</v>
      </c>
      <c r="G748" s="3">
        <v>17000.0</v>
      </c>
      <c r="H748" s="3">
        <v>31000.0</v>
      </c>
      <c r="K748" s="5" t="s">
        <v>3605</v>
      </c>
    </row>
    <row r="749" ht="15.75" customHeight="1">
      <c r="A749" s="3" t="s">
        <v>4364</v>
      </c>
      <c r="B749" s="3"/>
      <c r="C749" s="26">
        <v>45785.79586805555</v>
      </c>
      <c r="D749" s="3">
        <v>118.0</v>
      </c>
      <c r="E749" s="3">
        <v>155600.0</v>
      </c>
      <c r="F749" s="3" t="s">
        <v>3662</v>
      </c>
      <c r="G749" s="3">
        <v>19295.0</v>
      </c>
      <c r="H749" s="3">
        <v>16995.0</v>
      </c>
      <c r="K749" s="5" t="s">
        <v>3320</v>
      </c>
    </row>
    <row r="750" ht="15.75" customHeight="1">
      <c r="A750" s="3" t="s">
        <v>4365</v>
      </c>
      <c r="B750" s="3"/>
      <c r="C750" s="26">
        <v>45785.796215277776</v>
      </c>
      <c r="D750" s="3">
        <v>118.0</v>
      </c>
      <c r="E750" s="3">
        <v>155600.0</v>
      </c>
      <c r="F750" s="3" t="s">
        <v>3662</v>
      </c>
      <c r="G750" s="3">
        <v>16995.0</v>
      </c>
      <c r="H750" s="3">
        <v>16395.0</v>
      </c>
      <c r="K750" s="5" t="s">
        <v>3320</v>
      </c>
    </row>
    <row r="751" ht="15.75" customHeight="1">
      <c r="A751" s="3" t="s">
        <v>4366</v>
      </c>
      <c r="B751" s="3"/>
      <c r="C751" s="26">
        <v>45785.7966087963</v>
      </c>
      <c r="D751" s="3">
        <v>118.0</v>
      </c>
      <c r="E751" s="3">
        <v>155600.0</v>
      </c>
      <c r="F751" s="3" t="s">
        <v>3662</v>
      </c>
      <c r="G751" s="3">
        <v>16395.0</v>
      </c>
      <c r="H751" s="3">
        <v>12895.0</v>
      </c>
      <c r="K751" s="5" t="s">
        <v>3320</v>
      </c>
    </row>
    <row r="752" ht="15.75" customHeight="1">
      <c r="A752" s="3" t="s">
        <v>4367</v>
      </c>
      <c r="B752" s="3"/>
      <c r="C752" s="26">
        <v>45786.677569444444</v>
      </c>
      <c r="D752" s="3">
        <v>50.0</v>
      </c>
      <c r="E752" s="3">
        <v>5100.0</v>
      </c>
      <c r="F752" s="3" t="s">
        <v>4368</v>
      </c>
      <c r="G752" s="3">
        <v>0.0</v>
      </c>
      <c r="H752" s="3">
        <v>4000.0</v>
      </c>
      <c r="K752" s="5" t="s">
        <v>3605</v>
      </c>
    </row>
    <row r="753" ht="15.75" customHeight="1">
      <c r="A753" s="3" t="s">
        <v>4369</v>
      </c>
      <c r="B753" s="3"/>
      <c r="C753" s="26">
        <v>45786.67953703704</v>
      </c>
      <c r="D753" s="3">
        <v>24.0</v>
      </c>
      <c r="E753" s="3">
        <v>186600.0</v>
      </c>
      <c r="F753" s="3" t="s">
        <v>3275</v>
      </c>
      <c r="G753" s="3">
        <v>0.0</v>
      </c>
      <c r="H753" s="3">
        <v>37000.0</v>
      </c>
      <c r="K753" s="5" t="s">
        <v>3605</v>
      </c>
    </row>
    <row r="754" ht="15.75" customHeight="1">
      <c r="A754" s="3" t="s">
        <v>4370</v>
      </c>
      <c r="B754" s="3"/>
      <c r="C754" s="26">
        <v>45786.679872685185</v>
      </c>
      <c r="D754" s="3">
        <v>24.0</v>
      </c>
      <c r="E754" s="3">
        <v>186600.0</v>
      </c>
      <c r="F754" s="3" t="s">
        <v>3275</v>
      </c>
      <c r="G754" s="3">
        <v>37000.0</v>
      </c>
      <c r="H754" s="3">
        <v>73000.0</v>
      </c>
      <c r="K754" s="5" t="s">
        <v>3605</v>
      </c>
    </row>
    <row r="755" ht="15.75" customHeight="1">
      <c r="A755" s="3" t="s">
        <v>4371</v>
      </c>
      <c r="B755" s="3"/>
      <c r="C755" s="26">
        <v>45786.680231481485</v>
      </c>
      <c r="D755" s="3">
        <v>24.0</v>
      </c>
      <c r="E755" s="3">
        <v>186600.0</v>
      </c>
      <c r="F755" s="3" t="s">
        <v>3275</v>
      </c>
      <c r="G755" s="3">
        <v>73000.0</v>
      </c>
      <c r="H755" s="3">
        <v>163000.0</v>
      </c>
      <c r="K755" s="5" t="s">
        <v>3605</v>
      </c>
    </row>
    <row r="756" ht="15.75" customHeight="1">
      <c r="A756" s="27" t="s">
        <v>4372</v>
      </c>
      <c r="B756" s="27"/>
      <c r="C756" s="28">
        <v>45786.68056712963</v>
      </c>
      <c r="D756" s="27">
        <v>24.0</v>
      </c>
      <c r="E756" s="27">
        <v>186600.0</v>
      </c>
      <c r="F756" s="27" t="s">
        <v>3275</v>
      </c>
      <c r="G756" s="27">
        <v>163000.0</v>
      </c>
      <c r="H756" s="27">
        <v>186600.0</v>
      </c>
      <c r="I756" s="29" t="s">
        <v>4373</v>
      </c>
      <c r="K756" s="5" t="s">
        <v>3605</v>
      </c>
      <c r="L756" s="5" t="s">
        <v>3249</v>
      </c>
    </row>
    <row r="757" ht="15.75" customHeight="1">
      <c r="A757" s="3" t="s">
        <v>4374</v>
      </c>
      <c r="B757" s="3"/>
      <c r="C757" s="26">
        <v>45786.68116898148</v>
      </c>
      <c r="D757" s="3">
        <v>125.0</v>
      </c>
      <c r="E757" s="3">
        <v>31000.0</v>
      </c>
      <c r="F757" s="3" t="s">
        <v>3275</v>
      </c>
      <c r="G757" s="3">
        <v>0.0</v>
      </c>
      <c r="H757" s="3">
        <v>11400.0</v>
      </c>
      <c r="K757" s="5" t="s">
        <v>3605</v>
      </c>
    </row>
    <row r="758" ht="15.75" customHeight="1">
      <c r="A758" s="3" t="s">
        <v>4375</v>
      </c>
      <c r="B758" s="3"/>
      <c r="C758" s="26">
        <v>45786.68212962963</v>
      </c>
      <c r="D758" s="3">
        <v>76.0</v>
      </c>
      <c r="E758" s="3">
        <v>25500.0</v>
      </c>
      <c r="F758" s="3" t="s">
        <v>4184</v>
      </c>
      <c r="G758" s="3">
        <v>17000.0</v>
      </c>
      <c r="H758" s="3">
        <v>25500.0</v>
      </c>
      <c r="K758" s="5" t="s">
        <v>3605</v>
      </c>
    </row>
    <row r="759" ht="15.75" customHeight="1">
      <c r="A759" s="3" t="s">
        <v>4376</v>
      </c>
      <c r="B759" s="3"/>
      <c r="C759" s="26">
        <v>45786.68251157407</v>
      </c>
      <c r="D759" s="3">
        <v>66.0</v>
      </c>
      <c r="E759" s="3">
        <v>23000.0</v>
      </c>
      <c r="F759" s="3" t="s">
        <v>4245</v>
      </c>
      <c r="G759" s="3">
        <v>20114.0</v>
      </c>
      <c r="H759" s="3">
        <v>23000.0</v>
      </c>
      <c r="K759" s="5" t="s">
        <v>4342</v>
      </c>
      <c r="L759" s="5" t="s">
        <v>3249</v>
      </c>
    </row>
    <row r="760" ht="15.75" customHeight="1">
      <c r="A760" s="3" t="s">
        <v>4377</v>
      </c>
      <c r="B760" s="3"/>
      <c r="C760" s="26">
        <v>45786.68996527778</v>
      </c>
      <c r="D760" s="3">
        <v>114.0</v>
      </c>
      <c r="E760" s="3">
        <v>125300.0</v>
      </c>
      <c r="F760" s="3" t="s">
        <v>3380</v>
      </c>
      <c r="G760" s="3">
        <v>0.0</v>
      </c>
      <c r="H760" s="3">
        <v>116000.0</v>
      </c>
      <c r="K760" s="5" t="s">
        <v>4342</v>
      </c>
    </row>
    <row r="761" ht="15.75" customHeight="1">
      <c r="A761" s="3" t="s">
        <v>4378</v>
      </c>
      <c r="B761" s="3"/>
      <c r="C761" s="26">
        <v>45786.690347222226</v>
      </c>
      <c r="D761" s="3">
        <v>114.0</v>
      </c>
      <c r="E761" s="3">
        <v>125300.0</v>
      </c>
      <c r="F761" s="3" t="s">
        <v>3380</v>
      </c>
      <c r="G761" s="3">
        <v>116000.0</v>
      </c>
      <c r="H761" s="3">
        <v>125300.0</v>
      </c>
      <c r="K761" s="5" t="s">
        <v>4342</v>
      </c>
    </row>
    <row r="762" ht="15.75" customHeight="1">
      <c r="A762" s="3" t="s">
        <v>4379</v>
      </c>
      <c r="B762" s="3"/>
      <c r="C762" s="26">
        <v>45786.6905787037</v>
      </c>
      <c r="D762" s="3">
        <v>125.0</v>
      </c>
      <c r="E762" s="3">
        <v>31000.0</v>
      </c>
      <c r="F762" s="3" t="s">
        <v>3275</v>
      </c>
      <c r="G762" s="3">
        <v>11400.0</v>
      </c>
      <c r="H762" s="3">
        <v>14500.0</v>
      </c>
      <c r="K762" s="5" t="s">
        <v>3605</v>
      </c>
    </row>
    <row r="763" ht="15.75" customHeight="1">
      <c r="A763" s="3" t="s">
        <v>4380</v>
      </c>
      <c r="B763" s="3"/>
      <c r="C763" s="26">
        <v>45786.69159722222</v>
      </c>
      <c r="D763" s="3">
        <v>72.0</v>
      </c>
      <c r="E763" s="3">
        <v>13000.0</v>
      </c>
      <c r="F763" s="3" t="s">
        <v>3275</v>
      </c>
      <c r="G763" s="3">
        <v>0.0</v>
      </c>
      <c r="H763" s="3">
        <v>12000.0</v>
      </c>
      <c r="K763" s="5" t="s">
        <v>3605</v>
      </c>
    </row>
    <row r="764" ht="15.75" customHeight="1">
      <c r="A764" s="3" t="s">
        <v>4381</v>
      </c>
      <c r="B764" s="3"/>
      <c r="C764" s="26">
        <v>45786.705613425926</v>
      </c>
      <c r="D764" s="3">
        <v>72.0</v>
      </c>
      <c r="E764" s="3">
        <v>13000.0</v>
      </c>
      <c r="F764" s="3" t="s">
        <v>3275</v>
      </c>
      <c r="G764" s="3">
        <v>12000.0</v>
      </c>
      <c r="H764" s="3">
        <v>13000.0</v>
      </c>
      <c r="K764" s="5" t="s">
        <v>3605</v>
      </c>
    </row>
    <row r="765" ht="15.75" customHeight="1">
      <c r="A765" s="3" t="s">
        <v>4382</v>
      </c>
      <c r="B765" s="3"/>
      <c r="C765" s="26">
        <v>45786.8052662037</v>
      </c>
      <c r="D765" s="3">
        <v>50.0</v>
      </c>
      <c r="E765" s="3">
        <v>5100.0</v>
      </c>
      <c r="F765" s="3" t="s">
        <v>4368</v>
      </c>
      <c r="G765" s="3">
        <v>4000.0</v>
      </c>
      <c r="H765" s="3">
        <v>5100.0</v>
      </c>
      <c r="K765" s="5" t="s">
        <v>3715</v>
      </c>
    </row>
    <row r="766" ht="15.75" customHeight="1">
      <c r="A766" s="3" t="s">
        <v>4383</v>
      </c>
      <c r="B766" s="3"/>
      <c r="C766" s="26">
        <v>45786.808275462965</v>
      </c>
      <c r="D766" s="3">
        <v>71.0</v>
      </c>
      <c r="E766" s="3">
        <v>13000.0</v>
      </c>
      <c r="F766" s="3" t="s">
        <v>4384</v>
      </c>
      <c r="G766" s="3">
        <v>11400.0</v>
      </c>
      <c r="H766" s="3">
        <v>13000.0</v>
      </c>
      <c r="K766" s="5" t="s">
        <v>3605</v>
      </c>
    </row>
    <row r="767" ht="15.75" customHeight="1">
      <c r="A767" s="3" t="s">
        <v>4385</v>
      </c>
      <c r="B767" s="3"/>
      <c r="C767" s="26">
        <v>45786.80877314815</v>
      </c>
      <c r="D767" s="3">
        <v>126.0</v>
      </c>
      <c r="E767" s="3">
        <v>31000.0</v>
      </c>
      <c r="F767" s="3" t="s">
        <v>3973</v>
      </c>
      <c r="G767" s="3">
        <v>29000.0</v>
      </c>
      <c r="H767" s="3">
        <v>31000.0</v>
      </c>
      <c r="I767" s="5" t="s">
        <v>4386</v>
      </c>
      <c r="K767" s="5" t="s">
        <v>3605</v>
      </c>
      <c r="L767" s="5" t="s">
        <v>3249</v>
      </c>
    </row>
    <row r="768" ht="15.75" customHeight="1">
      <c r="A768" s="3" t="s">
        <v>4387</v>
      </c>
      <c r="B768" s="3"/>
      <c r="C768" s="26">
        <v>45789.414768518516</v>
      </c>
      <c r="D768" s="3">
        <v>500.0</v>
      </c>
      <c r="E768" s="3">
        <v>200000.0</v>
      </c>
      <c r="F768" s="3" t="s">
        <v>4388</v>
      </c>
      <c r="G768" s="3"/>
      <c r="H768" s="3">
        <v>1.0</v>
      </c>
    </row>
    <row r="769" ht="15.75" customHeight="1">
      <c r="A769" s="3" t="s">
        <v>4389</v>
      </c>
      <c r="B769" s="3"/>
      <c r="C769" s="26">
        <v>45789.41552083333</v>
      </c>
      <c r="D769" s="3">
        <v>12.0</v>
      </c>
      <c r="E769" s="3">
        <v>35300.0</v>
      </c>
      <c r="F769" s="3" t="s">
        <v>4285</v>
      </c>
      <c r="G769" s="3">
        <v>17000.0</v>
      </c>
      <c r="H769" s="3">
        <v>18000.0</v>
      </c>
      <c r="I769" s="5" t="s">
        <v>4390</v>
      </c>
      <c r="K769" s="5" t="s">
        <v>3320</v>
      </c>
      <c r="L769" s="6" t="s">
        <v>3248</v>
      </c>
    </row>
    <row r="770" ht="15.75" customHeight="1">
      <c r="A770" s="3" t="s">
        <v>4391</v>
      </c>
      <c r="B770" s="3"/>
      <c r="C770" s="26">
        <v>45789.416134259256</v>
      </c>
      <c r="D770" s="3">
        <v>500.0</v>
      </c>
      <c r="E770" s="3">
        <v>200000.0</v>
      </c>
      <c r="F770" s="3" t="s">
        <v>4388</v>
      </c>
      <c r="G770" s="3">
        <v>1.0</v>
      </c>
      <c r="H770" s="3">
        <v>-4999.0</v>
      </c>
    </row>
    <row r="771" ht="15.75" customHeight="1">
      <c r="A771" s="3" t="s">
        <v>4392</v>
      </c>
      <c r="B771" s="3"/>
      <c r="C771" s="26">
        <v>45789.416597222225</v>
      </c>
      <c r="D771" s="3">
        <v>500.0</v>
      </c>
      <c r="E771" s="3">
        <v>200000.0</v>
      </c>
      <c r="F771" s="3" t="s">
        <v>4388</v>
      </c>
      <c r="G771" s="3">
        <v>-4999.0</v>
      </c>
      <c r="H771" s="3">
        <v>-8385.0</v>
      </c>
    </row>
    <row r="772" ht="15.75" customHeight="1">
      <c r="A772" s="3" t="s">
        <v>4393</v>
      </c>
      <c r="B772" s="3"/>
      <c r="C772" s="26">
        <v>45789.41677083333</v>
      </c>
      <c r="D772" s="3">
        <v>69.0</v>
      </c>
      <c r="E772" s="3">
        <v>13000.0</v>
      </c>
      <c r="F772" s="3" t="s">
        <v>3706</v>
      </c>
      <c r="G772" s="3"/>
      <c r="H772" s="3">
        <v>0.0</v>
      </c>
      <c r="K772" s="5" t="s">
        <v>3320</v>
      </c>
      <c r="M772" s="5" t="s">
        <v>3273</v>
      </c>
    </row>
    <row r="773" ht="15.75" customHeight="1">
      <c r="A773" s="3" t="s">
        <v>4394</v>
      </c>
      <c r="B773" s="3"/>
      <c r="C773" s="26">
        <v>45789.41721064815</v>
      </c>
      <c r="D773" s="3">
        <v>500.0</v>
      </c>
      <c r="E773" s="3">
        <v>200000.0</v>
      </c>
      <c r="F773" s="3" t="s">
        <v>4388</v>
      </c>
      <c r="G773" s="3">
        <v>-8385.0</v>
      </c>
      <c r="H773" s="3">
        <v>-21385.0</v>
      </c>
    </row>
    <row r="774" ht="15.75" customHeight="1">
      <c r="A774" s="3" t="s">
        <v>4395</v>
      </c>
      <c r="B774" s="3"/>
      <c r="C774" s="26">
        <v>45789.41768518519</v>
      </c>
      <c r="D774" s="3">
        <v>500.0</v>
      </c>
      <c r="E774" s="3">
        <v>200000.0</v>
      </c>
      <c r="F774" s="3" t="s">
        <v>4388</v>
      </c>
      <c r="G774" s="3">
        <v>-21385.0</v>
      </c>
      <c r="H774" s="3">
        <v>-20785.0</v>
      </c>
    </row>
    <row r="775" ht="15.75" customHeight="1">
      <c r="A775" s="3" t="s">
        <v>4396</v>
      </c>
      <c r="B775" s="3"/>
      <c r="C775" s="26">
        <v>45789.419027777774</v>
      </c>
      <c r="D775" s="3">
        <v>500.0</v>
      </c>
      <c r="E775" s="3">
        <v>200000.0</v>
      </c>
      <c r="F775" s="3" t="s">
        <v>4388</v>
      </c>
      <c r="G775" s="3">
        <v>-20785.0</v>
      </c>
      <c r="H775" s="3">
        <v>-12990.0</v>
      </c>
    </row>
    <row r="776" ht="15.75" customHeight="1">
      <c r="A776" s="3" t="s">
        <v>4397</v>
      </c>
      <c r="B776" s="3"/>
      <c r="C776" s="26">
        <v>45789.41936342593</v>
      </c>
      <c r="D776" s="3">
        <v>500.0</v>
      </c>
      <c r="E776" s="3">
        <v>200000.0</v>
      </c>
      <c r="F776" s="3" t="s">
        <v>4388</v>
      </c>
      <c r="G776" s="3">
        <v>-12990.0</v>
      </c>
      <c r="H776" s="3">
        <v>-12190.0</v>
      </c>
    </row>
    <row r="777" ht="15.75" customHeight="1">
      <c r="A777" s="3" t="s">
        <v>4398</v>
      </c>
      <c r="B777" s="3"/>
      <c r="C777" s="26">
        <v>45789.41974537037</v>
      </c>
      <c r="D777" s="3">
        <v>500.0</v>
      </c>
      <c r="E777" s="3">
        <v>200000.0</v>
      </c>
      <c r="F777" s="3" t="s">
        <v>4388</v>
      </c>
      <c r="G777" s="3">
        <v>-12190.0</v>
      </c>
      <c r="H777" s="3">
        <v>-8690.0</v>
      </c>
      <c r="K777" s="5" t="s">
        <v>3342</v>
      </c>
    </row>
    <row r="778" ht="15.75" customHeight="1">
      <c r="A778" s="3" t="s">
        <v>4399</v>
      </c>
      <c r="B778" s="3"/>
      <c r="C778" s="26">
        <v>45789.4356712963</v>
      </c>
      <c r="D778" s="3">
        <v>118.0</v>
      </c>
      <c r="E778" s="3">
        <v>155600.0</v>
      </c>
      <c r="F778" s="3" t="s">
        <v>4159</v>
      </c>
      <c r="G778" s="3">
        <v>0.0</v>
      </c>
      <c r="H778" s="3">
        <v>75000.0</v>
      </c>
      <c r="K778" s="5" t="s">
        <v>3605</v>
      </c>
    </row>
    <row r="779" ht="15.75" customHeight="1">
      <c r="A779" s="3" t="s">
        <v>4400</v>
      </c>
      <c r="B779" s="3"/>
      <c r="C779" s="26">
        <v>45789.43612268518</v>
      </c>
      <c r="D779" s="3">
        <v>118.0</v>
      </c>
      <c r="E779" s="3">
        <v>155600.0</v>
      </c>
      <c r="F779" s="3" t="s">
        <v>3273</v>
      </c>
      <c r="G779" s="3">
        <v>75000.0</v>
      </c>
      <c r="H779" s="3">
        <v>155600.0</v>
      </c>
      <c r="K779" s="5" t="s">
        <v>3605</v>
      </c>
    </row>
    <row r="780" ht="15.75" customHeight="1">
      <c r="A780" s="3" t="s">
        <v>4401</v>
      </c>
      <c r="B780" s="3"/>
      <c r="C780" s="26">
        <v>45790.431759259256</v>
      </c>
      <c r="D780" s="3">
        <v>115.0</v>
      </c>
      <c r="E780" s="3">
        <v>120200.0</v>
      </c>
      <c r="F780" s="3" t="s">
        <v>4017</v>
      </c>
      <c r="G780" s="3">
        <v>0.0</v>
      </c>
      <c r="H780" s="3">
        <v>60000.0</v>
      </c>
      <c r="K780" s="5" t="s">
        <v>3605</v>
      </c>
    </row>
    <row r="781" ht="15.75" customHeight="1">
      <c r="A781" s="3" t="s">
        <v>4402</v>
      </c>
      <c r="B781" s="3"/>
      <c r="C781" s="26">
        <v>45790.43261574074</v>
      </c>
      <c r="D781" s="3">
        <v>115.0</v>
      </c>
      <c r="E781" s="3">
        <v>120200.0</v>
      </c>
      <c r="F781" s="3" t="s">
        <v>4017</v>
      </c>
      <c r="G781" s="3">
        <v>60000.0</v>
      </c>
      <c r="H781" s="3">
        <v>120200.0</v>
      </c>
      <c r="K781" s="5" t="s">
        <v>3605</v>
      </c>
    </row>
    <row r="782" ht="15.75" customHeight="1">
      <c r="A782" s="3" t="s">
        <v>4403</v>
      </c>
      <c r="B782" s="3"/>
      <c r="C782" s="26">
        <v>45790.45222222222</v>
      </c>
      <c r="D782" s="3">
        <v>80.0</v>
      </c>
      <c r="E782" s="3">
        <v>26100.0</v>
      </c>
      <c r="F782" s="3" t="s">
        <v>3706</v>
      </c>
      <c r="G782" s="3">
        <v>0.0</v>
      </c>
      <c r="H782" s="3">
        <v>4400.0</v>
      </c>
      <c r="K782" s="5" t="s">
        <v>3605</v>
      </c>
    </row>
    <row r="783" ht="15.75" customHeight="1">
      <c r="A783" s="3" t="s">
        <v>4404</v>
      </c>
      <c r="B783" s="3"/>
      <c r="C783" s="26">
        <v>45790.73988425926</v>
      </c>
      <c r="D783" s="3">
        <v>6.0</v>
      </c>
      <c r="E783" s="3">
        <v>32000.0</v>
      </c>
      <c r="F783" s="3" t="s">
        <v>4405</v>
      </c>
      <c r="G783" s="3">
        <v>0.0</v>
      </c>
      <c r="H783" s="3">
        <v>10000.0</v>
      </c>
      <c r="K783" s="5" t="s">
        <v>3337</v>
      </c>
    </row>
    <row r="784" ht="15.75" customHeight="1">
      <c r="A784" s="3" t="s">
        <v>4406</v>
      </c>
      <c r="B784" s="3"/>
      <c r="C784" s="26">
        <v>45790.74082175926</v>
      </c>
      <c r="D784" s="3">
        <v>67.0</v>
      </c>
      <c r="E784" s="3">
        <v>23000.0</v>
      </c>
      <c r="F784" s="3" t="s">
        <v>3272</v>
      </c>
      <c r="G784" s="3">
        <v>0.0</v>
      </c>
      <c r="H784" s="3">
        <v>22000.0</v>
      </c>
      <c r="K784" s="5" t="s">
        <v>3605</v>
      </c>
    </row>
    <row r="785" ht="15.75" customHeight="1">
      <c r="A785" s="3" t="s">
        <v>4407</v>
      </c>
      <c r="B785" s="3"/>
      <c r="C785" s="26">
        <v>45790.7419212963</v>
      </c>
      <c r="D785" s="3"/>
      <c r="E785" s="3"/>
      <c r="F785" s="3" t="s">
        <v>3272</v>
      </c>
      <c r="G785" s="3"/>
      <c r="H785" s="3">
        <v>20000.0</v>
      </c>
      <c r="K785" s="5" t="s">
        <v>3605</v>
      </c>
    </row>
    <row r="786" ht="15.75" customHeight="1">
      <c r="A786" s="3" t="s">
        <v>4408</v>
      </c>
      <c r="B786" s="3"/>
      <c r="C786" s="26">
        <v>45790.742060185185</v>
      </c>
      <c r="D786" s="3">
        <v>80.0</v>
      </c>
      <c r="E786" s="3">
        <v>26100.0</v>
      </c>
      <c r="F786" s="3" t="s">
        <v>3706</v>
      </c>
      <c r="G786" s="3">
        <v>4400.0</v>
      </c>
      <c r="H786" s="3">
        <v>6400.0</v>
      </c>
      <c r="K786" s="5" t="s">
        <v>3605</v>
      </c>
    </row>
    <row r="787" ht="15.75" customHeight="1">
      <c r="A787" s="3" t="s">
        <v>4409</v>
      </c>
      <c r="B787" s="3"/>
      <c r="C787" s="26">
        <v>45790.742997685185</v>
      </c>
      <c r="D787" s="3">
        <v>91.0</v>
      </c>
      <c r="E787" s="3">
        <v>86000.0</v>
      </c>
      <c r="F787" s="3" t="s">
        <v>3273</v>
      </c>
      <c r="G787" s="3">
        <v>0.0</v>
      </c>
      <c r="H787" s="3">
        <v>81500.0</v>
      </c>
      <c r="K787" s="5" t="s">
        <v>3605</v>
      </c>
    </row>
    <row r="788" ht="15.75" customHeight="1">
      <c r="A788" s="3" t="s">
        <v>4410</v>
      </c>
      <c r="B788" s="3"/>
      <c r="C788" s="26">
        <v>45790.747719907406</v>
      </c>
      <c r="D788" s="3">
        <v>125.0</v>
      </c>
      <c r="E788" s="3">
        <v>31000.0</v>
      </c>
      <c r="F788" s="3" t="s">
        <v>4017</v>
      </c>
      <c r="G788" s="3">
        <v>0.0</v>
      </c>
      <c r="H788" s="3">
        <v>23500.0</v>
      </c>
      <c r="K788" s="5" t="s">
        <v>3605</v>
      </c>
    </row>
    <row r="789" ht="15.75" customHeight="1">
      <c r="A789" s="3" t="s">
        <v>4411</v>
      </c>
      <c r="B789" s="3"/>
      <c r="C789" s="26">
        <v>45790.74868055555</v>
      </c>
      <c r="D789" s="3">
        <v>125.0</v>
      </c>
      <c r="E789" s="3">
        <v>31000.0</v>
      </c>
      <c r="F789" s="3" t="s">
        <v>4017</v>
      </c>
      <c r="G789" s="3">
        <v>23500.0</v>
      </c>
      <c r="H789" s="3">
        <v>31000.0</v>
      </c>
      <c r="K789" s="5" t="s">
        <v>3605</v>
      </c>
    </row>
    <row r="790" ht="15.75" customHeight="1">
      <c r="A790" s="3" t="s">
        <v>4412</v>
      </c>
      <c r="B790" s="3"/>
      <c r="C790" s="26">
        <v>45790.7491087963</v>
      </c>
      <c r="D790" s="3">
        <v>127.0</v>
      </c>
      <c r="E790" s="3">
        <v>31000.0</v>
      </c>
      <c r="F790" s="3" t="s">
        <v>4017</v>
      </c>
      <c r="G790" s="3">
        <v>0.0</v>
      </c>
      <c r="H790" s="3">
        <v>21100.0</v>
      </c>
      <c r="K790" s="5" t="s">
        <v>3605</v>
      </c>
    </row>
    <row r="791" ht="15.75" customHeight="1">
      <c r="A791" s="3" t="s">
        <v>4413</v>
      </c>
      <c r="B791" s="3"/>
      <c r="C791" s="26">
        <v>45790.750185185185</v>
      </c>
      <c r="D791" s="3">
        <v>75.0</v>
      </c>
      <c r="E791" s="3">
        <v>7000.0</v>
      </c>
      <c r="F791" s="3" t="s">
        <v>4368</v>
      </c>
      <c r="G791" s="3">
        <v>0.0</v>
      </c>
      <c r="H791" s="3">
        <v>5100.0</v>
      </c>
      <c r="K791" s="5" t="s">
        <v>3715</v>
      </c>
    </row>
    <row r="792" ht="15.75" customHeight="1">
      <c r="A792" s="3" t="s">
        <v>4414</v>
      </c>
      <c r="B792" s="3"/>
      <c r="C792" s="26">
        <v>45790.751388888886</v>
      </c>
      <c r="D792" s="3">
        <v>2.0</v>
      </c>
      <c r="E792" s="3">
        <v>8400.0</v>
      </c>
      <c r="F792" s="3" t="s">
        <v>3868</v>
      </c>
      <c r="G792" s="3">
        <v>2000.0</v>
      </c>
      <c r="H792" s="3">
        <v>1900.0</v>
      </c>
      <c r="K792" s="5" t="s">
        <v>3320</v>
      </c>
    </row>
    <row r="793" ht="15.75" customHeight="1">
      <c r="A793" s="4" t="s">
        <v>4415</v>
      </c>
      <c r="B793" s="3"/>
      <c r="C793" s="26">
        <v>45790.75162037037</v>
      </c>
      <c r="D793" s="3">
        <v>75.0</v>
      </c>
      <c r="E793" s="3">
        <v>7000.0</v>
      </c>
      <c r="F793" s="3" t="s">
        <v>4368</v>
      </c>
      <c r="G793" s="3">
        <v>5100.0</v>
      </c>
      <c r="H793" s="3">
        <v>7000.0</v>
      </c>
      <c r="K793" s="5" t="s">
        <v>3715</v>
      </c>
    </row>
    <row r="794" ht="15.75" customHeight="1">
      <c r="A794" s="3" t="s">
        <v>4416</v>
      </c>
      <c r="B794" s="3"/>
      <c r="C794" s="26">
        <v>45790.77553240741</v>
      </c>
      <c r="D794" s="3">
        <v>53.0</v>
      </c>
      <c r="E794" s="3">
        <v>22000.0</v>
      </c>
      <c r="F794" s="3" t="s">
        <v>3272</v>
      </c>
      <c r="G794" s="3">
        <v>0.0</v>
      </c>
      <c r="H794" s="3">
        <v>20000.0</v>
      </c>
      <c r="K794" s="5" t="s">
        <v>3605</v>
      </c>
    </row>
    <row r="795" ht="15.75" customHeight="1">
      <c r="A795" s="3" t="s">
        <v>4417</v>
      </c>
      <c r="B795" s="3"/>
      <c r="C795" s="26">
        <v>45791.46513888889</v>
      </c>
      <c r="D795" s="3">
        <v>500.0</v>
      </c>
      <c r="E795" s="3">
        <v>200000.0</v>
      </c>
      <c r="F795" s="3" t="s">
        <v>4388</v>
      </c>
      <c r="G795" s="3">
        <v>-8690.0</v>
      </c>
      <c r="H795" s="3">
        <v>-9690.0</v>
      </c>
      <c r="I795" s="5" t="s">
        <v>4418</v>
      </c>
      <c r="K795" s="5" t="s">
        <v>3342</v>
      </c>
    </row>
    <row r="796" ht="15.75" customHeight="1">
      <c r="A796" s="3" t="s">
        <v>4419</v>
      </c>
      <c r="B796" s="3"/>
      <c r="C796" s="26">
        <v>45791.720497685186</v>
      </c>
      <c r="D796" s="3">
        <v>120.0</v>
      </c>
      <c r="E796" s="3">
        <v>88800.0</v>
      </c>
      <c r="F796" s="3" t="s">
        <v>3745</v>
      </c>
      <c r="G796" s="3">
        <v>0.0</v>
      </c>
      <c r="H796" s="3">
        <v>85000.0</v>
      </c>
      <c r="K796" s="5" t="s">
        <v>3605</v>
      </c>
    </row>
    <row r="797" ht="15.75" customHeight="1">
      <c r="A797" s="3" t="s">
        <v>4420</v>
      </c>
      <c r="B797" s="3"/>
      <c r="C797" s="26">
        <v>45791.72078703704</v>
      </c>
      <c r="D797" s="3">
        <v>120.0</v>
      </c>
      <c r="E797" s="3">
        <v>88800.0</v>
      </c>
      <c r="F797" s="3" t="s">
        <v>3745</v>
      </c>
      <c r="G797" s="3">
        <v>85000.0</v>
      </c>
      <c r="H797" s="3">
        <v>88800.0</v>
      </c>
      <c r="K797" s="5" t="s">
        <v>3605</v>
      </c>
      <c r="L797" s="5" t="s">
        <v>3249</v>
      </c>
    </row>
    <row r="798" ht="15.75" customHeight="1">
      <c r="A798" s="3" t="s">
        <v>4421</v>
      </c>
      <c r="B798" s="3"/>
      <c r="C798" s="26">
        <v>45791.722395833334</v>
      </c>
      <c r="D798" s="3">
        <v>53.0</v>
      </c>
      <c r="E798" s="3">
        <v>22000.0</v>
      </c>
      <c r="F798" s="3" t="s">
        <v>3272</v>
      </c>
      <c r="G798" s="3">
        <v>20000.0</v>
      </c>
      <c r="H798" s="3">
        <v>22000.0</v>
      </c>
      <c r="K798" s="5" t="s">
        <v>3605</v>
      </c>
    </row>
    <row r="799" ht="15.75" customHeight="1">
      <c r="A799" s="3" t="s">
        <v>4422</v>
      </c>
      <c r="B799" s="3"/>
      <c r="C799" s="26">
        <v>45791.72578703704</v>
      </c>
      <c r="D799" s="3">
        <v>6.0</v>
      </c>
      <c r="E799" s="3">
        <v>32000.0</v>
      </c>
      <c r="F799" s="3" t="s">
        <v>4423</v>
      </c>
      <c r="G799" s="3">
        <v>4200.0</v>
      </c>
      <c r="H799" s="3">
        <v>25300.0</v>
      </c>
      <c r="K799" s="5" t="s">
        <v>3337</v>
      </c>
    </row>
    <row r="800" ht="15.75" customHeight="1">
      <c r="A800" s="3" t="s">
        <v>4424</v>
      </c>
      <c r="B800" s="3"/>
      <c r="C800" s="26">
        <v>45791.726331018515</v>
      </c>
      <c r="D800" s="3">
        <v>6.0</v>
      </c>
      <c r="E800" s="3">
        <v>32000.0</v>
      </c>
      <c r="F800" s="3" t="s">
        <v>4423</v>
      </c>
      <c r="G800" s="3">
        <v>25300.0</v>
      </c>
      <c r="H800" s="3">
        <v>32000.0</v>
      </c>
      <c r="K800" s="5" t="s">
        <v>3337</v>
      </c>
    </row>
    <row r="801" ht="15.75" customHeight="1">
      <c r="A801" s="3" t="s">
        <v>4425</v>
      </c>
      <c r="B801" s="3"/>
      <c r="C801" s="26">
        <v>45791.72675925926</v>
      </c>
      <c r="D801" s="3">
        <v>7.0</v>
      </c>
      <c r="E801" s="3">
        <v>30000.0</v>
      </c>
      <c r="F801" s="3" t="s">
        <v>4423</v>
      </c>
      <c r="G801" s="3">
        <v>0.0</v>
      </c>
      <c r="H801" s="3">
        <v>24300.0</v>
      </c>
      <c r="K801" s="5" t="s">
        <v>3337</v>
      </c>
    </row>
    <row r="802" ht="15.75" customHeight="1">
      <c r="A802" s="3" t="s">
        <v>4426</v>
      </c>
      <c r="B802" s="3"/>
      <c r="C802" s="26">
        <v>45792.377337962964</v>
      </c>
      <c r="D802" s="3">
        <v>15.0</v>
      </c>
      <c r="E802" s="3">
        <v>36500.0</v>
      </c>
      <c r="F802" s="3" t="s">
        <v>3662</v>
      </c>
      <c r="G802" s="3">
        <v>0.0</v>
      </c>
      <c r="H802" s="3">
        <v>36500.0</v>
      </c>
      <c r="K802" s="5" t="s">
        <v>3605</v>
      </c>
      <c r="L802" s="6" t="s">
        <v>3247</v>
      </c>
    </row>
    <row r="803" ht="15.75" customHeight="1">
      <c r="A803" s="3" t="s">
        <v>4427</v>
      </c>
      <c r="B803" s="3"/>
      <c r="C803" s="26">
        <v>45792.37774305556</v>
      </c>
      <c r="D803" s="3">
        <v>80.0</v>
      </c>
      <c r="E803" s="3">
        <v>26100.0</v>
      </c>
      <c r="F803" s="3" t="s">
        <v>3706</v>
      </c>
      <c r="G803" s="3">
        <v>6400.0</v>
      </c>
      <c r="H803" s="3">
        <v>9400.0</v>
      </c>
      <c r="K803" s="5" t="s">
        <v>3605</v>
      </c>
    </row>
    <row r="804" ht="15.75" customHeight="1">
      <c r="A804" s="3" t="s">
        <v>4428</v>
      </c>
      <c r="B804" s="3"/>
      <c r="C804" s="26">
        <v>45792.37856481481</v>
      </c>
      <c r="D804" s="3">
        <v>46.0</v>
      </c>
      <c r="E804" s="3">
        <v>29000.0</v>
      </c>
      <c r="F804" s="3" t="s">
        <v>3588</v>
      </c>
      <c r="G804" s="3">
        <v>0.0</v>
      </c>
      <c r="H804" s="3">
        <v>3900.0</v>
      </c>
      <c r="K804" s="5" t="s">
        <v>3605</v>
      </c>
    </row>
    <row r="805" ht="15.75" customHeight="1">
      <c r="A805" s="3" t="s">
        <v>4429</v>
      </c>
      <c r="B805" s="3"/>
      <c r="C805" s="26">
        <v>45792.378969907404</v>
      </c>
      <c r="D805" s="3">
        <v>46.0</v>
      </c>
      <c r="E805" s="3">
        <v>29000.0</v>
      </c>
      <c r="F805" s="3" t="s">
        <v>3588</v>
      </c>
      <c r="G805" s="3">
        <v>3900.0</v>
      </c>
      <c r="H805" s="3">
        <v>16900.0</v>
      </c>
      <c r="K805" s="5" t="s">
        <v>3605</v>
      </c>
    </row>
    <row r="806" ht="15.75" customHeight="1">
      <c r="A806" s="3" t="s">
        <v>4430</v>
      </c>
      <c r="B806" s="3"/>
      <c r="C806" s="26">
        <v>45792.379270833335</v>
      </c>
      <c r="D806" s="3">
        <v>46.0</v>
      </c>
      <c r="E806" s="3">
        <v>29000.0</v>
      </c>
      <c r="F806" s="3" t="s">
        <v>3588</v>
      </c>
      <c r="G806" s="3">
        <v>16900.0</v>
      </c>
      <c r="H806" s="3">
        <v>29000.0</v>
      </c>
      <c r="K806" s="5" t="s">
        <v>3605</v>
      </c>
      <c r="L806" s="5" t="s">
        <v>3246</v>
      </c>
    </row>
    <row r="807" ht="15.75" customHeight="1">
      <c r="A807" s="3" t="s">
        <v>4431</v>
      </c>
      <c r="B807" s="3"/>
      <c r="C807" s="26">
        <v>45792.3797337963</v>
      </c>
      <c r="D807" s="3">
        <v>7.0</v>
      </c>
      <c r="E807" s="3">
        <v>30000.0</v>
      </c>
      <c r="F807" s="3" t="s">
        <v>4423</v>
      </c>
      <c r="G807" s="3">
        <v>24300.0</v>
      </c>
      <c r="H807" s="3">
        <v>25200.0</v>
      </c>
      <c r="K807" s="5" t="s">
        <v>3337</v>
      </c>
    </row>
    <row r="808" ht="15.75" customHeight="1">
      <c r="A808" s="3" t="s">
        <v>4432</v>
      </c>
      <c r="B808" s="3"/>
      <c r="C808" s="26">
        <v>45792.38104166667</v>
      </c>
      <c r="D808" s="3">
        <v>91.0</v>
      </c>
      <c r="E808" s="3">
        <v>86000.0</v>
      </c>
      <c r="F808" s="3" t="s">
        <v>3273</v>
      </c>
      <c r="G808" s="3">
        <v>81500.0</v>
      </c>
      <c r="H808" s="3">
        <v>86000.0</v>
      </c>
      <c r="K808" s="5" t="s">
        <v>3605</v>
      </c>
    </row>
    <row r="809" ht="15.75" customHeight="1">
      <c r="A809" s="3" t="s">
        <v>4433</v>
      </c>
      <c r="B809" s="3"/>
      <c r="C809" s="26">
        <v>45792.41569444445</v>
      </c>
      <c r="D809" s="3">
        <v>80.0</v>
      </c>
      <c r="E809" s="3">
        <v>26100.0</v>
      </c>
      <c r="F809" s="3" t="s">
        <v>3706</v>
      </c>
      <c r="G809" s="3">
        <v>9400.0</v>
      </c>
      <c r="H809" s="3">
        <v>16400.0</v>
      </c>
      <c r="K809" s="5" t="s">
        <v>3605</v>
      </c>
    </row>
    <row r="810" ht="15.75" customHeight="1">
      <c r="A810" s="3" t="s">
        <v>4434</v>
      </c>
      <c r="B810" s="3"/>
      <c r="C810" s="26">
        <v>45792.67841435185</v>
      </c>
      <c r="D810" s="3">
        <v>54.0</v>
      </c>
      <c r="E810" s="3">
        <v>22900.0</v>
      </c>
      <c r="F810" s="3" t="s">
        <v>4435</v>
      </c>
      <c r="G810" s="3">
        <v>0.0</v>
      </c>
      <c r="H810" s="3">
        <v>22900.0</v>
      </c>
      <c r="K810" s="5" t="s">
        <v>4342</v>
      </c>
      <c r="L810" s="6" t="s">
        <v>3247</v>
      </c>
    </row>
    <row r="811" ht="15.75" customHeight="1">
      <c r="A811" s="3" t="s">
        <v>4436</v>
      </c>
      <c r="B811" s="3"/>
      <c r="C811" s="26">
        <v>45792.67920138889</v>
      </c>
      <c r="D811" s="3">
        <v>51.0</v>
      </c>
      <c r="E811" s="3">
        <v>3900.0</v>
      </c>
      <c r="F811" s="3" t="s">
        <v>4435</v>
      </c>
      <c r="G811" s="3">
        <v>0.0</v>
      </c>
      <c r="H811" s="3">
        <v>1600.0</v>
      </c>
      <c r="K811" s="5" t="s">
        <v>3605</v>
      </c>
      <c r="L811" s="6" t="s">
        <v>3247</v>
      </c>
    </row>
    <row r="812" ht="15.75" customHeight="1">
      <c r="A812" s="3" t="s">
        <v>4437</v>
      </c>
      <c r="B812" s="3"/>
      <c r="C812" s="26">
        <v>45793.50011574074</v>
      </c>
      <c r="D812" s="3">
        <v>95.0</v>
      </c>
      <c r="E812" s="3">
        <v>77100.0</v>
      </c>
      <c r="F812" s="3" t="s">
        <v>3272</v>
      </c>
      <c r="G812" s="3">
        <v>0.0</v>
      </c>
      <c r="H812" s="3">
        <v>77100.0</v>
      </c>
      <c r="K812" s="5" t="s">
        <v>4342</v>
      </c>
      <c r="L812" s="6" t="s">
        <v>3247</v>
      </c>
    </row>
    <row r="813" ht="15.75" customHeight="1">
      <c r="A813" s="3" t="s">
        <v>4438</v>
      </c>
      <c r="B813" s="3"/>
      <c r="C813" s="26">
        <v>45793.500601851854</v>
      </c>
      <c r="D813" s="3">
        <v>96.0</v>
      </c>
      <c r="E813" s="3">
        <v>85600.0</v>
      </c>
      <c r="F813" s="3" t="s">
        <v>3272</v>
      </c>
      <c r="G813" s="3">
        <v>0.0</v>
      </c>
      <c r="H813" s="3">
        <v>85600.0</v>
      </c>
      <c r="K813" s="5" t="s">
        <v>4342</v>
      </c>
      <c r="L813" s="6" t="s">
        <v>3247</v>
      </c>
    </row>
    <row r="814" ht="15.75" customHeight="1">
      <c r="A814" s="3" t="s">
        <v>4439</v>
      </c>
      <c r="B814" s="3"/>
      <c r="C814" s="26">
        <v>45793.50101851852</v>
      </c>
      <c r="D814" s="3">
        <v>45.0</v>
      </c>
      <c r="E814" s="3">
        <v>30000.0</v>
      </c>
      <c r="F814" s="3" t="s">
        <v>3272</v>
      </c>
      <c r="G814" s="3">
        <v>0.0</v>
      </c>
      <c r="H814" s="3">
        <v>30000.0</v>
      </c>
      <c r="K814" s="5" t="s">
        <v>4342</v>
      </c>
      <c r="L814" s="6" t="s">
        <v>3247</v>
      </c>
    </row>
    <row r="815" ht="15.75" customHeight="1">
      <c r="A815" s="3" t="s">
        <v>4440</v>
      </c>
      <c r="B815" s="3"/>
      <c r="C815" s="26">
        <v>45793.5018287037</v>
      </c>
      <c r="D815" s="3">
        <v>68.0</v>
      </c>
      <c r="E815" s="3">
        <v>13000.0</v>
      </c>
      <c r="F815" s="3" t="s">
        <v>3272</v>
      </c>
      <c r="G815" s="3">
        <v>0.0</v>
      </c>
      <c r="H815" s="3">
        <v>1600.0</v>
      </c>
      <c r="K815" s="5" t="s">
        <v>4342</v>
      </c>
    </row>
    <row r="816" ht="15.75" customHeight="1">
      <c r="A816" s="3" t="s">
        <v>12</v>
      </c>
      <c r="B816" s="3"/>
      <c r="C816" s="26">
        <v>45793.50445601852</v>
      </c>
      <c r="D816" s="3">
        <v>14.0</v>
      </c>
      <c r="E816" s="3">
        <v>37000.0</v>
      </c>
      <c r="F816" s="3" t="s">
        <v>3314</v>
      </c>
      <c r="G816" s="3">
        <v>0.0</v>
      </c>
      <c r="H816" s="3">
        <v>37000.0</v>
      </c>
      <c r="K816" s="5" t="s">
        <v>4342</v>
      </c>
      <c r="M816" s="5" t="s">
        <v>3273</v>
      </c>
    </row>
    <row r="817" ht="15.75" customHeight="1">
      <c r="A817" s="3" t="s">
        <v>4441</v>
      </c>
      <c r="B817" s="3"/>
      <c r="C817" s="26">
        <v>45793.50493055556</v>
      </c>
      <c r="D817" s="3">
        <v>50.0</v>
      </c>
      <c r="E817" s="3">
        <v>5100.0</v>
      </c>
      <c r="F817" s="3" t="s">
        <v>3314</v>
      </c>
      <c r="G817" s="3">
        <v>0.0</v>
      </c>
      <c r="H817" s="3">
        <v>2300.0</v>
      </c>
      <c r="K817" s="5" t="s">
        <v>4342</v>
      </c>
    </row>
    <row r="818" ht="15.75" customHeight="1">
      <c r="A818" s="3" t="s">
        <v>4442</v>
      </c>
      <c r="B818" s="3"/>
      <c r="C818" s="26">
        <v>45793.50525462963</v>
      </c>
      <c r="D818" s="3">
        <v>41.0</v>
      </c>
      <c r="E818" s="3">
        <v>35100.0</v>
      </c>
      <c r="F818" s="3" t="s">
        <v>3386</v>
      </c>
      <c r="G818" s="3">
        <v>0.0</v>
      </c>
      <c r="H818" s="3">
        <v>35100.0</v>
      </c>
      <c r="K818" s="5" t="s">
        <v>4342</v>
      </c>
      <c r="M818" s="5" t="s">
        <v>3273</v>
      </c>
    </row>
    <row r="819" ht="15.75" customHeight="1">
      <c r="A819" s="3" t="s">
        <v>4443</v>
      </c>
      <c r="B819" s="3"/>
      <c r="C819" s="26">
        <v>45793.50541666667</v>
      </c>
      <c r="D819" s="3">
        <v>50.0</v>
      </c>
      <c r="E819" s="3">
        <v>5100.0</v>
      </c>
      <c r="F819" s="3" t="s">
        <v>3386</v>
      </c>
      <c r="G819" s="3">
        <v>2300.0</v>
      </c>
      <c r="H819" s="3">
        <v>3100.0</v>
      </c>
      <c r="K819" s="5" t="s">
        <v>3605</v>
      </c>
    </row>
    <row r="820" ht="15.75" customHeight="1">
      <c r="A820" s="3" t="s">
        <v>4444</v>
      </c>
      <c r="B820" s="3"/>
      <c r="C820" s="26">
        <v>45793.506875</v>
      </c>
      <c r="D820" s="3">
        <v>500.0</v>
      </c>
      <c r="E820" s="3">
        <v>200000.0</v>
      </c>
      <c r="F820" s="3" t="s">
        <v>4333</v>
      </c>
      <c r="G820" s="3">
        <v>0.0</v>
      </c>
      <c r="H820" s="3">
        <v>13000.0</v>
      </c>
      <c r="K820" s="5" t="s">
        <v>3715</v>
      </c>
    </row>
    <row r="821" ht="15.75" customHeight="1">
      <c r="A821" s="3" t="s">
        <v>4445</v>
      </c>
      <c r="B821" s="3"/>
      <c r="C821" s="26">
        <v>45793.50792824074</v>
      </c>
      <c r="D821" s="3">
        <v>500.0</v>
      </c>
      <c r="E821" s="3">
        <v>200000.0</v>
      </c>
      <c r="F821" s="3" t="s">
        <v>4333</v>
      </c>
      <c r="G821" s="3">
        <v>13000.0</v>
      </c>
      <c r="H821" s="3">
        <v>101000.0</v>
      </c>
      <c r="K821" s="5" t="s">
        <v>3715</v>
      </c>
    </row>
    <row r="822" ht="15.75" customHeight="1">
      <c r="A822" s="3" t="s">
        <v>4446</v>
      </c>
      <c r="B822" s="3"/>
      <c r="C822" s="26">
        <v>45793.50890046296</v>
      </c>
      <c r="D822" s="3">
        <v>70.0</v>
      </c>
      <c r="E822" s="3">
        <v>13000.0</v>
      </c>
      <c r="F822" s="3" t="s">
        <v>3973</v>
      </c>
      <c r="G822" s="3">
        <v>0.0</v>
      </c>
      <c r="H822" s="3">
        <v>13000.0</v>
      </c>
      <c r="K822" s="5" t="s">
        <v>4342</v>
      </c>
      <c r="L822" s="5" t="s">
        <v>3249</v>
      </c>
    </row>
    <row r="823" ht="15.75" customHeight="1">
      <c r="A823" s="3" t="s">
        <v>4447</v>
      </c>
      <c r="B823" s="3"/>
      <c r="C823" s="26">
        <v>45793.50922453704</v>
      </c>
      <c r="D823" s="3">
        <v>125.0</v>
      </c>
      <c r="E823" s="3">
        <v>31000.0</v>
      </c>
      <c r="F823" s="3" t="s">
        <v>3973</v>
      </c>
      <c r="G823" s="3">
        <v>0.0</v>
      </c>
      <c r="H823" s="3">
        <v>6500.0</v>
      </c>
      <c r="K823" s="5" t="s">
        <v>4342</v>
      </c>
    </row>
    <row r="824" ht="15.75" customHeight="1">
      <c r="A824" s="3" t="s">
        <v>4448</v>
      </c>
      <c r="B824" s="3"/>
      <c r="C824" s="26">
        <v>45793.83320601852</v>
      </c>
      <c r="D824" s="3">
        <v>25.0</v>
      </c>
      <c r="E824" s="3">
        <v>194300.0</v>
      </c>
      <c r="F824" s="3" t="s">
        <v>3272</v>
      </c>
      <c r="G824" s="3">
        <v>0.0</v>
      </c>
      <c r="H824" s="3">
        <v>194300.0</v>
      </c>
      <c r="K824" s="5" t="s">
        <v>4342</v>
      </c>
      <c r="L824" s="6" t="s">
        <v>3248</v>
      </c>
    </row>
    <row r="825" ht="15.75" customHeight="1">
      <c r="A825" s="3" t="s">
        <v>4449</v>
      </c>
      <c r="B825" s="3"/>
      <c r="C825" s="26">
        <v>45796.49052083334</v>
      </c>
      <c r="D825" s="3">
        <v>68.0</v>
      </c>
      <c r="E825" s="3">
        <v>13000.0</v>
      </c>
      <c r="F825" s="3" t="s">
        <v>3272</v>
      </c>
      <c r="G825" s="3">
        <v>1600.0</v>
      </c>
      <c r="H825" s="3">
        <v>13000.0</v>
      </c>
      <c r="K825" s="5" t="s">
        <v>4342</v>
      </c>
      <c r="L825" s="6" t="s">
        <v>3248</v>
      </c>
    </row>
    <row r="826" ht="15.75" customHeight="1">
      <c r="A826" s="3" t="s">
        <v>4450</v>
      </c>
      <c r="B826" s="3"/>
      <c r="C826" s="26">
        <v>45796.49135416667</v>
      </c>
      <c r="D826" s="3">
        <v>50.0</v>
      </c>
      <c r="E826" s="3">
        <v>5100.0</v>
      </c>
      <c r="F826" s="3" t="s">
        <v>3386</v>
      </c>
      <c r="G826" s="3">
        <v>3100.0</v>
      </c>
      <c r="H826" s="3">
        <v>5000.0</v>
      </c>
      <c r="K826" s="5" t="s">
        <v>3605</v>
      </c>
      <c r="M826" s="5" t="s">
        <v>3273</v>
      </c>
    </row>
    <row r="827" ht="15.75" customHeight="1">
      <c r="A827" s="3" t="s">
        <v>4451</v>
      </c>
      <c r="B827" s="3"/>
      <c r="C827" s="26">
        <v>45796.70974537037</v>
      </c>
      <c r="D827" s="3">
        <v>500.0</v>
      </c>
      <c r="E827" s="3">
        <v>200000.0</v>
      </c>
      <c r="F827" s="3" t="s">
        <v>4452</v>
      </c>
      <c r="G827" s="3"/>
      <c r="H827" s="3">
        <v>1.0</v>
      </c>
    </row>
    <row r="828" ht="15.75" customHeight="1">
      <c r="A828" s="3" t="s">
        <v>4453</v>
      </c>
      <c r="B828" s="3"/>
      <c r="C828" s="26">
        <v>45796.7175</v>
      </c>
      <c r="D828" s="3">
        <v>80.0</v>
      </c>
      <c r="E828" s="3">
        <v>26100.0</v>
      </c>
      <c r="F828" s="3" t="s">
        <v>3706</v>
      </c>
      <c r="G828" s="3">
        <v>16400.0</v>
      </c>
      <c r="H828" s="3">
        <v>22900.0</v>
      </c>
      <c r="K828" s="5" t="s">
        <v>3605</v>
      </c>
    </row>
    <row r="829" ht="15.75" customHeight="1">
      <c r="A829" s="3" t="s">
        <v>4454</v>
      </c>
      <c r="B829" s="3"/>
      <c r="C829" s="26">
        <v>45796.71913194445</v>
      </c>
      <c r="D829" s="3">
        <v>80.0</v>
      </c>
      <c r="E829" s="3">
        <v>26100.0</v>
      </c>
      <c r="F829" s="3" t="s">
        <v>3706</v>
      </c>
      <c r="G829" s="3">
        <v>22900.0</v>
      </c>
      <c r="H829" s="3">
        <v>24000.0</v>
      </c>
      <c r="K829" s="5" t="s">
        <v>3605</v>
      </c>
    </row>
    <row r="830" ht="15.75" customHeight="1">
      <c r="A830" s="3" t="s">
        <v>4455</v>
      </c>
      <c r="B830" s="3"/>
      <c r="C830" s="26">
        <v>45796.719363425924</v>
      </c>
      <c r="D830" s="3">
        <v>500.0</v>
      </c>
      <c r="E830" s="3">
        <v>200000.0</v>
      </c>
      <c r="F830" s="3" t="s">
        <v>4452</v>
      </c>
      <c r="G830" s="3">
        <v>1.0</v>
      </c>
      <c r="H830" s="3">
        <v>2101.0</v>
      </c>
    </row>
    <row r="831" ht="15.75" customHeight="1">
      <c r="A831" s="3" t="s">
        <v>4456</v>
      </c>
      <c r="B831" s="3"/>
      <c r="C831" s="26">
        <v>45796.719976851855</v>
      </c>
      <c r="D831" s="3">
        <v>500.0</v>
      </c>
      <c r="E831" s="3">
        <v>200000.0</v>
      </c>
      <c r="F831" s="3" t="s">
        <v>4452</v>
      </c>
      <c r="G831" s="3">
        <v>2101.0</v>
      </c>
      <c r="H831" s="3">
        <v>2001.0</v>
      </c>
    </row>
    <row r="832" ht="15.75" customHeight="1">
      <c r="A832" s="3" t="s">
        <v>4457</v>
      </c>
      <c r="B832" s="3"/>
      <c r="C832" s="26">
        <v>45796.72083333333</v>
      </c>
      <c r="D832" s="3">
        <v>500.0</v>
      </c>
      <c r="E832" s="3">
        <v>200000.0</v>
      </c>
      <c r="F832" s="3" t="s">
        <v>4452</v>
      </c>
      <c r="G832" s="3">
        <v>2001.0</v>
      </c>
      <c r="H832" s="3">
        <v>2101.0</v>
      </c>
    </row>
    <row r="833" ht="15.75" customHeight="1">
      <c r="A833" s="3" t="s">
        <v>4458</v>
      </c>
      <c r="B833" s="3"/>
      <c r="C833" s="26">
        <v>45796.72114583333</v>
      </c>
      <c r="D833" s="3">
        <v>500.0</v>
      </c>
      <c r="E833" s="3">
        <v>200000.0</v>
      </c>
      <c r="F833" s="3" t="s">
        <v>4452</v>
      </c>
      <c r="G833" s="3">
        <v>2101.0</v>
      </c>
      <c r="H833" s="3">
        <v>2201.0</v>
      </c>
    </row>
    <row r="834" ht="15.75" customHeight="1">
      <c r="A834" s="3" t="s">
        <v>4459</v>
      </c>
      <c r="B834" s="3"/>
      <c r="C834" s="26">
        <v>45796.72145833333</v>
      </c>
      <c r="D834" s="3">
        <v>500.0</v>
      </c>
      <c r="E834" s="3">
        <v>200000.0</v>
      </c>
      <c r="F834" s="3" t="s">
        <v>4452</v>
      </c>
      <c r="G834" s="3">
        <v>2201.0</v>
      </c>
      <c r="H834" s="3">
        <v>2001.0</v>
      </c>
    </row>
    <row r="835" ht="15.75" customHeight="1">
      <c r="A835" s="3" t="s">
        <v>4460</v>
      </c>
      <c r="B835" s="3"/>
      <c r="C835" s="26">
        <v>45796.72199074074</v>
      </c>
      <c r="D835" s="3">
        <v>500.0</v>
      </c>
      <c r="E835" s="3">
        <v>200000.0</v>
      </c>
      <c r="F835" s="3" t="s">
        <v>4452</v>
      </c>
      <c r="G835" s="3">
        <v>2001.0</v>
      </c>
      <c r="H835" s="3">
        <v>-299.0</v>
      </c>
    </row>
    <row r="836" ht="15.75" customHeight="1">
      <c r="A836" s="3" t="s">
        <v>4461</v>
      </c>
      <c r="B836" s="3"/>
      <c r="C836" s="26">
        <v>45796.72247685185</v>
      </c>
      <c r="D836" s="3">
        <v>500.0</v>
      </c>
      <c r="E836" s="3">
        <v>200000.0</v>
      </c>
      <c r="F836" s="3" t="s">
        <v>4452</v>
      </c>
      <c r="G836" s="3">
        <v>-299.0</v>
      </c>
      <c r="H836" s="3">
        <v>201.0</v>
      </c>
    </row>
    <row r="837" ht="15.75" customHeight="1">
      <c r="A837" s="3" t="s">
        <v>4462</v>
      </c>
      <c r="B837" s="3"/>
      <c r="C837" s="26">
        <v>45796.72274305556</v>
      </c>
      <c r="D837" s="3">
        <v>500.0</v>
      </c>
      <c r="E837" s="3">
        <v>200000.0</v>
      </c>
      <c r="F837" s="3" t="s">
        <v>4452</v>
      </c>
      <c r="G837" s="3">
        <v>201.0</v>
      </c>
      <c r="H837" s="3">
        <v>701.0</v>
      </c>
      <c r="I837" s="5" t="s">
        <v>4463</v>
      </c>
    </row>
    <row r="838" ht="15.75" customHeight="1">
      <c r="A838" s="3" t="s">
        <v>4464</v>
      </c>
      <c r="B838" s="3"/>
      <c r="C838" s="26">
        <v>45796.738587962966</v>
      </c>
      <c r="D838" s="3">
        <v>26.0</v>
      </c>
      <c r="E838" s="3">
        <v>207600.0</v>
      </c>
      <c r="F838" s="3" t="s">
        <v>4465</v>
      </c>
      <c r="G838" s="3">
        <v>0.0</v>
      </c>
      <c r="H838" s="3">
        <v>95000.0</v>
      </c>
    </row>
    <row r="839" ht="15.75" customHeight="1">
      <c r="A839" s="3" t="s">
        <v>4466</v>
      </c>
      <c r="B839" s="3"/>
      <c r="C839" s="26">
        <v>45796.76111111111</v>
      </c>
      <c r="D839" s="3">
        <v>26.0</v>
      </c>
      <c r="E839" s="3">
        <v>207600.0</v>
      </c>
      <c r="F839" s="3" t="s">
        <v>4465</v>
      </c>
      <c r="G839" s="3">
        <v>95000.0</v>
      </c>
      <c r="H839" s="3">
        <v>130000.0</v>
      </c>
    </row>
    <row r="840" ht="15.75" customHeight="1">
      <c r="A840" s="3" t="s">
        <v>4467</v>
      </c>
      <c r="B840" s="3"/>
      <c r="C840" s="26">
        <v>45796.761828703704</v>
      </c>
      <c r="D840" s="3">
        <v>26.0</v>
      </c>
      <c r="E840" s="3">
        <v>207600.0</v>
      </c>
      <c r="F840" s="3" t="s">
        <v>4465</v>
      </c>
      <c r="G840" s="3">
        <v>130000.0</v>
      </c>
      <c r="H840" s="3">
        <v>166000.0</v>
      </c>
    </row>
    <row r="841" ht="15.75" customHeight="1">
      <c r="A841" s="3" t="s">
        <v>4468</v>
      </c>
      <c r="B841" s="3"/>
      <c r="C841" s="26">
        <v>45796.763020833336</v>
      </c>
      <c r="D841" s="3">
        <v>26.0</v>
      </c>
      <c r="E841" s="3">
        <v>207600.0</v>
      </c>
      <c r="F841" s="3" t="s">
        <v>4465</v>
      </c>
      <c r="G841" s="3">
        <v>166000.0</v>
      </c>
      <c r="H841" s="3">
        <v>201000.0</v>
      </c>
    </row>
    <row r="842" ht="15.75" customHeight="1">
      <c r="A842" s="3" t="s">
        <v>4469</v>
      </c>
      <c r="B842" s="3"/>
      <c r="C842" s="26">
        <v>45796.7740162037</v>
      </c>
      <c r="D842" s="3">
        <v>80.0</v>
      </c>
      <c r="E842" s="3">
        <v>26100.0</v>
      </c>
      <c r="F842" s="3" t="s">
        <v>3706</v>
      </c>
      <c r="G842" s="3">
        <v>24000.0</v>
      </c>
      <c r="H842" s="3">
        <v>26100.0</v>
      </c>
      <c r="K842" s="5" t="s">
        <v>3605</v>
      </c>
      <c r="M842" s="5" t="s">
        <v>3273</v>
      </c>
    </row>
    <row r="843" ht="15.75" customHeight="1">
      <c r="A843" s="3" t="s">
        <v>4470</v>
      </c>
      <c r="B843" s="3"/>
      <c r="C843" s="26">
        <v>45796.77609953703</v>
      </c>
      <c r="D843" s="3">
        <v>26.0</v>
      </c>
      <c r="E843" s="3">
        <v>207600.0</v>
      </c>
      <c r="F843" s="3" t="s">
        <v>4465</v>
      </c>
      <c r="G843" s="3">
        <v>201000.0</v>
      </c>
      <c r="H843" s="3">
        <v>201400.0</v>
      </c>
      <c r="K843" s="5" t="s">
        <v>3715</v>
      </c>
    </row>
    <row r="844" ht="15.75" customHeight="1">
      <c r="A844" s="3" t="s">
        <v>4471</v>
      </c>
      <c r="B844" s="3"/>
      <c r="C844" s="26">
        <v>45796.80831018519</v>
      </c>
      <c r="D844" s="3">
        <v>500.0</v>
      </c>
      <c r="E844" s="3">
        <v>200000.0</v>
      </c>
      <c r="F844" s="3"/>
      <c r="G844" s="3">
        <v>0.0</v>
      </c>
      <c r="H844" s="3">
        <v>7000.0</v>
      </c>
    </row>
    <row r="845" ht="15.75" customHeight="1">
      <c r="A845" s="3" t="s">
        <v>4472</v>
      </c>
      <c r="B845" s="3"/>
      <c r="C845" s="26">
        <v>45797.74387731482</v>
      </c>
      <c r="D845" s="3">
        <v>114.0</v>
      </c>
      <c r="E845" s="3">
        <v>125300.0</v>
      </c>
      <c r="F845" s="3" t="s">
        <v>3380</v>
      </c>
      <c r="G845" s="3">
        <v>90300.0</v>
      </c>
      <c r="H845" s="3">
        <v>120300.0</v>
      </c>
      <c r="K845" s="5" t="s">
        <v>4342</v>
      </c>
    </row>
    <row r="846" ht="15.75" customHeight="1">
      <c r="A846" s="3" t="s">
        <v>4473</v>
      </c>
      <c r="B846" s="3"/>
      <c r="C846" s="26">
        <v>45797.74459490741</v>
      </c>
      <c r="D846" s="3">
        <v>114.0</v>
      </c>
      <c r="E846" s="3">
        <v>125300.0</v>
      </c>
      <c r="F846" s="3" t="s">
        <v>3380</v>
      </c>
      <c r="G846" s="3">
        <v>120300.0</v>
      </c>
      <c r="H846" s="3">
        <v>125300.0</v>
      </c>
      <c r="I846" s="5" t="s">
        <v>4474</v>
      </c>
      <c r="K846" s="5" t="s">
        <v>4342</v>
      </c>
      <c r="L846" s="5" t="s">
        <v>3246</v>
      </c>
    </row>
    <row r="847" ht="15.75" customHeight="1">
      <c r="A847" s="3" t="s">
        <v>4475</v>
      </c>
      <c r="B847" s="3"/>
      <c r="C847" s="26">
        <v>45797.74524305556</v>
      </c>
      <c r="D847" s="3">
        <v>68.0</v>
      </c>
      <c r="E847" s="3">
        <v>13000.0</v>
      </c>
      <c r="F847" s="3" t="s">
        <v>3272</v>
      </c>
      <c r="G847" s="3">
        <v>8000.0</v>
      </c>
      <c r="H847" s="3">
        <v>7500.0</v>
      </c>
      <c r="K847" s="5" t="s">
        <v>4342</v>
      </c>
    </row>
    <row r="848" ht="15.75" customHeight="1">
      <c r="A848" s="3" t="s">
        <v>4476</v>
      </c>
      <c r="B848" s="3"/>
      <c r="C848" s="26">
        <v>45797.74556712963</v>
      </c>
      <c r="D848" s="3">
        <v>68.0</v>
      </c>
      <c r="E848" s="3">
        <v>13000.0</v>
      </c>
      <c r="F848" s="3" t="s">
        <v>3272</v>
      </c>
      <c r="G848" s="3">
        <v>7500.0</v>
      </c>
      <c r="H848" s="3">
        <v>7000.0</v>
      </c>
      <c r="K848" s="5" t="s">
        <v>4342</v>
      </c>
    </row>
    <row r="849" ht="15.75" customHeight="1">
      <c r="A849" s="3" t="s">
        <v>4477</v>
      </c>
      <c r="B849" s="3"/>
      <c r="C849" s="26">
        <v>45797.74928240741</v>
      </c>
      <c r="D849" s="3">
        <v>87.0</v>
      </c>
      <c r="E849" s="3">
        <v>93700.0</v>
      </c>
      <c r="F849" s="3" t="s">
        <v>3273</v>
      </c>
      <c r="G849" s="3">
        <v>0.0</v>
      </c>
      <c r="H849" s="3">
        <v>48000.0</v>
      </c>
      <c r="K849" s="5" t="s">
        <v>4342</v>
      </c>
    </row>
    <row r="850" ht="15.75" customHeight="1">
      <c r="A850" s="3" t="s">
        <v>4478</v>
      </c>
      <c r="B850" s="3"/>
      <c r="C850" s="26">
        <v>45797.756203703706</v>
      </c>
      <c r="D850" s="3">
        <v>87.0</v>
      </c>
      <c r="E850" s="3">
        <v>93700.0</v>
      </c>
      <c r="F850" s="3" t="s">
        <v>3273</v>
      </c>
      <c r="G850" s="3">
        <v>48000.0</v>
      </c>
      <c r="H850" s="3">
        <v>93700.0</v>
      </c>
      <c r="K850" s="5" t="s">
        <v>4342</v>
      </c>
      <c r="L850" s="5" t="s">
        <v>3249</v>
      </c>
    </row>
    <row r="851" ht="15.75" customHeight="1">
      <c r="A851" s="3" t="s">
        <v>4479</v>
      </c>
      <c r="B851" s="3"/>
      <c r="C851" s="26">
        <v>45797.757731481484</v>
      </c>
      <c r="D851" s="3">
        <v>45.0</v>
      </c>
      <c r="E851" s="3">
        <v>30000.0</v>
      </c>
      <c r="F851" s="3" t="s">
        <v>3273</v>
      </c>
      <c r="G851" s="3">
        <v>0.0</v>
      </c>
      <c r="H851" s="3">
        <v>30000.0</v>
      </c>
      <c r="K851" s="5" t="s">
        <v>3605</v>
      </c>
      <c r="L851" s="5" t="s">
        <v>3249</v>
      </c>
    </row>
    <row r="852" ht="15.75" customHeight="1">
      <c r="A852" s="3" t="s">
        <v>4480</v>
      </c>
      <c r="B852" s="3"/>
      <c r="C852" s="26">
        <v>45797.75884259259</v>
      </c>
      <c r="D852" s="3">
        <v>68.0</v>
      </c>
      <c r="E852" s="3">
        <v>13000.0</v>
      </c>
      <c r="F852" s="3" t="s">
        <v>3273</v>
      </c>
      <c r="G852" s="3">
        <v>7000.0</v>
      </c>
      <c r="H852" s="3">
        <v>10200.0</v>
      </c>
      <c r="K852" s="5" t="s">
        <v>3605</v>
      </c>
    </row>
    <row r="853" ht="15.75" customHeight="1">
      <c r="A853" s="3" t="s">
        <v>4481</v>
      </c>
      <c r="B853" s="3"/>
      <c r="C853" s="26">
        <v>45797.75962962963</v>
      </c>
      <c r="D853" s="3">
        <v>7.0</v>
      </c>
      <c r="E853" s="3">
        <v>30000.0</v>
      </c>
      <c r="F853" s="3" t="s">
        <v>4423</v>
      </c>
      <c r="G853" s="3">
        <v>22000.0</v>
      </c>
      <c r="H853" s="3">
        <v>30000.0</v>
      </c>
      <c r="K853" s="5" t="s">
        <v>3337</v>
      </c>
    </row>
    <row r="854" ht="15.75" customHeight="1">
      <c r="A854" s="3" t="s">
        <v>4482</v>
      </c>
      <c r="B854" s="3"/>
      <c r="C854" s="26">
        <v>45797.76012731482</v>
      </c>
      <c r="D854" s="3">
        <v>49.0</v>
      </c>
      <c r="E854" s="3">
        <v>26000.0</v>
      </c>
      <c r="F854" s="3" t="s">
        <v>3275</v>
      </c>
      <c r="G854" s="3">
        <v>0.0</v>
      </c>
      <c r="H854" s="3">
        <v>5000.0</v>
      </c>
      <c r="K854" s="5" t="s">
        <v>3337</v>
      </c>
    </row>
    <row r="855" ht="15.75" customHeight="1">
      <c r="A855" s="3" t="s">
        <v>4483</v>
      </c>
      <c r="B855" s="3"/>
      <c r="C855" s="26">
        <v>45797.772199074076</v>
      </c>
      <c r="D855" s="3">
        <v>90.0</v>
      </c>
      <c r="E855" s="3">
        <v>97500.0</v>
      </c>
      <c r="F855" s="3" t="s">
        <v>3662</v>
      </c>
      <c r="G855" s="3">
        <v>0.0</v>
      </c>
      <c r="H855" s="3">
        <v>97500.0</v>
      </c>
      <c r="K855" s="5" t="s">
        <v>4342</v>
      </c>
      <c r="L855" s="6" t="s">
        <v>3247</v>
      </c>
    </row>
    <row r="856" ht="15.75" customHeight="1">
      <c r="A856" s="3" t="s">
        <v>4484</v>
      </c>
      <c r="B856" s="3"/>
      <c r="C856" s="26">
        <v>45797.772881944446</v>
      </c>
      <c r="D856" s="3">
        <v>68.0</v>
      </c>
      <c r="E856" s="3">
        <v>13000.0</v>
      </c>
      <c r="F856" s="3" t="s">
        <v>3273</v>
      </c>
      <c r="G856" s="3">
        <v>10200.0</v>
      </c>
      <c r="H856" s="3">
        <v>12300.0</v>
      </c>
      <c r="K856" s="5" t="s">
        <v>3605</v>
      </c>
    </row>
    <row r="857" ht="15.75" customHeight="1">
      <c r="A857" s="3" t="s">
        <v>4485</v>
      </c>
      <c r="B857" s="3"/>
      <c r="C857" s="26">
        <v>45798.761041666665</v>
      </c>
      <c r="D857" s="3">
        <v>49.0</v>
      </c>
      <c r="E857" s="3">
        <v>26000.0</v>
      </c>
      <c r="F857" s="3" t="s">
        <v>3275</v>
      </c>
      <c r="G857" s="3">
        <v>5000.0</v>
      </c>
      <c r="H857" s="3">
        <v>17300.0</v>
      </c>
      <c r="K857" s="5" t="s">
        <v>3337</v>
      </c>
    </row>
    <row r="858" ht="15.75" customHeight="1">
      <c r="A858" s="3" t="s">
        <v>4486</v>
      </c>
      <c r="B858" s="3"/>
      <c r="C858" s="26">
        <v>45798.76201388889</v>
      </c>
      <c r="D858" s="3">
        <v>127.0</v>
      </c>
      <c r="E858" s="3">
        <v>31000.0</v>
      </c>
      <c r="F858" s="3" t="s">
        <v>3662</v>
      </c>
      <c r="G858" s="3">
        <v>0.0</v>
      </c>
      <c r="H858" s="3">
        <v>31000.0</v>
      </c>
      <c r="K858" s="5" t="s">
        <v>4342</v>
      </c>
    </row>
    <row r="859" ht="15.75" customHeight="1">
      <c r="A859" s="3" t="s">
        <v>4487</v>
      </c>
      <c r="B859" s="3"/>
      <c r="C859" s="26">
        <v>45798.76770833333</v>
      </c>
      <c r="D859" s="3">
        <v>121.0</v>
      </c>
      <c r="E859" s="3">
        <v>85800.0</v>
      </c>
      <c r="F859" s="3" t="s">
        <v>4423</v>
      </c>
      <c r="G859" s="3">
        <v>0.0</v>
      </c>
      <c r="H859" s="3">
        <v>10700.0</v>
      </c>
      <c r="K859" s="5" t="s">
        <v>3337</v>
      </c>
    </row>
    <row r="860" ht="15.75" customHeight="1">
      <c r="A860" s="3" t="s">
        <v>4488</v>
      </c>
      <c r="B860" s="3"/>
      <c r="C860" s="26">
        <v>45798.768055555556</v>
      </c>
      <c r="D860" s="3">
        <v>116.0</v>
      </c>
      <c r="E860" s="3">
        <v>99600.0</v>
      </c>
      <c r="F860" s="3" t="s">
        <v>4423</v>
      </c>
      <c r="G860" s="3">
        <v>0.0</v>
      </c>
      <c r="H860" s="3">
        <v>12900.0</v>
      </c>
      <c r="K860" s="5" t="s">
        <v>3337</v>
      </c>
    </row>
    <row r="861" ht="15.75" customHeight="1">
      <c r="A861" s="3" t="s">
        <v>4489</v>
      </c>
      <c r="B861" s="3"/>
      <c r="C861" s="26">
        <v>45798.77143518518</v>
      </c>
      <c r="D861" s="3">
        <v>121.0</v>
      </c>
      <c r="E861" s="3">
        <v>85800.0</v>
      </c>
      <c r="F861" s="3" t="s">
        <v>3466</v>
      </c>
      <c r="G861" s="3">
        <v>10700.0</v>
      </c>
      <c r="H861" s="3">
        <v>14780.0</v>
      </c>
      <c r="K861" s="5" t="s">
        <v>3605</v>
      </c>
    </row>
    <row r="862" ht="15.75" customHeight="1">
      <c r="A862" s="3" t="s">
        <v>4490</v>
      </c>
      <c r="B862" s="3"/>
      <c r="C862" s="26">
        <v>45798.77173611111</v>
      </c>
      <c r="D862" s="3">
        <v>116.0</v>
      </c>
      <c r="E862" s="3">
        <v>99600.0</v>
      </c>
      <c r="F862" s="3" t="s">
        <v>3466</v>
      </c>
      <c r="G862" s="3">
        <v>12900.0</v>
      </c>
      <c r="H862" s="3">
        <v>17900.0</v>
      </c>
      <c r="K862" s="5" t="s">
        <v>3605</v>
      </c>
    </row>
    <row r="863" ht="15.75" customHeight="1">
      <c r="A863" s="3" t="s">
        <v>4491</v>
      </c>
      <c r="B863" s="3"/>
      <c r="C863" s="26">
        <v>45798.77253472222</v>
      </c>
      <c r="D863" s="3">
        <v>34.0</v>
      </c>
      <c r="E863" s="3">
        <v>39500.0</v>
      </c>
      <c r="F863" s="3" t="s">
        <v>3466</v>
      </c>
      <c r="G863" s="3">
        <v>0.0</v>
      </c>
      <c r="H863" s="3">
        <v>2000.0</v>
      </c>
      <c r="K863" s="5" t="s">
        <v>3605</v>
      </c>
    </row>
    <row r="864" ht="15.75" customHeight="1">
      <c r="A864" s="3" t="s">
        <v>4492</v>
      </c>
      <c r="B864" s="3"/>
      <c r="C864" s="26">
        <v>45798.773564814815</v>
      </c>
      <c r="D864" s="3">
        <v>116.0</v>
      </c>
      <c r="E864" s="3">
        <v>99600.0</v>
      </c>
      <c r="F864" s="3" t="s">
        <v>3275</v>
      </c>
      <c r="G864" s="3">
        <v>17900.0</v>
      </c>
      <c r="H864" s="3">
        <v>99600.0</v>
      </c>
      <c r="K864" s="5" t="s">
        <v>4342</v>
      </c>
      <c r="L864" s="5" t="s">
        <v>3249</v>
      </c>
      <c r="M864" s="5" t="s">
        <v>3273</v>
      </c>
    </row>
    <row r="865" ht="15.75" customHeight="1">
      <c r="A865" s="3" t="s">
        <v>4493</v>
      </c>
      <c r="B865" s="3"/>
      <c r="C865" s="26">
        <v>45798.77416666667</v>
      </c>
      <c r="D865" s="3">
        <v>121.0</v>
      </c>
      <c r="E865" s="3">
        <v>85800.0</v>
      </c>
      <c r="F865" s="3" t="s">
        <v>3275</v>
      </c>
      <c r="G865" s="3">
        <v>14780.0</v>
      </c>
      <c r="H865" s="3">
        <v>85800.0</v>
      </c>
      <c r="K865" s="5" t="s">
        <v>4342</v>
      </c>
      <c r="L865" s="6" t="s">
        <v>3248</v>
      </c>
      <c r="M865" s="5" t="s">
        <v>3273</v>
      </c>
    </row>
    <row r="866" ht="15.75" customHeight="1">
      <c r="A866" s="3" t="s">
        <v>4494</v>
      </c>
      <c r="B866" s="3"/>
      <c r="C866" s="26">
        <v>45798.775983796295</v>
      </c>
      <c r="D866" s="3">
        <v>34.0</v>
      </c>
      <c r="E866" s="3">
        <v>39500.0</v>
      </c>
      <c r="F866" s="3" t="s">
        <v>3275</v>
      </c>
      <c r="G866" s="3">
        <v>2000.0</v>
      </c>
      <c r="H866" s="3">
        <v>35880.0</v>
      </c>
      <c r="K866" s="5" t="s">
        <v>3605</v>
      </c>
    </row>
    <row r="867" ht="15.75" customHeight="1">
      <c r="A867" s="3" t="s">
        <v>4495</v>
      </c>
      <c r="B867" s="3"/>
      <c r="C867" s="26">
        <v>45800.42605324074</v>
      </c>
      <c r="D867" s="3">
        <v>24.0</v>
      </c>
      <c r="E867" s="3">
        <v>186600.0</v>
      </c>
      <c r="F867" s="3" t="s">
        <v>3275</v>
      </c>
      <c r="G867" s="3">
        <v>0.0</v>
      </c>
      <c r="H867" s="3">
        <v>44400.0</v>
      </c>
      <c r="K867" s="5" t="s">
        <v>4342</v>
      </c>
    </row>
    <row r="868" ht="15.75" customHeight="1">
      <c r="A868" s="3" t="s">
        <v>4496</v>
      </c>
      <c r="B868" s="3"/>
      <c r="C868" s="26">
        <v>45800.42659722222</v>
      </c>
      <c r="D868" s="3">
        <v>24.0</v>
      </c>
      <c r="E868" s="3">
        <v>186600.0</v>
      </c>
      <c r="F868" s="3" t="s">
        <v>3275</v>
      </c>
      <c r="G868" s="3">
        <v>44400.0</v>
      </c>
      <c r="H868" s="3">
        <v>53900.0</v>
      </c>
      <c r="K868" s="5" t="s">
        <v>4342</v>
      </c>
    </row>
    <row r="869" ht="15.75" customHeight="1">
      <c r="A869" s="3" t="s">
        <v>4497</v>
      </c>
      <c r="B869" s="3"/>
      <c r="C869" s="26">
        <v>45800.42707175926</v>
      </c>
      <c r="D869" s="3">
        <v>24.0</v>
      </c>
      <c r="E869" s="3">
        <v>186600.0</v>
      </c>
      <c r="F869" s="3" t="s">
        <v>3275</v>
      </c>
      <c r="G869" s="3">
        <v>53900.0</v>
      </c>
      <c r="H869" s="3">
        <v>72000.0</v>
      </c>
      <c r="K869" s="5" t="s">
        <v>4342</v>
      </c>
    </row>
    <row r="870" ht="15.75" customHeight="1">
      <c r="A870" s="3" t="s">
        <v>4498</v>
      </c>
      <c r="B870" s="3"/>
      <c r="C870" s="26">
        <v>45800.427349537036</v>
      </c>
      <c r="D870" s="3">
        <v>24.0</v>
      </c>
      <c r="E870" s="3">
        <v>186600.0</v>
      </c>
      <c r="F870" s="3" t="s">
        <v>3275</v>
      </c>
      <c r="G870" s="3">
        <v>72000.0</v>
      </c>
      <c r="H870" s="3">
        <v>156000.0</v>
      </c>
      <c r="K870" s="5" t="s">
        <v>4342</v>
      </c>
    </row>
    <row r="871" ht="15.75" customHeight="1">
      <c r="A871" s="3" t="s">
        <v>14</v>
      </c>
      <c r="B871" s="3"/>
      <c r="C871" s="26">
        <v>45800.42967592592</v>
      </c>
      <c r="D871" s="3">
        <v>24.0</v>
      </c>
      <c r="E871" s="3">
        <v>186600.0</v>
      </c>
      <c r="F871" s="3" t="s">
        <v>3275</v>
      </c>
      <c r="G871" s="3">
        <v>156000.0</v>
      </c>
      <c r="H871" s="3">
        <v>186600.0</v>
      </c>
      <c r="K871" s="5" t="s">
        <v>4342</v>
      </c>
      <c r="L871" s="5" t="s">
        <v>3246</v>
      </c>
      <c r="M871" s="5" t="s">
        <v>3273</v>
      </c>
    </row>
    <row r="872" ht="15.75" customHeight="1">
      <c r="A872" s="3" t="s">
        <v>4499</v>
      </c>
      <c r="B872" s="3"/>
      <c r="C872" s="26">
        <v>45800.75017361111</v>
      </c>
      <c r="D872" s="3">
        <v>500.0</v>
      </c>
      <c r="E872" s="3">
        <v>200000.0</v>
      </c>
      <c r="F872" s="3" t="s">
        <v>4500</v>
      </c>
      <c r="G872" s="3"/>
      <c r="H872" s="3">
        <v>1.0</v>
      </c>
    </row>
    <row r="873" ht="15.75" customHeight="1">
      <c r="A873" s="3" t="s">
        <v>4501</v>
      </c>
      <c r="B873" s="3"/>
      <c r="C873" s="26">
        <v>45800.75090277778</v>
      </c>
      <c r="D873" s="3">
        <v>500.0</v>
      </c>
      <c r="E873" s="3">
        <v>200000.0</v>
      </c>
      <c r="F873" s="3" t="s">
        <v>4500</v>
      </c>
      <c r="G873" s="3">
        <v>1.0</v>
      </c>
      <c r="H873" s="3">
        <v>2901.0</v>
      </c>
    </row>
    <row r="874" ht="15.75" customHeight="1">
      <c r="A874" s="3" t="s">
        <v>4502</v>
      </c>
      <c r="B874" s="3"/>
      <c r="C874" s="26">
        <v>45800.75157407407</v>
      </c>
      <c r="D874" s="3">
        <v>83.0</v>
      </c>
      <c r="E874" s="3">
        <v>81500.0</v>
      </c>
      <c r="F874" s="3" t="s">
        <v>3275</v>
      </c>
      <c r="G874" s="3">
        <v>0.0</v>
      </c>
      <c r="H874" s="3">
        <v>2000.0</v>
      </c>
      <c r="K874" s="5" t="s">
        <v>4342</v>
      </c>
    </row>
    <row r="875" ht="15.75" customHeight="1">
      <c r="A875" s="3" t="s">
        <v>4503</v>
      </c>
      <c r="B875" s="3"/>
      <c r="C875" s="26">
        <v>45800.75188657407</v>
      </c>
      <c r="D875" s="3">
        <v>83.0</v>
      </c>
      <c r="E875" s="3">
        <v>81500.0</v>
      </c>
      <c r="F875" s="3" t="s">
        <v>3275</v>
      </c>
      <c r="G875" s="3">
        <v>2000.0</v>
      </c>
      <c r="H875" s="3">
        <v>25000.0</v>
      </c>
      <c r="K875" s="5" t="s">
        <v>4342</v>
      </c>
    </row>
    <row r="876" ht="15.75" customHeight="1">
      <c r="A876" s="3" t="s">
        <v>4504</v>
      </c>
      <c r="B876" s="3"/>
      <c r="C876" s="26">
        <v>45800.752488425926</v>
      </c>
      <c r="D876" s="3">
        <v>83.0</v>
      </c>
      <c r="E876" s="3">
        <v>81500.0</v>
      </c>
      <c r="F876" s="3" t="s">
        <v>3275</v>
      </c>
      <c r="G876" s="3">
        <v>25000.0</v>
      </c>
      <c r="H876" s="3">
        <v>69400.0</v>
      </c>
      <c r="K876" s="5" t="s">
        <v>4342</v>
      </c>
    </row>
    <row r="877" ht="15.75" customHeight="1">
      <c r="A877" s="3" t="s">
        <v>18</v>
      </c>
      <c r="B877" s="3"/>
      <c r="C877" s="26">
        <v>45800.75445601852</v>
      </c>
      <c r="D877" s="3">
        <v>34.0</v>
      </c>
      <c r="E877" s="3">
        <v>39500.0</v>
      </c>
      <c r="F877" s="3" t="s">
        <v>3275</v>
      </c>
      <c r="G877" s="3">
        <v>35880.0</v>
      </c>
      <c r="H877" s="3">
        <v>39500.0</v>
      </c>
      <c r="K877" s="5" t="s">
        <v>4342</v>
      </c>
      <c r="L877" s="5" t="s">
        <v>3246</v>
      </c>
      <c r="M877" s="5" t="s">
        <v>3273</v>
      </c>
    </row>
    <row r="878" ht="15.75" customHeight="1">
      <c r="A878" s="3" t="s">
        <v>4505</v>
      </c>
      <c r="B878" s="3"/>
      <c r="C878" s="26">
        <v>45800.760787037034</v>
      </c>
      <c r="D878" s="3">
        <v>500.0</v>
      </c>
      <c r="E878" s="3">
        <v>200000.0</v>
      </c>
      <c r="F878" s="3" t="s">
        <v>4500</v>
      </c>
      <c r="G878" s="3">
        <v>2901.0</v>
      </c>
      <c r="H878" s="3">
        <v>7681.0</v>
      </c>
      <c r="I878" s="5" t="s">
        <v>4506</v>
      </c>
      <c r="K878" s="5" t="s">
        <v>3342</v>
      </c>
    </row>
    <row r="879" ht="15.75" customHeight="1">
      <c r="A879" s="3" t="s">
        <v>4507</v>
      </c>
      <c r="B879" s="3"/>
      <c r="C879" s="26">
        <v>45800.76378472222</v>
      </c>
      <c r="D879" s="3">
        <v>49.0</v>
      </c>
      <c r="E879" s="3">
        <v>26000.0</v>
      </c>
      <c r="F879" s="3" t="s">
        <v>3275</v>
      </c>
      <c r="G879" s="3">
        <v>17300.0</v>
      </c>
      <c r="H879" s="3">
        <v>26000.0</v>
      </c>
      <c r="K879" s="5" t="s">
        <v>3337</v>
      </c>
    </row>
    <row r="880" ht="15.75" customHeight="1">
      <c r="A880" s="3" t="s">
        <v>4508</v>
      </c>
      <c r="B880" s="3"/>
      <c r="C880" s="26">
        <v>45800.76415509259</v>
      </c>
      <c r="D880" s="3">
        <v>6.0</v>
      </c>
      <c r="E880" s="3">
        <v>32000.0</v>
      </c>
      <c r="F880" s="3" t="s">
        <v>4509</v>
      </c>
      <c r="G880" s="3">
        <v>0.0</v>
      </c>
      <c r="H880" s="3">
        <v>22300.0</v>
      </c>
      <c r="K880" s="5" t="s">
        <v>3337</v>
      </c>
    </row>
    <row r="881" ht="15.75" customHeight="1">
      <c r="A881" s="3" t="s">
        <v>4510</v>
      </c>
      <c r="B881" s="3"/>
      <c r="C881" s="26">
        <v>45803.46971064815</v>
      </c>
      <c r="D881" s="3">
        <v>83.0</v>
      </c>
      <c r="E881" s="3">
        <v>81500.0</v>
      </c>
      <c r="F881" s="3" t="s">
        <v>3275</v>
      </c>
      <c r="G881" s="3">
        <v>69400.0</v>
      </c>
      <c r="H881" s="3">
        <v>81300.0</v>
      </c>
      <c r="K881" s="5" t="s">
        <v>4342</v>
      </c>
    </row>
    <row r="882" ht="15.75" customHeight="1">
      <c r="A882" s="3" t="s">
        <v>4511</v>
      </c>
      <c r="B882" s="3"/>
      <c r="C882" s="26">
        <v>45803.46996527778</v>
      </c>
      <c r="D882" s="3">
        <v>83.0</v>
      </c>
      <c r="E882" s="3">
        <v>81500.0</v>
      </c>
      <c r="F882" s="3" t="s">
        <v>3275</v>
      </c>
      <c r="G882" s="3">
        <v>81300.0</v>
      </c>
      <c r="H882" s="3">
        <v>81500.0</v>
      </c>
      <c r="K882" s="5" t="s">
        <v>4342</v>
      </c>
      <c r="L882" s="6" t="s">
        <v>3248</v>
      </c>
      <c r="M882" s="5" t="s">
        <v>3273</v>
      </c>
    </row>
    <row r="883" ht="15.75" customHeight="1">
      <c r="A883" s="3" t="s">
        <v>4512</v>
      </c>
      <c r="B883" s="3"/>
      <c r="C883" s="26">
        <v>45803.47063657407</v>
      </c>
      <c r="D883" s="3">
        <v>67.0</v>
      </c>
      <c r="E883" s="3">
        <v>23000.0</v>
      </c>
      <c r="F883" s="3" t="s">
        <v>3466</v>
      </c>
      <c r="G883" s="3">
        <v>0.0</v>
      </c>
      <c r="H883" s="3">
        <v>22020.0</v>
      </c>
      <c r="K883" s="5" t="s">
        <v>4342</v>
      </c>
    </row>
    <row r="884" ht="15.75" customHeight="1">
      <c r="A884" s="3" t="s">
        <v>4513</v>
      </c>
      <c r="B884" s="3"/>
      <c r="C884" s="26">
        <v>45803.470972222225</v>
      </c>
      <c r="D884" s="3">
        <v>67.0</v>
      </c>
      <c r="E884" s="3">
        <v>23000.0</v>
      </c>
      <c r="F884" s="3" t="s">
        <v>3466</v>
      </c>
      <c r="G884" s="3">
        <v>22020.0</v>
      </c>
      <c r="H884" s="3">
        <v>23000.0</v>
      </c>
      <c r="K884" s="5" t="s">
        <v>4342</v>
      </c>
    </row>
    <row r="885" ht="15.75" customHeight="1">
      <c r="A885" s="3" t="s">
        <v>4514</v>
      </c>
      <c r="B885" s="3"/>
      <c r="C885" s="26">
        <v>45804.495104166665</v>
      </c>
      <c r="D885" s="3">
        <v>104.0</v>
      </c>
      <c r="E885" s="3">
        <v>31000.0</v>
      </c>
      <c r="F885" s="3" t="s">
        <v>4509</v>
      </c>
      <c r="G885" s="3">
        <v>0.0</v>
      </c>
      <c r="H885" s="3">
        <v>3000.0</v>
      </c>
      <c r="K885" s="5" t="s">
        <v>3337</v>
      </c>
    </row>
    <row r="886" ht="15.75" customHeight="1">
      <c r="A886" s="3" t="s">
        <v>47</v>
      </c>
      <c r="B886" s="3"/>
      <c r="C886" s="26">
        <v>45804.49561342593</v>
      </c>
      <c r="D886" s="3">
        <v>104.0</v>
      </c>
      <c r="E886" s="3">
        <v>31000.0</v>
      </c>
      <c r="F886" s="3" t="s">
        <v>3662</v>
      </c>
      <c r="G886" s="3">
        <v>3000.0</v>
      </c>
      <c r="H886" s="3">
        <v>31000.0</v>
      </c>
      <c r="K886" s="5" t="s">
        <v>4342</v>
      </c>
      <c r="L886" s="5" t="s">
        <v>3246</v>
      </c>
      <c r="M886" s="5" t="s">
        <v>3273</v>
      </c>
    </row>
    <row r="887" ht="15.75" customHeight="1">
      <c r="A887" s="3" t="s">
        <v>4515</v>
      </c>
      <c r="B887" s="3"/>
      <c r="C887" s="26">
        <v>45804.5171875</v>
      </c>
      <c r="D887" s="3">
        <v>109.0</v>
      </c>
      <c r="E887" s="3">
        <v>15600.0</v>
      </c>
      <c r="F887" s="3" t="s">
        <v>3662</v>
      </c>
      <c r="G887" s="3">
        <v>0.0</v>
      </c>
      <c r="H887" s="3">
        <v>3000.0</v>
      </c>
      <c r="K887" s="5" t="s">
        <v>4342</v>
      </c>
    </row>
    <row r="888" ht="15.75" customHeight="1">
      <c r="A888" s="3" t="s">
        <v>4516</v>
      </c>
      <c r="B888" s="3"/>
      <c r="C888" s="26">
        <v>45804.51798611111</v>
      </c>
      <c r="D888" s="3">
        <v>102.0</v>
      </c>
      <c r="E888" s="3">
        <v>31000.0</v>
      </c>
      <c r="F888" s="3" t="s">
        <v>4509</v>
      </c>
      <c r="G888" s="3">
        <v>0.0</v>
      </c>
      <c r="H888" s="3">
        <v>3000.0</v>
      </c>
      <c r="K888" s="5" t="s">
        <v>3337</v>
      </c>
    </row>
    <row r="889" ht="15.75" customHeight="1">
      <c r="A889" s="3" t="s">
        <v>4517</v>
      </c>
      <c r="B889" s="3"/>
      <c r="C889" s="26">
        <v>45804.51850694444</v>
      </c>
      <c r="D889" s="3">
        <v>102.0</v>
      </c>
      <c r="E889" s="3">
        <v>31000.0</v>
      </c>
      <c r="F889" s="3" t="s">
        <v>3662</v>
      </c>
      <c r="G889" s="3">
        <v>3000.0</v>
      </c>
      <c r="H889" s="3">
        <v>31000.0</v>
      </c>
      <c r="K889" s="5" t="s">
        <v>4342</v>
      </c>
      <c r="L889" s="6" t="s">
        <v>3247</v>
      </c>
    </row>
    <row r="890" ht="15.75" customHeight="1">
      <c r="A890" s="3" t="s">
        <v>4518</v>
      </c>
      <c r="B890" s="3"/>
      <c r="C890" s="26">
        <v>45804.518738425926</v>
      </c>
      <c r="D890" s="3">
        <v>109.0</v>
      </c>
      <c r="E890" s="3">
        <v>15600.0</v>
      </c>
      <c r="F890" s="3" t="s">
        <v>3662</v>
      </c>
      <c r="G890" s="3">
        <v>3000.0</v>
      </c>
      <c r="H890" s="3">
        <v>6000.0</v>
      </c>
      <c r="K890" s="5" t="s">
        <v>4342</v>
      </c>
    </row>
    <row r="891" ht="15.75" customHeight="1">
      <c r="A891" s="3" t="s">
        <v>4519</v>
      </c>
      <c r="B891" s="3"/>
      <c r="C891" s="26">
        <v>45804.51917824074</v>
      </c>
      <c r="D891" s="3">
        <v>103.0</v>
      </c>
      <c r="E891" s="3">
        <v>31000.0</v>
      </c>
      <c r="F891" s="3" t="s">
        <v>4509</v>
      </c>
      <c r="G891" s="3">
        <v>0.0</v>
      </c>
      <c r="H891" s="3">
        <v>3000.0</v>
      </c>
      <c r="K891" s="5" t="s">
        <v>3337</v>
      </c>
    </row>
    <row r="892" ht="15.75" customHeight="1">
      <c r="A892" s="3" t="s">
        <v>4520</v>
      </c>
      <c r="B892" s="3"/>
      <c r="C892" s="26">
        <v>45804.51951388889</v>
      </c>
      <c r="D892" s="3">
        <v>103.0</v>
      </c>
      <c r="E892" s="3">
        <v>31000.0</v>
      </c>
      <c r="F892" s="3" t="s">
        <v>3662</v>
      </c>
      <c r="G892" s="3">
        <v>3000.0</v>
      </c>
      <c r="H892" s="3">
        <v>31000.0</v>
      </c>
      <c r="K892" s="5" t="s">
        <v>4342</v>
      </c>
      <c r="L892" s="5" t="s">
        <v>3246</v>
      </c>
      <c r="M892" s="5" t="s">
        <v>3273</v>
      </c>
    </row>
    <row r="893" ht="15.75" customHeight="1">
      <c r="A893" s="3" t="s">
        <v>4521</v>
      </c>
      <c r="B893" s="3"/>
      <c r="C893" s="26">
        <v>45804.51971064815</v>
      </c>
      <c r="D893" s="3">
        <v>109.0</v>
      </c>
      <c r="E893" s="3">
        <v>15600.0</v>
      </c>
      <c r="F893" s="3" t="s">
        <v>3662</v>
      </c>
      <c r="G893" s="3">
        <v>6000.0</v>
      </c>
      <c r="H893" s="3">
        <v>9000.0</v>
      </c>
      <c r="K893" s="5" t="s">
        <v>4342</v>
      </c>
    </row>
    <row r="894" ht="15.75" customHeight="1">
      <c r="A894" s="3" t="s">
        <v>4522</v>
      </c>
      <c r="B894" s="3"/>
      <c r="C894" s="26">
        <v>45804.520150462966</v>
      </c>
      <c r="D894" s="3">
        <v>105.0</v>
      </c>
      <c r="E894" s="3">
        <v>31000.0</v>
      </c>
      <c r="F894" s="3" t="s">
        <v>4509</v>
      </c>
      <c r="G894" s="3">
        <v>0.0</v>
      </c>
      <c r="H894" s="3">
        <v>3000.0</v>
      </c>
      <c r="K894" s="5" t="s">
        <v>3337</v>
      </c>
    </row>
    <row r="895" ht="15.75" customHeight="1">
      <c r="A895" s="3" t="s">
        <v>48</v>
      </c>
      <c r="B895" s="3"/>
      <c r="C895" s="26">
        <v>45804.520416666666</v>
      </c>
      <c r="D895" s="3">
        <v>105.0</v>
      </c>
      <c r="E895" s="3">
        <v>31000.0</v>
      </c>
      <c r="F895" s="3" t="s">
        <v>3662</v>
      </c>
      <c r="G895" s="3">
        <v>3000.0</v>
      </c>
      <c r="H895" s="3">
        <v>31000.0</v>
      </c>
      <c r="K895" s="5" t="s">
        <v>4342</v>
      </c>
      <c r="L895" s="5" t="s">
        <v>3246</v>
      </c>
      <c r="M895" s="5" t="s">
        <v>3273</v>
      </c>
    </row>
    <row r="896" ht="15.75" customHeight="1">
      <c r="A896" s="3" t="s">
        <v>4523</v>
      </c>
      <c r="B896" s="3"/>
      <c r="C896" s="26">
        <v>45804.52074074074</v>
      </c>
      <c r="D896" s="3">
        <v>109.0</v>
      </c>
      <c r="E896" s="3">
        <v>15600.0</v>
      </c>
      <c r="F896" s="3" t="s">
        <v>3662</v>
      </c>
      <c r="G896" s="3">
        <v>9000.0</v>
      </c>
      <c r="H896" s="3">
        <v>12000.0</v>
      </c>
      <c r="K896" s="5" t="s">
        <v>4342</v>
      </c>
    </row>
    <row r="897" ht="15.75" customHeight="1">
      <c r="A897" s="3" t="s">
        <v>4524</v>
      </c>
      <c r="B897" s="3"/>
      <c r="C897" s="26">
        <v>45804.52243055555</v>
      </c>
      <c r="D897" s="3">
        <v>107.0</v>
      </c>
      <c r="E897" s="3">
        <v>31000.0</v>
      </c>
      <c r="F897" s="3" t="s">
        <v>4509</v>
      </c>
      <c r="G897" s="3">
        <v>0.0</v>
      </c>
      <c r="H897" s="3">
        <v>3000.0</v>
      </c>
      <c r="K897" s="5" t="s">
        <v>3337</v>
      </c>
    </row>
    <row r="898" ht="15.75" customHeight="1">
      <c r="A898" s="3" t="s">
        <v>50</v>
      </c>
      <c r="B898" s="3"/>
      <c r="C898" s="26">
        <v>45804.52276620371</v>
      </c>
      <c r="D898" s="3">
        <v>107.0</v>
      </c>
      <c r="E898" s="3">
        <v>31000.0</v>
      </c>
      <c r="F898" s="3" t="s">
        <v>3662</v>
      </c>
      <c r="G898" s="3">
        <v>3000.0</v>
      </c>
      <c r="H898" s="3">
        <v>31000.0</v>
      </c>
      <c r="K898" s="5" t="s">
        <v>4342</v>
      </c>
      <c r="L898" s="5" t="s">
        <v>3246</v>
      </c>
      <c r="M898" s="5" t="s">
        <v>3273</v>
      </c>
    </row>
    <row r="899" ht="15.75" customHeight="1">
      <c r="A899" s="3" t="s">
        <v>4525</v>
      </c>
      <c r="B899" s="3"/>
      <c r="C899" s="26">
        <v>45804.52326388889</v>
      </c>
      <c r="D899" s="3">
        <v>109.0</v>
      </c>
      <c r="E899" s="3">
        <v>15600.0</v>
      </c>
      <c r="F899" s="3" t="s">
        <v>3662</v>
      </c>
      <c r="G899" s="3">
        <v>12000.0</v>
      </c>
      <c r="H899" s="3">
        <v>15000.0</v>
      </c>
      <c r="K899" s="5" t="s">
        <v>4342</v>
      </c>
    </row>
    <row r="900" ht="15.75" customHeight="1">
      <c r="A900" s="3" t="s">
        <v>4526</v>
      </c>
      <c r="B900" s="3"/>
      <c r="C900" s="26">
        <v>45804.79236111111</v>
      </c>
      <c r="D900" s="3">
        <v>7.0</v>
      </c>
      <c r="E900" s="3">
        <v>30000.0</v>
      </c>
      <c r="F900" s="3" t="s">
        <v>4527</v>
      </c>
      <c r="G900" s="3">
        <v>0.0</v>
      </c>
      <c r="H900" s="3">
        <v>25500.0</v>
      </c>
      <c r="K900" s="5" t="s">
        <v>3337</v>
      </c>
    </row>
    <row r="901" ht="15.75" customHeight="1">
      <c r="A901" s="3" t="s">
        <v>4528</v>
      </c>
      <c r="B901" s="3"/>
      <c r="C901" s="26">
        <v>45804.79355324074</v>
      </c>
      <c r="D901" s="3">
        <v>125.0</v>
      </c>
      <c r="E901" s="3">
        <v>31000.0</v>
      </c>
      <c r="F901" s="3" t="s">
        <v>3273</v>
      </c>
      <c r="G901" s="3">
        <v>0.0</v>
      </c>
      <c r="H901" s="3">
        <v>30000.0</v>
      </c>
      <c r="K901" s="5" t="s">
        <v>3337</v>
      </c>
    </row>
    <row r="902" ht="15.75" customHeight="1">
      <c r="A902" s="3" t="s">
        <v>4529</v>
      </c>
      <c r="B902" s="3"/>
      <c r="C902" s="26">
        <v>45804.79597222222</v>
      </c>
      <c r="D902" s="3">
        <v>84.0</v>
      </c>
      <c r="E902" s="3">
        <v>83000.0</v>
      </c>
      <c r="F902" s="3" t="s">
        <v>3273</v>
      </c>
      <c r="G902" s="3">
        <v>0.0</v>
      </c>
      <c r="H902" s="3">
        <v>83000.0</v>
      </c>
      <c r="K902" s="5" t="s">
        <v>4342</v>
      </c>
      <c r="L902" s="6" t="s">
        <v>3247</v>
      </c>
    </row>
    <row r="903" ht="15.75" customHeight="1">
      <c r="A903" s="3" t="s">
        <v>4530</v>
      </c>
      <c r="B903" s="3"/>
      <c r="C903" s="26">
        <v>45804.79709490741</v>
      </c>
      <c r="D903" s="3">
        <v>85.0</v>
      </c>
      <c r="E903" s="3">
        <v>84000.0</v>
      </c>
      <c r="F903" s="3" t="s">
        <v>3273</v>
      </c>
      <c r="G903" s="3">
        <v>0.0</v>
      </c>
      <c r="H903" s="3">
        <v>72600.0</v>
      </c>
      <c r="K903" s="5" t="s">
        <v>4342</v>
      </c>
    </row>
    <row r="904" ht="15.75" customHeight="1">
      <c r="A904" s="3" t="s">
        <v>4531</v>
      </c>
      <c r="B904" s="3"/>
      <c r="C904" s="26">
        <v>45804.79822916666</v>
      </c>
      <c r="D904" s="3">
        <v>85.0</v>
      </c>
      <c r="E904" s="3">
        <v>84000.0</v>
      </c>
      <c r="F904" s="3" t="s">
        <v>3273</v>
      </c>
      <c r="G904" s="3">
        <v>72600.0</v>
      </c>
      <c r="H904" s="3">
        <v>84000.0</v>
      </c>
      <c r="K904" s="5" t="s">
        <v>4342</v>
      </c>
      <c r="L904" s="6" t="s">
        <v>3247</v>
      </c>
    </row>
    <row r="905" ht="15.75" customHeight="1">
      <c r="A905" s="3" t="s">
        <v>4532</v>
      </c>
      <c r="B905" s="3"/>
      <c r="C905" s="26">
        <v>45804.79855324074</v>
      </c>
      <c r="D905" s="3">
        <v>92.0</v>
      </c>
      <c r="E905" s="3">
        <v>76000.0</v>
      </c>
      <c r="F905" s="3" t="s">
        <v>3273</v>
      </c>
      <c r="G905" s="3">
        <v>0.0</v>
      </c>
      <c r="H905" s="3">
        <v>74600.0</v>
      </c>
      <c r="K905" s="5" t="s">
        <v>4342</v>
      </c>
      <c r="L905" s="6" t="s">
        <v>3247</v>
      </c>
    </row>
    <row r="906" ht="15.75" customHeight="1">
      <c r="A906" s="3" t="s">
        <v>4533</v>
      </c>
      <c r="B906" s="3"/>
      <c r="C906" s="26">
        <v>45804.79922453704</v>
      </c>
      <c r="D906" s="3">
        <v>68.0</v>
      </c>
      <c r="E906" s="3">
        <v>13000.0</v>
      </c>
      <c r="F906" s="3" t="s">
        <v>4534</v>
      </c>
      <c r="G906" s="3">
        <v>0.0</v>
      </c>
      <c r="H906" s="3">
        <v>13000.0</v>
      </c>
      <c r="K906" s="5" t="s">
        <v>4342</v>
      </c>
      <c r="L906" s="5" t="s">
        <v>3249</v>
      </c>
    </row>
    <row r="907" ht="15.75" customHeight="1">
      <c r="A907" s="3" t="s">
        <v>4535</v>
      </c>
      <c r="B907" s="3"/>
      <c r="C907" s="26">
        <v>45805.73681712963</v>
      </c>
      <c r="D907" s="3">
        <v>500.0</v>
      </c>
      <c r="E907" s="3">
        <v>200000.0</v>
      </c>
      <c r="F907" s="3" t="s">
        <v>4465</v>
      </c>
      <c r="G907" s="3">
        <v>0.0</v>
      </c>
      <c r="H907" s="3">
        <v>200000.0</v>
      </c>
      <c r="K907" s="5" t="s">
        <v>3715</v>
      </c>
    </row>
    <row r="908" ht="15.75" customHeight="1">
      <c r="A908" s="3" t="s">
        <v>4536</v>
      </c>
      <c r="B908" s="3"/>
      <c r="C908" s="26">
        <v>45805.73716435185</v>
      </c>
      <c r="D908" s="3">
        <v>73.0</v>
      </c>
      <c r="E908" s="3">
        <v>13000.0</v>
      </c>
      <c r="F908" s="3" t="s">
        <v>4465</v>
      </c>
      <c r="G908" s="3">
        <v>0.0</v>
      </c>
      <c r="H908" s="3">
        <v>1400.0</v>
      </c>
      <c r="K908" s="5" t="s">
        <v>4342</v>
      </c>
    </row>
    <row r="909" ht="15.75" customHeight="1">
      <c r="A909" s="3" t="s">
        <v>4537</v>
      </c>
      <c r="B909" s="3"/>
      <c r="C909" s="26">
        <v>45805.73771990741</v>
      </c>
      <c r="D909" s="3">
        <v>73.0</v>
      </c>
      <c r="E909" s="3">
        <v>13000.0</v>
      </c>
      <c r="F909" s="3" t="s">
        <v>3662</v>
      </c>
      <c r="G909" s="3">
        <v>1400.0</v>
      </c>
      <c r="H909" s="3">
        <v>2400.0</v>
      </c>
      <c r="K909" s="5" t="s">
        <v>4342</v>
      </c>
    </row>
    <row r="910" ht="15.75" customHeight="1">
      <c r="A910" s="3" t="s">
        <v>51</v>
      </c>
      <c r="B910" s="3"/>
      <c r="C910" s="26">
        <v>45805.738078703704</v>
      </c>
      <c r="D910" s="3">
        <v>109.0</v>
      </c>
      <c r="E910" s="3">
        <v>15600.0</v>
      </c>
      <c r="F910" s="3" t="s">
        <v>3662</v>
      </c>
      <c r="G910" s="3">
        <v>14000.0</v>
      </c>
      <c r="H910" s="3">
        <v>15600.0</v>
      </c>
      <c r="K910" s="5" t="s">
        <v>4342</v>
      </c>
      <c r="M910" s="5" t="s">
        <v>3273</v>
      </c>
    </row>
    <row r="911" ht="15.75" customHeight="1">
      <c r="A911" s="3" t="s">
        <v>4538</v>
      </c>
      <c r="B911" s="3"/>
      <c r="C911" s="26">
        <v>45805.74130787037</v>
      </c>
      <c r="D911" s="3">
        <v>7.0</v>
      </c>
      <c r="E911" s="3">
        <v>30000.0</v>
      </c>
      <c r="F911" s="3" t="s">
        <v>4527</v>
      </c>
      <c r="G911" s="3">
        <v>25500.0</v>
      </c>
      <c r="H911" s="3">
        <v>30000.0</v>
      </c>
      <c r="K911" s="5" t="s">
        <v>3337</v>
      </c>
    </row>
    <row r="912" ht="15.75" customHeight="1">
      <c r="A912" s="3" t="s">
        <v>4539</v>
      </c>
      <c r="B912" s="3"/>
      <c r="C912" s="26">
        <v>45805.741747685184</v>
      </c>
      <c r="D912" s="3">
        <v>45.0</v>
      </c>
      <c r="E912" s="3">
        <v>30000.0</v>
      </c>
      <c r="F912" s="3" t="s">
        <v>3273</v>
      </c>
      <c r="G912" s="3">
        <v>0.0</v>
      </c>
      <c r="H912" s="3">
        <v>25500.0</v>
      </c>
      <c r="K912" s="5" t="s">
        <v>3337</v>
      </c>
    </row>
    <row r="913" ht="15.75" customHeight="1">
      <c r="A913" s="3" t="s">
        <v>4540</v>
      </c>
      <c r="B913" s="3"/>
      <c r="C913" s="26">
        <v>45805.7443287037</v>
      </c>
      <c r="D913" s="3">
        <v>118.0</v>
      </c>
      <c r="E913" s="3">
        <v>155600.0</v>
      </c>
      <c r="F913" s="3" t="s">
        <v>4017</v>
      </c>
      <c r="G913" s="3">
        <v>0.0</v>
      </c>
      <c r="H913" s="3">
        <v>120200.0</v>
      </c>
      <c r="K913" s="5" t="s">
        <v>4342</v>
      </c>
    </row>
    <row r="914" ht="15.75" customHeight="1">
      <c r="A914" s="3" t="s">
        <v>4541</v>
      </c>
      <c r="B914" s="3"/>
      <c r="C914" s="26">
        <v>45805.745844907404</v>
      </c>
      <c r="D914" s="3">
        <v>118.0</v>
      </c>
      <c r="E914" s="3">
        <v>155600.0</v>
      </c>
      <c r="F914" s="3" t="s">
        <v>4017</v>
      </c>
      <c r="G914" s="3">
        <v>120200.0</v>
      </c>
      <c r="H914" s="3">
        <v>150200.0</v>
      </c>
      <c r="K914" s="5" t="s">
        <v>4342</v>
      </c>
    </row>
    <row r="915" ht="15.75" customHeight="1">
      <c r="A915" s="3" t="s">
        <v>4542</v>
      </c>
      <c r="B915" s="3"/>
      <c r="C915" s="26">
        <v>45805.746712962966</v>
      </c>
      <c r="D915" s="3">
        <v>118.0</v>
      </c>
      <c r="E915" s="3">
        <v>155600.0</v>
      </c>
      <c r="F915" s="3" t="s">
        <v>4017</v>
      </c>
      <c r="G915" s="3">
        <v>150200.0</v>
      </c>
      <c r="H915" s="3">
        <v>154720.0</v>
      </c>
      <c r="K915" s="5" t="s">
        <v>4342</v>
      </c>
      <c r="L915" s="6" t="s">
        <v>3247</v>
      </c>
      <c r="M915" s="5" t="s">
        <v>3273</v>
      </c>
    </row>
    <row r="916" ht="15.75" customHeight="1">
      <c r="A916" s="3" t="s">
        <v>4543</v>
      </c>
      <c r="B916" s="3"/>
      <c r="C916" s="26">
        <v>45806.82098379629</v>
      </c>
      <c r="D916" s="3">
        <v>66.0</v>
      </c>
      <c r="E916" s="3">
        <v>23000.0</v>
      </c>
      <c r="F916" s="3" t="s">
        <v>3272</v>
      </c>
      <c r="G916" s="3">
        <v>0.0</v>
      </c>
      <c r="H916" s="3">
        <v>22000.0</v>
      </c>
      <c r="K916" s="5" t="s">
        <v>4342</v>
      </c>
    </row>
    <row r="917" ht="15.75" customHeight="1">
      <c r="A917" s="3" t="s">
        <v>4544</v>
      </c>
      <c r="B917" s="3"/>
      <c r="C917" s="26">
        <v>45806.82465277778</v>
      </c>
      <c r="D917" s="3">
        <v>53.0</v>
      </c>
      <c r="E917" s="3">
        <v>22000.0</v>
      </c>
      <c r="F917" s="3" t="s">
        <v>3588</v>
      </c>
      <c r="G917" s="3">
        <v>0.0</v>
      </c>
      <c r="H917" s="3">
        <v>22000.0</v>
      </c>
      <c r="K917" s="5" t="s">
        <v>4342</v>
      </c>
      <c r="L917" s="5" t="s">
        <v>3246</v>
      </c>
    </row>
    <row r="918" ht="15.75" customHeight="1">
      <c r="A918" s="3" t="s">
        <v>4545</v>
      </c>
      <c r="B918" s="3"/>
      <c r="C918" s="26">
        <v>45806.96420138889</v>
      </c>
      <c r="D918" s="3">
        <v>75.0</v>
      </c>
      <c r="E918" s="3">
        <v>7000.0</v>
      </c>
      <c r="F918" s="3" t="s">
        <v>3588</v>
      </c>
      <c r="G918" s="3">
        <v>0.0</v>
      </c>
      <c r="H918" s="3">
        <v>7000.0</v>
      </c>
      <c r="K918" s="5" t="s">
        <v>4342</v>
      </c>
    </row>
    <row r="919" ht="15.75" customHeight="1">
      <c r="A919" s="3" t="s">
        <v>4546</v>
      </c>
      <c r="B919" s="3"/>
      <c r="C919" s="26">
        <v>45808.480520833335</v>
      </c>
      <c r="D919" s="3">
        <v>2.0</v>
      </c>
      <c r="E919" s="3">
        <v>8400.0</v>
      </c>
      <c r="F919" s="3" t="s">
        <v>4547</v>
      </c>
      <c r="G919" s="3">
        <v>0.0</v>
      </c>
      <c r="H919" s="3">
        <v>2000.0</v>
      </c>
      <c r="K919" s="5" t="s">
        <v>3320</v>
      </c>
    </row>
    <row r="920" ht="15.75" customHeight="1">
      <c r="A920" s="3" t="s">
        <v>4548</v>
      </c>
      <c r="B920" s="3"/>
      <c r="C920" s="26">
        <v>45808.481516203705</v>
      </c>
      <c r="D920" s="3">
        <v>500.0</v>
      </c>
      <c r="E920" s="3">
        <v>200000.0</v>
      </c>
      <c r="F920" s="3" t="s">
        <v>4549</v>
      </c>
      <c r="G920" s="3"/>
      <c r="H920" s="3">
        <v>1.0</v>
      </c>
    </row>
    <row r="921" ht="15.75" customHeight="1">
      <c r="A921" s="3" t="s">
        <v>4550</v>
      </c>
      <c r="B921" s="3"/>
      <c r="C921" s="26">
        <v>45808.48347222222</v>
      </c>
      <c r="D921" s="3">
        <v>500.0</v>
      </c>
      <c r="E921" s="3">
        <v>200000.0</v>
      </c>
      <c r="F921" s="3" t="s">
        <v>4549</v>
      </c>
      <c r="G921" s="3">
        <v>1.0</v>
      </c>
      <c r="H921" s="3">
        <v>1001.0</v>
      </c>
    </row>
    <row r="922" ht="15.75" customHeight="1">
      <c r="A922" s="3" t="s">
        <v>4551</v>
      </c>
      <c r="B922" s="3"/>
      <c r="C922" s="26">
        <v>45808.484456018516</v>
      </c>
      <c r="D922" s="3">
        <v>500.0</v>
      </c>
      <c r="E922" s="3">
        <v>200000.0</v>
      </c>
      <c r="F922" s="3" t="s">
        <v>4549</v>
      </c>
      <c r="G922" s="3">
        <v>1001.0</v>
      </c>
      <c r="H922" s="3">
        <v>2001.0</v>
      </c>
      <c r="K922" s="5" t="s">
        <v>3342</v>
      </c>
    </row>
    <row r="923" ht="15.75" customHeight="1">
      <c r="A923" s="3" t="s">
        <v>4552</v>
      </c>
      <c r="B923" s="3"/>
      <c r="C923" s="26">
        <v>45808.48527777778</v>
      </c>
      <c r="D923" s="3">
        <v>66.0</v>
      </c>
      <c r="E923" s="3">
        <v>23000.0</v>
      </c>
      <c r="F923" s="3" t="s">
        <v>3272</v>
      </c>
      <c r="G923" s="3">
        <v>21000.0</v>
      </c>
      <c r="H923" s="3">
        <v>23000.0</v>
      </c>
      <c r="K923" s="5" t="s">
        <v>4342</v>
      </c>
    </row>
    <row r="924" ht="15.75" customHeight="1">
      <c r="A924" s="3" t="s">
        <v>4553</v>
      </c>
      <c r="B924" s="3"/>
      <c r="C924" s="26">
        <v>45808.485983796294</v>
      </c>
      <c r="D924" s="3">
        <v>53.0</v>
      </c>
      <c r="E924" s="3">
        <v>22000.0</v>
      </c>
      <c r="F924" s="3" t="s">
        <v>3588</v>
      </c>
      <c r="G924" s="3">
        <v>20000.0</v>
      </c>
      <c r="H924" s="3">
        <v>22000.0</v>
      </c>
      <c r="K924" s="5" t="s">
        <v>4342</v>
      </c>
    </row>
    <row r="925" ht="15.75" customHeight="1">
      <c r="A925" s="3" t="s">
        <v>4554</v>
      </c>
      <c r="B925" s="3"/>
      <c r="C925" s="26">
        <v>45808.48983796296</v>
      </c>
      <c r="D925" s="3">
        <v>6.0</v>
      </c>
      <c r="E925" s="3">
        <v>32000.0</v>
      </c>
      <c r="F925" s="3" t="s">
        <v>3662</v>
      </c>
      <c r="G925" s="3">
        <v>0.0</v>
      </c>
      <c r="H925" s="3">
        <v>2400.0</v>
      </c>
      <c r="K925" s="5" t="s">
        <v>3337</v>
      </c>
    </row>
    <row r="926" ht="15.75" customHeight="1">
      <c r="A926" s="3" t="s">
        <v>4555</v>
      </c>
      <c r="B926" s="3"/>
      <c r="C926" s="26">
        <v>45811.39076388889</v>
      </c>
      <c r="D926" s="3">
        <v>500.0</v>
      </c>
      <c r="E926" s="3">
        <v>200000.0</v>
      </c>
      <c r="F926" s="3" t="s">
        <v>4549</v>
      </c>
      <c r="G926" s="3">
        <v>2001.0</v>
      </c>
      <c r="H926" s="3">
        <v>601.0</v>
      </c>
      <c r="K926" s="5" t="s">
        <v>3342</v>
      </c>
    </row>
    <row r="927" ht="15.75" customHeight="1">
      <c r="A927" s="3" t="s">
        <v>4556</v>
      </c>
      <c r="B927" s="3"/>
      <c r="C927" s="26">
        <v>45811.39099537037</v>
      </c>
      <c r="D927" s="3">
        <v>500.0</v>
      </c>
      <c r="E927" s="3">
        <v>200000.0</v>
      </c>
      <c r="F927" s="3" t="s">
        <v>4549</v>
      </c>
      <c r="G927" s="3">
        <v>601.0</v>
      </c>
      <c r="H927" s="3">
        <v>-279.0</v>
      </c>
      <c r="K927" s="5" t="s">
        <v>3342</v>
      </c>
    </row>
    <row r="928" ht="15.75" customHeight="1">
      <c r="A928" s="3" t="s">
        <v>20</v>
      </c>
      <c r="B928" s="3"/>
      <c r="C928" s="26">
        <v>45818.35104166667</v>
      </c>
      <c r="D928" s="3">
        <v>42.0</v>
      </c>
      <c r="E928" s="3">
        <v>35900.0</v>
      </c>
      <c r="F928" s="3" t="s">
        <v>3662</v>
      </c>
      <c r="G928" s="3">
        <v>0.0</v>
      </c>
      <c r="H928" s="3">
        <v>35900.0</v>
      </c>
      <c r="K928" s="5" t="s">
        <v>4342</v>
      </c>
      <c r="L928" s="6" t="s">
        <v>3247</v>
      </c>
      <c r="M928" s="5" t="s">
        <v>3273</v>
      </c>
    </row>
    <row r="929" ht="15.75" customHeight="1">
      <c r="A929" s="3" t="s">
        <v>4557</v>
      </c>
      <c r="B929" s="3"/>
      <c r="C929" s="26">
        <v>45818.35298611111</v>
      </c>
      <c r="D929" s="3">
        <v>46.0</v>
      </c>
      <c r="E929" s="3">
        <v>29000.0</v>
      </c>
      <c r="F929" s="3" t="s">
        <v>3662</v>
      </c>
      <c r="G929" s="3">
        <v>0.0</v>
      </c>
      <c r="H929" s="3">
        <v>15000.0</v>
      </c>
      <c r="K929" s="5" t="s">
        <v>4342</v>
      </c>
      <c r="L929" s="6" t="s">
        <v>3247</v>
      </c>
    </row>
    <row r="930" ht="15.75" customHeight="1">
      <c r="A930" s="3" t="s">
        <v>4558</v>
      </c>
      <c r="B930" s="3"/>
      <c r="C930" s="26">
        <v>45818.35542824074</v>
      </c>
      <c r="D930" s="3">
        <v>46.0</v>
      </c>
      <c r="E930" s="3">
        <v>29000.0</v>
      </c>
      <c r="F930" s="3" t="s">
        <v>3662</v>
      </c>
      <c r="G930" s="3">
        <v>15000.0</v>
      </c>
      <c r="H930" s="3">
        <v>17200.0</v>
      </c>
      <c r="K930" s="5" t="s">
        <v>4342</v>
      </c>
      <c r="L930" s="6" t="s">
        <v>3247</v>
      </c>
    </row>
    <row r="931" ht="15.75" customHeight="1">
      <c r="A931" s="3" t="s">
        <v>4559</v>
      </c>
      <c r="B931" s="3"/>
      <c r="C931" s="26">
        <v>45818.35569444444</v>
      </c>
      <c r="D931" s="3">
        <v>46.0</v>
      </c>
      <c r="E931" s="3">
        <v>29000.0</v>
      </c>
      <c r="F931" s="3" t="s">
        <v>3662</v>
      </c>
      <c r="G931" s="3">
        <v>17200.0</v>
      </c>
      <c r="H931" s="3">
        <v>19400.0</v>
      </c>
      <c r="K931" s="5" t="s">
        <v>4342</v>
      </c>
      <c r="L931" s="6" t="s">
        <v>3247</v>
      </c>
    </row>
    <row r="932" ht="15.75" customHeight="1">
      <c r="A932" s="3" t="s">
        <v>4560</v>
      </c>
      <c r="B932" s="3"/>
      <c r="C932" s="26">
        <v>45818.35649305556</v>
      </c>
      <c r="D932" s="3">
        <v>46.0</v>
      </c>
      <c r="E932" s="3">
        <v>29000.0</v>
      </c>
      <c r="F932" s="3" t="s">
        <v>3662</v>
      </c>
      <c r="G932" s="3">
        <v>19400.0</v>
      </c>
      <c r="H932" s="3">
        <v>21400.0</v>
      </c>
      <c r="K932" s="5" t="s">
        <v>4342</v>
      </c>
      <c r="L932" s="6" t="s">
        <v>3247</v>
      </c>
    </row>
    <row r="933" ht="15.75" customHeight="1">
      <c r="A933" s="3" t="s">
        <v>4561</v>
      </c>
      <c r="B933" s="3"/>
      <c r="C933" s="26">
        <v>45818.358148148145</v>
      </c>
      <c r="D933" s="3">
        <v>90.0</v>
      </c>
      <c r="E933" s="3">
        <v>97500.0</v>
      </c>
      <c r="F933" s="3" t="s">
        <v>3662</v>
      </c>
      <c r="G933" s="3">
        <v>82500.0</v>
      </c>
      <c r="H933" s="3">
        <v>97500.0</v>
      </c>
      <c r="K933" s="5" t="s">
        <v>4342</v>
      </c>
      <c r="L933" s="6" t="s">
        <v>3247</v>
      </c>
      <c r="M933" s="5" t="s">
        <v>3273</v>
      </c>
    </row>
    <row r="934" ht="15.75" customHeight="1">
      <c r="A934" s="3" t="s">
        <v>26</v>
      </c>
      <c r="B934" s="3"/>
      <c r="C934" s="26">
        <v>45818.35920138889</v>
      </c>
      <c r="D934" s="3">
        <v>53.0</v>
      </c>
      <c r="E934" s="3">
        <v>22000.0</v>
      </c>
      <c r="F934" s="3" t="s">
        <v>3588</v>
      </c>
      <c r="G934" s="3">
        <v>19800.0</v>
      </c>
      <c r="H934" s="3">
        <v>22000.0</v>
      </c>
      <c r="K934" s="5" t="s">
        <v>4342</v>
      </c>
      <c r="L934" s="6" t="s">
        <v>3247</v>
      </c>
      <c r="M934" s="5" t="s">
        <v>3273</v>
      </c>
    </row>
    <row r="935" ht="15.75" customHeight="1">
      <c r="A935" s="3" t="s">
        <v>32</v>
      </c>
      <c r="B935" s="3"/>
      <c r="C935" s="26">
        <v>45818.359351851854</v>
      </c>
      <c r="D935" s="3">
        <v>67.0</v>
      </c>
      <c r="E935" s="3">
        <v>23000.0</v>
      </c>
      <c r="F935" s="3" t="s">
        <v>3466</v>
      </c>
      <c r="G935" s="3">
        <v>20800.0</v>
      </c>
      <c r="H935" s="3">
        <v>23000.0</v>
      </c>
      <c r="K935" s="5" t="s">
        <v>4342</v>
      </c>
      <c r="L935" s="6" t="s">
        <v>3248</v>
      </c>
      <c r="M935" s="5" t="s">
        <v>3273</v>
      </c>
    </row>
    <row r="936" ht="15.75" customHeight="1">
      <c r="A936" s="3" t="s">
        <v>36</v>
      </c>
      <c r="B936" s="3"/>
      <c r="C936" s="26">
        <v>45818.359502314815</v>
      </c>
      <c r="D936" s="3">
        <v>75.0</v>
      </c>
      <c r="E936" s="3">
        <v>7000.0</v>
      </c>
      <c r="F936" s="3" t="s">
        <v>3588</v>
      </c>
      <c r="G936" s="3">
        <v>5000.0</v>
      </c>
      <c r="H936" s="3">
        <v>7000.0</v>
      </c>
      <c r="K936" s="5" t="s">
        <v>4342</v>
      </c>
      <c r="M936" s="5" t="s">
        <v>3273</v>
      </c>
    </row>
    <row r="937" ht="15.75" customHeight="1">
      <c r="A937" s="3" t="s">
        <v>4562</v>
      </c>
      <c r="B937" s="3"/>
      <c r="C937" s="26">
        <v>45818.35969907408</v>
      </c>
      <c r="D937" s="3">
        <v>46.0</v>
      </c>
      <c r="E937" s="3">
        <v>29000.0</v>
      </c>
      <c r="F937" s="3" t="s">
        <v>3662</v>
      </c>
      <c r="G937" s="3">
        <v>21400.0</v>
      </c>
      <c r="H937" s="3">
        <v>24000.0</v>
      </c>
      <c r="K937" s="5" t="s">
        <v>4342</v>
      </c>
      <c r="L937" s="6" t="s">
        <v>3247</v>
      </c>
    </row>
    <row r="938" ht="15.75" customHeight="1">
      <c r="A938" s="3" t="s">
        <v>4563</v>
      </c>
      <c r="B938" s="3"/>
      <c r="C938" s="26">
        <v>45818.36219907407</v>
      </c>
      <c r="D938" s="3">
        <v>46.0</v>
      </c>
      <c r="E938" s="3">
        <v>29000.0</v>
      </c>
      <c r="F938" s="3" t="s">
        <v>3662</v>
      </c>
      <c r="G938" s="3">
        <v>24000.0</v>
      </c>
      <c r="H938" s="3">
        <v>24600.0</v>
      </c>
      <c r="K938" s="5" t="s">
        <v>4342</v>
      </c>
      <c r="L938" s="6" t="s">
        <v>3247</v>
      </c>
    </row>
    <row r="939" ht="15.75" customHeight="1">
      <c r="A939" s="3" t="s">
        <v>4564</v>
      </c>
      <c r="B939" s="3"/>
      <c r="C939" s="26">
        <v>45818.38597222222</v>
      </c>
      <c r="D939" s="3">
        <v>500.0</v>
      </c>
      <c r="E939" s="3">
        <v>200000.0</v>
      </c>
      <c r="F939" s="3" t="s">
        <v>3293</v>
      </c>
      <c r="G939" s="3">
        <v>0.0</v>
      </c>
      <c r="H939" s="3">
        <v>3000.0</v>
      </c>
      <c r="K939" s="5" t="s">
        <v>3715</v>
      </c>
      <c r="L939" s="6" t="s">
        <v>3247</v>
      </c>
    </row>
    <row r="940" ht="15.75" customHeight="1">
      <c r="A940" s="3" t="s">
        <v>4565</v>
      </c>
      <c r="B940" s="3"/>
      <c r="C940" s="26">
        <v>45818.386412037034</v>
      </c>
      <c r="D940" s="3">
        <v>500.0</v>
      </c>
      <c r="E940" s="3">
        <v>200000.0</v>
      </c>
      <c r="F940" s="3" t="s">
        <v>4566</v>
      </c>
      <c r="G940" s="3">
        <v>3000.0</v>
      </c>
      <c r="H940" s="3">
        <v>6000.0</v>
      </c>
      <c r="K940" s="5" t="s">
        <v>3715</v>
      </c>
      <c r="L940" s="6" t="s">
        <v>3247</v>
      </c>
    </row>
    <row r="941" ht="15.75" customHeight="1">
      <c r="A941" s="3" t="s">
        <v>8</v>
      </c>
      <c r="B941" s="3"/>
      <c r="C941" s="26">
        <v>45818.386712962965</v>
      </c>
      <c r="D941" s="3">
        <v>5.0</v>
      </c>
      <c r="E941" s="3">
        <v>30000.0</v>
      </c>
      <c r="F941" s="3" t="s">
        <v>3293</v>
      </c>
      <c r="G941" s="3">
        <v>27000.0</v>
      </c>
      <c r="H941" s="3">
        <v>30000.0</v>
      </c>
      <c r="K941" s="5" t="s">
        <v>3320</v>
      </c>
      <c r="L941" s="5" t="s">
        <v>3246</v>
      </c>
      <c r="M941" s="5" t="s">
        <v>3394</v>
      </c>
    </row>
    <row r="942" ht="15.75" customHeight="1">
      <c r="A942" s="3" t="s">
        <v>4567</v>
      </c>
      <c r="B942" s="3"/>
      <c r="C942" s="26">
        <v>45818.38699074074</v>
      </c>
      <c r="D942" s="3">
        <v>11.0</v>
      </c>
      <c r="E942" s="3">
        <v>36000.0</v>
      </c>
      <c r="F942" s="3" t="s">
        <v>3293</v>
      </c>
      <c r="G942" s="3">
        <v>0.0</v>
      </c>
      <c r="H942" s="3">
        <v>19700.0</v>
      </c>
      <c r="K942" s="5" t="s">
        <v>3320</v>
      </c>
    </row>
    <row r="943" ht="15.75" customHeight="1">
      <c r="A943" s="3" t="s">
        <v>4568</v>
      </c>
      <c r="B943" s="3"/>
      <c r="C943" s="26">
        <v>45818.38746527778</v>
      </c>
      <c r="D943" s="3">
        <v>11.0</v>
      </c>
      <c r="E943" s="3">
        <v>36000.0</v>
      </c>
      <c r="F943" s="3" t="s">
        <v>3293</v>
      </c>
      <c r="G943" s="3">
        <v>19700.0</v>
      </c>
      <c r="H943" s="3">
        <v>36000.0</v>
      </c>
      <c r="K943" s="5" t="s">
        <v>3605</v>
      </c>
      <c r="L943" s="6" t="s">
        <v>3248</v>
      </c>
      <c r="M943" s="5" t="s">
        <v>3394</v>
      </c>
    </row>
    <row r="944" ht="15.75" customHeight="1">
      <c r="A944" s="3" t="s">
        <v>28</v>
      </c>
      <c r="B944" s="3"/>
      <c r="C944" s="26">
        <v>45818.394212962965</v>
      </c>
      <c r="D944" s="3">
        <v>55.0</v>
      </c>
      <c r="E944" s="3">
        <v>3000.0</v>
      </c>
      <c r="F944" s="3" t="s">
        <v>3293</v>
      </c>
      <c r="G944" s="3">
        <v>0.0</v>
      </c>
      <c r="H944" s="3">
        <v>3000.0</v>
      </c>
      <c r="K944" s="5" t="s">
        <v>3605</v>
      </c>
      <c r="L944" s="6" t="s">
        <v>3248</v>
      </c>
      <c r="M944" s="5" t="s">
        <v>3394</v>
      </c>
    </row>
    <row r="945" ht="15.75" customHeight="1">
      <c r="A945" s="3" t="s">
        <v>4569</v>
      </c>
      <c r="B945" s="3"/>
      <c r="C945" s="26">
        <v>45818.65168981482</v>
      </c>
      <c r="D945" s="3">
        <v>115.0</v>
      </c>
      <c r="E945" s="3">
        <v>120200.0</v>
      </c>
      <c r="F945" s="3" t="s">
        <v>4570</v>
      </c>
      <c r="G945" s="3">
        <v>0.0</v>
      </c>
      <c r="H945" s="3">
        <v>15000.0</v>
      </c>
      <c r="K945" s="5" t="s">
        <v>4342</v>
      </c>
      <c r="L945" s="6" t="s">
        <v>3247</v>
      </c>
    </row>
    <row r="946" ht="15.75" customHeight="1">
      <c r="A946" s="3" t="s">
        <v>4571</v>
      </c>
      <c r="B946" s="3"/>
      <c r="C946" s="26">
        <v>45818.65295138889</v>
      </c>
      <c r="D946" s="3">
        <v>115.0</v>
      </c>
      <c r="E946" s="3">
        <v>120200.0</v>
      </c>
      <c r="F946" s="3" t="s">
        <v>4570</v>
      </c>
      <c r="G946" s="3">
        <v>15000.0</v>
      </c>
      <c r="H946" s="3">
        <v>46000.0</v>
      </c>
      <c r="K946" s="5" t="s">
        <v>3715</v>
      </c>
      <c r="L946" s="6" t="s">
        <v>3247</v>
      </c>
    </row>
    <row r="947" ht="15.75" customHeight="1">
      <c r="A947" s="4" t="s">
        <v>4572</v>
      </c>
      <c r="B947" s="3"/>
      <c r="C947" s="26">
        <v>45818.65429398148</v>
      </c>
      <c r="D947" s="3">
        <v>115.0</v>
      </c>
      <c r="E947" s="3">
        <v>120200.0</v>
      </c>
      <c r="F947" s="3" t="s">
        <v>4570</v>
      </c>
      <c r="G947" s="3">
        <v>46000.0</v>
      </c>
      <c r="H947" s="3">
        <v>76000.0</v>
      </c>
      <c r="K947" s="5" t="s">
        <v>3715</v>
      </c>
      <c r="L947" s="6" t="s">
        <v>3247</v>
      </c>
    </row>
    <row r="948" ht="15.75" customHeight="1">
      <c r="A948" s="3" t="s">
        <v>4573</v>
      </c>
      <c r="B948" s="3"/>
      <c r="C948" s="26">
        <v>45818.65493055555</v>
      </c>
      <c r="D948" s="3">
        <v>115.0</v>
      </c>
      <c r="E948" s="3">
        <v>120200.0</v>
      </c>
      <c r="F948" s="3" t="s">
        <v>4570</v>
      </c>
      <c r="G948" s="3">
        <v>76000.0</v>
      </c>
      <c r="H948" s="3">
        <v>100000.0</v>
      </c>
      <c r="I948" s="5" t="s">
        <v>4574</v>
      </c>
      <c r="K948" s="5" t="s">
        <v>3715</v>
      </c>
      <c r="L948" s="6" t="s">
        <v>3247</v>
      </c>
    </row>
    <row r="949" ht="15.75" customHeight="1">
      <c r="A949" s="3" t="s">
        <v>4575</v>
      </c>
      <c r="B949" s="3"/>
      <c r="C949" s="26">
        <v>45819.66695601852</v>
      </c>
      <c r="D949" s="3">
        <v>26.0</v>
      </c>
      <c r="E949" s="3">
        <v>207600.0</v>
      </c>
      <c r="F949" s="3" t="s">
        <v>3273</v>
      </c>
      <c r="G949" s="3">
        <v>0.0</v>
      </c>
      <c r="H949" s="3">
        <v>28600.0</v>
      </c>
      <c r="K949" s="5" t="s">
        <v>4342</v>
      </c>
      <c r="L949" s="6" t="s">
        <v>3247</v>
      </c>
    </row>
    <row r="950" ht="15.75" customHeight="1">
      <c r="A950" s="3" t="s">
        <v>4576</v>
      </c>
      <c r="B950" s="3"/>
      <c r="C950" s="26">
        <v>45819.66778935185</v>
      </c>
      <c r="D950" s="3">
        <v>26.0</v>
      </c>
      <c r="E950" s="3">
        <v>207600.0</v>
      </c>
      <c r="F950" s="3" t="s">
        <v>3273</v>
      </c>
      <c r="G950" s="3">
        <v>28600.0</v>
      </c>
      <c r="H950" s="3">
        <v>74800.0</v>
      </c>
      <c r="K950" s="5" t="s">
        <v>4342</v>
      </c>
      <c r="L950" s="6" t="s">
        <v>3247</v>
      </c>
    </row>
    <row r="951" ht="15.75" customHeight="1">
      <c r="A951" s="3" t="s">
        <v>4577</v>
      </c>
      <c r="B951" s="3"/>
      <c r="C951" s="26">
        <v>45819.66836805556</v>
      </c>
      <c r="D951" s="3">
        <v>26.0</v>
      </c>
      <c r="E951" s="3">
        <v>207600.0</v>
      </c>
      <c r="F951" s="3" t="s">
        <v>3273</v>
      </c>
      <c r="G951" s="3">
        <v>74800.0</v>
      </c>
      <c r="H951" s="3">
        <v>126300.0</v>
      </c>
      <c r="K951" s="5" t="s">
        <v>4342</v>
      </c>
      <c r="L951" s="6" t="s">
        <v>3247</v>
      </c>
    </row>
    <row r="952" ht="15.75" customHeight="1">
      <c r="A952" s="3" t="s">
        <v>4578</v>
      </c>
      <c r="B952" s="3"/>
      <c r="C952" s="26">
        <v>45819.668645833335</v>
      </c>
      <c r="D952" s="3"/>
      <c r="E952" s="3"/>
      <c r="F952" s="3"/>
      <c r="G952" s="3"/>
      <c r="H952" s="3">
        <v>33500.0</v>
      </c>
    </row>
    <row r="953" ht="15.75" customHeight="1">
      <c r="A953" s="3" t="s">
        <v>4579</v>
      </c>
      <c r="B953" s="3"/>
      <c r="C953" s="26">
        <v>45819.669641203705</v>
      </c>
      <c r="D953" s="3">
        <v>26.0</v>
      </c>
      <c r="E953" s="3">
        <v>207600.0</v>
      </c>
      <c r="F953" s="3" t="s">
        <v>3273</v>
      </c>
      <c r="G953" s="3">
        <v>126300.0</v>
      </c>
      <c r="H953" s="3">
        <v>142800.0</v>
      </c>
      <c r="K953" s="5" t="s">
        <v>4342</v>
      </c>
      <c r="L953" s="6" t="s">
        <v>3247</v>
      </c>
    </row>
    <row r="954" ht="15.75" customHeight="1">
      <c r="A954" s="3" t="s">
        <v>4580</v>
      </c>
      <c r="B954" s="3"/>
      <c r="C954" s="26">
        <v>45819.670011574075</v>
      </c>
      <c r="D954" s="3">
        <v>26.0</v>
      </c>
      <c r="E954" s="3">
        <v>207600.0</v>
      </c>
      <c r="F954" s="3" t="s">
        <v>3273</v>
      </c>
      <c r="G954" s="3">
        <v>142800.0</v>
      </c>
      <c r="H954" s="3">
        <v>149900.0</v>
      </c>
      <c r="K954" s="5" t="s">
        <v>4342</v>
      </c>
      <c r="L954" s="6" t="s">
        <v>3247</v>
      </c>
    </row>
    <row r="955" ht="15.75" customHeight="1">
      <c r="A955" s="3" t="s">
        <v>4581</v>
      </c>
      <c r="B955" s="3"/>
      <c r="C955" s="26">
        <v>45819.67034722222</v>
      </c>
      <c r="D955" s="3">
        <v>26.0</v>
      </c>
      <c r="E955" s="3">
        <v>207600.0</v>
      </c>
      <c r="F955" s="3" t="s">
        <v>3273</v>
      </c>
      <c r="G955" s="3">
        <v>149900.0</v>
      </c>
      <c r="H955" s="3">
        <v>157000.0</v>
      </c>
      <c r="K955" s="5" t="s">
        <v>4342</v>
      </c>
      <c r="L955" s="6" t="s">
        <v>3247</v>
      </c>
    </row>
    <row r="956" ht="15.75" customHeight="1">
      <c r="A956" s="3" t="s">
        <v>4582</v>
      </c>
      <c r="B956" s="3"/>
      <c r="C956" s="26">
        <v>45819.67083333333</v>
      </c>
      <c r="D956" s="3">
        <v>26.0</v>
      </c>
      <c r="E956" s="3">
        <v>207600.0</v>
      </c>
      <c r="F956" s="3" t="s">
        <v>3273</v>
      </c>
      <c r="G956" s="3">
        <v>157000.0</v>
      </c>
      <c r="H956" s="3">
        <v>169500.0</v>
      </c>
      <c r="K956" s="5" t="s">
        <v>4342</v>
      </c>
      <c r="L956" s="6" t="s">
        <v>3247</v>
      </c>
    </row>
    <row r="957" ht="15.75" customHeight="1">
      <c r="A957" s="3" t="s">
        <v>4583</v>
      </c>
      <c r="B957" s="3"/>
      <c r="C957" s="26">
        <v>45819.67508101852</v>
      </c>
      <c r="D957" s="3">
        <v>26.0</v>
      </c>
      <c r="E957" s="3">
        <v>207600.0</v>
      </c>
      <c r="F957" s="3" t="s">
        <v>3273</v>
      </c>
      <c r="G957" s="3">
        <v>169500.0</v>
      </c>
      <c r="H957" s="3">
        <v>203000.0</v>
      </c>
      <c r="K957" s="5" t="s">
        <v>4342</v>
      </c>
      <c r="L957" s="6" t="s">
        <v>3247</v>
      </c>
    </row>
    <row r="958" ht="15.75" customHeight="1">
      <c r="A958" s="27" t="s">
        <v>7</v>
      </c>
      <c r="B958" s="27"/>
      <c r="C958" s="28">
        <v>45820.45704861111</v>
      </c>
      <c r="D958" s="27">
        <v>2.0</v>
      </c>
      <c r="E958" s="27">
        <v>8400.0</v>
      </c>
      <c r="F958" s="27" t="s">
        <v>3293</v>
      </c>
      <c r="G958" s="27">
        <v>2000.0</v>
      </c>
      <c r="H958" s="27">
        <v>2200.0</v>
      </c>
      <c r="I958" s="29"/>
      <c r="J958" s="29"/>
      <c r="K958" s="29" t="s">
        <v>3320</v>
      </c>
      <c r="L958" s="30" t="s">
        <v>3248</v>
      </c>
      <c r="M958" s="29" t="s">
        <v>3394</v>
      </c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  <c r="AB958" s="29"/>
    </row>
    <row r="959" ht="15.75" customHeight="1">
      <c r="A959" s="3" t="s">
        <v>4584</v>
      </c>
      <c r="B959" s="3"/>
      <c r="C959" s="26">
        <v>45821.739594907405</v>
      </c>
      <c r="D959" s="3">
        <v>89.0</v>
      </c>
      <c r="E959" s="3">
        <v>83500.0</v>
      </c>
      <c r="F959" s="3" t="s">
        <v>3380</v>
      </c>
      <c r="G959" s="3">
        <v>0.0</v>
      </c>
      <c r="H959" s="3">
        <v>83500.0</v>
      </c>
      <c r="K959" s="5" t="s">
        <v>4342</v>
      </c>
      <c r="L959" s="5" t="s">
        <v>3246</v>
      </c>
    </row>
    <row r="960" ht="15.75" customHeight="1">
      <c r="A960" s="3" t="s">
        <v>4585</v>
      </c>
      <c r="B960" s="3"/>
      <c r="C960" s="26">
        <v>45821.739803240744</v>
      </c>
      <c r="D960" s="3">
        <v>72.0</v>
      </c>
      <c r="E960" s="3">
        <v>13000.0</v>
      </c>
      <c r="F960" s="3" t="s">
        <v>3380</v>
      </c>
      <c r="G960" s="3">
        <v>0.0</v>
      </c>
      <c r="H960" s="3">
        <v>11800.0</v>
      </c>
      <c r="K960" s="5" t="s">
        <v>4342</v>
      </c>
      <c r="L960" s="5" t="s">
        <v>3246</v>
      </c>
    </row>
    <row r="961" ht="15.75" customHeight="1">
      <c r="A961" s="3" t="s">
        <v>4586</v>
      </c>
      <c r="B961" s="3"/>
      <c r="C961" s="26">
        <v>45821.7415625</v>
      </c>
      <c r="D961" s="3">
        <v>6.0</v>
      </c>
      <c r="E961" s="3">
        <v>32000.0</v>
      </c>
      <c r="F961" s="3" t="s">
        <v>4587</v>
      </c>
      <c r="G961" s="3">
        <v>2400.0</v>
      </c>
      <c r="H961" s="3">
        <v>32000.0</v>
      </c>
      <c r="K961" s="5" t="s">
        <v>3337</v>
      </c>
      <c r="L961" s="6" t="s">
        <v>3247</v>
      </c>
    </row>
    <row r="962" ht="15.75" customHeight="1">
      <c r="A962" s="3" t="s">
        <v>4588</v>
      </c>
      <c r="B962" s="3"/>
      <c r="C962" s="26">
        <v>45821.74465277778</v>
      </c>
      <c r="D962" s="3">
        <v>115.0</v>
      </c>
      <c r="E962" s="3">
        <v>120200.0</v>
      </c>
      <c r="F962" s="3" t="s">
        <v>3273</v>
      </c>
      <c r="G962" s="3">
        <v>0.0</v>
      </c>
      <c r="H962" s="3">
        <v>1200.0</v>
      </c>
      <c r="K962" s="5" t="s">
        <v>3605</v>
      </c>
      <c r="L962" s="6" t="s">
        <v>3247</v>
      </c>
    </row>
    <row r="963" ht="15.75" customHeight="1">
      <c r="A963" s="3" t="s">
        <v>4589</v>
      </c>
      <c r="B963" s="3"/>
      <c r="C963" s="26">
        <v>45821.74528935185</v>
      </c>
      <c r="D963" s="3">
        <v>54.0</v>
      </c>
      <c r="E963" s="3">
        <v>22900.0</v>
      </c>
      <c r="F963" s="3" t="s">
        <v>4435</v>
      </c>
      <c r="G963" s="3">
        <v>10400.0</v>
      </c>
      <c r="H963" s="3">
        <v>17600.0</v>
      </c>
      <c r="K963" s="5" t="s">
        <v>4342</v>
      </c>
      <c r="L963" s="6" t="s">
        <v>3247</v>
      </c>
    </row>
    <row r="964" ht="15.75" customHeight="1">
      <c r="A964" s="3" t="s">
        <v>4590</v>
      </c>
      <c r="B964" s="3"/>
      <c r="C964" s="26">
        <v>45821.74627314815</v>
      </c>
      <c r="D964" s="3">
        <v>115.0</v>
      </c>
      <c r="E964" s="3">
        <v>120200.0</v>
      </c>
      <c r="F964" s="3" t="s">
        <v>3273</v>
      </c>
      <c r="G964" s="3">
        <v>1200.0</v>
      </c>
      <c r="H964" s="3">
        <v>5200.0</v>
      </c>
      <c r="K964" s="5" t="s">
        <v>3605</v>
      </c>
      <c r="L964" s="6" t="s">
        <v>3247</v>
      </c>
    </row>
    <row r="965" ht="15.75" customHeight="1">
      <c r="A965" s="3" t="s">
        <v>4591</v>
      </c>
      <c r="B965" s="3"/>
      <c r="C965" s="26">
        <v>45821.746724537035</v>
      </c>
      <c r="D965" s="3">
        <v>115.0</v>
      </c>
      <c r="E965" s="3">
        <v>120200.0</v>
      </c>
      <c r="F965" s="3" t="s">
        <v>3273</v>
      </c>
      <c r="G965" s="3">
        <v>5200.0</v>
      </c>
      <c r="H965" s="3">
        <v>9200.0</v>
      </c>
      <c r="K965" s="5" t="s">
        <v>3605</v>
      </c>
      <c r="L965" s="6" t="s">
        <v>3247</v>
      </c>
    </row>
    <row r="966" ht="15.75" customHeight="1">
      <c r="A966" s="3" t="s">
        <v>4592</v>
      </c>
      <c r="B966" s="3"/>
      <c r="C966" s="26">
        <v>45821.74827546296</v>
      </c>
      <c r="D966" s="3">
        <v>115.0</v>
      </c>
      <c r="E966" s="3">
        <v>120200.0</v>
      </c>
      <c r="F966" s="3" t="s">
        <v>3273</v>
      </c>
      <c r="G966" s="3">
        <v>9200.0</v>
      </c>
      <c r="H966" s="3">
        <v>25200.0</v>
      </c>
      <c r="K966" s="5" t="s">
        <v>3605</v>
      </c>
      <c r="L966" s="6" t="s">
        <v>3247</v>
      </c>
    </row>
    <row r="967" ht="15.75" customHeight="1">
      <c r="A967" s="3" t="s">
        <v>4593</v>
      </c>
      <c r="B967" s="3"/>
      <c r="C967" s="26">
        <v>45821.74865740741</v>
      </c>
      <c r="D967" s="3">
        <v>115.0</v>
      </c>
      <c r="E967" s="3">
        <v>120200.0</v>
      </c>
      <c r="F967" s="3" t="s">
        <v>3273</v>
      </c>
      <c r="G967" s="3">
        <v>25200.0</v>
      </c>
      <c r="H967" s="3">
        <v>51600.0</v>
      </c>
      <c r="K967" s="5" t="s">
        <v>3605</v>
      </c>
      <c r="L967" s="6" t="s">
        <v>3247</v>
      </c>
    </row>
    <row r="968" ht="15.75" customHeight="1">
      <c r="A968" s="3" t="s">
        <v>4594</v>
      </c>
      <c r="B968" s="3"/>
      <c r="C968" s="26">
        <v>45821.74914351852</v>
      </c>
      <c r="D968" s="3">
        <v>115.0</v>
      </c>
      <c r="E968" s="3">
        <v>120200.0</v>
      </c>
      <c r="F968" s="3" t="s">
        <v>3273</v>
      </c>
      <c r="G968" s="3">
        <v>51600.0</v>
      </c>
      <c r="H968" s="3">
        <v>81000.0</v>
      </c>
      <c r="K968" s="5" t="s">
        <v>3605</v>
      </c>
      <c r="L968" s="6" t="s">
        <v>3247</v>
      </c>
    </row>
    <row r="969" ht="15.75" customHeight="1">
      <c r="A969" s="3" t="s">
        <v>4595</v>
      </c>
      <c r="B969" s="3"/>
      <c r="C969" s="26">
        <v>45821.75019675926</v>
      </c>
      <c r="D969" s="3">
        <v>115.0</v>
      </c>
      <c r="E969" s="3">
        <v>120200.0</v>
      </c>
      <c r="F969" s="3" t="s">
        <v>3273</v>
      </c>
      <c r="G969" s="3">
        <v>81000.0</v>
      </c>
      <c r="H969" s="3">
        <v>90000.0</v>
      </c>
      <c r="K969" s="5" t="s">
        <v>3605</v>
      </c>
      <c r="L969" s="6" t="s">
        <v>3247</v>
      </c>
    </row>
    <row r="970" ht="15.75" customHeight="1">
      <c r="A970" s="3" t="s">
        <v>4596</v>
      </c>
      <c r="B970" s="3"/>
      <c r="C970" s="26">
        <v>45821.750706018516</v>
      </c>
      <c r="D970" s="3">
        <v>115.0</v>
      </c>
      <c r="E970" s="3">
        <v>120200.0</v>
      </c>
      <c r="F970" s="3" t="s">
        <v>3273</v>
      </c>
      <c r="G970" s="3">
        <v>90000.0</v>
      </c>
      <c r="H970" s="3">
        <v>109200.0</v>
      </c>
      <c r="K970" s="5" t="s">
        <v>3605</v>
      </c>
      <c r="L970" s="6" t="s">
        <v>3247</v>
      </c>
    </row>
    <row r="971" ht="15.75" customHeight="1">
      <c r="A971" s="3" t="s">
        <v>4597</v>
      </c>
      <c r="B971" s="3"/>
      <c r="C971" s="26">
        <v>45821.75515046297</v>
      </c>
      <c r="D971" s="3">
        <v>115.0</v>
      </c>
      <c r="E971" s="3">
        <v>120200.0</v>
      </c>
      <c r="F971" s="3" t="s">
        <v>3273</v>
      </c>
      <c r="G971" s="3">
        <v>109200.0</v>
      </c>
      <c r="H971" s="3">
        <v>120200.0</v>
      </c>
      <c r="K971" s="5" t="s">
        <v>4342</v>
      </c>
      <c r="L971" s="6" t="s">
        <v>3247</v>
      </c>
      <c r="M971" s="5" t="s">
        <v>3273</v>
      </c>
    </row>
    <row r="972" ht="15.75" customHeight="1">
      <c r="A972" s="3" t="s">
        <v>4598</v>
      </c>
      <c r="B972" s="3"/>
      <c r="C972" s="26">
        <v>45821.75581018518</v>
      </c>
      <c r="D972" s="3">
        <v>82.0</v>
      </c>
      <c r="E972" s="3">
        <v>42600.0</v>
      </c>
      <c r="F972" s="3" t="s">
        <v>3273</v>
      </c>
      <c r="G972" s="3">
        <v>0.0</v>
      </c>
      <c r="H972" s="3">
        <v>2700.0</v>
      </c>
      <c r="K972" s="5" t="s">
        <v>4342</v>
      </c>
      <c r="L972" s="6" t="s">
        <v>3247</v>
      </c>
    </row>
    <row r="973" ht="15.75" customHeight="1">
      <c r="A973" s="3" t="s">
        <v>4599</v>
      </c>
      <c r="B973" s="3"/>
      <c r="C973" s="26">
        <v>45821.75601851852</v>
      </c>
      <c r="D973" s="3">
        <v>82.0</v>
      </c>
      <c r="E973" s="3">
        <v>42600.0</v>
      </c>
      <c r="F973" s="3" t="s">
        <v>3273</v>
      </c>
      <c r="G973" s="3">
        <v>2700.0</v>
      </c>
      <c r="H973" s="3">
        <v>9300.0</v>
      </c>
      <c r="K973" s="5" t="s">
        <v>4342</v>
      </c>
      <c r="L973" s="6" t="s">
        <v>3247</v>
      </c>
    </row>
    <row r="974" ht="15.75" customHeight="1">
      <c r="A974" s="3" t="s">
        <v>4600</v>
      </c>
      <c r="B974" s="3"/>
      <c r="C974" s="26">
        <v>45821.7562962963</v>
      </c>
      <c r="D974" s="3">
        <v>82.0</v>
      </c>
      <c r="E974" s="3">
        <v>42600.0</v>
      </c>
      <c r="F974" s="3" t="s">
        <v>3273</v>
      </c>
      <c r="G974" s="3">
        <v>9300.0</v>
      </c>
      <c r="H974" s="3">
        <v>11200.0</v>
      </c>
      <c r="K974" s="5" t="s">
        <v>4342</v>
      </c>
      <c r="L974" s="6" t="s">
        <v>3247</v>
      </c>
    </row>
    <row r="975" ht="15.75" customHeight="1">
      <c r="A975" s="3" t="s">
        <v>4601</v>
      </c>
      <c r="B975" s="3"/>
      <c r="C975" s="26">
        <v>45821.756527777776</v>
      </c>
      <c r="D975" s="3">
        <v>82.0</v>
      </c>
      <c r="E975" s="3">
        <v>42600.0</v>
      </c>
      <c r="F975" s="3" t="s">
        <v>3273</v>
      </c>
      <c r="G975" s="3">
        <v>11200.0</v>
      </c>
      <c r="H975" s="3">
        <v>13100.0</v>
      </c>
      <c r="K975" s="5" t="s">
        <v>4342</v>
      </c>
      <c r="L975" s="6" t="s">
        <v>3247</v>
      </c>
    </row>
    <row r="976" ht="15.75" customHeight="1">
      <c r="A976" s="3" t="s">
        <v>4602</v>
      </c>
      <c r="B976" s="3"/>
      <c r="C976" s="26">
        <v>45821.75677083333</v>
      </c>
      <c r="D976" s="3">
        <v>82.0</v>
      </c>
      <c r="E976" s="3">
        <v>42600.0</v>
      </c>
      <c r="F976" s="3" t="s">
        <v>3273</v>
      </c>
      <c r="G976" s="3">
        <v>13100.0</v>
      </c>
      <c r="H976" s="3">
        <v>20500.0</v>
      </c>
      <c r="K976" s="5" t="s">
        <v>4342</v>
      </c>
      <c r="L976" s="6" t="s">
        <v>3247</v>
      </c>
    </row>
    <row r="977" ht="15.75" customHeight="1">
      <c r="A977" s="3" t="s">
        <v>4603</v>
      </c>
      <c r="B977" s="3"/>
      <c r="C977" s="26">
        <v>45821.75716435185</v>
      </c>
      <c r="D977" s="3">
        <v>82.0</v>
      </c>
      <c r="E977" s="3">
        <v>42600.0</v>
      </c>
      <c r="F977" s="3" t="s">
        <v>3273</v>
      </c>
      <c r="G977" s="3">
        <v>20500.0</v>
      </c>
      <c r="H977" s="3">
        <v>31900.0</v>
      </c>
      <c r="K977" s="5" t="s">
        <v>4342</v>
      </c>
      <c r="L977" s="6" t="s">
        <v>3247</v>
      </c>
    </row>
    <row r="978" ht="15.75" customHeight="1">
      <c r="A978" s="3" t="s">
        <v>4604</v>
      </c>
      <c r="B978" s="3"/>
      <c r="C978" s="26">
        <v>45821.75743055555</v>
      </c>
      <c r="D978" s="3">
        <v>82.0</v>
      </c>
      <c r="E978" s="3">
        <v>42600.0</v>
      </c>
      <c r="F978" s="3" t="s">
        <v>3273</v>
      </c>
      <c r="G978" s="3">
        <v>31900.0</v>
      </c>
      <c r="H978" s="3">
        <v>42600.0</v>
      </c>
      <c r="K978" s="5" t="s">
        <v>4342</v>
      </c>
      <c r="L978" s="6" t="s">
        <v>3247</v>
      </c>
    </row>
    <row r="979" ht="15.75" customHeight="1">
      <c r="A979" s="3" t="s">
        <v>22</v>
      </c>
      <c r="B979" s="3"/>
      <c r="C979" s="26">
        <v>45821.759884259256</v>
      </c>
      <c r="D979" s="3">
        <v>46.0</v>
      </c>
      <c r="E979" s="3">
        <v>29000.0</v>
      </c>
      <c r="F979" s="3" t="s">
        <v>3662</v>
      </c>
      <c r="G979" s="3">
        <v>24600.0</v>
      </c>
      <c r="H979" s="3">
        <v>29000.0</v>
      </c>
      <c r="K979" s="5" t="s">
        <v>4342</v>
      </c>
      <c r="L979" s="6" t="s">
        <v>3247</v>
      </c>
      <c r="M979" s="5" t="s">
        <v>3273</v>
      </c>
    </row>
    <row r="980" ht="15.75" customHeight="1">
      <c r="A980" s="3" t="s">
        <v>4605</v>
      </c>
      <c r="B980" s="3"/>
      <c r="C980" s="26">
        <v>45821.760046296295</v>
      </c>
      <c r="D980" s="3">
        <v>72.0</v>
      </c>
      <c r="E980" s="3">
        <v>13000.0</v>
      </c>
      <c r="F980" s="3" t="s">
        <v>3380</v>
      </c>
      <c r="G980" s="3">
        <v>11800.0</v>
      </c>
      <c r="H980" s="3">
        <v>13000.0</v>
      </c>
      <c r="K980" s="5" t="s">
        <v>4342</v>
      </c>
      <c r="L980" s="5" t="s">
        <v>3246</v>
      </c>
      <c r="M980" s="5" t="s">
        <v>3273</v>
      </c>
    </row>
    <row r="981" ht="15.75" customHeight="1">
      <c r="A981" s="3" t="s">
        <v>4606</v>
      </c>
      <c r="B981" s="3"/>
      <c r="C981" s="26">
        <v>45821.76247685185</v>
      </c>
      <c r="D981" s="3">
        <v>26.0</v>
      </c>
      <c r="E981" s="3">
        <v>207600.0</v>
      </c>
      <c r="F981" s="3" t="s">
        <v>3273</v>
      </c>
      <c r="G981" s="3">
        <v>203000.0</v>
      </c>
      <c r="H981" s="3">
        <v>204400.0</v>
      </c>
      <c r="K981" s="5" t="s">
        <v>4342</v>
      </c>
      <c r="L981" s="6" t="s">
        <v>3247</v>
      </c>
    </row>
    <row r="982" ht="15.75" customHeight="1">
      <c r="A982" s="3" t="s">
        <v>4607</v>
      </c>
      <c r="B982" s="3"/>
      <c r="C982" s="26">
        <v>45821.762777777774</v>
      </c>
      <c r="D982" s="3">
        <v>26.0</v>
      </c>
      <c r="E982" s="3">
        <v>207600.0</v>
      </c>
      <c r="F982" s="3" t="s">
        <v>3273</v>
      </c>
      <c r="G982" s="3">
        <v>204400.0</v>
      </c>
      <c r="H982" s="3">
        <v>206500.0</v>
      </c>
      <c r="K982" s="5" t="s">
        <v>4342</v>
      </c>
      <c r="L982" s="6" t="s">
        <v>3247</v>
      </c>
    </row>
    <row r="983" ht="15.75" customHeight="1">
      <c r="A983" s="3" t="s">
        <v>16</v>
      </c>
      <c r="B983" s="3"/>
      <c r="C983" s="26">
        <v>45821.763032407405</v>
      </c>
      <c r="D983" s="3">
        <v>26.0</v>
      </c>
      <c r="E983" s="3">
        <v>207600.0</v>
      </c>
      <c r="F983" s="3" t="s">
        <v>3273</v>
      </c>
      <c r="G983" s="3">
        <v>206500.0</v>
      </c>
      <c r="H983" s="3">
        <v>207600.0</v>
      </c>
      <c r="K983" s="5" t="s">
        <v>4342</v>
      </c>
      <c r="L983" s="6" t="s">
        <v>3247</v>
      </c>
      <c r="M983" s="5" t="s">
        <v>3273</v>
      </c>
    </row>
    <row r="984" ht="15.75" customHeight="1">
      <c r="A984" s="3" t="s">
        <v>4608</v>
      </c>
      <c r="B984" s="3"/>
      <c r="C984" s="26">
        <v>45825.53876157408</v>
      </c>
      <c r="D984" s="3">
        <v>500.0</v>
      </c>
      <c r="E984" s="3">
        <v>200000.0</v>
      </c>
      <c r="F984" s="3" t="s">
        <v>4609</v>
      </c>
      <c r="G984" s="3"/>
      <c r="H984" s="3">
        <v>1.0</v>
      </c>
    </row>
    <row r="985" ht="15.75" customHeight="1">
      <c r="A985" s="3" t="s">
        <v>4610</v>
      </c>
      <c r="B985" s="3"/>
      <c r="C985" s="26">
        <v>45825.54</v>
      </c>
      <c r="D985" s="3">
        <v>500.0</v>
      </c>
      <c r="E985" s="3">
        <v>200000.0</v>
      </c>
      <c r="F985" s="3" t="s">
        <v>4609</v>
      </c>
      <c r="G985" s="3">
        <v>1.0</v>
      </c>
      <c r="H985" s="3">
        <v>2701.0</v>
      </c>
    </row>
    <row r="986" ht="15.75" customHeight="1">
      <c r="A986" s="3" t="s">
        <v>4611</v>
      </c>
      <c r="B986" s="3"/>
      <c r="C986" s="26">
        <v>45825.54027777778</v>
      </c>
      <c r="D986" s="3">
        <v>500.0</v>
      </c>
      <c r="E986" s="3">
        <v>200000.0</v>
      </c>
      <c r="F986" s="3" t="s">
        <v>4609</v>
      </c>
      <c r="G986" s="3">
        <v>2701.0</v>
      </c>
      <c r="H986" s="3">
        <v>9901.0</v>
      </c>
      <c r="I986" s="5" t="s">
        <v>4612</v>
      </c>
    </row>
    <row r="987" ht="15.75" customHeight="1">
      <c r="A987" s="3" t="s">
        <v>4613</v>
      </c>
      <c r="B987" s="3"/>
      <c r="C987" s="26">
        <v>45827.764027777775</v>
      </c>
      <c r="D987" s="3">
        <v>82.0</v>
      </c>
      <c r="E987" s="3">
        <v>42600.0</v>
      </c>
      <c r="F987" s="3" t="s">
        <v>3273</v>
      </c>
      <c r="G987" s="3">
        <v>39900.0</v>
      </c>
      <c r="H987" s="3">
        <v>42600.0</v>
      </c>
      <c r="K987" s="5" t="s">
        <v>4342</v>
      </c>
      <c r="L987" s="6" t="s">
        <v>3247</v>
      </c>
      <c r="M987" s="5" t="s">
        <v>3273</v>
      </c>
    </row>
    <row r="988" ht="15.75" customHeight="1">
      <c r="A988" s="3" t="s">
        <v>4614</v>
      </c>
      <c r="B988" s="3"/>
      <c r="C988" s="26">
        <v>45827.7653125</v>
      </c>
      <c r="D988" s="3">
        <v>500.0</v>
      </c>
      <c r="E988" s="3">
        <v>200000.0</v>
      </c>
      <c r="F988" s="3" t="s">
        <v>4615</v>
      </c>
      <c r="G988" s="3">
        <v>0.0</v>
      </c>
      <c r="H988" s="3">
        <v>300.0</v>
      </c>
      <c r="I988" s="5" t="s">
        <v>4615</v>
      </c>
      <c r="K988" s="5" t="s">
        <v>3342</v>
      </c>
    </row>
    <row r="989" ht="15.75" customHeight="1">
      <c r="A989" s="3" t="s">
        <v>4616</v>
      </c>
      <c r="B989" s="3"/>
      <c r="C989" s="26">
        <v>45827.76613425926</v>
      </c>
      <c r="D989" s="3">
        <v>6.0</v>
      </c>
      <c r="E989" s="3">
        <v>32000.0</v>
      </c>
      <c r="F989" s="3" t="s">
        <v>4587</v>
      </c>
      <c r="G989" s="3">
        <v>29300.0</v>
      </c>
      <c r="H989" s="3">
        <v>29000.0</v>
      </c>
      <c r="K989" s="5" t="s">
        <v>3337</v>
      </c>
      <c r="L989" s="6" t="s">
        <v>3247</v>
      </c>
    </row>
    <row r="990" ht="15.75" customHeight="1">
      <c r="A990" s="3" t="s">
        <v>4617</v>
      </c>
      <c r="B990" s="3"/>
      <c r="C990" s="26">
        <v>45827.76678240741</v>
      </c>
      <c r="D990" s="3">
        <v>6.0</v>
      </c>
      <c r="E990" s="3">
        <v>32000.0</v>
      </c>
      <c r="F990" s="3" t="s">
        <v>4587</v>
      </c>
      <c r="G990" s="3">
        <v>29000.0</v>
      </c>
      <c r="H990" s="3">
        <v>32000.0</v>
      </c>
      <c r="K990" s="5" t="s">
        <v>3337</v>
      </c>
      <c r="L990" s="6" t="s">
        <v>3247</v>
      </c>
    </row>
    <row r="991" ht="15.75" customHeight="1">
      <c r="A991" s="3" t="s">
        <v>4618</v>
      </c>
      <c r="B991" s="3"/>
      <c r="C991" s="26">
        <v>45834.35787037037</v>
      </c>
      <c r="D991" s="3">
        <v>87.0</v>
      </c>
      <c r="E991" s="3">
        <v>93700.0</v>
      </c>
      <c r="F991" s="3" t="s">
        <v>3272</v>
      </c>
      <c r="G991" s="3">
        <v>0.0</v>
      </c>
      <c r="H991" s="3">
        <v>46600.0</v>
      </c>
      <c r="K991" s="5" t="s">
        <v>4342</v>
      </c>
      <c r="L991" s="6" t="s">
        <v>3248</v>
      </c>
    </row>
    <row r="992" ht="15.75" customHeight="1">
      <c r="A992" s="3" t="s">
        <v>4619</v>
      </c>
      <c r="B992" s="3"/>
      <c r="C992" s="26">
        <v>45834.35868055555</v>
      </c>
      <c r="D992" s="3">
        <v>86.0</v>
      </c>
      <c r="E992" s="3">
        <v>88000.0</v>
      </c>
      <c r="F992" s="3" t="s">
        <v>3272</v>
      </c>
      <c r="G992" s="3">
        <v>0.0</v>
      </c>
      <c r="H992" s="3">
        <v>44600.0</v>
      </c>
      <c r="K992" s="5" t="s">
        <v>4342</v>
      </c>
      <c r="L992" s="6" t="s">
        <v>3248</v>
      </c>
    </row>
    <row r="993" ht="15.75" customHeight="1">
      <c r="A993" s="3" t="s">
        <v>4620</v>
      </c>
      <c r="B993" s="3"/>
      <c r="C993" s="26">
        <v>45834.35936342592</v>
      </c>
      <c r="D993" s="3">
        <v>87.0</v>
      </c>
      <c r="E993" s="3">
        <v>93700.0</v>
      </c>
      <c r="F993" s="3" t="s">
        <v>3272</v>
      </c>
      <c r="G993" s="3">
        <v>46600.0</v>
      </c>
      <c r="H993" s="3">
        <v>67100.0</v>
      </c>
      <c r="K993" s="5" t="s">
        <v>4342</v>
      </c>
      <c r="L993" s="6" t="s">
        <v>3248</v>
      </c>
    </row>
    <row r="994" ht="15.75" customHeight="1">
      <c r="A994" s="3" t="s">
        <v>4621</v>
      </c>
      <c r="B994" s="3"/>
      <c r="C994" s="26">
        <v>45834.36042824074</v>
      </c>
      <c r="D994" s="3">
        <v>86.0</v>
      </c>
      <c r="E994" s="3">
        <v>88000.0</v>
      </c>
      <c r="F994" s="3" t="s">
        <v>3272</v>
      </c>
      <c r="G994" s="3">
        <v>44600.0</v>
      </c>
      <c r="H994" s="3">
        <v>64200.0</v>
      </c>
      <c r="K994" s="5" t="s">
        <v>4342</v>
      </c>
      <c r="L994" s="6" t="s">
        <v>3248</v>
      </c>
    </row>
    <row r="995" ht="15.75" customHeight="1">
      <c r="A995" s="3" t="s">
        <v>4622</v>
      </c>
      <c r="B995" s="3"/>
      <c r="C995" s="26">
        <v>45834.36090277778</v>
      </c>
      <c r="D995" s="3">
        <v>87.0</v>
      </c>
      <c r="E995" s="3">
        <v>93700.0</v>
      </c>
      <c r="F995" s="3" t="s">
        <v>3272</v>
      </c>
      <c r="G995" s="3">
        <v>67100.0</v>
      </c>
      <c r="H995" s="3">
        <v>72600.0</v>
      </c>
      <c r="K995" s="5" t="s">
        <v>4342</v>
      </c>
      <c r="L995" s="6" t="s">
        <v>3248</v>
      </c>
    </row>
    <row r="996" ht="15.75" customHeight="1">
      <c r="A996" s="3" t="s">
        <v>4623</v>
      </c>
      <c r="B996" s="3"/>
      <c r="C996" s="26">
        <v>45834.36170138889</v>
      </c>
      <c r="D996" s="3">
        <v>86.0</v>
      </c>
      <c r="E996" s="3">
        <v>88000.0</v>
      </c>
      <c r="F996" s="3" t="s">
        <v>3272</v>
      </c>
      <c r="G996" s="3">
        <v>64200.0</v>
      </c>
      <c r="H996" s="3">
        <v>69400.0</v>
      </c>
      <c r="K996" s="5" t="s">
        <v>4342</v>
      </c>
      <c r="L996" s="6" t="s">
        <v>3248</v>
      </c>
    </row>
    <row r="997" ht="15.75" customHeight="1">
      <c r="A997" s="3" t="s">
        <v>4624</v>
      </c>
      <c r="B997" s="3"/>
      <c r="C997" s="26">
        <v>45834.36247685185</v>
      </c>
      <c r="D997" s="3">
        <v>25.0</v>
      </c>
      <c r="E997" s="3">
        <v>194300.0</v>
      </c>
      <c r="F997" s="3" t="s">
        <v>3272</v>
      </c>
      <c r="G997" s="3">
        <v>103100.0</v>
      </c>
      <c r="H997" s="3">
        <v>148600.0</v>
      </c>
      <c r="K997" s="5" t="s">
        <v>4342</v>
      </c>
      <c r="L997" s="6" t="s">
        <v>3248</v>
      </c>
    </row>
    <row r="998" ht="15.75" customHeight="1">
      <c r="A998" s="3" t="s">
        <v>4625</v>
      </c>
      <c r="B998" s="3"/>
      <c r="C998" s="26">
        <v>45834.3628125</v>
      </c>
      <c r="D998" s="3">
        <v>25.0</v>
      </c>
      <c r="E998" s="3">
        <v>194300.0</v>
      </c>
      <c r="F998" s="3" t="s">
        <v>3272</v>
      </c>
      <c r="G998" s="3">
        <v>148600.0</v>
      </c>
      <c r="H998" s="3">
        <v>160900.0</v>
      </c>
      <c r="K998" s="5" t="s">
        <v>4342</v>
      </c>
      <c r="L998" s="6" t="s">
        <v>3248</v>
      </c>
    </row>
    <row r="999" ht="15.75" customHeight="1">
      <c r="A999" s="3" t="s">
        <v>4626</v>
      </c>
      <c r="B999" s="3"/>
      <c r="C999" s="26">
        <v>45834.363483796296</v>
      </c>
      <c r="D999" s="3">
        <v>25.0</v>
      </c>
      <c r="E999" s="3">
        <v>194300.0</v>
      </c>
      <c r="F999" s="3" t="s">
        <v>3272</v>
      </c>
      <c r="G999" s="3">
        <v>160900.0</v>
      </c>
      <c r="H999" s="3">
        <v>180900.0</v>
      </c>
      <c r="K999" s="5" t="s">
        <v>4342</v>
      </c>
      <c r="L999" s="6" t="s">
        <v>3248</v>
      </c>
    </row>
    <row r="1000" ht="15.75" customHeight="1">
      <c r="A1000" s="3" t="s">
        <v>4627</v>
      </c>
      <c r="B1000" s="3"/>
      <c r="C1000" s="26">
        <v>45834.36405092593</v>
      </c>
      <c r="D1000" s="3">
        <v>87.0</v>
      </c>
      <c r="E1000" s="3">
        <v>93700.0</v>
      </c>
      <c r="F1000" s="3" t="s">
        <v>3272</v>
      </c>
      <c r="G1000" s="3">
        <v>72600.0</v>
      </c>
      <c r="H1000" s="3">
        <v>82000.0</v>
      </c>
      <c r="K1000" s="5" t="s">
        <v>4342</v>
      </c>
      <c r="L1000" s="6" t="s">
        <v>3248</v>
      </c>
    </row>
    <row r="1001" ht="15.75" customHeight="1">
      <c r="A1001" s="3" t="s">
        <v>4628</v>
      </c>
      <c r="B1001" s="3"/>
      <c r="C1001" s="26">
        <v>45834.36454861111</v>
      </c>
      <c r="D1001" s="3">
        <v>86.0</v>
      </c>
      <c r="E1001" s="3">
        <v>88000.0</v>
      </c>
      <c r="F1001" s="3" t="s">
        <v>3272</v>
      </c>
      <c r="G1001" s="3">
        <v>69400.0</v>
      </c>
      <c r="H1001" s="3">
        <v>72000.0</v>
      </c>
      <c r="K1001" s="5" t="s">
        <v>4342</v>
      </c>
      <c r="L1001" s="6" t="s">
        <v>3248</v>
      </c>
    </row>
    <row r="1002" ht="15.75" customHeight="1">
      <c r="A1002" s="3" t="s">
        <v>4629</v>
      </c>
      <c r="B1002" s="3"/>
      <c r="C1002" s="26">
        <v>45834.38363425926</v>
      </c>
      <c r="D1002" s="3">
        <v>7.0</v>
      </c>
      <c r="E1002" s="3">
        <v>30000.0</v>
      </c>
      <c r="F1002" s="3" t="s">
        <v>4053</v>
      </c>
      <c r="G1002" s="3">
        <v>0.0</v>
      </c>
      <c r="H1002" s="3">
        <v>12000.0</v>
      </c>
      <c r="K1002" s="5" t="s">
        <v>3337</v>
      </c>
      <c r="L1002" s="6" t="s">
        <v>3247</v>
      </c>
    </row>
    <row r="1003" ht="15.75" customHeight="1">
      <c r="A1003" s="3" t="s">
        <v>4630</v>
      </c>
      <c r="B1003" s="3"/>
      <c r="C1003" s="26">
        <v>45834.3865625</v>
      </c>
      <c r="D1003" s="3">
        <v>86.0</v>
      </c>
      <c r="E1003" s="3">
        <v>88000.0</v>
      </c>
      <c r="F1003" s="3" t="s">
        <v>3272</v>
      </c>
      <c r="G1003" s="3">
        <v>72000.0</v>
      </c>
      <c r="H1003" s="3">
        <v>77000.0</v>
      </c>
      <c r="K1003" s="5" t="s">
        <v>4342</v>
      </c>
      <c r="L1003" s="6" t="s">
        <v>3248</v>
      </c>
    </row>
    <row r="1004" ht="15.75" customHeight="1">
      <c r="A1004" s="3" t="s">
        <v>4631</v>
      </c>
      <c r="B1004" s="3"/>
      <c r="C1004" s="26">
        <v>45834.3878125</v>
      </c>
      <c r="D1004" s="3">
        <v>25.0</v>
      </c>
      <c r="E1004" s="3">
        <v>194300.0</v>
      </c>
      <c r="F1004" s="3" t="s">
        <v>3272</v>
      </c>
      <c r="G1004" s="3">
        <v>180900.0</v>
      </c>
      <c r="H1004" s="3">
        <v>194300.0</v>
      </c>
      <c r="K1004" s="5" t="s">
        <v>4342</v>
      </c>
      <c r="L1004" s="6" t="s">
        <v>3247</v>
      </c>
      <c r="M1004" s="5" t="s">
        <v>3273</v>
      </c>
    </row>
    <row r="1005" ht="15.75" customHeight="1">
      <c r="A1005" s="3" t="s">
        <v>4632</v>
      </c>
      <c r="B1005" s="3"/>
      <c r="C1005" s="26">
        <v>45834.38884259259</v>
      </c>
      <c r="D1005" s="3">
        <v>86.0</v>
      </c>
      <c r="E1005" s="3">
        <v>88000.0</v>
      </c>
      <c r="F1005" s="3" t="s">
        <v>3272</v>
      </c>
      <c r="G1005" s="3">
        <v>77000.0</v>
      </c>
      <c r="H1005" s="3">
        <v>88000.0</v>
      </c>
      <c r="K1005" s="5" t="s">
        <v>4342</v>
      </c>
      <c r="L1005" s="6" t="s">
        <v>3248</v>
      </c>
      <c r="M1005" s="5" t="s">
        <v>3273</v>
      </c>
    </row>
    <row r="1006" ht="15.75" customHeight="1">
      <c r="A1006" s="3" t="s">
        <v>4633</v>
      </c>
      <c r="B1006" s="3"/>
      <c r="C1006" s="26">
        <v>45834.38915509259</v>
      </c>
      <c r="D1006" s="3">
        <v>87.0</v>
      </c>
      <c r="E1006" s="3">
        <v>93700.0</v>
      </c>
      <c r="F1006" s="3" t="s">
        <v>3272</v>
      </c>
      <c r="G1006" s="3">
        <v>82000.0</v>
      </c>
      <c r="H1006" s="3">
        <v>90100.0</v>
      </c>
      <c r="K1006" s="5" t="s">
        <v>4342</v>
      </c>
      <c r="L1006" s="6" t="s">
        <v>3248</v>
      </c>
    </row>
    <row r="1007" ht="15.75" customHeight="1">
      <c r="A1007" s="3" t="s">
        <v>41</v>
      </c>
      <c r="B1007" s="3"/>
      <c r="C1007" s="26">
        <v>45835.39634259259</v>
      </c>
      <c r="D1007" s="3">
        <v>87.0</v>
      </c>
      <c r="E1007" s="3">
        <v>93700.0</v>
      </c>
      <c r="F1007" s="3" t="s">
        <v>3272</v>
      </c>
      <c r="G1007" s="3">
        <v>90100.0</v>
      </c>
      <c r="H1007" s="3">
        <v>93700.0</v>
      </c>
      <c r="K1007" s="5" t="s">
        <v>4342</v>
      </c>
      <c r="L1007" s="6" t="s">
        <v>3248</v>
      </c>
      <c r="M1007" s="5" t="s">
        <v>3273</v>
      </c>
    </row>
    <row r="1008" ht="15.75" customHeight="1">
      <c r="A1008" s="3" t="s">
        <v>4634</v>
      </c>
      <c r="B1008" s="3"/>
      <c r="C1008" s="26">
        <v>45835.396840277775</v>
      </c>
      <c r="D1008" s="3">
        <v>89.0</v>
      </c>
      <c r="E1008" s="3">
        <v>83500.0</v>
      </c>
      <c r="F1008" s="3" t="s">
        <v>3380</v>
      </c>
      <c r="G1008" s="3">
        <v>79900.0</v>
      </c>
      <c r="H1008" s="3">
        <v>83500.0</v>
      </c>
      <c r="K1008" s="5" t="s">
        <v>4342</v>
      </c>
      <c r="L1008" s="5" t="s">
        <v>3246</v>
      </c>
      <c r="M1008" s="5" t="s">
        <v>3273</v>
      </c>
    </row>
    <row r="1009" ht="15.75" customHeight="1">
      <c r="A1009" s="3" t="s">
        <v>4635</v>
      </c>
      <c r="B1009" s="3"/>
      <c r="C1009" s="26">
        <v>45835.39765046296</v>
      </c>
      <c r="D1009" s="3">
        <v>500.0</v>
      </c>
      <c r="E1009" s="3">
        <v>200000.0</v>
      </c>
      <c r="F1009" s="3" t="s">
        <v>4636</v>
      </c>
      <c r="G1009" s="3"/>
      <c r="H1009" s="3">
        <v>1.0</v>
      </c>
      <c r="I1009" s="5" t="s">
        <v>4637</v>
      </c>
      <c r="K1009" s="5"/>
      <c r="L1009" s="5"/>
    </row>
    <row r="1010" ht="15.75" customHeight="1">
      <c r="A1010" s="3" t="s">
        <v>4638</v>
      </c>
      <c r="B1010" s="3"/>
      <c r="C1010" s="26">
        <v>45835.39853009259</v>
      </c>
      <c r="D1010" s="3">
        <v>500.0</v>
      </c>
      <c r="E1010" s="3">
        <v>200000.0</v>
      </c>
      <c r="F1010" s="3" t="s">
        <v>4636</v>
      </c>
      <c r="G1010" s="3">
        <v>1.0</v>
      </c>
      <c r="H1010" s="3">
        <v>3401.0</v>
      </c>
      <c r="I1010" s="5"/>
      <c r="K1010" s="5" t="s">
        <v>3342</v>
      </c>
      <c r="L1010" s="5"/>
      <c r="M1010" s="5" t="s">
        <v>3273</v>
      </c>
    </row>
    <row r="1011" ht="15.75" customHeight="1">
      <c r="A1011" s="3" t="s">
        <v>4639</v>
      </c>
      <c r="B1011" s="3"/>
      <c r="C1011" s="26">
        <v>45841.36020833333</v>
      </c>
      <c r="D1011" s="3">
        <v>12.0</v>
      </c>
      <c r="E1011" s="3">
        <v>35300.0</v>
      </c>
      <c r="F1011" s="3" t="s">
        <v>4285</v>
      </c>
      <c r="G1011" s="3">
        <v>0.0</v>
      </c>
      <c r="H1011" s="3">
        <v>20000.0</v>
      </c>
      <c r="I1011" s="5"/>
      <c r="K1011" s="5" t="s">
        <v>4342</v>
      </c>
      <c r="L1011" s="5"/>
      <c r="M1011" s="5" t="s">
        <v>3273</v>
      </c>
    </row>
    <row r="1012" ht="15.75" customHeight="1">
      <c r="A1012" s="3" t="s">
        <v>4640</v>
      </c>
      <c r="B1012" s="3"/>
      <c r="C1012" s="26">
        <v>45849.70675925926</v>
      </c>
      <c r="D1012" s="3">
        <v>500.0</v>
      </c>
      <c r="E1012" s="3">
        <v>200000.0</v>
      </c>
      <c r="F1012" s="3" t="s">
        <v>4641</v>
      </c>
      <c r="G1012" s="3"/>
      <c r="H1012" s="3">
        <v>200000.0</v>
      </c>
      <c r="I1012" s="5"/>
      <c r="K1012" s="5"/>
      <c r="L1012" s="5"/>
      <c r="M1012" s="5"/>
    </row>
    <row r="1013" ht="15.75" customHeight="1">
      <c r="A1013" s="3" t="s">
        <v>4642</v>
      </c>
      <c r="B1013" s="3"/>
      <c r="C1013" s="26">
        <v>45849.707453703704</v>
      </c>
      <c r="D1013" s="3">
        <v>12.0</v>
      </c>
      <c r="E1013" s="3">
        <v>35300.0</v>
      </c>
      <c r="F1013" s="3" t="s">
        <v>4285</v>
      </c>
      <c r="G1013" s="3">
        <v>20000.0</v>
      </c>
      <c r="H1013" s="3">
        <v>23000.0</v>
      </c>
      <c r="I1013" s="5"/>
      <c r="K1013" s="5" t="s">
        <v>4342</v>
      </c>
      <c r="L1013" s="5"/>
      <c r="M1013" s="5"/>
    </row>
    <row r="1014" ht="15.75" customHeight="1">
      <c r="A1014" s="3" t="s">
        <v>4643</v>
      </c>
      <c r="B1014" s="3"/>
      <c r="C1014" s="26">
        <v>45849.707662037035</v>
      </c>
      <c r="D1014" s="3">
        <v>500.0</v>
      </c>
      <c r="E1014" s="3">
        <v>200000.0</v>
      </c>
      <c r="F1014" s="3" t="s">
        <v>4641</v>
      </c>
      <c r="G1014" s="3">
        <v>0.0</v>
      </c>
      <c r="H1014" s="3">
        <v>1.0</v>
      </c>
      <c r="I1014" s="5"/>
      <c r="K1014" s="5"/>
      <c r="L1014" s="5"/>
      <c r="M1014" s="5"/>
    </row>
    <row r="1015" ht="15.75" customHeight="1">
      <c r="A1015" s="3" t="s">
        <v>4644</v>
      </c>
      <c r="B1015" s="3"/>
      <c r="C1015" s="26">
        <v>45849.71193287037</v>
      </c>
      <c r="D1015" s="3">
        <v>500.0</v>
      </c>
      <c r="E1015" s="3">
        <v>200000.0</v>
      </c>
      <c r="F1015" s="3" t="s">
        <v>4641</v>
      </c>
      <c r="G1015" s="3">
        <v>1.0</v>
      </c>
      <c r="H1015" s="3">
        <v>10001.0</v>
      </c>
      <c r="I1015" s="5"/>
      <c r="K1015" s="5"/>
      <c r="L1015" s="5"/>
      <c r="M1015" s="5"/>
    </row>
    <row r="1016" ht="15.75" customHeight="1">
      <c r="A1016" s="3" t="s">
        <v>4645</v>
      </c>
      <c r="B1016" s="3"/>
      <c r="C1016" s="26">
        <v>45849.71238425926</v>
      </c>
      <c r="D1016" s="3">
        <v>500.0</v>
      </c>
      <c r="E1016" s="3">
        <v>200000.0</v>
      </c>
      <c r="F1016" s="3" t="s">
        <v>4641</v>
      </c>
      <c r="G1016" s="3">
        <v>10001.0</v>
      </c>
      <c r="H1016" s="3">
        <v>16101.0</v>
      </c>
      <c r="I1016" s="5"/>
      <c r="K1016" s="5"/>
      <c r="L1016" s="5"/>
      <c r="M1016" s="5"/>
    </row>
    <row r="1017" ht="15.75" customHeight="1">
      <c r="A1017" s="3" t="s">
        <v>44</v>
      </c>
      <c r="B1017" s="3"/>
      <c r="C1017" s="26">
        <v>45849.71310185185</v>
      </c>
      <c r="D1017" s="3">
        <v>931.0</v>
      </c>
      <c r="E1017" s="3">
        <v>11200.0</v>
      </c>
      <c r="F1017" s="3" t="s">
        <v>4285</v>
      </c>
      <c r="G1017" s="3">
        <v>0.0</v>
      </c>
      <c r="H1017" s="3">
        <v>11200.0</v>
      </c>
      <c r="I1017" s="5"/>
      <c r="K1017" s="5" t="s">
        <v>4342</v>
      </c>
      <c r="L1017" s="5"/>
      <c r="M1017" s="5" t="s">
        <v>3273</v>
      </c>
    </row>
    <row r="1018" ht="15.75" customHeight="1">
      <c r="A1018" s="3" t="s">
        <v>45</v>
      </c>
      <c r="B1018" s="3"/>
      <c r="C1018" s="26">
        <v>45849.713217592594</v>
      </c>
      <c r="D1018" s="3">
        <v>935.0</v>
      </c>
      <c r="E1018" s="3">
        <v>11200.0</v>
      </c>
      <c r="F1018" s="3" t="s">
        <v>4285</v>
      </c>
      <c r="G1018" s="3">
        <v>0.0</v>
      </c>
      <c r="H1018" s="3">
        <v>11200.0</v>
      </c>
      <c r="I1018" s="5"/>
      <c r="K1018" s="5" t="s">
        <v>4342</v>
      </c>
      <c r="L1018" s="5"/>
      <c r="M1018" s="5" t="s">
        <v>3273</v>
      </c>
    </row>
    <row r="1019" ht="15.75" customHeight="1">
      <c r="A1019" s="3" t="s">
        <v>4646</v>
      </c>
      <c r="B1019" s="3"/>
      <c r="C1019" s="26">
        <v>45849.71357638889</v>
      </c>
      <c r="D1019" s="3">
        <v>51.0</v>
      </c>
      <c r="E1019" s="3">
        <v>3900.0</v>
      </c>
      <c r="F1019" s="3" t="s">
        <v>4285</v>
      </c>
      <c r="G1019" s="3">
        <v>0.0</v>
      </c>
      <c r="H1019" s="3">
        <v>600.0</v>
      </c>
      <c r="I1019" s="5"/>
      <c r="K1019" s="5" t="s">
        <v>4342</v>
      </c>
      <c r="L1019" s="5"/>
      <c r="M1019" s="5"/>
    </row>
    <row r="1020" ht="15.75" customHeight="1">
      <c r="A1020" s="3" t="s">
        <v>33</v>
      </c>
      <c r="B1020" s="3"/>
      <c r="C1020" s="26">
        <v>45859.658125</v>
      </c>
      <c r="D1020" s="3">
        <v>68.0</v>
      </c>
      <c r="E1020" s="3">
        <v>13000.0</v>
      </c>
      <c r="F1020" s="3" t="s">
        <v>3894</v>
      </c>
      <c r="G1020" s="3">
        <v>0.0</v>
      </c>
      <c r="H1020" s="3">
        <v>13000.0</v>
      </c>
      <c r="I1020" s="5"/>
      <c r="K1020" s="5" t="s">
        <v>4647</v>
      </c>
      <c r="L1020" s="5" t="s">
        <v>3246</v>
      </c>
      <c r="M1020" s="5" t="s">
        <v>3273</v>
      </c>
    </row>
    <row r="1021" ht="15.75" customHeight="1">
      <c r="A1021" s="3" t="s">
        <v>4648</v>
      </c>
      <c r="B1021" s="3"/>
      <c r="C1021" s="26">
        <v>45859.65913194444</v>
      </c>
      <c r="D1021" s="3">
        <v>69.0</v>
      </c>
      <c r="E1021" s="3">
        <v>13000.0</v>
      </c>
      <c r="F1021" s="3" t="s">
        <v>3365</v>
      </c>
      <c r="G1021" s="3">
        <v>0.0</v>
      </c>
      <c r="H1021" s="3">
        <v>4000.0</v>
      </c>
      <c r="I1021" s="5"/>
      <c r="K1021" s="5" t="s">
        <v>3342</v>
      </c>
      <c r="L1021" s="5"/>
      <c r="M1021" s="5"/>
    </row>
    <row r="1022" ht="15.75" customHeight="1">
      <c r="A1022" s="3" t="s">
        <v>4649</v>
      </c>
      <c r="B1022" s="3"/>
      <c r="C1022" s="26">
        <v>45859.659780092596</v>
      </c>
      <c r="D1022" s="3">
        <v>111.0</v>
      </c>
      <c r="E1022" s="3">
        <v>4000.0</v>
      </c>
      <c r="F1022" s="3" t="s">
        <v>3365</v>
      </c>
      <c r="G1022" s="3">
        <v>0.0</v>
      </c>
      <c r="H1022" s="3">
        <v>4000.0</v>
      </c>
      <c r="I1022" s="5"/>
      <c r="K1022" s="5" t="s">
        <v>4647</v>
      </c>
      <c r="L1022" s="5"/>
      <c r="M1022" s="5" t="s">
        <v>3273</v>
      </c>
    </row>
    <row r="1023" ht="15.75" customHeight="1">
      <c r="A1023" s="3" t="s">
        <v>4650</v>
      </c>
      <c r="B1023" s="3"/>
      <c r="C1023" s="26">
        <v>45860.739282407405</v>
      </c>
      <c r="D1023" s="3">
        <v>114.0</v>
      </c>
      <c r="E1023" s="3">
        <v>125300.0</v>
      </c>
      <c r="F1023" s="3" t="s">
        <v>4017</v>
      </c>
      <c r="G1023" s="3">
        <v>0.0</v>
      </c>
      <c r="H1023" s="3">
        <v>22000.0</v>
      </c>
      <c r="I1023" s="5"/>
      <c r="K1023" s="5" t="s">
        <v>4647</v>
      </c>
      <c r="L1023" s="6" t="s">
        <v>3247</v>
      </c>
      <c r="M1023" s="5"/>
    </row>
    <row r="1024" ht="15.75" customHeight="1">
      <c r="A1024" s="3" t="s">
        <v>4651</v>
      </c>
      <c r="B1024" s="3"/>
      <c r="C1024" s="26">
        <v>45861.71545138889</v>
      </c>
      <c r="D1024" s="3">
        <v>114.0</v>
      </c>
      <c r="E1024" s="3">
        <v>125300.0</v>
      </c>
      <c r="F1024" s="3" t="s">
        <v>4017</v>
      </c>
      <c r="G1024" s="3">
        <v>22000.0</v>
      </c>
      <c r="H1024" s="3">
        <v>59000.0</v>
      </c>
      <c r="I1024" s="5"/>
      <c r="K1024" s="5" t="s">
        <v>4647</v>
      </c>
      <c r="L1024" s="6" t="s">
        <v>3247</v>
      </c>
      <c r="M1024" s="5"/>
    </row>
    <row r="1025" ht="15.75" customHeight="1">
      <c r="A1025" s="3" t="s">
        <v>4652</v>
      </c>
      <c r="B1025" s="3"/>
      <c r="C1025" s="26">
        <v>45862.71564814815</v>
      </c>
      <c r="D1025" s="3">
        <v>114.0</v>
      </c>
      <c r="E1025" s="3">
        <v>125300.0</v>
      </c>
      <c r="F1025" s="3" t="s">
        <v>4017</v>
      </c>
      <c r="G1025" s="3">
        <v>59000.0</v>
      </c>
      <c r="H1025" s="3">
        <v>81000.0</v>
      </c>
      <c r="I1025" s="5"/>
      <c r="K1025" s="5" t="s">
        <v>4647</v>
      </c>
      <c r="L1025" s="6" t="s">
        <v>3247</v>
      </c>
      <c r="M1025" s="5"/>
    </row>
    <row r="1026" ht="15.75" customHeight="1">
      <c r="A1026" s="3" t="s">
        <v>4653</v>
      </c>
      <c r="B1026" s="3"/>
      <c r="C1026" s="26">
        <v>45862.716469907406</v>
      </c>
      <c r="D1026" s="3">
        <v>114.0</v>
      </c>
      <c r="E1026" s="3">
        <v>125300.0</v>
      </c>
      <c r="F1026" s="3" t="s">
        <v>4017</v>
      </c>
      <c r="G1026" s="3">
        <v>81000.0</v>
      </c>
      <c r="H1026" s="3">
        <v>100000.0</v>
      </c>
      <c r="I1026" s="5"/>
      <c r="K1026" s="5" t="s">
        <v>4647</v>
      </c>
      <c r="L1026" s="6" t="s">
        <v>3247</v>
      </c>
      <c r="M1026" s="5"/>
    </row>
    <row r="1027" ht="15.75" customHeight="1">
      <c r="A1027" s="3" t="s">
        <v>52</v>
      </c>
      <c r="B1027" s="3"/>
      <c r="C1027" s="26">
        <v>45866.66369212963</v>
      </c>
      <c r="D1027" s="3">
        <v>114.0</v>
      </c>
      <c r="E1027" s="3">
        <v>125300.0</v>
      </c>
      <c r="F1027" s="3" t="s">
        <v>4017</v>
      </c>
      <c r="G1027" s="3">
        <v>100000.0</v>
      </c>
      <c r="H1027" s="3">
        <v>125300.0</v>
      </c>
      <c r="I1027" s="5"/>
      <c r="K1027" s="5" t="s">
        <v>4647</v>
      </c>
      <c r="L1027" s="6" t="s">
        <v>3247</v>
      </c>
      <c r="M1027" s="5" t="s">
        <v>3273</v>
      </c>
    </row>
    <row r="1028" ht="15.75" customHeight="1">
      <c r="A1028" s="3" t="s">
        <v>4654</v>
      </c>
      <c r="B1028" s="3"/>
      <c r="C1028" s="26">
        <v>45867.53402777778</v>
      </c>
      <c r="D1028" s="3">
        <v>65.0</v>
      </c>
      <c r="E1028" s="3">
        <v>35500.0</v>
      </c>
      <c r="F1028" s="3" t="s">
        <v>4017</v>
      </c>
      <c r="G1028" s="3">
        <v>0.0</v>
      </c>
      <c r="H1028" s="3">
        <v>30000.0</v>
      </c>
      <c r="I1028" s="5"/>
      <c r="K1028" s="5" t="s">
        <v>4647</v>
      </c>
      <c r="L1028" s="6" t="s">
        <v>3247</v>
      </c>
      <c r="M1028" s="5"/>
    </row>
    <row r="1029" ht="15.75" customHeight="1">
      <c r="A1029" s="3" t="s">
        <v>4655</v>
      </c>
      <c r="B1029" s="3"/>
      <c r="C1029" s="26">
        <v>45867.534583333334</v>
      </c>
      <c r="D1029" s="3">
        <v>66.0</v>
      </c>
      <c r="E1029" s="3">
        <v>23000.0</v>
      </c>
      <c r="F1029" s="3" t="s">
        <v>4017</v>
      </c>
      <c r="G1029" s="3">
        <v>0.0</v>
      </c>
      <c r="H1029" s="3">
        <v>13500.0</v>
      </c>
      <c r="I1029" s="5"/>
      <c r="K1029" s="5" t="s">
        <v>4647</v>
      </c>
      <c r="L1029" s="6" t="s">
        <v>3247</v>
      </c>
      <c r="M1029" s="5"/>
    </row>
    <row r="1030" ht="15.75" customHeight="1">
      <c r="A1030" s="3" t="s">
        <v>4656</v>
      </c>
      <c r="B1030" s="3"/>
      <c r="C1030" s="26">
        <v>45867.53539351852</v>
      </c>
      <c r="D1030" s="3">
        <v>51.0</v>
      </c>
      <c r="E1030" s="3">
        <v>3900.0</v>
      </c>
      <c r="F1030" s="3" t="s">
        <v>4285</v>
      </c>
      <c r="G1030" s="3">
        <v>600.0</v>
      </c>
      <c r="H1030" s="3">
        <v>2300.0</v>
      </c>
      <c r="I1030" s="5"/>
      <c r="K1030" s="5" t="s">
        <v>4342</v>
      </c>
      <c r="L1030" s="5"/>
      <c r="M1030" s="5"/>
    </row>
    <row r="1031" ht="15.75" customHeight="1">
      <c r="A1031" s="3" t="s">
        <v>4657</v>
      </c>
      <c r="B1031" s="3"/>
      <c r="C1031" s="26">
        <v>45867.536516203705</v>
      </c>
      <c r="D1031" s="3">
        <v>51.0</v>
      </c>
      <c r="E1031" s="3">
        <v>3900.0</v>
      </c>
      <c r="F1031" s="3" t="s">
        <v>4017</v>
      </c>
      <c r="G1031" s="3">
        <v>2300.0</v>
      </c>
      <c r="H1031" s="3">
        <v>3900.0</v>
      </c>
      <c r="I1031" s="5"/>
      <c r="K1031" s="5" t="s">
        <v>4342</v>
      </c>
      <c r="L1031" s="6" t="s">
        <v>3247</v>
      </c>
      <c r="M1031" s="5"/>
    </row>
    <row r="1032" ht="15.75" customHeight="1">
      <c r="A1032" s="3" t="s">
        <v>4658</v>
      </c>
      <c r="B1032" s="3"/>
      <c r="C1032" s="26">
        <v>45867.53670138889</v>
      </c>
      <c r="D1032" s="3">
        <v>500.0</v>
      </c>
      <c r="E1032" s="3">
        <v>200000.0</v>
      </c>
      <c r="F1032" s="3" t="s">
        <v>4659</v>
      </c>
      <c r="G1032" s="3"/>
      <c r="H1032" s="3">
        <v>1.0</v>
      </c>
      <c r="I1032" s="5"/>
      <c r="K1032" s="5"/>
      <c r="L1032" s="5"/>
      <c r="M1032" s="5"/>
    </row>
    <row r="1033" ht="15.75" customHeight="1">
      <c r="A1033" s="3" t="s">
        <v>4660</v>
      </c>
      <c r="B1033" s="3"/>
      <c r="C1033" s="26">
        <v>45867.53729166667</v>
      </c>
      <c r="D1033" s="3">
        <v>500.0</v>
      </c>
      <c r="E1033" s="3">
        <v>200000.0</v>
      </c>
      <c r="F1033" s="3" t="s">
        <v>4659</v>
      </c>
      <c r="G1033" s="3">
        <v>1.0</v>
      </c>
      <c r="H1033" s="3">
        <v>2501.0</v>
      </c>
      <c r="I1033" s="5"/>
      <c r="K1033" s="5" t="s">
        <v>3342</v>
      </c>
      <c r="L1033" s="5"/>
      <c r="M1033" s="5"/>
    </row>
    <row r="1034" ht="15.75" customHeight="1">
      <c r="A1034" s="3" t="s">
        <v>29</v>
      </c>
      <c r="B1034" s="3"/>
      <c r="C1034" s="26">
        <v>45868.67701388889</v>
      </c>
      <c r="D1034" s="3">
        <v>65.0</v>
      </c>
      <c r="E1034" s="3">
        <v>35500.0</v>
      </c>
      <c r="F1034" s="3" t="s">
        <v>4017</v>
      </c>
      <c r="G1034" s="3">
        <v>30000.0</v>
      </c>
      <c r="H1034" s="3">
        <v>35500.0</v>
      </c>
      <c r="I1034" s="5"/>
      <c r="K1034" s="5" t="s">
        <v>4647</v>
      </c>
      <c r="L1034" s="6" t="s">
        <v>3247</v>
      </c>
      <c r="M1034" s="5" t="s">
        <v>3273</v>
      </c>
    </row>
    <row r="1035" ht="15.75" customHeight="1">
      <c r="A1035" s="3" t="s">
        <v>4661</v>
      </c>
      <c r="B1035" s="3"/>
      <c r="C1035" s="26">
        <v>45868.67789351852</v>
      </c>
      <c r="D1035" s="3">
        <v>66.0</v>
      </c>
      <c r="E1035" s="3">
        <v>23000.0</v>
      </c>
      <c r="F1035" s="3" t="s">
        <v>4017</v>
      </c>
      <c r="G1035" s="3">
        <v>13500.0</v>
      </c>
      <c r="H1035" s="3">
        <v>16900.0</v>
      </c>
      <c r="I1035" s="5"/>
      <c r="K1035" s="5" t="s">
        <v>4647</v>
      </c>
      <c r="L1035" s="6" t="s">
        <v>3247</v>
      </c>
      <c r="M1035" s="5"/>
    </row>
    <row r="1036" ht="15.75" customHeight="1">
      <c r="A1036" s="3" t="s">
        <v>4662</v>
      </c>
      <c r="B1036" s="3"/>
      <c r="C1036" s="26">
        <v>45868.678564814814</v>
      </c>
      <c r="D1036" s="3">
        <v>69.0</v>
      </c>
      <c r="E1036" s="3">
        <v>13000.0</v>
      </c>
      <c r="F1036" s="3" t="s">
        <v>3341</v>
      </c>
      <c r="G1036" s="3">
        <v>0.0</v>
      </c>
      <c r="H1036" s="3">
        <v>10900.0</v>
      </c>
      <c r="I1036" s="5"/>
      <c r="K1036" s="5" t="s">
        <v>4647</v>
      </c>
      <c r="L1036" s="5"/>
      <c r="M1036" s="5"/>
    </row>
    <row r="1037" ht="15.75" customHeight="1">
      <c r="A1037" s="3" t="s">
        <v>4663</v>
      </c>
      <c r="B1037" s="3"/>
      <c r="C1037" s="26">
        <v>45869.747141203705</v>
      </c>
      <c r="D1037" s="3">
        <v>85.0</v>
      </c>
      <c r="E1037" s="3">
        <v>84000.0</v>
      </c>
      <c r="F1037" s="3" t="s">
        <v>3275</v>
      </c>
      <c r="G1037" s="3">
        <v>0.0</v>
      </c>
      <c r="H1037" s="3">
        <v>50000.0</v>
      </c>
      <c r="I1037" s="5"/>
      <c r="K1037" s="5" t="s">
        <v>4647</v>
      </c>
      <c r="L1037" s="6" t="s">
        <v>3248</v>
      </c>
      <c r="M1037" s="5"/>
    </row>
    <row r="1038" ht="15.75" customHeight="1">
      <c r="A1038" s="3" t="s">
        <v>4664</v>
      </c>
      <c r="B1038" s="3"/>
      <c r="C1038" s="26">
        <v>45869.748090277775</v>
      </c>
      <c r="D1038" s="3">
        <v>106.0</v>
      </c>
      <c r="E1038" s="3">
        <v>11000.0</v>
      </c>
      <c r="F1038" s="3" t="s">
        <v>3341</v>
      </c>
      <c r="G1038" s="3">
        <v>0.0</v>
      </c>
      <c r="H1038" s="3">
        <v>10900.0</v>
      </c>
      <c r="I1038" s="5"/>
      <c r="K1038" s="5" t="s">
        <v>4647</v>
      </c>
      <c r="L1038" s="5"/>
      <c r="M1038" s="5"/>
    </row>
    <row r="1039" ht="15.75" customHeight="1">
      <c r="A1039" s="3" t="s">
        <v>49</v>
      </c>
      <c r="B1039" s="3"/>
      <c r="C1039" s="26">
        <v>45869.74858796296</v>
      </c>
      <c r="D1039" s="3">
        <v>106.0</v>
      </c>
      <c r="E1039" s="3">
        <v>11000.0</v>
      </c>
      <c r="F1039" s="3" t="s">
        <v>3341</v>
      </c>
      <c r="G1039" s="3">
        <v>10900.0</v>
      </c>
      <c r="H1039" s="3">
        <v>11000.0</v>
      </c>
      <c r="I1039" s="5"/>
      <c r="K1039" s="5" t="s">
        <v>4647</v>
      </c>
      <c r="L1039" s="5"/>
      <c r="M1039" s="5" t="s">
        <v>3273</v>
      </c>
    </row>
    <row r="1040" ht="15.75" customHeight="1">
      <c r="A1040" s="3" t="s">
        <v>4665</v>
      </c>
      <c r="B1040" s="3"/>
      <c r="C1040" s="26">
        <v>45874.46556712963</v>
      </c>
      <c r="D1040" s="3">
        <v>85.0</v>
      </c>
      <c r="E1040" s="3">
        <v>84000.0</v>
      </c>
      <c r="F1040" s="3" t="s">
        <v>3275</v>
      </c>
      <c r="G1040" s="3">
        <v>50000.0</v>
      </c>
      <c r="H1040" s="3">
        <v>78700.0</v>
      </c>
      <c r="I1040" s="5"/>
      <c r="K1040" s="5" t="s">
        <v>4647</v>
      </c>
      <c r="L1040" s="6" t="s">
        <v>3248</v>
      </c>
      <c r="M1040" s="5"/>
    </row>
    <row r="1041" ht="15.75" customHeight="1">
      <c r="A1041" s="3" t="s">
        <v>4666</v>
      </c>
      <c r="B1041" s="3"/>
      <c r="C1041" s="26">
        <v>45874.46854166667</v>
      </c>
      <c r="D1041" s="3">
        <v>85.0</v>
      </c>
      <c r="E1041" s="3">
        <v>84000.0</v>
      </c>
      <c r="F1041" s="3" t="s">
        <v>3275</v>
      </c>
      <c r="G1041" s="3">
        <v>78700.0</v>
      </c>
      <c r="H1041" s="3">
        <v>80700.0</v>
      </c>
      <c r="I1041" s="5"/>
      <c r="K1041" s="5" t="s">
        <v>4647</v>
      </c>
      <c r="L1041" s="6" t="s">
        <v>3248</v>
      </c>
      <c r="M1041" s="5"/>
    </row>
    <row r="1042" ht="15.75" customHeight="1">
      <c r="A1042" s="3" t="s">
        <v>39</v>
      </c>
      <c r="B1042" s="3"/>
      <c r="C1042" s="26">
        <v>45874.46908564815</v>
      </c>
      <c r="D1042" s="3">
        <v>85.0</v>
      </c>
      <c r="E1042" s="3">
        <v>84000.0</v>
      </c>
      <c r="F1042" s="3" t="s">
        <v>3275</v>
      </c>
      <c r="G1042" s="3">
        <v>80700.0</v>
      </c>
      <c r="H1042" s="3">
        <v>84000.0</v>
      </c>
      <c r="I1042" s="5"/>
      <c r="K1042" s="5" t="s">
        <v>4647</v>
      </c>
      <c r="L1042" s="6" t="s">
        <v>3248</v>
      </c>
      <c r="M1042" s="5" t="s">
        <v>3273</v>
      </c>
    </row>
    <row r="1043" ht="15.75" customHeight="1">
      <c r="A1043" s="3" t="s">
        <v>4667</v>
      </c>
      <c r="B1043" s="3"/>
      <c r="C1043" s="26">
        <v>45874.46959490741</v>
      </c>
      <c r="D1043" s="3">
        <v>84.0</v>
      </c>
      <c r="E1043" s="3">
        <v>83000.0</v>
      </c>
      <c r="F1043" s="3" t="s">
        <v>3275</v>
      </c>
      <c r="G1043" s="3">
        <v>0.0</v>
      </c>
      <c r="H1043" s="3">
        <v>34700.0</v>
      </c>
      <c r="I1043" s="5"/>
      <c r="K1043" s="5" t="s">
        <v>4647</v>
      </c>
      <c r="L1043" s="5" t="s">
        <v>3249</v>
      </c>
      <c r="M1043" s="5"/>
    </row>
    <row r="1044" ht="15.75" customHeight="1">
      <c r="A1044" s="3" t="s">
        <v>4668</v>
      </c>
      <c r="B1044" s="3"/>
      <c r="C1044" s="26">
        <v>45874.47210648148</v>
      </c>
      <c r="D1044" s="3">
        <v>84.0</v>
      </c>
      <c r="E1044" s="3">
        <v>83000.0</v>
      </c>
      <c r="F1044" s="3" t="s">
        <v>3275</v>
      </c>
      <c r="G1044" s="3">
        <v>34700.0</v>
      </c>
      <c r="H1044" s="3">
        <v>69700.0</v>
      </c>
      <c r="I1044" s="5"/>
      <c r="K1044" s="5" t="s">
        <v>4647</v>
      </c>
      <c r="L1044" s="5" t="s">
        <v>3249</v>
      </c>
      <c r="M1044" s="5"/>
    </row>
    <row r="1045" ht="15.75" customHeight="1">
      <c r="A1045" s="3" t="s">
        <v>4669</v>
      </c>
      <c r="B1045" s="3"/>
      <c r="C1045" s="26">
        <v>45874.472662037035</v>
      </c>
      <c r="D1045" s="3">
        <v>500.0</v>
      </c>
      <c r="E1045" s="3">
        <v>200000.0</v>
      </c>
      <c r="F1045" s="3" t="s">
        <v>3275</v>
      </c>
      <c r="G1045" s="3">
        <v>2501.0</v>
      </c>
      <c r="H1045" s="3">
        <v>3201.0</v>
      </c>
      <c r="I1045" s="5"/>
      <c r="K1045" s="5" t="s">
        <v>4342</v>
      </c>
      <c r="L1045" s="6" t="s">
        <v>3248</v>
      </c>
      <c r="M1045" s="5"/>
    </row>
    <row r="1046" ht="15.75" customHeight="1">
      <c r="A1046" s="3" t="s">
        <v>4670</v>
      </c>
      <c r="B1046" s="3"/>
      <c r="C1046" s="26">
        <v>45874.476585648146</v>
      </c>
      <c r="D1046" s="3">
        <v>118.0</v>
      </c>
      <c r="E1046" s="3">
        <v>155600.0</v>
      </c>
      <c r="F1046" s="3" t="s">
        <v>4671</v>
      </c>
      <c r="G1046" s="3">
        <v>0.0</v>
      </c>
      <c r="H1046" s="3">
        <v>27000.0</v>
      </c>
      <c r="I1046" s="5"/>
      <c r="K1046" s="5" t="s">
        <v>3342</v>
      </c>
      <c r="L1046" s="6" t="s">
        <v>3247</v>
      </c>
      <c r="M1046" s="5"/>
    </row>
    <row r="1047" ht="15.75" customHeight="1">
      <c r="A1047" s="3" t="s">
        <v>4672</v>
      </c>
      <c r="B1047" s="3"/>
      <c r="C1047" s="26">
        <v>45874.4793287037</v>
      </c>
      <c r="D1047" s="3">
        <v>118.0</v>
      </c>
      <c r="E1047" s="3">
        <v>155600.0</v>
      </c>
      <c r="F1047" s="3" t="s">
        <v>4671</v>
      </c>
      <c r="G1047" s="3">
        <v>27000.0</v>
      </c>
      <c r="H1047" s="3">
        <v>45000.0</v>
      </c>
      <c r="I1047" s="5"/>
      <c r="K1047" s="5" t="s">
        <v>3342</v>
      </c>
      <c r="L1047" s="6" t="s">
        <v>3247</v>
      </c>
      <c r="M1047" s="5"/>
    </row>
    <row r="1048" ht="15.75" customHeight="1">
      <c r="A1048" s="4" t="s">
        <v>4673</v>
      </c>
      <c r="B1048" s="3"/>
      <c r="C1048" s="26">
        <v>45874.47981481482</v>
      </c>
      <c r="D1048" s="3">
        <v>118.0</v>
      </c>
      <c r="E1048" s="3">
        <v>155600.0</v>
      </c>
      <c r="F1048" s="3" t="s">
        <v>4671</v>
      </c>
      <c r="G1048" s="3">
        <v>45000.0</v>
      </c>
      <c r="H1048" s="3">
        <v>52000.0</v>
      </c>
      <c r="I1048" s="5"/>
      <c r="K1048" s="5" t="s">
        <v>3342</v>
      </c>
      <c r="L1048" s="6" t="s">
        <v>3247</v>
      </c>
      <c r="M1048" s="5"/>
    </row>
    <row r="1049" ht="15.75" customHeight="1">
      <c r="A1049" s="3" t="s">
        <v>4674</v>
      </c>
      <c r="B1049" s="3"/>
      <c r="C1049" s="26">
        <v>45874.48034722222</v>
      </c>
      <c r="D1049" s="3">
        <v>118.0</v>
      </c>
      <c r="E1049" s="3">
        <v>155600.0</v>
      </c>
      <c r="F1049" s="3" t="s">
        <v>4671</v>
      </c>
      <c r="G1049" s="3">
        <v>52000.0</v>
      </c>
      <c r="H1049" s="3">
        <v>87000.0</v>
      </c>
      <c r="I1049" s="5"/>
      <c r="K1049" s="5" t="s">
        <v>3342</v>
      </c>
      <c r="L1049" s="6" t="s">
        <v>3247</v>
      </c>
      <c r="M1049" s="5"/>
    </row>
    <row r="1050" ht="15.75" customHeight="1">
      <c r="A1050" s="3" t="s">
        <v>4675</v>
      </c>
      <c r="B1050" s="3"/>
      <c r="C1050" s="26">
        <v>45874.48091435185</v>
      </c>
      <c r="D1050" s="3">
        <v>118.0</v>
      </c>
      <c r="E1050" s="3">
        <v>155600.0</v>
      </c>
      <c r="F1050" s="3" t="s">
        <v>4671</v>
      </c>
      <c r="G1050" s="3">
        <v>87000.0</v>
      </c>
      <c r="H1050" s="3">
        <v>100000.0</v>
      </c>
      <c r="I1050" s="5"/>
      <c r="K1050" s="5" t="s">
        <v>3342</v>
      </c>
      <c r="L1050" s="6" t="s">
        <v>3247</v>
      </c>
      <c r="M1050" s="5"/>
    </row>
    <row r="1051" ht="15.75" customHeight="1">
      <c r="A1051" s="3" t="s">
        <v>15</v>
      </c>
      <c r="B1051" s="3"/>
      <c r="C1051" s="26">
        <v>45874.48359953704</v>
      </c>
      <c r="D1051" s="3">
        <v>25.0</v>
      </c>
      <c r="E1051" s="3">
        <v>194300.0</v>
      </c>
      <c r="F1051" s="3" t="s">
        <v>3272</v>
      </c>
      <c r="G1051" s="3">
        <v>167300.0</v>
      </c>
      <c r="H1051" s="3">
        <v>194300.0</v>
      </c>
      <c r="I1051" s="5"/>
      <c r="K1051" s="5" t="s">
        <v>4342</v>
      </c>
      <c r="L1051" s="6" t="s">
        <v>3247</v>
      </c>
      <c r="M1051" s="5" t="s">
        <v>3273</v>
      </c>
    </row>
    <row r="1052" ht="15.75" customHeight="1">
      <c r="A1052" s="3" t="s">
        <v>43</v>
      </c>
      <c r="B1052" s="3"/>
      <c r="C1052" s="26">
        <v>45874.48401620371</v>
      </c>
      <c r="D1052" s="3">
        <v>90.0</v>
      </c>
      <c r="E1052" s="3">
        <v>97500.0</v>
      </c>
      <c r="F1052" s="3" t="s">
        <v>3662</v>
      </c>
      <c r="G1052" s="3">
        <v>79500.0</v>
      </c>
      <c r="H1052" s="3">
        <v>97500.0</v>
      </c>
      <c r="I1052" s="5"/>
      <c r="K1052" s="5" t="s">
        <v>4342</v>
      </c>
      <c r="L1052" s="6" t="s">
        <v>3247</v>
      </c>
      <c r="M1052" s="5" t="s">
        <v>3273</v>
      </c>
    </row>
    <row r="1053" ht="15.75" customHeight="1">
      <c r="A1053" s="3" t="s">
        <v>27</v>
      </c>
      <c r="B1053" s="3"/>
      <c r="C1053" s="26">
        <v>45874.48425925926</v>
      </c>
      <c r="D1053" s="3">
        <v>54.0</v>
      </c>
      <c r="E1053" s="3">
        <v>22900.0</v>
      </c>
      <c r="F1053" s="3" t="s">
        <v>3272</v>
      </c>
      <c r="G1053" s="3">
        <v>0.0</v>
      </c>
      <c r="H1053" s="3">
        <v>22900.0</v>
      </c>
      <c r="I1053" s="5"/>
      <c r="K1053" s="5" t="s">
        <v>4342</v>
      </c>
      <c r="L1053" s="6" t="s">
        <v>3248</v>
      </c>
      <c r="M1053" s="5" t="s">
        <v>3273</v>
      </c>
    </row>
    <row r="1054" ht="15.75" customHeight="1">
      <c r="A1054" s="3" t="s">
        <v>13</v>
      </c>
      <c r="B1054" s="3"/>
      <c r="C1054" s="26">
        <v>45874.484930555554</v>
      </c>
      <c r="D1054" s="3">
        <v>16.0</v>
      </c>
      <c r="E1054" s="3">
        <v>19500.0</v>
      </c>
      <c r="F1054" s="3" t="s">
        <v>3272</v>
      </c>
      <c r="G1054" s="3">
        <v>0.0</v>
      </c>
      <c r="H1054" s="3">
        <v>19500.0</v>
      </c>
      <c r="I1054" s="5"/>
      <c r="K1054" s="5" t="s">
        <v>4342</v>
      </c>
      <c r="L1054" s="6" t="s">
        <v>3248</v>
      </c>
      <c r="M1054" s="5" t="s">
        <v>3273</v>
      </c>
    </row>
    <row r="1055" ht="15.75" customHeight="1">
      <c r="A1055" s="3" t="s">
        <v>4676</v>
      </c>
      <c r="B1055" s="3"/>
      <c r="C1055" s="26">
        <v>45874.48638888889</v>
      </c>
      <c r="D1055" s="3">
        <v>6.0</v>
      </c>
      <c r="E1055" s="3">
        <v>32000.0</v>
      </c>
      <c r="F1055" s="3" t="s">
        <v>3386</v>
      </c>
      <c r="G1055" s="3">
        <v>0.0</v>
      </c>
      <c r="H1055" s="3">
        <v>28100.0</v>
      </c>
      <c r="I1055" s="5"/>
      <c r="K1055" s="5" t="s">
        <v>4342</v>
      </c>
      <c r="L1055" s="5"/>
      <c r="M1055" s="5"/>
    </row>
    <row r="1056" ht="15.75" customHeight="1">
      <c r="A1056" s="3" t="s">
        <v>4677</v>
      </c>
      <c r="B1056" s="3"/>
      <c r="C1056" s="26">
        <v>45874.489953703705</v>
      </c>
      <c r="D1056" s="3">
        <v>6.0</v>
      </c>
      <c r="E1056" s="3">
        <v>32000.0</v>
      </c>
      <c r="F1056" s="3" t="s">
        <v>3386</v>
      </c>
      <c r="G1056" s="3">
        <v>28100.0</v>
      </c>
      <c r="H1056" s="3">
        <v>32000.0</v>
      </c>
      <c r="I1056" s="5"/>
      <c r="K1056" s="5" t="s">
        <v>4342</v>
      </c>
      <c r="L1056" s="5"/>
      <c r="M1056" s="5" t="s">
        <v>3273</v>
      </c>
    </row>
    <row r="1057" ht="15.75" customHeight="1">
      <c r="A1057" s="3" t="s">
        <v>38</v>
      </c>
      <c r="B1057" s="3"/>
      <c r="C1057" s="26">
        <v>45875.46708333334</v>
      </c>
      <c r="D1057" s="3">
        <v>84.0</v>
      </c>
      <c r="E1057" s="3">
        <v>83000.0</v>
      </c>
      <c r="F1057" s="3" t="s">
        <v>3275</v>
      </c>
      <c r="G1057" s="3">
        <v>69700.0</v>
      </c>
      <c r="H1057" s="3">
        <v>83000.0</v>
      </c>
      <c r="I1057" s="5"/>
      <c r="K1057" s="5" t="s">
        <v>4647</v>
      </c>
      <c r="L1057" s="5" t="s">
        <v>3249</v>
      </c>
      <c r="M1057" s="5" t="s">
        <v>3273</v>
      </c>
    </row>
    <row r="1058" ht="15.75" customHeight="1">
      <c r="A1058" s="3" t="s">
        <v>4678</v>
      </c>
      <c r="B1058" s="3"/>
      <c r="C1058" s="26">
        <v>45875.46734953704</v>
      </c>
      <c r="D1058" s="3">
        <v>83.0</v>
      </c>
      <c r="E1058" s="3">
        <v>81500.0</v>
      </c>
      <c r="F1058" s="3" t="s">
        <v>3275</v>
      </c>
      <c r="G1058" s="3">
        <v>0.0</v>
      </c>
      <c r="H1058" s="3">
        <v>13300.0</v>
      </c>
      <c r="I1058" s="5"/>
      <c r="K1058" s="5" t="s">
        <v>4647</v>
      </c>
      <c r="L1058" s="5" t="s">
        <v>3249</v>
      </c>
      <c r="M1058" s="5"/>
    </row>
    <row r="1059" ht="15.75" customHeight="1">
      <c r="A1059" s="3" t="s">
        <v>4679</v>
      </c>
      <c r="B1059" s="3"/>
      <c r="C1059" s="26">
        <v>45875.46773148148</v>
      </c>
      <c r="D1059" s="3">
        <v>83.0</v>
      </c>
      <c r="E1059" s="3">
        <v>81500.0</v>
      </c>
      <c r="F1059" s="3" t="s">
        <v>3275</v>
      </c>
      <c r="G1059" s="3">
        <v>13300.0</v>
      </c>
      <c r="H1059" s="3">
        <v>28300.0</v>
      </c>
      <c r="I1059" s="5"/>
      <c r="K1059" s="5" t="s">
        <v>4647</v>
      </c>
      <c r="L1059" s="5" t="s">
        <v>3249</v>
      </c>
      <c r="M1059" s="5"/>
    </row>
    <row r="1060" ht="15.75" customHeight="1">
      <c r="A1060" s="4" t="s">
        <v>53</v>
      </c>
      <c r="B1060" s="3"/>
      <c r="C1060" s="26">
        <v>45875.66832175926</v>
      </c>
      <c r="D1060" s="3">
        <v>115.0</v>
      </c>
      <c r="E1060" s="3">
        <v>120200.0</v>
      </c>
      <c r="F1060" s="3" t="s">
        <v>3273</v>
      </c>
      <c r="G1060" s="3">
        <v>85200.0</v>
      </c>
      <c r="H1060" s="3">
        <v>120200.0</v>
      </c>
      <c r="I1060" s="5"/>
      <c r="K1060" s="5" t="s">
        <v>4342</v>
      </c>
      <c r="L1060" s="6" t="s">
        <v>3247</v>
      </c>
      <c r="M1060" s="5" t="s">
        <v>3273</v>
      </c>
    </row>
    <row r="1061" ht="15.75" customHeight="1">
      <c r="A1061" s="3" t="s">
        <v>4680</v>
      </c>
      <c r="B1061" s="3"/>
      <c r="C1061" s="26">
        <v>45875.66903935185</v>
      </c>
      <c r="D1061" s="3">
        <v>71.0</v>
      </c>
      <c r="E1061" s="3">
        <v>13000.0</v>
      </c>
      <c r="F1061" s="3" t="s">
        <v>3273</v>
      </c>
      <c r="G1061" s="3">
        <v>0.0</v>
      </c>
      <c r="H1061" s="3">
        <v>7600.0</v>
      </c>
      <c r="I1061" s="5"/>
      <c r="K1061" s="5" t="s">
        <v>4342</v>
      </c>
      <c r="L1061" s="6" t="s">
        <v>3247</v>
      </c>
      <c r="M1061" s="5"/>
    </row>
    <row r="1062" ht="15.75" customHeight="1">
      <c r="A1062" s="3" t="s">
        <v>35</v>
      </c>
      <c r="B1062" s="3"/>
      <c r="C1062" s="26">
        <v>45875.669537037036</v>
      </c>
      <c r="D1062" s="3">
        <v>71.0</v>
      </c>
      <c r="E1062" s="3">
        <v>13000.0</v>
      </c>
      <c r="F1062" s="3" t="s">
        <v>3273</v>
      </c>
      <c r="G1062" s="3">
        <v>7600.0</v>
      </c>
      <c r="H1062" s="3">
        <v>11500.0</v>
      </c>
      <c r="I1062" s="5"/>
      <c r="K1062" s="5" t="s">
        <v>4342</v>
      </c>
      <c r="L1062" s="6" t="s">
        <v>3247</v>
      </c>
      <c r="M1062" s="5" t="s">
        <v>3273</v>
      </c>
    </row>
    <row r="1063" ht="15.75" customHeight="1">
      <c r="A1063" s="3" t="s">
        <v>4681</v>
      </c>
      <c r="B1063" s="3"/>
      <c r="C1063" s="26">
        <v>45880.704872685186</v>
      </c>
      <c r="D1063" s="3">
        <v>500.0</v>
      </c>
      <c r="E1063" s="3">
        <v>200000.0</v>
      </c>
      <c r="F1063" s="3" t="s">
        <v>4671</v>
      </c>
      <c r="G1063" s="3">
        <v>0.0</v>
      </c>
      <c r="H1063" s="3">
        <v>100000.0</v>
      </c>
      <c r="I1063" s="5"/>
      <c r="K1063" s="5" t="s">
        <v>3715</v>
      </c>
      <c r="L1063" s="6" t="s">
        <v>3247</v>
      </c>
      <c r="M1063" s="5"/>
    </row>
    <row r="1064" ht="15.75" customHeight="1">
      <c r="A1064" s="3" t="s">
        <v>4682</v>
      </c>
      <c r="B1064" s="3"/>
      <c r="C1064" s="26">
        <v>45880.70690972222</v>
      </c>
      <c r="D1064" s="3">
        <v>500.0</v>
      </c>
      <c r="E1064" s="3">
        <v>200000.0</v>
      </c>
      <c r="F1064" s="3" t="s">
        <v>4683</v>
      </c>
      <c r="G1064" s="3">
        <v>0.0</v>
      </c>
      <c r="H1064" s="3">
        <v>30000.0</v>
      </c>
      <c r="I1064" s="5"/>
      <c r="K1064" s="5" t="s">
        <v>3715</v>
      </c>
      <c r="L1064" s="5" t="s">
        <v>3246</v>
      </c>
      <c r="M1064" s="5"/>
    </row>
    <row r="1065" ht="15.75" customHeight="1">
      <c r="A1065" s="3" t="s">
        <v>4684</v>
      </c>
      <c r="B1065" s="3"/>
      <c r="C1065" s="26">
        <v>45880.7071875</v>
      </c>
      <c r="D1065" s="3">
        <v>500.0</v>
      </c>
      <c r="E1065" s="3">
        <v>200000.0</v>
      </c>
      <c r="F1065" s="3" t="s">
        <v>4683</v>
      </c>
      <c r="G1065" s="3">
        <v>30000.0</v>
      </c>
      <c r="H1065" s="3">
        <v>54000.0</v>
      </c>
      <c r="I1065" s="5"/>
      <c r="K1065" s="5" t="s">
        <v>3715</v>
      </c>
      <c r="L1065" s="5" t="s">
        <v>3246</v>
      </c>
      <c r="M1065" s="5"/>
    </row>
    <row r="1066" ht="15.75" customHeight="1">
      <c r="A1066" s="3" t="s">
        <v>4685</v>
      </c>
      <c r="B1066" s="3"/>
      <c r="C1066" s="26">
        <v>45880.70758101852</v>
      </c>
      <c r="D1066" s="3">
        <v>500.0</v>
      </c>
      <c r="E1066" s="3">
        <v>200000.0</v>
      </c>
      <c r="F1066" s="3" t="s">
        <v>4683</v>
      </c>
      <c r="G1066" s="3">
        <v>54000.0</v>
      </c>
      <c r="H1066" s="3">
        <v>90300.0</v>
      </c>
      <c r="I1066" s="5"/>
      <c r="K1066" s="5" t="s">
        <v>3715</v>
      </c>
      <c r="L1066" s="5" t="s">
        <v>3246</v>
      </c>
      <c r="M1066" s="5"/>
    </row>
    <row r="1067" ht="15.75" customHeight="1">
      <c r="A1067" s="3" t="s">
        <v>4686</v>
      </c>
      <c r="B1067" s="3"/>
      <c r="C1067" s="26">
        <v>45880.70814814815</v>
      </c>
      <c r="D1067" s="3">
        <v>500.0</v>
      </c>
      <c r="E1067" s="3">
        <v>200000.0</v>
      </c>
      <c r="F1067" s="3" t="s">
        <v>4683</v>
      </c>
      <c r="G1067" s="3">
        <v>90300.0</v>
      </c>
      <c r="H1067" s="3">
        <v>110300.0</v>
      </c>
      <c r="I1067" s="5"/>
      <c r="K1067" s="5" t="s">
        <v>3715</v>
      </c>
      <c r="L1067" s="5" t="s">
        <v>3246</v>
      </c>
      <c r="M1067" s="5"/>
    </row>
    <row r="1068" ht="15.75" customHeight="1">
      <c r="A1068" s="3" t="s">
        <v>4687</v>
      </c>
      <c r="B1068" s="3"/>
      <c r="C1068" s="26">
        <v>45880.70842592593</v>
      </c>
      <c r="D1068" s="3">
        <v>500.0</v>
      </c>
      <c r="E1068" s="3">
        <v>200000.0</v>
      </c>
      <c r="F1068" s="3" t="s">
        <v>4683</v>
      </c>
      <c r="G1068" s="3">
        <v>110300.0</v>
      </c>
      <c r="H1068" s="3">
        <v>135300.0</v>
      </c>
      <c r="I1068" s="5"/>
      <c r="K1068" s="5" t="s">
        <v>3715</v>
      </c>
      <c r="L1068" s="5" t="s">
        <v>3246</v>
      </c>
      <c r="M1068" s="5"/>
    </row>
    <row r="1069" ht="15.75" customHeight="1">
      <c r="A1069" s="3" t="s">
        <v>4688</v>
      </c>
      <c r="B1069" s="3"/>
      <c r="C1069" s="26">
        <v>45880.71340277778</v>
      </c>
      <c r="D1069" s="3">
        <v>83.0</v>
      </c>
      <c r="E1069" s="3">
        <v>81500.0</v>
      </c>
      <c r="F1069" s="3" t="s">
        <v>3275</v>
      </c>
      <c r="G1069" s="3">
        <v>28300.0</v>
      </c>
      <c r="H1069" s="3">
        <v>50300.0</v>
      </c>
      <c r="I1069" s="5"/>
      <c r="K1069" s="5" t="s">
        <v>4647</v>
      </c>
      <c r="L1069" s="5" t="s">
        <v>3249</v>
      </c>
      <c r="M1069" s="5"/>
    </row>
    <row r="1070" ht="15.75" customHeight="1">
      <c r="A1070" s="3" t="s">
        <v>4689</v>
      </c>
      <c r="B1070" s="3"/>
      <c r="C1070" s="26">
        <v>45880.71372685185</v>
      </c>
      <c r="D1070" s="3">
        <v>83.0</v>
      </c>
      <c r="E1070" s="3">
        <v>81500.0</v>
      </c>
      <c r="F1070" s="3" t="s">
        <v>3275</v>
      </c>
      <c r="G1070" s="3">
        <v>50300.0</v>
      </c>
      <c r="H1070" s="3">
        <v>81300.0</v>
      </c>
      <c r="I1070" s="5"/>
      <c r="K1070" s="5" t="s">
        <v>4647</v>
      </c>
      <c r="L1070" s="5" t="s">
        <v>3249</v>
      </c>
      <c r="M1070" s="5"/>
    </row>
    <row r="1071" ht="15.75" customHeight="1">
      <c r="A1071" s="3" t="s">
        <v>37</v>
      </c>
      <c r="B1071" s="3"/>
      <c r="C1071" s="26">
        <v>45880.714641203704</v>
      </c>
      <c r="D1071" s="3">
        <v>83.0</v>
      </c>
      <c r="E1071" s="3">
        <v>81500.0</v>
      </c>
      <c r="F1071" s="3" t="s">
        <v>3275</v>
      </c>
      <c r="G1071" s="3">
        <v>81300.0</v>
      </c>
      <c r="H1071" s="3">
        <v>81500.0</v>
      </c>
      <c r="I1071" s="5"/>
      <c r="K1071" s="5" t="s">
        <v>4647</v>
      </c>
      <c r="L1071" s="5" t="s">
        <v>3249</v>
      </c>
      <c r="M1071" s="5" t="s">
        <v>3273</v>
      </c>
    </row>
    <row r="1072" ht="15.75" customHeight="1">
      <c r="A1072" s="3" t="s">
        <v>4690</v>
      </c>
      <c r="B1072" s="3"/>
      <c r="C1072" s="26">
        <v>45880.7196875</v>
      </c>
      <c r="D1072" s="3">
        <v>500.0</v>
      </c>
      <c r="E1072" s="3">
        <v>200000.0</v>
      </c>
      <c r="F1072" s="3" t="s">
        <v>4691</v>
      </c>
      <c r="G1072" s="3"/>
      <c r="H1072" s="3">
        <v>200000.0</v>
      </c>
      <c r="I1072" s="5"/>
      <c r="K1072" s="5" t="s">
        <v>3342</v>
      </c>
      <c r="L1072" s="5"/>
      <c r="M1072" s="5"/>
    </row>
    <row r="1073" ht="15.75" customHeight="1">
      <c r="A1073" s="3" t="s">
        <v>4692</v>
      </c>
      <c r="B1073" s="3"/>
      <c r="C1073" s="26">
        <v>45880.720405092594</v>
      </c>
      <c r="D1073" s="3">
        <v>500.0</v>
      </c>
      <c r="E1073" s="3">
        <v>200000.0</v>
      </c>
      <c r="F1073" s="3" t="s">
        <v>4691</v>
      </c>
      <c r="G1073" s="3">
        <v>1.0</v>
      </c>
      <c r="H1073" s="3">
        <v>201000.0</v>
      </c>
      <c r="I1073" s="5"/>
      <c r="K1073" s="5" t="s">
        <v>3342</v>
      </c>
      <c r="L1073" s="5"/>
      <c r="M1073" s="5"/>
    </row>
    <row r="1074" ht="15.75" customHeight="1">
      <c r="A1074" s="4" t="s">
        <v>4693</v>
      </c>
      <c r="B1074" s="3"/>
      <c r="C1074" s="26">
        <v>45880.722407407404</v>
      </c>
      <c r="D1074" s="3">
        <v>500.0</v>
      </c>
      <c r="E1074" s="3">
        <v>200000.0</v>
      </c>
      <c r="F1074" s="3" t="s">
        <v>4691</v>
      </c>
      <c r="G1074" s="3">
        <v>1.0</v>
      </c>
      <c r="H1074" s="3">
        <v>600.0</v>
      </c>
      <c r="I1074" s="5"/>
      <c r="K1074" s="5" t="s">
        <v>3342</v>
      </c>
      <c r="L1074" s="5"/>
      <c r="M1074" s="5"/>
    </row>
    <row r="1075" ht="15.75" customHeight="1">
      <c r="A1075" s="3" t="s">
        <v>4694</v>
      </c>
      <c r="B1075" s="3"/>
      <c r="C1075" s="26">
        <v>45880.72446759259</v>
      </c>
      <c r="D1075" s="3">
        <v>500.0</v>
      </c>
      <c r="E1075" s="3">
        <v>200000.0</v>
      </c>
      <c r="F1075" s="3" t="s">
        <v>4691</v>
      </c>
      <c r="G1075" s="3">
        <v>600.0</v>
      </c>
      <c r="H1075" s="3">
        <v>2200.0</v>
      </c>
      <c r="I1075" s="5"/>
      <c r="K1075" s="5" t="s">
        <v>3342</v>
      </c>
      <c r="L1075" s="5"/>
      <c r="M1075" s="5"/>
    </row>
    <row r="1076" ht="15.75" customHeight="1">
      <c r="A1076" s="3" t="s">
        <v>4695</v>
      </c>
      <c r="B1076" s="3"/>
      <c r="C1076" s="26">
        <v>45880.72516203704</v>
      </c>
      <c r="D1076" s="3">
        <v>86.0</v>
      </c>
      <c r="E1076" s="3">
        <v>88000.0</v>
      </c>
      <c r="F1076" s="3" t="s">
        <v>3275</v>
      </c>
      <c r="G1076" s="3">
        <v>0.0</v>
      </c>
      <c r="H1076" s="3">
        <v>17600.0</v>
      </c>
      <c r="I1076" s="5"/>
      <c r="K1076" s="5" t="s">
        <v>4647</v>
      </c>
      <c r="L1076" s="6" t="s">
        <v>3248</v>
      </c>
      <c r="M1076" s="5"/>
    </row>
    <row r="1077" ht="15.75" customHeight="1">
      <c r="A1077" s="3" t="s">
        <v>4696</v>
      </c>
      <c r="B1077" s="3"/>
      <c r="C1077" s="26">
        <v>45882.7209375</v>
      </c>
      <c r="D1077" s="3">
        <v>86.0</v>
      </c>
      <c r="E1077" s="3">
        <v>88000.0</v>
      </c>
      <c r="F1077" s="3" t="s">
        <v>3275</v>
      </c>
      <c r="G1077" s="3">
        <v>17600.0</v>
      </c>
      <c r="H1077" s="3">
        <v>69600.0</v>
      </c>
      <c r="I1077" s="5"/>
      <c r="K1077" s="5" t="s">
        <v>4647</v>
      </c>
      <c r="L1077" s="6" t="s">
        <v>3248</v>
      </c>
      <c r="M1077" s="5"/>
    </row>
    <row r="1078" ht="15.75" customHeight="1">
      <c r="A1078" s="3" t="s">
        <v>40</v>
      </c>
      <c r="B1078" s="3"/>
      <c r="C1078" s="26">
        <v>45882.72144675926</v>
      </c>
      <c r="D1078" s="3">
        <v>86.0</v>
      </c>
      <c r="E1078" s="3">
        <v>88000.0</v>
      </c>
      <c r="F1078" s="3" t="s">
        <v>3275</v>
      </c>
      <c r="G1078" s="3">
        <v>69600.0</v>
      </c>
      <c r="H1078" s="3">
        <v>88000.0</v>
      </c>
      <c r="I1078" s="5"/>
      <c r="K1078" s="5" t="s">
        <v>4647</v>
      </c>
      <c r="L1078" s="6" t="s">
        <v>3248</v>
      </c>
      <c r="M1078" s="5" t="s">
        <v>3273</v>
      </c>
    </row>
    <row r="1079" ht="15.75" customHeight="1">
      <c r="A1079" s="3" t="s">
        <v>4697</v>
      </c>
      <c r="B1079" s="3"/>
      <c r="C1079" s="26">
        <v>45882.72189814815</v>
      </c>
      <c r="D1079" s="3">
        <v>121.0</v>
      </c>
      <c r="E1079" s="3">
        <v>85800.0</v>
      </c>
      <c r="F1079" s="3" t="s">
        <v>3275</v>
      </c>
      <c r="G1079" s="3">
        <v>0.0</v>
      </c>
      <c r="H1079" s="3">
        <v>30000.0</v>
      </c>
      <c r="I1079" s="5"/>
      <c r="K1079" s="5" t="s">
        <v>4647</v>
      </c>
      <c r="L1079" s="5" t="s">
        <v>3246</v>
      </c>
      <c r="M1079" s="5" t="s">
        <v>3273</v>
      </c>
    </row>
    <row r="1080" ht="15.75" customHeight="1">
      <c r="A1080" s="3" t="s">
        <v>34</v>
      </c>
      <c r="B1080" s="3"/>
      <c r="C1080" s="26">
        <v>45882.72678240741</v>
      </c>
      <c r="D1080" s="3">
        <v>69.0</v>
      </c>
      <c r="E1080" s="3">
        <v>13000.0</v>
      </c>
      <c r="F1080" s="3" t="s">
        <v>3293</v>
      </c>
      <c r="G1080" s="3">
        <v>0.0</v>
      </c>
      <c r="H1080" s="3">
        <v>13000.0</v>
      </c>
      <c r="I1080" s="5"/>
      <c r="K1080" s="5" t="s">
        <v>3605</v>
      </c>
      <c r="L1080" s="6" t="s">
        <v>3248</v>
      </c>
      <c r="M1080" s="5" t="s">
        <v>3394</v>
      </c>
    </row>
    <row r="1081" ht="15.75" customHeight="1">
      <c r="A1081" s="3" t="s">
        <v>31</v>
      </c>
      <c r="B1081" s="3"/>
      <c r="C1081" s="26">
        <v>45882.73909722222</v>
      </c>
      <c r="D1081" s="3">
        <v>66.0</v>
      </c>
      <c r="E1081" s="3">
        <v>23000.0</v>
      </c>
      <c r="F1081" s="3" t="s">
        <v>4017</v>
      </c>
      <c r="G1081" s="3">
        <v>16900.0</v>
      </c>
      <c r="H1081" s="3">
        <v>23000.0</v>
      </c>
      <c r="I1081" s="5"/>
      <c r="K1081" s="5" t="s">
        <v>4647</v>
      </c>
      <c r="L1081" s="6" t="s">
        <v>3247</v>
      </c>
      <c r="M1081" s="5" t="s">
        <v>3273</v>
      </c>
    </row>
    <row r="1082" ht="15.75" customHeight="1">
      <c r="A1082" s="3" t="s">
        <v>4698</v>
      </c>
      <c r="B1082" s="3"/>
      <c r="C1082" s="26">
        <v>45884.73221064815</v>
      </c>
      <c r="D1082" s="3">
        <v>121.0</v>
      </c>
      <c r="E1082" s="3">
        <v>85800.0</v>
      </c>
      <c r="F1082" s="3" t="s">
        <v>3275</v>
      </c>
      <c r="G1082" s="3">
        <v>30000.0</v>
      </c>
      <c r="H1082" s="3">
        <v>75000.0</v>
      </c>
      <c r="I1082" s="5"/>
      <c r="K1082" s="5" t="s">
        <v>4647</v>
      </c>
      <c r="L1082" s="5" t="s">
        <v>3246</v>
      </c>
      <c r="M1082" s="5"/>
    </row>
    <row r="1083" ht="15.75" customHeight="1">
      <c r="A1083" s="3" t="s">
        <v>55</v>
      </c>
      <c r="B1083" s="3"/>
      <c r="C1083" s="26">
        <v>45884.73247685185</v>
      </c>
      <c r="D1083" s="3">
        <v>121.0</v>
      </c>
      <c r="E1083" s="3">
        <v>85800.0</v>
      </c>
      <c r="F1083" s="3" t="s">
        <v>3275</v>
      </c>
      <c r="G1083" s="3">
        <v>75000.0</v>
      </c>
      <c r="H1083" s="3">
        <v>85800.0</v>
      </c>
      <c r="I1083" s="5"/>
      <c r="K1083" s="5" t="s">
        <v>4647</v>
      </c>
      <c r="L1083" s="5" t="s">
        <v>3246</v>
      </c>
      <c r="M1083" s="5" t="s">
        <v>3273</v>
      </c>
    </row>
    <row r="1084" ht="15.75" customHeight="1">
      <c r="A1084" s="3" t="s">
        <v>4699</v>
      </c>
      <c r="B1084" s="3"/>
      <c r="C1084" s="26">
        <v>45884.73299768518</v>
      </c>
      <c r="D1084" s="3">
        <v>116.0</v>
      </c>
      <c r="E1084" s="3">
        <v>99600.0</v>
      </c>
      <c r="F1084" s="3" t="s">
        <v>3275</v>
      </c>
      <c r="G1084" s="3">
        <v>0.0</v>
      </c>
      <c r="H1084" s="3">
        <v>22000.0</v>
      </c>
      <c r="I1084" s="5"/>
      <c r="K1084" s="5" t="s">
        <v>4647</v>
      </c>
      <c r="L1084" s="5" t="s">
        <v>3246</v>
      </c>
      <c r="M1084" s="5"/>
    </row>
    <row r="1085" ht="15.75" customHeight="1">
      <c r="A1085" s="3" t="s">
        <v>4700</v>
      </c>
      <c r="B1085" s="3"/>
      <c r="C1085" s="26">
        <v>45884.7343287037</v>
      </c>
      <c r="D1085" s="3">
        <v>116.0</v>
      </c>
      <c r="E1085" s="3">
        <v>99600.0</v>
      </c>
      <c r="F1085" s="3" t="s">
        <v>3275</v>
      </c>
      <c r="G1085" s="3">
        <v>22000.0</v>
      </c>
      <c r="H1085" s="3">
        <v>29845.0</v>
      </c>
      <c r="I1085" s="5"/>
      <c r="K1085" s="5" t="s">
        <v>4647</v>
      </c>
      <c r="L1085" s="5" t="s">
        <v>3246</v>
      </c>
      <c r="M1085" s="5"/>
    </row>
    <row r="1086" ht="15.75" customHeight="1">
      <c r="A1086" s="3" t="s">
        <v>4701</v>
      </c>
      <c r="B1086" s="3"/>
      <c r="C1086" s="26">
        <v>45884.735127314816</v>
      </c>
      <c r="D1086" s="3">
        <v>500.0</v>
      </c>
      <c r="E1086" s="3">
        <v>200000.0</v>
      </c>
      <c r="F1086" s="3" t="s">
        <v>4691</v>
      </c>
      <c r="G1086" s="3">
        <v>-3900.0</v>
      </c>
      <c r="H1086" s="3">
        <v>-3345.0</v>
      </c>
      <c r="I1086" s="5"/>
      <c r="K1086" s="5" t="s">
        <v>3342</v>
      </c>
      <c r="L1086" s="5"/>
      <c r="M1086" s="5"/>
    </row>
    <row r="1087" ht="15.75" customHeight="1">
      <c r="A1087" s="3" t="s">
        <v>9</v>
      </c>
      <c r="B1087" s="3"/>
      <c r="C1087" s="26">
        <v>45884.75743055555</v>
      </c>
      <c r="D1087" s="3">
        <v>6.0</v>
      </c>
      <c r="E1087" s="3">
        <v>32000.0</v>
      </c>
      <c r="F1087" s="3" t="s">
        <v>3386</v>
      </c>
      <c r="G1087" s="3">
        <v>31000.0</v>
      </c>
      <c r="H1087" s="3">
        <v>32000.0</v>
      </c>
      <c r="I1087" s="5"/>
      <c r="K1087" s="5" t="s">
        <v>4342</v>
      </c>
      <c r="L1087" s="5"/>
      <c r="M1087" s="5"/>
    </row>
    <row r="1088" ht="15.75" customHeight="1">
      <c r="A1088" s="3" t="s">
        <v>4702</v>
      </c>
      <c r="B1088" s="3"/>
      <c r="C1088" s="26">
        <v>45884.76236111111</v>
      </c>
      <c r="D1088" s="3">
        <v>50.0</v>
      </c>
      <c r="E1088" s="3">
        <v>5100.0</v>
      </c>
      <c r="F1088" s="3" t="s">
        <v>4703</v>
      </c>
      <c r="G1088" s="3">
        <v>0.0</v>
      </c>
      <c r="H1088" s="3">
        <v>2700.0</v>
      </c>
      <c r="I1088" s="5"/>
      <c r="K1088" s="5" t="s">
        <v>4342</v>
      </c>
      <c r="L1088" s="5" t="s">
        <v>3246</v>
      </c>
      <c r="M1088" s="5"/>
    </row>
    <row r="1089" ht="15.75" customHeight="1">
      <c r="A1089" s="3" t="s">
        <v>4704</v>
      </c>
      <c r="B1089" s="3"/>
      <c r="C1089" s="26">
        <v>45884.76268518518</v>
      </c>
      <c r="D1089" s="3">
        <v>50.0</v>
      </c>
      <c r="E1089" s="3">
        <v>5100.0</v>
      </c>
      <c r="F1089" s="3" t="s">
        <v>4703</v>
      </c>
      <c r="G1089" s="3">
        <v>2700.0</v>
      </c>
      <c r="H1089" s="3">
        <v>5100.0</v>
      </c>
      <c r="I1089" s="5"/>
      <c r="K1089" s="5" t="s">
        <v>4647</v>
      </c>
      <c r="L1089" s="5" t="s">
        <v>3246</v>
      </c>
      <c r="M1089" s="5"/>
    </row>
    <row r="1090" ht="15.75" customHeight="1">
      <c r="A1090" s="3" t="s">
        <v>46</v>
      </c>
      <c r="B1090" s="3"/>
      <c r="C1090" s="26">
        <v>45884.76394675926</v>
      </c>
      <c r="D1090" s="3">
        <v>103.0</v>
      </c>
      <c r="E1090" s="3">
        <v>31000.0</v>
      </c>
      <c r="F1090" s="3" t="s">
        <v>3662</v>
      </c>
      <c r="G1090" s="3">
        <v>28300.0</v>
      </c>
      <c r="H1090" s="3">
        <v>31000.0</v>
      </c>
      <c r="I1090" s="5"/>
      <c r="K1090" s="5" t="s">
        <v>4342</v>
      </c>
      <c r="L1090" s="5" t="s">
        <v>3246</v>
      </c>
      <c r="M1090" s="5"/>
    </row>
    <row r="1091" ht="15.75" customHeight="1">
      <c r="A1091" s="3" t="s">
        <v>42</v>
      </c>
      <c r="B1091" s="3"/>
      <c r="C1091" s="26">
        <v>45884.76405092593</v>
      </c>
      <c r="D1091" s="3">
        <v>89.0</v>
      </c>
      <c r="E1091" s="3">
        <v>83500.0</v>
      </c>
      <c r="F1091" s="3" t="s">
        <v>3380</v>
      </c>
      <c r="G1091" s="3">
        <v>81100.0</v>
      </c>
      <c r="H1091" s="3">
        <v>83500.0</v>
      </c>
      <c r="I1091" s="5"/>
      <c r="K1091" s="5" t="s">
        <v>4342</v>
      </c>
      <c r="L1091" s="5" t="s">
        <v>3246</v>
      </c>
      <c r="M1091" s="5"/>
    </row>
    <row r="1092" ht="15.75" customHeight="1">
      <c r="A1092" s="3" t="s">
        <v>4705</v>
      </c>
      <c r="B1092" s="3"/>
      <c r="C1092" s="26">
        <v>45884.782326388886</v>
      </c>
      <c r="D1092" s="3">
        <v>500.0</v>
      </c>
      <c r="E1092" s="3">
        <v>200000.0</v>
      </c>
      <c r="F1092" s="3" t="s">
        <v>4706</v>
      </c>
      <c r="G1092" s="3">
        <v>0.0</v>
      </c>
      <c r="H1092" s="3">
        <v>2250.0</v>
      </c>
      <c r="I1092" s="5"/>
      <c r="K1092" s="5" t="s">
        <v>3715</v>
      </c>
      <c r="L1092" s="5" t="s">
        <v>3246</v>
      </c>
      <c r="M1092" s="5"/>
    </row>
    <row r="1093" ht="15.75" customHeight="1">
      <c r="A1093" s="3" t="s">
        <v>4707</v>
      </c>
      <c r="B1093" s="3"/>
      <c r="C1093" s="26">
        <v>45884.78297453704</v>
      </c>
      <c r="D1093" s="3">
        <v>51.0</v>
      </c>
      <c r="E1093" s="3">
        <v>3900.0</v>
      </c>
      <c r="F1093" s="3" t="s">
        <v>4703</v>
      </c>
      <c r="G1093" s="3">
        <v>0.0</v>
      </c>
      <c r="H1093" s="3">
        <v>600.0</v>
      </c>
      <c r="I1093" s="5"/>
      <c r="K1093" s="5" t="s">
        <v>4647</v>
      </c>
      <c r="L1093" s="5" t="s">
        <v>3246</v>
      </c>
      <c r="M1093" s="5"/>
    </row>
    <row r="1094" ht="15.75" customHeight="1">
      <c r="A1094" s="3" t="s">
        <v>24</v>
      </c>
      <c r="B1094" s="3"/>
      <c r="C1094" s="26">
        <v>45884.7833912037</v>
      </c>
      <c r="D1094" s="3">
        <v>50.0</v>
      </c>
      <c r="E1094" s="3">
        <v>5100.0</v>
      </c>
      <c r="F1094" s="3" t="s">
        <v>4708</v>
      </c>
      <c r="G1094" s="3">
        <v>2250.0</v>
      </c>
      <c r="H1094" s="3">
        <v>5100.0</v>
      </c>
      <c r="I1094" s="5"/>
      <c r="K1094" s="5" t="s">
        <v>4647</v>
      </c>
      <c r="L1094" s="5" t="s">
        <v>3246</v>
      </c>
      <c r="M1094" s="5"/>
    </row>
    <row r="1095" ht="15.75" customHeight="1">
      <c r="A1095" s="3" t="s">
        <v>25</v>
      </c>
      <c r="B1095" s="3"/>
      <c r="C1095" s="26">
        <v>45884.78361111111</v>
      </c>
      <c r="D1095" s="3">
        <v>51.0</v>
      </c>
      <c r="E1095" s="3">
        <v>3900.0</v>
      </c>
      <c r="F1095" s="3" t="s">
        <v>3894</v>
      </c>
      <c r="G1095" s="3">
        <v>600.0</v>
      </c>
      <c r="H1095" s="3">
        <v>3900.0</v>
      </c>
      <c r="I1095" s="5"/>
      <c r="K1095" s="5" t="s">
        <v>4647</v>
      </c>
      <c r="L1095" s="5" t="s">
        <v>3246</v>
      </c>
      <c r="M1095" s="5"/>
    </row>
    <row r="1096" ht="15.75" customHeight="1">
      <c r="A1096" s="3" t="s">
        <v>4709</v>
      </c>
      <c r="B1096" s="3"/>
      <c r="C1096" s="26">
        <v>45884.7846875</v>
      </c>
      <c r="D1096" s="3">
        <v>500.0</v>
      </c>
      <c r="E1096" s="3">
        <v>200000.0</v>
      </c>
      <c r="F1096" s="3" t="s">
        <v>4710</v>
      </c>
      <c r="G1096" s="3">
        <v>0.0</v>
      </c>
      <c r="H1096" s="3">
        <v>4000.0</v>
      </c>
      <c r="I1096" s="5"/>
      <c r="K1096" s="5" t="s">
        <v>3715</v>
      </c>
      <c r="L1096" s="5"/>
      <c r="M1096" s="5"/>
    </row>
    <row r="1097" ht="15.75" customHeight="1">
      <c r="A1097" s="3" t="s">
        <v>4711</v>
      </c>
      <c r="B1097" s="3"/>
      <c r="C1097" s="26">
        <v>45888.37835648148</v>
      </c>
      <c r="D1097" s="3">
        <v>500.0</v>
      </c>
      <c r="E1097" s="3">
        <v>200000.0</v>
      </c>
      <c r="F1097" s="3" t="s">
        <v>4712</v>
      </c>
      <c r="G1097" s="3">
        <v>0.0</v>
      </c>
      <c r="H1097" s="3">
        <v>5100.0</v>
      </c>
      <c r="I1097" s="5"/>
      <c r="K1097" s="5" t="s">
        <v>4647</v>
      </c>
      <c r="L1097" s="5" t="s">
        <v>3246</v>
      </c>
      <c r="M1097" s="5"/>
    </row>
    <row r="1098" ht="15.75" customHeight="1">
      <c r="A1098" s="3" t="s">
        <v>57</v>
      </c>
      <c r="B1098" s="3"/>
      <c r="C1098" s="26">
        <v>45888.37875</v>
      </c>
      <c r="D1098" s="3">
        <v>500.0</v>
      </c>
      <c r="E1098" s="3">
        <v>200000.0</v>
      </c>
      <c r="F1098" s="3" t="s">
        <v>4712</v>
      </c>
      <c r="G1098" s="3">
        <v>5100.0</v>
      </c>
      <c r="H1098" s="3">
        <v>6900.0</v>
      </c>
      <c r="I1098" s="5"/>
      <c r="K1098" s="5" t="s">
        <v>4647</v>
      </c>
      <c r="L1098" s="5" t="s">
        <v>3246</v>
      </c>
      <c r="M1098" s="5"/>
    </row>
    <row r="1099" ht="15.75" customHeight="1">
      <c r="A1099" s="3" t="s">
        <v>54</v>
      </c>
      <c r="B1099" s="3"/>
      <c r="C1099" s="26">
        <v>45888.38048611111</v>
      </c>
      <c r="D1099" s="3">
        <v>116.0</v>
      </c>
      <c r="E1099" s="3">
        <v>99600.0</v>
      </c>
      <c r="F1099" s="3" t="s">
        <v>3275</v>
      </c>
      <c r="G1099" s="3">
        <v>29845.0</v>
      </c>
      <c r="H1099" s="3">
        <v>38845.0</v>
      </c>
      <c r="I1099" s="5"/>
      <c r="K1099" s="5" t="s">
        <v>4647</v>
      </c>
      <c r="L1099" s="5" t="s">
        <v>3246</v>
      </c>
      <c r="M1099" s="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14.88"/>
    <col customWidth="1" min="2" max="2" width="23.13"/>
    <col customWidth="1" min="3" max="3" width="13.75"/>
    <col customWidth="1" min="4" max="6" width="15.63"/>
    <col customWidth="1" min="7" max="7" width="19.25"/>
    <col customWidth="1" min="8" max="9" width="15.63"/>
    <col customWidth="1" min="10" max="10" width="19.38"/>
    <col customWidth="1" min="11" max="11" width="15.88"/>
    <col customWidth="1" min="12" max="15" width="14.0"/>
    <col customWidth="1" min="16" max="16" width="22.38"/>
    <col customWidth="1" min="17" max="17" width="18.88"/>
    <col customWidth="1" min="18" max="18" width="20.25"/>
  </cols>
  <sheetData>
    <row r="1" ht="15.75" customHeight="1">
      <c r="A1" s="31" t="s">
        <v>4713</v>
      </c>
      <c r="B1" s="31" t="s">
        <v>4714</v>
      </c>
      <c r="C1" s="31" t="s">
        <v>4715</v>
      </c>
      <c r="D1" s="31" t="s">
        <v>4716</v>
      </c>
      <c r="E1" s="31" t="s">
        <v>4717</v>
      </c>
      <c r="F1" s="31" t="s">
        <v>4718</v>
      </c>
      <c r="G1" s="31" t="s">
        <v>4719</v>
      </c>
      <c r="H1" s="31" t="s">
        <v>4720</v>
      </c>
      <c r="I1" s="31" t="s">
        <v>4721</v>
      </c>
      <c r="J1" s="31" t="s">
        <v>4722</v>
      </c>
      <c r="K1" s="31" t="s">
        <v>4723</v>
      </c>
      <c r="L1" s="31" t="s">
        <v>4724</v>
      </c>
      <c r="M1" s="31" t="s">
        <v>4725</v>
      </c>
      <c r="N1" s="31" t="s">
        <v>4726</v>
      </c>
      <c r="O1" s="31" t="s">
        <v>4727</v>
      </c>
      <c r="P1" s="31" t="s">
        <v>4728</v>
      </c>
      <c r="Q1" s="31" t="s">
        <v>4729</v>
      </c>
      <c r="R1" s="31" t="s">
        <v>4730</v>
      </c>
      <c r="S1" s="31" t="s">
        <v>4731</v>
      </c>
      <c r="T1" s="31" t="s">
        <v>4732</v>
      </c>
      <c r="U1" s="31" t="s">
        <v>4733</v>
      </c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</row>
    <row r="2" ht="15.75" customHeight="1">
      <c r="A2" s="33" t="s">
        <v>4734</v>
      </c>
      <c r="B2" s="34">
        <v>45703.875613425924</v>
      </c>
      <c r="C2" s="35" t="s">
        <v>3271</v>
      </c>
      <c r="D2" s="35">
        <v>2.0</v>
      </c>
      <c r="E2" s="35" t="s">
        <v>3272</v>
      </c>
      <c r="F2" s="35">
        <v>12500.0</v>
      </c>
      <c r="G2" s="33">
        <v>7.0</v>
      </c>
      <c r="H2" s="35"/>
      <c r="I2" s="35"/>
      <c r="J2" s="33"/>
      <c r="K2" s="7">
        <v>12500.0</v>
      </c>
      <c r="L2" s="7" t="s">
        <v>3278</v>
      </c>
      <c r="M2" s="7" t="s">
        <v>3272</v>
      </c>
      <c r="N2" s="7"/>
      <c r="O2" s="7"/>
      <c r="P2" s="7"/>
      <c r="Q2" s="7"/>
      <c r="R2" s="7"/>
      <c r="S2" s="7"/>
      <c r="T2" s="7"/>
      <c r="U2" s="7"/>
    </row>
    <row r="3" ht="15.75" customHeight="1">
      <c r="A3" s="36" t="s">
        <v>4735</v>
      </c>
      <c r="B3" s="37">
        <v>45703.8762037037</v>
      </c>
      <c r="C3" s="2" t="s">
        <v>3274</v>
      </c>
      <c r="D3" s="2">
        <v>3.0</v>
      </c>
      <c r="E3" s="2" t="s">
        <v>3275</v>
      </c>
      <c r="F3" s="2">
        <v>14000.0</v>
      </c>
      <c r="G3" s="36">
        <v>7.0</v>
      </c>
      <c r="H3" s="2" t="s">
        <v>3278</v>
      </c>
      <c r="I3" s="2" t="s">
        <v>3272</v>
      </c>
      <c r="J3" s="36">
        <v>12500.0</v>
      </c>
      <c r="K3" s="5">
        <v>26500.0</v>
      </c>
      <c r="L3" s="5" t="s">
        <v>3279</v>
      </c>
      <c r="M3" s="5" t="s">
        <v>3281</v>
      </c>
    </row>
    <row r="4" ht="15.75" customHeight="1">
      <c r="A4" s="36" t="s">
        <v>4736</v>
      </c>
      <c r="B4" s="37">
        <v>45704.903391203705</v>
      </c>
      <c r="C4" s="2" t="s">
        <v>3279</v>
      </c>
      <c r="D4" s="2">
        <v>7.0</v>
      </c>
      <c r="E4" s="2" t="s">
        <v>3281</v>
      </c>
      <c r="F4" s="2">
        <v>26500.0</v>
      </c>
      <c r="G4" s="36">
        <v>5.0</v>
      </c>
      <c r="H4" s="2"/>
      <c r="I4" s="2"/>
      <c r="J4" s="36">
        <v>0.0</v>
      </c>
      <c r="K4" s="5">
        <v>26500.0</v>
      </c>
      <c r="L4" s="5" t="s">
        <v>3282</v>
      </c>
      <c r="M4" s="5" t="s">
        <v>3281</v>
      </c>
    </row>
    <row r="5" ht="15.75" customHeight="1">
      <c r="A5" s="5" t="s">
        <v>4737</v>
      </c>
      <c r="B5" s="10">
        <v>45704.93703703704</v>
      </c>
      <c r="C5" s="3" t="s">
        <v>3282</v>
      </c>
      <c r="D5" s="3">
        <v>5.0</v>
      </c>
      <c r="E5" s="3" t="s">
        <v>3281</v>
      </c>
      <c r="F5" s="3">
        <v>26000.0</v>
      </c>
      <c r="G5" s="5">
        <v>79.0</v>
      </c>
      <c r="H5" s="3"/>
      <c r="I5" s="3"/>
      <c r="J5" s="5">
        <v>0.0</v>
      </c>
      <c r="K5" s="5">
        <v>26000.0</v>
      </c>
      <c r="L5" s="5" t="s">
        <v>3283</v>
      </c>
      <c r="M5" s="5" t="s">
        <v>3281</v>
      </c>
    </row>
    <row r="6" ht="15.75" customHeight="1">
      <c r="A6" s="5" t="s">
        <v>4738</v>
      </c>
      <c r="B6" s="10">
        <v>45704.94636574074</v>
      </c>
      <c r="C6" s="3" t="s">
        <v>3276</v>
      </c>
      <c r="D6" s="3">
        <v>6.0</v>
      </c>
      <c r="E6" s="3" t="s">
        <v>3277</v>
      </c>
      <c r="F6" s="3">
        <v>37750.0</v>
      </c>
      <c r="G6" s="5">
        <v>30.0</v>
      </c>
      <c r="H6" s="3"/>
      <c r="I6" s="3"/>
      <c r="J6" s="5">
        <v>0.0</v>
      </c>
      <c r="K6" s="5">
        <v>37750.0</v>
      </c>
      <c r="L6" s="5" t="s">
        <v>3284</v>
      </c>
      <c r="M6" s="5" t="s">
        <v>3277</v>
      </c>
    </row>
    <row r="7" ht="15.75" customHeight="1">
      <c r="B7" s="10"/>
      <c r="C7" s="3"/>
      <c r="D7" s="3"/>
      <c r="E7" s="3"/>
      <c r="F7" s="3"/>
      <c r="H7" s="3"/>
      <c r="I7" s="3"/>
    </row>
    <row r="8" ht="15.75" customHeight="1">
      <c r="A8" s="7" t="s">
        <v>4739</v>
      </c>
      <c r="B8" s="10">
        <v>45704.96728009259</v>
      </c>
      <c r="C8" s="3" t="s">
        <v>3276</v>
      </c>
      <c r="D8" s="3">
        <v>6.0</v>
      </c>
      <c r="E8" s="3" t="s">
        <v>3277</v>
      </c>
      <c r="F8" s="3">
        <v>32000.0</v>
      </c>
      <c r="G8" s="5">
        <v>11.0</v>
      </c>
      <c r="H8" s="3"/>
      <c r="I8" s="3"/>
      <c r="J8" s="5">
        <v>0.0</v>
      </c>
      <c r="K8" s="5">
        <v>32000.0</v>
      </c>
      <c r="L8" s="5" t="s">
        <v>3287</v>
      </c>
      <c r="M8" s="5" t="s">
        <v>3277</v>
      </c>
    </row>
    <row r="9" ht="15.75" customHeight="1">
      <c r="A9" s="5" t="s">
        <v>4740</v>
      </c>
      <c r="B9" s="10">
        <v>45704.96841435185</v>
      </c>
      <c r="C9" s="3" t="s">
        <v>3282</v>
      </c>
      <c r="D9" s="3">
        <v>5.0</v>
      </c>
      <c r="E9" s="3" t="s">
        <v>3281</v>
      </c>
      <c r="F9" s="3">
        <v>500.0</v>
      </c>
      <c r="G9" s="5">
        <v>11.0</v>
      </c>
      <c r="H9" s="3" t="s">
        <v>3287</v>
      </c>
      <c r="I9" s="3" t="s">
        <v>3277</v>
      </c>
      <c r="J9" s="5">
        <v>32000.0</v>
      </c>
      <c r="K9" s="5">
        <v>32500.0</v>
      </c>
      <c r="L9" s="5" t="s">
        <v>3288</v>
      </c>
      <c r="M9" s="5" t="s">
        <v>3277</v>
      </c>
    </row>
    <row r="10" ht="15.75" customHeight="1">
      <c r="A10" s="38" t="s">
        <v>4741</v>
      </c>
      <c r="B10" s="10">
        <v>45704.96960648148</v>
      </c>
      <c r="C10" s="3" t="s">
        <v>3285</v>
      </c>
      <c r="D10" s="3">
        <v>1.0</v>
      </c>
      <c r="E10" s="3" t="s">
        <v>3286</v>
      </c>
      <c r="F10" s="3">
        <v>50.0</v>
      </c>
      <c r="G10" s="5">
        <v>30.0</v>
      </c>
      <c r="H10" s="3" t="s">
        <v>3284</v>
      </c>
      <c r="I10" s="3" t="s">
        <v>3277</v>
      </c>
      <c r="J10" s="5">
        <v>37750.0</v>
      </c>
      <c r="K10" s="5">
        <v>37800.0</v>
      </c>
      <c r="L10" s="5" t="s">
        <v>3290</v>
      </c>
      <c r="M10" s="7" t="s">
        <v>3286</v>
      </c>
    </row>
    <row r="11" ht="15.75" customHeight="1">
      <c r="A11" s="5" t="s">
        <v>4742</v>
      </c>
      <c r="B11" s="10">
        <v>45708.71413194444</v>
      </c>
      <c r="C11" s="3" t="s">
        <v>3313</v>
      </c>
      <c r="D11" s="3">
        <v>86.0</v>
      </c>
      <c r="E11" s="3" t="s">
        <v>3314</v>
      </c>
      <c r="F11" s="3">
        <v>30000.0</v>
      </c>
      <c r="G11" s="5">
        <v>102.0</v>
      </c>
      <c r="H11" s="3"/>
      <c r="I11" s="3"/>
      <c r="J11" s="5">
        <v>0.0</v>
      </c>
      <c r="K11" s="5">
        <v>30000.0</v>
      </c>
      <c r="L11" s="38" t="s">
        <v>3318</v>
      </c>
      <c r="M11" s="5" t="s">
        <v>3314</v>
      </c>
      <c r="N11" s="38" t="s">
        <v>4743</v>
      </c>
      <c r="O11" s="38"/>
      <c r="P11" s="7"/>
      <c r="Q11" s="7"/>
    </row>
    <row r="12" ht="15.75" customHeight="1">
      <c r="A12" s="5" t="s">
        <v>4744</v>
      </c>
      <c r="B12" s="10">
        <v>45708.72515046296</v>
      </c>
      <c r="C12" s="3" t="s">
        <v>3308</v>
      </c>
      <c r="D12" s="3">
        <v>84.0</v>
      </c>
      <c r="E12" s="3" t="s">
        <v>3296</v>
      </c>
      <c r="F12" s="3">
        <v>15000.0</v>
      </c>
      <c r="G12" s="5">
        <v>103.0</v>
      </c>
      <c r="H12" s="3"/>
      <c r="I12" s="3"/>
      <c r="J12" s="5">
        <v>0.0</v>
      </c>
      <c r="K12" s="5">
        <v>15000.0</v>
      </c>
      <c r="L12" s="38" t="s">
        <v>3321</v>
      </c>
      <c r="M12" s="38" t="s">
        <v>3314</v>
      </c>
      <c r="N12" s="38" t="s">
        <v>4745</v>
      </c>
      <c r="O12" s="38"/>
    </row>
    <row r="13" ht="15.75" customHeight="1">
      <c r="A13" s="5" t="s">
        <v>4746</v>
      </c>
      <c r="B13" s="10">
        <v>45708.74114583333</v>
      </c>
      <c r="C13" s="3" t="s">
        <v>3298</v>
      </c>
      <c r="D13" s="3">
        <v>81.0</v>
      </c>
      <c r="E13" s="3" t="s">
        <v>3299</v>
      </c>
      <c r="F13" s="3">
        <v>8000.0</v>
      </c>
      <c r="G13" s="5">
        <v>86.0</v>
      </c>
      <c r="H13" s="3" t="s">
        <v>3313</v>
      </c>
      <c r="I13" s="3" t="s">
        <v>3314</v>
      </c>
      <c r="J13" s="5">
        <v>12000.0</v>
      </c>
      <c r="K13" s="5">
        <v>20000.0</v>
      </c>
      <c r="L13" s="5" t="s">
        <v>3322</v>
      </c>
      <c r="M13" s="5" t="s">
        <v>3324</v>
      </c>
      <c r="N13" s="5" t="s">
        <v>4747</v>
      </c>
    </row>
    <row r="14" ht="15.75" customHeight="1">
      <c r="A14" s="5" t="s">
        <v>4748</v>
      </c>
      <c r="B14" s="10">
        <v>45708.74730324074</v>
      </c>
      <c r="C14" s="3" t="s">
        <v>3300</v>
      </c>
      <c r="D14" s="3">
        <v>82.0</v>
      </c>
      <c r="E14" s="3" t="s">
        <v>3301</v>
      </c>
      <c r="F14" s="3">
        <v>20000.0</v>
      </c>
      <c r="G14" s="5">
        <v>86.0</v>
      </c>
      <c r="H14" s="3" t="s">
        <v>3322</v>
      </c>
      <c r="I14" s="3" t="s">
        <v>3324</v>
      </c>
      <c r="J14" s="5">
        <v>20000.0</v>
      </c>
      <c r="K14" s="5">
        <v>40000.0</v>
      </c>
      <c r="L14" s="5" t="s">
        <v>3325</v>
      </c>
      <c r="M14" s="5" t="s">
        <v>3327</v>
      </c>
      <c r="N14" s="5" t="s">
        <v>4749</v>
      </c>
    </row>
    <row r="15" ht="15.75" customHeight="1">
      <c r="A15" s="5" t="s">
        <v>4750</v>
      </c>
      <c r="B15" s="10">
        <v>45708.75025462963</v>
      </c>
      <c r="C15" s="3" t="s">
        <v>3303</v>
      </c>
      <c r="D15" s="3">
        <v>65.0</v>
      </c>
      <c r="E15" s="3" t="s">
        <v>3301</v>
      </c>
      <c r="F15" s="3">
        <v>15000.0</v>
      </c>
      <c r="G15" s="5">
        <v>84.0</v>
      </c>
      <c r="H15" s="3" t="s">
        <v>3308</v>
      </c>
      <c r="I15" s="3" t="s">
        <v>3296</v>
      </c>
      <c r="J15" s="5">
        <v>15000.0</v>
      </c>
      <c r="K15" s="5">
        <v>30000.0</v>
      </c>
      <c r="L15" s="5" t="s">
        <v>3328</v>
      </c>
      <c r="M15" s="5" t="s">
        <v>3330</v>
      </c>
      <c r="N15" s="5" t="s">
        <v>4751</v>
      </c>
    </row>
    <row r="16" ht="15.75" customHeight="1">
      <c r="A16" s="5" t="s">
        <v>4752</v>
      </c>
      <c r="B16" s="10">
        <v>45708.751805555556</v>
      </c>
      <c r="C16" s="3" t="s">
        <v>3305</v>
      </c>
      <c r="D16" s="3">
        <v>83.0</v>
      </c>
      <c r="E16" s="3" t="s">
        <v>3306</v>
      </c>
      <c r="F16" s="3">
        <v>25000.0</v>
      </c>
      <c r="G16" s="5">
        <v>104.0</v>
      </c>
      <c r="H16" s="3"/>
      <c r="I16" s="3"/>
      <c r="J16" s="5">
        <v>0.0</v>
      </c>
      <c r="K16" s="5">
        <v>29000.0</v>
      </c>
      <c r="L16" s="5" t="s">
        <v>3331</v>
      </c>
      <c r="M16" s="5" t="s">
        <v>3332</v>
      </c>
      <c r="N16" s="5" t="s">
        <v>4745</v>
      </c>
    </row>
    <row r="17" ht="15.75" customHeight="1">
      <c r="A17" s="5" t="s">
        <v>4753</v>
      </c>
      <c r="B17" s="10">
        <v>45708.75334490741</v>
      </c>
      <c r="C17" s="3" t="s">
        <v>3305</v>
      </c>
      <c r="D17" s="3">
        <v>83.0</v>
      </c>
      <c r="E17" s="3" t="s">
        <v>3306</v>
      </c>
      <c r="F17" s="3">
        <v>5000.0</v>
      </c>
      <c r="G17" s="5">
        <v>105.0</v>
      </c>
      <c r="H17" s="3"/>
      <c r="I17" s="3"/>
      <c r="J17" s="5">
        <v>0.0</v>
      </c>
      <c r="K17" s="5">
        <v>5000.0</v>
      </c>
      <c r="L17" s="5" t="s">
        <v>3333</v>
      </c>
      <c r="M17" s="5" t="s">
        <v>3334</v>
      </c>
      <c r="N17" s="5" t="s">
        <v>4754</v>
      </c>
    </row>
    <row r="18" ht="15.75" customHeight="1">
      <c r="A18" s="5" t="s">
        <v>4755</v>
      </c>
      <c r="B18" s="10">
        <v>45709.81418981482</v>
      </c>
      <c r="C18" s="3" t="s">
        <v>3316</v>
      </c>
      <c r="D18" s="3">
        <v>88.0</v>
      </c>
      <c r="E18" s="3" t="s">
        <v>3277</v>
      </c>
      <c r="F18" s="3">
        <v>10000.0</v>
      </c>
      <c r="G18" s="5">
        <v>80.0</v>
      </c>
      <c r="H18" s="3" t="s">
        <v>3295</v>
      </c>
      <c r="I18" s="3" t="s">
        <v>3296</v>
      </c>
      <c r="J18" s="5">
        <v>12000.0</v>
      </c>
      <c r="K18" s="5">
        <v>22000.0</v>
      </c>
      <c r="L18" s="5" t="s">
        <v>3382</v>
      </c>
      <c r="M18" s="5" t="s">
        <v>3384</v>
      </c>
    </row>
    <row r="19" ht="15.75" customHeight="1">
      <c r="A19" s="5" t="s">
        <v>4756</v>
      </c>
      <c r="B19" s="10">
        <v>45709.836331018516</v>
      </c>
      <c r="C19" s="3" t="s">
        <v>3310</v>
      </c>
      <c r="D19" s="3">
        <v>85.0</v>
      </c>
      <c r="E19" s="3" t="s">
        <v>3311</v>
      </c>
      <c r="F19" s="3">
        <v>30000.0</v>
      </c>
      <c r="G19" s="5">
        <v>107.0</v>
      </c>
      <c r="H19" s="3"/>
      <c r="I19" s="3"/>
      <c r="J19" s="5">
        <v>0.0</v>
      </c>
      <c r="K19" s="5">
        <v>30000.0</v>
      </c>
      <c r="L19" s="5" t="s">
        <v>3385</v>
      </c>
      <c r="M19" s="5" t="s">
        <v>3386</v>
      </c>
      <c r="N19" s="5" t="s">
        <v>4757</v>
      </c>
    </row>
    <row r="20" ht="15.75" customHeight="1">
      <c r="A20" s="5" t="s">
        <v>4758</v>
      </c>
      <c r="B20" s="10">
        <v>45709.83703703704</v>
      </c>
      <c r="C20" s="3" t="s">
        <v>3316</v>
      </c>
      <c r="D20" s="3">
        <v>88.0</v>
      </c>
      <c r="E20" s="3" t="s">
        <v>3277</v>
      </c>
      <c r="F20" s="3">
        <v>18000.0</v>
      </c>
      <c r="G20" s="5">
        <v>85.0</v>
      </c>
      <c r="H20" s="3" t="s">
        <v>3310</v>
      </c>
      <c r="I20" s="3" t="s">
        <v>3311</v>
      </c>
      <c r="J20" s="5">
        <v>10000.0</v>
      </c>
      <c r="K20" s="5">
        <v>28000.0</v>
      </c>
      <c r="L20" s="5" t="s">
        <v>3387</v>
      </c>
      <c r="M20" s="5" t="s">
        <v>3330</v>
      </c>
      <c r="N20" s="5" t="s">
        <v>4759</v>
      </c>
    </row>
    <row r="21" ht="15.75" customHeight="1">
      <c r="A21" s="5" t="s">
        <v>4760</v>
      </c>
      <c r="B21" s="10">
        <v>45713.522777777776</v>
      </c>
      <c r="C21" s="3" t="s">
        <v>3325</v>
      </c>
      <c r="D21" s="3">
        <v>86.0</v>
      </c>
      <c r="E21" s="3" t="s">
        <v>3327</v>
      </c>
      <c r="F21" s="3">
        <v>25000.0</v>
      </c>
      <c r="G21" s="5">
        <v>105.0</v>
      </c>
      <c r="H21" s="3" t="s">
        <v>3333</v>
      </c>
      <c r="I21" s="3" t="s">
        <v>3334</v>
      </c>
      <c r="J21" s="5">
        <v>5000.0</v>
      </c>
      <c r="K21" s="5">
        <v>30000.0</v>
      </c>
      <c r="L21" s="5" t="s">
        <v>3403</v>
      </c>
      <c r="M21" s="5" t="s">
        <v>3405</v>
      </c>
      <c r="N21" s="5" t="s">
        <v>4745</v>
      </c>
    </row>
    <row r="22" ht="15.75" customHeight="1">
      <c r="A22" s="5" t="s">
        <v>4761</v>
      </c>
      <c r="B22" s="10">
        <v>45713.53670138889</v>
      </c>
      <c r="C22" s="3" t="s">
        <v>3325</v>
      </c>
      <c r="D22" s="3">
        <v>86.0</v>
      </c>
      <c r="E22" s="3" t="s">
        <v>3327</v>
      </c>
      <c r="F22" s="3">
        <v>7500.0</v>
      </c>
      <c r="G22" s="5">
        <v>108.0</v>
      </c>
      <c r="H22" s="3"/>
      <c r="I22" s="3"/>
      <c r="J22" s="5">
        <v>0.0</v>
      </c>
      <c r="K22" s="5">
        <v>7500.0</v>
      </c>
      <c r="L22" s="5" t="s">
        <v>3406</v>
      </c>
      <c r="M22" s="5" t="s">
        <v>3408</v>
      </c>
    </row>
    <row r="23" ht="15.75" customHeight="1">
      <c r="A23" s="5" t="s">
        <v>4762</v>
      </c>
      <c r="B23" s="10">
        <v>45713.540601851855</v>
      </c>
      <c r="C23" s="3" t="s">
        <v>3379</v>
      </c>
      <c r="D23" s="3">
        <v>92.0</v>
      </c>
      <c r="E23" s="3" t="s">
        <v>3380</v>
      </c>
      <c r="F23" s="3">
        <v>39700.0</v>
      </c>
      <c r="G23" s="5">
        <v>86.0</v>
      </c>
      <c r="H23" s="3" t="s">
        <v>3325</v>
      </c>
      <c r="I23" s="3" t="s">
        <v>3327</v>
      </c>
      <c r="J23" s="5">
        <v>7500.0</v>
      </c>
      <c r="K23" s="5">
        <v>47200.0</v>
      </c>
      <c r="L23" s="5" t="s">
        <v>3409</v>
      </c>
      <c r="M23" s="5" t="s">
        <v>3411</v>
      </c>
      <c r="N23" s="5" t="s">
        <v>4763</v>
      </c>
    </row>
    <row r="24" ht="15.75" customHeight="1">
      <c r="A24" s="5" t="s">
        <v>4764</v>
      </c>
      <c r="B24" s="10">
        <v>45713.70952546296</v>
      </c>
      <c r="C24" s="3" t="s">
        <v>3419</v>
      </c>
      <c r="D24" s="3">
        <v>60.0</v>
      </c>
      <c r="E24" s="3" t="s">
        <v>3420</v>
      </c>
      <c r="F24" s="3">
        <v>8000.0</v>
      </c>
      <c r="G24" s="5">
        <v>59.0</v>
      </c>
      <c r="H24" s="3" t="s">
        <v>3417</v>
      </c>
      <c r="I24" s="3" t="s">
        <v>3418</v>
      </c>
      <c r="J24" s="5">
        <v>10000.0</v>
      </c>
      <c r="K24" s="5">
        <v>18000.0</v>
      </c>
      <c r="L24" s="5" t="s">
        <v>3421</v>
      </c>
      <c r="M24" s="5" t="s">
        <v>3420</v>
      </c>
    </row>
    <row r="25" ht="15.75" customHeight="1">
      <c r="A25" s="5" t="s">
        <v>4765</v>
      </c>
      <c r="B25" s="10">
        <v>45713.713159722225</v>
      </c>
      <c r="C25" s="3" t="s">
        <v>3419</v>
      </c>
      <c r="D25" s="3">
        <v>60.0</v>
      </c>
      <c r="E25" s="3" t="s">
        <v>3420</v>
      </c>
      <c r="F25" s="3">
        <v>7000.0</v>
      </c>
      <c r="G25" s="5">
        <v>59.0</v>
      </c>
      <c r="H25" s="3" t="s">
        <v>3421</v>
      </c>
      <c r="I25" s="3" t="s">
        <v>3420</v>
      </c>
      <c r="J25" s="5">
        <v>18000.0</v>
      </c>
      <c r="K25" s="5">
        <v>25000.0</v>
      </c>
      <c r="L25" s="5" t="s">
        <v>3423</v>
      </c>
      <c r="M25" s="5" t="s">
        <v>3420</v>
      </c>
    </row>
    <row r="26" ht="15.75" customHeight="1">
      <c r="A26" s="5" t="s">
        <v>4766</v>
      </c>
      <c r="B26" s="10">
        <v>45713.72232638889</v>
      </c>
      <c r="C26" s="3" t="s">
        <v>3419</v>
      </c>
      <c r="D26" s="3">
        <v>60.0</v>
      </c>
      <c r="E26" s="3" t="s">
        <v>3420</v>
      </c>
      <c r="F26" s="3">
        <v>10000.0</v>
      </c>
      <c r="G26" s="5">
        <v>59.0</v>
      </c>
      <c r="H26" s="3" t="s">
        <v>3423</v>
      </c>
      <c r="I26" s="3" t="s">
        <v>3420</v>
      </c>
      <c r="J26" s="5">
        <v>25000.0</v>
      </c>
      <c r="K26" s="5">
        <v>35000.0</v>
      </c>
      <c r="L26" s="5" t="s">
        <v>3425</v>
      </c>
      <c r="M26" s="5" t="s">
        <v>3420</v>
      </c>
    </row>
    <row r="27" ht="15.75" customHeight="1">
      <c r="A27" s="5" t="s">
        <v>4767</v>
      </c>
      <c r="B27" s="10">
        <v>45713.723032407404</v>
      </c>
      <c r="C27" s="3" t="s">
        <v>3419</v>
      </c>
      <c r="D27" s="3">
        <v>60.0</v>
      </c>
      <c r="E27" s="3" t="s">
        <v>3420</v>
      </c>
      <c r="F27" s="3">
        <v>10000.0</v>
      </c>
      <c r="G27" s="5">
        <v>59.0</v>
      </c>
      <c r="H27" s="3" t="s">
        <v>3425</v>
      </c>
      <c r="I27" s="3" t="s">
        <v>3420</v>
      </c>
      <c r="J27" s="5">
        <v>35000.0</v>
      </c>
      <c r="K27" s="5">
        <v>45000.0</v>
      </c>
      <c r="L27" s="5" t="s">
        <v>4768</v>
      </c>
      <c r="M27" s="5" t="s">
        <v>3420</v>
      </c>
    </row>
    <row r="28" ht="15.75" customHeight="1">
      <c r="A28" s="5" t="s">
        <v>4769</v>
      </c>
      <c r="B28" s="10">
        <v>45713.73829861111</v>
      </c>
      <c r="C28" s="3" t="s">
        <v>3425</v>
      </c>
      <c r="D28" s="3">
        <v>59.0</v>
      </c>
      <c r="E28" s="3" t="s">
        <v>3420</v>
      </c>
      <c r="F28" s="3">
        <v>5000.0</v>
      </c>
      <c r="G28" s="5">
        <v>60.0</v>
      </c>
      <c r="H28" s="3" t="s">
        <v>3419</v>
      </c>
      <c r="I28" s="3" t="s">
        <v>3420</v>
      </c>
      <c r="J28" s="5">
        <v>20000.0</v>
      </c>
      <c r="K28" s="5">
        <v>25000.0</v>
      </c>
      <c r="L28" s="5" t="s">
        <v>3427</v>
      </c>
      <c r="M28" s="5" t="s">
        <v>3420</v>
      </c>
    </row>
    <row r="29" ht="15.75" customHeight="1">
      <c r="A29" s="5" t="s">
        <v>4770</v>
      </c>
      <c r="B29" s="10">
        <v>45713.73936342593</v>
      </c>
      <c r="C29" s="3" t="s">
        <v>3425</v>
      </c>
      <c r="D29" s="3">
        <v>59.0</v>
      </c>
      <c r="E29" s="3" t="s">
        <v>3420</v>
      </c>
      <c r="F29" s="3">
        <v>3000.0</v>
      </c>
      <c r="G29" s="5">
        <v>60.0</v>
      </c>
      <c r="H29" s="3" t="s">
        <v>3427</v>
      </c>
      <c r="I29" s="3" t="s">
        <v>3420</v>
      </c>
      <c r="J29" s="5">
        <v>25000.0</v>
      </c>
      <c r="K29" s="5">
        <v>28000.0</v>
      </c>
      <c r="L29" s="5" t="s">
        <v>3429</v>
      </c>
      <c r="M29" s="5" t="s">
        <v>3420</v>
      </c>
    </row>
    <row r="30" ht="15.75" customHeight="1">
      <c r="A30" s="5" t="s">
        <v>4771</v>
      </c>
      <c r="B30" s="10">
        <v>45713.7484375</v>
      </c>
      <c r="C30" s="3" t="s">
        <v>3425</v>
      </c>
      <c r="D30" s="3">
        <v>59.0</v>
      </c>
      <c r="E30" s="3" t="s">
        <v>3420</v>
      </c>
      <c r="F30" s="3">
        <v>1500.0</v>
      </c>
      <c r="G30" s="5">
        <v>60.0</v>
      </c>
      <c r="H30" s="3" t="s">
        <v>3429</v>
      </c>
      <c r="I30" s="3" t="s">
        <v>3420</v>
      </c>
      <c r="J30" s="5">
        <v>28000.0</v>
      </c>
      <c r="K30" s="5">
        <v>29500.0</v>
      </c>
      <c r="L30" s="5" t="s">
        <v>3430</v>
      </c>
      <c r="M30" s="5" t="s">
        <v>3420</v>
      </c>
    </row>
    <row r="31" ht="15.75" customHeight="1">
      <c r="A31" s="5" t="s">
        <v>4772</v>
      </c>
      <c r="B31" s="10">
        <v>45713.77329861111</v>
      </c>
      <c r="C31" s="3" t="s">
        <v>3370</v>
      </c>
      <c r="D31" s="3">
        <v>15.0</v>
      </c>
      <c r="E31" s="3" t="s">
        <v>3351</v>
      </c>
      <c r="F31" s="3">
        <v>20000.0</v>
      </c>
      <c r="G31" s="5">
        <v>400.0</v>
      </c>
      <c r="H31" s="3"/>
      <c r="I31" s="3" t="s">
        <v>4773</v>
      </c>
      <c r="J31" s="5">
        <v>0.0</v>
      </c>
      <c r="K31" s="5">
        <v>20000.0</v>
      </c>
      <c r="L31" s="5" t="s">
        <v>3431</v>
      </c>
      <c r="M31" s="5" t="s">
        <v>3351</v>
      </c>
      <c r="N31" s="5" t="s">
        <v>4774</v>
      </c>
    </row>
    <row r="32" ht="15.75" customHeight="1">
      <c r="A32" s="5" t="s">
        <v>4775</v>
      </c>
      <c r="B32" s="10">
        <v>45713.77888888889</v>
      </c>
      <c r="C32" s="3" t="s">
        <v>3372</v>
      </c>
      <c r="D32" s="3">
        <v>52.0</v>
      </c>
      <c r="E32" s="3" t="s">
        <v>3373</v>
      </c>
      <c r="F32" s="3">
        <v>10000.0</v>
      </c>
      <c r="G32" s="5">
        <v>400.0</v>
      </c>
      <c r="H32" s="3" t="s">
        <v>3431</v>
      </c>
      <c r="I32" s="3" t="s">
        <v>3351</v>
      </c>
      <c r="J32" s="5">
        <v>20000.0</v>
      </c>
      <c r="K32" s="5">
        <v>30000.0</v>
      </c>
      <c r="L32" s="5" t="s">
        <v>3434</v>
      </c>
      <c r="M32" s="5" t="s">
        <v>3373</v>
      </c>
      <c r="N32" s="5" t="s">
        <v>4776</v>
      </c>
    </row>
    <row r="33" ht="15.75" customHeight="1">
      <c r="A33" s="5" t="s">
        <v>4777</v>
      </c>
      <c r="B33" s="10">
        <v>45713.79398148148</v>
      </c>
      <c r="C33" s="3" t="s">
        <v>3382</v>
      </c>
      <c r="D33" s="3">
        <v>80.0</v>
      </c>
      <c r="E33" s="3" t="s">
        <v>3384</v>
      </c>
      <c r="F33" s="3">
        <v>15000.0</v>
      </c>
      <c r="G33" s="5">
        <v>103.0</v>
      </c>
      <c r="H33" s="3" t="s">
        <v>3321</v>
      </c>
      <c r="I33" s="3" t="s">
        <v>3314</v>
      </c>
      <c r="J33" s="5">
        <v>15000.0</v>
      </c>
      <c r="K33" s="5">
        <v>30000.0</v>
      </c>
      <c r="L33" s="5" t="s">
        <v>3435</v>
      </c>
      <c r="M33" s="5" t="s">
        <v>3384</v>
      </c>
    </row>
    <row r="34" ht="15.75" customHeight="1">
      <c r="A34" s="5" t="s">
        <v>4778</v>
      </c>
      <c r="B34" s="10">
        <v>45713.79707175926</v>
      </c>
      <c r="C34" s="3" t="s">
        <v>3403</v>
      </c>
      <c r="D34" s="3">
        <v>105.0</v>
      </c>
      <c r="E34" s="3" t="s">
        <v>3405</v>
      </c>
      <c r="F34" s="3">
        <v>16000.0</v>
      </c>
      <c r="G34" s="5">
        <v>400.0</v>
      </c>
      <c r="H34" s="3" t="s">
        <v>3434</v>
      </c>
      <c r="I34" s="3" t="s">
        <v>3373</v>
      </c>
      <c r="J34" s="5">
        <v>30000.0</v>
      </c>
      <c r="K34" s="5">
        <v>46000.0</v>
      </c>
      <c r="L34" s="5" t="s">
        <v>3437</v>
      </c>
      <c r="M34" s="5" t="s">
        <v>3405</v>
      </c>
      <c r="N34" s="5" t="s">
        <v>3286</v>
      </c>
    </row>
    <row r="35" ht="15.75" customHeight="1">
      <c r="A35" s="5" t="s">
        <v>4779</v>
      </c>
      <c r="B35" s="10">
        <v>45713.79770833333</v>
      </c>
      <c r="C35" s="3" t="s">
        <v>3328</v>
      </c>
      <c r="D35" s="3">
        <v>84.0</v>
      </c>
      <c r="E35" s="3" t="s">
        <v>3330</v>
      </c>
      <c r="F35" s="3">
        <v>16000.0</v>
      </c>
      <c r="G35" s="5">
        <v>105.0</v>
      </c>
      <c r="H35" s="3" t="s">
        <v>3403</v>
      </c>
      <c r="I35" s="3" t="s">
        <v>3405</v>
      </c>
      <c r="J35" s="5">
        <v>14000.0</v>
      </c>
      <c r="K35" s="5">
        <v>30000.0</v>
      </c>
      <c r="L35" s="5" t="s">
        <v>3438</v>
      </c>
      <c r="M35" s="5" t="s">
        <v>3439</v>
      </c>
    </row>
    <row r="36" ht="15.75" customHeight="1">
      <c r="A36" s="5" t="s">
        <v>4780</v>
      </c>
      <c r="B36" s="10">
        <v>45713.79883101852</v>
      </c>
      <c r="C36" s="3" t="s">
        <v>3328</v>
      </c>
      <c r="D36" s="3">
        <v>84.0</v>
      </c>
      <c r="E36" s="3" t="s">
        <v>3330</v>
      </c>
      <c r="F36" s="3">
        <v>11000.0</v>
      </c>
      <c r="G36" s="5">
        <v>106.0</v>
      </c>
      <c r="H36" s="3"/>
      <c r="I36" s="3"/>
      <c r="J36" s="5">
        <v>0.0</v>
      </c>
      <c r="K36" s="5">
        <v>11000.0</v>
      </c>
      <c r="L36" s="5" t="s">
        <v>3440</v>
      </c>
      <c r="M36" s="5" t="s">
        <v>3330</v>
      </c>
    </row>
    <row r="37" ht="15.75" customHeight="1">
      <c r="A37" s="5" t="s">
        <v>4781</v>
      </c>
      <c r="B37" s="10">
        <v>45714.41060185185</v>
      </c>
      <c r="C37" s="3" t="s">
        <v>3375</v>
      </c>
      <c r="D37" s="3">
        <v>89.0</v>
      </c>
      <c r="E37" s="3" t="s">
        <v>3376</v>
      </c>
      <c r="F37" s="3">
        <v>36000.0</v>
      </c>
      <c r="G37" s="5">
        <v>84.0</v>
      </c>
      <c r="H37" s="3" t="s">
        <v>3328</v>
      </c>
      <c r="I37" s="3" t="s">
        <v>3330</v>
      </c>
      <c r="J37" s="5">
        <v>3000.0</v>
      </c>
      <c r="K37" s="5">
        <v>39000.0</v>
      </c>
      <c r="L37" s="5" t="s">
        <v>3444</v>
      </c>
      <c r="M37" s="5" t="s">
        <v>3445</v>
      </c>
      <c r="N37" s="5" t="s">
        <v>4782</v>
      </c>
    </row>
    <row r="38" ht="15.75" customHeight="1">
      <c r="A38" s="5" t="s">
        <v>4783</v>
      </c>
      <c r="B38" s="10">
        <v>45715.40923611111</v>
      </c>
      <c r="C38" s="3" t="s">
        <v>3382</v>
      </c>
      <c r="D38" s="3">
        <v>80.0</v>
      </c>
      <c r="E38" s="3" t="s">
        <v>3384</v>
      </c>
      <c r="F38" s="3">
        <v>4000.0</v>
      </c>
      <c r="G38" s="5">
        <v>109.0</v>
      </c>
      <c r="H38" s="3"/>
      <c r="I38" s="3"/>
      <c r="J38" s="5">
        <v>0.0</v>
      </c>
      <c r="K38" s="5">
        <v>4000.0</v>
      </c>
      <c r="L38" s="5" t="s">
        <v>3449</v>
      </c>
      <c r="M38" s="5" t="s">
        <v>3450</v>
      </c>
    </row>
    <row r="39" ht="15.75" customHeight="1">
      <c r="A39" s="5" t="s">
        <v>4784</v>
      </c>
      <c r="B39" s="10">
        <v>45715.410219907404</v>
      </c>
      <c r="C39" s="3" t="s">
        <v>3387</v>
      </c>
      <c r="D39" s="3">
        <v>85.0</v>
      </c>
      <c r="E39" s="3" t="s">
        <v>3330</v>
      </c>
      <c r="F39" s="3">
        <v>20000.0</v>
      </c>
      <c r="G39" s="5">
        <v>109.0</v>
      </c>
      <c r="H39" s="3" t="s">
        <v>3449</v>
      </c>
      <c r="I39" s="3" t="s">
        <v>3450</v>
      </c>
      <c r="J39" s="5">
        <v>4000.0</v>
      </c>
      <c r="K39" s="5">
        <v>24000.0</v>
      </c>
      <c r="L39" s="5" t="s">
        <v>3451</v>
      </c>
      <c r="M39" s="5" t="s">
        <v>3452</v>
      </c>
    </row>
    <row r="40" ht="15.75" customHeight="1">
      <c r="A40" s="5" t="s">
        <v>4785</v>
      </c>
      <c r="B40" s="10">
        <v>45715.41075231481</v>
      </c>
      <c r="C40" s="3" t="s">
        <v>3387</v>
      </c>
      <c r="D40" s="3">
        <v>85.0</v>
      </c>
      <c r="E40" s="3" t="s">
        <v>3330</v>
      </c>
      <c r="F40" s="3">
        <v>3000.0</v>
      </c>
      <c r="G40" s="5">
        <v>110.0</v>
      </c>
      <c r="H40" s="3"/>
      <c r="I40" s="3"/>
      <c r="J40" s="5">
        <v>0.0</v>
      </c>
      <c r="K40" s="5">
        <v>3000.0</v>
      </c>
      <c r="L40" s="5" t="s">
        <v>3454</v>
      </c>
      <c r="M40" s="5" t="s">
        <v>3452</v>
      </c>
      <c r="N40" s="5" t="s">
        <v>4786</v>
      </c>
    </row>
    <row r="41" ht="15.75" customHeight="1">
      <c r="A41" s="5" t="s">
        <v>4787</v>
      </c>
      <c r="B41" s="10">
        <v>45715.411724537036</v>
      </c>
      <c r="C41" s="3" t="s">
        <v>3413</v>
      </c>
      <c r="D41" s="3">
        <v>83.0</v>
      </c>
      <c r="E41" s="3" t="s">
        <v>3272</v>
      </c>
      <c r="F41" s="3">
        <v>10000.0</v>
      </c>
      <c r="G41" s="5">
        <v>80.0</v>
      </c>
      <c r="H41" s="3" t="s">
        <v>3382</v>
      </c>
      <c r="I41" s="3" t="s">
        <v>3384</v>
      </c>
      <c r="J41" s="5">
        <v>3000.0</v>
      </c>
      <c r="K41" s="5">
        <v>13000.0</v>
      </c>
      <c r="L41" s="5" t="s">
        <v>3455</v>
      </c>
      <c r="M41" s="5" t="s">
        <v>3456</v>
      </c>
      <c r="N41" s="5" t="s">
        <v>4786</v>
      </c>
    </row>
    <row r="42" ht="15.75" customHeight="1">
      <c r="A42" s="5" t="s">
        <v>4788</v>
      </c>
      <c r="B42" s="10">
        <v>45715.41258101852</v>
      </c>
      <c r="C42" s="3" t="s">
        <v>3413</v>
      </c>
      <c r="D42" s="3">
        <v>83.0</v>
      </c>
      <c r="E42" s="3" t="s">
        <v>3272</v>
      </c>
      <c r="F42" s="3">
        <v>25800.0</v>
      </c>
      <c r="G42" s="5">
        <v>85.0</v>
      </c>
      <c r="H42" s="3" t="s">
        <v>3387</v>
      </c>
      <c r="I42" s="3" t="s">
        <v>3330</v>
      </c>
      <c r="J42" s="5">
        <v>5000.0</v>
      </c>
      <c r="K42" s="5">
        <v>30800.0</v>
      </c>
      <c r="L42" s="5" t="s">
        <v>3458</v>
      </c>
      <c r="M42" s="5" t="s">
        <v>3456</v>
      </c>
      <c r="N42" s="5" t="s">
        <v>4789</v>
      </c>
    </row>
    <row r="43" ht="15.75" customHeight="1">
      <c r="A43" s="5" t="s">
        <v>4790</v>
      </c>
      <c r="B43" s="10">
        <v>45715.76541666667</v>
      </c>
      <c r="C43" s="3" t="s">
        <v>3451</v>
      </c>
      <c r="D43" s="3">
        <v>109.0</v>
      </c>
      <c r="E43" s="3" t="s">
        <v>3452</v>
      </c>
      <c r="F43" s="3">
        <v>10000.0</v>
      </c>
      <c r="G43" s="5">
        <v>110.0</v>
      </c>
      <c r="H43" s="3" t="s">
        <v>3454</v>
      </c>
      <c r="I43" s="3" t="s">
        <v>3452</v>
      </c>
      <c r="J43" s="5">
        <v>3000.0</v>
      </c>
      <c r="K43" s="5">
        <v>13000.0</v>
      </c>
      <c r="L43" s="5" t="s">
        <v>3460</v>
      </c>
      <c r="M43" s="5" t="s">
        <v>3452</v>
      </c>
      <c r="N43" s="5" t="s">
        <v>4791</v>
      </c>
    </row>
    <row r="44" ht="15.75" customHeight="1">
      <c r="A44" s="6" t="s">
        <v>4792</v>
      </c>
      <c r="B44" s="10">
        <v>45715.79188657407</v>
      </c>
      <c r="C44" s="3" t="s">
        <v>3335</v>
      </c>
      <c r="D44" s="3">
        <v>11.0</v>
      </c>
      <c r="E44" s="3" t="s">
        <v>3336</v>
      </c>
      <c r="F44" s="3">
        <v>4700.0</v>
      </c>
      <c r="G44" s="5">
        <v>88.0</v>
      </c>
      <c r="H44" s="3" t="s">
        <v>3415</v>
      </c>
      <c r="I44" s="3" t="s">
        <v>3272</v>
      </c>
      <c r="J44" s="5">
        <v>37400.0</v>
      </c>
      <c r="K44" s="5">
        <v>42100.0</v>
      </c>
      <c r="L44" s="5" t="s">
        <v>3461</v>
      </c>
      <c r="M44" s="5" t="s">
        <v>3272</v>
      </c>
      <c r="N44" s="5" t="s">
        <v>4793</v>
      </c>
    </row>
    <row r="45" ht="15.75" customHeight="1">
      <c r="A45" s="5" t="s">
        <v>4794</v>
      </c>
      <c r="B45" s="10">
        <v>45717.51563657408</v>
      </c>
      <c r="C45" s="3" t="s">
        <v>3409</v>
      </c>
      <c r="D45" s="3">
        <v>86.0</v>
      </c>
      <c r="E45" s="3" t="s">
        <v>3411</v>
      </c>
      <c r="F45" s="3">
        <v>36000.0</v>
      </c>
      <c r="G45" s="5">
        <v>15.0</v>
      </c>
      <c r="H45" s="3"/>
      <c r="I45" s="3"/>
      <c r="J45" s="5">
        <v>0.0</v>
      </c>
      <c r="K45" s="5">
        <v>36000.0</v>
      </c>
      <c r="L45" s="5" t="s">
        <v>3470</v>
      </c>
      <c r="M45" s="5" t="s">
        <v>3411</v>
      </c>
    </row>
    <row r="46" ht="15.75" customHeight="1">
      <c r="A46" s="5" t="s">
        <v>4795</v>
      </c>
      <c r="B46" s="10">
        <v>45717.52269675926</v>
      </c>
      <c r="C46" s="3" t="s">
        <v>3409</v>
      </c>
      <c r="D46" s="3">
        <v>86.0</v>
      </c>
      <c r="E46" s="3" t="s">
        <v>3411</v>
      </c>
      <c r="F46" s="3">
        <v>5000.0</v>
      </c>
      <c r="G46" s="5">
        <v>34.0</v>
      </c>
      <c r="H46" s="3"/>
      <c r="I46" s="3"/>
      <c r="J46" s="5">
        <v>0.0</v>
      </c>
      <c r="K46" s="5">
        <v>5000.0</v>
      </c>
      <c r="L46" s="5" t="s">
        <v>3471</v>
      </c>
      <c r="M46" s="5" t="s">
        <v>3411</v>
      </c>
    </row>
    <row r="47" ht="15.75" customHeight="1">
      <c r="A47" s="5" t="s">
        <v>4796</v>
      </c>
      <c r="B47" s="10">
        <v>45717.52349537037</v>
      </c>
      <c r="C47" s="3" t="s">
        <v>3458</v>
      </c>
      <c r="D47" s="3">
        <v>85.0</v>
      </c>
      <c r="E47" s="3" t="s">
        <v>3456</v>
      </c>
      <c r="F47" s="3">
        <v>25000.0</v>
      </c>
      <c r="G47" s="5">
        <v>34.0</v>
      </c>
      <c r="H47" s="3" t="s">
        <v>3471</v>
      </c>
      <c r="I47" s="3" t="s">
        <v>3411</v>
      </c>
      <c r="J47" s="5">
        <v>5000.0</v>
      </c>
      <c r="K47" s="5">
        <v>30000.0</v>
      </c>
      <c r="L47" s="5" t="s">
        <v>3472</v>
      </c>
      <c r="M47" s="5" t="s">
        <v>3456</v>
      </c>
    </row>
    <row r="48" ht="15.75" customHeight="1">
      <c r="A48" s="5" t="s">
        <v>4797</v>
      </c>
      <c r="B48" s="10">
        <v>45717.531331018516</v>
      </c>
      <c r="C48" s="3" t="s">
        <v>3461</v>
      </c>
      <c r="D48" s="3">
        <v>88.0</v>
      </c>
      <c r="E48" s="3" t="s">
        <v>3272</v>
      </c>
      <c r="F48" s="3">
        <v>42100.0</v>
      </c>
      <c r="G48" s="5">
        <v>86.0</v>
      </c>
      <c r="H48" s="3" t="s">
        <v>3409</v>
      </c>
      <c r="I48" s="3" t="s">
        <v>3411</v>
      </c>
      <c r="J48" s="5">
        <v>6200.0</v>
      </c>
      <c r="K48" s="5">
        <v>48300.0</v>
      </c>
      <c r="L48" s="5" t="s">
        <v>3473</v>
      </c>
      <c r="M48" s="5" t="s">
        <v>3474</v>
      </c>
      <c r="N48" s="5" t="s">
        <v>4798</v>
      </c>
    </row>
    <row r="49" ht="15.75" customHeight="1">
      <c r="A49" s="5" t="s">
        <v>4799</v>
      </c>
      <c r="B49" s="10">
        <v>45717.534791666665</v>
      </c>
      <c r="C49" s="3" t="s">
        <v>3441</v>
      </c>
      <c r="D49" s="3">
        <v>92.0</v>
      </c>
      <c r="E49" s="3" t="s">
        <v>3442</v>
      </c>
      <c r="F49" s="3">
        <v>35900.0</v>
      </c>
      <c r="G49" s="5">
        <v>85.0</v>
      </c>
      <c r="H49" s="3" t="s">
        <v>3458</v>
      </c>
      <c r="I49" s="3" t="s">
        <v>3456</v>
      </c>
      <c r="J49" s="5">
        <v>5800.0</v>
      </c>
      <c r="K49" s="5">
        <v>41700.0</v>
      </c>
      <c r="L49" s="5" t="s">
        <v>3476</v>
      </c>
      <c r="M49" s="5" t="s">
        <v>3474</v>
      </c>
      <c r="N49" s="5" t="s">
        <v>4800</v>
      </c>
    </row>
    <row r="50" ht="15.75" customHeight="1">
      <c r="A50" s="5" t="s">
        <v>4801</v>
      </c>
      <c r="B50" s="10">
        <v>45717.53638888889</v>
      </c>
      <c r="C50" s="3" t="s">
        <v>3335</v>
      </c>
      <c r="D50" s="3">
        <v>11.0</v>
      </c>
      <c r="E50" s="3" t="s">
        <v>3336</v>
      </c>
      <c r="F50" s="3">
        <v>6000.0</v>
      </c>
      <c r="G50" s="5">
        <v>87.0</v>
      </c>
      <c r="H50" s="3" t="s">
        <v>3446</v>
      </c>
      <c r="I50" s="3" t="s">
        <v>3447</v>
      </c>
      <c r="J50" s="5">
        <v>38200.0</v>
      </c>
      <c r="K50" s="5">
        <v>44200.0</v>
      </c>
      <c r="L50" s="5" t="s">
        <v>3478</v>
      </c>
      <c r="M50" s="5" t="s">
        <v>3277</v>
      </c>
      <c r="N50" s="5" t="s">
        <v>4802</v>
      </c>
    </row>
    <row r="51" ht="15.75" customHeight="1">
      <c r="A51" s="5" t="s">
        <v>4803</v>
      </c>
      <c r="B51" s="10">
        <v>45718.64696759259</v>
      </c>
      <c r="C51" s="3" t="s">
        <v>3335</v>
      </c>
      <c r="D51" s="3">
        <v>11.0</v>
      </c>
      <c r="E51" s="3" t="s">
        <v>3336</v>
      </c>
      <c r="F51" s="3">
        <v>4000.0</v>
      </c>
      <c r="G51" s="5">
        <v>65.0</v>
      </c>
      <c r="H51" s="3" t="s">
        <v>3465</v>
      </c>
      <c r="I51" s="3" t="s">
        <v>3466</v>
      </c>
      <c r="J51" s="5">
        <v>20500.0</v>
      </c>
      <c r="K51" s="5">
        <v>24500.0</v>
      </c>
      <c r="L51" s="5" t="s">
        <v>3480</v>
      </c>
      <c r="M51" s="5" t="s">
        <v>3466</v>
      </c>
    </row>
    <row r="52" ht="15.75" customHeight="1">
      <c r="A52" s="5" t="s">
        <v>4804</v>
      </c>
      <c r="B52" s="10">
        <v>45718.652592592596</v>
      </c>
      <c r="C52" s="3" t="s">
        <v>3335</v>
      </c>
      <c r="D52" s="3">
        <v>11.0</v>
      </c>
      <c r="E52" s="3" t="s">
        <v>3336</v>
      </c>
      <c r="F52" s="3">
        <v>8000.0</v>
      </c>
      <c r="G52" s="5">
        <v>83.0</v>
      </c>
      <c r="H52" s="3" t="s">
        <v>3463</v>
      </c>
      <c r="I52" s="3" t="s">
        <v>3272</v>
      </c>
      <c r="J52" s="5">
        <v>45000.0</v>
      </c>
      <c r="K52" s="5">
        <v>53000.0</v>
      </c>
      <c r="L52" s="5" t="s">
        <v>3482</v>
      </c>
      <c r="M52" s="5" t="s">
        <v>3272</v>
      </c>
    </row>
    <row r="53" ht="15.75" customHeight="1">
      <c r="A53" s="5" t="s">
        <v>4805</v>
      </c>
      <c r="B53" s="10">
        <v>45719.69778935185</v>
      </c>
      <c r="C53" s="3" t="s">
        <v>56</v>
      </c>
      <c r="D53" s="3">
        <v>150.0</v>
      </c>
      <c r="E53" s="3" t="s">
        <v>3486</v>
      </c>
      <c r="F53" s="3">
        <v>2000.0</v>
      </c>
      <c r="G53" s="5">
        <v>84.0</v>
      </c>
      <c r="H53" s="3" t="s">
        <v>3444</v>
      </c>
      <c r="I53" s="3" t="s">
        <v>3445</v>
      </c>
      <c r="J53" s="5">
        <v>39000.0</v>
      </c>
      <c r="K53" s="5">
        <v>41000.0</v>
      </c>
      <c r="L53" s="5" t="s">
        <v>3487</v>
      </c>
      <c r="M53" s="5" t="s">
        <v>3445</v>
      </c>
      <c r="N53" s="5" t="s">
        <v>4806</v>
      </c>
    </row>
    <row r="54" ht="15.75" customHeight="1">
      <c r="A54" s="5" t="s">
        <v>4807</v>
      </c>
      <c r="B54" s="10">
        <v>45720.78380787037</v>
      </c>
      <c r="C54" s="3" t="s">
        <v>3338</v>
      </c>
      <c r="D54" s="3">
        <v>16.0</v>
      </c>
      <c r="E54" s="3" t="s">
        <v>3339</v>
      </c>
      <c r="F54" s="3">
        <v>2000.0</v>
      </c>
      <c r="G54" s="5">
        <v>68.0</v>
      </c>
      <c r="H54" s="3" t="s">
        <v>3468</v>
      </c>
      <c r="I54" s="3" t="s">
        <v>3272</v>
      </c>
      <c r="J54" s="5">
        <v>8000.0</v>
      </c>
      <c r="K54" s="5">
        <v>10000.0</v>
      </c>
      <c r="L54" s="5" t="s">
        <v>3491</v>
      </c>
      <c r="M54" s="5" t="s">
        <v>3272</v>
      </c>
      <c r="N54" s="5" t="s">
        <v>4808</v>
      </c>
    </row>
    <row r="55" ht="15.75" customHeight="1">
      <c r="A55" s="5" t="s">
        <v>4809</v>
      </c>
      <c r="B55" s="10">
        <v>45721.49868055555</v>
      </c>
      <c r="C55" s="3" t="s">
        <v>3473</v>
      </c>
      <c r="D55" s="3">
        <v>86.0</v>
      </c>
      <c r="E55" s="3" t="s">
        <v>3474</v>
      </c>
      <c r="F55" s="3">
        <v>48300.0</v>
      </c>
      <c r="G55" s="5">
        <v>121.0</v>
      </c>
      <c r="H55" s="3"/>
      <c r="I55" s="3"/>
      <c r="J55" s="5">
        <v>0.0</v>
      </c>
      <c r="K55" s="5">
        <v>48300.0</v>
      </c>
      <c r="L55" s="5" t="s">
        <v>3494</v>
      </c>
      <c r="M55" s="5" t="s">
        <v>3474</v>
      </c>
      <c r="N55" s="5" t="s">
        <v>4810</v>
      </c>
    </row>
    <row r="56" ht="15.75" customHeight="1">
      <c r="A56" s="5" t="s">
        <v>4811</v>
      </c>
      <c r="B56" s="10">
        <v>45721.49951388889</v>
      </c>
      <c r="C56" s="3" t="s">
        <v>3460</v>
      </c>
      <c r="D56" s="3">
        <v>110.0</v>
      </c>
      <c r="E56" s="3" t="s">
        <v>3452</v>
      </c>
      <c r="F56" s="3">
        <v>5000.0</v>
      </c>
      <c r="G56" s="5">
        <v>500.0</v>
      </c>
      <c r="H56" s="3"/>
      <c r="I56" s="3" t="s">
        <v>4812</v>
      </c>
      <c r="J56" s="5">
        <v>0.0</v>
      </c>
      <c r="K56" s="5">
        <v>5000.0</v>
      </c>
      <c r="L56" s="5" t="s">
        <v>3495</v>
      </c>
      <c r="M56" s="5" t="s">
        <v>3452</v>
      </c>
    </row>
    <row r="57" ht="15.75" customHeight="1">
      <c r="A57" s="5" t="s">
        <v>4813</v>
      </c>
      <c r="B57" s="10">
        <v>45721.50262731482</v>
      </c>
      <c r="C57" s="3" t="s">
        <v>3476</v>
      </c>
      <c r="D57" s="3">
        <v>85.0</v>
      </c>
      <c r="E57" s="3" t="s">
        <v>3474</v>
      </c>
      <c r="F57" s="3">
        <v>9500.0</v>
      </c>
      <c r="G57" s="5">
        <v>34.0</v>
      </c>
      <c r="H57" s="3" t="s">
        <v>3472</v>
      </c>
      <c r="I57" s="3" t="s">
        <v>3456</v>
      </c>
      <c r="J57" s="5">
        <v>30000.0</v>
      </c>
      <c r="K57" s="5">
        <v>39500.0</v>
      </c>
      <c r="L57" s="5" t="s">
        <v>3496</v>
      </c>
      <c r="M57" s="5" t="s">
        <v>3456</v>
      </c>
    </row>
    <row r="58" ht="15.75" customHeight="1">
      <c r="A58" s="5" t="s">
        <v>4814</v>
      </c>
      <c r="B58" s="10">
        <v>45721.50877314815</v>
      </c>
      <c r="C58" s="3" t="s">
        <v>3476</v>
      </c>
      <c r="D58" s="3">
        <v>85.0</v>
      </c>
      <c r="E58" s="3" t="s">
        <v>3474</v>
      </c>
      <c r="F58" s="3">
        <v>6000.0</v>
      </c>
      <c r="G58" s="5">
        <v>110.0</v>
      </c>
      <c r="H58" s="3" t="s">
        <v>3460</v>
      </c>
      <c r="I58" s="3" t="s">
        <v>3452</v>
      </c>
      <c r="J58" s="5">
        <v>8000.0</v>
      </c>
      <c r="K58" s="5">
        <v>14000.0</v>
      </c>
      <c r="L58" s="5" t="s">
        <v>3498</v>
      </c>
      <c r="M58" s="5" t="s">
        <v>3499</v>
      </c>
    </row>
    <row r="59" ht="15.75" customHeight="1">
      <c r="A59" s="5" t="s">
        <v>4815</v>
      </c>
      <c r="B59" s="10">
        <v>45721.509560185186</v>
      </c>
      <c r="C59" s="3" t="s">
        <v>3476</v>
      </c>
      <c r="D59" s="3">
        <v>85.0</v>
      </c>
      <c r="E59" s="3" t="s">
        <v>3474</v>
      </c>
      <c r="F59" s="3">
        <v>26200.0</v>
      </c>
      <c r="G59" s="5">
        <v>121.0</v>
      </c>
      <c r="H59" s="3" t="s">
        <v>3494</v>
      </c>
      <c r="I59" s="3" t="s">
        <v>3474</v>
      </c>
      <c r="J59" s="5">
        <v>48300.0</v>
      </c>
      <c r="K59" s="5">
        <v>85800.0</v>
      </c>
      <c r="L59" s="5" t="s">
        <v>3500</v>
      </c>
      <c r="M59" s="5" t="s">
        <v>3474</v>
      </c>
      <c r="N59" s="5" t="s">
        <v>4749</v>
      </c>
    </row>
    <row r="60" ht="15.75" customHeight="1">
      <c r="A60" s="5" t="s">
        <v>4816</v>
      </c>
      <c r="B60" s="10">
        <v>45721.511875</v>
      </c>
      <c r="C60" s="3" t="s">
        <v>56</v>
      </c>
      <c r="D60" s="3">
        <v>150.0</v>
      </c>
      <c r="E60" s="3" t="s">
        <v>3486</v>
      </c>
      <c r="F60" s="3">
        <v>3000.0</v>
      </c>
      <c r="G60" s="5">
        <v>87.0</v>
      </c>
      <c r="H60" s="3" t="s">
        <v>3478</v>
      </c>
      <c r="I60" s="3" t="s">
        <v>3277</v>
      </c>
      <c r="J60" s="5">
        <v>44200.0</v>
      </c>
      <c r="K60" s="5">
        <v>47200.0</v>
      </c>
      <c r="L60" s="5" t="s">
        <v>3502</v>
      </c>
      <c r="M60" s="5" t="s">
        <v>3486</v>
      </c>
      <c r="N60" s="5" t="s">
        <v>4817</v>
      </c>
    </row>
    <row r="61" ht="15.75" customHeight="1">
      <c r="A61" s="5" t="s">
        <v>4818</v>
      </c>
      <c r="B61" s="10">
        <v>45721.514756944445</v>
      </c>
      <c r="C61" s="3" t="s">
        <v>3389</v>
      </c>
      <c r="D61" s="3">
        <v>82.0</v>
      </c>
      <c r="E61" s="3" t="s">
        <v>3293</v>
      </c>
      <c r="F61" s="3">
        <v>1000.0</v>
      </c>
      <c r="G61" s="5">
        <v>77.0</v>
      </c>
      <c r="H61" s="3" t="s">
        <v>3292</v>
      </c>
      <c r="I61" s="3" t="s">
        <v>3293</v>
      </c>
      <c r="J61" s="5">
        <v>25000.0</v>
      </c>
      <c r="K61" s="5">
        <v>26000.0</v>
      </c>
      <c r="L61" s="5" t="s">
        <v>3503</v>
      </c>
      <c r="M61" s="5" t="s">
        <v>3293</v>
      </c>
    </row>
    <row r="62" ht="15.75" customHeight="1">
      <c r="A62" s="5" t="s">
        <v>4819</v>
      </c>
      <c r="B62" s="10">
        <v>45721.51530092592</v>
      </c>
      <c r="C62" s="3" t="s">
        <v>3389</v>
      </c>
      <c r="D62" s="3">
        <v>82.0</v>
      </c>
      <c r="E62" s="3" t="s">
        <v>3293</v>
      </c>
      <c r="F62" s="3">
        <v>1800.0</v>
      </c>
      <c r="G62" s="5">
        <v>78.0</v>
      </c>
      <c r="H62" s="3" t="s">
        <v>3401</v>
      </c>
      <c r="I62" s="3" t="s">
        <v>3293</v>
      </c>
      <c r="J62" s="5">
        <v>24000.0</v>
      </c>
      <c r="K62" s="5">
        <v>25800.0</v>
      </c>
      <c r="L62" s="5" t="s">
        <v>3504</v>
      </c>
      <c r="M62" s="5" t="s">
        <v>3293</v>
      </c>
    </row>
    <row r="63" ht="15.75" customHeight="1">
      <c r="A63" s="5" t="s">
        <v>4820</v>
      </c>
      <c r="B63" s="10">
        <v>45721.51846064815</v>
      </c>
      <c r="C63" s="3" t="s">
        <v>3389</v>
      </c>
      <c r="D63" s="3">
        <v>82.0</v>
      </c>
      <c r="E63" s="3" t="s">
        <v>3293</v>
      </c>
      <c r="F63" s="3">
        <v>2000.0</v>
      </c>
      <c r="G63" s="5">
        <v>79.0</v>
      </c>
      <c r="H63" s="3" t="s">
        <v>3402</v>
      </c>
      <c r="I63" s="3" t="s">
        <v>3293</v>
      </c>
      <c r="J63" s="5">
        <v>24000.0</v>
      </c>
      <c r="K63" s="5">
        <v>26000.0</v>
      </c>
      <c r="L63" s="5" t="s">
        <v>3505</v>
      </c>
      <c r="M63" s="5" t="s">
        <v>3293</v>
      </c>
    </row>
    <row r="64" ht="15.75" customHeight="1">
      <c r="A64" s="5" t="s">
        <v>4821</v>
      </c>
      <c r="B64" s="10">
        <v>45721.52009259259</v>
      </c>
      <c r="C64" s="3" t="s">
        <v>3389</v>
      </c>
      <c r="D64" s="3">
        <v>82.0</v>
      </c>
      <c r="E64" s="3" t="s">
        <v>3293</v>
      </c>
      <c r="F64" s="3">
        <v>2500.0</v>
      </c>
      <c r="G64" s="5">
        <v>81.0</v>
      </c>
      <c r="H64" s="3" t="s">
        <v>3400</v>
      </c>
      <c r="I64" s="3" t="s">
        <v>3293</v>
      </c>
      <c r="J64" s="5">
        <v>24000.0</v>
      </c>
      <c r="K64" s="5">
        <v>26500.0</v>
      </c>
      <c r="L64" s="5" t="s">
        <v>3506</v>
      </c>
      <c r="M64" s="5" t="s">
        <v>3293</v>
      </c>
    </row>
    <row r="65" ht="15.75" customHeight="1">
      <c r="A65" s="5" t="s">
        <v>4822</v>
      </c>
      <c r="B65" s="10">
        <v>45721.52081018518</v>
      </c>
      <c r="C65" s="3" t="s">
        <v>3389</v>
      </c>
      <c r="D65" s="3">
        <v>82.0</v>
      </c>
      <c r="E65" s="3" t="s">
        <v>3293</v>
      </c>
      <c r="F65" s="3">
        <v>20700.0</v>
      </c>
      <c r="G65" s="5">
        <v>10.0</v>
      </c>
      <c r="H65" s="3"/>
      <c r="I65" s="3"/>
      <c r="J65" s="5">
        <v>0.0</v>
      </c>
      <c r="K65" s="5">
        <v>20700.0</v>
      </c>
      <c r="L65" s="5" t="s">
        <v>11</v>
      </c>
      <c r="M65" s="5" t="s">
        <v>3293</v>
      </c>
    </row>
    <row r="66" ht="15.75" customHeight="1">
      <c r="A66" s="5" t="s">
        <v>4823</v>
      </c>
      <c r="B66" s="10">
        <v>45722.39984953704</v>
      </c>
      <c r="C66" s="3" t="s">
        <v>3511</v>
      </c>
      <c r="D66" s="3">
        <v>69.0</v>
      </c>
      <c r="E66" s="3" t="s">
        <v>3275</v>
      </c>
      <c r="F66" s="3">
        <v>1500.0</v>
      </c>
      <c r="G66" s="5">
        <v>89.0</v>
      </c>
      <c r="H66" s="3" t="s">
        <v>3492</v>
      </c>
      <c r="I66" s="3" t="s">
        <v>3272</v>
      </c>
      <c r="J66" s="5">
        <v>39000.0</v>
      </c>
      <c r="K66" s="5">
        <v>40500.0</v>
      </c>
      <c r="L66" s="5" t="s">
        <v>3513</v>
      </c>
      <c r="M66" s="5" t="s">
        <v>3272</v>
      </c>
      <c r="N66" s="5" t="s">
        <v>4824</v>
      </c>
    </row>
    <row r="67" ht="15.75" customHeight="1">
      <c r="A67" s="5" t="s">
        <v>4825</v>
      </c>
      <c r="B67" s="10">
        <v>45722.40490740741</v>
      </c>
      <c r="C67" s="3" t="s">
        <v>3455</v>
      </c>
      <c r="D67" s="3">
        <v>80.0</v>
      </c>
      <c r="E67" s="3" t="s">
        <v>3456</v>
      </c>
      <c r="F67" s="3">
        <v>2000.0</v>
      </c>
      <c r="G67" s="5">
        <v>110.0</v>
      </c>
      <c r="H67" s="3" t="s">
        <v>3498</v>
      </c>
      <c r="I67" s="3" t="s">
        <v>3499</v>
      </c>
      <c r="J67" s="5">
        <v>14000.0</v>
      </c>
      <c r="K67" s="5">
        <v>16000.0</v>
      </c>
      <c r="L67" s="5" t="s">
        <v>3514</v>
      </c>
      <c r="M67" s="5" t="s">
        <v>3456</v>
      </c>
      <c r="N67" s="5" t="s">
        <v>4826</v>
      </c>
    </row>
    <row r="68" ht="15.75" customHeight="1">
      <c r="A68" s="5" t="s">
        <v>4827</v>
      </c>
      <c r="B68" s="10">
        <v>45722.40614583333</v>
      </c>
      <c r="C68" s="3" t="s">
        <v>3455</v>
      </c>
      <c r="D68" s="3">
        <v>80.0</v>
      </c>
      <c r="E68" s="3" t="s">
        <v>3456</v>
      </c>
      <c r="F68" s="3">
        <v>11000.0</v>
      </c>
      <c r="G68" s="5">
        <v>11.0</v>
      </c>
      <c r="H68" s="3"/>
      <c r="I68" s="3"/>
      <c r="J68" s="5">
        <v>0.0</v>
      </c>
      <c r="K68" s="5">
        <v>11000.0</v>
      </c>
      <c r="L68" s="5" t="s">
        <v>3515</v>
      </c>
      <c r="M68" s="5" t="s">
        <v>3456</v>
      </c>
      <c r="N68" s="5" t="s">
        <v>4743</v>
      </c>
    </row>
    <row r="69" ht="15.75" customHeight="1">
      <c r="A69" s="5" t="s">
        <v>4828</v>
      </c>
      <c r="B69" s="10">
        <v>45722.40673611111</v>
      </c>
      <c r="C69" s="3" t="s">
        <v>3487</v>
      </c>
      <c r="D69" s="3">
        <v>84.0</v>
      </c>
      <c r="E69" s="3" t="s">
        <v>3445</v>
      </c>
      <c r="F69" s="3">
        <v>25000.0</v>
      </c>
      <c r="G69" s="5">
        <v>11.0</v>
      </c>
      <c r="H69" s="3" t="s">
        <v>3515</v>
      </c>
      <c r="I69" s="3" t="s">
        <v>3456</v>
      </c>
      <c r="J69" s="5">
        <v>11000.0</v>
      </c>
      <c r="K69" s="5">
        <v>36000.0</v>
      </c>
      <c r="L69" s="5" t="s">
        <v>3516</v>
      </c>
      <c r="M69" s="5" t="s">
        <v>3445</v>
      </c>
      <c r="N69" s="5" t="s">
        <v>4829</v>
      </c>
    </row>
    <row r="70" ht="15.75" customHeight="1">
      <c r="A70" s="5" t="s">
        <v>4830</v>
      </c>
      <c r="B70" s="10">
        <v>45722.41396990741</v>
      </c>
      <c r="C70" s="3" t="s">
        <v>3487</v>
      </c>
      <c r="D70" s="3">
        <v>84.0</v>
      </c>
      <c r="E70" s="3" t="s">
        <v>3445</v>
      </c>
      <c r="F70" s="3">
        <v>37000.0</v>
      </c>
      <c r="G70" s="5">
        <v>14.0</v>
      </c>
      <c r="H70" s="3"/>
      <c r="I70" s="3" t="s">
        <v>4831</v>
      </c>
      <c r="J70" s="5">
        <v>0.0</v>
      </c>
      <c r="K70" s="5">
        <v>37000.0</v>
      </c>
      <c r="L70" s="5" t="s">
        <v>3517</v>
      </c>
      <c r="M70" s="5" t="s">
        <v>3445</v>
      </c>
    </row>
    <row r="71" ht="15.75" customHeight="1">
      <c r="A71" s="5" t="s">
        <v>4832</v>
      </c>
      <c r="B71" s="10">
        <v>45722.414722222224</v>
      </c>
      <c r="C71" s="3" t="s">
        <v>3487</v>
      </c>
      <c r="D71" s="3">
        <v>84.0</v>
      </c>
      <c r="E71" s="3" t="s">
        <v>3445</v>
      </c>
      <c r="F71" s="3">
        <v>10000.0</v>
      </c>
      <c r="G71" s="5">
        <v>53.0</v>
      </c>
      <c r="H71" s="3"/>
      <c r="I71" s="3"/>
      <c r="J71" s="5">
        <v>0.0</v>
      </c>
      <c r="K71" s="5">
        <v>10000.0</v>
      </c>
      <c r="L71" s="5" t="s">
        <v>3518</v>
      </c>
      <c r="M71" s="5" t="s">
        <v>3519</v>
      </c>
      <c r="N71" s="5" t="s">
        <v>4833</v>
      </c>
    </row>
    <row r="72" ht="15.75" customHeight="1">
      <c r="A72" s="5" t="s">
        <v>4834</v>
      </c>
      <c r="B72" s="10">
        <v>45722.418912037036</v>
      </c>
      <c r="C72" s="3" t="s">
        <v>3338</v>
      </c>
      <c r="D72" s="3">
        <v>16.0</v>
      </c>
      <c r="E72" s="3" t="s">
        <v>3339</v>
      </c>
      <c r="F72" s="3">
        <v>9500.0</v>
      </c>
      <c r="G72" s="5">
        <v>88.0</v>
      </c>
      <c r="H72" s="3" t="s">
        <v>3483</v>
      </c>
      <c r="I72" s="3" t="s">
        <v>3442</v>
      </c>
      <c r="J72" s="5">
        <v>40000.0</v>
      </c>
      <c r="K72" s="5">
        <v>49500.0</v>
      </c>
      <c r="L72" s="5" t="s">
        <v>3521</v>
      </c>
      <c r="M72" s="5" t="s">
        <v>3442</v>
      </c>
      <c r="N72" s="5" t="s">
        <v>4835</v>
      </c>
    </row>
    <row r="73" ht="15.75" customHeight="1">
      <c r="A73" s="5" t="s">
        <v>4836</v>
      </c>
      <c r="B73" s="10">
        <v>45722.4215625</v>
      </c>
      <c r="C73" s="3" t="s">
        <v>3369</v>
      </c>
      <c r="D73" s="3">
        <v>118.0</v>
      </c>
      <c r="E73" s="3" t="s">
        <v>3346</v>
      </c>
      <c r="F73" s="3">
        <v>59700.0</v>
      </c>
      <c r="G73" s="5">
        <v>24.0</v>
      </c>
      <c r="H73" s="3"/>
      <c r="I73" s="3"/>
      <c r="J73" s="5">
        <v>0.0</v>
      </c>
      <c r="K73" s="5">
        <v>155600.0</v>
      </c>
      <c r="L73" s="5" t="s">
        <v>3523</v>
      </c>
      <c r="M73" s="5" t="s">
        <v>3524</v>
      </c>
      <c r="N73" s="5" t="s">
        <v>4837</v>
      </c>
    </row>
    <row r="74" ht="15.75" customHeight="1">
      <c r="A74" s="5" t="s">
        <v>4838</v>
      </c>
      <c r="B74" s="10">
        <v>45722.42386574074</v>
      </c>
      <c r="C74" s="3" t="s">
        <v>3369</v>
      </c>
      <c r="D74" s="3">
        <v>118.0</v>
      </c>
      <c r="E74" s="3" t="s">
        <v>3346</v>
      </c>
      <c r="F74" s="3">
        <v>62100.0</v>
      </c>
      <c r="G74" s="5">
        <v>25.0</v>
      </c>
      <c r="H74" s="3"/>
      <c r="I74" s="3"/>
      <c r="J74" s="5">
        <v>0.0</v>
      </c>
      <c r="K74" s="5">
        <v>62100.0</v>
      </c>
      <c r="L74" s="5" t="s">
        <v>3525</v>
      </c>
      <c r="M74" s="5" t="s">
        <v>3524</v>
      </c>
    </row>
    <row r="75" ht="15.75" customHeight="1">
      <c r="A75" s="5" t="s">
        <v>4839</v>
      </c>
      <c r="B75" s="10">
        <v>45722.42420138889</v>
      </c>
      <c r="C75" s="3" t="s">
        <v>3369</v>
      </c>
      <c r="D75" s="3">
        <v>118.0</v>
      </c>
      <c r="E75" s="3" t="s">
        <v>3346</v>
      </c>
      <c r="F75" s="3">
        <v>24600.0</v>
      </c>
      <c r="G75" s="5">
        <v>95.0</v>
      </c>
      <c r="H75" s="3"/>
      <c r="I75" s="3"/>
      <c r="J75" s="5">
        <v>0.0</v>
      </c>
      <c r="K75" s="5">
        <v>24600.0</v>
      </c>
      <c r="L75" s="5" t="s">
        <v>3526</v>
      </c>
      <c r="M75" s="5" t="s">
        <v>3524</v>
      </c>
    </row>
    <row r="76" ht="15.75" customHeight="1">
      <c r="A76" s="5" t="s">
        <v>4840</v>
      </c>
      <c r="B76" s="10">
        <v>45722.42457175926</v>
      </c>
      <c r="C76" s="3" t="s">
        <v>3369</v>
      </c>
      <c r="D76" s="3">
        <v>118.0</v>
      </c>
      <c r="E76" s="3" t="s">
        <v>3346</v>
      </c>
      <c r="F76" s="3">
        <v>9200.0</v>
      </c>
      <c r="G76" s="5">
        <v>96.0</v>
      </c>
      <c r="H76" s="3"/>
      <c r="I76" s="3"/>
      <c r="J76" s="5">
        <v>0.0</v>
      </c>
      <c r="K76" s="5">
        <v>9200.0</v>
      </c>
      <c r="L76" s="5" t="s">
        <v>3527</v>
      </c>
      <c r="M76" s="5" t="s">
        <v>3524</v>
      </c>
    </row>
    <row r="77" ht="15.75" customHeight="1">
      <c r="A77" s="5" t="s">
        <v>4841</v>
      </c>
      <c r="B77" s="10">
        <v>45722.76018518519</v>
      </c>
      <c r="C77" s="3" t="s">
        <v>3338</v>
      </c>
      <c r="D77" s="3">
        <v>16.0</v>
      </c>
      <c r="E77" s="3" t="s">
        <v>3339</v>
      </c>
      <c r="F77" s="3">
        <v>8000.0</v>
      </c>
      <c r="G77" s="5">
        <v>89.0</v>
      </c>
      <c r="H77" s="3" t="s">
        <v>3513</v>
      </c>
      <c r="I77" s="3" t="s">
        <v>3272</v>
      </c>
      <c r="J77" s="5">
        <v>40500.0</v>
      </c>
      <c r="K77" s="5">
        <v>48500.0</v>
      </c>
      <c r="L77" s="5" t="s">
        <v>3533</v>
      </c>
      <c r="M77" s="5" t="s">
        <v>3272</v>
      </c>
      <c r="N77" s="5" t="s">
        <v>4842</v>
      </c>
    </row>
    <row r="78" ht="15.75" customHeight="1">
      <c r="A78" s="5" t="s">
        <v>4843</v>
      </c>
      <c r="B78" s="10">
        <v>45722.775972222225</v>
      </c>
      <c r="C78" s="3" t="s">
        <v>3367</v>
      </c>
      <c r="D78" s="3">
        <v>114.0</v>
      </c>
      <c r="E78" s="3" t="s">
        <v>3368</v>
      </c>
      <c r="F78" s="3">
        <v>11200.0</v>
      </c>
      <c r="G78" s="5">
        <v>931.0</v>
      </c>
      <c r="H78" s="3"/>
      <c r="I78" s="3"/>
      <c r="J78" s="5">
        <v>0.0</v>
      </c>
      <c r="K78" s="5">
        <v>11200.0</v>
      </c>
      <c r="L78" s="5" t="s">
        <v>3535</v>
      </c>
      <c r="M78" s="5" t="s">
        <v>3368</v>
      </c>
    </row>
    <row r="79" ht="15.75" customHeight="1">
      <c r="A79" s="5" t="s">
        <v>4844</v>
      </c>
      <c r="B79" s="10">
        <v>45722.77644675926</v>
      </c>
      <c r="C79" s="3" t="s">
        <v>3367</v>
      </c>
      <c r="D79" s="3">
        <v>114.0</v>
      </c>
      <c r="E79" s="3" t="s">
        <v>3368</v>
      </c>
      <c r="F79" s="3">
        <v>41000.0</v>
      </c>
      <c r="G79" s="5">
        <v>24.0</v>
      </c>
      <c r="H79" s="3" t="s">
        <v>3523</v>
      </c>
      <c r="I79" s="3" t="s">
        <v>3524</v>
      </c>
      <c r="J79" s="5">
        <v>59700.0</v>
      </c>
      <c r="K79" s="5">
        <v>100700.0</v>
      </c>
      <c r="L79" s="5" t="s">
        <v>3536</v>
      </c>
      <c r="M79" s="5" t="s">
        <v>3524</v>
      </c>
    </row>
    <row r="80" ht="15.75" customHeight="1">
      <c r="A80" s="5" t="s">
        <v>4845</v>
      </c>
      <c r="B80" s="10">
        <v>45722.7778587963</v>
      </c>
      <c r="C80" s="3" t="s">
        <v>3367</v>
      </c>
      <c r="D80" s="3">
        <v>114.0</v>
      </c>
      <c r="E80" s="3" t="s">
        <v>3368</v>
      </c>
      <c r="F80" s="3">
        <v>42700.0</v>
      </c>
      <c r="G80" s="5">
        <v>25.0</v>
      </c>
      <c r="H80" s="3" t="s">
        <v>3525</v>
      </c>
      <c r="I80" s="3" t="s">
        <v>3524</v>
      </c>
      <c r="J80" s="5">
        <v>62100.0</v>
      </c>
      <c r="K80" s="5">
        <v>104800.0</v>
      </c>
      <c r="L80" s="5" t="s">
        <v>3537</v>
      </c>
      <c r="M80" s="5" t="s">
        <v>3524</v>
      </c>
    </row>
    <row r="81" ht="15.75" customHeight="1">
      <c r="A81" s="5" t="s">
        <v>4846</v>
      </c>
      <c r="B81" s="10">
        <v>45722.77835648148</v>
      </c>
      <c r="C81" s="3" t="s">
        <v>3367</v>
      </c>
      <c r="D81" s="3">
        <v>114.0</v>
      </c>
      <c r="E81" s="3" t="s">
        <v>3368</v>
      </c>
      <c r="F81" s="3">
        <v>17000.0</v>
      </c>
      <c r="G81" s="5">
        <v>95.0</v>
      </c>
      <c r="H81" s="3" t="s">
        <v>3526</v>
      </c>
      <c r="I81" s="3" t="s">
        <v>3524</v>
      </c>
      <c r="J81" s="5">
        <v>24600.0</v>
      </c>
      <c r="K81" s="5">
        <v>41600.0</v>
      </c>
      <c r="L81" s="5" t="s">
        <v>3538</v>
      </c>
      <c r="M81" s="5" t="s">
        <v>3524</v>
      </c>
    </row>
    <row r="82" ht="15.75" customHeight="1">
      <c r="A82" s="5" t="s">
        <v>4847</v>
      </c>
      <c r="B82" s="10">
        <v>45722.786203703705</v>
      </c>
      <c r="C82" s="3" t="s">
        <v>3367</v>
      </c>
      <c r="D82" s="3">
        <v>114.0</v>
      </c>
      <c r="E82" s="3" t="s">
        <v>3368</v>
      </c>
      <c r="F82" s="3">
        <v>13400.0</v>
      </c>
      <c r="G82" s="5">
        <v>96.0</v>
      </c>
      <c r="H82" s="3" t="s">
        <v>3527</v>
      </c>
      <c r="I82" s="3" t="s">
        <v>3524</v>
      </c>
      <c r="J82" s="5">
        <v>9200.0</v>
      </c>
      <c r="K82" s="5">
        <v>22600.0</v>
      </c>
      <c r="L82" s="5" t="s">
        <v>3539</v>
      </c>
      <c r="M82" s="5" t="s">
        <v>3524</v>
      </c>
    </row>
    <row r="83" ht="15.75" customHeight="1">
      <c r="A83" s="5" t="s">
        <v>4848</v>
      </c>
      <c r="B83" s="10">
        <v>45723.44768518519</v>
      </c>
      <c r="C83" s="3" t="s">
        <v>56</v>
      </c>
      <c r="D83" s="3">
        <v>150.0</v>
      </c>
      <c r="E83" s="3" t="s">
        <v>3486</v>
      </c>
      <c r="F83" s="3">
        <v>1000.0</v>
      </c>
      <c r="G83" s="5">
        <v>68.0</v>
      </c>
      <c r="H83" s="3" t="s">
        <v>3491</v>
      </c>
      <c r="I83" s="3" t="s">
        <v>3272</v>
      </c>
      <c r="J83" s="5">
        <v>10000.0</v>
      </c>
      <c r="K83" s="5">
        <v>11000.0</v>
      </c>
      <c r="L83" s="5" t="s">
        <v>3540</v>
      </c>
      <c r="M83" s="5" t="s">
        <v>3272</v>
      </c>
      <c r="O83" s="5" t="s">
        <v>3342</v>
      </c>
      <c r="P83" s="5" t="s">
        <v>3294</v>
      </c>
      <c r="Q83" s="5" t="b">
        <v>1</v>
      </c>
      <c r="R83" s="5" t="s">
        <v>3294</v>
      </c>
    </row>
    <row r="84" ht="15.75" customHeight="1">
      <c r="A84" s="5" t="s">
        <v>4849</v>
      </c>
      <c r="B84" s="10">
        <v>45723.757731481484</v>
      </c>
      <c r="C84" s="3" t="s">
        <v>3350</v>
      </c>
      <c r="D84" s="3">
        <v>47.0</v>
      </c>
      <c r="E84" s="3" t="s">
        <v>3351</v>
      </c>
      <c r="F84" s="3">
        <v>1000.0</v>
      </c>
      <c r="G84" s="5">
        <v>69.0</v>
      </c>
      <c r="H84" s="3" t="s">
        <v>3511</v>
      </c>
      <c r="I84" s="3" t="s">
        <v>3275</v>
      </c>
      <c r="J84" s="5">
        <v>7600.0</v>
      </c>
      <c r="K84" s="5">
        <v>8600.0</v>
      </c>
      <c r="L84" s="5" t="s">
        <v>3542</v>
      </c>
      <c r="M84" s="5" t="s">
        <v>3275</v>
      </c>
      <c r="O84" s="5" t="s">
        <v>3337</v>
      </c>
      <c r="P84" s="5" t="s">
        <v>3294</v>
      </c>
      <c r="Q84" s="5" t="b">
        <v>1</v>
      </c>
      <c r="R84" s="5" t="s">
        <v>3294</v>
      </c>
    </row>
    <row r="85" ht="15.75" customHeight="1">
      <c r="A85" s="5" t="s">
        <v>4850</v>
      </c>
      <c r="B85" s="10">
        <v>45723.75950231482</v>
      </c>
      <c r="C85" s="3" t="s">
        <v>3350</v>
      </c>
      <c r="D85" s="3">
        <v>47.0</v>
      </c>
      <c r="E85" s="3" t="s">
        <v>3351</v>
      </c>
      <c r="F85" s="3">
        <v>4000.0</v>
      </c>
      <c r="G85" s="5">
        <v>92.0</v>
      </c>
      <c r="H85" s="3" t="s">
        <v>3508</v>
      </c>
      <c r="I85" s="3" t="s">
        <v>3380</v>
      </c>
      <c r="J85" s="5">
        <v>40700.0</v>
      </c>
      <c r="K85" s="5">
        <v>44700.0</v>
      </c>
      <c r="L85" s="5" t="s">
        <v>3544</v>
      </c>
      <c r="M85" s="5" t="s">
        <v>3380</v>
      </c>
      <c r="O85" s="5" t="s">
        <v>3337</v>
      </c>
      <c r="P85" s="5" t="s">
        <v>3294</v>
      </c>
      <c r="Q85" s="5" t="b">
        <v>1</v>
      </c>
      <c r="R85" s="5" t="s">
        <v>3294</v>
      </c>
    </row>
    <row r="86" ht="15.75" customHeight="1">
      <c r="A86" s="5" t="s">
        <v>4851</v>
      </c>
      <c r="B86" s="10">
        <v>45723.759988425925</v>
      </c>
      <c r="C86" s="3" t="s">
        <v>3350</v>
      </c>
      <c r="D86" s="3">
        <v>47.0</v>
      </c>
      <c r="E86" s="3" t="s">
        <v>3351</v>
      </c>
      <c r="F86" s="3">
        <v>2000.0</v>
      </c>
      <c r="G86" s="5">
        <v>66.0</v>
      </c>
      <c r="H86" s="3" t="s">
        <v>3488</v>
      </c>
      <c r="I86" s="3" t="s">
        <v>3466</v>
      </c>
      <c r="J86" s="5">
        <v>15000.0</v>
      </c>
      <c r="K86" s="5">
        <v>17000.0</v>
      </c>
      <c r="L86" s="5" t="s">
        <v>3545</v>
      </c>
      <c r="M86" s="5" t="s">
        <v>3466</v>
      </c>
      <c r="O86" s="5" t="s">
        <v>3337</v>
      </c>
      <c r="P86" s="5" t="s">
        <v>3294</v>
      </c>
      <c r="Q86" s="5" t="b">
        <v>1</v>
      </c>
      <c r="R86" s="5" t="s">
        <v>3294</v>
      </c>
    </row>
    <row r="87" ht="15.75" customHeight="1">
      <c r="A87" s="5" t="s">
        <v>4852</v>
      </c>
      <c r="B87" s="10">
        <v>45723.77123842593</v>
      </c>
      <c r="C87" s="3" t="s">
        <v>3362</v>
      </c>
      <c r="D87" s="3">
        <v>35.0</v>
      </c>
      <c r="E87" s="3" t="s">
        <v>3361</v>
      </c>
      <c r="F87" s="3">
        <v>15000.0</v>
      </c>
      <c r="G87" s="5">
        <v>24.0</v>
      </c>
      <c r="H87" s="3" t="s">
        <v>3536</v>
      </c>
      <c r="I87" s="3" t="s">
        <v>3524</v>
      </c>
      <c r="J87" s="5">
        <v>100700.0</v>
      </c>
      <c r="K87" s="5">
        <v>115700.0</v>
      </c>
      <c r="L87" s="5" t="s">
        <v>3546</v>
      </c>
      <c r="M87" s="5" t="s">
        <v>3524</v>
      </c>
      <c r="O87" s="5" t="s">
        <v>3342</v>
      </c>
      <c r="P87" s="5" t="s">
        <v>3342</v>
      </c>
      <c r="Q87" s="5" t="b">
        <v>1</v>
      </c>
      <c r="R87" s="5" t="s">
        <v>3342</v>
      </c>
    </row>
    <row r="88" ht="15.75" customHeight="1">
      <c r="A88" s="5" t="s">
        <v>4853</v>
      </c>
      <c r="B88" s="10">
        <v>45723.7728125</v>
      </c>
      <c r="C88" s="3" t="s">
        <v>3362</v>
      </c>
      <c r="D88" s="3">
        <v>35.0</v>
      </c>
      <c r="E88" s="3" t="s">
        <v>3361</v>
      </c>
      <c r="F88" s="3">
        <v>15500.0</v>
      </c>
      <c r="G88" s="5">
        <v>25.0</v>
      </c>
      <c r="H88" s="3" t="s">
        <v>3537</v>
      </c>
      <c r="I88" s="3" t="s">
        <v>3524</v>
      </c>
      <c r="J88" s="5">
        <v>104800.0</v>
      </c>
      <c r="K88" s="5">
        <v>120300.0</v>
      </c>
      <c r="L88" s="5" t="s">
        <v>3547</v>
      </c>
      <c r="M88" s="5" t="s">
        <v>3524</v>
      </c>
      <c r="O88" s="5" t="s">
        <v>3342</v>
      </c>
      <c r="P88" s="5" t="s">
        <v>3342</v>
      </c>
      <c r="Q88" s="5" t="b">
        <v>1</v>
      </c>
      <c r="R88" s="5" t="s">
        <v>3342</v>
      </c>
    </row>
    <row r="89" ht="15.75" customHeight="1">
      <c r="A89" s="5" t="s">
        <v>4854</v>
      </c>
      <c r="B89" s="10">
        <v>45723.77347222222</v>
      </c>
      <c r="C89" s="3" t="s">
        <v>3362</v>
      </c>
      <c r="D89" s="3">
        <v>35.0</v>
      </c>
      <c r="E89" s="3" t="s">
        <v>3361</v>
      </c>
      <c r="F89" s="3">
        <v>6200.0</v>
      </c>
      <c r="G89" s="5">
        <v>95.0</v>
      </c>
      <c r="H89" s="3" t="s">
        <v>3538</v>
      </c>
      <c r="I89" s="3" t="s">
        <v>3524</v>
      </c>
      <c r="J89" s="5">
        <v>41600.0</v>
      </c>
      <c r="K89" s="5">
        <v>47800.0</v>
      </c>
      <c r="L89" s="5" t="s">
        <v>3548</v>
      </c>
      <c r="M89" s="5" t="s">
        <v>3524</v>
      </c>
      <c r="O89" s="5" t="s">
        <v>3342</v>
      </c>
      <c r="P89" s="5" t="s">
        <v>3342</v>
      </c>
      <c r="Q89" s="5" t="b">
        <v>1</v>
      </c>
      <c r="R89" s="5" t="s">
        <v>3342</v>
      </c>
    </row>
    <row r="90" ht="15.75" customHeight="1">
      <c r="A90" s="5" t="s">
        <v>4855</v>
      </c>
      <c r="B90" s="10">
        <v>45723.7737037037</v>
      </c>
      <c r="C90" s="3" t="s">
        <v>3362</v>
      </c>
      <c r="D90" s="3">
        <v>35.0</v>
      </c>
      <c r="E90" s="3" t="s">
        <v>3361</v>
      </c>
      <c r="F90" s="3">
        <v>2600.0</v>
      </c>
      <c r="G90" s="5">
        <v>96.0</v>
      </c>
      <c r="H90" s="3" t="s">
        <v>3539</v>
      </c>
      <c r="I90" s="3" t="s">
        <v>3524</v>
      </c>
      <c r="J90" s="5">
        <v>22600.0</v>
      </c>
      <c r="K90" s="5">
        <v>25200.0</v>
      </c>
      <c r="L90" s="5" t="s">
        <v>3549</v>
      </c>
      <c r="M90" s="5" t="s">
        <v>3524</v>
      </c>
      <c r="O90" s="5" t="s">
        <v>3342</v>
      </c>
      <c r="P90" s="5" t="s">
        <v>3342</v>
      </c>
      <c r="Q90" s="5" t="b">
        <v>1</v>
      </c>
      <c r="R90" s="5" t="s">
        <v>3342</v>
      </c>
    </row>
    <row r="91" ht="15.75" customHeight="1">
      <c r="A91" s="5" t="s">
        <v>4856</v>
      </c>
      <c r="B91" s="10">
        <v>45723.793171296296</v>
      </c>
      <c r="C91" s="3" t="s">
        <v>3318</v>
      </c>
      <c r="D91" s="3">
        <v>102.0</v>
      </c>
      <c r="E91" s="3" t="s">
        <v>3314</v>
      </c>
      <c r="F91" s="3">
        <v>2700.0</v>
      </c>
      <c r="G91" s="5">
        <v>95.0</v>
      </c>
      <c r="H91" s="3" t="s">
        <v>3548</v>
      </c>
      <c r="I91" s="3" t="s">
        <v>3524</v>
      </c>
      <c r="J91" s="5">
        <v>47800.0</v>
      </c>
      <c r="K91" s="5">
        <v>50500.0</v>
      </c>
      <c r="L91" s="5" t="s">
        <v>3550</v>
      </c>
      <c r="M91" s="5" t="s">
        <v>3524</v>
      </c>
      <c r="O91" s="5" t="s">
        <v>3320</v>
      </c>
      <c r="P91" s="5" t="s">
        <v>3342</v>
      </c>
      <c r="Q91" s="5" t="b">
        <v>1</v>
      </c>
      <c r="R91" s="5" t="s">
        <v>3342</v>
      </c>
    </row>
    <row r="92" ht="15.75" customHeight="1">
      <c r="A92" s="5" t="s">
        <v>4857</v>
      </c>
      <c r="B92" s="10">
        <v>45723.79414351852</v>
      </c>
      <c r="C92" s="3" t="s">
        <v>3318</v>
      </c>
      <c r="D92" s="3">
        <v>102.0</v>
      </c>
      <c r="E92" s="3" t="s">
        <v>3314</v>
      </c>
      <c r="F92" s="3">
        <v>1100.0</v>
      </c>
      <c r="G92" s="5">
        <v>96.0</v>
      </c>
      <c r="H92" s="3" t="s">
        <v>3549</v>
      </c>
      <c r="I92" s="3" t="s">
        <v>3524</v>
      </c>
      <c r="J92" s="5">
        <v>25200.0</v>
      </c>
      <c r="K92" s="5">
        <v>26300.0</v>
      </c>
      <c r="L92" s="5" t="s">
        <v>3551</v>
      </c>
      <c r="M92" s="5" t="s">
        <v>3524</v>
      </c>
      <c r="O92" s="5" t="s">
        <v>3320</v>
      </c>
      <c r="P92" s="5" t="s">
        <v>3342</v>
      </c>
      <c r="Q92" s="5" t="b">
        <v>1</v>
      </c>
      <c r="R92" s="5" t="s">
        <v>3342</v>
      </c>
    </row>
    <row r="93" ht="15.75" customHeight="1">
      <c r="A93" s="5" t="s">
        <v>4858</v>
      </c>
      <c r="B93" s="10">
        <v>45723.79604166667</v>
      </c>
      <c r="C93" s="3" t="s">
        <v>3318</v>
      </c>
      <c r="D93" s="3">
        <v>102.0</v>
      </c>
      <c r="E93" s="3" t="s">
        <v>3314</v>
      </c>
      <c r="F93" s="3">
        <v>6500.0</v>
      </c>
      <c r="G93" s="5">
        <v>24.0</v>
      </c>
      <c r="H93" s="3" t="s">
        <v>3546</v>
      </c>
      <c r="I93" s="3" t="s">
        <v>3524</v>
      </c>
      <c r="J93" s="5">
        <v>115700.0</v>
      </c>
      <c r="K93" s="5">
        <v>122200.0</v>
      </c>
      <c r="L93" s="5" t="s">
        <v>3552</v>
      </c>
      <c r="M93" s="5" t="s">
        <v>3524</v>
      </c>
      <c r="O93" s="5" t="s">
        <v>3320</v>
      </c>
      <c r="P93" s="5" t="s">
        <v>3342</v>
      </c>
      <c r="Q93" s="5" t="b">
        <v>1</v>
      </c>
      <c r="R93" s="5" t="s">
        <v>3342</v>
      </c>
    </row>
    <row r="94" ht="15.75" customHeight="1">
      <c r="A94" s="5" t="s">
        <v>4859</v>
      </c>
      <c r="B94" s="10">
        <v>45723.79693287037</v>
      </c>
      <c r="C94" s="3" t="s">
        <v>3318</v>
      </c>
      <c r="D94" s="3">
        <v>102.0</v>
      </c>
      <c r="E94" s="3" t="s">
        <v>3314</v>
      </c>
      <c r="F94" s="3">
        <v>6800.0</v>
      </c>
      <c r="G94" s="5">
        <v>25.0</v>
      </c>
      <c r="H94" s="3" t="s">
        <v>3547</v>
      </c>
      <c r="I94" s="3" t="s">
        <v>3524</v>
      </c>
      <c r="J94" s="5">
        <v>120300.0</v>
      </c>
      <c r="K94" s="5">
        <v>127100.0</v>
      </c>
      <c r="L94" s="5" t="s">
        <v>3553</v>
      </c>
      <c r="M94" s="5" t="s">
        <v>3524</v>
      </c>
      <c r="O94" s="5" t="s">
        <v>3320</v>
      </c>
      <c r="P94" s="5" t="s">
        <v>3342</v>
      </c>
      <c r="Q94" s="5" t="b">
        <v>1</v>
      </c>
      <c r="R94" s="5" t="s">
        <v>3342</v>
      </c>
    </row>
    <row r="95" ht="15.75" customHeight="1">
      <c r="A95" s="5" t="s">
        <v>4860</v>
      </c>
      <c r="B95" s="10">
        <v>45723.80216435185</v>
      </c>
      <c r="C95" s="3" t="s">
        <v>3360</v>
      </c>
      <c r="D95" s="3">
        <v>90.0</v>
      </c>
      <c r="E95" s="3" t="s">
        <v>3361</v>
      </c>
      <c r="F95" s="3">
        <v>37100.0</v>
      </c>
      <c r="G95" s="5">
        <v>24.0</v>
      </c>
      <c r="H95" s="3" t="s">
        <v>3552</v>
      </c>
      <c r="I95" s="3" t="s">
        <v>3524</v>
      </c>
      <c r="J95" s="5">
        <v>122200.0</v>
      </c>
      <c r="K95" s="5">
        <v>159300.0</v>
      </c>
      <c r="L95" s="5" t="s">
        <v>3554</v>
      </c>
      <c r="M95" s="5" t="s">
        <v>3524</v>
      </c>
      <c r="O95" s="5" t="s">
        <v>3342</v>
      </c>
      <c r="P95" s="5" t="s">
        <v>3342</v>
      </c>
      <c r="Q95" s="5" t="b">
        <v>1</v>
      </c>
      <c r="R95" s="5" t="s">
        <v>3342</v>
      </c>
    </row>
    <row r="96" ht="15.75" customHeight="1">
      <c r="A96" s="5" t="s">
        <v>4861</v>
      </c>
      <c r="B96" s="10">
        <v>45723.80253472222</v>
      </c>
      <c r="C96" s="3" t="s">
        <v>3360</v>
      </c>
      <c r="D96" s="3">
        <v>90.0</v>
      </c>
      <c r="E96" s="3" t="s">
        <v>3361</v>
      </c>
      <c r="F96" s="3">
        <v>38600.0</v>
      </c>
      <c r="G96" s="5">
        <v>25.0</v>
      </c>
      <c r="H96" s="3" t="s">
        <v>3553</v>
      </c>
      <c r="I96" s="3" t="s">
        <v>3524</v>
      </c>
      <c r="J96" s="5">
        <v>127100.0</v>
      </c>
      <c r="K96" s="5">
        <v>165700.0</v>
      </c>
      <c r="L96" s="5" t="s">
        <v>3555</v>
      </c>
      <c r="M96" s="5" t="s">
        <v>3524</v>
      </c>
      <c r="O96" s="5" t="s">
        <v>3342</v>
      </c>
      <c r="P96" s="5" t="s">
        <v>3342</v>
      </c>
      <c r="Q96" s="5" t="b">
        <v>1</v>
      </c>
      <c r="R96" s="5" t="s">
        <v>3342</v>
      </c>
    </row>
    <row r="97" ht="15.75" customHeight="1">
      <c r="A97" s="5" t="s">
        <v>4862</v>
      </c>
      <c r="B97" s="10">
        <v>45723.80311342593</v>
      </c>
      <c r="C97" s="3" t="s">
        <v>3360</v>
      </c>
      <c r="D97" s="3">
        <v>90.0</v>
      </c>
      <c r="E97" s="3" t="s">
        <v>3361</v>
      </c>
      <c r="F97" s="3">
        <v>15000.0</v>
      </c>
      <c r="G97" s="5">
        <v>95.0</v>
      </c>
      <c r="H97" s="3" t="s">
        <v>3550</v>
      </c>
      <c r="I97" s="3" t="s">
        <v>3524</v>
      </c>
      <c r="J97" s="5">
        <v>50500.0</v>
      </c>
      <c r="K97" s="5">
        <v>65500.0</v>
      </c>
      <c r="L97" s="5" t="s">
        <v>3556</v>
      </c>
      <c r="M97" s="5" t="s">
        <v>3524</v>
      </c>
      <c r="O97" s="5" t="s">
        <v>3342</v>
      </c>
      <c r="P97" s="5" t="s">
        <v>3342</v>
      </c>
      <c r="Q97" s="5" t="b">
        <v>1</v>
      </c>
      <c r="R97" s="5" t="s">
        <v>3342</v>
      </c>
    </row>
    <row r="98" ht="15.75" customHeight="1">
      <c r="A98" s="5" t="s">
        <v>4863</v>
      </c>
      <c r="B98" s="10">
        <v>45723.80363425926</v>
      </c>
      <c r="C98" s="3" t="s">
        <v>3360</v>
      </c>
      <c r="D98" s="3">
        <v>90.0</v>
      </c>
      <c r="E98" s="3" t="s">
        <v>3361</v>
      </c>
      <c r="F98" s="3">
        <v>6800.0</v>
      </c>
      <c r="G98" s="5">
        <v>96.0</v>
      </c>
      <c r="H98" s="3" t="s">
        <v>3551</v>
      </c>
      <c r="I98" s="3" t="s">
        <v>3524</v>
      </c>
      <c r="J98" s="5">
        <v>26300.0</v>
      </c>
      <c r="K98" s="5">
        <v>33100.0</v>
      </c>
      <c r="L98" s="5" t="s">
        <v>3557</v>
      </c>
      <c r="M98" s="5" t="s">
        <v>3524</v>
      </c>
      <c r="O98" s="5" t="s">
        <v>3342</v>
      </c>
      <c r="P98" s="5" t="s">
        <v>3342</v>
      </c>
      <c r="Q98" s="5" t="b">
        <v>1</v>
      </c>
      <c r="R98" s="5" t="s">
        <v>3342</v>
      </c>
    </row>
    <row r="99" ht="15.75" customHeight="1">
      <c r="A99" s="5" t="s">
        <v>4864</v>
      </c>
      <c r="B99" s="10">
        <v>45723.8191087963</v>
      </c>
      <c r="C99" s="3" t="s">
        <v>3356</v>
      </c>
      <c r="D99" s="3">
        <v>67.0</v>
      </c>
      <c r="E99" s="3" t="s">
        <v>3346</v>
      </c>
      <c r="F99" s="3">
        <v>3600.0</v>
      </c>
      <c r="G99" s="5">
        <v>95.0</v>
      </c>
      <c r="H99" s="3" t="s">
        <v>3556</v>
      </c>
      <c r="I99" s="3" t="s">
        <v>3524</v>
      </c>
      <c r="J99" s="5">
        <v>65500.0</v>
      </c>
      <c r="K99" s="5">
        <v>69100.0</v>
      </c>
      <c r="L99" s="5" t="s">
        <v>3558</v>
      </c>
      <c r="M99" s="5" t="s">
        <v>3524</v>
      </c>
      <c r="O99" s="5" t="s">
        <v>3342</v>
      </c>
      <c r="P99" s="5" t="s">
        <v>3342</v>
      </c>
      <c r="Q99" s="5" t="b">
        <v>1</v>
      </c>
      <c r="R99" s="5" t="s">
        <v>3342</v>
      </c>
    </row>
    <row r="100" ht="15.75" customHeight="1">
      <c r="A100" s="5" t="s">
        <v>4865</v>
      </c>
      <c r="B100" s="10">
        <v>45723.819699074076</v>
      </c>
      <c r="C100" s="3" t="s">
        <v>3356</v>
      </c>
      <c r="D100" s="3">
        <v>67.0</v>
      </c>
      <c r="E100" s="3" t="s">
        <v>3346</v>
      </c>
      <c r="F100" s="3">
        <v>8700.0</v>
      </c>
      <c r="G100" s="5">
        <v>24.0</v>
      </c>
      <c r="H100" s="3" t="s">
        <v>3554</v>
      </c>
      <c r="I100" s="3" t="s">
        <v>3524</v>
      </c>
      <c r="J100" s="5">
        <v>159300.0</v>
      </c>
      <c r="K100" s="5">
        <v>168000.0</v>
      </c>
      <c r="L100" s="5" t="s">
        <v>3559</v>
      </c>
      <c r="M100" s="5" t="s">
        <v>3524</v>
      </c>
      <c r="O100" s="5" t="s">
        <v>3342</v>
      </c>
      <c r="P100" s="5" t="s">
        <v>3342</v>
      </c>
      <c r="Q100" s="5" t="b">
        <v>1</v>
      </c>
      <c r="R100" s="5" t="s">
        <v>3342</v>
      </c>
    </row>
    <row r="101" ht="15.75" customHeight="1">
      <c r="A101" s="5" t="s">
        <v>4866</v>
      </c>
      <c r="B101" s="10">
        <v>45723.82020833333</v>
      </c>
      <c r="C101" s="3" t="s">
        <v>3356</v>
      </c>
      <c r="D101" s="3">
        <v>67.0</v>
      </c>
      <c r="E101" s="3" t="s">
        <v>3346</v>
      </c>
      <c r="F101" s="3">
        <v>9100.0</v>
      </c>
      <c r="G101" s="5">
        <v>25.0</v>
      </c>
      <c r="H101" s="3" t="s">
        <v>3555</v>
      </c>
      <c r="I101" s="3" t="s">
        <v>3524</v>
      </c>
      <c r="J101" s="5">
        <v>165700.0</v>
      </c>
      <c r="K101" s="5">
        <v>174800.0</v>
      </c>
      <c r="L101" s="5" t="s">
        <v>3560</v>
      </c>
      <c r="M101" s="5" t="s">
        <v>3524</v>
      </c>
      <c r="O101" s="5" t="s">
        <v>3342</v>
      </c>
      <c r="P101" s="5" t="s">
        <v>3342</v>
      </c>
      <c r="Q101" s="5" t="b">
        <v>1</v>
      </c>
      <c r="R101" s="5" t="s">
        <v>3342</v>
      </c>
    </row>
    <row r="102" ht="15.75" customHeight="1">
      <c r="A102" s="5" t="s">
        <v>4867</v>
      </c>
      <c r="B102" s="10">
        <v>45723.82056712963</v>
      </c>
      <c r="C102" s="3" t="s">
        <v>3356</v>
      </c>
      <c r="D102" s="3">
        <v>67.0</v>
      </c>
      <c r="E102" s="3" t="s">
        <v>3346</v>
      </c>
      <c r="F102" s="3">
        <v>1600.0</v>
      </c>
      <c r="G102" s="5">
        <v>96.0</v>
      </c>
      <c r="H102" s="3" t="s">
        <v>3557</v>
      </c>
      <c r="I102" s="3" t="s">
        <v>3524</v>
      </c>
      <c r="J102" s="5">
        <v>33100.0</v>
      </c>
      <c r="K102" s="5">
        <v>34700.0</v>
      </c>
      <c r="L102" s="5" t="s">
        <v>3561</v>
      </c>
      <c r="M102" s="5" t="s">
        <v>3524</v>
      </c>
      <c r="O102" s="5" t="s">
        <v>3342</v>
      </c>
      <c r="P102" s="5" t="s">
        <v>3342</v>
      </c>
      <c r="Q102" s="5" t="b">
        <v>1</v>
      </c>
      <c r="R102" s="5" t="s">
        <v>3342</v>
      </c>
    </row>
    <row r="103" ht="15.75" customHeight="1">
      <c r="A103" s="5" t="s">
        <v>4868</v>
      </c>
      <c r="B103" s="10">
        <v>45724.5459375</v>
      </c>
      <c r="C103" s="3" t="s">
        <v>3505</v>
      </c>
      <c r="D103" s="3">
        <v>79.0</v>
      </c>
      <c r="E103" s="3" t="s">
        <v>3293</v>
      </c>
      <c r="F103" s="3">
        <v>26000.0</v>
      </c>
      <c r="G103" s="5">
        <v>5.0</v>
      </c>
      <c r="H103" s="3"/>
      <c r="I103" s="3"/>
      <c r="J103" s="5">
        <v>0.0</v>
      </c>
      <c r="K103" s="5">
        <v>26000.0</v>
      </c>
      <c r="L103" s="5" t="s">
        <v>3565</v>
      </c>
      <c r="M103" s="5" t="s">
        <v>3293</v>
      </c>
      <c r="O103" s="5" t="s">
        <v>3294</v>
      </c>
      <c r="Q103" s="5" t="b">
        <v>0</v>
      </c>
      <c r="R103" s="5" t="s">
        <v>3294</v>
      </c>
    </row>
    <row r="104" ht="15.75" customHeight="1">
      <c r="A104" s="5" t="s">
        <v>4869</v>
      </c>
      <c r="B104" s="10">
        <v>45724.54673611111</v>
      </c>
      <c r="C104" s="3" t="s">
        <v>3503</v>
      </c>
      <c r="D104" s="3">
        <v>77.0</v>
      </c>
      <c r="E104" s="3" t="s">
        <v>3293</v>
      </c>
      <c r="F104" s="3">
        <v>4000.0</v>
      </c>
      <c r="G104" s="5">
        <v>5.0</v>
      </c>
      <c r="H104" s="3" t="s">
        <v>3565</v>
      </c>
      <c r="I104" s="3" t="s">
        <v>3293</v>
      </c>
      <c r="J104" s="5">
        <v>26000.0</v>
      </c>
      <c r="K104" s="5">
        <v>30000.0</v>
      </c>
      <c r="L104" s="5" t="s">
        <v>3566</v>
      </c>
      <c r="M104" s="5" t="s">
        <v>3293</v>
      </c>
      <c r="O104" s="5" t="s">
        <v>3294</v>
      </c>
      <c r="P104" s="5" t="s">
        <v>3294</v>
      </c>
      <c r="Q104" s="5" t="b">
        <v>1</v>
      </c>
      <c r="R104" s="5" t="s">
        <v>3294</v>
      </c>
    </row>
    <row r="105" ht="15.75" customHeight="1">
      <c r="A105" s="5" t="s">
        <v>4870</v>
      </c>
      <c r="B105" s="10">
        <v>45724.54755787037</v>
      </c>
      <c r="C105" s="3" t="s">
        <v>3503</v>
      </c>
      <c r="D105" s="3">
        <v>77.0</v>
      </c>
      <c r="E105" s="3" t="s">
        <v>3293</v>
      </c>
      <c r="F105" s="3">
        <v>22000.0</v>
      </c>
      <c r="G105" s="5">
        <v>8.0</v>
      </c>
      <c r="H105" s="3"/>
      <c r="I105" s="3"/>
      <c r="J105" s="5">
        <v>0.0</v>
      </c>
      <c r="K105" s="5">
        <v>22000.0</v>
      </c>
      <c r="L105" s="5" t="s">
        <v>10</v>
      </c>
      <c r="M105" s="5" t="s">
        <v>3293</v>
      </c>
      <c r="O105" s="5" t="s">
        <v>3294</v>
      </c>
      <c r="Q105" s="5" t="b">
        <v>0</v>
      </c>
      <c r="R105" s="5" t="s">
        <v>3320</v>
      </c>
    </row>
    <row r="106" ht="15.75" customHeight="1">
      <c r="A106" s="5" t="s">
        <v>4871</v>
      </c>
      <c r="B106" s="10">
        <v>45724.55028935185</v>
      </c>
      <c r="C106" s="3" t="s">
        <v>3345</v>
      </c>
      <c r="D106" s="3">
        <v>42.0</v>
      </c>
      <c r="E106" s="3" t="s">
        <v>3346</v>
      </c>
      <c r="F106" s="3">
        <v>13600.0</v>
      </c>
      <c r="G106" s="5">
        <v>24.0</v>
      </c>
      <c r="H106" s="3" t="s">
        <v>3559</v>
      </c>
      <c r="I106" s="3" t="s">
        <v>3524</v>
      </c>
      <c r="J106" s="5">
        <v>168000.0</v>
      </c>
      <c r="K106" s="5">
        <v>181600.0</v>
      </c>
      <c r="L106" s="5" t="s">
        <v>3568</v>
      </c>
      <c r="M106" s="5" t="s">
        <v>3524</v>
      </c>
      <c r="O106" s="5" t="s">
        <v>3342</v>
      </c>
      <c r="P106" s="5" t="s">
        <v>3342</v>
      </c>
      <c r="Q106" s="5" t="b">
        <v>1</v>
      </c>
      <c r="R106" s="5" t="s">
        <v>3342</v>
      </c>
    </row>
    <row r="107" ht="15.75" customHeight="1">
      <c r="A107" s="5" t="s">
        <v>4872</v>
      </c>
      <c r="B107" s="10">
        <v>45724.55056712963</v>
      </c>
      <c r="C107" s="3" t="s">
        <v>3345</v>
      </c>
      <c r="D107" s="3">
        <v>42.0</v>
      </c>
      <c r="E107" s="3" t="s">
        <v>3346</v>
      </c>
      <c r="F107" s="3">
        <v>14100.0</v>
      </c>
      <c r="G107" s="5">
        <v>25.0</v>
      </c>
      <c r="H107" s="3" t="s">
        <v>3560</v>
      </c>
      <c r="I107" s="3" t="s">
        <v>3524</v>
      </c>
      <c r="J107" s="5">
        <v>174800.0</v>
      </c>
      <c r="K107" s="5">
        <v>188900.0</v>
      </c>
      <c r="L107" s="5" t="s">
        <v>3569</v>
      </c>
      <c r="M107" s="5" t="s">
        <v>3524</v>
      </c>
      <c r="O107" s="5" t="s">
        <v>3342</v>
      </c>
      <c r="P107" s="5" t="s">
        <v>3342</v>
      </c>
      <c r="Q107" s="5" t="b">
        <v>1</v>
      </c>
      <c r="R107" s="5" t="s">
        <v>3342</v>
      </c>
    </row>
    <row r="108" ht="15.75" customHeight="1">
      <c r="A108" s="5" t="s">
        <v>4873</v>
      </c>
      <c r="B108" s="10">
        <v>45724.550787037035</v>
      </c>
      <c r="C108" s="3" t="s">
        <v>3345</v>
      </c>
      <c r="D108" s="3">
        <v>42.0</v>
      </c>
      <c r="E108" s="3" t="s">
        <v>3346</v>
      </c>
      <c r="F108" s="3">
        <v>5600.0</v>
      </c>
      <c r="G108" s="5">
        <v>95.0</v>
      </c>
      <c r="H108" s="3" t="s">
        <v>3558</v>
      </c>
      <c r="I108" s="3" t="s">
        <v>3524</v>
      </c>
      <c r="J108" s="5">
        <v>69100.0</v>
      </c>
      <c r="K108" s="5">
        <v>74700.0</v>
      </c>
      <c r="L108" s="5" t="s">
        <v>3570</v>
      </c>
      <c r="M108" s="5" t="s">
        <v>3524</v>
      </c>
      <c r="O108" s="5" t="s">
        <v>3342</v>
      </c>
      <c r="P108" s="5" t="s">
        <v>3342</v>
      </c>
      <c r="Q108" s="5" t="b">
        <v>1</v>
      </c>
      <c r="R108" s="5" t="s">
        <v>3342</v>
      </c>
    </row>
    <row r="109" ht="15.75" customHeight="1">
      <c r="A109" s="5" t="s">
        <v>4874</v>
      </c>
      <c r="B109" s="10">
        <v>45724.551041666666</v>
      </c>
      <c r="C109" s="3" t="s">
        <v>3345</v>
      </c>
      <c r="D109" s="3">
        <v>42.0</v>
      </c>
      <c r="E109" s="3" t="s">
        <v>3346</v>
      </c>
      <c r="F109" s="3">
        <v>2600.0</v>
      </c>
      <c r="G109" s="5">
        <v>96.0</v>
      </c>
      <c r="H109" s="3" t="s">
        <v>3561</v>
      </c>
      <c r="I109" s="3" t="s">
        <v>3524</v>
      </c>
      <c r="J109" s="5">
        <v>34700.0</v>
      </c>
      <c r="K109" s="5">
        <v>37300.0</v>
      </c>
      <c r="L109" s="5" t="s">
        <v>3571</v>
      </c>
      <c r="M109" s="5" t="s">
        <v>3524</v>
      </c>
      <c r="O109" s="5" t="s">
        <v>3342</v>
      </c>
      <c r="P109" s="5" t="s">
        <v>3342</v>
      </c>
      <c r="Q109" s="5" t="b">
        <v>1</v>
      </c>
      <c r="R109" s="5" t="s">
        <v>3342</v>
      </c>
    </row>
    <row r="110" ht="15.75" customHeight="1">
      <c r="A110" s="5" t="s">
        <v>4875</v>
      </c>
      <c r="B110" s="10">
        <v>45724.55195601852</v>
      </c>
      <c r="C110" s="3" t="s">
        <v>3363</v>
      </c>
      <c r="D110" s="3">
        <v>94.0</v>
      </c>
      <c r="E110" s="3" t="s">
        <v>3361</v>
      </c>
      <c r="F110" s="3">
        <v>5000.0</v>
      </c>
      <c r="G110" s="5">
        <v>24.0</v>
      </c>
      <c r="H110" s="3" t="s">
        <v>3568</v>
      </c>
      <c r="I110" s="3" t="s">
        <v>3524</v>
      </c>
      <c r="J110" s="5">
        <v>181600.0</v>
      </c>
      <c r="K110" s="5">
        <v>186600.0</v>
      </c>
      <c r="L110" s="5" t="s">
        <v>3572</v>
      </c>
      <c r="M110" s="5" t="s">
        <v>3524</v>
      </c>
      <c r="O110" s="5" t="s">
        <v>3342</v>
      </c>
      <c r="P110" s="5" t="s">
        <v>3342</v>
      </c>
      <c r="Q110" s="5" t="b">
        <v>1</v>
      </c>
      <c r="R110" s="5" t="s">
        <v>3342</v>
      </c>
    </row>
    <row r="111" ht="15.75" customHeight="1">
      <c r="A111" s="6" t="s">
        <v>4876</v>
      </c>
      <c r="B111" s="10">
        <v>45724.5525</v>
      </c>
      <c r="C111" s="3" t="s">
        <v>3363</v>
      </c>
      <c r="D111" s="3">
        <v>94.0</v>
      </c>
      <c r="E111" s="3" t="s">
        <v>3361</v>
      </c>
      <c r="F111" s="3">
        <v>5400.0</v>
      </c>
      <c r="G111" s="5">
        <v>25.0</v>
      </c>
      <c r="H111" s="3" t="s">
        <v>3569</v>
      </c>
      <c r="I111" s="3" t="s">
        <v>3524</v>
      </c>
      <c r="J111" s="5">
        <v>188900.0</v>
      </c>
      <c r="K111" s="5">
        <v>194300.0</v>
      </c>
      <c r="L111" s="5" t="s">
        <v>3573</v>
      </c>
      <c r="M111" s="5" t="s">
        <v>3524</v>
      </c>
      <c r="O111" s="5" t="s">
        <v>3342</v>
      </c>
      <c r="P111" s="5" t="s">
        <v>3342</v>
      </c>
      <c r="Q111" s="5" t="b">
        <v>1</v>
      </c>
      <c r="R111" s="5" t="s">
        <v>3342</v>
      </c>
    </row>
    <row r="112" ht="15.75" customHeight="1">
      <c r="A112" s="5" t="s">
        <v>4877</v>
      </c>
      <c r="B112" s="10">
        <v>45724.55306712963</v>
      </c>
      <c r="C112" s="3" t="s">
        <v>3363</v>
      </c>
      <c r="D112" s="3">
        <v>94.0</v>
      </c>
      <c r="E112" s="3" t="s">
        <v>3361</v>
      </c>
      <c r="F112" s="3">
        <v>2400.0</v>
      </c>
      <c r="G112" s="5">
        <v>95.0</v>
      </c>
      <c r="H112" s="3" t="s">
        <v>3570</v>
      </c>
      <c r="I112" s="3" t="s">
        <v>3524</v>
      </c>
      <c r="J112" s="5">
        <v>74700.0</v>
      </c>
      <c r="K112" s="5">
        <v>77100.0</v>
      </c>
      <c r="L112" s="5" t="s">
        <v>3574</v>
      </c>
      <c r="M112" s="5" t="s">
        <v>3524</v>
      </c>
      <c r="O112" s="5" t="s">
        <v>3342</v>
      </c>
      <c r="P112" s="5" t="s">
        <v>3342</v>
      </c>
      <c r="Q112" s="5" t="b">
        <v>1</v>
      </c>
      <c r="R112" s="5" t="s">
        <v>3342</v>
      </c>
    </row>
    <row r="113" ht="15.75" customHeight="1">
      <c r="A113" s="5" t="s">
        <v>4878</v>
      </c>
      <c r="B113" s="10">
        <v>45724.553449074076</v>
      </c>
      <c r="C113" s="3" t="s">
        <v>3363</v>
      </c>
      <c r="D113" s="3">
        <v>94.0</v>
      </c>
      <c r="E113" s="3" t="s">
        <v>3361</v>
      </c>
      <c r="F113" s="3">
        <v>1500.0</v>
      </c>
      <c r="G113" s="5">
        <v>96.0</v>
      </c>
      <c r="H113" s="3" t="s">
        <v>3571</v>
      </c>
      <c r="I113" s="3" t="s">
        <v>3524</v>
      </c>
      <c r="J113" s="5">
        <v>37300.0</v>
      </c>
      <c r="K113" s="5">
        <v>38800.0</v>
      </c>
      <c r="L113" s="5" t="s">
        <v>3575</v>
      </c>
      <c r="M113" s="5" t="s">
        <v>3524</v>
      </c>
      <c r="O113" s="5" t="s">
        <v>3342</v>
      </c>
      <c r="P113" s="5" t="s">
        <v>3342</v>
      </c>
      <c r="Q113" s="5" t="b">
        <v>1</v>
      </c>
      <c r="R113" s="5" t="s">
        <v>3342</v>
      </c>
    </row>
    <row r="114" ht="15.75" customHeight="1">
      <c r="A114" s="5" t="s">
        <v>4879</v>
      </c>
      <c r="B114" s="10">
        <v>45726.47068287037</v>
      </c>
      <c r="C114" s="3" t="s">
        <v>3504</v>
      </c>
      <c r="D114" s="3">
        <v>78.0</v>
      </c>
      <c r="E114" s="3" t="s">
        <v>3293</v>
      </c>
      <c r="F114" s="3">
        <v>25800.0</v>
      </c>
      <c r="G114" s="5">
        <v>9.0</v>
      </c>
      <c r="H114" s="3"/>
      <c r="I114" s="3"/>
      <c r="J114" s="5">
        <v>0.0</v>
      </c>
      <c r="K114" s="5">
        <v>25800.0</v>
      </c>
      <c r="L114" s="5" t="s">
        <v>3576</v>
      </c>
      <c r="M114" s="5" t="s">
        <v>3293</v>
      </c>
      <c r="O114" s="5" t="s">
        <v>3294</v>
      </c>
      <c r="Q114" s="5" t="b">
        <v>0</v>
      </c>
      <c r="R114" s="5" t="s">
        <v>3320</v>
      </c>
    </row>
    <row r="115" ht="15.75" customHeight="1">
      <c r="A115" s="5" t="s">
        <v>4880</v>
      </c>
      <c r="B115" s="10">
        <v>45726.47188657407</v>
      </c>
      <c r="C115" s="3" t="s">
        <v>3506</v>
      </c>
      <c r="D115" s="3">
        <v>81.0</v>
      </c>
      <c r="E115" s="3" t="s">
        <v>3293</v>
      </c>
      <c r="F115" s="3">
        <v>4200.0</v>
      </c>
      <c r="G115" s="5">
        <v>9.0</v>
      </c>
      <c r="H115" s="3" t="s">
        <v>3576</v>
      </c>
      <c r="I115" s="3" t="s">
        <v>3293</v>
      </c>
      <c r="J115" s="5">
        <v>25800.0</v>
      </c>
      <c r="K115" s="5">
        <v>30000.0</v>
      </c>
      <c r="L115" s="5" t="s">
        <v>3577</v>
      </c>
      <c r="M115" s="5" t="s">
        <v>3293</v>
      </c>
      <c r="O115" s="5" t="s">
        <v>3294</v>
      </c>
      <c r="P115" s="5" t="s">
        <v>3320</v>
      </c>
      <c r="Q115" s="5" t="b">
        <v>1</v>
      </c>
      <c r="R115" s="5" t="s">
        <v>3320</v>
      </c>
    </row>
    <row r="116" ht="15.75" customHeight="1">
      <c r="A116" s="5" t="s">
        <v>4881</v>
      </c>
      <c r="B116" s="10">
        <v>45726.47230324074</v>
      </c>
      <c r="C116" s="3" t="s">
        <v>3506</v>
      </c>
      <c r="D116" s="3">
        <v>81.0</v>
      </c>
      <c r="E116" s="3" t="s">
        <v>3293</v>
      </c>
      <c r="F116" s="3">
        <v>19500.0</v>
      </c>
      <c r="G116" s="5">
        <v>16.0</v>
      </c>
      <c r="H116" s="3"/>
      <c r="I116" s="3"/>
      <c r="J116" s="5">
        <v>0.0</v>
      </c>
      <c r="K116" s="5">
        <v>19500.0</v>
      </c>
      <c r="L116" s="5" t="s">
        <v>3578</v>
      </c>
      <c r="M116" s="5" t="s">
        <v>3293</v>
      </c>
      <c r="O116" s="5" t="s">
        <v>3294</v>
      </c>
      <c r="Q116" s="5" t="b">
        <v>0</v>
      </c>
      <c r="R116" s="5" t="s">
        <v>3320</v>
      </c>
    </row>
    <row r="117" ht="15.75" customHeight="1">
      <c r="A117" s="5" t="s">
        <v>4882</v>
      </c>
      <c r="B117" s="10">
        <v>45726.47809027778</v>
      </c>
      <c r="C117" s="3" t="s">
        <v>3350</v>
      </c>
      <c r="D117" s="3">
        <v>47.0</v>
      </c>
      <c r="E117" s="3" t="s">
        <v>3351</v>
      </c>
      <c r="F117" s="3">
        <v>5300.0</v>
      </c>
      <c r="G117" s="5">
        <v>84.0</v>
      </c>
      <c r="H117" s="3" t="s">
        <v>3528</v>
      </c>
      <c r="I117" s="3" t="s">
        <v>3272</v>
      </c>
      <c r="J117" s="5">
        <v>44300.0</v>
      </c>
      <c r="K117" s="5">
        <v>49600.0</v>
      </c>
      <c r="L117" s="5" t="s">
        <v>3580</v>
      </c>
      <c r="M117" s="5" t="s">
        <v>3272</v>
      </c>
      <c r="O117" s="5" t="s">
        <v>3337</v>
      </c>
      <c r="P117" s="5" t="s">
        <v>3294</v>
      </c>
      <c r="Q117" s="5" t="b">
        <v>1</v>
      </c>
      <c r="R117" s="5" t="s">
        <v>3294</v>
      </c>
    </row>
    <row r="118" ht="15.75" customHeight="1">
      <c r="A118" s="5" t="s">
        <v>4883</v>
      </c>
      <c r="B118" s="10">
        <v>45726.47851851852</v>
      </c>
      <c r="C118" s="3" t="s">
        <v>3350</v>
      </c>
      <c r="D118" s="3">
        <v>47.0</v>
      </c>
      <c r="E118" s="3" t="s">
        <v>3351</v>
      </c>
      <c r="F118" s="3">
        <v>2000.0</v>
      </c>
      <c r="G118" s="5">
        <v>82.0</v>
      </c>
      <c r="H118" s="3" t="s">
        <v>3530</v>
      </c>
      <c r="I118" s="3" t="s">
        <v>3466</v>
      </c>
      <c r="J118" s="5">
        <v>15000.0</v>
      </c>
      <c r="K118" s="5">
        <v>17000.0</v>
      </c>
      <c r="L118" s="5" t="s">
        <v>3581</v>
      </c>
      <c r="M118" s="5" t="s">
        <v>3466</v>
      </c>
      <c r="O118" s="5" t="s">
        <v>3337</v>
      </c>
      <c r="P118" s="5" t="s">
        <v>3294</v>
      </c>
      <c r="Q118" s="5" t="b">
        <v>1</v>
      </c>
      <c r="R118" s="5" t="s">
        <v>3294</v>
      </c>
    </row>
    <row r="119" ht="15.75" customHeight="1">
      <c r="A119" s="5" t="s">
        <v>4884</v>
      </c>
      <c r="B119" s="10">
        <v>45726.96988425926</v>
      </c>
      <c r="C119" s="3" t="s">
        <v>3432</v>
      </c>
      <c r="D119" s="3">
        <v>51.0</v>
      </c>
      <c r="E119" s="3" t="s">
        <v>3433</v>
      </c>
      <c r="F119" s="3">
        <v>2500.0</v>
      </c>
      <c r="G119" s="5">
        <v>500.0</v>
      </c>
      <c r="H119" s="3"/>
      <c r="I119" s="3"/>
      <c r="J119" s="5">
        <v>0.0</v>
      </c>
      <c r="K119" s="5">
        <v>2500.0</v>
      </c>
      <c r="L119" s="6" t="s">
        <v>3589</v>
      </c>
      <c r="M119" s="5" t="s">
        <v>3433</v>
      </c>
      <c r="N119" s="5" t="s">
        <v>4885</v>
      </c>
      <c r="O119" s="5" t="s">
        <v>3342</v>
      </c>
      <c r="Q119" s="5" t="b">
        <v>0</v>
      </c>
      <c r="R119" s="5" t="s">
        <v>3342</v>
      </c>
    </row>
    <row r="120" ht="15.75" customHeight="1">
      <c r="A120" s="5" t="s">
        <v>4886</v>
      </c>
      <c r="B120" s="10">
        <v>45726.970659722225</v>
      </c>
      <c r="C120" s="3" t="s">
        <v>3372</v>
      </c>
      <c r="D120" s="3">
        <v>52.0</v>
      </c>
      <c r="E120" s="3" t="s">
        <v>3373</v>
      </c>
      <c r="F120" s="3">
        <v>14000.0</v>
      </c>
      <c r="G120" s="5">
        <v>500.0</v>
      </c>
      <c r="H120" s="4" t="s">
        <v>3589</v>
      </c>
      <c r="I120" s="3" t="s">
        <v>3433</v>
      </c>
      <c r="J120" s="5">
        <v>2500.0</v>
      </c>
      <c r="K120" s="5">
        <v>26500.0</v>
      </c>
      <c r="L120" s="5" t="s">
        <v>3590</v>
      </c>
      <c r="M120" s="5" t="s">
        <v>3373</v>
      </c>
      <c r="N120" s="5" t="s">
        <v>4887</v>
      </c>
      <c r="O120" s="5" t="s">
        <v>3337</v>
      </c>
      <c r="P120" s="5" t="s">
        <v>3342</v>
      </c>
      <c r="Q120" s="5" t="b">
        <v>0</v>
      </c>
      <c r="R120" s="5" t="s">
        <v>3337</v>
      </c>
    </row>
    <row r="121" ht="15.75" customHeight="1">
      <c r="A121" s="5" t="s">
        <v>4888</v>
      </c>
      <c r="B121" s="10">
        <v>45726.972395833334</v>
      </c>
      <c r="C121" s="3" t="s">
        <v>3518</v>
      </c>
      <c r="D121" s="3">
        <v>53.0</v>
      </c>
      <c r="E121" s="3" t="s">
        <v>3519</v>
      </c>
      <c r="F121" s="3">
        <v>6000.0</v>
      </c>
      <c r="G121" s="5">
        <v>500.0</v>
      </c>
      <c r="H121" s="3" t="s">
        <v>3590</v>
      </c>
      <c r="I121" s="3" t="s">
        <v>3373</v>
      </c>
      <c r="J121" s="5">
        <v>26500.0</v>
      </c>
      <c r="K121" s="5">
        <v>32500.0</v>
      </c>
      <c r="L121" s="5" t="s">
        <v>3591</v>
      </c>
      <c r="M121" s="5" t="s">
        <v>3519</v>
      </c>
      <c r="O121" s="5" t="s">
        <v>3320</v>
      </c>
      <c r="P121" s="5" t="s">
        <v>3337</v>
      </c>
      <c r="Q121" s="5" t="b">
        <v>0</v>
      </c>
      <c r="R121" s="5" t="s">
        <v>3320</v>
      </c>
    </row>
    <row r="122" ht="15.75" customHeight="1">
      <c r="A122" s="5" t="s">
        <v>4889</v>
      </c>
      <c r="B122" s="10">
        <v>45726.9734375</v>
      </c>
      <c r="C122" s="3" t="s">
        <v>3480</v>
      </c>
      <c r="D122" s="3">
        <v>65.0</v>
      </c>
      <c r="E122" s="3" t="s">
        <v>3466</v>
      </c>
      <c r="F122" s="3">
        <v>4500.0</v>
      </c>
      <c r="G122" s="5">
        <v>500.0</v>
      </c>
      <c r="H122" s="3" t="s">
        <v>3591</v>
      </c>
      <c r="I122" s="3" t="s">
        <v>3519</v>
      </c>
      <c r="J122" s="5">
        <v>32500.0</v>
      </c>
      <c r="K122" s="5">
        <v>37000.0</v>
      </c>
      <c r="L122" s="5" t="s">
        <v>3592</v>
      </c>
      <c r="M122" s="5" t="s">
        <v>3466</v>
      </c>
      <c r="N122" s="5" t="s">
        <v>4890</v>
      </c>
      <c r="O122" s="5" t="s">
        <v>3294</v>
      </c>
      <c r="P122" s="5" t="s">
        <v>3320</v>
      </c>
      <c r="Q122" s="5" t="b">
        <v>0</v>
      </c>
      <c r="R122" s="5" t="s">
        <v>3294</v>
      </c>
    </row>
    <row r="123" ht="15.75" customHeight="1">
      <c r="A123" s="5" t="s">
        <v>4891</v>
      </c>
      <c r="B123" s="10">
        <v>45727.367581018516</v>
      </c>
      <c r="C123" s="3" t="s">
        <v>3575</v>
      </c>
      <c r="D123" s="3">
        <v>96.0</v>
      </c>
      <c r="E123" s="3" t="s">
        <v>3524</v>
      </c>
      <c r="F123" s="3">
        <v>8800.0</v>
      </c>
      <c r="G123" s="5">
        <v>500.0</v>
      </c>
      <c r="H123" s="3" t="s">
        <v>3592</v>
      </c>
      <c r="I123" s="3" t="s">
        <v>3466</v>
      </c>
      <c r="J123" s="5">
        <v>37000.0</v>
      </c>
      <c r="K123" s="5">
        <v>45800.0</v>
      </c>
      <c r="L123" s="5" t="s">
        <v>3593</v>
      </c>
      <c r="M123" s="5" t="s">
        <v>3524</v>
      </c>
      <c r="N123" s="5" t="s">
        <v>3595</v>
      </c>
      <c r="O123" s="5" t="s">
        <v>3342</v>
      </c>
      <c r="P123" s="5" t="s">
        <v>3294</v>
      </c>
      <c r="Q123" s="5" t="b">
        <v>0</v>
      </c>
      <c r="R123" s="5" t="s">
        <v>3342</v>
      </c>
    </row>
    <row r="124" ht="15.75" customHeight="1">
      <c r="A124" s="5"/>
      <c r="B124" s="10"/>
      <c r="C124" s="3"/>
      <c r="D124" s="3"/>
      <c r="E124" s="3"/>
      <c r="F124" s="3"/>
      <c r="G124" s="5"/>
      <c r="H124" s="3"/>
      <c r="I124" s="3"/>
      <c r="J124" s="5"/>
      <c r="K124" s="5"/>
      <c r="L124" s="5"/>
      <c r="M124" s="5"/>
      <c r="N124" s="5"/>
      <c r="O124" s="5"/>
      <c r="P124" s="5"/>
      <c r="Q124" s="5"/>
      <c r="R124" s="5"/>
    </row>
    <row r="125" ht="15.75" customHeight="1">
      <c r="A125" s="5" t="s">
        <v>4892</v>
      </c>
      <c r="B125" s="10">
        <v>45727.37599537037</v>
      </c>
      <c r="C125" s="3" t="s">
        <v>3594</v>
      </c>
      <c r="D125" s="3">
        <v>500.0</v>
      </c>
      <c r="E125" s="3" t="s">
        <v>3595</v>
      </c>
      <c r="F125" s="3">
        <v>22500.0</v>
      </c>
      <c r="G125" s="5">
        <v>108.0</v>
      </c>
      <c r="H125" s="3" t="s">
        <v>3406</v>
      </c>
      <c r="I125" s="3" t="s">
        <v>3408</v>
      </c>
      <c r="J125" s="5">
        <v>7500.0</v>
      </c>
      <c r="K125" s="5">
        <v>30000.0</v>
      </c>
      <c r="L125" s="5" t="s">
        <v>3596</v>
      </c>
      <c r="M125" s="5" t="s">
        <v>3408</v>
      </c>
      <c r="N125" s="5" t="s">
        <v>4812</v>
      </c>
      <c r="P125" s="5" t="s">
        <v>3320</v>
      </c>
      <c r="Q125" s="5" t="b">
        <v>1</v>
      </c>
      <c r="R125" s="5" t="s">
        <v>3320</v>
      </c>
    </row>
    <row r="126" ht="15.75" customHeight="1">
      <c r="A126" s="5" t="s">
        <v>4893</v>
      </c>
      <c r="B126" s="10">
        <v>45727.377222222225</v>
      </c>
      <c r="C126" s="3" t="s">
        <v>3594</v>
      </c>
      <c r="D126" s="3">
        <v>500.0</v>
      </c>
      <c r="E126" s="3" t="s">
        <v>3595</v>
      </c>
      <c r="F126" s="3">
        <v>1000.0</v>
      </c>
      <c r="G126" s="5">
        <v>104.0</v>
      </c>
      <c r="H126" s="3" t="s">
        <v>3331</v>
      </c>
      <c r="I126" s="3" t="s">
        <v>3332</v>
      </c>
      <c r="J126" s="5">
        <v>29000.0</v>
      </c>
      <c r="K126" s="5">
        <v>30000.0</v>
      </c>
      <c r="L126" s="5" t="s">
        <v>3597</v>
      </c>
      <c r="M126" s="5" t="s">
        <v>3332</v>
      </c>
      <c r="N126" s="5" t="s">
        <v>4812</v>
      </c>
      <c r="P126" s="5" t="s">
        <v>3320</v>
      </c>
      <c r="Q126" s="5" t="b">
        <v>1</v>
      </c>
      <c r="R126" s="5" t="s">
        <v>3320</v>
      </c>
    </row>
    <row r="127" ht="15.75" customHeight="1">
      <c r="A127" s="5" t="s">
        <v>4894</v>
      </c>
      <c r="B127" s="10">
        <v>45727.38030092593</v>
      </c>
      <c r="C127" s="3" t="s">
        <v>3594</v>
      </c>
      <c r="D127" s="3">
        <v>500.0</v>
      </c>
      <c r="E127" s="3" t="s">
        <v>3595</v>
      </c>
      <c r="F127" s="3">
        <v>1000.0</v>
      </c>
      <c r="G127" s="5">
        <v>109.0</v>
      </c>
      <c r="H127" s="3" t="s">
        <v>3451</v>
      </c>
      <c r="I127" s="3" t="s">
        <v>3452</v>
      </c>
      <c r="J127" s="5">
        <v>14000.0</v>
      </c>
      <c r="K127" s="5">
        <v>15000.0</v>
      </c>
      <c r="L127" s="5" t="s">
        <v>3598</v>
      </c>
      <c r="M127" s="5" t="s">
        <v>3452</v>
      </c>
      <c r="N127" s="5" t="s">
        <v>4895</v>
      </c>
      <c r="P127" s="5" t="s">
        <v>3320</v>
      </c>
      <c r="Q127" s="5" t="b">
        <v>1</v>
      </c>
      <c r="R127" s="5" t="s">
        <v>3320</v>
      </c>
    </row>
    <row r="128" ht="15.75" customHeight="1">
      <c r="A128" s="5" t="s">
        <v>4896</v>
      </c>
      <c r="B128" s="10">
        <v>45727.380833333336</v>
      </c>
      <c r="C128" s="3" t="s">
        <v>3514</v>
      </c>
      <c r="D128" s="3">
        <v>110.0</v>
      </c>
      <c r="E128" s="3" t="s">
        <v>3456</v>
      </c>
      <c r="F128" s="3">
        <v>600.0</v>
      </c>
      <c r="G128" s="5">
        <v>500.0</v>
      </c>
      <c r="H128" s="3" t="s">
        <v>3594</v>
      </c>
      <c r="I128" s="3" t="s">
        <v>3595</v>
      </c>
      <c r="J128" s="5">
        <v>-24499.0</v>
      </c>
      <c r="K128" s="5">
        <v>-23899.0</v>
      </c>
      <c r="L128" s="5" t="s">
        <v>3599</v>
      </c>
      <c r="M128" s="5" t="s">
        <v>3595</v>
      </c>
      <c r="N128" s="5" t="s">
        <v>4895</v>
      </c>
      <c r="O128" s="5" t="s">
        <v>3320</v>
      </c>
      <c r="Q128" s="5" t="b">
        <v>1</v>
      </c>
    </row>
    <row r="129" ht="15.75" customHeight="1">
      <c r="A129" s="5" t="s">
        <v>4897</v>
      </c>
      <c r="B129" s="10">
        <v>45727.394837962966</v>
      </c>
      <c r="C129" s="3" t="s">
        <v>3318</v>
      </c>
      <c r="D129" s="3">
        <v>102.0</v>
      </c>
      <c r="E129" s="3" t="s">
        <v>3314</v>
      </c>
      <c r="F129" s="3">
        <v>12900.0</v>
      </c>
      <c r="G129" s="5">
        <v>35.0</v>
      </c>
      <c r="H129" s="3"/>
      <c r="I129" s="3"/>
      <c r="J129" s="5">
        <v>0.0</v>
      </c>
      <c r="K129" s="5">
        <v>12900.0</v>
      </c>
      <c r="L129" s="5" t="s">
        <v>3603</v>
      </c>
      <c r="M129" s="5" t="s">
        <v>3314</v>
      </c>
      <c r="O129" s="5" t="s">
        <v>3320</v>
      </c>
      <c r="Q129" s="5" t="b">
        <v>0</v>
      </c>
      <c r="R129" s="5" t="s">
        <v>3320</v>
      </c>
    </row>
    <row r="130" ht="15.75" customHeight="1">
      <c r="A130" s="5" t="s">
        <v>4898</v>
      </c>
      <c r="B130" s="10">
        <v>45727.4015625</v>
      </c>
      <c r="C130" s="3" t="s">
        <v>3435</v>
      </c>
      <c r="D130" s="3">
        <v>103.0</v>
      </c>
      <c r="E130" s="3" t="s">
        <v>3436</v>
      </c>
      <c r="F130" s="3">
        <v>26400.0</v>
      </c>
      <c r="G130" s="5">
        <v>35.0</v>
      </c>
      <c r="H130" s="3" t="s">
        <v>3603</v>
      </c>
      <c r="I130" s="3" t="s">
        <v>3314</v>
      </c>
      <c r="J130" s="5">
        <v>12900.0</v>
      </c>
      <c r="K130" s="5">
        <v>39300.0</v>
      </c>
      <c r="L130" s="5" t="s">
        <v>3604</v>
      </c>
      <c r="M130" s="5" t="s">
        <v>3314</v>
      </c>
      <c r="O130" s="5" t="s">
        <v>3320</v>
      </c>
      <c r="P130" s="5" t="s">
        <v>3320</v>
      </c>
      <c r="Q130" s="5" t="b">
        <v>1</v>
      </c>
      <c r="R130" s="5" t="s">
        <v>3320</v>
      </c>
    </row>
    <row r="131" ht="15.75" customHeight="1">
      <c r="A131" s="5" t="s">
        <v>4899</v>
      </c>
      <c r="B131" s="10">
        <v>45727.403136574074</v>
      </c>
      <c r="C131" s="3" t="s">
        <v>3435</v>
      </c>
      <c r="D131" s="3">
        <v>103.0</v>
      </c>
      <c r="E131" s="3" t="s">
        <v>3436</v>
      </c>
      <c r="F131" s="3">
        <v>3600.0</v>
      </c>
      <c r="G131" s="5">
        <v>42.0</v>
      </c>
      <c r="H131" s="3"/>
      <c r="I131" s="3"/>
      <c r="J131" s="5">
        <v>0.0</v>
      </c>
      <c r="K131" s="5">
        <v>3600.0</v>
      </c>
      <c r="L131" s="5" t="s">
        <v>3606</v>
      </c>
      <c r="M131" s="5" t="s">
        <v>3436</v>
      </c>
      <c r="O131" s="5" t="s">
        <v>3320</v>
      </c>
      <c r="Q131" s="5" t="b">
        <v>0</v>
      </c>
      <c r="R131" s="5" t="s">
        <v>3605</v>
      </c>
    </row>
    <row r="132" ht="15.75" customHeight="1">
      <c r="A132" s="5" t="s">
        <v>4900</v>
      </c>
      <c r="B132" s="10">
        <v>45727.4034375</v>
      </c>
      <c r="C132" s="3" t="s">
        <v>3385</v>
      </c>
      <c r="D132" s="3">
        <v>107.0</v>
      </c>
      <c r="E132" s="3" t="s">
        <v>3386</v>
      </c>
      <c r="F132" s="3">
        <v>30000.0</v>
      </c>
      <c r="G132" s="5">
        <v>42.0</v>
      </c>
      <c r="H132" s="3" t="s">
        <v>3606</v>
      </c>
      <c r="I132" s="3" t="s">
        <v>3436</v>
      </c>
      <c r="J132" s="5">
        <v>3600.0</v>
      </c>
      <c r="K132" s="5">
        <v>33600.0</v>
      </c>
      <c r="L132" s="5" t="s">
        <v>3607</v>
      </c>
      <c r="M132" s="5" t="s">
        <v>3386</v>
      </c>
      <c r="O132" s="5" t="s">
        <v>3320</v>
      </c>
      <c r="P132" s="5" t="s">
        <v>3605</v>
      </c>
      <c r="Q132" s="5" t="b">
        <v>0</v>
      </c>
      <c r="R132" s="5" t="s">
        <v>3605</v>
      </c>
    </row>
    <row r="133" ht="15.75" customHeight="1">
      <c r="A133" s="5" t="s">
        <v>4901</v>
      </c>
      <c r="B133" s="10">
        <v>45727.71041666667</v>
      </c>
      <c r="C133" s="3" t="s">
        <v>3372</v>
      </c>
      <c r="D133" s="3">
        <v>52.0</v>
      </c>
      <c r="E133" s="3" t="s">
        <v>3373</v>
      </c>
      <c r="F133" s="3">
        <v>3000.0</v>
      </c>
      <c r="G133" s="5">
        <v>80.0</v>
      </c>
      <c r="H133" s="3" t="s">
        <v>3562</v>
      </c>
      <c r="I133" s="3" t="s">
        <v>3563</v>
      </c>
      <c r="J133" s="5">
        <v>13000.0</v>
      </c>
      <c r="K133" s="5">
        <v>16000.0</v>
      </c>
      <c r="L133" s="5" t="s">
        <v>3608</v>
      </c>
      <c r="M133" s="5" t="s">
        <v>3563</v>
      </c>
      <c r="N133" s="5"/>
      <c r="O133" s="5" t="s">
        <v>3337</v>
      </c>
      <c r="P133" s="5" t="s">
        <v>3294</v>
      </c>
      <c r="Q133" s="5" t="b">
        <v>1</v>
      </c>
      <c r="R133" s="5" t="s">
        <v>3294</v>
      </c>
    </row>
    <row r="134" ht="15.75" customHeight="1">
      <c r="A134" s="5" t="s">
        <v>4902</v>
      </c>
      <c r="B134" s="10">
        <v>45727.77918981481</v>
      </c>
      <c r="C134" s="3" t="s">
        <v>3607</v>
      </c>
      <c r="D134" s="3">
        <v>42.0</v>
      </c>
      <c r="E134" s="3" t="s">
        <v>3386</v>
      </c>
      <c r="F134" s="3">
        <v>16600.0</v>
      </c>
      <c r="G134" s="5">
        <v>500.0</v>
      </c>
      <c r="H134" s="3" t="s">
        <v>3599</v>
      </c>
      <c r="I134" s="3" t="s">
        <v>3595</v>
      </c>
      <c r="J134" s="5">
        <v>-23899.0</v>
      </c>
      <c r="K134" s="5">
        <v>-7299.0</v>
      </c>
      <c r="L134" s="5" t="s">
        <v>3611</v>
      </c>
      <c r="M134" s="5" t="s">
        <v>3595</v>
      </c>
      <c r="N134" s="5" t="s">
        <v>4903</v>
      </c>
      <c r="O134" s="5" t="s">
        <v>3605</v>
      </c>
      <c r="Q134" s="5" t="b">
        <v>1</v>
      </c>
    </row>
    <row r="135" ht="15.75" customHeight="1">
      <c r="A135" s="5" t="s">
        <v>4904</v>
      </c>
      <c r="B135" s="10">
        <v>45727.862708333334</v>
      </c>
      <c r="C135" s="3" t="s">
        <v>3506</v>
      </c>
      <c r="D135" s="3">
        <v>81.0</v>
      </c>
      <c r="E135" s="3" t="s">
        <v>3293</v>
      </c>
      <c r="F135" s="3">
        <v>2800.0</v>
      </c>
      <c r="G135" s="5">
        <v>500.0</v>
      </c>
      <c r="H135" s="3" t="s">
        <v>3611</v>
      </c>
      <c r="I135" s="3" t="s">
        <v>3595</v>
      </c>
      <c r="J135" s="5">
        <v>-7299.0</v>
      </c>
      <c r="K135" s="5">
        <v>-4499.0</v>
      </c>
      <c r="L135" s="5" t="s">
        <v>3613</v>
      </c>
      <c r="M135" s="5" t="s">
        <v>3293</v>
      </c>
      <c r="O135" s="5" t="s">
        <v>3294</v>
      </c>
      <c r="Q135" s="5" t="b">
        <v>0</v>
      </c>
      <c r="R135" s="5" t="s">
        <v>3294</v>
      </c>
    </row>
    <row r="136" ht="15.75" customHeight="1">
      <c r="A136" s="5" t="s">
        <v>4905</v>
      </c>
      <c r="B136" s="10">
        <v>45728.52744212963</v>
      </c>
      <c r="C136" s="3" t="s">
        <v>3480</v>
      </c>
      <c r="D136" s="3">
        <v>65.0</v>
      </c>
      <c r="E136" s="3" t="s">
        <v>3466</v>
      </c>
      <c r="F136" s="3">
        <v>15900.0</v>
      </c>
      <c r="G136" s="5">
        <v>42.0</v>
      </c>
      <c r="H136" s="3" t="s">
        <v>3607</v>
      </c>
      <c r="I136" s="3" t="s">
        <v>3386</v>
      </c>
      <c r="J136" s="5">
        <v>17000.0</v>
      </c>
      <c r="K136" s="5">
        <v>32900.0</v>
      </c>
      <c r="L136" s="5" t="s">
        <v>3619</v>
      </c>
      <c r="M136" s="5" t="s">
        <v>3386</v>
      </c>
      <c r="O136" s="5" t="s">
        <v>3294</v>
      </c>
      <c r="P136" s="5" t="s">
        <v>3605</v>
      </c>
      <c r="Q136" s="5" t="b">
        <v>1</v>
      </c>
      <c r="R136" s="5" t="s">
        <v>3605</v>
      </c>
    </row>
    <row r="137" ht="15.75" customHeight="1">
      <c r="A137" s="5" t="s">
        <v>4906</v>
      </c>
      <c r="B137" s="10">
        <v>45728.54173611111</v>
      </c>
      <c r="C137" s="3" t="s">
        <v>3482</v>
      </c>
      <c r="D137" s="3">
        <v>83.0</v>
      </c>
      <c r="E137" s="3" t="s">
        <v>3272</v>
      </c>
      <c r="F137" s="3">
        <v>20000.0</v>
      </c>
      <c r="G137" s="5">
        <v>65.0</v>
      </c>
      <c r="H137" s="3" t="s">
        <v>3480</v>
      </c>
      <c r="I137" s="3" t="s">
        <v>3466</v>
      </c>
      <c r="J137" s="5">
        <v>4100.0</v>
      </c>
      <c r="K137" s="5">
        <v>24100.0</v>
      </c>
      <c r="L137" s="5" t="s">
        <v>3620</v>
      </c>
      <c r="M137" s="5" t="s">
        <v>3621</v>
      </c>
      <c r="O137" s="5" t="s">
        <v>3294</v>
      </c>
      <c r="P137" s="5" t="s">
        <v>3294</v>
      </c>
      <c r="Q137" s="5" t="b">
        <v>0</v>
      </c>
      <c r="R137" s="5" t="s">
        <v>3457</v>
      </c>
    </row>
    <row r="138" ht="15.75" customHeight="1">
      <c r="A138" s="5" t="s">
        <v>4907</v>
      </c>
      <c r="B138" s="10">
        <v>45728.757106481484</v>
      </c>
      <c r="C138" s="3" t="s">
        <v>56</v>
      </c>
      <c r="D138" s="3">
        <v>150.0</v>
      </c>
      <c r="E138" s="3" t="s">
        <v>3486</v>
      </c>
      <c r="F138" s="3">
        <v>2000.0</v>
      </c>
      <c r="G138" s="5">
        <v>66.0</v>
      </c>
      <c r="H138" s="3" t="s">
        <v>3545</v>
      </c>
      <c r="I138" s="3" t="s">
        <v>3466</v>
      </c>
      <c r="J138" s="5">
        <v>17000.0</v>
      </c>
      <c r="K138" s="5">
        <v>19000.0</v>
      </c>
      <c r="L138" s="5" t="s">
        <v>3622</v>
      </c>
      <c r="M138" s="5" t="s">
        <v>3466</v>
      </c>
      <c r="O138" s="5" t="s">
        <v>3342</v>
      </c>
      <c r="P138" s="5" t="s">
        <v>3294</v>
      </c>
      <c r="Q138" s="5" t="b">
        <v>1</v>
      </c>
      <c r="R138" s="5" t="s">
        <v>3294</v>
      </c>
    </row>
    <row r="139" ht="15.75" customHeight="1">
      <c r="A139" s="5" t="s">
        <v>4908</v>
      </c>
      <c r="B139" s="10">
        <v>45728.75745370371</v>
      </c>
      <c r="C139" s="3" t="s">
        <v>56</v>
      </c>
      <c r="D139" s="3">
        <v>150.0</v>
      </c>
      <c r="E139" s="3" t="s">
        <v>3486</v>
      </c>
      <c r="F139" s="3">
        <v>2000.0</v>
      </c>
      <c r="G139" s="5">
        <v>82.0</v>
      </c>
      <c r="H139" s="3" t="s">
        <v>3581</v>
      </c>
      <c r="I139" s="3" t="s">
        <v>3466</v>
      </c>
      <c r="J139" s="5">
        <v>17000.0</v>
      </c>
      <c r="K139" s="5">
        <v>19000.0</v>
      </c>
      <c r="L139" s="5" t="s">
        <v>3623</v>
      </c>
      <c r="M139" s="5" t="s">
        <v>3466</v>
      </c>
      <c r="O139" s="5" t="s">
        <v>3342</v>
      </c>
      <c r="P139" s="5" t="s">
        <v>3294</v>
      </c>
      <c r="Q139" s="5" t="b">
        <v>1</v>
      </c>
      <c r="R139" s="5" t="s">
        <v>3294</v>
      </c>
    </row>
    <row r="140" ht="15.75" customHeight="1">
      <c r="A140" s="5" t="s">
        <v>4909</v>
      </c>
      <c r="B140" s="10">
        <v>45728.75771990741</v>
      </c>
      <c r="C140" s="3" t="s">
        <v>56</v>
      </c>
      <c r="D140" s="3">
        <v>150.0</v>
      </c>
      <c r="E140" s="3" t="s">
        <v>3486</v>
      </c>
      <c r="F140" s="3">
        <v>2000.0</v>
      </c>
      <c r="G140" s="5">
        <v>84.0</v>
      </c>
      <c r="H140" s="3" t="s">
        <v>3580</v>
      </c>
      <c r="I140" s="3" t="s">
        <v>3272</v>
      </c>
      <c r="J140" s="5">
        <v>25300.0</v>
      </c>
      <c r="K140" s="5">
        <v>27300.0</v>
      </c>
      <c r="L140" s="5" t="s">
        <v>3624</v>
      </c>
      <c r="M140" s="5" t="s">
        <v>3272</v>
      </c>
      <c r="O140" s="5" t="s">
        <v>3342</v>
      </c>
      <c r="P140" s="5" t="s">
        <v>3294</v>
      </c>
      <c r="Q140" s="5" t="b">
        <v>1</v>
      </c>
      <c r="R140" s="5" t="s">
        <v>3294</v>
      </c>
    </row>
    <row r="141" ht="15.75" customHeight="1">
      <c r="A141" s="5" t="s">
        <v>4910</v>
      </c>
      <c r="B141" s="10">
        <v>45728.8678125</v>
      </c>
      <c r="C141" s="3" t="s">
        <v>3575</v>
      </c>
      <c r="D141" s="3">
        <v>96.0</v>
      </c>
      <c r="E141" s="3" t="s">
        <v>3524</v>
      </c>
      <c r="F141" s="3">
        <v>30000.0</v>
      </c>
      <c r="G141" s="5">
        <v>102.0</v>
      </c>
      <c r="H141" s="3"/>
      <c r="I141" s="3"/>
      <c r="J141" s="5">
        <v>0.0</v>
      </c>
      <c r="K141" s="5">
        <v>30000.0</v>
      </c>
      <c r="L141" s="5" t="s">
        <v>3625</v>
      </c>
      <c r="M141" s="5" t="s">
        <v>3524</v>
      </c>
      <c r="O141" s="5" t="s">
        <v>3342</v>
      </c>
      <c r="Q141" s="5" t="b">
        <v>0</v>
      </c>
      <c r="R141" s="5" t="s">
        <v>3342</v>
      </c>
    </row>
    <row r="142" ht="15.75" customHeight="1">
      <c r="A142" s="5" t="s">
        <v>4911</v>
      </c>
      <c r="B142" s="10">
        <v>45729.80645833333</v>
      </c>
      <c r="C142" s="3" t="s">
        <v>3482</v>
      </c>
      <c r="D142" s="3">
        <v>83.0</v>
      </c>
      <c r="E142" s="3" t="s">
        <v>3272</v>
      </c>
      <c r="F142" s="3">
        <v>18000.0</v>
      </c>
      <c r="G142" s="5">
        <v>53.0</v>
      </c>
      <c r="H142" s="3" t="s">
        <v>3518</v>
      </c>
      <c r="I142" s="3" t="s">
        <v>3519</v>
      </c>
      <c r="J142" s="5">
        <v>4000.0</v>
      </c>
      <c r="K142" s="5">
        <v>22000.0</v>
      </c>
      <c r="L142" s="5" t="s">
        <v>3626</v>
      </c>
      <c r="M142" s="5" t="s">
        <v>3272</v>
      </c>
      <c r="N142" s="5" t="s">
        <v>4786</v>
      </c>
      <c r="O142" s="5" t="s">
        <v>3294</v>
      </c>
      <c r="P142" s="5" t="s">
        <v>3320</v>
      </c>
      <c r="Q142" s="5" t="b">
        <v>0</v>
      </c>
      <c r="R142" s="5" t="s">
        <v>3294</v>
      </c>
    </row>
    <row r="143" ht="15.75" customHeight="1">
      <c r="A143" s="6" t="s">
        <v>4912</v>
      </c>
      <c r="B143" s="10">
        <v>45729.80726851852</v>
      </c>
      <c r="C143" s="3" t="s">
        <v>3482</v>
      </c>
      <c r="D143" s="3">
        <v>83.0</v>
      </c>
      <c r="E143" s="3" t="s">
        <v>3272</v>
      </c>
      <c r="F143" s="3">
        <v>15000.0</v>
      </c>
      <c r="G143" s="5">
        <v>52.0</v>
      </c>
      <c r="H143" s="3"/>
      <c r="I143" s="3"/>
      <c r="J143" s="5">
        <v>0.0</v>
      </c>
      <c r="K143" s="5">
        <v>15000.0</v>
      </c>
      <c r="L143" s="5" t="s">
        <v>3627</v>
      </c>
      <c r="M143" s="5" t="s">
        <v>3272</v>
      </c>
      <c r="N143" s="5" t="s">
        <v>4810</v>
      </c>
      <c r="O143" s="5" t="s">
        <v>3294</v>
      </c>
      <c r="Q143" s="5" t="b">
        <v>0</v>
      </c>
      <c r="R143" s="5" t="s">
        <v>3320</v>
      </c>
    </row>
    <row r="144" ht="15.75" customHeight="1">
      <c r="A144" s="5" t="s">
        <v>4913</v>
      </c>
      <c r="B144" s="10">
        <v>45729.810590277775</v>
      </c>
      <c r="C144" s="3" t="s">
        <v>3350</v>
      </c>
      <c r="D144" s="3">
        <v>47.0</v>
      </c>
      <c r="E144" s="3" t="s">
        <v>3351</v>
      </c>
      <c r="F144" s="3">
        <v>1350.0</v>
      </c>
      <c r="G144" s="5">
        <v>78.0</v>
      </c>
      <c r="H144" s="3" t="s">
        <v>3587</v>
      </c>
      <c r="I144" s="3" t="s">
        <v>3588</v>
      </c>
      <c r="J144" s="5">
        <v>10000.0</v>
      </c>
      <c r="K144" s="5">
        <v>11350.0</v>
      </c>
      <c r="L144" s="5" t="s">
        <v>3628</v>
      </c>
      <c r="M144" s="5" t="s">
        <v>3588</v>
      </c>
      <c r="N144" s="5" t="s">
        <v>4914</v>
      </c>
      <c r="O144" s="5" t="s">
        <v>3337</v>
      </c>
      <c r="P144" s="5" t="s">
        <v>3294</v>
      </c>
      <c r="Q144" s="5" t="b">
        <v>1</v>
      </c>
      <c r="R144" s="5" t="s">
        <v>3294</v>
      </c>
    </row>
    <row r="145" ht="15.75" customHeight="1">
      <c r="A145" s="5" t="s">
        <v>4915</v>
      </c>
      <c r="B145" s="10">
        <v>45729.811203703706</v>
      </c>
      <c r="C145" s="3" t="s">
        <v>3350</v>
      </c>
      <c r="D145" s="3">
        <v>47.0</v>
      </c>
      <c r="E145" s="3" t="s">
        <v>3351</v>
      </c>
      <c r="F145" s="3">
        <v>5200.0</v>
      </c>
      <c r="G145" s="5">
        <v>85.0</v>
      </c>
      <c r="H145" s="3" t="s">
        <v>3582</v>
      </c>
      <c r="I145" s="3" t="s">
        <v>3583</v>
      </c>
      <c r="J145" s="5">
        <v>48900.0</v>
      </c>
      <c r="K145" s="5">
        <v>54100.0</v>
      </c>
      <c r="L145" s="5" t="s">
        <v>3629</v>
      </c>
      <c r="M145" s="5" t="s">
        <v>3583</v>
      </c>
      <c r="N145" s="5" t="s">
        <v>4916</v>
      </c>
      <c r="O145" s="5" t="s">
        <v>3337</v>
      </c>
      <c r="P145" s="5" t="s">
        <v>3294</v>
      </c>
      <c r="Q145" s="5" t="b">
        <v>1</v>
      </c>
      <c r="R145" s="5" t="s">
        <v>3294</v>
      </c>
    </row>
    <row r="146" ht="15.75" customHeight="1">
      <c r="A146" s="5" t="s">
        <v>4917</v>
      </c>
      <c r="B146" s="10">
        <v>45730.39121527778</v>
      </c>
      <c r="C146" s="3" t="s">
        <v>3533</v>
      </c>
      <c r="D146" s="3">
        <v>89.0</v>
      </c>
      <c r="E146" s="3" t="s">
        <v>3272</v>
      </c>
      <c r="F146" s="3">
        <v>48500.0</v>
      </c>
      <c r="G146" s="5">
        <v>118.0</v>
      </c>
      <c r="H146" s="3"/>
      <c r="I146" s="3"/>
      <c r="J146" s="5">
        <v>0.0</v>
      </c>
      <c r="K146" s="5">
        <v>48500.0</v>
      </c>
      <c r="L146" s="5" t="s">
        <v>3640</v>
      </c>
      <c r="M146" s="5" t="s">
        <v>3272</v>
      </c>
      <c r="N146" s="5" t="s">
        <v>4810</v>
      </c>
      <c r="O146" s="5" t="s">
        <v>3320</v>
      </c>
      <c r="Q146" s="5" t="b">
        <v>0</v>
      </c>
      <c r="R146" s="5" t="s">
        <v>3294</v>
      </c>
    </row>
    <row r="147" ht="15.75" customHeight="1">
      <c r="A147" s="5" t="s">
        <v>4918</v>
      </c>
      <c r="B147" s="10">
        <v>45730.392233796294</v>
      </c>
      <c r="C147" s="3" t="s">
        <v>3544</v>
      </c>
      <c r="D147" s="3">
        <v>92.0</v>
      </c>
      <c r="E147" s="3" t="s">
        <v>3380</v>
      </c>
      <c r="F147" s="3">
        <v>44700.0</v>
      </c>
      <c r="G147" s="5">
        <v>118.0</v>
      </c>
      <c r="H147" s="3" t="s">
        <v>3640</v>
      </c>
      <c r="I147" s="3" t="s">
        <v>3272</v>
      </c>
      <c r="J147" s="5">
        <v>48500.0</v>
      </c>
      <c r="K147" s="5">
        <v>93200.0</v>
      </c>
      <c r="L147" s="5" t="s">
        <v>3641</v>
      </c>
      <c r="M147" s="5" t="s">
        <v>3272</v>
      </c>
      <c r="N147" s="5" t="s">
        <v>4919</v>
      </c>
      <c r="O147" s="5" t="s">
        <v>3294</v>
      </c>
      <c r="P147" s="5" t="s">
        <v>3294</v>
      </c>
      <c r="Q147" s="5" t="b">
        <v>1</v>
      </c>
      <c r="R147" s="5" t="s">
        <v>3320</v>
      </c>
    </row>
    <row r="148" ht="15.75" customHeight="1">
      <c r="A148" s="5" t="s">
        <v>4920</v>
      </c>
      <c r="B148" s="10">
        <v>45730.73559027778</v>
      </c>
      <c r="C148" s="3" t="s">
        <v>3502</v>
      </c>
      <c r="D148" s="3">
        <v>87.0</v>
      </c>
      <c r="E148" s="3" t="s">
        <v>3277</v>
      </c>
      <c r="F148" s="3">
        <v>47200.0</v>
      </c>
      <c r="G148" s="5">
        <v>118.0</v>
      </c>
      <c r="H148" s="3" t="s">
        <v>3641</v>
      </c>
      <c r="I148" s="3" t="s">
        <v>3272</v>
      </c>
      <c r="J148" s="5">
        <v>93200.0</v>
      </c>
      <c r="K148" s="5">
        <v>140400.0</v>
      </c>
      <c r="L148" s="5" t="s">
        <v>3642</v>
      </c>
      <c r="M148" s="5" t="s">
        <v>3272</v>
      </c>
      <c r="O148" s="5" t="s">
        <v>3342</v>
      </c>
      <c r="P148" s="5" t="s">
        <v>3320</v>
      </c>
      <c r="Q148" s="5" t="b">
        <v>1</v>
      </c>
      <c r="R148" s="5" t="s">
        <v>3320</v>
      </c>
    </row>
    <row r="149" ht="15.75" customHeight="1">
      <c r="A149" s="5" t="s">
        <v>4921</v>
      </c>
      <c r="B149" s="10">
        <v>45730.74738425926</v>
      </c>
      <c r="C149" s="3" t="s">
        <v>3371</v>
      </c>
      <c r="D149" s="3">
        <v>46.0</v>
      </c>
      <c r="E149" s="3" t="s">
        <v>3351</v>
      </c>
      <c r="F149" s="3">
        <v>1000.0</v>
      </c>
      <c r="G149" s="5">
        <v>70.0</v>
      </c>
      <c r="H149" s="3" t="s">
        <v>3612</v>
      </c>
      <c r="I149" s="3" t="s">
        <v>3588</v>
      </c>
      <c r="J149" s="5">
        <v>7000.0</v>
      </c>
      <c r="K149" s="5">
        <v>8000.0</v>
      </c>
      <c r="L149" s="5" t="s">
        <v>3643</v>
      </c>
      <c r="M149" s="5" t="s">
        <v>3588</v>
      </c>
      <c r="O149" s="5" t="s">
        <v>3337</v>
      </c>
      <c r="P149" s="5" t="s">
        <v>3294</v>
      </c>
      <c r="Q149" s="5" t="b">
        <v>1</v>
      </c>
      <c r="R149" s="5" t="s">
        <v>3294</v>
      </c>
    </row>
    <row r="150" ht="15.75" customHeight="1">
      <c r="A150" s="6" t="s">
        <v>4922</v>
      </c>
      <c r="B150" s="10">
        <v>45730.74835648148</v>
      </c>
      <c r="C150" s="3" t="s">
        <v>3352</v>
      </c>
      <c r="D150" s="3">
        <v>48.0</v>
      </c>
      <c r="E150" s="3" t="s">
        <v>3349</v>
      </c>
      <c r="F150" s="3">
        <v>6500.0</v>
      </c>
      <c r="G150" s="5">
        <v>91.0</v>
      </c>
      <c r="H150" s="3" t="s">
        <v>3617</v>
      </c>
      <c r="I150" s="3" t="s">
        <v>3583</v>
      </c>
      <c r="J150" s="5">
        <v>39200.0</v>
      </c>
      <c r="K150" s="5">
        <v>45700.0</v>
      </c>
      <c r="L150" s="5" t="s">
        <v>3645</v>
      </c>
      <c r="M150" s="5" t="s">
        <v>3583</v>
      </c>
      <c r="N150" s="5" t="s">
        <v>3337</v>
      </c>
      <c r="O150" s="5" t="s">
        <v>3337</v>
      </c>
      <c r="P150" s="5" t="s">
        <v>3294</v>
      </c>
      <c r="Q150" s="5" t="b">
        <v>1</v>
      </c>
      <c r="R150" s="5" t="s">
        <v>3294</v>
      </c>
    </row>
    <row r="151" ht="15.75" customHeight="1">
      <c r="A151" s="5" t="s">
        <v>4923</v>
      </c>
      <c r="B151" s="10">
        <v>45730.74920138889</v>
      </c>
      <c r="C151" s="3" t="s">
        <v>3371</v>
      </c>
      <c r="D151" s="3">
        <v>46.0</v>
      </c>
      <c r="E151" s="3" t="s">
        <v>3351</v>
      </c>
      <c r="F151" s="3">
        <v>9600.0</v>
      </c>
      <c r="G151" s="5">
        <v>90.0</v>
      </c>
      <c r="H151" s="3" t="s">
        <v>3600</v>
      </c>
      <c r="I151" s="3" t="s">
        <v>3601</v>
      </c>
      <c r="J151" s="5">
        <v>43300.0</v>
      </c>
      <c r="K151" s="5">
        <v>52900.0</v>
      </c>
      <c r="L151" s="5" t="s">
        <v>3646</v>
      </c>
      <c r="M151" s="5" t="s">
        <v>3601</v>
      </c>
      <c r="N151" s="5" t="s">
        <v>3337</v>
      </c>
      <c r="O151" s="5" t="s">
        <v>3337</v>
      </c>
      <c r="P151" s="5" t="s">
        <v>3294</v>
      </c>
      <c r="Q151" s="5" t="b">
        <v>1</v>
      </c>
      <c r="R151" s="5" t="s">
        <v>3294</v>
      </c>
    </row>
    <row r="152" ht="15.75" customHeight="1">
      <c r="A152" s="5" t="s">
        <v>4924</v>
      </c>
      <c r="B152" s="10">
        <v>45730.78297453704</v>
      </c>
      <c r="C152" s="3" t="s">
        <v>3374</v>
      </c>
      <c r="D152" s="3">
        <v>54.0</v>
      </c>
      <c r="E152" s="3" t="s">
        <v>3373</v>
      </c>
      <c r="F152" s="3">
        <v>2200.0</v>
      </c>
      <c r="G152" s="5">
        <v>81.0</v>
      </c>
      <c r="H152" s="3" t="s">
        <v>3614</v>
      </c>
      <c r="I152" s="3" t="s">
        <v>3615</v>
      </c>
      <c r="J152" s="5">
        <v>18400.0</v>
      </c>
      <c r="K152" s="5">
        <v>20600.0</v>
      </c>
      <c r="L152" s="5" t="s">
        <v>3647</v>
      </c>
      <c r="M152" s="5" t="s">
        <v>3615</v>
      </c>
      <c r="N152" s="5" t="s">
        <v>3337</v>
      </c>
      <c r="O152" s="5" t="s">
        <v>3337</v>
      </c>
      <c r="P152" s="5" t="s">
        <v>3294</v>
      </c>
      <c r="Q152" s="5" t="b">
        <v>1</v>
      </c>
      <c r="R152" s="5" t="s">
        <v>3294</v>
      </c>
    </row>
    <row r="153" ht="15.75" customHeight="1">
      <c r="A153" s="5" t="s">
        <v>4925</v>
      </c>
      <c r="B153" s="10">
        <v>45730.78625</v>
      </c>
      <c r="C153" s="3" t="s">
        <v>3620</v>
      </c>
      <c r="D153" s="3">
        <v>65.0</v>
      </c>
      <c r="E153" s="3" t="s">
        <v>3621</v>
      </c>
      <c r="F153" s="3">
        <v>15200.0</v>
      </c>
      <c r="G153" s="5">
        <v>118.0</v>
      </c>
      <c r="H153" s="3" t="s">
        <v>3642</v>
      </c>
      <c r="I153" s="3" t="s">
        <v>3272</v>
      </c>
      <c r="J153" s="5">
        <v>140400.0</v>
      </c>
      <c r="K153" s="5">
        <v>155600.0</v>
      </c>
      <c r="L153" s="5" t="s">
        <v>3649</v>
      </c>
      <c r="M153" s="5" t="s">
        <v>3272</v>
      </c>
      <c r="O153" s="5" t="s">
        <v>3457</v>
      </c>
      <c r="P153" s="5" t="s">
        <v>3320</v>
      </c>
      <c r="Q153" s="5" t="b">
        <v>1</v>
      </c>
      <c r="R153" s="5" t="s">
        <v>3320</v>
      </c>
    </row>
    <row r="154" ht="15.75" customHeight="1">
      <c r="A154" s="5" t="s">
        <v>4926</v>
      </c>
      <c r="B154" s="10">
        <v>45730.789722222224</v>
      </c>
      <c r="C154" s="3" t="s">
        <v>3620</v>
      </c>
      <c r="D154" s="3">
        <v>65.0</v>
      </c>
      <c r="E154" s="3" t="s">
        <v>3621</v>
      </c>
      <c r="F154" s="3">
        <v>8900.0</v>
      </c>
      <c r="G154" s="5">
        <v>52.0</v>
      </c>
      <c r="H154" s="3" t="s">
        <v>3627</v>
      </c>
      <c r="I154" s="3" t="s">
        <v>3272</v>
      </c>
      <c r="J154" s="5">
        <v>15000.0</v>
      </c>
      <c r="K154" s="5">
        <v>23900.0</v>
      </c>
      <c r="L154" s="5" t="s">
        <v>3651</v>
      </c>
      <c r="M154" s="5" t="s">
        <v>3272</v>
      </c>
      <c r="O154" s="5" t="s">
        <v>3457</v>
      </c>
      <c r="P154" s="5" t="s">
        <v>3320</v>
      </c>
      <c r="Q154" s="5" t="b">
        <v>1</v>
      </c>
      <c r="R154" s="5" t="s">
        <v>3320</v>
      </c>
    </row>
    <row r="155" ht="15.75" customHeight="1">
      <c r="A155" s="5" t="s">
        <v>4927</v>
      </c>
      <c r="B155" s="10">
        <v>45730.791296296295</v>
      </c>
      <c r="C155" s="3" t="s">
        <v>3371</v>
      </c>
      <c r="D155" s="3">
        <v>46.0</v>
      </c>
      <c r="E155" s="3" t="s">
        <v>3351</v>
      </c>
      <c r="F155" s="3">
        <v>9500.0</v>
      </c>
      <c r="G155" s="5">
        <v>86.0</v>
      </c>
      <c r="H155" s="3" t="s">
        <v>3585</v>
      </c>
      <c r="I155" s="3" t="s">
        <v>3272</v>
      </c>
      <c r="J155" s="5">
        <v>43000.0</v>
      </c>
      <c r="K155" s="5">
        <v>52500.0</v>
      </c>
      <c r="L155" s="5" t="s">
        <v>3652</v>
      </c>
      <c r="M155" s="5" t="s">
        <v>3272</v>
      </c>
      <c r="N155" s="5" t="s">
        <v>4928</v>
      </c>
      <c r="O155" s="5" t="s">
        <v>3337</v>
      </c>
      <c r="P155" s="5" t="s">
        <v>3294</v>
      </c>
      <c r="Q155" s="5" t="b">
        <v>1</v>
      </c>
      <c r="R155" s="5" t="s">
        <v>3294</v>
      </c>
    </row>
    <row r="156" ht="15.75" customHeight="1">
      <c r="A156" s="5" t="s">
        <v>4929</v>
      </c>
      <c r="B156" s="10">
        <v>45733.408159722225</v>
      </c>
      <c r="C156" s="3" t="s">
        <v>3540</v>
      </c>
      <c r="D156" s="3">
        <v>68.0</v>
      </c>
      <c r="E156" s="3" t="s">
        <v>3272</v>
      </c>
      <c r="F156" s="3">
        <v>8000.0</v>
      </c>
      <c r="G156" s="5">
        <v>116.0</v>
      </c>
      <c r="H156" s="3"/>
      <c r="I156" s="3"/>
      <c r="J156" s="5">
        <v>0.0</v>
      </c>
      <c r="K156" s="5">
        <v>8000.0</v>
      </c>
      <c r="L156" s="5" t="s">
        <v>3653</v>
      </c>
      <c r="M156" s="5" t="s">
        <v>3272</v>
      </c>
      <c r="N156" s="5" t="s">
        <v>4810</v>
      </c>
      <c r="O156" s="5" t="s">
        <v>3294</v>
      </c>
      <c r="Q156" s="5" t="b">
        <v>0</v>
      </c>
      <c r="R156" s="5" t="s">
        <v>3320</v>
      </c>
    </row>
    <row r="157" ht="15.75" customHeight="1">
      <c r="A157" s="5" t="s">
        <v>4930</v>
      </c>
      <c r="B157" s="10">
        <v>45733.4096875</v>
      </c>
      <c r="C157" s="3" t="s">
        <v>3521</v>
      </c>
      <c r="D157" s="3">
        <v>88.0</v>
      </c>
      <c r="E157" s="3" t="s">
        <v>3442</v>
      </c>
      <c r="F157" s="3">
        <v>3100.0</v>
      </c>
      <c r="G157" s="5">
        <v>52.0</v>
      </c>
      <c r="H157" s="3" t="s">
        <v>3651</v>
      </c>
      <c r="I157" s="3" t="s">
        <v>3272</v>
      </c>
      <c r="J157" s="5">
        <v>23900.0</v>
      </c>
      <c r="K157" s="5">
        <v>27000.0</v>
      </c>
      <c r="L157" s="5" t="s">
        <v>3654</v>
      </c>
      <c r="M157" s="5" t="s">
        <v>3272</v>
      </c>
      <c r="N157" s="5" t="s">
        <v>4931</v>
      </c>
      <c r="O157" s="5" t="s">
        <v>3294</v>
      </c>
      <c r="P157" s="5" t="s">
        <v>3320</v>
      </c>
      <c r="Q157" s="5" t="b">
        <v>1</v>
      </c>
      <c r="R157" s="5" t="s">
        <v>3320</v>
      </c>
    </row>
    <row r="158" ht="15.75" customHeight="1">
      <c r="A158" s="5" t="s">
        <v>4932</v>
      </c>
      <c r="B158" s="10">
        <v>45733.41013888889</v>
      </c>
      <c r="C158" s="3" t="s">
        <v>3521</v>
      </c>
      <c r="D158" s="3">
        <v>88.0</v>
      </c>
      <c r="E158" s="3" t="s">
        <v>3442</v>
      </c>
      <c r="F158" s="3">
        <v>46400.0</v>
      </c>
      <c r="G158" s="5">
        <v>116.0</v>
      </c>
      <c r="H158" s="3" t="s">
        <v>3653</v>
      </c>
      <c r="I158" s="3" t="s">
        <v>3272</v>
      </c>
      <c r="J158" s="5">
        <v>8000.0</v>
      </c>
      <c r="K158" s="5">
        <v>54400.0</v>
      </c>
      <c r="L158" s="5" t="s">
        <v>3655</v>
      </c>
      <c r="M158" s="5" t="s">
        <v>3272</v>
      </c>
      <c r="N158" s="5" t="s">
        <v>4810</v>
      </c>
      <c r="O158" s="5" t="s">
        <v>3294</v>
      </c>
      <c r="P158" s="5" t="s">
        <v>3320</v>
      </c>
      <c r="Q158" s="5" t="b">
        <v>1</v>
      </c>
      <c r="R158" s="5" t="s">
        <v>3320</v>
      </c>
    </row>
    <row r="159" ht="15.75" customHeight="1">
      <c r="A159" s="5" t="s">
        <v>4933</v>
      </c>
      <c r="B159" s="10">
        <v>45733.42077546296</v>
      </c>
      <c r="C159" s="3" t="s">
        <v>3374</v>
      </c>
      <c r="D159" s="3">
        <v>54.0</v>
      </c>
      <c r="E159" s="3" t="s">
        <v>3373</v>
      </c>
      <c r="F159" s="3">
        <v>2150.0</v>
      </c>
      <c r="G159" s="5">
        <v>79.0</v>
      </c>
      <c r="H159" s="3" t="s">
        <v>3631</v>
      </c>
      <c r="I159" s="3" t="s">
        <v>3615</v>
      </c>
      <c r="J159" s="5">
        <v>14500.0</v>
      </c>
      <c r="K159" s="5">
        <v>16650.0</v>
      </c>
      <c r="L159" s="5" t="s">
        <v>3658</v>
      </c>
      <c r="M159" s="5" t="s">
        <v>3615</v>
      </c>
      <c r="O159" s="5" t="s">
        <v>3337</v>
      </c>
      <c r="P159" s="5" t="s">
        <v>3294</v>
      </c>
      <c r="Q159" s="5" t="b">
        <v>1</v>
      </c>
      <c r="R159" s="5" t="s">
        <v>3294</v>
      </c>
    </row>
    <row r="160" ht="15.75" customHeight="1">
      <c r="A160" s="5" t="s">
        <v>4934</v>
      </c>
      <c r="B160" s="10">
        <v>45733.42141203704</v>
      </c>
      <c r="C160" s="3" t="s">
        <v>3352</v>
      </c>
      <c r="D160" s="3">
        <v>48.0</v>
      </c>
      <c r="E160" s="3" t="s">
        <v>3349</v>
      </c>
      <c r="F160" s="3">
        <v>1600.0</v>
      </c>
      <c r="G160" s="5">
        <v>76.0</v>
      </c>
      <c r="H160" s="3" t="s">
        <v>3633</v>
      </c>
      <c r="I160" s="3" t="s">
        <v>3583</v>
      </c>
      <c r="J160" s="5">
        <v>15000.0</v>
      </c>
      <c r="K160" s="5">
        <v>16600.0</v>
      </c>
      <c r="L160" s="5" t="s">
        <v>3659</v>
      </c>
      <c r="M160" s="5" t="s">
        <v>3583</v>
      </c>
      <c r="O160" s="5" t="s">
        <v>3337</v>
      </c>
      <c r="P160" s="5" t="s">
        <v>3294</v>
      </c>
      <c r="Q160" s="5" t="b">
        <v>1</v>
      </c>
      <c r="R160" s="5" t="s">
        <v>3294</v>
      </c>
    </row>
    <row r="161" ht="15.75" customHeight="1">
      <c r="A161" s="5" t="s">
        <v>4935</v>
      </c>
      <c r="B161" s="10">
        <v>45733.42170138889</v>
      </c>
      <c r="C161" s="3" t="s">
        <v>3352</v>
      </c>
      <c r="D161" s="3">
        <v>48.0</v>
      </c>
      <c r="E161" s="3" t="s">
        <v>3349</v>
      </c>
      <c r="F161" s="3">
        <v>1600.0</v>
      </c>
      <c r="G161" s="5">
        <v>77.0</v>
      </c>
      <c r="H161" s="3" t="s">
        <v>3635</v>
      </c>
      <c r="I161" s="3" t="s">
        <v>3583</v>
      </c>
      <c r="J161" s="5">
        <v>11300.0</v>
      </c>
      <c r="K161" s="5">
        <v>12900.0</v>
      </c>
      <c r="L161" s="5" t="s">
        <v>3660</v>
      </c>
      <c r="M161" s="5" t="s">
        <v>3583</v>
      </c>
      <c r="O161" s="5" t="s">
        <v>3337</v>
      </c>
      <c r="P161" s="5" t="s">
        <v>3294</v>
      </c>
      <c r="Q161" s="5" t="b">
        <v>1</v>
      </c>
      <c r="R161" s="5" t="s">
        <v>3294</v>
      </c>
    </row>
    <row r="162" ht="15.75" customHeight="1">
      <c r="A162" s="5" t="s">
        <v>4936</v>
      </c>
      <c r="B162" s="10">
        <v>45733.83224537037</v>
      </c>
      <c r="C162" s="3" t="s">
        <v>3643</v>
      </c>
      <c r="D162" s="3">
        <v>70.0</v>
      </c>
      <c r="E162" s="3" t="s">
        <v>3588</v>
      </c>
      <c r="F162" s="3">
        <v>2000.0</v>
      </c>
      <c r="G162" s="5">
        <v>78.0</v>
      </c>
      <c r="H162" s="3" t="s">
        <v>3628</v>
      </c>
      <c r="I162" s="3" t="s">
        <v>3588</v>
      </c>
      <c r="J162" s="5">
        <v>11350.0</v>
      </c>
      <c r="K162" s="5">
        <v>13350.0</v>
      </c>
      <c r="L162" s="5" t="s">
        <v>3666</v>
      </c>
      <c r="M162" s="5" t="s">
        <v>3588</v>
      </c>
      <c r="N162" s="5" t="s">
        <v>4937</v>
      </c>
      <c r="O162" s="5" t="s">
        <v>3294</v>
      </c>
      <c r="P162" s="5" t="s">
        <v>3294</v>
      </c>
      <c r="Q162" s="5" t="b">
        <v>1</v>
      </c>
      <c r="R162" s="5" t="s">
        <v>3294</v>
      </c>
    </row>
    <row r="163" ht="15.75" customHeight="1">
      <c r="A163" s="5" t="s">
        <v>4938</v>
      </c>
      <c r="B163" s="10">
        <v>45733.84206018518</v>
      </c>
      <c r="C163" s="3" t="s">
        <v>3371</v>
      </c>
      <c r="D163" s="3">
        <v>46.0</v>
      </c>
      <c r="E163" s="3" t="s">
        <v>3351</v>
      </c>
      <c r="F163" s="3">
        <v>8900.0</v>
      </c>
      <c r="G163" s="5">
        <v>90.0</v>
      </c>
      <c r="H163" s="3" t="s">
        <v>3646</v>
      </c>
      <c r="I163" s="3" t="s">
        <v>3601</v>
      </c>
      <c r="J163" s="5">
        <v>52900.0</v>
      </c>
      <c r="K163" s="5">
        <v>61800.0</v>
      </c>
      <c r="L163" s="5" t="s">
        <v>3668</v>
      </c>
      <c r="M163" s="5" t="s">
        <v>3601</v>
      </c>
      <c r="O163" s="5" t="s">
        <v>3337</v>
      </c>
      <c r="P163" s="5" t="s">
        <v>3294</v>
      </c>
      <c r="Q163" s="5" t="b">
        <v>1</v>
      </c>
      <c r="R163" s="5" t="s">
        <v>3294</v>
      </c>
    </row>
    <row r="164" ht="15.75" customHeight="1">
      <c r="A164" s="5" t="s">
        <v>4939</v>
      </c>
      <c r="B164" s="10">
        <v>45733.84376157408</v>
      </c>
      <c r="C164" s="3" t="s">
        <v>3665</v>
      </c>
      <c r="D164" s="3">
        <v>500.0</v>
      </c>
      <c r="E164" s="3" t="s">
        <v>3595</v>
      </c>
      <c r="F164" s="3">
        <v>12200.0</v>
      </c>
      <c r="G164" s="5">
        <v>90.0</v>
      </c>
      <c r="H164" s="3" t="s">
        <v>3668</v>
      </c>
      <c r="I164" s="3" t="s">
        <v>3601</v>
      </c>
      <c r="J164" s="5">
        <v>61800.0</v>
      </c>
      <c r="K164" s="5">
        <v>74000.0</v>
      </c>
      <c r="L164" s="5" t="s">
        <v>3669</v>
      </c>
      <c r="M164" s="5" t="s">
        <v>3601</v>
      </c>
      <c r="P164" s="5" t="s">
        <v>3294</v>
      </c>
      <c r="Q164" s="5" t="b">
        <v>1</v>
      </c>
      <c r="R164" s="5" t="s">
        <v>3294</v>
      </c>
    </row>
    <row r="165" ht="15.75" customHeight="1">
      <c r="A165" s="5" t="s">
        <v>4940</v>
      </c>
      <c r="B165" s="10">
        <v>45734.36537037037</v>
      </c>
      <c r="C165" s="3" t="s">
        <v>3350</v>
      </c>
      <c r="D165" s="3">
        <v>47.0</v>
      </c>
      <c r="E165" s="3" t="s">
        <v>3351</v>
      </c>
      <c r="F165" s="3">
        <v>-850.0</v>
      </c>
      <c r="G165" s="5">
        <v>500.0</v>
      </c>
      <c r="H165" s="3" t="s">
        <v>3665</v>
      </c>
      <c r="I165" s="3" t="s">
        <v>3595</v>
      </c>
      <c r="J165" s="5">
        <v>-12199.0</v>
      </c>
      <c r="K165" s="5">
        <v>-13049.0</v>
      </c>
      <c r="L165" s="5" t="s">
        <v>3670</v>
      </c>
      <c r="M165" s="5" t="s">
        <v>3595</v>
      </c>
      <c r="O165" s="5" t="s">
        <v>3337</v>
      </c>
      <c r="Q165" s="5" t="b">
        <v>1</v>
      </c>
    </row>
    <row r="166" ht="15.75" customHeight="1">
      <c r="A166" s="5" t="s">
        <v>4941</v>
      </c>
      <c r="B166" s="10">
        <v>45734.36620370371</v>
      </c>
      <c r="C166" s="3" t="s">
        <v>3352</v>
      </c>
      <c r="D166" s="3">
        <v>48.0</v>
      </c>
      <c r="E166" s="3" t="s">
        <v>3349</v>
      </c>
      <c r="F166" s="3">
        <v>-700.0</v>
      </c>
      <c r="G166" s="5">
        <v>500.0</v>
      </c>
      <c r="H166" s="3" t="s">
        <v>3670</v>
      </c>
      <c r="I166" s="3" t="s">
        <v>3595</v>
      </c>
      <c r="J166" s="5">
        <v>-13049.0</v>
      </c>
      <c r="K166" s="5">
        <v>-13749.0</v>
      </c>
      <c r="L166" s="5" t="s">
        <v>3671</v>
      </c>
      <c r="M166" s="5" t="s">
        <v>3595</v>
      </c>
      <c r="O166" s="5" t="s">
        <v>3337</v>
      </c>
      <c r="Q166" s="5" t="b">
        <v>1</v>
      </c>
    </row>
    <row r="167" ht="15.75" customHeight="1">
      <c r="A167" s="5" t="s">
        <v>4942</v>
      </c>
      <c r="B167" s="10">
        <v>45734.367951388886</v>
      </c>
      <c r="C167" s="3" t="s">
        <v>3374</v>
      </c>
      <c r="D167" s="3">
        <v>54.0</v>
      </c>
      <c r="E167" s="3" t="s">
        <v>3373</v>
      </c>
      <c r="F167" s="3">
        <v>550.0</v>
      </c>
      <c r="G167" s="5">
        <v>500.0</v>
      </c>
      <c r="H167" s="3" t="s">
        <v>3671</v>
      </c>
      <c r="I167" s="3" t="s">
        <v>3595</v>
      </c>
      <c r="J167" s="5">
        <v>-13749.0</v>
      </c>
      <c r="K167" s="5">
        <v>-13199.0</v>
      </c>
      <c r="L167" s="5" t="s">
        <v>3672</v>
      </c>
      <c r="M167" s="5" t="s">
        <v>3595</v>
      </c>
      <c r="O167" s="5" t="s">
        <v>3337</v>
      </c>
      <c r="Q167" s="5" t="b">
        <v>1</v>
      </c>
    </row>
    <row r="168" ht="15.75" customHeight="1">
      <c r="A168" s="5" t="s">
        <v>4943</v>
      </c>
      <c r="B168" s="10">
        <v>45734.36851851852</v>
      </c>
      <c r="C168" s="3" t="s">
        <v>3622</v>
      </c>
      <c r="D168" s="3">
        <v>66.0</v>
      </c>
      <c r="E168" s="3" t="s">
        <v>3466</v>
      </c>
      <c r="F168" s="3">
        <v>1000.0</v>
      </c>
      <c r="G168" s="5">
        <v>500.0</v>
      </c>
      <c r="H168" s="3" t="s">
        <v>3672</v>
      </c>
      <c r="I168" s="3" t="s">
        <v>3595</v>
      </c>
      <c r="J168" s="5">
        <v>-13199.0</v>
      </c>
      <c r="K168" s="5">
        <v>-12199.0</v>
      </c>
      <c r="L168" s="5" t="s">
        <v>3673</v>
      </c>
      <c r="M168" s="5" t="s">
        <v>3595</v>
      </c>
      <c r="O168" s="5" t="s">
        <v>3294</v>
      </c>
      <c r="Q168" s="5" t="b">
        <v>1</v>
      </c>
    </row>
    <row r="169" ht="15.75" customHeight="1">
      <c r="A169" s="5" t="s">
        <v>4944</v>
      </c>
      <c r="B169" s="10">
        <v>45734.36953703704</v>
      </c>
      <c r="C169" s="3" t="s">
        <v>3659</v>
      </c>
      <c r="D169" s="3">
        <v>76.0</v>
      </c>
      <c r="E169" s="3" t="s">
        <v>3583</v>
      </c>
      <c r="F169" s="3">
        <v>2600.0</v>
      </c>
      <c r="G169" s="5">
        <v>500.0</v>
      </c>
      <c r="H169" s="3" t="s">
        <v>3673</v>
      </c>
      <c r="I169" s="3" t="s">
        <v>3595</v>
      </c>
      <c r="J169" s="5">
        <v>-12199.0</v>
      </c>
      <c r="K169" s="5">
        <v>-9599.0</v>
      </c>
      <c r="L169" s="5" t="s">
        <v>3674</v>
      </c>
      <c r="M169" s="5" t="s">
        <v>3595</v>
      </c>
      <c r="O169" s="5" t="s">
        <v>3294</v>
      </c>
      <c r="Q169" s="5" t="b">
        <v>1</v>
      </c>
    </row>
    <row r="170" ht="15.75" customHeight="1">
      <c r="A170" s="5" t="s">
        <v>4945</v>
      </c>
      <c r="B170" s="10">
        <v>45734.37032407407</v>
      </c>
      <c r="C170" s="3" t="s">
        <v>3660</v>
      </c>
      <c r="D170" s="3">
        <v>77.0</v>
      </c>
      <c r="E170" s="3" t="s">
        <v>3583</v>
      </c>
      <c r="F170" s="3">
        <v>-3100.0</v>
      </c>
      <c r="G170" s="5">
        <v>500.0</v>
      </c>
      <c r="H170" s="3" t="s">
        <v>3674</v>
      </c>
      <c r="I170" s="3" t="s">
        <v>3595</v>
      </c>
      <c r="J170" s="5">
        <v>-9599.0</v>
      </c>
      <c r="K170" s="5">
        <v>-12699.0</v>
      </c>
      <c r="L170" s="5" t="s">
        <v>3675</v>
      </c>
      <c r="M170" s="5" t="s">
        <v>3595</v>
      </c>
      <c r="O170" s="5" t="s">
        <v>3294</v>
      </c>
      <c r="Q170" s="5" t="b">
        <v>1</v>
      </c>
    </row>
    <row r="171" ht="15.75" customHeight="1">
      <c r="A171" s="5" t="s">
        <v>4946</v>
      </c>
      <c r="B171" s="10">
        <v>45734.37231481481</v>
      </c>
      <c r="C171" s="3" t="s">
        <v>3666</v>
      </c>
      <c r="D171" s="3">
        <v>78.0</v>
      </c>
      <c r="E171" s="3" t="s">
        <v>3588</v>
      </c>
      <c r="F171" s="3">
        <v>-4650.0</v>
      </c>
      <c r="G171" s="5">
        <v>500.0</v>
      </c>
      <c r="H171" s="3" t="s">
        <v>3675</v>
      </c>
      <c r="I171" s="3" t="s">
        <v>3595</v>
      </c>
      <c r="J171" s="5">
        <v>-12699.0</v>
      </c>
      <c r="K171" s="5">
        <v>-17349.0</v>
      </c>
      <c r="L171" s="5" t="s">
        <v>3676</v>
      </c>
      <c r="M171" s="5" t="s">
        <v>3595</v>
      </c>
      <c r="O171" s="5" t="s">
        <v>3294</v>
      </c>
      <c r="Q171" s="5" t="b">
        <v>1</v>
      </c>
    </row>
    <row r="172" ht="15.75" customHeight="1">
      <c r="A172" s="5" t="s">
        <v>4947</v>
      </c>
      <c r="B172" s="10">
        <v>45734.37447916667</v>
      </c>
      <c r="C172" s="3" t="s">
        <v>3658</v>
      </c>
      <c r="D172" s="3">
        <v>79.0</v>
      </c>
      <c r="E172" s="3" t="s">
        <v>3615</v>
      </c>
      <c r="F172" s="3">
        <v>-3350.0</v>
      </c>
      <c r="G172" s="5">
        <v>500.0</v>
      </c>
      <c r="H172" s="3" t="s">
        <v>3676</v>
      </c>
      <c r="I172" s="3" t="s">
        <v>3595</v>
      </c>
      <c r="J172" s="5">
        <v>-17349.0</v>
      </c>
      <c r="K172" s="5">
        <v>-20699.0</v>
      </c>
      <c r="L172" s="5" t="s">
        <v>3677</v>
      </c>
      <c r="M172" s="5" t="s">
        <v>3595</v>
      </c>
      <c r="O172" s="5" t="s">
        <v>3294</v>
      </c>
      <c r="Q172" s="5" t="b">
        <v>1</v>
      </c>
    </row>
    <row r="173" ht="15.75" customHeight="1">
      <c r="A173" s="5" t="s">
        <v>4948</v>
      </c>
      <c r="B173" s="10">
        <v>45734.375127314815</v>
      </c>
      <c r="C173" s="3" t="s">
        <v>3608</v>
      </c>
      <c r="D173" s="3">
        <v>80.0</v>
      </c>
      <c r="E173" s="3" t="s">
        <v>3563</v>
      </c>
      <c r="F173" s="3">
        <v>-2700.0</v>
      </c>
      <c r="G173" s="5">
        <v>500.0</v>
      </c>
      <c r="H173" s="3" t="s">
        <v>3677</v>
      </c>
      <c r="I173" s="3" t="s">
        <v>3595</v>
      </c>
      <c r="J173" s="5">
        <v>-20699.0</v>
      </c>
      <c r="K173" s="5">
        <v>-23399.0</v>
      </c>
      <c r="L173" s="5" t="s">
        <v>3678</v>
      </c>
      <c r="M173" s="5" t="s">
        <v>3595</v>
      </c>
      <c r="O173" s="5" t="s">
        <v>3294</v>
      </c>
      <c r="Q173" s="5" t="b">
        <v>1</v>
      </c>
    </row>
    <row r="174" ht="15.75" customHeight="1">
      <c r="A174" s="5" t="s">
        <v>4949</v>
      </c>
      <c r="B174" s="10">
        <v>45734.3759375</v>
      </c>
      <c r="C174" s="3" t="s">
        <v>3623</v>
      </c>
      <c r="D174" s="3">
        <v>82.0</v>
      </c>
      <c r="E174" s="3" t="s">
        <v>3466</v>
      </c>
      <c r="F174" s="3">
        <v>-1000.0</v>
      </c>
      <c r="G174" s="5">
        <v>500.0</v>
      </c>
      <c r="H174" s="3" t="s">
        <v>3678</v>
      </c>
      <c r="I174" s="3" t="s">
        <v>3595</v>
      </c>
      <c r="J174" s="5">
        <v>-23399.0</v>
      </c>
      <c r="K174" s="5">
        <v>-24399.0</v>
      </c>
      <c r="L174" s="5" t="s">
        <v>3679</v>
      </c>
      <c r="M174" s="5" t="s">
        <v>3595</v>
      </c>
      <c r="O174" s="5" t="s">
        <v>3294</v>
      </c>
      <c r="Q174" s="5" t="b">
        <v>1</v>
      </c>
    </row>
    <row r="175" ht="15.75" customHeight="1">
      <c r="A175" s="5" t="s">
        <v>4950</v>
      </c>
      <c r="B175" s="10">
        <v>45734.37678240741</v>
      </c>
      <c r="C175" s="3" t="s">
        <v>3629</v>
      </c>
      <c r="D175" s="3">
        <v>85.0</v>
      </c>
      <c r="E175" s="3" t="s">
        <v>3583</v>
      </c>
      <c r="F175" s="3">
        <v>4100.0</v>
      </c>
      <c r="G175" s="5">
        <v>500.0</v>
      </c>
      <c r="H175" s="3" t="s">
        <v>3679</v>
      </c>
      <c r="I175" s="3" t="s">
        <v>3595</v>
      </c>
      <c r="J175" s="5">
        <v>-24399.0</v>
      </c>
      <c r="K175" s="5">
        <v>-20299.0</v>
      </c>
      <c r="L175" s="5" t="s">
        <v>3680</v>
      </c>
      <c r="M175" s="5" t="s">
        <v>3595</v>
      </c>
      <c r="O175" s="5" t="s">
        <v>3294</v>
      </c>
      <c r="Q175" s="5" t="b">
        <v>1</v>
      </c>
    </row>
    <row r="176" ht="15.75" customHeight="1">
      <c r="A176" s="5" t="s">
        <v>4951</v>
      </c>
      <c r="B176" s="10">
        <v>45734.37712962963</v>
      </c>
      <c r="C176" s="3" t="s">
        <v>3652</v>
      </c>
      <c r="D176" s="3">
        <v>86.0</v>
      </c>
      <c r="E176" s="3" t="s">
        <v>3272</v>
      </c>
      <c r="F176" s="3">
        <v>2500.0</v>
      </c>
      <c r="G176" s="5">
        <v>500.0</v>
      </c>
      <c r="H176" s="3" t="s">
        <v>3680</v>
      </c>
      <c r="I176" s="3" t="s">
        <v>3595</v>
      </c>
      <c r="J176" s="5">
        <v>-20299.0</v>
      </c>
      <c r="K176" s="5">
        <v>-17799.0</v>
      </c>
      <c r="L176" s="5" t="s">
        <v>3681</v>
      </c>
      <c r="M176" s="5" t="s">
        <v>3595</v>
      </c>
      <c r="O176" s="5" t="s">
        <v>3294</v>
      </c>
      <c r="Q176" s="5" t="b">
        <v>1</v>
      </c>
    </row>
    <row r="177" ht="15.75" customHeight="1">
      <c r="A177" s="5" t="s">
        <v>4952</v>
      </c>
      <c r="B177" s="10">
        <v>45734.37767361111</v>
      </c>
      <c r="C177" s="3" t="s">
        <v>3656</v>
      </c>
      <c r="D177" s="3">
        <v>91.0</v>
      </c>
      <c r="E177" s="3" t="s">
        <v>3583</v>
      </c>
      <c r="F177" s="3">
        <v>-2800.0</v>
      </c>
      <c r="G177" s="5">
        <v>500.0</v>
      </c>
      <c r="H177" s="3" t="s">
        <v>3681</v>
      </c>
      <c r="I177" s="3" t="s">
        <v>3595</v>
      </c>
      <c r="J177" s="5">
        <v>-17799.0</v>
      </c>
      <c r="K177" s="5">
        <v>-20599.0</v>
      </c>
      <c r="L177" s="6" t="s">
        <v>3682</v>
      </c>
      <c r="M177" s="5" t="s">
        <v>3595</v>
      </c>
      <c r="O177" s="5" t="s">
        <v>3294</v>
      </c>
      <c r="Q177" s="5" t="b">
        <v>1</v>
      </c>
    </row>
    <row r="178" ht="15.75" customHeight="1">
      <c r="A178" s="5" t="s">
        <v>4953</v>
      </c>
      <c r="B178" s="10">
        <v>45734.37820601852</v>
      </c>
      <c r="C178" s="3" t="s">
        <v>3535</v>
      </c>
      <c r="D178" s="3">
        <v>931.0</v>
      </c>
      <c r="E178" s="3" t="s">
        <v>3368</v>
      </c>
      <c r="F178" s="3">
        <v>1000.0</v>
      </c>
      <c r="G178" s="5">
        <v>500.0</v>
      </c>
      <c r="H178" s="4" t="s">
        <v>3682</v>
      </c>
      <c r="I178" s="3" t="s">
        <v>3595</v>
      </c>
      <c r="J178" s="5">
        <v>-20599.0</v>
      </c>
      <c r="K178" s="5">
        <v>-19599.0</v>
      </c>
      <c r="L178" s="5" t="s">
        <v>3683</v>
      </c>
      <c r="M178" s="5" t="s">
        <v>3595</v>
      </c>
      <c r="O178" s="5" t="s">
        <v>3342</v>
      </c>
      <c r="Q178" s="5" t="b">
        <v>1</v>
      </c>
    </row>
    <row r="179" ht="15.75" customHeight="1">
      <c r="A179" s="5" t="s">
        <v>4954</v>
      </c>
      <c r="B179" s="10">
        <v>45734.37869212963</v>
      </c>
      <c r="C179" s="3" t="s">
        <v>3363</v>
      </c>
      <c r="D179" s="3">
        <v>94.0</v>
      </c>
      <c r="E179" s="3" t="s">
        <v>3361</v>
      </c>
      <c r="F179" s="3">
        <v>-2700.0</v>
      </c>
      <c r="G179" s="5">
        <v>500.0</v>
      </c>
      <c r="H179" s="3" t="s">
        <v>3683</v>
      </c>
      <c r="I179" s="3" t="s">
        <v>3595</v>
      </c>
      <c r="J179" s="5">
        <v>-19599.0</v>
      </c>
      <c r="K179" s="5">
        <v>-22299.0</v>
      </c>
      <c r="L179" s="5" t="s">
        <v>3684</v>
      </c>
      <c r="M179" s="5" t="s">
        <v>3595</v>
      </c>
      <c r="O179" s="5" t="s">
        <v>3342</v>
      </c>
      <c r="Q179" s="5" t="b">
        <v>1</v>
      </c>
    </row>
    <row r="180" ht="15.75" customHeight="1">
      <c r="A180" s="5" t="s">
        <v>4955</v>
      </c>
      <c r="B180" s="10">
        <v>45734.379224537035</v>
      </c>
      <c r="C180" s="3" t="s">
        <v>3637</v>
      </c>
      <c r="D180" s="3">
        <v>96.0</v>
      </c>
      <c r="E180" s="3" t="s">
        <v>3638</v>
      </c>
      <c r="F180" s="3">
        <v>2600.0</v>
      </c>
      <c r="G180" s="5">
        <v>500.0</v>
      </c>
      <c r="H180" s="3" t="s">
        <v>3684</v>
      </c>
      <c r="I180" s="3" t="s">
        <v>3595</v>
      </c>
      <c r="J180" s="5">
        <v>-22299.0</v>
      </c>
      <c r="K180" s="5">
        <v>-19699.0</v>
      </c>
      <c r="L180" s="5" t="s">
        <v>3685</v>
      </c>
      <c r="M180" s="5" t="s">
        <v>3595</v>
      </c>
      <c r="O180" s="5" t="s">
        <v>3294</v>
      </c>
      <c r="Q180" s="5" t="b">
        <v>1</v>
      </c>
    </row>
    <row r="181" ht="15.75" customHeight="1">
      <c r="A181" s="5" t="s">
        <v>4956</v>
      </c>
      <c r="B181" s="10">
        <v>45734.379837962966</v>
      </c>
      <c r="C181" s="3" t="s">
        <v>3625</v>
      </c>
      <c r="D181" s="3">
        <v>102.0</v>
      </c>
      <c r="E181" s="3" t="s">
        <v>3524</v>
      </c>
      <c r="F181" s="3">
        <v>1000.0</v>
      </c>
      <c r="G181" s="5">
        <v>500.0</v>
      </c>
      <c r="H181" s="3" t="s">
        <v>3685</v>
      </c>
      <c r="I181" s="3" t="s">
        <v>3595</v>
      </c>
      <c r="J181" s="5">
        <v>-19699.0</v>
      </c>
      <c r="K181" s="5">
        <v>-18699.0</v>
      </c>
      <c r="L181" s="5" t="s">
        <v>3686</v>
      </c>
      <c r="M181" s="5" t="s">
        <v>3595</v>
      </c>
      <c r="O181" s="5" t="s">
        <v>3342</v>
      </c>
      <c r="Q181" s="5" t="b">
        <v>1</v>
      </c>
    </row>
    <row r="182" ht="15.75" customHeight="1">
      <c r="A182" s="5" t="s">
        <v>4957</v>
      </c>
      <c r="B182" s="10">
        <v>45734.38049768518</v>
      </c>
      <c r="C182" s="3" t="s">
        <v>3655</v>
      </c>
      <c r="D182" s="3">
        <v>116.0</v>
      </c>
      <c r="E182" s="3" t="s">
        <v>3272</v>
      </c>
      <c r="F182" s="3">
        <v>-600.0</v>
      </c>
      <c r="G182" s="5">
        <v>500.0</v>
      </c>
      <c r="H182" s="3" t="s">
        <v>3686</v>
      </c>
      <c r="I182" s="3" t="s">
        <v>3595</v>
      </c>
      <c r="J182" s="5">
        <v>-18699.0</v>
      </c>
      <c r="K182" s="5">
        <v>-19299.0</v>
      </c>
      <c r="L182" s="5" t="s">
        <v>3687</v>
      </c>
      <c r="M182" s="5" t="s">
        <v>3595</v>
      </c>
      <c r="O182" s="5" t="s">
        <v>3320</v>
      </c>
      <c r="Q182" s="5" t="b">
        <v>1</v>
      </c>
    </row>
    <row r="183" ht="15.75" customHeight="1">
      <c r="A183" s="5" t="s">
        <v>4958</v>
      </c>
      <c r="B183" s="10">
        <v>45734.386296296296</v>
      </c>
      <c r="C183" s="3" t="s">
        <v>3358</v>
      </c>
      <c r="D183" s="3">
        <v>75.0</v>
      </c>
      <c r="E183" s="3" t="s">
        <v>3359</v>
      </c>
      <c r="F183" s="3">
        <v>3000.0</v>
      </c>
      <c r="G183" s="5">
        <v>42.0</v>
      </c>
      <c r="H183" s="3" t="s">
        <v>3619</v>
      </c>
      <c r="I183" s="3" t="s">
        <v>3386</v>
      </c>
      <c r="J183" s="5">
        <v>32900.0</v>
      </c>
      <c r="K183" s="5">
        <v>35900.0</v>
      </c>
      <c r="L183" s="5" t="s">
        <v>3689</v>
      </c>
      <c r="M183" s="5" t="s">
        <v>3386</v>
      </c>
      <c r="O183" s="5" t="s">
        <v>3337</v>
      </c>
      <c r="P183" s="5" t="s">
        <v>3605</v>
      </c>
      <c r="Q183" s="5" t="b">
        <v>1</v>
      </c>
      <c r="R183" s="5" t="s">
        <v>3605</v>
      </c>
    </row>
    <row r="184" ht="15.75" customHeight="1">
      <c r="A184" s="5" t="s">
        <v>4959</v>
      </c>
      <c r="B184" s="10">
        <v>45734.387662037036</v>
      </c>
      <c r="C184" s="3" t="s">
        <v>3597</v>
      </c>
      <c r="D184" s="3">
        <v>104.0</v>
      </c>
      <c r="E184" s="3" t="s">
        <v>3332</v>
      </c>
      <c r="F184" s="3">
        <v>29000.0</v>
      </c>
      <c r="G184" s="5">
        <v>46.0</v>
      </c>
      <c r="H184" s="3"/>
      <c r="I184" s="3"/>
      <c r="J184" s="5">
        <v>0.0</v>
      </c>
      <c r="K184" s="5">
        <v>29000.0</v>
      </c>
      <c r="L184" s="5" t="s">
        <v>3690</v>
      </c>
      <c r="M184" s="5" t="s">
        <v>3332</v>
      </c>
      <c r="O184" s="5" t="s">
        <v>3320</v>
      </c>
      <c r="Q184" s="5" t="b">
        <v>0</v>
      </c>
      <c r="R184" s="5" t="s">
        <v>3605</v>
      </c>
    </row>
    <row r="185" ht="15.75" customHeight="1">
      <c r="A185" s="5" t="s">
        <v>4960</v>
      </c>
      <c r="B185" s="10">
        <v>45734.56212962963</v>
      </c>
      <c r="C185" s="3" t="s">
        <v>3352</v>
      </c>
      <c r="D185" s="3">
        <v>48.0</v>
      </c>
      <c r="E185" s="3" t="s">
        <v>3349</v>
      </c>
      <c r="F185" s="3">
        <v>8100.0</v>
      </c>
      <c r="G185" s="5">
        <v>96.0</v>
      </c>
      <c r="H185" s="3" t="s">
        <v>3637</v>
      </c>
      <c r="I185" s="3" t="s">
        <v>3638</v>
      </c>
      <c r="J185" s="5">
        <v>45000.0</v>
      </c>
      <c r="K185" s="5">
        <v>53100.0</v>
      </c>
      <c r="L185" s="5" t="s">
        <v>3695</v>
      </c>
      <c r="M185" s="5" t="s">
        <v>3638</v>
      </c>
      <c r="N185" s="5" t="s">
        <v>4842</v>
      </c>
      <c r="O185" s="5" t="s">
        <v>3337</v>
      </c>
      <c r="P185" s="5" t="s">
        <v>3294</v>
      </c>
      <c r="Q185" s="5" t="b">
        <v>1</v>
      </c>
      <c r="R185" s="5" t="s">
        <v>3294</v>
      </c>
    </row>
    <row r="186" ht="15.75" customHeight="1">
      <c r="A186" s="5" t="s">
        <v>4961</v>
      </c>
      <c r="B186" s="10">
        <v>45734.5630787037</v>
      </c>
      <c r="C186" s="3" t="s">
        <v>3440</v>
      </c>
      <c r="D186" s="3">
        <v>106.0</v>
      </c>
      <c r="E186" s="3" t="s">
        <v>3330</v>
      </c>
      <c r="F186" s="3">
        <v>1000.0</v>
      </c>
      <c r="G186" s="5">
        <v>105.0</v>
      </c>
      <c r="H186" s="3" t="s">
        <v>3438</v>
      </c>
      <c r="I186" s="3" t="s">
        <v>3439</v>
      </c>
      <c r="J186" s="5">
        <v>30000.0</v>
      </c>
      <c r="K186" s="5">
        <v>31000.0</v>
      </c>
      <c r="L186" s="5" t="s">
        <v>3696</v>
      </c>
      <c r="M186" s="5" t="s">
        <v>3439</v>
      </c>
      <c r="O186" s="5" t="s">
        <v>3320</v>
      </c>
      <c r="P186" s="5" t="s">
        <v>3320</v>
      </c>
      <c r="Q186" s="5" t="b">
        <v>1</v>
      </c>
      <c r="R186" s="5" t="s">
        <v>3320</v>
      </c>
    </row>
    <row r="187" ht="15.75" customHeight="1">
      <c r="A187" s="5" t="s">
        <v>4962</v>
      </c>
      <c r="B187" s="10">
        <v>45734.56327546296</v>
      </c>
      <c r="C187" s="3" t="s">
        <v>3440</v>
      </c>
      <c r="D187" s="3">
        <v>106.0</v>
      </c>
      <c r="E187" s="3" t="s">
        <v>3330</v>
      </c>
      <c r="F187" s="3">
        <v>1000.0</v>
      </c>
      <c r="G187" s="5">
        <v>108.0</v>
      </c>
      <c r="H187" s="3" t="s">
        <v>3596</v>
      </c>
      <c r="I187" s="3" t="s">
        <v>3408</v>
      </c>
      <c r="J187" s="5">
        <v>30000.0</v>
      </c>
      <c r="K187" s="5">
        <v>31000.0</v>
      </c>
      <c r="L187" s="5" t="s">
        <v>3697</v>
      </c>
      <c r="M187" s="5" t="s">
        <v>3408</v>
      </c>
      <c r="O187" s="5" t="s">
        <v>3320</v>
      </c>
      <c r="P187" s="5" t="s">
        <v>3320</v>
      </c>
      <c r="Q187" s="5" t="b">
        <v>1</v>
      </c>
      <c r="R187" s="5" t="s">
        <v>3320</v>
      </c>
    </row>
    <row r="188" ht="15.75" customHeight="1">
      <c r="A188" s="5" t="s">
        <v>4963</v>
      </c>
      <c r="B188" s="10">
        <v>45734.56348379629</v>
      </c>
      <c r="C188" s="3" t="s">
        <v>3440</v>
      </c>
      <c r="D188" s="3">
        <v>106.0</v>
      </c>
      <c r="E188" s="3" t="s">
        <v>3330</v>
      </c>
      <c r="F188" s="3">
        <v>600.0</v>
      </c>
      <c r="G188" s="5">
        <v>109.0</v>
      </c>
      <c r="H188" s="3" t="s">
        <v>3598</v>
      </c>
      <c r="I188" s="3" t="s">
        <v>3452</v>
      </c>
      <c r="J188" s="5">
        <v>15000.0</v>
      </c>
      <c r="K188" s="5">
        <v>15600.0</v>
      </c>
      <c r="L188" s="5" t="s">
        <v>3698</v>
      </c>
      <c r="M188" s="5" t="s">
        <v>3452</v>
      </c>
      <c r="O188" s="5" t="s">
        <v>3320</v>
      </c>
      <c r="P188" s="5" t="s">
        <v>3320</v>
      </c>
      <c r="Q188" s="5" t="b">
        <v>1</v>
      </c>
      <c r="R188" s="5" t="s">
        <v>3320</v>
      </c>
    </row>
    <row r="189" ht="15.75" customHeight="1">
      <c r="A189" s="5" t="s">
        <v>4964</v>
      </c>
      <c r="B189" s="10">
        <v>45734.56363425926</v>
      </c>
      <c r="C189" s="3" t="s">
        <v>3440</v>
      </c>
      <c r="D189" s="3">
        <v>106.0</v>
      </c>
      <c r="E189" s="3" t="s">
        <v>3330</v>
      </c>
      <c r="F189" s="3">
        <v>600.0</v>
      </c>
      <c r="G189" s="5">
        <v>110.0</v>
      </c>
      <c r="H189" s="3" t="s">
        <v>3514</v>
      </c>
      <c r="I189" s="3" t="s">
        <v>3456</v>
      </c>
      <c r="J189" s="5">
        <v>15000.0</v>
      </c>
      <c r="K189" s="5">
        <v>15600.0</v>
      </c>
      <c r="L189" s="5" t="s">
        <v>3699</v>
      </c>
      <c r="M189" s="5" t="s">
        <v>3456</v>
      </c>
      <c r="O189" s="5" t="s">
        <v>3320</v>
      </c>
      <c r="P189" s="5" t="s">
        <v>3320</v>
      </c>
      <c r="Q189" s="5" t="b">
        <v>1</v>
      </c>
      <c r="R189" s="5" t="s">
        <v>3320</v>
      </c>
    </row>
    <row r="190" ht="15.75" customHeight="1">
      <c r="A190" s="5" t="s">
        <v>4965</v>
      </c>
      <c r="B190" s="10">
        <v>45734.56390046296</v>
      </c>
      <c r="C190" s="3" t="s">
        <v>3440</v>
      </c>
      <c r="D190" s="3">
        <v>106.0</v>
      </c>
      <c r="E190" s="3" t="s">
        <v>3330</v>
      </c>
      <c r="F190" s="3">
        <v>7800.0</v>
      </c>
      <c r="G190" s="5">
        <v>114.0</v>
      </c>
      <c r="H190" s="3"/>
      <c r="I190" s="3"/>
      <c r="J190" s="5">
        <v>0.0</v>
      </c>
      <c r="K190" s="5">
        <v>7800.0</v>
      </c>
      <c r="L190" s="5" t="s">
        <v>3700</v>
      </c>
      <c r="M190" s="5" t="s">
        <v>3330</v>
      </c>
      <c r="O190" s="5" t="s">
        <v>3320</v>
      </c>
      <c r="Q190" s="5" t="b">
        <v>0</v>
      </c>
      <c r="R190" s="5" t="s">
        <v>3320</v>
      </c>
    </row>
    <row r="191" ht="15.75" customHeight="1">
      <c r="A191" s="5" t="s">
        <v>4966</v>
      </c>
      <c r="B191" s="10">
        <v>45734.673159722224</v>
      </c>
      <c r="C191" s="3" t="s">
        <v>3696</v>
      </c>
      <c r="D191" s="3">
        <v>105.0</v>
      </c>
      <c r="E191" s="3" t="s">
        <v>3439</v>
      </c>
      <c r="F191" s="3">
        <v>31000.0</v>
      </c>
      <c r="G191" s="5">
        <v>114.0</v>
      </c>
      <c r="H191" s="3" t="s">
        <v>3700</v>
      </c>
      <c r="I191" s="3" t="s">
        <v>3330</v>
      </c>
      <c r="J191" s="5">
        <v>7800.0</v>
      </c>
      <c r="K191" s="5">
        <v>38800.0</v>
      </c>
      <c r="L191" s="5" t="s">
        <v>3701</v>
      </c>
      <c r="M191" s="5" t="s">
        <v>3272</v>
      </c>
      <c r="O191" s="5" t="s">
        <v>3320</v>
      </c>
      <c r="P191" s="5" t="s">
        <v>3320</v>
      </c>
      <c r="Q191" s="5" t="b">
        <v>1</v>
      </c>
      <c r="R191" s="5" t="s">
        <v>3605</v>
      </c>
    </row>
    <row r="192" ht="15.75" customHeight="1">
      <c r="A192" s="5" t="s">
        <v>4967</v>
      </c>
      <c r="B192" s="10">
        <v>45734.67427083333</v>
      </c>
      <c r="C192" s="3" t="s">
        <v>3697</v>
      </c>
      <c r="D192" s="3">
        <v>108.0</v>
      </c>
      <c r="E192" s="3" t="s">
        <v>3408</v>
      </c>
      <c r="F192" s="3">
        <v>31000.0</v>
      </c>
      <c r="G192" s="5">
        <v>114.0</v>
      </c>
      <c r="H192" s="3" t="s">
        <v>3701</v>
      </c>
      <c r="I192" s="3" t="s">
        <v>3272</v>
      </c>
      <c r="J192" s="5">
        <v>38800.0</v>
      </c>
      <c r="K192" s="5">
        <v>69800.0</v>
      </c>
      <c r="L192" s="5" t="s">
        <v>3702</v>
      </c>
      <c r="M192" s="5" t="s">
        <v>3272</v>
      </c>
      <c r="O192" s="5" t="s">
        <v>3320</v>
      </c>
      <c r="P192" s="5" t="s">
        <v>3605</v>
      </c>
      <c r="Q192" s="5" t="b">
        <v>1</v>
      </c>
      <c r="R192" s="5" t="s">
        <v>3605</v>
      </c>
    </row>
    <row r="193" ht="15.75" customHeight="1">
      <c r="A193" s="5" t="s">
        <v>4968</v>
      </c>
      <c r="B193" s="10">
        <v>45734.67465277778</v>
      </c>
      <c r="C193" s="3" t="s">
        <v>3698</v>
      </c>
      <c r="D193" s="3">
        <v>109.0</v>
      </c>
      <c r="E193" s="3" t="s">
        <v>3452</v>
      </c>
      <c r="F193" s="3">
        <v>15600.0</v>
      </c>
      <c r="G193" s="5">
        <v>114.0</v>
      </c>
      <c r="H193" s="3" t="s">
        <v>3702</v>
      </c>
      <c r="I193" s="3" t="s">
        <v>3272</v>
      </c>
      <c r="J193" s="5">
        <v>69800.0</v>
      </c>
      <c r="K193" s="5">
        <v>85400.0</v>
      </c>
      <c r="L193" s="5" t="s">
        <v>3703</v>
      </c>
      <c r="M193" s="5" t="s">
        <v>3272</v>
      </c>
      <c r="O193" s="5" t="s">
        <v>3320</v>
      </c>
      <c r="P193" s="5" t="s">
        <v>3605</v>
      </c>
      <c r="Q193" s="5" t="b">
        <v>1</v>
      </c>
      <c r="R193" s="5" t="s">
        <v>3605</v>
      </c>
    </row>
    <row r="194" ht="15.75" customHeight="1">
      <c r="A194" s="5" t="s">
        <v>4969</v>
      </c>
      <c r="B194" s="10">
        <v>45734.675</v>
      </c>
      <c r="C194" s="3" t="s">
        <v>3699</v>
      </c>
      <c r="D194" s="3">
        <v>110.0</v>
      </c>
      <c r="E194" s="3" t="s">
        <v>3456</v>
      </c>
      <c r="F194" s="3">
        <v>15600.0</v>
      </c>
      <c r="G194" s="5">
        <v>114.0</v>
      </c>
      <c r="H194" s="3" t="s">
        <v>3703</v>
      </c>
      <c r="I194" s="3" t="s">
        <v>3272</v>
      </c>
      <c r="J194" s="5">
        <v>85400.0</v>
      </c>
      <c r="K194" s="5">
        <v>101000.0</v>
      </c>
      <c r="L194" s="5" t="s">
        <v>3704</v>
      </c>
      <c r="M194" s="5" t="s">
        <v>3272</v>
      </c>
      <c r="O194" s="5" t="s">
        <v>3320</v>
      </c>
      <c r="P194" s="5" t="s">
        <v>3605</v>
      </c>
      <c r="Q194" s="5" t="b">
        <v>1</v>
      </c>
      <c r="R194" s="5" t="s">
        <v>3605</v>
      </c>
    </row>
    <row r="195" ht="15.75" customHeight="1">
      <c r="A195" s="5" t="s">
        <v>4970</v>
      </c>
      <c r="B195" s="10">
        <v>45734.675717592596</v>
      </c>
      <c r="C195" s="3" t="s">
        <v>3704</v>
      </c>
      <c r="D195" s="3">
        <v>114.0</v>
      </c>
      <c r="E195" s="3" t="s">
        <v>3272</v>
      </c>
      <c r="F195" s="3">
        <v>2000.0</v>
      </c>
      <c r="G195" s="5">
        <v>110.0</v>
      </c>
      <c r="H195" s="3"/>
      <c r="I195" s="3"/>
      <c r="J195" s="5">
        <v>0.0</v>
      </c>
      <c r="K195" s="5">
        <v>2000.0</v>
      </c>
      <c r="L195" s="5" t="s">
        <v>3705</v>
      </c>
      <c r="M195" s="5" t="s">
        <v>3706</v>
      </c>
      <c r="O195" s="5" t="s">
        <v>3605</v>
      </c>
      <c r="Q195" s="5" t="b">
        <v>0</v>
      </c>
      <c r="R195" s="5" t="s">
        <v>3605</v>
      </c>
    </row>
    <row r="196" ht="15.75" customHeight="1">
      <c r="A196" s="5" t="s">
        <v>4971</v>
      </c>
      <c r="B196" s="10">
        <v>45735.505902777775</v>
      </c>
      <c r="C196" s="3" t="s">
        <v>56</v>
      </c>
      <c r="D196" s="3">
        <v>150.0</v>
      </c>
      <c r="E196" s="3" t="s">
        <v>3486</v>
      </c>
      <c r="F196" s="3">
        <v>2500.0</v>
      </c>
      <c r="G196" s="5">
        <v>86.0</v>
      </c>
      <c r="H196" s="3" t="s">
        <v>3652</v>
      </c>
      <c r="I196" s="3" t="s">
        <v>3272</v>
      </c>
      <c r="J196" s="5">
        <v>50000.0</v>
      </c>
      <c r="K196" s="5">
        <v>52500.0</v>
      </c>
      <c r="L196" s="5" t="s">
        <v>3709</v>
      </c>
      <c r="M196" s="5" t="s">
        <v>3272</v>
      </c>
      <c r="O196" s="5" t="s">
        <v>3342</v>
      </c>
      <c r="P196" s="5" t="s">
        <v>3294</v>
      </c>
      <c r="Q196" s="5" t="b">
        <v>1</v>
      </c>
      <c r="R196" s="5" t="s">
        <v>3294</v>
      </c>
    </row>
    <row r="197" ht="15.75" customHeight="1">
      <c r="A197" s="5" t="s">
        <v>4972</v>
      </c>
      <c r="B197" s="10">
        <v>45735.508472222224</v>
      </c>
      <c r="C197" s="3" t="s">
        <v>3624</v>
      </c>
      <c r="D197" s="3">
        <v>84.0</v>
      </c>
      <c r="E197" s="3" t="s">
        <v>3272</v>
      </c>
      <c r="F197" s="3">
        <v>44600.0</v>
      </c>
      <c r="G197" s="5">
        <v>116.0</v>
      </c>
      <c r="H197" s="3" t="s">
        <v>3655</v>
      </c>
      <c r="I197" s="3" t="s">
        <v>3272</v>
      </c>
      <c r="J197" s="5">
        <v>55000.0</v>
      </c>
      <c r="K197" s="5">
        <v>99600.0</v>
      </c>
      <c r="L197" s="5" t="s">
        <v>3711</v>
      </c>
      <c r="M197" s="5" t="s">
        <v>3272</v>
      </c>
      <c r="O197" s="5" t="s">
        <v>3294</v>
      </c>
      <c r="P197" s="5" t="s">
        <v>3320</v>
      </c>
      <c r="Q197" s="5" t="b">
        <v>1</v>
      </c>
      <c r="R197" s="5" t="s">
        <v>3320</v>
      </c>
    </row>
    <row r="198" ht="15.75" customHeight="1">
      <c r="A198" s="5" t="s">
        <v>4973</v>
      </c>
      <c r="B198" s="10">
        <v>45735.5090625</v>
      </c>
      <c r="C198" s="3" t="s">
        <v>3624</v>
      </c>
      <c r="D198" s="3">
        <v>84.0</v>
      </c>
      <c r="E198" s="3" t="s">
        <v>3272</v>
      </c>
      <c r="F198" s="3">
        <v>7400.0</v>
      </c>
      <c r="G198" s="5">
        <v>103.0</v>
      </c>
      <c r="H198" s="3"/>
      <c r="I198" s="3"/>
      <c r="J198" s="5">
        <v>0.0</v>
      </c>
      <c r="K198" s="5">
        <v>7400.0</v>
      </c>
      <c r="L198" s="5" t="s">
        <v>3712</v>
      </c>
      <c r="M198" s="5" t="s">
        <v>3272</v>
      </c>
      <c r="N198" s="5" t="s">
        <v>4749</v>
      </c>
      <c r="O198" s="5" t="s">
        <v>3294</v>
      </c>
      <c r="Q198" s="5" t="b">
        <v>0</v>
      </c>
      <c r="R198" s="5" t="s">
        <v>3320</v>
      </c>
    </row>
    <row r="199" ht="15.75" customHeight="1">
      <c r="A199" s="5" t="s">
        <v>4974</v>
      </c>
      <c r="B199" s="10">
        <v>45735.510243055556</v>
      </c>
      <c r="C199" s="3" t="s">
        <v>3597</v>
      </c>
      <c r="D199" s="3">
        <v>104.0</v>
      </c>
      <c r="E199" s="3" t="s">
        <v>3332</v>
      </c>
      <c r="F199" s="3">
        <v>1000.0</v>
      </c>
      <c r="G199" s="5">
        <v>110.0</v>
      </c>
      <c r="H199" s="3" t="s">
        <v>3705</v>
      </c>
      <c r="I199" s="3" t="s">
        <v>3706</v>
      </c>
      <c r="J199" s="5">
        <v>2000.0</v>
      </c>
      <c r="K199" s="5">
        <v>3000.0</v>
      </c>
      <c r="L199" s="5" t="s">
        <v>3713</v>
      </c>
      <c r="M199" s="5" t="s">
        <v>3706</v>
      </c>
      <c r="O199" s="5" t="s">
        <v>3320</v>
      </c>
      <c r="P199" s="5" t="s">
        <v>3605</v>
      </c>
      <c r="Q199" s="5" t="b">
        <v>1</v>
      </c>
      <c r="R199" s="5" t="s">
        <v>3605</v>
      </c>
    </row>
    <row r="200" ht="15.75" customHeight="1">
      <c r="A200" s="5" t="s">
        <v>4975</v>
      </c>
      <c r="B200" s="10">
        <v>45735.5108912037</v>
      </c>
      <c r="C200" s="3" t="s">
        <v>3625</v>
      </c>
      <c r="D200" s="3">
        <v>102.0</v>
      </c>
      <c r="E200" s="3" t="s">
        <v>3524</v>
      </c>
      <c r="F200" s="3"/>
      <c r="H200" s="3"/>
      <c r="I200" s="3"/>
      <c r="K200" s="5">
        <v>0.0</v>
      </c>
      <c r="L200" s="5" t="s">
        <v>3714</v>
      </c>
      <c r="M200" s="5" t="s">
        <v>3524</v>
      </c>
      <c r="N200" s="5" t="s">
        <v>4976</v>
      </c>
      <c r="O200" s="5" t="s">
        <v>3342</v>
      </c>
      <c r="Q200" s="5" t="b">
        <v>0</v>
      </c>
      <c r="R200" s="5" t="s">
        <v>3715</v>
      </c>
    </row>
    <row r="201" ht="15.75" customHeight="1">
      <c r="A201" s="5" t="s">
        <v>4977</v>
      </c>
      <c r="B201" s="10">
        <v>45735.51416666667</v>
      </c>
      <c r="C201" s="3" t="s">
        <v>3625</v>
      </c>
      <c r="D201" s="3">
        <v>102.0</v>
      </c>
      <c r="E201" s="3" t="s">
        <v>3524</v>
      </c>
      <c r="F201" s="3">
        <v>29000.0</v>
      </c>
      <c r="G201" s="5">
        <v>500.0</v>
      </c>
      <c r="H201" s="3"/>
      <c r="I201" s="3"/>
      <c r="J201" s="5">
        <v>0.0</v>
      </c>
      <c r="K201" s="5">
        <v>29000.0</v>
      </c>
      <c r="L201" s="5" t="s">
        <v>3716</v>
      </c>
      <c r="M201" s="5" t="s">
        <v>3524</v>
      </c>
      <c r="O201" s="5" t="s">
        <v>3342</v>
      </c>
      <c r="Q201" s="5" t="b">
        <v>0</v>
      </c>
      <c r="R201" s="5" t="s">
        <v>3342</v>
      </c>
    </row>
    <row r="202" ht="15.75" customHeight="1">
      <c r="A202" s="5" t="s">
        <v>4978</v>
      </c>
      <c r="B202" s="10">
        <v>45735.51449074074</v>
      </c>
      <c r="C202" s="3" t="s">
        <v>3574</v>
      </c>
      <c r="D202" s="3">
        <v>95.0</v>
      </c>
      <c r="E202" s="3" t="s">
        <v>3524</v>
      </c>
      <c r="F202" s="3">
        <v>77100.0</v>
      </c>
      <c r="G202" s="5">
        <v>500.0</v>
      </c>
      <c r="H202" s="3" t="s">
        <v>3716</v>
      </c>
      <c r="I202" s="3" t="s">
        <v>3524</v>
      </c>
      <c r="J202" s="5">
        <v>29000.0</v>
      </c>
      <c r="K202" s="5">
        <v>106100.0</v>
      </c>
      <c r="L202" s="5" t="s">
        <v>3717</v>
      </c>
      <c r="M202" s="5" t="s">
        <v>3524</v>
      </c>
      <c r="O202" s="5" t="s">
        <v>3342</v>
      </c>
      <c r="P202" s="5" t="s">
        <v>3342</v>
      </c>
      <c r="Q202" s="5" t="b">
        <v>1</v>
      </c>
      <c r="R202" s="5" t="s">
        <v>3342</v>
      </c>
    </row>
    <row r="203" ht="15.75" customHeight="1">
      <c r="A203" s="5" t="s">
        <v>4979</v>
      </c>
      <c r="B203" s="10">
        <v>45735.51479166667</v>
      </c>
      <c r="C203" s="3" t="s">
        <v>3573</v>
      </c>
      <c r="D203" s="3">
        <v>25.0</v>
      </c>
      <c r="E203" s="3" t="s">
        <v>3524</v>
      </c>
      <c r="F203" s="3">
        <v>194300.0</v>
      </c>
      <c r="G203" s="5">
        <v>500.0</v>
      </c>
      <c r="H203" s="3" t="s">
        <v>3717</v>
      </c>
      <c r="I203" s="3" t="s">
        <v>3524</v>
      </c>
      <c r="J203" s="5">
        <v>106100.0</v>
      </c>
      <c r="K203" s="5">
        <v>300400.0</v>
      </c>
      <c r="L203" s="5" t="s">
        <v>3718</v>
      </c>
      <c r="M203" s="5" t="s">
        <v>3524</v>
      </c>
      <c r="O203" s="5" t="s">
        <v>3342</v>
      </c>
      <c r="P203" s="5" t="s">
        <v>3342</v>
      </c>
      <c r="Q203" s="5" t="b">
        <v>1</v>
      </c>
      <c r="R203" s="5" t="s">
        <v>3342</v>
      </c>
    </row>
    <row r="204" ht="15.75" customHeight="1">
      <c r="A204" s="5" t="s">
        <v>4980</v>
      </c>
      <c r="B204" s="10">
        <v>45735.51521990741</v>
      </c>
      <c r="C204" s="3" t="s">
        <v>3572</v>
      </c>
      <c r="D204" s="3">
        <v>24.0</v>
      </c>
      <c r="E204" s="3" t="s">
        <v>3524</v>
      </c>
      <c r="F204" s="3">
        <v>186600.0</v>
      </c>
      <c r="G204" s="5">
        <v>500.0</v>
      </c>
      <c r="H204" s="3" t="s">
        <v>3718</v>
      </c>
      <c r="I204" s="3" t="s">
        <v>3524</v>
      </c>
      <c r="J204" s="5">
        <v>300400.0</v>
      </c>
      <c r="K204" s="5">
        <v>487000.0</v>
      </c>
      <c r="L204" s="5" t="s">
        <v>3719</v>
      </c>
      <c r="M204" s="5" t="s">
        <v>3524</v>
      </c>
      <c r="O204" s="5" t="s">
        <v>3342</v>
      </c>
      <c r="P204" s="5" t="s">
        <v>3342</v>
      </c>
      <c r="Q204" s="5" t="b">
        <v>1</v>
      </c>
      <c r="R204" s="5" t="s">
        <v>3342</v>
      </c>
    </row>
    <row r="205" ht="15.75" customHeight="1">
      <c r="A205" s="5" t="s">
        <v>4981</v>
      </c>
      <c r="B205" s="10">
        <v>45735.68608796296</v>
      </c>
      <c r="C205" s="3" t="s">
        <v>3374</v>
      </c>
      <c r="D205" s="3">
        <v>54.0</v>
      </c>
      <c r="E205" s="3" t="s">
        <v>3373</v>
      </c>
      <c r="F205" s="3">
        <v>2860.0</v>
      </c>
      <c r="G205" s="5">
        <v>79.0</v>
      </c>
      <c r="H205" s="3" t="s">
        <v>3658</v>
      </c>
      <c r="I205" s="3" t="s">
        <v>3615</v>
      </c>
      <c r="J205" s="5">
        <v>20000.0</v>
      </c>
      <c r="K205" s="5">
        <v>22860.0</v>
      </c>
      <c r="L205" s="5" t="s">
        <v>3721</v>
      </c>
      <c r="M205" s="5" t="s">
        <v>3615</v>
      </c>
      <c r="O205" s="5" t="s">
        <v>3337</v>
      </c>
      <c r="P205" s="5" t="s">
        <v>3294</v>
      </c>
      <c r="Q205" s="5" t="b">
        <v>1</v>
      </c>
      <c r="R205" s="5" t="s">
        <v>3294</v>
      </c>
    </row>
    <row r="206" ht="15.75" customHeight="1">
      <c r="A206" s="5" t="s">
        <v>4982</v>
      </c>
      <c r="B206" s="10">
        <v>45735.82776620371</v>
      </c>
      <c r="C206" s="3" t="s">
        <v>3622</v>
      </c>
      <c r="D206" s="3">
        <v>66.0</v>
      </c>
      <c r="E206" s="3" t="s">
        <v>3466</v>
      </c>
      <c r="F206" s="3">
        <v>13000.0</v>
      </c>
      <c r="G206" s="5">
        <v>103.0</v>
      </c>
      <c r="H206" s="3" t="s">
        <v>3712</v>
      </c>
      <c r="I206" s="3" t="s">
        <v>3272</v>
      </c>
      <c r="J206" s="5">
        <v>7400.0</v>
      </c>
      <c r="K206" s="5">
        <v>20400.0</v>
      </c>
      <c r="L206" s="5" t="s">
        <v>3723</v>
      </c>
      <c r="M206" s="5" t="s">
        <v>3466</v>
      </c>
      <c r="O206" s="5" t="s">
        <v>3294</v>
      </c>
      <c r="P206" s="5" t="s">
        <v>3320</v>
      </c>
      <c r="Q206" s="5" t="b">
        <v>0</v>
      </c>
      <c r="R206" s="5" t="s">
        <v>3294</v>
      </c>
    </row>
    <row r="207" ht="15.75" customHeight="1">
      <c r="A207" s="5" t="s">
        <v>4983</v>
      </c>
      <c r="B207" s="10">
        <v>45736.36261574074</v>
      </c>
      <c r="C207" s="3" t="s">
        <v>3623</v>
      </c>
      <c r="D207" s="3">
        <v>82.0</v>
      </c>
      <c r="E207" s="3" t="s">
        <v>3466</v>
      </c>
      <c r="F207" s="3">
        <v>15600.0</v>
      </c>
      <c r="G207" s="5">
        <v>103.0</v>
      </c>
      <c r="H207" s="3" t="s">
        <v>3723</v>
      </c>
      <c r="I207" s="3" t="s">
        <v>3466</v>
      </c>
      <c r="J207" s="5">
        <v>20400.0</v>
      </c>
      <c r="K207" s="5">
        <v>36000.0</v>
      </c>
      <c r="L207" s="5" t="s">
        <v>3728</v>
      </c>
      <c r="M207" s="5" t="s">
        <v>3466</v>
      </c>
      <c r="O207" s="5" t="s">
        <v>3294</v>
      </c>
      <c r="P207" s="5" t="s">
        <v>3320</v>
      </c>
      <c r="Q207" s="5" t="b">
        <v>0</v>
      </c>
      <c r="R207" s="5" t="s">
        <v>3320</v>
      </c>
    </row>
    <row r="208" ht="15.75" customHeight="1">
      <c r="A208" s="5" t="s">
        <v>4984</v>
      </c>
      <c r="B208" s="10">
        <v>45736.36597222222</v>
      </c>
      <c r="C208" s="3" t="s">
        <v>3724</v>
      </c>
      <c r="D208" s="3">
        <v>84.0</v>
      </c>
      <c r="E208" s="3" t="s">
        <v>3725</v>
      </c>
      <c r="F208" s="3">
        <v>10000.0</v>
      </c>
      <c r="G208" s="5">
        <v>66.0</v>
      </c>
      <c r="H208" s="3" t="s">
        <v>3622</v>
      </c>
      <c r="I208" s="3" t="s">
        <v>3466</v>
      </c>
      <c r="J208" s="5">
        <v>5000.0</v>
      </c>
      <c r="K208" s="5">
        <v>15000.0</v>
      </c>
      <c r="L208" s="5" t="s">
        <v>3729</v>
      </c>
      <c r="M208" s="5" t="s">
        <v>3730</v>
      </c>
      <c r="O208" s="5" t="s">
        <v>3294</v>
      </c>
      <c r="P208" s="5" t="s">
        <v>3294</v>
      </c>
      <c r="Q208" s="5" t="b">
        <v>0</v>
      </c>
      <c r="R208" s="5" t="s">
        <v>3457</v>
      </c>
    </row>
    <row r="209" ht="15.75" customHeight="1">
      <c r="A209" s="5" t="s">
        <v>4985</v>
      </c>
      <c r="B209" s="10">
        <v>45736.36732638889</v>
      </c>
      <c r="C209" s="3" t="s">
        <v>3724</v>
      </c>
      <c r="D209" s="3">
        <v>84.0</v>
      </c>
      <c r="E209" s="3" t="s">
        <v>3725</v>
      </c>
      <c r="F209" s="3">
        <v>28200.0</v>
      </c>
      <c r="G209" s="5">
        <v>82.0</v>
      </c>
      <c r="H209" s="3" t="s">
        <v>3623</v>
      </c>
      <c r="I209" s="3" t="s">
        <v>3466</v>
      </c>
      <c r="J209" s="5">
        <v>4400.0</v>
      </c>
      <c r="K209" s="5">
        <v>32600.0</v>
      </c>
      <c r="L209" s="5" t="s">
        <v>3731</v>
      </c>
      <c r="M209" s="5" t="s">
        <v>3730</v>
      </c>
      <c r="O209" s="5" t="s">
        <v>3294</v>
      </c>
      <c r="P209" s="5" t="s">
        <v>3294</v>
      </c>
      <c r="Q209" s="5" t="b">
        <v>0</v>
      </c>
      <c r="R209" s="5" t="s">
        <v>3457</v>
      </c>
    </row>
    <row r="210" ht="15.75" customHeight="1">
      <c r="A210" s="5" t="s">
        <v>4986</v>
      </c>
      <c r="B210" s="10">
        <v>45736.48883101852</v>
      </c>
      <c r="C210" s="3" t="s">
        <v>3728</v>
      </c>
      <c r="D210" s="3">
        <v>103.0</v>
      </c>
      <c r="E210" s="3" t="s">
        <v>3466</v>
      </c>
      <c r="F210" s="3">
        <v>5000.0</v>
      </c>
      <c r="G210" s="5">
        <v>500.0</v>
      </c>
      <c r="H210" s="3"/>
      <c r="I210" s="3"/>
      <c r="J210" s="5">
        <v>0.0</v>
      </c>
      <c r="K210" s="5">
        <v>5000.0</v>
      </c>
      <c r="L210" s="5" t="s">
        <v>3733</v>
      </c>
      <c r="M210" s="5" t="s">
        <v>3286</v>
      </c>
      <c r="O210" s="5" t="s">
        <v>3320</v>
      </c>
      <c r="Q210" s="5" t="b">
        <v>1</v>
      </c>
    </row>
    <row r="211" ht="15.75" customHeight="1">
      <c r="A211" s="5" t="s">
        <v>4987</v>
      </c>
      <c r="B211" s="10">
        <v>45736.7812037037</v>
      </c>
      <c r="C211" s="3" t="s">
        <v>3654</v>
      </c>
      <c r="D211" s="3">
        <v>52.0</v>
      </c>
      <c r="E211" s="3" t="s">
        <v>3272</v>
      </c>
      <c r="F211" s="3">
        <v>26300.0</v>
      </c>
      <c r="G211" s="5">
        <v>114.0</v>
      </c>
      <c r="H211" s="3" t="s">
        <v>3704</v>
      </c>
      <c r="I211" s="3" t="s">
        <v>3272</v>
      </c>
      <c r="J211" s="5">
        <v>99000.0</v>
      </c>
      <c r="K211" s="5">
        <v>125300.0</v>
      </c>
      <c r="L211" s="5" t="s">
        <v>3734</v>
      </c>
      <c r="M211" s="5" t="s">
        <v>3272</v>
      </c>
      <c r="O211" s="5" t="s">
        <v>3320</v>
      </c>
      <c r="P211" s="5" t="s">
        <v>3605</v>
      </c>
      <c r="Q211" s="5" t="b">
        <v>1</v>
      </c>
      <c r="R211" s="5" t="s">
        <v>3605</v>
      </c>
    </row>
    <row r="212" ht="15.75" customHeight="1">
      <c r="A212" s="5" t="s">
        <v>4988</v>
      </c>
      <c r="B212" s="10">
        <v>45736.78172453704</v>
      </c>
      <c r="C212" s="3" t="s">
        <v>3654</v>
      </c>
      <c r="D212" s="3">
        <v>52.0</v>
      </c>
      <c r="E212" s="3" t="s">
        <v>3272</v>
      </c>
      <c r="F212" s="3">
        <v>700.0</v>
      </c>
      <c r="G212" s="5">
        <v>104.0</v>
      </c>
      <c r="H212" s="3"/>
      <c r="I212" s="3"/>
      <c r="J212" s="5">
        <v>0.0</v>
      </c>
      <c r="K212" s="5">
        <v>700.0</v>
      </c>
      <c r="L212" s="5" t="s">
        <v>3735</v>
      </c>
      <c r="M212" s="5" t="s">
        <v>3272</v>
      </c>
      <c r="O212" s="5" t="s">
        <v>3320</v>
      </c>
      <c r="Q212" s="5" t="b">
        <v>0</v>
      </c>
      <c r="R212" s="5" t="s">
        <v>3605</v>
      </c>
    </row>
    <row r="213" ht="15.75" customHeight="1">
      <c r="A213" s="5" t="s">
        <v>4989</v>
      </c>
      <c r="B213" s="10">
        <v>45736.79268518519</v>
      </c>
      <c r="C213" s="3" t="s">
        <v>3731</v>
      </c>
      <c r="D213" s="3">
        <v>82.0</v>
      </c>
      <c r="E213" s="3" t="s">
        <v>3730</v>
      </c>
      <c r="F213" s="3">
        <v>4000.0</v>
      </c>
      <c r="G213" s="5">
        <v>12.0</v>
      </c>
      <c r="H213" s="3"/>
      <c r="I213" s="3"/>
      <c r="J213" s="5">
        <v>0.0</v>
      </c>
      <c r="K213" s="5">
        <v>4000.0</v>
      </c>
      <c r="L213" s="5" t="s">
        <v>3736</v>
      </c>
      <c r="M213" s="5" t="s">
        <v>3737</v>
      </c>
      <c r="N213" s="5" t="s">
        <v>4990</v>
      </c>
      <c r="O213" s="5" t="s">
        <v>3457</v>
      </c>
      <c r="Q213" s="5" t="b">
        <v>0</v>
      </c>
      <c r="R213" s="5" t="s">
        <v>3294</v>
      </c>
    </row>
    <row r="214" ht="15.75" customHeight="1">
      <c r="A214" s="5" t="s">
        <v>4991</v>
      </c>
      <c r="B214" s="10">
        <v>45736.79516203704</v>
      </c>
      <c r="C214" s="3" t="s">
        <v>3643</v>
      </c>
      <c r="D214" s="3">
        <v>70.0</v>
      </c>
      <c r="E214" s="3" t="s">
        <v>3588</v>
      </c>
      <c r="F214" s="3">
        <v>4200.0</v>
      </c>
      <c r="G214" s="5">
        <v>68.0</v>
      </c>
      <c r="H214" s="3"/>
      <c r="I214" s="3"/>
      <c r="J214" s="5">
        <v>0.0</v>
      </c>
      <c r="K214" s="5">
        <v>4200.0</v>
      </c>
      <c r="L214" s="5" t="s">
        <v>3738</v>
      </c>
      <c r="M214" s="5" t="s">
        <v>3588</v>
      </c>
      <c r="O214" s="5" t="s">
        <v>3294</v>
      </c>
      <c r="Q214" s="5" t="b">
        <v>0</v>
      </c>
      <c r="R214" s="5" t="s">
        <v>3320</v>
      </c>
    </row>
    <row r="215" ht="15.75" customHeight="1">
      <c r="A215" s="5" t="s">
        <v>4992</v>
      </c>
      <c r="B215" s="10">
        <v>45736.7956712963</v>
      </c>
      <c r="C215" s="3" t="s">
        <v>3666</v>
      </c>
      <c r="D215" s="3">
        <v>78.0</v>
      </c>
      <c r="E215" s="3" t="s">
        <v>3588</v>
      </c>
      <c r="F215" s="3">
        <v>8800.0</v>
      </c>
      <c r="G215" s="5">
        <v>68.0</v>
      </c>
      <c r="H215" s="3" t="s">
        <v>3738</v>
      </c>
      <c r="I215" s="3" t="s">
        <v>3588</v>
      </c>
      <c r="J215" s="5">
        <v>4200.0</v>
      </c>
      <c r="K215" s="5">
        <v>13000.0</v>
      </c>
      <c r="L215" s="5" t="s">
        <v>3739</v>
      </c>
      <c r="M215" s="5" t="s">
        <v>3588</v>
      </c>
      <c r="O215" s="5" t="s">
        <v>3294</v>
      </c>
      <c r="P215" s="5" t="s">
        <v>3320</v>
      </c>
      <c r="Q215" s="5" t="b">
        <v>1</v>
      </c>
      <c r="R215" s="5" t="s">
        <v>3320</v>
      </c>
    </row>
    <row r="216" ht="15.75" customHeight="1">
      <c r="A216" s="5" t="s">
        <v>4993</v>
      </c>
      <c r="B216" s="10">
        <v>45736.797268518516</v>
      </c>
      <c r="C216" s="3" t="s">
        <v>3666</v>
      </c>
      <c r="D216" s="3">
        <v>78.0</v>
      </c>
      <c r="E216" s="3" t="s">
        <v>3588</v>
      </c>
      <c r="F216" s="3">
        <v>3800.0</v>
      </c>
      <c r="G216" s="5">
        <v>51.0</v>
      </c>
      <c r="H216" s="3"/>
      <c r="I216" s="3"/>
      <c r="J216" s="5">
        <v>0.0</v>
      </c>
      <c r="K216" s="5">
        <v>3800.0</v>
      </c>
      <c r="L216" s="5" t="s">
        <v>3741</v>
      </c>
      <c r="M216" s="5" t="s">
        <v>3588</v>
      </c>
      <c r="O216" s="5" t="s">
        <v>3294</v>
      </c>
      <c r="Q216" s="5" t="b">
        <v>0</v>
      </c>
      <c r="R216" s="5" t="s">
        <v>3320</v>
      </c>
    </row>
    <row r="217" ht="15.75" customHeight="1">
      <c r="A217" s="5" t="s">
        <v>4994</v>
      </c>
      <c r="B217" s="10">
        <v>45737.819016203706</v>
      </c>
      <c r="C217" s="3" t="s">
        <v>3695</v>
      </c>
      <c r="D217" s="3">
        <v>96.0</v>
      </c>
      <c r="E217" s="3" t="s">
        <v>3638</v>
      </c>
      <c r="F217" s="3">
        <v>30300.0</v>
      </c>
      <c r="G217" s="5">
        <v>104.0</v>
      </c>
      <c r="H217" s="3" t="s">
        <v>3735</v>
      </c>
      <c r="I217" s="3" t="s">
        <v>3272</v>
      </c>
      <c r="J217" s="5">
        <v>700.0</v>
      </c>
      <c r="K217" s="5">
        <v>31000.0</v>
      </c>
      <c r="L217" s="5" t="s">
        <v>3747</v>
      </c>
      <c r="M217" s="5" t="s">
        <v>3638</v>
      </c>
      <c r="O217" s="5" t="s">
        <v>3294</v>
      </c>
      <c r="P217" s="5" t="s">
        <v>3605</v>
      </c>
      <c r="Q217" s="5" t="b">
        <v>0</v>
      </c>
      <c r="R217" s="5" t="s">
        <v>3294</v>
      </c>
    </row>
    <row r="218" ht="15.75" customHeight="1">
      <c r="A218" s="5" t="s">
        <v>4995</v>
      </c>
      <c r="B218" s="10">
        <v>45737.819861111115</v>
      </c>
      <c r="C218" s="3" t="s">
        <v>3695</v>
      </c>
      <c r="D218" s="3">
        <v>96.0</v>
      </c>
      <c r="E218" s="3" t="s">
        <v>3638</v>
      </c>
      <c r="F218" s="3">
        <v>6800.0</v>
      </c>
      <c r="G218" s="5">
        <v>105.0</v>
      </c>
      <c r="H218" s="3"/>
      <c r="I218" s="3"/>
      <c r="J218" s="5">
        <v>0.0</v>
      </c>
      <c r="K218" s="5">
        <v>6800.0</v>
      </c>
      <c r="L218" s="5" t="s">
        <v>3749</v>
      </c>
      <c r="M218" s="5" t="s">
        <v>3638</v>
      </c>
      <c r="O218" s="5" t="s">
        <v>3294</v>
      </c>
      <c r="Q218" s="5" t="b">
        <v>0</v>
      </c>
      <c r="R218" s="5" t="s">
        <v>3294</v>
      </c>
    </row>
    <row r="219" ht="15.75" customHeight="1">
      <c r="A219" s="5" t="s">
        <v>4996</v>
      </c>
      <c r="B219" s="10">
        <v>45737.82730324074</v>
      </c>
      <c r="C219" s="3" t="s">
        <v>3542</v>
      </c>
      <c r="D219" s="3">
        <v>69.0</v>
      </c>
      <c r="E219" s="3" t="s">
        <v>3275</v>
      </c>
      <c r="F219" s="3">
        <v>5600.0</v>
      </c>
      <c r="G219" s="5">
        <v>70.0</v>
      </c>
      <c r="H219" s="3" t="s">
        <v>3643</v>
      </c>
      <c r="I219" s="3" t="s">
        <v>3588</v>
      </c>
      <c r="J219" s="5">
        <v>1800.0</v>
      </c>
      <c r="K219" s="5">
        <v>7400.0</v>
      </c>
      <c r="L219" s="5" t="s">
        <v>3750</v>
      </c>
      <c r="M219" s="5" t="s">
        <v>3275</v>
      </c>
      <c r="O219" s="5" t="s">
        <v>3294</v>
      </c>
      <c r="P219" s="5" t="s">
        <v>3294</v>
      </c>
      <c r="Q219" s="5" t="b">
        <v>0</v>
      </c>
      <c r="R219" s="5" t="s">
        <v>3294</v>
      </c>
    </row>
    <row r="220" ht="15.75" customHeight="1">
      <c r="A220" s="5" t="s">
        <v>4997</v>
      </c>
      <c r="B220" s="10">
        <v>45737.85266203704</v>
      </c>
      <c r="C220" s="3" t="s">
        <v>3736</v>
      </c>
      <c r="D220" s="3">
        <v>12.0</v>
      </c>
      <c r="E220" s="3" t="s">
        <v>3737</v>
      </c>
      <c r="F220" s="3">
        <v>4000.0</v>
      </c>
      <c r="G220" s="5">
        <v>69.0</v>
      </c>
      <c r="H220" s="3" t="s">
        <v>3542</v>
      </c>
      <c r="I220" s="3" t="s">
        <v>3275</v>
      </c>
      <c r="J220" s="5">
        <v>2400.0</v>
      </c>
      <c r="K220" s="5">
        <v>6400.0</v>
      </c>
      <c r="L220" s="5" t="s">
        <v>3751</v>
      </c>
      <c r="M220" s="5" t="s">
        <v>3752</v>
      </c>
      <c r="O220" s="5" t="s">
        <v>3294</v>
      </c>
      <c r="P220" s="5" t="s">
        <v>3294</v>
      </c>
      <c r="Q220" s="5" t="b">
        <v>0</v>
      </c>
      <c r="R220" s="5" t="s">
        <v>3457</v>
      </c>
    </row>
    <row r="221" ht="15.75" customHeight="1">
      <c r="A221" s="5" t="s">
        <v>4998</v>
      </c>
      <c r="B221" s="10">
        <v>45737.85439814815</v>
      </c>
      <c r="C221" s="3" t="s">
        <v>3352</v>
      </c>
      <c r="D221" s="3">
        <v>48.0</v>
      </c>
      <c r="E221" s="3" t="s">
        <v>3349</v>
      </c>
      <c r="F221" s="3">
        <v>8900.0</v>
      </c>
      <c r="G221" s="5">
        <v>83.0</v>
      </c>
      <c r="H221" s="3" t="s">
        <v>3661</v>
      </c>
      <c r="I221" s="3" t="s">
        <v>3662</v>
      </c>
      <c r="J221" s="5">
        <v>38500.0</v>
      </c>
      <c r="K221" s="5">
        <v>47400.0</v>
      </c>
      <c r="L221" s="5" t="s">
        <v>3753</v>
      </c>
      <c r="M221" s="5" t="s">
        <v>3662</v>
      </c>
      <c r="O221" s="5" t="s">
        <v>3337</v>
      </c>
      <c r="P221" s="5" t="s">
        <v>3294</v>
      </c>
      <c r="Q221" s="5" t="b">
        <v>1</v>
      </c>
      <c r="R221" s="5" t="s">
        <v>3294</v>
      </c>
    </row>
    <row r="222" ht="15.75" customHeight="1">
      <c r="A222" s="5" t="s">
        <v>4999</v>
      </c>
      <c r="B222" s="10">
        <v>45737.866423611114</v>
      </c>
      <c r="C222" s="3" t="s">
        <v>3755</v>
      </c>
      <c r="D222" s="3">
        <v>92.0</v>
      </c>
      <c r="E222" s="3" t="s">
        <v>3725</v>
      </c>
      <c r="F222" s="3">
        <v>7000.0</v>
      </c>
      <c r="G222" s="5">
        <v>78.0</v>
      </c>
      <c r="H222" s="3" t="s">
        <v>3666</v>
      </c>
      <c r="I222" s="3" t="s">
        <v>3588</v>
      </c>
      <c r="J222" s="5">
        <v>5400.0</v>
      </c>
      <c r="K222" s="5">
        <v>12400.0</v>
      </c>
      <c r="L222" s="5" t="s">
        <v>3758</v>
      </c>
      <c r="M222" s="5" t="s">
        <v>3759</v>
      </c>
      <c r="O222" s="5" t="s">
        <v>3294</v>
      </c>
      <c r="P222" s="5" t="s">
        <v>3294</v>
      </c>
      <c r="Q222" s="5" t="b">
        <v>0</v>
      </c>
      <c r="R222" s="5" t="s">
        <v>3457</v>
      </c>
    </row>
    <row r="223" ht="15.75" customHeight="1">
      <c r="A223" s="5" t="s">
        <v>5000</v>
      </c>
      <c r="B223" s="10">
        <v>45737.86761574074</v>
      </c>
      <c r="C223" s="3" t="s">
        <v>3755</v>
      </c>
      <c r="D223" s="3">
        <v>92.0</v>
      </c>
      <c r="E223" s="3" t="s">
        <v>3725</v>
      </c>
      <c r="F223" s="3">
        <v>23000.0</v>
      </c>
      <c r="G223" s="5">
        <v>96.0</v>
      </c>
      <c r="H223" s="3" t="s">
        <v>3695</v>
      </c>
      <c r="I223" s="3" t="s">
        <v>3638</v>
      </c>
      <c r="J223" s="5">
        <v>16000.0</v>
      </c>
      <c r="K223" s="5">
        <v>39000.0</v>
      </c>
      <c r="L223" s="5" t="s">
        <v>3760</v>
      </c>
      <c r="M223" s="5" t="s">
        <v>3759</v>
      </c>
      <c r="O223" s="5" t="s">
        <v>3294</v>
      </c>
      <c r="P223" s="5" t="s">
        <v>3294</v>
      </c>
      <c r="Q223" s="5" t="b">
        <v>0</v>
      </c>
      <c r="R223" s="5" t="s">
        <v>3457</v>
      </c>
    </row>
    <row r="224" ht="15.75" customHeight="1">
      <c r="A224" s="5" t="s">
        <v>5001</v>
      </c>
      <c r="B224" s="10">
        <v>45737.872824074075</v>
      </c>
      <c r="C224" s="3" t="s">
        <v>3353</v>
      </c>
      <c r="D224" s="3">
        <v>49.0</v>
      </c>
      <c r="E224" s="3" t="s">
        <v>3349</v>
      </c>
      <c r="F224" s="3">
        <v>4000.0</v>
      </c>
      <c r="G224" s="5">
        <v>67.0</v>
      </c>
      <c r="H224" s="3" t="s">
        <v>3707</v>
      </c>
      <c r="I224" s="3" t="s">
        <v>3662</v>
      </c>
      <c r="J224" s="5">
        <v>17100.0</v>
      </c>
      <c r="K224" s="5">
        <v>21100.0</v>
      </c>
      <c r="L224" s="5" t="s">
        <v>3762</v>
      </c>
      <c r="M224" s="5" t="s">
        <v>3662</v>
      </c>
      <c r="O224" s="5" t="s">
        <v>3337</v>
      </c>
      <c r="P224" s="5" t="s">
        <v>3294</v>
      </c>
      <c r="Q224" s="5" t="b">
        <v>1</v>
      </c>
      <c r="R224" s="5" t="s">
        <v>3294</v>
      </c>
    </row>
    <row r="225" ht="15.75" customHeight="1">
      <c r="A225" s="5" t="s">
        <v>5002</v>
      </c>
      <c r="B225" s="10">
        <v>45737.874027777776</v>
      </c>
      <c r="C225" s="3" t="s">
        <v>3374</v>
      </c>
      <c r="D225" s="3">
        <v>54.0</v>
      </c>
      <c r="E225" s="3" t="s">
        <v>3373</v>
      </c>
      <c r="F225" s="3">
        <v>4200.0</v>
      </c>
      <c r="G225" s="5">
        <v>65.0</v>
      </c>
      <c r="H225" s="3" t="s">
        <v>3691</v>
      </c>
      <c r="I225" s="3" t="s">
        <v>3692</v>
      </c>
      <c r="J225" s="5">
        <v>20800.0</v>
      </c>
      <c r="K225" s="5">
        <v>25000.0</v>
      </c>
      <c r="L225" s="5" t="s">
        <v>3764</v>
      </c>
      <c r="M225" s="5" t="s">
        <v>3692</v>
      </c>
      <c r="O225" s="5" t="s">
        <v>3337</v>
      </c>
      <c r="P225" s="5" t="s">
        <v>3294</v>
      </c>
      <c r="Q225" s="5" t="b">
        <v>1</v>
      </c>
      <c r="R225" s="5" t="s">
        <v>3294</v>
      </c>
    </row>
    <row r="226" ht="15.75" customHeight="1">
      <c r="A226" s="5" t="s">
        <v>5003</v>
      </c>
      <c r="B226" s="10">
        <v>45738.81767361111</v>
      </c>
      <c r="C226" s="3" t="s">
        <v>3656</v>
      </c>
      <c r="D226" s="3">
        <v>91.0</v>
      </c>
      <c r="E226" s="3" t="s">
        <v>3583</v>
      </c>
      <c r="F226" s="3">
        <v>15600.0</v>
      </c>
      <c r="G226" s="5">
        <v>109.0</v>
      </c>
      <c r="H226" s="3"/>
      <c r="I226" s="3"/>
      <c r="J226" s="5">
        <v>0.0</v>
      </c>
      <c r="K226" s="5">
        <v>15600.0</v>
      </c>
      <c r="L226" s="5" t="s">
        <v>3774</v>
      </c>
      <c r="M226" s="5" t="s">
        <v>3583</v>
      </c>
      <c r="O226" s="5" t="s">
        <v>3294</v>
      </c>
      <c r="Q226" s="5" t="b">
        <v>0</v>
      </c>
      <c r="R226" s="5" t="s">
        <v>3320</v>
      </c>
    </row>
    <row r="227" ht="15.75" customHeight="1">
      <c r="A227" s="5" t="s">
        <v>5004</v>
      </c>
      <c r="B227" s="10">
        <v>45738.81909722222</v>
      </c>
      <c r="C227" s="3" t="s">
        <v>3656</v>
      </c>
      <c r="D227" s="3">
        <v>91.0</v>
      </c>
      <c r="E227" s="3" t="s">
        <v>3583</v>
      </c>
      <c r="F227" s="3">
        <v>31000.0</v>
      </c>
      <c r="G227" s="5">
        <v>108.0</v>
      </c>
      <c r="H227" s="3"/>
      <c r="I227" s="3"/>
      <c r="J227" s="5">
        <v>0.0</v>
      </c>
      <c r="K227" s="5">
        <v>31000.0</v>
      </c>
      <c r="L227" s="5" t="s">
        <v>3776</v>
      </c>
      <c r="M227" s="5" t="s">
        <v>3583</v>
      </c>
      <c r="O227" s="5" t="s">
        <v>3294</v>
      </c>
      <c r="Q227" s="5" t="b">
        <v>0</v>
      </c>
      <c r="R227" s="5" t="s">
        <v>3320</v>
      </c>
    </row>
    <row r="228" ht="15.75" customHeight="1">
      <c r="A228" s="5" t="s">
        <v>5005</v>
      </c>
      <c r="B228" s="10">
        <v>45738.81947916667</v>
      </c>
      <c r="C228" s="3" t="s">
        <v>3656</v>
      </c>
      <c r="D228" s="3">
        <v>91.0</v>
      </c>
      <c r="E228" s="3" t="s">
        <v>3583</v>
      </c>
      <c r="F228" s="3">
        <v>8400.0</v>
      </c>
      <c r="G228" s="5">
        <v>107.0</v>
      </c>
      <c r="H228" s="3"/>
      <c r="I228" s="3"/>
      <c r="J228" s="5">
        <v>0.0</v>
      </c>
      <c r="K228" s="5">
        <v>8400.0</v>
      </c>
      <c r="L228" s="5" t="s">
        <v>3778</v>
      </c>
      <c r="M228" s="5" t="s">
        <v>3583</v>
      </c>
      <c r="O228" s="5" t="s">
        <v>3294</v>
      </c>
      <c r="Q228" s="5" t="b">
        <v>0</v>
      </c>
      <c r="R228" s="5" t="s">
        <v>3320</v>
      </c>
    </row>
    <row r="229" ht="15.75" customHeight="1">
      <c r="A229" s="5" t="s">
        <v>5006</v>
      </c>
      <c r="B229" s="10">
        <v>45738.8215162037</v>
      </c>
      <c r="C229" s="3" t="s">
        <v>3669</v>
      </c>
      <c r="D229" s="3">
        <v>90.0</v>
      </c>
      <c r="E229" s="3" t="s">
        <v>3601</v>
      </c>
      <c r="F229" s="3">
        <v>24200.0</v>
      </c>
      <c r="G229" s="5">
        <v>105.0</v>
      </c>
      <c r="H229" s="3" t="s">
        <v>3749</v>
      </c>
      <c r="I229" s="3" t="s">
        <v>3638</v>
      </c>
      <c r="J229" s="5">
        <v>6800.0</v>
      </c>
      <c r="K229" s="5">
        <v>31000.0</v>
      </c>
      <c r="L229" s="5" t="s">
        <v>3779</v>
      </c>
      <c r="M229" s="5" t="s">
        <v>3601</v>
      </c>
      <c r="O229" s="5" t="s">
        <v>3294</v>
      </c>
      <c r="P229" s="5" t="s">
        <v>3294</v>
      </c>
      <c r="Q229" s="5" t="b">
        <v>0</v>
      </c>
      <c r="R229" s="5" t="s">
        <v>3320</v>
      </c>
    </row>
    <row r="230" ht="15.75" customHeight="1">
      <c r="A230" s="5" t="s">
        <v>5007</v>
      </c>
      <c r="B230" s="10">
        <v>45738.82263888889</v>
      </c>
      <c r="C230" s="3" t="s">
        <v>3669</v>
      </c>
      <c r="D230" s="3">
        <v>90.0</v>
      </c>
      <c r="E230" s="3" t="s">
        <v>3601</v>
      </c>
      <c r="F230" s="3">
        <v>11000.0</v>
      </c>
      <c r="G230" s="5">
        <v>106.0</v>
      </c>
      <c r="H230" s="3"/>
      <c r="I230" s="3"/>
      <c r="J230" s="5">
        <v>0.0</v>
      </c>
      <c r="K230" s="5">
        <v>11000.0</v>
      </c>
      <c r="L230" s="5" t="s">
        <v>3781</v>
      </c>
      <c r="M230" s="5" t="s">
        <v>3601</v>
      </c>
      <c r="O230" s="5" t="s">
        <v>3294</v>
      </c>
      <c r="Q230" s="5" t="b">
        <v>0</v>
      </c>
      <c r="R230" s="5" t="s">
        <v>3320</v>
      </c>
    </row>
    <row r="231" ht="15.75" customHeight="1">
      <c r="A231" s="5" t="s">
        <v>5008</v>
      </c>
      <c r="B231" s="10">
        <v>45738.82503472222</v>
      </c>
      <c r="C231" s="3" t="s">
        <v>3669</v>
      </c>
      <c r="D231" s="3">
        <v>90.0</v>
      </c>
      <c r="E231" s="3" t="s">
        <v>3601</v>
      </c>
      <c r="F231" s="3">
        <v>22600.0</v>
      </c>
      <c r="G231" s="5">
        <v>107.0</v>
      </c>
      <c r="H231" s="3" t="s">
        <v>3778</v>
      </c>
      <c r="I231" s="3" t="s">
        <v>3583</v>
      </c>
      <c r="J231" s="5">
        <v>8400.0</v>
      </c>
      <c r="K231" s="5">
        <v>31000.0</v>
      </c>
      <c r="L231" s="5" t="s">
        <v>3783</v>
      </c>
      <c r="M231" s="5" t="s">
        <v>3601</v>
      </c>
      <c r="O231" s="5" t="s">
        <v>3294</v>
      </c>
      <c r="P231" s="5" t="s">
        <v>3320</v>
      </c>
      <c r="Q231" s="5" t="b">
        <v>0</v>
      </c>
      <c r="R231" s="5" t="s">
        <v>3320</v>
      </c>
    </row>
    <row r="232" ht="15.75" customHeight="1">
      <c r="A232" s="5" t="s">
        <v>5009</v>
      </c>
      <c r="B232" s="10">
        <v>45740.45459490741</v>
      </c>
      <c r="C232" s="3" t="s">
        <v>3629</v>
      </c>
      <c r="D232" s="3">
        <v>85.0</v>
      </c>
      <c r="E232" s="3" t="s">
        <v>3583</v>
      </c>
      <c r="F232" s="3">
        <v>50000.0</v>
      </c>
      <c r="G232" s="5">
        <v>115.0</v>
      </c>
      <c r="H232" s="3"/>
      <c r="I232" s="3"/>
      <c r="J232" s="5">
        <v>0.0</v>
      </c>
      <c r="K232" s="5">
        <v>50000.0</v>
      </c>
      <c r="L232" s="5" t="s">
        <v>3787</v>
      </c>
      <c r="M232" s="5" t="s">
        <v>3583</v>
      </c>
      <c r="N232" s="5" t="s">
        <v>4810</v>
      </c>
      <c r="O232" s="5" t="s">
        <v>3294</v>
      </c>
      <c r="Q232" s="5" t="b">
        <v>0</v>
      </c>
      <c r="R232" s="5" t="s">
        <v>3320</v>
      </c>
    </row>
    <row r="233" ht="15.75" customHeight="1">
      <c r="A233" s="5" t="s">
        <v>5010</v>
      </c>
      <c r="B233" s="10">
        <v>45741.526354166665</v>
      </c>
      <c r="C233" s="3" t="s">
        <v>3353</v>
      </c>
      <c r="D233" s="3">
        <v>49.0</v>
      </c>
      <c r="E233" s="3" t="s">
        <v>3349</v>
      </c>
      <c r="F233" s="3">
        <v>7900.0</v>
      </c>
      <c r="G233" s="5">
        <v>88.0</v>
      </c>
      <c r="H233" s="3" t="s">
        <v>3771</v>
      </c>
      <c r="I233" s="3" t="s">
        <v>3662</v>
      </c>
      <c r="J233" s="5">
        <v>28000.0</v>
      </c>
      <c r="K233" s="5">
        <v>35900.0</v>
      </c>
      <c r="L233" s="5" t="s">
        <v>3788</v>
      </c>
      <c r="M233" s="5" t="s">
        <v>3662</v>
      </c>
      <c r="N233" s="5" t="s">
        <v>5011</v>
      </c>
      <c r="O233" s="5" t="s">
        <v>3337</v>
      </c>
      <c r="P233" s="5" t="s">
        <v>3294</v>
      </c>
      <c r="Q233" s="5" t="b">
        <v>1</v>
      </c>
      <c r="R233" s="5" t="s">
        <v>3294</v>
      </c>
    </row>
    <row r="234" ht="15.75" customHeight="1">
      <c r="A234" s="5" t="s">
        <v>5012</v>
      </c>
      <c r="B234" s="10">
        <v>45741.52712962963</v>
      </c>
      <c r="C234" s="3" t="s">
        <v>3347</v>
      </c>
      <c r="D234" s="3">
        <v>44.0</v>
      </c>
      <c r="E234" s="3" t="s">
        <v>3344</v>
      </c>
      <c r="F234" s="3">
        <v>1400.0</v>
      </c>
      <c r="G234" s="5">
        <v>73.0</v>
      </c>
      <c r="H234" s="3" t="s">
        <v>3786</v>
      </c>
      <c r="I234" s="3" t="s">
        <v>3275</v>
      </c>
      <c r="J234" s="5">
        <v>6400.0</v>
      </c>
      <c r="K234" s="5">
        <v>7800.0</v>
      </c>
      <c r="L234" s="5" t="s">
        <v>3789</v>
      </c>
      <c r="M234" s="5" t="s">
        <v>3275</v>
      </c>
      <c r="N234" s="5" t="s">
        <v>5013</v>
      </c>
      <c r="O234" s="5" t="s">
        <v>3337</v>
      </c>
      <c r="P234" s="5" t="s">
        <v>3294</v>
      </c>
      <c r="Q234" s="5" t="b">
        <v>1</v>
      </c>
      <c r="R234" s="5" t="s">
        <v>3294</v>
      </c>
    </row>
    <row r="235" ht="15.75" customHeight="1">
      <c r="A235" s="5" t="s">
        <v>5014</v>
      </c>
      <c r="B235" s="10">
        <v>45741.52903935185</v>
      </c>
      <c r="C235" s="3" t="s">
        <v>3347</v>
      </c>
      <c r="D235" s="3">
        <v>44.0</v>
      </c>
      <c r="E235" s="3" t="s">
        <v>3344</v>
      </c>
      <c r="F235" s="3">
        <v>6800.0</v>
      </c>
      <c r="G235" s="5">
        <v>89.0</v>
      </c>
      <c r="H235" s="3" t="s">
        <v>3768</v>
      </c>
      <c r="I235" s="3" t="s">
        <v>3745</v>
      </c>
      <c r="J235" s="5">
        <v>39200.0</v>
      </c>
      <c r="K235" s="5">
        <v>46000.0</v>
      </c>
      <c r="L235" s="5" t="s">
        <v>3791</v>
      </c>
      <c r="M235" s="5" t="s">
        <v>3745</v>
      </c>
      <c r="N235" s="5" t="s">
        <v>5011</v>
      </c>
      <c r="O235" s="5" t="s">
        <v>3337</v>
      </c>
      <c r="P235" s="5" t="s">
        <v>3294</v>
      </c>
      <c r="Q235" s="5" t="b">
        <v>1</v>
      </c>
      <c r="R235" s="5" t="s">
        <v>3294</v>
      </c>
    </row>
    <row r="236" ht="15.75" customHeight="1">
      <c r="A236" s="5"/>
      <c r="B236" s="10"/>
      <c r="C236" s="3"/>
      <c r="D236" s="3"/>
      <c r="E236" s="3"/>
      <c r="F236" s="3"/>
      <c r="G236" s="5"/>
      <c r="H236" s="3"/>
      <c r="I236" s="3"/>
      <c r="J236" s="5"/>
      <c r="K236" s="5"/>
      <c r="L236" s="5"/>
      <c r="M236" s="5"/>
      <c r="N236" s="5"/>
      <c r="O236" s="5"/>
      <c r="P236" s="5"/>
      <c r="Q236" s="5"/>
      <c r="R236" s="5"/>
    </row>
    <row r="237" ht="15.75" customHeight="1">
      <c r="A237" s="5" t="s">
        <v>5015</v>
      </c>
      <c r="B237" s="10">
        <v>45741.530810185184</v>
      </c>
      <c r="C237" s="3" t="s">
        <v>3647</v>
      </c>
      <c r="D237" s="3">
        <v>81.0</v>
      </c>
      <c r="E237" s="3" t="s">
        <v>3615</v>
      </c>
      <c r="F237" s="3">
        <v>2100.0</v>
      </c>
      <c r="G237" s="5">
        <v>80.0</v>
      </c>
      <c r="H237" s="3" t="s">
        <v>3608</v>
      </c>
      <c r="I237" s="3" t="s">
        <v>3563</v>
      </c>
      <c r="J237" s="5">
        <v>24000.0</v>
      </c>
      <c r="K237" s="5">
        <v>26100.0</v>
      </c>
      <c r="L237" s="5" t="s">
        <v>3794</v>
      </c>
      <c r="M237" s="5" t="s">
        <v>3563</v>
      </c>
      <c r="O237" s="5" t="s">
        <v>3294</v>
      </c>
      <c r="P237" s="5" t="s">
        <v>3294</v>
      </c>
      <c r="Q237" s="5" t="b">
        <v>1</v>
      </c>
      <c r="R237" s="5" t="s">
        <v>3294</v>
      </c>
    </row>
    <row r="238" ht="15.75" customHeight="1">
      <c r="A238" s="5" t="s">
        <v>5016</v>
      </c>
      <c r="B238" s="10">
        <v>45741.53252314815</v>
      </c>
      <c r="C238" s="3" t="s">
        <v>3709</v>
      </c>
      <c r="D238" s="3">
        <v>86.0</v>
      </c>
      <c r="E238" s="3" t="s">
        <v>3272</v>
      </c>
      <c r="F238" s="3">
        <v>52500.0</v>
      </c>
      <c r="G238" s="5">
        <v>95.0</v>
      </c>
      <c r="H238" s="3"/>
      <c r="I238" s="3"/>
      <c r="J238" s="5">
        <v>0.0</v>
      </c>
      <c r="K238" s="5">
        <v>52500.0</v>
      </c>
      <c r="L238" s="5" t="s">
        <v>3795</v>
      </c>
      <c r="M238" s="5" t="s">
        <v>3272</v>
      </c>
      <c r="N238" s="5" t="s">
        <v>4810</v>
      </c>
      <c r="O238" s="5" t="s">
        <v>3294</v>
      </c>
      <c r="Q238" s="5" t="b">
        <v>0</v>
      </c>
      <c r="R238" s="5" t="s">
        <v>3294</v>
      </c>
    </row>
    <row r="239" ht="15.75" customHeight="1">
      <c r="A239" s="5" t="s">
        <v>5017</v>
      </c>
      <c r="B239" s="10">
        <v>45741.53907407408</v>
      </c>
      <c r="C239" s="3" t="s">
        <v>3750</v>
      </c>
      <c r="D239" s="3">
        <v>70.0</v>
      </c>
      <c r="E239" s="3" t="s">
        <v>3275</v>
      </c>
      <c r="F239" s="3">
        <v>100.0</v>
      </c>
      <c r="G239" s="5">
        <v>51.0</v>
      </c>
      <c r="H239" s="3" t="s">
        <v>3741</v>
      </c>
      <c r="I239" s="3" t="s">
        <v>3588</v>
      </c>
      <c r="J239" s="5">
        <v>3800.0</v>
      </c>
      <c r="K239" s="5">
        <v>3900.0</v>
      </c>
      <c r="L239" s="5" t="s">
        <v>3797</v>
      </c>
      <c r="M239" s="5" t="s">
        <v>3588</v>
      </c>
      <c r="N239" s="5" t="s">
        <v>5018</v>
      </c>
      <c r="O239" s="5" t="s">
        <v>3294</v>
      </c>
      <c r="P239" s="5" t="s">
        <v>3320</v>
      </c>
      <c r="Q239" s="5" t="b">
        <v>1</v>
      </c>
      <c r="R239" s="5" t="s">
        <v>3320</v>
      </c>
    </row>
    <row r="240" ht="15.75" customHeight="1">
      <c r="A240" s="5" t="s">
        <v>5019</v>
      </c>
      <c r="B240" s="10">
        <v>45741.53946759259</v>
      </c>
      <c r="C240" s="3" t="s">
        <v>3750</v>
      </c>
      <c r="D240" s="3">
        <v>70.0</v>
      </c>
      <c r="E240" s="3" t="s">
        <v>3275</v>
      </c>
      <c r="F240" s="3">
        <v>3000.0</v>
      </c>
      <c r="G240" s="5">
        <v>55.0</v>
      </c>
      <c r="H240" s="3"/>
      <c r="I240" s="3"/>
      <c r="J240" s="5">
        <v>0.0</v>
      </c>
      <c r="K240" s="5">
        <v>3000.0</v>
      </c>
      <c r="L240" s="5" t="s">
        <v>3799</v>
      </c>
      <c r="M240" s="5" t="s">
        <v>3800</v>
      </c>
      <c r="O240" s="5" t="s">
        <v>3294</v>
      </c>
      <c r="Q240" s="5" t="b">
        <v>0</v>
      </c>
      <c r="R240" s="5" t="s">
        <v>3320</v>
      </c>
    </row>
    <row r="241" ht="15.75" customHeight="1">
      <c r="A241" s="5" t="s">
        <v>5020</v>
      </c>
      <c r="B241" s="10">
        <v>45741.54048611111</v>
      </c>
      <c r="C241" s="3" t="s">
        <v>3750</v>
      </c>
      <c r="D241" s="3">
        <v>70.0</v>
      </c>
      <c r="E241" s="3" t="s">
        <v>3275</v>
      </c>
      <c r="F241" s="3">
        <v>4300.0</v>
      </c>
      <c r="G241" s="5">
        <v>115.0</v>
      </c>
      <c r="H241" s="3" t="s">
        <v>3787</v>
      </c>
      <c r="I241" s="3" t="s">
        <v>3583</v>
      </c>
      <c r="J241" s="5">
        <v>50000.0</v>
      </c>
      <c r="K241" s="5">
        <v>54300.0</v>
      </c>
      <c r="L241" s="5" t="s">
        <v>3801</v>
      </c>
      <c r="M241" s="5" t="s">
        <v>3583</v>
      </c>
      <c r="O241" s="5" t="s">
        <v>3294</v>
      </c>
      <c r="P241" s="5" t="s">
        <v>3320</v>
      </c>
      <c r="Q241" s="5" t="b">
        <v>1</v>
      </c>
      <c r="R241" s="5" t="s">
        <v>3320</v>
      </c>
    </row>
    <row r="242" ht="15.75" customHeight="1">
      <c r="A242" s="5" t="s">
        <v>5021</v>
      </c>
      <c r="B242" s="10">
        <v>45741.54105324074</v>
      </c>
      <c r="C242" s="3" t="s">
        <v>3660</v>
      </c>
      <c r="D242" s="3">
        <v>77.0</v>
      </c>
      <c r="E242" s="3" t="s">
        <v>3583</v>
      </c>
      <c r="F242" s="3">
        <v>16000.0</v>
      </c>
      <c r="G242" s="5">
        <v>115.0</v>
      </c>
      <c r="H242" s="3" t="s">
        <v>3801</v>
      </c>
      <c r="I242" s="3" t="s">
        <v>3583</v>
      </c>
      <c r="J242" s="5">
        <v>54300.0</v>
      </c>
      <c r="K242" s="5">
        <v>70300.0</v>
      </c>
      <c r="L242" s="5" t="s">
        <v>3802</v>
      </c>
      <c r="M242" s="5" t="s">
        <v>3583</v>
      </c>
      <c r="O242" s="5" t="s">
        <v>3294</v>
      </c>
      <c r="P242" s="5" t="s">
        <v>3320</v>
      </c>
      <c r="Q242" s="5" t="b">
        <v>1</v>
      </c>
      <c r="R242" s="5" t="s">
        <v>3320</v>
      </c>
    </row>
    <row r="243" ht="15.75" customHeight="1">
      <c r="A243" s="5" t="s">
        <v>5022</v>
      </c>
      <c r="B243" s="10">
        <v>45741.54177083333</v>
      </c>
      <c r="C243" s="3" t="s">
        <v>3659</v>
      </c>
      <c r="D243" s="3">
        <v>76.0</v>
      </c>
      <c r="E243" s="3" t="s">
        <v>3583</v>
      </c>
      <c r="F243" s="3">
        <v>14000.0</v>
      </c>
      <c r="G243" s="5">
        <v>115.0</v>
      </c>
      <c r="H243" s="3" t="s">
        <v>3802</v>
      </c>
      <c r="I243" s="3" t="s">
        <v>3583</v>
      </c>
      <c r="J243" s="5">
        <v>70300.0</v>
      </c>
      <c r="K243" s="5">
        <v>84300.0</v>
      </c>
      <c r="L243" s="5" t="s">
        <v>3803</v>
      </c>
      <c r="M243" s="5" t="s">
        <v>3583</v>
      </c>
      <c r="N243" s="5" t="s">
        <v>4919</v>
      </c>
      <c r="O243" s="5" t="s">
        <v>3294</v>
      </c>
      <c r="P243" s="5" t="s">
        <v>3320</v>
      </c>
      <c r="Q243" s="5" t="b">
        <v>1</v>
      </c>
      <c r="R243" s="5" t="s">
        <v>3320</v>
      </c>
    </row>
    <row r="244" ht="15.75" customHeight="1">
      <c r="A244" s="5" t="s">
        <v>5023</v>
      </c>
      <c r="B244" s="10">
        <v>45741.71753472222</v>
      </c>
      <c r="C244" s="3" t="s">
        <v>3347</v>
      </c>
      <c r="D244" s="3">
        <v>44.0</v>
      </c>
      <c r="E244" s="3" t="s">
        <v>3344</v>
      </c>
      <c r="F244" s="3">
        <v>7400.0</v>
      </c>
      <c r="G244" s="5">
        <v>84.0</v>
      </c>
      <c r="H244" s="3" t="s">
        <v>3744</v>
      </c>
      <c r="I244" s="3" t="s">
        <v>3745</v>
      </c>
      <c r="J244" s="5">
        <v>43000.0</v>
      </c>
      <c r="K244" s="5">
        <v>50400.0</v>
      </c>
      <c r="L244" s="5" t="s">
        <v>3806</v>
      </c>
      <c r="M244" s="5" t="s">
        <v>3745</v>
      </c>
      <c r="O244" s="5" t="s">
        <v>3337</v>
      </c>
      <c r="P244" s="5" t="s">
        <v>3294</v>
      </c>
      <c r="Q244" s="5" t="b">
        <v>1</v>
      </c>
      <c r="R244" s="5" t="s">
        <v>3294</v>
      </c>
    </row>
    <row r="245" ht="15.75" customHeight="1">
      <c r="A245" s="5" t="s">
        <v>5024</v>
      </c>
      <c r="B245" s="10">
        <v>45741.720601851855</v>
      </c>
      <c r="C245" s="3" t="s">
        <v>3374</v>
      </c>
      <c r="D245" s="3">
        <v>54.0</v>
      </c>
      <c r="E245" s="3" t="s">
        <v>3373</v>
      </c>
      <c r="F245" s="3">
        <v>940.0</v>
      </c>
      <c r="G245" s="5">
        <v>500.0</v>
      </c>
      <c r="H245" s="3" t="s">
        <v>3804</v>
      </c>
      <c r="I245" s="3" t="s">
        <v>3805</v>
      </c>
      <c r="J245" s="5">
        <v>1.0</v>
      </c>
      <c r="K245" s="5">
        <v>941.0</v>
      </c>
      <c r="L245" s="5" t="s">
        <v>3808</v>
      </c>
      <c r="M245" s="5" t="s">
        <v>3805</v>
      </c>
      <c r="O245" s="5" t="s">
        <v>3337</v>
      </c>
      <c r="Q245" s="5" t="b">
        <v>1</v>
      </c>
    </row>
    <row r="246" ht="15.75" customHeight="1">
      <c r="A246" s="5" t="s">
        <v>5025</v>
      </c>
      <c r="B246" s="10">
        <v>45741.73484953704</v>
      </c>
      <c r="C246" s="3" t="s">
        <v>3762</v>
      </c>
      <c r="D246" s="3">
        <v>67.0</v>
      </c>
      <c r="E246" s="3" t="s">
        <v>3662</v>
      </c>
      <c r="F246" s="3">
        <v>4100.0</v>
      </c>
      <c r="G246" s="5">
        <v>500.0</v>
      </c>
      <c r="H246" s="3" t="s">
        <v>3808</v>
      </c>
      <c r="I246" s="3" t="s">
        <v>3805</v>
      </c>
      <c r="J246" s="5">
        <v>941.0</v>
      </c>
      <c r="K246" s="5">
        <v>4941.0</v>
      </c>
      <c r="L246" s="5" t="s">
        <v>3809</v>
      </c>
      <c r="M246" s="5" t="s">
        <v>3805</v>
      </c>
      <c r="O246" s="5" t="s">
        <v>3294</v>
      </c>
      <c r="Q246" s="5" t="b">
        <v>1</v>
      </c>
    </row>
    <row r="247" ht="15.75" customHeight="1">
      <c r="A247" s="5" t="s">
        <v>5026</v>
      </c>
      <c r="B247" s="10">
        <v>45741.737442129626</v>
      </c>
      <c r="C247" s="3" t="s">
        <v>3751</v>
      </c>
      <c r="D247" s="3">
        <v>69.0</v>
      </c>
      <c r="E247" s="3" t="s">
        <v>3752</v>
      </c>
      <c r="F247" s="3">
        <v>-1600.0</v>
      </c>
      <c r="G247" s="5">
        <v>500.0</v>
      </c>
      <c r="H247" s="3" t="s">
        <v>3809</v>
      </c>
      <c r="I247" s="3" t="s">
        <v>3805</v>
      </c>
      <c r="J247" s="5">
        <v>4941.0</v>
      </c>
      <c r="K247" s="5">
        <v>3341.0</v>
      </c>
      <c r="L247" s="5" t="s">
        <v>3810</v>
      </c>
      <c r="M247" s="5" t="s">
        <v>3805</v>
      </c>
      <c r="O247" s="5" t="s">
        <v>3457</v>
      </c>
      <c r="Q247" s="5" t="b">
        <v>1</v>
      </c>
    </row>
    <row r="248" ht="15.75" customHeight="1">
      <c r="A248" s="5" t="s">
        <v>5027</v>
      </c>
      <c r="B248" s="10">
        <v>45741.73856481481</v>
      </c>
      <c r="C248" s="3" t="s">
        <v>3742</v>
      </c>
      <c r="D248" s="3">
        <v>71.0</v>
      </c>
      <c r="E248" s="3" t="s">
        <v>3588</v>
      </c>
      <c r="F248" s="3">
        <v>1000.0</v>
      </c>
      <c r="G248" s="5">
        <v>72.0</v>
      </c>
      <c r="H248" s="3" t="s">
        <v>3766</v>
      </c>
      <c r="I248" s="3" t="s">
        <v>3588</v>
      </c>
      <c r="J248" s="5">
        <v>7000.0</v>
      </c>
      <c r="K248" s="5">
        <v>8000.0</v>
      </c>
      <c r="L248" s="5" t="s">
        <v>3811</v>
      </c>
      <c r="M248" s="5" t="s">
        <v>3588</v>
      </c>
      <c r="O248" s="5" t="s">
        <v>3294</v>
      </c>
      <c r="P248" s="5" t="s">
        <v>3294</v>
      </c>
      <c r="Q248" s="5" t="b">
        <v>1</v>
      </c>
      <c r="R248" s="5" t="s">
        <v>3294</v>
      </c>
    </row>
    <row r="249" ht="15.75" customHeight="1">
      <c r="A249" s="5" t="s">
        <v>5028</v>
      </c>
      <c r="B249" s="10">
        <v>45741.74133101852</v>
      </c>
      <c r="C249" s="3" t="s">
        <v>3789</v>
      </c>
      <c r="D249" s="3">
        <v>73.0</v>
      </c>
      <c r="E249" s="3" t="s">
        <v>3275</v>
      </c>
      <c r="F249" s="3">
        <v>-2200.0</v>
      </c>
      <c r="G249" s="5">
        <v>500.0</v>
      </c>
      <c r="H249" s="3" t="s">
        <v>3810</v>
      </c>
      <c r="I249" s="3" t="s">
        <v>3805</v>
      </c>
      <c r="J249" s="5">
        <v>3341.0</v>
      </c>
      <c r="K249" s="5">
        <v>1141.0</v>
      </c>
      <c r="L249" s="5" t="s">
        <v>3812</v>
      </c>
      <c r="M249" s="5" t="s">
        <v>3805</v>
      </c>
      <c r="O249" s="5" t="s">
        <v>3294</v>
      </c>
      <c r="Q249" s="5" t="b">
        <v>1</v>
      </c>
    </row>
    <row r="250" ht="15.75" customHeight="1">
      <c r="A250" s="5" t="s">
        <v>5029</v>
      </c>
      <c r="B250" s="10">
        <v>45741.74184027778</v>
      </c>
      <c r="C250" s="3" t="s">
        <v>3358</v>
      </c>
      <c r="D250" s="3">
        <v>75.0</v>
      </c>
      <c r="E250" s="3" t="s">
        <v>3359</v>
      </c>
      <c r="F250" s="3">
        <v>-1500.0</v>
      </c>
      <c r="G250" s="5">
        <v>500.0</v>
      </c>
      <c r="H250" s="3" t="s">
        <v>3812</v>
      </c>
      <c r="I250" s="3" t="s">
        <v>3805</v>
      </c>
      <c r="J250" s="5">
        <v>1141.0</v>
      </c>
      <c r="K250" s="5">
        <v>-359.0</v>
      </c>
      <c r="L250" s="5" t="s">
        <v>3813</v>
      </c>
      <c r="M250" s="5" t="s">
        <v>3805</v>
      </c>
      <c r="O250" s="5" t="s">
        <v>3337</v>
      </c>
      <c r="Q250" s="5" t="b">
        <v>1</v>
      </c>
    </row>
    <row r="251" ht="15.75" customHeight="1">
      <c r="A251" s="5" t="s">
        <v>5030</v>
      </c>
      <c r="B251" s="10">
        <v>45741.74321759259</v>
      </c>
      <c r="C251" s="3" t="s">
        <v>3758</v>
      </c>
      <c r="D251" s="3">
        <v>78.0</v>
      </c>
      <c r="E251" s="3" t="s">
        <v>3759</v>
      </c>
      <c r="F251" s="3">
        <v>-2600.0</v>
      </c>
      <c r="G251" s="5">
        <v>500.0</v>
      </c>
      <c r="H251" s="3" t="s">
        <v>3813</v>
      </c>
      <c r="I251" s="3" t="s">
        <v>3805</v>
      </c>
      <c r="J251" s="5">
        <v>-359.0</v>
      </c>
      <c r="K251" s="5">
        <v>-2959.0</v>
      </c>
      <c r="L251" s="5" t="s">
        <v>3814</v>
      </c>
      <c r="M251" s="5" t="s">
        <v>3805</v>
      </c>
      <c r="O251" s="5" t="s">
        <v>3457</v>
      </c>
      <c r="Q251" s="5" t="b">
        <v>1</v>
      </c>
    </row>
    <row r="252" ht="15.75" customHeight="1">
      <c r="A252" s="5" t="s">
        <v>5031</v>
      </c>
      <c r="B252" s="10">
        <v>45741.80803240741</v>
      </c>
      <c r="C252" s="3" t="s">
        <v>3721</v>
      </c>
      <c r="D252" s="3">
        <v>79.0</v>
      </c>
      <c r="E252" s="3" t="s">
        <v>3615</v>
      </c>
      <c r="F252" s="3">
        <v>860.0</v>
      </c>
      <c r="G252" s="5">
        <v>500.0</v>
      </c>
      <c r="H252" s="3" t="s">
        <v>3814</v>
      </c>
      <c r="I252" s="3" t="s">
        <v>3805</v>
      </c>
      <c r="J252" s="5">
        <v>-2959.0</v>
      </c>
      <c r="K252" s="5">
        <v>-2099.0</v>
      </c>
      <c r="L252" s="5" t="s">
        <v>3815</v>
      </c>
      <c r="M252" s="5" t="s">
        <v>3805</v>
      </c>
      <c r="O252" s="5" t="s">
        <v>3294</v>
      </c>
      <c r="Q252" s="5" t="b">
        <v>1</v>
      </c>
    </row>
    <row r="253" ht="15.75" customHeight="1">
      <c r="A253" s="5" t="s">
        <v>5032</v>
      </c>
      <c r="B253" s="10">
        <v>45741.808854166666</v>
      </c>
      <c r="C253" s="3" t="s">
        <v>3764</v>
      </c>
      <c r="D253" s="3">
        <v>65.0</v>
      </c>
      <c r="E253" s="3" t="s">
        <v>3692</v>
      </c>
      <c r="F253" s="3">
        <v>-3500.0</v>
      </c>
      <c r="G253" s="5">
        <v>500.0</v>
      </c>
      <c r="H253" s="3" t="s">
        <v>3815</v>
      </c>
      <c r="I253" s="3" t="s">
        <v>3805</v>
      </c>
      <c r="J253" s="5">
        <v>-2099.0</v>
      </c>
      <c r="K253" s="5">
        <v>-5599.0</v>
      </c>
      <c r="L253" s="5" t="s">
        <v>3816</v>
      </c>
      <c r="M253" s="5" t="s">
        <v>3805</v>
      </c>
      <c r="O253" s="5" t="s">
        <v>3294</v>
      </c>
      <c r="Q253" s="5" t="b">
        <v>1</v>
      </c>
    </row>
    <row r="254" ht="15.75" customHeight="1">
      <c r="A254" s="5" t="s">
        <v>5033</v>
      </c>
      <c r="B254" s="10">
        <v>45741.810069444444</v>
      </c>
      <c r="C254" s="3" t="s">
        <v>3794</v>
      </c>
      <c r="D254" s="3">
        <v>80.0</v>
      </c>
      <c r="E254" s="3" t="s">
        <v>3563</v>
      </c>
      <c r="F254" s="3">
        <v>3100.0</v>
      </c>
      <c r="G254" s="5">
        <v>500.0</v>
      </c>
      <c r="H254" s="3" t="s">
        <v>3816</v>
      </c>
      <c r="I254" s="3" t="s">
        <v>3805</v>
      </c>
      <c r="J254" s="5">
        <v>-5599.0</v>
      </c>
      <c r="K254" s="5">
        <v>-2499.0</v>
      </c>
      <c r="L254" s="5" t="s">
        <v>3817</v>
      </c>
      <c r="M254" s="5" t="s">
        <v>3805</v>
      </c>
      <c r="O254" s="5" t="s">
        <v>3294</v>
      </c>
      <c r="Q254" s="5" t="b">
        <v>1</v>
      </c>
    </row>
    <row r="255" ht="15.75" customHeight="1">
      <c r="A255" s="5" t="s">
        <v>5034</v>
      </c>
      <c r="B255" s="10">
        <v>45741.811956018515</v>
      </c>
      <c r="C255" s="3" t="s">
        <v>3647</v>
      </c>
      <c r="D255" s="3">
        <v>81.0</v>
      </c>
      <c r="E255" s="3" t="s">
        <v>3615</v>
      </c>
      <c r="F255" s="3">
        <v>-500.0</v>
      </c>
      <c r="G255" s="5">
        <v>500.0</v>
      </c>
      <c r="H255" s="3" t="s">
        <v>3817</v>
      </c>
      <c r="I255" s="3" t="s">
        <v>3805</v>
      </c>
      <c r="J255" s="5">
        <v>-2499.0</v>
      </c>
      <c r="K255" s="5">
        <v>-2999.0</v>
      </c>
      <c r="L255" s="5" t="s">
        <v>3818</v>
      </c>
      <c r="M255" s="5" t="s">
        <v>3805</v>
      </c>
      <c r="O255" s="5" t="s">
        <v>3294</v>
      </c>
      <c r="Q255" s="5" t="b">
        <v>1</v>
      </c>
    </row>
    <row r="256" ht="15.75" customHeight="1">
      <c r="A256" s="5" t="s">
        <v>5035</v>
      </c>
      <c r="B256" s="10">
        <v>45741.81236111111</v>
      </c>
      <c r="C256" s="3" t="s">
        <v>3731</v>
      </c>
      <c r="D256" s="3">
        <v>82.0</v>
      </c>
      <c r="E256" s="3" t="s">
        <v>3730</v>
      </c>
      <c r="F256" s="3">
        <v>600.0</v>
      </c>
      <c r="G256" s="5">
        <v>500.0</v>
      </c>
      <c r="H256" s="3" t="s">
        <v>3818</v>
      </c>
      <c r="I256" s="3" t="s">
        <v>3805</v>
      </c>
      <c r="J256" s="5">
        <v>-2999.0</v>
      </c>
      <c r="K256" s="5">
        <v>-2399.0</v>
      </c>
      <c r="L256" s="5" t="s">
        <v>3819</v>
      </c>
      <c r="M256" s="5" t="s">
        <v>3805</v>
      </c>
      <c r="O256" s="5" t="s">
        <v>3457</v>
      </c>
      <c r="Q256" s="5" t="b">
        <v>1</v>
      </c>
    </row>
    <row r="257" ht="15.75" customHeight="1">
      <c r="A257" s="5" t="s">
        <v>5036</v>
      </c>
      <c r="B257" s="10">
        <v>45741.813055555554</v>
      </c>
      <c r="C257" s="3" t="s">
        <v>3753</v>
      </c>
      <c r="D257" s="3">
        <v>83.0</v>
      </c>
      <c r="E257" s="3" t="s">
        <v>3662</v>
      </c>
      <c r="F257" s="3">
        <v>2400.0</v>
      </c>
      <c r="G257" s="5">
        <v>500.0</v>
      </c>
      <c r="H257" s="3" t="s">
        <v>3819</v>
      </c>
      <c r="I257" s="3" t="s">
        <v>3805</v>
      </c>
      <c r="J257" s="5">
        <v>-2399.0</v>
      </c>
      <c r="K257" s="5">
        <v>1.0</v>
      </c>
      <c r="L257" s="5" t="s">
        <v>3820</v>
      </c>
      <c r="M257" s="5" t="s">
        <v>3805</v>
      </c>
      <c r="O257" s="5" t="s">
        <v>3294</v>
      </c>
      <c r="Q257" s="5" t="b">
        <v>1</v>
      </c>
    </row>
    <row r="258" ht="15.75" customHeight="1">
      <c r="A258" s="5" t="s">
        <v>5037</v>
      </c>
      <c r="B258" s="10">
        <v>45741.81353009259</v>
      </c>
      <c r="C258" s="3" t="s">
        <v>3806</v>
      </c>
      <c r="D258" s="3">
        <v>84.0</v>
      </c>
      <c r="E258" s="3" t="s">
        <v>3745</v>
      </c>
      <c r="F258" s="3">
        <v>400.0</v>
      </c>
      <c r="G258" s="5">
        <v>500.0</v>
      </c>
      <c r="H258" s="3" t="s">
        <v>3820</v>
      </c>
      <c r="I258" s="3" t="s">
        <v>3805</v>
      </c>
      <c r="J258" s="5">
        <v>1.0</v>
      </c>
      <c r="K258" s="5">
        <v>401.0</v>
      </c>
      <c r="L258" s="5" t="s">
        <v>3821</v>
      </c>
      <c r="M258" s="5" t="s">
        <v>3805</v>
      </c>
      <c r="O258" s="5" t="s">
        <v>3294</v>
      </c>
      <c r="Q258" s="5" t="b">
        <v>1</v>
      </c>
    </row>
    <row r="259" ht="15.75" customHeight="1">
      <c r="A259" s="5" t="s">
        <v>5038</v>
      </c>
      <c r="B259" s="10">
        <v>45741.823969907404</v>
      </c>
      <c r="C259" s="3" t="s">
        <v>3791</v>
      </c>
      <c r="D259" s="3">
        <v>89.0</v>
      </c>
      <c r="E259" s="3" t="s">
        <v>3745</v>
      </c>
      <c r="F259" s="3">
        <v>-5000.0</v>
      </c>
      <c r="G259" s="5">
        <v>500.0</v>
      </c>
      <c r="H259" s="3" t="s">
        <v>3821</v>
      </c>
      <c r="I259" s="3" t="s">
        <v>3805</v>
      </c>
      <c r="J259" s="5">
        <v>401.0</v>
      </c>
      <c r="K259" s="5">
        <v>-4599.0</v>
      </c>
      <c r="L259" s="5" t="s">
        <v>3822</v>
      </c>
      <c r="M259" s="5" t="s">
        <v>3805</v>
      </c>
      <c r="O259" s="5" t="s">
        <v>3294</v>
      </c>
      <c r="Q259" s="5" t="b">
        <v>1</v>
      </c>
    </row>
    <row r="260" ht="15.75" customHeight="1">
      <c r="A260" s="5" t="s">
        <v>5039</v>
      </c>
      <c r="B260" s="10">
        <v>45741.82699074074</v>
      </c>
      <c r="C260" s="3" t="s">
        <v>3535</v>
      </c>
      <c r="D260" s="3">
        <v>931.0</v>
      </c>
      <c r="E260" s="3" t="s">
        <v>3368</v>
      </c>
      <c r="F260" s="3">
        <v>1700.0</v>
      </c>
      <c r="G260" s="5">
        <v>500.0</v>
      </c>
      <c r="H260" s="3" t="s">
        <v>3822</v>
      </c>
      <c r="I260" s="3" t="s">
        <v>3805</v>
      </c>
      <c r="J260" s="5">
        <v>-4599.0</v>
      </c>
      <c r="K260" s="5">
        <v>-2899.0</v>
      </c>
      <c r="L260" s="5" t="s">
        <v>3823</v>
      </c>
      <c r="M260" s="5" t="s">
        <v>3368</v>
      </c>
      <c r="N260" s="5" t="s">
        <v>5040</v>
      </c>
      <c r="O260" s="5" t="s">
        <v>3342</v>
      </c>
      <c r="Q260" s="5" t="b">
        <v>0</v>
      </c>
      <c r="R260" s="5" t="s">
        <v>3342</v>
      </c>
    </row>
    <row r="261" ht="15.75" customHeight="1">
      <c r="A261" s="5" t="s">
        <v>5041</v>
      </c>
      <c r="B261" s="10">
        <v>45741.82745370371</v>
      </c>
      <c r="C261" s="3" t="s">
        <v>3760</v>
      </c>
      <c r="D261" s="3">
        <v>96.0</v>
      </c>
      <c r="E261" s="3" t="s">
        <v>3759</v>
      </c>
      <c r="F261" s="3">
        <v>-1000.0</v>
      </c>
      <c r="G261" s="5">
        <v>500.0</v>
      </c>
      <c r="H261" s="3" t="s">
        <v>3823</v>
      </c>
      <c r="I261" s="3" t="s">
        <v>3368</v>
      </c>
      <c r="J261" s="5">
        <v>-2899.0</v>
      </c>
      <c r="K261" s="5">
        <v>-3899.0</v>
      </c>
      <c r="L261" s="5" t="s">
        <v>3824</v>
      </c>
      <c r="M261" s="5" t="s">
        <v>3368</v>
      </c>
      <c r="O261" s="5" t="s">
        <v>3457</v>
      </c>
      <c r="P261" s="5" t="s">
        <v>3342</v>
      </c>
      <c r="Q261" s="5" t="b">
        <v>1</v>
      </c>
      <c r="R261" s="5" t="s">
        <v>3342</v>
      </c>
    </row>
    <row r="262" ht="15.75" customHeight="1">
      <c r="A262" s="5" t="s">
        <v>5042</v>
      </c>
      <c r="B262" s="10">
        <v>45741.82776620371</v>
      </c>
      <c r="C262" s="3" t="s">
        <v>3728</v>
      </c>
      <c r="D262" s="3">
        <v>103.0</v>
      </c>
      <c r="E262" s="3" t="s">
        <v>3466</v>
      </c>
      <c r="F262" s="3">
        <v>1000.0</v>
      </c>
      <c r="G262" s="5">
        <v>500.0</v>
      </c>
      <c r="H262" s="3" t="s">
        <v>3824</v>
      </c>
      <c r="I262" s="3" t="s">
        <v>3368</v>
      </c>
      <c r="J262" s="5">
        <v>-3899.0</v>
      </c>
      <c r="K262" s="5">
        <v>-2899.0</v>
      </c>
      <c r="L262" s="5" t="s">
        <v>3825</v>
      </c>
      <c r="M262" s="5" t="s">
        <v>3368</v>
      </c>
      <c r="O262" s="5" t="s">
        <v>3320</v>
      </c>
      <c r="P262" s="5" t="s">
        <v>3342</v>
      </c>
      <c r="Q262" s="5" t="b">
        <v>1</v>
      </c>
      <c r="R262" s="5" t="s">
        <v>3342</v>
      </c>
    </row>
    <row r="263" ht="15.75" customHeight="1">
      <c r="A263" s="5" t="s">
        <v>5043</v>
      </c>
      <c r="B263" s="10">
        <v>45741.827997685185</v>
      </c>
      <c r="C263" s="3" t="s">
        <v>3747</v>
      </c>
      <c r="D263" s="3">
        <v>104.0</v>
      </c>
      <c r="E263" s="3" t="s">
        <v>3638</v>
      </c>
      <c r="F263" s="3">
        <v>1000.0</v>
      </c>
      <c r="G263" s="5">
        <v>500.0</v>
      </c>
      <c r="H263" s="3" t="s">
        <v>3825</v>
      </c>
      <c r="I263" s="3" t="s">
        <v>3368</v>
      </c>
      <c r="J263" s="5">
        <v>-2899.0</v>
      </c>
      <c r="K263" s="5">
        <v>-1899.0</v>
      </c>
      <c r="L263" s="5" t="s">
        <v>3826</v>
      </c>
      <c r="M263" s="5" t="s">
        <v>3368</v>
      </c>
      <c r="O263" s="5" t="s">
        <v>3320</v>
      </c>
      <c r="P263" s="5" t="s">
        <v>3342</v>
      </c>
      <c r="Q263" s="5" t="b">
        <v>1</v>
      </c>
      <c r="R263" s="5" t="s">
        <v>3342</v>
      </c>
    </row>
    <row r="264" ht="15.75" customHeight="1">
      <c r="A264" s="5" t="s">
        <v>5044</v>
      </c>
      <c r="B264" s="10">
        <v>45741.82858796296</v>
      </c>
      <c r="C264" s="3" t="s">
        <v>3779</v>
      </c>
      <c r="D264" s="3">
        <v>105.0</v>
      </c>
      <c r="E264" s="3" t="s">
        <v>3601</v>
      </c>
      <c r="F264" s="3">
        <v>5000.0</v>
      </c>
      <c r="G264" s="5">
        <v>500.0</v>
      </c>
      <c r="H264" s="3" t="s">
        <v>3826</v>
      </c>
      <c r="I264" s="3" t="s">
        <v>3595</v>
      </c>
      <c r="J264" s="5">
        <v>-1899.0</v>
      </c>
      <c r="K264" s="5">
        <v>3101.0</v>
      </c>
      <c r="L264" s="5" t="s">
        <v>3827</v>
      </c>
      <c r="M264" s="5" t="s">
        <v>3828</v>
      </c>
      <c r="O264" s="5" t="s">
        <v>3320</v>
      </c>
      <c r="P264" s="5" t="s">
        <v>3342</v>
      </c>
      <c r="Q264" s="5" t="b">
        <v>1</v>
      </c>
      <c r="R264" s="5" t="s">
        <v>3342</v>
      </c>
    </row>
    <row r="265" ht="15.75" customHeight="1">
      <c r="A265" s="5" t="s">
        <v>5045</v>
      </c>
      <c r="B265" s="10">
        <v>45741.82949074074</v>
      </c>
      <c r="C265" s="3" t="s">
        <v>3783</v>
      </c>
      <c r="D265" s="3">
        <v>107.0</v>
      </c>
      <c r="E265" s="3" t="s">
        <v>3784</v>
      </c>
      <c r="F265" s="3">
        <v>1000.0</v>
      </c>
      <c r="G265" s="5">
        <v>500.0</v>
      </c>
      <c r="H265" s="3" t="s">
        <v>3827</v>
      </c>
      <c r="I265" s="3" t="s">
        <v>3828</v>
      </c>
      <c r="J265" s="5">
        <v>3101.0</v>
      </c>
      <c r="K265" s="5">
        <v>4101.0</v>
      </c>
      <c r="L265" s="5" t="s">
        <v>3829</v>
      </c>
      <c r="M265" s="5" t="s">
        <v>3828</v>
      </c>
      <c r="O265" s="5" t="s">
        <v>3320</v>
      </c>
      <c r="P265" s="5" t="s">
        <v>3342</v>
      </c>
      <c r="Q265" s="5" t="b">
        <v>1</v>
      </c>
      <c r="R265" s="5" t="s">
        <v>3342</v>
      </c>
    </row>
    <row r="266" ht="15.75" customHeight="1">
      <c r="A266" s="5" t="s">
        <v>5046</v>
      </c>
      <c r="B266" s="10">
        <v>45741.82983796296</v>
      </c>
      <c r="C266" s="3" t="s">
        <v>3776</v>
      </c>
      <c r="D266" s="3">
        <v>108.0</v>
      </c>
      <c r="E266" s="3" t="s">
        <v>3583</v>
      </c>
      <c r="F266" s="3">
        <v>1000.0</v>
      </c>
      <c r="G266" s="5">
        <v>500.0</v>
      </c>
      <c r="H266" s="3" t="s">
        <v>3829</v>
      </c>
      <c r="I266" s="3" t="s">
        <v>3828</v>
      </c>
      <c r="J266" s="5">
        <v>4101.0</v>
      </c>
      <c r="K266" s="5">
        <v>5101.0</v>
      </c>
      <c r="L266" s="5" t="s">
        <v>3830</v>
      </c>
      <c r="M266" s="5" t="s">
        <v>3828</v>
      </c>
      <c r="O266" s="5" t="s">
        <v>3320</v>
      </c>
      <c r="P266" s="5" t="s">
        <v>3342</v>
      </c>
      <c r="Q266" s="5" t="b">
        <v>1</v>
      </c>
      <c r="R266" s="5" t="s">
        <v>3342</v>
      </c>
    </row>
    <row r="267" ht="15.75" customHeight="1">
      <c r="A267" s="5" t="s">
        <v>5047</v>
      </c>
      <c r="B267" s="10">
        <v>45741.830092592594</v>
      </c>
      <c r="C267" s="3" t="s">
        <v>3774</v>
      </c>
      <c r="D267" s="3">
        <v>109.0</v>
      </c>
      <c r="E267" s="3" t="s">
        <v>3583</v>
      </c>
      <c r="F267" s="3">
        <v>600.0</v>
      </c>
      <c r="G267" s="5">
        <v>500.0</v>
      </c>
      <c r="H267" s="3" t="s">
        <v>3830</v>
      </c>
      <c r="I267" s="3" t="s">
        <v>3828</v>
      </c>
      <c r="J267" s="5">
        <v>5101.0</v>
      </c>
      <c r="K267" s="5">
        <v>5701.0</v>
      </c>
      <c r="L267" s="5" t="s">
        <v>3831</v>
      </c>
      <c r="M267" s="5" t="s">
        <v>3828</v>
      </c>
      <c r="O267" s="5" t="s">
        <v>3320</v>
      </c>
      <c r="P267" s="5" t="s">
        <v>3342</v>
      </c>
      <c r="Q267" s="5" t="b">
        <v>1</v>
      </c>
      <c r="R267" s="5" t="s">
        <v>3342</v>
      </c>
    </row>
    <row r="268" ht="15.75" customHeight="1">
      <c r="A268" s="5" t="s">
        <v>5048</v>
      </c>
      <c r="B268" s="10">
        <v>45741.83039351852</v>
      </c>
      <c r="C268" s="3" t="s">
        <v>3713</v>
      </c>
      <c r="D268" s="3">
        <v>110.0</v>
      </c>
      <c r="E268" s="3" t="s">
        <v>3706</v>
      </c>
      <c r="F268" s="3">
        <v>-4000.0</v>
      </c>
      <c r="G268" s="5">
        <v>500.0</v>
      </c>
      <c r="H268" s="3" t="s">
        <v>3831</v>
      </c>
      <c r="I268" s="3" t="s">
        <v>3828</v>
      </c>
      <c r="J268" s="5">
        <v>5701.0</v>
      </c>
      <c r="K268" s="5">
        <v>1701.0</v>
      </c>
      <c r="L268" s="5" t="s">
        <v>3832</v>
      </c>
      <c r="M268" s="5" t="s">
        <v>3828</v>
      </c>
      <c r="O268" s="5" t="s">
        <v>3605</v>
      </c>
      <c r="P268" s="5" t="s">
        <v>3342</v>
      </c>
      <c r="Q268" s="5" t="b">
        <v>1</v>
      </c>
      <c r="R268" s="5" t="s">
        <v>3342</v>
      </c>
    </row>
    <row r="269" ht="15.75" customHeight="1">
      <c r="A269" s="5" t="s">
        <v>5049</v>
      </c>
      <c r="B269" s="10">
        <v>45742.76291666667</v>
      </c>
      <c r="C269" s="3" t="s">
        <v>3760</v>
      </c>
      <c r="D269" s="3">
        <v>96.0</v>
      </c>
      <c r="E269" s="3" t="s">
        <v>3759</v>
      </c>
      <c r="F269" s="3">
        <v>20000.0</v>
      </c>
      <c r="G269" s="5">
        <v>102.0</v>
      </c>
      <c r="H269" s="3"/>
      <c r="I269" s="3"/>
      <c r="J269" s="5">
        <v>0.0</v>
      </c>
      <c r="K269" s="5">
        <v>20000.0</v>
      </c>
      <c r="L269" s="5" t="s">
        <v>3837</v>
      </c>
      <c r="M269" s="5" t="s">
        <v>3759</v>
      </c>
      <c r="N269" s="5" t="s">
        <v>4810</v>
      </c>
      <c r="O269" s="5" t="s">
        <v>3320</v>
      </c>
      <c r="Q269" s="5" t="b">
        <v>0</v>
      </c>
      <c r="R269" s="5" t="s">
        <v>3457</v>
      </c>
    </row>
    <row r="270" ht="15.75" customHeight="1">
      <c r="A270" s="5" t="s">
        <v>5050</v>
      </c>
      <c r="B270" s="10">
        <v>45742.763819444444</v>
      </c>
      <c r="C270" s="3" t="s">
        <v>3760</v>
      </c>
      <c r="D270" s="3">
        <v>96.0</v>
      </c>
      <c r="E270" s="3" t="s">
        <v>3759</v>
      </c>
      <c r="F270" s="3">
        <v>20000.0</v>
      </c>
      <c r="G270" s="5">
        <v>12.0</v>
      </c>
      <c r="H270" s="3"/>
      <c r="I270" s="3"/>
      <c r="J270" s="5">
        <v>0.0</v>
      </c>
      <c r="K270" s="5">
        <v>20000.0</v>
      </c>
      <c r="L270" s="5" t="s">
        <v>3838</v>
      </c>
      <c r="M270" s="5" t="s">
        <v>3839</v>
      </c>
      <c r="N270" s="5" t="s">
        <v>5051</v>
      </c>
      <c r="O270" s="5" t="s">
        <v>3320</v>
      </c>
      <c r="Q270" s="5" t="b">
        <v>0</v>
      </c>
      <c r="R270" s="5" t="s">
        <v>3320</v>
      </c>
    </row>
    <row r="271" ht="15.75" customHeight="1">
      <c r="A271" s="5" t="s">
        <v>5052</v>
      </c>
      <c r="B271" s="10">
        <v>45742.7719212963</v>
      </c>
      <c r="C271" s="3" t="s">
        <v>3753</v>
      </c>
      <c r="D271" s="3">
        <v>83.0</v>
      </c>
      <c r="E271" s="3" t="s">
        <v>3662</v>
      </c>
      <c r="F271" s="3">
        <v>10000.0</v>
      </c>
      <c r="G271" s="5">
        <v>102.0</v>
      </c>
      <c r="H271" s="3" t="s">
        <v>3837</v>
      </c>
      <c r="I271" s="3" t="s">
        <v>3759</v>
      </c>
      <c r="J271" s="5">
        <v>20000.0</v>
      </c>
      <c r="K271" s="5">
        <v>30000.0</v>
      </c>
      <c r="L271" s="6" t="s">
        <v>3840</v>
      </c>
      <c r="M271" s="5" t="s">
        <v>3759</v>
      </c>
      <c r="O271" s="5" t="s">
        <v>3294</v>
      </c>
      <c r="P271" s="5" t="s">
        <v>3457</v>
      </c>
      <c r="Q271" s="5" t="b">
        <v>1</v>
      </c>
      <c r="R271" s="5" t="s">
        <v>3457</v>
      </c>
    </row>
    <row r="272" ht="15.75" customHeight="1">
      <c r="A272" s="5" t="s">
        <v>5053</v>
      </c>
      <c r="B272" s="10">
        <v>45742.7728587963</v>
      </c>
      <c r="C272" s="3" t="s">
        <v>3753</v>
      </c>
      <c r="D272" s="3">
        <v>83.0</v>
      </c>
      <c r="E272" s="3" t="s">
        <v>3662</v>
      </c>
      <c r="F272" s="3">
        <v>35000.0</v>
      </c>
      <c r="G272" s="5">
        <v>115.0</v>
      </c>
      <c r="H272" s="3" t="s">
        <v>3803</v>
      </c>
      <c r="I272" s="3" t="s">
        <v>3583</v>
      </c>
      <c r="J272" s="5">
        <v>84300.0</v>
      </c>
      <c r="K272" s="5">
        <v>120200.0</v>
      </c>
      <c r="L272" s="5" t="s">
        <v>3842</v>
      </c>
      <c r="M272" s="5" t="s">
        <v>3662</v>
      </c>
      <c r="O272" s="5" t="s">
        <v>3294</v>
      </c>
      <c r="P272" s="5" t="s">
        <v>3320</v>
      </c>
      <c r="Q272" s="5" t="b">
        <v>0</v>
      </c>
      <c r="R272" s="5" t="s">
        <v>3294</v>
      </c>
    </row>
    <row r="273" ht="15.75" customHeight="1">
      <c r="A273" s="5" t="s">
        <v>5054</v>
      </c>
      <c r="B273" s="10">
        <v>45742.81209490741</v>
      </c>
      <c r="C273" s="3" t="s">
        <v>3729</v>
      </c>
      <c r="D273" s="3">
        <v>66.0</v>
      </c>
      <c r="E273" s="3" t="s">
        <v>3730</v>
      </c>
      <c r="F273" s="3">
        <v>15000.0</v>
      </c>
      <c r="G273" s="5">
        <v>12.0</v>
      </c>
      <c r="H273" s="3" t="s">
        <v>3838</v>
      </c>
      <c r="I273" s="3" t="s">
        <v>3839</v>
      </c>
      <c r="J273" s="5">
        <v>20000.0</v>
      </c>
      <c r="K273" s="5">
        <v>35000.0</v>
      </c>
      <c r="L273" s="5" t="s">
        <v>3844</v>
      </c>
      <c r="M273" s="5" t="s">
        <v>3839</v>
      </c>
      <c r="O273" s="5" t="s">
        <v>3457</v>
      </c>
      <c r="P273" s="5" t="s">
        <v>3320</v>
      </c>
      <c r="Q273" s="5" t="b">
        <v>1</v>
      </c>
      <c r="R273" s="5" t="s">
        <v>3320</v>
      </c>
    </row>
    <row r="274" ht="15.75" customHeight="1">
      <c r="A274" s="5" t="s">
        <v>5055</v>
      </c>
      <c r="B274" s="10">
        <v>45742.81303240741</v>
      </c>
      <c r="C274" s="3" t="s">
        <v>3758</v>
      </c>
      <c r="D274" s="3">
        <v>78.0</v>
      </c>
      <c r="E274" s="3" t="s">
        <v>3759</v>
      </c>
      <c r="F274" s="3">
        <v>300.0</v>
      </c>
      <c r="G274" s="5">
        <v>12.0</v>
      </c>
      <c r="H274" s="3" t="s">
        <v>3844</v>
      </c>
      <c r="I274" s="3" t="s">
        <v>3839</v>
      </c>
      <c r="J274" s="5">
        <v>35000.0</v>
      </c>
      <c r="K274" s="5">
        <v>35300.0</v>
      </c>
      <c r="L274" s="6" t="s">
        <v>3845</v>
      </c>
      <c r="M274" s="5" t="s">
        <v>3839</v>
      </c>
      <c r="O274" s="5" t="s">
        <v>3457</v>
      </c>
      <c r="P274" s="5" t="s">
        <v>3320</v>
      </c>
      <c r="Q274" s="5" t="b">
        <v>1</v>
      </c>
      <c r="R274" s="5" t="s">
        <v>3320</v>
      </c>
    </row>
    <row r="275" ht="15.75" customHeight="1">
      <c r="A275" s="5" t="s">
        <v>5056</v>
      </c>
      <c r="B275" s="10">
        <v>45742.81327546296</v>
      </c>
      <c r="C275" s="3" t="s">
        <v>3758</v>
      </c>
      <c r="D275" s="3">
        <v>78.0</v>
      </c>
      <c r="E275" s="3" t="s">
        <v>3759</v>
      </c>
      <c r="F275" s="3">
        <v>14700.0</v>
      </c>
      <c r="G275" s="5">
        <v>52.0</v>
      </c>
      <c r="H275" s="3"/>
      <c r="I275" s="3"/>
      <c r="J275" s="5">
        <v>0.0</v>
      </c>
      <c r="K275" s="5">
        <v>14700.0</v>
      </c>
      <c r="L275" s="5" t="s">
        <v>3847</v>
      </c>
      <c r="M275" s="5" t="s">
        <v>3759</v>
      </c>
      <c r="O275" s="5" t="s">
        <v>3457</v>
      </c>
      <c r="Q275" s="5" t="b">
        <v>0</v>
      </c>
      <c r="R275" s="5" t="s">
        <v>3320</v>
      </c>
    </row>
    <row r="276" ht="15.75" customHeight="1">
      <c r="A276" s="5" t="s">
        <v>5057</v>
      </c>
      <c r="B276" s="10">
        <v>45742.814097222225</v>
      </c>
      <c r="C276" s="3" t="s">
        <v>3762</v>
      </c>
      <c r="D276" s="3">
        <v>67.0</v>
      </c>
      <c r="E276" s="3" t="s">
        <v>3662</v>
      </c>
      <c r="F276" s="3">
        <v>12300.0</v>
      </c>
      <c r="G276" s="5">
        <v>52.0</v>
      </c>
      <c r="H276" s="3" t="s">
        <v>3847</v>
      </c>
      <c r="I276" s="3" t="s">
        <v>3759</v>
      </c>
      <c r="J276" s="5">
        <v>14700.0</v>
      </c>
      <c r="K276" s="5">
        <v>27000.0</v>
      </c>
      <c r="L276" s="5" t="s">
        <v>3848</v>
      </c>
      <c r="M276" s="5" t="s">
        <v>3662</v>
      </c>
      <c r="O276" s="5" t="s">
        <v>3294</v>
      </c>
      <c r="P276" s="5" t="s">
        <v>3320</v>
      </c>
      <c r="Q276" s="5" t="b">
        <v>0</v>
      </c>
      <c r="R276" s="5" t="s">
        <v>3320</v>
      </c>
    </row>
    <row r="277" ht="15.75" customHeight="1">
      <c r="A277" s="5" t="s">
        <v>5058</v>
      </c>
      <c r="B277" s="10">
        <v>45742.83483796296</v>
      </c>
      <c r="C277" s="3" t="s">
        <v>3762</v>
      </c>
      <c r="D277" s="3">
        <v>67.0</v>
      </c>
      <c r="E277" s="3" t="s">
        <v>3662</v>
      </c>
      <c r="F277" s="3">
        <v>4700.0</v>
      </c>
      <c r="G277" s="5">
        <v>500.0</v>
      </c>
      <c r="H277" s="3" t="s">
        <v>3832</v>
      </c>
      <c r="I277" s="3" t="s">
        <v>3828</v>
      </c>
      <c r="J277" s="5">
        <v>1701.0</v>
      </c>
      <c r="K277" s="5">
        <v>6401.0</v>
      </c>
      <c r="L277" s="5" t="s">
        <v>3849</v>
      </c>
      <c r="M277" s="5" t="s">
        <v>3828</v>
      </c>
      <c r="O277" s="5" t="s">
        <v>3294</v>
      </c>
      <c r="P277" s="5" t="s">
        <v>3342</v>
      </c>
      <c r="Q277" s="5" t="b">
        <v>1</v>
      </c>
      <c r="R277" s="5" t="s">
        <v>3342</v>
      </c>
    </row>
    <row r="278" ht="15.75" customHeight="1">
      <c r="A278" s="5" t="s">
        <v>5059</v>
      </c>
      <c r="B278" s="10">
        <v>45743.71444444444</v>
      </c>
      <c r="C278" s="3" t="s">
        <v>3799</v>
      </c>
      <c r="D278" s="3">
        <v>55.0</v>
      </c>
      <c r="E278" s="3" t="s">
        <v>3800</v>
      </c>
      <c r="F278" s="3">
        <v>3000.0</v>
      </c>
      <c r="G278" s="5">
        <v>52.0</v>
      </c>
      <c r="H278" s="3" t="s">
        <v>3848</v>
      </c>
      <c r="I278" s="3" t="s">
        <v>3662</v>
      </c>
      <c r="J278" s="5">
        <v>27000.0</v>
      </c>
      <c r="K278" s="5">
        <v>30000.0</v>
      </c>
      <c r="L278" s="5" t="s">
        <v>3850</v>
      </c>
      <c r="M278" s="5" t="s">
        <v>3662</v>
      </c>
      <c r="O278" s="5" t="s">
        <v>3320</v>
      </c>
      <c r="P278" s="5" t="s">
        <v>3320</v>
      </c>
      <c r="Q278" s="5" t="b">
        <v>1</v>
      </c>
      <c r="R278" s="5" t="s">
        <v>3320</v>
      </c>
    </row>
    <row r="279" ht="15.75" customHeight="1">
      <c r="A279" s="5" t="s">
        <v>5060</v>
      </c>
      <c r="B279" s="10">
        <v>45743.71564814815</v>
      </c>
      <c r="C279" s="3" t="s">
        <v>3850</v>
      </c>
      <c r="D279" s="3">
        <v>52.0</v>
      </c>
      <c r="E279" s="3" t="s">
        <v>3662</v>
      </c>
      <c r="F279" s="3">
        <v>3000.0</v>
      </c>
      <c r="G279" s="5">
        <v>500.0</v>
      </c>
      <c r="H279" s="3" t="s">
        <v>3849</v>
      </c>
      <c r="I279" s="3" t="s">
        <v>3828</v>
      </c>
      <c r="J279" s="5">
        <v>6401.0</v>
      </c>
      <c r="K279" s="5">
        <v>9401.0</v>
      </c>
      <c r="L279" s="5" t="s">
        <v>3851</v>
      </c>
      <c r="M279" s="5" t="s">
        <v>3828</v>
      </c>
      <c r="N279" s="5" t="s">
        <v>5061</v>
      </c>
      <c r="O279" s="5" t="s">
        <v>3320</v>
      </c>
      <c r="P279" s="5" t="s">
        <v>3342</v>
      </c>
      <c r="Q279" s="5" t="b">
        <v>1</v>
      </c>
      <c r="R279" s="5" t="s">
        <v>3342</v>
      </c>
    </row>
    <row r="280" ht="15.75" customHeight="1">
      <c r="A280" s="5" t="s">
        <v>5062</v>
      </c>
      <c r="B280" s="10">
        <v>45743.766122685185</v>
      </c>
      <c r="C280" s="3" t="s">
        <v>3764</v>
      </c>
      <c r="D280" s="3">
        <v>65.0</v>
      </c>
      <c r="E280" s="3" t="s">
        <v>3692</v>
      </c>
      <c r="F280" s="3">
        <v>26000.0</v>
      </c>
      <c r="G280" s="5">
        <v>48.0</v>
      </c>
      <c r="H280" s="3"/>
      <c r="I280" s="3"/>
      <c r="J280" s="5">
        <v>0.0</v>
      </c>
      <c r="K280" s="5">
        <v>26000.0</v>
      </c>
      <c r="L280" s="5" t="s">
        <v>23</v>
      </c>
      <c r="M280" s="5" t="s">
        <v>3692</v>
      </c>
      <c r="O280" s="5" t="s">
        <v>3294</v>
      </c>
      <c r="Q280" s="5" t="b">
        <v>0</v>
      </c>
      <c r="R280" s="5" t="s">
        <v>3320</v>
      </c>
    </row>
    <row r="281" ht="15.75" customHeight="1">
      <c r="A281" s="5" t="s">
        <v>5063</v>
      </c>
      <c r="B281" s="10">
        <v>45743.76678240741</v>
      </c>
      <c r="C281" s="3" t="s">
        <v>3764</v>
      </c>
      <c r="D281" s="3">
        <v>65.0</v>
      </c>
      <c r="E281" s="3" t="s">
        <v>3692</v>
      </c>
      <c r="F281" s="3">
        <v>2500.0</v>
      </c>
      <c r="G281" s="5">
        <v>47.0</v>
      </c>
      <c r="H281" s="3"/>
      <c r="I281" s="3"/>
      <c r="J281" s="5">
        <v>0.0</v>
      </c>
      <c r="K281" s="5">
        <v>2500.0</v>
      </c>
      <c r="L281" s="5" t="s">
        <v>3853</v>
      </c>
      <c r="M281" s="5" t="s">
        <v>3692</v>
      </c>
      <c r="O281" s="5" t="s">
        <v>3294</v>
      </c>
      <c r="Q281" s="5" t="b">
        <v>0</v>
      </c>
      <c r="R281" s="5" t="s">
        <v>3320</v>
      </c>
    </row>
    <row r="282" ht="15.75" customHeight="1">
      <c r="A282" s="5" t="s">
        <v>5064</v>
      </c>
      <c r="B282" s="10">
        <v>45743.76731481482</v>
      </c>
      <c r="C282" s="3" t="s">
        <v>3794</v>
      </c>
      <c r="D282" s="3">
        <v>80.0</v>
      </c>
      <c r="E282" s="3" t="s">
        <v>3563</v>
      </c>
      <c r="F282" s="3">
        <v>17500.0</v>
      </c>
      <c r="G282" s="5">
        <v>47.0</v>
      </c>
      <c r="H282" s="3" t="s">
        <v>3853</v>
      </c>
      <c r="I282" s="3" t="s">
        <v>3692</v>
      </c>
      <c r="J282" s="5">
        <v>2500.0</v>
      </c>
      <c r="K282" s="5">
        <v>20000.0</v>
      </c>
      <c r="L282" s="5" t="s">
        <v>3854</v>
      </c>
      <c r="M282" s="5" t="s">
        <v>3563</v>
      </c>
      <c r="O282" s="5" t="s">
        <v>3294</v>
      </c>
      <c r="P282" s="5" t="s">
        <v>3320</v>
      </c>
      <c r="Q282" s="5" t="b">
        <v>0</v>
      </c>
      <c r="R282" s="5" t="s">
        <v>3320</v>
      </c>
    </row>
    <row r="283" ht="15.75" customHeight="1">
      <c r="A283" s="5" t="s">
        <v>5065</v>
      </c>
      <c r="B283" s="10">
        <v>45743.76770833333</v>
      </c>
      <c r="C283" s="3" t="s">
        <v>3794</v>
      </c>
      <c r="D283" s="3">
        <v>80.0</v>
      </c>
      <c r="E283" s="3" t="s">
        <v>3563</v>
      </c>
      <c r="F283" s="3">
        <v>5500.0</v>
      </c>
      <c r="G283" s="5">
        <v>36.0</v>
      </c>
      <c r="H283" s="3"/>
      <c r="I283" s="3"/>
      <c r="J283" s="5">
        <v>0.0</v>
      </c>
      <c r="K283" s="5">
        <v>5500.0</v>
      </c>
      <c r="L283" s="5" t="s">
        <v>3856</v>
      </c>
      <c r="M283" s="5" t="s">
        <v>3563</v>
      </c>
      <c r="O283" s="5" t="s">
        <v>3320</v>
      </c>
      <c r="Q283" s="5" t="b">
        <v>0</v>
      </c>
      <c r="R283" s="5" t="s">
        <v>3320</v>
      </c>
    </row>
    <row r="284" ht="15.75" customHeight="1">
      <c r="A284" s="5" t="s">
        <v>5066</v>
      </c>
      <c r="B284" s="10">
        <v>45743.76818287037</v>
      </c>
      <c r="C284" s="3" t="s">
        <v>3647</v>
      </c>
      <c r="D284" s="3">
        <v>81.0</v>
      </c>
      <c r="E284" s="3" t="s">
        <v>3615</v>
      </c>
      <c r="F284" s="3">
        <v>14200.0</v>
      </c>
      <c r="G284" s="5">
        <v>36.0</v>
      </c>
      <c r="H284" s="3" t="s">
        <v>3856</v>
      </c>
      <c r="I284" s="3" t="s">
        <v>3563</v>
      </c>
      <c r="J284" s="5">
        <v>5500.0</v>
      </c>
      <c r="K284" s="5">
        <v>19700.0</v>
      </c>
      <c r="L284" s="5" t="s">
        <v>19</v>
      </c>
      <c r="M284" s="5" t="s">
        <v>3615</v>
      </c>
      <c r="O284" s="5" t="s">
        <v>3294</v>
      </c>
      <c r="P284" s="5" t="s">
        <v>3320</v>
      </c>
      <c r="Q284" s="5" t="b">
        <v>0</v>
      </c>
      <c r="R284" s="5" t="s">
        <v>3320</v>
      </c>
    </row>
    <row r="285" ht="15.75" customHeight="1">
      <c r="A285" s="5" t="s">
        <v>5067</v>
      </c>
      <c r="B285" s="10">
        <v>45743.768912037034</v>
      </c>
      <c r="C285" s="3" t="s">
        <v>3647</v>
      </c>
      <c r="D285" s="3">
        <v>81.0</v>
      </c>
      <c r="E285" s="3" t="s">
        <v>3615</v>
      </c>
      <c r="F285" s="3">
        <v>3000.0</v>
      </c>
      <c r="G285" s="5">
        <v>55.0</v>
      </c>
      <c r="H285" s="3"/>
      <c r="I285" s="3"/>
      <c r="J285" s="5">
        <v>0.0</v>
      </c>
      <c r="K285" s="5">
        <v>3000.0</v>
      </c>
      <c r="L285" s="5" t="s">
        <v>3857</v>
      </c>
      <c r="M285" s="5" t="s">
        <v>3615</v>
      </c>
      <c r="O285" s="5" t="s">
        <v>3294</v>
      </c>
      <c r="Q285" s="5" t="b">
        <v>0</v>
      </c>
      <c r="R285" s="5" t="s">
        <v>3320</v>
      </c>
    </row>
    <row r="286" ht="15.75" customHeight="1">
      <c r="A286" s="5" t="s">
        <v>5068</v>
      </c>
      <c r="B286" s="10">
        <v>45743.76923611111</v>
      </c>
      <c r="C286" s="3" t="s">
        <v>3647</v>
      </c>
      <c r="D286" s="3">
        <v>81.0</v>
      </c>
      <c r="E286" s="3" t="s">
        <v>3615</v>
      </c>
      <c r="F286" s="3">
        <v>1800.0</v>
      </c>
      <c r="G286" s="5">
        <v>110.0</v>
      </c>
      <c r="H286" s="3" t="s">
        <v>3713</v>
      </c>
      <c r="I286" s="3" t="s">
        <v>3706</v>
      </c>
      <c r="J286" s="5">
        <v>7000.0</v>
      </c>
      <c r="K286" s="5">
        <v>8800.0</v>
      </c>
      <c r="L286" s="5" t="s">
        <v>3859</v>
      </c>
      <c r="M286" s="5" t="s">
        <v>3706</v>
      </c>
      <c r="O286" s="5" t="s">
        <v>3294</v>
      </c>
      <c r="P286" s="5" t="s">
        <v>3320</v>
      </c>
      <c r="Q286" s="5" t="b">
        <v>1</v>
      </c>
      <c r="R286" s="5" t="s">
        <v>3320</v>
      </c>
    </row>
    <row r="287" ht="15.75" customHeight="1">
      <c r="A287" s="5" t="s">
        <v>5069</v>
      </c>
      <c r="B287" s="10">
        <v>45743.771215277775</v>
      </c>
      <c r="C287" s="3" t="s">
        <v>3347</v>
      </c>
      <c r="D287" s="3">
        <v>44.0</v>
      </c>
      <c r="E287" s="3" t="s">
        <v>3344</v>
      </c>
      <c r="F287" s="3">
        <v>3500.0</v>
      </c>
      <c r="G287" s="5">
        <v>92.0</v>
      </c>
      <c r="H287" s="3" t="s">
        <v>3833</v>
      </c>
      <c r="I287" s="3" t="s">
        <v>3275</v>
      </c>
      <c r="J287" s="5">
        <v>23800.0</v>
      </c>
      <c r="K287" s="5">
        <v>27300.0</v>
      </c>
      <c r="L287" s="5" t="s">
        <v>3860</v>
      </c>
      <c r="M287" s="5" t="s">
        <v>3275</v>
      </c>
      <c r="N287" s="5" t="s">
        <v>3337</v>
      </c>
      <c r="O287" s="5" t="s">
        <v>3337</v>
      </c>
      <c r="P287" s="5" t="s">
        <v>3294</v>
      </c>
      <c r="Q287" s="5" t="b">
        <v>1</v>
      </c>
      <c r="R287" s="5" t="s">
        <v>3294</v>
      </c>
    </row>
    <row r="288" ht="15.75" customHeight="1">
      <c r="A288" s="5" t="s">
        <v>5070</v>
      </c>
      <c r="B288" s="10">
        <v>45743.77222222222</v>
      </c>
      <c r="C288" s="3" t="s">
        <v>3721</v>
      </c>
      <c r="D288" s="3">
        <v>79.0</v>
      </c>
      <c r="E288" s="3" t="s">
        <v>3615</v>
      </c>
      <c r="F288" s="3">
        <v>19100.0</v>
      </c>
      <c r="G288" s="5">
        <v>44.0</v>
      </c>
      <c r="H288" s="3"/>
      <c r="I288" s="3"/>
      <c r="J288" s="5">
        <v>0.0</v>
      </c>
      <c r="K288" s="5">
        <v>19100.0</v>
      </c>
      <c r="L288" s="5" t="s">
        <v>21</v>
      </c>
      <c r="M288" s="5" t="s">
        <v>3615</v>
      </c>
      <c r="O288" s="5" t="s">
        <v>3294</v>
      </c>
      <c r="Q288" s="5" t="b">
        <v>0</v>
      </c>
      <c r="R288" s="5" t="s">
        <v>3294</v>
      </c>
    </row>
    <row r="289" ht="15.75" customHeight="1">
      <c r="A289" s="5" t="s">
        <v>5071</v>
      </c>
      <c r="B289" s="10">
        <v>45744.52966435185</v>
      </c>
      <c r="C289" s="3" t="s">
        <v>3721</v>
      </c>
      <c r="D289" s="3">
        <v>79.0</v>
      </c>
      <c r="E289" s="3" t="s">
        <v>3615</v>
      </c>
      <c r="F289" s="3">
        <v>2900.0</v>
      </c>
      <c r="G289" s="5">
        <v>2.0</v>
      </c>
      <c r="H289" s="3"/>
      <c r="I289" s="3"/>
      <c r="J289" s="5">
        <v>0.0</v>
      </c>
      <c r="K289" s="5">
        <v>2000.0</v>
      </c>
      <c r="L289" s="5" t="s">
        <v>3867</v>
      </c>
      <c r="M289" s="5" t="s">
        <v>3868</v>
      </c>
      <c r="O289" s="5" t="s">
        <v>3294</v>
      </c>
      <c r="Q289" s="5" t="b">
        <v>0</v>
      </c>
      <c r="R289" s="5" t="s">
        <v>3294</v>
      </c>
    </row>
    <row r="290" ht="15.75" customHeight="1">
      <c r="A290" s="5" t="s">
        <v>5072</v>
      </c>
      <c r="B290" s="10">
        <v>45744.53123842592</v>
      </c>
      <c r="C290" s="3" t="s">
        <v>3669</v>
      </c>
      <c r="D290" s="3">
        <v>90.0</v>
      </c>
      <c r="E290" s="3" t="s">
        <v>3601</v>
      </c>
      <c r="F290" s="3">
        <v>16200.0</v>
      </c>
      <c r="G290" s="5">
        <v>500.0</v>
      </c>
      <c r="H290" s="3" t="s">
        <v>3851</v>
      </c>
      <c r="I290" s="3" t="s">
        <v>3828</v>
      </c>
      <c r="J290" s="5">
        <v>9401.0</v>
      </c>
      <c r="K290" s="5">
        <v>25601.0</v>
      </c>
      <c r="L290" s="5" t="s">
        <v>3869</v>
      </c>
      <c r="M290" s="5" t="s">
        <v>3601</v>
      </c>
      <c r="O290" s="5" t="s">
        <v>3294</v>
      </c>
      <c r="P290" s="5" t="s">
        <v>3342</v>
      </c>
      <c r="Q290" s="5" t="b">
        <v>0</v>
      </c>
      <c r="R290" s="5" t="s">
        <v>3294</v>
      </c>
    </row>
    <row r="291" ht="15.75" customHeight="1">
      <c r="A291" s="5" t="s">
        <v>5073</v>
      </c>
      <c r="B291" s="10">
        <v>45744.84908564815</v>
      </c>
      <c r="C291" s="3" t="s">
        <v>3751</v>
      </c>
      <c r="D291" s="3">
        <v>69.0</v>
      </c>
      <c r="E291" s="3" t="s">
        <v>3752</v>
      </c>
      <c r="F291" s="3">
        <v>8000.0</v>
      </c>
      <c r="G291" s="5">
        <v>96.0</v>
      </c>
      <c r="H291" s="3"/>
      <c r="I291" s="3"/>
      <c r="J291" s="5">
        <v>0.0</v>
      </c>
      <c r="K291" s="5">
        <v>8000.0</v>
      </c>
      <c r="L291" s="5" t="s">
        <v>3870</v>
      </c>
      <c r="M291" s="5" t="s">
        <v>3752</v>
      </c>
      <c r="O291" s="5" t="s">
        <v>3457</v>
      </c>
      <c r="Q291" s="5" t="b">
        <v>0</v>
      </c>
      <c r="R291" s="5" t="s">
        <v>3320</v>
      </c>
    </row>
    <row r="292" ht="15.75" customHeight="1">
      <c r="A292" s="5" t="s">
        <v>5074</v>
      </c>
      <c r="B292" s="10">
        <v>45744.849641203706</v>
      </c>
      <c r="C292" s="3" t="s">
        <v>3731</v>
      </c>
      <c r="D292" s="3">
        <v>82.0</v>
      </c>
      <c r="E292" s="3" t="s">
        <v>3730</v>
      </c>
      <c r="F292" s="3">
        <v>28000.0</v>
      </c>
      <c r="G292" s="5">
        <v>96.0</v>
      </c>
      <c r="H292" s="3" t="s">
        <v>3870</v>
      </c>
      <c r="I292" s="3" t="s">
        <v>3752</v>
      </c>
      <c r="J292" s="5">
        <v>8000.0</v>
      </c>
      <c r="K292" s="5">
        <v>36000.0</v>
      </c>
      <c r="L292" s="5" t="s">
        <v>3871</v>
      </c>
      <c r="M292" s="5" t="s">
        <v>3752</v>
      </c>
      <c r="O292" s="5" t="s">
        <v>3457</v>
      </c>
      <c r="P292" s="5" t="s">
        <v>3320</v>
      </c>
      <c r="Q292" s="5" t="b">
        <v>1</v>
      </c>
      <c r="R292" s="5" t="s">
        <v>3320</v>
      </c>
    </row>
    <row r="293" ht="15.75" customHeight="1">
      <c r="A293" s="5" t="s">
        <v>5075</v>
      </c>
      <c r="B293" s="10">
        <v>45744.863657407404</v>
      </c>
      <c r="C293" s="3" t="s">
        <v>3470</v>
      </c>
      <c r="D293" s="3">
        <v>15.0</v>
      </c>
      <c r="E293" s="3" t="s">
        <v>3411</v>
      </c>
      <c r="F293" s="3">
        <v>36500.0</v>
      </c>
      <c r="G293" s="5">
        <v>25.0</v>
      </c>
      <c r="H293" s="3"/>
      <c r="I293" s="3"/>
      <c r="J293" s="5">
        <v>0.0</v>
      </c>
      <c r="K293" s="5">
        <v>36500.0</v>
      </c>
      <c r="L293" s="5" t="s">
        <v>3875</v>
      </c>
      <c r="M293" s="5" t="s">
        <v>3272</v>
      </c>
      <c r="O293" s="5" t="s">
        <v>3320</v>
      </c>
      <c r="Q293" s="5" t="b">
        <v>0</v>
      </c>
      <c r="R293" s="5" t="s">
        <v>3605</v>
      </c>
    </row>
    <row r="294" ht="15.75" customHeight="1">
      <c r="A294" s="5" t="s">
        <v>5076</v>
      </c>
      <c r="B294" s="10">
        <v>45744.864328703705</v>
      </c>
      <c r="C294" s="3" t="s">
        <v>3517</v>
      </c>
      <c r="D294" s="3">
        <v>14.0</v>
      </c>
      <c r="E294" s="3" t="s">
        <v>3445</v>
      </c>
      <c r="F294" s="3">
        <v>37000.0</v>
      </c>
      <c r="G294" s="5">
        <v>25.0</v>
      </c>
      <c r="H294" s="3" t="s">
        <v>3875</v>
      </c>
      <c r="I294" s="3" t="s">
        <v>3272</v>
      </c>
      <c r="J294" s="5">
        <v>36500.0</v>
      </c>
      <c r="K294" s="5">
        <v>73500.0</v>
      </c>
      <c r="L294" s="5" t="s">
        <v>3876</v>
      </c>
      <c r="M294" s="5" t="s">
        <v>3272</v>
      </c>
      <c r="O294" s="5" t="s">
        <v>3320</v>
      </c>
      <c r="P294" s="5" t="s">
        <v>3605</v>
      </c>
      <c r="Q294" s="5" t="b">
        <v>1</v>
      </c>
      <c r="R294" s="5" t="s">
        <v>3605</v>
      </c>
    </row>
    <row r="295" ht="15.75" customHeight="1">
      <c r="A295" s="5" t="s">
        <v>5077</v>
      </c>
      <c r="B295" s="10">
        <v>45744.86487268518</v>
      </c>
      <c r="C295" s="3" t="s">
        <v>3516</v>
      </c>
      <c r="D295" s="3">
        <v>11.0</v>
      </c>
      <c r="E295" s="3" t="s">
        <v>3445</v>
      </c>
      <c r="F295" s="3">
        <v>36000.0</v>
      </c>
      <c r="G295" s="5">
        <v>25.0</v>
      </c>
      <c r="H295" s="3" t="s">
        <v>3876</v>
      </c>
      <c r="I295" s="3" t="s">
        <v>3272</v>
      </c>
      <c r="J295" s="5">
        <v>73500.0</v>
      </c>
      <c r="K295" s="5">
        <v>109500.0</v>
      </c>
      <c r="L295" s="5" t="s">
        <v>3877</v>
      </c>
      <c r="M295" s="5" t="s">
        <v>3272</v>
      </c>
      <c r="O295" s="5" t="s">
        <v>3320</v>
      </c>
      <c r="P295" s="5" t="s">
        <v>3605</v>
      </c>
      <c r="Q295" s="5" t="b">
        <v>1</v>
      </c>
      <c r="R295" s="5" t="s">
        <v>3605</v>
      </c>
    </row>
    <row r="296" ht="15.75" customHeight="1">
      <c r="A296" s="5" t="s">
        <v>5078</v>
      </c>
      <c r="B296" s="10">
        <v>45744.865208333336</v>
      </c>
      <c r="C296" s="3" t="s">
        <v>3496</v>
      </c>
      <c r="D296" s="3">
        <v>34.0</v>
      </c>
      <c r="E296" s="3" t="s">
        <v>3456</v>
      </c>
      <c r="F296" s="3">
        <v>39500.0</v>
      </c>
      <c r="G296" s="5">
        <v>25.0</v>
      </c>
      <c r="H296" s="3" t="s">
        <v>3877</v>
      </c>
      <c r="I296" s="3" t="s">
        <v>3272</v>
      </c>
      <c r="J296" s="5">
        <v>109500.0</v>
      </c>
      <c r="K296" s="5">
        <v>149000.0</v>
      </c>
      <c r="L296" s="5" t="s">
        <v>3878</v>
      </c>
      <c r="M296" s="5" t="s">
        <v>3272</v>
      </c>
      <c r="O296" s="5" t="s">
        <v>3320</v>
      </c>
      <c r="P296" s="5" t="s">
        <v>3605</v>
      </c>
      <c r="Q296" s="5" t="b">
        <v>1</v>
      </c>
      <c r="R296" s="5" t="s">
        <v>3605</v>
      </c>
    </row>
    <row r="297" ht="15.75" customHeight="1">
      <c r="A297" s="5" t="s">
        <v>5079</v>
      </c>
      <c r="B297" s="10">
        <v>45745.50078703704</v>
      </c>
      <c r="C297" s="3" t="s">
        <v>3500</v>
      </c>
      <c r="D297" s="3">
        <v>121.0</v>
      </c>
      <c r="E297" s="3" t="s">
        <v>3474</v>
      </c>
      <c r="F297" s="3">
        <v>45300.0</v>
      </c>
      <c r="G297" s="5">
        <v>25.0</v>
      </c>
      <c r="H297" s="3" t="s">
        <v>3878</v>
      </c>
      <c r="I297" s="3" t="s">
        <v>3272</v>
      </c>
      <c r="J297" s="5">
        <v>149000.0</v>
      </c>
      <c r="K297" s="5">
        <v>194300.0</v>
      </c>
      <c r="L297" s="5" t="s">
        <v>3879</v>
      </c>
      <c r="M297" s="5" t="s">
        <v>3272</v>
      </c>
      <c r="O297" s="5" t="s">
        <v>3320</v>
      </c>
      <c r="P297" s="5" t="s">
        <v>3605</v>
      </c>
      <c r="Q297" s="5" t="b">
        <v>1</v>
      </c>
      <c r="R297" s="5" t="s">
        <v>3605</v>
      </c>
    </row>
    <row r="298" ht="15.75" customHeight="1">
      <c r="A298" s="5" t="s">
        <v>5080</v>
      </c>
      <c r="B298" s="10">
        <v>45745.50127314815</v>
      </c>
      <c r="C298" s="3" t="s">
        <v>3500</v>
      </c>
      <c r="D298" s="3">
        <v>121.0</v>
      </c>
      <c r="E298" s="3" t="s">
        <v>3474</v>
      </c>
      <c r="F298" s="3">
        <v>36000.0</v>
      </c>
      <c r="G298" s="5">
        <v>11.0</v>
      </c>
      <c r="H298" s="3"/>
      <c r="I298" s="3"/>
      <c r="J298" s="5">
        <v>0.0</v>
      </c>
      <c r="K298" s="5">
        <v>36000.0</v>
      </c>
      <c r="L298" s="5" t="s">
        <v>3881</v>
      </c>
      <c r="M298" s="5" t="s">
        <v>3474</v>
      </c>
      <c r="O298" s="5" t="s">
        <v>3320</v>
      </c>
      <c r="Q298" s="5" t="b">
        <v>0</v>
      </c>
      <c r="R298" s="5" t="s">
        <v>3320</v>
      </c>
    </row>
    <row r="299" ht="15.75" customHeight="1">
      <c r="A299" s="5" t="s">
        <v>5081</v>
      </c>
      <c r="B299" s="10">
        <v>45745.501493055555</v>
      </c>
      <c r="C299" s="3" t="s">
        <v>3500</v>
      </c>
      <c r="D299" s="3">
        <v>121.0</v>
      </c>
      <c r="E299" s="3" t="s">
        <v>3474</v>
      </c>
      <c r="F299" s="3">
        <v>4500.0</v>
      </c>
      <c r="G299" s="5">
        <v>110.0</v>
      </c>
      <c r="H299" s="3" t="s">
        <v>3859</v>
      </c>
      <c r="I299" s="3" t="s">
        <v>3706</v>
      </c>
      <c r="J299" s="5">
        <v>8800.0</v>
      </c>
      <c r="K299" s="5">
        <v>15600.0</v>
      </c>
      <c r="L299" s="5" t="s">
        <v>3883</v>
      </c>
      <c r="M299" s="5" t="s">
        <v>3706</v>
      </c>
      <c r="O299" s="5" t="s">
        <v>3320</v>
      </c>
      <c r="P299" s="5" t="s">
        <v>3320</v>
      </c>
      <c r="Q299" s="5" t="b">
        <v>1</v>
      </c>
      <c r="R299" s="5" t="s">
        <v>3320</v>
      </c>
    </row>
    <row r="300" ht="15.75" customHeight="1">
      <c r="A300" s="5" t="s">
        <v>5082</v>
      </c>
      <c r="B300" s="10">
        <v>45747.757210648146</v>
      </c>
      <c r="C300" s="3" t="s">
        <v>3353</v>
      </c>
      <c r="D300" s="3">
        <v>49.0</v>
      </c>
      <c r="E300" s="3" t="s">
        <v>3349</v>
      </c>
      <c r="F300" s="3">
        <v>7300.0</v>
      </c>
      <c r="G300" s="5">
        <v>92.0</v>
      </c>
      <c r="H300" s="3" t="s">
        <v>3860</v>
      </c>
      <c r="I300" s="3" t="s">
        <v>3275</v>
      </c>
      <c r="J300" s="5">
        <v>39000.0</v>
      </c>
      <c r="K300" s="5">
        <v>46300.0</v>
      </c>
      <c r="L300" s="5" t="s">
        <v>3884</v>
      </c>
      <c r="M300" s="5" t="s">
        <v>3275</v>
      </c>
      <c r="O300" s="5" t="s">
        <v>3337</v>
      </c>
      <c r="P300" s="5" t="s">
        <v>3294</v>
      </c>
      <c r="Q300" s="5" t="b">
        <v>1</v>
      </c>
      <c r="R300" s="5" t="s">
        <v>3294</v>
      </c>
    </row>
    <row r="301" ht="15.75" customHeight="1">
      <c r="A301" s="5" t="s">
        <v>5083</v>
      </c>
      <c r="B301" s="10">
        <v>45747.75770833333</v>
      </c>
      <c r="C301" s="3" t="s">
        <v>3353</v>
      </c>
      <c r="D301" s="3">
        <v>49.0</v>
      </c>
      <c r="E301" s="3" t="s">
        <v>3349</v>
      </c>
      <c r="F301" s="3">
        <v>9600.0</v>
      </c>
      <c r="G301" s="5">
        <v>91.0</v>
      </c>
      <c r="H301" s="3" t="s">
        <v>3835</v>
      </c>
      <c r="I301" s="3" t="s">
        <v>3662</v>
      </c>
      <c r="J301" s="5">
        <v>49700.0</v>
      </c>
      <c r="K301" s="5">
        <v>59300.0</v>
      </c>
      <c r="L301" s="5" t="s">
        <v>3886</v>
      </c>
      <c r="M301" s="5" t="s">
        <v>3662</v>
      </c>
      <c r="O301" s="5" t="s">
        <v>3337</v>
      </c>
      <c r="P301" s="5" t="s">
        <v>3294</v>
      </c>
      <c r="Q301" s="5" t="b">
        <v>1</v>
      </c>
      <c r="R301" s="5" t="s">
        <v>3294</v>
      </c>
    </row>
    <row r="302" ht="15.75" customHeight="1">
      <c r="A302" s="5" t="s">
        <v>5084</v>
      </c>
      <c r="B302" s="10">
        <v>45747.75934027778</v>
      </c>
      <c r="C302" s="3" t="s">
        <v>3343</v>
      </c>
      <c r="D302" s="3">
        <v>41.0</v>
      </c>
      <c r="E302" s="3" t="s">
        <v>3344</v>
      </c>
      <c r="F302" s="3">
        <v>1800.0</v>
      </c>
      <c r="G302" s="5">
        <v>69.0</v>
      </c>
      <c r="H302" s="3" t="s">
        <v>3873</v>
      </c>
      <c r="I302" s="3" t="s">
        <v>3874</v>
      </c>
      <c r="J302" s="5">
        <v>5850.0</v>
      </c>
      <c r="K302" s="5">
        <v>7650.0</v>
      </c>
      <c r="L302" s="5" t="s">
        <v>3888</v>
      </c>
      <c r="M302" s="5" t="s">
        <v>3874</v>
      </c>
      <c r="O302" s="5" t="s">
        <v>3337</v>
      </c>
      <c r="P302" s="5" t="s">
        <v>3294</v>
      </c>
      <c r="Q302" s="5" t="b">
        <v>1</v>
      </c>
      <c r="R302" s="5" t="s">
        <v>3294</v>
      </c>
    </row>
    <row r="303" ht="15.75" customHeight="1">
      <c r="A303" s="5" t="s">
        <v>5085</v>
      </c>
      <c r="B303" s="10">
        <v>45747.79472222222</v>
      </c>
      <c r="C303" s="3" t="s">
        <v>3357</v>
      </c>
      <c r="D303" s="3">
        <v>74.0</v>
      </c>
      <c r="E303" s="3" t="s">
        <v>3346</v>
      </c>
      <c r="F303" s="3">
        <v>6700.0</v>
      </c>
      <c r="G303" s="5">
        <v>125.0</v>
      </c>
      <c r="H303" s="3"/>
      <c r="I303" s="3"/>
      <c r="J303" s="5">
        <v>0.0</v>
      </c>
      <c r="K303" s="5">
        <v>6700.0</v>
      </c>
      <c r="L303" s="5" t="s">
        <v>3889</v>
      </c>
      <c r="M303" s="5" t="s">
        <v>3346</v>
      </c>
      <c r="O303" s="5" t="s">
        <v>3342</v>
      </c>
      <c r="Q303" s="5" t="b">
        <v>0</v>
      </c>
      <c r="R303" s="5" t="s">
        <v>3342</v>
      </c>
    </row>
    <row r="304" ht="15.75" customHeight="1">
      <c r="A304" s="5" t="s">
        <v>5086</v>
      </c>
      <c r="B304" s="10">
        <v>45747.79515046296</v>
      </c>
      <c r="C304" s="3" t="s">
        <v>3364</v>
      </c>
      <c r="D304" s="3">
        <v>111.0</v>
      </c>
      <c r="E304" s="3" t="s">
        <v>3365</v>
      </c>
      <c r="F304" s="3">
        <v>1600.0</v>
      </c>
      <c r="G304" s="5">
        <v>125.0</v>
      </c>
      <c r="H304" s="3" t="s">
        <v>3889</v>
      </c>
      <c r="I304" s="3" t="s">
        <v>3346</v>
      </c>
      <c r="J304" s="5">
        <v>6700.0</v>
      </c>
      <c r="K304" s="5">
        <v>8300.0</v>
      </c>
      <c r="L304" s="5" t="s">
        <v>3890</v>
      </c>
      <c r="M304" s="5" t="s">
        <v>3346</v>
      </c>
      <c r="O304" s="5" t="s">
        <v>3342</v>
      </c>
      <c r="P304" s="5" t="s">
        <v>3342</v>
      </c>
      <c r="Q304" s="5" t="b">
        <v>1</v>
      </c>
      <c r="R304" s="5" t="s">
        <v>3342</v>
      </c>
    </row>
    <row r="305" ht="15.75" customHeight="1">
      <c r="A305" s="5" t="s">
        <v>5087</v>
      </c>
      <c r="B305" s="10">
        <v>45747.79565972222</v>
      </c>
      <c r="C305" s="3" t="s">
        <v>3739</v>
      </c>
      <c r="D305" s="3">
        <v>68.0</v>
      </c>
      <c r="E305" s="3" t="s">
        <v>3588</v>
      </c>
      <c r="F305" s="3">
        <v>1040.0</v>
      </c>
      <c r="G305" s="5">
        <v>74.0</v>
      </c>
      <c r="H305" s="3" t="s">
        <v>3357</v>
      </c>
      <c r="I305" s="3" t="s">
        <v>3346</v>
      </c>
      <c r="J305" s="5">
        <v>6300.0</v>
      </c>
      <c r="K305" s="5">
        <v>7340.0</v>
      </c>
      <c r="L305" s="5" t="s">
        <v>3891</v>
      </c>
      <c r="M305" s="5" t="s">
        <v>3346</v>
      </c>
      <c r="O305" s="5" t="s">
        <v>3320</v>
      </c>
      <c r="P305" s="5" t="s">
        <v>3342</v>
      </c>
      <c r="Q305" s="5" t="b">
        <v>1</v>
      </c>
      <c r="R305" s="5" t="s">
        <v>3342</v>
      </c>
    </row>
    <row r="306" ht="15.75" customHeight="1">
      <c r="A306" s="5" t="s">
        <v>5088</v>
      </c>
      <c r="B306" s="10">
        <v>45747.796261574076</v>
      </c>
      <c r="C306" s="3" t="s">
        <v>3739</v>
      </c>
      <c r="D306" s="3">
        <v>68.0</v>
      </c>
      <c r="E306" s="3" t="s">
        <v>3588</v>
      </c>
      <c r="F306" s="3">
        <v>800.0</v>
      </c>
      <c r="G306" s="5">
        <v>111.0</v>
      </c>
      <c r="H306" s="3" t="s">
        <v>3364</v>
      </c>
      <c r="I306" s="3" t="s">
        <v>3365</v>
      </c>
      <c r="J306" s="5">
        <v>2400.0</v>
      </c>
      <c r="K306" s="5">
        <v>3200.0</v>
      </c>
      <c r="L306" s="5" t="s">
        <v>3892</v>
      </c>
      <c r="M306" s="5" t="s">
        <v>3365</v>
      </c>
      <c r="O306" s="5" t="s">
        <v>3320</v>
      </c>
      <c r="P306" s="5" t="s">
        <v>3342</v>
      </c>
      <c r="Q306" s="5" t="b">
        <v>1</v>
      </c>
      <c r="R306" s="5" t="s">
        <v>3342</v>
      </c>
    </row>
    <row r="307" ht="15.75" customHeight="1">
      <c r="A307" s="5" t="s">
        <v>5089</v>
      </c>
      <c r="B307" s="10">
        <v>45747.796631944446</v>
      </c>
      <c r="C307" s="3" t="s">
        <v>3728</v>
      </c>
      <c r="D307" s="3">
        <v>103.0</v>
      </c>
      <c r="E307" s="3" t="s">
        <v>3466</v>
      </c>
      <c r="F307" s="3">
        <v>5660.0</v>
      </c>
      <c r="G307" s="5">
        <v>74.0</v>
      </c>
      <c r="H307" s="3" t="s">
        <v>3891</v>
      </c>
      <c r="I307" s="3" t="s">
        <v>3346</v>
      </c>
      <c r="J307" s="5">
        <v>7340.0</v>
      </c>
      <c r="K307" s="5">
        <v>13000.0</v>
      </c>
      <c r="L307" s="5" t="s">
        <v>3893</v>
      </c>
      <c r="M307" s="5" t="s">
        <v>3346</v>
      </c>
      <c r="O307" s="5" t="s">
        <v>3320</v>
      </c>
      <c r="P307" s="5" t="s">
        <v>3342</v>
      </c>
      <c r="Q307" s="5" t="b">
        <v>1</v>
      </c>
      <c r="R307" s="5" t="s">
        <v>3342</v>
      </c>
    </row>
    <row r="308" ht="15.75" customHeight="1">
      <c r="A308" s="5" t="s">
        <v>5090</v>
      </c>
      <c r="B308" s="10">
        <v>45747.79696759259</v>
      </c>
      <c r="C308" s="3" t="s">
        <v>3728</v>
      </c>
      <c r="D308" s="3">
        <v>103.0</v>
      </c>
      <c r="E308" s="3" t="s">
        <v>3466</v>
      </c>
      <c r="F308" s="3">
        <v>400.0</v>
      </c>
      <c r="G308" s="5">
        <v>111.0</v>
      </c>
      <c r="H308" s="3" t="s">
        <v>3892</v>
      </c>
      <c r="I308" s="3" t="s">
        <v>3365</v>
      </c>
      <c r="J308" s="5">
        <v>3200.0</v>
      </c>
      <c r="K308" s="5">
        <v>3600.0</v>
      </c>
      <c r="L308" s="5" t="s">
        <v>3896</v>
      </c>
      <c r="M308" s="5" t="s">
        <v>3365</v>
      </c>
      <c r="O308" s="5" t="s">
        <v>3320</v>
      </c>
      <c r="P308" s="5" t="s">
        <v>3342</v>
      </c>
      <c r="Q308" s="5" t="b">
        <v>1</v>
      </c>
      <c r="R308" s="5" t="s">
        <v>3342</v>
      </c>
    </row>
    <row r="309" ht="15.75" customHeight="1">
      <c r="A309" s="5" t="s">
        <v>5091</v>
      </c>
      <c r="B309" s="10">
        <v>45747.79818287037</v>
      </c>
      <c r="C309" s="3" t="s">
        <v>3734</v>
      </c>
      <c r="D309" s="3">
        <v>114.0</v>
      </c>
      <c r="E309" s="3" t="s">
        <v>3272</v>
      </c>
      <c r="F309" s="3">
        <v>400.0</v>
      </c>
      <c r="G309" s="5">
        <v>111.0</v>
      </c>
      <c r="H309" s="3" t="s">
        <v>3896</v>
      </c>
      <c r="I309" s="3" t="s">
        <v>3365</v>
      </c>
      <c r="J309" s="5">
        <v>3600.0</v>
      </c>
      <c r="K309" s="5">
        <v>4000.0</v>
      </c>
      <c r="L309" s="5" t="s">
        <v>3897</v>
      </c>
      <c r="M309" s="5" t="s">
        <v>3365</v>
      </c>
      <c r="O309" s="5" t="s">
        <v>3605</v>
      </c>
      <c r="P309" s="5" t="s">
        <v>3342</v>
      </c>
      <c r="Q309" s="5" t="b">
        <v>1</v>
      </c>
      <c r="R309" s="5" t="s">
        <v>3342</v>
      </c>
    </row>
    <row r="310" ht="15.75" customHeight="1">
      <c r="A310" s="5" t="s">
        <v>5092</v>
      </c>
      <c r="B310" s="10">
        <v>45747.79922453704</v>
      </c>
      <c r="C310" s="3" t="s">
        <v>3890</v>
      </c>
      <c r="D310" s="3">
        <v>125.0</v>
      </c>
      <c r="E310" s="3" t="s">
        <v>3346</v>
      </c>
      <c r="F310" s="3">
        <v>7060.0</v>
      </c>
      <c r="G310" s="5">
        <v>103.0</v>
      </c>
      <c r="H310" s="3" t="s">
        <v>3728</v>
      </c>
      <c r="I310" s="3" t="s">
        <v>3466</v>
      </c>
      <c r="J310" s="5">
        <v>23940.0</v>
      </c>
      <c r="K310" s="5">
        <v>31000.0</v>
      </c>
      <c r="L310" s="5" t="s">
        <v>3899</v>
      </c>
      <c r="M310" s="5" t="s">
        <v>3466</v>
      </c>
      <c r="O310" s="5" t="s">
        <v>3342</v>
      </c>
      <c r="P310" s="5" t="s">
        <v>3320</v>
      </c>
      <c r="Q310" s="5" t="b">
        <v>1</v>
      </c>
      <c r="R310" s="5" t="s">
        <v>3320</v>
      </c>
    </row>
    <row r="311" ht="15.75" customHeight="1">
      <c r="A311" s="5" t="s">
        <v>5093</v>
      </c>
      <c r="B311" s="10">
        <v>45748.67482638889</v>
      </c>
      <c r="C311" s="3" t="s">
        <v>3353</v>
      </c>
      <c r="D311" s="3">
        <v>49.0</v>
      </c>
      <c r="E311" s="3" t="s">
        <v>3349</v>
      </c>
      <c r="F311" s="3">
        <v>-2800.0</v>
      </c>
      <c r="G311" s="5">
        <v>500.0</v>
      </c>
      <c r="H311" s="3" t="s">
        <v>3869</v>
      </c>
      <c r="I311" s="3" t="s">
        <v>3601</v>
      </c>
      <c r="J311" s="5">
        <v>25601.0</v>
      </c>
      <c r="K311" s="5">
        <v>22801.0</v>
      </c>
      <c r="L311" s="5" t="s">
        <v>3900</v>
      </c>
      <c r="M311" s="5" t="s">
        <v>3595</v>
      </c>
      <c r="O311" s="5" t="s">
        <v>3337</v>
      </c>
      <c r="P311" s="5" t="s">
        <v>3294</v>
      </c>
      <c r="Q311" s="5" t="b">
        <v>1</v>
      </c>
      <c r="R311" s="5" t="s">
        <v>3294</v>
      </c>
    </row>
    <row r="312" ht="15.75" customHeight="1">
      <c r="A312" s="5" t="s">
        <v>5094</v>
      </c>
      <c r="B312" s="10">
        <v>45748.675474537034</v>
      </c>
      <c r="C312" s="3" t="s">
        <v>3788</v>
      </c>
      <c r="D312" s="3">
        <v>88.0</v>
      </c>
      <c r="E312" s="3" t="s">
        <v>3662</v>
      </c>
      <c r="F312" s="3">
        <v>20800.0</v>
      </c>
      <c r="G312" s="5">
        <v>49.0</v>
      </c>
      <c r="H312" s="3"/>
      <c r="I312" s="3"/>
      <c r="J312" s="5">
        <v>0.0</v>
      </c>
      <c r="K312" s="5">
        <v>20800.0</v>
      </c>
      <c r="L312" s="5" t="s">
        <v>3902</v>
      </c>
      <c r="M312" s="5" t="s">
        <v>3903</v>
      </c>
      <c r="N312" s="5" t="s">
        <v>5095</v>
      </c>
      <c r="O312" s="5" t="s">
        <v>3294</v>
      </c>
      <c r="Q312" s="5" t="b">
        <v>0</v>
      </c>
      <c r="R312" s="5" t="s">
        <v>3294</v>
      </c>
    </row>
    <row r="313" ht="15.75" customHeight="1">
      <c r="A313" s="5" t="s">
        <v>5096</v>
      </c>
      <c r="B313" s="10">
        <v>45748.677881944444</v>
      </c>
      <c r="C313" s="3" t="s">
        <v>3904</v>
      </c>
      <c r="D313" s="3">
        <v>127.0</v>
      </c>
      <c r="E313" s="3" t="s">
        <v>3905</v>
      </c>
      <c r="F313" s="3">
        <v>22100.0</v>
      </c>
      <c r="G313" s="5">
        <v>88.0</v>
      </c>
      <c r="H313" s="3" t="s">
        <v>3788</v>
      </c>
      <c r="I313" s="3" t="s">
        <v>3662</v>
      </c>
      <c r="J313" s="5">
        <v>15100.0</v>
      </c>
      <c r="K313" s="5">
        <v>37200.0</v>
      </c>
      <c r="L313" s="5" t="s">
        <v>3907</v>
      </c>
      <c r="M313" s="5" t="s">
        <v>3908</v>
      </c>
      <c r="P313" s="5" t="s">
        <v>3294</v>
      </c>
      <c r="Q313" s="5" t="b">
        <v>0</v>
      </c>
      <c r="R313" s="5" t="s">
        <v>3457</v>
      </c>
    </row>
    <row r="314" ht="15.75" customHeight="1">
      <c r="A314" s="5" t="s">
        <v>5097</v>
      </c>
      <c r="B314" s="10">
        <v>45748.806875</v>
      </c>
      <c r="C314" s="3" t="s">
        <v>3890</v>
      </c>
      <c r="D314" s="3">
        <v>125.0</v>
      </c>
      <c r="E314" s="3" t="s">
        <v>3346</v>
      </c>
      <c r="F314" s="3">
        <v>1240.0</v>
      </c>
      <c r="G314" s="5">
        <v>68.0</v>
      </c>
      <c r="H314" s="3" t="s">
        <v>3739</v>
      </c>
      <c r="I314" s="3" t="s">
        <v>3588</v>
      </c>
      <c r="J314" s="5">
        <v>11160.0</v>
      </c>
      <c r="K314" s="5">
        <v>13000.0</v>
      </c>
      <c r="L314" s="5" t="s">
        <v>3913</v>
      </c>
      <c r="M314" s="5" t="s">
        <v>3588</v>
      </c>
      <c r="O314" s="5" t="s">
        <v>3342</v>
      </c>
      <c r="P314" s="5" t="s">
        <v>3320</v>
      </c>
      <c r="Q314" s="5" t="b">
        <v>1</v>
      </c>
      <c r="R314" s="5" t="s">
        <v>3320</v>
      </c>
    </row>
    <row r="315" ht="15.75" customHeight="1">
      <c r="A315" s="5"/>
      <c r="B315" s="10"/>
      <c r="C315" s="3"/>
      <c r="D315" s="3"/>
      <c r="E315" s="3"/>
      <c r="F315" s="3"/>
      <c r="G315" s="5"/>
      <c r="H315" s="3"/>
      <c r="I315" s="3"/>
      <c r="J315" s="5"/>
      <c r="K315" s="5"/>
      <c r="L315" s="5"/>
      <c r="M315" s="5"/>
      <c r="O315" s="5"/>
      <c r="Q315" s="5"/>
      <c r="R315" s="5"/>
    </row>
    <row r="316" ht="15.75" customHeight="1">
      <c r="A316" s="5" t="s">
        <v>5098</v>
      </c>
      <c r="B316" s="10">
        <v>45748.815671296295</v>
      </c>
      <c r="C316" s="3" t="s">
        <v>3374</v>
      </c>
      <c r="D316" s="3">
        <v>54.0</v>
      </c>
      <c r="E316" s="3" t="s">
        <v>3373</v>
      </c>
      <c r="F316" s="3">
        <v>-3000.0</v>
      </c>
      <c r="G316" s="5">
        <v>500.0</v>
      </c>
      <c r="H316" s="3" t="s">
        <v>3916</v>
      </c>
      <c r="I316" s="3" t="s">
        <v>3915</v>
      </c>
      <c r="J316" s="5">
        <v>5001.0</v>
      </c>
      <c r="K316" s="5">
        <v>2001.0</v>
      </c>
      <c r="L316" s="5" t="s">
        <v>3917</v>
      </c>
      <c r="M316" s="5" t="s">
        <v>3915</v>
      </c>
      <c r="O316" s="5" t="s">
        <v>3337</v>
      </c>
      <c r="P316" s="5" t="s">
        <v>3342</v>
      </c>
      <c r="Q316" s="5" t="b">
        <v>1</v>
      </c>
      <c r="R316" s="5" t="s">
        <v>3342</v>
      </c>
    </row>
    <row r="317" ht="15.75" customHeight="1">
      <c r="A317" s="5" t="s">
        <v>5099</v>
      </c>
      <c r="B317" s="10">
        <v>45748.8172337963</v>
      </c>
      <c r="C317" s="3" t="s">
        <v>3535</v>
      </c>
      <c r="D317" s="3">
        <v>931.0</v>
      </c>
      <c r="E317" s="3" t="s">
        <v>3368</v>
      </c>
      <c r="F317" s="3">
        <v>500.0</v>
      </c>
      <c r="G317" s="5">
        <v>500.0</v>
      </c>
      <c r="H317" s="3" t="s">
        <v>3917</v>
      </c>
      <c r="I317" s="3" t="s">
        <v>3915</v>
      </c>
      <c r="J317" s="5">
        <v>2001.0</v>
      </c>
      <c r="K317" s="5">
        <v>2501.0</v>
      </c>
      <c r="L317" s="5" t="s">
        <v>3918</v>
      </c>
      <c r="M317" s="5" t="s">
        <v>3915</v>
      </c>
      <c r="N317" s="5" t="s">
        <v>5100</v>
      </c>
      <c r="O317" s="5" t="s">
        <v>3342</v>
      </c>
      <c r="P317" s="5" t="s">
        <v>3342</v>
      </c>
      <c r="Q317" s="5" t="b">
        <v>1</v>
      </c>
      <c r="R317" s="5" t="s">
        <v>3342</v>
      </c>
    </row>
    <row r="318" ht="15.75" customHeight="1">
      <c r="A318" s="5" t="s">
        <v>5101</v>
      </c>
      <c r="B318" s="10">
        <v>45748.81898148148</v>
      </c>
      <c r="C318" s="3" t="s">
        <v>3795</v>
      </c>
      <c r="D318" s="3">
        <v>95.0</v>
      </c>
      <c r="E318" s="3" t="s">
        <v>3272</v>
      </c>
      <c r="F318" s="3">
        <v>-6500.0</v>
      </c>
      <c r="G318" s="5">
        <v>500.0</v>
      </c>
      <c r="H318" s="3" t="s">
        <v>3918</v>
      </c>
      <c r="I318" s="3" t="s">
        <v>3915</v>
      </c>
      <c r="J318" s="5">
        <v>2501.0</v>
      </c>
      <c r="K318" s="5">
        <v>-3999.0</v>
      </c>
      <c r="L318" s="5" t="s">
        <v>3919</v>
      </c>
      <c r="M318" s="5" t="s">
        <v>3915</v>
      </c>
      <c r="O318" s="5" t="s">
        <v>3320</v>
      </c>
      <c r="P318" s="5" t="s">
        <v>3342</v>
      </c>
      <c r="Q318" s="5" t="b">
        <v>1</v>
      </c>
      <c r="R318" s="5" t="s">
        <v>3342</v>
      </c>
    </row>
    <row r="319" ht="15.75" customHeight="1">
      <c r="A319" s="5" t="s">
        <v>5102</v>
      </c>
      <c r="B319" s="10">
        <v>45748.819699074076</v>
      </c>
      <c r="C319" s="3" t="s">
        <v>3871</v>
      </c>
      <c r="D319" s="3">
        <v>96.0</v>
      </c>
      <c r="E319" s="3" t="s">
        <v>3752</v>
      </c>
      <c r="F319" s="3">
        <v>-10000.0</v>
      </c>
      <c r="G319" s="5">
        <v>500.0</v>
      </c>
      <c r="H319" s="3" t="s">
        <v>3919</v>
      </c>
      <c r="I319" s="3" t="s">
        <v>3915</v>
      </c>
      <c r="J319" s="5">
        <v>-3999.0</v>
      </c>
      <c r="K319" s="5">
        <v>-13999.0</v>
      </c>
      <c r="L319" s="5" t="s">
        <v>3920</v>
      </c>
      <c r="M319" s="5" t="s">
        <v>3915</v>
      </c>
      <c r="O319" s="5" t="s">
        <v>3320</v>
      </c>
      <c r="P319" s="5" t="s">
        <v>3342</v>
      </c>
      <c r="Q319" s="5" t="b">
        <v>1</v>
      </c>
      <c r="R319" s="5" t="s">
        <v>3342</v>
      </c>
    </row>
    <row r="320" ht="15.75" customHeight="1">
      <c r="A320" s="5" t="s">
        <v>5103</v>
      </c>
      <c r="B320" s="10">
        <v>45748.82053240741</v>
      </c>
      <c r="C320" s="3" t="s">
        <v>3899</v>
      </c>
      <c r="D320" s="3">
        <v>103.0</v>
      </c>
      <c r="E320" s="3" t="s">
        <v>3466</v>
      </c>
      <c r="F320" s="3">
        <v>1000.0</v>
      </c>
      <c r="G320" s="5">
        <v>500.0</v>
      </c>
      <c r="H320" s="3" t="s">
        <v>3920</v>
      </c>
      <c r="I320" s="3" t="s">
        <v>3915</v>
      </c>
      <c r="J320" s="5">
        <v>-13999.0</v>
      </c>
      <c r="K320" s="5">
        <v>-12999.0</v>
      </c>
      <c r="L320" s="5" t="s">
        <v>3921</v>
      </c>
      <c r="M320" s="5" t="s">
        <v>3915</v>
      </c>
      <c r="O320" s="5" t="s">
        <v>3320</v>
      </c>
      <c r="P320" s="5" t="s">
        <v>3342</v>
      </c>
      <c r="Q320" s="5" t="b">
        <v>1</v>
      </c>
      <c r="R320" s="5" t="s">
        <v>3342</v>
      </c>
    </row>
    <row r="321" ht="15.75" customHeight="1">
      <c r="A321" s="5" t="s">
        <v>5104</v>
      </c>
      <c r="B321" s="10">
        <v>45748.82098379629</v>
      </c>
      <c r="C321" s="3" t="s">
        <v>3779</v>
      </c>
      <c r="D321" s="3">
        <v>105.0</v>
      </c>
      <c r="E321" s="3" t="s">
        <v>3601</v>
      </c>
      <c r="F321" s="3">
        <v>-3000.0</v>
      </c>
      <c r="G321" s="5">
        <v>500.0</v>
      </c>
      <c r="H321" s="3" t="s">
        <v>3921</v>
      </c>
      <c r="I321" s="3" t="s">
        <v>3915</v>
      </c>
      <c r="J321" s="5">
        <v>-12999.0</v>
      </c>
      <c r="K321" s="5">
        <v>-15999.0</v>
      </c>
      <c r="L321" s="6" t="s">
        <v>3922</v>
      </c>
      <c r="M321" s="5" t="s">
        <v>3915</v>
      </c>
      <c r="O321" s="5" t="s">
        <v>3320</v>
      </c>
      <c r="P321" s="5" t="s">
        <v>3342</v>
      </c>
      <c r="Q321" s="5" t="b">
        <v>1</v>
      </c>
      <c r="R321" s="5" t="s">
        <v>3342</v>
      </c>
    </row>
    <row r="322" ht="15.75" customHeight="1">
      <c r="A322" s="5" t="s">
        <v>5105</v>
      </c>
      <c r="B322" s="10">
        <v>45748.82145833333</v>
      </c>
      <c r="C322" s="3" t="s">
        <v>3774</v>
      </c>
      <c r="D322" s="3">
        <v>109.0</v>
      </c>
      <c r="E322" s="3" t="s">
        <v>3583</v>
      </c>
      <c r="F322" s="3">
        <v>-600.0</v>
      </c>
      <c r="G322" s="5">
        <v>500.0</v>
      </c>
      <c r="H322" s="4" t="s">
        <v>3922</v>
      </c>
      <c r="I322" s="3" t="s">
        <v>3915</v>
      </c>
      <c r="J322" s="5">
        <v>-15999.0</v>
      </c>
      <c r="K322" s="5">
        <v>-16599.0</v>
      </c>
      <c r="L322" s="5" t="s">
        <v>3923</v>
      </c>
      <c r="M322" s="5" t="s">
        <v>3583</v>
      </c>
      <c r="O322" s="5" t="s">
        <v>3320</v>
      </c>
      <c r="P322" s="5" t="s">
        <v>3342</v>
      </c>
      <c r="Q322" s="5" t="b">
        <v>0</v>
      </c>
      <c r="R322" s="5" t="s">
        <v>3320</v>
      </c>
    </row>
    <row r="323" ht="15.75" customHeight="1">
      <c r="A323" s="5" t="s">
        <v>5106</v>
      </c>
      <c r="B323" s="10">
        <v>45748.823530092595</v>
      </c>
      <c r="C323" s="3" t="s">
        <v>3734</v>
      </c>
      <c r="D323" s="3">
        <v>114.0</v>
      </c>
      <c r="E323" s="3" t="s">
        <v>3272</v>
      </c>
      <c r="F323" s="3">
        <v>-400.0</v>
      </c>
      <c r="G323" s="5">
        <v>500.0</v>
      </c>
      <c r="H323" s="3" t="s">
        <v>3923</v>
      </c>
      <c r="I323" s="3" t="s">
        <v>3915</v>
      </c>
      <c r="J323" s="5">
        <v>-16599.0</v>
      </c>
      <c r="K323" s="5">
        <v>-16999.0</v>
      </c>
      <c r="L323" s="5" t="s">
        <v>3924</v>
      </c>
      <c r="M323" s="5" t="s">
        <v>3915</v>
      </c>
      <c r="O323" s="5" t="s">
        <v>3605</v>
      </c>
      <c r="P323" s="5" t="s">
        <v>3320</v>
      </c>
      <c r="Q323" s="5" t="b">
        <v>1</v>
      </c>
      <c r="R323" s="5" t="s">
        <v>3320</v>
      </c>
    </row>
    <row r="324" ht="15.75" customHeight="1">
      <c r="A324" s="5" t="s">
        <v>5107</v>
      </c>
      <c r="B324" s="10">
        <v>45749.418703703705</v>
      </c>
      <c r="C324" s="3" t="s">
        <v>3886</v>
      </c>
      <c r="D324" s="3">
        <v>91.0</v>
      </c>
      <c r="E324" s="3" t="s">
        <v>3662</v>
      </c>
      <c r="F324" s="3">
        <v>35500.0</v>
      </c>
      <c r="G324" s="5">
        <v>34.0</v>
      </c>
      <c r="H324" s="3"/>
      <c r="I324" s="3"/>
      <c r="J324" s="5">
        <v>0.0</v>
      </c>
      <c r="K324" s="5">
        <v>35500.0</v>
      </c>
      <c r="L324" s="5" t="s">
        <v>3925</v>
      </c>
      <c r="M324" s="5" t="s">
        <v>3662</v>
      </c>
      <c r="O324" s="5" t="s">
        <v>3294</v>
      </c>
      <c r="Q324" s="5" t="b">
        <v>0</v>
      </c>
      <c r="R324" s="5" t="s">
        <v>3320</v>
      </c>
    </row>
    <row r="325" ht="15.75" customHeight="1">
      <c r="A325" s="5" t="s">
        <v>5108</v>
      </c>
      <c r="B325" s="10">
        <v>45749.42612268519</v>
      </c>
      <c r="C325" s="3" t="s">
        <v>3927</v>
      </c>
      <c r="D325" s="3">
        <v>77.0</v>
      </c>
      <c r="E325" s="3" t="s">
        <v>3905</v>
      </c>
      <c r="F325" s="3">
        <v>17000.0</v>
      </c>
      <c r="G325" s="5">
        <v>91.0</v>
      </c>
      <c r="H325" s="3" t="s">
        <v>3886</v>
      </c>
      <c r="I325" s="3" t="s">
        <v>3662</v>
      </c>
      <c r="J325" s="5">
        <v>23800.0</v>
      </c>
      <c r="K325" s="5">
        <v>40800.0</v>
      </c>
      <c r="L325" s="5" t="s">
        <v>3931</v>
      </c>
      <c r="M325" s="5" t="s">
        <v>3932</v>
      </c>
      <c r="O325" s="5" t="s">
        <v>3294</v>
      </c>
      <c r="P325" s="5" t="s">
        <v>3294</v>
      </c>
      <c r="Q325" s="5" t="b">
        <v>0</v>
      </c>
      <c r="R325" s="5" t="s">
        <v>3457</v>
      </c>
    </row>
    <row r="326" ht="15.75" customHeight="1">
      <c r="A326" s="5" t="s">
        <v>5109</v>
      </c>
      <c r="B326" s="10">
        <v>45749.4318287037</v>
      </c>
      <c r="C326" s="3" t="s">
        <v>3929</v>
      </c>
      <c r="D326" s="3">
        <v>78.0</v>
      </c>
      <c r="E326" s="3" t="s">
        <v>3905</v>
      </c>
      <c r="F326" s="3">
        <v>21500.0</v>
      </c>
      <c r="G326" s="5">
        <v>91.0</v>
      </c>
      <c r="H326" s="3" t="s">
        <v>3931</v>
      </c>
      <c r="I326" s="3" t="s">
        <v>3932</v>
      </c>
      <c r="J326" s="5">
        <v>40800.0</v>
      </c>
      <c r="K326" s="5">
        <v>62300.0</v>
      </c>
      <c r="L326" s="5" t="s">
        <v>3933</v>
      </c>
      <c r="M326" s="5" t="s">
        <v>3932</v>
      </c>
      <c r="O326" s="5" t="s">
        <v>3294</v>
      </c>
      <c r="P326" s="5" t="s">
        <v>3457</v>
      </c>
      <c r="Q326" s="5" t="b">
        <v>1</v>
      </c>
      <c r="R326" s="5" t="s">
        <v>3457</v>
      </c>
    </row>
    <row r="327" ht="15.75" customHeight="1">
      <c r="A327" s="5" t="s">
        <v>5110</v>
      </c>
      <c r="B327" s="10">
        <v>45749.44225694444</v>
      </c>
      <c r="C327" s="3" t="s">
        <v>3842</v>
      </c>
      <c r="D327" s="3">
        <v>115.0</v>
      </c>
      <c r="E327" s="3" t="s">
        <v>3662</v>
      </c>
      <c r="F327" s="3">
        <v>120200.0</v>
      </c>
      <c r="G327" s="5">
        <v>24.0</v>
      </c>
      <c r="H327" s="3"/>
      <c r="I327" s="3"/>
      <c r="J327" s="5">
        <v>0.0</v>
      </c>
      <c r="K327" s="5">
        <v>120200.0</v>
      </c>
      <c r="L327" s="5" t="s">
        <v>3934</v>
      </c>
      <c r="M327" s="5" t="s">
        <v>3662</v>
      </c>
      <c r="O327" s="5" t="s">
        <v>3320</v>
      </c>
      <c r="Q327" s="5" t="b">
        <v>0</v>
      </c>
      <c r="R327" s="5" t="s">
        <v>3320</v>
      </c>
    </row>
    <row r="328" ht="15.75" customHeight="1">
      <c r="A328" s="5" t="s">
        <v>5111</v>
      </c>
      <c r="B328" s="10">
        <v>45749.44256944444</v>
      </c>
      <c r="C328" s="3" t="s">
        <v>3871</v>
      </c>
      <c r="D328" s="3">
        <v>96.0</v>
      </c>
      <c r="E328" s="3" t="s">
        <v>3752</v>
      </c>
      <c r="F328" s="3">
        <v>46000.0</v>
      </c>
      <c r="G328" s="5">
        <v>24.0</v>
      </c>
      <c r="H328" s="3" t="s">
        <v>3934</v>
      </c>
      <c r="I328" s="3" t="s">
        <v>3662</v>
      </c>
      <c r="J328" s="5">
        <v>120200.0</v>
      </c>
      <c r="K328" s="5">
        <v>166200.0</v>
      </c>
      <c r="L328" s="5" t="s">
        <v>3935</v>
      </c>
      <c r="M328" s="5" t="s">
        <v>3583</v>
      </c>
      <c r="O328" s="5" t="s">
        <v>3320</v>
      </c>
      <c r="P328" s="5" t="s">
        <v>3320</v>
      </c>
      <c r="Q328" s="5" t="b">
        <v>1</v>
      </c>
      <c r="R328" s="5" t="s">
        <v>3605</v>
      </c>
    </row>
    <row r="329" ht="15.75" customHeight="1">
      <c r="A329" s="5" t="s">
        <v>5112</v>
      </c>
      <c r="B329" s="10">
        <v>45749.44332175926</v>
      </c>
      <c r="C329" s="3" t="s">
        <v>3776</v>
      </c>
      <c r="D329" s="3">
        <v>108.0</v>
      </c>
      <c r="E329" s="3" t="s">
        <v>3583</v>
      </c>
      <c r="F329" s="3">
        <v>20400.0</v>
      </c>
      <c r="G329" s="5">
        <v>24.0</v>
      </c>
      <c r="H329" s="3" t="s">
        <v>3935</v>
      </c>
      <c r="I329" s="3" t="s">
        <v>3583</v>
      </c>
      <c r="J329" s="5">
        <v>166200.0</v>
      </c>
      <c r="K329" s="5">
        <v>186600.0</v>
      </c>
      <c r="L329" s="6" t="s">
        <v>3936</v>
      </c>
      <c r="M329" s="5" t="s">
        <v>3583</v>
      </c>
      <c r="O329" s="5" t="s">
        <v>3320</v>
      </c>
      <c r="P329" s="5" t="s">
        <v>3605</v>
      </c>
      <c r="Q329" s="5" t="b">
        <v>1</v>
      </c>
      <c r="R329" s="5" t="s">
        <v>3605</v>
      </c>
    </row>
    <row r="330" ht="15.75" customHeight="1">
      <c r="A330" s="5" t="s">
        <v>5113</v>
      </c>
      <c r="B330" s="10">
        <v>45749.443773148145</v>
      </c>
      <c r="C330" s="3" t="s">
        <v>3776</v>
      </c>
      <c r="D330" s="3">
        <v>108.0</v>
      </c>
      <c r="E330" s="3" t="s">
        <v>3583</v>
      </c>
      <c r="F330" s="3">
        <v>9600.0</v>
      </c>
      <c r="G330" s="5">
        <v>94.0</v>
      </c>
      <c r="H330" s="3"/>
      <c r="I330" s="3"/>
      <c r="J330" s="5">
        <v>0.0</v>
      </c>
      <c r="K330" s="5">
        <v>9600.0</v>
      </c>
      <c r="L330" s="5" t="s">
        <v>3938</v>
      </c>
      <c r="M330" s="5" t="s">
        <v>3706</v>
      </c>
      <c r="O330" s="5" t="s">
        <v>3320</v>
      </c>
      <c r="Q330" s="5" t="b">
        <v>0</v>
      </c>
      <c r="R330" s="5" t="s">
        <v>3320</v>
      </c>
    </row>
    <row r="331" ht="15.75" customHeight="1">
      <c r="A331" s="5" t="s">
        <v>5114</v>
      </c>
      <c r="B331" s="10">
        <v>45750.73092592593</v>
      </c>
      <c r="C331" s="3" t="s">
        <v>3806</v>
      </c>
      <c r="D331" s="3">
        <v>84.0</v>
      </c>
      <c r="E331" s="3" t="s">
        <v>3745</v>
      </c>
      <c r="F331" s="3">
        <v>50000.0</v>
      </c>
      <c r="G331" s="5">
        <v>121.0</v>
      </c>
      <c r="H331" s="3"/>
      <c r="I331" s="3"/>
      <c r="J331" s="5">
        <v>0.0</v>
      </c>
      <c r="K331" s="5">
        <v>50000.0</v>
      </c>
      <c r="L331" s="5" t="s">
        <v>3944</v>
      </c>
      <c r="M331" s="5" t="s">
        <v>3745</v>
      </c>
      <c r="N331" s="5" t="s">
        <v>4810</v>
      </c>
      <c r="O331" s="5" t="s">
        <v>3294</v>
      </c>
      <c r="Q331" s="5" t="b">
        <v>0</v>
      </c>
      <c r="R331" s="5" t="s">
        <v>3320</v>
      </c>
    </row>
    <row r="332" ht="15.75" customHeight="1">
      <c r="A332" s="5" t="s">
        <v>5115</v>
      </c>
      <c r="B332" s="10">
        <v>45750.731840277775</v>
      </c>
      <c r="C332" s="3" t="s">
        <v>3791</v>
      </c>
      <c r="D332" s="3">
        <v>89.0</v>
      </c>
      <c r="E332" s="3" t="s">
        <v>3745</v>
      </c>
      <c r="F332" s="3">
        <v>35800.0</v>
      </c>
      <c r="G332" s="5">
        <v>121.0</v>
      </c>
      <c r="H332" s="3" t="s">
        <v>3944</v>
      </c>
      <c r="I332" s="3" t="s">
        <v>3745</v>
      </c>
      <c r="J332" s="5">
        <v>50000.0</v>
      </c>
      <c r="K332" s="5">
        <v>85800.0</v>
      </c>
      <c r="L332" s="5" t="s">
        <v>3945</v>
      </c>
      <c r="M332" s="5" t="s">
        <v>3745</v>
      </c>
      <c r="O332" s="5" t="s">
        <v>3294</v>
      </c>
      <c r="P332" s="5" t="s">
        <v>3320</v>
      </c>
      <c r="Q332" s="5" t="b">
        <v>1</v>
      </c>
      <c r="R332" s="5" t="s">
        <v>3320</v>
      </c>
    </row>
    <row r="333" ht="15.75" customHeight="1">
      <c r="A333" s="5" t="s">
        <v>5116</v>
      </c>
      <c r="B333" s="10">
        <v>45750.73231481481</v>
      </c>
      <c r="C333" s="3" t="s">
        <v>3791</v>
      </c>
      <c r="D333" s="3">
        <v>89.0</v>
      </c>
      <c r="E333" s="3" t="s">
        <v>3745</v>
      </c>
      <c r="F333" s="3">
        <v>15200.0</v>
      </c>
      <c r="G333" s="5">
        <v>14.0</v>
      </c>
      <c r="H333" s="3"/>
      <c r="I333" s="3"/>
      <c r="J333" s="5">
        <v>0.0</v>
      </c>
      <c r="K333" s="5">
        <v>15200.0</v>
      </c>
      <c r="L333" s="5" t="s">
        <v>3946</v>
      </c>
      <c r="M333" s="5" t="s">
        <v>3745</v>
      </c>
      <c r="O333" s="5" t="s">
        <v>3294</v>
      </c>
      <c r="Q333" s="5" t="b">
        <v>0</v>
      </c>
      <c r="R333" s="5" t="s">
        <v>3320</v>
      </c>
    </row>
    <row r="334" ht="15.75" customHeight="1">
      <c r="A334" s="5" t="s">
        <v>5117</v>
      </c>
      <c r="B334" s="10">
        <v>45750.73268518518</v>
      </c>
      <c r="C334" s="3" t="s">
        <v>3884</v>
      </c>
      <c r="D334" s="3">
        <v>92.0</v>
      </c>
      <c r="E334" s="3" t="s">
        <v>3275</v>
      </c>
      <c r="F334" s="3">
        <v>21800.0</v>
      </c>
      <c r="G334" s="5">
        <v>14.0</v>
      </c>
      <c r="H334" s="3" t="s">
        <v>3946</v>
      </c>
      <c r="I334" s="3" t="s">
        <v>3745</v>
      </c>
      <c r="J334" s="5">
        <v>15200.0</v>
      </c>
      <c r="K334" s="5">
        <v>37000.0</v>
      </c>
      <c r="L334" s="5" t="s">
        <v>3947</v>
      </c>
      <c r="M334" s="5" t="s">
        <v>3745</v>
      </c>
      <c r="O334" s="5" t="s">
        <v>3294</v>
      </c>
      <c r="P334" s="5" t="s">
        <v>3320</v>
      </c>
      <c r="Q334" s="5" t="b">
        <v>1</v>
      </c>
      <c r="R334" s="5" t="s">
        <v>3320</v>
      </c>
    </row>
    <row r="335" ht="15.75" customHeight="1">
      <c r="A335" s="5" t="s">
        <v>5118</v>
      </c>
      <c r="B335" s="10">
        <v>45750.73297453704</v>
      </c>
      <c r="C335" s="3" t="s">
        <v>3884</v>
      </c>
      <c r="D335" s="3">
        <v>92.0</v>
      </c>
      <c r="E335" s="3" t="s">
        <v>3275</v>
      </c>
      <c r="F335" s="3">
        <v>24500.0</v>
      </c>
      <c r="G335" s="5">
        <v>15.0</v>
      </c>
      <c r="H335" s="3"/>
      <c r="I335" s="3"/>
      <c r="J335" s="5">
        <v>0.0</v>
      </c>
      <c r="K335" s="5">
        <v>24500.0</v>
      </c>
      <c r="L335" s="5" t="s">
        <v>3948</v>
      </c>
      <c r="M335" s="5" t="s">
        <v>3275</v>
      </c>
      <c r="O335" s="5" t="s">
        <v>3294</v>
      </c>
      <c r="Q335" s="5" t="b">
        <v>0</v>
      </c>
      <c r="R335" s="5" t="s">
        <v>3320</v>
      </c>
    </row>
    <row r="336" ht="15.75" customHeight="1">
      <c r="A336" s="5" t="s">
        <v>5119</v>
      </c>
      <c r="B336" s="10">
        <v>45750.73378472222</v>
      </c>
      <c r="C336" s="3" t="s">
        <v>3795</v>
      </c>
      <c r="D336" s="3">
        <v>95.0</v>
      </c>
      <c r="E336" s="3" t="s">
        <v>3272</v>
      </c>
      <c r="F336" s="3">
        <v>59000.0</v>
      </c>
      <c r="G336" s="5">
        <v>115.0</v>
      </c>
      <c r="H336" s="3"/>
      <c r="I336" s="3"/>
      <c r="J336" s="5">
        <v>0.0</v>
      </c>
      <c r="K336" s="5">
        <v>59000.0</v>
      </c>
      <c r="L336" s="5" t="s">
        <v>3950</v>
      </c>
      <c r="M336" s="5" t="s">
        <v>3272</v>
      </c>
      <c r="O336" s="5" t="s">
        <v>3320</v>
      </c>
      <c r="Q336" s="5" t="b">
        <v>0</v>
      </c>
      <c r="R336" s="5" t="s">
        <v>3605</v>
      </c>
    </row>
    <row r="337" ht="15.75" customHeight="1">
      <c r="A337" s="5" t="s">
        <v>5120</v>
      </c>
      <c r="B337" s="10">
        <v>45750.73625</v>
      </c>
      <c r="C337" s="3" t="s">
        <v>3747</v>
      </c>
      <c r="D337" s="3">
        <v>104.0</v>
      </c>
      <c r="E337" s="3" t="s">
        <v>3638</v>
      </c>
      <c r="F337" s="3">
        <v>30000.0</v>
      </c>
      <c r="G337" s="5">
        <v>115.0</v>
      </c>
      <c r="H337" s="3" t="s">
        <v>3950</v>
      </c>
      <c r="I337" s="3" t="s">
        <v>3272</v>
      </c>
      <c r="J337" s="5">
        <v>59000.0</v>
      </c>
      <c r="K337" s="5">
        <v>89000.0</v>
      </c>
      <c r="L337" s="5" t="s">
        <v>3951</v>
      </c>
      <c r="M337" s="5" t="s">
        <v>3380</v>
      </c>
      <c r="O337" s="5" t="s">
        <v>3320</v>
      </c>
      <c r="P337" s="5" t="s">
        <v>3605</v>
      </c>
      <c r="Q337" s="5" t="b">
        <v>1</v>
      </c>
      <c r="R337" s="5" t="s">
        <v>3605</v>
      </c>
    </row>
    <row r="338" ht="15.75" customHeight="1">
      <c r="A338" s="5" t="s">
        <v>5121</v>
      </c>
      <c r="B338" s="10">
        <v>45750.73700231482</v>
      </c>
      <c r="C338" s="3" t="s">
        <v>3779</v>
      </c>
      <c r="D338" s="3">
        <v>105.0</v>
      </c>
      <c r="E338" s="3" t="s">
        <v>3601</v>
      </c>
      <c r="F338" s="3">
        <v>29000.0</v>
      </c>
      <c r="G338" s="5">
        <v>115.0</v>
      </c>
      <c r="H338" s="3" t="s">
        <v>3951</v>
      </c>
      <c r="I338" s="3" t="s">
        <v>3380</v>
      </c>
      <c r="J338" s="5">
        <v>89000.0</v>
      </c>
      <c r="K338" s="5">
        <v>118000.0</v>
      </c>
      <c r="L338" s="5" t="s">
        <v>3952</v>
      </c>
      <c r="M338" s="5" t="s">
        <v>3380</v>
      </c>
      <c r="O338" s="5" t="s">
        <v>3320</v>
      </c>
      <c r="P338" s="5" t="s">
        <v>3605</v>
      </c>
      <c r="Q338" s="5" t="b">
        <v>1</v>
      </c>
      <c r="R338" s="5" t="s">
        <v>3605</v>
      </c>
    </row>
    <row r="339" ht="15.75" customHeight="1">
      <c r="A339" s="5" t="s">
        <v>5122</v>
      </c>
      <c r="B339" s="10">
        <v>45751.49334490741</v>
      </c>
      <c r="C339" s="3" t="s">
        <v>3907</v>
      </c>
      <c r="D339" s="3">
        <v>88.0</v>
      </c>
      <c r="E339" s="3" t="s">
        <v>3908</v>
      </c>
      <c r="F339" s="3">
        <v>31000.0</v>
      </c>
      <c r="G339" s="5">
        <v>127.0</v>
      </c>
      <c r="H339" s="3"/>
      <c r="I339" s="3"/>
      <c r="J339" s="5">
        <v>0.0</v>
      </c>
      <c r="K339" s="5">
        <v>31000.0</v>
      </c>
      <c r="L339" s="5" t="s">
        <v>3960</v>
      </c>
      <c r="M339" s="5" t="s">
        <v>3908</v>
      </c>
      <c r="O339" s="5" t="s">
        <v>3457</v>
      </c>
      <c r="Q339" s="5" t="b">
        <v>0</v>
      </c>
      <c r="R339" s="5" t="s">
        <v>3320</v>
      </c>
    </row>
    <row r="340" ht="15.75" customHeight="1">
      <c r="A340" s="5" t="s">
        <v>5123</v>
      </c>
      <c r="B340" s="10">
        <v>45751.49459490741</v>
      </c>
      <c r="C340" s="3" t="s">
        <v>3907</v>
      </c>
      <c r="D340" s="3">
        <v>88.0</v>
      </c>
      <c r="E340" s="3" t="s">
        <v>3908</v>
      </c>
      <c r="F340" s="3">
        <v>6200.0</v>
      </c>
      <c r="G340" s="5">
        <v>91.0</v>
      </c>
      <c r="H340" s="3" t="s">
        <v>3933</v>
      </c>
      <c r="I340" s="3" t="s">
        <v>3932</v>
      </c>
      <c r="J340" s="5">
        <v>62300.0</v>
      </c>
      <c r="K340" s="5">
        <v>68500.0</v>
      </c>
      <c r="L340" s="5" t="s">
        <v>3962</v>
      </c>
      <c r="M340" s="5" t="s">
        <v>3932</v>
      </c>
      <c r="O340" s="5" t="s">
        <v>3457</v>
      </c>
      <c r="P340" s="5" t="s">
        <v>3457</v>
      </c>
      <c r="Q340" s="5" t="b">
        <v>1</v>
      </c>
      <c r="R340" s="5" t="s">
        <v>3457</v>
      </c>
    </row>
    <row r="341" ht="15.75" customHeight="1">
      <c r="A341" s="5" t="s">
        <v>5124</v>
      </c>
      <c r="B341" s="10">
        <v>45751.88756944444</v>
      </c>
      <c r="C341" s="3" t="s">
        <v>3962</v>
      </c>
      <c r="D341" s="3">
        <v>91.0</v>
      </c>
      <c r="E341" s="3" t="s">
        <v>3932</v>
      </c>
      <c r="F341" s="3">
        <v>31000.0</v>
      </c>
      <c r="G341" s="5">
        <v>108.0</v>
      </c>
      <c r="H341" s="3"/>
      <c r="I341" s="3"/>
      <c r="J341" s="5">
        <v>0.0</v>
      </c>
      <c r="K341" s="5">
        <v>31000.0</v>
      </c>
      <c r="L341" s="5" t="s">
        <v>3972</v>
      </c>
      <c r="M341" s="5" t="s">
        <v>3973</v>
      </c>
      <c r="O341" s="5" t="s">
        <v>3320</v>
      </c>
      <c r="Q341" s="5" t="b">
        <v>0</v>
      </c>
      <c r="R341" s="5" t="s">
        <v>3320</v>
      </c>
    </row>
    <row r="342" ht="15.75" customHeight="1">
      <c r="A342" s="5" t="s">
        <v>5125</v>
      </c>
      <c r="B342" s="10">
        <v>45751.88832175926</v>
      </c>
      <c r="C342" s="3" t="s">
        <v>3962</v>
      </c>
      <c r="D342" s="3">
        <v>91.0</v>
      </c>
      <c r="E342" s="3" t="s">
        <v>3932</v>
      </c>
      <c r="F342" s="3">
        <v>31000.0</v>
      </c>
      <c r="G342" s="5">
        <v>104.0</v>
      </c>
      <c r="H342" s="3"/>
      <c r="I342" s="3"/>
      <c r="J342" s="5">
        <v>0.0</v>
      </c>
      <c r="K342" s="5">
        <v>31000.0</v>
      </c>
      <c r="L342" s="5" t="s">
        <v>3975</v>
      </c>
      <c r="M342" s="5" t="s">
        <v>3273</v>
      </c>
      <c r="O342" s="5" t="s">
        <v>3457</v>
      </c>
      <c r="Q342" s="5" t="b">
        <v>0</v>
      </c>
      <c r="R342" s="5" t="s">
        <v>3320</v>
      </c>
    </row>
    <row r="343" ht="15.75" customHeight="1">
      <c r="A343" s="5" t="s">
        <v>5126</v>
      </c>
      <c r="B343" s="10">
        <v>45751.888761574075</v>
      </c>
      <c r="C343" s="3" t="s">
        <v>3962</v>
      </c>
      <c r="D343" s="3">
        <v>91.0</v>
      </c>
      <c r="E343" s="3" t="s">
        <v>3932</v>
      </c>
      <c r="F343" s="3">
        <v>6500.0</v>
      </c>
      <c r="G343" s="5">
        <v>105.0</v>
      </c>
      <c r="H343" s="3"/>
      <c r="I343" s="3"/>
      <c r="J343" s="5">
        <v>0.0</v>
      </c>
      <c r="K343" s="5">
        <v>6500.0</v>
      </c>
      <c r="L343" s="5" t="s">
        <v>3976</v>
      </c>
      <c r="M343" s="5" t="s">
        <v>3932</v>
      </c>
      <c r="O343" s="5" t="s">
        <v>3457</v>
      </c>
      <c r="Q343" s="5" t="b">
        <v>0</v>
      </c>
      <c r="R343" s="5" t="s">
        <v>3320</v>
      </c>
    </row>
    <row r="344" ht="15.75" customHeight="1">
      <c r="A344" s="5" t="s">
        <v>5127</v>
      </c>
      <c r="B344" s="10">
        <v>45751.89892361111</v>
      </c>
      <c r="C344" s="3" t="s">
        <v>3742</v>
      </c>
      <c r="D344" s="3">
        <v>71.0</v>
      </c>
      <c r="E344" s="3" t="s">
        <v>3588</v>
      </c>
      <c r="F344" s="3">
        <v>5000.0</v>
      </c>
      <c r="G344" s="5">
        <v>70.0</v>
      </c>
      <c r="H344" s="3"/>
      <c r="I344" s="3"/>
      <c r="J344" s="5">
        <v>0.0</v>
      </c>
      <c r="K344" s="5">
        <v>5000.0</v>
      </c>
      <c r="L344" s="5" t="s">
        <v>3977</v>
      </c>
      <c r="M344" s="5" t="s">
        <v>3588</v>
      </c>
      <c r="N344" s="5" t="s">
        <v>5128</v>
      </c>
      <c r="O344" s="5" t="s">
        <v>3294</v>
      </c>
      <c r="Q344" s="5" t="b">
        <v>0</v>
      </c>
      <c r="R344" s="5" t="s">
        <v>3320</v>
      </c>
    </row>
    <row r="345" ht="15.75" customHeight="1">
      <c r="A345" s="5" t="s">
        <v>5129</v>
      </c>
      <c r="B345" s="10">
        <v>45751.89922453704</v>
      </c>
      <c r="C345" s="3" t="s">
        <v>3811</v>
      </c>
      <c r="D345" s="3">
        <v>72.0</v>
      </c>
      <c r="E345" s="3" t="s">
        <v>3588</v>
      </c>
      <c r="F345" s="3">
        <v>5000.0</v>
      </c>
      <c r="G345" s="5">
        <v>70.0</v>
      </c>
      <c r="H345" s="3" t="s">
        <v>3977</v>
      </c>
      <c r="I345" s="3" t="s">
        <v>3588</v>
      </c>
      <c r="J345" s="5">
        <v>5000.0</v>
      </c>
      <c r="K345" s="5">
        <v>10000.0</v>
      </c>
      <c r="L345" s="5" t="s">
        <v>3978</v>
      </c>
      <c r="M345" s="5" t="s">
        <v>3588</v>
      </c>
      <c r="N345" s="5" t="s">
        <v>5128</v>
      </c>
      <c r="O345" s="5" t="s">
        <v>3294</v>
      </c>
      <c r="P345" s="5" t="s">
        <v>3320</v>
      </c>
      <c r="Q345" s="5" t="b">
        <v>1</v>
      </c>
      <c r="R345" s="5" t="s">
        <v>3320</v>
      </c>
    </row>
    <row r="346" ht="15.75" customHeight="1">
      <c r="A346" s="5" t="s">
        <v>5130</v>
      </c>
      <c r="B346" s="10">
        <v>45751.8996412037</v>
      </c>
      <c r="C346" s="3" t="s">
        <v>3941</v>
      </c>
      <c r="D346" s="3">
        <v>87.0</v>
      </c>
      <c r="E346" s="3" t="s">
        <v>3942</v>
      </c>
      <c r="F346" s="3">
        <v>5000.0</v>
      </c>
      <c r="G346" s="5">
        <v>71.0</v>
      </c>
      <c r="H346" s="3" t="s">
        <v>3742</v>
      </c>
      <c r="I346" s="3" t="s">
        <v>3588</v>
      </c>
      <c r="J346" s="5">
        <v>3500.0</v>
      </c>
      <c r="K346" s="5">
        <v>8500.0</v>
      </c>
      <c r="L346" s="5" t="s">
        <v>3980</v>
      </c>
      <c r="M346" s="5" t="s">
        <v>3981</v>
      </c>
      <c r="O346" s="5" t="s">
        <v>3457</v>
      </c>
      <c r="P346" s="5" t="s">
        <v>3294</v>
      </c>
      <c r="Q346" s="5" t="b">
        <v>0</v>
      </c>
      <c r="R346" s="5" t="s">
        <v>3294</v>
      </c>
    </row>
    <row r="347" ht="15.75" customHeight="1">
      <c r="A347" s="5" t="s">
        <v>5131</v>
      </c>
      <c r="B347" s="10">
        <v>45751.90042824074</v>
      </c>
      <c r="C347" s="3" t="s">
        <v>3941</v>
      </c>
      <c r="D347" s="3">
        <v>87.0</v>
      </c>
      <c r="E347" s="3" t="s">
        <v>3942</v>
      </c>
      <c r="F347" s="3">
        <v>5000.0</v>
      </c>
      <c r="G347" s="5">
        <v>72.0</v>
      </c>
      <c r="H347" s="3" t="s">
        <v>3811</v>
      </c>
      <c r="I347" s="3" t="s">
        <v>3588</v>
      </c>
      <c r="J347" s="5">
        <v>3000.0</v>
      </c>
      <c r="K347" s="5">
        <v>8000.0</v>
      </c>
      <c r="L347" s="5" t="s">
        <v>3982</v>
      </c>
      <c r="M347" s="5" t="s">
        <v>3981</v>
      </c>
      <c r="O347" s="5" t="s">
        <v>3294</v>
      </c>
      <c r="P347" s="5" t="s">
        <v>3294</v>
      </c>
      <c r="Q347" s="5" t="b">
        <v>0</v>
      </c>
      <c r="R347" s="5" t="s">
        <v>3457</v>
      </c>
    </row>
    <row r="348" ht="15.75" customHeight="1">
      <c r="A348" s="5" t="s">
        <v>5132</v>
      </c>
      <c r="B348" s="10">
        <v>45751.90362268518</v>
      </c>
      <c r="C348" s="3" t="s">
        <v>3948</v>
      </c>
      <c r="D348" s="3">
        <v>15.0</v>
      </c>
      <c r="E348" s="3" t="s">
        <v>3275</v>
      </c>
      <c r="F348" s="3">
        <v>4000.0</v>
      </c>
      <c r="G348" s="5">
        <v>500.0</v>
      </c>
      <c r="H348" s="3" t="s">
        <v>3924</v>
      </c>
      <c r="I348" s="3" t="s">
        <v>3915</v>
      </c>
      <c r="J348" s="5">
        <v>-16999.0</v>
      </c>
      <c r="K348" s="5">
        <v>-12999.0</v>
      </c>
      <c r="L348" s="5" t="s">
        <v>3984</v>
      </c>
      <c r="M348" s="5" t="s">
        <v>3915</v>
      </c>
      <c r="O348" s="5" t="s">
        <v>3320</v>
      </c>
      <c r="P348" s="5" t="s">
        <v>3320</v>
      </c>
      <c r="Q348" s="5" t="b">
        <v>1</v>
      </c>
      <c r="R348" s="5" t="s">
        <v>3320</v>
      </c>
    </row>
    <row r="349" ht="15.75" customHeight="1">
      <c r="A349" s="5" t="s">
        <v>5133</v>
      </c>
      <c r="B349" s="10">
        <v>45751.904398148145</v>
      </c>
      <c r="C349" s="3" t="s">
        <v>3888</v>
      </c>
      <c r="D349" s="3">
        <v>69.0</v>
      </c>
      <c r="E349" s="3" t="s">
        <v>3874</v>
      </c>
      <c r="F349" s="3">
        <v>7650.0</v>
      </c>
      <c r="G349" s="5">
        <v>15.0</v>
      </c>
      <c r="H349" s="3" t="s">
        <v>3948</v>
      </c>
      <c r="I349" s="3" t="s">
        <v>3275</v>
      </c>
      <c r="J349" s="5">
        <v>20500.0</v>
      </c>
      <c r="K349" s="5">
        <v>28150.0</v>
      </c>
      <c r="L349" s="5" t="s">
        <v>3985</v>
      </c>
      <c r="M349" s="5" t="s">
        <v>3275</v>
      </c>
      <c r="N349" s="5" t="s">
        <v>4919</v>
      </c>
      <c r="O349" s="5" t="s">
        <v>3294</v>
      </c>
      <c r="P349" s="5" t="s">
        <v>3320</v>
      </c>
      <c r="Q349" s="5" t="b">
        <v>1</v>
      </c>
      <c r="R349" s="5" t="s">
        <v>3320</v>
      </c>
    </row>
    <row r="350" ht="15.75" customHeight="1">
      <c r="A350" s="5" t="s">
        <v>5134</v>
      </c>
      <c r="B350" s="10">
        <v>45751.90491898148</v>
      </c>
      <c r="C350" s="3" t="s">
        <v>3789</v>
      </c>
      <c r="D350" s="3">
        <v>73.0</v>
      </c>
      <c r="E350" s="3" t="s">
        <v>3275</v>
      </c>
      <c r="F350" s="3">
        <v>8350.0</v>
      </c>
      <c r="G350" s="5">
        <v>15.0</v>
      </c>
      <c r="H350" s="3" t="s">
        <v>3985</v>
      </c>
      <c r="I350" s="3" t="s">
        <v>3275</v>
      </c>
      <c r="J350" s="5">
        <v>28150.0</v>
      </c>
      <c r="K350" s="5">
        <v>36500.0</v>
      </c>
      <c r="L350" s="5" t="s">
        <v>3986</v>
      </c>
      <c r="M350" s="5" t="s">
        <v>3275</v>
      </c>
      <c r="N350" s="5" t="s">
        <v>4919</v>
      </c>
      <c r="O350" s="5" t="s">
        <v>3294</v>
      </c>
      <c r="P350" s="5" t="s">
        <v>3320</v>
      </c>
      <c r="Q350" s="5" t="b">
        <v>1</v>
      </c>
      <c r="R350" s="5" t="s">
        <v>3320</v>
      </c>
    </row>
    <row r="351" ht="15.75" customHeight="1">
      <c r="A351" s="6" t="s">
        <v>5135</v>
      </c>
      <c r="B351" s="10">
        <v>45752.69275462963</v>
      </c>
      <c r="C351" s="3" t="s">
        <v>3789</v>
      </c>
      <c r="D351" s="3">
        <v>73.0</v>
      </c>
      <c r="E351" s="3" t="s">
        <v>3275</v>
      </c>
      <c r="F351" s="3">
        <v>1650.0</v>
      </c>
      <c r="G351" s="5">
        <v>34.0</v>
      </c>
      <c r="H351" s="3" t="s">
        <v>3925</v>
      </c>
      <c r="I351" s="3" t="s">
        <v>3662</v>
      </c>
      <c r="J351" s="5">
        <v>35500.0</v>
      </c>
      <c r="K351" s="5">
        <v>37150.0</v>
      </c>
      <c r="L351" s="5" t="s">
        <v>3988</v>
      </c>
      <c r="M351" s="5" t="s">
        <v>3662</v>
      </c>
      <c r="O351" s="5" t="s">
        <v>3294</v>
      </c>
      <c r="P351" s="5" t="s">
        <v>3320</v>
      </c>
      <c r="Q351" s="5" t="b">
        <v>1</v>
      </c>
      <c r="R351" s="5" t="s">
        <v>3320</v>
      </c>
    </row>
    <row r="352" ht="15.75" customHeight="1">
      <c r="A352" s="5" t="s">
        <v>5136</v>
      </c>
      <c r="B352" s="10">
        <v>45752.6947337963</v>
      </c>
      <c r="C352" s="3" t="s">
        <v>3976</v>
      </c>
      <c r="D352" s="3">
        <v>105.0</v>
      </c>
      <c r="E352" s="3" t="s">
        <v>3932</v>
      </c>
      <c r="F352" s="3">
        <v>6500.0</v>
      </c>
      <c r="G352" s="5">
        <v>500.0</v>
      </c>
      <c r="H352" s="3" t="s">
        <v>3984</v>
      </c>
      <c r="I352" s="3" t="s">
        <v>3915</v>
      </c>
      <c r="J352" s="5">
        <v>-12999.0</v>
      </c>
      <c r="K352" s="5">
        <v>-6499.0</v>
      </c>
      <c r="L352" s="5" t="s">
        <v>3990</v>
      </c>
      <c r="M352" s="5" t="s">
        <v>3915</v>
      </c>
      <c r="O352" s="5" t="s">
        <v>3320</v>
      </c>
      <c r="P352" s="5" t="s">
        <v>3320</v>
      </c>
      <c r="Q352" s="5" t="b">
        <v>1</v>
      </c>
      <c r="R352" s="5" t="s">
        <v>3320</v>
      </c>
    </row>
    <row r="353" ht="15.75" customHeight="1">
      <c r="A353" s="5" t="s">
        <v>5137</v>
      </c>
      <c r="B353" s="10">
        <v>45752.697384259256</v>
      </c>
      <c r="C353" s="3" t="s">
        <v>3711</v>
      </c>
      <c r="D353" s="3">
        <v>116.0</v>
      </c>
      <c r="E353" s="3" t="s">
        <v>3272</v>
      </c>
      <c r="F353" s="3">
        <v>99600.0</v>
      </c>
      <c r="G353" s="5">
        <v>26.0</v>
      </c>
      <c r="H353" s="3"/>
      <c r="I353" s="3"/>
      <c r="J353" s="5">
        <v>0.0</v>
      </c>
      <c r="K353" s="5">
        <v>99600.0</v>
      </c>
      <c r="L353" s="5" t="s">
        <v>3991</v>
      </c>
      <c r="M353" s="5" t="s">
        <v>3272</v>
      </c>
      <c r="O353" s="5" t="s">
        <v>3320</v>
      </c>
      <c r="Q353" s="5" t="b">
        <v>0</v>
      </c>
      <c r="R353" s="5" t="s">
        <v>3605</v>
      </c>
    </row>
    <row r="354" ht="15.75" customHeight="1">
      <c r="A354" s="5" t="s">
        <v>5138</v>
      </c>
      <c r="B354" s="10">
        <v>45752.697962962964</v>
      </c>
      <c r="C354" s="3" t="s">
        <v>3649</v>
      </c>
      <c r="D354" s="3">
        <v>118.0</v>
      </c>
      <c r="E354" s="3" t="s">
        <v>3272</v>
      </c>
      <c r="F354" s="3">
        <v>108000.0</v>
      </c>
      <c r="G354" s="5">
        <v>26.0</v>
      </c>
      <c r="H354" s="3" t="s">
        <v>3991</v>
      </c>
      <c r="I354" s="3" t="s">
        <v>3272</v>
      </c>
      <c r="J354" s="5">
        <v>99600.0</v>
      </c>
      <c r="K354" s="5">
        <v>207600.0</v>
      </c>
      <c r="L354" s="5" t="s">
        <v>3992</v>
      </c>
      <c r="M354" s="5" t="s">
        <v>3272</v>
      </c>
      <c r="O354" s="5" t="s">
        <v>3320</v>
      </c>
      <c r="P354" s="5" t="s">
        <v>3605</v>
      </c>
      <c r="Q354" s="5" t="b">
        <v>1</v>
      </c>
      <c r="R354" s="5" t="s">
        <v>3605</v>
      </c>
    </row>
    <row r="355" ht="15.75" customHeight="1">
      <c r="A355" s="5"/>
      <c r="B355" s="10"/>
      <c r="C355" s="3"/>
      <c r="D355" s="3"/>
      <c r="E355" s="3"/>
      <c r="F355" s="3"/>
      <c r="G355" s="5"/>
      <c r="H355" s="3"/>
      <c r="I355" s="3"/>
      <c r="J355" s="5"/>
      <c r="K355" s="5"/>
      <c r="L355" s="5"/>
      <c r="M355" s="5"/>
      <c r="O355" s="5"/>
      <c r="Q355" s="5"/>
      <c r="R355" s="5"/>
    </row>
    <row r="356" ht="15.75" customHeight="1">
      <c r="A356" s="5"/>
      <c r="B356" s="10"/>
      <c r="C356" s="3"/>
      <c r="D356" s="3"/>
      <c r="E356" s="3"/>
      <c r="F356" s="3"/>
      <c r="G356" s="5"/>
      <c r="H356" s="3"/>
      <c r="I356" s="3"/>
      <c r="J356" s="5"/>
      <c r="K356" s="5"/>
      <c r="L356" s="5"/>
      <c r="M356" s="5"/>
      <c r="O356" s="5"/>
      <c r="P356" s="5"/>
      <c r="Q356" s="5"/>
      <c r="R356" s="5"/>
    </row>
    <row r="357" ht="15.75" customHeight="1">
      <c r="A357" s="5"/>
      <c r="B357" s="10"/>
      <c r="C357" s="3"/>
      <c r="D357" s="3"/>
      <c r="E357" s="3"/>
      <c r="F357" s="3"/>
      <c r="G357" s="5"/>
      <c r="H357" s="3"/>
      <c r="I357" s="3"/>
      <c r="J357" s="5"/>
      <c r="K357" s="5"/>
      <c r="L357" s="5"/>
      <c r="M357" s="5"/>
      <c r="O357" s="5"/>
      <c r="P357" s="5"/>
      <c r="Q357" s="5"/>
      <c r="R357" s="5"/>
    </row>
    <row r="358" ht="15.75" customHeight="1">
      <c r="A358" s="5"/>
      <c r="B358" s="10"/>
      <c r="C358" s="3"/>
      <c r="D358" s="3"/>
      <c r="E358" s="3"/>
      <c r="F358" s="3"/>
      <c r="G358" s="5"/>
      <c r="H358" s="3"/>
      <c r="I358" s="3"/>
      <c r="J358" s="5"/>
      <c r="K358" s="5"/>
      <c r="L358" s="5"/>
      <c r="M358" s="5"/>
      <c r="O358" s="5"/>
      <c r="Q358" s="5"/>
      <c r="R358" s="5"/>
    </row>
    <row r="359" ht="15.75" customHeight="1">
      <c r="A359" s="5" t="s">
        <v>5139</v>
      </c>
      <c r="B359" s="10">
        <v>45752.702581018515</v>
      </c>
      <c r="C359" s="3" t="s">
        <v>3348</v>
      </c>
      <c r="D359" s="3">
        <v>45.0</v>
      </c>
      <c r="E359" s="3" t="s">
        <v>3349</v>
      </c>
      <c r="F359" s="3">
        <v>8500.0</v>
      </c>
      <c r="G359" s="5">
        <v>90.0</v>
      </c>
      <c r="H359" s="3" t="s">
        <v>3954</v>
      </c>
      <c r="I359" s="3" t="s">
        <v>3662</v>
      </c>
      <c r="J359" s="5">
        <v>57000.0</v>
      </c>
      <c r="K359" s="5">
        <v>65500.0</v>
      </c>
      <c r="L359" s="5" t="s">
        <v>3998</v>
      </c>
      <c r="M359" s="5" t="s">
        <v>3662</v>
      </c>
      <c r="N359" s="5" t="s">
        <v>5013</v>
      </c>
      <c r="O359" s="5" t="s">
        <v>3337</v>
      </c>
      <c r="P359" s="5" t="s">
        <v>3294</v>
      </c>
      <c r="Q359" s="5" t="b">
        <v>1</v>
      </c>
      <c r="R359" s="5" t="s">
        <v>3294</v>
      </c>
    </row>
    <row r="360" ht="15.75" customHeight="1">
      <c r="A360" s="5" t="s">
        <v>5140</v>
      </c>
      <c r="B360" s="10">
        <v>45752.7031712963</v>
      </c>
      <c r="C360" s="3" t="s">
        <v>3348</v>
      </c>
      <c r="D360" s="3">
        <v>45.0</v>
      </c>
      <c r="E360" s="3" t="s">
        <v>3349</v>
      </c>
      <c r="F360" s="3">
        <v>8500.0</v>
      </c>
      <c r="G360" s="5">
        <v>86.0</v>
      </c>
      <c r="H360" s="3" t="s">
        <v>3939</v>
      </c>
      <c r="I360" s="3" t="s">
        <v>3662</v>
      </c>
      <c r="J360" s="5">
        <v>46000.0</v>
      </c>
      <c r="K360" s="5">
        <v>54500.0</v>
      </c>
      <c r="L360" s="5" t="s">
        <v>3999</v>
      </c>
      <c r="M360" s="5" t="s">
        <v>3662</v>
      </c>
      <c r="N360" s="5" t="s">
        <v>5141</v>
      </c>
      <c r="O360" s="5" t="s">
        <v>3337</v>
      </c>
      <c r="P360" s="5" t="s">
        <v>3294</v>
      </c>
      <c r="Q360" s="5" t="b">
        <v>1</v>
      </c>
      <c r="R360" s="5" t="s">
        <v>3294</v>
      </c>
    </row>
    <row r="361" ht="15.75" customHeight="1">
      <c r="A361" s="5" t="s">
        <v>5142</v>
      </c>
      <c r="B361" s="10">
        <v>45752.70377314815</v>
      </c>
      <c r="C361" s="3" t="s">
        <v>3343</v>
      </c>
      <c r="D361" s="3">
        <v>41.0</v>
      </c>
      <c r="E361" s="3" t="s">
        <v>3344</v>
      </c>
      <c r="F361" s="3">
        <v>9000.0</v>
      </c>
      <c r="G361" s="5">
        <v>87.0</v>
      </c>
      <c r="H361" s="3" t="s">
        <v>3941</v>
      </c>
      <c r="I361" s="3" t="s">
        <v>3942</v>
      </c>
      <c r="J361" s="5">
        <v>40200.0</v>
      </c>
      <c r="K361" s="5">
        <v>49200.0</v>
      </c>
      <c r="L361" s="5" t="s">
        <v>4000</v>
      </c>
      <c r="M361" s="5" t="s">
        <v>3942</v>
      </c>
      <c r="O361" s="5" t="s">
        <v>3337</v>
      </c>
      <c r="P361" s="5" t="s">
        <v>3294</v>
      </c>
      <c r="Q361" s="5" t="b">
        <v>1</v>
      </c>
      <c r="R361" s="5" t="s">
        <v>3294</v>
      </c>
    </row>
    <row r="362" ht="15.75" customHeight="1">
      <c r="A362" s="5" t="s">
        <v>5143</v>
      </c>
      <c r="B362" s="10">
        <v>45752.70416666667</v>
      </c>
      <c r="C362" s="3" t="s">
        <v>3343</v>
      </c>
      <c r="D362" s="3">
        <v>41.0</v>
      </c>
      <c r="E362" s="3" t="s">
        <v>3344</v>
      </c>
      <c r="F362" s="3">
        <v>3600.0</v>
      </c>
      <c r="G362" s="5">
        <v>80.0</v>
      </c>
      <c r="H362" s="3" t="s">
        <v>3911</v>
      </c>
      <c r="I362" s="3" t="s">
        <v>3275</v>
      </c>
      <c r="J362" s="5">
        <v>14200.0</v>
      </c>
      <c r="K362" s="5">
        <v>17800.0</v>
      </c>
      <c r="L362" s="5" t="s">
        <v>4002</v>
      </c>
      <c r="M362" s="5" t="s">
        <v>3275</v>
      </c>
      <c r="N362" s="5" t="s">
        <v>5141</v>
      </c>
      <c r="O362" s="5" t="s">
        <v>3337</v>
      </c>
      <c r="P362" s="5" t="s">
        <v>3294</v>
      </c>
      <c r="Q362" s="5" t="b">
        <v>1</v>
      </c>
      <c r="R362" s="5" t="s">
        <v>3294</v>
      </c>
    </row>
    <row r="363" ht="15.75" customHeight="1">
      <c r="A363" s="5" t="s">
        <v>5144</v>
      </c>
      <c r="B363" s="10">
        <v>45752.70512731482</v>
      </c>
      <c r="C363" s="3" t="s">
        <v>3348</v>
      </c>
      <c r="D363" s="3">
        <v>45.0</v>
      </c>
      <c r="E363" s="3" t="s">
        <v>3349</v>
      </c>
      <c r="F363" s="3">
        <v>6800.0</v>
      </c>
      <c r="G363" s="5">
        <v>83.0</v>
      </c>
      <c r="H363" s="3" t="s">
        <v>3909</v>
      </c>
      <c r="I363" s="3" t="s">
        <v>3662</v>
      </c>
      <c r="J363" s="5">
        <v>44500.0</v>
      </c>
      <c r="K363" s="5">
        <v>51300.0</v>
      </c>
      <c r="L363" s="5" t="s">
        <v>4003</v>
      </c>
      <c r="M363" s="5" t="s">
        <v>3662</v>
      </c>
      <c r="N363" s="5" t="s">
        <v>4842</v>
      </c>
      <c r="O363" s="5" t="s">
        <v>3337</v>
      </c>
      <c r="P363" s="5" t="s">
        <v>3294</v>
      </c>
      <c r="Q363" s="5" t="b">
        <v>1</v>
      </c>
      <c r="R363" s="5" t="s">
        <v>3294</v>
      </c>
    </row>
    <row r="364" ht="15.75" customHeight="1">
      <c r="A364" s="5" t="s">
        <v>5145</v>
      </c>
      <c r="B364" s="10">
        <v>45754.84228009259</v>
      </c>
      <c r="C364" s="4" t="s">
        <v>3936</v>
      </c>
      <c r="D364" s="3">
        <v>24.0</v>
      </c>
      <c r="E364" s="3" t="s">
        <v>3583</v>
      </c>
      <c r="F364" s="3">
        <v>10000.0</v>
      </c>
      <c r="G364" s="5">
        <v>500.0</v>
      </c>
      <c r="H364" s="3" t="s">
        <v>4004</v>
      </c>
      <c r="I364" s="3" t="s">
        <v>4005</v>
      </c>
      <c r="J364" s="5">
        <v>1.0</v>
      </c>
      <c r="K364" s="5">
        <v>10001.0</v>
      </c>
      <c r="L364" s="5" t="s">
        <v>4006</v>
      </c>
      <c r="M364" s="5" t="s">
        <v>4005</v>
      </c>
      <c r="O364" s="5" t="s">
        <v>3605</v>
      </c>
      <c r="Q364" s="5" t="b">
        <v>1</v>
      </c>
    </row>
    <row r="365" ht="15.75" customHeight="1">
      <c r="A365" s="5" t="s">
        <v>5146</v>
      </c>
      <c r="B365" s="10">
        <v>45754.84373842592</v>
      </c>
      <c r="C365" s="3" t="s">
        <v>3988</v>
      </c>
      <c r="D365" s="3">
        <v>34.0</v>
      </c>
      <c r="E365" s="3" t="s">
        <v>3662</v>
      </c>
      <c r="F365" s="3">
        <v>1350.0</v>
      </c>
      <c r="G365" s="5">
        <v>500.0</v>
      </c>
      <c r="H365" s="3" t="s">
        <v>4006</v>
      </c>
      <c r="I365" s="3" t="s">
        <v>4005</v>
      </c>
      <c r="J365" s="5">
        <v>10001.0</v>
      </c>
      <c r="K365" s="5">
        <v>11351.0</v>
      </c>
      <c r="L365" s="5" t="s">
        <v>4007</v>
      </c>
      <c r="M365" s="5" t="s">
        <v>4005</v>
      </c>
      <c r="O365" s="5" t="s">
        <v>3320</v>
      </c>
      <c r="Q365" s="5" t="b">
        <v>1</v>
      </c>
    </row>
    <row r="366" ht="15.75" customHeight="1">
      <c r="A366" s="5" t="s">
        <v>5147</v>
      </c>
      <c r="B366" s="10">
        <v>45754.844305555554</v>
      </c>
      <c r="C366" s="3" t="s">
        <v>3850</v>
      </c>
      <c r="D366" s="3">
        <v>52.0</v>
      </c>
      <c r="E366" s="3" t="s">
        <v>3662</v>
      </c>
      <c r="F366" s="3">
        <v>3000.0</v>
      </c>
      <c r="G366" s="5">
        <v>500.0</v>
      </c>
      <c r="H366" s="3" t="s">
        <v>4007</v>
      </c>
      <c r="I366" s="3" t="s">
        <v>4005</v>
      </c>
      <c r="J366" s="5">
        <v>11351.0</v>
      </c>
      <c r="K366" s="5">
        <v>14351.0</v>
      </c>
      <c r="L366" s="5" t="s">
        <v>4008</v>
      </c>
      <c r="M366" s="5" t="s">
        <v>4005</v>
      </c>
      <c r="O366" s="5" t="s">
        <v>3320</v>
      </c>
      <c r="Q366" s="5" t="b">
        <v>1</v>
      </c>
    </row>
    <row r="367" ht="15.75" customHeight="1">
      <c r="A367" s="5" t="s">
        <v>5148</v>
      </c>
      <c r="B367" s="10">
        <v>45754.847650462965</v>
      </c>
      <c r="C367" s="3" t="s">
        <v>4000</v>
      </c>
      <c r="D367" s="3">
        <v>87.0</v>
      </c>
      <c r="E367" s="3" t="s">
        <v>3942</v>
      </c>
      <c r="F367" s="3">
        <v>-6800.0</v>
      </c>
      <c r="G367" s="5">
        <v>500.0</v>
      </c>
      <c r="H367" s="3" t="s">
        <v>4008</v>
      </c>
      <c r="I367" s="3" t="s">
        <v>4005</v>
      </c>
      <c r="J367" s="5">
        <v>14351.0</v>
      </c>
      <c r="K367" s="5">
        <v>7551.0</v>
      </c>
      <c r="L367" s="5" t="s">
        <v>4009</v>
      </c>
      <c r="M367" s="5" t="s">
        <v>4005</v>
      </c>
      <c r="O367" s="5" t="s">
        <v>3294</v>
      </c>
      <c r="Q367" s="5" t="b">
        <v>1</v>
      </c>
    </row>
    <row r="368" ht="15.75" customHeight="1">
      <c r="A368" s="5" t="s">
        <v>5149</v>
      </c>
      <c r="B368" s="10">
        <v>45754.8533912037</v>
      </c>
      <c r="C368" s="3" t="s">
        <v>3997</v>
      </c>
      <c r="D368" s="3">
        <v>935.0</v>
      </c>
      <c r="E368" s="3" t="s">
        <v>3706</v>
      </c>
      <c r="F368" s="3">
        <v>-3000.0</v>
      </c>
      <c r="G368" s="5">
        <v>500.0</v>
      </c>
      <c r="H368" s="3" t="s">
        <v>4009</v>
      </c>
      <c r="I368" s="3" t="s">
        <v>4005</v>
      </c>
      <c r="J368" s="5">
        <v>7551.0</v>
      </c>
      <c r="K368" s="5">
        <v>4551.0</v>
      </c>
      <c r="L368" s="5" t="s">
        <v>4010</v>
      </c>
      <c r="M368" s="5" t="s">
        <v>4005</v>
      </c>
      <c r="O368" s="5" t="s">
        <v>3320</v>
      </c>
      <c r="Q368" s="5" t="b">
        <v>1</v>
      </c>
    </row>
    <row r="369" ht="15.75" customHeight="1">
      <c r="A369" s="5" t="s">
        <v>5150</v>
      </c>
      <c r="B369" s="10">
        <v>45754.85377314815</v>
      </c>
      <c r="C369" s="3" t="s">
        <v>3938</v>
      </c>
      <c r="D369" s="3">
        <v>94.0</v>
      </c>
      <c r="E369" s="3" t="s">
        <v>3706</v>
      </c>
      <c r="F369" s="3">
        <v>-2000.0</v>
      </c>
      <c r="G369" s="5">
        <v>500.0</v>
      </c>
      <c r="H369" s="3" t="s">
        <v>4010</v>
      </c>
      <c r="I369" s="3" t="s">
        <v>4005</v>
      </c>
      <c r="J369" s="5">
        <v>4551.0</v>
      </c>
      <c r="K369" s="5">
        <v>2551.0</v>
      </c>
      <c r="L369" s="5" t="s">
        <v>4011</v>
      </c>
      <c r="M369" s="5" t="s">
        <v>4005</v>
      </c>
      <c r="O369" s="5" t="s">
        <v>3320</v>
      </c>
      <c r="Q369" s="5" t="b">
        <v>1</v>
      </c>
    </row>
    <row r="370" ht="15.75" customHeight="1">
      <c r="A370" s="5" t="s">
        <v>5151</v>
      </c>
      <c r="B370" s="10">
        <v>45755.47547453704</v>
      </c>
      <c r="C370" s="3" t="s">
        <v>3863</v>
      </c>
      <c r="D370" s="3">
        <v>85.0</v>
      </c>
      <c r="E370" s="3" t="s">
        <v>3864</v>
      </c>
      <c r="F370" s="3">
        <v>28000.0</v>
      </c>
      <c r="G370" s="5">
        <v>105.0</v>
      </c>
      <c r="H370" s="3"/>
      <c r="I370" s="3"/>
      <c r="J370" s="5">
        <v>0.0</v>
      </c>
      <c r="K370" s="5">
        <v>28000.0</v>
      </c>
      <c r="L370" s="5" t="s">
        <v>4023</v>
      </c>
      <c r="M370" s="5" t="s">
        <v>3864</v>
      </c>
      <c r="O370" s="5" t="s">
        <v>3294</v>
      </c>
      <c r="Q370" s="5" t="b">
        <v>0</v>
      </c>
      <c r="R370" s="5" t="s">
        <v>3320</v>
      </c>
    </row>
    <row r="371" ht="15.75" customHeight="1">
      <c r="A371" s="5" t="s">
        <v>5152</v>
      </c>
      <c r="B371" s="10">
        <v>45755.476122685184</v>
      </c>
      <c r="C371" s="3" t="s">
        <v>4021</v>
      </c>
      <c r="D371" s="3">
        <v>6.0</v>
      </c>
      <c r="E371" s="3" t="s">
        <v>3905</v>
      </c>
      <c r="F371" s="3">
        <v>30000.0</v>
      </c>
      <c r="G371" s="5">
        <v>85.0</v>
      </c>
      <c r="H371" s="3" t="s">
        <v>3863</v>
      </c>
      <c r="I371" s="3" t="s">
        <v>3864</v>
      </c>
      <c r="J371" s="5">
        <v>16600.0</v>
      </c>
      <c r="K371" s="5">
        <v>46600.0</v>
      </c>
      <c r="L371" s="6" t="s">
        <v>4025</v>
      </c>
      <c r="M371" s="5" t="s">
        <v>4026</v>
      </c>
      <c r="O371" s="5" t="s">
        <v>3294</v>
      </c>
      <c r="P371" s="5" t="s">
        <v>3294</v>
      </c>
      <c r="Q371" s="5" t="b">
        <v>0</v>
      </c>
      <c r="R371" s="5" t="s">
        <v>3457</v>
      </c>
    </row>
    <row r="372" ht="15.75" customHeight="1">
      <c r="A372" s="5" t="s">
        <v>5153</v>
      </c>
      <c r="B372" s="10">
        <v>45755.47767361111</v>
      </c>
      <c r="C372" s="3" t="s">
        <v>3348</v>
      </c>
      <c r="D372" s="3">
        <v>45.0</v>
      </c>
      <c r="E372" s="3" t="s">
        <v>3349</v>
      </c>
      <c r="F372" s="3">
        <v>6200.0</v>
      </c>
      <c r="G372" s="5">
        <v>84.0</v>
      </c>
      <c r="H372" s="3" t="s">
        <v>3958</v>
      </c>
      <c r="I372" s="3" t="s">
        <v>3662</v>
      </c>
      <c r="J372" s="5">
        <v>47000.0</v>
      </c>
      <c r="K372" s="5">
        <v>53200.0</v>
      </c>
      <c r="L372" s="5" t="s">
        <v>4027</v>
      </c>
      <c r="M372" s="5" t="s">
        <v>3662</v>
      </c>
      <c r="N372" s="5" t="s">
        <v>4842</v>
      </c>
      <c r="O372" s="5" t="s">
        <v>3337</v>
      </c>
      <c r="P372" s="5" t="s">
        <v>3294</v>
      </c>
      <c r="Q372" s="5" t="b">
        <v>1</v>
      </c>
      <c r="R372" s="5" t="s">
        <v>3294</v>
      </c>
    </row>
    <row r="373" ht="15.75" customHeight="1">
      <c r="A373" s="5" t="s">
        <v>5154</v>
      </c>
      <c r="B373" s="10">
        <v>45755.4819212963</v>
      </c>
      <c r="C373" s="4" t="s">
        <v>5155</v>
      </c>
      <c r="D373" s="3">
        <v>89.0</v>
      </c>
      <c r="E373" s="3" t="s">
        <v>3275</v>
      </c>
      <c r="F373" s="3">
        <v>15000.0</v>
      </c>
      <c r="G373" s="5">
        <v>96.0</v>
      </c>
      <c r="H373" s="3" t="s">
        <v>4019</v>
      </c>
      <c r="I373" s="3" t="s">
        <v>3275</v>
      </c>
      <c r="J373" s="5">
        <v>31300.0</v>
      </c>
      <c r="K373" s="5">
        <v>46300.0</v>
      </c>
      <c r="L373" s="5" t="s">
        <v>4029</v>
      </c>
      <c r="M373" s="5" t="s">
        <v>3275</v>
      </c>
      <c r="N373" s="5" t="s">
        <v>5156</v>
      </c>
      <c r="O373" s="5" t="s">
        <v>3294</v>
      </c>
      <c r="P373" s="5" t="s">
        <v>3294</v>
      </c>
      <c r="Q373" s="5" t="b">
        <v>1</v>
      </c>
      <c r="R373" s="5" t="s">
        <v>3294</v>
      </c>
    </row>
    <row r="374" ht="15.75" customHeight="1">
      <c r="A374" s="5" t="s">
        <v>5157</v>
      </c>
      <c r="B374" s="10">
        <v>45755.48394675926</v>
      </c>
      <c r="C374" s="3" t="s">
        <v>3343</v>
      </c>
      <c r="D374" s="3">
        <v>41.0</v>
      </c>
      <c r="E374" s="3" t="s">
        <v>3344</v>
      </c>
      <c r="F374" s="3">
        <v>10800.0</v>
      </c>
      <c r="G374" s="5">
        <v>89.0</v>
      </c>
      <c r="H374" s="4" t="s">
        <v>5155</v>
      </c>
      <c r="I374" s="3" t="s">
        <v>3275</v>
      </c>
      <c r="J374" s="5">
        <v>50000.0</v>
      </c>
      <c r="K374" s="5">
        <v>60800.0</v>
      </c>
      <c r="L374" s="5" t="s">
        <v>4030</v>
      </c>
      <c r="M374" s="5" t="s">
        <v>3275</v>
      </c>
      <c r="N374" s="5" t="s">
        <v>5158</v>
      </c>
      <c r="O374" s="5" t="s">
        <v>3337</v>
      </c>
      <c r="P374" s="5" t="s">
        <v>3294</v>
      </c>
      <c r="Q374" s="5" t="b">
        <v>1</v>
      </c>
      <c r="R374" s="5" t="s">
        <v>3294</v>
      </c>
    </row>
    <row r="375" ht="15.75" customHeight="1">
      <c r="A375" s="5" t="s">
        <v>5159</v>
      </c>
      <c r="B375" s="10">
        <v>45755.48447916667</v>
      </c>
      <c r="C375" s="3" t="s">
        <v>3343</v>
      </c>
      <c r="D375" s="3">
        <v>41.0</v>
      </c>
      <c r="E375" s="3" t="s">
        <v>3344</v>
      </c>
      <c r="F375" s="3">
        <v>3600.0</v>
      </c>
      <c r="G375" s="5">
        <v>81.0</v>
      </c>
      <c r="H375" s="3" t="s">
        <v>3956</v>
      </c>
      <c r="I375" s="3" t="s">
        <v>3275</v>
      </c>
      <c r="J375" s="5">
        <v>14500.0</v>
      </c>
      <c r="K375" s="5">
        <v>18100.0</v>
      </c>
      <c r="L375" s="5" t="s">
        <v>4032</v>
      </c>
      <c r="M375" s="5" t="s">
        <v>3275</v>
      </c>
      <c r="N375" s="5" t="s">
        <v>4802</v>
      </c>
      <c r="O375" s="5" t="s">
        <v>3337</v>
      </c>
      <c r="P375" s="5" t="s">
        <v>3294</v>
      </c>
      <c r="Q375" s="5" t="b">
        <v>1</v>
      </c>
      <c r="R375" s="5" t="s">
        <v>3294</v>
      </c>
    </row>
    <row r="376" ht="15.75" customHeight="1">
      <c r="A376" s="5" t="s">
        <v>5160</v>
      </c>
      <c r="B376" s="10">
        <v>45755.52753472222</v>
      </c>
      <c r="C376" s="3" t="s">
        <v>3343</v>
      </c>
      <c r="D376" s="3">
        <v>41.0</v>
      </c>
      <c r="E376" s="3" t="s">
        <v>3344</v>
      </c>
      <c r="F376" s="3">
        <v>3600.0</v>
      </c>
      <c r="G376" s="5">
        <v>79.0</v>
      </c>
      <c r="H376" s="3" t="s">
        <v>3965</v>
      </c>
      <c r="I376" s="3" t="s">
        <v>3966</v>
      </c>
      <c r="J376" s="5">
        <v>17000.0</v>
      </c>
      <c r="K376" s="5">
        <v>20600.0</v>
      </c>
      <c r="L376" s="5" t="s">
        <v>4034</v>
      </c>
      <c r="M376" s="5" t="s">
        <v>3966</v>
      </c>
      <c r="N376" s="5" t="s">
        <v>5161</v>
      </c>
      <c r="O376" s="5" t="s">
        <v>3337</v>
      </c>
      <c r="P376" s="5" t="s">
        <v>3294</v>
      </c>
      <c r="Q376" s="5" t="b">
        <v>1</v>
      </c>
      <c r="R376" s="5" t="s">
        <v>3294</v>
      </c>
    </row>
    <row r="377" ht="15.75" customHeight="1">
      <c r="A377" s="5" t="s">
        <v>5162</v>
      </c>
      <c r="B377" s="10">
        <v>45755.52858796297</v>
      </c>
      <c r="C377" s="3" t="s">
        <v>3343</v>
      </c>
      <c r="D377" s="3">
        <v>41.0</v>
      </c>
      <c r="E377" s="3" t="s">
        <v>3344</v>
      </c>
      <c r="F377" s="3">
        <v>2700.0</v>
      </c>
      <c r="G377" s="5">
        <v>78.0</v>
      </c>
      <c r="H377" s="3" t="s">
        <v>3968</v>
      </c>
      <c r="I377" s="3" t="s">
        <v>3662</v>
      </c>
      <c r="J377" s="5">
        <v>14000.0</v>
      </c>
      <c r="K377" s="5">
        <v>16700.0</v>
      </c>
      <c r="L377" s="5" t="s">
        <v>4036</v>
      </c>
      <c r="M377" s="5" t="s">
        <v>3662</v>
      </c>
      <c r="N377" s="5" t="s">
        <v>5163</v>
      </c>
      <c r="O377" s="5" t="s">
        <v>3337</v>
      </c>
      <c r="P377" s="5" t="s">
        <v>3294</v>
      </c>
      <c r="Q377" s="5" t="b">
        <v>1</v>
      </c>
      <c r="R377" s="5" t="s">
        <v>3294</v>
      </c>
    </row>
    <row r="378" ht="15.75" customHeight="1">
      <c r="A378" s="5" t="s">
        <v>5164</v>
      </c>
      <c r="B378" s="10">
        <v>45755.52935185185</v>
      </c>
      <c r="C378" s="3" t="s">
        <v>3358</v>
      </c>
      <c r="D378" s="3">
        <v>75.0</v>
      </c>
      <c r="E378" s="3" t="s">
        <v>3359</v>
      </c>
      <c r="F378" s="3">
        <v>5500.0</v>
      </c>
      <c r="G378" s="5">
        <v>92.0</v>
      </c>
      <c r="H378" s="3" t="s">
        <v>3970</v>
      </c>
      <c r="I378" s="3" t="s">
        <v>3275</v>
      </c>
      <c r="J378" s="5">
        <v>43000.0</v>
      </c>
      <c r="K378" s="5">
        <v>48500.0</v>
      </c>
      <c r="L378" s="5" t="s">
        <v>4037</v>
      </c>
      <c r="M378" s="5" t="s">
        <v>3275</v>
      </c>
      <c r="N378" s="5" t="s">
        <v>5165</v>
      </c>
      <c r="O378" s="5" t="s">
        <v>3337</v>
      </c>
      <c r="P378" s="5" t="s">
        <v>3294</v>
      </c>
      <c r="Q378" s="5" t="b">
        <v>1</v>
      </c>
      <c r="R378" s="5" t="s">
        <v>3294</v>
      </c>
    </row>
    <row r="379" ht="15.75" customHeight="1">
      <c r="A379" s="5" t="s">
        <v>5166</v>
      </c>
      <c r="B379" s="39">
        <v>45755.79127314815</v>
      </c>
      <c r="C379" s="3" t="s">
        <v>3649</v>
      </c>
      <c r="D379" s="3">
        <v>118.0</v>
      </c>
      <c r="E379" s="3" t="s">
        <v>3272</v>
      </c>
      <c r="F379" s="3">
        <v>10000.0</v>
      </c>
      <c r="G379" s="5">
        <v>24.0</v>
      </c>
      <c r="H379" s="4" t="s">
        <v>3936</v>
      </c>
      <c r="I379" s="3" t="s">
        <v>3583</v>
      </c>
      <c r="J379" s="5">
        <v>176600.0</v>
      </c>
      <c r="K379" s="5">
        <v>186600.0</v>
      </c>
      <c r="L379" s="5" t="s">
        <v>4039</v>
      </c>
      <c r="M379" s="5" t="s">
        <v>3583</v>
      </c>
      <c r="O379" s="5" t="s">
        <v>3320</v>
      </c>
      <c r="P379" s="5" t="s">
        <v>3605</v>
      </c>
      <c r="Q379" s="5" t="b">
        <v>1</v>
      </c>
      <c r="R379" s="5" t="s">
        <v>3605</v>
      </c>
    </row>
    <row r="380" ht="15.75" customHeight="1">
      <c r="A380" s="5" t="s">
        <v>5167</v>
      </c>
      <c r="B380" s="39">
        <v>45756.77439814815</v>
      </c>
      <c r="C380" s="3" t="s">
        <v>3649</v>
      </c>
      <c r="D380" s="3">
        <v>118.0</v>
      </c>
      <c r="E380" s="3" t="s">
        <v>3272</v>
      </c>
      <c r="F380" s="3">
        <v>30000.0</v>
      </c>
      <c r="G380" s="5">
        <v>45.0</v>
      </c>
      <c r="H380" s="3"/>
      <c r="I380" s="3"/>
      <c r="J380" s="5">
        <v>0.0</v>
      </c>
      <c r="K380" s="5">
        <v>30000.0</v>
      </c>
      <c r="L380" s="5" t="s">
        <v>4049</v>
      </c>
      <c r="M380" s="5" t="s">
        <v>3272</v>
      </c>
      <c r="O380" s="5" t="s">
        <v>3320</v>
      </c>
      <c r="Q380" s="5" t="b">
        <v>0</v>
      </c>
      <c r="R380" s="5" t="s">
        <v>3605</v>
      </c>
    </row>
    <row r="381" ht="15.75" customHeight="1">
      <c r="A381" s="5" t="s">
        <v>5168</v>
      </c>
      <c r="B381" s="39">
        <v>45756.77858796297</v>
      </c>
      <c r="C381" s="3" t="s">
        <v>3998</v>
      </c>
      <c r="D381" s="3">
        <v>90.0</v>
      </c>
      <c r="E381" s="3" t="s">
        <v>3662</v>
      </c>
      <c r="F381" s="3">
        <v>65500.0</v>
      </c>
      <c r="G381" s="5">
        <v>28.0</v>
      </c>
      <c r="H381" s="3"/>
      <c r="I381" s="3"/>
      <c r="J381" s="5">
        <v>0.0</v>
      </c>
      <c r="K381" s="5">
        <v>65500.0</v>
      </c>
      <c r="L381" s="5" t="s">
        <v>4051</v>
      </c>
      <c r="M381" s="5" t="s">
        <v>3662</v>
      </c>
      <c r="O381" s="5" t="s">
        <v>3294</v>
      </c>
      <c r="Q381" s="5" t="b">
        <v>0</v>
      </c>
      <c r="R381" s="5" t="s">
        <v>3320</v>
      </c>
    </row>
    <row r="382" ht="15.75" customHeight="1">
      <c r="A382" s="5" t="s">
        <v>5169</v>
      </c>
      <c r="B382" s="39">
        <v>45756.77987268518</v>
      </c>
      <c r="C382" s="3" t="s">
        <v>3881</v>
      </c>
      <c r="D382" s="3">
        <v>11.0</v>
      </c>
      <c r="E382" s="3" t="s">
        <v>3474</v>
      </c>
      <c r="F382" s="3">
        <v>35100.0</v>
      </c>
      <c r="G382" s="5">
        <v>41.0</v>
      </c>
      <c r="H382" s="3"/>
      <c r="I382" s="3"/>
      <c r="J382" s="5">
        <v>0.0</v>
      </c>
      <c r="K382" s="5">
        <v>35100.0</v>
      </c>
      <c r="L382" s="5" t="s">
        <v>4052</v>
      </c>
      <c r="M382" s="5" t="s">
        <v>4053</v>
      </c>
      <c r="O382" s="5" t="s">
        <v>3320</v>
      </c>
      <c r="Q382" s="5" t="b">
        <v>0</v>
      </c>
      <c r="R382" s="5" t="s">
        <v>3337</v>
      </c>
    </row>
    <row r="383" ht="15.75" customHeight="1">
      <c r="A383" s="5" t="s">
        <v>5170</v>
      </c>
      <c r="B383" s="39">
        <v>45756.7803587963</v>
      </c>
      <c r="C383" s="3" t="s">
        <v>3881</v>
      </c>
      <c r="D383" s="3">
        <v>11.0</v>
      </c>
      <c r="E383" s="3" t="s">
        <v>3474</v>
      </c>
      <c r="F383" s="3">
        <v>900.0</v>
      </c>
      <c r="G383" s="5">
        <v>935.0</v>
      </c>
      <c r="H383" s="3" t="s">
        <v>3997</v>
      </c>
      <c r="I383" s="3" t="s">
        <v>3706</v>
      </c>
      <c r="J383" s="5">
        <v>4000.0</v>
      </c>
      <c r="K383" s="5">
        <v>4900.0</v>
      </c>
      <c r="L383" s="5" t="s">
        <v>4054</v>
      </c>
      <c r="M383" s="5" t="s">
        <v>3706</v>
      </c>
      <c r="O383" s="5" t="s">
        <v>3320</v>
      </c>
      <c r="P383" s="5" t="s">
        <v>3320</v>
      </c>
      <c r="Q383" s="5" t="b">
        <v>1</v>
      </c>
      <c r="R383" s="5" t="s">
        <v>3320</v>
      </c>
    </row>
    <row r="384" ht="15.75" customHeight="1">
      <c r="A384" s="5" t="s">
        <v>5171</v>
      </c>
      <c r="B384" s="39">
        <v>45756.783680555556</v>
      </c>
      <c r="C384" s="3" t="s">
        <v>4045</v>
      </c>
      <c r="D384" s="3">
        <v>6.0</v>
      </c>
      <c r="E384" s="3" t="s">
        <v>3905</v>
      </c>
      <c r="F384" s="3">
        <v>17100.0</v>
      </c>
      <c r="G384" s="5">
        <v>85.0</v>
      </c>
      <c r="H384" s="4" t="s">
        <v>4025</v>
      </c>
      <c r="I384" s="3" t="s">
        <v>4026</v>
      </c>
      <c r="J384" s="5">
        <v>46600.0</v>
      </c>
      <c r="K384" s="5">
        <v>63700.0</v>
      </c>
      <c r="L384" s="5" t="s">
        <v>4055</v>
      </c>
      <c r="M384" s="5" t="s">
        <v>4026</v>
      </c>
      <c r="O384" s="5" t="s">
        <v>3294</v>
      </c>
      <c r="P384" s="5" t="s">
        <v>3457</v>
      </c>
      <c r="Q384" s="5" t="b">
        <v>1</v>
      </c>
      <c r="R384" s="5" t="s">
        <v>3457</v>
      </c>
    </row>
    <row r="385" ht="15.75" customHeight="1">
      <c r="A385" s="5" t="s">
        <v>5172</v>
      </c>
      <c r="B385" s="39">
        <v>45756.799108796295</v>
      </c>
      <c r="C385" s="3" t="s">
        <v>3649</v>
      </c>
      <c r="D385" s="3">
        <v>118.0</v>
      </c>
      <c r="E385" s="3" t="s">
        <v>3272</v>
      </c>
      <c r="F385" s="3">
        <v>7600.0</v>
      </c>
      <c r="G385" s="5">
        <v>500.0</v>
      </c>
      <c r="H385" s="3" t="s">
        <v>4011</v>
      </c>
      <c r="I385" s="3" t="s">
        <v>4005</v>
      </c>
      <c r="J385" s="5">
        <v>2551.0</v>
      </c>
      <c r="K385" s="5">
        <v>10151.0</v>
      </c>
      <c r="L385" s="6" t="s">
        <v>4057</v>
      </c>
      <c r="M385" s="5" t="s">
        <v>4005</v>
      </c>
      <c r="O385" s="5" t="s">
        <v>3320</v>
      </c>
      <c r="P385" s="5" t="s">
        <v>3342</v>
      </c>
      <c r="Q385" s="5" t="b">
        <v>1</v>
      </c>
      <c r="R385" s="5" t="s">
        <v>3342</v>
      </c>
    </row>
    <row r="386" ht="15.75" customHeight="1">
      <c r="A386" s="5" t="s">
        <v>5173</v>
      </c>
      <c r="B386" s="39">
        <v>45757.778865740744</v>
      </c>
      <c r="C386" s="3" t="s">
        <v>3999</v>
      </c>
      <c r="D386" s="3">
        <v>86.0</v>
      </c>
      <c r="E386" s="3" t="s">
        <v>3662</v>
      </c>
      <c r="F386" s="3">
        <v>54500.0</v>
      </c>
      <c r="G386" s="5">
        <v>28.0</v>
      </c>
      <c r="H386" s="3" t="s">
        <v>4051</v>
      </c>
      <c r="I386" s="3" t="s">
        <v>3662</v>
      </c>
      <c r="J386" s="5">
        <v>65500.0</v>
      </c>
      <c r="K386" s="5">
        <v>120000.0</v>
      </c>
      <c r="L386" s="5" t="s">
        <v>4067</v>
      </c>
      <c r="M386" s="5" t="s">
        <v>3662</v>
      </c>
      <c r="O386" s="5" t="s">
        <v>3294</v>
      </c>
      <c r="P386" s="5" t="s">
        <v>3320</v>
      </c>
      <c r="Q386" s="5" t="b">
        <v>1</v>
      </c>
      <c r="R386" s="5" t="s">
        <v>3320</v>
      </c>
    </row>
    <row r="387" ht="15.75" customHeight="1">
      <c r="A387" s="5" t="s">
        <v>5174</v>
      </c>
      <c r="B387" s="39">
        <v>45757.7803587963</v>
      </c>
      <c r="C387" s="3" t="s">
        <v>3374</v>
      </c>
      <c r="D387" s="3">
        <v>54.0</v>
      </c>
      <c r="E387" s="3" t="s">
        <v>3373</v>
      </c>
      <c r="F387" s="3">
        <v>6500.0</v>
      </c>
      <c r="G387" s="5">
        <v>96.0</v>
      </c>
      <c r="H387" s="3" t="s">
        <v>4029</v>
      </c>
      <c r="I387" s="3" t="s">
        <v>3275</v>
      </c>
      <c r="J387" s="5">
        <v>46300.0</v>
      </c>
      <c r="K387" s="5">
        <v>52800.0</v>
      </c>
      <c r="L387" s="5" t="s">
        <v>4068</v>
      </c>
      <c r="M387" s="5" t="s">
        <v>3275</v>
      </c>
      <c r="N387" s="5" t="s">
        <v>5165</v>
      </c>
      <c r="O387" s="5" t="s">
        <v>3337</v>
      </c>
      <c r="P387" s="5" t="s">
        <v>3294</v>
      </c>
      <c r="Q387" s="5" t="b">
        <v>1</v>
      </c>
      <c r="R387" s="5" t="s">
        <v>3294</v>
      </c>
    </row>
    <row r="388" ht="15.75" customHeight="1">
      <c r="A388" s="5" t="s">
        <v>5175</v>
      </c>
      <c r="B388" s="39">
        <v>45757.78097222222</v>
      </c>
      <c r="C388" s="3" t="s">
        <v>3374</v>
      </c>
      <c r="D388" s="3">
        <v>54.0</v>
      </c>
      <c r="E388" s="3" t="s">
        <v>3373</v>
      </c>
      <c r="F388" s="3">
        <v>6500.0</v>
      </c>
      <c r="G388" s="5">
        <v>95.0</v>
      </c>
      <c r="H388" s="3" t="s">
        <v>4016</v>
      </c>
      <c r="I388" s="3" t="s">
        <v>4017</v>
      </c>
      <c r="J388" s="5">
        <v>62000.0</v>
      </c>
      <c r="K388" s="5">
        <v>68500.0</v>
      </c>
      <c r="L388" s="5" t="s">
        <v>4070</v>
      </c>
      <c r="M388" s="5" t="s">
        <v>4017</v>
      </c>
      <c r="N388" s="5" t="s">
        <v>5141</v>
      </c>
      <c r="O388" s="5" t="s">
        <v>3337</v>
      </c>
      <c r="P388" s="5" t="s">
        <v>3294</v>
      </c>
      <c r="Q388" s="5" t="b">
        <v>1</v>
      </c>
      <c r="R388" s="5" t="s">
        <v>3294</v>
      </c>
    </row>
    <row r="389" ht="15.75" customHeight="1">
      <c r="A389" s="5" t="s">
        <v>5176</v>
      </c>
      <c r="B389" s="39">
        <v>45758.709710648145</v>
      </c>
      <c r="C389" s="3" t="s">
        <v>4003</v>
      </c>
      <c r="D389" s="3">
        <v>83.0</v>
      </c>
      <c r="E389" s="3" t="s">
        <v>3662</v>
      </c>
      <c r="F389" s="3">
        <v>51300.0</v>
      </c>
      <c r="G389" s="5">
        <v>28.0</v>
      </c>
      <c r="H389" s="3" t="s">
        <v>4067</v>
      </c>
      <c r="I389" s="3" t="s">
        <v>3662</v>
      </c>
      <c r="J389" s="5">
        <v>120000.0</v>
      </c>
      <c r="K389" s="5">
        <v>171300.0</v>
      </c>
      <c r="L389" s="5" t="s">
        <v>4076</v>
      </c>
      <c r="M389" s="5" t="s">
        <v>3662</v>
      </c>
      <c r="O389" s="5" t="s">
        <v>3294</v>
      </c>
      <c r="P389" s="5" t="s">
        <v>3320</v>
      </c>
      <c r="Q389" s="5" t="b">
        <v>1</v>
      </c>
      <c r="R389" s="5" t="s">
        <v>3320</v>
      </c>
    </row>
    <row r="390" ht="15.75" customHeight="1">
      <c r="A390" s="5" t="s">
        <v>5177</v>
      </c>
      <c r="B390" s="39">
        <v>45758.89015046296</v>
      </c>
      <c r="C390" s="3" t="s">
        <v>4052</v>
      </c>
      <c r="D390" s="3">
        <v>41.0</v>
      </c>
      <c r="E390" s="3" t="s">
        <v>4053</v>
      </c>
      <c r="F390" s="3">
        <v>8150.0</v>
      </c>
      <c r="G390" s="5">
        <v>88.0</v>
      </c>
      <c r="H390" s="3" t="s">
        <v>4043</v>
      </c>
      <c r="I390" s="3" t="s">
        <v>3662</v>
      </c>
      <c r="J390" s="5">
        <v>38000.0</v>
      </c>
      <c r="K390" s="5">
        <v>46150.0</v>
      </c>
      <c r="L390" s="5" t="s">
        <v>4085</v>
      </c>
      <c r="M390" s="5" t="s">
        <v>3662</v>
      </c>
      <c r="O390" s="5" t="s">
        <v>3337</v>
      </c>
      <c r="P390" s="5" t="s">
        <v>3294</v>
      </c>
      <c r="Q390" s="5" t="b">
        <v>1</v>
      </c>
      <c r="R390" s="5" t="s">
        <v>3294</v>
      </c>
    </row>
    <row r="391" ht="15.75" customHeight="1">
      <c r="A391" s="5" t="s">
        <v>5178</v>
      </c>
      <c r="B391" s="39">
        <v>45758.89157407408</v>
      </c>
      <c r="C391" s="3" t="s">
        <v>4052</v>
      </c>
      <c r="D391" s="3">
        <v>41.0</v>
      </c>
      <c r="E391" s="3" t="s">
        <v>4053</v>
      </c>
      <c r="F391" s="3">
        <v>4500.0</v>
      </c>
      <c r="G391" s="5">
        <v>82.0</v>
      </c>
      <c r="H391" s="3" t="s">
        <v>4041</v>
      </c>
      <c r="I391" s="3" t="s">
        <v>3275</v>
      </c>
      <c r="J391" s="5">
        <v>28500.0</v>
      </c>
      <c r="K391" s="5">
        <v>33000.0</v>
      </c>
      <c r="L391" s="5" t="s">
        <v>4087</v>
      </c>
      <c r="M391" s="5" t="s">
        <v>3275</v>
      </c>
      <c r="O391" s="5" t="s">
        <v>3337</v>
      </c>
      <c r="P391" s="5" t="s">
        <v>3294</v>
      </c>
      <c r="Q391" s="5" t="b">
        <v>1</v>
      </c>
      <c r="R391" s="5" t="s">
        <v>3294</v>
      </c>
    </row>
    <row r="392" ht="15.75" customHeight="1">
      <c r="A392" s="5" t="s">
        <v>5179</v>
      </c>
      <c r="B392" s="39">
        <v>45758.89277777778</v>
      </c>
      <c r="C392" s="3" t="s">
        <v>4052</v>
      </c>
      <c r="D392" s="3">
        <v>41.0</v>
      </c>
      <c r="E392" s="3" t="s">
        <v>4053</v>
      </c>
      <c r="F392" s="3">
        <v>7250.0</v>
      </c>
      <c r="G392" s="5">
        <v>65.0</v>
      </c>
      <c r="H392" s="3" t="s">
        <v>4047</v>
      </c>
      <c r="I392" s="3" t="s">
        <v>4017</v>
      </c>
      <c r="J392" s="5">
        <v>20000.0</v>
      </c>
      <c r="K392" s="5">
        <v>27250.0</v>
      </c>
      <c r="L392" s="5" t="s">
        <v>4089</v>
      </c>
      <c r="M392" s="5" t="s">
        <v>4017</v>
      </c>
      <c r="O392" s="5" t="s">
        <v>3337</v>
      </c>
      <c r="P392" s="5" t="s">
        <v>3294</v>
      </c>
      <c r="Q392" s="5" t="b">
        <v>1</v>
      </c>
      <c r="R392" s="5" t="s">
        <v>3294</v>
      </c>
    </row>
    <row r="393" ht="15.75" customHeight="1">
      <c r="A393" s="5" t="s">
        <v>5180</v>
      </c>
      <c r="B393" s="39">
        <v>45758.893275462964</v>
      </c>
      <c r="C393" s="3" t="s">
        <v>4052</v>
      </c>
      <c r="D393" s="3">
        <v>41.0</v>
      </c>
      <c r="E393" s="3" t="s">
        <v>4053</v>
      </c>
      <c r="F393" s="3">
        <v>15200.0</v>
      </c>
      <c r="G393" s="5">
        <v>90.0</v>
      </c>
      <c r="H393" s="3" t="s">
        <v>4059</v>
      </c>
      <c r="I393" s="3" t="s">
        <v>3662</v>
      </c>
      <c r="J393" s="5">
        <v>59000.0</v>
      </c>
      <c r="K393" s="5">
        <v>71600.0</v>
      </c>
      <c r="L393" s="5" t="s">
        <v>4091</v>
      </c>
      <c r="M393" s="5" t="s">
        <v>3662</v>
      </c>
      <c r="O393" s="5" t="s">
        <v>3337</v>
      </c>
      <c r="P393" s="5" t="s">
        <v>3294</v>
      </c>
      <c r="Q393" s="5" t="b">
        <v>1</v>
      </c>
      <c r="R393" s="5" t="s">
        <v>3294</v>
      </c>
    </row>
    <row r="394" ht="15.75" customHeight="1">
      <c r="A394" s="5" t="s">
        <v>5181</v>
      </c>
      <c r="B394" s="39">
        <v>45759.5221875</v>
      </c>
      <c r="C394" s="3" t="s">
        <v>4000</v>
      </c>
      <c r="D394" s="3">
        <v>87.0</v>
      </c>
      <c r="E394" s="3" t="s">
        <v>3942</v>
      </c>
      <c r="F394" s="3">
        <v>56000.0</v>
      </c>
      <c r="G394" s="5">
        <v>120.0</v>
      </c>
      <c r="H394" s="3"/>
      <c r="I394" s="3"/>
      <c r="J394" s="5">
        <v>0.0</v>
      </c>
      <c r="K394" s="5">
        <v>56000.0</v>
      </c>
      <c r="L394" s="5" t="s">
        <v>4093</v>
      </c>
      <c r="M394" s="5" t="s">
        <v>4017</v>
      </c>
      <c r="O394" s="5" t="s">
        <v>3294</v>
      </c>
      <c r="Q394" s="5" t="b">
        <v>0</v>
      </c>
      <c r="R394" s="5" t="s">
        <v>3320</v>
      </c>
    </row>
    <row r="395" ht="15.75" customHeight="1">
      <c r="A395" s="5" t="s">
        <v>5182</v>
      </c>
      <c r="B395" s="39">
        <v>45759.522997685184</v>
      </c>
      <c r="C395" s="3" t="s">
        <v>3980</v>
      </c>
      <c r="D395" s="3">
        <v>71.0</v>
      </c>
      <c r="E395" s="3" t="s">
        <v>3981</v>
      </c>
      <c r="F395" s="3">
        <v>8500.0</v>
      </c>
      <c r="G395" s="5">
        <v>120.0</v>
      </c>
      <c r="H395" s="3" t="s">
        <v>4093</v>
      </c>
      <c r="I395" s="3" t="s">
        <v>4017</v>
      </c>
      <c r="J395" s="5">
        <v>56000.0</v>
      </c>
      <c r="K395" s="5">
        <v>64500.0</v>
      </c>
      <c r="L395" s="5" t="s">
        <v>4094</v>
      </c>
      <c r="M395" s="5" t="s">
        <v>4017</v>
      </c>
      <c r="O395" s="5" t="s">
        <v>3457</v>
      </c>
      <c r="P395" s="5" t="s">
        <v>3320</v>
      </c>
      <c r="Q395" s="5" t="b">
        <v>1</v>
      </c>
      <c r="R395" s="5" t="s">
        <v>3320</v>
      </c>
    </row>
    <row r="396" ht="15.75" customHeight="1">
      <c r="A396" s="5" t="s">
        <v>5183</v>
      </c>
      <c r="B396" s="39">
        <v>45759.52322916667</v>
      </c>
      <c r="C396" s="3" t="s">
        <v>3982</v>
      </c>
      <c r="D396" s="3">
        <v>72.0</v>
      </c>
      <c r="E396" s="3" t="s">
        <v>3981</v>
      </c>
      <c r="F396" s="3">
        <v>8000.0</v>
      </c>
      <c r="G396" s="5">
        <v>120.0</v>
      </c>
      <c r="H396" s="3" t="s">
        <v>4094</v>
      </c>
      <c r="I396" s="3" t="s">
        <v>4017</v>
      </c>
      <c r="J396" s="5">
        <v>64500.0</v>
      </c>
      <c r="K396" s="5">
        <v>72500.0</v>
      </c>
      <c r="L396" s="5" t="s">
        <v>4095</v>
      </c>
      <c r="M396" s="5" t="s">
        <v>4017</v>
      </c>
      <c r="O396" s="5" t="s">
        <v>3457</v>
      </c>
      <c r="P396" s="5" t="s">
        <v>3320</v>
      </c>
      <c r="Q396" s="5" t="b">
        <v>1</v>
      </c>
      <c r="R396" s="5" t="s">
        <v>3320</v>
      </c>
    </row>
    <row r="397" ht="15.75" customHeight="1">
      <c r="A397" s="5"/>
      <c r="B397" s="39"/>
      <c r="C397" s="3"/>
      <c r="D397" s="3"/>
      <c r="E397" s="3"/>
      <c r="F397" s="3"/>
      <c r="G397" s="5"/>
      <c r="H397" s="3"/>
      <c r="I397" s="3"/>
      <c r="J397" s="5"/>
      <c r="K397" s="5"/>
      <c r="L397" s="5"/>
      <c r="M397" s="5"/>
      <c r="N397" s="5"/>
      <c r="O397" s="5"/>
      <c r="P397" s="5"/>
      <c r="Q397" s="5"/>
      <c r="R397" s="5"/>
    </row>
    <row r="398" ht="15.75" customHeight="1">
      <c r="A398" s="5" t="s">
        <v>5184</v>
      </c>
      <c r="B398" s="39">
        <v>45759.525729166664</v>
      </c>
      <c r="C398" s="3" t="s">
        <v>4055</v>
      </c>
      <c r="D398" s="3">
        <v>85.0</v>
      </c>
      <c r="E398" s="3" t="s">
        <v>4026</v>
      </c>
      <c r="F398" s="3">
        <v>63700.0</v>
      </c>
      <c r="G398" s="5">
        <v>116.0</v>
      </c>
      <c r="H398" s="3"/>
      <c r="I398" s="3" t="s">
        <v>4919</v>
      </c>
      <c r="J398" s="5">
        <v>0.0</v>
      </c>
      <c r="K398" s="5">
        <v>63700.0</v>
      </c>
      <c r="L398" s="5" t="s">
        <v>4098</v>
      </c>
      <c r="M398" s="5" t="s">
        <v>3273</v>
      </c>
      <c r="O398" s="5" t="s">
        <v>3457</v>
      </c>
      <c r="Q398" s="5" t="b">
        <v>0</v>
      </c>
      <c r="R398" s="5" t="s">
        <v>3320</v>
      </c>
    </row>
    <row r="399" ht="15.75" customHeight="1">
      <c r="A399" s="5" t="s">
        <v>5185</v>
      </c>
      <c r="B399" s="39">
        <v>45761.77315972222</v>
      </c>
      <c r="C399" s="3" t="s">
        <v>4049</v>
      </c>
      <c r="D399" s="3">
        <v>45.0</v>
      </c>
      <c r="E399" s="3" t="s">
        <v>3272</v>
      </c>
      <c r="F399" s="3">
        <v>30000.0</v>
      </c>
      <c r="G399" s="5">
        <v>11.0</v>
      </c>
      <c r="H399" s="3"/>
      <c r="I399" s="3"/>
      <c r="J399" s="5">
        <v>0.0</v>
      </c>
      <c r="K399" s="5">
        <v>30000.0</v>
      </c>
      <c r="L399" s="5" t="s">
        <v>4100</v>
      </c>
      <c r="M399" s="5" t="s">
        <v>3272</v>
      </c>
      <c r="N399" s="5" t="s">
        <v>5186</v>
      </c>
      <c r="O399" s="5" t="s">
        <v>3605</v>
      </c>
      <c r="Q399" s="5" t="b">
        <v>0</v>
      </c>
      <c r="R399" s="5" t="s">
        <v>3337</v>
      </c>
    </row>
    <row r="400" ht="15.75" customHeight="1">
      <c r="A400" s="5" t="s">
        <v>5187</v>
      </c>
      <c r="B400" s="39">
        <v>45761.77732638889</v>
      </c>
      <c r="C400" s="3" t="s">
        <v>4100</v>
      </c>
      <c r="D400" s="3">
        <v>11.0</v>
      </c>
      <c r="E400" s="3" t="s">
        <v>4053</v>
      </c>
      <c r="F400" s="3">
        <v>4800.0</v>
      </c>
      <c r="G400" s="5">
        <v>67.0</v>
      </c>
      <c r="H400" s="3" t="s">
        <v>4065</v>
      </c>
      <c r="I400" s="3" t="s">
        <v>4017</v>
      </c>
      <c r="J400" s="5">
        <v>18000.0</v>
      </c>
      <c r="K400" s="5">
        <v>22800.0</v>
      </c>
      <c r="L400" s="5" t="s">
        <v>4101</v>
      </c>
      <c r="M400" s="5" t="s">
        <v>4017</v>
      </c>
      <c r="N400" s="5" t="s">
        <v>5188</v>
      </c>
      <c r="O400" s="5" t="s">
        <v>3337</v>
      </c>
      <c r="P400" s="5" t="s">
        <v>3294</v>
      </c>
      <c r="Q400" s="5" t="b">
        <v>1</v>
      </c>
      <c r="R400" s="5" t="s">
        <v>3294</v>
      </c>
    </row>
    <row r="401" ht="15.75" customHeight="1">
      <c r="A401" s="5" t="s">
        <v>5189</v>
      </c>
      <c r="B401" s="39">
        <v>45761.792349537034</v>
      </c>
      <c r="C401" s="3" t="s">
        <v>4082</v>
      </c>
      <c r="D401" s="3">
        <v>83.0</v>
      </c>
      <c r="E401" s="3" t="s">
        <v>3905</v>
      </c>
      <c r="F401" s="3">
        <v>9000.0</v>
      </c>
      <c r="G401" s="5">
        <v>7.0</v>
      </c>
      <c r="H401" s="3"/>
      <c r="I401" s="3"/>
      <c r="J401" s="5">
        <v>0.0</v>
      </c>
      <c r="K401" s="5">
        <v>9000.0</v>
      </c>
      <c r="L401" s="5" t="s">
        <v>4105</v>
      </c>
      <c r="M401" s="5" t="s">
        <v>3905</v>
      </c>
      <c r="O401" s="5" t="s">
        <v>3294</v>
      </c>
      <c r="Q401" s="5" t="b">
        <v>0</v>
      </c>
      <c r="R401" s="5" t="s">
        <v>3294</v>
      </c>
    </row>
    <row r="402" ht="15.75" customHeight="1">
      <c r="A402" s="5" t="s">
        <v>5190</v>
      </c>
      <c r="B402" s="39">
        <v>45761.805810185186</v>
      </c>
      <c r="C402" s="4" t="s">
        <v>3845</v>
      </c>
      <c r="D402" s="3">
        <v>12.0</v>
      </c>
      <c r="E402" s="3" t="s">
        <v>3839</v>
      </c>
      <c r="F402" s="3">
        <v>300.0</v>
      </c>
      <c r="G402" s="5">
        <v>500.0</v>
      </c>
      <c r="H402" s="3" t="s">
        <v>4103</v>
      </c>
      <c r="I402" s="3" t="s">
        <v>4104</v>
      </c>
      <c r="J402" s="5">
        <v>1.0</v>
      </c>
      <c r="K402" s="5">
        <v>301.0</v>
      </c>
      <c r="L402" s="5" t="s">
        <v>4106</v>
      </c>
      <c r="M402" s="5" t="s">
        <v>4104</v>
      </c>
      <c r="O402" s="5" t="s">
        <v>3320</v>
      </c>
      <c r="P402" s="5" t="s">
        <v>3320</v>
      </c>
      <c r="Q402" s="5" t="b">
        <v>1</v>
      </c>
      <c r="R402" s="5" t="s">
        <v>3320</v>
      </c>
    </row>
    <row r="403" ht="15.75" customHeight="1">
      <c r="A403" s="5" t="s">
        <v>5191</v>
      </c>
      <c r="B403" s="39">
        <v>45761.806550925925</v>
      </c>
      <c r="C403" s="3" t="s">
        <v>3992</v>
      </c>
      <c r="D403" s="3">
        <v>26.0</v>
      </c>
      <c r="E403" s="3" t="s">
        <v>3272</v>
      </c>
      <c r="F403" s="3">
        <v>500.0</v>
      </c>
      <c r="G403" s="5">
        <v>500.0</v>
      </c>
      <c r="H403" s="3" t="s">
        <v>4106</v>
      </c>
      <c r="I403" s="3" t="s">
        <v>4104</v>
      </c>
      <c r="J403" s="5">
        <v>301.0</v>
      </c>
      <c r="K403" s="5">
        <v>801.0</v>
      </c>
      <c r="L403" s="5" t="s">
        <v>4107</v>
      </c>
      <c r="M403" s="5" t="s">
        <v>4104</v>
      </c>
      <c r="O403" s="5" t="s">
        <v>3605</v>
      </c>
      <c r="P403" s="5" t="s">
        <v>3320</v>
      </c>
      <c r="Q403" s="5" t="b">
        <v>1</v>
      </c>
      <c r="R403" s="5" t="s">
        <v>3320</v>
      </c>
    </row>
    <row r="404" ht="15.75" customHeight="1">
      <c r="A404" s="5" t="s">
        <v>5192</v>
      </c>
      <c r="B404" s="39">
        <v>45761.806967592594</v>
      </c>
      <c r="C404" s="3" t="s">
        <v>4076</v>
      </c>
      <c r="D404" s="3">
        <v>28.0</v>
      </c>
      <c r="E404" s="3" t="s">
        <v>3662</v>
      </c>
      <c r="F404" s="3">
        <v>8300.0</v>
      </c>
      <c r="G404" s="5">
        <v>500.0</v>
      </c>
      <c r="H404" s="3" t="s">
        <v>4107</v>
      </c>
      <c r="I404" s="3" t="s">
        <v>4104</v>
      </c>
      <c r="J404" s="5">
        <v>801.0</v>
      </c>
      <c r="K404" s="5">
        <v>9101.0</v>
      </c>
      <c r="L404" s="5" t="s">
        <v>4108</v>
      </c>
      <c r="M404" s="5" t="s">
        <v>4104</v>
      </c>
      <c r="O404" s="5" t="s">
        <v>3320</v>
      </c>
      <c r="P404" s="5" t="s">
        <v>3320</v>
      </c>
      <c r="Q404" s="5" t="b">
        <v>1</v>
      </c>
      <c r="R404" s="5" t="s">
        <v>3320</v>
      </c>
    </row>
    <row r="405" ht="15.75" customHeight="1">
      <c r="A405" s="5" t="s">
        <v>5193</v>
      </c>
      <c r="B405" s="39">
        <v>45761.80899305556</v>
      </c>
      <c r="C405" s="3" t="s">
        <v>3902</v>
      </c>
      <c r="D405" s="3">
        <v>49.0</v>
      </c>
      <c r="E405" s="3" t="s">
        <v>3903</v>
      </c>
      <c r="F405" s="3">
        <v>3800.0</v>
      </c>
      <c r="G405" s="5">
        <v>500.0</v>
      </c>
      <c r="H405" s="3" t="s">
        <v>4108</v>
      </c>
      <c r="I405" s="3" t="s">
        <v>4104</v>
      </c>
      <c r="J405" s="5">
        <v>9101.0</v>
      </c>
      <c r="K405" s="5">
        <v>12901.0</v>
      </c>
      <c r="L405" s="5" t="s">
        <v>4109</v>
      </c>
      <c r="M405" s="5" t="s">
        <v>4104</v>
      </c>
      <c r="O405" s="5" t="s">
        <v>3320</v>
      </c>
      <c r="P405" s="5" t="s">
        <v>3320</v>
      </c>
      <c r="Q405" s="5" t="b">
        <v>1</v>
      </c>
      <c r="R405" s="5" t="s">
        <v>3320</v>
      </c>
    </row>
    <row r="406" ht="15.75" customHeight="1">
      <c r="A406" s="5" t="s">
        <v>5194</v>
      </c>
      <c r="B406" s="39">
        <v>45761.813263888886</v>
      </c>
      <c r="C406" s="3" t="s">
        <v>3850</v>
      </c>
      <c r="D406" s="3">
        <v>52.0</v>
      </c>
      <c r="E406" s="3" t="s">
        <v>3662</v>
      </c>
      <c r="F406" s="3">
        <v>-1000.0</v>
      </c>
      <c r="G406" s="5">
        <v>500.0</v>
      </c>
      <c r="H406" s="3" t="s">
        <v>4109</v>
      </c>
      <c r="I406" s="3" t="s">
        <v>4104</v>
      </c>
      <c r="J406" s="5">
        <v>12901.0</v>
      </c>
      <c r="K406" s="5">
        <v>11901.0</v>
      </c>
      <c r="L406" s="5" t="s">
        <v>4110</v>
      </c>
      <c r="M406" s="5" t="s">
        <v>4104</v>
      </c>
      <c r="O406" s="5" t="s">
        <v>3320</v>
      </c>
      <c r="P406" s="5" t="s">
        <v>3320</v>
      </c>
      <c r="Q406" s="5" t="b">
        <v>1</v>
      </c>
      <c r="R406" s="5" t="s">
        <v>3320</v>
      </c>
    </row>
    <row r="407" ht="15.75" customHeight="1">
      <c r="A407" s="5" t="s">
        <v>5195</v>
      </c>
      <c r="B407" s="39">
        <v>45761.81381944445</v>
      </c>
      <c r="C407" s="3" t="s">
        <v>3978</v>
      </c>
      <c r="D407" s="3">
        <v>70.0</v>
      </c>
      <c r="E407" s="3" t="s">
        <v>3588</v>
      </c>
      <c r="F407" s="3">
        <v>-1000.0</v>
      </c>
      <c r="G407" s="5">
        <v>500.0</v>
      </c>
      <c r="H407" s="3" t="s">
        <v>4110</v>
      </c>
      <c r="I407" s="3" t="s">
        <v>4104</v>
      </c>
      <c r="J407" s="5">
        <v>11901.0</v>
      </c>
      <c r="K407" s="5">
        <v>10901.0</v>
      </c>
      <c r="L407" s="5" t="s">
        <v>4111</v>
      </c>
      <c r="M407" s="5" t="s">
        <v>4104</v>
      </c>
      <c r="O407" s="5" t="s">
        <v>3320</v>
      </c>
      <c r="P407" s="5" t="s">
        <v>3320</v>
      </c>
      <c r="Q407" s="5" t="b">
        <v>1</v>
      </c>
      <c r="R407" s="5" t="s">
        <v>3320</v>
      </c>
    </row>
    <row r="408" ht="15.75" customHeight="1">
      <c r="A408" s="5" t="s">
        <v>5196</v>
      </c>
      <c r="B408" s="39">
        <v>45761.814351851855</v>
      </c>
      <c r="C408" s="3" t="s">
        <v>3535</v>
      </c>
      <c r="D408" s="3">
        <v>931.0</v>
      </c>
      <c r="E408" s="3" t="s">
        <v>3368</v>
      </c>
      <c r="F408" s="3">
        <v>2000.0</v>
      </c>
      <c r="G408" s="5">
        <v>500.0</v>
      </c>
      <c r="H408" s="3" t="s">
        <v>4111</v>
      </c>
      <c r="I408" s="3" t="s">
        <v>4104</v>
      </c>
      <c r="J408" s="5">
        <v>10901.0</v>
      </c>
      <c r="K408" s="5">
        <v>12901.0</v>
      </c>
      <c r="L408" s="5" t="s">
        <v>4112</v>
      </c>
      <c r="M408" s="5" t="s">
        <v>4104</v>
      </c>
      <c r="O408" s="5" t="s">
        <v>3342</v>
      </c>
      <c r="P408" s="5" t="s">
        <v>3320</v>
      </c>
      <c r="Q408" s="5" t="b">
        <v>1</v>
      </c>
      <c r="R408" s="5" t="s">
        <v>3320</v>
      </c>
    </row>
    <row r="409" ht="15.75" customHeight="1">
      <c r="A409" s="5" t="s">
        <v>5197</v>
      </c>
      <c r="B409" s="39">
        <v>45761.8146875</v>
      </c>
      <c r="C409" s="3" t="s">
        <v>4054</v>
      </c>
      <c r="D409" s="3">
        <v>935.0</v>
      </c>
      <c r="E409" s="3" t="s">
        <v>3706</v>
      </c>
      <c r="F409" s="3">
        <v>-1100.0</v>
      </c>
      <c r="H409" s="3"/>
      <c r="I409" s="3"/>
      <c r="K409" s="5">
        <v>-1100.0</v>
      </c>
      <c r="L409" s="5" t="s">
        <v>4113</v>
      </c>
      <c r="O409" s="5" t="s">
        <v>3320</v>
      </c>
      <c r="Q409" s="5" t="b">
        <v>1</v>
      </c>
    </row>
    <row r="410" ht="15.75" customHeight="1">
      <c r="A410" s="5" t="s">
        <v>5198</v>
      </c>
      <c r="B410" s="39">
        <v>45761.8165625</v>
      </c>
      <c r="C410" s="3" t="s">
        <v>3975</v>
      </c>
      <c r="D410" s="3">
        <v>104.0</v>
      </c>
      <c r="E410" s="3" t="s">
        <v>3273</v>
      </c>
      <c r="F410" s="3">
        <v>1000.0</v>
      </c>
      <c r="G410" s="5">
        <v>500.0</v>
      </c>
      <c r="H410" s="3" t="s">
        <v>4112</v>
      </c>
      <c r="I410" s="3" t="s">
        <v>4104</v>
      </c>
      <c r="J410" s="5">
        <v>12901.0</v>
      </c>
      <c r="K410" s="5">
        <v>13901.0</v>
      </c>
      <c r="L410" s="5" t="s">
        <v>4114</v>
      </c>
      <c r="M410" s="5" t="s">
        <v>4104</v>
      </c>
      <c r="O410" s="5" t="s">
        <v>3320</v>
      </c>
      <c r="P410" s="5" t="s">
        <v>3320</v>
      </c>
      <c r="Q410" s="5" t="b">
        <v>1</v>
      </c>
      <c r="R410" s="5" t="s">
        <v>3320</v>
      </c>
    </row>
    <row r="411" ht="15.75" customHeight="1">
      <c r="A411" s="5" t="s">
        <v>5199</v>
      </c>
      <c r="B411" s="39">
        <v>45761.81884259259</v>
      </c>
      <c r="C411" s="3" t="s">
        <v>4023</v>
      </c>
      <c r="D411" s="3">
        <v>105.0</v>
      </c>
      <c r="E411" s="3" t="s">
        <v>3864</v>
      </c>
      <c r="F411" s="3">
        <v>-2000.0</v>
      </c>
      <c r="G411" s="5">
        <v>500.0</v>
      </c>
      <c r="H411" s="3" t="s">
        <v>4114</v>
      </c>
      <c r="I411" s="3" t="s">
        <v>4104</v>
      </c>
      <c r="J411" s="5">
        <v>13901.0</v>
      </c>
      <c r="K411" s="5">
        <v>11901.0</v>
      </c>
      <c r="L411" s="5" t="s">
        <v>4115</v>
      </c>
      <c r="M411" s="5" t="s">
        <v>4104</v>
      </c>
      <c r="O411" s="5" t="s">
        <v>3320</v>
      </c>
      <c r="P411" s="5" t="s">
        <v>3320</v>
      </c>
      <c r="Q411" s="5" t="b">
        <v>1</v>
      </c>
      <c r="R411" s="5" t="s">
        <v>3320</v>
      </c>
    </row>
    <row r="412" ht="15.75" customHeight="1">
      <c r="A412" s="5" t="s">
        <v>5200</v>
      </c>
      <c r="B412" s="39">
        <v>45761.81957175926</v>
      </c>
      <c r="C412" s="3" t="s">
        <v>3972</v>
      </c>
      <c r="D412" s="3">
        <v>108.0</v>
      </c>
      <c r="E412" s="3" t="s">
        <v>3973</v>
      </c>
      <c r="F412" s="3">
        <v>1000.0</v>
      </c>
      <c r="G412" s="5">
        <v>500.0</v>
      </c>
      <c r="H412" s="3" t="s">
        <v>4115</v>
      </c>
      <c r="I412" s="3" t="s">
        <v>4104</v>
      </c>
      <c r="J412" s="5">
        <v>11901.0</v>
      </c>
      <c r="K412" s="5">
        <v>12901.0</v>
      </c>
      <c r="L412" s="5" t="s">
        <v>4116</v>
      </c>
      <c r="M412" s="5" t="s">
        <v>4104</v>
      </c>
      <c r="O412" s="5" t="s">
        <v>3320</v>
      </c>
      <c r="P412" s="5" t="s">
        <v>3320</v>
      </c>
      <c r="Q412" s="5" t="b">
        <v>1</v>
      </c>
      <c r="R412" s="5" t="s">
        <v>3320</v>
      </c>
    </row>
    <row r="413" ht="15.75" customHeight="1">
      <c r="A413" s="5" t="s">
        <v>5201</v>
      </c>
      <c r="B413" s="39">
        <v>45761.81993055555</v>
      </c>
      <c r="C413" s="3" t="s">
        <v>3774</v>
      </c>
      <c r="D413" s="3">
        <v>109.0</v>
      </c>
      <c r="E413" s="3" t="s">
        <v>3583</v>
      </c>
      <c r="F413" s="3">
        <v>600.0</v>
      </c>
      <c r="G413" s="5">
        <v>500.0</v>
      </c>
      <c r="H413" s="3" t="s">
        <v>4116</v>
      </c>
      <c r="I413" s="3" t="s">
        <v>4104</v>
      </c>
      <c r="J413" s="5">
        <v>12901.0</v>
      </c>
      <c r="K413" s="5">
        <v>13501.0</v>
      </c>
      <c r="L413" s="5" t="s">
        <v>4117</v>
      </c>
      <c r="M413" s="5" t="s">
        <v>4104</v>
      </c>
      <c r="O413" s="5" t="s">
        <v>3320</v>
      </c>
      <c r="P413" s="5" t="s">
        <v>3320</v>
      </c>
      <c r="Q413" s="5" t="b">
        <v>1</v>
      </c>
      <c r="R413" s="5" t="s">
        <v>3320</v>
      </c>
    </row>
    <row r="414" ht="15.75" customHeight="1">
      <c r="A414" s="5" t="s">
        <v>5202</v>
      </c>
      <c r="B414" s="39">
        <v>45761.82020833333</v>
      </c>
      <c r="C414" s="3" t="s">
        <v>3952</v>
      </c>
      <c r="D414" s="3">
        <v>115.0</v>
      </c>
      <c r="E414" s="3" t="s">
        <v>3380</v>
      </c>
      <c r="F414" s="3">
        <v>-2000.0</v>
      </c>
      <c r="G414" s="5">
        <v>500.0</v>
      </c>
      <c r="H414" s="3" t="s">
        <v>4117</v>
      </c>
      <c r="I414" s="3" t="s">
        <v>4104</v>
      </c>
      <c r="J414" s="5">
        <v>13501.0</v>
      </c>
      <c r="K414" s="5">
        <v>11501.0</v>
      </c>
      <c r="L414" s="5" t="s">
        <v>4118</v>
      </c>
      <c r="M414" s="5" t="s">
        <v>4104</v>
      </c>
      <c r="O414" s="5" t="s">
        <v>3605</v>
      </c>
      <c r="P414" s="5" t="s">
        <v>3320</v>
      </c>
      <c r="Q414" s="5" t="b">
        <v>1</v>
      </c>
      <c r="R414" s="5" t="s">
        <v>3320</v>
      </c>
    </row>
    <row r="415" ht="15.75" customHeight="1">
      <c r="A415" s="5" t="s">
        <v>5203</v>
      </c>
      <c r="B415" s="39">
        <v>45761.82083333333</v>
      </c>
      <c r="C415" s="3" t="s">
        <v>4098</v>
      </c>
      <c r="D415" s="3">
        <v>116.0</v>
      </c>
      <c r="E415" s="3" t="s">
        <v>3273</v>
      </c>
      <c r="F415" s="3">
        <v>6700.0</v>
      </c>
      <c r="G415" s="5">
        <v>500.0</v>
      </c>
      <c r="H415" s="3" t="s">
        <v>4118</v>
      </c>
      <c r="I415" s="3" t="s">
        <v>4104</v>
      </c>
      <c r="J415" s="5">
        <v>11501.0</v>
      </c>
      <c r="K415" s="5">
        <v>18201.0</v>
      </c>
      <c r="L415" s="5" t="s">
        <v>4119</v>
      </c>
      <c r="M415" s="5" t="s">
        <v>4104</v>
      </c>
      <c r="O415" s="5" t="s">
        <v>3320</v>
      </c>
      <c r="P415" s="5" t="s">
        <v>3320</v>
      </c>
      <c r="Q415" s="5" t="b">
        <v>1</v>
      </c>
      <c r="R415" s="5" t="s">
        <v>3320</v>
      </c>
    </row>
    <row r="416" ht="15.75" customHeight="1">
      <c r="A416" s="5" t="s">
        <v>5204</v>
      </c>
      <c r="B416" s="39">
        <v>45761.821909722225</v>
      </c>
      <c r="C416" s="3" t="s">
        <v>4095</v>
      </c>
      <c r="D416" s="3">
        <v>120.0</v>
      </c>
      <c r="E416" s="3" t="s">
        <v>4017</v>
      </c>
      <c r="F416" s="3">
        <v>8000.0</v>
      </c>
      <c r="G416" s="5">
        <v>500.0</v>
      </c>
      <c r="H416" s="3" t="s">
        <v>4119</v>
      </c>
      <c r="I416" s="3" t="s">
        <v>4104</v>
      </c>
      <c r="J416" s="5">
        <v>18201.0</v>
      </c>
      <c r="K416" s="5">
        <v>26201.0</v>
      </c>
      <c r="L416" s="5" t="s">
        <v>4120</v>
      </c>
      <c r="M416" s="5" t="s">
        <v>4104</v>
      </c>
      <c r="O416" s="5" t="s">
        <v>3320</v>
      </c>
      <c r="P416" s="5" t="s">
        <v>3320</v>
      </c>
      <c r="Q416" s="5" t="b">
        <v>1</v>
      </c>
      <c r="R416" s="5" t="s">
        <v>3320</v>
      </c>
    </row>
    <row r="417" ht="15.75" customHeight="1">
      <c r="A417" s="6" t="s">
        <v>5205</v>
      </c>
      <c r="B417" s="39">
        <v>45761.82233796296</v>
      </c>
      <c r="C417" s="3" t="s">
        <v>3960</v>
      </c>
      <c r="D417" s="3">
        <v>127.0</v>
      </c>
      <c r="E417" s="3" t="s">
        <v>3908</v>
      </c>
      <c r="F417" s="3">
        <v>1000.0</v>
      </c>
      <c r="G417" s="5">
        <v>500.0</v>
      </c>
      <c r="H417" s="3" t="s">
        <v>4120</v>
      </c>
      <c r="I417" s="3" t="s">
        <v>4104</v>
      </c>
      <c r="J417" s="5">
        <v>26201.0</v>
      </c>
      <c r="K417" s="5">
        <v>27201.0</v>
      </c>
      <c r="L417" s="5" t="s">
        <v>4121</v>
      </c>
      <c r="M417" s="5" t="s">
        <v>4104</v>
      </c>
      <c r="O417" s="5" t="s">
        <v>3320</v>
      </c>
      <c r="P417" s="5" t="s">
        <v>3320</v>
      </c>
      <c r="Q417" s="5" t="b">
        <v>1</v>
      </c>
      <c r="R417" s="5" t="s">
        <v>3320</v>
      </c>
    </row>
    <row r="418" ht="15.75" customHeight="1">
      <c r="A418" s="5" t="s">
        <v>5206</v>
      </c>
      <c r="B418" s="39">
        <v>45762.483148148145</v>
      </c>
      <c r="C418" s="3" t="s">
        <v>4100</v>
      </c>
      <c r="D418" s="3">
        <v>11.0</v>
      </c>
      <c r="E418" s="3" t="s">
        <v>4053</v>
      </c>
      <c r="F418" s="3">
        <v>8500.0</v>
      </c>
      <c r="G418" s="5">
        <v>86.0</v>
      </c>
      <c r="H418" s="3" t="s">
        <v>4072</v>
      </c>
      <c r="I418" s="3" t="s">
        <v>3662</v>
      </c>
      <c r="J418" s="5">
        <v>50000.0</v>
      </c>
      <c r="K418" s="5">
        <v>58500.0</v>
      </c>
      <c r="L418" s="5" t="s">
        <v>4122</v>
      </c>
      <c r="M418" s="5" t="s">
        <v>3662</v>
      </c>
      <c r="O418" s="5" t="s">
        <v>3337</v>
      </c>
      <c r="P418" s="5" t="s">
        <v>3294</v>
      </c>
      <c r="Q418" s="5" t="b">
        <v>1</v>
      </c>
      <c r="R418" s="5" t="s">
        <v>3294</v>
      </c>
    </row>
    <row r="419" ht="15.75" customHeight="1">
      <c r="A419" s="5" t="s">
        <v>5207</v>
      </c>
      <c r="B419" s="39">
        <v>45763.750659722224</v>
      </c>
      <c r="C419" s="3" t="s">
        <v>4091</v>
      </c>
      <c r="D419" s="3">
        <v>90.0</v>
      </c>
      <c r="E419" s="3" t="s">
        <v>3662</v>
      </c>
      <c r="F419" s="3">
        <v>50000.0</v>
      </c>
      <c r="G419" s="5">
        <v>118.0</v>
      </c>
      <c r="H419" s="3"/>
      <c r="I419" s="3"/>
      <c r="J419" s="5">
        <v>0.0</v>
      </c>
      <c r="K419" s="5">
        <v>50000.0</v>
      </c>
      <c r="L419" s="5" t="s">
        <v>4127</v>
      </c>
      <c r="M419" s="5" t="s">
        <v>3662</v>
      </c>
      <c r="N419" s="5" t="s">
        <v>5208</v>
      </c>
      <c r="O419" s="5" t="s">
        <v>3294</v>
      </c>
      <c r="Q419" s="5" t="b">
        <v>0</v>
      </c>
      <c r="R419" s="5" t="s">
        <v>3320</v>
      </c>
    </row>
    <row r="420" ht="15.75" customHeight="1">
      <c r="A420" s="5" t="s">
        <v>5209</v>
      </c>
      <c r="B420" s="39">
        <v>45763.75273148148</v>
      </c>
      <c r="C420" s="3" t="s">
        <v>4012</v>
      </c>
      <c r="D420" s="3">
        <v>91.0</v>
      </c>
      <c r="E420" s="3" t="s">
        <v>4013</v>
      </c>
      <c r="F420" s="3">
        <v>38000.0</v>
      </c>
      <c r="G420" s="5">
        <v>118.0</v>
      </c>
      <c r="H420" s="3" t="s">
        <v>4127</v>
      </c>
      <c r="I420" s="3" t="s">
        <v>3662</v>
      </c>
      <c r="J420" s="5">
        <v>50000.0</v>
      </c>
      <c r="K420" s="5">
        <v>88000.0</v>
      </c>
      <c r="L420" s="5" t="s">
        <v>4128</v>
      </c>
      <c r="M420" s="5" t="s">
        <v>3662</v>
      </c>
      <c r="O420" s="5" t="s">
        <v>3294</v>
      </c>
      <c r="P420" s="5" t="s">
        <v>3320</v>
      </c>
      <c r="Q420" s="5" t="b">
        <v>1</v>
      </c>
      <c r="R420" s="5" t="s">
        <v>3320</v>
      </c>
    </row>
    <row r="421" ht="15.75" customHeight="1">
      <c r="A421" s="5" t="s">
        <v>5210</v>
      </c>
      <c r="B421" s="39">
        <v>45763.75337962963</v>
      </c>
      <c r="C421" s="3" t="s">
        <v>4027</v>
      </c>
      <c r="D421" s="3">
        <v>84.0</v>
      </c>
      <c r="E421" s="3" t="s">
        <v>3662</v>
      </c>
      <c r="F421" s="3">
        <v>37200.0</v>
      </c>
      <c r="G421" s="5">
        <v>118.0</v>
      </c>
      <c r="H421" s="3" t="s">
        <v>4128</v>
      </c>
      <c r="I421" s="3" t="s">
        <v>3662</v>
      </c>
      <c r="J421" s="5">
        <v>88000.0</v>
      </c>
      <c r="K421" s="5">
        <v>125200.0</v>
      </c>
      <c r="L421" s="5" t="s">
        <v>4129</v>
      </c>
      <c r="M421" s="5" t="s">
        <v>3662</v>
      </c>
      <c r="O421" s="5" t="s">
        <v>3294</v>
      </c>
      <c r="P421" s="5" t="s">
        <v>3320</v>
      </c>
      <c r="Q421" s="5" t="b">
        <v>1</v>
      </c>
      <c r="R421" s="5" t="s">
        <v>3320</v>
      </c>
    </row>
    <row r="422" ht="15.75" customHeight="1">
      <c r="A422" s="6" t="s">
        <v>5211</v>
      </c>
      <c r="B422" s="39">
        <v>45763.75439814815</v>
      </c>
      <c r="C422" s="3" t="s">
        <v>4085</v>
      </c>
      <c r="D422" s="3">
        <v>88.0</v>
      </c>
      <c r="E422" s="3" t="s">
        <v>3662</v>
      </c>
      <c r="F422" s="3">
        <v>30400.0</v>
      </c>
      <c r="G422" s="5">
        <v>118.0</v>
      </c>
      <c r="H422" s="3" t="s">
        <v>4129</v>
      </c>
      <c r="I422" s="3" t="s">
        <v>3662</v>
      </c>
      <c r="J422" s="5">
        <v>125200.0</v>
      </c>
      <c r="K422" s="5">
        <v>155600.0</v>
      </c>
      <c r="L422" s="5" t="s">
        <v>4130</v>
      </c>
      <c r="M422" s="5" t="s">
        <v>3662</v>
      </c>
      <c r="N422" s="5" t="s">
        <v>5212</v>
      </c>
      <c r="O422" s="5" t="s">
        <v>3294</v>
      </c>
      <c r="P422" s="5" t="s">
        <v>3320</v>
      </c>
      <c r="Q422" s="5" t="b">
        <v>1</v>
      </c>
      <c r="R422" s="5" t="s">
        <v>3320</v>
      </c>
    </row>
    <row r="423" ht="15.75" customHeight="1">
      <c r="A423" s="5" t="s">
        <v>5213</v>
      </c>
      <c r="B423" s="39">
        <v>45763.75581018518</v>
      </c>
      <c r="C423" s="3" t="s">
        <v>3902</v>
      </c>
      <c r="D423" s="3">
        <v>49.0</v>
      </c>
      <c r="E423" s="3" t="s">
        <v>3903</v>
      </c>
      <c r="F423" s="3">
        <v>17000.0</v>
      </c>
      <c r="G423" s="5">
        <v>11.0</v>
      </c>
      <c r="H423" s="3" t="s">
        <v>4100</v>
      </c>
      <c r="I423" s="3" t="s">
        <v>4053</v>
      </c>
      <c r="J423" s="5">
        <v>16700.0</v>
      </c>
      <c r="K423" s="5">
        <v>33700.0</v>
      </c>
      <c r="L423" s="5" t="s">
        <v>4131</v>
      </c>
      <c r="M423" s="5" t="s">
        <v>4132</v>
      </c>
      <c r="O423" s="5" t="s">
        <v>3320</v>
      </c>
      <c r="P423" s="5" t="s">
        <v>3337</v>
      </c>
      <c r="Q423" s="5" t="b">
        <v>1</v>
      </c>
      <c r="R423" s="5" t="s">
        <v>3337</v>
      </c>
    </row>
    <row r="424" ht="15.75" customHeight="1">
      <c r="A424" s="5" t="s">
        <v>5214</v>
      </c>
      <c r="B424" s="39">
        <v>45763.75894675926</v>
      </c>
      <c r="C424" s="3" t="s">
        <v>4082</v>
      </c>
      <c r="D424" s="3">
        <v>83.0</v>
      </c>
      <c r="E424" s="3" t="s">
        <v>3905</v>
      </c>
      <c r="F424" s="3">
        <v>30000.0</v>
      </c>
      <c r="G424" s="5">
        <v>90.0</v>
      </c>
      <c r="H424" s="3" t="s">
        <v>4091</v>
      </c>
      <c r="I424" s="3" t="s">
        <v>3662</v>
      </c>
      <c r="J424" s="5">
        <v>21600.0</v>
      </c>
      <c r="K424" s="5">
        <v>51600.0</v>
      </c>
      <c r="L424" s="5" t="s">
        <v>4133</v>
      </c>
      <c r="M424" s="5" t="s">
        <v>3932</v>
      </c>
      <c r="O424" s="5" t="s">
        <v>3294</v>
      </c>
      <c r="P424" s="5" t="s">
        <v>3294</v>
      </c>
      <c r="Q424" s="5" t="b">
        <v>0</v>
      </c>
      <c r="R424" s="5" t="s">
        <v>3457</v>
      </c>
    </row>
    <row r="425" ht="15.75" customHeight="1">
      <c r="A425" s="5" t="s">
        <v>5215</v>
      </c>
      <c r="B425" s="39">
        <v>45763.76298611111</v>
      </c>
      <c r="C425" s="3" t="s">
        <v>4105</v>
      </c>
      <c r="D425" s="3">
        <v>7.0</v>
      </c>
      <c r="E425" s="3" t="s">
        <v>3905</v>
      </c>
      <c r="F425" s="3">
        <v>9000.0</v>
      </c>
      <c r="G425" s="5">
        <v>91.0</v>
      </c>
      <c r="H425" s="3" t="s">
        <v>4012</v>
      </c>
      <c r="I425" s="3" t="s">
        <v>4013</v>
      </c>
      <c r="J425" s="5">
        <v>10800.0</v>
      </c>
      <c r="K425" s="5">
        <v>19800.0</v>
      </c>
      <c r="L425" s="5" t="s">
        <v>4134</v>
      </c>
      <c r="M425" s="5" t="s">
        <v>3932</v>
      </c>
      <c r="O425" s="5" t="s">
        <v>3294</v>
      </c>
      <c r="P425" s="5" t="s">
        <v>3294</v>
      </c>
      <c r="Q425" s="5" t="b">
        <v>1</v>
      </c>
      <c r="R425" s="5" t="s">
        <v>3294</v>
      </c>
    </row>
    <row r="426" ht="15.75" customHeight="1">
      <c r="A426" s="5" t="s">
        <v>5216</v>
      </c>
      <c r="B426" s="39">
        <v>45763.76424768518</v>
      </c>
      <c r="C426" s="3" t="s">
        <v>4082</v>
      </c>
      <c r="D426" s="3">
        <v>83.0</v>
      </c>
      <c r="E426" s="3" t="s">
        <v>3905</v>
      </c>
      <c r="F426" s="3">
        <v>25000.0</v>
      </c>
      <c r="G426" s="5">
        <v>91.0</v>
      </c>
      <c r="H426" s="3" t="s">
        <v>4134</v>
      </c>
      <c r="I426" s="3" t="s">
        <v>3932</v>
      </c>
      <c r="J426" s="5">
        <v>19800.0</v>
      </c>
      <c r="K426" s="5">
        <v>44800.0</v>
      </c>
      <c r="L426" s="5" t="s">
        <v>4135</v>
      </c>
      <c r="M426" s="5" t="s">
        <v>3932</v>
      </c>
      <c r="O426" s="5" t="s">
        <v>3294</v>
      </c>
      <c r="P426" s="5" t="s">
        <v>3294</v>
      </c>
      <c r="Q426" s="5" t="b">
        <v>1</v>
      </c>
      <c r="R426" s="5" t="s">
        <v>3294</v>
      </c>
    </row>
    <row r="427" ht="15.75" customHeight="1">
      <c r="A427" s="5" t="s">
        <v>5217</v>
      </c>
      <c r="B427" s="39">
        <v>45763.764861111114</v>
      </c>
      <c r="C427" s="3" t="s">
        <v>4082</v>
      </c>
      <c r="D427" s="3">
        <v>83.0</v>
      </c>
      <c r="E427" s="3" t="s">
        <v>3905</v>
      </c>
      <c r="F427" s="3">
        <v>17000.0</v>
      </c>
      <c r="G427" s="5">
        <v>84.0</v>
      </c>
      <c r="H427" s="3" t="s">
        <v>4027</v>
      </c>
      <c r="I427" s="3" t="s">
        <v>3662</v>
      </c>
      <c r="J427" s="5">
        <v>16000.0</v>
      </c>
      <c r="K427" s="5">
        <v>33000.0</v>
      </c>
      <c r="L427" s="5" t="s">
        <v>4137</v>
      </c>
      <c r="M427" s="5" t="s">
        <v>3932</v>
      </c>
      <c r="O427" s="5" t="s">
        <v>3294</v>
      </c>
      <c r="P427" s="5" t="s">
        <v>3294</v>
      </c>
      <c r="Q427" s="5" t="b">
        <v>1</v>
      </c>
      <c r="R427" s="5" t="s">
        <v>3457</v>
      </c>
    </row>
    <row r="428" ht="15.75" customHeight="1">
      <c r="A428" s="5" t="s">
        <v>5218</v>
      </c>
      <c r="B428" s="39">
        <v>45764.535416666666</v>
      </c>
      <c r="C428" s="3" t="s">
        <v>4123</v>
      </c>
      <c r="D428" s="3">
        <v>87.0</v>
      </c>
      <c r="E428" s="3" t="s">
        <v>3905</v>
      </c>
      <c r="F428" s="3">
        <v>22000.0</v>
      </c>
      <c r="G428" s="5">
        <v>88.0</v>
      </c>
      <c r="H428" s="3" t="s">
        <v>4085</v>
      </c>
      <c r="I428" s="3" t="s">
        <v>3662</v>
      </c>
      <c r="J428" s="5">
        <v>15750.0</v>
      </c>
      <c r="K428" s="5">
        <v>37750.0</v>
      </c>
      <c r="L428" s="5" t="s">
        <v>4139</v>
      </c>
      <c r="M428" s="5" t="s">
        <v>3932</v>
      </c>
      <c r="O428" s="5" t="s">
        <v>3294</v>
      </c>
      <c r="P428" s="5" t="s">
        <v>3294</v>
      </c>
      <c r="Q428" s="5" t="b">
        <v>1</v>
      </c>
      <c r="R428" s="5" t="s">
        <v>3457</v>
      </c>
    </row>
    <row r="429" ht="15.75" customHeight="1">
      <c r="A429" s="5" t="s">
        <v>5219</v>
      </c>
      <c r="B429" s="39">
        <v>45764.53837962963</v>
      </c>
      <c r="C429" s="3" t="s">
        <v>4036</v>
      </c>
      <c r="D429" s="3">
        <v>78.0</v>
      </c>
      <c r="E429" s="3" t="s">
        <v>3662</v>
      </c>
      <c r="F429" s="3">
        <v>11700.0</v>
      </c>
      <c r="G429" s="5">
        <v>28.0</v>
      </c>
      <c r="H429" s="3" t="s">
        <v>4076</v>
      </c>
      <c r="I429" s="3" t="s">
        <v>3662</v>
      </c>
      <c r="J429" s="5">
        <v>163000.0</v>
      </c>
      <c r="K429" s="5">
        <v>174700.0</v>
      </c>
      <c r="L429" s="5" t="s">
        <v>4140</v>
      </c>
      <c r="M429" s="5" t="s">
        <v>3662</v>
      </c>
      <c r="N429" s="5" t="s">
        <v>5220</v>
      </c>
      <c r="O429" s="5" t="s">
        <v>3294</v>
      </c>
      <c r="P429" s="5" t="s">
        <v>3320</v>
      </c>
      <c r="Q429" s="5" t="b">
        <v>1</v>
      </c>
      <c r="R429" s="5" t="s">
        <v>3320</v>
      </c>
    </row>
    <row r="430" ht="15.75" customHeight="1">
      <c r="A430" s="5" t="s">
        <v>5221</v>
      </c>
      <c r="B430" s="39">
        <v>45764.54040509259</v>
      </c>
      <c r="C430" s="3" t="s">
        <v>4122</v>
      </c>
      <c r="D430" s="3">
        <v>86.0</v>
      </c>
      <c r="E430" s="3" t="s">
        <v>3662</v>
      </c>
      <c r="F430" s="3">
        <v>41000.0</v>
      </c>
      <c r="G430" s="5">
        <v>85.0</v>
      </c>
      <c r="H430" s="3"/>
      <c r="I430" s="3"/>
      <c r="J430" s="5">
        <v>0.0</v>
      </c>
      <c r="K430" s="5">
        <v>41000.0</v>
      </c>
      <c r="L430" s="5" t="s">
        <v>4141</v>
      </c>
      <c r="M430" s="5" t="s">
        <v>3903</v>
      </c>
      <c r="N430" s="5" t="s">
        <v>5220</v>
      </c>
      <c r="O430" s="5" t="s">
        <v>3294</v>
      </c>
      <c r="Q430" s="5" t="b">
        <v>0</v>
      </c>
      <c r="R430" s="5" t="s">
        <v>3294</v>
      </c>
    </row>
    <row r="431" ht="15.75" customHeight="1">
      <c r="A431" s="5" t="s">
        <v>5222</v>
      </c>
      <c r="B431" s="39">
        <v>45764.542858796296</v>
      </c>
      <c r="C431" s="3" t="s">
        <v>4123</v>
      </c>
      <c r="D431" s="3">
        <v>87.0</v>
      </c>
      <c r="E431" s="3" t="s">
        <v>3905</v>
      </c>
      <c r="F431" s="3">
        <v>9800.0</v>
      </c>
      <c r="G431" s="5">
        <v>78.0</v>
      </c>
      <c r="H431" s="3" t="s">
        <v>4036</v>
      </c>
      <c r="I431" s="3" t="s">
        <v>3662</v>
      </c>
      <c r="J431" s="5">
        <v>5000.0</v>
      </c>
      <c r="K431" s="5">
        <v>14800.0</v>
      </c>
      <c r="L431" s="5" t="s">
        <v>4142</v>
      </c>
      <c r="M431" s="5" t="s">
        <v>3932</v>
      </c>
      <c r="O431" s="5" t="s">
        <v>3294</v>
      </c>
      <c r="P431" s="5" t="s">
        <v>3294</v>
      </c>
      <c r="Q431" s="5" t="b">
        <v>1</v>
      </c>
      <c r="R431" s="5" t="s">
        <v>3457</v>
      </c>
    </row>
    <row r="432" ht="15.75" customHeight="1">
      <c r="A432" s="5" t="s">
        <v>5223</v>
      </c>
      <c r="B432" s="39">
        <v>45764.54456018518</v>
      </c>
      <c r="C432" s="3" t="s">
        <v>4123</v>
      </c>
      <c r="D432" s="3">
        <v>87.0</v>
      </c>
      <c r="E432" s="3" t="s">
        <v>3905</v>
      </c>
      <c r="F432" s="3">
        <v>27600.0</v>
      </c>
      <c r="G432" s="5">
        <v>86.0</v>
      </c>
      <c r="H432" s="3" t="s">
        <v>4122</v>
      </c>
      <c r="I432" s="3" t="s">
        <v>3662</v>
      </c>
      <c r="J432" s="5">
        <v>17500.0</v>
      </c>
      <c r="K432" s="5">
        <v>45100.0</v>
      </c>
      <c r="L432" s="5" t="s">
        <v>4143</v>
      </c>
      <c r="M432" s="5" t="s">
        <v>3932</v>
      </c>
      <c r="O432" s="5" t="s">
        <v>3294</v>
      </c>
      <c r="P432" s="5" t="s">
        <v>3294</v>
      </c>
      <c r="Q432" s="5" t="b">
        <v>1</v>
      </c>
      <c r="R432" s="5" t="s">
        <v>3457</v>
      </c>
    </row>
    <row r="433" ht="15.75" customHeight="1">
      <c r="A433" s="5" t="s">
        <v>5224</v>
      </c>
      <c r="B433" s="39">
        <v>45764.54583333333</v>
      </c>
      <c r="C433" s="3" t="s">
        <v>4075</v>
      </c>
      <c r="D433" s="3">
        <v>69.0</v>
      </c>
      <c r="E433" s="3" t="s">
        <v>3293</v>
      </c>
      <c r="F433" s="3">
        <v>7200.0</v>
      </c>
      <c r="G433" s="5">
        <v>72.0</v>
      </c>
      <c r="H433" s="3"/>
      <c r="I433" s="3"/>
      <c r="J433" s="5">
        <v>0.0</v>
      </c>
      <c r="K433" s="5">
        <v>7200.0</v>
      </c>
      <c r="L433" s="5" t="s">
        <v>4144</v>
      </c>
      <c r="M433" s="5" t="s">
        <v>3293</v>
      </c>
      <c r="N433" s="5" t="s">
        <v>4919</v>
      </c>
      <c r="O433" s="5" t="s">
        <v>3294</v>
      </c>
      <c r="Q433" s="5" t="b">
        <v>0</v>
      </c>
      <c r="R433" s="5" t="s">
        <v>3294</v>
      </c>
    </row>
    <row r="434" ht="15.75" customHeight="1">
      <c r="A434" s="5" t="s">
        <v>5225</v>
      </c>
      <c r="B434" s="39">
        <v>45764.54733796296</v>
      </c>
      <c r="C434" s="3" t="s">
        <v>4084</v>
      </c>
      <c r="D434" s="3">
        <v>73.0</v>
      </c>
      <c r="E434" s="3" t="s">
        <v>3293</v>
      </c>
      <c r="F434" s="3">
        <v>4200.0</v>
      </c>
      <c r="G434" s="5">
        <v>72.0</v>
      </c>
      <c r="H434" s="3" t="s">
        <v>4144</v>
      </c>
      <c r="I434" s="3" t="s">
        <v>3293</v>
      </c>
      <c r="J434" s="5">
        <v>7200.0</v>
      </c>
      <c r="K434" s="5">
        <v>11400.0</v>
      </c>
      <c r="L434" s="5" t="s">
        <v>4147</v>
      </c>
      <c r="M434" s="5" t="s">
        <v>3293</v>
      </c>
      <c r="N434" s="5" t="s">
        <v>4146</v>
      </c>
      <c r="O434" s="5" t="s">
        <v>3294</v>
      </c>
      <c r="P434" s="5" t="s">
        <v>3294</v>
      </c>
      <c r="Q434" s="5" t="b">
        <v>1</v>
      </c>
      <c r="R434" s="5" t="s">
        <v>3294</v>
      </c>
    </row>
    <row r="435" ht="15.75" customHeight="1">
      <c r="A435" s="5" t="s">
        <v>5226</v>
      </c>
      <c r="B435" s="39">
        <v>45764.74253472222</v>
      </c>
      <c r="C435" s="3" t="s">
        <v>4080</v>
      </c>
      <c r="D435" s="3">
        <v>76.0</v>
      </c>
      <c r="E435" s="3" t="s">
        <v>3275</v>
      </c>
      <c r="F435" s="3">
        <v>3000.0</v>
      </c>
      <c r="G435" s="5">
        <v>500.0</v>
      </c>
      <c r="H435" s="3" t="s">
        <v>4121</v>
      </c>
      <c r="I435" s="3" t="s">
        <v>4104</v>
      </c>
      <c r="J435" s="5">
        <v>27201.0</v>
      </c>
      <c r="K435" s="5">
        <v>30201.0</v>
      </c>
      <c r="L435" s="5" t="s">
        <v>4151</v>
      </c>
      <c r="M435" s="5" t="s">
        <v>4104</v>
      </c>
      <c r="O435" s="5" t="s">
        <v>3294</v>
      </c>
      <c r="P435" s="5" t="s">
        <v>3320</v>
      </c>
      <c r="Q435" s="5" t="b">
        <v>1</v>
      </c>
      <c r="R435" s="5" t="s">
        <v>3320</v>
      </c>
    </row>
    <row r="436" ht="15.75" customHeight="1">
      <c r="A436" s="5" t="s">
        <v>5227</v>
      </c>
      <c r="B436" s="39">
        <v>45764.74321759259</v>
      </c>
      <c r="C436" s="3" t="s">
        <v>4131</v>
      </c>
      <c r="D436" s="3">
        <v>11.0</v>
      </c>
      <c r="E436" s="3" t="s">
        <v>4132</v>
      </c>
      <c r="F436" s="3">
        <v>5000.0</v>
      </c>
      <c r="G436" s="5">
        <v>76.0</v>
      </c>
      <c r="H436" s="3" t="s">
        <v>4080</v>
      </c>
      <c r="I436" s="3" t="s">
        <v>3275</v>
      </c>
      <c r="J436" s="5">
        <v>19800.0</v>
      </c>
      <c r="K436" s="5">
        <v>24800.0</v>
      </c>
      <c r="L436" s="5" t="s">
        <v>4152</v>
      </c>
      <c r="M436" s="5" t="s">
        <v>3275</v>
      </c>
      <c r="O436" s="5" t="s">
        <v>3337</v>
      </c>
      <c r="P436" s="5" t="s">
        <v>3294</v>
      </c>
      <c r="Q436" s="5" t="b">
        <v>1</v>
      </c>
      <c r="R436" s="5" t="s">
        <v>3294</v>
      </c>
    </row>
    <row r="437" ht="15.75" customHeight="1">
      <c r="A437" s="5" t="s">
        <v>5228</v>
      </c>
      <c r="B437" s="39">
        <v>45764.74476851852</v>
      </c>
      <c r="C437" s="3" t="s">
        <v>4131</v>
      </c>
      <c r="D437" s="3">
        <v>11.0</v>
      </c>
      <c r="E437" s="3" t="s">
        <v>4132</v>
      </c>
      <c r="F437" s="3">
        <v>5700.0</v>
      </c>
      <c r="G437" s="5">
        <v>77.0</v>
      </c>
      <c r="H437" s="3" t="s">
        <v>4078</v>
      </c>
      <c r="I437" s="3" t="s">
        <v>3275</v>
      </c>
      <c r="J437" s="5">
        <v>10500.0</v>
      </c>
      <c r="K437" s="5">
        <v>16200.0</v>
      </c>
      <c r="L437" s="5" t="s">
        <v>4153</v>
      </c>
      <c r="M437" s="5" t="s">
        <v>3275</v>
      </c>
      <c r="N437" s="5" t="s">
        <v>5165</v>
      </c>
      <c r="O437" s="5" t="s">
        <v>3337</v>
      </c>
      <c r="P437" s="5" t="s">
        <v>3294</v>
      </c>
      <c r="Q437" s="5" t="b">
        <v>1</v>
      </c>
      <c r="R437" s="5" t="s">
        <v>3294</v>
      </c>
    </row>
    <row r="438" ht="15.75" customHeight="1">
      <c r="A438" s="5" t="s">
        <v>5229</v>
      </c>
      <c r="B438" s="39">
        <v>45764.74626157407</v>
      </c>
      <c r="C438" s="3" t="s">
        <v>4153</v>
      </c>
      <c r="D438" s="3">
        <v>77.0</v>
      </c>
      <c r="E438" s="3" t="s">
        <v>3275</v>
      </c>
      <c r="F438" s="3">
        <v>-3000.0</v>
      </c>
      <c r="G438" s="5">
        <v>500.0</v>
      </c>
      <c r="H438" s="3" t="s">
        <v>4151</v>
      </c>
      <c r="I438" s="3" t="s">
        <v>4104</v>
      </c>
      <c r="J438" s="5">
        <v>30201.0</v>
      </c>
      <c r="K438" s="5">
        <v>27201.0</v>
      </c>
      <c r="L438" s="5" t="s">
        <v>4154</v>
      </c>
      <c r="M438" s="5" t="s">
        <v>4104</v>
      </c>
      <c r="N438" s="5" t="s">
        <v>5230</v>
      </c>
      <c r="O438" s="5" t="s">
        <v>3294</v>
      </c>
      <c r="P438" s="5" t="s">
        <v>3320</v>
      </c>
      <c r="Q438" s="5" t="b">
        <v>1</v>
      </c>
      <c r="R438" s="5" t="s">
        <v>3320</v>
      </c>
    </row>
    <row r="439" ht="15.75" customHeight="1">
      <c r="A439" s="5" t="s">
        <v>5231</v>
      </c>
      <c r="B439" s="39">
        <v>45764.86744212963</v>
      </c>
      <c r="C439" s="3" t="s">
        <v>4133</v>
      </c>
      <c r="D439" s="3">
        <v>90.0</v>
      </c>
      <c r="E439" s="3" t="s">
        <v>3932</v>
      </c>
      <c r="F439" s="3">
        <v>30500.0</v>
      </c>
      <c r="G439" s="5">
        <v>125.0</v>
      </c>
      <c r="H439" s="3"/>
      <c r="I439" s="3"/>
      <c r="J439" s="5">
        <v>0.0</v>
      </c>
      <c r="K439" s="5">
        <v>36120.0</v>
      </c>
      <c r="L439" s="5" t="s">
        <v>4156</v>
      </c>
      <c r="M439" s="5" t="s">
        <v>3932</v>
      </c>
      <c r="N439" s="5" t="s">
        <v>5232</v>
      </c>
      <c r="O439" s="5" t="s">
        <v>3457</v>
      </c>
      <c r="Q439" s="5" t="b">
        <v>0</v>
      </c>
      <c r="R439" s="5" t="s">
        <v>3320</v>
      </c>
    </row>
    <row r="440" ht="15.75" customHeight="1">
      <c r="A440" s="5" t="s">
        <v>5233</v>
      </c>
      <c r="B440" s="39">
        <v>45764.86854166666</v>
      </c>
      <c r="C440" s="3" t="s">
        <v>4135</v>
      </c>
      <c r="D440" s="3">
        <v>91.0</v>
      </c>
      <c r="E440" s="3" t="s">
        <v>3932</v>
      </c>
      <c r="F440" s="3">
        <v>30500.0</v>
      </c>
      <c r="G440" s="5">
        <v>126.0</v>
      </c>
      <c r="H440" s="3"/>
      <c r="I440" s="3"/>
      <c r="J440" s="5">
        <v>0.0</v>
      </c>
      <c r="K440" s="5">
        <v>30500.0</v>
      </c>
      <c r="L440" s="5" t="s">
        <v>4157</v>
      </c>
      <c r="M440" s="5" t="s">
        <v>3932</v>
      </c>
      <c r="O440" s="5" t="s">
        <v>3457</v>
      </c>
      <c r="Q440" s="5" t="b">
        <v>0</v>
      </c>
      <c r="R440" s="5" t="s">
        <v>3320</v>
      </c>
    </row>
    <row r="441" ht="15.75" customHeight="1">
      <c r="A441" s="5" t="s">
        <v>5234</v>
      </c>
      <c r="B441" s="39">
        <v>45764.870208333334</v>
      </c>
      <c r="C441" s="3" t="s">
        <v>4123</v>
      </c>
      <c r="D441" s="3">
        <v>87.0</v>
      </c>
      <c r="E441" s="3" t="s">
        <v>3905</v>
      </c>
      <c r="F441" s="3">
        <v>35600.0</v>
      </c>
      <c r="G441" s="5">
        <v>90.0</v>
      </c>
      <c r="H441" s="3" t="s">
        <v>4133</v>
      </c>
      <c r="I441" s="3" t="s">
        <v>3932</v>
      </c>
      <c r="J441" s="5">
        <v>21100.0</v>
      </c>
      <c r="K441" s="5">
        <v>56700.0</v>
      </c>
      <c r="L441" s="5" t="s">
        <v>4158</v>
      </c>
      <c r="M441" s="5" t="s">
        <v>3932</v>
      </c>
      <c r="O441" s="5" t="s">
        <v>3294</v>
      </c>
      <c r="P441" s="5" t="s">
        <v>3457</v>
      </c>
      <c r="Q441" s="5" t="b">
        <v>1</v>
      </c>
      <c r="R441" s="5" t="s">
        <v>3457</v>
      </c>
    </row>
    <row r="442" ht="15.75" customHeight="1">
      <c r="A442" s="5" t="s">
        <v>5235</v>
      </c>
      <c r="B442" s="39">
        <v>45764.87070601852</v>
      </c>
      <c r="C442" s="3" t="s">
        <v>4149</v>
      </c>
      <c r="D442" s="3">
        <v>83.0</v>
      </c>
      <c r="E442" s="3" t="s">
        <v>3905</v>
      </c>
      <c r="F442" s="3">
        <v>35000.0</v>
      </c>
      <c r="G442" s="5">
        <v>91.0</v>
      </c>
      <c r="H442" s="3" t="s">
        <v>4135</v>
      </c>
      <c r="I442" s="3" t="s">
        <v>3932</v>
      </c>
      <c r="J442" s="5">
        <v>14300.0</v>
      </c>
      <c r="K442" s="5">
        <v>49300.0</v>
      </c>
      <c r="L442" s="5" t="s">
        <v>4160</v>
      </c>
      <c r="M442" s="5" t="s">
        <v>3932</v>
      </c>
      <c r="P442" s="5" t="s">
        <v>3457</v>
      </c>
      <c r="Q442" s="5" t="b">
        <v>1</v>
      </c>
      <c r="R442" s="5" t="s">
        <v>3457</v>
      </c>
    </row>
    <row r="443" ht="15.75" customHeight="1">
      <c r="A443" s="5" t="s">
        <v>5236</v>
      </c>
      <c r="B443" s="39">
        <v>45764.874456018515</v>
      </c>
      <c r="C443" s="3" t="s">
        <v>4137</v>
      </c>
      <c r="D443" s="3">
        <v>84.0</v>
      </c>
      <c r="E443" s="3" t="s">
        <v>3932</v>
      </c>
      <c r="F443" s="3">
        <v>23000.0</v>
      </c>
      <c r="G443" s="5">
        <v>45.0</v>
      </c>
      <c r="H443" s="3"/>
      <c r="I443" s="3"/>
      <c r="J443" s="5">
        <v>0.0</v>
      </c>
      <c r="K443" s="5">
        <v>23000.0</v>
      </c>
      <c r="L443" s="5" t="s">
        <v>4161</v>
      </c>
      <c r="M443" s="5" t="s">
        <v>3932</v>
      </c>
      <c r="O443" s="5" t="s">
        <v>3457</v>
      </c>
      <c r="Q443" s="5" t="b">
        <v>0</v>
      </c>
      <c r="R443" s="5" t="s">
        <v>3320</v>
      </c>
    </row>
    <row r="444" ht="15.75" customHeight="1">
      <c r="A444" s="5" t="s">
        <v>5237</v>
      </c>
      <c r="B444" s="39">
        <v>45764.87537037037</v>
      </c>
      <c r="C444" s="3" t="s">
        <v>4149</v>
      </c>
      <c r="D444" s="3">
        <v>83.0</v>
      </c>
      <c r="E444" s="3" t="s">
        <v>3905</v>
      </c>
      <c r="F444" s="3">
        <v>30000.0</v>
      </c>
      <c r="G444" s="5">
        <v>84.0</v>
      </c>
      <c r="H444" s="3" t="s">
        <v>4137</v>
      </c>
      <c r="I444" s="3" t="s">
        <v>3932</v>
      </c>
      <c r="J444" s="5">
        <v>10000.0</v>
      </c>
      <c r="K444" s="5">
        <v>40000.0</v>
      </c>
      <c r="L444" s="5" t="s">
        <v>4163</v>
      </c>
      <c r="M444" s="5" t="s">
        <v>4159</v>
      </c>
      <c r="P444" s="5" t="s">
        <v>3457</v>
      </c>
      <c r="Q444" s="5" t="b">
        <v>1</v>
      </c>
      <c r="R444" s="5" t="s">
        <v>3457</v>
      </c>
    </row>
    <row r="445" ht="15.75" customHeight="1">
      <c r="A445" s="5" t="s">
        <v>5238</v>
      </c>
      <c r="B445" s="39">
        <v>45766.520787037036</v>
      </c>
      <c r="C445" s="3" t="s">
        <v>4030</v>
      </c>
      <c r="D445" s="3">
        <v>89.0</v>
      </c>
      <c r="E445" s="3" t="s">
        <v>3275</v>
      </c>
      <c r="F445" s="3">
        <v>60800.0</v>
      </c>
      <c r="G445" s="5">
        <v>87.0</v>
      </c>
      <c r="H445" s="3"/>
      <c r="I445" s="3"/>
      <c r="J445" s="5">
        <v>0.0</v>
      </c>
      <c r="K445" s="5">
        <v>60800.0</v>
      </c>
      <c r="L445" s="5" t="s">
        <v>4164</v>
      </c>
      <c r="M445" s="5" t="s">
        <v>3275</v>
      </c>
      <c r="O445" s="5" t="s">
        <v>3294</v>
      </c>
      <c r="Q445" s="5" t="b">
        <v>0</v>
      </c>
      <c r="R445" s="5" t="s">
        <v>3320</v>
      </c>
    </row>
    <row r="446" ht="15.75" customHeight="1">
      <c r="A446" s="5" t="s">
        <v>5239</v>
      </c>
      <c r="B446" s="39">
        <v>45766.521145833336</v>
      </c>
      <c r="C446" s="3" t="s">
        <v>4002</v>
      </c>
      <c r="D446" s="3">
        <v>80.0</v>
      </c>
      <c r="E446" s="3" t="s">
        <v>3275</v>
      </c>
      <c r="F446" s="3">
        <v>17800.0</v>
      </c>
      <c r="G446" s="5">
        <v>87.0</v>
      </c>
      <c r="H446" s="3" t="s">
        <v>4164</v>
      </c>
      <c r="I446" s="3" t="s">
        <v>4919</v>
      </c>
      <c r="J446" s="5">
        <v>60800.0</v>
      </c>
      <c r="K446" s="5">
        <v>78600.0</v>
      </c>
      <c r="L446" s="5" t="s">
        <v>4165</v>
      </c>
      <c r="M446" s="5" t="s">
        <v>4919</v>
      </c>
      <c r="O446" s="5" t="s">
        <v>3294</v>
      </c>
      <c r="P446" s="5" t="s">
        <v>3320</v>
      </c>
      <c r="Q446" s="5" t="b">
        <v>1</v>
      </c>
      <c r="R446" s="5" t="s">
        <v>3320</v>
      </c>
    </row>
    <row r="447" ht="15.75" customHeight="1">
      <c r="A447" s="5" t="s">
        <v>5240</v>
      </c>
      <c r="B447" s="39">
        <v>45766.52431712963</v>
      </c>
      <c r="C447" s="3" t="s">
        <v>4032</v>
      </c>
      <c r="D447" s="3">
        <v>81.0</v>
      </c>
      <c r="E447" s="3" t="s">
        <v>3275</v>
      </c>
      <c r="F447" s="3">
        <v>15100.0</v>
      </c>
      <c r="G447" s="5">
        <v>87.0</v>
      </c>
      <c r="H447" s="3" t="s">
        <v>4165</v>
      </c>
      <c r="I447" s="3" t="s">
        <v>3275</v>
      </c>
      <c r="J447" s="5">
        <v>78600.0</v>
      </c>
      <c r="K447" s="5">
        <v>93700.0</v>
      </c>
      <c r="L447" s="5" t="s">
        <v>4166</v>
      </c>
      <c r="M447" s="5" t="s">
        <v>3275</v>
      </c>
      <c r="N447" s="5" t="s">
        <v>4810</v>
      </c>
      <c r="O447" s="5" t="s">
        <v>3294</v>
      </c>
      <c r="P447" s="5" t="s">
        <v>3320</v>
      </c>
      <c r="Q447" s="5" t="b">
        <v>1</v>
      </c>
      <c r="R447" s="5" t="s">
        <v>3320</v>
      </c>
    </row>
    <row r="448" ht="15.75" customHeight="1">
      <c r="A448" s="5" t="s">
        <v>5241</v>
      </c>
      <c r="B448" s="39">
        <v>45766.52490740741</v>
      </c>
      <c r="C448" s="3" t="s">
        <v>4032</v>
      </c>
      <c r="D448" s="3">
        <v>81.0</v>
      </c>
      <c r="E448" s="3" t="s">
        <v>3275</v>
      </c>
      <c r="F448" s="3">
        <v>3000.0</v>
      </c>
      <c r="G448" s="5">
        <v>935.0</v>
      </c>
      <c r="H448" s="3" t="s">
        <v>4054</v>
      </c>
      <c r="I448" s="3" t="s">
        <v>3706</v>
      </c>
      <c r="J448" s="5">
        <v>6000.0</v>
      </c>
      <c r="K448" s="5">
        <v>9000.0</v>
      </c>
      <c r="L448" s="5" t="s">
        <v>4167</v>
      </c>
      <c r="M448" s="5" t="s">
        <v>3706</v>
      </c>
      <c r="O448" s="5" t="s">
        <v>3294</v>
      </c>
      <c r="P448" s="5" t="s">
        <v>3320</v>
      </c>
      <c r="Q448" s="5" t="b">
        <v>1</v>
      </c>
      <c r="R448" s="5" t="s">
        <v>3320</v>
      </c>
    </row>
    <row r="449" ht="15.75" customHeight="1">
      <c r="A449" s="5" t="s">
        <v>5242</v>
      </c>
      <c r="B449" s="39">
        <v>45768.475069444445</v>
      </c>
      <c r="C449" s="3" t="s">
        <v>4068</v>
      </c>
      <c r="D449" s="3">
        <v>96.0</v>
      </c>
      <c r="E449" s="3" t="s">
        <v>3275</v>
      </c>
      <c r="F449" s="3">
        <v>35100.0</v>
      </c>
      <c r="G449" s="5">
        <v>41.0</v>
      </c>
      <c r="H449" s="3"/>
      <c r="I449" s="3"/>
      <c r="J449" s="5">
        <v>0.0</v>
      </c>
      <c r="K449" s="5">
        <v>35100.0</v>
      </c>
      <c r="L449" s="5" t="s">
        <v>4168</v>
      </c>
      <c r="M449" s="5" t="s">
        <v>3275</v>
      </c>
      <c r="O449" s="5" t="s">
        <v>3294</v>
      </c>
      <c r="Q449" s="5" t="b">
        <v>0</v>
      </c>
      <c r="R449" s="5" t="s">
        <v>3320</v>
      </c>
    </row>
    <row r="450" ht="15.75" customHeight="1">
      <c r="A450" s="5" t="s">
        <v>5243</v>
      </c>
      <c r="B450" s="39">
        <v>45768.4753587963</v>
      </c>
      <c r="C450" s="3" t="s">
        <v>4068</v>
      </c>
      <c r="D450" s="3">
        <v>96.0</v>
      </c>
      <c r="E450" s="3" t="s">
        <v>3275</v>
      </c>
      <c r="F450" s="3">
        <v>17700.0</v>
      </c>
      <c r="G450" s="5">
        <v>54.0</v>
      </c>
      <c r="H450" s="3"/>
      <c r="I450" s="3"/>
      <c r="J450" s="5">
        <v>0.0</v>
      </c>
      <c r="K450" s="5">
        <v>17700.0</v>
      </c>
      <c r="L450" s="5" t="s">
        <v>4170</v>
      </c>
      <c r="M450" s="5" t="s">
        <v>3275</v>
      </c>
      <c r="O450" s="5" t="s">
        <v>3294</v>
      </c>
      <c r="Q450" s="5" t="b">
        <v>0</v>
      </c>
      <c r="R450" s="5" t="s">
        <v>3320</v>
      </c>
    </row>
    <row r="451" ht="15.75" customHeight="1">
      <c r="A451" s="5" t="s">
        <v>5244</v>
      </c>
      <c r="B451" s="39">
        <v>45768.81285879629</v>
      </c>
      <c r="C451" s="3" t="s">
        <v>4070</v>
      </c>
      <c r="D451" s="3">
        <v>95.0</v>
      </c>
      <c r="E451" s="3" t="s">
        <v>4017</v>
      </c>
      <c r="F451" s="3">
        <v>24300.0</v>
      </c>
      <c r="G451" s="5">
        <v>120.0</v>
      </c>
      <c r="H451" s="3" t="s">
        <v>4095</v>
      </c>
      <c r="I451" s="3" t="s">
        <v>4017</v>
      </c>
      <c r="J451" s="5">
        <v>64500.0</v>
      </c>
      <c r="K451" s="5">
        <v>88800.0</v>
      </c>
      <c r="L451" s="5" t="s">
        <v>4172</v>
      </c>
      <c r="M451" s="5" t="s">
        <v>4017</v>
      </c>
      <c r="N451" s="5" t="s">
        <v>4786</v>
      </c>
      <c r="O451" s="5" t="s">
        <v>3294</v>
      </c>
      <c r="P451" s="5" t="s">
        <v>3320</v>
      </c>
      <c r="Q451" s="5" t="b">
        <v>1</v>
      </c>
      <c r="R451" s="5" t="s">
        <v>3320</v>
      </c>
    </row>
    <row r="452" ht="15.75" customHeight="1">
      <c r="A452" s="5" t="s">
        <v>5245</v>
      </c>
      <c r="B452" s="39">
        <v>45768.81321759259</v>
      </c>
      <c r="C452" s="3" t="s">
        <v>4070</v>
      </c>
      <c r="D452" s="3">
        <v>95.0</v>
      </c>
      <c r="E452" s="3" t="s">
        <v>4017</v>
      </c>
      <c r="F452" s="3">
        <v>44200.0</v>
      </c>
      <c r="G452" s="5">
        <v>89.0</v>
      </c>
      <c r="H452" s="3"/>
      <c r="I452" s="3"/>
      <c r="J452" s="5">
        <v>0.0</v>
      </c>
      <c r="K452" s="5">
        <v>44200.0</v>
      </c>
      <c r="L452" s="5" t="s">
        <v>4173</v>
      </c>
      <c r="M452" s="5" t="s">
        <v>4017</v>
      </c>
      <c r="O452" s="5" t="s">
        <v>3294</v>
      </c>
      <c r="Q452" s="5" t="b">
        <v>0</v>
      </c>
      <c r="R452" s="5" t="s">
        <v>3320</v>
      </c>
    </row>
    <row r="453" ht="15.75" customHeight="1">
      <c r="A453" s="5" t="s">
        <v>5246</v>
      </c>
      <c r="B453" s="39">
        <v>45769.71275462963</v>
      </c>
      <c r="C453" s="3" t="s">
        <v>4173</v>
      </c>
      <c r="D453" s="3">
        <v>89.0</v>
      </c>
      <c r="E453" s="3" t="s">
        <v>4017</v>
      </c>
      <c r="F453" s="3">
        <v>25000.0</v>
      </c>
      <c r="G453" s="5">
        <v>500.0</v>
      </c>
      <c r="H453" s="3" t="s">
        <v>4174</v>
      </c>
      <c r="I453" s="3" t="s">
        <v>4175</v>
      </c>
      <c r="J453" s="5">
        <v>1.0</v>
      </c>
      <c r="K453" s="5">
        <v>25001.0</v>
      </c>
      <c r="L453" s="5" t="s">
        <v>4176</v>
      </c>
      <c r="M453" s="5" t="s">
        <v>4175</v>
      </c>
      <c r="N453" s="5" t="s">
        <v>5247</v>
      </c>
      <c r="O453" s="5" t="s">
        <v>3320</v>
      </c>
      <c r="Q453" s="5" t="b">
        <v>1</v>
      </c>
    </row>
    <row r="454" ht="15.75" customHeight="1">
      <c r="A454" s="6" t="s">
        <v>5248</v>
      </c>
      <c r="B454" s="39">
        <v>45769.71375</v>
      </c>
      <c r="C454" s="3" t="s">
        <v>4087</v>
      </c>
      <c r="D454" s="3">
        <v>82.0</v>
      </c>
      <c r="E454" s="3" t="s">
        <v>3275</v>
      </c>
      <c r="F454" s="3">
        <v>25000.0</v>
      </c>
      <c r="G454" s="5">
        <v>89.0</v>
      </c>
      <c r="H454" s="3" t="s">
        <v>4173</v>
      </c>
      <c r="I454" s="3" t="s">
        <v>4017</v>
      </c>
      <c r="J454" s="5">
        <v>19200.0</v>
      </c>
      <c r="K454" s="5">
        <v>44200.0</v>
      </c>
      <c r="L454" s="5" t="s">
        <v>4177</v>
      </c>
      <c r="M454" s="5" t="s">
        <v>4017</v>
      </c>
      <c r="N454" s="5" t="s">
        <v>4786</v>
      </c>
      <c r="O454" s="5" t="s">
        <v>3294</v>
      </c>
      <c r="P454" s="5" t="s">
        <v>3320</v>
      </c>
      <c r="Q454" s="5" t="b">
        <v>1</v>
      </c>
      <c r="R454" s="5" t="s">
        <v>3320</v>
      </c>
    </row>
    <row r="455" ht="15.75" customHeight="1">
      <c r="A455" s="5" t="s">
        <v>5249</v>
      </c>
      <c r="B455" s="39">
        <v>45769.71450231481</v>
      </c>
      <c r="C455" s="3" t="s">
        <v>4061</v>
      </c>
      <c r="D455" s="3">
        <v>66.0</v>
      </c>
      <c r="E455" s="3" t="s">
        <v>4062</v>
      </c>
      <c r="F455" s="3">
        <v>12000.0</v>
      </c>
      <c r="G455" s="5">
        <v>89.0</v>
      </c>
      <c r="H455" s="3" t="s">
        <v>4177</v>
      </c>
      <c r="I455" s="3" t="s">
        <v>4017</v>
      </c>
      <c r="J455" s="5">
        <v>44200.0</v>
      </c>
      <c r="K455" s="5">
        <v>56200.0</v>
      </c>
      <c r="L455" s="5" t="s">
        <v>4178</v>
      </c>
      <c r="M455" s="5" t="s">
        <v>4017</v>
      </c>
      <c r="N455" s="5" t="s">
        <v>5250</v>
      </c>
      <c r="O455" s="5" t="s">
        <v>3294</v>
      </c>
      <c r="P455" s="5" t="s">
        <v>3320</v>
      </c>
      <c r="Q455" s="5" t="b">
        <v>1</v>
      </c>
      <c r="R455" s="5" t="s">
        <v>3320</v>
      </c>
    </row>
    <row r="456" ht="15.75" customHeight="1">
      <c r="A456" s="5" t="s">
        <v>5251</v>
      </c>
      <c r="B456" s="39">
        <v>45769.71525462963</v>
      </c>
      <c r="C456" s="3" t="s">
        <v>4101</v>
      </c>
      <c r="D456" s="3">
        <v>67.0</v>
      </c>
      <c r="E456" s="3" t="s">
        <v>4062</v>
      </c>
      <c r="F456" s="3">
        <v>16500.0</v>
      </c>
      <c r="G456" s="5">
        <v>89.0</v>
      </c>
      <c r="H456" s="3" t="s">
        <v>4178</v>
      </c>
      <c r="I456" s="3" t="s">
        <v>4017</v>
      </c>
      <c r="J456" s="5">
        <v>56200.0</v>
      </c>
      <c r="K456" s="5">
        <v>72700.0</v>
      </c>
      <c r="L456" s="5" t="s">
        <v>4179</v>
      </c>
      <c r="M456" s="5" t="s">
        <v>4017</v>
      </c>
      <c r="N456" s="5" t="s">
        <v>5252</v>
      </c>
      <c r="O456" s="5" t="s">
        <v>3294</v>
      </c>
      <c r="P456" s="5" t="s">
        <v>3320</v>
      </c>
      <c r="Q456" s="5" t="b">
        <v>1</v>
      </c>
      <c r="R456" s="5" t="s">
        <v>3320</v>
      </c>
    </row>
    <row r="457" ht="15.75" customHeight="1">
      <c r="A457" s="5" t="s">
        <v>5253</v>
      </c>
      <c r="B457" s="39">
        <v>45769.716203703705</v>
      </c>
      <c r="C457" s="3" t="s">
        <v>4034</v>
      </c>
      <c r="D457" s="3">
        <v>79.0</v>
      </c>
      <c r="E457" s="3" t="s">
        <v>3966</v>
      </c>
      <c r="F457" s="3">
        <v>10800.0</v>
      </c>
      <c r="G457" s="5">
        <v>89.0</v>
      </c>
      <c r="H457" s="3" t="s">
        <v>4179</v>
      </c>
      <c r="I457" s="3" t="s">
        <v>4017</v>
      </c>
      <c r="J457" s="5">
        <v>72700.0</v>
      </c>
      <c r="K457" s="5">
        <v>83500.0</v>
      </c>
      <c r="L457" s="5" t="s">
        <v>4180</v>
      </c>
      <c r="M457" s="5" t="s">
        <v>4017</v>
      </c>
      <c r="N457" s="5" t="s">
        <v>5254</v>
      </c>
      <c r="O457" s="5" t="s">
        <v>3294</v>
      </c>
      <c r="P457" s="5" t="s">
        <v>3320</v>
      </c>
      <c r="Q457" s="5" t="b">
        <v>1</v>
      </c>
      <c r="R457" s="5" t="s">
        <v>3320</v>
      </c>
    </row>
    <row r="458" ht="15.75" customHeight="1">
      <c r="A458" s="5" t="s">
        <v>5255</v>
      </c>
      <c r="B458" s="39">
        <v>45769.71679398148</v>
      </c>
      <c r="C458" s="3" t="s">
        <v>4087</v>
      </c>
      <c r="D458" s="3">
        <v>82.0</v>
      </c>
      <c r="E458" s="3" t="s">
        <v>3275</v>
      </c>
      <c r="F458" s="3">
        <v>8000.0</v>
      </c>
      <c r="G458" s="5">
        <v>80.0</v>
      </c>
      <c r="H458" s="3"/>
      <c r="I458" s="3"/>
      <c r="J458" s="5">
        <v>0.0</v>
      </c>
      <c r="K458" s="5">
        <v>8000.0</v>
      </c>
      <c r="L458" s="5" t="s">
        <v>4182</v>
      </c>
      <c r="M458" s="5" t="s">
        <v>3334</v>
      </c>
      <c r="O458" s="5" t="s">
        <v>3294</v>
      </c>
      <c r="Q458" s="5" t="b">
        <v>0</v>
      </c>
      <c r="R458" s="5" t="s">
        <v>3320</v>
      </c>
    </row>
    <row r="459" ht="15.75" customHeight="1">
      <c r="A459" s="5" t="s">
        <v>5256</v>
      </c>
      <c r="B459" s="39">
        <v>45769.71743055555</v>
      </c>
      <c r="C459" s="3" t="s">
        <v>4061</v>
      </c>
      <c r="D459" s="3">
        <v>66.0</v>
      </c>
      <c r="E459" s="3" t="s">
        <v>4062</v>
      </c>
      <c r="F459" s="3">
        <v>5600.0</v>
      </c>
      <c r="G459" s="5">
        <v>80.0</v>
      </c>
      <c r="H459" s="3" t="s">
        <v>4182</v>
      </c>
      <c r="I459" s="3" t="s">
        <v>3334</v>
      </c>
      <c r="J459" s="5">
        <v>8000.0</v>
      </c>
      <c r="K459" s="5">
        <v>13600.0</v>
      </c>
      <c r="L459" s="5" t="s">
        <v>4183</v>
      </c>
      <c r="M459" s="5" t="s">
        <v>4184</v>
      </c>
      <c r="O459" s="5" t="s">
        <v>3294</v>
      </c>
      <c r="P459" s="5" t="s">
        <v>3320</v>
      </c>
      <c r="Q459" s="5" t="b">
        <v>0</v>
      </c>
      <c r="R459" s="5" t="s">
        <v>3294</v>
      </c>
    </row>
    <row r="460" ht="15.75" customHeight="1">
      <c r="A460" s="5" t="s">
        <v>5257</v>
      </c>
      <c r="B460" s="39">
        <v>45769.71802083333</v>
      </c>
      <c r="C460" s="3" t="s">
        <v>4101</v>
      </c>
      <c r="D460" s="3">
        <v>67.0</v>
      </c>
      <c r="E460" s="3" t="s">
        <v>4062</v>
      </c>
      <c r="F460" s="3">
        <v>6300.0</v>
      </c>
      <c r="G460" s="5">
        <v>80.0</v>
      </c>
      <c r="H460" s="3" t="s">
        <v>4183</v>
      </c>
      <c r="I460" s="3" t="s">
        <v>4184</v>
      </c>
      <c r="J460" s="5">
        <v>13600.0</v>
      </c>
      <c r="K460" s="5">
        <v>19900.0</v>
      </c>
      <c r="L460" s="5" t="s">
        <v>4185</v>
      </c>
      <c r="M460" s="5" t="s">
        <v>4184</v>
      </c>
      <c r="O460" s="5" t="s">
        <v>3294</v>
      </c>
      <c r="P460" s="5" t="s">
        <v>3294</v>
      </c>
      <c r="Q460" s="5" t="b">
        <v>1</v>
      </c>
      <c r="R460" s="5" t="s">
        <v>3294</v>
      </c>
    </row>
    <row r="461" ht="15.75" customHeight="1">
      <c r="A461" s="5" t="s">
        <v>5258</v>
      </c>
      <c r="B461" s="39">
        <v>45769.718298611115</v>
      </c>
      <c r="C461" s="3" t="s">
        <v>4034</v>
      </c>
      <c r="D461" s="3">
        <v>79.0</v>
      </c>
      <c r="E461" s="3" t="s">
        <v>3966</v>
      </c>
      <c r="F461" s="3">
        <v>6200.0</v>
      </c>
      <c r="G461" s="5">
        <v>80.0</v>
      </c>
      <c r="H461" s="3" t="s">
        <v>4185</v>
      </c>
      <c r="I461" s="3" t="s">
        <v>4184</v>
      </c>
      <c r="J461" s="5">
        <v>19900.0</v>
      </c>
      <c r="K461" s="5">
        <v>26100.0</v>
      </c>
      <c r="L461" s="5" t="s">
        <v>4186</v>
      </c>
      <c r="M461" s="5" t="s">
        <v>4184</v>
      </c>
      <c r="N461" s="5" t="s">
        <v>5051</v>
      </c>
      <c r="O461" s="5" t="s">
        <v>3294</v>
      </c>
      <c r="P461" s="5" t="s">
        <v>3294</v>
      </c>
      <c r="Q461" s="5" t="b">
        <v>1</v>
      </c>
      <c r="R461" s="5" t="s">
        <v>3294</v>
      </c>
    </row>
    <row r="462" ht="15.75" customHeight="1">
      <c r="A462" s="5" t="s">
        <v>5259</v>
      </c>
      <c r="B462" s="39">
        <v>45769.71891203704</v>
      </c>
      <c r="C462" s="3" t="s">
        <v>4034</v>
      </c>
      <c r="D462" s="3">
        <v>79.0</v>
      </c>
      <c r="E462" s="3" t="s">
        <v>3966</v>
      </c>
      <c r="F462" s="3">
        <v>2200.0</v>
      </c>
      <c r="G462" s="5">
        <v>935.0</v>
      </c>
      <c r="H462" s="3" t="s">
        <v>4167</v>
      </c>
      <c r="I462" s="3" t="s">
        <v>3706</v>
      </c>
      <c r="J462" s="5">
        <v>9000.0</v>
      </c>
      <c r="K462" s="5">
        <v>11200.0</v>
      </c>
      <c r="L462" s="5" t="s">
        <v>4187</v>
      </c>
      <c r="M462" s="5" t="s">
        <v>3706</v>
      </c>
      <c r="O462" s="5" t="s">
        <v>3294</v>
      </c>
      <c r="P462" s="5" t="s">
        <v>3320</v>
      </c>
      <c r="Q462" s="5" t="b">
        <v>1</v>
      </c>
      <c r="R462" s="5" t="s">
        <v>3320</v>
      </c>
    </row>
    <row r="463" ht="15.75" customHeight="1">
      <c r="A463" s="5" t="s">
        <v>5260</v>
      </c>
      <c r="B463" s="39">
        <v>45769.71915509259</v>
      </c>
      <c r="C463" s="3" t="s">
        <v>4034</v>
      </c>
      <c r="D463" s="3">
        <v>79.0</v>
      </c>
      <c r="E463" s="3" t="s">
        <v>3966</v>
      </c>
      <c r="F463" s="3">
        <v>1400.0</v>
      </c>
      <c r="G463" s="5">
        <v>500.0</v>
      </c>
      <c r="H463" s="3" t="s">
        <v>4176</v>
      </c>
      <c r="I463" s="3" t="s">
        <v>4175</v>
      </c>
      <c r="J463" s="5">
        <v>25001.0</v>
      </c>
      <c r="K463" s="5">
        <v>26401.0</v>
      </c>
      <c r="L463" s="5" t="s">
        <v>4188</v>
      </c>
      <c r="M463" s="5" t="s">
        <v>4175</v>
      </c>
      <c r="O463" s="5" t="s">
        <v>3294</v>
      </c>
      <c r="Q463" s="5" t="b">
        <v>1</v>
      </c>
    </row>
    <row r="464" ht="15.75" customHeight="1">
      <c r="A464" s="5" t="s">
        <v>5261</v>
      </c>
      <c r="B464" s="39">
        <v>45770.73944444444</v>
      </c>
      <c r="C464" s="3" t="s">
        <v>4158</v>
      </c>
      <c r="D464" s="3">
        <v>90.0</v>
      </c>
      <c r="E464" s="3" t="s">
        <v>4159</v>
      </c>
      <c r="F464" s="3">
        <v>56700.0</v>
      </c>
      <c r="G464" s="5">
        <v>95.0</v>
      </c>
      <c r="H464" s="3"/>
      <c r="I464" s="3"/>
      <c r="J464" s="5">
        <v>0.0</v>
      </c>
      <c r="K464" s="5">
        <v>56700.0</v>
      </c>
      <c r="L464" s="5" t="s">
        <v>4189</v>
      </c>
      <c r="M464" s="5" t="s">
        <v>4159</v>
      </c>
      <c r="N464" s="5" t="s">
        <v>4810</v>
      </c>
      <c r="O464" s="5" t="s">
        <v>3457</v>
      </c>
      <c r="Q464" s="5" t="b">
        <v>0</v>
      </c>
      <c r="R464" s="5" t="s">
        <v>3320</v>
      </c>
    </row>
    <row r="465" ht="15.75" customHeight="1">
      <c r="A465" s="5" t="s">
        <v>5262</v>
      </c>
      <c r="B465" s="39">
        <v>45770.74024305555</v>
      </c>
      <c r="C465" s="3" t="s">
        <v>4143</v>
      </c>
      <c r="D465" s="3">
        <v>86.0</v>
      </c>
      <c r="E465" s="3" t="s">
        <v>3932</v>
      </c>
      <c r="F465" s="3">
        <v>20400.0</v>
      </c>
      <c r="G465" s="5">
        <v>95.0</v>
      </c>
      <c r="H465" s="3" t="s">
        <v>4189</v>
      </c>
      <c r="I465" s="3" t="s">
        <v>4159</v>
      </c>
      <c r="J465" s="5">
        <v>56700.0</v>
      </c>
      <c r="K465" s="5">
        <v>77100.0</v>
      </c>
      <c r="L465" s="5" t="s">
        <v>4190</v>
      </c>
      <c r="M465" s="5" t="s">
        <v>4159</v>
      </c>
      <c r="O465" s="5" t="s">
        <v>3457</v>
      </c>
      <c r="P465" s="5" t="s">
        <v>3320</v>
      </c>
      <c r="Q465" s="5" t="b">
        <v>1</v>
      </c>
      <c r="R465" s="5" t="s">
        <v>3320</v>
      </c>
    </row>
    <row r="466" ht="15.75" customHeight="1">
      <c r="A466" s="5" t="s">
        <v>5263</v>
      </c>
      <c r="B466" s="39">
        <v>45770.76320601852</v>
      </c>
      <c r="C466" s="3" t="s">
        <v>4143</v>
      </c>
      <c r="D466" s="3">
        <v>86.0</v>
      </c>
      <c r="E466" s="3" t="s">
        <v>3932</v>
      </c>
      <c r="F466" s="3">
        <v>24700.0</v>
      </c>
      <c r="G466" s="5">
        <v>96.0</v>
      </c>
      <c r="H466" s="3"/>
      <c r="I466" s="3"/>
      <c r="J466" s="5">
        <v>0.0</v>
      </c>
      <c r="K466" s="5">
        <v>24700.0</v>
      </c>
      <c r="L466" s="5" t="s">
        <v>4191</v>
      </c>
      <c r="M466" s="5" t="s">
        <v>3273</v>
      </c>
      <c r="O466" s="5" t="s">
        <v>3457</v>
      </c>
      <c r="Q466" s="5" t="b">
        <v>0</v>
      </c>
      <c r="R466" s="5" t="s">
        <v>3320</v>
      </c>
    </row>
    <row r="467" ht="15.75" customHeight="1">
      <c r="A467" s="5" t="s">
        <v>5264</v>
      </c>
      <c r="B467" s="39">
        <v>45770.76962962963</v>
      </c>
      <c r="C467" s="3" t="s">
        <v>4131</v>
      </c>
      <c r="D467" s="3">
        <v>11.0</v>
      </c>
      <c r="E467" s="3" t="s">
        <v>4132</v>
      </c>
      <c r="F467" s="3">
        <v>700.0</v>
      </c>
      <c r="G467" s="5">
        <v>91.0</v>
      </c>
      <c r="H467" s="3" t="s">
        <v>4160</v>
      </c>
      <c r="I467" s="3" t="s">
        <v>4159</v>
      </c>
      <c r="J467" s="5">
        <v>49300.0</v>
      </c>
      <c r="K467" s="5">
        <v>50000.0</v>
      </c>
      <c r="L467" s="5" t="s">
        <v>4192</v>
      </c>
      <c r="M467" s="5" t="s">
        <v>4159</v>
      </c>
      <c r="O467" s="5" t="s">
        <v>3337</v>
      </c>
      <c r="P467" s="5" t="s">
        <v>3457</v>
      </c>
      <c r="Q467" s="5" t="b">
        <v>1</v>
      </c>
      <c r="R467" s="5" t="s">
        <v>3457</v>
      </c>
    </row>
    <row r="468" ht="15.75" customHeight="1">
      <c r="A468" s="5" t="s">
        <v>5265</v>
      </c>
      <c r="B468" s="39">
        <v>45770.77149305555</v>
      </c>
      <c r="C468" s="3" t="s">
        <v>4131</v>
      </c>
      <c r="D468" s="3">
        <v>11.0</v>
      </c>
      <c r="E468" s="3" t="s">
        <v>4132</v>
      </c>
      <c r="F468" s="3">
        <v>14000.0</v>
      </c>
      <c r="G468" s="5">
        <v>84.0</v>
      </c>
      <c r="H468" s="3" t="s">
        <v>4163</v>
      </c>
      <c r="I468" s="3" t="s">
        <v>4159</v>
      </c>
      <c r="J468" s="5">
        <v>40000.0</v>
      </c>
      <c r="K468" s="5">
        <v>54000.0</v>
      </c>
      <c r="L468" s="5" t="s">
        <v>4193</v>
      </c>
      <c r="M468" s="5" t="s">
        <v>4159</v>
      </c>
      <c r="O468" s="5" t="s">
        <v>3337</v>
      </c>
      <c r="P468" s="5" t="s">
        <v>3457</v>
      </c>
      <c r="Q468" s="5" t="b">
        <v>1</v>
      </c>
      <c r="R468" s="5" t="s">
        <v>3457</v>
      </c>
    </row>
    <row r="469" ht="15.75" customHeight="1">
      <c r="A469" s="5" t="s">
        <v>5266</v>
      </c>
      <c r="B469" s="39">
        <v>45770.77248842592</v>
      </c>
      <c r="C469" s="3" t="s">
        <v>4131</v>
      </c>
      <c r="D469" s="3">
        <v>11.0</v>
      </c>
      <c r="E469" s="3" t="s">
        <v>4132</v>
      </c>
      <c r="F469" s="3">
        <v>2250.0</v>
      </c>
      <c r="G469" s="5">
        <v>88.0</v>
      </c>
      <c r="H469" s="3" t="s">
        <v>4139</v>
      </c>
      <c r="I469" s="3" t="s">
        <v>3932</v>
      </c>
      <c r="J469" s="5">
        <v>37750.0</v>
      </c>
      <c r="K469" s="5">
        <v>40000.0</v>
      </c>
      <c r="L469" s="5" t="s">
        <v>4194</v>
      </c>
      <c r="M469" s="5" t="s">
        <v>3932</v>
      </c>
      <c r="O469" s="5" t="s">
        <v>3337</v>
      </c>
      <c r="P469" s="5" t="s">
        <v>3457</v>
      </c>
      <c r="Q469" s="5" t="b">
        <v>1</v>
      </c>
      <c r="R469" s="5" t="s">
        <v>3457</v>
      </c>
    </row>
    <row r="470" ht="15.75" customHeight="1">
      <c r="A470" s="5" t="s">
        <v>5267</v>
      </c>
      <c r="B470" s="39">
        <v>45770.77302083333</v>
      </c>
      <c r="C470" s="3" t="s">
        <v>4131</v>
      </c>
      <c r="D470" s="3">
        <v>11.0</v>
      </c>
      <c r="E470" s="3" t="s">
        <v>4132</v>
      </c>
      <c r="F470" s="3">
        <v>6050.0</v>
      </c>
      <c r="G470" s="5">
        <v>500.0</v>
      </c>
      <c r="H470" s="3" t="s">
        <v>4188</v>
      </c>
      <c r="I470" s="3" t="s">
        <v>4175</v>
      </c>
      <c r="J470" s="5">
        <v>26401.0</v>
      </c>
      <c r="K470" s="5">
        <v>32451.0</v>
      </c>
      <c r="L470" s="5" t="s">
        <v>4195</v>
      </c>
      <c r="M470" s="5" t="s">
        <v>4175</v>
      </c>
      <c r="O470" s="5" t="s">
        <v>3337</v>
      </c>
      <c r="P470" s="5" t="s">
        <v>3342</v>
      </c>
      <c r="Q470" s="5" t="b">
        <v>1</v>
      </c>
      <c r="R470" s="5" t="s">
        <v>3342</v>
      </c>
    </row>
    <row r="471" ht="15.75" customHeight="1">
      <c r="A471" s="5" t="s">
        <v>5268</v>
      </c>
      <c r="B471" s="39">
        <v>45770.77613425926</v>
      </c>
      <c r="C471" s="3" t="s">
        <v>4187</v>
      </c>
      <c r="D471" s="3">
        <v>935.0</v>
      </c>
      <c r="E471" s="3" t="s">
        <v>3706</v>
      </c>
      <c r="F471" s="3">
        <v>5000.0</v>
      </c>
      <c r="G471" s="5">
        <v>11.0</v>
      </c>
      <c r="H471" s="3"/>
      <c r="I471" s="3"/>
      <c r="J471" s="5">
        <v>0.0</v>
      </c>
      <c r="K471" s="5">
        <v>5000.0</v>
      </c>
      <c r="L471" s="5" t="s">
        <v>4196</v>
      </c>
      <c r="M471" s="5" t="s">
        <v>4197</v>
      </c>
      <c r="O471" s="5" t="s">
        <v>3320</v>
      </c>
      <c r="Q471" s="5" t="b">
        <v>0</v>
      </c>
      <c r="R471" s="5" t="s">
        <v>3320</v>
      </c>
    </row>
    <row r="472" ht="15.75" customHeight="1">
      <c r="A472" s="5" t="s">
        <v>5269</v>
      </c>
      <c r="B472" s="39">
        <v>45770.77763888889</v>
      </c>
      <c r="C472" s="3" t="s">
        <v>3947</v>
      </c>
      <c r="D472" s="3">
        <v>14.0</v>
      </c>
      <c r="E472" s="3" t="s">
        <v>3745</v>
      </c>
      <c r="F472" s="3">
        <v>1000.0</v>
      </c>
      <c r="G472" s="5">
        <v>500.0</v>
      </c>
      <c r="H472" s="3" t="s">
        <v>4195</v>
      </c>
      <c r="I472" s="3" t="s">
        <v>4175</v>
      </c>
      <c r="J472" s="5">
        <v>32451.0</v>
      </c>
      <c r="K472" s="5">
        <v>33451.0</v>
      </c>
      <c r="L472" s="5" t="s">
        <v>4198</v>
      </c>
      <c r="M472" s="5" t="s">
        <v>4175</v>
      </c>
      <c r="O472" s="5" t="s">
        <v>3320</v>
      </c>
      <c r="P472" s="5" t="s">
        <v>3342</v>
      </c>
      <c r="Q472" s="5" t="b">
        <v>1</v>
      </c>
      <c r="R472" s="5" t="s">
        <v>3342</v>
      </c>
    </row>
    <row r="473" ht="15.75" customHeight="1">
      <c r="A473" s="5" t="s">
        <v>5270</v>
      </c>
      <c r="B473" s="39">
        <v>45770.77806712963</v>
      </c>
      <c r="C473" s="3" t="s">
        <v>3986</v>
      </c>
      <c r="D473" s="3">
        <v>15.0</v>
      </c>
      <c r="E473" s="3" t="s">
        <v>3275</v>
      </c>
      <c r="F473" s="3">
        <v>1500.0</v>
      </c>
      <c r="G473" s="5">
        <v>500.0</v>
      </c>
      <c r="H473" s="3" t="s">
        <v>4198</v>
      </c>
      <c r="I473" s="3" t="s">
        <v>4175</v>
      </c>
      <c r="J473" s="5">
        <v>33451.0</v>
      </c>
      <c r="K473" s="5">
        <v>34951.0</v>
      </c>
      <c r="L473" s="5" t="s">
        <v>4199</v>
      </c>
      <c r="M473" s="5" t="s">
        <v>4175</v>
      </c>
      <c r="O473" s="5" t="s">
        <v>3320</v>
      </c>
      <c r="P473" s="5" t="s">
        <v>3342</v>
      </c>
      <c r="Q473" s="5" t="b">
        <v>1</v>
      </c>
      <c r="R473" s="5" t="s">
        <v>3342</v>
      </c>
    </row>
    <row r="474" ht="15.75" customHeight="1">
      <c r="A474" s="5" t="s">
        <v>5271</v>
      </c>
      <c r="B474" s="39">
        <v>45770.77987268518</v>
      </c>
      <c r="C474" s="3" t="s">
        <v>4039</v>
      </c>
      <c r="D474" s="3">
        <v>24.0</v>
      </c>
      <c r="E474" s="3" t="s">
        <v>3583</v>
      </c>
      <c r="F474" s="3">
        <v>1600.0</v>
      </c>
      <c r="G474" s="5">
        <v>500.0</v>
      </c>
      <c r="H474" s="3" t="s">
        <v>4199</v>
      </c>
      <c r="I474" s="3" t="s">
        <v>4175</v>
      </c>
      <c r="J474" s="5">
        <v>34951.0</v>
      </c>
      <c r="K474" s="5">
        <v>36551.0</v>
      </c>
      <c r="L474" s="5" t="s">
        <v>4200</v>
      </c>
      <c r="M474" s="5" t="s">
        <v>4175</v>
      </c>
      <c r="O474" s="5" t="s">
        <v>3605</v>
      </c>
      <c r="P474" s="5" t="s">
        <v>3342</v>
      </c>
      <c r="Q474" s="5" t="b">
        <v>1</v>
      </c>
      <c r="R474" s="5" t="s">
        <v>3342</v>
      </c>
    </row>
    <row r="475" ht="15.75" customHeight="1">
      <c r="A475" s="5" t="s">
        <v>5272</v>
      </c>
      <c r="B475" s="39">
        <v>45770.79821759259</v>
      </c>
      <c r="C475" s="3" t="s">
        <v>3879</v>
      </c>
      <c r="D475" s="3">
        <v>25.0</v>
      </c>
      <c r="E475" s="3" t="s">
        <v>3272</v>
      </c>
      <c r="F475" s="3">
        <v>300.0</v>
      </c>
      <c r="G475" s="5">
        <v>500.0</v>
      </c>
      <c r="H475" s="3" t="s">
        <v>4200</v>
      </c>
      <c r="I475" s="3" t="s">
        <v>4175</v>
      </c>
      <c r="J475" s="5">
        <v>36551.0</v>
      </c>
      <c r="K475" s="5">
        <v>36851.0</v>
      </c>
      <c r="L475" s="5" t="s">
        <v>4201</v>
      </c>
      <c r="M475" s="5" t="s">
        <v>4175</v>
      </c>
      <c r="O475" s="5" t="s">
        <v>3605</v>
      </c>
      <c r="P475" s="5" t="s">
        <v>3342</v>
      </c>
      <c r="Q475" s="5" t="b">
        <v>1</v>
      </c>
      <c r="R475" s="5" t="s">
        <v>3342</v>
      </c>
    </row>
    <row r="476" ht="15.75" customHeight="1">
      <c r="A476" s="5" t="s">
        <v>5273</v>
      </c>
      <c r="B476" s="39">
        <v>45770.79861111111</v>
      </c>
      <c r="C476" s="3" t="s">
        <v>3992</v>
      </c>
      <c r="D476" s="3">
        <v>26.0</v>
      </c>
      <c r="E476" s="3" t="s">
        <v>3272</v>
      </c>
      <c r="F476" s="3">
        <v>100.0</v>
      </c>
      <c r="G476" s="5">
        <v>500.0</v>
      </c>
      <c r="H476" s="3" t="s">
        <v>4201</v>
      </c>
      <c r="I476" s="3" t="s">
        <v>4175</v>
      </c>
      <c r="J476" s="5">
        <v>36851.0</v>
      </c>
      <c r="K476" s="5">
        <v>36951.0</v>
      </c>
      <c r="L476" s="5" t="s">
        <v>4202</v>
      </c>
      <c r="M476" s="5" t="s">
        <v>4175</v>
      </c>
      <c r="O476" s="5" t="s">
        <v>3605</v>
      </c>
      <c r="P476" s="5" t="s">
        <v>3342</v>
      </c>
      <c r="Q476" s="5" t="b">
        <v>1</v>
      </c>
      <c r="R476" s="5" t="s">
        <v>3342</v>
      </c>
    </row>
    <row r="477" ht="15.75" customHeight="1">
      <c r="A477" s="5" t="s">
        <v>5274</v>
      </c>
      <c r="B477" s="39">
        <v>45770.799722222226</v>
      </c>
      <c r="C477" s="3" t="s">
        <v>4140</v>
      </c>
      <c r="D477" s="3">
        <v>28.0</v>
      </c>
      <c r="E477" s="3" t="s">
        <v>3662</v>
      </c>
      <c r="F477" s="3">
        <v>-5300.0</v>
      </c>
      <c r="G477" s="5">
        <v>500.0</v>
      </c>
      <c r="H477" s="3" t="s">
        <v>4202</v>
      </c>
      <c r="I477" s="3" t="s">
        <v>4175</v>
      </c>
      <c r="J477" s="5">
        <v>36951.0</v>
      </c>
      <c r="K477" s="5">
        <v>31651.0</v>
      </c>
      <c r="L477" s="5" t="s">
        <v>4203</v>
      </c>
      <c r="M477" s="5" t="s">
        <v>4175</v>
      </c>
      <c r="O477" s="5" t="s">
        <v>3320</v>
      </c>
      <c r="P477" s="5" t="s">
        <v>3342</v>
      </c>
      <c r="Q477" s="5" t="b">
        <v>1</v>
      </c>
      <c r="R477" s="5" t="s">
        <v>3342</v>
      </c>
    </row>
    <row r="478" ht="15.75" customHeight="1">
      <c r="A478" s="5" t="s">
        <v>5275</v>
      </c>
      <c r="B478" s="39">
        <v>45770.80018518519</v>
      </c>
      <c r="C478" s="3" t="s">
        <v>3340</v>
      </c>
      <c r="D478" s="3">
        <v>30.0</v>
      </c>
      <c r="E478" s="3" t="s">
        <v>3341</v>
      </c>
      <c r="F478" s="3">
        <v>300.0</v>
      </c>
      <c r="G478" s="5">
        <v>500.0</v>
      </c>
      <c r="H478" s="3" t="s">
        <v>4203</v>
      </c>
      <c r="I478" s="3" t="s">
        <v>4175</v>
      </c>
      <c r="J478" s="5">
        <v>31651.0</v>
      </c>
      <c r="K478" s="5">
        <v>31951.0</v>
      </c>
      <c r="L478" s="5" t="s">
        <v>4204</v>
      </c>
      <c r="M478" s="5" t="s">
        <v>4175</v>
      </c>
      <c r="O478" s="5" t="s">
        <v>3342</v>
      </c>
      <c r="P478" s="5" t="s">
        <v>3342</v>
      </c>
      <c r="Q478" s="5" t="b">
        <v>1</v>
      </c>
      <c r="R478" s="5" t="s">
        <v>3342</v>
      </c>
    </row>
    <row r="479" ht="15.75" customHeight="1">
      <c r="A479" s="5" t="s">
        <v>5276</v>
      </c>
      <c r="B479" s="39">
        <v>45770.80049768519</v>
      </c>
      <c r="C479" s="3" t="s">
        <v>3988</v>
      </c>
      <c r="D479" s="3">
        <v>34.0</v>
      </c>
      <c r="E479" s="3" t="s">
        <v>3662</v>
      </c>
      <c r="F479" s="3">
        <v>4800.0</v>
      </c>
      <c r="G479" s="5">
        <v>500.0</v>
      </c>
      <c r="H479" s="3" t="s">
        <v>4204</v>
      </c>
      <c r="I479" s="3" t="s">
        <v>4175</v>
      </c>
      <c r="J479" s="5">
        <v>31951.0</v>
      </c>
      <c r="K479" s="5">
        <v>36751.0</v>
      </c>
      <c r="L479" s="5" t="s">
        <v>4205</v>
      </c>
      <c r="M479" s="5" t="s">
        <v>4175</v>
      </c>
      <c r="O479" s="5" t="s">
        <v>3320</v>
      </c>
      <c r="P479" s="5" t="s">
        <v>3342</v>
      </c>
      <c r="Q479" s="5" t="b">
        <v>1</v>
      </c>
      <c r="R479" s="5" t="s">
        <v>3342</v>
      </c>
    </row>
    <row r="480" ht="15.75" customHeight="1">
      <c r="A480" s="5" t="s">
        <v>5277</v>
      </c>
      <c r="B480" s="39">
        <v>45770.801087962966</v>
      </c>
      <c r="C480" s="3" t="s">
        <v>4168</v>
      </c>
      <c r="D480" s="3">
        <v>41.0</v>
      </c>
      <c r="E480" s="3" t="s">
        <v>3275</v>
      </c>
      <c r="F480" s="3">
        <v>100.0</v>
      </c>
      <c r="G480" s="5">
        <v>500.0</v>
      </c>
      <c r="H480" s="3" t="s">
        <v>4205</v>
      </c>
      <c r="I480" s="3" t="s">
        <v>4175</v>
      </c>
      <c r="J480" s="5">
        <v>36751.0</v>
      </c>
      <c r="K480" s="5">
        <v>36851.0</v>
      </c>
      <c r="L480" s="5" t="s">
        <v>4206</v>
      </c>
      <c r="M480" s="5" t="s">
        <v>4175</v>
      </c>
      <c r="O480" s="5" t="s">
        <v>3320</v>
      </c>
      <c r="P480" s="5" t="s">
        <v>3342</v>
      </c>
      <c r="Q480" s="5" t="b">
        <v>1</v>
      </c>
      <c r="R480" s="5" t="s">
        <v>3342</v>
      </c>
    </row>
    <row r="481" ht="15.75" customHeight="1">
      <c r="A481" s="5" t="s">
        <v>5278</v>
      </c>
      <c r="B481" s="39">
        <v>45770.80143518518</v>
      </c>
      <c r="C481" s="3" t="s">
        <v>21</v>
      </c>
      <c r="D481" s="3">
        <v>44.0</v>
      </c>
      <c r="E481" s="3" t="s">
        <v>3615</v>
      </c>
      <c r="F481" s="3">
        <v>100.0</v>
      </c>
      <c r="G481" s="5">
        <v>500.0</v>
      </c>
      <c r="H481" s="3" t="s">
        <v>4206</v>
      </c>
      <c r="I481" s="3" t="s">
        <v>4175</v>
      </c>
      <c r="J481" s="5">
        <v>36851.0</v>
      </c>
      <c r="K481" s="5">
        <v>36951.0</v>
      </c>
      <c r="L481" s="5" t="s">
        <v>4207</v>
      </c>
      <c r="M481" s="5" t="s">
        <v>4175</v>
      </c>
      <c r="O481" s="5" t="s">
        <v>3320</v>
      </c>
      <c r="P481" s="5" t="s">
        <v>3342</v>
      </c>
      <c r="Q481" s="5" t="b">
        <v>1</v>
      </c>
      <c r="R481" s="5" t="s">
        <v>3342</v>
      </c>
    </row>
    <row r="482" ht="15.75" customHeight="1">
      <c r="A482" s="5" t="s">
        <v>5279</v>
      </c>
      <c r="B482" s="39">
        <v>45770.801724537036</v>
      </c>
      <c r="C482" s="3" t="s">
        <v>4161</v>
      </c>
      <c r="D482" s="3">
        <v>45.0</v>
      </c>
      <c r="E482" s="3" t="s">
        <v>3932</v>
      </c>
      <c r="F482" s="3">
        <v>500.0</v>
      </c>
      <c r="G482" s="5">
        <v>500.0</v>
      </c>
      <c r="H482" s="3" t="s">
        <v>4207</v>
      </c>
      <c r="I482" s="3" t="s">
        <v>4175</v>
      </c>
      <c r="J482" s="5">
        <v>36951.0</v>
      </c>
      <c r="K482" s="5">
        <v>37451.0</v>
      </c>
      <c r="L482" s="5" t="s">
        <v>4208</v>
      </c>
      <c r="M482" s="5" t="s">
        <v>4175</v>
      </c>
      <c r="O482" s="5" t="s">
        <v>3320</v>
      </c>
      <c r="P482" s="5" t="s">
        <v>3342</v>
      </c>
      <c r="Q482" s="5" t="b">
        <v>1</v>
      </c>
      <c r="R482" s="5" t="s">
        <v>3342</v>
      </c>
    </row>
    <row r="483" ht="15.75" customHeight="1">
      <c r="A483" s="5" t="s">
        <v>5280</v>
      </c>
      <c r="B483" s="39">
        <v>45770.8019212963</v>
      </c>
      <c r="C483" s="3" t="s">
        <v>3690</v>
      </c>
      <c r="D483" s="3">
        <v>46.0</v>
      </c>
      <c r="E483" s="3" t="s">
        <v>3332</v>
      </c>
      <c r="F483" s="3">
        <v>500.0</v>
      </c>
      <c r="G483" s="5">
        <v>500.0</v>
      </c>
      <c r="H483" s="3" t="s">
        <v>4208</v>
      </c>
      <c r="I483" s="3" t="s">
        <v>4175</v>
      </c>
      <c r="J483" s="5">
        <v>37451.0</v>
      </c>
      <c r="K483" s="5">
        <v>37951.0</v>
      </c>
      <c r="L483" s="5" t="s">
        <v>4209</v>
      </c>
      <c r="M483" s="5" t="s">
        <v>4175</v>
      </c>
      <c r="O483" s="5" t="s">
        <v>3605</v>
      </c>
      <c r="P483" s="5" t="s">
        <v>3342</v>
      </c>
      <c r="Q483" s="5" t="b">
        <v>1</v>
      </c>
      <c r="R483" s="5" t="s">
        <v>3342</v>
      </c>
    </row>
    <row r="484" ht="15.75" customHeight="1">
      <c r="A484" s="5" t="s">
        <v>5281</v>
      </c>
      <c r="B484" s="39">
        <v>45770.802256944444</v>
      </c>
      <c r="C484" s="3" t="s">
        <v>3850</v>
      </c>
      <c r="D484" s="3">
        <v>52.0</v>
      </c>
      <c r="E484" s="3" t="s">
        <v>3662</v>
      </c>
      <c r="F484" s="3">
        <v>1000.0</v>
      </c>
      <c r="G484" s="5">
        <v>500.0</v>
      </c>
      <c r="H484" s="3" t="s">
        <v>4209</v>
      </c>
      <c r="I484" s="3" t="s">
        <v>4175</v>
      </c>
      <c r="J484" s="5">
        <v>37951.0</v>
      </c>
      <c r="K484" s="5">
        <v>38951.0</v>
      </c>
      <c r="L484" s="5" t="s">
        <v>4210</v>
      </c>
      <c r="M484" s="5" t="s">
        <v>4175</v>
      </c>
      <c r="O484" s="5" t="s">
        <v>3320</v>
      </c>
      <c r="P484" s="5" t="s">
        <v>3342</v>
      </c>
      <c r="Q484" s="5" t="b">
        <v>1</v>
      </c>
      <c r="R484" s="5" t="s">
        <v>3342</v>
      </c>
    </row>
    <row r="485" ht="15.75" customHeight="1">
      <c r="A485" s="5" t="s">
        <v>5282</v>
      </c>
      <c r="B485" s="39">
        <v>45770.802615740744</v>
      </c>
      <c r="C485" s="3" t="s">
        <v>4170</v>
      </c>
      <c r="D485" s="3">
        <v>54.0</v>
      </c>
      <c r="E485" s="3" t="s">
        <v>3275</v>
      </c>
      <c r="F485" s="3">
        <v>4700.0</v>
      </c>
      <c r="G485" s="5">
        <v>500.0</v>
      </c>
      <c r="H485" s="3" t="s">
        <v>4210</v>
      </c>
      <c r="I485" s="3" t="s">
        <v>4175</v>
      </c>
      <c r="J485" s="5">
        <v>38951.0</v>
      </c>
      <c r="K485" s="5">
        <v>43651.0</v>
      </c>
      <c r="L485" s="5" t="s">
        <v>4211</v>
      </c>
      <c r="M485" s="5" t="s">
        <v>4175</v>
      </c>
      <c r="O485" s="5" t="s">
        <v>3320</v>
      </c>
      <c r="P485" s="5" t="s">
        <v>3342</v>
      </c>
      <c r="Q485" s="5" t="b">
        <v>1</v>
      </c>
      <c r="R485" s="5" t="s">
        <v>3342</v>
      </c>
    </row>
    <row r="486" ht="15.75" customHeight="1">
      <c r="A486" s="5" t="s">
        <v>5283</v>
      </c>
      <c r="B486" s="39">
        <v>45770.80378472222</v>
      </c>
      <c r="C486" s="3" t="s">
        <v>4152</v>
      </c>
      <c r="D486" s="3">
        <v>76.0</v>
      </c>
      <c r="E486" s="3" t="s">
        <v>3275</v>
      </c>
      <c r="F486" s="3">
        <v>6800.0</v>
      </c>
      <c r="G486" s="5">
        <v>500.0</v>
      </c>
      <c r="H486" s="3" t="s">
        <v>4211</v>
      </c>
      <c r="I486" s="3" t="s">
        <v>4175</v>
      </c>
      <c r="J486" s="5">
        <v>43651.0</v>
      </c>
      <c r="K486" s="5">
        <v>50451.0</v>
      </c>
      <c r="L486" s="5" t="s">
        <v>4212</v>
      </c>
      <c r="M486" s="5" t="s">
        <v>4175</v>
      </c>
      <c r="O486" s="5" t="s">
        <v>3294</v>
      </c>
      <c r="P486" s="5" t="s">
        <v>3342</v>
      </c>
      <c r="Q486" s="5" t="b">
        <v>1</v>
      </c>
      <c r="R486" s="5" t="s">
        <v>3342</v>
      </c>
    </row>
    <row r="487" ht="15.75" customHeight="1">
      <c r="A487" s="5" t="s">
        <v>5284</v>
      </c>
      <c r="B487" s="39">
        <v>45770.804074074076</v>
      </c>
      <c r="C487" s="3" t="s">
        <v>4153</v>
      </c>
      <c r="D487" s="3">
        <v>77.0</v>
      </c>
      <c r="E487" s="3" t="s">
        <v>3275</v>
      </c>
      <c r="F487" s="3">
        <v>1200.0</v>
      </c>
      <c r="G487" s="5">
        <v>500.0</v>
      </c>
      <c r="H487" s="3" t="s">
        <v>4212</v>
      </c>
      <c r="I487" s="3" t="s">
        <v>4175</v>
      </c>
      <c r="J487" s="5">
        <v>50451.0</v>
      </c>
      <c r="K487" s="5">
        <v>51651.0</v>
      </c>
      <c r="L487" s="5" t="s">
        <v>4213</v>
      </c>
      <c r="M487" s="5" t="s">
        <v>4175</v>
      </c>
      <c r="O487" s="5" t="s">
        <v>3294</v>
      </c>
      <c r="P487" s="5" t="s">
        <v>3342</v>
      </c>
      <c r="Q487" s="5" t="b">
        <v>1</v>
      </c>
      <c r="R487" s="5" t="s">
        <v>3342</v>
      </c>
    </row>
    <row r="488" ht="15.75" customHeight="1">
      <c r="A488" s="5" t="s">
        <v>5285</v>
      </c>
      <c r="B488" s="39">
        <v>45770.80443287037</v>
      </c>
      <c r="C488" s="3" t="s">
        <v>4186</v>
      </c>
      <c r="D488" s="3">
        <v>80.0</v>
      </c>
      <c r="E488" s="3" t="s">
        <v>4184</v>
      </c>
      <c r="F488" s="3">
        <v>9100.0</v>
      </c>
      <c r="G488" s="5">
        <v>500.0</v>
      </c>
      <c r="H488" s="3" t="s">
        <v>4213</v>
      </c>
      <c r="I488" s="3" t="s">
        <v>4175</v>
      </c>
      <c r="J488" s="5">
        <v>51651.0</v>
      </c>
      <c r="K488" s="5">
        <v>60751.0</v>
      </c>
      <c r="L488" s="5" t="s">
        <v>4214</v>
      </c>
      <c r="M488" s="5" t="s">
        <v>4175</v>
      </c>
      <c r="O488" s="5" t="s">
        <v>3320</v>
      </c>
      <c r="P488" s="5" t="s">
        <v>3342</v>
      </c>
      <c r="Q488" s="5" t="b">
        <v>1</v>
      </c>
      <c r="R488" s="5" t="s">
        <v>3342</v>
      </c>
    </row>
    <row r="489" ht="15.75" customHeight="1">
      <c r="A489" s="5" t="s">
        <v>5286</v>
      </c>
      <c r="B489" s="39">
        <v>45770.804918981485</v>
      </c>
      <c r="C489" s="3" t="s">
        <v>4149</v>
      </c>
      <c r="D489" s="3">
        <v>83.0</v>
      </c>
      <c r="E489" s="3" t="s">
        <v>3905</v>
      </c>
      <c r="F489" s="3">
        <v>25000.0</v>
      </c>
      <c r="G489" s="5">
        <v>500.0</v>
      </c>
      <c r="H489" s="3" t="s">
        <v>4214</v>
      </c>
      <c r="I489" s="3" t="s">
        <v>4175</v>
      </c>
      <c r="J489" s="5">
        <v>60751.0</v>
      </c>
      <c r="K489" s="5">
        <v>85751.0</v>
      </c>
      <c r="L489" s="5" t="s">
        <v>4215</v>
      </c>
      <c r="M489" s="5" t="s">
        <v>4175</v>
      </c>
      <c r="P489" s="5" t="s">
        <v>3342</v>
      </c>
      <c r="Q489" s="5" t="b">
        <v>1</v>
      </c>
      <c r="R489" s="5" t="s">
        <v>3342</v>
      </c>
    </row>
    <row r="490" ht="15.75" customHeight="1">
      <c r="A490" s="5" t="s">
        <v>5287</v>
      </c>
      <c r="B490" s="39">
        <v>45770.80542824074</v>
      </c>
      <c r="C490" s="3" t="s">
        <v>4141</v>
      </c>
      <c r="D490" s="3">
        <v>85.0</v>
      </c>
      <c r="E490" s="3" t="s">
        <v>3903</v>
      </c>
      <c r="F490" s="3">
        <v>6000.0</v>
      </c>
      <c r="G490" s="5">
        <v>500.0</v>
      </c>
      <c r="H490" s="3" t="s">
        <v>4215</v>
      </c>
      <c r="I490" s="3" t="s">
        <v>4175</v>
      </c>
      <c r="J490" s="5">
        <v>85751.0</v>
      </c>
      <c r="K490" s="5">
        <v>91751.0</v>
      </c>
      <c r="L490" s="5" t="s">
        <v>4216</v>
      </c>
      <c r="M490" s="5" t="s">
        <v>4175</v>
      </c>
      <c r="O490" s="5" t="s">
        <v>3320</v>
      </c>
      <c r="P490" s="5" t="s">
        <v>3342</v>
      </c>
      <c r="Q490" s="5" t="b">
        <v>1</v>
      </c>
      <c r="R490" s="5" t="s">
        <v>3342</v>
      </c>
    </row>
    <row r="491" ht="15.75" customHeight="1">
      <c r="A491" s="5" t="s">
        <v>5288</v>
      </c>
      <c r="B491" s="39">
        <v>45770.80590277778</v>
      </c>
      <c r="C491" s="3" t="s">
        <v>4166</v>
      </c>
      <c r="D491" s="3">
        <v>87.0</v>
      </c>
      <c r="E491" s="3" t="s">
        <v>3275</v>
      </c>
      <c r="F491" s="3">
        <v>5700.0</v>
      </c>
      <c r="G491" s="5">
        <v>500.0</v>
      </c>
      <c r="H491" s="3" t="s">
        <v>4216</v>
      </c>
      <c r="I491" s="3" t="s">
        <v>4175</v>
      </c>
      <c r="J491" s="5">
        <v>91751.0</v>
      </c>
      <c r="K491" s="5">
        <v>97451.0</v>
      </c>
      <c r="L491" s="5" t="s">
        <v>4217</v>
      </c>
      <c r="M491" s="5" t="s">
        <v>4175</v>
      </c>
      <c r="O491" s="5" t="s">
        <v>3320</v>
      </c>
      <c r="P491" s="5" t="s">
        <v>3342</v>
      </c>
      <c r="Q491" s="5" t="b">
        <v>1</v>
      </c>
      <c r="R491" s="5" t="s">
        <v>3342</v>
      </c>
    </row>
    <row r="492" ht="15.75" customHeight="1">
      <c r="A492" s="5" t="s">
        <v>5289</v>
      </c>
      <c r="B492" s="39">
        <v>45770.80706018519</v>
      </c>
      <c r="C492" s="3" t="s">
        <v>4037</v>
      </c>
      <c r="D492" s="3">
        <v>92.0</v>
      </c>
      <c r="E492" s="3" t="s">
        <v>3275</v>
      </c>
      <c r="F492" s="3">
        <v>2500.0</v>
      </c>
      <c r="G492" s="5">
        <v>500.0</v>
      </c>
      <c r="H492" s="3" t="s">
        <v>4217</v>
      </c>
      <c r="I492" s="3" t="s">
        <v>4175</v>
      </c>
      <c r="J492" s="5">
        <v>97451.0</v>
      </c>
      <c r="K492" s="5">
        <v>99951.0</v>
      </c>
      <c r="L492" s="5" t="s">
        <v>4218</v>
      </c>
      <c r="M492" s="5" t="s">
        <v>4175</v>
      </c>
      <c r="O492" s="5" t="s">
        <v>3294</v>
      </c>
      <c r="P492" s="5" t="s">
        <v>3342</v>
      </c>
      <c r="Q492" s="5" t="b">
        <v>1</v>
      </c>
      <c r="R492" s="5" t="s">
        <v>3342</v>
      </c>
    </row>
    <row r="493" ht="15.75" customHeight="1">
      <c r="A493" s="5" t="s">
        <v>5290</v>
      </c>
      <c r="B493" s="39">
        <v>45770.80737268519</v>
      </c>
      <c r="C493" s="3" t="s">
        <v>3535</v>
      </c>
      <c r="D493" s="3">
        <v>931.0</v>
      </c>
      <c r="E493" s="3" t="s">
        <v>3368</v>
      </c>
      <c r="F493" s="3">
        <v>2000.0</v>
      </c>
      <c r="G493" s="5">
        <v>500.0</v>
      </c>
      <c r="H493" s="3" t="s">
        <v>4218</v>
      </c>
      <c r="I493" s="3" t="s">
        <v>4175</v>
      </c>
      <c r="J493" s="5">
        <v>99951.0</v>
      </c>
      <c r="K493" s="5">
        <v>101951.0</v>
      </c>
      <c r="L493" s="5" t="s">
        <v>4219</v>
      </c>
      <c r="M493" s="5" t="s">
        <v>4175</v>
      </c>
      <c r="N493" s="5" t="s">
        <v>5291</v>
      </c>
      <c r="O493" s="5" t="s">
        <v>3342</v>
      </c>
      <c r="P493" s="5" t="s">
        <v>3342</v>
      </c>
      <c r="Q493" s="5" t="b">
        <v>1</v>
      </c>
      <c r="R493" s="5" t="s">
        <v>3342</v>
      </c>
    </row>
    <row r="494" ht="15.75" customHeight="1">
      <c r="A494" s="5" t="s">
        <v>5292</v>
      </c>
      <c r="B494" s="39">
        <v>45770.8077662037</v>
      </c>
      <c r="C494" s="3" t="s">
        <v>4187</v>
      </c>
      <c r="D494" s="3">
        <v>935.0</v>
      </c>
      <c r="E494" s="3" t="s">
        <v>3706</v>
      </c>
      <c r="F494" s="3">
        <v>-1300.0</v>
      </c>
      <c r="G494" s="5">
        <v>500.0</v>
      </c>
      <c r="H494" s="3" t="s">
        <v>4219</v>
      </c>
      <c r="I494" s="3" t="s">
        <v>4175</v>
      </c>
      <c r="J494" s="5">
        <v>101951.0</v>
      </c>
      <c r="K494" s="5">
        <v>100651.0</v>
      </c>
      <c r="L494" s="5" t="s">
        <v>4220</v>
      </c>
      <c r="M494" s="5" t="s">
        <v>4175</v>
      </c>
      <c r="O494" s="5" t="s">
        <v>3320</v>
      </c>
      <c r="P494" s="5" t="s">
        <v>3342</v>
      </c>
      <c r="Q494" s="5" t="b">
        <v>1</v>
      </c>
      <c r="R494" s="5" t="s">
        <v>3342</v>
      </c>
    </row>
    <row r="495" ht="15.75" customHeight="1">
      <c r="A495" s="5" t="s">
        <v>5293</v>
      </c>
      <c r="B495" s="39">
        <v>45770.80898148148</v>
      </c>
      <c r="C495" s="3" t="s">
        <v>3883</v>
      </c>
      <c r="D495" s="3">
        <v>110.0</v>
      </c>
      <c r="E495" s="3" t="s">
        <v>3706</v>
      </c>
      <c r="F495" s="3">
        <v>8600.0</v>
      </c>
      <c r="G495" s="5">
        <v>500.0</v>
      </c>
      <c r="H495" s="3" t="s">
        <v>4220</v>
      </c>
      <c r="I495" s="3" t="s">
        <v>4175</v>
      </c>
      <c r="J495" s="5">
        <v>100651.0</v>
      </c>
      <c r="K495" s="5">
        <v>109251.0</v>
      </c>
      <c r="L495" s="5" t="s">
        <v>4221</v>
      </c>
      <c r="M495" s="5" t="s">
        <v>4175</v>
      </c>
      <c r="O495" s="5" t="s">
        <v>3320</v>
      </c>
      <c r="P495" s="5" t="s">
        <v>3342</v>
      </c>
      <c r="Q495" s="5" t="b">
        <v>1</v>
      </c>
      <c r="R495" s="5" t="s">
        <v>3342</v>
      </c>
    </row>
    <row r="496" ht="15.75" customHeight="1">
      <c r="A496" s="5" t="s">
        <v>5294</v>
      </c>
      <c r="B496" s="39">
        <v>45770.80934027778</v>
      </c>
      <c r="C496" s="3" t="s">
        <v>3952</v>
      </c>
      <c r="D496" s="3">
        <v>115.0</v>
      </c>
      <c r="E496" s="3" t="s">
        <v>3380</v>
      </c>
      <c r="F496" s="3">
        <v>4000.0</v>
      </c>
      <c r="G496" s="5">
        <v>500.0</v>
      </c>
      <c r="H496" s="3" t="s">
        <v>4221</v>
      </c>
      <c r="I496" s="3" t="s">
        <v>4175</v>
      </c>
      <c r="J496" s="5">
        <v>109251.0</v>
      </c>
      <c r="K496" s="5">
        <v>113251.0</v>
      </c>
      <c r="L496" s="5" t="s">
        <v>4222</v>
      </c>
      <c r="M496" s="5" t="s">
        <v>4175</v>
      </c>
      <c r="O496" s="5" t="s">
        <v>3605</v>
      </c>
      <c r="P496" s="5" t="s">
        <v>3342</v>
      </c>
      <c r="Q496" s="5" t="b">
        <v>1</v>
      </c>
      <c r="R496" s="5" t="s">
        <v>3342</v>
      </c>
    </row>
    <row r="497" ht="15.75" customHeight="1">
      <c r="A497" s="5" t="s">
        <v>5295</v>
      </c>
      <c r="B497" s="39">
        <v>45770.812789351854</v>
      </c>
      <c r="C497" s="3" t="s">
        <v>4098</v>
      </c>
      <c r="D497" s="3">
        <v>116.0</v>
      </c>
      <c r="E497" s="3" t="s">
        <v>3273</v>
      </c>
      <c r="F497" s="3">
        <v>3000.0</v>
      </c>
      <c r="G497" s="5">
        <v>500.0</v>
      </c>
      <c r="H497" s="3" t="s">
        <v>4222</v>
      </c>
      <c r="I497" s="3" t="s">
        <v>4175</v>
      </c>
      <c r="J497" s="5">
        <v>113251.0</v>
      </c>
      <c r="K497" s="5">
        <v>116251.0</v>
      </c>
      <c r="L497" s="5" t="s">
        <v>4223</v>
      </c>
      <c r="M497" s="5" t="s">
        <v>4175</v>
      </c>
      <c r="O497" s="5" t="s">
        <v>3320</v>
      </c>
      <c r="P497" s="5" t="s">
        <v>3342</v>
      </c>
      <c r="Q497" s="5" t="b">
        <v>1</v>
      </c>
      <c r="R497" s="5" t="s">
        <v>3342</v>
      </c>
    </row>
    <row r="498" ht="15.75" customHeight="1">
      <c r="A498" s="5" t="s">
        <v>5296</v>
      </c>
      <c r="B498" s="39">
        <v>45770.81398148148</v>
      </c>
      <c r="C498" s="3" t="s">
        <v>4130</v>
      </c>
      <c r="D498" s="3">
        <v>118.0</v>
      </c>
      <c r="E498" s="3" t="s">
        <v>3662</v>
      </c>
      <c r="F498" s="3">
        <v>600.0</v>
      </c>
      <c r="G498" s="5">
        <v>500.0</v>
      </c>
      <c r="H498" s="3" t="s">
        <v>4223</v>
      </c>
      <c r="I498" s="3" t="s">
        <v>4175</v>
      </c>
      <c r="J498" s="5">
        <v>116251.0</v>
      </c>
      <c r="K498" s="5">
        <v>116851.0</v>
      </c>
      <c r="L498" s="5" t="s">
        <v>4224</v>
      </c>
      <c r="M498" s="5" t="s">
        <v>4175</v>
      </c>
      <c r="O498" s="5" t="s">
        <v>3320</v>
      </c>
      <c r="P498" s="5" t="s">
        <v>3342</v>
      </c>
      <c r="Q498" s="5" t="b">
        <v>1</v>
      </c>
      <c r="R498" s="5" t="s">
        <v>3342</v>
      </c>
    </row>
    <row r="499" ht="15.75" customHeight="1">
      <c r="A499" s="5" t="s">
        <v>5297</v>
      </c>
      <c r="B499" s="39">
        <v>45770.814467592594</v>
      </c>
      <c r="C499" s="3" t="s">
        <v>4156</v>
      </c>
      <c r="D499" s="3">
        <v>125.0</v>
      </c>
      <c r="E499" s="3" t="s">
        <v>3932</v>
      </c>
      <c r="F499" s="3">
        <v>2500.0</v>
      </c>
      <c r="G499" s="5">
        <v>500.0</v>
      </c>
      <c r="H499" s="3" t="s">
        <v>4224</v>
      </c>
      <c r="I499" s="3" t="s">
        <v>4175</v>
      </c>
      <c r="J499" s="5">
        <v>116851.0</v>
      </c>
      <c r="K499" s="5">
        <v>119351.0</v>
      </c>
      <c r="L499" s="5" t="s">
        <v>4225</v>
      </c>
      <c r="M499" s="5" t="s">
        <v>4175</v>
      </c>
      <c r="O499" s="5" t="s">
        <v>3320</v>
      </c>
      <c r="P499" s="5" t="s">
        <v>3342</v>
      </c>
      <c r="Q499" s="5" t="b">
        <v>1</v>
      </c>
      <c r="R499" s="5" t="s">
        <v>3342</v>
      </c>
    </row>
    <row r="500" ht="15.75" customHeight="1">
      <c r="A500" s="5" t="s">
        <v>5298</v>
      </c>
      <c r="B500" s="39">
        <v>45770.81469907407</v>
      </c>
      <c r="C500" s="3" t="s">
        <v>4157</v>
      </c>
      <c r="D500" s="3">
        <v>126.0</v>
      </c>
      <c r="E500" s="3" t="s">
        <v>3932</v>
      </c>
      <c r="F500" s="3">
        <v>2500.0</v>
      </c>
      <c r="G500" s="5">
        <v>500.0</v>
      </c>
      <c r="H500" s="3" t="s">
        <v>4225</v>
      </c>
      <c r="I500" s="3" t="s">
        <v>4175</v>
      </c>
      <c r="J500" s="5">
        <v>119351.0</v>
      </c>
      <c r="K500" s="5">
        <v>121851.0</v>
      </c>
      <c r="L500" s="5" t="s">
        <v>4226</v>
      </c>
      <c r="M500" s="5" t="s">
        <v>4175</v>
      </c>
      <c r="O500" s="5" t="s">
        <v>3320</v>
      </c>
      <c r="P500" s="5" t="s">
        <v>3342</v>
      </c>
      <c r="Q500" s="5" t="b">
        <v>1</v>
      </c>
      <c r="R500" s="5" t="s">
        <v>3342</v>
      </c>
    </row>
    <row r="501" ht="15.75" customHeight="1">
      <c r="A501" s="5" t="s">
        <v>5299</v>
      </c>
      <c r="B501" s="39">
        <v>45771.52506944445</v>
      </c>
      <c r="C501" s="3" t="s">
        <v>4192</v>
      </c>
      <c r="D501" s="3">
        <v>91.0</v>
      </c>
      <c r="E501" s="3" t="s">
        <v>4159</v>
      </c>
      <c r="F501" s="3">
        <v>50000.0</v>
      </c>
      <c r="G501" s="5">
        <v>96.0</v>
      </c>
      <c r="H501" s="3" t="s">
        <v>4191</v>
      </c>
      <c r="I501" s="3" t="s">
        <v>3273</v>
      </c>
      <c r="J501" s="5">
        <v>24700.0</v>
      </c>
      <c r="K501" s="5">
        <v>74700.0</v>
      </c>
      <c r="L501" s="5" t="s">
        <v>4227</v>
      </c>
      <c r="M501" s="5" t="s">
        <v>3273</v>
      </c>
      <c r="N501" s="5" t="s">
        <v>5300</v>
      </c>
      <c r="O501" s="5" t="s">
        <v>3457</v>
      </c>
      <c r="P501" s="5" t="s">
        <v>3320</v>
      </c>
      <c r="Q501" s="5" t="b">
        <v>1</v>
      </c>
      <c r="R501" s="5" t="s">
        <v>3320</v>
      </c>
    </row>
    <row r="502" ht="15.75" customHeight="1">
      <c r="A502" s="5" t="s">
        <v>5301</v>
      </c>
      <c r="B502" s="39">
        <v>45771.525555555556</v>
      </c>
      <c r="C502" s="3" t="s">
        <v>4193</v>
      </c>
      <c r="D502" s="3">
        <v>84.0</v>
      </c>
      <c r="E502" s="3" t="s">
        <v>4159</v>
      </c>
      <c r="F502" s="3">
        <v>10900.0</v>
      </c>
      <c r="G502" s="5">
        <v>96.0</v>
      </c>
      <c r="H502" s="3" t="s">
        <v>4227</v>
      </c>
      <c r="I502" s="3" t="s">
        <v>3273</v>
      </c>
      <c r="J502" s="5">
        <v>74700.0</v>
      </c>
      <c r="K502" s="5">
        <v>85600.0</v>
      </c>
      <c r="L502" s="5" t="s">
        <v>4228</v>
      </c>
      <c r="M502" s="5" t="s">
        <v>3273</v>
      </c>
      <c r="O502" s="5" t="s">
        <v>3457</v>
      </c>
      <c r="P502" s="5" t="s">
        <v>3320</v>
      </c>
      <c r="Q502" s="5" t="b">
        <v>1</v>
      </c>
      <c r="R502" s="5" t="s">
        <v>3320</v>
      </c>
    </row>
    <row r="503" ht="15.75" customHeight="1">
      <c r="A503" s="5" t="s">
        <v>5302</v>
      </c>
      <c r="B503" s="39">
        <v>45771.52591435185</v>
      </c>
      <c r="C503" s="3" t="s">
        <v>4193</v>
      </c>
      <c r="D503" s="3">
        <v>84.0</v>
      </c>
      <c r="E503" s="3" t="s">
        <v>4159</v>
      </c>
      <c r="F503" s="3">
        <v>43100.0</v>
      </c>
      <c r="G503" s="5">
        <v>83.0</v>
      </c>
      <c r="H503" s="3"/>
      <c r="I503" s="3"/>
      <c r="J503" s="5">
        <v>0.0</v>
      </c>
      <c r="K503" s="5">
        <v>43100.0</v>
      </c>
      <c r="L503" s="5" t="s">
        <v>4230</v>
      </c>
      <c r="M503" s="5" t="s">
        <v>4231</v>
      </c>
      <c r="O503" s="5" t="s">
        <v>3457</v>
      </c>
      <c r="Q503" s="5" t="b">
        <v>0</v>
      </c>
      <c r="R503" s="5" t="s">
        <v>3320</v>
      </c>
    </row>
    <row r="504" ht="15.75" customHeight="1">
      <c r="A504" s="5" t="s">
        <v>5303</v>
      </c>
      <c r="B504" s="39">
        <v>45772.72856481482</v>
      </c>
      <c r="C504" s="3" t="s">
        <v>56</v>
      </c>
      <c r="D504" s="3">
        <v>150.0</v>
      </c>
      <c r="E504" s="3" t="s">
        <v>3486</v>
      </c>
      <c r="F504" s="3">
        <v>1500.0</v>
      </c>
      <c r="G504" s="5">
        <v>77.0</v>
      </c>
      <c r="H504" s="3" t="s">
        <v>4153</v>
      </c>
      <c r="I504" s="3" t="s">
        <v>3275</v>
      </c>
      <c r="J504" s="5">
        <v>18000.0</v>
      </c>
      <c r="K504" s="5">
        <v>19500.0</v>
      </c>
      <c r="L504" s="5" t="s">
        <v>4232</v>
      </c>
      <c r="M504" s="5" t="s">
        <v>3275</v>
      </c>
      <c r="O504" s="5" t="s">
        <v>3342</v>
      </c>
      <c r="P504" s="5" t="s">
        <v>3294</v>
      </c>
      <c r="Q504" s="5" t="b">
        <v>1</v>
      </c>
      <c r="R504" s="5" t="s">
        <v>3294</v>
      </c>
    </row>
    <row r="505" ht="15.75" customHeight="1">
      <c r="A505" s="5" t="s">
        <v>5304</v>
      </c>
      <c r="B505" s="39">
        <v>45772.72928240741</v>
      </c>
      <c r="C505" s="3" t="s">
        <v>56</v>
      </c>
      <c r="D505" s="3">
        <v>150.0</v>
      </c>
      <c r="E505" s="3" t="s">
        <v>3486</v>
      </c>
      <c r="F505" s="3">
        <v>1000.0</v>
      </c>
      <c r="G505" s="5">
        <v>76.0</v>
      </c>
      <c r="H505" s="3" t="s">
        <v>4152</v>
      </c>
      <c r="I505" s="3" t="s">
        <v>3275</v>
      </c>
      <c r="J505" s="5">
        <v>18000.0</v>
      </c>
      <c r="K505" s="5">
        <v>19000.0</v>
      </c>
      <c r="L505" s="5" t="s">
        <v>4233</v>
      </c>
      <c r="M505" s="5" t="s">
        <v>3275</v>
      </c>
      <c r="O505" s="5" t="s">
        <v>3342</v>
      </c>
      <c r="P505" s="5" t="s">
        <v>3294</v>
      </c>
      <c r="Q505" s="5" t="b">
        <v>1</v>
      </c>
      <c r="R505" s="5" t="s">
        <v>3294</v>
      </c>
    </row>
    <row r="506" ht="15.75" customHeight="1">
      <c r="A506" s="5" t="s">
        <v>5305</v>
      </c>
      <c r="B506" s="39">
        <v>45772.731087962966</v>
      </c>
      <c r="C506" s="3" t="s">
        <v>4194</v>
      </c>
      <c r="D506" s="3">
        <v>88.0</v>
      </c>
      <c r="E506" s="3" t="s">
        <v>3932</v>
      </c>
      <c r="F506" s="3">
        <v>38400.0</v>
      </c>
      <c r="G506" s="5">
        <v>83.0</v>
      </c>
      <c r="H506" s="3" t="s">
        <v>4230</v>
      </c>
      <c r="I506" s="3" t="s">
        <v>4231</v>
      </c>
      <c r="J506" s="5">
        <v>43100.0</v>
      </c>
      <c r="K506" s="5">
        <v>81500.0</v>
      </c>
      <c r="L506" s="5" t="s">
        <v>4234</v>
      </c>
      <c r="M506" s="5" t="s">
        <v>3273</v>
      </c>
      <c r="N506" s="5" t="s">
        <v>5306</v>
      </c>
      <c r="O506" s="5" t="s">
        <v>3457</v>
      </c>
      <c r="P506" s="5" t="s">
        <v>3320</v>
      </c>
      <c r="Q506" s="5" t="b">
        <v>1</v>
      </c>
      <c r="R506" s="5" t="s">
        <v>3320</v>
      </c>
    </row>
    <row r="507" ht="15.75" customHeight="1">
      <c r="A507" s="5" t="s">
        <v>5307</v>
      </c>
      <c r="B507" s="39">
        <v>45775.67109953704</v>
      </c>
      <c r="C507" s="3" t="s">
        <v>4194</v>
      </c>
      <c r="D507" s="3">
        <v>88.0</v>
      </c>
      <c r="E507" s="3" t="s">
        <v>3932</v>
      </c>
      <c r="F507" s="3">
        <v>1600.0</v>
      </c>
      <c r="G507" s="5">
        <v>11.0</v>
      </c>
      <c r="H507" s="3" t="s">
        <v>4196</v>
      </c>
      <c r="I507" s="3" t="s">
        <v>4197</v>
      </c>
      <c r="J507" s="5">
        <v>5000.0</v>
      </c>
      <c r="K507" s="5">
        <v>6600.0</v>
      </c>
      <c r="L507" s="5" t="s">
        <v>4235</v>
      </c>
      <c r="M507" s="5" t="s">
        <v>4197</v>
      </c>
      <c r="O507" s="5" t="s">
        <v>3457</v>
      </c>
      <c r="P507" s="5" t="s">
        <v>3320</v>
      </c>
      <c r="Q507" s="5" t="b">
        <v>1</v>
      </c>
      <c r="R507" s="5" t="s">
        <v>3320</v>
      </c>
    </row>
    <row r="508" ht="15.75" customHeight="1">
      <c r="A508" s="5" t="s">
        <v>5308</v>
      </c>
      <c r="B508" s="39">
        <v>45775.673738425925</v>
      </c>
      <c r="C508" s="4" t="s">
        <v>3845</v>
      </c>
      <c r="D508" s="3">
        <v>12.0</v>
      </c>
      <c r="E508" s="3" t="s">
        <v>3759</v>
      </c>
      <c r="F508" s="3">
        <v>35000.0</v>
      </c>
      <c r="G508" s="5">
        <v>90.0</v>
      </c>
      <c r="H508" s="3"/>
      <c r="I508" s="3"/>
      <c r="J508" s="5">
        <v>0.0</v>
      </c>
      <c r="K508" s="5">
        <v>35000.0</v>
      </c>
      <c r="L508" s="5" t="s">
        <v>4236</v>
      </c>
      <c r="M508" s="5" t="s">
        <v>3759</v>
      </c>
      <c r="O508" s="5" t="s">
        <v>3320</v>
      </c>
      <c r="Q508" s="5" t="b">
        <v>0</v>
      </c>
      <c r="R508" s="5" t="s">
        <v>3605</v>
      </c>
    </row>
    <row r="509" ht="15.75" customHeight="1">
      <c r="A509" s="5" t="s">
        <v>5309</v>
      </c>
      <c r="B509" s="39">
        <v>45775.674363425926</v>
      </c>
      <c r="C509" s="3" t="s">
        <v>3354</v>
      </c>
      <c r="D509" s="3">
        <v>50.0</v>
      </c>
      <c r="E509" s="3" t="s">
        <v>3355</v>
      </c>
      <c r="F509" s="3">
        <v>5100.0</v>
      </c>
      <c r="G509" s="5">
        <v>90.0</v>
      </c>
      <c r="H509" s="3" t="s">
        <v>4236</v>
      </c>
      <c r="I509" s="3" t="s">
        <v>3759</v>
      </c>
      <c r="J509" s="5">
        <v>35000.0</v>
      </c>
      <c r="K509" s="5">
        <v>40100.0</v>
      </c>
      <c r="L509" s="5" t="s">
        <v>4237</v>
      </c>
      <c r="M509" s="5" t="s">
        <v>3759</v>
      </c>
      <c r="O509" s="5" t="s">
        <v>3337</v>
      </c>
      <c r="P509" s="5" t="s">
        <v>3605</v>
      </c>
      <c r="Q509" s="5" t="b">
        <v>1</v>
      </c>
      <c r="R509" s="5" t="s">
        <v>3605</v>
      </c>
    </row>
    <row r="510" ht="15.75" customHeight="1">
      <c r="A510" s="5" t="s">
        <v>5310</v>
      </c>
      <c r="B510" s="39">
        <v>45775.67503472222</v>
      </c>
      <c r="C510" s="3" t="s">
        <v>3975</v>
      </c>
      <c r="D510" s="3">
        <v>104.0</v>
      </c>
      <c r="E510" s="3" t="s">
        <v>3273</v>
      </c>
      <c r="F510" s="3">
        <v>30000.0</v>
      </c>
      <c r="G510" s="5">
        <v>90.0</v>
      </c>
      <c r="H510" s="3" t="s">
        <v>4237</v>
      </c>
      <c r="I510" s="3" t="s">
        <v>3759</v>
      </c>
      <c r="J510" s="5">
        <v>40100.0</v>
      </c>
      <c r="K510" s="5">
        <v>70100.0</v>
      </c>
      <c r="L510" s="5" t="s">
        <v>4238</v>
      </c>
      <c r="M510" s="5" t="s">
        <v>3759</v>
      </c>
      <c r="O510" s="5" t="s">
        <v>3320</v>
      </c>
      <c r="P510" s="5" t="s">
        <v>3605</v>
      </c>
      <c r="Q510" s="5" t="b">
        <v>1</v>
      </c>
      <c r="R510" s="5" t="s">
        <v>3605</v>
      </c>
    </row>
    <row r="511" ht="15.75" customHeight="1">
      <c r="A511" s="5" t="s">
        <v>5311</v>
      </c>
      <c r="B511" s="39">
        <v>45775.67586805556</v>
      </c>
      <c r="C511" s="4" t="s">
        <v>3840</v>
      </c>
      <c r="D511" s="3">
        <v>102.0</v>
      </c>
      <c r="E511" s="3" t="s">
        <v>3759</v>
      </c>
      <c r="F511" s="3">
        <v>27400.0</v>
      </c>
      <c r="G511" s="5">
        <v>90.0</v>
      </c>
      <c r="H511" s="3" t="s">
        <v>4238</v>
      </c>
      <c r="I511" s="3" t="s">
        <v>3759</v>
      </c>
      <c r="J511" s="5">
        <v>70100.0</v>
      </c>
      <c r="K511" s="5">
        <v>97500.0</v>
      </c>
      <c r="L511" s="5" t="s">
        <v>4239</v>
      </c>
      <c r="M511" s="5" t="s">
        <v>3759</v>
      </c>
      <c r="O511" s="5" t="s">
        <v>3320</v>
      </c>
      <c r="P511" s="5" t="s">
        <v>3605</v>
      </c>
      <c r="Q511" s="5" t="b">
        <v>1</v>
      </c>
      <c r="R511" s="5" t="s">
        <v>3605</v>
      </c>
    </row>
    <row r="512" ht="15.75" customHeight="1">
      <c r="A512" s="5" t="s">
        <v>5312</v>
      </c>
      <c r="B512" s="39">
        <v>45775.67667824074</v>
      </c>
      <c r="C512" s="4" t="s">
        <v>3840</v>
      </c>
      <c r="D512" s="3">
        <v>102.0</v>
      </c>
      <c r="E512" s="3" t="s">
        <v>3759</v>
      </c>
      <c r="F512" s="3">
        <v>2600.0</v>
      </c>
      <c r="G512" s="5">
        <v>11.0</v>
      </c>
      <c r="H512" s="3" t="s">
        <v>4235</v>
      </c>
      <c r="I512" s="3" t="s">
        <v>4197</v>
      </c>
      <c r="J512" s="5">
        <v>6600.0</v>
      </c>
      <c r="K512" s="5">
        <v>9200.0</v>
      </c>
      <c r="L512" s="5" t="s">
        <v>4241</v>
      </c>
      <c r="M512" s="5" t="s">
        <v>4197</v>
      </c>
      <c r="N512" s="5" t="s">
        <v>5313</v>
      </c>
      <c r="O512" s="5" t="s">
        <v>3320</v>
      </c>
      <c r="P512" s="5" t="s">
        <v>3320</v>
      </c>
      <c r="Q512" s="5" t="b">
        <v>1</v>
      </c>
      <c r="R512" s="5" t="s">
        <v>3320</v>
      </c>
    </row>
    <row r="513" ht="15.75" customHeight="1">
      <c r="A513" s="5" t="s">
        <v>5314</v>
      </c>
      <c r="B513" s="39">
        <v>45775.69306712963</v>
      </c>
      <c r="C513" s="3" t="s">
        <v>4037</v>
      </c>
      <c r="D513" s="3">
        <v>92.0</v>
      </c>
      <c r="E513" s="3" t="s">
        <v>3275</v>
      </c>
      <c r="F513" s="3">
        <v>46000.0</v>
      </c>
      <c r="G513" s="5">
        <v>91.0</v>
      </c>
      <c r="H513" s="3"/>
      <c r="I513" s="3"/>
      <c r="J513" s="5">
        <v>0.0</v>
      </c>
      <c r="K513" s="5">
        <v>46000.0</v>
      </c>
      <c r="L513" s="5" t="s">
        <v>4244</v>
      </c>
      <c r="M513" s="5" t="s">
        <v>3275</v>
      </c>
      <c r="O513" s="5" t="s">
        <v>3294</v>
      </c>
      <c r="Q513" s="5" t="b">
        <v>0</v>
      </c>
      <c r="R513" s="5" t="s">
        <v>3320</v>
      </c>
    </row>
    <row r="514" ht="15.75" customHeight="1">
      <c r="A514" s="5"/>
      <c r="B514" s="39"/>
      <c r="C514" s="3"/>
      <c r="D514" s="3"/>
      <c r="E514" s="3"/>
      <c r="F514" s="3"/>
      <c r="G514" s="5"/>
      <c r="H514" s="3"/>
      <c r="I514" s="3"/>
      <c r="J514" s="5"/>
      <c r="K514" s="5"/>
      <c r="L514" s="5"/>
      <c r="M514" s="5"/>
      <c r="N514" s="5"/>
      <c r="O514" s="5"/>
      <c r="P514" s="5"/>
      <c r="Q514" s="5"/>
      <c r="R514" s="5"/>
    </row>
    <row r="515" ht="15.75" customHeight="1">
      <c r="A515" s="5" t="s">
        <v>5315</v>
      </c>
      <c r="B515" s="39">
        <v>45775.69559027778</v>
      </c>
      <c r="C515" s="3" t="s">
        <v>4233</v>
      </c>
      <c r="D515" s="3">
        <v>76.0</v>
      </c>
      <c r="E515" s="3" t="s">
        <v>3275</v>
      </c>
      <c r="F515" s="3">
        <v>19000.0</v>
      </c>
      <c r="G515" s="5">
        <v>66.0</v>
      </c>
      <c r="H515" s="3"/>
      <c r="I515" s="3"/>
      <c r="J515" s="5">
        <v>0.0</v>
      </c>
      <c r="K515" s="5">
        <v>19000.0</v>
      </c>
      <c r="L515" s="5" t="s">
        <v>4247</v>
      </c>
      <c r="M515" s="5" t="s">
        <v>3275</v>
      </c>
      <c r="N515" s="5" t="s">
        <v>5316</v>
      </c>
      <c r="O515" s="5" t="s">
        <v>3294</v>
      </c>
      <c r="P515" s="5"/>
      <c r="Q515" s="5" t="b">
        <v>0</v>
      </c>
      <c r="R515" s="5" t="s">
        <v>3320</v>
      </c>
    </row>
    <row r="516" ht="15.75" customHeight="1">
      <c r="A516" s="5" t="s">
        <v>5317</v>
      </c>
      <c r="B516" s="39">
        <v>45775.69761574074</v>
      </c>
      <c r="C516" s="3" t="s">
        <v>4089</v>
      </c>
      <c r="D516" s="3">
        <v>65.0</v>
      </c>
      <c r="E516" s="3" t="s">
        <v>4017</v>
      </c>
      <c r="F516" s="3">
        <v>26500.0</v>
      </c>
      <c r="G516" s="5">
        <v>81.0</v>
      </c>
      <c r="H516" s="3"/>
      <c r="I516" s="3"/>
      <c r="J516" s="5">
        <v>0.0</v>
      </c>
      <c r="K516" s="5">
        <v>26500.0</v>
      </c>
      <c r="L516" s="5" t="s">
        <v>4249</v>
      </c>
      <c r="M516" s="5" t="s">
        <v>4017</v>
      </c>
      <c r="O516" s="5" t="s">
        <v>3294</v>
      </c>
      <c r="Q516" s="5" t="b">
        <v>0</v>
      </c>
      <c r="R516" s="5" t="s">
        <v>3320</v>
      </c>
    </row>
    <row r="517" ht="15.75" customHeight="1">
      <c r="A517" s="5" t="s">
        <v>5318</v>
      </c>
      <c r="B517" s="39">
        <v>45775.698125</v>
      </c>
      <c r="C517" s="3" t="s">
        <v>4089</v>
      </c>
      <c r="D517" s="3">
        <v>65.0</v>
      </c>
      <c r="E517" s="3" t="s">
        <v>4017</v>
      </c>
      <c r="F517" s="3">
        <v>750.0</v>
      </c>
      <c r="G517" s="5">
        <v>500.0</v>
      </c>
      <c r="H517" s="3" t="s">
        <v>4226</v>
      </c>
      <c r="I517" s="3" t="s">
        <v>4175</v>
      </c>
      <c r="J517" s="5">
        <v>121851.0</v>
      </c>
      <c r="K517" s="5">
        <v>122601.0</v>
      </c>
      <c r="L517" s="5" t="s">
        <v>4251</v>
      </c>
      <c r="M517" s="5" t="s">
        <v>4175</v>
      </c>
      <c r="O517" s="5" t="s">
        <v>3294</v>
      </c>
      <c r="P517" s="5" t="s">
        <v>3342</v>
      </c>
      <c r="Q517" s="5" t="b">
        <v>1</v>
      </c>
      <c r="R517" s="5" t="s">
        <v>3342</v>
      </c>
    </row>
    <row r="518" ht="15.75" customHeight="1">
      <c r="A518" s="5" t="s">
        <v>5319</v>
      </c>
      <c r="B518" s="39">
        <v>45775.69991898148</v>
      </c>
      <c r="C518" s="3" t="s">
        <v>4232</v>
      </c>
      <c r="D518" s="3">
        <v>77.0</v>
      </c>
      <c r="E518" s="3" t="s">
        <v>3275</v>
      </c>
      <c r="F518" s="3">
        <v>19500.0</v>
      </c>
      <c r="G518" s="5">
        <v>67.0</v>
      </c>
      <c r="H518" s="3"/>
      <c r="I518" s="3"/>
      <c r="J518" s="5">
        <v>0.0</v>
      </c>
      <c r="K518" s="5">
        <v>19500.0</v>
      </c>
      <c r="L518" s="5" t="s">
        <v>4252</v>
      </c>
      <c r="M518" s="5" t="s">
        <v>3275</v>
      </c>
      <c r="N518" s="5" t="s">
        <v>5320</v>
      </c>
      <c r="O518" s="5" t="s">
        <v>3294</v>
      </c>
      <c r="Q518" s="5" t="b">
        <v>0</v>
      </c>
      <c r="R518" s="5" t="s">
        <v>3294</v>
      </c>
    </row>
    <row r="519" ht="15.75" customHeight="1">
      <c r="A519" s="5" t="s">
        <v>5321</v>
      </c>
      <c r="B519" s="39">
        <v>45775.748449074075</v>
      </c>
      <c r="C519" s="3" t="s">
        <v>4156</v>
      </c>
      <c r="D519" s="3">
        <v>125.0</v>
      </c>
      <c r="E519" s="3" t="s">
        <v>3932</v>
      </c>
      <c r="F519" s="3">
        <v>14000.0</v>
      </c>
      <c r="G519" s="5">
        <v>88.0</v>
      </c>
      <c r="H519" s="3"/>
      <c r="I519" s="3"/>
      <c r="J519" s="5">
        <v>0.0</v>
      </c>
      <c r="K519" s="5">
        <v>14000.0</v>
      </c>
      <c r="L519" s="5" t="s">
        <v>4254</v>
      </c>
      <c r="M519" s="5" t="s">
        <v>3273</v>
      </c>
      <c r="O519" s="5" t="s">
        <v>3320</v>
      </c>
      <c r="Q519" s="5" t="b">
        <v>0</v>
      </c>
      <c r="R519" s="5" t="s">
        <v>3605</v>
      </c>
    </row>
    <row r="520" ht="15.75" customHeight="1">
      <c r="A520" s="5" t="s">
        <v>5322</v>
      </c>
      <c r="B520" s="39">
        <v>45775.74899305555</v>
      </c>
      <c r="C520" s="3" t="s">
        <v>4156</v>
      </c>
      <c r="D520" s="3">
        <v>125.0</v>
      </c>
      <c r="E520" s="3" t="s">
        <v>3932</v>
      </c>
      <c r="F520" s="3">
        <v>14000.0</v>
      </c>
      <c r="G520" s="5">
        <v>84.0</v>
      </c>
      <c r="H520" s="3"/>
      <c r="I520" s="3"/>
      <c r="J520" s="5">
        <v>0.0</v>
      </c>
      <c r="K520" s="5">
        <v>14000.0</v>
      </c>
      <c r="L520" s="5" t="s">
        <v>4255</v>
      </c>
      <c r="M520" s="5" t="s">
        <v>3273</v>
      </c>
      <c r="O520" s="5" t="s">
        <v>3320</v>
      </c>
      <c r="Q520" s="5" t="b">
        <v>0</v>
      </c>
      <c r="R520" s="5" t="s">
        <v>3605</v>
      </c>
    </row>
    <row r="521" ht="15.75" customHeight="1">
      <c r="A521" s="5" t="s">
        <v>5323</v>
      </c>
      <c r="B521" s="39">
        <v>45775.74935185185</v>
      </c>
      <c r="C521" s="3" t="s">
        <v>4157</v>
      </c>
      <c r="D521" s="3">
        <v>126.0</v>
      </c>
      <c r="E521" s="3" t="s">
        <v>3932</v>
      </c>
      <c r="F521" s="3">
        <v>14000.0</v>
      </c>
      <c r="G521" s="5">
        <v>88.0</v>
      </c>
      <c r="H521" s="3" t="s">
        <v>4254</v>
      </c>
      <c r="I521" s="3" t="s">
        <v>3273</v>
      </c>
      <c r="J521" s="5">
        <v>14000.0</v>
      </c>
      <c r="K521" s="5">
        <v>28000.0</v>
      </c>
      <c r="L521" s="5" t="s">
        <v>4256</v>
      </c>
      <c r="M521" s="5" t="s">
        <v>3273</v>
      </c>
      <c r="O521" s="5" t="s">
        <v>3320</v>
      </c>
      <c r="P521" s="5" t="s">
        <v>3605</v>
      </c>
      <c r="Q521" s="5" t="b">
        <v>1</v>
      </c>
      <c r="R521" s="5" t="s">
        <v>3605</v>
      </c>
    </row>
    <row r="522" ht="15.75" customHeight="1">
      <c r="A522" s="5" t="s">
        <v>5324</v>
      </c>
      <c r="B522" s="39">
        <v>45775.749548611115</v>
      </c>
      <c r="C522" s="3" t="s">
        <v>4157</v>
      </c>
      <c r="D522" s="3">
        <v>126.0</v>
      </c>
      <c r="E522" s="3" t="s">
        <v>3932</v>
      </c>
      <c r="F522" s="3">
        <v>14000.0</v>
      </c>
      <c r="G522" s="5">
        <v>84.0</v>
      </c>
      <c r="H522" s="3" t="s">
        <v>4255</v>
      </c>
      <c r="I522" s="3" t="s">
        <v>3273</v>
      </c>
      <c r="J522" s="5">
        <v>14000.0</v>
      </c>
      <c r="K522" s="5">
        <v>28000.0</v>
      </c>
      <c r="L522" s="5" t="s">
        <v>4257</v>
      </c>
      <c r="M522" s="5" t="s">
        <v>3273</v>
      </c>
      <c r="O522" s="5" t="s">
        <v>3320</v>
      </c>
      <c r="P522" s="5" t="s">
        <v>3605</v>
      </c>
      <c r="Q522" s="5" t="b">
        <v>1</v>
      </c>
      <c r="R522" s="5" t="s">
        <v>3605</v>
      </c>
    </row>
    <row r="523" ht="15.75" customHeight="1">
      <c r="A523" s="5" t="s">
        <v>5325</v>
      </c>
      <c r="B523" s="39">
        <v>45775.749756944446</v>
      </c>
      <c r="C523" s="3" t="s">
        <v>3960</v>
      </c>
      <c r="D523" s="3">
        <v>127.0</v>
      </c>
      <c r="E523" s="3" t="s">
        <v>3908</v>
      </c>
      <c r="F523" s="3">
        <v>15000.0</v>
      </c>
      <c r="G523" s="5">
        <v>88.0</v>
      </c>
      <c r="H523" s="3" t="s">
        <v>4256</v>
      </c>
      <c r="I523" s="3" t="s">
        <v>3273</v>
      </c>
      <c r="J523" s="5">
        <v>28000.0</v>
      </c>
      <c r="K523" s="5">
        <v>43000.0</v>
      </c>
      <c r="L523" s="5" t="s">
        <v>4258</v>
      </c>
      <c r="M523" s="5" t="s">
        <v>3273</v>
      </c>
      <c r="O523" s="5" t="s">
        <v>3320</v>
      </c>
      <c r="P523" s="5" t="s">
        <v>3605</v>
      </c>
      <c r="Q523" s="5" t="b">
        <v>1</v>
      </c>
      <c r="R523" s="5" t="s">
        <v>3605</v>
      </c>
    </row>
    <row r="524" ht="15.75" customHeight="1">
      <c r="A524" s="5" t="s">
        <v>5326</v>
      </c>
      <c r="B524" s="39">
        <v>45775.74994212963</v>
      </c>
      <c r="C524" s="3" t="s">
        <v>3960</v>
      </c>
      <c r="D524" s="3">
        <v>127.0</v>
      </c>
      <c r="E524" s="3" t="s">
        <v>3908</v>
      </c>
      <c r="F524" s="3">
        <v>15000.0</v>
      </c>
      <c r="G524" s="5">
        <v>84.0</v>
      </c>
      <c r="H524" s="3" t="s">
        <v>4257</v>
      </c>
      <c r="I524" s="3" t="s">
        <v>3273</v>
      </c>
      <c r="J524" s="5">
        <v>28000.0</v>
      </c>
      <c r="K524" s="5">
        <v>43000.0</v>
      </c>
      <c r="L524" s="5" t="s">
        <v>4259</v>
      </c>
      <c r="M524" s="5" t="s">
        <v>3273</v>
      </c>
      <c r="O524" s="5" t="s">
        <v>3320</v>
      </c>
      <c r="P524" s="5" t="s">
        <v>3605</v>
      </c>
      <c r="Q524" s="5" t="b">
        <v>1</v>
      </c>
      <c r="R524" s="5" t="s">
        <v>3605</v>
      </c>
    </row>
    <row r="525" ht="15.75" customHeight="1">
      <c r="A525" s="5" t="s">
        <v>5327</v>
      </c>
      <c r="B525" s="39">
        <v>45775.750185185185</v>
      </c>
      <c r="C525" s="3" t="s">
        <v>4098</v>
      </c>
      <c r="D525" s="3">
        <v>116.0</v>
      </c>
      <c r="E525" s="3" t="s">
        <v>3273</v>
      </c>
      <c r="F525" s="3">
        <v>27000.0</v>
      </c>
      <c r="G525" s="5">
        <v>88.0</v>
      </c>
      <c r="H525" s="3" t="s">
        <v>4258</v>
      </c>
      <c r="I525" s="3" t="s">
        <v>3273</v>
      </c>
      <c r="J525" s="5">
        <v>43000.0</v>
      </c>
      <c r="K525" s="5">
        <v>70000.0</v>
      </c>
      <c r="L525" s="5" t="s">
        <v>4260</v>
      </c>
      <c r="M525" s="5" t="s">
        <v>3273</v>
      </c>
      <c r="O525" s="5" t="s">
        <v>3320</v>
      </c>
      <c r="P525" s="5" t="s">
        <v>3605</v>
      </c>
      <c r="Q525" s="5" t="b">
        <v>1</v>
      </c>
      <c r="R525" s="5" t="s">
        <v>3605</v>
      </c>
    </row>
    <row r="526" ht="15.75" customHeight="1">
      <c r="A526" s="5" t="s">
        <v>5328</v>
      </c>
      <c r="B526" s="39">
        <v>45775.75042824074</v>
      </c>
      <c r="C526" s="3" t="s">
        <v>4098</v>
      </c>
      <c r="D526" s="3">
        <v>116.0</v>
      </c>
      <c r="E526" s="3" t="s">
        <v>3273</v>
      </c>
      <c r="F526" s="3">
        <v>27000.0</v>
      </c>
      <c r="G526" s="5">
        <v>84.0</v>
      </c>
      <c r="H526" s="3" t="s">
        <v>4259</v>
      </c>
      <c r="I526" s="3" t="s">
        <v>3273</v>
      </c>
      <c r="J526" s="5">
        <v>43000.0</v>
      </c>
      <c r="K526" s="5">
        <v>70000.0</v>
      </c>
      <c r="L526" s="5" t="s">
        <v>4261</v>
      </c>
      <c r="M526" s="5" t="s">
        <v>3273</v>
      </c>
      <c r="O526" s="5" t="s">
        <v>3320</v>
      </c>
      <c r="P526" s="5" t="s">
        <v>3605</v>
      </c>
      <c r="Q526" s="5" t="b">
        <v>1</v>
      </c>
      <c r="R526" s="5" t="s">
        <v>3605</v>
      </c>
    </row>
    <row r="527" ht="15.75" customHeight="1">
      <c r="A527" s="5" t="s">
        <v>5329</v>
      </c>
      <c r="B527" s="39">
        <v>45776.848969907405</v>
      </c>
      <c r="C527" s="3" t="s">
        <v>4142</v>
      </c>
      <c r="D527" s="3">
        <v>78.0</v>
      </c>
      <c r="E527" s="3" t="s">
        <v>3932</v>
      </c>
      <c r="F527" s="3">
        <v>14800.0</v>
      </c>
      <c r="G527" s="5">
        <v>79.0</v>
      </c>
      <c r="H527" s="3"/>
      <c r="I527" s="3"/>
      <c r="J527" s="5">
        <v>0.0</v>
      </c>
      <c r="K527" s="5">
        <v>14800.0</v>
      </c>
      <c r="L527" s="5" t="s">
        <v>4262</v>
      </c>
      <c r="M527" s="5" t="s">
        <v>3932</v>
      </c>
      <c r="O527" s="5" t="s">
        <v>3457</v>
      </c>
      <c r="Q527" s="5" t="b">
        <v>0</v>
      </c>
      <c r="R527" s="5" t="s">
        <v>3320</v>
      </c>
    </row>
    <row r="528" ht="15.75" customHeight="1">
      <c r="A528" s="5" t="s">
        <v>5330</v>
      </c>
      <c r="B528" s="39">
        <v>45776.850381944445</v>
      </c>
      <c r="C528" s="3" t="s">
        <v>4161</v>
      </c>
      <c r="D528" s="3">
        <v>45.0</v>
      </c>
      <c r="E528" s="3" t="s">
        <v>3932</v>
      </c>
      <c r="F528" s="3">
        <v>8900.0</v>
      </c>
      <c r="G528" s="5">
        <v>88.0</v>
      </c>
      <c r="H528" s="3" t="s">
        <v>4260</v>
      </c>
      <c r="I528" s="3" t="s">
        <v>3273</v>
      </c>
      <c r="J528" s="5">
        <v>70000.0</v>
      </c>
      <c r="K528" s="5">
        <v>78900.0</v>
      </c>
      <c r="L528" s="5" t="s">
        <v>4263</v>
      </c>
      <c r="M528" s="5" t="s">
        <v>3273</v>
      </c>
      <c r="O528" s="5" t="s">
        <v>3320</v>
      </c>
      <c r="P528" s="5" t="s">
        <v>3605</v>
      </c>
      <c r="Q528" s="5" t="b">
        <v>1</v>
      </c>
      <c r="R528" s="5" t="s">
        <v>3605</v>
      </c>
    </row>
    <row r="529" ht="15.75" customHeight="1">
      <c r="A529" s="5" t="s">
        <v>5331</v>
      </c>
      <c r="B529" s="39">
        <v>45776.85072916667</v>
      </c>
      <c r="C529" s="3" t="s">
        <v>4161</v>
      </c>
      <c r="D529" s="3">
        <v>45.0</v>
      </c>
      <c r="E529" s="3" t="s">
        <v>3932</v>
      </c>
      <c r="F529" s="3">
        <v>13000.0</v>
      </c>
      <c r="G529" s="5">
        <v>84.0</v>
      </c>
      <c r="H529" s="3" t="s">
        <v>4261</v>
      </c>
      <c r="I529" s="3" t="s">
        <v>3273</v>
      </c>
      <c r="J529" s="5">
        <v>70000.0</v>
      </c>
      <c r="K529" s="5">
        <v>83000.0</v>
      </c>
      <c r="L529" s="5" t="s">
        <v>4265</v>
      </c>
      <c r="M529" s="5" t="s">
        <v>3273</v>
      </c>
      <c r="O529" s="5" t="s">
        <v>3320</v>
      </c>
      <c r="P529" s="5" t="s">
        <v>3605</v>
      </c>
      <c r="Q529" s="5" t="b">
        <v>1</v>
      </c>
      <c r="R529" s="5" t="s">
        <v>3605</v>
      </c>
    </row>
    <row r="530" ht="15.75" customHeight="1">
      <c r="A530" s="5" t="s">
        <v>5332</v>
      </c>
      <c r="B530" s="39">
        <v>45776.85103009259</v>
      </c>
      <c r="C530" s="3" t="s">
        <v>4161</v>
      </c>
      <c r="D530" s="3">
        <v>45.0</v>
      </c>
      <c r="E530" s="3" t="s">
        <v>3932</v>
      </c>
      <c r="F530" s="3">
        <v>600.0</v>
      </c>
      <c r="G530" s="5">
        <v>11.0</v>
      </c>
      <c r="H530" s="3" t="s">
        <v>4241</v>
      </c>
      <c r="I530" s="3" t="s">
        <v>4197</v>
      </c>
      <c r="J530" s="5">
        <v>9200.0</v>
      </c>
      <c r="K530" s="5">
        <v>9800.0</v>
      </c>
      <c r="L530" s="5" t="s">
        <v>4267</v>
      </c>
      <c r="M530" s="5" t="s">
        <v>4197</v>
      </c>
      <c r="O530" s="5" t="s">
        <v>3320</v>
      </c>
      <c r="P530" s="5" t="s">
        <v>3320</v>
      </c>
      <c r="Q530" s="5" t="b">
        <v>1</v>
      </c>
      <c r="R530" s="5" t="s">
        <v>3320</v>
      </c>
    </row>
    <row r="531" ht="15.75" customHeight="1">
      <c r="A531" s="5" t="s">
        <v>5333</v>
      </c>
      <c r="B531" s="39">
        <v>45776.90796296296</v>
      </c>
      <c r="C531" s="3" t="s">
        <v>3899</v>
      </c>
      <c r="D531" s="3">
        <v>103.0</v>
      </c>
      <c r="E531" s="3" t="s">
        <v>3466</v>
      </c>
      <c r="F531" s="3">
        <v>30000.0</v>
      </c>
      <c r="G531" s="5">
        <v>82.0</v>
      </c>
      <c r="H531" s="3"/>
      <c r="I531" s="3"/>
      <c r="J531" s="5">
        <v>0.0</v>
      </c>
      <c r="K531" s="5">
        <v>30000.0</v>
      </c>
      <c r="L531" s="5" t="s">
        <v>4268</v>
      </c>
      <c r="M531" s="5" t="s">
        <v>3466</v>
      </c>
      <c r="O531" s="5" t="s">
        <v>3605</v>
      </c>
      <c r="Q531" s="5" t="b">
        <v>0</v>
      </c>
      <c r="R531" s="5" t="s">
        <v>3320</v>
      </c>
    </row>
    <row r="532" ht="15.75" customHeight="1">
      <c r="A532" s="5" t="s">
        <v>5334</v>
      </c>
      <c r="B532" s="39">
        <v>45776.90857638889</v>
      </c>
      <c r="C532" s="3" t="s">
        <v>3781</v>
      </c>
      <c r="D532" s="3">
        <v>106.0</v>
      </c>
      <c r="E532" s="3" t="s">
        <v>3601</v>
      </c>
      <c r="F532" s="3">
        <v>11000.0</v>
      </c>
      <c r="G532" s="5">
        <v>82.0</v>
      </c>
      <c r="H532" s="3" t="s">
        <v>4268</v>
      </c>
      <c r="I532" s="3" t="s">
        <v>3466</v>
      </c>
      <c r="J532" s="5">
        <v>30000.0</v>
      </c>
      <c r="K532" s="5">
        <v>41000.0</v>
      </c>
      <c r="L532" s="5" t="s">
        <v>4269</v>
      </c>
      <c r="M532" s="5" t="s">
        <v>3466</v>
      </c>
      <c r="O532" s="5" t="s">
        <v>3320</v>
      </c>
      <c r="P532" s="5" t="s">
        <v>3320</v>
      </c>
      <c r="Q532" s="5" t="b">
        <v>1</v>
      </c>
      <c r="R532" s="5" t="s">
        <v>3320</v>
      </c>
    </row>
    <row r="533" ht="15.75" customHeight="1">
      <c r="A533" s="5" t="s">
        <v>5335</v>
      </c>
      <c r="B533" s="39">
        <v>45776.909467592595</v>
      </c>
      <c r="C533" s="3" t="s">
        <v>3850</v>
      </c>
      <c r="D533" s="3">
        <v>52.0</v>
      </c>
      <c r="E533" s="3" t="s">
        <v>3662</v>
      </c>
      <c r="F533" s="3">
        <v>24000.0</v>
      </c>
      <c r="G533" s="5">
        <v>116.0</v>
      </c>
      <c r="H533" s="3"/>
      <c r="I533" s="3"/>
      <c r="J533" s="5">
        <v>0.0</v>
      </c>
      <c r="K533" s="5">
        <v>24000.0</v>
      </c>
      <c r="L533" s="5" t="s">
        <v>4270</v>
      </c>
      <c r="M533" s="5" t="s">
        <v>3662</v>
      </c>
      <c r="O533" s="5" t="s">
        <v>3320</v>
      </c>
      <c r="Q533" s="5" t="b">
        <v>0</v>
      </c>
      <c r="R533" s="5" t="s">
        <v>3605</v>
      </c>
    </row>
    <row r="534" ht="15.75" customHeight="1">
      <c r="A534" s="5" t="s">
        <v>5336</v>
      </c>
      <c r="B534" s="39">
        <v>45776.910219907404</v>
      </c>
      <c r="C534" s="3" t="s">
        <v>4141</v>
      </c>
      <c r="D534" s="3">
        <v>85.0</v>
      </c>
      <c r="E534" s="3" t="s">
        <v>3903</v>
      </c>
      <c r="F534" s="3">
        <v>35000.0</v>
      </c>
      <c r="G534" s="5">
        <v>116.0</v>
      </c>
      <c r="H534" s="3" t="s">
        <v>4270</v>
      </c>
      <c r="I534" s="3" t="s">
        <v>3662</v>
      </c>
      <c r="J534" s="5">
        <v>24000.0</v>
      </c>
      <c r="K534" s="5">
        <v>59000.0</v>
      </c>
      <c r="L534" s="5" t="s">
        <v>4271</v>
      </c>
      <c r="M534" s="5" t="s">
        <v>3662</v>
      </c>
      <c r="O534" s="5" t="s">
        <v>3320</v>
      </c>
      <c r="P534" s="5" t="s">
        <v>3605</v>
      </c>
      <c r="Q534" s="5" t="b">
        <v>1</v>
      </c>
      <c r="R534" s="5" t="s">
        <v>3605</v>
      </c>
    </row>
    <row r="535" ht="15.75" customHeight="1">
      <c r="A535" s="5" t="s">
        <v>5337</v>
      </c>
      <c r="B535" s="39">
        <v>45776.910532407404</v>
      </c>
      <c r="C535" s="3" t="s">
        <v>3783</v>
      </c>
      <c r="D535" s="3">
        <v>107.0</v>
      </c>
      <c r="E535" s="3" t="s">
        <v>3784</v>
      </c>
      <c r="F535" s="3">
        <v>30000.0</v>
      </c>
      <c r="G535" s="5">
        <v>116.0</v>
      </c>
      <c r="H535" s="3" t="s">
        <v>4271</v>
      </c>
      <c r="I535" s="3" t="s">
        <v>3662</v>
      </c>
      <c r="J535" s="5">
        <v>59000.0</v>
      </c>
      <c r="K535" s="5">
        <v>89000.0</v>
      </c>
      <c r="L535" s="5" t="s">
        <v>4272</v>
      </c>
      <c r="M535" s="5" t="s">
        <v>3662</v>
      </c>
      <c r="O535" s="5" t="s">
        <v>3320</v>
      </c>
      <c r="P535" s="5" t="s">
        <v>3605</v>
      </c>
      <c r="Q535" s="5" t="b">
        <v>1</v>
      </c>
      <c r="R535" s="5" t="s">
        <v>3605</v>
      </c>
    </row>
    <row r="536" ht="15.75" customHeight="1">
      <c r="A536" s="5" t="s">
        <v>5338</v>
      </c>
      <c r="B536" s="39">
        <v>45776.91096064815</v>
      </c>
      <c r="C536" s="3" t="s">
        <v>3774</v>
      </c>
      <c r="D536" s="3">
        <v>109.0</v>
      </c>
      <c r="E536" s="3" t="s">
        <v>3583</v>
      </c>
      <c r="F536" s="3">
        <v>10600.0</v>
      </c>
      <c r="G536" s="5">
        <v>116.0</v>
      </c>
      <c r="H536" s="3" t="s">
        <v>4272</v>
      </c>
      <c r="I536" s="3" t="s">
        <v>3662</v>
      </c>
      <c r="J536" s="5">
        <v>89000.0</v>
      </c>
      <c r="K536" s="5">
        <v>99600.0</v>
      </c>
      <c r="L536" s="5" t="s">
        <v>4273</v>
      </c>
      <c r="M536" s="5" t="s">
        <v>3662</v>
      </c>
      <c r="O536" s="5" t="s">
        <v>3320</v>
      </c>
      <c r="P536" s="5" t="s">
        <v>3605</v>
      </c>
      <c r="Q536" s="5" t="b">
        <v>1</v>
      </c>
      <c r="R536" s="5" t="s">
        <v>3605</v>
      </c>
    </row>
    <row r="537" ht="15.75" customHeight="1">
      <c r="A537" s="5" t="s">
        <v>5339</v>
      </c>
      <c r="B537" s="39">
        <v>45776.9174537037</v>
      </c>
      <c r="C537" s="3" t="s">
        <v>4023</v>
      </c>
      <c r="D537" s="3">
        <v>105.0</v>
      </c>
      <c r="E537" s="3" t="s">
        <v>3864</v>
      </c>
      <c r="F537" s="3">
        <v>30000.0</v>
      </c>
      <c r="G537" s="5">
        <v>125.0</v>
      </c>
      <c r="H537" s="3"/>
      <c r="I537" s="3"/>
      <c r="J537" s="5">
        <v>0.0</v>
      </c>
      <c r="K537" s="5">
        <v>30000.0</v>
      </c>
      <c r="L537" s="5" t="s">
        <v>4275</v>
      </c>
      <c r="M537" s="5" t="s">
        <v>3864</v>
      </c>
      <c r="O537" s="5" t="s">
        <v>3320</v>
      </c>
      <c r="Q537" s="5" t="b">
        <v>0</v>
      </c>
      <c r="R537" s="5" t="s">
        <v>3605</v>
      </c>
    </row>
    <row r="538" ht="15.75" customHeight="1">
      <c r="A538" s="5" t="s">
        <v>5340</v>
      </c>
      <c r="B538" s="39">
        <v>45776.91813657407</v>
      </c>
      <c r="C538" s="3" t="s">
        <v>4275</v>
      </c>
      <c r="D538" s="3">
        <v>125.0</v>
      </c>
      <c r="E538" s="3" t="s">
        <v>3864</v>
      </c>
      <c r="F538" s="3">
        <v>9000.0</v>
      </c>
      <c r="G538" s="5">
        <v>6.0</v>
      </c>
      <c r="H538" s="3"/>
      <c r="I538" s="3"/>
      <c r="J538" s="5">
        <v>0.0</v>
      </c>
      <c r="K538" s="5">
        <v>9000.0</v>
      </c>
      <c r="L538" s="5" t="s">
        <v>4276</v>
      </c>
      <c r="M538" s="5" t="s">
        <v>3864</v>
      </c>
      <c r="O538" s="5" t="s">
        <v>3605</v>
      </c>
      <c r="Q538" s="5" t="b">
        <v>0</v>
      </c>
      <c r="R538" s="5" t="s">
        <v>3337</v>
      </c>
    </row>
    <row r="539" ht="15.75" customHeight="1">
      <c r="A539" s="5" t="s">
        <v>5341</v>
      </c>
      <c r="B539" s="39">
        <v>45776.91856481481</v>
      </c>
      <c r="C539" s="3" t="s">
        <v>4276</v>
      </c>
      <c r="D539" s="3">
        <v>6.0</v>
      </c>
      <c r="E539" s="3" t="s">
        <v>3864</v>
      </c>
      <c r="F539" s="3">
        <v>9000.0</v>
      </c>
      <c r="G539" s="5">
        <v>125.0</v>
      </c>
      <c r="H539" s="3" t="s">
        <v>4275</v>
      </c>
      <c r="I539" s="3" t="s">
        <v>3864</v>
      </c>
      <c r="J539" s="5">
        <v>21000.0</v>
      </c>
      <c r="K539" s="5">
        <v>30000.0</v>
      </c>
      <c r="L539" s="5" t="s">
        <v>4277</v>
      </c>
      <c r="M539" s="5" t="s">
        <v>3864</v>
      </c>
      <c r="O539" s="5" t="s">
        <v>3337</v>
      </c>
      <c r="P539" s="5" t="s">
        <v>3605</v>
      </c>
      <c r="Q539" s="5" t="b">
        <v>1</v>
      </c>
      <c r="R539" s="5" t="s">
        <v>3605</v>
      </c>
    </row>
    <row r="540" ht="15.75" customHeight="1">
      <c r="A540" s="5" t="s">
        <v>5342</v>
      </c>
      <c r="B540" s="39">
        <v>45777.43608796296</v>
      </c>
      <c r="C540" s="3" t="s">
        <v>4249</v>
      </c>
      <c r="D540" s="3">
        <v>81.0</v>
      </c>
      <c r="E540" s="3" t="s">
        <v>4017</v>
      </c>
      <c r="F540" s="3">
        <v>3500.0</v>
      </c>
      <c r="G540" s="5">
        <v>500.0</v>
      </c>
      <c r="H540" s="3" t="s">
        <v>4251</v>
      </c>
      <c r="I540" s="3" t="s">
        <v>4175</v>
      </c>
      <c r="J540" s="5">
        <v>122601.0</v>
      </c>
      <c r="K540" s="5">
        <v>126101.0</v>
      </c>
      <c r="L540" s="5" t="s">
        <v>4278</v>
      </c>
      <c r="M540" s="5" t="s">
        <v>4175</v>
      </c>
      <c r="O540" s="5" t="s">
        <v>3320</v>
      </c>
      <c r="P540" s="5" t="s">
        <v>3342</v>
      </c>
      <c r="Q540" s="5" t="b">
        <v>1</v>
      </c>
      <c r="R540" s="5" t="s">
        <v>3342</v>
      </c>
    </row>
    <row r="541" ht="15.75" customHeight="1">
      <c r="A541" s="5" t="s">
        <v>5343</v>
      </c>
      <c r="B541" s="39">
        <v>45777.80768518519</v>
      </c>
      <c r="C541" s="3" t="s">
        <v>3972</v>
      </c>
      <c r="D541" s="3">
        <v>108.0</v>
      </c>
      <c r="E541" s="3" t="s">
        <v>3973</v>
      </c>
      <c r="F541" s="3">
        <v>30000.0</v>
      </c>
      <c r="G541" s="5">
        <v>126.0</v>
      </c>
      <c r="H541" s="3"/>
      <c r="I541" s="3"/>
      <c r="J541" s="5">
        <v>0.0</v>
      </c>
      <c r="K541" s="5">
        <v>30000.0</v>
      </c>
      <c r="L541" s="5" t="s">
        <v>4280</v>
      </c>
      <c r="M541" s="5" t="s">
        <v>3973</v>
      </c>
      <c r="O541" s="5" t="s">
        <v>3320</v>
      </c>
      <c r="Q541" s="5" t="b">
        <v>0</v>
      </c>
      <c r="R541" s="5" t="s">
        <v>3605</v>
      </c>
    </row>
    <row r="542" ht="15.75" customHeight="1">
      <c r="A542" s="5" t="s">
        <v>5344</v>
      </c>
      <c r="B542" s="39">
        <v>45777.80850694444</v>
      </c>
      <c r="C542" s="3" t="s">
        <v>3978</v>
      </c>
      <c r="D542" s="3">
        <v>70.0</v>
      </c>
      <c r="E542" s="3" t="s">
        <v>3588</v>
      </c>
      <c r="F542" s="3">
        <v>11000.0</v>
      </c>
      <c r="G542" s="5">
        <v>73.0</v>
      </c>
      <c r="H542" s="3"/>
      <c r="I542" s="3"/>
      <c r="J542" s="5">
        <v>0.0</v>
      </c>
      <c r="K542" s="5">
        <v>11000.0</v>
      </c>
      <c r="L542" s="5" t="s">
        <v>4281</v>
      </c>
      <c r="M542" s="5" t="s">
        <v>3588</v>
      </c>
      <c r="O542" s="5" t="s">
        <v>3320</v>
      </c>
      <c r="Q542" s="5" t="b">
        <v>0</v>
      </c>
      <c r="R542" s="5" t="s">
        <v>3605</v>
      </c>
    </row>
    <row r="543" ht="15.75" customHeight="1">
      <c r="A543" s="5" t="s">
        <v>5345</v>
      </c>
      <c r="B543" s="39">
        <v>45777.809224537035</v>
      </c>
      <c r="C543" s="3" t="s">
        <v>4130</v>
      </c>
      <c r="D543" s="3">
        <v>118.0</v>
      </c>
      <c r="E543" s="3" t="s">
        <v>3662</v>
      </c>
      <c r="F543" s="3">
        <v>2000.0</v>
      </c>
      <c r="G543" s="5">
        <v>73.0</v>
      </c>
      <c r="H543" s="3" t="s">
        <v>4281</v>
      </c>
      <c r="I543" s="3" t="s">
        <v>3588</v>
      </c>
      <c r="J543" s="5">
        <v>11000.0</v>
      </c>
      <c r="K543" s="5">
        <v>13000.0</v>
      </c>
      <c r="L543" s="5" t="s">
        <v>4282</v>
      </c>
      <c r="M543" s="5" t="s">
        <v>3588</v>
      </c>
      <c r="O543" s="5" t="s">
        <v>3320</v>
      </c>
      <c r="P543" s="5" t="s">
        <v>3605</v>
      </c>
      <c r="Q543" s="5" t="b">
        <v>1</v>
      </c>
      <c r="R543" s="5" t="s">
        <v>3605</v>
      </c>
    </row>
    <row r="544" ht="15.75" customHeight="1">
      <c r="A544" s="5" t="s">
        <v>5346</v>
      </c>
      <c r="B544" s="39">
        <v>45777.81087962963</v>
      </c>
      <c r="C544" s="3" t="s">
        <v>3774</v>
      </c>
      <c r="D544" s="3">
        <v>109.0</v>
      </c>
      <c r="E544" s="3" t="s">
        <v>3583</v>
      </c>
      <c r="F544" s="3">
        <v>4400.0</v>
      </c>
      <c r="G544" s="5">
        <v>94.0</v>
      </c>
      <c r="H544" s="3" t="s">
        <v>3938</v>
      </c>
      <c r="I544" s="3" t="s">
        <v>3706</v>
      </c>
      <c r="J544" s="5">
        <v>11600.0</v>
      </c>
      <c r="K544" s="5">
        <v>16000.0</v>
      </c>
      <c r="L544" s="5" t="s">
        <v>4283</v>
      </c>
      <c r="M544" s="5" t="s">
        <v>3706</v>
      </c>
      <c r="O544" s="5" t="s">
        <v>3320</v>
      </c>
      <c r="P544" s="5" t="s">
        <v>3320</v>
      </c>
      <c r="Q544" s="5" t="b">
        <v>1</v>
      </c>
      <c r="R544" s="5" t="s">
        <v>3320</v>
      </c>
    </row>
    <row r="545" ht="15.75" customHeight="1">
      <c r="A545" s="5" t="s">
        <v>5347</v>
      </c>
      <c r="B545" s="39">
        <v>45777.812743055554</v>
      </c>
      <c r="C545" s="3" t="s">
        <v>4283</v>
      </c>
      <c r="D545" s="3">
        <v>94.0</v>
      </c>
      <c r="E545" s="3" t="s">
        <v>3706</v>
      </c>
      <c r="F545" s="3">
        <v>15000.0</v>
      </c>
      <c r="G545" s="5">
        <v>12.0</v>
      </c>
      <c r="H545" s="3"/>
      <c r="I545" s="3"/>
      <c r="J545" s="5">
        <v>0.0</v>
      </c>
      <c r="K545" s="5">
        <v>15000.0</v>
      </c>
      <c r="L545" s="5" t="s">
        <v>4284</v>
      </c>
      <c r="M545" s="5" t="s">
        <v>4285</v>
      </c>
      <c r="O545" s="5" t="s">
        <v>3320</v>
      </c>
      <c r="Q545" s="5" t="b">
        <v>0</v>
      </c>
      <c r="R545" s="5" t="s">
        <v>3320</v>
      </c>
    </row>
    <row r="546" ht="15.75" customHeight="1">
      <c r="A546" s="5" t="s">
        <v>5348</v>
      </c>
      <c r="B546" s="39">
        <v>45783.77974537037</v>
      </c>
      <c r="C546" s="3" t="s">
        <v>4140</v>
      </c>
      <c r="D546" s="3">
        <v>28.0</v>
      </c>
      <c r="E546" s="3" t="s">
        <v>3662</v>
      </c>
      <c r="F546" s="3">
        <v>31000.0</v>
      </c>
      <c r="G546" s="5">
        <v>102.0</v>
      </c>
      <c r="H546" s="3"/>
      <c r="I546" s="3"/>
      <c r="J546" s="5">
        <v>0.0</v>
      </c>
      <c r="K546" s="5">
        <v>31000.0</v>
      </c>
      <c r="L546" s="5" t="s">
        <v>4286</v>
      </c>
      <c r="M546" s="5" t="s">
        <v>3662</v>
      </c>
      <c r="O546" s="5" t="s">
        <v>3320</v>
      </c>
      <c r="Q546" s="5" t="b">
        <v>0</v>
      </c>
      <c r="R546" s="5" t="s">
        <v>3605</v>
      </c>
    </row>
    <row r="547" ht="15.75" customHeight="1">
      <c r="A547" s="6" t="s">
        <v>5349</v>
      </c>
      <c r="B547" s="39">
        <v>45783.7800462963</v>
      </c>
      <c r="C547" s="3" t="s">
        <v>4140</v>
      </c>
      <c r="D547" s="3">
        <v>28.0</v>
      </c>
      <c r="E547" s="3" t="s">
        <v>3662</v>
      </c>
      <c r="F547" s="3">
        <v>31000.0</v>
      </c>
      <c r="G547" s="5">
        <v>103.0</v>
      </c>
      <c r="H547" s="3"/>
      <c r="I547" s="3"/>
      <c r="J547" s="5">
        <v>0.0</v>
      </c>
      <c r="K547" s="5">
        <v>31000.0</v>
      </c>
      <c r="L547" s="5" t="s">
        <v>4288</v>
      </c>
      <c r="M547" s="5" t="s">
        <v>3662</v>
      </c>
      <c r="O547" s="5" t="s">
        <v>3320</v>
      </c>
      <c r="Q547" s="5" t="b">
        <v>0</v>
      </c>
      <c r="R547" s="5" t="s">
        <v>3605</v>
      </c>
    </row>
    <row r="548" ht="15.75" customHeight="1">
      <c r="A548" s="5" t="s">
        <v>5350</v>
      </c>
      <c r="B548" s="39">
        <v>45783.780335648145</v>
      </c>
      <c r="C548" s="3" t="s">
        <v>4140</v>
      </c>
      <c r="D548" s="3">
        <v>28.0</v>
      </c>
      <c r="E548" s="3" t="s">
        <v>3662</v>
      </c>
      <c r="F548" s="3">
        <v>31000.0</v>
      </c>
      <c r="G548" s="5">
        <v>104.0</v>
      </c>
      <c r="H548" s="3"/>
      <c r="I548" s="3"/>
      <c r="J548" s="5">
        <v>0.0</v>
      </c>
      <c r="K548" s="5">
        <v>31000.0</v>
      </c>
      <c r="L548" s="5" t="s">
        <v>4290</v>
      </c>
      <c r="M548" s="5" t="s">
        <v>3662</v>
      </c>
      <c r="O548" s="5" t="s">
        <v>3320</v>
      </c>
      <c r="Q548" s="5" t="b">
        <v>0</v>
      </c>
      <c r="R548" s="5" t="s">
        <v>3605</v>
      </c>
    </row>
    <row r="549" ht="15.75" customHeight="1">
      <c r="A549" s="5" t="s">
        <v>5351</v>
      </c>
      <c r="B549" s="39">
        <v>45783.780636574076</v>
      </c>
      <c r="C549" s="3" t="s">
        <v>4140</v>
      </c>
      <c r="D549" s="3">
        <v>28.0</v>
      </c>
      <c r="E549" s="3" t="s">
        <v>3662</v>
      </c>
      <c r="F549" s="3">
        <v>31000.0</v>
      </c>
      <c r="G549" s="5">
        <v>105.0</v>
      </c>
      <c r="H549" s="3"/>
      <c r="I549" s="3"/>
      <c r="J549" s="5">
        <v>0.0</v>
      </c>
      <c r="K549" s="5">
        <v>31000.0</v>
      </c>
      <c r="L549" s="5" t="s">
        <v>4292</v>
      </c>
      <c r="M549" s="5" t="s">
        <v>3662</v>
      </c>
      <c r="O549" s="5" t="s">
        <v>3320</v>
      </c>
      <c r="Q549" s="5" t="b">
        <v>0</v>
      </c>
      <c r="R549" s="5" t="s">
        <v>3605</v>
      </c>
    </row>
    <row r="550" ht="15.75" customHeight="1">
      <c r="A550" s="5" t="s">
        <v>5352</v>
      </c>
      <c r="B550" s="39">
        <v>45783.78194444445</v>
      </c>
      <c r="C550" s="3" t="s">
        <v>4140</v>
      </c>
      <c r="D550" s="3">
        <v>28.0</v>
      </c>
      <c r="E550" s="3" t="s">
        <v>3662</v>
      </c>
      <c r="F550" s="3">
        <v>24000.0</v>
      </c>
      <c r="G550" s="5">
        <v>107.0</v>
      </c>
      <c r="H550" s="3"/>
      <c r="I550" s="3"/>
      <c r="J550" s="5">
        <v>0.0</v>
      </c>
      <c r="K550" s="5">
        <v>24000.0</v>
      </c>
      <c r="L550" s="5" t="s">
        <v>4293</v>
      </c>
      <c r="M550" s="5" t="s">
        <v>3662</v>
      </c>
      <c r="O550" s="5" t="s">
        <v>3320</v>
      </c>
      <c r="Q550" s="5" t="b">
        <v>0</v>
      </c>
      <c r="R550" s="5" t="s">
        <v>3605</v>
      </c>
    </row>
    <row r="551" ht="15.75" customHeight="1">
      <c r="A551" s="5" t="s">
        <v>5353</v>
      </c>
      <c r="B551" s="39">
        <v>45783.7824537037</v>
      </c>
      <c r="C551" s="3" t="s">
        <v>4140</v>
      </c>
      <c r="D551" s="3">
        <v>28.0</v>
      </c>
      <c r="E551" s="3" t="s">
        <v>3662</v>
      </c>
      <c r="F551" s="3">
        <v>17000.0</v>
      </c>
      <c r="G551" s="5">
        <v>108.0</v>
      </c>
      <c r="H551" s="3"/>
      <c r="I551" s="3"/>
      <c r="J551" s="5">
        <v>0.0</v>
      </c>
      <c r="K551" s="5">
        <v>17000.0</v>
      </c>
      <c r="L551" s="5" t="s">
        <v>4294</v>
      </c>
      <c r="M551" s="5" t="s">
        <v>3662</v>
      </c>
      <c r="O551" s="5" t="s">
        <v>3320</v>
      </c>
      <c r="Q551" s="5" t="b">
        <v>0</v>
      </c>
      <c r="R551" s="5" t="s">
        <v>3605</v>
      </c>
    </row>
    <row r="552" ht="15.75" customHeight="1">
      <c r="A552" s="5" t="s">
        <v>5354</v>
      </c>
      <c r="B552" s="39">
        <v>45783.78283564815</v>
      </c>
      <c r="C552" s="3" t="s">
        <v>4140</v>
      </c>
      <c r="D552" s="3">
        <v>28.0</v>
      </c>
      <c r="E552" s="3" t="s">
        <v>3662</v>
      </c>
      <c r="F552" s="3">
        <v>15000.0</v>
      </c>
      <c r="G552" s="5">
        <v>12.0</v>
      </c>
      <c r="H552" s="3" t="s">
        <v>4284</v>
      </c>
      <c r="I552" s="3" t="s">
        <v>4285</v>
      </c>
      <c r="J552" s="5">
        <v>15000.0</v>
      </c>
      <c r="K552" s="5">
        <v>30000.0</v>
      </c>
      <c r="L552" s="5" t="s">
        <v>4295</v>
      </c>
      <c r="M552" s="5" t="s">
        <v>4285</v>
      </c>
      <c r="O552" s="5" t="s">
        <v>3320</v>
      </c>
      <c r="P552" s="5" t="s">
        <v>3320</v>
      </c>
      <c r="Q552" s="5" t="b">
        <v>1</v>
      </c>
      <c r="R552" s="5" t="s">
        <v>3320</v>
      </c>
    </row>
    <row r="553" ht="15.75" customHeight="1">
      <c r="A553" s="5" t="s">
        <v>5355</v>
      </c>
      <c r="B553" s="39">
        <v>45783.786157407405</v>
      </c>
      <c r="C553" s="3" t="s">
        <v>4277</v>
      </c>
      <c r="D553" s="3">
        <v>125.0</v>
      </c>
      <c r="E553" s="3" t="s">
        <v>3864</v>
      </c>
      <c r="F553" s="3">
        <v>30000.0</v>
      </c>
      <c r="G553" s="5">
        <v>6.0</v>
      </c>
      <c r="H553" s="3"/>
      <c r="I553" s="3"/>
      <c r="J553" s="5">
        <v>0.0</v>
      </c>
      <c r="K553" s="5">
        <v>30000.0</v>
      </c>
      <c r="L553" s="5" t="s">
        <v>4296</v>
      </c>
      <c r="M553" s="5" t="s">
        <v>4297</v>
      </c>
      <c r="O553" s="5" t="s">
        <v>3337</v>
      </c>
      <c r="Q553" s="5" t="b">
        <v>0</v>
      </c>
      <c r="R553" s="5" t="s">
        <v>3605</v>
      </c>
    </row>
    <row r="554" ht="15.75" customHeight="1">
      <c r="A554" s="5" t="s">
        <v>5356</v>
      </c>
      <c r="B554" s="39">
        <v>45783.78716435185</v>
      </c>
      <c r="C554" s="3" t="s">
        <v>3535</v>
      </c>
      <c r="D554" s="3">
        <v>931.0</v>
      </c>
      <c r="E554" s="3" t="s">
        <v>3368</v>
      </c>
      <c r="F554" s="3">
        <v>4000.0</v>
      </c>
      <c r="G554" s="5">
        <v>12.0</v>
      </c>
      <c r="H554" s="3" t="s">
        <v>4295</v>
      </c>
      <c r="I554" s="3" t="s">
        <v>4285</v>
      </c>
      <c r="J554" s="5">
        <v>30000.0</v>
      </c>
      <c r="K554" s="5">
        <v>34000.0</v>
      </c>
      <c r="L554" s="5" t="s">
        <v>4298</v>
      </c>
      <c r="M554" s="5" t="s">
        <v>4285</v>
      </c>
      <c r="N554" s="5" t="s">
        <v>5357</v>
      </c>
      <c r="O554" s="5" t="s">
        <v>3342</v>
      </c>
      <c r="P554" s="5" t="s">
        <v>3320</v>
      </c>
      <c r="Q554" s="5" t="b">
        <v>1</v>
      </c>
      <c r="R554" s="5" t="s">
        <v>3320</v>
      </c>
    </row>
    <row r="555" ht="15.75" customHeight="1">
      <c r="A555" s="5" t="s">
        <v>5358</v>
      </c>
      <c r="B555" s="39">
        <v>45783.788622685184</v>
      </c>
      <c r="C555" s="3" t="s">
        <v>4247</v>
      </c>
      <c r="D555" s="3">
        <v>66.0</v>
      </c>
      <c r="E555" s="3" t="s">
        <v>3275</v>
      </c>
      <c r="F555" s="3">
        <v>19000.0</v>
      </c>
      <c r="G555" s="5">
        <v>85.0</v>
      </c>
      <c r="H555" s="3"/>
      <c r="I555" s="3"/>
      <c r="J555" s="5">
        <v>0.0</v>
      </c>
      <c r="K555" s="5">
        <v>19000.0</v>
      </c>
      <c r="L555" s="5" t="s">
        <v>4299</v>
      </c>
      <c r="M555" s="5" t="s">
        <v>3275</v>
      </c>
      <c r="O555" s="5" t="s">
        <v>3320</v>
      </c>
      <c r="Q555" s="5" t="b">
        <v>0</v>
      </c>
      <c r="R555" s="5" t="s">
        <v>3605</v>
      </c>
    </row>
    <row r="556" ht="15.75" customHeight="1">
      <c r="A556" s="5" t="s">
        <v>5359</v>
      </c>
      <c r="B556" s="39">
        <v>45783.789143518516</v>
      </c>
      <c r="C556" s="3" t="s">
        <v>4252</v>
      </c>
      <c r="D556" s="3">
        <v>67.0</v>
      </c>
      <c r="E556" s="3" t="s">
        <v>3275</v>
      </c>
      <c r="F556" s="3">
        <v>19500.0</v>
      </c>
      <c r="G556" s="5">
        <v>85.0</v>
      </c>
      <c r="H556" s="3" t="s">
        <v>4299</v>
      </c>
      <c r="I556" s="3" t="s">
        <v>3275</v>
      </c>
      <c r="J556" s="5">
        <v>19000.0</v>
      </c>
      <c r="K556" s="5">
        <v>38500.0</v>
      </c>
      <c r="L556" s="5" t="s">
        <v>4300</v>
      </c>
      <c r="M556" s="5" t="s">
        <v>3275</v>
      </c>
      <c r="O556" s="5" t="s">
        <v>3320</v>
      </c>
      <c r="P556" s="5" t="s">
        <v>3605</v>
      </c>
      <c r="Q556" s="5" t="b">
        <v>1</v>
      </c>
      <c r="R556" s="5" t="s">
        <v>3605</v>
      </c>
    </row>
    <row r="557" ht="15.75" customHeight="1">
      <c r="A557" s="5" t="s">
        <v>5360</v>
      </c>
      <c r="B557" s="39">
        <v>45783.78957175926</v>
      </c>
      <c r="C557" s="3" t="s">
        <v>4249</v>
      </c>
      <c r="D557" s="3">
        <v>81.0</v>
      </c>
      <c r="E557" s="3" t="s">
        <v>4017</v>
      </c>
      <c r="F557" s="3">
        <v>23000.0</v>
      </c>
      <c r="G557" s="5">
        <v>85.0</v>
      </c>
      <c r="H557" s="3" t="s">
        <v>4300</v>
      </c>
      <c r="I557" s="3" t="s">
        <v>3275</v>
      </c>
      <c r="J557" s="5">
        <v>38500.0</v>
      </c>
      <c r="K557" s="5">
        <v>61500.0</v>
      </c>
      <c r="L557" s="5" t="s">
        <v>4301</v>
      </c>
      <c r="M557" s="5" t="s">
        <v>3275</v>
      </c>
      <c r="O557" s="5" t="s">
        <v>3320</v>
      </c>
      <c r="P557" s="5" t="s">
        <v>3605</v>
      </c>
      <c r="Q557" s="5" t="b">
        <v>1</v>
      </c>
      <c r="R557" s="5" t="s">
        <v>3605</v>
      </c>
    </row>
    <row r="558" ht="15.75" customHeight="1">
      <c r="A558" s="5" t="s">
        <v>5361</v>
      </c>
      <c r="B558" s="39">
        <v>45783.791342592594</v>
      </c>
      <c r="C558" s="3" t="s">
        <v>4186</v>
      </c>
      <c r="D558" s="3">
        <v>80.0</v>
      </c>
      <c r="E558" s="3" t="s">
        <v>4184</v>
      </c>
      <c r="F558" s="3">
        <v>17000.0</v>
      </c>
      <c r="G558" s="5">
        <v>76.0</v>
      </c>
      <c r="H558" s="3"/>
      <c r="I558" s="3"/>
      <c r="J558" s="5">
        <v>0.0</v>
      </c>
      <c r="K558" s="5">
        <v>17000.0</v>
      </c>
      <c r="L558" s="5" t="s">
        <v>4302</v>
      </c>
      <c r="M558" s="5" t="s">
        <v>4184</v>
      </c>
      <c r="O558" s="5" t="s">
        <v>3320</v>
      </c>
      <c r="Q558" s="5" t="b">
        <v>0</v>
      </c>
      <c r="R558" s="5" t="s">
        <v>3605</v>
      </c>
    </row>
    <row r="559" ht="15.75" customHeight="1">
      <c r="A559" s="5" t="s">
        <v>5362</v>
      </c>
      <c r="B559" s="39">
        <v>45783.79163194444</v>
      </c>
      <c r="C559" s="3" t="s">
        <v>4262</v>
      </c>
      <c r="D559" s="3">
        <v>79.0</v>
      </c>
      <c r="E559" s="3" t="s">
        <v>3932</v>
      </c>
      <c r="F559" s="3">
        <v>14800.0</v>
      </c>
      <c r="G559" s="5">
        <v>77.0</v>
      </c>
      <c r="H559" s="3"/>
      <c r="I559" s="3"/>
      <c r="J559" s="5">
        <v>0.0</v>
      </c>
      <c r="K559" s="5">
        <v>14800.0</v>
      </c>
      <c r="L559" s="5" t="s">
        <v>4303</v>
      </c>
      <c r="M559" s="5" t="s">
        <v>3932</v>
      </c>
      <c r="O559" s="5" t="s">
        <v>3320</v>
      </c>
      <c r="Q559" s="5" t="b">
        <v>0</v>
      </c>
      <c r="R559" s="5" t="s">
        <v>3605</v>
      </c>
    </row>
    <row r="560" ht="15.75" customHeight="1">
      <c r="A560" s="5" t="s">
        <v>5363</v>
      </c>
      <c r="B560" s="39">
        <v>45783.791967592595</v>
      </c>
      <c r="C560" s="3" t="s">
        <v>4147</v>
      </c>
      <c r="D560" s="3">
        <v>72.0</v>
      </c>
      <c r="E560" s="3" t="s">
        <v>4148</v>
      </c>
      <c r="F560" s="3">
        <v>11400.0</v>
      </c>
      <c r="G560" s="5">
        <v>71.0</v>
      </c>
      <c r="H560" s="3"/>
      <c r="I560" s="3"/>
      <c r="J560" s="5">
        <v>0.0</v>
      </c>
      <c r="K560" s="5">
        <v>11400.0</v>
      </c>
      <c r="L560" s="5" t="s">
        <v>4304</v>
      </c>
      <c r="M560" s="5" t="s">
        <v>4148</v>
      </c>
      <c r="O560" s="5" t="s">
        <v>3294</v>
      </c>
      <c r="Q560" s="5" t="b">
        <v>0</v>
      </c>
      <c r="R560" s="5" t="s">
        <v>3320</v>
      </c>
    </row>
    <row r="561" ht="15.75" customHeight="1">
      <c r="A561" s="6" t="s">
        <v>5364</v>
      </c>
      <c r="B561" s="39">
        <v>45783.813159722224</v>
      </c>
      <c r="C561" s="3" t="s">
        <v>4187</v>
      </c>
      <c r="D561" s="3">
        <v>935.0</v>
      </c>
      <c r="E561" s="3" t="s">
        <v>3706</v>
      </c>
      <c r="F561" s="3">
        <v>7500.0</v>
      </c>
      <c r="G561" s="5">
        <v>11.0</v>
      </c>
      <c r="H561" s="3" t="s">
        <v>4267</v>
      </c>
      <c r="I561" s="3" t="s">
        <v>4197</v>
      </c>
      <c r="J561" s="5">
        <v>9800.0</v>
      </c>
      <c r="K561" s="5">
        <v>17300.0</v>
      </c>
      <c r="L561" s="5" t="s">
        <v>4307</v>
      </c>
      <c r="M561" s="5" t="s">
        <v>4197</v>
      </c>
      <c r="O561" s="5" t="s">
        <v>3320</v>
      </c>
      <c r="P561" s="5" t="s">
        <v>3320</v>
      </c>
      <c r="Q561" s="5" t="b">
        <v>1</v>
      </c>
      <c r="R561" s="5" t="s">
        <v>3320</v>
      </c>
    </row>
    <row r="562" ht="15.75" customHeight="1">
      <c r="A562" s="5" t="s">
        <v>5365</v>
      </c>
      <c r="B562" s="39">
        <v>45783.81452546296</v>
      </c>
      <c r="C562" s="3" t="s">
        <v>4283</v>
      </c>
      <c r="D562" s="3">
        <v>94.0</v>
      </c>
      <c r="E562" s="3" t="s">
        <v>3706</v>
      </c>
      <c r="F562" s="3">
        <v>1000.0</v>
      </c>
      <c r="G562" s="5">
        <v>11.0</v>
      </c>
      <c r="H562" s="3" t="s">
        <v>4307</v>
      </c>
      <c r="I562" s="3" t="s">
        <v>4197</v>
      </c>
      <c r="J562" s="5">
        <v>17300.0</v>
      </c>
      <c r="K562" s="5">
        <v>18300.0</v>
      </c>
      <c r="L562" s="5" t="s">
        <v>4308</v>
      </c>
      <c r="M562" s="5" t="s">
        <v>4197</v>
      </c>
      <c r="O562" s="5" t="s">
        <v>3320</v>
      </c>
      <c r="P562" s="5" t="s">
        <v>3320</v>
      </c>
      <c r="Q562" s="5" t="b">
        <v>1</v>
      </c>
      <c r="R562" s="5" t="s">
        <v>3320</v>
      </c>
    </row>
    <row r="563" ht="15.75" customHeight="1">
      <c r="A563" s="5" t="s">
        <v>5366</v>
      </c>
      <c r="B563" s="39">
        <v>45783.81555555556</v>
      </c>
      <c r="C563" s="3" t="s">
        <v>3883</v>
      </c>
      <c r="D563" s="3">
        <v>110.0</v>
      </c>
      <c r="E563" s="3" t="s">
        <v>3706</v>
      </c>
      <c r="F563" s="3">
        <v>7000.0</v>
      </c>
      <c r="G563" s="5">
        <v>11.0</v>
      </c>
      <c r="H563" s="3" t="s">
        <v>4308</v>
      </c>
      <c r="I563" s="3" t="s">
        <v>4197</v>
      </c>
      <c r="J563" s="5">
        <v>18300.0</v>
      </c>
      <c r="K563" s="5">
        <v>25300.0</v>
      </c>
      <c r="L563" s="5" t="s">
        <v>4309</v>
      </c>
      <c r="M563" s="5" t="s">
        <v>4197</v>
      </c>
      <c r="O563" s="5" t="s">
        <v>3320</v>
      </c>
      <c r="P563" s="5" t="s">
        <v>3320</v>
      </c>
      <c r="Q563" s="5" t="b">
        <v>1</v>
      </c>
      <c r="R563" s="5" t="s">
        <v>3320</v>
      </c>
    </row>
    <row r="564" ht="15.75" customHeight="1">
      <c r="A564" s="5" t="s">
        <v>5367</v>
      </c>
      <c r="B564" s="39">
        <v>45783.81744212963</v>
      </c>
      <c r="C564" s="3" t="s">
        <v>4296</v>
      </c>
      <c r="D564" s="3">
        <v>6.0</v>
      </c>
      <c r="E564" s="3" t="s">
        <v>4297</v>
      </c>
      <c r="F564" s="3">
        <v>5000.0</v>
      </c>
      <c r="G564" s="5">
        <v>500.0</v>
      </c>
      <c r="H564" s="3" t="s">
        <v>4305</v>
      </c>
      <c r="I564" s="3" t="s">
        <v>4306</v>
      </c>
      <c r="J564" s="5">
        <v>1.0</v>
      </c>
      <c r="K564" s="5">
        <v>5001.0</v>
      </c>
      <c r="L564" s="5" t="s">
        <v>4311</v>
      </c>
      <c r="M564" s="5" t="s">
        <v>4306</v>
      </c>
      <c r="O564" s="5" t="s">
        <v>3605</v>
      </c>
      <c r="Q564" s="5" t="b">
        <v>1</v>
      </c>
    </row>
    <row r="565" ht="15.75" customHeight="1">
      <c r="A565" s="5" t="s">
        <v>5368</v>
      </c>
      <c r="B565" s="39">
        <v>45783.817824074074</v>
      </c>
      <c r="C565" s="3" t="s">
        <v>4309</v>
      </c>
      <c r="D565" s="3">
        <v>11.0</v>
      </c>
      <c r="E565" s="3" t="s">
        <v>4197</v>
      </c>
      <c r="F565" s="3">
        <v>-10700.0</v>
      </c>
      <c r="G565" s="5">
        <v>500.0</v>
      </c>
      <c r="H565" s="3" t="s">
        <v>4311</v>
      </c>
      <c r="I565" s="3" t="s">
        <v>4306</v>
      </c>
      <c r="J565" s="5">
        <v>5001.0</v>
      </c>
      <c r="K565" s="5">
        <v>-5699.0</v>
      </c>
      <c r="L565" s="5" t="s">
        <v>4312</v>
      </c>
      <c r="M565" s="5" t="s">
        <v>4306</v>
      </c>
      <c r="O565" s="5" t="s">
        <v>3320</v>
      </c>
      <c r="Q565" s="5" t="b">
        <v>1</v>
      </c>
    </row>
    <row r="566" ht="15.75" customHeight="1">
      <c r="A566" s="5" t="s">
        <v>5369</v>
      </c>
      <c r="B566" s="39">
        <v>45783.818402777775</v>
      </c>
      <c r="C566" s="3" t="s">
        <v>4298</v>
      </c>
      <c r="D566" s="3">
        <v>12.0</v>
      </c>
      <c r="E566" s="3" t="s">
        <v>4285</v>
      </c>
      <c r="F566" s="3">
        <v>17000.0</v>
      </c>
      <c r="G566" s="5">
        <v>500.0</v>
      </c>
      <c r="H566" s="3" t="s">
        <v>4312</v>
      </c>
      <c r="I566" s="3" t="s">
        <v>4306</v>
      </c>
      <c r="J566" s="5">
        <v>-5699.0</v>
      </c>
      <c r="K566" s="5">
        <v>11301.0</v>
      </c>
      <c r="L566" s="5" t="s">
        <v>4313</v>
      </c>
      <c r="M566" s="5" t="s">
        <v>4306</v>
      </c>
      <c r="O566" s="5" t="s">
        <v>3320</v>
      </c>
      <c r="Q566" s="5" t="b">
        <v>1</v>
      </c>
    </row>
    <row r="567" ht="15.75" customHeight="1">
      <c r="A567" s="5" t="s">
        <v>5370</v>
      </c>
      <c r="B567" s="39">
        <v>45783.82221064815</v>
      </c>
      <c r="C567" s="3" t="s">
        <v>3947</v>
      </c>
      <c r="D567" s="3">
        <v>14.0</v>
      </c>
      <c r="E567" s="3" t="s">
        <v>3745</v>
      </c>
      <c r="F567" s="3">
        <v>-1000.0</v>
      </c>
      <c r="G567" s="5">
        <v>500.0</v>
      </c>
      <c r="H567" s="3" t="s">
        <v>4313</v>
      </c>
      <c r="I567" s="3" t="s">
        <v>4306</v>
      </c>
      <c r="J567" s="5">
        <v>11301.0</v>
      </c>
      <c r="K567" s="5">
        <v>10301.0</v>
      </c>
      <c r="L567" s="5" t="s">
        <v>4314</v>
      </c>
      <c r="M567" s="5" t="s">
        <v>4306</v>
      </c>
      <c r="O567" s="5" t="s">
        <v>3320</v>
      </c>
      <c r="Q567" s="5" t="b">
        <v>1</v>
      </c>
    </row>
    <row r="568" ht="15.75" customHeight="1">
      <c r="A568" s="5" t="s">
        <v>5371</v>
      </c>
      <c r="B568" s="39">
        <v>45783.822916666664</v>
      </c>
      <c r="C568" s="3" t="s">
        <v>3986</v>
      </c>
      <c r="D568" s="3">
        <v>15.0</v>
      </c>
      <c r="E568" s="3" t="s">
        <v>3275</v>
      </c>
      <c r="F568" s="3">
        <v>-1000.0</v>
      </c>
      <c r="G568" s="5">
        <v>500.0</v>
      </c>
      <c r="H568" s="3" t="s">
        <v>4314</v>
      </c>
      <c r="I568" s="3" t="s">
        <v>4306</v>
      </c>
      <c r="J568" s="5">
        <v>10301.0</v>
      </c>
      <c r="K568" s="5">
        <v>9301.0</v>
      </c>
      <c r="L568" s="5" t="s">
        <v>4315</v>
      </c>
      <c r="M568" s="5" t="s">
        <v>4306</v>
      </c>
      <c r="O568" s="5" t="s">
        <v>3320</v>
      </c>
      <c r="Q568" s="5" t="b">
        <v>1</v>
      </c>
    </row>
    <row r="569" ht="15.75" customHeight="1">
      <c r="A569" s="5" t="s">
        <v>5372</v>
      </c>
      <c r="B569" s="39">
        <v>45783.823587962965</v>
      </c>
      <c r="C569" s="3" t="s">
        <v>3879</v>
      </c>
      <c r="D569" s="3">
        <v>25.0</v>
      </c>
      <c r="E569" s="3" t="s">
        <v>3272</v>
      </c>
      <c r="F569" s="3">
        <v>2000.0</v>
      </c>
      <c r="G569" s="5">
        <v>500.0</v>
      </c>
      <c r="H569" s="3" t="s">
        <v>4315</v>
      </c>
      <c r="I569" s="3" t="s">
        <v>4306</v>
      </c>
      <c r="J569" s="5">
        <v>9301.0</v>
      </c>
      <c r="K569" s="5">
        <v>11301.0</v>
      </c>
      <c r="L569" s="5" t="s">
        <v>4316</v>
      </c>
      <c r="M569" s="5" t="s">
        <v>4306</v>
      </c>
      <c r="O569" s="5" t="s">
        <v>3605</v>
      </c>
      <c r="Q569" s="5" t="b">
        <v>1</v>
      </c>
    </row>
    <row r="570" ht="15.75" customHeight="1">
      <c r="A570" s="5" t="s">
        <v>5373</v>
      </c>
      <c r="B570" s="39">
        <v>45783.82412037037</v>
      </c>
      <c r="C570" s="3" t="s">
        <v>3340</v>
      </c>
      <c r="D570" s="3">
        <v>30.0</v>
      </c>
      <c r="E570" s="3" t="s">
        <v>3341</v>
      </c>
      <c r="F570" s="3">
        <v>-300.0</v>
      </c>
      <c r="H570" s="3"/>
      <c r="I570" s="3"/>
      <c r="K570" s="5">
        <v>-300.0</v>
      </c>
      <c r="L570" s="5" t="s">
        <v>4317</v>
      </c>
      <c r="O570" s="5" t="s">
        <v>3342</v>
      </c>
      <c r="Q570" s="5" t="b">
        <v>1</v>
      </c>
    </row>
    <row r="571" ht="15.75" customHeight="1">
      <c r="A571" s="5" t="s">
        <v>5374</v>
      </c>
      <c r="B571" s="39">
        <v>45783.8247337963</v>
      </c>
      <c r="C571" s="3" t="s">
        <v>3988</v>
      </c>
      <c r="D571" s="3">
        <v>34.0</v>
      </c>
      <c r="E571" s="3" t="s">
        <v>3662</v>
      </c>
      <c r="F571" s="3">
        <v>-5000.0</v>
      </c>
      <c r="G571" s="5">
        <v>500.0</v>
      </c>
      <c r="H571" s="3" t="s">
        <v>4316</v>
      </c>
      <c r="I571" s="3" t="s">
        <v>4306</v>
      </c>
      <c r="J571" s="5">
        <v>11301.0</v>
      </c>
      <c r="K571" s="5">
        <v>6301.0</v>
      </c>
      <c r="L571" s="5" t="s">
        <v>4318</v>
      </c>
      <c r="M571" s="5" t="s">
        <v>4306</v>
      </c>
      <c r="O571" s="5" t="s">
        <v>3320</v>
      </c>
      <c r="Q571" s="5" t="b">
        <v>1</v>
      </c>
    </row>
    <row r="572" ht="15.75" customHeight="1">
      <c r="A572" s="5" t="s">
        <v>5375</v>
      </c>
      <c r="B572" s="39">
        <v>45783.82546296297</v>
      </c>
      <c r="C572" s="3" t="s">
        <v>3690</v>
      </c>
      <c r="D572" s="3">
        <v>46.0</v>
      </c>
      <c r="E572" s="3" t="s">
        <v>3332</v>
      </c>
      <c r="F572" s="3">
        <v>2500.0</v>
      </c>
      <c r="G572" s="5">
        <v>500.0</v>
      </c>
      <c r="H572" s="3" t="s">
        <v>4318</v>
      </c>
      <c r="I572" s="3" t="s">
        <v>4306</v>
      </c>
      <c r="J572" s="5">
        <v>6301.0</v>
      </c>
      <c r="K572" s="5">
        <v>8801.0</v>
      </c>
      <c r="L572" s="5" t="s">
        <v>4319</v>
      </c>
      <c r="M572" s="5" t="s">
        <v>4306</v>
      </c>
      <c r="O572" s="5" t="s">
        <v>3605</v>
      </c>
      <c r="Q572" s="5" t="b">
        <v>1</v>
      </c>
    </row>
    <row r="573" ht="15.75" customHeight="1">
      <c r="A573" s="5" t="s">
        <v>5376</v>
      </c>
      <c r="B573" s="39">
        <v>45783.82597222222</v>
      </c>
      <c r="C573" s="3" t="s">
        <v>4303</v>
      </c>
      <c r="D573" s="3">
        <v>77.0</v>
      </c>
      <c r="E573" s="3" t="s">
        <v>3932</v>
      </c>
      <c r="F573" s="3">
        <v>-1200.0</v>
      </c>
      <c r="G573" s="5">
        <v>500.0</v>
      </c>
      <c r="H573" s="3" t="s">
        <v>4319</v>
      </c>
      <c r="I573" s="3" t="s">
        <v>4306</v>
      </c>
      <c r="J573" s="5">
        <v>8801.0</v>
      </c>
      <c r="K573" s="5">
        <v>7601.0</v>
      </c>
      <c r="L573" s="5" t="s">
        <v>4320</v>
      </c>
      <c r="M573" s="5" t="s">
        <v>4306</v>
      </c>
      <c r="O573" s="5" t="s">
        <v>3605</v>
      </c>
      <c r="Q573" s="5" t="b">
        <v>1</v>
      </c>
    </row>
    <row r="574" ht="15.75" customHeight="1">
      <c r="A574" s="5" t="s">
        <v>5377</v>
      </c>
      <c r="B574" s="39">
        <v>45783.82638888889</v>
      </c>
      <c r="C574" s="3" t="s">
        <v>4269</v>
      </c>
      <c r="D574" s="3">
        <v>82.0</v>
      </c>
      <c r="E574" s="3" t="s">
        <v>3466</v>
      </c>
      <c r="F574" s="3">
        <v>-1600.0</v>
      </c>
      <c r="G574" s="5">
        <v>500.0</v>
      </c>
      <c r="H574" s="3" t="s">
        <v>4320</v>
      </c>
      <c r="I574" s="3" t="s">
        <v>4306</v>
      </c>
      <c r="J574" s="5">
        <v>7601.0</v>
      </c>
      <c r="K574" s="5">
        <v>6001.0</v>
      </c>
      <c r="L574" s="5" t="s">
        <v>4321</v>
      </c>
      <c r="M574" s="5" t="s">
        <v>4306</v>
      </c>
      <c r="O574" s="5" t="s">
        <v>3320</v>
      </c>
      <c r="Q574" s="5" t="b">
        <v>1</v>
      </c>
    </row>
    <row r="575" ht="15.75" customHeight="1">
      <c r="A575" s="5" t="s">
        <v>5378</v>
      </c>
      <c r="B575" s="39">
        <v>45783.8269212963</v>
      </c>
      <c r="C575" s="3" t="s">
        <v>4166</v>
      </c>
      <c r="D575" s="3">
        <v>87.0</v>
      </c>
      <c r="E575" s="3" t="s">
        <v>3275</v>
      </c>
      <c r="F575" s="3">
        <v>-2000.0</v>
      </c>
      <c r="G575" s="5">
        <v>500.0</v>
      </c>
      <c r="H575" s="3" t="s">
        <v>4321</v>
      </c>
      <c r="I575" s="3" t="s">
        <v>4306</v>
      </c>
      <c r="J575" s="5">
        <v>6001.0</v>
      </c>
      <c r="K575" s="5">
        <v>4001.0</v>
      </c>
      <c r="L575" s="5" t="s">
        <v>4322</v>
      </c>
      <c r="M575" s="5" t="s">
        <v>4306</v>
      </c>
      <c r="O575" s="5" t="s">
        <v>3320</v>
      </c>
      <c r="Q575" s="5" t="b">
        <v>1</v>
      </c>
    </row>
    <row r="576" ht="15.75" customHeight="1">
      <c r="A576" s="5" t="s">
        <v>5379</v>
      </c>
      <c r="B576" s="39">
        <v>45783.8275462963</v>
      </c>
      <c r="C576" s="3" t="s">
        <v>4244</v>
      </c>
      <c r="D576" s="3">
        <v>91.0</v>
      </c>
      <c r="E576" s="3" t="s">
        <v>3275</v>
      </c>
      <c r="F576" s="3">
        <v>-2000.0</v>
      </c>
      <c r="G576" s="5">
        <v>500.0</v>
      </c>
      <c r="H576" s="3" t="s">
        <v>4322</v>
      </c>
      <c r="I576" s="3" t="s">
        <v>4306</v>
      </c>
      <c r="J576" s="5">
        <v>4001.0</v>
      </c>
      <c r="K576" s="5">
        <v>2001.0</v>
      </c>
      <c r="L576" s="5" t="s">
        <v>4323</v>
      </c>
      <c r="M576" s="5" t="s">
        <v>4306</v>
      </c>
      <c r="O576" s="5" t="s">
        <v>3320</v>
      </c>
      <c r="Q576" s="5" t="b">
        <v>1</v>
      </c>
    </row>
    <row r="577" ht="15.75" customHeight="1">
      <c r="A577" s="5" t="s">
        <v>5380</v>
      </c>
      <c r="B577" s="39">
        <v>45783.82813657408</v>
      </c>
      <c r="C577" s="3" t="s">
        <v>4190</v>
      </c>
      <c r="D577" s="3">
        <v>95.0</v>
      </c>
      <c r="E577" s="3" t="s">
        <v>4159</v>
      </c>
      <c r="F577" s="3">
        <v>2100.0</v>
      </c>
      <c r="G577" s="5">
        <v>500.0</v>
      </c>
      <c r="H577" s="3" t="s">
        <v>4323</v>
      </c>
      <c r="I577" s="3" t="s">
        <v>4306</v>
      </c>
      <c r="J577" s="5">
        <v>2001.0</v>
      </c>
      <c r="K577" s="5">
        <v>4101.0</v>
      </c>
      <c r="L577" s="5" t="s">
        <v>4324</v>
      </c>
      <c r="M577" s="5" t="s">
        <v>4306</v>
      </c>
      <c r="O577" s="5" t="s">
        <v>3320</v>
      </c>
      <c r="Q577" s="5" t="b">
        <v>1</v>
      </c>
    </row>
    <row r="578" ht="15.75" customHeight="1">
      <c r="A578" s="5" t="s">
        <v>5381</v>
      </c>
      <c r="B578" s="39">
        <v>45783.828726851854</v>
      </c>
      <c r="C578" s="3" t="s">
        <v>4130</v>
      </c>
      <c r="D578" s="3">
        <v>118.0</v>
      </c>
      <c r="E578" s="3" t="s">
        <v>3662</v>
      </c>
      <c r="F578" s="3">
        <v>13000.0</v>
      </c>
      <c r="G578" s="5">
        <v>500.0</v>
      </c>
      <c r="H578" s="3" t="s">
        <v>4324</v>
      </c>
      <c r="I578" s="3" t="s">
        <v>4306</v>
      </c>
      <c r="J578" s="5">
        <v>4101.0</v>
      </c>
      <c r="K578" s="5">
        <v>17101.0</v>
      </c>
      <c r="L578" s="5" t="s">
        <v>4325</v>
      </c>
      <c r="M578" s="5" t="s">
        <v>4306</v>
      </c>
      <c r="O578" s="5" t="s">
        <v>3320</v>
      </c>
      <c r="Q578" s="5" t="b">
        <v>1</v>
      </c>
    </row>
    <row r="579" ht="15.75" customHeight="1">
      <c r="A579" s="5" t="s">
        <v>5382</v>
      </c>
      <c r="B579" s="39">
        <v>45783.82915509259</v>
      </c>
      <c r="C579" s="3" t="s">
        <v>4280</v>
      </c>
      <c r="D579" s="3">
        <v>126.0</v>
      </c>
      <c r="E579" s="3" t="s">
        <v>3973</v>
      </c>
      <c r="F579" s="3">
        <v>1000.0</v>
      </c>
      <c r="G579" s="5">
        <v>500.0</v>
      </c>
      <c r="H579" s="3" t="s">
        <v>4325</v>
      </c>
      <c r="I579" s="3" t="s">
        <v>4306</v>
      </c>
      <c r="J579" s="5">
        <v>17101.0</v>
      </c>
      <c r="K579" s="5">
        <v>18101.0</v>
      </c>
      <c r="L579" s="5" t="s">
        <v>4326</v>
      </c>
      <c r="M579" s="5" t="s">
        <v>4306</v>
      </c>
      <c r="O579" s="5" t="s">
        <v>3605</v>
      </c>
      <c r="Q579" s="5" t="b">
        <v>1</v>
      </c>
    </row>
    <row r="580" ht="15.75" customHeight="1">
      <c r="A580" s="5" t="s">
        <v>5383</v>
      </c>
      <c r="B580" s="39">
        <v>45784.72846064815</v>
      </c>
      <c r="C580" s="3" t="s">
        <v>3734</v>
      </c>
      <c r="D580" s="3">
        <v>114.0</v>
      </c>
      <c r="E580" s="3" t="s">
        <v>3272</v>
      </c>
      <c r="F580" s="3">
        <v>83000.0</v>
      </c>
      <c r="G580" s="5">
        <v>28.0</v>
      </c>
      <c r="H580" s="3"/>
      <c r="I580" s="3"/>
      <c r="J580" s="5">
        <v>0.0</v>
      </c>
      <c r="K580" s="5">
        <v>83000.0</v>
      </c>
      <c r="L580" s="5" t="s">
        <v>4327</v>
      </c>
      <c r="M580" s="5" t="s">
        <v>4328</v>
      </c>
      <c r="O580" s="5" t="s">
        <v>3342</v>
      </c>
      <c r="Q580" s="5" t="b">
        <v>0</v>
      </c>
      <c r="R580" s="5" t="s">
        <v>3605</v>
      </c>
    </row>
    <row r="581" ht="15.75" customHeight="1">
      <c r="A581" s="5" t="s">
        <v>5384</v>
      </c>
      <c r="B581" s="39">
        <v>45784.72934027778</v>
      </c>
      <c r="C581" s="3" t="s">
        <v>4130</v>
      </c>
      <c r="D581" s="3">
        <v>118.0</v>
      </c>
      <c r="E581" s="3" t="s">
        <v>3662</v>
      </c>
      <c r="F581" s="3">
        <v>55000.0</v>
      </c>
      <c r="G581" s="5">
        <v>28.0</v>
      </c>
      <c r="H581" s="3" t="s">
        <v>4327</v>
      </c>
      <c r="I581" s="3" t="s">
        <v>4328</v>
      </c>
      <c r="J581" s="5">
        <v>83000.0</v>
      </c>
      <c r="K581" s="5">
        <v>138000.0</v>
      </c>
      <c r="L581" s="5" t="s">
        <v>4329</v>
      </c>
      <c r="M581" s="5" t="s">
        <v>4328</v>
      </c>
      <c r="O581" s="5" t="s">
        <v>3320</v>
      </c>
      <c r="P581" s="5" t="s">
        <v>3605</v>
      </c>
      <c r="Q581" s="5" t="b">
        <v>1</v>
      </c>
      <c r="R581" s="5" t="s">
        <v>3605</v>
      </c>
    </row>
    <row r="582" ht="15.75" customHeight="1">
      <c r="A582" s="5" t="s">
        <v>5385</v>
      </c>
      <c r="B582" s="39">
        <v>45784.72980324074</v>
      </c>
      <c r="C582" s="3" t="s">
        <v>3690</v>
      </c>
      <c r="D582" s="3">
        <v>46.0</v>
      </c>
      <c r="E582" s="3" t="s">
        <v>3332</v>
      </c>
      <c r="F582" s="3">
        <v>26000.0</v>
      </c>
      <c r="G582" s="5">
        <v>28.0</v>
      </c>
      <c r="H582" s="3" t="s">
        <v>4329</v>
      </c>
      <c r="I582" s="3" t="s">
        <v>4328</v>
      </c>
      <c r="J582" s="5">
        <v>138000.0</v>
      </c>
      <c r="K582" s="5">
        <v>164000.0</v>
      </c>
      <c r="L582" s="5" t="s">
        <v>4330</v>
      </c>
      <c r="M582" s="5" t="s">
        <v>4328</v>
      </c>
      <c r="O582" s="5" t="s">
        <v>3605</v>
      </c>
      <c r="P582" s="5" t="s">
        <v>3605</v>
      </c>
      <c r="Q582" s="5" t="b">
        <v>1</v>
      </c>
      <c r="R582" s="5" t="s">
        <v>3605</v>
      </c>
    </row>
    <row r="583" ht="15.75" customHeight="1">
      <c r="A583" s="5" t="s">
        <v>5386</v>
      </c>
      <c r="B583" s="39">
        <v>45784.730046296296</v>
      </c>
      <c r="C583" s="3" t="s">
        <v>4039</v>
      </c>
      <c r="D583" s="3">
        <v>24.0</v>
      </c>
      <c r="E583" s="3" t="s">
        <v>3583</v>
      </c>
      <c r="F583" s="3">
        <v>36600.0</v>
      </c>
      <c r="G583" s="5">
        <v>28.0</v>
      </c>
      <c r="H583" s="3" t="s">
        <v>4330</v>
      </c>
      <c r="I583" s="3" t="s">
        <v>4328</v>
      </c>
      <c r="J583" s="5">
        <v>164000.0</v>
      </c>
      <c r="K583" s="5">
        <v>200600.0</v>
      </c>
      <c r="L583" s="5" t="s">
        <v>4331</v>
      </c>
      <c r="M583" s="5" t="s">
        <v>4328</v>
      </c>
      <c r="O583" s="5" t="s">
        <v>3605</v>
      </c>
      <c r="P583" s="5" t="s">
        <v>3605</v>
      </c>
      <c r="Q583" s="5" t="b">
        <v>1</v>
      </c>
      <c r="R583" s="5" t="s">
        <v>3605</v>
      </c>
    </row>
    <row r="584" ht="15.75" customHeight="1">
      <c r="A584" s="5" t="s">
        <v>5387</v>
      </c>
      <c r="B584" s="39">
        <v>45784.75938657407</v>
      </c>
      <c r="C584" s="3" t="s">
        <v>3734</v>
      </c>
      <c r="D584" s="3">
        <v>114.0</v>
      </c>
      <c r="E584" s="3" t="s">
        <v>3272</v>
      </c>
      <c r="F584" s="3">
        <v>15400.0</v>
      </c>
      <c r="G584" s="5">
        <v>86.0</v>
      </c>
      <c r="H584" s="3"/>
      <c r="I584" s="3"/>
      <c r="J584" s="5">
        <v>0.0</v>
      </c>
      <c r="K584" s="5">
        <v>15400.0</v>
      </c>
      <c r="L584" s="5" t="s">
        <v>4332</v>
      </c>
      <c r="M584" s="5" t="s">
        <v>4333</v>
      </c>
      <c r="O584" s="5" t="s">
        <v>3605</v>
      </c>
      <c r="Q584" s="5" t="b">
        <v>0</v>
      </c>
      <c r="R584" s="5" t="s">
        <v>3342</v>
      </c>
    </row>
    <row r="585" ht="15.75" customHeight="1">
      <c r="A585" s="5" t="s">
        <v>5388</v>
      </c>
      <c r="B585" s="39">
        <v>45784.76013888889</v>
      </c>
      <c r="C585" s="3" t="s">
        <v>3734</v>
      </c>
      <c r="D585" s="3">
        <v>114.0</v>
      </c>
      <c r="E585" s="3" t="s">
        <v>3272</v>
      </c>
      <c r="F585" s="3">
        <v>4300.0</v>
      </c>
      <c r="G585" s="5">
        <v>81.0</v>
      </c>
      <c r="H585" s="3"/>
      <c r="I585" s="3"/>
      <c r="J585" s="5">
        <v>0.0</v>
      </c>
      <c r="K585" s="5">
        <v>4300.0</v>
      </c>
      <c r="L585" s="5" t="s">
        <v>4334</v>
      </c>
      <c r="M585" s="5" t="s">
        <v>4333</v>
      </c>
      <c r="O585" s="5" t="s">
        <v>3605</v>
      </c>
      <c r="Q585" s="5" t="b">
        <v>0</v>
      </c>
      <c r="R585" s="5" t="s">
        <v>3342</v>
      </c>
    </row>
    <row r="586" ht="15.75" customHeight="1">
      <c r="A586" s="5" t="s">
        <v>5389</v>
      </c>
      <c r="B586" s="39">
        <v>45784.76075231482</v>
      </c>
      <c r="C586" s="3" t="s">
        <v>4130</v>
      </c>
      <c r="D586" s="3">
        <v>118.0</v>
      </c>
      <c r="E586" s="3" t="s">
        <v>3662</v>
      </c>
      <c r="F586" s="3">
        <v>21930.0</v>
      </c>
      <c r="G586" s="5">
        <v>114.0</v>
      </c>
      <c r="H586" s="3" t="s">
        <v>3734</v>
      </c>
      <c r="I586" s="3" t="s">
        <v>3272</v>
      </c>
      <c r="J586" s="5">
        <v>22600.0</v>
      </c>
      <c r="K586" s="5">
        <v>44530.0</v>
      </c>
      <c r="L586" s="5" t="s">
        <v>4335</v>
      </c>
      <c r="M586" s="5" t="s">
        <v>4333</v>
      </c>
      <c r="O586" s="5" t="s">
        <v>3320</v>
      </c>
      <c r="P586" s="5" t="s">
        <v>3605</v>
      </c>
      <c r="Q586" s="5" t="b">
        <v>1</v>
      </c>
      <c r="R586" s="5" t="s">
        <v>3342</v>
      </c>
    </row>
    <row r="587" ht="15.75" customHeight="1">
      <c r="A587" s="5" t="s">
        <v>5390</v>
      </c>
      <c r="B587" s="39">
        <v>45784.76142361111</v>
      </c>
      <c r="C587" s="3" t="s">
        <v>4130</v>
      </c>
      <c r="D587" s="3">
        <v>118.0</v>
      </c>
      <c r="E587" s="3" t="s">
        <v>3662</v>
      </c>
      <c r="F587" s="3">
        <v>15400.0</v>
      </c>
      <c r="G587" s="5">
        <v>86.0</v>
      </c>
      <c r="H587" s="3" t="s">
        <v>4332</v>
      </c>
      <c r="I587" s="3" t="s">
        <v>4333</v>
      </c>
      <c r="J587" s="5">
        <v>15400.0</v>
      </c>
      <c r="K587" s="5">
        <v>30800.0</v>
      </c>
      <c r="L587" s="5" t="s">
        <v>4336</v>
      </c>
      <c r="M587" s="5" t="s">
        <v>4333</v>
      </c>
      <c r="O587" s="5" t="s">
        <v>3320</v>
      </c>
      <c r="P587" s="5" t="s">
        <v>3342</v>
      </c>
      <c r="Q587" s="5" t="b">
        <v>1</v>
      </c>
      <c r="R587" s="5" t="s">
        <v>3342</v>
      </c>
    </row>
    <row r="588" ht="15.75" customHeight="1">
      <c r="A588" s="5" t="s">
        <v>5391</v>
      </c>
      <c r="B588" s="39">
        <v>45784.76168981481</v>
      </c>
      <c r="C588" s="3" t="s">
        <v>4130</v>
      </c>
      <c r="D588" s="3">
        <v>118.0</v>
      </c>
      <c r="E588" s="3" t="s">
        <v>3662</v>
      </c>
      <c r="F588" s="3">
        <v>4375.0</v>
      </c>
      <c r="G588" s="5">
        <v>81.0</v>
      </c>
      <c r="H588" s="3" t="s">
        <v>4334</v>
      </c>
      <c r="I588" s="3" t="s">
        <v>4333</v>
      </c>
      <c r="J588" s="5">
        <v>4300.0</v>
      </c>
      <c r="K588" s="5">
        <v>8675.0</v>
      </c>
      <c r="L588" s="5" t="s">
        <v>4337</v>
      </c>
      <c r="M588" s="5" t="s">
        <v>4333</v>
      </c>
      <c r="O588" s="5" t="s">
        <v>3320</v>
      </c>
      <c r="P588" s="5" t="s">
        <v>3342</v>
      </c>
      <c r="Q588" s="5" t="b">
        <v>1</v>
      </c>
      <c r="R588" s="5" t="s">
        <v>3342</v>
      </c>
    </row>
    <row r="589" ht="15.75" customHeight="1">
      <c r="A589" s="5" t="s">
        <v>5392</v>
      </c>
      <c r="B589" s="39">
        <v>45784.76326388889</v>
      </c>
      <c r="C589" s="3" t="s">
        <v>4039</v>
      </c>
      <c r="D589" s="3">
        <v>24.0</v>
      </c>
      <c r="E589" s="3" t="s">
        <v>3583</v>
      </c>
      <c r="F589" s="3">
        <v>80770.0</v>
      </c>
      <c r="G589" s="5">
        <v>114.0</v>
      </c>
      <c r="H589" s="3" t="s">
        <v>4335</v>
      </c>
      <c r="I589" s="3" t="s">
        <v>4333</v>
      </c>
      <c r="J589" s="5">
        <v>44530.0</v>
      </c>
      <c r="K589" s="5">
        <v>125300.0</v>
      </c>
      <c r="L589" s="5" t="s">
        <v>4338</v>
      </c>
      <c r="M589" s="5" t="s">
        <v>4333</v>
      </c>
      <c r="O589" s="5" t="s">
        <v>3605</v>
      </c>
      <c r="P589" s="5" t="s">
        <v>3342</v>
      </c>
      <c r="Q589" s="5" t="b">
        <v>1</v>
      </c>
      <c r="R589" s="5" t="s">
        <v>3342</v>
      </c>
    </row>
    <row r="590" ht="15.75" customHeight="1">
      <c r="A590" s="5" t="s">
        <v>5393</v>
      </c>
      <c r="B590" s="39">
        <v>45784.76362268518</v>
      </c>
      <c r="C590" s="3" t="s">
        <v>4039</v>
      </c>
      <c r="D590" s="3">
        <v>24.0</v>
      </c>
      <c r="E590" s="3" t="s">
        <v>3583</v>
      </c>
      <c r="F590" s="3">
        <v>57200.0</v>
      </c>
      <c r="G590" s="5">
        <v>86.0</v>
      </c>
      <c r="H590" s="3" t="s">
        <v>4336</v>
      </c>
      <c r="I590" s="3" t="s">
        <v>4333</v>
      </c>
      <c r="J590" s="5">
        <v>30800.0</v>
      </c>
      <c r="K590" s="5">
        <v>88000.0</v>
      </c>
      <c r="L590" s="5" t="s">
        <v>4339</v>
      </c>
      <c r="M590" s="5" t="s">
        <v>4333</v>
      </c>
      <c r="O590" s="5" t="s">
        <v>3605</v>
      </c>
      <c r="P590" s="5" t="s">
        <v>3342</v>
      </c>
      <c r="Q590" s="5" t="b">
        <v>1</v>
      </c>
      <c r="R590" s="5" t="s">
        <v>3342</v>
      </c>
    </row>
    <row r="591" ht="15.75" customHeight="1">
      <c r="A591" s="5" t="s">
        <v>5394</v>
      </c>
      <c r="B591" s="39">
        <v>45784.763969907406</v>
      </c>
      <c r="C591" s="3" t="s">
        <v>4039</v>
      </c>
      <c r="D591" s="3">
        <v>24.0</v>
      </c>
      <c r="E591" s="3" t="s">
        <v>3583</v>
      </c>
      <c r="F591" s="3">
        <v>10430.0</v>
      </c>
      <c r="G591" s="5">
        <v>81.0</v>
      </c>
      <c r="H591" s="3" t="s">
        <v>4337</v>
      </c>
      <c r="I591" s="3" t="s">
        <v>4333</v>
      </c>
      <c r="J591" s="5">
        <v>8675.0</v>
      </c>
      <c r="K591" s="5">
        <v>19105.0</v>
      </c>
      <c r="L591" s="5" t="s">
        <v>4340</v>
      </c>
      <c r="M591" s="5" t="s">
        <v>4333</v>
      </c>
      <c r="O591" s="5" t="s">
        <v>3605</v>
      </c>
      <c r="P591" s="5" t="s">
        <v>3342</v>
      </c>
      <c r="Q591" s="5" t="b">
        <v>1</v>
      </c>
      <c r="R591" s="5" t="s">
        <v>3342</v>
      </c>
    </row>
    <row r="592" ht="15.75" customHeight="1">
      <c r="A592" s="5" t="s">
        <v>5395</v>
      </c>
      <c r="B592" s="39">
        <v>45784.7815162037</v>
      </c>
      <c r="C592" s="3" t="s">
        <v>4301</v>
      </c>
      <c r="D592" s="3">
        <v>85.0</v>
      </c>
      <c r="E592" s="3" t="s">
        <v>4245</v>
      </c>
      <c r="F592" s="3">
        <v>16900.0</v>
      </c>
      <c r="G592" s="5">
        <v>65.0</v>
      </c>
      <c r="H592" s="3"/>
      <c r="I592" s="3"/>
      <c r="J592" s="5">
        <v>0.0</v>
      </c>
      <c r="K592" s="5">
        <v>16900.0</v>
      </c>
      <c r="L592" s="5" t="s">
        <v>4341</v>
      </c>
      <c r="M592" s="5" t="s">
        <v>4245</v>
      </c>
      <c r="O592" s="5" t="s">
        <v>3605</v>
      </c>
      <c r="Q592" s="5" t="b">
        <v>0</v>
      </c>
      <c r="R592" s="5" t="s">
        <v>4342</v>
      </c>
    </row>
    <row r="593" ht="15.75" customHeight="1">
      <c r="A593" s="5" t="s">
        <v>5396</v>
      </c>
      <c r="B593" s="39">
        <v>45784.78215277778</v>
      </c>
      <c r="C593" s="3" t="s">
        <v>4301</v>
      </c>
      <c r="D593" s="3">
        <v>85.0</v>
      </c>
      <c r="E593" s="3" t="s">
        <v>4245</v>
      </c>
      <c r="F593" s="3">
        <v>4700.0</v>
      </c>
      <c r="G593" s="5">
        <v>66.0</v>
      </c>
      <c r="H593" s="3"/>
      <c r="I593" s="3"/>
      <c r="J593" s="5">
        <v>0.0</v>
      </c>
      <c r="K593" s="5">
        <v>4700.0</v>
      </c>
      <c r="L593" s="5" t="s">
        <v>4343</v>
      </c>
      <c r="M593" s="5" t="s">
        <v>4245</v>
      </c>
      <c r="O593" s="5" t="s">
        <v>3605</v>
      </c>
      <c r="Q593" s="5" t="b">
        <v>0</v>
      </c>
      <c r="R593" s="5" t="s">
        <v>4342</v>
      </c>
    </row>
    <row r="594" ht="15.75" customHeight="1">
      <c r="A594" s="5" t="s">
        <v>5397</v>
      </c>
      <c r="B594" s="39">
        <v>45784.78467592593</v>
      </c>
      <c r="C594" s="3" t="s">
        <v>4296</v>
      </c>
      <c r="D594" s="3">
        <v>6.0</v>
      </c>
      <c r="E594" s="3" t="s">
        <v>4297</v>
      </c>
      <c r="F594" s="3">
        <v>17000.0</v>
      </c>
      <c r="G594" s="5">
        <v>85.0</v>
      </c>
      <c r="H594" s="3" t="s">
        <v>4301</v>
      </c>
      <c r="I594" s="3" t="s">
        <v>4245</v>
      </c>
      <c r="J594" s="5">
        <v>39900.0</v>
      </c>
      <c r="K594" s="5">
        <v>56900.0</v>
      </c>
      <c r="L594" s="5" t="s">
        <v>4344</v>
      </c>
      <c r="M594" s="5" t="s">
        <v>4245</v>
      </c>
      <c r="O594" s="5" t="s">
        <v>3605</v>
      </c>
      <c r="P594" s="5" t="s">
        <v>3605</v>
      </c>
      <c r="Q594" s="5" t="b">
        <v>1</v>
      </c>
      <c r="R594" s="5" t="s">
        <v>3605</v>
      </c>
    </row>
    <row r="595" ht="15.75" customHeight="1">
      <c r="A595" s="5" t="s">
        <v>5398</v>
      </c>
      <c r="B595" s="39">
        <v>45784.785358796296</v>
      </c>
      <c r="C595" s="3" t="s">
        <v>4296</v>
      </c>
      <c r="D595" s="3">
        <v>6.0</v>
      </c>
      <c r="E595" s="3" t="s">
        <v>4297</v>
      </c>
      <c r="F595" s="3">
        <v>7000.0</v>
      </c>
      <c r="G595" s="5">
        <v>65.0</v>
      </c>
      <c r="H595" s="3" t="s">
        <v>4341</v>
      </c>
      <c r="I595" s="3" t="s">
        <v>4245</v>
      </c>
      <c r="J595" s="5">
        <v>16900.0</v>
      </c>
      <c r="K595" s="5">
        <v>23900.0</v>
      </c>
      <c r="L595" s="5" t="s">
        <v>4345</v>
      </c>
      <c r="M595" s="5" t="s">
        <v>4245</v>
      </c>
      <c r="O595" s="5" t="s">
        <v>3337</v>
      </c>
      <c r="P595" s="5" t="s">
        <v>4342</v>
      </c>
      <c r="Q595" s="5" t="b">
        <v>1</v>
      </c>
      <c r="R595" s="5" t="s">
        <v>4342</v>
      </c>
    </row>
    <row r="596" ht="15.75" customHeight="1">
      <c r="A596" s="5" t="s">
        <v>5399</v>
      </c>
      <c r="B596" s="39">
        <v>45784.78564814815</v>
      </c>
      <c r="C596" s="3" t="s">
        <v>4296</v>
      </c>
      <c r="D596" s="3">
        <v>6.0</v>
      </c>
      <c r="E596" s="3" t="s">
        <v>4297</v>
      </c>
      <c r="F596" s="3">
        <v>1000.0</v>
      </c>
      <c r="G596" s="5">
        <v>66.0</v>
      </c>
      <c r="H596" s="3" t="s">
        <v>4343</v>
      </c>
      <c r="I596" s="3" t="s">
        <v>4245</v>
      </c>
      <c r="J596" s="5">
        <v>4700.0</v>
      </c>
      <c r="K596" s="5">
        <v>5700.0</v>
      </c>
      <c r="L596" s="5" t="s">
        <v>4346</v>
      </c>
      <c r="M596" s="5" t="s">
        <v>4245</v>
      </c>
      <c r="O596" s="5" t="s">
        <v>3337</v>
      </c>
      <c r="P596" s="5" t="s">
        <v>4342</v>
      </c>
      <c r="Q596" s="5" t="b">
        <v>1</v>
      </c>
      <c r="R596" s="5" t="s">
        <v>4342</v>
      </c>
    </row>
    <row r="597" ht="15.75" customHeight="1">
      <c r="A597" s="5" t="s">
        <v>5400</v>
      </c>
      <c r="B597" s="39">
        <v>45784.78673611111</v>
      </c>
      <c r="C597" s="3" t="s">
        <v>4244</v>
      </c>
      <c r="D597" s="3">
        <v>91.0</v>
      </c>
      <c r="E597" s="3" t="s">
        <v>4245</v>
      </c>
      <c r="F597" s="3">
        <v>27100.0</v>
      </c>
      <c r="G597" s="5">
        <v>85.0</v>
      </c>
      <c r="H597" s="3" t="s">
        <v>4344</v>
      </c>
      <c r="I597" s="3" t="s">
        <v>4245</v>
      </c>
      <c r="J597" s="5">
        <v>56900.0</v>
      </c>
      <c r="K597" s="5">
        <v>84000.0</v>
      </c>
      <c r="L597" s="5" t="s">
        <v>4347</v>
      </c>
      <c r="M597" s="5" t="s">
        <v>4245</v>
      </c>
      <c r="O597" s="5" t="s">
        <v>3320</v>
      </c>
      <c r="P597" s="5" t="s">
        <v>3605</v>
      </c>
      <c r="Q597" s="5" t="b">
        <v>1</v>
      </c>
      <c r="R597" s="5" t="s">
        <v>3605</v>
      </c>
    </row>
    <row r="598" ht="15.75" customHeight="1">
      <c r="A598" s="5" t="s">
        <v>5401</v>
      </c>
      <c r="B598" s="39">
        <v>45784.787094907406</v>
      </c>
      <c r="C598" s="3" t="s">
        <v>4244</v>
      </c>
      <c r="D598" s="3">
        <v>91.0</v>
      </c>
      <c r="E598" s="3" t="s">
        <v>4245</v>
      </c>
      <c r="F598" s="3">
        <v>11600.0</v>
      </c>
      <c r="G598" s="5">
        <v>65.0</v>
      </c>
      <c r="H598" s="3" t="s">
        <v>4345</v>
      </c>
      <c r="I598" s="3" t="s">
        <v>4245</v>
      </c>
      <c r="J598" s="5">
        <v>23900.0</v>
      </c>
      <c r="K598" s="5">
        <v>35500.0</v>
      </c>
      <c r="L598" s="5" t="s">
        <v>4348</v>
      </c>
      <c r="M598" s="5" t="s">
        <v>4245</v>
      </c>
      <c r="O598" s="5" t="s">
        <v>3320</v>
      </c>
      <c r="P598" s="5" t="s">
        <v>4342</v>
      </c>
      <c r="Q598" s="5" t="b">
        <v>1</v>
      </c>
      <c r="R598" s="5" t="s">
        <v>4342</v>
      </c>
    </row>
    <row r="599" ht="15.75" customHeight="1">
      <c r="A599" s="5" t="s">
        <v>5402</v>
      </c>
      <c r="B599" s="39">
        <v>45784.787523148145</v>
      </c>
      <c r="C599" s="3" t="s">
        <v>4244</v>
      </c>
      <c r="D599" s="3">
        <v>91.0</v>
      </c>
      <c r="E599" s="3" t="s">
        <v>4245</v>
      </c>
      <c r="F599" s="3">
        <v>9300.0</v>
      </c>
      <c r="G599" s="5">
        <v>66.0</v>
      </c>
      <c r="H599" s="3" t="s">
        <v>4346</v>
      </c>
      <c r="I599" s="3" t="s">
        <v>4245</v>
      </c>
      <c r="J599" s="5">
        <v>5700.0</v>
      </c>
      <c r="K599" s="5">
        <v>15000.0</v>
      </c>
      <c r="L599" s="5" t="s">
        <v>4350</v>
      </c>
      <c r="M599" s="5" t="s">
        <v>4245</v>
      </c>
      <c r="O599" s="5" t="s">
        <v>3320</v>
      </c>
      <c r="P599" s="5" t="s">
        <v>4342</v>
      </c>
      <c r="Q599" s="5" t="b">
        <v>1</v>
      </c>
      <c r="R599" s="5" t="s">
        <v>4342</v>
      </c>
    </row>
    <row r="600" ht="15.75" customHeight="1">
      <c r="A600" s="5" t="s">
        <v>5403</v>
      </c>
      <c r="B600" s="39">
        <v>45785.45358796296</v>
      </c>
      <c r="C600" s="3" t="s">
        <v>4130</v>
      </c>
      <c r="D600" s="3">
        <v>118.0</v>
      </c>
      <c r="E600" s="3" t="s">
        <v>3662</v>
      </c>
      <c r="F600" s="3">
        <v>3000.0</v>
      </c>
      <c r="G600" s="5">
        <v>500.0</v>
      </c>
      <c r="H600" s="3" t="s">
        <v>4326</v>
      </c>
      <c r="I600" s="3" t="s">
        <v>4306</v>
      </c>
      <c r="J600" s="5">
        <v>18101.0</v>
      </c>
      <c r="K600" s="5">
        <v>21101.0</v>
      </c>
      <c r="L600" s="5" t="s">
        <v>4352</v>
      </c>
      <c r="M600" s="5" t="s">
        <v>4306</v>
      </c>
      <c r="O600" s="5" t="s">
        <v>3320</v>
      </c>
      <c r="P600" s="5" t="s">
        <v>3342</v>
      </c>
      <c r="Q600" s="5" t="b">
        <v>1</v>
      </c>
      <c r="R600" s="5" t="s">
        <v>3342</v>
      </c>
    </row>
    <row r="601" ht="15.75" customHeight="1">
      <c r="A601" s="5" t="s">
        <v>5404</v>
      </c>
      <c r="B601" s="39">
        <v>45785.48704861111</v>
      </c>
      <c r="C601" s="3" t="s">
        <v>4350</v>
      </c>
      <c r="D601" s="3">
        <v>66.0</v>
      </c>
      <c r="E601" s="3" t="s">
        <v>4245</v>
      </c>
      <c r="F601" s="3">
        <v>-5114.0</v>
      </c>
      <c r="G601" s="5">
        <v>500.0</v>
      </c>
      <c r="H601" s="3" t="s">
        <v>4352</v>
      </c>
      <c r="I601" s="3" t="s">
        <v>4306</v>
      </c>
      <c r="J601" s="5">
        <v>21101.0</v>
      </c>
      <c r="K601" s="5">
        <v>15987.0</v>
      </c>
      <c r="L601" s="5" t="s">
        <v>4353</v>
      </c>
      <c r="M601" s="5" t="s">
        <v>4306</v>
      </c>
      <c r="O601" s="5" t="s">
        <v>4342</v>
      </c>
      <c r="P601" s="5" t="s">
        <v>3342</v>
      </c>
      <c r="Q601" s="5" t="b">
        <v>1</v>
      </c>
      <c r="R601" s="5" t="s">
        <v>3342</v>
      </c>
    </row>
    <row r="602" ht="15.75" customHeight="1">
      <c r="A602" s="5" t="s">
        <v>5405</v>
      </c>
      <c r="B602" s="39">
        <v>45785.74599537037</v>
      </c>
      <c r="C602" s="3" t="s">
        <v>4338</v>
      </c>
      <c r="D602" s="3">
        <v>114.0</v>
      </c>
      <c r="E602" s="3" t="s">
        <v>4333</v>
      </c>
      <c r="F602" s="3">
        <v>125300.0</v>
      </c>
      <c r="G602" s="5">
        <v>500.0</v>
      </c>
      <c r="H602" s="3"/>
      <c r="I602" s="3"/>
      <c r="J602" s="5">
        <v>0.0</v>
      </c>
      <c r="K602" s="5">
        <v>125300.0</v>
      </c>
      <c r="L602" s="5" t="s">
        <v>4354</v>
      </c>
      <c r="M602" s="5" t="s">
        <v>4355</v>
      </c>
      <c r="N602" s="5" t="s">
        <v>5406</v>
      </c>
      <c r="O602" s="5" t="s">
        <v>3715</v>
      </c>
      <c r="Q602" s="5" t="b">
        <v>0</v>
      </c>
      <c r="R602" s="5" t="s">
        <v>3342</v>
      </c>
    </row>
    <row r="603" ht="15.75" customHeight="1">
      <c r="A603" s="5" t="s">
        <v>5407</v>
      </c>
      <c r="B603" s="39">
        <v>45785.747094907405</v>
      </c>
      <c r="C603" s="3" t="s">
        <v>4331</v>
      </c>
      <c r="D603" s="3">
        <v>28.0</v>
      </c>
      <c r="E603" s="3" t="s">
        <v>4328</v>
      </c>
      <c r="F603" s="3">
        <v>200000.0</v>
      </c>
      <c r="G603" s="5">
        <v>500.0</v>
      </c>
      <c r="H603" s="3"/>
      <c r="I603" s="3"/>
      <c r="J603" s="5">
        <v>0.0</v>
      </c>
      <c r="K603" s="5">
        <v>200000.0</v>
      </c>
      <c r="L603" s="5" t="s">
        <v>4356</v>
      </c>
      <c r="M603" s="5" t="s">
        <v>4357</v>
      </c>
      <c r="N603" s="5" t="s">
        <v>4357</v>
      </c>
      <c r="O603" s="5" t="s">
        <v>3342</v>
      </c>
      <c r="Q603" s="5" t="b">
        <v>0</v>
      </c>
      <c r="R603" s="5" t="s">
        <v>3715</v>
      </c>
    </row>
    <row r="604" ht="15.75" customHeight="1">
      <c r="A604" s="5" t="s">
        <v>5408</v>
      </c>
      <c r="B604" s="39">
        <v>45785.748032407406</v>
      </c>
      <c r="C604" s="3" t="s">
        <v>4331</v>
      </c>
      <c r="D604" s="3">
        <v>28.0</v>
      </c>
      <c r="E604" s="3" t="s">
        <v>4328</v>
      </c>
      <c r="F604" s="3">
        <v>600.0</v>
      </c>
      <c r="G604" s="5">
        <v>500.0</v>
      </c>
      <c r="H604" s="3" t="s">
        <v>4356</v>
      </c>
      <c r="I604" s="3" t="s">
        <v>4357</v>
      </c>
      <c r="J604" s="5">
        <v>200000.0</v>
      </c>
      <c r="K604" s="5">
        <v>200600.0</v>
      </c>
      <c r="L604" s="5" t="s">
        <v>4358</v>
      </c>
      <c r="M604" s="5" t="s">
        <v>4357</v>
      </c>
      <c r="O604" s="5" t="s">
        <v>3342</v>
      </c>
      <c r="P604" s="5" t="s">
        <v>3715</v>
      </c>
      <c r="Q604" s="5" t="b">
        <v>1</v>
      </c>
      <c r="R604" s="5" t="s">
        <v>3715</v>
      </c>
    </row>
    <row r="605" ht="15.75" customHeight="1">
      <c r="A605" s="5" t="s">
        <v>5409</v>
      </c>
      <c r="B605" s="39">
        <v>45785.75163194445</v>
      </c>
      <c r="C605" s="3" t="s">
        <v>4340</v>
      </c>
      <c r="D605" s="3">
        <v>81.0</v>
      </c>
      <c r="E605" s="3" t="s">
        <v>4333</v>
      </c>
      <c r="F605" s="3">
        <v>13000.0</v>
      </c>
      <c r="G605" s="5">
        <v>70.0</v>
      </c>
      <c r="H605" s="3"/>
      <c r="I605" s="3"/>
      <c r="J605" s="5">
        <v>0.0</v>
      </c>
      <c r="K605" s="5">
        <v>13000.0</v>
      </c>
      <c r="L605" s="5" t="s">
        <v>4359</v>
      </c>
      <c r="M605" s="5" t="s">
        <v>4333</v>
      </c>
      <c r="O605" s="5" t="s">
        <v>3342</v>
      </c>
      <c r="Q605" s="5" t="b">
        <v>0</v>
      </c>
      <c r="R605" s="5" t="s">
        <v>3342</v>
      </c>
    </row>
    <row r="606" ht="15.75" customHeight="1">
      <c r="A606" s="5" t="s">
        <v>5410</v>
      </c>
      <c r="B606" s="39">
        <v>45785.75202546296</v>
      </c>
      <c r="C606" s="3" t="s">
        <v>4340</v>
      </c>
      <c r="D606" s="3">
        <v>81.0</v>
      </c>
      <c r="E606" s="3" t="s">
        <v>4333</v>
      </c>
      <c r="F606" s="3">
        <v>6105.0</v>
      </c>
      <c r="G606" s="5">
        <v>500.0</v>
      </c>
      <c r="H606" s="3"/>
      <c r="I606" s="3"/>
      <c r="J606" s="5">
        <v>0.0</v>
      </c>
      <c r="K606" s="5">
        <v>6105.0</v>
      </c>
      <c r="L606" s="5" t="s">
        <v>4360</v>
      </c>
      <c r="M606" s="5" t="s">
        <v>4361</v>
      </c>
      <c r="N606" s="5" t="s">
        <v>4361</v>
      </c>
      <c r="O606" s="5" t="s">
        <v>3342</v>
      </c>
      <c r="Q606" s="5" t="b">
        <v>0</v>
      </c>
      <c r="R606" s="5" t="s">
        <v>3715</v>
      </c>
    </row>
    <row r="607" ht="15.75" customHeight="1">
      <c r="A607" s="5" t="s">
        <v>5411</v>
      </c>
      <c r="B607" s="39">
        <v>45785.79484953704</v>
      </c>
      <c r="C607" s="3" t="s">
        <v>4130</v>
      </c>
      <c r="D607" s="3">
        <v>118.0</v>
      </c>
      <c r="E607" s="3" t="s">
        <v>3662</v>
      </c>
      <c r="F607" s="3">
        <v>7000.0</v>
      </c>
      <c r="G607" s="5">
        <v>107.0</v>
      </c>
      <c r="H607" s="3" t="s">
        <v>4293</v>
      </c>
      <c r="I607" s="3" t="s">
        <v>3662</v>
      </c>
      <c r="J607" s="5">
        <v>24000.0</v>
      </c>
      <c r="K607" s="5">
        <v>31000.0</v>
      </c>
      <c r="L607" s="5" t="s">
        <v>4362</v>
      </c>
      <c r="M607" s="5" t="s">
        <v>3662</v>
      </c>
      <c r="O607" s="5" t="s">
        <v>3320</v>
      </c>
      <c r="P607" s="5" t="s">
        <v>3605</v>
      </c>
      <c r="Q607" s="5" t="b">
        <v>1</v>
      </c>
      <c r="R607" s="5" t="s">
        <v>3605</v>
      </c>
    </row>
    <row r="608" ht="15.75" customHeight="1">
      <c r="A608" s="5" t="s">
        <v>5412</v>
      </c>
      <c r="B608" s="39">
        <v>45785.79508101852</v>
      </c>
      <c r="C608" s="3" t="s">
        <v>4130</v>
      </c>
      <c r="D608" s="3">
        <v>118.0</v>
      </c>
      <c r="E608" s="3" t="s">
        <v>3662</v>
      </c>
      <c r="F608" s="3">
        <v>14000.0</v>
      </c>
      <c r="G608" s="5">
        <v>108.0</v>
      </c>
      <c r="H608" s="3" t="s">
        <v>4294</v>
      </c>
      <c r="I608" s="3" t="s">
        <v>3662</v>
      </c>
      <c r="J608" s="5">
        <v>17000.0</v>
      </c>
      <c r="K608" s="5">
        <v>31000.0</v>
      </c>
      <c r="L608" s="5" t="s">
        <v>4363</v>
      </c>
      <c r="M608" s="5" t="s">
        <v>3662</v>
      </c>
      <c r="O608" s="5" t="s">
        <v>3320</v>
      </c>
      <c r="P608" s="5" t="s">
        <v>3605</v>
      </c>
      <c r="Q608" s="5" t="b">
        <v>1</v>
      </c>
      <c r="R608" s="5" t="s">
        <v>3605</v>
      </c>
    </row>
    <row r="609" ht="15.75" customHeight="1">
      <c r="A609" s="5" t="s">
        <v>5413</v>
      </c>
      <c r="B609" s="39">
        <v>45785.79545138889</v>
      </c>
      <c r="C609" s="3" t="s">
        <v>3879</v>
      </c>
      <c r="D609" s="3">
        <v>25.0</v>
      </c>
      <c r="E609" s="3" t="s">
        <v>3272</v>
      </c>
      <c r="F609" s="3">
        <v>-2300.0</v>
      </c>
      <c r="G609" s="5">
        <v>118.0</v>
      </c>
      <c r="H609" s="3" t="s">
        <v>4130</v>
      </c>
      <c r="I609" s="3" t="s">
        <v>3662</v>
      </c>
      <c r="J609" s="5">
        <v>19295.0</v>
      </c>
      <c r="K609" s="5">
        <v>16995.0</v>
      </c>
      <c r="L609" s="5" t="s">
        <v>4364</v>
      </c>
      <c r="M609" s="5" t="s">
        <v>3662</v>
      </c>
      <c r="O609" s="5" t="s">
        <v>3605</v>
      </c>
      <c r="P609" s="5" t="s">
        <v>3320</v>
      </c>
      <c r="Q609" s="5" t="b">
        <v>1</v>
      </c>
      <c r="R609" s="5" t="s">
        <v>3320</v>
      </c>
    </row>
    <row r="610" ht="15.75" customHeight="1">
      <c r="A610" s="5" t="s">
        <v>5414</v>
      </c>
      <c r="B610" s="39">
        <v>45785.79603009259</v>
      </c>
      <c r="C610" s="3" t="s">
        <v>3992</v>
      </c>
      <c r="D610" s="3">
        <v>26.0</v>
      </c>
      <c r="E610" s="3" t="s">
        <v>3272</v>
      </c>
      <c r="F610" s="3">
        <v>-600.0</v>
      </c>
      <c r="G610" s="5">
        <v>118.0</v>
      </c>
      <c r="H610" s="3" t="s">
        <v>4364</v>
      </c>
      <c r="I610" s="3" t="s">
        <v>3662</v>
      </c>
      <c r="J610" s="5">
        <v>16995.0</v>
      </c>
      <c r="K610" s="5">
        <v>16395.0</v>
      </c>
      <c r="L610" s="5" t="s">
        <v>4365</v>
      </c>
      <c r="M610" s="5" t="s">
        <v>3662</v>
      </c>
      <c r="O610" s="5" t="s">
        <v>3605</v>
      </c>
      <c r="P610" s="5" t="s">
        <v>3320</v>
      </c>
      <c r="Q610" s="5" t="b">
        <v>1</v>
      </c>
      <c r="R610" s="5" t="s">
        <v>3320</v>
      </c>
    </row>
    <row r="611" ht="15.75" customHeight="1">
      <c r="A611" s="5" t="s">
        <v>5415</v>
      </c>
      <c r="B611" s="39">
        <v>45785.79644675926</v>
      </c>
      <c r="C611" s="3" t="s">
        <v>3988</v>
      </c>
      <c r="D611" s="3">
        <v>34.0</v>
      </c>
      <c r="E611" s="3" t="s">
        <v>3662</v>
      </c>
      <c r="F611" s="3">
        <v>-3500.0</v>
      </c>
      <c r="G611" s="5">
        <v>118.0</v>
      </c>
      <c r="H611" s="3" t="s">
        <v>4365</v>
      </c>
      <c r="I611" s="3" t="s">
        <v>3662</v>
      </c>
      <c r="J611" s="5">
        <v>16395.0</v>
      </c>
      <c r="K611" s="5">
        <v>12895.0</v>
      </c>
      <c r="L611" s="5" t="s">
        <v>4366</v>
      </c>
      <c r="M611" s="5" t="s">
        <v>3662</v>
      </c>
      <c r="O611" s="5" t="s">
        <v>3320</v>
      </c>
      <c r="P611" s="5" t="s">
        <v>3320</v>
      </c>
      <c r="Q611" s="5" t="b">
        <v>1</v>
      </c>
      <c r="R611" s="5" t="s">
        <v>3320</v>
      </c>
    </row>
    <row r="612" ht="15.75" customHeight="1">
      <c r="A612" s="5" t="s">
        <v>5416</v>
      </c>
      <c r="B612" s="39">
        <v>45786.67701388889</v>
      </c>
      <c r="C612" s="3" t="s">
        <v>4366</v>
      </c>
      <c r="D612" s="3">
        <v>118.0</v>
      </c>
      <c r="E612" s="3" t="s">
        <v>3662</v>
      </c>
      <c r="F612" s="3">
        <v>4000.0</v>
      </c>
      <c r="G612" s="5">
        <v>50.0</v>
      </c>
      <c r="H612" s="3"/>
      <c r="I612" s="3"/>
      <c r="J612" s="5">
        <v>0.0</v>
      </c>
      <c r="K612" s="5">
        <v>4000.0</v>
      </c>
      <c r="L612" s="5" t="s">
        <v>4367</v>
      </c>
      <c r="M612" s="5" t="s">
        <v>4368</v>
      </c>
      <c r="O612" s="5" t="s">
        <v>3320</v>
      </c>
      <c r="Q612" s="5" t="b">
        <v>0</v>
      </c>
      <c r="R612" s="5" t="s">
        <v>3605</v>
      </c>
    </row>
    <row r="613" ht="15.75" customHeight="1">
      <c r="A613" s="5" t="s">
        <v>5417</v>
      </c>
      <c r="B613" s="39">
        <v>45786.67925925926</v>
      </c>
      <c r="C613" s="3" t="s">
        <v>3947</v>
      </c>
      <c r="D613" s="3">
        <v>14.0</v>
      </c>
      <c r="E613" s="3" t="s">
        <v>3745</v>
      </c>
      <c r="F613" s="3">
        <v>37000.0</v>
      </c>
      <c r="G613" s="5">
        <v>24.0</v>
      </c>
      <c r="H613" s="3"/>
      <c r="I613" s="3"/>
      <c r="J613" s="5">
        <v>0.0</v>
      </c>
      <c r="K613" s="5">
        <v>37000.0</v>
      </c>
      <c r="L613" s="5" t="s">
        <v>4369</v>
      </c>
      <c r="M613" s="5" t="s">
        <v>3275</v>
      </c>
      <c r="O613" s="5" t="s">
        <v>3320</v>
      </c>
      <c r="Q613" s="5" t="b">
        <v>0</v>
      </c>
      <c r="R613" s="5" t="s">
        <v>3605</v>
      </c>
    </row>
    <row r="614" ht="15.75" customHeight="1">
      <c r="A614" s="5" t="s">
        <v>5418</v>
      </c>
      <c r="B614" s="39">
        <v>45786.679664351854</v>
      </c>
      <c r="C614" s="3" t="s">
        <v>3986</v>
      </c>
      <c r="D614" s="3">
        <v>15.0</v>
      </c>
      <c r="E614" s="3" t="s">
        <v>3275</v>
      </c>
      <c r="F614" s="3">
        <v>36000.0</v>
      </c>
      <c r="G614" s="5">
        <v>24.0</v>
      </c>
      <c r="H614" s="3" t="s">
        <v>4369</v>
      </c>
      <c r="I614" s="3" t="s">
        <v>3275</v>
      </c>
      <c r="J614" s="5">
        <v>37000.0</v>
      </c>
      <c r="K614" s="5">
        <v>73000.0</v>
      </c>
      <c r="L614" s="5" t="s">
        <v>4370</v>
      </c>
      <c r="M614" s="5" t="s">
        <v>3275</v>
      </c>
      <c r="O614" s="5" t="s">
        <v>3320</v>
      </c>
      <c r="P614" s="5" t="s">
        <v>3605</v>
      </c>
      <c r="Q614" s="5" t="b">
        <v>1</v>
      </c>
      <c r="R614" s="5" t="s">
        <v>3605</v>
      </c>
    </row>
    <row r="615" ht="15.75" customHeight="1">
      <c r="A615" s="5" t="s">
        <v>5419</v>
      </c>
      <c r="B615" s="39">
        <v>45786.68004629629</v>
      </c>
      <c r="C615" s="3" t="s">
        <v>4166</v>
      </c>
      <c r="D615" s="3">
        <v>87.0</v>
      </c>
      <c r="E615" s="3" t="s">
        <v>3275</v>
      </c>
      <c r="F615" s="3">
        <v>90000.0</v>
      </c>
      <c r="G615" s="5">
        <v>24.0</v>
      </c>
      <c r="H615" s="3" t="s">
        <v>4370</v>
      </c>
      <c r="I615" s="3" t="s">
        <v>3275</v>
      </c>
      <c r="J615" s="5">
        <v>73000.0</v>
      </c>
      <c r="K615" s="5">
        <v>163000.0</v>
      </c>
      <c r="L615" s="5" t="s">
        <v>4371</v>
      </c>
      <c r="M615" s="5" t="s">
        <v>3275</v>
      </c>
      <c r="O615" s="5" t="s">
        <v>3320</v>
      </c>
      <c r="P615" s="5" t="s">
        <v>3605</v>
      </c>
      <c r="Q615" s="5" t="b">
        <v>1</v>
      </c>
      <c r="R615" s="5" t="s">
        <v>3605</v>
      </c>
    </row>
    <row r="616" ht="15.75" customHeight="1">
      <c r="A616" s="29" t="s">
        <v>5420</v>
      </c>
      <c r="B616" s="40">
        <v>45786.680347222224</v>
      </c>
      <c r="C616" s="27" t="s">
        <v>4168</v>
      </c>
      <c r="D616" s="27">
        <v>41.0</v>
      </c>
      <c r="E616" s="27" t="s">
        <v>3275</v>
      </c>
      <c r="F616" s="27">
        <v>23600.0</v>
      </c>
      <c r="G616" s="29">
        <v>24.0</v>
      </c>
      <c r="H616" s="27" t="s">
        <v>4371</v>
      </c>
      <c r="I616" s="27" t="s">
        <v>3275</v>
      </c>
      <c r="J616" s="29">
        <v>163000.0</v>
      </c>
      <c r="K616" s="29">
        <v>186600.0</v>
      </c>
      <c r="L616" s="29" t="s">
        <v>4372</v>
      </c>
      <c r="M616" s="29" t="s">
        <v>3275</v>
      </c>
      <c r="N616" s="29"/>
      <c r="O616" s="29" t="s">
        <v>3320</v>
      </c>
      <c r="P616" s="29" t="s">
        <v>3605</v>
      </c>
      <c r="Q616" s="29" t="b">
        <v>1</v>
      </c>
      <c r="R616" s="29" t="s">
        <v>3605</v>
      </c>
    </row>
    <row r="617" ht="15.75" customHeight="1">
      <c r="A617" s="5" t="s">
        <v>5421</v>
      </c>
      <c r="B617" s="39">
        <v>45786.68077546296</v>
      </c>
      <c r="C617" s="3" t="s">
        <v>4168</v>
      </c>
      <c r="D617" s="3">
        <v>41.0</v>
      </c>
      <c r="E617" s="3" t="s">
        <v>3275</v>
      </c>
      <c r="F617" s="3">
        <v>11400.0</v>
      </c>
      <c r="G617" s="5">
        <v>125.0</v>
      </c>
      <c r="H617" s="3"/>
      <c r="I617" s="3"/>
      <c r="J617" s="5">
        <v>0.0</v>
      </c>
      <c r="K617" s="5">
        <v>11400.0</v>
      </c>
      <c r="L617" s="5" t="s">
        <v>4374</v>
      </c>
      <c r="M617" s="5" t="s">
        <v>3275</v>
      </c>
      <c r="O617" s="5" t="s">
        <v>3320</v>
      </c>
      <c r="Q617" s="5" t="b">
        <v>0</v>
      </c>
      <c r="R617" s="5" t="s">
        <v>3605</v>
      </c>
    </row>
    <row r="618" ht="15.75" customHeight="1">
      <c r="A618" s="5" t="s">
        <v>5422</v>
      </c>
      <c r="B618" s="39">
        <v>45786.68188657407</v>
      </c>
      <c r="C618" s="3" t="s">
        <v>4170</v>
      </c>
      <c r="D618" s="3">
        <v>54.0</v>
      </c>
      <c r="E618" s="3" t="s">
        <v>3275</v>
      </c>
      <c r="F618" s="3">
        <v>8500.0</v>
      </c>
      <c r="G618" s="5">
        <v>76.0</v>
      </c>
      <c r="H618" s="3" t="s">
        <v>4302</v>
      </c>
      <c r="I618" s="3" t="s">
        <v>4184</v>
      </c>
      <c r="J618" s="5">
        <v>17000.0</v>
      </c>
      <c r="K618" s="5">
        <v>25500.0</v>
      </c>
      <c r="L618" s="5" t="s">
        <v>4375</v>
      </c>
      <c r="M618" s="5" t="s">
        <v>4184</v>
      </c>
      <c r="N618" s="5" t="s">
        <v>5423</v>
      </c>
      <c r="O618" s="5" t="s">
        <v>3320</v>
      </c>
      <c r="P618" s="5" t="s">
        <v>3605</v>
      </c>
      <c r="Q618" s="5" t="b">
        <v>1</v>
      </c>
      <c r="R618" s="5" t="s">
        <v>3605</v>
      </c>
    </row>
    <row r="619" ht="15.75" customHeight="1">
      <c r="A619" s="5" t="s">
        <v>5424</v>
      </c>
      <c r="B619" s="39">
        <v>45786.68216435185</v>
      </c>
      <c r="C619" s="3" t="s">
        <v>4170</v>
      </c>
      <c r="D619" s="3">
        <v>54.0</v>
      </c>
      <c r="E619" s="3" t="s">
        <v>3275</v>
      </c>
      <c r="F619" s="3">
        <v>2886.0</v>
      </c>
      <c r="G619" s="5">
        <v>66.0</v>
      </c>
      <c r="H619" s="3" t="s">
        <v>4350</v>
      </c>
      <c r="I619" s="3" t="s">
        <v>4245</v>
      </c>
      <c r="J619" s="5">
        <v>20114.0</v>
      </c>
      <c r="K619" s="5">
        <v>23000.0</v>
      </c>
      <c r="L619" s="5" t="s">
        <v>4376</v>
      </c>
      <c r="M619" s="5" t="s">
        <v>4245</v>
      </c>
      <c r="O619" s="5" t="s">
        <v>3320</v>
      </c>
      <c r="P619" s="5" t="s">
        <v>4342</v>
      </c>
      <c r="Q619" s="5" t="b">
        <v>1</v>
      </c>
      <c r="R619" s="5" t="s">
        <v>4342</v>
      </c>
    </row>
    <row r="620" ht="15.75" customHeight="1">
      <c r="A620" s="5" t="s">
        <v>5425</v>
      </c>
      <c r="B620" s="39">
        <v>45786.68954861111</v>
      </c>
      <c r="C620" s="3" t="s">
        <v>3952</v>
      </c>
      <c r="D620" s="3">
        <v>115.0</v>
      </c>
      <c r="E620" s="3" t="s">
        <v>3380</v>
      </c>
      <c r="F620" s="3">
        <v>116000.0</v>
      </c>
      <c r="G620" s="5">
        <v>114.0</v>
      </c>
      <c r="H620" s="3"/>
      <c r="I620" s="3"/>
      <c r="J620" s="5">
        <v>0.0</v>
      </c>
      <c r="K620" s="5">
        <v>116000.0</v>
      </c>
      <c r="L620" s="5" t="s">
        <v>4377</v>
      </c>
      <c r="M620" s="5" t="s">
        <v>3380</v>
      </c>
      <c r="O620" s="5" t="s">
        <v>3605</v>
      </c>
      <c r="Q620" s="5" t="b">
        <v>0</v>
      </c>
      <c r="R620" s="5" t="s">
        <v>4342</v>
      </c>
    </row>
    <row r="621" ht="15.75" customHeight="1">
      <c r="A621" s="5" t="s">
        <v>5426</v>
      </c>
      <c r="B621" s="39">
        <v>45786.69017361111</v>
      </c>
      <c r="C621" s="3" t="s">
        <v>4303</v>
      </c>
      <c r="D621" s="3">
        <v>77.0</v>
      </c>
      <c r="E621" s="3" t="s">
        <v>3932</v>
      </c>
      <c r="F621" s="3">
        <v>9300.0</v>
      </c>
      <c r="G621" s="5">
        <v>114.0</v>
      </c>
      <c r="H621" s="3" t="s">
        <v>4377</v>
      </c>
      <c r="I621" s="3" t="s">
        <v>3380</v>
      </c>
      <c r="J621" s="5">
        <v>116000.0</v>
      </c>
      <c r="K621" s="5">
        <v>125300.0</v>
      </c>
      <c r="L621" s="5" t="s">
        <v>4378</v>
      </c>
      <c r="M621" s="5" t="s">
        <v>3380</v>
      </c>
      <c r="O621" s="5" t="s">
        <v>3605</v>
      </c>
      <c r="P621" s="5" t="s">
        <v>4342</v>
      </c>
      <c r="Q621" s="5" t="b">
        <v>1</v>
      </c>
      <c r="R621" s="5" t="s">
        <v>4342</v>
      </c>
    </row>
    <row r="622" ht="15.75" customHeight="1">
      <c r="A622" s="5" t="s">
        <v>5427</v>
      </c>
      <c r="B622" s="39">
        <v>45786.69039351852</v>
      </c>
      <c r="C622" s="3" t="s">
        <v>4303</v>
      </c>
      <c r="D622" s="3">
        <v>77.0</v>
      </c>
      <c r="E622" s="3" t="s">
        <v>3932</v>
      </c>
      <c r="F622" s="3">
        <v>3100.0</v>
      </c>
      <c r="G622" s="5">
        <v>125.0</v>
      </c>
      <c r="H622" s="3" t="s">
        <v>4374</v>
      </c>
      <c r="I622" s="3" t="s">
        <v>3275</v>
      </c>
      <c r="J622" s="5">
        <v>11400.0</v>
      </c>
      <c r="K622" s="5">
        <v>14500.0</v>
      </c>
      <c r="L622" s="5" t="s">
        <v>4379</v>
      </c>
      <c r="M622" s="5" t="s">
        <v>3275</v>
      </c>
      <c r="O622" s="5" t="s">
        <v>3605</v>
      </c>
      <c r="P622" s="5" t="s">
        <v>3605</v>
      </c>
      <c r="Q622" s="5" t="b">
        <v>1</v>
      </c>
      <c r="R622" s="5" t="s">
        <v>3605</v>
      </c>
    </row>
    <row r="623" ht="15.75" customHeight="1">
      <c r="A623" s="5" t="s">
        <v>5428</v>
      </c>
      <c r="B623" s="39">
        <v>45786.69130787037</v>
      </c>
      <c r="C623" s="3" t="s">
        <v>4170</v>
      </c>
      <c r="D623" s="3">
        <v>54.0</v>
      </c>
      <c r="E623" s="3" t="s">
        <v>3275</v>
      </c>
      <c r="F623" s="3">
        <v>5000.0</v>
      </c>
      <c r="G623" s="5">
        <v>72.0</v>
      </c>
      <c r="H623" s="3"/>
      <c r="I623" s="3"/>
      <c r="J623" s="5">
        <v>0.0</v>
      </c>
      <c r="K623" s="5">
        <v>5000.0</v>
      </c>
      <c r="L623" s="5" t="s">
        <v>4380</v>
      </c>
      <c r="M623" s="5" t="s">
        <v>3275</v>
      </c>
      <c r="O623" s="5" t="s">
        <v>3320</v>
      </c>
      <c r="Q623" s="5" t="b">
        <v>0</v>
      </c>
      <c r="R623" s="5" t="s">
        <v>3605</v>
      </c>
    </row>
    <row r="624" ht="15.75" customHeight="1">
      <c r="A624" s="5" t="s">
        <v>5429</v>
      </c>
      <c r="B624" s="39">
        <v>45786.70253472222</v>
      </c>
      <c r="C624" s="3" t="s">
        <v>4331</v>
      </c>
      <c r="D624" s="3">
        <v>28.0</v>
      </c>
      <c r="E624" s="3" t="s">
        <v>5430</v>
      </c>
      <c r="F624" s="3">
        <v>7000.0</v>
      </c>
      <c r="G624" s="5">
        <v>72.0</v>
      </c>
      <c r="H624" s="3" t="s">
        <v>4380</v>
      </c>
      <c r="I624" s="3" t="s">
        <v>3275</v>
      </c>
      <c r="J624" s="5">
        <v>5000.0</v>
      </c>
      <c r="K624" s="5">
        <v>12000.0</v>
      </c>
      <c r="L624" s="5" t="s">
        <v>4380</v>
      </c>
      <c r="M624" s="5" t="s">
        <v>5430</v>
      </c>
      <c r="P624" s="5" t="s">
        <v>3605</v>
      </c>
      <c r="Q624" s="5" t="b">
        <v>0</v>
      </c>
    </row>
    <row r="625" ht="15.75" customHeight="1">
      <c r="A625" s="5" t="s">
        <v>5431</v>
      </c>
      <c r="B625" s="39">
        <v>45786.70543981482</v>
      </c>
      <c r="C625" s="3" t="s">
        <v>4379</v>
      </c>
      <c r="D625" s="3">
        <v>125.0</v>
      </c>
      <c r="E625" s="3" t="s">
        <v>3275</v>
      </c>
      <c r="F625" s="3">
        <v>1000.0</v>
      </c>
      <c r="G625" s="5">
        <v>72.0</v>
      </c>
      <c r="H625" s="3" t="s">
        <v>4380</v>
      </c>
      <c r="I625" s="3" t="s">
        <v>3275</v>
      </c>
      <c r="J625" s="5">
        <v>12000.0</v>
      </c>
      <c r="K625" s="5">
        <v>13000.0</v>
      </c>
      <c r="L625" s="5" t="s">
        <v>4381</v>
      </c>
      <c r="M625" s="5" t="s">
        <v>3275</v>
      </c>
      <c r="O625" s="5" t="s">
        <v>3605</v>
      </c>
      <c r="P625" s="5" t="s">
        <v>3605</v>
      </c>
      <c r="Q625" s="5" t="b">
        <v>1</v>
      </c>
      <c r="R625" s="5" t="s">
        <v>3605</v>
      </c>
    </row>
    <row r="626" ht="15.75" customHeight="1">
      <c r="A626" s="5" t="s">
        <v>5432</v>
      </c>
      <c r="B626" s="39">
        <v>45786.80506944445</v>
      </c>
      <c r="C626" s="3" t="s">
        <v>4366</v>
      </c>
      <c r="D626" s="3">
        <v>118.0</v>
      </c>
      <c r="E626" s="3" t="s">
        <v>3662</v>
      </c>
      <c r="F626" s="3">
        <v>1100.0</v>
      </c>
      <c r="G626" s="5">
        <v>50.0</v>
      </c>
      <c r="H626" s="3" t="s">
        <v>4367</v>
      </c>
      <c r="I626" s="3" t="s">
        <v>4368</v>
      </c>
      <c r="J626" s="5">
        <v>4000.0</v>
      </c>
      <c r="K626" s="5">
        <v>5100.0</v>
      </c>
      <c r="L626" s="5" t="s">
        <v>4382</v>
      </c>
      <c r="M626" s="5" t="s">
        <v>4368</v>
      </c>
      <c r="O626" s="5" t="s">
        <v>3320</v>
      </c>
      <c r="P626" s="5" t="s">
        <v>3605</v>
      </c>
      <c r="Q626" s="5" t="b">
        <v>1</v>
      </c>
      <c r="R626" s="5" t="s">
        <v>3605</v>
      </c>
    </row>
    <row r="627" ht="15.75" customHeight="1">
      <c r="A627" s="5" t="s">
        <v>5433</v>
      </c>
      <c r="B627" s="39">
        <v>45786.80752314815</v>
      </c>
      <c r="C627" s="3" t="s">
        <v>4303</v>
      </c>
      <c r="D627" s="3">
        <v>77.0</v>
      </c>
      <c r="E627" s="3" t="s">
        <v>3932</v>
      </c>
      <c r="F627" s="3">
        <v>1600.0</v>
      </c>
      <c r="G627" s="5">
        <v>71.0</v>
      </c>
      <c r="H627" s="3" t="s">
        <v>4304</v>
      </c>
      <c r="I627" s="3" t="s">
        <v>4148</v>
      </c>
      <c r="J627" s="5">
        <v>11400.0</v>
      </c>
      <c r="K627" s="5">
        <v>13000.0</v>
      </c>
      <c r="L627" s="5" t="s">
        <v>4383</v>
      </c>
      <c r="M627" s="5" t="s">
        <v>4384</v>
      </c>
      <c r="O627" s="5" t="s">
        <v>3605</v>
      </c>
      <c r="P627" s="5" t="s">
        <v>3320</v>
      </c>
      <c r="Q627" s="5" t="b">
        <v>0</v>
      </c>
      <c r="R627" s="5" t="s">
        <v>3605</v>
      </c>
    </row>
    <row r="628" ht="15.75" customHeight="1">
      <c r="A628" s="5" t="s">
        <v>5434</v>
      </c>
      <c r="B628" s="39">
        <v>45786.80850694444</v>
      </c>
      <c r="C628" s="3" t="s">
        <v>4303</v>
      </c>
      <c r="D628" s="3">
        <v>77.0</v>
      </c>
      <c r="E628" s="3" t="s">
        <v>3932</v>
      </c>
      <c r="F628" s="3">
        <v>2000.0</v>
      </c>
      <c r="G628" s="5">
        <v>126.0</v>
      </c>
      <c r="H628" s="3" t="s">
        <v>4280</v>
      </c>
      <c r="I628" s="3" t="s">
        <v>3973</v>
      </c>
      <c r="J628" s="5">
        <v>29000.0</v>
      </c>
      <c r="K628" s="5">
        <v>31000.0</v>
      </c>
      <c r="L628" s="5" t="s">
        <v>4385</v>
      </c>
      <c r="M628" s="5" t="s">
        <v>3973</v>
      </c>
      <c r="O628" s="5" t="s">
        <v>3605</v>
      </c>
      <c r="P628" s="5" t="s">
        <v>3605</v>
      </c>
      <c r="Q628" s="5" t="b">
        <v>1</v>
      </c>
      <c r="R628" s="5" t="s">
        <v>3605</v>
      </c>
    </row>
    <row r="629" ht="15.75" customHeight="1">
      <c r="A629" s="5" t="s">
        <v>5435</v>
      </c>
      <c r="B629" s="39">
        <v>45789.41527777778</v>
      </c>
      <c r="C629" s="3" t="s">
        <v>4309</v>
      </c>
      <c r="D629" s="3">
        <v>11.0</v>
      </c>
      <c r="E629" s="3" t="s">
        <v>4197</v>
      </c>
      <c r="F629" s="3">
        <v>1000.0</v>
      </c>
      <c r="G629" s="5">
        <v>12.0</v>
      </c>
      <c r="H629" s="3" t="s">
        <v>4298</v>
      </c>
      <c r="I629" s="3" t="s">
        <v>4285</v>
      </c>
      <c r="J629" s="5">
        <v>17000.0</v>
      </c>
      <c r="K629" s="5">
        <v>18000.0</v>
      </c>
      <c r="L629" s="5" t="s">
        <v>4389</v>
      </c>
      <c r="M629" s="5" t="s">
        <v>4285</v>
      </c>
      <c r="O629" s="5" t="s">
        <v>3320</v>
      </c>
      <c r="P629" s="5" t="s">
        <v>3320</v>
      </c>
      <c r="Q629" s="5" t="b">
        <v>1</v>
      </c>
      <c r="R629" s="5" t="s">
        <v>3320</v>
      </c>
    </row>
    <row r="630" ht="15.75" customHeight="1">
      <c r="A630" s="5" t="s">
        <v>5436</v>
      </c>
      <c r="B630" s="39">
        <v>45789.415625</v>
      </c>
      <c r="C630" s="3" t="s">
        <v>4389</v>
      </c>
      <c r="D630" s="3">
        <v>12.0</v>
      </c>
      <c r="E630" s="3" t="s">
        <v>4285</v>
      </c>
      <c r="F630" s="3">
        <v>-5000.0</v>
      </c>
      <c r="G630" s="5">
        <v>500.0</v>
      </c>
      <c r="H630" s="3" t="s">
        <v>4387</v>
      </c>
      <c r="I630" s="3" t="s">
        <v>4388</v>
      </c>
      <c r="J630" s="5">
        <v>1.0</v>
      </c>
      <c r="K630" s="5">
        <v>-4999.0</v>
      </c>
      <c r="L630" s="5" t="s">
        <v>4391</v>
      </c>
      <c r="M630" s="5" t="s">
        <v>4388</v>
      </c>
      <c r="O630" s="5" t="s">
        <v>3320</v>
      </c>
      <c r="Q630" s="5" t="b">
        <v>1</v>
      </c>
    </row>
    <row r="631" ht="15.75" customHeight="1">
      <c r="A631" s="5" t="s">
        <v>5437</v>
      </c>
      <c r="B631" s="39">
        <v>45789.416342592594</v>
      </c>
      <c r="C631" s="3" t="s">
        <v>4170</v>
      </c>
      <c r="D631" s="3">
        <v>54.0</v>
      </c>
      <c r="E631" s="3" t="s">
        <v>3275</v>
      </c>
      <c r="F631" s="3">
        <v>-3386.0</v>
      </c>
      <c r="G631" s="5">
        <v>500.0</v>
      </c>
      <c r="H631" s="3" t="s">
        <v>4391</v>
      </c>
      <c r="I631" s="3" t="s">
        <v>4388</v>
      </c>
      <c r="J631" s="5">
        <v>-4999.0</v>
      </c>
      <c r="K631" s="5">
        <v>-8385.0</v>
      </c>
      <c r="L631" s="5" t="s">
        <v>4392</v>
      </c>
      <c r="M631" s="5" t="s">
        <v>4388</v>
      </c>
      <c r="O631" s="5" t="s">
        <v>3320</v>
      </c>
      <c r="Q631" s="5" t="b">
        <v>1</v>
      </c>
    </row>
    <row r="632" ht="15.75" customHeight="1">
      <c r="A632" s="5" t="s">
        <v>5438</v>
      </c>
      <c r="B632" s="39">
        <v>45789.417037037034</v>
      </c>
      <c r="C632" s="3" t="s">
        <v>4393</v>
      </c>
      <c r="D632" s="3">
        <v>69.0</v>
      </c>
      <c r="E632" s="3" t="s">
        <v>3706</v>
      </c>
      <c r="F632" s="3">
        <v>-13000.0</v>
      </c>
      <c r="G632" s="5">
        <v>500.0</v>
      </c>
      <c r="H632" s="3" t="s">
        <v>4392</v>
      </c>
      <c r="I632" s="3" t="s">
        <v>4388</v>
      </c>
      <c r="J632" s="5">
        <v>-8385.0</v>
      </c>
      <c r="K632" s="5">
        <v>-21385.0</v>
      </c>
      <c r="L632" s="5" t="s">
        <v>4394</v>
      </c>
      <c r="M632" s="5" t="s">
        <v>4388</v>
      </c>
      <c r="Q632" s="5" t="b">
        <v>1</v>
      </c>
    </row>
    <row r="633" ht="15.75" customHeight="1">
      <c r="A633" s="5" t="s">
        <v>5439</v>
      </c>
      <c r="B633" s="39">
        <v>45789.41755787037</v>
      </c>
      <c r="C633" s="3" t="s">
        <v>4228</v>
      </c>
      <c r="D633" s="3">
        <v>96.0</v>
      </c>
      <c r="E633" s="3" t="s">
        <v>3273</v>
      </c>
      <c r="F633" s="3">
        <v>600.0</v>
      </c>
      <c r="G633" s="5">
        <v>500.0</v>
      </c>
      <c r="H633" s="3" t="s">
        <v>4394</v>
      </c>
      <c r="I633" s="3" t="s">
        <v>4388</v>
      </c>
      <c r="J633" s="5">
        <v>-21385.0</v>
      </c>
      <c r="K633" s="5">
        <v>-20785.0</v>
      </c>
      <c r="L633" s="5" t="s">
        <v>4395</v>
      </c>
      <c r="M633" s="5" t="s">
        <v>4388</v>
      </c>
      <c r="O633" s="5" t="s">
        <v>3320</v>
      </c>
      <c r="Q633" s="5" t="b">
        <v>1</v>
      </c>
    </row>
    <row r="634" ht="15.75" customHeight="1">
      <c r="A634" s="5" t="s">
        <v>5440</v>
      </c>
      <c r="B634" s="39">
        <v>45789.41883101852</v>
      </c>
      <c r="C634" s="3" t="s">
        <v>4366</v>
      </c>
      <c r="D634" s="3">
        <v>118.0</v>
      </c>
      <c r="E634" s="3" t="s">
        <v>3662</v>
      </c>
      <c r="F634" s="3">
        <v>7795.0</v>
      </c>
      <c r="G634" s="5">
        <v>500.0</v>
      </c>
      <c r="H634" s="3" t="s">
        <v>4395</v>
      </c>
      <c r="I634" s="3" t="s">
        <v>4388</v>
      </c>
      <c r="J634" s="5">
        <v>-20785.0</v>
      </c>
      <c r="K634" s="5">
        <v>-12990.0</v>
      </c>
      <c r="L634" s="5" t="s">
        <v>4396</v>
      </c>
      <c r="M634" s="5" t="s">
        <v>4388</v>
      </c>
      <c r="O634" s="5" t="s">
        <v>3320</v>
      </c>
      <c r="Q634" s="5" t="b">
        <v>1</v>
      </c>
    </row>
    <row r="635" ht="15.75" customHeight="1">
      <c r="A635" s="5" t="s">
        <v>5441</v>
      </c>
      <c r="B635" s="39">
        <v>45789.41923611111</v>
      </c>
      <c r="C635" s="3" t="s">
        <v>3945</v>
      </c>
      <c r="D635" s="3">
        <v>121.0</v>
      </c>
      <c r="E635" s="3" t="s">
        <v>3745</v>
      </c>
      <c r="F635" s="3">
        <v>800.0</v>
      </c>
      <c r="G635" s="5">
        <v>500.0</v>
      </c>
      <c r="H635" s="3" t="s">
        <v>4396</v>
      </c>
      <c r="I635" s="3" t="s">
        <v>4388</v>
      </c>
      <c r="J635" s="5">
        <v>-12990.0</v>
      </c>
      <c r="K635" s="5">
        <v>-12190.0</v>
      </c>
      <c r="L635" s="5" t="s">
        <v>4397</v>
      </c>
      <c r="M635" s="5" t="s">
        <v>4388</v>
      </c>
      <c r="O635" s="5" t="s">
        <v>3320</v>
      </c>
      <c r="Q635" s="5" t="b">
        <v>1</v>
      </c>
    </row>
    <row r="636" ht="15.75" customHeight="1">
      <c r="A636" s="5" t="s">
        <v>5442</v>
      </c>
      <c r="B636" s="39">
        <v>45789.41957175926</v>
      </c>
      <c r="C636" s="3" t="s">
        <v>4379</v>
      </c>
      <c r="D636" s="3">
        <v>125.0</v>
      </c>
      <c r="E636" s="3" t="s">
        <v>3275</v>
      </c>
      <c r="F636" s="3">
        <v>3500.0</v>
      </c>
      <c r="G636" s="5">
        <v>500.0</v>
      </c>
      <c r="H636" s="3" t="s">
        <v>4397</v>
      </c>
      <c r="I636" s="3" t="s">
        <v>4388</v>
      </c>
      <c r="J636" s="5">
        <v>-12190.0</v>
      </c>
      <c r="K636" s="5">
        <v>-8690.0</v>
      </c>
      <c r="L636" s="5" t="s">
        <v>4398</v>
      </c>
      <c r="M636" s="5" t="s">
        <v>4388</v>
      </c>
      <c r="O636" s="5" t="s">
        <v>3605</v>
      </c>
      <c r="Q636" s="5" t="b">
        <v>1</v>
      </c>
    </row>
    <row r="637" ht="15.75" customHeight="1">
      <c r="A637" s="5" t="s">
        <v>5443</v>
      </c>
      <c r="B637" s="39">
        <v>45789.43510416667</v>
      </c>
      <c r="C637" s="3" t="s">
        <v>4190</v>
      </c>
      <c r="D637" s="3">
        <v>95.0</v>
      </c>
      <c r="E637" s="3" t="s">
        <v>4159</v>
      </c>
      <c r="F637" s="3">
        <v>75000.0</v>
      </c>
      <c r="G637" s="5">
        <v>118.0</v>
      </c>
      <c r="H637" s="3"/>
      <c r="I637" s="3"/>
      <c r="J637" s="5">
        <v>0.0</v>
      </c>
      <c r="K637" s="5">
        <v>75000.0</v>
      </c>
      <c r="L637" s="5" t="s">
        <v>4399</v>
      </c>
      <c r="M637" s="5" t="s">
        <v>4159</v>
      </c>
      <c r="O637" s="5" t="s">
        <v>3320</v>
      </c>
      <c r="Q637" s="5" t="b">
        <v>0</v>
      </c>
      <c r="R637" s="5" t="s">
        <v>3605</v>
      </c>
    </row>
    <row r="638" ht="15.75" customHeight="1">
      <c r="A638" s="5" t="s">
        <v>5444</v>
      </c>
      <c r="B638" s="39">
        <v>45789.435740740744</v>
      </c>
      <c r="C638" s="3" t="s">
        <v>4228</v>
      </c>
      <c r="D638" s="3">
        <v>96.0</v>
      </c>
      <c r="E638" s="3" t="s">
        <v>3273</v>
      </c>
      <c r="F638" s="3">
        <v>80600.0</v>
      </c>
      <c r="G638" s="5">
        <v>118.0</v>
      </c>
      <c r="H638" s="3" t="s">
        <v>4399</v>
      </c>
      <c r="I638" s="3" t="s">
        <v>4159</v>
      </c>
      <c r="J638" s="5">
        <v>75000.0</v>
      </c>
      <c r="K638" s="5">
        <v>155600.0</v>
      </c>
      <c r="L638" s="5" t="s">
        <v>4400</v>
      </c>
      <c r="M638" s="5" t="s">
        <v>4159</v>
      </c>
      <c r="O638" s="5" t="s">
        <v>3320</v>
      </c>
      <c r="P638" s="5" t="s">
        <v>3605</v>
      </c>
      <c r="Q638" s="5" t="b">
        <v>1</v>
      </c>
      <c r="R638" s="5" t="s">
        <v>3605</v>
      </c>
    </row>
    <row r="639" ht="15.75" customHeight="1">
      <c r="A639" s="5" t="s">
        <v>5445</v>
      </c>
      <c r="B639" s="39">
        <v>45790.43150462963</v>
      </c>
      <c r="C639" s="3" t="s">
        <v>4180</v>
      </c>
      <c r="D639" s="3">
        <v>89.0</v>
      </c>
      <c r="E639" s="3" t="s">
        <v>4017</v>
      </c>
      <c r="F639" s="3">
        <v>60000.0</v>
      </c>
      <c r="G639" s="5">
        <v>115.0</v>
      </c>
      <c r="H639" s="3"/>
      <c r="I639" s="3"/>
      <c r="J639" s="5">
        <v>0.0</v>
      </c>
      <c r="K639" s="5">
        <v>60000.0</v>
      </c>
      <c r="L639" s="5" t="s">
        <v>4401</v>
      </c>
      <c r="M639" s="5" t="s">
        <v>4017</v>
      </c>
      <c r="O639" s="5" t="s">
        <v>3320</v>
      </c>
      <c r="Q639" s="5" t="b">
        <v>0</v>
      </c>
      <c r="R639" s="5" t="s">
        <v>3605</v>
      </c>
    </row>
    <row r="640" ht="15.75" customHeight="1">
      <c r="A640" s="5" t="s">
        <v>5446</v>
      </c>
      <c r="B640" s="39">
        <v>45790.43241898148</v>
      </c>
      <c r="C640" s="3" t="s">
        <v>4172</v>
      </c>
      <c r="D640" s="3">
        <v>120.0</v>
      </c>
      <c r="E640" s="3" t="s">
        <v>4017</v>
      </c>
      <c r="F640" s="3">
        <v>60200.0</v>
      </c>
      <c r="G640" s="5">
        <v>115.0</v>
      </c>
      <c r="H640" s="3" t="s">
        <v>4401</v>
      </c>
      <c r="I640" s="3" t="s">
        <v>4017</v>
      </c>
      <c r="J640" s="5">
        <v>60000.0</v>
      </c>
      <c r="K640" s="5">
        <v>120200.0</v>
      </c>
      <c r="L640" s="5" t="s">
        <v>4402</v>
      </c>
      <c r="M640" s="5" t="s">
        <v>4017</v>
      </c>
      <c r="O640" s="5" t="s">
        <v>3320</v>
      </c>
      <c r="P640" s="5" t="s">
        <v>3605</v>
      </c>
      <c r="Q640" s="5" t="b">
        <v>1</v>
      </c>
      <c r="R640" s="5" t="s">
        <v>3605</v>
      </c>
    </row>
    <row r="641" ht="15.75" customHeight="1">
      <c r="A641" s="5" t="s">
        <v>5447</v>
      </c>
      <c r="B641" s="39">
        <v>45790.45197916667</v>
      </c>
      <c r="C641" s="3" t="s">
        <v>4228</v>
      </c>
      <c r="D641" s="3">
        <v>96.0</v>
      </c>
      <c r="E641" s="3" t="s">
        <v>3273</v>
      </c>
      <c r="F641" s="3">
        <v>4400.0</v>
      </c>
      <c r="G641" s="5">
        <v>80.0</v>
      </c>
      <c r="H641" s="3"/>
      <c r="I641" s="3"/>
      <c r="J641" s="5">
        <v>0.0</v>
      </c>
      <c r="K641" s="5">
        <v>4400.0</v>
      </c>
      <c r="L641" s="5" t="s">
        <v>4403</v>
      </c>
      <c r="M641" s="5" t="s">
        <v>3706</v>
      </c>
      <c r="O641" s="5" t="s">
        <v>3320</v>
      </c>
      <c r="Q641" s="5" t="b">
        <v>0</v>
      </c>
      <c r="R641" s="5" t="s">
        <v>3605</v>
      </c>
    </row>
    <row r="642" ht="15.75" customHeight="1">
      <c r="A642" s="5" t="s">
        <v>5448</v>
      </c>
      <c r="B642" s="39">
        <v>45790.73944444444</v>
      </c>
      <c r="C642" s="3" t="s">
        <v>4379</v>
      </c>
      <c r="D642" s="3">
        <v>125.0</v>
      </c>
      <c r="E642" s="3" t="s">
        <v>3275</v>
      </c>
      <c r="F642" s="3">
        <v>10000.0</v>
      </c>
      <c r="G642" s="5">
        <v>6.0</v>
      </c>
      <c r="H642" s="3"/>
      <c r="I642" s="3"/>
      <c r="J642" s="5">
        <v>0.0</v>
      </c>
      <c r="K642" s="5">
        <v>10000.0</v>
      </c>
      <c r="L642" s="5" t="s">
        <v>4404</v>
      </c>
      <c r="M642" s="5" t="s">
        <v>4405</v>
      </c>
      <c r="O642" s="5" t="s">
        <v>3605</v>
      </c>
      <c r="Q642" s="5" t="b">
        <v>0</v>
      </c>
      <c r="R642" s="5" t="s">
        <v>3337</v>
      </c>
    </row>
    <row r="643" ht="15.75" customHeight="1">
      <c r="A643" s="5" t="s">
        <v>5449</v>
      </c>
      <c r="B643" s="39">
        <v>45790.74060185185</v>
      </c>
      <c r="C643" s="3" t="s">
        <v>3626</v>
      </c>
      <c r="D643" s="3">
        <v>53.0</v>
      </c>
      <c r="E643" s="3" t="s">
        <v>3272</v>
      </c>
      <c r="F643" s="3">
        <v>22000.0</v>
      </c>
      <c r="G643" s="5">
        <v>67.0</v>
      </c>
      <c r="H643" s="3"/>
      <c r="I643" s="3"/>
      <c r="J643" s="5">
        <v>0.0</v>
      </c>
      <c r="K643" s="5">
        <v>22000.0</v>
      </c>
      <c r="L643" s="5" t="s">
        <v>4406</v>
      </c>
      <c r="M643" s="5" t="s">
        <v>3272</v>
      </c>
      <c r="O643" s="5" t="s">
        <v>3320</v>
      </c>
      <c r="Q643" s="5" t="b">
        <v>0</v>
      </c>
      <c r="R643" s="5" t="s">
        <v>3605</v>
      </c>
    </row>
    <row r="644" ht="15.75" customHeight="1">
      <c r="A644" s="5"/>
      <c r="B644" s="39"/>
      <c r="C644" s="3"/>
      <c r="D644" s="3"/>
      <c r="E644" s="3"/>
      <c r="F644" s="3"/>
      <c r="H644" s="3"/>
      <c r="I644" s="3"/>
      <c r="K644" s="5"/>
      <c r="L644" s="5"/>
      <c r="M644" s="5"/>
      <c r="O644" s="5"/>
      <c r="Q644" s="5"/>
      <c r="R644" s="5"/>
    </row>
    <row r="645" ht="15.75" customHeight="1">
      <c r="A645" s="5" t="s">
        <v>5450</v>
      </c>
      <c r="B645" s="39">
        <v>45790.741956018515</v>
      </c>
      <c r="C645" s="3" t="s">
        <v>4406</v>
      </c>
      <c r="D645" s="3">
        <v>67.0</v>
      </c>
      <c r="E645" s="3" t="s">
        <v>3272</v>
      </c>
      <c r="F645" s="3">
        <v>2000.0</v>
      </c>
      <c r="G645" s="5">
        <v>80.0</v>
      </c>
      <c r="H645" s="3" t="s">
        <v>4403</v>
      </c>
      <c r="I645" s="3" t="s">
        <v>3706</v>
      </c>
      <c r="J645" s="5">
        <v>4400.0</v>
      </c>
      <c r="K645" s="5">
        <v>6400.0</v>
      </c>
      <c r="L645" s="5" t="s">
        <v>4408</v>
      </c>
      <c r="M645" s="5" t="s">
        <v>3706</v>
      </c>
      <c r="O645" s="5" t="s">
        <v>3605</v>
      </c>
      <c r="P645" s="5" t="s">
        <v>3605</v>
      </c>
      <c r="Q645" s="5" t="b">
        <v>1</v>
      </c>
      <c r="R645" s="5" t="s">
        <v>3605</v>
      </c>
    </row>
    <row r="646" ht="15.75" customHeight="1">
      <c r="A646" s="5" t="s">
        <v>5451</v>
      </c>
      <c r="B646" s="39">
        <v>45790.742685185185</v>
      </c>
      <c r="C646" s="3" t="s">
        <v>4234</v>
      </c>
      <c r="D646" s="3">
        <v>83.0</v>
      </c>
      <c r="E646" s="3" t="s">
        <v>3273</v>
      </c>
      <c r="F646" s="3">
        <v>81500.0</v>
      </c>
      <c r="G646" s="5">
        <v>91.0</v>
      </c>
      <c r="H646" s="3"/>
      <c r="I646" s="3"/>
      <c r="J646" s="5">
        <v>0.0</v>
      </c>
      <c r="K646" s="5">
        <v>81500.0</v>
      </c>
      <c r="L646" s="5" t="s">
        <v>4409</v>
      </c>
      <c r="M646" s="5" t="s">
        <v>3273</v>
      </c>
      <c r="O646" s="5" t="s">
        <v>3320</v>
      </c>
      <c r="Q646" s="5" t="b">
        <v>0</v>
      </c>
      <c r="R646" s="5" t="s">
        <v>3605</v>
      </c>
    </row>
    <row r="647" ht="15.75" customHeight="1">
      <c r="A647" s="5" t="s">
        <v>5452</v>
      </c>
      <c r="B647" s="39">
        <v>45790.74553240741</v>
      </c>
      <c r="C647" s="3" t="s">
        <v>4180</v>
      </c>
      <c r="D647" s="3">
        <v>89.0</v>
      </c>
      <c r="E647" s="3" t="s">
        <v>4017</v>
      </c>
      <c r="F647" s="3">
        <v>23500.0</v>
      </c>
      <c r="G647" s="5">
        <v>125.0</v>
      </c>
      <c r="H647" s="3"/>
      <c r="I647" s="3"/>
      <c r="J647" s="5">
        <v>0.0</v>
      </c>
      <c r="K647" s="5">
        <v>23500.0</v>
      </c>
      <c r="L647" s="5" t="s">
        <v>4410</v>
      </c>
      <c r="M647" s="5" t="s">
        <v>4017</v>
      </c>
      <c r="O647" s="5" t="s">
        <v>3320</v>
      </c>
      <c r="Q647" s="5" t="b">
        <v>0</v>
      </c>
      <c r="R647" s="5" t="s">
        <v>3605</v>
      </c>
    </row>
    <row r="648" ht="15.75" customHeight="1">
      <c r="A648" s="5" t="s">
        <v>5453</v>
      </c>
      <c r="B648" s="39">
        <v>45790.748449074075</v>
      </c>
      <c r="C648" s="3" t="s">
        <v>4172</v>
      </c>
      <c r="D648" s="3">
        <v>120.0</v>
      </c>
      <c r="E648" s="3" t="s">
        <v>4017</v>
      </c>
      <c r="F648" s="3">
        <v>7500.0</v>
      </c>
      <c r="G648" s="5">
        <v>125.0</v>
      </c>
      <c r="H648" s="3" t="s">
        <v>4410</v>
      </c>
      <c r="I648" s="3" t="s">
        <v>4017</v>
      </c>
      <c r="J648" s="5">
        <v>23500.0</v>
      </c>
      <c r="K648" s="5">
        <v>31000.0</v>
      </c>
      <c r="L648" s="5" t="s">
        <v>4411</v>
      </c>
      <c r="M648" s="5" t="s">
        <v>4017</v>
      </c>
      <c r="O648" s="5" t="s">
        <v>3320</v>
      </c>
      <c r="P648" s="5" t="s">
        <v>3605</v>
      </c>
      <c r="Q648" s="5" t="b">
        <v>1</v>
      </c>
      <c r="R648" s="5" t="s">
        <v>3605</v>
      </c>
    </row>
    <row r="649" ht="15.75" customHeight="1">
      <c r="A649" s="5" t="s">
        <v>5454</v>
      </c>
      <c r="B649" s="39">
        <v>45790.74885416667</v>
      </c>
      <c r="C649" s="3" t="s">
        <v>4172</v>
      </c>
      <c r="D649" s="3">
        <v>120.0</v>
      </c>
      <c r="E649" s="3" t="s">
        <v>4017</v>
      </c>
      <c r="F649" s="3">
        <v>21100.0</v>
      </c>
      <c r="G649" s="5">
        <v>127.0</v>
      </c>
      <c r="H649" s="3"/>
      <c r="I649" s="3"/>
      <c r="J649" s="5">
        <v>0.0</v>
      </c>
      <c r="K649" s="5">
        <v>21100.0</v>
      </c>
      <c r="L649" s="5" t="s">
        <v>4412</v>
      </c>
      <c r="M649" s="5" t="s">
        <v>4017</v>
      </c>
      <c r="O649" s="5" t="s">
        <v>3320</v>
      </c>
      <c r="Q649" s="5" t="b">
        <v>0</v>
      </c>
      <c r="R649" s="5" t="s">
        <v>3605</v>
      </c>
    </row>
    <row r="650" ht="15.75" customHeight="1">
      <c r="A650" s="5" t="s">
        <v>5455</v>
      </c>
      <c r="B650" s="39">
        <v>45790.74998842592</v>
      </c>
      <c r="C650" s="3" t="s">
        <v>4382</v>
      </c>
      <c r="D650" s="3">
        <v>50.0</v>
      </c>
      <c r="E650" s="3" t="s">
        <v>4368</v>
      </c>
      <c r="F650" s="3">
        <v>5100.0</v>
      </c>
      <c r="G650" s="5">
        <v>75.0</v>
      </c>
      <c r="H650" s="3"/>
      <c r="I650" s="3"/>
      <c r="J650" s="5">
        <v>0.0</v>
      </c>
      <c r="K650" s="5">
        <v>5100.0</v>
      </c>
      <c r="L650" s="5" t="s">
        <v>4413</v>
      </c>
      <c r="M650" s="5" t="s">
        <v>4368</v>
      </c>
      <c r="O650" s="5" t="s">
        <v>3715</v>
      </c>
      <c r="Q650" s="5" t="b">
        <v>0</v>
      </c>
      <c r="R650" s="5" t="s">
        <v>3715</v>
      </c>
    </row>
    <row r="651" ht="15.75" customHeight="1">
      <c r="A651" s="5" t="s">
        <v>5456</v>
      </c>
      <c r="B651" s="39">
        <v>45790.75113425926</v>
      </c>
      <c r="C651" s="3" t="s">
        <v>21</v>
      </c>
      <c r="D651" s="3">
        <v>44.0</v>
      </c>
      <c r="E651" s="3" t="s">
        <v>3615</v>
      </c>
      <c r="F651" s="3">
        <v>-100.0</v>
      </c>
      <c r="G651" s="5">
        <v>2.0</v>
      </c>
      <c r="H651" s="3" t="s">
        <v>3867</v>
      </c>
      <c r="I651" s="3" t="s">
        <v>3868</v>
      </c>
      <c r="J651" s="5">
        <v>2000.0</v>
      </c>
      <c r="K651" s="5">
        <v>1900.0</v>
      </c>
      <c r="L651" s="5" t="s">
        <v>4414</v>
      </c>
      <c r="M651" s="5" t="s">
        <v>3868</v>
      </c>
      <c r="N651" s="5" t="s">
        <v>5423</v>
      </c>
      <c r="O651" s="5" t="s">
        <v>3320</v>
      </c>
      <c r="P651" s="5" t="s">
        <v>3320</v>
      </c>
      <c r="Q651" s="5" t="b">
        <v>1</v>
      </c>
      <c r="R651" s="5" t="s">
        <v>3320</v>
      </c>
    </row>
    <row r="652" ht="15.75" customHeight="1">
      <c r="A652" s="5" t="s">
        <v>5457</v>
      </c>
      <c r="B652" s="39">
        <v>45790.75146990741</v>
      </c>
      <c r="C652" s="3" t="s">
        <v>4414</v>
      </c>
      <c r="D652" s="3">
        <v>2.0</v>
      </c>
      <c r="E652" s="3" t="s">
        <v>3868</v>
      </c>
      <c r="F652" s="3">
        <v>1900.0</v>
      </c>
      <c r="G652" s="5">
        <v>75.0</v>
      </c>
      <c r="H652" s="3" t="s">
        <v>4413</v>
      </c>
      <c r="I652" s="3" t="s">
        <v>4368</v>
      </c>
      <c r="J652" s="5">
        <v>5100.0</v>
      </c>
      <c r="K652" s="5">
        <v>7000.0</v>
      </c>
      <c r="L652" s="6" t="s">
        <v>4415</v>
      </c>
      <c r="M652" s="5" t="s">
        <v>4368</v>
      </c>
      <c r="O652" s="5" t="s">
        <v>3320</v>
      </c>
      <c r="P652" s="5" t="s">
        <v>3715</v>
      </c>
      <c r="Q652" s="5" t="b">
        <v>1</v>
      </c>
      <c r="R652" s="5" t="s">
        <v>3715</v>
      </c>
    </row>
    <row r="653" ht="15.75" customHeight="1">
      <c r="A653" s="5" t="s">
        <v>5458</v>
      </c>
      <c r="B653" s="39">
        <v>45790.77527777778</v>
      </c>
      <c r="C653" s="3" t="s">
        <v>4406</v>
      </c>
      <c r="D653" s="3">
        <v>67.0</v>
      </c>
      <c r="E653" s="3" t="s">
        <v>3272</v>
      </c>
      <c r="F653" s="3">
        <v>20000.0</v>
      </c>
      <c r="G653" s="5">
        <v>53.0</v>
      </c>
      <c r="H653" s="3"/>
      <c r="I653" s="3"/>
      <c r="J653" s="5">
        <v>0.0</v>
      </c>
      <c r="K653" s="5">
        <v>20000.0</v>
      </c>
      <c r="L653" s="5" t="s">
        <v>4416</v>
      </c>
      <c r="M653" s="5" t="s">
        <v>3272</v>
      </c>
      <c r="O653" s="5" t="s">
        <v>3605</v>
      </c>
      <c r="Q653" s="5" t="b">
        <v>0</v>
      </c>
      <c r="R653" s="5" t="s">
        <v>3605</v>
      </c>
    </row>
    <row r="654" ht="15.75" customHeight="1">
      <c r="A654" s="5" t="s">
        <v>5459</v>
      </c>
      <c r="B654" s="39">
        <v>45791.46488425926</v>
      </c>
      <c r="C654" s="3" t="s">
        <v>4309</v>
      </c>
      <c r="D654" s="3">
        <v>11.0</v>
      </c>
      <c r="E654" s="3" t="s">
        <v>4197</v>
      </c>
      <c r="F654" s="3">
        <v>-1000.0</v>
      </c>
      <c r="G654" s="5">
        <v>500.0</v>
      </c>
      <c r="H654" s="3" t="s">
        <v>4398</v>
      </c>
      <c r="I654" s="3" t="s">
        <v>4388</v>
      </c>
      <c r="J654" s="5">
        <v>-8690.0</v>
      </c>
      <c r="K654" s="5">
        <v>-9690.0</v>
      </c>
      <c r="L654" s="5" t="s">
        <v>4417</v>
      </c>
      <c r="M654" s="5" t="s">
        <v>4388</v>
      </c>
      <c r="O654" s="5" t="s">
        <v>3320</v>
      </c>
      <c r="P654" s="5" t="s">
        <v>3342</v>
      </c>
      <c r="Q654" s="5" t="b">
        <v>1</v>
      </c>
      <c r="R654" s="5" t="s">
        <v>3342</v>
      </c>
    </row>
    <row r="655" ht="15.75" customHeight="1">
      <c r="A655" s="5" t="s">
        <v>5460</v>
      </c>
      <c r="B655" s="39">
        <v>45791.720243055555</v>
      </c>
      <c r="C655" s="3" t="s">
        <v>3945</v>
      </c>
      <c r="D655" s="3">
        <v>121.0</v>
      </c>
      <c r="E655" s="3" t="s">
        <v>3745</v>
      </c>
      <c r="F655" s="3">
        <v>85000.0</v>
      </c>
      <c r="G655" s="5">
        <v>120.0</v>
      </c>
      <c r="H655" s="3"/>
      <c r="I655" s="3"/>
      <c r="J655" s="5">
        <v>0.0</v>
      </c>
      <c r="K655" s="5">
        <v>85000.0</v>
      </c>
      <c r="L655" s="5" t="s">
        <v>4419</v>
      </c>
      <c r="M655" s="5" t="s">
        <v>3745</v>
      </c>
      <c r="O655" s="5" t="s">
        <v>3320</v>
      </c>
      <c r="Q655" s="5" t="b">
        <v>0</v>
      </c>
      <c r="R655" s="5" t="s">
        <v>3320</v>
      </c>
    </row>
    <row r="656" ht="15.75" customHeight="1">
      <c r="A656" s="5" t="s">
        <v>5461</v>
      </c>
      <c r="B656" s="39">
        <v>45791.720659722225</v>
      </c>
      <c r="C656" s="3" t="s">
        <v>4404</v>
      </c>
      <c r="D656" s="3">
        <v>6.0</v>
      </c>
      <c r="E656" s="3" t="s">
        <v>4405</v>
      </c>
      <c r="F656" s="3">
        <v>3800.0</v>
      </c>
      <c r="G656" s="5">
        <v>120.0</v>
      </c>
      <c r="H656" s="3" t="s">
        <v>4419</v>
      </c>
      <c r="I656" s="3" t="s">
        <v>3745</v>
      </c>
      <c r="J656" s="5">
        <v>85000.0</v>
      </c>
      <c r="K656" s="5">
        <v>88800.0</v>
      </c>
      <c r="L656" s="5" t="s">
        <v>4420</v>
      </c>
      <c r="M656" s="5" t="s">
        <v>3745</v>
      </c>
      <c r="O656" s="5" t="s">
        <v>3337</v>
      </c>
      <c r="P656" s="5" t="s">
        <v>3320</v>
      </c>
      <c r="Q656" s="5" t="b">
        <v>1</v>
      </c>
      <c r="R656" s="5" t="s">
        <v>3320</v>
      </c>
    </row>
    <row r="657" ht="15.75" customHeight="1">
      <c r="A657" s="5" t="s">
        <v>5462</v>
      </c>
      <c r="B657" s="39">
        <v>45791.722280092596</v>
      </c>
      <c r="C657" s="3" t="s">
        <v>4404</v>
      </c>
      <c r="D657" s="3">
        <v>6.0</v>
      </c>
      <c r="E657" s="3" t="s">
        <v>4405</v>
      </c>
      <c r="F657" s="3">
        <v>2000.0</v>
      </c>
      <c r="G657" s="5">
        <v>53.0</v>
      </c>
      <c r="H657" s="3" t="s">
        <v>4416</v>
      </c>
      <c r="I657" s="3" t="s">
        <v>3272</v>
      </c>
      <c r="J657" s="5">
        <v>20000.0</v>
      </c>
      <c r="K657" s="5">
        <v>22000.0</v>
      </c>
      <c r="L657" s="5" t="s">
        <v>4421</v>
      </c>
      <c r="M657" s="5" t="s">
        <v>3272</v>
      </c>
      <c r="O657" s="5" t="s">
        <v>3337</v>
      </c>
      <c r="P657" s="5" t="s">
        <v>3605</v>
      </c>
      <c r="Q657" s="5" t="b">
        <v>1</v>
      </c>
      <c r="R657" s="5" t="s">
        <v>3605</v>
      </c>
    </row>
    <row r="658" ht="15.75" customHeight="1">
      <c r="A658" s="5" t="s">
        <v>5463</v>
      </c>
      <c r="B658" s="39">
        <v>45791.7234837963</v>
      </c>
      <c r="C658" s="3" t="s">
        <v>4412</v>
      </c>
      <c r="D658" s="3">
        <v>127.0</v>
      </c>
      <c r="E658" s="3" t="s">
        <v>4017</v>
      </c>
      <c r="F658" s="3">
        <v>21100.0</v>
      </c>
      <c r="G658" s="5">
        <v>6.0</v>
      </c>
      <c r="H658" s="3" t="s">
        <v>4404</v>
      </c>
      <c r="I658" s="3" t="s">
        <v>4405</v>
      </c>
      <c r="J658" s="5">
        <v>4200.0</v>
      </c>
      <c r="K658" s="5">
        <v>25300.0</v>
      </c>
      <c r="L658" s="5" t="s">
        <v>4422</v>
      </c>
      <c r="M658" s="5" t="s">
        <v>4423</v>
      </c>
      <c r="O658" s="5" t="s">
        <v>3605</v>
      </c>
      <c r="P658" s="5" t="s">
        <v>3337</v>
      </c>
      <c r="Q658" s="5" t="b">
        <v>0</v>
      </c>
      <c r="R658" s="5" t="s">
        <v>3337</v>
      </c>
    </row>
    <row r="659" ht="15.75" customHeight="1">
      <c r="A659" s="6" t="s">
        <v>5464</v>
      </c>
      <c r="B659" s="39">
        <v>45791.72619212963</v>
      </c>
      <c r="C659" s="3" t="s">
        <v>4411</v>
      </c>
      <c r="D659" s="3">
        <v>125.0</v>
      </c>
      <c r="E659" s="3" t="s">
        <v>4017</v>
      </c>
      <c r="F659" s="3">
        <v>6700.0</v>
      </c>
      <c r="G659" s="5">
        <v>6.0</v>
      </c>
      <c r="H659" s="3" t="s">
        <v>4422</v>
      </c>
      <c r="I659" s="3" t="s">
        <v>4423</v>
      </c>
      <c r="J659" s="5">
        <v>25300.0</v>
      </c>
      <c r="K659" s="5">
        <v>32000.0</v>
      </c>
      <c r="L659" s="5" t="s">
        <v>4424</v>
      </c>
      <c r="M659" s="5" t="s">
        <v>4423</v>
      </c>
      <c r="O659" s="5" t="s">
        <v>3605</v>
      </c>
      <c r="P659" s="5" t="s">
        <v>3337</v>
      </c>
      <c r="Q659" s="5" t="b">
        <v>1</v>
      </c>
      <c r="R659" s="5" t="s">
        <v>3337</v>
      </c>
    </row>
    <row r="660" ht="15.75" customHeight="1">
      <c r="A660" s="5" t="s">
        <v>5465</v>
      </c>
      <c r="B660" s="39">
        <v>45791.72638888889</v>
      </c>
      <c r="C660" s="3" t="s">
        <v>4411</v>
      </c>
      <c r="D660" s="3">
        <v>125.0</v>
      </c>
      <c r="E660" s="3" t="s">
        <v>4017</v>
      </c>
      <c r="F660" s="3">
        <v>24300.0</v>
      </c>
      <c r="G660" s="5">
        <v>7.0</v>
      </c>
      <c r="H660" s="3"/>
      <c r="I660" s="3"/>
      <c r="J660" s="5">
        <v>0.0</v>
      </c>
      <c r="K660" s="5">
        <v>24300.0</v>
      </c>
      <c r="L660" s="5" t="s">
        <v>4425</v>
      </c>
      <c r="M660" s="5" t="s">
        <v>4423</v>
      </c>
      <c r="O660" s="5" t="s">
        <v>3605</v>
      </c>
      <c r="Q660" s="5" t="b">
        <v>0</v>
      </c>
      <c r="R660" s="5" t="s">
        <v>3337</v>
      </c>
    </row>
    <row r="661" ht="15.75" customHeight="1">
      <c r="A661" s="5" t="s">
        <v>5466</v>
      </c>
      <c r="B661" s="39">
        <v>45792.37706018519</v>
      </c>
      <c r="C661" s="3" t="s">
        <v>3988</v>
      </c>
      <c r="D661" s="3">
        <v>34.0</v>
      </c>
      <c r="E661" s="3" t="s">
        <v>3662</v>
      </c>
      <c r="F661" s="3">
        <v>36500.0</v>
      </c>
      <c r="G661" s="5">
        <v>15.0</v>
      </c>
      <c r="H661" s="3"/>
      <c r="I661" s="3"/>
      <c r="J661" s="5">
        <v>0.0</v>
      </c>
      <c r="K661" s="5">
        <v>36500.0</v>
      </c>
      <c r="L661" s="5" t="s">
        <v>4426</v>
      </c>
      <c r="M661" s="5" t="s">
        <v>3662</v>
      </c>
      <c r="O661" s="5" t="s">
        <v>3320</v>
      </c>
      <c r="Q661" s="5" t="b">
        <v>0</v>
      </c>
      <c r="R661" s="5" t="s">
        <v>3605</v>
      </c>
    </row>
    <row r="662" ht="15.75" customHeight="1">
      <c r="A662" s="5" t="s">
        <v>5467</v>
      </c>
      <c r="B662" s="39">
        <v>45792.37762731482</v>
      </c>
      <c r="C662" s="3" t="s">
        <v>3988</v>
      </c>
      <c r="D662" s="3">
        <v>34.0</v>
      </c>
      <c r="E662" s="3" t="s">
        <v>3662</v>
      </c>
      <c r="F662" s="3">
        <v>3000.0</v>
      </c>
      <c r="G662" s="5">
        <v>80.0</v>
      </c>
      <c r="H662" s="3" t="s">
        <v>4408</v>
      </c>
      <c r="I662" s="3" t="s">
        <v>3706</v>
      </c>
      <c r="J662" s="5">
        <v>6400.0</v>
      </c>
      <c r="K662" s="5">
        <v>9400.0</v>
      </c>
      <c r="L662" s="5" t="s">
        <v>4427</v>
      </c>
      <c r="M662" s="5" t="s">
        <v>3706</v>
      </c>
      <c r="O662" s="5" t="s">
        <v>3320</v>
      </c>
      <c r="P662" s="5" t="s">
        <v>3605</v>
      </c>
      <c r="Q662" s="5" t="b">
        <v>1</v>
      </c>
      <c r="R662" s="5" t="s">
        <v>3605</v>
      </c>
    </row>
    <row r="663" ht="15.75" customHeight="1">
      <c r="A663" s="5" t="s">
        <v>5468</v>
      </c>
      <c r="B663" s="39">
        <v>45792.37825231482</v>
      </c>
      <c r="C663" s="3" t="s">
        <v>3797</v>
      </c>
      <c r="D663" s="3">
        <v>51.0</v>
      </c>
      <c r="E663" s="3" t="s">
        <v>3588</v>
      </c>
      <c r="F663" s="3">
        <v>3900.0</v>
      </c>
      <c r="G663" s="5">
        <v>46.0</v>
      </c>
      <c r="H663" s="3"/>
      <c r="I663" s="3"/>
      <c r="J663" s="5">
        <v>0.0</v>
      </c>
      <c r="K663" s="5">
        <v>3900.0</v>
      </c>
      <c r="L663" s="5" t="s">
        <v>4428</v>
      </c>
      <c r="M663" s="5" t="s">
        <v>3588</v>
      </c>
      <c r="O663" s="5" t="s">
        <v>3320</v>
      </c>
      <c r="Q663" s="5" t="b">
        <v>0</v>
      </c>
      <c r="R663" s="5" t="s">
        <v>3605</v>
      </c>
    </row>
    <row r="664" ht="15.75" customHeight="1">
      <c r="A664" s="5" t="s">
        <v>5469</v>
      </c>
      <c r="B664" s="39">
        <v>45792.378796296296</v>
      </c>
      <c r="C664" s="3" t="s">
        <v>3913</v>
      </c>
      <c r="D664" s="3">
        <v>68.0</v>
      </c>
      <c r="E664" s="3" t="s">
        <v>3588</v>
      </c>
      <c r="F664" s="3">
        <v>13000.0</v>
      </c>
      <c r="G664" s="5">
        <v>46.0</v>
      </c>
      <c r="H664" s="3" t="s">
        <v>4428</v>
      </c>
      <c r="I664" s="3" t="s">
        <v>3588</v>
      </c>
      <c r="J664" s="5">
        <v>3900.0</v>
      </c>
      <c r="K664" s="5">
        <v>16900.0</v>
      </c>
      <c r="L664" s="5" t="s">
        <v>4429</v>
      </c>
      <c r="M664" s="5" t="s">
        <v>3588</v>
      </c>
      <c r="O664" s="5" t="s">
        <v>3320</v>
      </c>
      <c r="P664" s="5" t="s">
        <v>3605</v>
      </c>
      <c r="Q664" s="5" t="b">
        <v>1</v>
      </c>
      <c r="R664" s="5" t="s">
        <v>3605</v>
      </c>
    </row>
    <row r="665" ht="15.75" customHeight="1">
      <c r="A665" s="5" t="s">
        <v>5470</v>
      </c>
      <c r="B665" s="39">
        <v>45792.379155092596</v>
      </c>
      <c r="C665" s="3" t="s">
        <v>4282</v>
      </c>
      <c r="D665" s="3">
        <v>73.0</v>
      </c>
      <c r="E665" s="3" t="s">
        <v>3588</v>
      </c>
      <c r="F665" s="3">
        <v>12100.0</v>
      </c>
      <c r="G665" s="5">
        <v>46.0</v>
      </c>
      <c r="H665" s="3" t="s">
        <v>4429</v>
      </c>
      <c r="I665" s="3" t="s">
        <v>3588</v>
      </c>
      <c r="J665" s="5">
        <v>16900.0</v>
      </c>
      <c r="K665" s="5">
        <v>29000.0</v>
      </c>
      <c r="L665" s="5" t="s">
        <v>4430</v>
      </c>
      <c r="M665" s="5" t="s">
        <v>3588</v>
      </c>
      <c r="O665" s="5" t="s">
        <v>3605</v>
      </c>
      <c r="P665" s="5" t="s">
        <v>3605</v>
      </c>
      <c r="Q665" s="5" t="b">
        <v>1</v>
      </c>
      <c r="R665" s="5" t="s">
        <v>3605</v>
      </c>
    </row>
    <row r="666" ht="15.75" customHeight="1">
      <c r="A666" s="5" t="s">
        <v>5471</v>
      </c>
      <c r="B666" s="39">
        <v>45792.37960648148</v>
      </c>
      <c r="C666" s="3" t="s">
        <v>4282</v>
      </c>
      <c r="D666" s="3">
        <v>73.0</v>
      </c>
      <c r="E666" s="3" t="s">
        <v>3588</v>
      </c>
      <c r="F666" s="3">
        <v>900.0</v>
      </c>
      <c r="G666" s="5">
        <v>7.0</v>
      </c>
      <c r="H666" s="3" t="s">
        <v>4425</v>
      </c>
      <c r="I666" s="3" t="s">
        <v>4423</v>
      </c>
      <c r="J666" s="5">
        <v>24300.0</v>
      </c>
      <c r="K666" s="5">
        <v>25200.0</v>
      </c>
      <c r="L666" s="5" t="s">
        <v>4431</v>
      </c>
      <c r="M666" s="5" t="s">
        <v>4423</v>
      </c>
      <c r="O666" s="5" t="s">
        <v>3605</v>
      </c>
      <c r="P666" s="5" t="s">
        <v>3337</v>
      </c>
      <c r="Q666" s="5" t="b">
        <v>1</v>
      </c>
      <c r="R666" s="5" t="s">
        <v>3337</v>
      </c>
    </row>
    <row r="667" ht="15.75" customHeight="1">
      <c r="A667" s="5" t="s">
        <v>5472</v>
      </c>
      <c r="B667" s="39">
        <v>45792.38078703704</v>
      </c>
      <c r="C667" s="3" t="s">
        <v>4385</v>
      </c>
      <c r="D667" s="3">
        <v>126.0</v>
      </c>
      <c r="E667" s="3" t="s">
        <v>3973</v>
      </c>
      <c r="F667" s="3">
        <v>4500.0</v>
      </c>
      <c r="G667" s="5">
        <v>91.0</v>
      </c>
      <c r="H667" s="3" t="s">
        <v>4409</v>
      </c>
      <c r="I667" s="3" t="s">
        <v>3273</v>
      </c>
      <c r="J667" s="5">
        <v>81500.0</v>
      </c>
      <c r="K667" s="5">
        <v>86000.0</v>
      </c>
      <c r="L667" s="5" t="s">
        <v>4432</v>
      </c>
      <c r="M667" s="5" t="s">
        <v>3273</v>
      </c>
      <c r="O667" s="5" t="s">
        <v>3605</v>
      </c>
      <c r="P667" s="5" t="s">
        <v>3605</v>
      </c>
      <c r="Q667" s="5" t="b">
        <v>1</v>
      </c>
      <c r="R667" s="5" t="s">
        <v>3605</v>
      </c>
    </row>
    <row r="668" ht="15.75" customHeight="1">
      <c r="A668" s="5" t="s">
        <v>5473</v>
      </c>
      <c r="B668" s="39">
        <v>45792.41553240741</v>
      </c>
      <c r="C668" s="3" t="s">
        <v>4385</v>
      </c>
      <c r="D668" s="3">
        <v>126.0</v>
      </c>
      <c r="E668" s="3" t="s">
        <v>3973</v>
      </c>
      <c r="F668" s="3">
        <v>7000.0</v>
      </c>
      <c r="G668" s="5">
        <v>80.0</v>
      </c>
      <c r="H668" s="3" t="s">
        <v>4427</v>
      </c>
      <c r="I668" s="3" t="s">
        <v>3706</v>
      </c>
      <c r="J668" s="5">
        <v>9400.0</v>
      </c>
      <c r="K668" s="5">
        <v>16400.0</v>
      </c>
      <c r="L668" s="5" t="s">
        <v>4433</v>
      </c>
      <c r="M668" s="5" t="s">
        <v>3706</v>
      </c>
      <c r="O668" s="5" t="s">
        <v>3605</v>
      </c>
      <c r="P668" s="5" t="s">
        <v>3605</v>
      </c>
      <c r="Q668" s="5" t="b">
        <v>1</v>
      </c>
      <c r="R668" s="5" t="s">
        <v>3605</v>
      </c>
    </row>
    <row r="669" ht="15.75" customHeight="1">
      <c r="A669" s="5" t="s">
        <v>5474</v>
      </c>
      <c r="B669" s="39">
        <v>45792.678136574075</v>
      </c>
      <c r="C669" s="3" t="s">
        <v>4389</v>
      </c>
      <c r="D669" s="3">
        <v>12.0</v>
      </c>
      <c r="E669" s="3" t="s">
        <v>4285</v>
      </c>
      <c r="F669" s="3">
        <v>22900.0</v>
      </c>
      <c r="G669" s="5">
        <v>54.0</v>
      </c>
      <c r="H669" s="3"/>
      <c r="I669" s="3"/>
      <c r="J669" s="5">
        <v>0.0</v>
      </c>
      <c r="K669" s="5">
        <v>22900.0</v>
      </c>
      <c r="L669" s="5" t="s">
        <v>4434</v>
      </c>
      <c r="M669" s="5" t="s">
        <v>4285</v>
      </c>
      <c r="O669" s="5" t="s">
        <v>3320</v>
      </c>
      <c r="Q669" s="5" t="b">
        <v>0</v>
      </c>
      <c r="R669" s="5" t="s">
        <v>3605</v>
      </c>
    </row>
    <row r="670" ht="15.75" customHeight="1">
      <c r="A670" s="5" t="s">
        <v>5475</v>
      </c>
      <c r="B670" s="39">
        <v>45792.67884259259</v>
      </c>
      <c r="C670" s="3" t="s">
        <v>4389</v>
      </c>
      <c r="D670" s="3">
        <v>12.0</v>
      </c>
      <c r="E670" s="3" t="s">
        <v>4285</v>
      </c>
      <c r="F670" s="3">
        <v>100.0</v>
      </c>
      <c r="G670" s="5">
        <v>51.0</v>
      </c>
      <c r="H670" s="3"/>
      <c r="I670" s="3"/>
      <c r="J670" s="5">
        <v>0.0</v>
      </c>
      <c r="K670" s="5">
        <v>1600.0</v>
      </c>
      <c r="L670" s="5" t="s">
        <v>4436</v>
      </c>
      <c r="M670" s="5" t="s">
        <v>4285</v>
      </c>
      <c r="O670" s="5" t="s">
        <v>3320</v>
      </c>
      <c r="Q670" s="5" t="b">
        <v>0</v>
      </c>
      <c r="R670" s="5" t="s">
        <v>3605</v>
      </c>
    </row>
    <row r="671" ht="15.75" customHeight="1">
      <c r="A671" s="5" t="s">
        <v>5476</v>
      </c>
      <c r="B671" s="39">
        <v>45793.4997337963</v>
      </c>
      <c r="C671" s="3" t="s">
        <v>3879</v>
      </c>
      <c r="D671" s="3">
        <v>25.0</v>
      </c>
      <c r="E671" s="3" t="s">
        <v>3272</v>
      </c>
      <c r="F671" s="3">
        <v>77100.0</v>
      </c>
      <c r="G671" s="5">
        <v>95.0</v>
      </c>
      <c r="H671" s="3"/>
      <c r="I671" s="3"/>
      <c r="J671" s="5">
        <v>0.0</v>
      </c>
      <c r="K671" s="5">
        <v>77100.0</v>
      </c>
      <c r="L671" s="5" t="s">
        <v>4437</v>
      </c>
      <c r="M671" s="5" t="s">
        <v>3272</v>
      </c>
      <c r="O671" s="5" t="s">
        <v>3605</v>
      </c>
      <c r="Q671" s="5" t="b">
        <v>0</v>
      </c>
      <c r="R671" s="5" t="s">
        <v>4342</v>
      </c>
    </row>
    <row r="672" ht="15.75" customHeight="1">
      <c r="A672" s="5" t="s">
        <v>5477</v>
      </c>
      <c r="B672" s="39">
        <v>45793.50030092592</v>
      </c>
      <c r="C672" s="3" t="s">
        <v>3879</v>
      </c>
      <c r="D672" s="3">
        <v>25.0</v>
      </c>
      <c r="E672" s="3" t="s">
        <v>3272</v>
      </c>
      <c r="F672" s="3">
        <v>85600.0</v>
      </c>
      <c r="G672" s="5">
        <v>96.0</v>
      </c>
      <c r="H672" s="3"/>
      <c r="I672" s="3"/>
      <c r="J672" s="5">
        <v>0.0</v>
      </c>
      <c r="K672" s="5">
        <v>85600.0</v>
      </c>
      <c r="L672" s="5" t="s">
        <v>4438</v>
      </c>
      <c r="M672" s="5" t="s">
        <v>3272</v>
      </c>
      <c r="O672" s="5" t="s">
        <v>3605</v>
      </c>
      <c r="Q672" s="5" t="b">
        <v>0</v>
      </c>
      <c r="R672" s="5" t="s">
        <v>4342</v>
      </c>
    </row>
    <row r="673" ht="15.75" customHeight="1">
      <c r="A673" s="5" t="s">
        <v>5478</v>
      </c>
      <c r="B673" s="39">
        <v>45793.50078703704</v>
      </c>
      <c r="C673" s="3" t="s">
        <v>3879</v>
      </c>
      <c r="D673" s="3">
        <v>25.0</v>
      </c>
      <c r="E673" s="3" t="s">
        <v>3272</v>
      </c>
      <c r="F673" s="3">
        <v>30000.0</v>
      </c>
      <c r="G673" s="5">
        <v>45.0</v>
      </c>
      <c r="H673" s="3"/>
      <c r="I673" s="3"/>
      <c r="J673" s="5">
        <v>0.0</v>
      </c>
      <c r="K673" s="5">
        <v>30000.0</v>
      </c>
      <c r="L673" s="5" t="s">
        <v>4439</v>
      </c>
      <c r="M673" s="5" t="s">
        <v>3272</v>
      </c>
      <c r="O673" s="5" t="s">
        <v>3605</v>
      </c>
      <c r="Q673" s="5" t="b">
        <v>0</v>
      </c>
      <c r="R673" s="5" t="s">
        <v>4342</v>
      </c>
    </row>
    <row r="674" ht="15.75" customHeight="1">
      <c r="A674" s="5" t="s">
        <v>5479</v>
      </c>
      <c r="B674" s="39">
        <v>45793.50130787037</v>
      </c>
      <c r="C674" s="3" t="s">
        <v>3879</v>
      </c>
      <c r="D674" s="3">
        <v>25.0</v>
      </c>
      <c r="E674" s="3" t="s">
        <v>3272</v>
      </c>
      <c r="F674" s="3">
        <v>1600.0</v>
      </c>
      <c r="G674" s="5">
        <v>68.0</v>
      </c>
      <c r="H674" s="3"/>
      <c r="I674" s="3"/>
      <c r="J674" s="5">
        <v>0.0</v>
      </c>
      <c r="K674" s="5">
        <v>1600.0</v>
      </c>
      <c r="L674" s="5" t="s">
        <v>4440</v>
      </c>
      <c r="M674" s="5" t="s">
        <v>3272</v>
      </c>
      <c r="N674" s="5" t="s">
        <v>5480</v>
      </c>
      <c r="O674" s="5" t="s">
        <v>3605</v>
      </c>
      <c r="Q674" s="5" t="b">
        <v>0</v>
      </c>
      <c r="R674" s="5" t="s">
        <v>4342</v>
      </c>
    </row>
    <row r="675" ht="15.75" customHeight="1">
      <c r="A675" s="5" t="s">
        <v>5481</v>
      </c>
      <c r="B675" s="39">
        <v>45793.504328703704</v>
      </c>
      <c r="C675" s="3" t="s">
        <v>3604</v>
      </c>
      <c r="D675" s="3">
        <v>35.0</v>
      </c>
      <c r="E675" s="3" t="s">
        <v>3314</v>
      </c>
      <c r="F675" s="3">
        <v>37000.0</v>
      </c>
      <c r="G675" s="5">
        <v>14.0</v>
      </c>
      <c r="H675" s="3"/>
      <c r="I675" s="3"/>
      <c r="J675" s="5">
        <v>0.0</v>
      </c>
      <c r="K675" s="5">
        <v>37000.0</v>
      </c>
      <c r="L675" s="5" t="s">
        <v>12</v>
      </c>
      <c r="M675" s="5" t="s">
        <v>3314</v>
      </c>
      <c r="O675" s="5" t="s">
        <v>3605</v>
      </c>
      <c r="Q675" s="5" t="b">
        <v>0</v>
      </c>
      <c r="R675" s="5" t="s">
        <v>4342</v>
      </c>
    </row>
    <row r="676" ht="15.75" customHeight="1">
      <c r="A676" s="5" t="s">
        <v>5482</v>
      </c>
      <c r="B676" s="39">
        <v>45793.50475694444</v>
      </c>
      <c r="C676" s="3" t="s">
        <v>3604</v>
      </c>
      <c r="D676" s="3">
        <v>35.0</v>
      </c>
      <c r="E676" s="3" t="s">
        <v>3314</v>
      </c>
      <c r="F676" s="3">
        <v>2300.0</v>
      </c>
      <c r="G676" s="5">
        <v>50.0</v>
      </c>
      <c r="H676" s="3"/>
      <c r="I676" s="3"/>
      <c r="J676" s="5">
        <v>0.0</v>
      </c>
      <c r="K676" s="5">
        <v>2300.0</v>
      </c>
      <c r="L676" s="5" t="s">
        <v>4441</v>
      </c>
      <c r="M676" s="5" t="s">
        <v>3314</v>
      </c>
      <c r="O676" s="5" t="s">
        <v>3605</v>
      </c>
      <c r="Q676" s="5" t="b">
        <v>0</v>
      </c>
      <c r="R676" s="5" t="s">
        <v>4342</v>
      </c>
    </row>
    <row r="677" ht="15.75" customHeight="1">
      <c r="A677" s="5" t="s">
        <v>5483</v>
      </c>
      <c r="B677" s="39">
        <v>45793.50511574074</v>
      </c>
      <c r="C677" s="3" t="s">
        <v>3689</v>
      </c>
      <c r="D677" s="3">
        <v>42.0</v>
      </c>
      <c r="E677" s="3" t="s">
        <v>3386</v>
      </c>
      <c r="F677" s="3">
        <v>35100.0</v>
      </c>
      <c r="G677" s="5">
        <v>41.0</v>
      </c>
      <c r="H677" s="3"/>
      <c r="I677" s="3"/>
      <c r="J677" s="5">
        <v>0.0</v>
      </c>
      <c r="K677" s="5">
        <v>35100.0</v>
      </c>
      <c r="L677" s="5" t="s">
        <v>4442</v>
      </c>
      <c r="M677" s="5" t="s">
        <v>3386</v>
      </c>
      <c r="O677" s="5" t="s">
        <v>3605</v>
      </c>
      <c r="Q677" s="5" t="b">
        <v>0</v>
      </c>
      <c r="R677" s="5" t="s">
        <v>4342</v>
      </c>
    </row>
    <row r="678" ht="15.75" customHeight="1">
      <c r="A678" s="5" t="s">
        <v>5484</v>
      </c>
      <c r="B678" s="39">
        <v>45793.50528935185</v>
      </c>
      <c r="C678" s="3" t="s">
        <v>3689</v>
      </c>
      <c r="D678" s="3">
        <v>42.0</v>
      </c>
      <c r="E678" s="3" t="s">
        <v>3386</v>
      </c>
      <c r="F678" s="3">
        <v>800.0</v>
      </c>
      <c r="G678" s="5">
        <v>50.0</v>
      </c>
      <c r="H678" s="3" t="s">
        <v>4441</v>
      </c>
      <c r="I678" s="3" t="s">
        <v>3314</v>
      </c>
      <c r="J678" s="5">
        <v>2300.0</v>
      </c>
      <c r="K678" s="5">
        <v>3100.0</v>
      </c>
      <c r="L678" s="5" t="s">
        <v>4443</v>
      </c>
      <c r="M678" s="5" t="s">
        <v>3386</v>
      </c>
      <c r="O678" s="5" t="s">
        <v>3605</v>
      </c>
      <c r="P678" s="5" t="s">
        <v>4342</v>
      </c>
      <c r="Q678" s="5" t="b">
        <v>0</v>
      </c>
      <c r="R678" s="5" t="s">
        <v>3605</v>
      </c>
    </row>
    <row r="679" ht="15.75" customHeight="1">
      <c r="A679" s="5" t="s">
        <v>5485</v>
      </c>
      <c r="B679" s="39">
        <v>45793.50662037037</v>
      </c>
      <c r="C679" s="3" t="s">
        <v>4359</v>
      </c>
      <c r="D679" s="3">
        <v>70.0</v>
      </c>
      <c r="E679" s="3" t="s">
        <v>4333</v>
      </c>
      <c r="F679" s="3">
        <v>13000.0</v>
      </c>
      <c r="G679" s="5">
        <v>500.0</v>
      </c>
      <c r="H679" s="3"/>
      <c r="I679" s="3"/>
      <c r="J679" s="5">
        <v>0.0</v>
      </c>
      <c r="K679" s="5">
        <v>13000.0</v>
      </c>
      <c r="L679" s="5" t="s">
        <v>4444</v>
      </c>
      <c r="M679" s="5" t="s">
        <v>4333</v>
      </c>
      <c r="N679" s="5" t="s">
        <v>5486</v>
      </c>
      <c r="O679" s="5" t="s">
        <v>3715</v>
      </c>
      <c r="Q679" s="5" t="b">
        <v>0</v>
      </c>
      <c r="R679" s="5" t="s">
        <v>3715</v>
      </c>
    </row>
    <row r="680" ht="15.75" customHeight="1">
      <c r="A680" s="5" t="s">
        <v>5487</v>
      </c>
      <c r="B680" s="39">
        <v>45793.507152777776</v>
      </c>
      <c r="C680" s="3" t="s">
        <v>4339</v>
      </c>
      <c r="D680" s="3">
        <v>86.0</v>
      </c>
      <c r="E680" s="3" t="s">
        <v>4333</v>
      </c>
      <c r="F680" s="3">
        <v>88000.0</v>
      </c>
      <c r="G680" s="5">
        <v>500.0</v>
      </c>
      <c r="H680" s="3" t="s">
        <v>4444</v>
      </c>
      <c r="I680" s="3" t="s">
        <v>4333</v>
      </c>
      <c r="J680" s="5">
        <v>13000.0</v>
      </c>
      <c r="K680" s="5">
        <v>101000.0</v>
      </c>
      <c r="L680" s="5" t="s">
        <v>4445</v>
      </c>
      <c r="M680" s="5" t="s">
        <v>4333</v>
      </c>
      <c r="N680" s="5" t="s">
        <v>5488</v>
      </c>
      <c r="O680" s="5" t="s">
        <v>3715</v>
      </c>
      <c r="P680" s="5" t="s">
        <v>3715</v>
      </c>
      <c r="Q680" s="5" t="b">
        <v>0</v>
      </c>
      <c r="R680" s="5" t="s">
        <v>3715</v>
      </c>
    </row>
    <row r="681" ht="15.75" customHeight="1">
      <c r="A681" s="5" t="s">
        <v>5489</v>
      </c>
      <c r="B681" s="39">
        <v>45793.508726851855</v>
      </c>
      <c r="C681" s="3" t="s">
        <v>4385</v>
      </c>
      <c r="D681" s="3">
        <v>126.0</v>
      </c>
      <c r="E681" s="3" t="s">
        <v>3973</v>
      </c>
      <c r="F681" s="3">
        <v>13000.0</v>
      </c>
      <c r="G681" s="5">
        <v>70.0</v>
      </c>
      <c r="H681" s="3"/>
      <c r="I681" s="3"/>
      <c r="J681" s="5">
        <v>0.0</v>
      </c>
      <c r="K681" s="5">
        <v>13000.0</v>
      </c>
      <c r="L681" s="5" t="s">
        <v>4446</v>
      </c>
      <c r="M681" s="5" t="s">
        <v>3973</v>
      </c>
      <c r="O681" s="5" t="s">
        <v>3605</v>
      </c>
      <c r="Q681" s="5" t="b">
        <v>0</v>
      </c>
      <c r="R681" s="5" t="s">
        <v>4342</v>
      </c>
    </row>
    <row r="682" ht="15.75" customHeight="1">
      <c r="A682" s="5" t="s">
        <v>5490</v>
      </c>
      <c r="B682" s="39">
        <v>45793.50900462963</v>
      </c>
      <c r="C682" s="3" t="s">
        <v>4385</v>
      </c>
      <c r="D682" s="3">
        <v>126.0</v>
      </c>
      <c r="E682" s="3" t="s">
        <v>3973</v>
      </c>
      <c r="F682" s="3">
        <v>6500.0</v>
      </c>
      <c r="G682" s="5">
        <v>125.0</v>
      </c>
      <c r="H682" s="3"/>
      <c r="I682" s="3"/>
      <c r="J682" s="5">
        <v>0.0</v>
      </c>
      <c r="K682" s="5">
        <v>6500.0</v>
      </c>
      <c r="L682" s="5" t="s">
        <v>4447</v>
      </c>
      <c r="M682" s="5" t="s">
        <v>3973</v>
      </c>
      <c r="O682" s="5" t="s">
        <v>3605</v>
      </c>
      <c r="Q682" s="5" t="b">
        <v>0</v>
      </c>
      <c r="R682" s="5" t="s">
        <v>4342</v>
      </c>
    </row>
    <row r="683" ht="15.75" customHeight="1">
      <c r="A683" s="5" t="s">
        <v>5491</v>
      </c>
      <c r="B683" s="39">
        <v>45793.8328125</v>
      </c>
      <c r="C683" s="3" t="s">
        <v>3992</v>
      </c>
      <c r="D683" s="3">
        <v>26.0</v>
      </c>
      <c r="E683" s="3" t="s">
        <v>3272</v>
      </c>
      <c r="F683" s="3">
        <v>194300.0</v>
      </c>
      <c r="G683" s="5">
        <v>25.0</v>
      </c>
      <c r="H683" s="3"/>
      <c r="I683" s="3"/>
      <c r="J683" s="5">
        <v>0.0</v>
      </c>
      <c r="K683" s="5">
        <v>194300.0</v>
      </c>
      <c r="L683" s="5" t="s">
        <v>4448</v>
      </c>
      <c r="M683" s="5" t="s">
        <v>3272</v>
      </c>
      <c r="O683" s="5" t="s">
        <v>3605</v>
      </c>
      <c r="Q683" s="5" t="b">
        <v>0</v>
      </c>
      <c r="R683" s="5" t="s">
        <v>4342</v>
      </c>
    </row>
    <row r="684" ht="15.75" customHeight="1">
      <c r="A684" s="5" t="s">
        <v>5492</v>
      </c>
      <c r="B684" s="39">
        <v>45796.49024305555</v>
      </c>
      <c r="C684" s="3" t="s">
        <v>3992</v>
      </c>
      <c r="D684" s="3">
        <v>26.0</v>
      </c>
      <c r="E684" s="3" t="s">
        <v>3272</v>
      </c>
      <c r="F684" s="3">
        <v>11400.0</v>
      </c>
      <c r="G684" s="5">
        <v>68.0</v>
      </c>
      <c r="H684" s="3" t="s">
        <v>4440</v>
      </c>
      <c r="I684" s="3" t="s">
        <v>3272</v>
      </c>
      <c r="J684" s="5">
        <v>1600.0</v>
      </c>
      <c r="K684" s="5">
        <v>13000.0</v>
      </c>
      <c r="L684" s="5" t="s">
        <v>4449</v>
      </c>
      <c r="M684" s="5" t="s">
        <v>3272</v>
      </c>
      <c r="O684" s="5" t="s">
        <v>3605</v>
      </c>
      <c r="P684" s="5" t="s">
        <v>4342</v>
      </c>
      <c r="Q684" s="5" t="b">
        <v>1</v>
      </c>
      <c r="R684" s="5" t="s">
        <v>4342</v>
      </c>
    </row>
    <row r="685" ht="15.75" customHeight="1">
      <c r="A685" s="5" t="s">
        <v>5493</v>
      </c>
      <c r="B685" s="39">
        <v>45796.49122685185</v>
      </c>
      <c r="C685" s="3" t="s">
        <v>3992</v>
      </c>
      <c r="D685" s="3">
        <v>26.0</v>
      </c>
      <c r="E685" s="3" t="s">
        <v>3272</v>
      </c>
      <c r="F685" s="3">
        <v>1900.0</v>
      </c>
      <c r="G685" s="5">
        <v>50.0</v>
      </c>
      <c r="H685" s="3" t="s">
        <v>4443</v>
      </c>
      <c r="I685" s="3" t="s">
        <v>3386</v>
      </c>
      <c r="J685" s="5">
        <v>3100.0</v>
      </c>
      <c r="K685" s="5">
        <v>5000.0</v>
      </c>
      <c r="L685" s="5" t="s">
        <v>4450</v>
      </c>
      <c r="M685" s="5" t="s">
        <v>3386</v>
      </c>
      <c r="O685" s="5" t="s">
        <v>3605</v>
      </c>
      <c r="P685" s="5" t="s">
        <v>3605</v>
      </c>
      <c r="Q685" s="5" t="b">
        <v>1</v>
      </c>
      <c r="R685" s="5" t="s">
        <v>3605</v>
      </c>
    </row>
    <row r="686" ht="15.75" customHeight="1">
      <c r="A686" s="5" t="s">
        <v>5494</v>
      </c>
      <c r="B686" s="39">
        <v>45796.71697916667</v>
      </c>
      <c r="C686" s="3" t="s">
        <v>4447</v>
      </c>
      <c r="D686" s="3">
        <v>125.0</v>
      </c>
      <c r="E686" s="3" t="s">
        <v>3973</v>
      </c>
      <c r="F686" s="3">
        <v>6500.0</v>
      </c>
      <c r="G686" s="5">
        <v>80.0</v>
      </c>
      <c r="H686" s="3" t="s">
        <v>4433</v>
      </c>
      <c r="I686" s="3" t="s">
        <v>3706</v>
      </c>
      <c r="J686" s="5">
        <v>16400.0</v>
      </c>
      <c r="K686" s="5">
        <v>22900.0</v>
      </c>
      <c r="L686" s="5" t="s">
        <v>4453</v>
      </c>
      <c r="M686" s="5" t="s">
        <v>3706</v>
      </c>
      <c r="O686" s="5" t="s">
        <v>4342</v>
      </c>
      <c r="P686" s="5" t="s">
        <v>3605</v>
      </c>
      <c r="Q686" s="5" t="b">
        <v>1</v>
      </c>
      <c r="R686" s="5" t="s">
        <v>3605</v>
      </c>
    </row>
    <row r="687" ht="15.75" customHeight="1">
      <c r="A687" s="5" t="s">
        <v>5495</v>
      </c>
      <c r="B687" s="39">
        <v>45796.71869212963</v>
      </c>
      <c r="C687" s="3" t="s">
        <v>4431</v>
      </c>
      <c r="D687" s="3">
        <v>7.0</v>
      </c>
      <c r="E687" s="3" t="s">
        <v>4423</v>
      </c>
      <c r="F687" s="3">
        <v>1100.0</v>
      </c>
      <c r="G687" s="5">
        <v>80.0</v>
      </c>
      <c r="H687" s="3" t="s">
        <v>4453</v>
      </c>
      <c r="I687" s="3" t="s">
        <v>3706</v>
      </c>
      <c r="J687" s="5">
        <v>22900.0</v>
      </c>
      <c r="K687" s="5">
        <v>24000.0</v>
      </c>
      <c r="L687" s="5" t="s">
        <v>4454</v>
      </c>
      <c r="M687" s="5" t="s">
        <v>3706</v>
      </c>
      <c r="O687" s="5" t="s">
        <v>3337</v>
      </c>
      <c r="P687" s="5" t="s">
        <v>3605</v>
      </c>
      <c r="Q687" s="5" t="b">
        <v>1</v>
      </c>
      <c r="R687" s="5" t="s">
        <v>3605</v>
      </c>
    </row>
    <row r="688" ht="15.75" customHeight="1">
      <c r="A688" s="5" t="s">
        <v>5496</v>
      </c>
      <c r="B688" s="39">
        <v>45796.71921296296</v>
      </c>
      <c r="C688" s="3" t="s">
        <v>4431</v>
      </c>
      <c r="D688" s="3">
        <v>7.0</v>
      </c>
      <c r="E688" s="3" t="s">
        <v>4423</v>
      </c>
      <c r="F688" s="3">
        <v>2100.0</v>
      </c>
      <c r="G688" s="5">
        <v>500.0</v>
      </c>
      <c r="H688" s="3" t="s">
        <v>4451</v>
      </c>
      <c r="I688" s="3" t="s">
        <v>4452</v>
      </c>
      <c r="J688" s="5">
        <v>1.0</v>
      </c>
      <c r="K688" s="5">
        <v>2101.0</v>
      </c>
      <c r="L688" s="5" t="s">
        <v>4455</v>
      </c>
      <c r="M688" s="5" t="s">
        <v>4452</v>
      </c>
      <c r="O688" s="5" t="s">
        <v>3337</v>
      </c>
      <c r="Q688" s="5" t="b">
        <v>1</v>
      </c>
    </row>
    <row r="689" ht="15.75" customHeight="1">
      <c r="A689" s="5" t="s">
        <v>5497</v>
      </c>
      <c r="B689" s="39">
        <v>45796.719814814816</v>
      </c>
      <c r="C689" s="3" t="s">
        <v>4431</v>
      </c>
      <c r="D689" s="3">
        <v>7.0</v>
      </c>
      <c r="E689" s="3" t="s">
        <v>4423</v>
      </c>
      <c r="F689" s="3">
        <v>-100.0</v>
      </c>
      <c r="G689" s="5">
        <v>500.0</v>
      </c>
      <c r="H689" s="3" t="s">
        <v>4455</v>
      </c>
      <c r="I689" s="3" t="s">
        <v>4452</v>
      </c>
      <c r="J689" s="5">
        <v>2101.0</v>
      </c>
      <c r="K689" s="5">
        <v>2001.0</v>
      </c>
      <c r="L689" s="5" t="s">
        <v>4456</v>
      </c>
      <c r="M689" s="5" t="s">
        <v>4452</v>
      </c>
      <c r="O689" s="5" t="s">
        <v>3337</v>
      </c>
      <c r="Q689" s="5" t="b">
        <v>1</v>
      </c>
    </row>
    <row r="690" ht="15.75" customHeight="1">
      <c r="A690" s="5" t="s">
        <v>5498</v>
      </c>
      <c r="B690" s="39">
        <v>45796.720717592594</v>
      </c>
      <c r="C690" s="3" t="s">
        <v>4431</v>
      </c>
      <c r="D690" s="3">
        <v>7.0</v>
      </c>
      <c r="E690" s="3" t="s">
        <v>4423</v>
      </c>
      <c r="F690" s="3">
        <v>100.0</v>
      </c>
      <c r="G690" s="5">
        <v>500.0</v>
      </c>
      <c r="H690" s="3" t="s">
        <v>4456</v>
      </c>
      <c r="I690" s="3" t="s">
        <v>4452</v>
      </c>
      <c r="J690" s="5">
        <v>2001.0</v>
      </c>
      <c r="K690" s="5">
        <v>2101.0</v>
      </c>
      <c r="L690" s="5" t="s">
        <v>4457</v>
      </c>
      <c r="M690" s="5" t="s">
        <v>4452</v>
      </c>
      <c r="O690" s="5" t="s">
        <v>3337</v>
      </c>
      <c r="Q690" s="5" t="b">
        <v>1</v>
      </c>
    </row>
    <row r="691" ht="15.75" customHeight="1">
      <c r="A691" s="5" t="s">
        <v>5499</v>
      </c>
      <c r="B691" s="39">
        <v>45796.72094907407</v>
      </c>
      <c r="C691" s="3" t="s">
        <v>4450</v>
      </c>
      <c r="D691" s="3">
        <v>50.0</v>
      </c>
      <c r="E691" s="3" t="s">
        <v>3386</v>
      </c>
      <c r="F691" s="3">
        <v>100.0</v>
      </c>
      <c r="G691" s="5">
        <v>500.0</v>
      </c>
      <c r="H691" s="3" t="s">
        <v>4457</v>
      </c>
      <c r="I691" s="3" t="s">
        <v>4452</v>
      </c>
      <c r="J691" s="5">
        <v>2101.0</v>
      </c>
      <c r="K691" s="5">
        <v>2201.0</v>
      </c>
      <c r="L691" s="5" t="s">
        <v>4458</v>
      </c>
      <c r="M691" s="5" t="s">
        <v>4452</v>
      </c>
      <c r="O691" s="5" t="s">
        <v>3605</v>
      </c>
      <c r="Q691" s="5" t="b">
        <v>1</v>
      </c>
    </row>
    <row r="692" ht="15.75" customHeight="1">
      <c r="A692" s="5" t="s">
        <v>5500</v>
      </c>
      <c r="B692" s="39">
        <v>45796.72127314815</v>
      </c>
      <c r="C692" s="3" t="s">
        <v>4450</v>
      </c>
      <c r="D692" s="3">
        <v>50.0</v>
      </c>
      <c r="E692" s="3" t="s">
        <v>3386</v>
      </c>
      <c r="F692" s="3">
        <v>-200.0</v>
      </c>
      <c r="G692" s="5">
        <v>500.0</v>
      </c>
      <c r="H692" s="3" t="s">
        <v>4458</v>
      </c>
      <c r="I692" s="3" t="s">
        <v>4452</v>
      </c>
      <c r="J692" s="5">
        <v>2201.0</v>
      </c>
      <c r="K692" s="5">
        <v>2001.0</v>
      </c>
      <c r="L692" s="5" t="s">
        <v>4459</v>
      </c>
      <c r="M692" s="5" t="s">
        <v>4452</v>
      </c>
      <c r="O692" s="5" t="s">
        <v>3605</v>
      </c>
      <c r="Q692" s="5" t="b">
        <v>1</v>
      </c>
    </row>
    <row r="693" ht="15.75" customHeight="1">
      <c r="A693" s="5" t="s">
        <v>5501</v>
      </c>
      <c r="B693" s="39">
        <v>45796.721712962964</v>
      </c>
      <c r="C693" s="3" t="s">
        <v>4436</v>
      </c>
      <c r="D693" s="3">
        <v>51.0</v>
      </c>
      <c r="E693" s="3" t="s">
        <v>4285</v>
      </c>
      <c r="F693" s="3">
        <v>-2300.0</v>
      </c>
      <c r="G693" s="5">
        <v>500.0</v>
      </c>
      <c r="H693" s="3" t="s">
        <v>4459</v>
      </c>
      <c r="I693" s="3" t="s">
        <v>4452</v>
      </c>
      <c r="J693" s="5">
        <v>2001.0</v>
      </c>
      <c r="K693" s="5">
        <v>-299.0</v>
      </c>
      <c r="L693" s="5" t="s">
        <v>4460</v>
      </c>
      <c r="M693" s="5" t="s">
        <v>4452</v>
      </c>
      <c r="O693" s="5" t="s">
        <v>3605</v>
      </c>
      <c r="Q693" s="5" t="b">
        <v>1</v>
      </c>
    </row>
    <row r="694" ht="15.75" customHeight="1">
      <c r="A694" s="5" t="s">
        <v>5502</v>
      </c>
      <c r="B694" s="39">
        <v>45796.72232638889</v>
      </c>
      <c r="C694" s="3" t="s">
        <v>4348</v>
      </c>
      <c r="D694" s="3">
        <v>65.0</v>
      </c>
      <c r="E694" s="3" t="s">
        <v>4245</v>
      </c>
      <c r="F694" s="3">
        <v>500.0</v>
      </c>
      <c r="G694" s="5">
        <v>500.0</v>
      </c>
      <c r="H694" s="3" t="s">
        <v>4460</v>
      </c>
      <c r="I694" s="3" t="s">
        <v>4452</v>
      </c>
      <c r="J694" s="5">
        <v>-299.0</v>
      </c>
      <c r="K694" s="5">
        <v>201.0</v>
      </c>
      <c r="L694" s="5" t="s">
        <v>4461</v>
      </c>
      <c r="M694" s="5" t="s">
        <v>4452</v>
      </c>
      <c r="O694" s="5" t="s">
        <v>4342</v>
      </c>
      <c r="Q694" s="5" t="b">
        <v>1</v>
      </c>
    </row>
    <row r="695" ht="15.75" customHeight="1">
      <c r="A695" s="5" t="s">
        <v>5503</v>
      </c>
      <c r="B695" s="39">
        <v>45796.72255787037</v>
      </c>
      <c r="C695" s="3" t="s">
        <v>4376</v>
      </c>
      <c r="D695" s="3">
        <v>66.0</v>
      </c>
      <c r="E695" s="3" t="s">
        <v>4245</v>
      </c>
      <c r="F695" s="3">
        <v>500.0</v>
      </c>
      <c r="G695" s="5">
        <v>500.0</v>
      </c>
      <c r="H695" s="3" t="s">
        <v>4461</v>
      </c>
      <c r="I695" s="3" t="s">
        <v>4452</v>
      </c>
      <c r="J695" s="5">
        <v>201.0</v>
      </c>
      <c r="K695" s="5">
        <v>701.0</v>
      </c>
      <c r="L695" s="5" t="s">
        <v>4462</v>
      </c>
      <c r="M695" s="5" t="s">
        <v>4452</v>
      </c>
      <c r="O695" s="5" t="s">
        <v>4342</v>
      </c>
      <c r="Q695" s="5" t="b">
        <v>1</v>
      </c>
    </row>
    <row r="696" ht="15.75" customHeight="1">
      <c r="A696" s="5" t="s">
        <v>5504</v>
      </c>
      <c r="B696" s="39">
        <v>45796.73820601852</v>
      </c>
      <c r="C696" s="3" t="s">
        <v>4239</v>
      </c>
      <c r="D696" s="3">
        <v>90.0</v>
      </c>
      <c r="E696" s="3" t="s">
        <v>3759</v>
      </c>
      <c r="F696" s="3">
        <v>95000.0</v>
      </c>
      <c r="G696" s="5">
        <v>26.0</v>
      </c>
      <c r="H696" s="3"/>
      <c r="I696" s="3" t="s">
        <v>4465</v>
      </c>
      <c r="J696" s="5">
        <v>0.0</v>
      </c>
      <c r="K696" s="5">
        <v>95000.0</v>
      </c>
      <c r="L696" s="5" t="s">
        <v>4464</v>
      </c>
      <c r="M696" s="5" t="s">
        <v>4465</v>
      </c>
      <c r="O696" s="5" t="s">
        <v>3715</v>
      </c>
      <c r="Q696" s="5" t="b">
        <v>1</v>
      </c>
    </row>
    <row r="697" ht="15.75" customHeight="1">
      <c r="A697" s="5" t="s">
        <v>5505</v>
      </c>
      <c r="B697" s="39">
        <v>45796.760925925926</v>
      </c>
      <c r="C697" s="3" t="s">
        <v>4378</v>
      </c>
      <c r="D697" s="3">
        <v>114.0</v>
      </c>
      <c r="E697" s="3" t="s">
        <v>3380</v>
      </c>
      <c r="F697" s="3">
        <v>35000.0</v>
      </c>
      <c r="G697" s="5">
        <v>26.0</v>
      </c>
      <c r="H697" s="3" t="s">
        <v>4464</v>
      </c>
      <c r="I697" s="3" t="s">
        <v>4465</v>
      </c>
      <c r="J697" s="5">
        <v>95000.0</v>
      </c>
      <c r="K697" s="5">
        <v>130000.0</v>
      </c>
      <c r="L697" s="5" t="s">
        <v>4466</v>
      </c>
      <c r="M697" s="5" t="s">
        <v>4465</v>
      </c>
      <c r="O697" s="5" t="s">
        <v>4342</v>
      </c>
      <c r="Q697" s="5" t="b">
        <v>1</v>
      </c>
    </row>
    <row r="698" ht="15.75" customHeight="1">
      <c r="A698" s="5" t="s">
        <v>5506</v>
      </c>
      <c r="B698" s="39">
        <v>45796.76168981481</v>
      </c>
      <c r="C698" s="3" t="s">
        <v>4309</v>
      </c>
      <c r="D698" s="3">
        <v>11.0</v>
      </c>
      <c r="E698" s="3" t="s">
        <v>4197</v>
      </c>
      <c r="F698" s="3">
        <v>36000.0</v>
      </c>
      <c r="G698" s="5">
        <v>26.0</v>
      </c>
      <c r="H698" s="3" t="s">
        <v>4466</v>
      </c>
      <c r="I698" s="3" t="s">
        <v>4465</v>
      </c>
      <c r="J698" s="5">
        <v>130000.0</v>
      </c>
      <c r="K698" s="5">
        <v>166000.0</v>
      </c>
      <c r="L698" s="5" t="s">
        <v>4467</v>
      </c>
      <c r="M698" s="5" t="s">
        <v>4465</v>
      </c>
      <c r="O698" s="5" t="s">
        <v>3320</v>
      </c>
      <c r="Q698" s="5" t="b">
        <v>1</v>
      </c>
    </row>
    <row r="699" ht="15.75" customHeight="1">
      <c r="A699" s="5" t="s">
        <v>5507</v>
      </c>
      <c r="B699" s="39">
        <v>45796.76283564815</v>
      </c>
      <c r="C699" s="3" t="s">
        <v>4265</v>
      </c>
      <c r="D699" s="3">
        <v>84.0</v>
      </c>
      <c r="E699" s="3" t="s">
        <v>3273</v>
      </c>
      <c r="F699" s="3">
        <v>35000.0</v>
      </c>
      <c r="G699" s="5">
        <v>26.0</v>
      </c>
      <c r="H699" s="3" t="s">
        <v>4467</v>
      </c>
      <c r="I699" s="3" t="s">
        <v>4465</v>
      </c>
      <c r="J699" s="5">
        <v>166000.0</v>
      </c>
      <c r="K699" s="5">
        <v>201000.0</v>
      </c>
      <c r="L699" s="5" t="s">
        <v>4468</v>
      </c>
      <c r="M699" s="5" t="s">
        <v>4465</v>
      </c>
      <c r="O699" s="5" t="s">
        <v>3605</v>
      </c>
      <c r="Q699" s="5" t="b">
        <v>1</v>
      </c>
    </row>
    <row r="700" ht="15.75" customHeight="1">
      <c r="A700" s="5" t="s">
        <v>5508</v>
      </c>
      <c r="B700" s="39">
        <v>45796.77296296296</v>
      </c>
      <c r="C700" s="3" t="s">
        <v>4239</v>
      </c>
      <c r="D700" s="3">
        <v>90.0</v>
      </c>
      <c r="E700" s="3" t="s">
        <v>3759</v>
      </c>
      <c r="F700" s="3">
        <v>2100.0</v>
      </c>
      <c r="G700" s="5">
        <v>80.0</v>
      </c>
      <c r="H700" s="3" t="s">
        <v>4454</v>
      </c>
      <c r="I700" s="3" t="s">
        <v>3706</v>
      </c>
      <c r="J700" s="5">
        <v>24000.0</v>
      </c>
      <c r="K700" s="5">
        <v>26100.0</v>
      </c>
      <c r="L700" s="5" t="s">
        <v>4469</v>
      </c>
      <c r="M700" s="5" t="s">
        <v>3706</v>
      </c>
      <c r="O700" s="5" t="s">
        <v>3605</v>
      </c>
      <c r="P700" s="5" t="s">
        <v>3605</v>
      </c>
      <c r="Q700" s="5" t="b">
        <v>1</v>
      </c>
      <c r="R700" s="5" t="s">
        <v>3605</v>
      </c>
    </row>
    <row r="701" ht="15.75" customHeight="1">
      <c r="A701" s="5" t="s">
        <v>5509</v>
      </c>
      <c r="B701" s="39">
        <v>45796.775983796295</v>
      </c>
      <c r="C701" s="3" t="s">
        <v>4239</v>
      </c>
      <c r="D701" s="3">
        <v>90.0</v>
      </c>
      <c r="E701" s="3" t="s">
        <v>3759</v>
      </c>
      <c r="F701" s="3">
        <v>400.0</v>
      </c>
      <c r="G701" s="5">
        <v>26.0</v>
      </c>
      <c r="H701" s="3" t="s">
        <v>4468</v>
      </c>
      <c r="I701" s="3" t="s">
        <v>4465</v>
      </c>
      <c r="J701" s="5">
        <v>201000.0</v>
      </c>
      <c r="K701" s="5">
        <v>201400.0</v>
      </c>
      <c r="L701" s="5" t="s">
        <v>4470</v>
      </c>
      <c r="M701" s="5" t="s">
        <v>4465</v>
      </c>
      <c r="O701" s="5" t="s">
        <v>3605</v>
      </c>
      <c r="Q701" s="5" t="b">
        <v>1</v>
      </c>
    </row>
    <row r="702" ht="15.75" customHeight="1">
      <c r="A702" s="5" t="s">
        <v>5510</v>
      </c>
      <c r="B702" s="39">
        <v>45796.80813657407</v>
      </c>
      <c r="C702" s="4" t="s">
        <v>4415</v>
      </c>
      <c r="D702" s="3">
        <v>75.0</v>
      </c>
      <c r="E702" s="3" t="s">
        <v>4368</v>
      </c>
      <c r="F702" s="3">
        <v>7000.0</v>
      </c>
      <c r="G702" s="5">
        <v>500.0</v>
      </c>
      <c r="H702" s="3"/>
      <c r="I702" s="3"/>
      <c r="J702" s="5">
        <v>0.0</v>
      </c>
      <c r="K702" s="5">
        <v>7000.0</v>
      </c>
      <c r="L702" s="5" t="s">
        <v>4471</v>
      </c>
      <c r="O702" s="5" t="s">
        <v>3715</v>
      </c>
      <c r="Q702" s="5" t="b">
        <v>1</v>
      </c>
    </row>
    <row r="703" ht="15.75" customHeight="1">
      <c r="A703" s="5" t="s">
        <v>5511</v>
      </c>
      <c r="B703" s="39">
        <v>45797.74364583333</v>
      </c>
      <c r="C703" s="3" t="s">
        <v>4439</v>
      </c>
      <c r="D703" s="3">
        <v>45.0</v>
      </c>
      <c r="E703" s="3" t="s">
        <v>3272</v>
      </c>
      <c r="F703" s="3">
        <v>30000.0</v>
      </c>
      <c r="G703" s="5">
        <v>114.0</v>
      </c>
      <c r="H703" s="3" t="s">
        <v>4378</v>
      </c>
      <c r="I703" s="3" t="s">
        <v>3380</v>
      </c>
      <c r="J703" s="5">
        <v>90300.0</v>
      </c>
      <c r="K703" s="5">
        <v>120300.0</v>
      </c>
      <c r="L703" s="5" t="s">
        <v>4472</v>
      </c>
      <c r="M703" s="5" t="s">
        <v>3380</v>
      </c>
      <c r="O703" s="5" t="s">
        <v>4342</v>
      </c>
      <c r="P703" s="5" t="s">
        <v>4342</v>
      </c>
      <c r="Q703" s="5" t="b">
        <v>1</v>
      </c>
      <c r="R703" s="5" t="s">
        <v>4342</v>
      </c>
    </row>
    <row r="704" ht="15.75" customHeight="1">
      <c r="A704" s="5" t="s">
        <v>5512</v>
      </c>
      <c r="B704" s="39">
        <v>45797.74450231482</v>
      </c>
      <c r="C704" s="3" t="s">
        <v>4449</v>
      </c>
      <c r="D704" s="3">
        <v>68.0</v>
      </c>
      <c r="E704" s="3" t="s">
        <v>3272</v>
      </c>
      <c r="F704" s="3">
        <v>5000.0</v>
      </c>
      <c r="G704" s="5">
        <v>114.0</v>
      </c>
      <c r="H704" s="3" t="s">
        <v>4472</v>
      </c>
      <c r="I704" s="3" t="s">
        <v>3380</v>
      </c>
      <c r="J704" s="5">
        <v>120300.0</v>
      </c>
      <c r="K704" s="5">
        <v>125300.0</v>
      </c>
      <c r="L704" s="5" t="s">
        <v>4473</v>
      </c>
      <c r="M704" s="5" t="s">
        <v>3380</v>
      </c>
      <c r="O704" s="5" t="s">
        <v>4342</v>
      </c>
      <c r="P704" s="5" t="s">
        <v>4342</v>
      </c>
      <c r="Q704" s="5" t="b">
        <v>1</v>
      </c>
      <c r="R704" s="5" t="s">
        <v>4342</v>
      </c>
    </row>
    <row r="705" ht="15.75" customHeight="1">
      <c r="A705" s="5" t="s">
        <v>5513</v>
      </c>
      <c r="B705" s="39">
        <v>45797.745034722226</v>
      </c>
      <c r="C705" s="3" t="s">
        <v>4348</v>
      </c>
      <c r="D705" s="3">
        <v>65.0</v>
      </c>
      <c r="E705" s="3" t="s">
        <v>4245</v>
      </c>
      <c r="F705" s="3">
        <v>-500.0</v>
      </c>
      <c r="G705" s="5">
        <v>68.0</v>
      </c>
      <c r="H705" s="3" t="s">
        <v>4449</v>
      </c>
      <c r="I705" s="3" t="s">
        <v>3272</v>
      </c>
      <c r="J705" s="5">
        <v>8000.0</v>
      </c>
      <c r="K705" s="5">
        <v>7500.0</v>
      </c>
      <c r="L705" s="5" t="s">
        <v>4475</v>
      </c>
      <c r="M705" s="5" t="s">
        <v>3272</v>
      </c>
      <c r="O705" s="5" t="s">
        <v>4342</v>
      </c>
      <c r="P705" s="5" t="s">
        <v>4342</v>
      </c>
      <c r="Q705" s="5" t="b">
        <v>1</v>
      </c>
      <c r="R705" s="5" t="s">
        <v>4342</v>
      </c>
    </row>
    <row r="706" ht="15.75" customHeight="1">
      <c r="A706" s="5" t="s">
        <v>5514</v>
      </c>
      <c r="B706" s="39">
        <v>45797.745358796295</v>
      </c>
      <c r="C706" s="3" t="s">
        <v>4376</v>
      </c>
      <c r="D706" s="3">
        <v>66.0</v>
      </c>
      <c r="E706" s="3" t="s">
        <v>4245</v>
      </c>
      <c r="F706" s="3">
        <v>-500.0</v>
      </c>
      <c r="G706" s="5">
        <v>68.0</v>
      </c>
      <c r="H706" s="3" t="s">
        <v>4475</v>
      </c>
      <c r="I706" s="3" t="s">
        <v>3272</v>
      </c>
      <c r="J706" s="5">
        <v>7500.0</v>
      </c>
      <c r="K706" s="5">
        <v>7000.0</v>
      </c>
      <c r="L706" s="5" t="s">
        <v>4476</v>
      </c>
      <c r="M706" s="5" t="s">
        <v>3272</v>
      </c>
      <c r="O706" s="5" t="s">
        <v>4342</v>
      </c>
      <c r="P706" s="5" t="s">
        <v>4342</v>
      </c>
      <c r="Q706" s="5" t="b">
        <v>1</v>
      </c>
      <c r="R706" s="5" t="s">
        <v>4342</v>
      </c>
    </row>
    <row r="707" ht="15.75" customHeight="1">
      <c r="A707" s="5" t="s">
        <v>5515</v>
      </c>
      <c r="B707" s="39">
        <v>45797.748761574076</v>
      </c>
      <c r="C707" s="3" t="s">
        <v>4265</v>
      </c>
      <c r="D707" s="3">
        <v>84.0</v>
      </c>
      <c r="E707" s="3" t="s">
        <v>3273</v>
      </c>
      <c r="F707" s="3">
        <v>48000.0</v>
      </c>
      <c r="G707" s="5">
        <v>87.0</v>
      </c>
      <c r="H707" s="3"/>
      <c r="I707" s="3"/>
      <c r="J707" s="5">
        <v>0.0</v>
      </c>
      <c r="K707" s="5">
        <v>48000.0</v>
      </c>
      <c r="L707" s="5" t="s">
        <v>4477</v>
      </c>
      <c r="M707" s="5" t="s">
        <v>3273</v>
      </c>
      <c r="O707" s="5" t="s">
        <v>3605</v>
      </c>
      <c r="Q707" s="5" t="b">
        <v>0</v>
      </c>
      <c r="R707" s="5" t="s">
        <v>4342</v>
      </c>
    </row>
    <row r="708" ht="15.75" customHeight="1">
      <c r="A708" s="5" t="s">
        <v>5516</v>
      </c>
      <c r="B708" s="39">
        <v>45797.75604166667</v>
      </c>
      <c r="C708" s="3" t="s">
        <v>4263</v>
      </c>
      <c r="D708" s="3">
        <v>88.0</v>
      </c>
      <c r="E708" s="3" t="s">
        <v>3273</v>
      </c>
      <c r="F708" s="3">
        <v>45700.0</v>
      </c>
      <c r="G708" s="5">
        <v>87.0</v>
      </c>
      <c r="H708" s="3" t="s">
        <v>4477</v>
      </c>
      <c r="I708" s="3" t="s">
        <v>3273</v>
      </c>
      <c r="J708" s="5">
        <v>48000.0</v>
      </c>
      <c r="K708" s="5">
        <v>93700.0</v>
      </c>
      <c r="L708" s="5" t="s">
        <v>4478</v>
      </c>
      <c r="M708" s="5" t="s">
        <v>3273</v>
      </c>
      <c r="O708" s="5" t="s">
        <v>3605</v>
      </c>
      <c r="P708" s="5" t="s">
        <v>4342</v>
      </c>
      <c r="Q708" s="5" t="b">
        <v>1</v>
      </c>
      <c r="R708" s="5" t="s">
        <v>4342</v>
      </c>
    </row>
    <row r="709" ht="15.75" customHeight="1">
      <c r="A709" s="5" t="s">
        <v>5517</v>
      </c>
      <c r="B709" s="39">
        <v>45797.75745370371</v>
      </c>
      <c r="C709" s="3" t="s">
        <v>4263</v>
      </c>
      <c r="D709" s="3">
        <v>88.0</v>
      </c>
      <c r="E709" s="3" t="s">
        <v>3273</v>
      </c>
      <c r="F709" s="3">
        <v>30000.0</v>
      </c>
      <c r="G709" s="5">
        <v>45.0</v>
      </c>
      <c r="H709" s="3"/>
      <c r="I709" s="3"/>
      <c r="J709" s="5">
        <v>0.0</v>
      </c>
      <c r="K709" s="5">
        <v>30000.0</v>
      </c>
      <c r="L709" s="5" t="s">
        <v>4479</v>
      </c>
      <c r="M709" s="5" t="s">
        <v>3273</v>
      </c>
      <c r="O709" s="5" t="s">
        <v>3605</v>
      </c>
      <c r="Q709" s="5" t="b">
        <v>0</v>
      </c>
      <c r="R709" s="5" t="s">
        <v>3605</v>
      </c>
    </row>
    <row r="710" ht="15.75" customHeight="1">
      <c r="A710" s="5" t="s">
        <v>5518</v>
      </c>
      <c r="B710" s="39">
        <v>45797.7587037037</v>
      </c>
      <c r="C710" s="3" t="s">
        <v>4263</v>
      </c>
      <c r="D710" s="3">
        <v>88.0</v>
      </c>
      <c r="E710" s="3" t="s">
        <v>3273</v>
      </c>
      <c r="F710" s="3">
        <v>3200.0</v>
      </c>
      <c r="G710" s="5">
        <v>68.0</v>
      </c>
      <c r="H710" s="3" t="s">
        <v>4476</v>
      </c>
      <c r="I710" s="3" t="s">
        <v>3272</v>
      </c>
      <c r="J710" s="5">
        <v>7000.0</v>
      </c>
      <c r="K710" s="5">
        <v>10200.0</v>
      </c>
      <c r="L710" s="5" t="s">
        <v>4480</v>
      </c>
      <c r="M710" s="5" t="s">
        <v>3273</v>
      </c>
      <c r="O710" s="5" t="s">
        <v>3605</v>
      </c>
      <c r="P710" s="5" t="s">
        <v>4342</v>
      </c>
      <c r="R710" s="5" t="s">
        <v>3605</v>
      </c>
    </row>
    <row r="711" ht="15.75" customHeight="1">
      <c r="A711" s="5" t="s">
        <v>5519</v>
      </c>
      <c r="B711" s="39">
        <v>45797.75951388889</v>
      </c>
      <c r="C711" s="3" t="s">
        <v>4381</v>
      </c>
      <c r="D711" s="3">
        <v>72.0</v>
      </c>
      <c r="E711" s="3" t="s">
        <v>3275</v>
      </c>
      <c r="F711" s="3">
        <v>8000.0</v>
      </c>
      <c r="G711" s="5">
        <v>7.0</v>
      </c>
      <c r="H711" s="3" t="s">
        <v>4431</v>
      </c>
      <c r="I711" s="3" t="s">
        <v>4423</v>
      </c>
      <c r="J711" s="5">
        <v>22000.0</v>
      </c>
      <c r="K711" s="5">
        <v>30000.0</v>
      </c>
      <c r="L711" s="5" t="s">
        <v>4481</v>
      </c>
      <c r="M711" s="5" t="s">
        <v>4423</v>
      </c>
      <c r="O711" s="5" t="s">
        <v>3605</v>
      </c>
      <c r="P711" s="5" t="s">
        <v>3337</v>
      </c>
      <c r="Q711" s="5" t="b">
        <v>1</v>
      </c>
      <c r="R711" s="5" t="s">
        <v>3337</v>
      </c>
    </row>
    <row r="712" ht="15.75" customHeight="1">
      <c r="A712" s="5" t="s">
        <v>5520</v>
      </c>
      <c r="B712" s="39">
        <v>45797.75984953704</v>
      </c>
      <c r="C712" s="3" t="s">
        <v>4381</v>
      </c>
      <c r="D712" s="3">
        <v>72.0</v>
      </c>
      <c r="E712" s="3" t="s">
        <v>3275</v>
      </c>
      <c r="F712" s="3">
        <v>5000.0</v>
      </c>
      <c r="G712" s="5">
        <v>49.0</v>
      </c>
      <c r="H712" s="3"/>
      <c r="I712" s="3"/>
      <c r="J712" s="5">
        <v>0.0</v>
      </c>
      <c r="K712" s="5">
        <v>5000.0</v>
      </c>
      <c r="L712" s="5" t="s">
        <v>4482</v>
      </c>
      <c r="M712" s="5" t="s">
        <v>3275</v>
      </c>
      <c r="O712" s="5" t="s">
        <v>3605</v>
      </c>
      <c r="Q712" s="5" t="b">
        <v>0</v>
      </c>
      <c r="R712" s="5" t="s">
        <v>3337</v>
      </c>
    </row>
    <row r="713" ht="15.75" customHeight="1">
      <c r="A713" s="5" t="s">
        <v>5521</v>
      </c>
      <c r="B713" s="39">
        <v>45797.77206018518</v>
      </c>
      <c r="C713" s="3" t="s">
        <v>4273</v>
      </c>
      <c r="D713" s="3">
        <v>116.0</v>
      </c>
      <c r="E713" s="3" t="s">
        <v>3662</v>
      </c>
      <c r="F713" s="3">
        <v>97500.0</v>
      </c>
      <c r="G713" s="5">
        <v>90.0</v>
      </c>
      <c r="H713" s="3"/>
      <c r="I713" s="3"/>
      <c r="J713" s="5">
        <v>0.0</v>
      </c>
      <c r="K713" s="5">
        <v>97500.0</v>
      </c>
      <c r="L713" s="5" t="s">
        <v>4483</v>
      </c>
      <c r="M713" s="5" t="s">
        <v>3662</v>
      </c>
      <c r="O713" s="5" t="s">
        <v>3605</v>
      </c>
      <c r="Q713" s="5" t="b">
        <v>0</v>
      </c>
      <c r="R713" s="5" t="s">
        <v>3605</v>
      </c>
    </row>
    <row r="714" ht="15.75" customHeight="1">
      <c r="A714" s="5" t="s">
        <v>5522</v>
      </c>
      <c r="B714" s="39">
        <v>45797.77276620371</v>
      </c>
      <c r="C714" s="3" t="s">
        <v>4273</v>
      </c>
      <c r="D714" s="3">
        <v>116.0</v>
      </c>
      <c r="E714" s="3" t="s">
        <v>3662</v>
      </c>
      <c r="F714" s="3">
        <v>2100.0</v>
      </c>
      <c r="G714" s="5">
        <v>68.0</v>
      </c>
      <c r="H714" s="3" t="s">
        <v>4480</v>
      </c>
      <c r="I714" s="3" t="s">
        <v>3273</v>
      </c>
      <c r="J714" s="5">
        <v>10200.0</v>
      </c>
      <c r="K714" s="5">
        <v>12300.0</v>
      </c>
      <c r="L714" s="5" t="s">
        <v>4484</v>
      </c>
      <c r="M714" s="5" t="s">
        <v>3273</v>
      </c>
      <c r="O714" s="5" t="s">
        <v>3605</v>
      </c>
      <c r="P714" s="5" t="s">
        <v>3605</v>
      </c>
      <c r="Q714" s="5" t="b">
        <v>1</v>
      </c>
      <c r="R714" s="5" t="s">
        <v>3605</v>
      </c>
    </row>
    <row r="715" ht="15.75" customHeight="1">
      <c r="A715" s="5" t="s">
        <v>5523</v>
      </c>
      <c r="B715" s="39">
        <v>45798.76082175926</v>
      </c>
      <c r="C715" s="3" t="s">
        <v>4484</v>
      </c>
      <c r="D715" s="3">
        <v>68.0</v>
      </c>
      <c r="E715" s="3" t="s">
        <v>3273</v>
      </c>
      <c r="F715" s="3">
        <v>12300.0</v>
      </c>
      <c r="G715" s="5">
        <v>49.0</v>
      </c>
      <c r="H715" s="3" t="s">
        <v>4482</v>
      </c>
      <c r="I715" s="3" t="s">
        <v>3275</v>
      </c>
      <c r="J715" s="5">
        <v>5000.0</v>
      </c>
      <c r="K715" s="5">
        <v>17300.0</v>
      </c>
      <c r="L715" s="5" t="s">
        <v>4485</v>
      </c>
      <c r="M715" s="5" t="s">
        <v>3275</v>
      </c>
      <c r="O715" s="5" t="s">
        <v>3605</v>
      </c>
      <c r="P715" s="5" t="s">
        <v>3337</v>
      </c>
      <c r="Q715" s="5" t="b">
        <v>1</v>
      </c>
      <c r="R715" s="5" t="s">
        <v>3337</v>
      </c>
    </row>
    <row r="716" ht="15.75" customHeight="1">
      <c r="A716" s="5" t="s">
        <v>5524</v>
      </c>
      <c r="B716" s="39">
        <v>45798.76180555556</v>
      </c>
      <c r="C716" s="3" t="s">
        <v>4290</v>
      </c>
      <c r="D716" s="3">
        <v>104.0</v>
      </c>
      <c r="E716" s="3" t="s">
        <v>3662</v>
      </c>
      <c r="F716" s="3">
        <v>31000.0</v>
      </c>
      <c r="G716" s="5">
        <v>127.0</v>
      </c>
      <c r="H716" s="3"/>
      <c r="I716" s="3"/>
      <c r="J716" s="5">
        <v>0.0</v>
      </c>
      <c r="K716" s="5">
        <v>31000.0</v>
      </c>
      <c r="L716" s="5" t="s">
        <v>4486</v>
      </c>
      <c r="M716" s="5" t="s">
        <v>3662</v>
      </c>
      <c r="O716" s="5" t="s">
        <v>3605</v>
      </c>
      <c r="Q716" s="5" t="b">
        <v>0</v>
      </c>
      <c r="R716" s="5" t="s">
        <v>3605</v>
      </c>
    </row>
    <row r="717" ht="15.75" customHeight="1">
      <c r="A717" s="5" t="s">
        <v>5525</v>
      </c>
      <c r="B717" s="39">
        <v>45798.76744212963</v>
      </c>
      <c r="C717" s="3" t="s">
        <v>4424</v>
      </c>
      <c r="D717" s="3">
        <v>6.0</v>
      </c>
      <c r="E717" s="3" t="s">
        <v>4423</v>
      </c>
      <c r="F717" s="3">
        <v>10700.0</v>
      </c>
      <c r="G717" s="5">
        <v>121.0</v>
      </c>
      <c r="H717" s="3"/>
      <c r="I717" s="3"/>
      <c r="J717" s="5">
        <v>0.0</v>
      </c>
      <c r="K717" s="5">
        <v>10700.0</v>
      </c>
      <c r="L717" s="5" t="s">
        <v>4487</v>
      </c>
      <c r="M717" s="5" t="s">
        <v>4423</v>
      </c>
      <c r="O717" s="5" t="s">
        <v>3337</v>
      </c>
      <c r="Q717" s="5" t="b">
        <v>0</v>
      </c>
      <c r="R717" s="5" t="s">
        <v>3337</v>
      </c>
    </row>
    <row r="718" ht="15.75" customHeight="1">
      <c r="A718" s="5" t="s">
        <v>5526</v>
      </c>
      <c r="B718" s="39">
        <v>45798.7677662037</v>
      </c>
      <c r="C718" s="3" t="s">
        <v>4424</v>
      </c>
      <c r="D718" s="3">
        <v>6.0</v>
      </c>
      <c r="E718" s="3" t="s">
        <v>4423</v>
      </c>
      <c r="F718" s="3">
        <v>12900.0</v>
      </c>
      <c r="G718" s="5">
        <v>116.0</v>
      </c>
      <c r="H718" s="3"/>
      <c r="I718" s="3"/>
      <c r="J718" s="5">
        <v>0.0</v>
      </c>
      <c r="K718" s="5">
        <v>12900.0</v>
      </c>
      <c r="L718" s="5" t="s">
        <v>4488</v>
      </c>
      <c r="M718" s="5" t="s">
        <v>4423</v>
      </c>
      <c r="O718" s="5" t="s">
        <v>3337</v>
      </c>
      <c r="Q718" s="5" t="b">
        <v>0</v>
      </c>
      <c r="R718" s="5" t="s">
        <v>3337</v>
      </c>
    </row>
    <row r="719" ht="15.75" customHeight="1">
      <c r="A719" s="5" t="s">
        <v>5527</v>
      </c>
      <c r="B719" s="39">
        <v>45798.77106481481</v>
      </c>
      <c r="C719" s="3" t="s">
        <v>4269</v>
      </c>
      <c r="D719" s="3">
        <v>82.0</v>
      </c>
      <c r="E719" s="3" t="s">
        <v>3466</v>
      </c>
      <c r="F719" s="3">
        <v>4080.0</v>
      </c>
      <c r="G719" s="5">
        <v>121.0</v>
      </c>
      <c r="H719" s="3" t="s">
        <v>4487</v>
      </c>
      <c r="I719" s="3" t="s">
        <v>4423</v>
      </c>
      <c r="J719" s="5">
        <v>10700.0</v>
      </c>
      <c r="K719" s="5">
        <v>14780.0</v>
      </c>
      <c r="L719" s="5" t="s">
        <v>4489</v>
      </c>
      <c r="M719" s="5" t="s">
        <v>3466</v>
      </c>
      <c r="O719" s="5" t="s">
        <v>3605</v>
      </c>
      <c r="P719" s="5" t="s">
        <v>3337</v>
      </c>
      <c r="Q719" s="5" t="b">
        <v>0</v>
      </c>
      <c r="R719" s="5" t="s">
        <v>3605</v>
      </c>
    </row>
    <row r="720" ht="15.75" customHeight="1">
      <c r="A720" s="5" t="s">
        <v>5528</v>
      </c>
      <c r="B720" s="39">
        <v>45798.77149305555</v>
      </c>
      <c r="C720" s="3" t="s">
        <v>4269</v>
      </c>
      <c r="D720" s="3">
        <v>82.0</v>
      </c>
      <c r="E720" s="3" t="s">
        <v>3466</v>
      </c>
      <c r="F720" s="3">
        <v>5000.0</v>
      </c>
      <c r="G720" s="5">
        <v>116.0</v>
      </c>
      <c r="H720" s="3" t="s">
        <v>4488</v>
      </c>
      <c r="I720" s="3" t="s">
        <v>4423</v>
      </c>
      <c r="J720" s="5">
        <v>12900.0</v>
      </c>
      <c r="K720" s="5">
        <v>17900.0</v>
      </c>
      <c r="L720" s="5" t="s">
        <v>4490</v>
      </c>
      <c r="M720" s="5" t="s">
        <v>3466</v>
      </c>
      <c r="O720" s="5" t="s">
        <v>3605</v>
      </c>
      <c r="P720" s="5" t="s">
        <v>3337</v>
      </c>
      <c r="Q720" s="5" t="b">
        <v>0</v>
      </c>
      <c r="R720" s="5" t="s">
        <v>3605</v>
      </c>
    </row>
    <row r="721" ht="15.75" customHeight="1">
      <c r="A721" s="5" t="s">
        <v>5529</v>
      </c>
      <c r="B721" s="39">
        <v>45798.772210648145</v>
      </c>
      <c r="C721" s="3" t="s">
        <v>4269</v>
      </c>
      <c r="D721" s="3">
        <v>82.0</v>
      </c>
      <c r="E721" s="3" t="s">
        <v>3466</v>
      </c>
      <c r="F721" s="3">
        <v>2000.0</v>
      </c>
      <c r="G721" s="5">
        <v>34.0</v>
      </c>
      <c r="H721" s="3"/>
      <c r="I721" s="3"/>
      <c r="J721" s="5">
        <v>0.0</v>
      </c>
      <c r="K721" s="5">
        <v>2000.0</v>
      </c>
      <c r="L721" s="5" t="s">
        <v>4491</v>
      </c>
      <c r="M721" s="5" t="s">
        <v>3466</v>
      </c>
      <c r="O721" s="5" t="s">
        <v>3605</v>
      </c>
      <c r="Q721" s="5" t="b">
        <v>0</v>
      </c>
      <c r="R721" s="5" t="s">
        <v>3605</v>
      </c>
    </row>
    <row r="722" ht="15.75" customHeight="1">
      <c r="A722" s="7" t="s">
        <v>5530</v>
      </c>
      <c r="B722" s="41">
        <v>45798.773252314815</v>
      </c>
      <c r="C722" s="42" t="s">
        <v>4372</v>
      </c>
      <c r="D722" s="42">
        <v>24.0</v>
      </c>
      <c r="E722" s="42" t="s">
        <v>3275</v>
      </c>
      <c r="F722" s="42">
        <v>81700.0</v>
      </c>
      <c r="G722" s="7">
        <v>116.0</v>
      </c>
      <c r="H722" s="42" t="s">
        <v>4490</v>
      </c>
      <c r="I722" s="42" t="s">
        <v>3466</v>
      </c>
      <c r="J722" s="7">
        <v>17900.0</v>
      </c>
      <c r="K722" s="7">
        <v>99600.0</v>
      </c>
      <c r="L722" s="7" t="s">
        <v>4492</v>
      </c>
      <c r="M722" s="7" t="s">
        <v>3275</v>
      </c>
      <c r="N722" s="7"/>
      <c r="O722" s="7" t="s">
        <v>3605</v>
      </c>
      <c r="P722" s="7" t="s">
        <v>3605</v>
      </c>
      <c r="Q722" s="7" t="b">
        <v>0</v>
      </c>
      <c r="R722" s="7" t="s">
        <v>3605</v>
      </c>
    </row>
    <row r="723" ht="15.75" customHeight="1">
      <c r="A723" s="5" t="s">
        <v>5531</v>
      </c>
      <c r="B723" s="39">
        <v>45798.77363425926</v>
      </c>
      <c r="C723" s="3" t="s">
        <v>4372</v>
      </c>
      <c r="D723" s="3">
        <v>24.0</v>
      </c>
      <c r="E723" s="3" t="s">
        <v>3275</v>
      </c>
      <c r="F723" s="3">
        <v>71020.0</v>
      </c>
      <c r="G723" s="5">
        <v>121.0</v>
      </c>
      <c r="H723" s="3" t="s">
        <v>4489</v>
      </c>
      <c r="I723" s="3" t="s">
        <v>3466</v>
      </c>
      <c r="J723" s="5">
        <v>14780.0</v>
      </c>
      <c r="K723" s="5">
        <v>85800.0</v>
      </c>
      <c r="L723" s="5" t="s">
        <v>4493</v>
      </c>
      <c r="M723" s="5" t="s">
        <v>3275</v>
      </c>
      <c r="O723" s="5" t="s">
        <v>3605</v>
      </c>
      <c r="P723" s="5" t="s">
        <v>3605</v>
      </c>
      <c r="Q723" s="5" t="b">
        <v>0</v>
      </c>
      <c r="R723" s="5" t="s">
        <v>3605</v>
      </c>
    </row>
    <row r="724" ht="15.75" customHeight="1">
      <c r="A724" s="5" t="s">
        <v>5532</v>
      </c>
      <c r="B724" s="39">
        <v>45798.77560185185</v>
      </c>
      <c r="C724" s="3" t="s">
        <v>4372</v>
      </c>
      <c r="D724" s="3">
        <v>24.0</v>
      </c>
      <c r="E724" s="3" t="s">
        <v>3275</v>
      </c>
      <c r="F724" s="3">
        <v>33880.0</v>
      </c>
      <c r="G724" s="5">
        <v>34.0</v>
      </c>
      <c r="H724" s="3" t="s">
        <v>4491</v>
      </c>
      <c r="I724" s="3" t="s">
        <v>3466</v>
      </c>
      <c r="J724" s="5">
        <v>2000.0</v>
      </c>
      <c r="K724" s="5">
        <v>35880.0</v>
      </c>
      <c r="L724" s="5" t="s">
        <v>4494</v>
      </c>
      <c r="M724" s="5" t="s">
        <v>3275</v>
      </c>
      <c r="O724" s="5" t="s">
        <v>3605</v>
      </c>
      <c r="P724" s="5" t="s">
        <v>3605</v>
      </c>
      <c r="Q724" s="5" t="b">
        <v>0</v>
      </c>
      <c r="R724" s="5" t="s">
        <v>3605</v>
      </c>
    </row>
    <row r="725" ht="15.75" customHeight="1">
      <c r="A725" s="5" t="s">
        <v>5533</v>
      </c>
      <c r="B725" s="39">
        <v>45800.42549768519</v>
      </c>
      <c r="C725" s="3" t="s">
        <v>4420</v>
      </c>
      <c r="D725" s="3">
        <v>120.0</v>
      </c>
      <c r="E725" s="3" t="s">
        <v>3745</v>
      </c>
      <c r="F725" s="3">
        <v>44400.0</v>
      </c>
      <c r="G725" s="5">
        <v>24.0</v>
      </c>
      <c r="H725" s="3"/>
      <c r="I725" s="3"/>
      <c r="J725" s="5">
        <v>0.0</v>
      </c>
      <c r="K725" s="5">
        <v>44400.0</v>
      </c>
      <c r="L725" s="5" t="s">
        <v>4495</v>
      </c>
      <c r="M725" s="5" t="s">
        <v>3275</v>
      </c>
      <c r="O725" s="5" t="s">
        <v>3605</v>
      </c>
      <c r="Q725" s="5" t="b">
        <v>0</v>
      </c>
      <c r="R725" s="5" t="s">
        <v>4342</v>
      </c>
    </row>
    <row r="726" ht="15.75" customHeight="1">
      <c r="A726" s="5" t="s">
        <v>5534</v>
      </c>
      <c r="B726" s="39">
        <v>45800.42638888889</v>
      </c>
      <c r="C726" s="3" t="s">
        <v>4269</v>
      </c>
      <c r="D726" s="3">
        <v>82.0</v>
      </c>
      <c r="E726" s="3" t="s">
        <v>3466</v>
      </c>
      <c r="F726" s="3">
        <v>9500.0</v>
      </c>
      <c r="G726" s="5">
        <v>24.0</v>
      </c>
      <c r="H726" s="3" t="s">
        <v>4495</v>
      </c>
      <c r="I726" s="3" t="s">
        <v>3275</v>
      </c>
      <c r="J726" s="5">
        <v>44400.0</v>
      </c>
      <c r="K726" s="5">
        <v>53900.0</v>
      </c>
      <c r="L726" s="5" t="s">
        <v>4496</v>
      </c>
      <c r="M726" s="5" t="s">
        <v>3275</v>
      </c>
      <c r="O726" s="5" t="s">
        <v>3605</v>
      </c>
      <c r="P726" s="5" t="s">
        <v>4342</v>
      </c>
      <c r="Q726" s="5" t="b">
        <v>1</v>
      </c>
      <c r="R726" s="5" t="s">
        <v>4342</v>
      </c>
    </row>
    <row r="727" ht="15.75" customHeight="1">
      <c r="A727" s="5" t="s">
        <v>5535</v>
      </c>
      <c r="B727" s="39">
        <v>45800.42686342593</v>
      </c>
      <c r="C727" s="3" t="s">
        <v>4481</v>
      </c>
      <c r="D727" s="3">
        <v>7.0</v>
      </c>
      <c r="E727" s="3" t="s">
        <v>4423</v>
      </c>
      <c r="F727" s="3">
        <v>18100.0</v>
      </c>
      <c r="G727" s="5">
        <v>24.0</v>
      </c>
      <c r="H727" s="3" t="s">
        <v>4496</v>
      </c>
      <c r="I727" s="3" t="s">
        <v>3275</v>
      </c>
      <c r="J727" s="5">
        <v>53900.0</v>
      </c>
      <c r="K727" s="5">
        <v>72000.0</v>
      </c>
      <c r="L727" s="5" t="s">
        <v>4497</v>
      </c>
      <c r="M727" s="5" t="s">
        <v>3275</v>
      </c>
      <c r="O727" s="5" t="s">
        <v>3337</v>
      </c>
      <c r="P727" s="5" t="s">
        <v>4342</v>
      </c>
      <c r="Q727" s="5" t="b">
        <v>1</v>
      </c>
      <c r="R727" s="5" t="s">
        <v>4342</v>
      </c>
    </row>
    <row r="728" ht="15.75" customHeight="1">
      <c r="A728" s="5" t="s">
        <v>5536</v>
      </c>
      <c r="B728" s="39">
        <v>45800.427256944444</v>
      </c>
      <c r="C728" s="3" t="s">
        <v>4347</v>
      </c>
      <c r="D728" s="3">
        <v>85.0</v>
      </c>
      <c r="E728" s="3" t="s">
        <v>4245</v>
      </c>
      <c r="F728" s="3">
        <v>84000.0</v>
      </c>
      <c r="G728" s="5">
        <v>24.0</v>
      </c>
      <c r="H728" s="3" t="s">
        <v>4497</v>
      </c>
      <c r="I728" s="3" t="s">
        <v>3275</v>
      </c>
      <c r="J728" s="5">
        <v>72000.0</v>
      </c>
      <c r="K728" s="5">
        <v>156000.0</v>
      </c>
      <c r="L728" s="5" t="s">
        <v>4498</v>
      </c>
      <c r="M728" s="5" t="s">
        <v>3275</v>
      </c>
      <c r="O728" s="5" t="s">
        <v>3605</v>
      </c>
      <c r="P728" s="5" t="s">
        <v>4342</v>
      </c>
      <c r="Q728" s="5" t="b">
        <v>1</v>
      </c>
      <c r="R728" s="5" t="s">
        <v>4342</v>
      </c>
    </row>
    <row r="729" ht="15.75" customHeight="1">
      <c r="A729" s="5" t="s">
        <v>5537</v>
      </c>
      <c r="B729" s="39">
        <v>45800.42920138889</v>
      </c>
      <c r="C729" s="3" t="s">
        <v>4348</v>
      </c>
      <c r="D729" s="3">
        <v>65.0</v>
      </c>
      <c r="E729" s="3" t="s">
        <v>4245</v>
      </c>
      <c r="F729" s="3">
        <v>30600.0</v>
      </c>
      <c r="G729" s="5">
        <v>24.0</v>
      </c>
      <c r="H729" s="3" t="s">
        <v>4498</v>
      </c>
      <c r="I729" s="3" t="s">
        <v>3275</v>
      </c>
      <c r="J729" s="5">
        <v>156000.0</v>
      </c>
      <c r="K729" s="5">
        <v>186600.0</v>
      </c>
      <c r="L729" s="5" t="s">
        <v>14</v>
      </c>
      <c r="M729" s="5" t="s">
        <v>3275</v>
      </c>
      <c r="O729" s="5" t="s">
        <v>4342</v>
      </c>
      <c r="P729" s="5" t="s">
        <v>4342</v>
      </c>
      <c r="Q729" s="5" t="b">
        <v>1</v>
      </c>
      <c r="R729" s="5" t="s">
        <v>4342</v>
      </c>
    </row>
    <row r="730" ht="15.75" customHeight="1">
      <c r="A730" s="5" t="s">
        <v>5538</v>
      </c>
      <c r="B730" s="39">
        <v>45800.75077546296</v>
      </c>
      <c r="C730" s="3" t="s">
        <v>4348</v>
      </c>
      <c r="D730" s="3">
        <v>65.0</v>
      </c>
      <c r="E730" s="3" t="s">
        <v>4245</v>
      </c>
      <c r="F730" s="3">
        <v>2900.0</v>
      </c>
      <c r="G730" s="5">
        <v>500.0</v>
      </c>
      <c r="H730" s="3" t="s">
        <v>4499</v>
      </c>
      <c r="I730" s="3" t="s">
        <v>4500</v>
      </c>
      <c r="J730" s="5">
        <v>1.0</v>
      </c>
      <c r="K730" s="5">
        <v>2901.0</v>
      </c>
      <c r="L730" s="5" t="s">
        <v>4501</v>
      </c>
      <c r="M730" s="5" t="s">
        <v>4500</v>
      </c>
      <c r="O730" s="5" t="s">
        <v>4342</v>
      </c>
      <c r="Q730" s="5" t="b">
        <v>1</v>
      </c>
    </row>
    <row r="731" ht="15.75" customHeight="1">
      <c r="A731" s="5" t="s">
        <v>5539</v>
      </c>
      <c r="B731" s="39">
        <v>45800.75130787037</v>
      </c>
      <c r="C731" s="3" t="s">
        <v>4348</v>
      </c>
      <c r="D731" s="3">
        <v>65.0</v>
      </c>
      <c r="E731" s="3" t="s">
        <v>4245</v>
      </c>
      <c r="F731" s="3">
        <v>2000.0</v>
      </c>
      <c r="G731" s="5">
        <v>83.0</v>
      </c>
      <c r="H731" s="3"/>
      <c r="I731" s="3"/>
      <c r="J731" s="5">
        <v>0.0</v>
      </c>
      <c r="K731" s="5">
        <v>2000.0</v>
      </c>
      <c r="L731" s="5" t="s">
        <v>4502</v>
      </c>
      <c r="M731" s="5" t="s">
        <v>3275</v>
      </c>
      <c r="O731" s="5" t="s">
        <v>4342</v>
      </c>
      <c r="Q731" s="5" t="b">
        <v>0</v>
      </c>
      <c r="R731" s="5" t="s">
        <v>4342</v>
      </c>
    </row>
    <row r="732" ht="15.75" customHeight="1">
      <c r="A732" s="5" t="s">
        <v>5540</v>
      </c>
      <c r="B732" s="39">
        <v>45800.75167824074</v>
      </c>
      <c r="C732" s="3" t="s">
        <v>4376</v>
      </c>
      <c r="D732" s="3">
        <v>66.0</v>
      </c>
      <c r="E732" s="3" t="s">
        <v>4245</v>
      </c>
      <c r="F732" s="3">
        <v>23000.0</v>
      </c>
      <c r="G732" s="5">
        <v>83.0</v>
      </c>
      <c r="H732" s="3" t="s">
        <v>4502</v>
      </c>
      <c r="I732" s="3" t="s">
        <v>3275</v>
      </c>
      <c r="J732" s="5">
        <v>2000.0</v>
      </c>
      <c r="K732" s="5">
        <v>25000.0</v>
      </c>
      <c r="L732" s="5" t="s">
        <v>4503</v>
      </c>
      <c r="M732" s="5" t="s">
        <v>3275</v>
      </c>
      <c r="O732" s="5" t="s">
        <v>4342</v>
      </c>
      <c r="P732" s="5" t="s">
        <v>4342</v>
      </c>
      <c r="Q732" s="5" t="b">
        <v>1</v>
      </c>
      <c r="R732" s="5" t="s">
        <v>4342</v>
      </c>
    </row>
    <row r="733" ht="15.75" customHeight="1">
      <c r="A733" s="5" t="s">
        <v>5541</v>
      </c>
      <c r="B733" s="39">
        <v>45800.75225694444</v>
      </c>
      <c r="C733" s="3" t="s">
        <v>4420</v>
      </c>
      <c r="D733" s="3">
        <v>120.0</v>
      </c>
      <c r="E733" s="3" t="s">
        <v>3745</v>
      </c>
      <c r="F733" s="3">
        <v>44400.0</v>
      </c>
      <c r="G733" s="5">
        <v>83.0</v>
      </c>
      <c r="H733" s="3" t="s">
        <v>4503</v>
      </c>
      <c r="I733" s="3" t="s">
        <v>3275</v>
      </c>
      <c r="J733" s="5">
        <v>25000.0</v>
      </c>
      <c r="K733" s="5">
        <v>69400.0</v>
      </c>
      <c r="L733" s="5" t="s">
        <v>4504</v>
      </c>
      <c r="M733" s="5" t="s">
        <v>3275</v>
      </c>
      <c r="O733" s="5" t="s">
        <v>3605</v>
      </c>
      <c r="P733" s="5" t="s">
        <v>4342</v>
      </c>
      <c r="Q733" s="5" t="b">
        <v>1</v>
      </c>
      <c r="R733" s="5" t="s">
        <v>4342</v>
      </c>
    </row>
    <row r="734" ht="15.75" customHeight="1">
      <c r="A734" s="5" t="s">
        <v>5542</v>
      </c>
      <c r="B734" s="39">
        <v>45800.75424768519</v>
      </c>
      <c r="C734" s="3" t="s">
        <v>4424</v>
      </c>
      <c r="D734" s="3">
        <v>6.0</v>
      </c>
      <c r="E734" s="3" t="s">
        <v>4423</v>
      </c>
      <c r="F734" s="3">
        <v>3620.0</v>
      </c>
      <c r="G734" s="5">
        <v>34.0</v>
      </c>
      <c r="H734" s="3" t="s">
        <v>4494</v>
      </c>
      <c r="I734" s="3" t="s">
        <v>3275</v>
      </c>
      <c r="J734" s="5">
        <v>35880.0</v>
      </c>
      <c r="K734" s="5">
        <v>39500.0</v>
      </c>
      <c r="L734" s="5" t="s">
        <v>18</v>
      </c>
      <c r="M734" s="5" t="s">
        <v>3275</v>
      </c>
      <c r="O734" s="5" t="s">
        <v>3337</v>
      </c>
      <c r="P734" s="5" t="s">
        <v>3605</v>
      </c>
      <c r="Q734" s="5" t="b">
        <v>1</v>
      </c>
      <c r="R734" s="5" t="s">
        <v>3605</v>
      </c>
    </row>
    <row r="735" ht="15.75" customHeight="1">
      <c r="A735" s="5" t="s">
        <v>5543</v>
      </c>
      <c r="B735" s="39">
        <v>45800.76048611111</v>
      </c>
      <c r="C735" s="3" t="s">
        <v>4424</v>
      </c>
      <c r="D735" s="3">
        <v>6.0</v>
      </c>
      <c r="E735" s="3" t="s">
        <v>4423</v>
      </c>
      <c r="F735" s="3">
        <v>4780.0</v>
      </c>
      <c r="G735" s="5">
        <v>500.0</v>
      </c>
      <c r="H735" s="3" t="s">
        <v>4501</v>
      </c>
      <c r="I735" s="3" t="s">
        <v>4500</v>
      </c>
      <c r="J735" s="5">
        <v>2901.0</v>
      </c>
      <c r="K735" s="5">
        <v>7681.0</v>
      </c>
      <c r="L735" s="5" t="s">
        <v>4505</v>
      </c>
      <c r="M735" s="5" t="s">
        <v>4500</v>
      </c>
      <c r="O735" s="5" t="s">
        <v>3337</v>
      </c>
      <c r="Q735" s="5" t="b">
        <v>1</v>
      </c>
    </row>
    <row r="736" ht="15.75" customHeight="1">
      <c r="A736" s="5" t="s">
        <v>5544</v>
      </c>
      <c r="B736" s="39">
        <v>45800.76349537037</v>
      </c>
      <c r="C736" s="3" t="s">
        <v>4486</v>
      </c>
      <c r="D736" s="3">
        <v>127.0</v>
      </c>
      <c r="E736" s="3" t="s">
        <v>3662</v>
      </c>
      <c r="F736" s="3">
        <v>8700.0</v>
      </c>
      <c r="G736" s="5">
        <v>49.0</v>
      </c>
      <c r="H736" s="3" t="s">
        <v>4485</v>
      </c>
      <c r="I736" s="3" t="s">
        <v>3275</v>
      </c>
      <c r="J736" s="5">
        <v>17300.0</v>
      </c>
      <c r="K736" s="5">
        <v>26000.0</v>
      </c>
      <c r="L736" s="5" t="s">
        <v>4507</v>
      </c>
      <c r="M736" s="5" t="s">
        <v>3275</v>
      </c>
      <c r="O736" s="5" t="s">
        <v>4342</v>
      </c>
      <c r="P736" s="5" t="s">
        <v>3337</v>
      </c>
      <c r="Q736" s="5" t="b">
        <v>1</v>
      </c>
      <c r="R736" s="5" t="s">
        <v>3337</v>
      </c>
    </row>
    <row r="737" ht="15.75" customHeight="1">
      <c r="A737" s="5" t="s">
        <v>5545</v>
      </c>
      <c r="B737" s="39">
        <v>45800.76380787037</v>
      </c>
      <c r="C737" s="3" t="s">
        <v>4486</v>
      </c>
      <c r="D737" s="3">
        <v>127.0</v>
      </c>
      <c r="E737" s="3" t="s">
        <v>3662</v>
      </c>
      <c r="F737" s="3">
        <v>22300.0</v>
      </c>
      <c r="G737" s="5">
        <v>6.0</v>
      </c>
      <c r="H737" s="3"/>
      <c r="I737" s="3"/>
      <c r="J737" s="5">
        <v>0.0</v>
      </c>
      <c r="K737" s="5">
        <v>22300.0</v>
      </c>
      <c r="L737" s="5" t="s">
        <v>4508</v>
      </c>
      <c r="M737" s="5" t="s">
        <v>4509</v>
      </c>
      <c r="O737" s="5" t="s">
        <v>4342</v>
      </c>
      <c r="Q737" s="5" t="b">
        <v>0</v>
      </c>
      <c r="R737" s="5" t="s">
        <v>3337</v>
      </c>
    </row>
    <row r="738" ht="15.75" customHeight="1">
      <c r="A738" s="5" t="s">
        <v>5546</v>
      </c>
      <c r="B738" s="39">
        <v>45803.46953703704</v>
      </c>
      <c r="C738" s="3" t="s">
        <v>4481</v>
      </c>
      <c r="D738" s="3">
        <v>7.0</v>
      </c>
      <c r="E738" s="3" t="s">
        <v>4423</v>
      </c>
      <c r="F738" s="3">
        <v>11900.0</v>
      </c>
      <c r="G738" s="5">
        <v>83.0</v>
      </c>
      <c r="H738" s="3" t="s">
        <v>4504</v>
      </c>
      <c r="I738" s="3" t="s">
        <v>3275</v>
      </c>
      <c r="J738" s="5">
        <v>69400.0</v>
      </c>
      <c r="K738" s="5">
        <v>81300.0</v>
      </c>
      <c r="L738" s="5" t="s">
        <v>4510</v>
      </c>
      <c r="M738" s="5" t="s">
        <v>3275</v>
      </c>
      <c r="O738" s="5" t="s">
        <v>3337</v>
      </c>
      <c r="P738" s="5" t="s">
        <v>4342</v>
      </c>
      <c r="Q738" s="5" t="b">
        <v>1</v>
      </c>
      <c r="R738" s="5" t="s">
        <v>4342</v>
      </c>
    </row>
    <row r="739" ht="15.75" customHeight="1">
      <c r="A739" s="5" t="s">
        <v>5547</v>
      </c>
      <c r="B739" s="39">
        <v>45803.469814814816</v>
      </c>
      <c r="C739" s="3" t="s">
        <v>4508</v>
      </c>
      <c r="D739" s="3">
        <v>6.0</v>
      </c>
      <c r="E739" s="3" t="s">
        <v>4509</v>
      </c>
      <c r="F739" s="3">
        <v>200.0</v>
      </c>
      <c r="G739" s="5">
        <v>83.0</v>
      </c>
      <c r="H739" s="3" t="s">
        <v>4510</v>
      </c>
      <c r="I739" s="3" t="s">
        <v>3275</v>
      </c>
      <c r="J739" s="5">
        <v>81300.0</v>
      </c>
      <c r="K739" s="5">
        <v>81500.0</v>
      </c>
      <c r="L739" s="5" t="s">
        <v>4511</v>
      </c>
      <c r="M739" s="5" t="s">
        <v>3275</v>
      </c>
      <c r="O739" s="5" t="s">
        <v>3337</v>
      </c>
      <c r="P739" s="5" t="s">
        <v>4342</v>
      </c>
      <c r="Q739" s="5" t="b">
        <v>1</v>
      </c>
      <c r="R739" s="5" t="s">
        <v>4342</v>
      </c>
    </row>
    <row r="740" ht="15.75" customHeight="1">
      <c r="A740" s="5" t="s">
        <v>5548</v>
      </c>
      <c r="B740" s="39">
        <v>45803.47039351852</v>
      </c>
      <c r="C740" s="3" t="s">
        <v>4269</v>
      </c>
      <c r="D740" s="3">
        <v>82.0</v>
      </c>
      <c r="E740" s="3" t="s">
        <v>3466</v>
      </c>
      <c r="F740" s="3">
        <v>22020.0</v>
      </c>
      <c r="G740" s="5">
        <v>67.0</v>
      </c>
      <c r="H740" s="3"/>
      <c r="I740" s="3"/>
      <c r="J740" s="5">
        <v>0.0</v>
      </c>
      <c r="K740" s="5">
        <v>22020.0</v>
      </c>
      <c r="L740" s="5" t="s">
        <v>4512</v>
      </c>
      <c r="M740" s="5" t="s">
        <v>3466</v>
      </c>
      <c r="O740" s="5" t="s">
        <v>3605</v>
      </c>
      <c r="Q740" s="5" t="b">
        <v>0</v>
      </c>
      <c r="R740" s="5" t="s">
        <v>4342</v>
      </c>
    </row>
    <row r="741" ht="15.75" customHeight="1">
      <c r="A741" s="5" t="s">
        <v>5549</v>
      </c>
      <c r="B741" s="39">
        <v>45803.47081018519</v>
      </c>
      <c r="C741" s="3" t="s">
        <v>4508</v>
      </c>
      <c r="D741" s="3">
        <v>6.0</v>
      </c>
      <c r="E741" s="3" t="s">
        <v>4509</v>
      </c>
      <c r="F741" s="3">
        <v>980.0</v>
      </c>
      <c r="G741" s="5">
        <v>67.0</v>
      </c>
      <c r="H741" s="3" t="s">
        <v>4512</v>
      </c>
      <c r="I741" s="3" t="s">
        <v>3466</v>
      </c>
      <c r="J741" s="5">
        <v>22020.0</v>
      </c>
      <c r="K741" s="5">
        <v>23000.0</v>
      </c>
      <c r="L741" s="5" t="s">
        <v>4513</v>
      </c>
      <c r="M741" s="5" t="s">
        <v>3466</v>
      </c>
      <c r="O741" s="5" t="s">
        <v>3337</v>
      </c>
      <c r="P741" s="5" t="s">
        <v>4342</v>
      </c>
      <c r="Q741" s="5" t="b">
        <v>1</v>
      </c>
      <c r="R741" s="5" t="s">
        <v>4342</v>
      </c>
    </row>
    <row r="742" ht="15.75" customHeight="1">
      <c r="A742" s="5" t="s">
        <v>5550</v>
      </c>
      <c r="B742" s="39">
        <v>45804.49487268519</v>
      </c>
      <c r="C742" s="3" t="s">
        <v>4508</v>
      </c>
      <c r="D742" s="3">
        <v>6.0</v>
      </c>
      <c r="E742" s="3" t="s">
        <v>4509</v>
      </c>
      <c r="F742" s="3">
        <v>3000.0</v>
      </c>
      <c r="G742" s="5">
        <v>104.0</v>
      </c>
      <c r="H742" s="3"/>
      <c r="I742" s="3"/>
      <c r="J742" s="5">
        <v>0.0</v>
      </c>
      <c r="K742" s="5">
        <v>3000.0</v>
      </c>
      <c r="L742" s="5" t="s">
        <v>4514</v>
      </c>
      <c r="M742" s="5" t="s">
        <v>4509</v>
      </c>
      <c r="O742" s="5" t="s">
        <v>3337</v>
      </c>
      <c r="Q742" s="5" t="b">
        <v>0</v>
      </c>
      <c r="R742" s="5" t="s">
        <v>3337</v>
      </c>
    </row>
    <row r="743" ht="15.75" customHeight="1">
      <c r="A743" s="5" t="s">
        <v>5551</v>
      </c>
      <c r="B743" s="39">
        <v>45804.495462962965</v>
      </c>
      <c r="C743" s="3" t="s">
        <v>4286</v>
      </c>
      <c r="D743" s="3">
        <v>102.0</v>
      </c>
      <c r="E743" s="3" t="s">
        <v>3662</v>
      </c>
      <c r="F743" s="3">
        <v>28000.0</v>
      </c>
      <c r="G743" s="5">
        <v>104.0</v>
      </c>
      <c r="H743" s="3" t="s">
        <v>4514</v>
      </c>
      <c r="I743" s="3" t="s">
        <v>4509</v>
      </c>
      <c r="J743" s="5">
        <v>3000.0</v>
      </c>
      <c r="K743" s="5">
        <v>31000.0</v>
      </c>
      <c r="L743" s="5" t="s">
        <v>47</v>
      </c>
      <c r="M743" s="5" t="s">
        <v>3662</v>
      </c>
      <c r="O743" s="5" t="s">
        <v>3605</v>
      </c>
      <c r="P743" s="5" t="s">
        <v>3337</v>
      </c>
      <c r="Q743" s="5" t="b">
        <v>0</v>
      </c>
      <c r="R743" s="5" t="s">
        <v>4342</v>
      </c>
    </row>
    <row r="744" ht="15.75" customHeight="1">
      <c r="A744" s="5" t="s">
        <v>5552</v>
      </c>
      <c r="B744" s="39">
        <v>45804.51700231482</v>
      </c>
      <c r="C744" s="3" t="s">
        <v>4286</v>
      </c>
      <c r="D744" s="3">
        <v>102.0</v>
      </c>
      <c r="E744" s="3" t="s">
        <v>3662</v>
      </c>
      <c r="F744" s="3">
        <v>3000.0</v>
      </c>
      <c r="G744" s="5">
        <v>109.0</v>
      </c>
      <c r="H744" s="3"/>
      <c r="I744" s="3"/>
      <c r="J744" s="5">
        <v>0.0</v>
      </c>
      <c r="K744" s="5">
        <v>3000.0</v>
      </c>
      <c r="L744" s="5" t="s">
        <v>4515</v>
      </c>
      <c r="M744" s="5" t="s">
        <v>3662</v>
      </c>
      <c r="O744" s="5" t="s">
        <v>3605</v>
      </c>
      <c r="Q744" s="5" t="b">
        <v>0</v>
      </c>
      <c r="R744" s="5" t="s">
        <v>4342</v>
      </c>
    </row>
    <row r="745" ht="15.75" customHeight="1">
      <c r="A745" s="5" t="s">
        <v>5553</v>
      </c>
      <c r="B745" s="39">
        <v>45804.51783564815</v>
      </c>
      <c r="C745" s="3" t="s">
        <v>4508</v>
      </c>
      <c r="D745" s="3">
        <v>6.0</v>
      </c>
      <c r="E745" s="3" t="s">
        <v>4509</v>
      </c>
      <c r="F745" s="3">
        <v>3000.0</v>
      </c>
      <c r="G745" s="5">
        <v>102.0</v>
      </c>
      <c r="H745" s="3"/>
      <c r="I745" s="3"/>
      <c r="J745" s="5">
        <v>0.0</v>
      </c>
      <c r="K745" s="5">
        <v>3000.0</v>
      </c>
      <c r="L745" s="5" t="s">
        <v>4516</v>
      </c>
      <c r="M745" s="5" t="s">
        <v>4509</v>
      </c>
      <c r="O745" s="5" t="s">
        <v>3337</v>
      </c>
      <c r="Q745" s="5" t="b">
        <v>0</v>
      </c>
      <c r="R745" s="5" t="s">
        <v>3337</v>
      </c>
    </row>
    <row r="746" ht="15.75" customHeight="1">
      <c r="A746" s="5" t="s">
        <v>5554</v>
      </c>
      <c r="B746" s="39">
        <v>45804.518275462964</v>
      </c>
      <c r="C746" s="3" t="s">
        <v>4288</v>
      </c>
      <c r="D746" s="3">
        <v>103.0</v>
      </c>
      <c r="E746" s="3" t="s">
        <v>3662</v>
      </c>
      <c r="F746" s="3">
        <v>28000.0</v>
      </c>
      <c r="G746" s="5">
        <v>102.0</v>
      </c>
      <c r="H746" s="3" t="s">
        <v>4516</v>
      </c>
      <c r="I746" s="3" t="s">
        <v>4509</v>
      </c>
      <c r="J746" s="5">
        <v>3000.0</v>
      </c>
      <c r="K746" s="5">
        <v>31000.0</v>
      </c>
      <c r="L746" s="5" t="s">
        <v>4517</v>
      </c>
      <c r="M746" s="5" t="s">
        <v>3662</v>
      </c>
      <c r="O746" s="5" t="s">
        <v>3605</v>
      </c>
      <c r="P746" s="5" t="s">
        <v>3337</v>
      </c>
      <c r="Q746" s="5" t="b">
        <v>0</v>
      </c>
      <c r="R746" s="5" t="s">
        <v>4342</v>
      </c>
    </row>
    <row r="747" ht="15.75" customHeight="1">
      <c r="A747" s="5" t="s">
        <v>5555</v>
      </c>
      <c r="B747" s="39">
        <v>45804.51861111111</v>
      </c>
      <c r="C747" s="3" t="s">
        <v>4288</v>
      </c>
      <c r="D747" s="3">
        <v>103.0</v>
      </c>
      <c r="E747" s="3" t="s">
        <v>3662</v>
      </c>
      <c r="F747" s="3">
        <v>3000.0</v>
      </c>
      <c r="G747" s="5">
        <v>109.0</v>
      </c>
      <c r="H747" s="3" t="s">
        <v>4515</v>
      </c>
      <c r="I747" s="3" t="s">
        <v>3662</v>
      </c>
      <c r="J747" s="5">
        <v>3000.0</v>
      </c>
      <c r="K747" s="5">
        <v>6000.0</v>
      </c>
      <c r="L747" s="5" t="s">
        <v>4518</v>
      </c>
      <c r="M747" s="5" t="s">
        <v>3662</v>
      </c>
      <c r="O747" s="5" t="s">
        <v>3605</v>
      </c>
      <c r="P747" s="5" t="s">
        <v>4342</v>
      </c>
      <c r="Q747" s="5" t="b">
        <v>1</v>
      </c>
      <c r="R747" s="5" t="s">
        <v>4342</v>
      </c>
    </row>
    <row r="748" ht="15.75" customHeight="1">
      <c r="A748" s="5" t="s">
        <v>5556</v>
      </c>
      <c r="B748" s="39">
        <v>45804.51900462963</v>
      </c>
      <c r="C748" s="3" t="s">
        <v>4508</v>
      </c>
      <c r="D748" s="3">
        <v>6.0</v>
      </c>
      <c r="E748" s="3" t="s">
        <v>4509</v>
      </c>
      <c r="F748" s="3">
        <v>3000.0</v>
      </c>
      <c r="G748" s="5">
        <v>103.0</v>
      </c>
      <c r="H748" s="3"/>
      <c r="I748" s="3"/>
      <c r="J748" s="5">
        <v>0.0</v>
      </c>
      <c r="K748" s="5">
        <v>3000.0</v>
      </c>
      <c r="L748" s="5" t="s">
        <v>4519</v>
      </c>
      <c r="M748" s="5" t="s">
        <v>4509</v>
      </c>
      <c r="O748" s="5" t="s">
        <v>3337</v>
      </c>
      <c r="Q748" s="5" t="b">
        <v>0</v>
      </c>
      <c r="R748" s="5" t="s">
        <v>3337</v>
      </c>
    </row>
    <row r="749" ht="15.75" customHeight="1">
      <c r="A749" s="5" t="s">
        <v>5557</v>
      </c>
      <c r="B749" s="39">
        <v>45804.51931712963</v>
      </c>
      <c r="C749" s="3" t="s">
        <v>4292</v>
      </c>
      <c r="D749" s="3">
        <v>105.0</v>
      </c>
      <c r="E749" s="3" t="s">
        <v>3662</v>
      </c>
      <c r="F749" s="3">
        <v>28000.0</v>
      </c>
      <c r="G749" s="5">
        <v>103.0</v>
      </c>
      <c r="H749" s="3" t="s">
        <v>4519</v>
      </c>
      <c r="I749" s="3" t="s">
        <v>4509</v>
      </c>
      <c r="J749" s="5">
        <v>3000.0</v>
      </c>
      <c r="K749" s="5">
        <v>31000.0</v>
      </c>
      <c r="L749" s="5" t="s">
        <v>4520</v>
      </c>
      <c r="M749" s="5" t="s">
        <v>3662</v>
      </c>
      <c r="O749" s="5" t="s">
        <v>3605</v>
      </c>
      <c r="P749" s="5" t="s">
        <v>3337</v>
      </c>
      <c r="Q749" s="5" t="b">
        <v>0</v>
      </c>
      <c r="R749" s="5" t="s">
        <v>4342</v>
      </c>
    </row>
    <row r="750" ht="15.75" customHeight="1">
      <c r="A750" s="5" t="s">
        <v>5558</v>
      </c>
      <c r="B750" s="39">
        <v>45804.51957175926</v>
      </c>
      <c r="C750" s="3" t="s">
        <v>4292</v>
      </c>
      <c r="D750" s="3">
        <v>105.0</v>
      </c>
      <c r="E750" s="3" t="s">
        <v>3662</v>
      </c>
      <c r="F750" s="3">
        <v>3000.0</v>
      </c>
      <c r="G750" s="5">
        <v>109.0</v>
      </c>
      <c r="H750" s="3" t="s">
        <v>4518</v>
      </c>
      <c r="I750" s="3" t="s">
        <v>3662</v>
      </c>
      <c r="J750" s="5">
        <v>6000.0</v>
      </c>
      <c r="K750" s="5">
        <v>9000.0</v>
      </c>
      <c r="L750" s="5" t="s">
        <v>4521</v>
      </c>
      <c r="M750" s="5" t="s">
        <v>3662</v>
      </c>
      <c r="O750" s="5" t="s">
        <v>3605</v>
      </c>
      <c r="P750" s="5" t="s">
        <v>4342</v>
      </c>
      <c r="Q750" s="5" t="b">
        <v>1</v>
      </c>
      <c r="R750" s="5" t="s">
        <v>4342</v>
      </c>
    </row>
    <row r="751" ht="15.75" customHeight="1">
      <c r="A751" s="5" t="s">
        <v>5559</v>
      </c>
      <c r="B751" s="39">
        <v>45804.51996527778</v>
      </c>
      <c r="C751" s="3" t="s">
        <v>4508</v>
      </c>
      <c r="D751" s="3">
        <v>6.0</v>
      </c>
      <c r="E751" s="3" t="s">
        <v>4509</v>
      </c>
      <c r="F751" s="3">
        <v>3000.0</v>
      </c>
      <c r="G751" s="5">
        <v>105.0</v>
      </c>
      <c r="H751" s="3"/>
      <c r="I751" s="3"/>
      <c r="J751" s="5">
        <v>0.0</v>
      </c>
      <c r="K751" s="5">
        <v>3000.0</v>
      </c>
      <c r="L751" s="5" t="s">
        <v>4522</v>
      </c>
      <c r="M751" s="5" t="s">
        <v>4509</v>
      </c>
      <c r="O751" s="5" t="s">
        <v>3337</v>
      </c>
      <c r="Q751" s="5" t="b">
        <v>0</v>
      </c>
      <c r="R751" s="5" t="s">
        <v>3337</v>
      </c>
    </row>
    <row r="752" ht="15.75" customHeight="1">
      <c r="A752" s="5" t="s">
        <v>5560</v>
      </c>
      <c r="B752" s="39">
        <v>45804.52028935185</v>
      </c>
      <c r="C752" s="3" t="s">
        <v>4362</v>
      </c>
      <c r="D752" s="3">
        <v>107.0</v>
      </c>
      <c r="E752" s="3" t="s">
        <v>3662</v>
      </c>
      <c r="F752" s="3">
        <v>28000.0</v>
      </c>
      <c r="G752" s="5">
        <v>105.0</v>
      </c>
      <c r="H752" s="3" t="s">
        <v>4522</v>
      </c>
      <c r="I752" s="3" t="s">
        <v>4509</v>
      </c>
      <c r="J752" s="5">
        <v>3000.0</v>
      </c>
      <c r="K752" s="5">
        <v>31000.0</v>
      </c>
      <c r="L752" s="5" t="s">
        <v>48</v>
      </c>
      <c r="M752" s="5" t="s">
        <v>3662</v>
      </c>
      <c r="O752" s="5" t="s">
        <v>3605</v>
      </c>
      <c r="P752" s="5" t="s">
        <v>3337</v>
      </c>
      <c r="Q752" s="5" t="b">
        <v>0</v>
      </c>
      <c r="R752" s="5" t="s">
        <v>4342</v>
      </c>
    </row>
    <row r="753" ht="15.75" customHeight="1">
      <c r="A753" s="6" t="s">
        <v>5561</v>
      </c>
      <c r="B753" s="39">
        <v>45804.52048611111</v>
      </c>
      <c r="C753" s="3" t="s">
        <v>4362</v>
      </c>
      <c r="D753" s="3">
        <v>107.0</v>
      </c>
      <c r="E753" s="3" t="s">
        <v>3662</v>
      </c>
      <c r="F753" s="3">
        <v>3000.0</v>
      </c>
      <c r="G753" s="5">
        <v>109.0</v>
      </c>
      <c r="H753" s="3" t="s">
        <v>4521</v>
      </c>
      <c r="I753" s="3" t="s">
        <v>3662</v>
      </c>
      <c r="J753" s="5">
        <v>9000.0</v>
      </c>
      <c r="K753" s="5">
        <v>12000.0</v>
      </c>
      <c r="L753" s="5" t="s">
        <v>4523</v>
      </c>
      <c r="M753" s="5" t="s">
        <v>3662</v>
      </c>
      <c r="O753" s="5" t="s">
        <v>3605</v>
      </c>
      <c r="P753" s="5" t="s">
        <v>4342</v>
      </c>
      <c r="Q753" s="5" t="b">
        <v>1</v>
      </c>
      <c r="R753" s="5" t="s">
        <v>4342</v>
      </c>
    </row>
    <row r="754" ht="15.75" customHeight="1">
      <c r="A754" s="5" t="s">
        <v>5562</v>
      </c>
      <c r="B754" s="39">
        <v>45804.52229166667</v>
      </c>
      <c r="C754" s="3" t="s">
        <v>4508</v>
      </c>
      <c r="D754" s="3">
        <v>6.0</v>
      </c>
      <c r="E754" s="3" t="s">
        <v>4509</v>
      </c>
      <c r="F754" s="3">
        <v>3000.0</v>
      </c>
      <c r="G754" s="5">
        <v>107.0</v>
      </c>
      <c r="H754" s="3"/>
      <c r="I754" s="3"/>
      <c r="J754" s="5">
        <v>0.0</v>
      </c>
      <c r="K754" s="5">
        <v>3000.0</v>
      </c>
      <c r="L754" s="5" t="s">
        <v>4524</v>
      </c>
      <c r="M754" s="5" t="s">
        <v>4509</v>
      </c>
      <c r="O754" s="5" t="s">
        <v>3337</v>
      </c>
      <c r="Q754" s="5" t="b">
        <v>0</v>
      </c>
      <c r="R754" s="5" t="s">
        <v>3337</v>
      </c>
    </row>
    <row r="755" ht="15.75" customHeight="1">
      <c r="A755" s="5" t="s">
        <v>5563</v>
      </c>
      <c r="B755" s="39">
        <v>45804.522569444445</v>
      </c>
      <c r="C755" s="3" t="s">
        <v>4363</v>
      </c>
      <c r="D755" s="3">
        <v>108.0</v>
      </c>
      <c r="E755" s="3" t="s">
        <v>3662</v>
      </c>
      <c r="F755" s="3">
        <v>28000.0</v>
      </c>
      <c r="G755" s="5">
        <v>107.0</v>
      </c>
      <c r="H755" s="3" t="s">
        <v>4524</v>
      </c>
      <c r="I755" s="3" t="s">
        <v>4509</v>
      </c>
      <c r="J755" s="5">
        <v>3000.0</v>
      </c>
      <c r="K755" s="5">
        <v>31000.0</v>
      </c>
      <c r="L755" s="5" t="s">
        <v>50</v>
      </c>
      <c r="M755" s="5" t="s">
        <v>3662</v>
      </c>
      <c r="O755" s="5" t="s">
        <v>3605</v>
      </c>
      <c r="P755" s="5" t="s">
        <v>3337</v>
      </c>
      <c r="Q755" s="5" t="b">
        <v>0</v>
      </c>
      <c r="R755" s="5" t="s">
        <v>4342</v>
      </c>
    </row>
    <row r="756" ht="15.75" customHeight="1">
      <c r="A756" s="5" t="s">
        <v>5564</v>
      </c>
      <c r="B756" s="39">
        <v>45804.523043981484</v>
      </c>
      <c r="C756" s="3" t="s">
        <v>4363</v>
      </c>
      <c r="D756" s="3">
        <v>108.0</v>
      </c>
      <c r="E756" s="3" t="s">
        <v>3662</v>
      </c>
      <c r="F756" s="3">
        <v>3000.0</v>
      </c>
      <c r="G756" s="5">
        <v>109.0</v>
      </c>
      <c r="H756" s="3" t="s">
        <v>4523</v>
      </c>
      <c r="I756" s="3" t="s">
        <v>3662</v>
      </c>
      <c r="J756" s="5">
        <v>12000.0</v>
      </c>
      <c r="K756" s="5">
        <v>15000.0</v>
      </c>
      <c r="L756" s="5" t="s">
        <v>4525</v>
      </c>
      <c r="M756" s="5" t="s">
        <v>3662</v>
      </c>
      <c r="O756" s="5" t="s">
        <v>3605</v>
      </c>
      <c r="P756" s="5" t="s">
        <v>4342</v>
      </c>
      <c r="Q756" s="5" t="b">
        <v>1</v>
      </c>
      <c r="R756" s="5" t="s">
        <v>4342</v>
      </c>
    </row>
    <row r="757" ht="15.75" customHeight="1">
      <c r="A757" s="5" t="s">
        <v>5565</v>
      </c>
      <c r="B757" s="39">
        <v>45804.792129629626</v>
      </c>
      <c r="C757" s="3" t="s">
        <v>4375</v>
      </c>
      <c r="D757" s="3">
        <v>76.0</v>
      </c>
      <c r="E757" s="3" t="s">
        <v>4184</v>
      </c>
      <c r="F757" s="3">
        <v>25500.0</v>
      </c>
      <c r="G757" s="5">
        <v>7.0</v>
      </c>
      <c r="H757" s="3"/>
      <c r="I757" s="3"/>
      <c r="J757" s="5">
        <v>0.0</v>
      </c>
      <c r="K757" s="5">
        <v>25500.0</v>
      </c>
      <c r="L757" s="5" t="s">
        <v>4526</v>
      </c>
      <c r="M757" s="5" t="s">
        <v>4184</v>
      </c>
      <c r="O757" s="5" t="s">
        <v>3605</v>
      </c>
      <c r="Q757" s="5" t="b">
        <v>0</v>
      </c>
      <c r="R757" s="5" t="s">
        <v>3337</v>
      </c>
    </row>
    <row r="758" ht="15.75" customHeight="1">
      <c r="A758" s="5" t="s">
        <v>5566</v>
      </c>
      <c r="B758" s="39">
        <v>45804.79336805556</v>
      </c>
      <c r="C758" s="3" t="s">
        <v>4479</v>
      </c>
      <c r="D758" s="3">
        <v>45.0</v>
      </c>
      <c r="E758" s="3" t="s">
        <v>3273</v>
      </c>
      <c r="F758" s="3">
        <v>30000.0</v>
      </c>
      <c r="G758" s="5">
        <v>125.0</v>
      </c>
      <c r="H758" s="3"/>
      <c r="I758" s="3"/>
      <c r="J758" s="5">
        <v>0.0</v>
      </c>
      <c r="K758" s="5">
        <v>30000.0</v>
      </c>
      <c r="L758" s="5" t="s">
        <v>4528</v>
      </c>
      <c r="M758" s="5" t="s">
        <v>3273</v>
      </c>
      <c r="O758" s="5" t="s">
        <v>3605</v>
      </c>
      <c r="Q758" s="5" t="b">
        <v>0</v>
      </c>
      <c r="R758" s="5" t="s">
        <v>3337</v>
      </c>
    </row>
    <row r="759" ht="15.75" customHeight="1">
      <c r="A759" s="5" t="s">
        <v>5567</v>
      </c>
      <c r="B759" s="39">
        <v>45804.795590277776</v>
      </c>
      <c r="C759" s="3" t="s">
        <v>4400</v>
      </c>
      <c r="D759" s="3">
        <v>118.0</v>
      </c>
      <c r="E759" s="3" t="s">
        <v>3273</v>
      </c>
      <c r="F759" s="3">
        <v>83000.0</v>
      </c>
      <c r="G759" s="5">
        <v>84.0</v>
      </c>
      <c r="H759" s="3"/>
      <c r="I759" s="3"/>
      <c r="J759" s="5">
        <v>0.0</v>
      </c>
      <c r="K759" s="5">
        <v>83000.0</v>
      </c>
      <c r="L759" s="5" t="s">
        <v>4529</v>
      </c>
      <c r="M759" s="5" t="s">
        <v>3273</v>
      </c>
      <c r="O759" s="5" t="s">
        <v>3605</v>
      </c>
      <c r="Q759" s="5" t="b">
        <v>0</v>
      </c>
      <c r="R759" s="5" t="s">
        <v>4342</v>
      </c>
    </row>
    <row r="760" ht="15.75" customHeight="1">
      <c r="A760" s="5" t="s">
        <v>5568</v>
      </c>
      <c r="B760" s="39">
        <v>45804.79613425926</v>
      </c>
      <c r="C760" s="3" t="s">
        <v>4400</v>
      </c>
      <c r="D760" s="3">
        <v>118.0</v>
      </c>
      <c r="E760" s="3" t="s">
        <v>3273</v>
      </c>
      <c r="F760" s="3">
        <v>72600.0</v>
      </c>
      <c r="G760" s="5">
        <v>85.0</v>
      </c>
      <c r="H760" s="3"/>
      <c r="I760" s="3"/>
      <c r="J760" s="5">
        <v>0.0</v>
      </c>
      <c r="K760" s="5">
        <v>72600.0</v>
      </c>
      <c r="L760" s="5" t="s">
        <v>4530</v>
      </c>
      <c r="M760" s="5" t="s">
        <v>3273</v>
      </c>
      <c r="O760" s="5" t="s">
        <v>3605</v>
      </c>
      <c r="Q760" s="5" t="b">
        <v>0</v>
      </c>
      <c r="R760" s="5" t="s">
        <v>4342</v>
      </c>
    </row>
    <row r="761" ht="15.75" customHeight="1">
      <c r="A761" s="5" t="s">
        <v>5569</v>
      </c>
      <c r="B761" s="39">
        <v>45804.79775462963</v>
      </c>
      <c r="C761" s="3" t="s">
        <v>4432</v>
      </c>
      <c r="D761" s="3">
        <v>91.0</v>
      </c>
      <c r="E761" s="3" t="s">
        <v>3273</v>
      </c>
      <c r="F761" s="3">
        <v>11400.0</v>
      </c>
      <c r="G761" s="5">
        <v>85.0</v>
      </c>
      <c r="H761" s="3" t="s">
        <v>4530</v>
      </c>
      <c r="I761" s="3" t="s">
        <v>3273</v>
      </c>
      <c r="J761" s="5">
        <v>72600.0</v>
      </c>
      <c r="K761" s="5">
        <v>84000.0</v>
      </c>
      <c r="L761" s="5" t="s">
        <v>4531</v>
      </c>
      <c r="M761" s="5" t="s">
        <v>3273</v>
      </c>
      <c r="O761" s="5" t="s">
        <v>3605</v>
      </c>
      <c r="P761" s="5" t="s">
        <v>4342</v>
      </c>
      <c r="Q761" s="5" t="b">
        <v>1</v>
      </c>
      <c r="R761" s="5" t="s">
        <v>4342</v>
      </c>
    </row>
    <row r="762" ht="15.75" customHeight="1">
      <c r="A762" s="5" t="s">
        <v>5570</v>
      </c>
      <c r="B762" s="39">
        <v>45804.79829861111</v>
      </c>
      <c r="C762" s="3" t="s">
        <v>4432</v>
      </c>
      <c r="D762" s="3">
        <v>91.0</v>
      </c>
      <c r="E762" s="3" t="s">
        <v>3273</v>
      </c>
      <c r="F762" s="3">
        <v>74600.0</v>
      </c>
      <c r="G762" s="5">
        <v>92.0</v>
      </c>
      <c r="H762" s="3"/>
      <c r="I762" s="3"/>
      <c r="J762" s="5">
        <v>0.0</v>
      </c>
      <c r="K762" s="5">
        <v>74600.0</v>
      </c>
      <c r="L762" s="5" t="s">
        <v>4532</v>
      </c>
      <c r="M762" s="5" t="s">
        <v>3273</v>
      </c>
      <c r="O762" s="5" t="s">
        <v>3605</v>
      </c>
      <c r="Q762" s="5" t="b">
        <v>0</v>
      </c>
      <c r="R762" s="5" t="s">
        <v>4342</v>
      </c>
    </row>
    <row r="763" ht="15.75" customHeight="1">
      <c r="A763" s="5" t="s">
        <v>5571</v>
      </c>
      <c r="B763" s="39">
        <v>45804.79898148148</v>
      </c>
      <c r="C763" s="3" t="s">
        <v>4383</v>
      </c>
      <c r="D763" s="3">
        <v>71.0</v>
      </c>
      <c r="E763" s="3" t="s">
        <v>4384</v>
      </c>
      <c r="F763" s="3">
        <v>13000.0</v>
      </c>
      <c r="G763" s="5">
        <v>68.0</v>
      </c>
      <c r="H763" s="3"/>
      <c r="I763" s="3"/>
      <c r="J763" s="5">
        <v>0.0</v>
      </c>
      <c r="K763" s="5">
        <v>13000.0</v>
      </c>
      <c r="L763" s="5" t="s">
        <v>4533</v>
      </c>
      <c r="M763" s="5" t="s">
        <v>4384</v>
      </c>
      <c r="O763" s="5" t="s">
        <v>3605</v>
      </c>
      <c r="Q763" s="5" t="b">
        <v>0</v>
      </c>
      <c r="R763" s="5" t="s">
        <v>4342</v>
      </c>
    </row>
    <row r="764" ht="15.75" customHeight="1">
      <c r="A764" s="5" t="s">
        <v>5572</v>
      </c>
      <c r="B764" s="39">
        <v>45805.73626157407</v>
      </c>
      <c r="C764" s="3" t="s">
        <v>4470</v>
      </c>
      <c r="D764" s="3">
        <v>26.0</v>
      </c>
      <c r="E764" s="3" t="s">
        <v>4465</v>
      </c>
      <c r="F764" s="3">
        <v>200000.0</v>
      </c>
      <c r="G764" s="5">
        <v>500.0</v>
      </c>
      <c r="H764" s="3"/>
      <c r="I764" s="3"/>
      <c r="J764" s="5">
        <v>0.0</v>
      </c>
      <c r="K764" s="5">
        <v>200000.0</v>
      </c>
      <c r="L764" s="5" t="s">
        <v>4535</v>
      </c>
      <c r="M764" s="5" t="s">
        <v>4465</v>
      </c>
      <c r="O764" s="5" t="s">
        <v>3715</v>
      </c>
      <c r="Q764" s="5" t="b">
        <v>0</v>
      </c>
      <c r="R764" s="5" t="s">
        <v>3715</v>
      </c>
    </row>
    <row r="765" ht="15.75" customHeight="1">
      <c r="A765" s="5" t="s">
        <v>5573</v>
      </c>
      <c r="B765" s="39">
        <v>45805.73693287037</v>
      </c>
      <c r="C765" s="3" t="s">
        <v>4470</v>
      </c>
      <c r="D765" s="3">
        <v>26.0</v>
      </c>
      <c r="E765" s="3" t="s">
        <v>4465</v>
      </c>
      <c r="F765" s="3">
        <v>1400.0</v>
      </c>
      <c r="G765" s="5">
        <v>73.0</v>
      </c>
      <c r="H765" s="3"/>
      <c r="I765" s="3"/>
      <c r="J765" s="5">
        <v>0.0</v>
      </c>
      <c r="K765" s="5">
        <v>1400.0</v>
      </c>
      <c r="L765" s="5" t="s">
        <v>4536</v>
      </c>
      <c r="M765" s="5" t="s">
        <v>4465</v>
      </c>
      <c r="O765" s="5" t="s">
        <v>3715</v>
      </c>
      <c r="Q765" s="5" t="b">
        <v>0</v>
      </c>
      <c r="R765" s="5" t="s">
        <v>4342</v>
      </c>
    </row>
    <row r="766" ht="15.75" customHeight="1">
      <c r="A766" s="5" t="s">
        <v>5574</v>
      </c>
      <c r="B766" s="39">
        <v>45805.73751157407</v>
      </c>
      <c r="C766" s="3" t="s">
        <v>4525</v>
      </c>
      <c r="D766" s="3">
        <v>109.0</v>
      </c>
      <c r="E766" s="3" t="s">
        <v>3662</v>
      </c>
      <c r="F766" s="3">
        <v>1000.0</v>
      </c>
      <c r="G766" s="5">
        <v>73.0</v>
      </c>
      <c r="H766" s="3" t="s">
        <v>4536</v>
      </c>
      <c r="I766" s="3" t="s">
        <v>4465</v>
      </c>
      <c r="J766" s="5">
        <v>1400.0</v>
      </c>
      <c r="K766" s="5">
        <v>2400.0</v>
      </c>
      <c r="L766" s="5" t="s">
        <v>4537</v>
      </c>
      <c r="M766" s="5" t="s">
        <v>3662</v>
      </c>
      <c r="O766" s="5" t="s">
        <v>4342</v>
      </c>
      <c r="P766" s="5" t="s">
        <v>4342</v>
      </c>
      <c r="Q766" s="5" t="b">
        <v>0</v>
      </c>
      <c r="R766" s="5" t="s">
        <v>4342</v>
      </c>
    </row>
    <row r="767" ht="15.75" customHeight="1">
      <c r="A767" s="5" t="s">
        <v>5575</v>
      </c>
      <c r="B767" s="39">
        <v>45805.73793981481</v>
      </c>
      <c r="C767" s="3" t="s">
        <v>4508</v>
      </c>
      <c r="D767" s="3">
        <v>6.0</v>
      </c>
      <c r="E767" s="3" t="s">
        <v>4509</v>
      </c>
      <c r="F767" s="3">
        <v>1600.0</v>
      </c>
      <c r="G767" s="5">
        <v>109.0</v>
      </c>
      <c r="H767" s="3" t="s">
        <v>4525</v>
      </c>
      <c r="I767" s="3" t="s">
        <v>3662</v>
      </c>
      <c r="J767" s="5">
        <v>14000.0</v>
      </c>
      <c r="K767" s="5">
        <v>15600.0</v>
      </c>
      <c r="L767" s="5" t="s">
        <v>51</v>
      </c>
      <c r="M767" s="5" t="s">
        <v>3662</v>
      </c>
      <c r="O767" s="5" t="s">
        <v>3337</v>
      </c>
      <c r="P767" s="5" t="s">
        <v>4342</v>
      </c>
      <c r="Q767" s="5" t="b">
        <v>1</v>
      </c>
      <c r="R767" s="5" t="s">
        <v>4342</v>
      </c>
    </row>
    <row r="768" ht="15.75" customHeight="1">
      <c r="A768" s="5" t="s">
        <v>5576</v>
      </c>
      <c r="B768" s="39">
        <v>45805.74101851852</v>
      </c>
      <c r="C768" s="3" t="s">
        <v>4528</v>
      </c>
      <c r="D768" s="3">
        <v>125.0</v>
      </c>
      <c r="E768" s="3" t="s">
        <v>3273</v>
      </c>
      <c r="F768" s="3">
        <v>4500.0</v>
      </c>
      <c r="G768" s="5">
        <v>7.0</v>
      </c>
      <c r="H768" s="3" t="s">
        <v>4526</v>
      </c>
      <c r="I768" s="3" t="s">
        <v>4527</v>
      </c>
      <c r="J768" s="5">
        <v>25500.0</v>
      </c>
      <c r="K768" s="5">
        <v>30000.0</v>
      </c>
      <c r="L768" s="5" t="s">
        <v>4538</v>
      </c>
      <c r="M768" s="5" t="s">
        <v>4527</v>
      </c>
      <c r="O768" s="5" t="s">
        <v>3337</v>
      </c>
      <c r="P768" s="5" t="s">
        <v>3337</v>
      </c>
      <c r="Q768" s="5" t="b">
        <v>1</v>
      </c>
      <c r="R768" s="5" t="s">
        <v>3337</v>
      </c>
    </row>
    <row r="769" ht="15.75" customHeight="1">
      <c r="A769" s="5" t="s">
        <v>5577</v>
      </c>
      <c r="B769" s="39">
        <v>45805.74150462963</v>
      </c>
      <c r="C769" s="3" t="s">
        <v>4528</v>
      </c>
      <c r="D769" s="3">
        <v>125.0</v>
      </c>
      <c r="E769" s="3" t="s">
        <v>3273</v>
      </c>
      <c r="F769" s="3">
        <v>25500.0</v>
      </c>
      <c r="G769" s="5">
        <v>45.0</v>
      </c>
      <c r="H769" s="3"/>
      <c r="I769" s="3"/>
      <c r="J769" s="5">
        <v>0.0</v>
      </c>
      <c r="K769" s="5">
        <v>25500.0</v>
      </c>
      <c r="L769" s="5" t="s">
        <v>4539</v>
      </c>
      <c r="M769" s="5" t="s">
        <v>3273</v>
      </c>
      <c r="O769" s="5" t="s">
        <v>3337</v>
      </c>
      <c r="Q769" s="5" t="b">
        <v>0</v>
      </c>
      <c r="R769" s="5" t="s">
        <v>3337</v>
      </c>
    </row>
    <row r="770" ht="15.75" customHeight="1">
      <c r="A770" s="5" t="s">
        <v>5578</v>
      </c>
      <c r="B770" s="39">
        <v>45805.743263888886</v>
      </c>
      <c r="C770" s="3" t="s">
        <v>4402</v>
      </c>
      <c r="D770" s="3">
        <v>115.0</v>
      </c>
      <c r="E770" s="3" t="s">
        <v>4017</v>
      </c>
      <c r="F770" s="3">
        <v>120200.0</v>
      </c>
      <c r="G770" s="5">
        <v>118.0</v>
      </c>
      <c r="H770" s="3"/>
      <c r="I770" s="3"/>
      <c r="J770" s="5">
        <v>0.0</v>
      </c>
      <c r="K770" s="5">
        <v>120200.0</v>
      </c>
      <c r="L770" s="5" t="s">
        <v>4540</v>
      </c>
      <c r="M770" s="5" t="s">
        <v>4017</v>
      </c>
      <c r="O770" s="5" t="s">
        <v>3605</v>
      </c>
      <c r="Q770" s="5" t="b">
        <v>0</v>
      </c>
      <c r="R770" s="5" t="s">
        <v>4342</v>
      </c>
    </row>
    <row r="771" ht="15.75" customHeight="1">
      <c r="A771" s="5" t="s">
        <v>5579</v>
      </c>
      <c r="B771" s="39">
        <v>45805.744780092595</v>
      </c>
      <c r="C771" s="3" t="s">
        <v>4538</v>
      </c>
      <c r="D771" s="3">
        <v>7.0</v>
      </c>
      <c r="E771" s="3" t="s">
        <v>4527</v>
      </c>
      <c r="F771" s="3">
        <v>30000.0</v>
      </c>
      <c r="G771" s="5">
        <v>118.0</v>
      </c>
      <c r="H771" s="3" t="s">
        <v>4540</v>
      </c>
      <c r="I771" s="3" t="s">
        <v>4017</v>
      </c>
      <c r="J771" s="5">
        <v>120200.0</v>
      </c>
      <c r="K771" s="5">
        <v>150200.0</v>
      </c>
      <c r="L771" s="5" t="s">
        <v>4541</v>
      </c>
      <c r="M771" s="5" t="s">
        <v>4017</v>
      </c>
      <c r="O771" s="5" t="s">
        <v>3337</v>
      </c>
      <c r="P771" s="5" t="s">
        <v>4342</v>
      </c>
      <c r="Q771" s="5" t="b">
        <v>1</v>
      </c>
      <c r="R771" s="5" t="s">
        <v>4342</v>
      </c>
    </row>
    <row r="772" ht="15.75" customHeight="1">
      <c r="A772" s="5" t="s">
        <v>5580</v>
      </c>
      <c r="B772" s="39">
        <v>45805.74643518519</v>
      </c>
      <c r="C772" s="3" t="s">
        <v>4508</v>
      </c>
      <c r="D772" s="3">
        <v>6.0</v>
      </c>
      <c r="E772" s="3" t="s">
        <v>4509</v>
      </c>
      <c r="F772" s="3">
        <v>4520.0</v>
      </c>
      <c r="G772" s="5">
        <v>118.0</v>
      </c>
      <c r="H772" s="3" t="s">
        <v>4541</v>
      </c>
      <c r="I772" s="3" t="s">
        <v>4017</v>
      </c>
      <c r="J772" s="5">
        <v>150200.0</v>
      </c>
      <c r="K772" s="5">
        <v>154720.0</v>
      </c>
      <c r="L772" s="5" t="s">
        <v>4542</v>
      </c>
      <c r="M772" s="5" t="s">
        <v>4017</v>
      </c>
      <c r="O772" s="5" t="s">
        <v>3337</v>
      </c>
      <c r="P772" s="5" t="s">
        <v>4342</v>
      </c>
      <c r="Q772" s="5" t="b">
        <v>1</v>
      </c>
      <c r="R772" s="5" t="s">
        <v>4342</v>
      </c>
    </row>
    <row r="773" ht="15.75" customHeight="1">
      <c r="A773" s="5" t="s">
        <v>5581</v>
      </c>
      <c r="B773" s="39">
        <v>45806.82067129629</v>
      </c>
      <c r="C773" s="3" t="s">
        <v>4421</v>
      </c>
      <c r="D773" s="3">
        <v>53.0</v>
      </c>
      <c r="E773" s="3" t="s">
        <v>3272</v>
      </c>
      <c r="F773" s="3">
        <v>22000.0</v>
      </c>
      <c r="G773" s="5">
        <v>66.0</v>
      </c>
      <c r="H773" s="3"/>
      <c r="I773" s="3"/>
      <c r="J773" s="5">
        <v>0.0</v>
      </c>
      <c r="K773" s="5">
        <v>22000.0</v>
      </c>
      <c r="L773" s="5" t="s">
        <v>4543</v>
      </c>
      <c r="M773" s="5" t="s">
        <v>3272</v>
      </c>
      <c r="O773" s="5" t="s">
        <v>3605</v>
      </c>
      <c r="Q773" s="5" t="b">
        <v>0</v>
      </c>
      <c r="R773" s="5" t="s">
        <v>4342</v>
      </c>
    </row>
    <row r="774" ht="15.75" customHeight="1">
      <c r="A774" s="5" t="s">
        <v>5582</v>
      </c>
      <c r="B774" s="39">
        <v>45806.824224537035</v>
      </c>
      <c r="C774" s="3" t="s">
        <v>4430</v>
      </c>
      <c r="D774" s="3">
        <v>46.0</v>
      </c>
      <c r="E774" s="3" t="s">
        <v>3588</v>
      </c>
      <c r="F774" s="3">
        <v>22000.0</v>
      </c>
      <c r="G774" s="5">
        <v>53.0</v>
      </c>
      <c r="H774" s="3"/>
      <c r="I774" s="3"/>
      <c r="J774" s="5">
        <v>0.0</v>
      </c>
      <c r="K774" s="5">
        <v>22000.0</v>
      </c>
      <c r="L774" s="5" t="s">
        <v>4544</v>
      </c>
      <c r="M774" s="5" t="s">
        <v>3588</v>
      </c>
      <c r="O774" s="5" t="s">
        <v>3605</v>
      </c>
      <c r="Q774" s="5" t="b">
        <v>0</v>
      </c>
      <c r="R774" s="5" t="s">
        <v>4342</v>
      </c>
    </row>
    <row r="775" ht="15.75" customHeight="1">
      <c r="A775" s="5" t="s">
        <v>5583</v>
      </c>
      <c r="B775" s="39">
        <v>45806.96394675926</v>
      </c>
      <c r="C775" s="3" t="s">
        <v>4430</v>
      </c>
      <c r="D775" s="3">
        <v>46.0</v>
      </c>
      <c r="E775" s="3" t="s">
        <v>3588</v>
      </c>
      <c r="F775" s="3">
        <v>7000.0</v>
      </c>
      <c r="G775" s="5">
        <v>75.0</v>
      </c>
      <c r="H775" s="3"/>
      <c r="I775" s="3"/>
      <c r="J775" s="5">
        <v>0.0</v>
      </c>
      <c r="K775" s="5">
        <v>7000.0</v>
      </c>
      <c r="L775" s="5" t="s">
        <v>4545</v>
      </c>
      <c r="M775" s="5" t="s">
        <v>3588</v>
      </c>
      <c r="O775" s="5" t="s">
        <v>3605</v>
      </c>
      <c r="Q775" s="5" t="b">
        <v>0</v>
      </c>
      <c r="R775" s="5" t="s">
        <v>4342</v>
      </c>
    </row>
    <row r="776" ht="15.75" customHeight="1">
      <c r="A776" s="5" t="s">
        <v>5584</v>
      </c>
      <c r="B776" s="39">
        <v>45808.47986111111</v>
      </c>
      <c r="C776" s="3" t="s">
        <v>3857</v>
      </c>
      <c r="D776" s="3">
        <v>55.0</v>
      </c>
      <c r="E776" s="3" t="s">
        <v>3615</v>
      </c>
      <c r="F776" s="3">
        <v>2000.0</v>
      </c>
      <c r="G776" s="5">
        <v>2.0</v>
      </c>
      <c r="H776" s="3"/>
      <c r="I776" s="3"/>
      <c r="J776" s="5">
        <v>0.0</v>
      </c>
      <c r="K776" s="5">
        <v>2000.0</v>
      </c>
      <c r="L776" s="5" t="s">
        <v>4546</v>
      </c>
      <c r="M776" s="5" t="s">
        <v>4547</v>
      </c>
      <c r="O776" s="5" t="s">
        <v>3605</v>
      </c>
      <c r="Q776" s="5" t="b">
        <v>0</v>
      </c>
      <c r="R776" s="5" t="s">
        <v>3320</v>
      </c>
    </row>
    <row r="777" ht="15.75" customHeight="1">
      <c r="A777" s="5" t="s">
        <v>5585</v>
      </c>
      <c r="B777" s="39">
        <v>45808.48332175926</v>
      </c>
      <c r="C777" s="3" t="s">
        <v>3857</v>
      </c>
      <c r="D777" s="3">
        <v>55.0</v>
      </c>
      <c r="E777" s="3" t="s">
        <v>3615</v>
      </c>
      <c r="F777" s="3">
        <v>1000.0</v>
      </c>
      <c r="G777" s="5">
        <v>500.0</v>
      </c>
      <c r="H777" s="3" t="s">
        <v>4548</v>
      </c>
      <c r="I777" s="3" t="s">
        <v>4549</v>
      </c>
      <c r="J777" s="5">
        <v>1.0</v>
      </c>
      <c r="K777" s="5">
        <v>1001.0</v>
      </c>
      <c r="L777" s="5" t="s">
        <v>4550</v>
      </c>
      <c r="M777" s="5" t="s">
        <v>4549</v>
      </c>
      <c r="O777" s="5" t="s">
        <v>3320</v>
      </c>
      <c r="Q777" s="5" t="b">
        <v>1</v>
      </c>
    </row>
    <row r="778" ht="15.75" customHeight="1">
      <c r="A778" s="5" t="s">
        <v>5586</v>
      </c>
      <c r="B778" s="39">
        <v>45808.48416666667</v>
      </c>
      <c r="C778" s="3" t="s">
        <v>4543</v>
      </c>
      <c r="D778" s="3">
        <v>66.0</v>
      </c>
      <c r="E778" s="3" t="s">
        <v>3272</v>
      </c>
      <c r="F778" s="3">
        <v>1000.0</v>
      </c>
      <c r="G778" s="5">
        <v>500.0</v>
      </c>
      <c r="H778" s="3" t="s">
        <v>4550</v>
      </c>
      <c r="I778" s="3" t="s">
        <v>4549</v>
      </c>
      <c r="J778" s="5">
        <v>1001.0</v>
      </c>
      <c r="K778" s="5">
        <v>2001.0</v>
      </c>
      <c r="L778" s="5" t="s">
        <v>4551</v>
      </c>
      <c r="M778" s="5" t="s">
        <v>4549</v>
      </c>
      <c r="N778" s="5" t="s">
        <v>5587</v>
      </c>
      <c r="O778" s="5" t="s">
        <v>4342</v>
      </c>
      <c r="Q778" s="5" t="b">
        <v>1</v>
      </c>
    </row>
    <row r="779" ht="15.75" customHeight="1">
      <c r="A779" s="5" t="s">
        <v>5588</v>
      </c>
      <c r="B779" s="39">
        <v>45808.484814814816</v>
      </c>
      <c r="C779" s="3" t="s">
        <v>4544</v>
      </c>
      <c r="D779" s="3">
        <v>53.0</v>
      </c>
      <c r="E779" s="3" t="s">
        <v>3588</v>
      </c>
      <c r="F779" s="3">
        <v>2000.0</v>
      </c>
      <c r="G779" s="5">
        <v>66.0</v>
      </c>
      <c r="H779" s="3" t="s">
        <v>4543</v>
      </c>
      <c r="I779" s="3" t="s">
        <v>3272</v>
      </c>
      <c r="J779" s="5">
        <v>21000.0</v>
      </c>
      <c r="K779" s="5">
        <v>23000.0</v>
      </c>
      <c r="L779" s="5" t="s">
        <v>4552</v>
      </c>
      <c r="M779" s="5" t="s">
        <v>3272</v>
      </c>
      <c r="O779" s="5" t="s">
        <v>4342</v>
      </c>
      <c r="P779" s="5" t="s">
        <v>4342</v>
      </c>
      <c r="Q779" s="5" t="b">
        <v>1</v>
      </c>
      <c r="R779" s="5" t="s">
        <v>4342</v>
      </c>
    </row>
    <row r="780" ht="15.75" customHeight="1">
      <c r="A780" s="5" t="s">
        <v>5589</v>
      </c>
      <c r="B780" s="39">
        <v>45808.48568287037</v>
      </c>
      <c r="C780" s="3" t="s">
        <v>4507</v>
      </c>
      <c r="D780" s="3">
        <v>49.0</v>
      </c>
      <c r="E780" s="3" t="s">
        <v>3275</v>
      </c>
      <c r="F780" s="3">
        <v>2000.0</v>
      </c>
      <c r="G780" s="5">
        <v>53.0</v>
      </c>
      <c r="H780" s="3" t="s">
        <v>4544</v>
      </c>
      <c r="I780" s="3" t="s">
        <v>3588</v>
      </c>
      <c r="J780" s="5">
        <v>20000.0</v>
      </c>
      <c r="K780" s="5">
        <v>22000.0</v>
      </c>
      <c r="L780" s="5" t="s">
        <v>4553</v>
      </c>
      <c r="M780" s="5" t="s">
        <v>3588</v>
      </c>
      <c r="N780" s="5" t="s">
        <v>5590</v>
      </c>
      <c r="O780" s="5" t="s">
        <v>3337</v>
      </c>
      <c r="P780" s="5" t="s">
        <v>4342</v>
      </c>
      <c r="Q780" s="5" t="b">
        <v>1</v>
      </c>
      <c r="R780" s="5" t="s">
        <v>4342</v>
      </c>
    </row>
    <row r="781" ht="15.75" customHeight="1">
      <c r="A781" s="5" t="s">
        <v>5591</v>
      </c>
      <c r="B781" s="39">
        <v>45808.48689814815</v>
      </c>
      <c r="C781" s="3" t="s">
        <v>4537</v>
      </c>
      <c r="D781" s="3">
        <v>73.0</v>
      </c>
      <c r="E781" s="3" t="s">
        <v>3662</v>
      </c>
      <c r="F781" s="3">
        <v>2400.0</v>
      </c>
      <c r="G781" s="5">
        <v>6.0</v>
      </c>
      <c r="H781" s="3"/>
      <c r="I781" s="3"/>
      <c r="J781" s="5">
        <v>0.0</v>
      </c>
      <c r="K781" s="5">
        <v>2400.0</v>
      </c>
      <c r="L781" s="5" t="s">
        <v>4554</v>
      </c>
      <c r="M781" s="5" t="s">
        <v>3662</v>
      </c>
      <c r="O781" s="5" t="s">
        <v>4342</v>
      </c>
      <c r="Q781" s="5" t="b">
        <v>0</v>
      </c>
      <c r="R781" s="5" t="s">
        <v>3337</v>
      </c>
    </row>
    <row r="782" ht="15.75" customHeight="1">
      <c r="A782" s="5" t="s">
        <v>5592</v>
      </c>
      <c r="B782" s="39">
        <v>45811.39046296296</v>
      </c>
      <c r="C782" s="3" t="s">
        <v>4532</v>
      </c>
      <c r="D782" s="3">
        <v>92.0</v>
      </c>
      <c r="E782" s="3" t="s">
        <v>3273</v>
      </c>
      <c r="F782" s="3">
        <v>-1400.0</v>
      </c>
      <c r="G782" s="5">
        <v>500.0</v>
      </c>
      <c r="H782" s="3" t="s">
        <v>4551</v>
      </c>
      <c r="I782" s="3" t="s">
        <v>4549</v>
      </c>
      <c r="J782" s="5">
        <v>2001.0</v>
      </c>
      <c r="K782" s="5">
        <v>601.0</v>
      </c>
      <c r="L782" s="5" t="s">
        <v>4555</v>
      </c>
      <c r="M782" s="5" t="s">
        <v>4549</v>
      </c>
      <c r="O782" s="5" t="s">
        <v>4342</v>
      </c>
      <c r="P782" s="5" t="s">
        <v>3342</v>
      </c>
      <c r="Q782" s="5" t="b">
        <v>1</v>
      </c>
      <c r="R782" s="5" t="s">
        <v>3342</v>
      </c>
    </row>
    <row r="783" ht="15.75" customHeight="1">
      <c r="A783" s="5" t="s">
        <v>5593</v>
      </c>
      <c r="B783" s="39">
        <v>45811.390868055554</v>
      </c>
      <c r="C783" s="3" t="s">
        <v>4542</v>
      </c>
      <c r="D783" s="3">
        <v>118.0</v>
      </c>
      <c r="E783" s="3" t="s">
        <v>4017</v>
      </c>
      <c r="F783" s="3">
        <v>-880.0</v>
      </c>
      <c r="G783" s="5">
        <v>500.0</v>
      </c>
      <c r="H783" s="3" t="s">
        <v>4555</v>
      </c>
      <c r="I783" s="3" t="s">
        <v>4549</v>
      </c>
      <c r="J783" s="5">
        <v>601.0</v>
      </c>
      <c r="K783" s="5">
        <v>-279.0</v>
      </c>
      <c r="L783" s="5" t="s">
        <v>4556</v>
      </c>
      <c r="M783" s="5" t="s">
        <v>4549</v>
      </c>
      <c r="O783" s="5" t="s">
        <v>4342</v>
      </c>
      <c r="P783" s="5" t="s">
        <v>3342</v>
      </c>
      <c r="Q783" s="5" t="b">
        <v>1</v>
      </c>
      <c r="R783" s="5" t="s">
        <v>3342</v>
      </c>
    </row>
    <row r="784" ht="15.75" customHeight="1">
      <c r="A784" s="5" t="s">
        <v>5594</v>
      </c>
      <c r="B784" s="39">
        <v>45818.35076388889</v>
      </c>
      <c r="C784" s="3" t="s">
        <v>4426</v>
      </c>
      <c r="D784" s="3">
        <v>15.0</v>
      </c>
      <c r="E784" s="3" t="s">
        <v>3662</v>
      </c>
      <c r="F784" s="3">
        <v>35900.0</v>
      </c>
      <c r="G784" s="5">
        <v>42.0</v>
      </c>
      <c r="H784" s="3"/>
      <c r="I784" s="3"/>
      <c r="J784" s="5">
        <v>0.0</v>
      </c>
      <c r="K784" s="5">
        <v>35900.0</v>
      </c>
      <c r="L784" s="5" t="s">
        <v>20</v>
      </c>
      <c r="M784" s="5" t="s">
        <v>3662</v>
      </c>
      <c r="O784" s="5" t="s">
        <v>3605</v>
      </c>
      <c r="Q784" s="5" t="b">
        <v>0</v>
      </c>
      <c r="R784" s="5" t="s">
        <v>3605</v>
      </c>
      <c r="U784" s="6" t="s">
        <v>3247</v>
      </c>
    </row>
    <row r="785" ht="15.75" customHeight="1">
      <c r="A785" s="5" t="s">
        <v>5595</v>
      </c>
      <c r="B785" s="39">
        <v>45818.352372685185</v>
      </c>
      <c r="C785" s="3" t="s">
        <v>4483</v>
      </c>
      <c r="D785" s="3">
        <v>90.0</v>
      </c>
      <c r="E785" s="3" t="s">
        <v>3662</v>
      </c>
      <c r="F785" s="3">
        <v>15000.0</v>
      </c>
      <c r="G785" s="5">
        <v>46.0</v>
      </c>
      <c r="H785" s="3"/>
      <c r="I785" s="3"/>
      <c r="J785" s="5">
        <v>0.0</v>
      </c>
      <c r="K785" s="5">
        <v>15000.0</v>
      </c>
      <c r="L785" s="5" t="s">
        <v>4557</v>
      </c>
      <c r="M785" s="5" t="s">
        <v>3662</v>
      </c>
      <c r="O785" s="5" t="s">
        <v>4342</v>
      </c>
      <c r="Q785" s="5" t="b">
        <v>0</v>
      </c>
      <c r="R785" s="5" t="s">
        <v>4342</v>
      </c>
      <c r="U785" s="6" t="s">
        <v>3247</v>
      </c>
    </row>
    <row r="786" ht="15.75" customHeight="1">
      <c r="A786" s="5" t="s">
        <v>5596</v>
      </c>
      <c r="B786" s="39">
        <v>45818.35517361111</v>
      </c>
      <c r="C786" s="3" t="s">
        <v>4553</v>
      </c>
      <c r="D786" s="3">
        <v>53.0</v>
      </c>
      <c r="E786" s="3" t="s">
        <v>3588</v>
      </c>
      <c r="F786" s="3">
        <v>2200.0</v>
      </c>
      <c r="G786" s="5">
        <v>46.0</v>
      </c>
      <c r="H786" s="3" t="s">
        <v>4557</v>
      </c>
      <c r="I786" s="3" t="s">
        <v>3662</v>
      </c>
      <c r="J786" s="5">
        <v>15000.0</v>
      </c>
      <c r="K786" s="5">
        <v>17200.0</v>
      </c>
      <c r="L786" s="5" t="s">
        <v>4558</v>
      </c>
      <c r="M786" s="5" t="s">
        <v>3662</v>
      </c>
      <c r="O786" s="5" t="s">
        <v>4342</v>
      </c>
      <c r="P786" s="5" t="s">
        <v>4342</v>
      </c>
      <c r="Q786" s="5" t="b">
        <v>1</v>
      </c>
      <c r="R786" s="5" t="s">
        <v>4342</v>
      </c>
      <c r="U786" s="6" t="s">
        <v>3247</v>
      </c>
    </row>
    <row r="787" ht="15.75" customHeight="1">
      <c r="A787" s="5" t="s">
        <v>5597</v>
      </c>
      <c r="B787" s="39">
        <v>45818.355532407404</v>
      </c>
      <c r="C787" s="3" t="s">
        <v>4513</v>
      </c>
      <c r="D787" s="3">
        <v>67.0</v>
      </c>
      <c r="E787" s="3" t="s">
        <v>3466</v>
      </c>
      <c r="F787" s="3">
        <v>2200.0</v>
      </c>
      <c r="G787" s="5">
        <v>46.0</v>
      </c>
      <c r="H787" s="3" t="s">
        <v>4558</v>
      </c>
      <c r="I787" s="3" t="s">
        <v>3662</v>
      </c>
      <c r="J787" s="5">
        <v>17200.0</v>
      </c>
      <c r="K787" s="5">
        <v>19400.0</v>
      </c>
      <c r="L787" s="5" t="s">
        <v>4559</v>
      </c>
      <c r="M787" s="5" t="s">
        <v>3662</v>
      </c>
      <c r="O787" s="5" t="s">
        <v>4342</v>
      </c>
      <c r="P787" s="5" t="s">
        <v>4342</v>
      </c>
      <c r="Q787" s="5" t="b">
        <v>1</v>
      </c>
      <c r="R787" s="5" t="s">
        <v>4342</v>
      </c>
      <c r="U787" s="6" t="s">
        <v>3247</v>
      </c>
    </row>
    <row r="788" ht="15.75" customHeight="1">
      <c r="A788" s="5" t="s">
        <v>5598</v>
      </c>
      <c r="B788" s="39">
        <v>45818.35633101852</v>
      </c>
      <c r="C788" s="3" t="s">
        <v>4545</v>
      </c>
      <c r="D788" s="3">
        <v>75.0</v>
      </c>
      <c r="E788" s="3" t="s">
        <v>3588</v>
      </c>
      <c r="F788" s="3">
        <v>2000.0</v>
      </c>
      <c r="G788" s="5">
        <v>46.0</v>
      </c>
      <c r="H788" s="3" t="s">
        <v>4559</v>
      </c>
      <c r="I788" s="3" t="s">
        <v>3662</v>
      </c>
      <c r="J788" s="5">
        <v>19400.0</v>
      </c>
      <c r="K788" s="5">
        <v>21400.0</v>
      </c>
      <c r="L788" s="5" t="s">
        <v>4560</v>
      </c>
      <c r="M788" s="5" t="s">
        <v>3662</v>
      </c>
      <c r="O788" s="5" t="s">
        <v>4342</v>
      </c>
      <c r="P788" s="5" t="s">
        <v>4342</v>
      </c>
      <c r="Q788" s="5" t="b">
        <v>1</v>
      </c>
      <c r="R788" s="5" t="s">
        <v>4342</v>
      </c>
      <c r="U788" s="6" t="s">
        <v>3247</v>
      </c>
    </row>
    <row r="789" ht="15.75" customHeight="1">
      <c r="A789" s="5" t="s">
        <v>5599</v>
      </c>
      <c r="B789" s="39">
        <v>45818.35792824074</v>
      </c>
      <c r="C789" s="3" t="s">
        <v>4507</v>
      </c>
      <c r="D789" s="3">
        <v>49.0</v>
      </c>
      <c r="E789" s="3" t="s">
        <v>3275</v>
      </c>
      <c r="F789" s="3">
        <v>15000.0</v>
      </c>
      <c r="G789" s="5">
        <v>90.0</v>
      </c>
      <c r="H789" s="3" t="s">
        <v>4483</v>
      </c>
      <c r="I789" s="3" t="s">
        <v>3662</v>
      </c>
      <c r="J789" s="5">
        <v>82500.0</v>
      </c>
      <c r="K789" s="5">
        <v>97500.0</v>
      </c>
      <c r="L789" s="5" t="s">
        <v>4561</v>
      </c>
      <c r="M789" s="5" t="s">
        <v>3662</v>
      </c>
      <c r="O789" s="5" t="s">
        <v>3337</v>
      </c>
      <c r="P789" s="5" t="s">
        <v>4342</v>
      </c>
      <c r="Q789" s="5" t="b">
        <v>1</v>
      </c>
      <c r="R789" s="5" t="s">
        <v>4342</v>
      </c>
      <c r="U789" s="6" t="s">
        <v>3247</v>
      </c>
    </row>
    <row r="790" ht="15.75" customHeight="1">
      <c r="A790" s="5" t="s">
        <v>5600</v>
      </c>
      <c r="B790" s="39">
        <v>45818.35907407408</v>
      </c>
      <c r="C790" s="3" t="s">
        <v>4507</v>
      </c>
      <c r="D790" s="3">
        <v>49.0</v>
      </c>
      <c r="E790" s="3" t="s">
        <v>3275</v>
      </c>
      <c r="F790" s="3">
        <v>2200.0</v>
      </c>
      <c r="G790" s="5">
        <v>53.0</v>
      </c>
      <c r="H790" s="3" t="s">
        <v>4553</v>
      </c>
      <c r="I790" s="3" t="s">
        <v>3588</v>
      </c>
      <c r="J790" s="5">
        <v>19800.0</v>
      </c>
      <c r="K790" s="5">
        <v>22000.0</v>
      </c>
      <c r="L790" s="5" t="s">
        <v>26</v>
      </c>
      <c r="M790" s="5" t="s">
        <v>3588</v>
      </c>
      <c r="O790" s="5" t="s">
        <v>3337</v>
      </c>
      <c r="P790" s="5" t="s">
        <v>4342</v>
      </c>
      <c r="Q790" s="5" t="b">
        <v>1</v>
      </c>
      <c r="R790" s="5" t="s">
        <v>4342</v>
      </c>
    </row>
    <row r="791" ht="15.75" customHeight="1">
      <c r="A791" s="5" t="s">
        <v>5601</v>
      </c>
      <c r="B791" s="39">
        <v>45818.359247685185</v>
      </c>
      <c r="C791" s="3" t="s">
        <v>4507</v>
      </c>
      <c r="D791" s="3">
        <v>49.0</v>
      </c>
      <c r="E791" s="3" t="s">
        <v>3275</v>
      </c>
      <c r="F791" s="3">
        <v>2200.0</v>
      </c>
      <c r="G791" s="5">
        <v>67.0</v>
      </c>
      <c r="H791" s="3" t="s">
        <v>4513</v>
      </c>
      <c r="I791" s="3" t="s">
        <v>3466</v>
      </c>
      <c r="J791" s="5">
        <v>20800.0</v>
      </c>
      <c r="K791" s="5">
        <v>23000.0</v>
      </c>
      <c r="L791" s="5" t="s">
        <v>32</v>
      </c>
      <c r="M791" s="5" t="s">
        <v>3466</v>
      </c>
      <c r="O791" s="5" t="s">
        <v>3337</v>
      </c>
      <c r="P791" s="5" t="s">
        <v>4342</v>
      </c>
      <c r="Q791" s="5" t="b">
        <v>1</v>
      </c>
      <c r="R791" s="5" t="s">
        <v>4342</v>
      </c>
    </row>
    <row r="792" ht="15.75" customHeight="1">
      <c r="A792" s="6" t="s">
        <v>5602</v>
      </c>
      <c r="B792" s="39">
        <v>45818.359375</v>
      </c>
      <c r="C792" s="3" t="s">
        <v>4507</v>
      </c>
      <c r="D792" s="3">
        <v>49.0</v>
      </c>
      <c r="E792" s="3" t="s">
        <v>3275</v>
      </c>
      <c r="F792" s="3">
        <v>2000.0</v>
      </c>
      <c r="G792" s="5">
        <v>75.0</v>
      </c>
      <c r="H792" s="3" t="s">
        <v>4545</v>
      </c>
      <c r="I792" s="3" t="s">
        <v>3588</v>
      </c>
      <c r="J792" s="5">
        <v>5000.0</v>
      </c>
      <c r="K792" s="5">
        <v>7000.0</v>
      </c>
      <c r="L792" s="5" t="s">
        <v>36</v>
      </c>
      <c r="M792" s="5" t="s">
        <v>3588</v>
      </c>
      <c r="O792" s="5" t="s">
        <v>3337</v>
      </c>
      <c r="P792" s="5" t="s">
        <v>4342</v>
      </c>
      <c r="Q792" s="5" t="b">
        <v>1</v>
      </c>
      <c r="R792" s="5" t="s">
        <v>4342</v>
      </c>
    </row>
    <row r="793" ht="15.75" customHeight="1">
      <c r="A793" s="5" t="s">
        <v>5603</v>
      </c>
      <c r="B793" s="39">
        <v>45818.35953703704</v>
      </c>
      <c r="C793" s="3" t="s">
        <v>4507</v>
      </c>
      <c r="D793" s="3">
        <v>49.0</v>
      </c>
      <c r="E793" s="3" t="s">
        <v>3275</v>
      </c>
      <c r="F793" s="3">
        <v>2600.0</v>
      </c>
      <c r="G793" s="5">
        <v>46.0</v>
      </c>
      <c r="H793" s="3" t="s">
        <v>4560</v>
      </c>
      <c r="I793" s="3" t="s">
        <v>3662</v>
      </c>
      <c r="J793" s="5">
        <v>21400.0</v>
      </c>
      <c r="K793" s="5">
        <v>24000.0</v>
      </c>
      <c r="L793" s="5" t="s">
        <v>4562</v>
      </c>
      <c r="M793" s="5" t="s">
        <v>3662</v>
      </c>
      <c r="O793" s="5" t="s">
        <v>3337</v>
      </c>
      <c r="P793" s="5" t="s">
        <v>4342</v>
      </c>
      <c r="Q793" s="5" t="b">
        <v>1</v>
      </c>
      <c r="R793" s="5" t="s">
        <v>4342</v>
      </c>
      <c r="U793" s="6" t="s">
        <v>3247</v>
      </c>
    </row>
    <row r="794" ht="15.75" customHeight="1">
      <c r="A794" s="5" t="s">
        <v>5604</v>
      </c>
      <c r="B794" s="39">
        <v>45818.36201388889</v>
      </c>
      <c r="C794" s="3" t="s">
        <v>4426</v>
      </c>
      <c r="D794" s="3">
        <v>15.0</v>
      </c>
      <c r="E794" s="3" t="s">
        <v>3662</v>
      </c>
      <c r="F794" s="3">
        <v>600.0</v>
      </c>
      <c r="G794" s="5">
        <v>46.0</v>
      </c>
      <c r="H794" s="3" t="s">
        <v>4562</v>
      </c>
      <c r="I794" s="3" t="s">
        <v>3662</v>
      </c>
      <c r="J794" s="5">
        <v>24000.0</v>
      </c>
      <c r="K794" s="5">
        <v>24600.0</v>
      </c>
      <c r="L794" s="5" t="s">
        <v>4563</v>
      </c>
      <c r="M794" s="5" t="s">
        <v>3662</v>
      </c>
      <c r="O794" s="5" t="s">
        <v>3605</v>
      </c>
      <c r="P794" s="5" t="s">
        <v>4342</v>
      </c>
      <c r="Q794" s="5" t="b">
        <v>1</v>
      </c>
      <c r="R794" s="5" t="s">
        <v>4342</v>
      </c>
      <c r="U794" s="6" t="s">
        <v>3247</v>
      </c>
    </row>
    <row r="795" ht="15.75" customHeight="1">
      <c r="A795" s="5" t="s">
        <v>5605</v>
      </c>
      <c r="B795" s="39">
        <v>45818.38575231482</v>
      </c>
      <c r="C795" s="3" t="s">
        <v>3566</v>
      </c>
      <c r="D795" s="3">
        <v>5.0</v>
      </c>
      <c r="E795" s="3" t="s">
        <v>3293</v>
      </c>
      <c r="F795" s="3">
        <v>3000.0</v>
      </c>
      <c r="G795" s="5">
        <v>500.0</v>
      </c>
      <c r="H795" s="3"/>
      <c r="I795" s="3"/>
      <c r="J795" s="5">
        <v>0.0</v>
      </c>
      <c r="K795" s="5">
        <v>3000.0</v>
      </c>
      <c r="L795" s="5" t="s">
        <v>4564</v>
      </c>
      <c r="M795" s="5" t="s">
        <v>3293</v>
      </c>
      <c r="O795" s="5" t="s">
        <v>3320</v>
      </c>
      <c r="Q795" s="5" t="b">
        <v>0</v>
      </c>
      <c r="R795" s="5" t="s">
        <v>3715</v>
      </c>
      <c r="U795" s="6" t="s">
        <v>3247</v>
      </c>
    </row>
    <row r="796" ht="15.75" customHeight="1">
      <c r="A796" s="5" t="s">
        <v>5606</v>
      </c>
      <c r="B796" s="39">
        <v>45818.386087962965</v>
      </c>
      <c r="C796" s="3" t="s">
        <v>3396</v>
      </c>
      <c r="D796" s="3">
        <v>31.0</v>
      </c>
      <c r="E796" s="3" t="s">
        <v>3293</v>
      </c>
      <c r="F796" s="3">
        <v>3000.0</v>
      </c>
      <c r="G796" s="5">
        <v>500.0</v>
      </c>
      <c r="H796" s="3" t="s">
        <v>4564</v>
      </c>
      <c r="I796" s="3" t="s">
        <v>3293</v>
      </c>
      <c r="J796" s="5">
        <v>3000.0</v>
      </c>
      <c r="K796" s="5">
        <v>6000.0</v>
      </c>
      <c r="L796" s="5" t="s">
        <v>4565</v>
      </c>
      <c r="M796" s="5" t="s">
        <v>4566</v>
      </c>
      <c r="O796" s="5" t="s">
        <v>3320</v>
      </c>
      <c r="P796" s="5" t="s">
        <v>3715</v>
      </c>
      <c r="Q796" s="5" t="b">
        <v>1</v>
      </c>
      <c r="R796" s="5" t="s">
        <v>3715</v>
      </c>
      <c r="U796" s="6" t="s">
        <v>3247</v>
      </c>
    </row>
    <row r="797" ht="15.75" customHeight="1">
      <c r="A797" s="5" t="s">
        <v>5607</v>
      </c>
      <c r="B797" s="39">
        <v>45818.38658564815</v>
      </c>
      <c r="C797" s="3" t="s">
        <v>3396</v>
      </c>
      <c r="D797" s="3">
        <v>31.0</v>
      </c>
      <c r="E797" s="3" t="s">
        <v>3293</v>
      </c>
      <c r="F797" s="3">
        <v>3000.0</v>
      </c>
      <c r="G797" s="5">
        <v>5.0</v>
      </c>
      <c r="H797" s="3" t="s">
        <v>3566</v>
      </c>
      <c r="I797" s="3" t="s">
        <v>3293</v>
      </c>
      <c r="J797" s="5">
        <v>27000.0</v>
      </c>
      <c r="K797" s="5">
        <v>30000.0</v>
      </c>
      <c r="L797" s="5" t="s">
        <v>8</v>
      </c>
      <c r="M797" s="5" t="s">
        <v>3293</v>
      </c>
      <c r="O797" s="5" t="s">
        <v>3320</v>
      </c>
      <c r="P797" s="5" t="s">
        <v>3320</v>
      </c>
      <c r="Q797" s="5" t="b">
        <v>1</v>
      </c>
      <c r="R797" s="5" t="s">
        <v>3320</v>
      </c>
      <c r="U797" s="6" t="s">
        <v>3247</v>
      </c>
    </row>
    <row r="798" ht="15.75" customHeight="1">
      <c r="A798" s="5" t="s">
        <v>5608</v>
      </c>
      <c r="B798" s="39">
        <v>45818.38688657407</v>
      </c>
      <c r="C798" s="3" t="s">
        <v>3396</v>
      </c>
      <c r="D798" s="3">
        <v>31.0</v>
      </c>
      <c r="E798" s="3" t="s">
        <v>3293</v>
      </c>
      <c r="F798" s="3">
        <v>19700.0</v>
      </c>
      <c r="G798" s="5">
        <v>11.0</v>
      </c>
      <c r="H798" s="3"/>
      <c r="I798" s="3"/>
      <c r="J798" s="5">
        <v>0.0</v>
      </c>
      <c r="K798" s="5">
        <v>19700.0</v>
      </c>
      <c r="L798" s="5" t="s">
        <v>4567</v>
      </c>
      <c r="M798" s="5" t="s">
        <v>3293</v>
      </c>
      <c r="O798" s="5" t="s">
        <v>3320</v>
      </c>
      <c r="Q798" s="5" t="b">
        <v>0</v>
      </c>
      <c r="R798" s="5" t="s">
        <v>3320</v>
      </c>
    </row>
    <row r="799" ht="15.75" customHeight="1">
      <c r="A799" s="5" t="s">
        <v>5609</v>
      </c>
      <c r="B799" s="39">
        <v>45818.38717592593</v>
      </c>
      <c r="C799" s="3" t="s">
        <v>3578</v>
      </c>
      <c r="D799" s="3">
        <v>16.0</v>
      </c>
      <c r="E799" s="3" t="s">
        <v>3293</v>
      </c>
      <c r="F799" s="3">
        <v>16300.0</v>
      </c>
      <c r="G799" s="5">
        <v>11.0</v>
      </c>
      <c r="H799" s="3" t="s">
        <v>4567</v>
      </c>
      <c r="I799" s="3" t="s">
        <v>3293</v>
      </c>
      <c r="J799" s="5">
        <v>19700.0</v>
      </c>
      <c r="K799" s="5">
        <v>36000.0</v>
      </c>
      <c r="L799" s="5" t="s">
        <v>4568</v>
      </c>
      <c r="M799" s="5" t="s">
        <v>3293</v>
      </c>
      <c r="O799" s="5" t="s">
        <v>3320</v>
      </c>
      <c r="P799" s="5" t="s">
        <v>3320</v>
      </c>
      <c r="Q799" s="5" t="b">
        <v>0</v>
      </c>
      <c r="R799" s="5" t="s">
        <v>3605</v>
      </c>
      <c r="U799" s="6" t="s">
        <v>3248</v>
      </c>
    </row>
    <row r="800" ht="15.75" customHeight="1">
      <c r="A800" s="5" t="s">
        <v>5610</v>
      </c>
      <c r="B800" s="39">
        <v>45818.393738425926</v>
      </c>
      <c r="C800" s="3" t="s">
        <v>3578</v>
      </c>
      <c r="D800" s="3">
        <v>16.0</v>
      </c>
      <c r="E800" s="3" t="s">
        <v>3293</v>
      </c>
      <c r="F800" s="3">
        <v>3000.0</v>
      </c>
      <c r="G800" s="5">
        <v>55.0</v>
      </c>
      <c r="H800" s="3"/>
      <c r="I800" s="3"/>
      <c r="J800" s="5">
        <v>0.0</v>
      </c>
      <c r="K800" s="5">
        <v>3000.0</v>
      </c>
      <c r="L800" s="5" t="s">
        <v>28</v>
      </c>
      <c r="M800" s="5" t="s">
        <v>3293</v>
      </c>
      <c r="O800" s="5" t="s">
        <v>3320</v>
      </c>
      <c r="Q800" s="5" t="b">
        <v>0</v>
      </c>
      <c r="R800" s="5" t="s">
        <v>3605</v>
      </c>
      <c r="U800" s="6" t="s">
        <v>3248</v>
      </c>
    </row>
    <row r="801" ht="15.75" customHeight="1">
      <c r="A801" s="5" t="s">
        <v>5611</v>
      </c>
      <c r="B801" s="39">
        <v>45818.65008101852</v>
      </c>
      <c r="C801" s="3" t="s">
        <v>4532</v>
      </c>
      <c r="D801" s="3">
        <v>92.0</v>
      </c>
      <c r="E801" s="3" t="s">
        <v>3273</v>
      </c>
      <c r="F801" s="3">
        <v>15000.0</v>
      </c>
      <c r="G801" s="5">
        <v>115.0</v>
      </c>
      <c r="H801" s="3"/>
      <c r="I801" s="3"/>
      <c r="J801" s="5">
        <v>0.0</v>
      </c>
      <c r="K801" s="5">
        <v>15000.0</v>
      </c>
      <c r="L801" s="5" t="s">
        <v>4569</v>
      </c>
      <c r="M801" s="5" t="s">
        <v>4570</v>
      </c>
      <c r="O801" s="5" t="s">
        <v>3715</v>
      </c>
      <c r="Q801" s="5" t="b">
        <v>0</v>
      </c>
      <c r="R801" s="5" t="s">
        <v>4342</v>
      </c>
      <c r="U801" s="6" t="s">
        <v>3247</v>
      </c>
    </row>
    <row r="802" ht="15.75" customHeight="1">
      <c r="A802" s="5" t="s">
        <v>5612</v>
      </c>
      <c r="B802" s="39">
        <v>45818.65256944444</v>
      </c>
      <c r="C802" s="3" t="s">
        <v>4529</v>
      </c>
      <c r="D802" s="3">
        <v>84.0</v>
      </c>
      <c r="E802" s="3" t="s">
        <v>3273</v>
      </c>
      <c r="F802" s="3">
        <v>31000.0</v>
      </c>
      <c r="G802" s="5">
        <v>115.0</v>
      </c>
      <c r="H802" s="3" t="s">
        <v>4569</v>
      </c>
      <c r="I802" s="3" t="s">
        <v>4570</v>
      </c>
      <c r="J802" s="5">
        <v>15000.0</v>
      </c>
      <c r="K802" s="5">
        <v>46000.0</v>
      </c>
      <c r="L802" s="5" t="s">
        <v>4571</v>
      </c>
      <c r="M802" s="5" t="s">
        <v>4570</v>
      </c>
      <c r="O802" s="5" t="s">
        <v>4342</v>
      </c>
      <c r="P802" s="5" t="s">
        <v>4342</v>
      </c>
      <c r="Q802" s="5" t="b">
        <v>1</v>
      </c>
      <c r="R802" s="5" t="s">
        <v>3715</v>
      </c>
      <c r="U802" s="6" t="s">
        <v>3247</v>
      </c>
    </row>
    <row r="803" ht="15.75" customHeight="1">
      <c r="A803" s="5" t="s">
        <v>5613</v>
      </c>
      <c r="B803" s="39">
        <v>45818.65394675926</v>
      </c>
      <c r="C803" s="3" t="s">
        <v>4473</v>
      </c>
      <c r="D803" s="3">
        <v>114.0</v>
      </c>
      <c r="E803" s="3" t="s">
        <v>3380</v>
      </c>
      <c r="F803" s="3">
        <v>30000.0</v>
      </c>
      <c r="G803" s="5">
        <v>115.0</v>
      </c>
      <c r="H803" s="3" t="s">
        <v>4571</v>
      </c>
      <c r="I803" s="3" t="s">
        <v>4570</v>
      </c>
      <c r="J803" s="5">
        <v>46000.0</v>
      </c>
      <c r="K803" s="5">
        <v>76000.0</v>
      </c>
      <c r="L803" s="6" t="s">
        <v>4572</v>
      </c>
      <c r="M803" s="5" t="s">
        <v>4570</v>
      </c>
      <c r="O803" s="5" t="s">
        <v>4342</v>
      </c>
      <c r="P803" s="5" t="s">
        <v>3715</v>
      </c>
      <c r="Q803" s="5" t="b">
        <v>1</v>
      </c>
      <c r="R803" s="5" t="s">
        <v>3715</v>
      </c>
      <c r="U803" s="6" t="s">
        <v>3247</v>
      </c>
    </row>
    <row r="804" ht="15.75" customHeight="1">
      <c r="A804" s="5" t="s">
        <v>5614</v>
      </c>
      <c r="B804" s="39">
        <v>45818.654699074075</v>
      </c>
      <c r="C804" s="3" t="s">
        <v>4517</v>
      </c>
      <c r="D804" s="3">
        <v>102.0</v>
      </c>
      <c r="E804" s="3" t="s">
        <v>3662</v>
      </c>
      <c r="F804" s="3">
        <v>24000.0</v>
      </c>
      <c r="G804" s="5">
        <v>115.0</v>
      </c>
      <c r="H804" s="4" t="s">
        <v>4572</v>
      </c>
      <c r="I804" s="3" t="s">
        <v>4570</v>
      </c>
      <c r="J804" s="5">
        <v>76000.0</v>
      </c>
      <c r="K804" s="5">
        <v>100000.0</v>
      </c>
      <c r="L804" s="5" t="s">
        <v>4573</v>
      </c>
      <c r="M804" s="5" t="s">
        <v>4570</v>
      </c>
      <c r="O804" s="5" t="s">
        <v>4342</v>
      </c>
      <c r="P804" s="5" t="s">
        <v>3715</v>
      </c>
      <c r="Q804" s="5" t="b">
        <v>1</v>
      </c>
      <c r="R804" s="5" t="s">
        <v>3715</v>
      </c>
      <c r="U804" s="6" t="s">
        <v>3247</v>
      </c>
    </row>
    <row r="805" ht="15.75" customHeight="1">
      <c r="A805" s="5" t="s">
        <v>5615</v>
      </c>
      <c r="B805" s="39">
        <v>45819.66653935185</v>
      </c>
      <c r="C805" s="3" t="s">
        <v>4529</v>
      </c>
      <c r="D805" s="3">
        <v>84.0</v>
      </c>
      <c r="E805" s="3" t="s">
        <v>3273</v>
      </c>
      <c r="F805" s="3">
        <v>28600.0</v>
      </c>
      <c r="G805" s="5">
        <v>26.0</v>
      </c>
      <c r="H805" s="3"/>
      <c r="I805" s="3"/>
      <c r="J805" s="5">
        <v>0.0</v>
      </c>
      <c r="K805" s="5">
        <v>28600.0</v>
      </c>
      <c r="L805" s="5" t="s">
        <v>4575</v>
      </c>
      <c r="M805" s="5" t="s">
        <v>3273</v>
      </c>
      <c r="O805" s="5" t="s">
        <v>4342</v>
      </c>
      <c r="Q805" s="5" t="b">
        <v>0</v>
      </c>
      <c r="R805" s="5" t="s">
        <v>4342</v>
      </c>
      <c r="U805" s="6" t="s">
        <v>3247</v>
      </c>
    </row>
    <row r="806" ht="15.75" customHeight="1">
      <c r="A806" s="5" t="s">
        <v>5616</v>
      </c>
      <c r="B806" s="39">
        <v>45819.6675</v>
      </c>
      <c r="C806" s="3" t="s">
        <v>4531</v>
      </c>
      <c r="D806" s="3">
        <v>85.0</v>
      </c>
      <c r="E806" s="3" t="s">
        <v>3273</v>
      </c>
      <c r="F806" s="3">
        <v>46200.0</v>
      </c>
      <c r="G806" s="5">
        <v>26.0</v>
      </c>
      <c r="H806" s="3" t="s">
        <v>4575</v>
      </c>
      <c r="I806" s="3" t="s">
        <v>3273</v>
      </c>
      <c r="J806" s="5">
        <v>28600.0</v>
      </c>
      <c r="K806" s="5">
        <v>74800.0</v>
      </c>
      <c r="L806" s="5" t="s">
        <v>4576</v>
      </c>
      <c r="M806" s="5" t="s">
        <v>3273</v>
      </c>
      <c r="O806" s="5" t="s">
        <v>4342</v>
      </c>
      <c r="P806" s="5" t="s">
        <v>4342</v>
      </c>
      <c r="Q806" s="5" t="b">
        <v>1</v>
      </c>
      <c r="R806" s="5" t="s">
        <v>4342</v>
      </c>
      <c r="U806" s="6" t="s">
        <v>3247</v>
      </c>
    </row>
    <row r="807" ht="15.75" customHeight="1">
      <c r="A807" s="5" t="s">
        <v>5617</v>
      </c>
      <c r="B807" s="39">
        <v>45819.66814814815</v>
      </c>
      <c r="C807" s="3" t="s">
        <v>4478</v>
      </c>
      <c r="D807" s="3">
        <v>87.0</v>
      </c>
      <c r="E807" s="3" t="s">
        <v>3273</v>
      </c>
      <c r="F807" s="3">
        <v>51500.0</v>
      </c>
      <c r="G807" s="5">
        <v>26.0</v>
      </c>
      <c r="H807" s="3" t="s">
        <v>4576</v>
      </c>
      <c r="I807" s="3" t="s">
        <v>3273</v>
      </c>
      <c r="J807" s="5">
        <v>74800.0</v>
      </c>
      <c r="K807" s="5">
        <v>126300.0</v>
      </c>
      <c r="L807" s="5" t="s">
        <v>4577</v>
      </c>
      <c r="M807" s="5" t="s">
        <v>3273</v>
      </c>
      <c r="O807" s="5" t="s">
        <v>4342</v>
      </c>
      <c r="P807" s="5" t="s">
        <v>4342</v>
      </c>
      <c r="Q807" s="5" t="b">
        <v>1</v>
      </c>
      <c r="R807" s="5" t="s">
        <v>4342</v>
      </c>
      <c r="U807" s="6" t="s">
        <v>3247</v>
      </c>
    </row>
    <row r="808" ht="15.75" customHeight="1">
      <c r="A808" s="5"/>
      <c r="B808" s="39"/>
      <c r="C808" s="3"/>
      <c r="D808" s="3"/>
      <c r="E808" s="3"/>
      <c r="F808" s="3"/>
      <c r="H808" s="3"/>
      <c r="I808" s="3"/>
      <c r="K808" s="5"/>
      <c r="L808" s="5"/>
      <c r="O808" s="5"/>
      <c r="Q808" s="5"/>
    </row>
    <row r="809" ht="15.75" customHeight="1">
      <c r="A809" s="5" t="s">
        <v>5618</v>
      </c>
      <c r="B809" s="39">
        <v>45819.66939814815</v>
      </c>
      <c r="C809" s="3" t="s">
        <v>4539</v>
      </c>
      <c r="D809" s="3">
        <v>45.0</v>
      </c>
      <c r="E809" s="3" t="s">
        <v>3273</v>
      </c>
      <c r="F809" s="3">
        <v>16500.0</v>
      </c>
      <c r="G809" s="5">
        <v>26.0</v>
      </c>
      <c r="H809" s="3" t="s">
        <v>4577</v>
      </c>
      <c r="I809" s="3" t="s">
        <v>3273</v>
      </c>
      <c r="J809" s="5">
        <v>126300.0</v>
      </c>
      <c r="K809" s="5">
        <v>142800.0</v>
      </c>
      <c r="L809" s="5" t="s">
        <v>4579</v>
      </c>
      <c r="M809" s="5" t="s">
        <v>3273</v>
      </c>
      <c r="O809" s="5" t="s">
        <v>3337</v>
      </c>
      <c r="P809" s="5" t="s">
        <v>4342</v>
      </c>
      <c r="Q809" s="5" t="b">
        <v>1</v>
      </c>
      <c r="R809" s="5" t="s">
        <v>4342</v>
      </c>
      <c r="U809" s="6" t="s">
        <v>3247</v>
      </c>
    </row>
    <row r="810" ht="15.75" customHeight="1">
      <c r="A810" s="5" t="s">
        <v>5619</v>
      </c>
      <c r="B810" s="39">
        <v>45819.669803240744</v>
      </c>
      <c r="C810" s="3" t="s">
        <v>4446</v>
      </c>
      <c r="D810" s="3">
        <v>70.0</v>
      </c>
      <c r="E810" s="3" t="s">
        <v>3973</v>
      </c>
      <c r="F810" s="3">
        <v>7100.0</v>
      </c>
      <c r="G810" s="5">
        <v>26.0</v>
      </c>
      <c r="H810" s="3" t="s">
        <v>4579</v>
      </c>
      <c r="I810" s="3" t="s">
        <v>3273</v>
      </c>
      <c r="J810" s="5">
        <v>142800.0</v>
      </c>
      <c r="K810" s="5">
        <v>149900.0</v>
      </c>
      <c r="L810" s="5" t="s">
        <v>4580</v>
      </c>
      <c r="M810" s="5" t="s">
        <v>3273</v>
      </c>
      <c r="O810" s="5" t="s">
        <v>4342</v>
      </c>
      <c r="P810" s="5" t="s">
        <v>4342</v>
      </c>
      <c r="Q810" s="5" t="b">
        <v>1</v>
      </c>
      <c r="R810" s="5" t="s">
        <v>4342</v>
      </c>
      <c r="U810" s="6" t="s">
        <v>3247</v>
      </c>
    </row>
    <row r="811" ht="15.75" customHeight="1">
      <c r="A811" s="5" t="s">
        <v>5620</v>
      </c>
      <c r="B811" s="39">
        <v>45819.670127314814</v>
      </c>
      <c r="C811" s="3" t="s">
        <v>4533</v>
      </c>
      <c r="D811" s="3">
        <v>68.0</v>
      </c>
      <c r="E811" s="3" t="s">
        <v>4534</v>
      </c>
      <c r="F811" s="3">
        <v>7100.0</v>
      </c>
      <c r="G811" s="5">
        <v>26.0</v>
      </c>
      <c r="H811" s="3" t="s">
        <v>4580</v>
      </c>
      <c r="I811" s="3" t="s">
        <v>3273</v>
      </c>
      <c r="J811" s="5">
        <v>149900.0</v>
      </c>
      <c r="K811" s="5">
        <v>157000.0</v>
      </c>
      <c r="L811" s="5" t="s">
        <v>4581</v>
      </c>
      <c r="M811" s="5" t="s">
        <v>3273</v>
      </c>
      <c r="O811" s="5" t="s">
        <v>4342</v>
      </c>
      <c r="P811" s="5" t="s">
        <v>4342</v>
      </c>
      <c r="Q811" s="5" t="b">
        <v>1</v>
      </c>
      <c r="R811" s="5" t="s">
        <v>4342</v>
      </c>
      <c r="U811" s="6" t="s">
        <v>3247</v>
      </c>
    </row>
    <row r="812" ht="15.75" customHeight="1">
      <c r="A812" s="5" t="s">
        <v>5621</v>
      </c>
      <c r="B812" s="39">
        <v>45819.67052083334</v>
      </c>
      <c r="C812" s="3" t="s">
        <v>4434</v>
      </c>
      <c r="D812" s="3">
        <v>54.0</v>
      </c>
      <c r="E812" s="3" t="s">
        <v>4435</v>
      </c>
      <c r="F812" s="3">
        <v>12500.0</v>
      </c>
      <c r="G812" s="5">
        <v>26.0</v>
      </c>
      <c r="H812" s="3" t="s">
        <v>4581</v>
      </c>
      <c r="I812" s="3" t="s">
        <v>3273</v>
      </c>
      <c r="J812" s="5">
        <v>157000.0</v>
      </c>
      <c r="K812" s="5">
        <v>169500.0</v>
      </c>
      <c r="L812" s="5" t="s">
        <v>4582</v>
      </c>
      <c r="M812" s="5" t="s">
        <v>3273</v>
      </c>
      <c r="O812" s="5" t="s">
        <v>4342</v>
      </c>
      <c r="P812" s="5" t="s">
        <v>4342</v>
      </c>
      <c r="Q812" s="5" t="b">
        <v>1</v>
      </c>
      <c r="R812" s="5" t="s">
        <v>4342</v>
      </c>
      <c r="U812" s="6" t="s">
        <v>3247</v>
      </c>
    </row>
    <row r="813" ht="15.75" customHeight="1">
      <c r="A813" s="5" t="s">
        <v>5622</v>
      </c>
      <c r="B813" s="39">
        <v>45819.6746875</v>
      </c>
      <c r="C813" s="3" t="s">
        <v>4532</v>
      </c>
      <c r="D813" s="3">
        <v>92.0</v>
      </c>
      <c r="E813" s="3" t="s">
        <v>3273</v>
      </c>
      <c r="F813" s="3">
        <v>33500.0</v>
      </c>
      <c r="G813" s="5">
        <v>26.0</v>
      </c>
      <c r="H813" s="3" t="s">
        <v>4582</v>
      </c>
      <c r="I813" s="3" t="s">
        <v>3273</v>
      </c>
      <c r="J813" s="5">
        <v>169500.0</v>
      </c>
      <c r="K813" s="5">
        <v>203000.0</v>
      </c>
      <c r="L813" s="5" t="s">
        <v>4583</v>
      </c>
      <c r="M813" s="5" t="s">
        <v>3273</v>
      </c>
      <c r="O813" s="5" t="s">
        <v>4342</v>
      </c>
      <c r="P813" s="5" t="s">
        <v>4342</v>
      </c>
      <c r="Q813" s="5" t="b">
        <v>1</v>
      </c>
      <c r="R813" s="5" t="s">
        <v>4342</v>
      </c>
      <c r="U813" s="6" t="s">
        <v>3247</v>
      </c>
    </row>
    <row r="814" ht="15.75" customHeight="1">
      <c r="A814" s="5" t="s">
        <v>5623</v>
      </c>
      <c r="B814" s="39">
        <v>45820.45690972222</v>
      </c>
      <c r="C814" s="3" t="s">
        <v>3578</v>
      </c>
      <c r="D814" s="3">
        <v>16.0</v>
      </c>
      <c r="E814" s="3" t="s">
        <v>3293</v>
      </c>
      <c r="F814" s="3">
        <v>200.0</v>
      </c>
      <c r="G814" s="5">
        <v>2.0</v>
      </c>
      <c r="H814" s="3" t="s">
        <v>4546</v>
      </c>
      <c r="I814" s="3" t="s">
        <v>4547</v>
      </c>
      <c r="J814" s="5">
        <v>2000.0</v>
      </c>
      <c r="K814" s="5">
        <v>2200.0</v>
      </c>
      <c r="L814" s="5" t="s">
        <v>7</v>
      </c>
      <c r="M814" s="5" t="s">
        <v>3293</v>
      </c>
      <c r="O814" s="5" t="s">
        <v>3320</v>
      </c>
      <c r="P814" s="5" t="s">
        <v>3320</v>
      </c>
      <c r="Q814" s="5" t="b">
        <v>0</v>
      </c>
      <c r="R814" s="5" t="s">
        <v>3320</v>
      </c>
      <c r="U814" s="6" t="s">
        <v>3248</v>
      </c>
    </row>
    <row r="815" ht="15.75" customHeight="1">
      <c r="A815" s="5" t="s">
        <v>5624</v>
      </c>
      <c r="B815" s="39">
        <v>45821.739016203705</v>
      </c>
      <c r="C815" s="3" t="s">
        <v>4473</v>
      </c>
      <c r="D815" s="3">
        <v>114.0</v>
      </c>
      <c r="E815" s="3" t="s">
        <v>3380</v>
      </c>
      <c r="F815" s="3">
        <v>83500.0</v>
      </c>
      <c r="G815" s="5">
        <v>89.0</v>
      </c>
      <c r="H815" s="3"/>
      <c r="I815" s="3"/>
      <c r="J815" s="5">
        <v>0.0</v>
      </c>
      <c r="K815" s="5">
        <v>83500.0</v>
      </c>
      <c r="L815" s="5" t="s">
        <v>4584</v>
      </c>
      <c r="M815" s="5" t="s">
        <v>3380</v>
      </c>
      <c r="O815" s="5" t="s">
        <v>4342</v>
      </c>
      <c r="Q815" s="5" t="b">
        <v>0</v>
      </c>
      <c r="R815" s="5" t="s">
        <v>4342</v>
      </c>
      <c r="U815" s="5" t="s">
        <v>3246</v>
      </c>
    </row>
    <row r="816" ht="15.75" customHeight="1">
      <c r="A816" s="5" t="s">
        <v>5625</v>
      </c>
      <c r="B816" s="39">
        <v>45821.739641203705</v>
      </c>
      <c r="C816" s="3" t="s">
        <v>4473</v>
      </c>
      <c r="D816" s="3">
        <v>114.0</v>
      </c>
      <c r="E816" s="3" t="s">
        <v>3380</v>
      </c>
      <c r="F816" s="3">
        <v>11800.0</v>
      </c>
      <c r="G816" s="5">
        <v>72.0</v>
      </c>
      <c r="H816" s="3"/>
      <c r="I816" s="3"/>
      <c r="J816" s="5">
        <v>0.0</v>
      </c>
      <c r="K816" s="5">
        <v>11800.0</v>
      </c>
      <c r="L816" s="5" t="s">
        <v>4585</v>
      </c>
      <c r="M816" s="5" t="s">
        <v>3380</v>
      </c>
      <c r="O816" s="5" t="s">
        <v>4342</v>
      </c>
      <c r="Q816" s="5" t="b">
        <v>0</v>
      </c>
      <c r="R816" s="5" t="s">
        <v>4342</v>
      </c>
      <c r="U816" s="5" t="s">
        <v>3246</v>
      </c>
    </row>
    <row r="817" ht="15.75" customHeight="1">
      <c r="A817" s="5" t="s">
        <v>5626</v>
      </c>
      <c r="B817" s="39">
        <v>45821.74118055555</v>
      </c>
      <c r="C817" s="3" t="s">
        <v>4437</v>
      </c>
      <c r="D817" s="3">
        <v>95.0</v>
      </c>
      <c r="E817" s="3" t="s">
        <v>3272</v>
      </c>
      <c r="F817" s="3">
        <v>29600.0</v>
      </c>
      <c r="G817" s="5">
        <v>6.0</v>
      </c>
      <c r="H817" s="3" t="s">
        <v>4554</v>
      </c>
      <c r="I817" s="3" t="s">
        <v>3662</v>
      </c>
      <c r="J817" s="5">
        <v>2400.0</v>
      </c>
      <c r="K817" s="5">
        <v>32000.0</v>
      </c>
      <c r="L817" s="5" t="s">
        <v>4586</v>
      </c>
      <c r="M817" s="5" t="s">
        <v>4587</v>
      </c>
      <c r="O817" s="5" t="s">
        <v>4342</v>
      </c>
      <c r="P817" s="5" t="s">
        <v>3337</v>
      </c>
      <c r="Q817" s="5" t="b">
        <v>0</v>
      </c>
      <c r="R817" s="5" t="s">
        <v>4342</v>
      </c>
      <c r="U817" s="6" t="s">
        <v>3247</v>
      </c>
    </row>
    <row r="818" ht="15.75" customHeight="1">
      <c r="A818" s="5" t="s">
        <v>5627</v>
      </c>
      <c r="B818" s="39">
        <v>45821.74413194445</v>
      </c>
      <c r="C818" s="3" t="s">
        <v>4436</v>
      </c>
      <c r="D818" s="3">
        <v>51.0</v>
      </c>
      <c r="E818" s="3" t="s">
        <v>4435</v>
      </c>
      <c r="F818" s="3">
        <v>1200.0</v>
      </c>
      <c r="G818" s="5">
        <v>115.0</v>
      </c>
      <c r="H818" s="3"/>
      <c r="I818" s="3"/>
      <c r="J818" s="5">
        <v>0.0</v>
      </c>
      <c r="K818" s="5">
        <v>1200.0</v>
      </c>
      <c r="L818" s="5" t="s">
        <v>4588</v>
      </c>
      <c r="M818" s="5" t="s">
        <v>3273</v>
      </c>
      <c r="O818" s="5" t="s">
        <v>3605</v>
      </c>
      <c r="Q818" s="5" t="b">
        <v>0</v>
      </c>
      <c r="R818" s="5" t="s">
        <v>3605</v>
      </c>
      <c r="U818" s="6" t="s">
        <v>3247</v>
      </c>
    </row>
    <row r="819" ht="15.75" customHeight="1">
      <c r="A819" s="5" t="s">
        <v>5628</v>
      </c>
      <c r="B819" s="39">
        <v>45821.74493055556</v>
      </c>
      <c r="C819" s="3" t="s">
        <v>4434</v>
      </c>
      <c r="D819" s="3">
        <v>54.0</v>
      </c>
      <c r="E819" s="3" t="s">
        <v>4435</v>
      </c>
      <c r="F819" s="3">
        <v>7200.0</v>
      </c>
      <c r="G819" s="5">
        <v>54.0</v>
      </c>
      <c r="H819" s="3" t="s">
        <v>4434</v>
      </c>
      <c r="I819" s="3" t="s">
        <v>4435</v>
      </c>
      <c r="J819" s="5">
        <v>10400.0</v>
      </c>
      <c r="K819" s="5">
        <v>17600.0</v>
      </c>
      <c r="L819" s="5" t="s">
        <v>4589</v>
      </c>
      <c r="M819" s="5" t="s">
        <v>4435</v>
      </c>
      <c r="O819" s="5" t="s">
        <v>4342</v>
      </c>
      <c r="P819" s="5" t="s">
        <v>4342</v>
      </c>
      <c r="Q819" s="5" t="b">
        <v>1</v>
      </c>
      <c r="R819" s="5" t="s">
        <v>4342</v>
      </c>
      <c r="U819" s="6" t="s">
        <v>3247</v>
      </c>
    </row>
    <row r="820" ht="15.75" customHeight="1">
      <c r="A820" s="5" t="s">
        <v>5629</v>
      </c>
      <c r="B820" s="39">
        <v>45821.74597222222</v>
      </c>
      <c r="C820" s="3" t="s">
        <v>4533</v>
      </c>
      <c r="D820" s="3">
        <v>68.0</v>
      </c>
      <c r="E820" s="3" t="s">
        <v>4534</v>
      </c>
      <c r="F820" s="3">
        <v>4000.0</v>
      </c>
      <c r="G820" s="5">
        <v>115.0</v>
      </c>
      <c r="H820" s="3" t="s">
        <v>4588</v>
      </c>
      <c r="I820" s="3" t="s">
        <v>3273</v>
      </c>
      <c r="J820" s="5">
        <v>1200.0</v>
      </c>
      <c r="K820" s="5">
        <v>5200.0</v>
      </c>
      <c r="L820" s="5" t="s">
        <v>4590</v>
      </c>
      <c r="M820" s="5" t="s">
        <v>3273</v>
      </c>
      <c r="O820" s="5" t="s">
        <v>4342</v>
      </c>
      <c r="P820" s="5" t="s">
        <v>3605</v>
      </c>
      <c r="Q820" s="5" t="b">
        <v>1</v>
      </c>
      <c r="R820" s="5" t="s">
        <v>3605</v>
      </c>
      <c r="U820" s="6" t="s">
        <v>3247</v>
      </c>
    </row>
    <row r="821" ht="15.75" customHeight="1">
      <c r="A821" s="5" t="s">
        <v>5630</v>
      </c>
      <c r="B821" s="39">
        <v>45821.7465625</v>
      </c>
      <c r="C821" s="3" t="s">
        <v>4446</v>
      </c>
      <c r="D821" s="3">
        <v>70.0</v>
      </c>
      <c r="E821" s="3" t="s">
        <v>3973</v>
      </c>
      <c r="F821" s="3">
        <v>4000.0</v>
      </c>
      <c r="G821" s="5">
        <v>115.0</v>
      </c>
      <c r="H821" s="3" t="s">
        <v>4590</v>
      </c>
      <c r="I821" s="3" t="s">
        <v>3273</v>
      </c>
      <c r="J821" s="5">
        <v>5200.0</v>
      </c>
      <c r="K821" s="5">
        <v>9200.0</v>
      </c>
      <c r="L821" s="5" t="s">
        <v>4591</v>
      </c>
      <c r="M821" s="5" t="s">
        <v>3273</v>
      </c>
      <c r="O821" s="5" t="s">
        <v>4342</v>
      </c>
      <c r="P821" s="5" t="s">
        <v>3605</v>
      </c>
      <c r="Q821" s="5" t="b">
        <v>1</v>
      </c>
      <c r="R821" s="5" t="s">
        <v>3605</v>
      </c>
      <c r="U821" s="6" t="s">
        <v>3247</v>
      </c>
    </row>
    <row r="822" ht="15.75" customHeight="1">
      <c r="A822" s="5" t="s">
        <v>5631</v>
      </c>
      <c r="B822" s="39">
        <v>45821.748125</v>
      </c>
      <c r="C822" s="3" t="s">
        <v>4529</v>
      </c>
      <c r="D822" s="3">
        <v>84.0</v>
      </c>
      <c r="E822" s="3" t="s">
        <v>3273</v>
      </c>
      <c r="F822" s="3">
        <v>16000.0</v>
      </c>
      <c r="G822" s="5">
        <v>115.0</v>
      </c>
      <c r="H822" s="3" t="s">
        <v>4591</v>
      </c>
      <c r="I822" s="3" t="s">
        <v>3273</v>
      </c>
      <c r="J822" s="5">
        <v>9200.0</v>
      </c>
      <c r="K822" s="5">
        <v>25200.0</v>
      </c>
      <c r="L822" s="5" t="s">
        <v>4592</v>
      </c>
      <c r="M822" s="5" t="s">
        <v>3273</v>
      </c>
      <c r="O822" s="5" t="s">
        <v>4342</v>
      </c>
      <c r="P822" s="5" t="s">
        <v>3605</v>
      </c>
      <c r="Q822" s="5" t="b">
        <v>1</v>
      </c>
      <c r="R822" s="5" t="s">
        <v>3605</v>
      </c>
      <c r="U822" s="6" t="s">
        <v>3247</v>
      </c>
    </row>
    <row r="823" ht="15.75" customHeight="1">
      <c r="A823" s="5" t="s">
        <v>5632</v>
      </c>
      <c r="B823" s="39">
        <v>45821.74849537037</v>
      </c>
      <c r="C823" s="3" t="s">
        <v>4531</v>
      </c>
      <c r="D823" s="3">
        <v>85.0</v>
      </c>
      <c r="E823" s="3" t="s">
        <v>3273</v>
      </c>
      <c r="F823" s="3">
        <v>26400.0</v>
      </c>
      <c r="G823" s="5">
        <v>115.0</v>
      </c>
      <c r="H823" s="3" t="s">
        <v>4592</v>
      </c>
      <c r="I823" s="3" t="s">
        <v>3273</v>
      </c>
      <c r="J823" s="5">
        <v>25200.0</v>
      </c>
      <c r="K823" s="5">
        <v>51600.0</v>
      </c>
      <c r="L823" s="5" t="s">
        <v>4593</v>
      </c>
      <c r="M823" s="5" t="s">
        <v>3273</v>
      </c>
      <c r="O823" s="5" t="s">
        <v>4342</v>
      </c>
      <c r="P823" s="5" t="s">
        <v>3605</v>
      </c>
      <c r="Q823" s="5" t="b">
        <v>1</v>
      </c>
      <c r="R823" s="5" t="s">
        <v>3605</v>
      </c>
      <c r="U823" s="6" t="s">
        <v>3247</v>
      </c>
    </row>
    <row r="824" ht="15.75" customHeight="1">
      <c r="A824" s="6" t="s">
        <v>5633</v>
      </c>
      <c r="B824" s="39">
        <v>45821.74878472222</v>
      </c>
      <c r="C824" s="3" t="s">
        <v>4478</v>
      </c>
      <c r="D824" s="3">
        <v>87.0</v>
      </c>
      <c r="E824" s="3" t="s">
        <v>3273</v>
      </c>
      <c r="F824" s="3">
        <v>29400.0</v>
      </c>
      <c r="G824" s="5">
        <v>115.0</v>
      </c>
      <c r="H824" s="3" t="s">
        <v>4593</v>
      </c>
      <c r="I824" s="3" t="s">
        <v>3273</v>
      </c>
      <c r="J824" s="5">
        <v>51600.0</v>
      </c>
      <c r="K824" s="5">
        <v>81000.0</v>
      </c>
      <c r="L824" s="5" t="s">
        <v>4594</v>
      </c>
      <c r="M824" s="5" t="s">
        <v>3273</v>
      </c>
      <c r="O824" s="5" t="s">
        <v>4342</v>
      </c>
      <c r="P824" s="5" t="s">
        <v>3605</v>
      </c>
      <c r="Q824" s="5" t="b">
        <v>1</v>
      </c>
      <c r="R824" s="5" t="s">
        <v>3605</v>
      </c>
      <c r="U824" s="6" t="s">
        <v>3247</v>
      </c>
    </row>
    <row r="825" ht="15.75" customHeight="1">
      <c r="A825" s="5" t="s">
        <v>5634</v>
      </c>
      <c r="B825" s="39">
        <v>45821.74986111111</v>
      </c>
      <c r="C825" s="3" t="s">
        <v>4539</v>
      </c>
      <c r="D825" s="3">
        <v>45.0</v>
      </c>
      <c r="E825" s="3" t="s">
        <v>3273</v>
      </c>
      <c r="F825" s="3">
        <v>9000.0</v>
      </c>
      <c r="G825" s="5">
        <v>115.0</v>
      </c>
      <c r="H825" s="3" t="s">
        <v>4594</v>
      </c>
      <c r="I825" s="3" t="s">
        <v>3273</v>
      </c>
      <c r="J825" s="5">
        <v>81000.0</v>
      </c>
      <c r="K825" s="5">
        <v>90000.0</v>
      </c>
      <c r="L825" s="5" t="s">
        <v>4595</v>
      </c>
      <c r="M825" s="5" t="s">
        <v>3273</v>
      </c>
      <c r="O825" s="5" t="s">
        <v>3337</v>
      </c>
      <c r="P825" s="5" t="s">
        <v>3605</v>
      </c>
      <c r="Q825" s="5" t="b">
        <v>1</v>
      </c>
      <c r="R825" s="5" t="s">
        <v>3605</v>
      </c>
      <c r="U825" s="6" t="s">
        <v>3247</v>
      </c>
    </row>
    <row r="826" ht="15.75" customHeight="1">
      <c r="A826" s="5" t="s">
        <v>5635</v>
      </c>
      <c r="B826" s="39">
        <v>45821.750393518516</v>
      </c>
      <c r="C826" s="3" t="s">
        <v>4532</v>
      </c>
      <c r="D826" s="3">
        <v>92.0</v>
      </c>
      <c r="E826" s="3" t="s">
        <v>3273</v>
      </c>
      <c r="F826" s="3">
        <v>19200.0</v>
      </c>
      <c r="G826" s="5">
        <v>115.0</v>
      </c>
      <c r="H826" s="3" t="s">
        <v>4595</v>
      </c>
      <c r="I826" s="3" t="s">
        <v>3273</v>
      </c>
      <c r="J826" s="5">
        <v>90000.0</v>
      </c>
      <c r="K826" s="5">
        <v>109200.0</v>
      </c>
      <c r="L826" s="5" t="s">
        <v>4596</v>
      </c>
      <c r="M826" s="5" t="s">
        <v>3273</v>
      </c>
      <c r="O826" s="5" t="s">
        <v>4342</v>
      </c>
      <c r="P826" s="5" t="s">
        <v>3605</v>
      </c>
      <c r="Q826" s="5" t="b">
        <v>1</v>
      </c>
      <c r="R826" s="5" t="s">
        <v>3605</v>
      </c>
      <c r="U826" s="6" t="s">
        <v>3247</v>
      </c>
    </row>
    <row r="827" ht="15.75" customHeight="1">
      <c r="A827" s="5" t="s">
        <v>5636</v>
      </c>
      <c r="B827" s="39">
        <v>45821.754895833335</v>
      </c>
      <c r="C827" s="3" t="s">
        <v>4589</v>
      </c>
      <c r="D827" s="3">
        <v>54.0</v>
      </c>
      <c r="E827" s="3" t="s">
        <v>4435</v>
      </c>
      <c r="F827" s="3">
        <v>11000.0</v>
      </c>
      <c r="G827" s="5">
        <v>115.0</v>
      </c>
      <c r="H827" s="3" t="s">
        <v>4596</v>
      </c>
      <c r="I827" s="3" t="s">
        <v>3273</v>
      </c>
      <c r="J827" s="5">
        <v>109200.0</v>
      </c>
      <c r="K827" s="5">
        <v>120200.0</v>
      </c>
      <c r="L827" s="5" t="s">
        <v>4597</v>
      </c>
      <c r="M827" s="5" t="s">
        <v>4435</v>
      </c>
      <c r="O827" s="5" t="s">
        <v>4342</v>
      </c>
      <c r="P827" s="5" t="s">
        <v>3605</v>
      </c>
      <c r="Q827" s="5" t="b">
        <v>0</v>
      </c>
      <c r="R827" s="5" t="s">
        <v>4342</v>
      </c>
      <c r="U827" s="6" t="s">
        <v>3247</v>
      </c>
    </row>
    <row r="828" ht="15.75" customHeight="1">
      <c r="A828" s="5" t="s">
        <v>5637</v>
      </c>
      <c r="B828" s="39">
        <v>45821.755520833336</v>
      </c>
      <c r="C828" s="3" t="s">
        <v>4436</v>
      </c>
      <c r="D828" s="3">
        <v>51.0</v>
      </c>
      <c r="E828" s="3" t="s">
        <v>4435</v>
      </c>
      <c r="F828" s="3">
        <v>2700.0</v>
      </c>
      <c r="G828" s="5">
        <v>82.0</v>
      </c>
      <c r="H828" s="3"/>
      <c r="I828" s="3"/>
      <c r="J828" s="5">
        <v>0.0</v>
      </c>
      <c r="K828" s="5">
        <v>2700.0</v>
      </c>
      <c r="L828" s="5" t="s">
        <v>4598</v>
      </c>
      <c r="M828" s="5" t="s">
        <v>3273</v>
      </c>
      <c r="O828" s="5" t="s">
        <v>3605</v>
      </c>
      <c r="Q828" s="5" t="b">
        <v>0</v>
      </c>
      <c r="R828" s="5" t="s">
        <v>4342</v>
      </c>
      <c r="U828" s="6" t="s">
        <v>3247</v>
      </c>
    </row>
    <row r="829" ht="15.75" customHeight="1">
      <c r="A829" s="5" t="s">
        <v>5638</v>
      </c>
      <c r="B829" s="39">
        <v>45821.75591435185</v>
      </c>
      <c r="C829" s="3" t="s">
        <v>4589</v>
      </c>
      <c r="D829" s="3">
        <v>54.0</v>
      </c>
      <c r="E829" s="3" t="s">
        <v>4435</v>
      </c>
      <c r="F829" s="3">
        <v>6600.0</v>
      </c>
      <c r="G829" s="5">
        <v>82.0</v>
      </c>
      <c r="H829" s="3" t="s">
        <v>4598</v>
      </c>
      <c r="I829" s="3" t="s">
        <v>3273</v>
      </c>
      <c r="J829" s="5">
        <v>2700.0</v>
      </c>
      <c r="K829" s="5">
        <v>9300.0</v>
      </c>
      <c r="L829" s="5" t="s">
        <v>4599</v>
      </c>
      <c r="M829" s="5" t="s">
        <v>3273</v>
      </c>
      <c r="O829" s="5" t="s">
        <v>4342</v>
      </c>
      <c r="P829" s="5" t="s">
        <v>4342</v>
      </c>
      <c r="Q829" s="5" t="b">
        <v>1</v>
      </c>
      <c r="R829" s="5" t="s">
        <v>4342</v>
      </c>
      <c r="U829" s="6" t="s">
        <v>3247</v>
      </c>
    </row>
    <row r="830" ht="15.75" customHeight="1">
      <c r="A830" s="5" t="s">
        <v>5639</v>
      </c>
      <c r="B830" s="39">
        <v>45821.75613425926</v>
      </c>
      <c r="C830" s="3" t="s">
        <v>4533</v>
      </c>
      <c r="D830" s="3">
        <v>68.0</v>
      </c>
      <c r="E830" s="3" t="s">
        <v>4534</v>
      </c>
      <c r="F830" s="3">
        <v>1900.0</v>
      </c>
      <c r="G830" s="5">
        <v>82.0</v>
      </c>
      <c r="H830" s="3" t="s">
        <v>4599</v>
      </c>
      <c r="I830" s="3" t="s">
        <v>3273</v>
      </c>
      <c r="J830" s="5">
        <v>9300.0</v>
      </c>
      <c r="K830" s="5">
        <v>11200.0</v>
      </c>
      <c r="L830" s="5" t="s">
        <v>4600</v>
      </c>
      <c r="M830" s="5" t="s">
        <v>3273</v>
      </c>
      <c r="O830" s="5" t="s">
        <v>4342</v>
      </c>
      <c r="P830" s="5" t="s">
        <v>4342</v>
      </c>
      <c r="Q830" s="5" t="b">
        <v>1</v>
      </c>
      <c r="R830" s="5" t="s">
        <v>4342</v>
      </c>
      <c r="U830" s="6" t="s">
        <v>3247</v>
      </c>
    </row>
    <row r="831" ht="15.75" customHeight="1">
      <c r="A831" s="5" t="s">
        <v>5640</v>
      </c>
      <c r="B831" s="39">
        <v>45821.75641203704</v>
      </c>
      <c r="C831" s="3" t="s">
        <v>4446</v>
      </c>
      <c r="D831" s="3">
        <v>70.0</v>
      </c>
      <c r="E831" s="3" t="s">
        <v>3973</v>
      </c>
      <c r="F831" s="3">
        <v>1900.0</v>
      </c>
      <c r="G831" s="5">
        <v>82.0</v>
      </c>
      <c r="H831" s="3" t="s">
        <v>4600</v>
      </c>
      <c r="I831" s="3" t="s">
        <v>3273</v>
      </c>
      <c r="J831" s="5">
        <v>11200.0</v>
      </c>
      <c r="K831" s="5">
        <v>13100.0</v>
      </c>
      <c r="L831" s="5" t="s">
        <v>4601</v>
      </c>
      <c r="M831" s="5" t="s">
        <v>3273</v>
      </c>
      <c r="O831" s="5" t="s">
        <v>4342</v>
      </c>
      <c r="P831" s="5" t="s">
        <v>4342</v>
      </c>
      <c r="Q831" s="5" t="b">
        <v>1</v>
      </c>
      <c r="R831" s="5" t="s">
        <v>4342</v>
      </c>
      <c r="U831" s="6" t="s">
        <v>3247</v>
      </c>
    </row>
    <row r="832" ht="15.75" customHeight="1">
      <c r="A832" s="5" t="s">
        <v>5641</v>
      </c>
      <c r="B832" s="39">
        <v>45821.75664351852</v>
      </c>
      <c r="C832" s="3" t="s">
        <v>4529</v>
      </c>
      <c r="D832" s="3">
        <v>84.0</v>
      </c>
      <c r="E832" s="3" t="s">
        <v>3273</v>
      </c>
      <c r="F832" s="3">
        <v>7400.0</v>
      </c>
      <c r="G832" s="5">
        <v>82.0</v>
      </c>
      <c r="H832" s="3" t="s">
        <v>4601</v>
      </c>
      <c r="I832" s="3" t="s">
        <v>3273</v>
      </c>
      <c r="J832" s="5">
        <v>13100.0</v>
      </c>
      <c r="K832" s="5">
        <v>20500.0</v>
      </c>
      <c r="L832" s="5" t="s">
        <v>4602</v>
      </c>
      <c r="M832" s="5" t="s">
        <v>3273</v>
      </c>
      <c r="O832" s="5" t="s">
        <v>4342</v>
      </c>
      <c r="P832" s="5" t="s">
        <v>4342</v>
      </c>
      <c r="Q832" s="5" t="b">
        <v>1</v>
      </c>
      <c r="R832" s="5" t="s">
        <v>4342</v>
      </c>
      <c r="U832" s="6" t="s">
        <v>3247</v>
      </c>
    </row>
    <row r="833" ht="15.75" customHeight="1">
      <c r="A833" s="5" t="s">
        <v>5642</v>
      </c>
      <c r="B833" s="39">
        <v>45821.75701388889</v>
      </c>
      <c r="C833" s="3" t="s">
        <v>4531</v>
      </c>
      <c r="D833" s="3">
        <v>85.0</v>
      </c>
      <c r="E833" s="3" t="s">
        <v>3273</v>
      </c>
      <c r="F833" s="3">
        <v>11400.0</v>
      </c>
      <c r="G833" s="5">
        <v>82.0</v>
      </c>
      <c r="H833" s="3" t="s">
        <v>4602</v>
      </c>
      <c r="I833" s="3" t="s">
        <v>3273</v>
      </c>
      <c r="J833" s="5">
        <v>20500.0</v>
      </c>
      <c r="K833" s="5">
        <v>31900.0</v>
      </c>
      <c r="L833" s="5" t="s">
        <v>4603</v>
      </c>
      <c r="M833" s="5" t="s">
        <v>3273</v>
      </c>
      <c r="O833" s="5" t="s">
        <v>4342</v>
      </c>
      <c r="P833" s="5" t="s">
        <v>4342</v>
      </c>
      <c r="Q833" s="5" t="b">
        <v>1</v>
      </c>
      <c r="R833" s="5" t="s">
        <v>4342</v>
      </c>
      <c r="U833" s="6" t="s">
        <v>3247</v>
      </c>
    </row>
    <row r="834" ht="15.75" customHeight="1">
      <c r="A834" s="5" t="s">
        <v>5643</v>
      </c>
      <c r="B834" s="39">
        <v>45821.75730324074</v>
      </c>
      <c r="C834" s="3" t="s">
        <v>4478</v>
      </c>
      <c r="D834" s="3">
        <v>87.0</v>
      </c>
      <c r="E834" s="3" t="s">
        <v>3273</v>
      </c>
      <c r="F834" s="3">
        <v>10700.0</v>
      </c>
      <c r="G834" s="5">
        <v>82.0</v>
      </c>
      <c r="H834" s="3" t="s">
        <v>4603</v>
      </c>
      <c r="I834" s="3" t="s">
        <v>3273</v>
      </c>
      <c r="J834" s="5">
        <v>31900.0</v>
      </c>
      <c r="K834" s="5">
        <v>42600.0</v>
      </c>
      <c r="L834" s="5" t="s">
        <v>4604</v>
      </c>
      <c r="M834" s="5" t="s">
        <v>3273</v>
      </c>
      <c r="O834" s="5" t="s">
        <v>4342</v>
      </c>
      <c r="P834" s="5" t="s">
        <v>4342</v>
      </c>
      <c r="Q834" s="5" t="b">
        <v>1</v>
      </c>
      <c r="R834" s="5" t="s">
        <v>4342</v>
      </c>
      <c r="U834" s="6" t="s">
        <v>3247</v>
      </c>
    </row>
    <row r="835" ht="15.75" customHeight="1">
      <c r="A835" s="5" t="s">
        <v>5644</v>
      </c>
      <c r="B835" s="39">
        <v>45821.759733796294</v>
      </c>
      <c r="C835" s="3" t="s">
        <v>4517</v>
      </c>
      <c r="D835" s="3">
        <v>102.0</v>
      </c>
      <c r="E835" s="3" t="s">
        <v>3662</v>
      </c>
      <c r="F835" s="3">
        <v>4400.0</v>
      </c>
      <c r="G835" s="5">
        <v>46.0</v>
      </c>
      <c r="H835" s="3" t="s">
        <v>4563</v>
      </c>
      <c r="I835" s="3" t="s">
        <v>3662</v>
      </c>
      <c r="J835" s="5">
        <v>24600.0</v>
      </c>
      <c r="K835" s="5">
        <v>29000.0</v>
      </c>
      <c r="L835" s="5" t="s">
        <v>22</v>
      </c>
      <c r="M835" s="5" t="s">
        <v>3662</v>
      </c>
      <c r="O835" s="5" t="s">
        <v>4342</v>
      </c>
      <c r="P835" s="5" t="s">
        <v>4342</v>
      </c>
      <c r="Q835" s="5" t="b">
        <v>1</v>
      </c>
      <c r="R835" s="5" t="s">
        <v>4342</v>
      </c>
      <c r="U835" s="6" t="s">
        <v>3247</v>
      </c>
    </row>
    <row r="836" ht="15.75" customHeight="1">
      <c r="A836" s="5" t="s">
        <v>5645</v>
      </c>
      <c r="B836" s="39">
        <v>45821.759930555556</v>
      </c>
      <c r="C836" s="3" t="s">
        <v>4517</v>
      </c>
      <c r="D836" s="3">
        <v>102.0</v>
      </c>
      <c r="E836" s="3" t="s">
        <v>3662</v>
      </c>
      <c r="F836" s="3">
        <v>1200.0</v>
      </c>
      <c r="G836" s="5">
        <v>72.0</v>
      </c>
      <c r="H836" s="3" t="s">
        <v>4585</v>
      </c>
      <c r="I836" s="3" t="s">
        <v>3380</v>
      </c>
      <c r="J836" s="5">
        <v>11800.0</v>
      </c>
      <c r="K836" s="5">
        <v>13000.0</v>
      </c>
      <c r="L836" s="5" t="s">
        <v>4605</v>
      </c>
      <c r="M836" s="5" t="s">
        <v>3380</v>
      </c>
      <c r="O836" s="5" t="s">
        <v>4342</v>
      </c>
      <c r="P836" s="5" t="s">
        <v>4342</v>
      </c>
      <c r="Q836" s="5" t="b">
        <v>1</v>
      </c>
      <c r="R836" s="5" t="s">
        <v>4342</v>
      </c>
      <c r="U836" s="5" t="s">
        <v>3246</v>
      </c>
    </row>
    <row r="837" ht="15.75" customHeight="1">
      <c r="A837" s="5" t="s">
        <v>5646</v>
      </c>
      <c r="B837" s="39">
        <v>45821.76224537037</v>
      </c>
      <c r="C837" s="3" t="s">
        <v>4517</v>
      </c>
      <c r="D837" s="3">
        <v>102.0</v>
      </c>
      <c r="E837" s="3" t="s">
        <v>3662</v>
      </c>
      <c r="F837" s="3">
        <v>1400.0</v>
      </c>
      <c r="G837" s="5">
        <v>26.0</v>
      </c>
      <c r="H837" s="3" t="s">
        <v>4583</v>
      </c>
      <c r="I837" s="3" t="s">
        <v>3273</v>
      </c>
      <c r="J837" s="5">
        <v>203000.0</v>
      </c>
      <c r="K837" s="5">
        <v>204400.0</v>
      </c>
      <c r="L837" s="5" t="s">
        <v>4606</v>
      </c>
      <c r="M837" s="5" t="s">
        <v>3273</v>
      </c>
      <c r="O837" s="5" t="s">
        <v>4342</v>
      </c>
      <c r="P837" s="5" t="s">
        <v>4342</v>
      </c>
      <c r="Q837" s="5" t="b">
        <v>1</v>
      </c>
      <c r="R837" s="5" t="s">
        <v>4342</v>
      </c>
      <c r="U837" s="6" t="s">
        <v>3247</v>
      </c>
    </row>
    <row r="838" ht="15.75" customHeight="1">
      <c r="A838" s="5" t="s">
        <v>5647</v>
      </c>
      <c r="B838" s="39">
        <v>45821.762662037036</v>
      </c>
      <c r="C838" s="3" t="s">
        <v>4478</v>
      </c>
      <c r="D838" s="3">
        <v>87.0</v>
      </c>
      <c r="E838" s="3" t="s">
        <v>3273</v>
      </c>
      <c r="F838" s="3">
        <v>2100.0</v>
      </c>
      <c r="G838" s="5">
        <v>26.0</v>
      </c>
      <c r="H838" s="3" t="s">
        <v>4606</v>
      </c>
      <c r="I838" s="3" t="s">
        <v>3273</v>
      </c>
      <c r="J838" s="5">
        <v>204400.0</v>
      </c>
      <c r="K838" s="5">
        <v>206500.0</v>
      </c>
      <c r="L838" s="5" t="s">
        <v>4607</v>
      </c>
      <c r="M838" s="5" t="s">
        <v>3273</v>
      </c>
      <c r="O838" s="5" t="s">
        <v>4342</v>
      </c>
      <c r="P838" s="5" t="s">
        <v>4342</v>
      </c>
      <c r="Q838" s="5" t="b">
        <v>1</v>
      </c>
      <c r="R838" s="5" t="s">
        <v>4342</v>
      </c>
      <c r="U838" s="6" t="s">
        <v>3247</v>
      </c>
    </row>
    <row r="839" ht="15.75" customHeight="1">
      <c r="A839" s="5" t="s">
        <v>5648</v>
      </c>
      <c r="B839" s="39">
        <v>45821.76291666667</v>
      </c>
      <c r="C839" s="3" t="s">
        <v>4532</v>
      </c>
      <c r="D839" s="3">
        <v>92.0</v>
      </c>
      <c r="E839" s="3" t="s">
        <v>3273</v>
      </c>
      <c r="F839" s="3">
        <v>1100.0</v>
      </c>
      <c r="G839" s="5">
        <v>26.0</v>
      </c>
      <c r="H839" s="3" t="s">
        <v>4607</v>
      </c>
      <c r="I839" s="3" t="s">
        <v>3273</v>
      </c>
      <c r="J839" s="5">
        <v>206500.0</v>
      </c>
      <c r="K839" s="5">
        <v>207600.0</v>
      </c>
      <c r="L839" s="5" t="s">
        <v>16</v>
      </c>
      <c r="M839" s="5" t="s">
        <v>3273</v>
      </c>
      <c r="O839" s="5" t="s">
        <v>4342</v>
      </c>
      <c r="P839" s="5" t="s">
        <v>4342</v>
      </c>
      <c r="Q839" s="5" t="b">
        <v>1</v>
      </c>
      <c r="R839" s="5" t="s">
        <v>4342</v>
      </c>
      <c r="U839" s="6" t="s">
        <v>3247</v>
      </c>
    </row>
    <row r="840" ht="15.75" customHeight="1">
      <c r="A840" s="5" t="s">
        <v>5649</v>
      </c>
      <c r="B840" s="39">
        <v>45825.539606481485</v>
      </c>
      <c r="C840" s="3" t="s">
        <v>4604</v>
      </c>
      <c r="D840" s="3">
        <v>82.0</v>
      </c>
      <c r="E840" s="3" t="s">
        <v>3273</v>
      </c>
      <c r="F840" s="3">
        <v>2700.0</v>
      </c>
      <c r="G840" s="5">
        <v>500.0</v>
      </c>
      <c r="H840" s="3" t="s">
        <v>4608</v>
      </c>
      <c r="I840" s="3" t="s">
        <v>4609</v>
      </c>
      <c r="J840" s="5">
        <v>1.0</v>
      </c>
      <c r="K840" s="5">
        <v>2701.0</v>
      </c>
      <c r="L840" s="5" t="s">
        <v>4610</v>
      </c>
      <c r="M840" s="5" t="s">
        <v>4609</v>
      </c>
      <c r="O840" s="5" t="s">
        <v>3715</v>
      </c>
      <c r="Q840" s="5" t="b">
        <v>1</v>
      </c>
    </row>
    <row r="841" ht="15.75" customHeight="1">
      <c r="A841" s="5" t="s">
        <v>5650</v>
      </c>
      <c r="B841" s="39">
        <v>45825.54017361111</v>
      </c>
      <c r="C841" s="3" t="s">
        <v>4532</v>
      </c>
      <c r="D841" s="3">
        <v>92.0</v>
      </c>
      <c r="E841" s="3" t="s">
        <v>3273</v>
      </c>
      <c r="F841" s="3">
        <v>7200.0</v>
      </c>
      <c r="G841" s="5">
        <v>500.0</v>
      </c>
      <c r="H841" s="3" t="s">
        <v>4610</v>
      </c>
      <c r="I841" s="3" t="s">
        <v>4609</v>
      </c>
      <c r="J841" s="5">
        <v>2701.0</v>
      </c>
      <c r="K841" s="5">
        <v>9901.0</v>
      </c>
      <c r="L841" s="5" t="s">
        <v>4611</v>
      </c>
      <c r="M841" s="5" t="s">
        <v>4609</v>
      </c>
      <c r="O841" s="5" t="s">
        <v>4342</v>
      </c>
      <c r="Q841" s="5" t="b">
        <v>1</v>
      </c>
    </row>
    <row r="842" ht="15.75" customHeight="1">
      <c r="A842" s="5" t="s">
        <v>5651</v>
      </c>
      <c r="B842" s="39">
        <v>45827.763657407406</v>
      </c>
      <c r="C842" s="3" t="s">
        <v>4586</v>
      </c>
      <c r="D842" s="3">
        <v>6.0</v>
      </c>
      <c r="E842" s="3" t="s">
        <v>4587</v>
      </c>
      <c r="F842" s="3">
        <v>2700.0</v>
      </c>
      <c r="G842" s="5">
        <v>82.0</v>
      </c>
      <c r="H842" s="3" t="s">
        <v>4604</v>
      </c>
      <c r="I842" s="3" t="s">
        <v>3273</v>
      </c>
      <c r="J842" s="5">
        <v>39900.0</v>
      </c>
      <c r="K842" s="5">
        <v>42600.0</v>
      </c>
      <c r="L842" s="5" t="s">
        <v>4613</v>
      </c>
      <c r="M842" s="5" t="s">
        <v>3273</v>
      </c>
      <c r="O842" s="5" t="s">
        <v>3337</v>
      </c>
      <c r="P842" s="5" t="s">
        <v>4342</v>
      </c>
      <c r="Q842" s="5" t="b">
        <v>1</v>
      </c>
      <c r="R842" s="5" t="s">
        <v>4342</v>
      </c>
      <c r="U842" s="6" t="s">
        <v>3247</v>
      </c>
    </row>
    <row r="843" ht="15.75" customHeight="1">
      <c r="A843" s="5" t="s">
        <v>5652</v>
      </c>
      <c r="B843" s="39">
        <v>45827.76495370371</v>
      </c>
      <c r="C843" s="3" t="s">
        <v>3893</v>
      </c>
      <c r="D843" s="3">
        <v>74.0</v>
      </c>
      <c r="E843" s="3" t="s">
        <v>3894</v>
      </c>
      <c r="F843" s="3">
        <v>300.0</v>
      </c>
      <c r="G843" s="5">
        <v>500.0</v>
      </c>
      <c r="H843" s="3"/>
      <c r="I843" s="3"/>
      <c r="J843" s="5">
        <v>0.0</v>
      </c>
      <c r="K843" s="5">
        <v>300.0</v>
      </c>
      <c r="L843" s="5" t="s">
        <v>4614</v>
      </c>
      <c r="M843" s="5" t="s">
        <v>4615</v>
      </c>
      <c r="N843" s="5" t="s">
        <v>4615</v>
      </c>
      <c r="O843" s="5" t="s">
        <v>3342</v>
      </c>
      <c r="Q843" s="5" t="b">
        <v>0</v>
      </c>
      <c r="R843" s="5" t="s">
        <v>3342</v>
      </c>
    </row>
    <row r="844" ht="15.75" customHeight="1">
      <c r="A844" s="5" t="s">
        <v>5653</v>
      </c>
      <c r="B844" s="39">
        <v>45827.765752314815</v>
      </c>
      <c r="C844" s="3" t="s">
        <v>3893</v>
      </c>
      <c r="D844" s="3">
        <v>74.0</v>
      </c>
      <c r="E844" s="3" t="s">
        <v>3894</v>
      </c>
      <c r="F844" s="3">
        <v>-300.0</v>
      </c>
      <c r="G844" s="5">
        <v>6.0</v>
      </c>
      <c r="H844" s="3" t="s">
        <v>4586</v>
      </c>
      <c r="I844" s="3" t="s">
        <v>4587</v>
      </c>
      <c r="J844" s="5">
        <v>29300.0</v>
      </c>
      <c r="K844" s="5">
        <v>29000.0</v>
      </c>
      <c r="L844" s="5" t="s">
        <v>4616</v>
      </c>
      <c r="M844" s="5" t="s">
        <v>4587</v>
      </c>
      <c r="O844" s="5" t="s">
        <v>3342</v>
      </c>
      <c r="P844" s="5" t="s">
        <v>3337</v>
      </c>
      <c r="Q844" s="5" t="b">
        <v>1</v>
      </c>
      <c r="R844" s="5" t="s">
        <v>3337</v>
      </c>
      <c r="U844" s="6" t="s">
        <v>3247</v>
      </c>
    </row>
    <row r="845" ht="15.75" customHeight="1">
      <c r="A845" s="5" t="s">
        <v>5654</v>
      </c>
      <c r="B845" s="39">
        <v>45827.76666666667</v>
      </c>
      <c r="C845" s="3" t="s">
        <v>4437</v>
      </c>
      <c r="D845" s="3">
        <v>95.0</v>
      </c>
      <c r="E845" s="3" t="s">
        <v>3272</v>
      </c>
      <c r="F845" s="3">
        <v>3000.0</v>
      </c>
      <c r="G845" s="5">
        <v>6.0</v>
      </c>
      <c r="H845" s="3" t="s">
        <v>4616</v>
      </c>
      <c r="I845" s="3" t="s">
        <v>4587</v>
      </c>
      <c r="J845" s="5">
        <v>29000.0</v>
      </c>
      <c r="K845" s="5">
        <v>32000.0</v>
      </c>
      <c r="L845" s="5" t="s">
        <v>4617</v>
      </c>
      <c r="M845" s="5" t="s">
        <v>4587</v>
      </c>
      <c r="O845" s="5" t="s">
        <v>4342</v>
      </c>
      <c r="P845" s="5" t="s">
        <v>3337</v>
      </c>
      <c r="Q845" s="5" t="b">
        <v>1</v>
      </c>
      <c r="R845" s="5" t="s">
        <v>3337</v>
      </c>
      <c r="U845" s="6" t="s">
        <v>3247</v>
      </c>
    </row>
    <row r="846" ht="15.75" customHeight="1">
      <c r="A846" s="6" t="s">
        <v>5655</v>
      </c>
      <c r="B846" s="39">
        <v>45834.35729166667</v>
      </c>
      <c r="C846" s="3" t="s">
        <v>4448</v>
      </c>
      <c r="D846" s="3">
        <v>25.0</v>
      </c>
      <c r="E846" s="3" t="s">
        <v>3272</v>
      </c>
      <c r="F846" s="3">
        <v>46600.0</v>
      </c>
      <c r="G846" s="5">
        <v>87.0</v>
      </c>
      <c r="H846" s="3"/>
      <c r="I846" s="3"/>
      <c r="J846" s="5">
        <v>0.0</v>
      </c>
      <c r="K846" s="5">
        <v>46600.0</v>
      </c>
      <c r="L846" s="5" t="s">
        <v>4618</v>
      </c>
      <c r="M846" s="5" t="s">
        <v>3272</v>
      </c>
      <c r="O846" s="5" t="s">
        <v>4342</v>
      </c>
      <c r="Q846" s="5" t="b">
        <v>0</v>
      </c>
      <c r="R846" s="5" t="s">
        <v>4342</v>
      </c>
      <c r="U846" s="6" t="s">
        <v>3248</v>
      </c>
    </row>
    <row r="847" ht="15.75" customHeight="1">
      <c r="A847" s="5" t="s">
        <v>5656</v>
      </c>
      <c r="B847" s="39">
        <v>45834.35841435185</v>
      </c>
      <c r="C847" s="3" t="s">
        <v>4448</v>
      </c>
      <c r="D847" s="3">
        <v>25.0</v>
      </c>
      <c r="E847" s="3" t="s">
        <v>3272</v>
      </c>
      <c r="F847" s="3">
        <v>44600.0</v>
      </c>
      <c r="G847" s="5">
        <v>86.0</v>
      </c>
      <c r="H847" s="3"/>
      <c r="I847" s="3"/>
      <c r="J847" s="5">
        <v>0.0</v>
      </c>
      <c r="K847" s="5">
        <v>44600.0</v>
      </c>
      <c r="L847" s="5" t="s">
        <v>4619</v>
      </c>
      <c r="M847" s="5" t="s">
        <v>3272</v>
      </c>
      <c r="O847" s="5" t="s">
        <v>4342</v>
      </c>
      <c r="Q847" s="5" t="b">
        <v>0</v>
      </c>
      <c r="R847" s="5" t="s">
        <v>4342</v>
      </c>
      <c r="U847" s="6" t="s">
        <v>3248</v>
      </c>
    </row>
    <row r="848" ht="15.75" customHeight="1">
      <c r="A848" s="5" t="s">
        <v>5657</v>
      </c>
      <c r="B848" s="39">
        <v>45834.35917824074</v>
      </c>
      <c r="C848" s="3" t="s">
        <v>4438</v>
      </c>
      <c r="D848" s="3">
        <v>96.0</v>
      </c>
      <c r="E848" s="3" t="s">
        <v>3272</v>
      </c>
      <c r="F848" s="3">
        <v>20500.0</v>
      </c>
      <c r="G848" s="5">
        <v>87.0</v>
      </c>
      <c r="H848" s="3" t="s">
        <v>4618</v>
      </c>
      <c r="I848" s="3" t="s">
        <v>3272</v>
      </c>
      <c r="J848" s="5">
        <v>46600.0</v>
      </c>
      <c r="K848" s="5">
        <v>67100.0</v>
      </c>
      <c r="L848" s="5" t="s">
        <v>4620</v>
      </c>
      <c r="M848" s="5" t="s">
        <v>3272</v>
      </c>
      <c r="O848" s="5" t="s">
        <v>4342</v>
      </c>
      <c r="P848" s="5" t="s">
        <v>4342</v>
      </c>
      <c r="Q848" s="5" t="b">
        <v>1</v>
      </c>
      <c r="R848" s="5" t="s">
        <v>4342</v>
      </c>
      <c r="U848" s="6" t="s">
        <v>3248</v>
      </c>
    </row>
    <row r="849" ht="15.75" customHeight="1">
      <c r="A849" s="5" t="s">
        <v>5658</v>
      </c>
      <c r="B849" s="39">
        <v>45834.360243055555</v>
      </c>
      <c r="C849" s="3" t="s">
        <v>4438</v>
      </c>
      <c r="D849" s="3">
        <v>96.0</v>
      </c>
      <c r="E849" s="3" t="s">
        <v>3272</v>
      </c>
      <c r="F849" s="3">
        <v>19600.0</v>
      </c>
      <c r="G849" s="5">
        <v>86.0</v>
      </c>
      <c r="H849" s="3" t="s">
        <v>4619</v>
      </c>
      <c r="I849" s="3" t="s">
        <v>3272</v>
      </c>
      <c r="J849" s="5">
        <v>44600.0</v>
      </c>
      <c r="K849" s="5">
        <v>64200.0</v>
      </c>
      <c r="L849" s="5" t="s">
        <v>4621</v>
      </c>
      <c r="M849" s="5" t="s">
        <v>3272</v>
      </c>
      <c r="O849" s="5" t="s">
        <v>4342</v>
      </c>
      <c r="P849" s="5" t="s">
        <v>4342</v>
      </c>
      <c r="Q849" s="5" t="b">
        <v>1</v>
      </c>
      <c r="R849" s="5" t="s">
        <v>4342</v>
      </c>
      <c r="U849" s="6" t="s">
        <v>3248</v>
      </c>
    </row>
    <row r="850" ht="15.75" customHeight="1">
      <c r="A850" s="5" t="s">
        <v>5659</v>
      </c>
      <c r="B850" s="39">
        <v>45834.360763888886</v>
      </c>
      <c r="C850" s="3" t="s">
        <v>4552</v>
      </c>
      <c r="D850" s="3">
        <v>66.0</v>
      </c>
      <c r="E850" s="3" t="s">
        <v>3272</v>
      </c>
      <c r="F850" s="3">
        <v>5500.0</v>
      </c>
      <c r="G850" s="5">
        <v>87.0</v>
      </c>
      <c r="H850" s="3" t="s">
        <v>4620</v>
      </c>
      <c r="I850" s="3" t="s">
        <v>3272</v>
      </c>
      <c r="J850" s="5">
        <v>67100.0</v>
      </c>
      <c r="K850" s="5">
        <v>72600.0</v>
      </c>
      <c r="L850" s="5" t="s">
        <v>4622</v>
      </c>
      <c r="M850" s="5" t="s">
        <v>3272</v>
      </c>
      <c r="O850" s="5" t="s">
        <v>4342</v>
      </c>
      <c r="P850" s="5" t="s">
        <v>4342</v>
      </c>
      <c r="Q850" s="5" t="b">
        <v>1</v>
      </c>
      <c r="R850" s="5" t="s">
        <v>4342</v>
      </c>
      <c r="U850" s="6" t="s">
        <v>3248</v>
      </c>
    </row>
    <row r="851" ht="15.75" customHeight="1">
      <c r="A851" s="5" t="s">
        <v>5660</v>
      </c>
      <c r="B851" s="39">
        <v>45834.36133101852</v>
      </c>
      <c r="C851" s="3" t="s">
        <v>4552</v>
      </c>
      <c r="D851" s="3">
        <v>66.0</v>
      </c>
      <c r="E851" s="3" t="s">
        <v>3272</v>
      </c>
      <c r="F851" s="3">
        <v>5200.0</v>
      </c>
      <c r="G851" s="5">
        <v>86.0</v>
      </c>
      <c r="H851" s="3" t="s">
        <v>4621</v>
      </c>
      <c r="I851" s="3" t="s">
        <v>3272</v>
      </c>
      <c r="J851" s="5">
        <v>64200.0</v>
      </c>
      <c r="K851" s="5">
        <v>69400.0</v>
      </c>
      <c r="L851" s="5" t="s">
        <v>4623</v>
      </c>
      <c r="M851" s="5" t="s">
        <v>3272</v>
      </c>
      <c r="O851" s="5" t="s">
        <v>4342</v>
      </c>
      <c r="P851" s="5" t="s">
        <v>4342</v>
      </c>
      <c r="Q851" s="5" t="b">
        <v>1</v>
      </c>
      <c r="R851" s="5" t="s">
        <v>4342</v>
      </c>
      <c r="U851" s="6" t="s">
        <v>3248</v>
      </c>
    </row>
    <row r="852" ht="15.75" customHeight="1">
      <c r="A852" s="5" t="s">
        <v>5661</v>
      </c>
      <c r="B852" s="39">
        <v>45834.362337962964</v>
      </c>
      <c r="C852" s="3" t="s">
        <v>4438</v>
      </c>
      <c r="D852" s="3">
        <v>96.0</v>
      </c>
      <c r="E852" s="3" t="s">
        <v>3272</v>
      </c>
      <c r="F852" s="3">
        <v>45500.0</v>
      </c>
      <c r="G852" s="5">
        <v>25.0</v>
      </c>
      <c r="H852" s="3" t="s">
        <v>4448</v>
      </c>
      <c r="I852" s="3" t="s">
        <v>3272</v>
      </c>
      <c r="J852" s="5">
        <v>103100.0</v>
      </c>
      <c r="K852" s="5">
        <v>148600.0</v>
      </c>
      <c r="L852" s="5" t="s">
        <v>4624</v>
      </c>
      <c r="M852" s="5" t="s">
        <v>3272</v>
      </c>
      <c r="O852" s="5" t="s">
        <v>4342</v>
      </c>
      <c r="P852" s="5" t="s">
        <v>4342</v>
      </c>
      <c r="Q852" s="5" t="b">
        <v>1</v>
      </c>
      <c r="R852" s="5" t="s">
        <v>4342</v>
      </c>
      <c r="U852" s="6" t="s">
        <v>3248</v>
      </c>
    </row>
    <row r="853" ht="15.75" customHeight="1">
      <c r="A853" s="5" t="s">
        <v>5662</v>
      </c>
      <c r="B853" s="39">
        <v>45834.36268518519</v>
      </c>
      <c r="C853" s="3" t="s">
        <v>4552</v>
      </c>
      <c r="D853" s="3">
        <v>66.0</v>
      </c>
      <c r="E853" s="3" t="s">
        <v>3272</v>
      </c>
      <c r="F853" s="3">
        <v>12300.0</v>
      </c>
      <c r="G853" s="5">
        <v>25.0</v>
      </c>
      <c r="H853" s="3" t="s">
        <v>4624</v>
      </c>
      <c r="I853" s="3" t="s">
        <v>3272</v>
      </c>
      <c r="J853" s="5">
        <v>148600.0</v>
      </c>
      <c r="K853" s="5">
        <v>160900.0</v>
      </c>
      <c r="L853" s="5" t="s">
        <v>4625</v>
      </c>
      <c r="M853" s="5" t="s">
        <v>3272</v>
      </c>
      <c r="O853" s="5" t="s">
        <v>4342</v>
      </c>
      <c r="P853" s="5" t="s">
        <v>4342</v>
      </c>
      <c r="Q853" s="5" t="b">
        <v>1</v>
      </c>
      <c r="R853" s="5" t="s">
        <v>4342</v>
      </c>
      <c r="U853" s="6" t="s">
        <v>3248</v>
      </c>
    </row>
    <row r="854" ht="15.75" customHeight="1">
      <c r="A854" s="5" t="s">
        <v>5663</v>
      </c>
      <c r="B854" s="39">
        <v>45834.363229166665</v>
      </c>
      <c r="C854" s="3" t="s">
        <v>4617</v>
      </c>
      <c r="D854" s="3">
        <v>6.0</v>
      </c>
      <c r="E854" s="3" t="s">
        <v>4587</v>
      </c>
      <c r="F854" s="3">
        <v>20000.0</v>
      </c>
      <c r="G854" s="5">
        <v>25.0</v>
      </c>
      <c r="H854" s="3" t="s">
        <v>4625</v>
      </c>
      <c r="I854" s="3" t="s">
        <v>3272</v>
      </c>
      <c r="J854" s="5">
        <v>160900.0</v>
      </c>
      <c r="K854" s="5">
        <v>180900.0</v>
      </c>
      <c r="L854" s="5" t="s">
        <v>4626</v>
      </c>
      <c r="M854" s="5" t="s">
        <v>3272</v>
      </c>
      <c r="O854" s="5" t="s">
        <v>3337</v>
      </c>
      <c r="P854" s="5" t="s">
        <v>4342</v>
      </c>
      <c r="Q854" s="5" t="b">
        <v>1</v>
      </c>
      <c r="R854" s="5" t="s">
        <v>4342</v>
      </c>
      <c r="U854" s="6" t="s">
        <v>3248</v>
      </c>
    </row>
    <row r="855" ht="15.75" customHeight="1">
      <c r="A855" s="5" t="s">
        <v>5664</v>
      </c>
      <c r="B855" s="39">
        <v>45834.363900462966</v>
      </c>
      <c r="C855" s="3" t="s">
        <v>4617</v>
      </c>
      <c r="D855" s="3">
        <v>6.0</v>
      </c>
      <c r="E855" s="3" t="s">
        <v>4587</v>
      </c>
      <c r="F855" s="3">
        <v>9400.0</v>
      </c>
      <c r="G855" s="5">
        <v>87.0</v>
      </c>
      <c r="H855" s="3" t="s">
        <v>4622</v>
      </c>
      <c r="I855" s="3" t="s">
        <v>3272</v>
      </c>
      <c r="J855" s="5">
        <v>72600.0</v>
      </c>
      <c r="K855" s="5">
        <v>82000.0</v>
      </c>
      <c r="L855" s="5" t="s">
        <v>4627</v>
      </c>
      <c r="M855" s="5" t="s">
        <v>3272</v>
      </c>
      <c r="O855" s="5" t="s">
        <v>3337</v>
      </c>
      <c r="P855" s="5" t="s">
        <v>4342</v>
      </c>
      <c r="Q855" s="5" t="b">
        <v>1</v>
      </c>
      <c r="R855" s="5" t="s">
        <v>4342</v>
      </c>
      <c r="U855" s="6" t="s">
        <v>3248</v>
      </c>
    </row>
    <row r="856" ht="15.75" customHeight="1">
      <c r="A856" s="5" t="s">
        <v>5665</v>
      </c>
      <c r="B856" s="39">
        <v>45834.3644212963</v>
      </c>
      <c r="C856" s="3" t="s">
        <v>4617</v>
      </c>
      <c r="D856" s="3">
        <v>6.0</v>
      </c>
      <c r="E856" s="3" t="s">
        <v>4587</v>
      </c>
      <c r="F856" s="3">
        <v>2600.0</v>
      </c>
      <c r="G856" s="5">
        <v>86.0</v>
      </c>
      <c r="H856" s="3" t="s">
        <v>4623</v>
      </c>
      <c r="I856" s="3" t="s">
        <v>3272</v>
      </c>
      <c r="J856" s="5">
        <v>69400.0</v>
      </c>
      <c r="K856" s="5">
        <v>72000.0</v>
      </c>
      <c r="L856" s="5" t="s">
        <v>4628</v>
      </c>
      <c r="M856" s="5" t="s">
        <v>3272</v>
      </c>
      <c r="O856" s="5" t="s">
        <v>3337</v>
      </c>
      <c r="P856" s="5" t="s">
        <v>4342</v>
      </c>
      <c r="Q856" s="5" t="b">
        <v>1</v>
      </c>
      <c r="R856" s="5" t="s">
        <v>4342</v>
      </c>
      <c r="U856" s="6" t="s">
        <v>3248</v>
      </c>
    </row>
    <row r="857" ht="15.75" customHeight="1">
      <c r="A857" s="5" t="s">
        <v>5666</v>
      </c>
      <c r="B857" s="39">
        <v>45834.38334490741</v>
      </c>
      <c r="C857" s="3" t="s">
        <v>4437</v>
      </c>
      <c r="D857" s="3">
        <v>95.0</v>
      </c>
      <c r="E857" s="3" t="s">
        <v>3272</v>
      </c>
      <c r="F857" s="3">
        <v>12000.0</v>
      </c>
      <c r="G857" s="5">
        <v>7.0</v>
      </c>
      <c r="H857" s="3"/>
      <c r="I857" s="3"/>
      <c r="J857" s="5">
        <v>0.0</v>
      </c>
      <c r="K857" s="5">
        <v>12000.0</v>
      </c>
      <c r="L857" s="5" t="s">
        <v>4629</v>
      </c>
      <c r="M857" s="5" t="s">
        <v>4053</v>
      </c>
      <c r="O857" s="5" t="s">
        <v>4342</v>
      </c>
      <c r="Q857" s="5" t="b">
        <v>0</v>
      </c>
      <c r="R857" s="5" t="s">
        <v>3337</v>
      </c>
      <c r="U857" s="6" t="s">
        <v>3247</v>
      </c>
    </row>
    <row r="858" ht="15.75" customHeight="1">
      <c r="A858" s="5" t="s">
        <v>5667</v>
      </c>
      <c r="B858" s="39">
        <v>45834.38637731481</v>
      </c>
      <c r="C858" s="3" t="s">
        <v>4629</v>
      </c>
      <c r="D858" s="3">
        <v>7.0</v>
      </c>
      <c r="E858" s="3" t="s">
        <v>4053</v>
      </c>
      <c r="F858" s="3">
        <v>5000.0</v>
      </c>
      <c r="G858" s="5">
        <v>86.0</v>
      </c>
      <c r="H858" s="3" t="s">
        <v>4628</v>
      </c>
      <c r="I858" s="3" t="s">
        <v>3272</v>
      </c>
      <c r="J858" s="5">
        <v>72000.0</v>
      </c>
      <c r="K858" s="5">
        <v>77000.0</v>
      </c>
      <c r="L858" s="5" t="s">
        <v>4630</v>
      </c>
      <c r="M858" s="5" t="s">
        <v>3272</v>
      </c>
      <c r="O858" s="5" t="s">
        <v>3337</v>
      </c>
      <c r="P858" s="5" t="s">
        <v>4342</v>
      </c>
      <c r="Q858" s="5" t="b">
        <v>1</v>
      </c>
      <c r="R858" s="5" t="s">
        <v>4342</v>
      </c>
      <c r="U858" s="6" t="s">
        <v>3248</v>
      </c>
    </row>
    <row r="859" ht="15.75" customHeight="1">
      <c r="A859" s="5" t="s">
        <v>5668</v>
      </c>
      <c r="B859" s="39">
        <v>45834.3875462963</v>
      </c>
      <c r="C859" s="3" t="s">
        <v>4437</v>
      </c>
      <c r="D859" s="3">
        <v>95.0</v>
      </c>
      <c r="E859" s="3" t="s">
        <v>3272</v>
      </c>
      <c r="F859" s="3">
        <v>13400.0</v>
      </c>
      <c r="G859" s="5">
        <v>25.0</v>
      </c>
      <c r="H859" s="3" t="s">
        <v>4626</v>
      </c>
      <c r="I859" s="3" t="s">
        <v>3272</v>
      </c>
      <c r="J859" s="5">
        <v>180900.0</v>
      </c>
      <c r="K859" s="5">
        <v>194300.0</v>
      </c>
      <c r="L859" s="5" t="s">
        <v>4631</v>
      </c>
      <c r="M859" s="5" t="s">
        <v>3272</v>
      </c>
      <c r="O859" s="5" t="s">
        <v>4342</v>
      </c>
      <c r="P859" s="5" t="s">
        <v>4342</v>
      </c>
      <c r="Q859" s="5" t="b">
        <v>1</v>
      </c>
      <c r="R859" s="5" t="s">
        <v>4342</v>
      </c>
      <c r="U859" s="6" t="s">
        <v>3248</v>
      </c>
    </row>
    <row r="860" ht="15.75" customHeight="1">
      <c r="A860" s="5" t="s">
        <v>5669</v>
      </c>
      <c r="B860" s="39">
        <v>45834.388506944444</v>
      </c>
      <c r="C860" s="3" t="s">
        <v>4437</v>
      </c>
      <c r="D860" s="3">
        <v>95.0</v>
      </c>
      <c r="E860" s="3" t="s">
        <v>3272</v>
      </c>
      <c r="F860" s="3">
        <v>11000.0</v>
      </c>
      <c r="G860" s="5">
        <v>86.0</v>
      </c>
      <c r="H860" s="3" t="s">
        <v>4630</v>
      </c>
      <c r="I860" s="3" t="s">
        <v>3272</v>
      </c>
      <c r="J860" s="5">
        <v>77000.0</v>
      </c>
      <c r="K860" s="5">
        <v>88000.0</v>
      </c>
      <c r="L860" s="5" t="s">
        <v>4632</v>
      </c>
      <c r="M860" s="5" t="s">
        <v>3272</v>
      </c>
      <c r="O860" s="5" t="s">
        <v>4342</v>
      </c>
      <c r="P860" s="5" t="s">
        <v>4342</v>
      </c>
      <c r="Q860" s="5" t="b">
        <v>1</v>
      </c>
      <c r="R860" s="5" t="s">
        <v>4342</v>
      </c>
      <c r="U860" s="6" t="s">
        <v>3248</v>
      </c>
    </row>
    <row r="861" ht="15.75" customHeight="1">
      <c r="A861" s="5" t="s">
        <v>5670</v>
      </c>
      <c r="B861" s="39">
        <v>45834.38898148148</v>
      </c>
      <c r="C861" s="3" t="s">
        <v>4437</v>
      </c>
      <c r="D861" s="3">
        <v>95.0</v>
      </c>
      <c r="E861" s="3" t="s">
        <v>3272</v>
      </c>
      <c r="F861" s="3">
        <v>8100.0</v>
      </c>
      <c r="G861" s="5">
        <v>87.0</v>
      </c>
      <c r="H861" s="3" t="s">
        <v>4627</v>
      </c>
      <c r="I861" s="3" t="s">
        <v>3272</v>
      </c>
      <c r="J861" s="5">
        <v>82000.0</v>
      </c>
      <c r="K861" s="5">
        <v>90100.0</v>
      </c>
      <c r="L861" s="5" t="s">
        <v>4633</v>
      </c>
      <c r="M861" s="5" t="s">
        <v>3272</v>
      </c>
      <c r="O861" s="5" t="s">
        <v>4342</v>
      </c>
      <c r="P861" s="5" t="s">
        <v>4342</v>
      </c>
      <c r="Q861" s="5" t="b">
        <v>1</v>
      </c>
      <c r="R861" s="5" t="s">
        <v>4342</v>
      </c>
      <c r="U861" s="6" t="s">
        <v>3248</v>
      </c>
    </row>
    <row r="862" ht="15.75" customHeight="1">
      <c r="A862" s="5" t="s">
        <v>5671</v>
      </c>
      <c r="B862" s="39">
        <v>45835.39607638889</v>
      </c>
      <c r="C862" s="3" t="s">
        <v>4584</v>
      </c>
      <c r="D862" s="3">
        <v>89.0</v>
      </c>
      <c r="E862" s="3" t="s">
        <v>3380</v>
      </c>
      <c r="F862" s="3">
        <v>3600.0</v>
      </c>
      <c r="G862" s="5">
        <v>87.0</v>
      </c>
      <c r="H862" s="3" t="s">
        <v>4633</v>
      </c>
      <c r="I862" s="3" t="s">
        <v>3272</v>
      </c>
      <c r="J862" s="5">
        <v>90100.0</v>
      </c>
      <c r="K862" s="5">
        <v>93700.0</v>
      </c>
      <c r="L862" s="5" t="s">
        <v>41</v>
      </c>
      <c r="M862" s="5" t="s">
        <v>3272</v>
      </c>
      <c r="O862" s="5" t="s">
        <v>4342</v>
      </c>
      <c r="P862" s="5" t="s">
        <v>4342</v>
      </c>
      <c r="Q862" s="5" t="b">
        <v>1</v>
      </c>
      <c r="R862" s="5" t="s">
        <v>4342</v>
      </c>
      <c r="U862" s="6" t="s">
        <v>3248</v>
      </c>
    </row>
    <row r="863" ht="15.75" customHeight="1">
      <c r="A863" s="5" t="s">
        <v>5672</v>
      </c>
      <c r="B863" s="39">
        <v>45835.39664351852</v>
      </c>
      <c r="C863" s="3" t="s">
        <v>4629</v>
      </c>
      <c r="D863" s="3">
        <v>7.0</v>
      </c>
      <c r="E863" s="3" t="s">
        <v>4053</v>
      </c>
      <c r="F863" s="3">
        <v>3600.0</v>
      </c>
      <c r="G863" s="5">
        <v>89.0</v>
      </c>
      <c r="H863" s="3" t="s">
        <v>4584</v>
      </c>
      <c r="I863" s="3" t="s">
        <v>3380</v>
      </c>
      <c r="J863" s="5">
        <v>79900.0</v>
      </c>
      <c r="K863" s="5">
        <v>83500.0</v>
      </c>
      <c r="L863" s="5" t="s">
        <v>4634</v>
      </c>
      <c r="M863" s="5" t="s">
        <v>3380</v>
      </c>
      <c r="O863" s="5" t="s">
        <v>3337</v>
      </c>
      <c r="P863" s="5" t="s">
        <v>4342</v>
      </c>
      <c r="Q863" s="5" t="b">
        <v>1</v>
      </c>
      <c r="R863" s="5" t="s">
        <v>4342</v>
      </c>
      <c r="U863" s="5" t="s">
        <v>3246</v>
      </c>
    </row>
    <row r="864" ht="15.75" customHeight="1">
      <c r="A864" s="5" t="s">
        <v>5673</v>
      </c>
      <c r="B864" s="39">
        <v>45835.39824074074</v>
      </c>
      <c r="C864" s="3" t="s">
        <v>4629</v>
      </c>
      <c r="D864" s="3">
        <v>7.0</v>
      </c>
      <c r="E864" s="3" t="s">
        <v>4053</v>
      </c>
      <c r="F864" s="3">
        <v>3400.0</v>
      </c>
      <c r="G864" s="5">
        <v>500.0</v>
      </c>
      <c r="H864" s="3" t="s">
        <v>4635</v>
      </c>
      <c r="I864" s="3" t="s">
        <v>4636</v>
      </c>
      <c r="J864" s="5">
        <v>1.0</v>
      </c>
      <c r="K864" s="5">
        <v>3401.0</v>
      </c>
      <c r="L864" s="5" t="s">
        <v>4638</v>
      </c>
      <c r="M864" s="5" t="s">
        <v>4636</v>
      </c>
      <c r="N864" s="5" t="s">
        <v>5674</v>
      </c>
      <c r="O864" s="5" t="s">
        <v>3337</v>
      </c>
      <c r="Q864" s="5" t="b">
        <v>1</v>
      </c>
    </row>
    <row r="865" ht="15.75" customHeight="1">
      <c r="A865" s="5" t="s">
        <v>5675</v>
      </c>
      <c r="B865" s="39">
        <v>45841.359502314815</v>
      </c>
      <c r="C865" s="3" t="s">
        <v>4469</v>
      </c>
      <c r="D865" s="3">
        <v>80.0</v>
      </c>
      <c r="E865" s="3" t="s">
        <v>3706</v>
      </c>
      <c r="F865" s="3">
        <v>20000.0</v>
      </c>
      <c r="G865" s="5">
        <v>12.0</v>
      </c>
      <c r="H865" s="3"/>
      <c r="I865" s="3"/>
      <c r="J865" s="5">
        <v>0.0</v>
      </c>
      <c r="K865" s="5">
        <v>20000.0</v>
      </c>
      <c r="L865" s="5" t="s">
        <v>4639</v>
      </c>
      <c r="M865" s="5" t="s">
        <v>4285</v>
      </c>
      <c r="O865" s="5" t="s">
        <v>3605</v>
      </c>
      <c r="Q865" s="5" t="b">
        <v>0</v>
      </c>
      <c r="R865" s="5" t="s">
        <v>4342</v>
      </c>
    </row>
    <row r="866" ht="15.75" customHeight="1">
      <c r="A866" s="5" t="s">
        <v>5676</v>
      </c>
      <c r="B866" s="39">
        <v>45849.707141203704</v>
      </c>
      <c r="C866" s="3" t="s">
        <v>4393</v>
      </c>
      <c r="D866" s="3">
        <v>69.0</v>
      </c>
      <c r="E866" s="3" t="s">
        <v>3706</v>
      </c>
      <c r="F866" s="3">
        <v>3000.0</v>
      </c>
      <c r="G866" s="5">
        <v>12.0</v>
      </c>
      <c r="H866" s="3" t="s">
        <v>4639</v>
      </c>
      <c r="I866" s="3" t="s">
        <v>4285</v>
      </c>
      <c r="J866" s="5">
        <v>20000.0</v>
      </c>
      <c r="K866" s="5">
        <v>23000.0</v>
      </c>
      <c r="L866" s="5" t="s">
        <v>4642</v>
      </c>
      <c r="M866" s="5" t="s">
        <v>4285</v>
      </c>
      <c r="N866" s="5" t="s">
        <v>5677</v>
      </c>
      <c r="O866" s="5" t="s">
        <v>3320</v>
      </c>
      <c r="P866" s="5" t="s">
        <v>4342</v>
      </c>
      <c r="Q866" s="5" t="b">
        <v>1</v>
      </c>
      <c r="R866" s="5" t="s">
        <v>4342</v>
      </c>
    </row>
    <row r="867" ht="15.75" customHeight="1">
      <c r="A867" s="5" t="s">
        <v>5678</v>
      </c>
      <c r="B867" s="39">
        <v>45849.70751157407</v>
      </c>
      <c r="C867" s="3" t="s">
        <v>4393</v>
      </c>
      <c r="D867" s="3">
        <v>69.0</v>
      </c>
      <c r="E867" s="3" t="s">
        <v>3706</v>
      </c>
      <c r="F867" s="3">
        <v>0.0</v>
      </c>
      <c r="G867" s="5">
        <v>500.0</v>
      </c>
      <c r="H867" s="3" t="s">
        <v>4640</v>
      </c>
      <c r="I867" s="3" t="s">
        <v>4641</v>
      </c>
      <c r="J867" s="5">
        <v>200000.0</v>
      </c>
      <c r="K867" s="5">
        <v>200000.0</v>
      </c>
      <c r="L867" s="5" t="s">
        <v>4643</v>
      </c>
      <c r="M867" s="5" t="s">
        <v>4641</v>
      </c>
      <c r="O867" s="5" t="s">
        <v>3320</v>
      </c>
      <c r="Q867" s="5" t="b">
        <v>1</v>
      </c>
    </row>
    <row r="868" ht="15.75" customHeight="1">
      <c r="A868" s="5" t="s">
        <v>5679</v>
      </c>
      <c r="B868" s="39">
        <v>45849.711747685185</v>
      </c>
      <c r="C868" s="3" t="s">
        <v>4393</v>
      </c>
      <c r="D868" s="3">
        <v>69.0</v>
      </c>
      <c r="E868" s="3" t="s">
        <v>3706</v>
      </c>
      <c r="F868" s="3">
        <v>10000.0</v>
      </c>
      <c r="G868" s="5">
        <v>500.0</v>
      </c>
      <c r="H868" s="3" t="s">
        <v>4643</v>
      </c>
      <c r="I868" s="3" t="s">
        <v>4641</v>
      </c>
      <c r="J868" s="5">
        <v>1.0</v>
      </c>
      <c r="K868" s="5">
        <v>10001.0</v>
      </c>
      <c r="L868" s="5" t="s">
        <v>4644</v>
      </c>
      <c r="M868" s="5" t="s">
        <v>4641</v>
      </c>
      <c r="N868" s="5" t="s">
        <v>5680</v>
      </c>
      <c r="O868" s="5" t="s">
        <v>3320</v>
      </c>
      <c r="Q868" s="5" t="b">
        <v>1</v>
      </c>
    </row>
    <row r="869" ht="15.75" customHeight="1">
      <c r="A869" s="5" t="s">
        <v>5681</v>
      </c>
      <c r="B869" s="39">
        <v>45849.7121412037</v>
      </c>
      <c r="C869" s="3" t="s">
        <v>4469</v>
      </c>
      <c r="D869" s="3">
        <v>80.0</v>
      </c>
      <c r="E869" s="3" t="s">
        <v>3706</v>
      </c>
      <c r="F869" s="3">
        <v>6100.0</v>
      </c>
      <c r="G869" s="5">
        <v>500.0</v>
      </c>
      <c r="H869" s="3" t="s">
        <v>4644</v>
      </c>
      <c r="I869" s="3" t="s">
        <v>4641</v>
      </c>
      <c r="J869" s="5">
        <v>10001.0</v>
      </c>
      <c r="K869" s="5">
        <v>16101.0</v>
      </c>
      <c r="L869" s="5" t="s">
        <v>4645</v>
      </c>
      <c r="M869" s="5" t="s">
        <v>4641</v>
      </c>
      <c r="O869" s="5" t="s">
        <v>3605</v>
      </c>
      <c r="Q869" s="5" t="b">
        <v>1</v>
      </c>
    </row>
    <row r="870" ht="15.75" customHeight="1">
      <c r="A870" s="5" t="s">
        <v>5682</v>
      </c>
      <c r="B870" s="39">
        <v>45849.713009259256</v>
      </c>
      <c r="C870" s="3" t="s">
        <v>4642</v>
      </c>
      <c r="D870" s="3">
        <v>12.0</v>
      </c>
      <c r="E870" s="3" t="s">
        <v>4285</v>
      </c>
      <c r="F870" s="3">
        <v>11200.0</v>
      </c>
      <c r="G870" s="5">
        <v>931.0</v>
      </c>
      <c r="H870" s="3"/>
      <c r="I870" s="3"/>
      <c r="J870" s="5">
        <v>0.0</v>
      </c>
      <c r="K870" s="5">
        <v>11200.0</v>
      </c>
      <c r="L870" s="5" t="s">
        <v>44</v>
      </c>
      <c r="M870" s="5" t="s">
        <v>4285</v>
      </c>
      <c r="O870" s="5" t="s">
        <v>4342</v>
      </c>
      <c r="Q870" s="5" t="b">
        <v>0</v>
      </c>
      <c r="R870" s="5" t="s">
        <v>4342</v>
      </c>
    </row>
    <row r="871" ht="15.75" customHeight="1">
      <c r="A871" s="5" t="s">
        <v>5683</v>
      </c>
      <c r="B871" s="39">
        <v>45849.71313657407</v>
      </c>
      <c r="C871" s="3" t="s">
        <v>4642</v>
      </c>
      <c r="D871" s="3">
        <v>12.0</v>
      </c>
      <c r="E871" s="3" t="s">
        <v>4285</v>
      </c>
      <c r="F871" s="3">
        <v>11200.0</v>
      </c>
      <c r="G871" s="5">
        <v>935.0</v>
      </c>
      <c r="H871" s="3"/>
      <c r="I871" s="3"/>
      <c r="J871" s="5">
        <v>0.0</v>
      </c>
      <c r="K871" s="5">
        <v>11200.0</v>
      </c>
      <c r="L871" s="5" t="s">
        <v>45</v>
      </c>
      <c r="M871" s="5" t="s">
        <v>4285</v>
      </c>
      <c r="O871" s="5" t="s">
        <v>4342</v>
      </c>
      <c r="Q871" s="5" t="b">
        <v>0</v>
      </c>
      <c r="R871" s="5" t="s">
        <v>4342</v>
      </c>
    </row>
    <row r="872" ht="15.75" customHeight="1">
      <c r="A872" s="5" t="s">
        <v>5684</v>
      </c>
      <c r="B872" s="39">
        <v>45849.71350694444</v>
      </c>
      <c r="C872" s="3" t="s">
        <v>4642</v>
      </c>
      <c r="D872" s="3">
        <v>12.0</v>
      </c>
      <c r="E872" s="3" t="s">
        <v>4285</v>
      </c>
      <c r="F872" s="3">
        <v>600.0</v>
      </c>
      <c r="G872" s="5">
        <v>51.0</v>
      </c>
      <c r="H872" s="3"/>
      <c r="I872" s="3"/>
      <c r="J872" s="5">
        <v>0.0</v>
      </c>
      <c r="K872" s="5">
        <v>600.0</v>
      </c>
      <c r="L872" s="5" t="s">
        <v>4646</v>
      </c>
      <c r="M872" s="5" t="s">
        <v>4285</v>
      </c>
      <c r="O872" s="5" t="s">
        <v>4342</v>
      </c>
      <c r="Q872" s="5" t="b">
        <v>0</v>
      </c>
      <c r="R872" s="5" t="s">
        <v>4342</v>
      </c>
    </row>
    <row r="873" ht="15.75" customHeight="1">
      <c r="A873" s="5" t="s">
        <v>5685</v>
      </c>
      <c r="B873" s="39">
        <v>45859.65733796296</v>
      </c>
      <c r="C873" s="3" t="s">
        <v>3893</v>
      </c>
      <c r="D873" s="3">
        <v>74.0</v>
      </c>
      <c r="E873" s="3" t="s">
        <v>3894</v>
      </c>
      <c r="F873" s="3">
        <v>13000.0</v>
      </c>
      <c r="G873" s="5">
        <v>68.0</v>
      </c>
      <c r="H873" s="3"/>
      <c r="I873" s="3"/>
      <c r="J873" s="5">
        <v>0.0</v>
      </c>
      <c r="K873" s="5">
        <v>13000.0</v>
      </c>
      <c r="L873" s="5" t="s">
        <v>33</v>
      </c>
      <c r="M873" s="5" t="s">
        <v>3894</v>
      </c>
      <c r="O873" s="5" t="s">
        <v>3342</v>
      </c>
      <c r="Q873" s="5" t="b">
        <v>0</v>
      </c>
      <c r="R873" s="5" t="s">
        <v>4647</v>
      </c>
      <c r="U873" s="5" t="s">
        <v>3246</v>
      </c>
    </row>
    <row r="874" ht="15.75" customHeight="1">
      <c r="A874" s="5" t="s">
        <v>5686</v>
      </c>
      <c r="B874" s="39">
        <v>45859.6587037037</v>
      </c>
      <c r="C874" s="3" t="s">
        <v>3897</v>
      </c>
      <c r="D874" s="3">
        <v>111.0</v>
      </c>
      <c r="E874" s="3" t="s">
        <v>3365</v>
      </c>
      <c r="F874" s="3">
        <v>4000.0</v>
      </c>
      <c r="G874" s="5">
        <v>69.0</v>
      </c>
      <c r="H874" s="3"/>
      <c r="I874" s="3"/>
      <c r="J874" s="5">
        <v>0.0</v>
      </c>
      <c r="K874" s="5">
        <v>4000.0</v>
      </c>
      <c r="L874" s="5" t="s">
        <v>4648</v>
      </c>
      <c r="M874" s="5" t="s">
        <v>3365</v>
      </c>
      <c r="O874" s="5" t="s">
        <v>3342</v>
      </c>
      <c r="Q874" s="5" t="b">
        <v>0</v>
      </c>
      <c r="R874" s="5" t="s">
        <v>3342</v>
      </c>
    </row>
    <row r="875" ht="15.75" customHeight="1">
      <c r="A875" s="5" t="s">
        <v>5687</v>
      </c>
      <c r="B875" s="39">
        <v>45859.65957175926</v>
      </c>
      <c r="C875" s="3" t="s">
        <v>4648</v>
      </c>
      <c r="D875" s="3">
        <v>69.0</v>
      </c>
      <c r="E875" s="3" t="s">
        <v>3365</v>
      </c>
      <c r="F875" s="3">
        <v>4000.0</v>
      </c>
      <c r="G875" s="5">
        <v>111.0</v>
      </c>
      <c r="H875" s="3"/>
      <c r="I875" s="3"/>
      <c r="J875" s="5">
        <v>0.0</v>
      </c>
      <c r="K875" s="5">
        <v>4000.0</v>
      </c>
      <c r="L875" s="5" t="s">
        <v>4649</v>
      </c>
      <c r="M875" s="5" t="s">
        <v>3365</v>
      </c>
      <c r="O875" s="5" t="s">
        <v>4647</v>
      </c>
      <c r="Q875" s="5" t="b">
        <v>0</v>
      </c>
      <c r="R875" s="5" t="s">
        <v>3342</v>
      </c>
    </row>
    <row r="876" ht="15.75" customHeight="1">
      <c r="A876" s="5" t="s">
        <v>5688</v>
      </c>
      <c r="B876" s="39">
        <v>45860.73863425926</v>
      </c>
      <c r="C876" s="3" t="s">
        <v>4542</v>
      </c>
      <c r="D876" s="3">
        <v>118.0</v>
      </c>
      <c r="E876" s="3" t="s">
        <v>4017</v>
      </c>
      <c r="F876" s="3">
        <v>22000.0</v>
      </c>
      <c r="G876" s="5">
        <v>114.0</v>
      </c>
      <c r="H876" s="3"/>
      <c r="I876" s="3"/>
      <c r="J876" s="5">
        <v>0.0</v>
      </c>
      <c r="K876" s="5">
        <v>22000.0</v>
      </c>
      <c r="L876" s="5" t="s">
        <v>4650</v>
      </c>
      <c r="M876" s="5" t="s">
        <v>4017</v>
      </c>
      <c r="O876" s="5" t="s">
        <v>4342</v>
      </c>
      <c r="Q876" s="5" t="b">
        <v>0</v>
      </c>
      <c r="R876" s="5" t="s">
        <v>4647</v>
      </c>
      <c r="U876" s="6" t="s">
        <v>3247</v>
      </c>
    </row>
    <row r="877" ht="15.75" customHeight="1">
      <c r="A877" s="6" t="s">
        <v>5689</v>
      </c>
      <c r="B877" s="39">
        <v>45861.71498842593</v>
      </c>
      <c r="C877" s="3" t="s">
        <v>4542</v>
      </c>
      <c r="D877" s="3">
        <v>118.0</v>
      </c>
      <c r="E877" s="3" t="s">
        <v>4017</v>
      </c>
      <c r="F877" s="3">
        <v>37000.0</v>
      </c>
      <c r="G877" s="5">
        <v>114.0</v>
      </c>
      <c r="H877" s="3" t="s">
        <v>4650</v>
      </c>
      <c r="I877" s="3" t="s">
        <v>4017</v>
      </c>
      <c r="J877" s="5">
        <v>22000.0</v>
      </c>
      <c r="K877" s="5">
        <v>59000.0</v>
      </c>
      <c r="L877" s="5" t="s">
        <v>4651</v>
      </c>
      <c r="M877" s="5" t="s">
        <v>4017</v>
      </c>
      <c r="O877" s="5" t="s">
        <v>4342</v>
      </c>
      <c r="P877" s="5" t="s">
        <v>4647</v>
      </c>
      <c r="Q877" s="5" t="b">
        <v>1</v>
      </c>
      <c r="R877" s="5" t="s">
        <v>4647</v>
      </c>
      <c r="U877" s="6" t="s">
        <v>3247</v>
      </c>
    </row>
    <row r="878" ht="15.75" customHeight="1">
      <c r="A878" s="5" t="s">
        <v>5690</v>
      </c>
      <c r="B878" s="39">
        <v>45862.715092592596</v>
      </c>
      <c r="C878" s="3" t="s">
        <v>4542</v>
      </c>
      <c r="D878" s="3">
        <v>118.0</v>
      </c>
      <c r="E878" s="3" t="s">
        <v>4017</v>
      </c>
      <c r="F878" s="3">
        <v>22000.0</v>
      </c>
      <c r="G878" s="5">
        <v>114.0</v>
      </c>
      <c r="H878" s="3" t="s">
        <v>4651</v>
      </c>
      <c r="I878" s="3" t="s">
        <v>4017</v>
      </c>
      <c r="J878" s="5">
        <v>59000.0</v>
      </c>
      <c r="K878" s="5">
        <v>81000.0</v>
      </c>
      <c r="L878" s="5" t="s">
        <v>4652</v>
      </c>
      <c r="M878" s="5" t="s">
        <v>4017</v>
      </c>
      <c r="O878" s="5" t="s">
        <v>4342</v>
      </c>
      <c r="P878" s="5" t="s">
        <v>4647</v>
      </c>
      <c r="Q878" s="5" t="b">
        <v>1</v>
      </c>
      <c r="R878" s="5" t="s">
        <v>4647</v>
      </c>
      <c r="U878" s="6" t="s">
        <v>3247</v>
      </c>
    </row>
    <row r="879" ht="15.75" customHeight="1">
      <c r="A879" s="5" t="s">
        <v>5691</v>
      </c>
      <c r="B879" s="39">
        <v>45862.71616898148</v>
      </c>
      <c r="C879" s="3" t="s">
        <v>3340</v>
      </c>
      <c r="D879" s="3">
        <v>30.0</v>
      </c>
      <c r="E879" s="3" t="s">
        <v>3341</v>
      </c>
      <c r="F879" s="3">
        <v>19000.0</v>
      </c>
      <c r="G879" s="5">
        <v>114.0</v>
      </c>
      <c r="H879" s="3" t="s">
        <v>4652</v>
      </c>
      <c r="I879" s="3" t="s">
        <v>4017</v>
      </c>
      <c r="J879" s="5">
        <v>81000.0</v>
      </c>
      <c r="K879" s="5">
        <v>100000.0</v>
      </c>
      <c r="L879" s="5" t="s">
        <v>4653</v>
      </c>
      <c r="M879" s="5" t="s">
        <v>4017</v>
      </c>
      <c r="O879" s="5" t="s">
        <v>3342</v>
      </c>
      <c r="P879" s="5" t="s">
        <v>4647</v>
      </c>
      <c r="Q879" s="5" t="b">
        <v>1</v>
      </c>
      <c r="R879" s="5" t="s">
        <v>4647</v>
      </c>
      <c r="U879" s="6" t="s">
        <v>3247</v>
      </c>
    </row>
    <row r="880" ht="15.75" customHeight="1">
      <c r="A880" s="5" t="s">
        <v>5692</v>
      </c>
      <c r="B880" s="39">
        <v>45866.66347222222</v>
      </c>
      <c r="C880" s="3" t="s">
        <v>4542</v>
      </c>
      <c r="D880" s="3">
        <v>118.0</v>
      </c>
      <c r="E880" s="3" t="s">
        <v>4017</v>
      </c>
      <c r="F880" s="3">
        <v>25300.0</v>
      </c>
      <c r="G880" s="5">
        <v>114.0</v>
      </c>
      <c r="H880" s="3" t="s">
        <v>4653</v>
      </c>
      <c r="I880" s="3" t="s">
        <v>4017</v>
      </c>
      <c r="J880" s="5">
        <v>100000.0</v>
      </c>
      <c r="K880" s="5">
        <v>125300.0</v>
      </c>
      <c r="L880" s="5" t="s">
        <v>52</v>
      </c>
      <c r="M880" s="5" t="s">
        <v>4017</v>
      </c>
      <c r="O880" s="5" t="s">
        <v>4342</v>
      </c>
      <c r="P880" s="5" t="s">
        <v>4647</v>
      </c>
      <c r="Q880" s="5" t="b">
        <v>1</v>
      </c>
      <c r="R880" s="5" t="s">
        <v>4647</v>
      </c>
      <c r="U880" s="6" t="s">
        <v>3247</v>
      </c>
    </row>
    <row r="881" ht="15.75" customHeight="1">
      <c r="A881" s="5" t="s">
        <v>5693</v>
      </c>
      <c r="B881" s="39">
        <v>45867.53377314815</v>
      </c>
      <c r="C881" s="3" t="s">
        <v>4542</v>
      </c>
      <c r="D881" s="3">
        <v>118.0</v>
      </c>
      <c r="E881" s="3" t="s">
        <v>4017</v>
      </c>
      <c r="F881" s="3">
        <v>30000.0</v>
      </c>
      <c r="G881" s="5">
        <v>65.0</v>
      </c>
      <c r="H881" s="3"/>
      <c r="I881" s="3"/>
      <c r="J881" s="5">
        <v>0.0</v>
      </c>
      <c r="K881" s="5">
        <v>30000.0</v>
      </c>
      <c r="L881" s="5" t="s">
        <v>4654</v>
      </c>
      <c r="M881" s="5" t="s">
        <v>4017</v>
      </c>
      <c r="O881" s="5" t="s">
        <v>4342</v>
      </c>
      <c r="Q881" s="5" t="b">
        <v>0</v>
      </c>
      <c r="R881" s="5" t="s">
        <v>4647</v>
      </c>
      <c r="U881" s="6" t="s">
        <v>3247</v>
      </c>
    </row>
    <row r="882" ht="15.75" customHeight="1">
      <c r="A882" s="5" t="s">
        <v>5694</v>
      </c>
      <c r="B882" s="39">
        <v>45867.53435185185</v>
      </c>
      <c r="C882" s="3" t="s">
        <v>4542</v>
      </c>
      <c r="D882" s="3">
        <v>118.0</v>
      </c>
      <c r="E882" s="3" t="s">
        <v>4017</v>
      </c>
      <c r="F882" s="3">
        <v>13500.0</v>
      </c>
      <c r="G882" s="5">
        <v>66.0</v>
      </c>
      <c r="H882" s="3"/>
      <c r="I882" s="3"/>
      <c r="J882" s="5">
        <v>0.0</v>
      </c>
      <c r="K882" s="5">
        <v>13500.0</v>
      </c>
      <c r="L882" s="5" t="s">
        <v>4655</v>
      </c>
      <c r="M882" s="5" t="s">
        <v>4017</v>
      </c>
      <c r="O882" s="5" t="s">
        <v>4342</v>
      </c>
      <c r="Q882" s="5" t="b">
        <v>0</v>
      </c>
      <c r="R882" s="5" t="s">
        <v>4647</v>
      </c>
      <c r="U882" s="6" t="s">
        <v>3247</v>
      </c>
    </row>
    <row r="883" ht="15.75" customHeight="1">
      <c r="A883" s="5" t="s">
        <v>5695</v>
      </c>
      <c r="B883" s="39">
        <v>45867.53496527778</v>
      </c>
      <c r="C883" s="3" t="s">
        <v>4542</v>
      </c>
      <c r="D883" s="3">
        <v>118.0</v>
      </c>
      <c r="E883" s="3" t="s">
        <v>4017</v>
      </c>
      <c r="F883" s="3">
        <v>1700.0</v>
      </c>
      <c r="G883" s="5">
        <v>51.0</v>
      </c>
      <c r="H883" s="3" t="s">
        <v>4646</v>
      </c>
      <c r="I883" s="3" t="s">
        <v>4285</v>
      </c>
      <c r="J883" s="5">
        <v>600.0</v>
      </c>
      <c r="K883" s="5">
        <v>2300.0</v>
      </c>
      <c r="L883" s="5" t="s">
        <v>4656</v>
      </c>
      <c r="M883" s="5" t="s">
        <v>4285</v>
      </c>
      <c r="O883" s="5" t="s">
        <v>4342</v>
      </c>
      <c r="P883" s="5" t="s">
        <v>4342</v>
      </c>
      <c r="Q883" s="5" t="b">
        <v>1</v>
      </c>
      <c r="R883" s="5" t="s">
        <v>4342</v>
      </c>
    </row>
    <row r="884" ht="15.75" customHeight="1">
      <c r="A884" s="5" t="s">
        <v>5696</v>
      </c>
      <c r="B884" s="39">
        <v>45867.53634259259</v>
      </c>
      <c r="C884" s="3" t="s">
        <v>4542</v>
      </c>
      <c r="D884" s="3">
        <v>118.0</v>
      </c>
      <c r="E884" s="3" t="s">
        <v>4017</v>
      </c>
      <c r="F884" s="3">
        <v>1600.0</v>
      </c>
      <c r="G884" s="5">
        <v>51.0</v>
      </c>
      <c r="H884" s="3" t="s">
        <v>4656</v>
      </c>
      <c r="I884" s="3" t="s">
        <v>4285</v>
      </c>
      <c r="J884" s="5">
        <v>2300.0</v>
      </c>
      <c r="K884" s="5">
        <v>3900.0</v>
      </c>
      <c r="L884" s="5" t="s">
        <v>4657</v>
      </c>
      <c r="M884" s="5" t="s">
        <v>4017</v>
      </c>
      <c r="O884" s="5" t="s">
        <v>4342</v>
      </c>
      <c r="P884" s="5" t="s">
        <v>4342</v>
      </c>
      <c r="Q884" s="5" t="b">
        <v>0</v>
      </c>
      <c r="R884" s="5" t="s">
        <v>4342</v>
      </c>
      <c r="U884" s="6" t="s">
        <v>3247</v>
      </c>
    </row>
    <row r="885" ht="15.75" customHeight="1">
      <c r="A885" s="5" t="s">
        <v>5697</v>
      </c>
      <c r="B885" s="39">
        <v>45867.53712962963</v>
      </c>
      <c r="C885" s="3" t="s">
        <v>4542</v>
      </c>
      <c r="D885" s="3">
        <v>118.0</v>
      </c>
      <c r="E885" s="3" t="s">
        <v>4017</v>
      </c>
      <c r="F885" s="3">
        <v>2500.0</v>
      </c>
      <c r="G885" s="5">
        <v>500.0</v>
      </c>
      <c r="H885" s="3" t="s">
        <v>4658</v>
      </c>
      <c r="I885" s="3" t="s">
        <v>4659</v>
      </c>
      <c r="J885" s="5">
        <v>1.0</v>
      </c>
      <c r="K885" s="5">
        <v>2501.0</v>
      </c>
      <c r="L885" s="5" t="s">
        <v>4660</v>
      </c>
      <c r="M885" s="5" t="s">
        <v>4659</v>
      </c>
      <c r="O885" s="5" t="s">
        <v>4342</v>
      </c>
      <c r="Q885" s="5" t="b">
        <v>1</v>
      </c>
      <c r="R885" s="5" t="s">
        <v>3342</v>
      </c>
    </row>
    <row r="886" ht="15.75" customHeight="1">
      <c r="A886" s="5" t="s">
        <v>5698</v>
      </c>
      <c r="B886" s="39">
        <v>45868.676782407405</v>
      </c>
      <c r="C886" s="3" t="s">
        <v>3340</v>
      </c>
      <c r="D886" s="3">
        <v>30.0</v>
      </c>
      <c r="E886" s="3" t="s">
        <v>3341</v>
      </c>
      <c r="F886" s="3">
        <v>5500.0</v>
      </c>
      <c r="G886" s="5">
        <v>65.0</v>
      </c>
      <c r="H886" s="3" t="s">
        <v>4654</v>
      </c>
      <c r="I886" s="3" t="s">
        <v>4017</v>
      </c>
      <c r="J886" s="5">
        <v>30000.0</v>
      </c>
      <c r="K886" s="5">
        <v>35500.0</v>
      </c>
      <c r="L886" s="5" t="s">
        <v>29</v>
      </c>
      <c r="M886" s="5" t="s">
        <v>4017</v>
      </c>
      <c r="O886" s="5" t="s">
        <v>3342</v>
      </c>
      <c r="P886" s="5" t="s">
        <v>4647</v>
      </c>
      <c r="Q886" s="5" t="b">
        <v>1</v>
      </c>
      <c r="R886" s="5" t="s">
        <v>4647</v>
      </c>
      <c r="U886" s="6" t="s">
        <v>3247</v>
      </c>
    </row>
    <row r="887" ht="15.75" customHeight="1">
      <c r="A887" s="5" t="s">
        <v>5699</v>
      </c>
      <c r="B887" s="39">
        <v>45868.677141203705</v>
      </c>
      <c r="C887" s="3" t="s">
        <v>3340</v>
      </c>
      <c r="D887" s="3">
        <v>30.0</v>
      </c>
      <c r="E887" s="3" t="s">
        <v>3341</v>
      </c>
      <c r="F887" s="3">
        <v>3400.0</v>
      </c>
      <c r="G887" s="5">
        <v>66.0</v>
      </c>
      <c r="H887" s="3" t="s">
        <v>4655</v>
      </c>
      <c r="I887" s="3" t="s">
        <v>4017</v>
      </c>
      <c r="J887" s="5">
        <v>13500.0</v>
      </c>
      <c r="K887" s="5">
        <v>16900.0</v>
      </c>
      <c r="L887" s="5" t="s">
        <v>4661</v>
      </c>
      <c r="M887" s="5" t="s">
        <v>4017</v>
      </c>
      <c r="O887" s="5" t="s">
        <v>3342</v>
      </c>
      <c r="P887" s="5" t="s">
        <v>4647</v>
      </c>
      <c r="Q887" s="5" t="b">
        <v>1</v>
      </c>
      <c r="R887" s="5" t="s">
        <v>4647</v>
      </c>
      <c r="U887" s="6" t="s">
        <v>3247</v>
      </c>
    </row>
    <row r="888" ht="15.75" customHeight="1">
      <c r="A888" s="5" t="s">
        <v>5700</v>
      </c>
      <c r="B888" s="39">
        <v>45868.678136574075</v>
      </c>
      <c r="C888" s="3" t="s">
        <v>3340</v>
      </c>
      <c r="D888" s="3">
        <v>30.0</v>
      </c>
      <c r="E888" s="3" t="s">
        <v>3341</v>
      </c>
      <c r="F888" s="3">
        <v>10900.0</v>
      </c>
      <c r="G888" s="5">
        <v>69.0</v>
      </c>
      <c r="H888" s="3"/>
      <c r="I888" s="3"/>
      <c r="J888" s="5">
        <v>0.0</v>
      </c>
      <c r="K888" s="5">
        <v>10900.0</v>
      </c>
      <c r="L888" s="5" t="s">
        <v>4662</v>
      </c>
      <c r="M888" s="5" t="s">
        <v>3341</v>
      </c>
      <c r="O888" s="5" t="s">
        <v>3342</v>
      </c>
      <c r="Q888" s="5" t="b">
        <v>0</v>
      </c>
      <c r="R888" s="5" t="s">
        <v>4647</v>
      </c>
    </row>
    <row r="889" ht="15.75" customHeight="1">
      <c r="A889" s="5" t="s">
        <v>5701</v>
      </c>
      <c r="B889" s="39">
        <v>45869.746516203704</v>
      </c>
      <c r="C889" s="3" t="s">
        <v>4511</v>
      </c>
      <c r="D889" s="3">
        <v>83.0</v>
      </c>
      <c r="E889" s="3" t="s">
        <v>3275</v>
      </c>
      <c r="F889" s="3">
        <v>50000.0</v>
      </c>
      <c r="G889" s="5">
        <v>85.0</v>
      </c>
      <c r="H889" s="3"/>
      <c r="I889" s="3"/>
      <c r="J889" s="5">
        <v>0.0</v>
      </c>
      <c r="K889" s="5">
        <v>50000.0</v>
      </c>
      <c r="L889" s="5" t="s">
        <v>4663</v>
      </c>
      <c r="M889" s="5" t="s">
        <v>3275</v>
      </c>
      <c r="O889" s="5" t="s">
        <v>4342</v>
      </c>
      <c r="Q889" s="5" t="b">
        <v>0</v>
      </c>
      <c r="R889" s="5" t="s">
        <v>4647</v>
      </c>
      <c r="U889" s="6" t="s">
        <v>3248</v>
      </c>
    </row>
    <row r="890" ht="15.75" customHeight="1">
      <c r="A890" s="5" t="s">
        <v>5702</v>
      </c>
      <c r="B890" s="39">
        <v>45869.74790509259</v>
      </c>
      <c r="C890" s="3" t="s">
        <v>4662</v>
      </c>
      <c r="D890" s="3">
        <v>69.0</v>
      </c>
      <c r="E890" s="3" t="s">
        <v>3341</v>
      </c>
      <c r="F890" s="3">
        <v>10900.0</v>
      </c>
      <c r="G890" s="5">
        <v>106.0</v>
      </c>
      <c r="H890" s="3"/>
      <c r="I890" s="3"/>
      <c r="J890" s="5">
        <v>0.0</v>
      </c>
      <c r="K890" s="5">
        <v>10900.0</v>
      </c>
      <c r="L890" s="5" t="s">
        <v>4664</v>
      </c>
      <c r="M890" s="5" t="s">
        <v>3341</v>
      </c>
      <c r="O890" s="5" t="s">
        <v>4647</v>
      </c>
      <c r="Q890" s="5" t="b">
        <v>0</v>
      </c>
      <c r="R890" s="5" t="s">
        <v>4647</v>
      </c>
    </row>
    <row r="891" ht="15.75" customHeight="1">
      <c r="A891" s="5" t="s">
        <v>5703</v>
      </c>
      <c r="B891" s="39">
        <v>45869.7484375</v>
      </c>
      <c r="C891" s="3" t="s">
        <v>4511</v>
      </c>
      <c r="D891" s="3">
        <v>83.0</v>
      </c>
      <c r="E891" s="3" t="s">
        <v>3275</v>
      </c>
      <c r="F891" s="3">
        <v>100.0</v>
      </c>
      <c r="G891" s="5">
        <v>106.0</v>
      </c>
      <c r="H891" s="3" t="s">
        <v>4664</v>
      </c>
      <c r="I891" s="3" t="s">
        <v>3341</v>
      </c>
      <c r="J891" s="5">
        <v>10900.0</v>
      </c>
      <c r="K891" s="5">
        <v>11000.0</v>
      </c>
      <c r="L891" s="5" t="s">
        <v>49</v>
      </c>
      <c r="M891" s="5" t="s">
        <v>3341</v>
      </c>
      <c r="O891" s="5" t="s">
        <v>4342</v>
      </c>
      <c r="P891" s="5" t="s">
        <v>4647</v>
      </c>
      <c r="Q891" s="5" t="b">
        <v>1</v>
      </c>
      <c r="R891" s="5" t="s">
        <v>4647</v>
      </c>
    </row>
    <row r="892" ht="15.75" customHeight="1">
      <c r="A892" s="5" t="s">
        <v>5704</v>
      </c>
      <c r="B892" s="39">
        <v>45874.46488425926</v>
      </c>
      <c r="C892" s="3" t="s">
        <v>4511</v>
      </c>
      <c r="D892" s="3">
        <v>83.0</v>
      </c>
      <c r="E892" s="3" t="s">
        <v>3275</v>
      </c>
      <c r="F892" s="3">
        <v>28700.0</v>
      </c>
      <c r="G892" s="5">
        <v>85.0</v>
      </c>
      <c r="H892" s="3" t="s">
        <v>4663</v>
      </c>
      <c r="I892" s="3" t="s">
        <v>3275</v>
      </c>
      <c r="J892" s="5">
        <v>50000.0</v>
      </c>
      <c r="K892" s="5">
        <v>78700.0</v>
      </c>
      <c r="L892" s="5" t="s">
        <v>4665</v>
      </c>
      <c r="M892" s="5" t="s">
        <v>3275</v>
      </c>
      <c r="O892" s="5" t="s">
        <v>4342</v>
      </c>
      <c r="P892" s="5" t="s">
        <v>4647</v>
      </c>
      <c r="Q892" s="5" t="b">
        <v>1</v>
      </c>
      <c r="R892" s="5" t="s">
        <v>4647</v>
      </c>
      <c r="U892" s="6" t="s">
        <v>3248</v>
      </c>
    </row>
    <row r="893" ht="15.75" customHeight="1">
      <c r="A893" s="5" t="s">
        <v>5705</v>
      </c>
      <c r="B893" s="39">
        <v>45874.46802083333</v>
      </c>
      <c r="C893" s="3" t="s">
        <v>4511</v>
      </c>
      <c r="D893" s="3">
        <v>83.0</v>
      </c>
      <c r="E893" s="3" t="s">
        <v>3275</v>
      </c>
      <c r="F893" s="3">
        <v>2000.0</v>
      </c>
      <c r="G893" s="5">
        <v>85.0</v>
      </c>
      <c r="H893" s="3" t="s">
        <v>4665</v>
      </c>
      <c r="I893" s="3" t="s">
        <v>3275</v>
      </c>
      <c r="J893" s="5">
        <v>78700.0</v>
      </c>
      <c r="K893" s="5">
        <v>80700.0</v>
      </c>
      <c r="L893" s="5" t="s">
        <v>4666</v>
      </c>
      <c r="M893" s="5" t="s">
        <v>3275</v>
      </c>
      <c r="O893" s="5" t="s">
        <v>4342</v>
      </c>
      <c r="P893" s="5" t="s">
        <v>4647</v>
      </c>
      <c r="Q893" s="5" t="b">
        <v>1</v>
      </c>
      <c r="R893" s="5" t="s">
        <v>4647</v>
      </c>
      <c r="U893" s="6" t="s">
        <v>3248</v>
      </c>
    </row>
    <row r="894" ht="15.75" customHeight="1">
      <c r="A894" s="5" t="s">
        <v>5706</v>
      </c>
      <c r="B894" s="39">
        <v>45874.46873842592</v>
      </c>
      <c r="C894" s="3" t="s">
        <v>4492</v>
      </c>
      <c r="D894" s="3">
        <v>116.0</v>
      </c>
      <c r="E894" s="3" t="s">
        <v>3275</v>
      </c>
      <c r="F894" s="3">
        <v>3300.0</v>
      </c>
      <c r="G894" s="5">
        <v>85.0</v>
      </c>
      <c r="H894" s="3" t="s">
        <v>4666</v>
      </c>
      <c r="I894" s="3" t="s">
        <v>3275</v>
      </c>
      <c r="J894" s="5">
        <v>80700.0</v>
      </c>
      <c r="K894" s="5">
        <v>84000.0</v>
      </c>
      <c r="L894" s="5" t="s">
        <v>39</v>
      </c>
      <c r="M894" s="5" t="s">
        <v>3275</v>
      </c>
      <c r="O894" s="5" t="s">
        <v>4342</v>
      </c>
      <c r="P894" s="5" t="s">
        <v>4647</v>
      </c>
      <c r="Q894" s="5" t="b">
        <v>1</v>
      </c>
      <c r="R894" s="5" t="s">
        <v>4647</v>
      </c>
      <c r="U894" s="6" t="s">
        <v>3248</v>
      </c>
    </row>
    <row r="895" ht="15.75" customHeight="1">
      <c r="A895" s="5" t="s">
        <v>5707</v>
      </c>
      <c r="B895" s="39">
        <v>45874.46923611111</v>
      </c>
      <c r="C895" s="3" t="s">
        <v>4492</v>
      </c>
      <c r="D895" s="3">
        <v>116.0</v>
      </c>
      <c r="E895" s="3" t="s">
        <v>3275</v>
      </c>
      <c r="F895" s="3">
        <v>34700.0</v>
      </c>
      <c r="G895" s="5">
        <v>84.0</v>
      </c>
      <c r="H895" s="3"/>
      <c r="I895" s="3"/>
      <c r="J895" s="5">
        <v>0.0</v>
      </c>
      <c r="K895" s="5">
        <v>34700.0</v>
      </c>
      <c r="L895" s="5" t="s">
        <v>4667</v>
      </c>
      <c r="M895" s="5" t="s">
        <v>3275</v>
      </c>
      <c r="O895" s="5" t="s">
        <v>4342</v>
      </c>
      <c r="Q895" s="5" t="b">
        <v>0</v>
      </c>
      <c r="R895" s="5" t="s">
        <v>4647</v>
      </c>
      <c r="U895" s="5" t="s">
        <v>3249</v>
      </c>
    </row>
    <row r="896" ht="15.75" customHeight="1">
      <c r="A896" s="5" t="s">
        <v>5708</v>
      </c>
      <c r="B896" s="39">
        <v>45874.46971064815</v>
      </c>
      <c r="C896" s="3" t="s">
        <v>4492</v>
      </c>
      <c r="D896" s="3">
        <v>116.0</v>
      </c>
      <c r="E896" s="3" t="s">
        <v>3275</v>
      </c>
      <c r="F896" s="3">
        <v>35000.0</v>
      </c>
      <c r="G896" s="5">
        <v>84.0</v>
      </c>
      <c r="H896" s="3" t="s">
        <v>4667</v>
      </c>
      <c r="I896" s="3" t="s">
        <v>3275</v>
      </c>
      <c r="J896" s="5">
        <v>34700.0</v>
      </c>
      <c r="K896" s="5">
        <v>69700.0</v>
      </c>
      <c r="L896" s="5" t="s">
        <v>4668</v>
      </c>
      <c r="M896" s="5" t="s">
        <v>3275</v>
      </c>
      <c r="O896" s="5" t="s">
        <v>4342</v>
      </c>
      <c r="P896" s="5" t="s">
        <v>4647</v>
      </c>
      <c r="Q896" s="5" t="b">
        <v>1</v>
      </c>
      <c r="R896" s="5" t="s">
        <v>4647</v>
      </c>
      <c r="U896" s="5" t="s">
        <v>3249</v>
      </c>
    </row>
    <row r="897" ht="15.75" customHeight="1">
      <c r="A897" s="5" t="s">
        <v>5709</v>
      </c>
      <c r="B897" s="39">
        <v>45874.47255787037</v>
      </c>
      <c r="C897" s="3" t="s">
        <v>4511</v>
      </c>
      <c r="D897" s="3">
        <v>83.0</v>
      </c>
      <c r="E897" s="3" t="s">
        <v>3275</v>
      </c>
      <c r="F897" s="3">
        <v>700.0</v>
      </c>
      <c r="G897" s="5">
        <v>500.0</v>
      </c>
      <c r="H897" s="3" t="s">
        <v>4660</v>
      </c>
      <c r="I897" s="3" t="s">
        <v>4659</v>
      </c>
      <c r="J897" s="5">
        <v>2501.0</v>
      </c>
      <c r="K897" s="5">
        <v>3201.0</v>
      </c>
      <c r="L897" s="5" t="s">
        <v>4669</v>
      </c>
      <c r="M897" s="5" t="s">
        <v>3275</v>
      </c>
      <c r="O897" s="5" t="s">
        <v>4342</v>
      </c>
      <c r="P897" s="5" t="s">
        <v>3342</v>
      </c>
      <c r="Q897" s="5" t="b">
        <v>0</v>
      </c>
      <c r="R897" s="5" t="s">
        <v>4342</v>
      </c>
      <c r="U897" s="6" t="s">
        <v>3248</v>
      </c>
    </row>
    <row r="898" ht="15.75" customHeight="1">
      <c r="A898" s="5" t="s">
        <v>5710</v>
      </c>
      <c r="B898" s="39">
        <v>45874.47623842592</v>
      </c>
      <c r="C898" s="3" t="s">
        <v>4631</v>
      </c>
      <c r="D898" s="3">
        <v>25.0</v>
      </c>
      <c r="E898" s="3" t="s">
        <v>3272</v>
      </c>
      <c r="F898" s="3">
        <v>27000.0</v>
      </c>
      <c r="G898" s="5">
        <v>118.0</v>
      </c>
      <c r="H898" s="3"/>
      <c r="I898" s="3"/>
      <c r="J898" s="5">
        <v>0.0</v>
      </c>
      <c r="K898" s="5">
        <v>27000.0</v>
      </c>
      <c r="L898" s="5" t="s">
        <v>4670</v>
      </c>
      <c r="M898" s="5" t="s">
        <v>4671</v>
      </c>
      <c r="O898" s="5" t="s">
        <v>4342</v>
      </c>
      <c r="Q898" s="5" t="b">
        <v>0</v>
      </c>
      <c r="R898" s="5" t="s">
        <v>3342</v>
      </c>
      <c r="U898" s="6" t="s">
        <v>3247</v>
      </c>
    </row>
    <row r="899" ht="15.75" customHeight="1">
      <c r="A899" s="5" t="s">
        <v>5711</v>
      </c>
      <c r="B899" s="39">
        <v>45874.479108796295</v>
      </c>
      <c r="C899" s="3" t="s">
        <v>4561</v>
      </c>
      <c r="D899" s="3">
        <v>90.0</v>
      </c>
      <c r="E899" s="3" t="s">
        <v>3662</v>
      </c>
      <c r="F899" s="3">
        <v>18000.0</v>
      </c>
      <c r="G899" s="5">
        <v>118.0</v>
      </c>
      <c r="H899" s="3" t="s">
        <v>4670</v>
      </c>
      <c r="I899" s="3" t="s">
        <v>4671</v>
      </c>
      <c r="J899" s="5">
        <v>27000.0</v>
      </c>
      <c r="K899" s="5">
        <v>45000.0</v>
      </c>
      <c r="L899" s="5" t="s">
        <v>4672</v>
      </c>
      <c r="M899" s="5" t="s">
        <v>4671</v>
      </c>
      <c r="O899" s="5" t="s">
        <v>4342</v>
      </c>
      <c r="P899" s="5" t="s">
        <v>3342</v>
      </c>
      <c r="Q899" s="5" t="b">
        <v>1</v>
      </c>
      <c r="R899" s="5" t="s">
        <v>3342</v>
      </c>
      <c r="U899" s="6" t="s">
        <v>3247</v>
      </c>
    </row>
    <row r="900" ht="15.75" customHeight="1">
      <c r="A900" s="5" t="s">
        <v>5712</v>
      </c>
      <c r="B900" s="39">
        <v>45874.47966435185</v>
      </c>
      <c r="C900" s="3" t="s">
        <v>4442</v>
      </c>
      <c r="D900" s="3">
        <v>41.0</v>
      </c>
      <c r="E900" s="3" t="s">
        <v>3386</v>
      </c>
      <c r="F900" s="3">
        <v>7000.0</v>
      </c>
      <c r="G900" s="5">
        <v>118.0</v>
      </c>
      <c r="H900" s="3" t="s">
        <v>4672</v>
      </c>
      <c r="I900" s="3" t="s">
        <v>4671</v>
      </c>
      <c r="J900" s="5">
        <v>45000.0</v>
      </c>
      <c r="K900" s="5">
        <v>52000.0</v>
      </c>
      <c r="L900" s="6" t="s">
        <v>4673</v>
      </c>
      <c r="M900" s="5" t="s">
        <v>4671</v>
      </c>
      <c r="O900" s="5" t="s">
        <v>4342</v>
      </c>
      <c r="P900" s="5" t="s">
        <v>3342</v>
      </c>
      <c r="Q900" s="5" t="b">
        <v>1</v>
      </c>
      <c r="R900" s="5" t="s">
        <v>3342</v>
      </c>
      <c r="U900" s="6" t="s">
        <v>3247</v>
      </c>
    </row>
    <row r="901" ht="15.75" customHeight="1">
      <c r="A901" s="5" t="s">
        <v>5713</v>
      </c>
      <c r="B901" s="39">
        <v>45874.480162037034</v>
      </c>
      <c r="C901" s="3" t="s">
        <v>4597</v>
      </c>
      <c r="D901" s="3">
        <v>115.0</v>
      </c>
      <c r="E901" s="3" t="s">
        <v>3273</v>
      </c>
      <c r="F901" s="3">
        <v>35000.0</v>
      </c>
      <c r="G901" s="5">
        <v>118.0</v>
      </c>
      <c r="H901" s="4" t="s">
        <v>4673</v>
      </c>
      <c r="I901" s="3" t="s">
        <v>4671</v>
      </c>
      <c r="J901" s="5">
        <v>52000.0</v>
      </c>
      <c r="K901" s="5">
        <v>87000.0</v>
      </c>
      <c r="L901" s="5" t="s">
        <v>4674</v>
      </c>
      <c r="M901" s="5" t="s">
        <v>4671</v>
      </c>
      <c r="O901" s="5" t="s">
        <v>4342</v>
      </c>
      <c r="P901" s="5" t="s">
        <v>3342</v>
      </c>
      <c r="Q901" s="5" t="b">
        <v>1</v>
      </c>
      <c r="R901" s="5" t="s">
        <v>3342</v>
      </c>
      <c r="U901" s="6" t="s">
        <v>3247</v>
      </c>
    </row>
    <row r="902" ht="15.75" customHeight="1">
      <c r="A902" s="5" t="s">
        <v>5714</v>
      </c>
      <c r="B902" s="39">
        <v>45874.480717592596</v>
      </c>
      <c r="C902" s="3" t="s">
        <v>4605</v>
      </c>
      <c r="D902" s="3">
        <v>72.0</v>
      </c>
      <c r="E902" s="3" t="s">
        <v>3380</v>
      </c>
      <c r="F902" s="3">
        <v>13000.0</v>
      </c>
      <c r="G902" s="5">
        <v>118.0</v>
      </c>
      <c r="H902" s="3" t="s">
        <v>4674</v>
      </c>
      <c r="I902" s="3" t="s">
        <v>4671</v>
      </c>
      <c r="J902" s="5">
        <v>87000.0</v>
      </c>
      <c r="K902" s="5">
        <v>100000.0</v>
      </c>
      <c r="L902" s="5" t="s">
        <v>4675</v>
      </c>
      <c r="M902" s="5" t="s">
        <v>4671</v>
      </c>
      <c r="O902" s="5" t="s">
        <v>4342</v>
      </c>
      <c r="P902" s="5" t="s">
        <v>3342</v>
      </c>
      <c r="Q902" s="5" t="b">
        <v>1</v>
      </c>
      <c r="R902" s="5" t="s">
        <v>3342</v>
      </c>
      <c r="U902" s="6" t="s">
        <v>3247</v>
      </c>
    </row>
    <row r="903" ht="15.75" customHeight="1">
      <c r="A903" s="5" t="s">
        <v>5715</v>
      </c>
      <c r="B903" s="39">
        <v>45874.48333333333</v>
      </c>
      <c r="C903" s="3" t="s">
        <v>4632</v>
      </c>
      <c r="D903" s="3">
        <v>86.0</v>
      </c>
      <c r="E903" s="3" t="s">
        <v>3272</v>
      </c>
      <c r="F903" s="3">
        <v>27000.0</v>
      </c>
      <c r="G903" s="5">
        <v>25.0</v>
      </c>
      <c r="H903" s="3" t="s">
        <v>4631</v>
      </c>
      <c r="I903" s="3" t="s">
        <v>3272</v>
      </c>
      <c r="J903" s="5">
        <v>167300.0</v>
      </c>
      <c r="K903" s="5">
        <v>194300.0</v>
      </c>
      <c r="L903" s="5" t="s">
        <v>15</v>
      </c>
      <c r="M903" s="5" t="s">
        <v>3272</v>
      </c>
      <c r="N903" s="5" t="s">
        <v>5423</v>
      </c>
      <c r="O903" s="5" t="s">
        <v>4342</v>
      </c>
      <c r="P903" s="5" t="s">
        <v>4342</v>
      </c>
      <c r="Q903" s="5" t="b">
        <v>1</v>
      </c>
      <c r="R903" s="5" t="s">
        <v>4342</v>
      </c>
      <c r="U903" s="6" t="s">
        <v>3247</v>
      </c>
    </row>
    <row r="904" ht="15.75" customHeight="1">
      <c r="A904" s="5" t="s">
        <v>5716</v>
      </c>
      <c r="B904" s="39">
        <v>45874.48380787037</v>
      </c>
      <c r="C904" s="3" t="s">
        <v>4632</v>
      </c>
      <c r="D904" s="3">
        <v>86.0</v>
      </c>
      <c r="E904" s="3" t="s">
        <v>3272</v>
      </c>
      <c r="F904" s="3">
        <v>18000.0</v>
      </c>
      <c r="G904" s="5">
        <v>90.0</v>
      </c>
      <c r="H904" s="3" t="s">
        <v>4561</v>
      </c>
      <c r="I904" s="3" t="s">
        <v>3662</v>
      </c>
      <c r="J904" s="5">
        <v>79500.0</v>
      </c>
      <c r="K904" s="5">
        <v>97500.0</v>
      </c>
      <c r="L904" s="5" t="s">
        <v>43</v>
      </c>
      <c r="M904" s="5" t="s">
        <v>3662</v>
      </c>
      <c r="N904" s="5" t="s">
        <v>5717</v>
      </c>
      <c r="O904" s="5" t="s">
        <v>4342</v>
      </c>
      <c r="P904" s="5" t="s">
        <v>4342</v>
      </c>
      <c r="Q904" s="5" t="b">
        <v>1</v>
      </c>
      <c r="R904" s="5" t="s">
        <v>4342</v>
      </c>
      <c r="U904" s="6" t="s">
        <v>3247</v>
      </c>
    </row>
    <row r="905" ht="15.75" customHeight="1">
      <c r="A905" s="5" t="s">
        <v>5718</v>
      </c>
      <c r="B905" s="39">
        <v>45874.48409722222</v>
      </c>
      <c r="C905" s="3" t="s">
        <v>4632</v>
      </c>
      <c r="D905" s="3">
        <v>86.0</v>
      </c>
      <c r="E905" s="3" t="s">
        <v>3272</v>
      </c>
      <c r="F905" s="3">
        <v>22900.0</v>
      </c>
      <c r="G905" s="5">
        <v>54.0</v>
      </c>
      <c r="H905" s="3"/>
      <c r="I905" s="3"/>
      <c r="J905" s="5">
        <v>0.0</v>
      </c>
      <c r="K905" s="5">
        <v>22900.0</v>
      </c>
      <c r="L905" s="5" t="s">
        <v>27</v>
      </c>
      <c r="M905" s="5" t="s">
        <v>3272</v>
      </c>
      <c r="O905" s="5" t="s">
        <v>4342</v>
      </c>
      <c r="Q905" s="5" t="b">
        <v>0</v>
      </c>
      <c r="R905" s="5" t="s">
        <v>4342</v>
      </c>
      <c r="U905" s="6" t="s">
        <v>3248</v>
      </c>
    </row>
    <row r="906" ht="15.75" customHeight="1">
      <c r="A906" s="5" t="s">
        <v>5719</v>
      </c>
      <c r="B906" s="39">
        <v>45874.484444444446</v>
      </c>
      <c r="C906" s="3" t="s">
        <v>4632</v>
      </c>
      <c r="D906" s="3">
        <v>86.0</v>
      </c>
      <c r="E906" s="3" t="s">
        <v>3272</v>
      </c>
      <c r="F906" s="3">
        <v>19500.0</v>
      </c>
      <c r="G906" s="5">
        <v>16.0</v>
      </c>
      <c r="H906" s="3"/>
      <c r="I906" s="3"/>
      <c r="J906" s="5">
        <v>0.0</v>
      </c>
      <c r="K906" s="5">
        <v>19500.0</v>
      </c>
      <c r="L906" s="5" t="s">
        <v>13</v>
      </c>
      <c r="M906" s="5" t="s">
        <v>3272</v>
      </c>
      <c r="O906" s="5" t="s">
        <v>4342</v>
      </c>
      <c r="Q906" s="5" t="b">
        <v>0</v>
      </c>
      <c r="R906" s="5" t="s">
        <v>4342</v>
      </c>
      <c r="U906" s="6" t="s">
        <v>3248</v>
      </c>
    </row>
    <row r="907" ht="15.75" customHeight="1">
      <c r="A907" s="5" t="s">
        <v>5720</v>
      </c>
      <c r="B907" s="39">
        <v>45874.485925925925</v>
      </c>
      <c r="C907" s="3" t="s">
        <v>4442</v>
      </c>
      <c r="D907" s="3">
        <v>41.0</v>
      </c>
      <c r="E907" s="3" t="s">
        <v>3386</v>
      </c>
      <c r="F907" s="3">
        <v>28100.0</v>
      </c>
      <c r="G907" s="5">
        <v>6.0</v>
      </c>
      <c r="H907" s="3"/>
      <c r="I907" s="3"/>
      <c r="J907" s="5">
        <v>0.0</v>
      </c>
      <c r="K907" s="5">
        <v>28100.0</v>
      </c>
      <c r="L907" s="5" t="s">
        <v>4676</v>
      </c>
      <c r="M907" s="5" t="s">
        <v>3386</v>
      </c>
      <c r="O907" s="5" t="s">
        <v>4342</v>
      </c>
      <c r="Q907" s="5" t="b">
        <v>0</v>
      </c>
      <c r="R907" s="5" t="s">
        <v>4342</v>
      </c>
    </row>
    <row r="908" ht="15.75" customHeight="1">
      <c r="A908" s="5" t="s">
        <v>5721</v>
      </c>
      <c r="B908" s="39">
        <v>45874.489594907405</v>
      </c>
      <c r="C908" s="3" t="s">
        <v>4450</v>
      </c>
      <c r="D908" s="3">
        <v>50.0</v>
      </c>
      <c r="E908" s="3" t="s">
        <v>3386</v>
      </c>
      <c r="F908" s="3">
        <v>3900.0</v>
      </c>
      <c r="G908" s="5">
        <v>6.0</v>
      </c>
      <c r="H908" s="3" t="s">
        <v>4676</v>
      </c>
      <c r="I908" s="3" t="s">
        <v>3386</v>
      </c>
      <c r="J908" s="5">
        <v>28100.0</v>
      </c>
      <c r="K908" s="5">
        <v>32000.0</v>
      </c>
      <c r="L908" s="5" t="s">
        <v>4677</v>
      </c>
      <c r="M908" s="5" t="s">
        <v>3386</v>
      </c>
      <c r="O908" s="5" t="s">
        <v>3605</v>
      </c>
      <c r="P908" s="5" t="s">
        <v>4342</v>
      </c>
      <c r="Q908" s="5" t="b">
        <v>1</v>
      </c>
      <c r="R908" s="5" t="s">
        <v>4342</v>
      </c>
    </row>
    <row r="909" ht="15.75" customHeight="1">
      <c r="A909" s="5" t="s">
        <v>5722</v>
      </c>
      <c r="B909" s="39">
        <v>45875.46686342593</v>
      </c>
      <c r="C909" s="3" t="s">
        <v>4492</v>
      </c>
      <c r="D909" s="3">
        <v>116.0</v>
      </c>
      <c r="E909" s="3" t="s">
        <v>3275</v>
      </c>
      <c r="F909" s="3">
        <v>13300.0</v>
      </c>
      <c r="G909" s="5">
        <v>84.0</v>
      </c>
      <c r="H909" s="3" t="s">
        <v>4668</v>
      </c>
      <c r="I909" s="3" t="s">
        <v>3275</v>
      </c>
      <c r="J909" s="5">
        <v>69700.0</v>
      </c>
      <c r="K909" s="5">
        <v>83000.0</v>
      </c>
      <c r="L909" s="5" t="s">
        <v>38</v>
      </c>
      <c r="M909" s="5" t="s">
        <v>3275</v>
      </c>
      <c r="O909" s="5" t="s">
        <v>4342</v>
      </c>
      <c r="P909" s="5" t="s">
        <v>4647</v>
      </c>
      <c r="Q909" s="5" t="b">
        <v>1</v>
      </c>
      <c r="R909" s="5" t="s">
        <v>4647</v>
      </c>
      <c r="U909" s="5" t="s">
        <v>3249</v>
      </c>
    </row>
    <row r="910" ht="15.75" customHeight="1">
      <c r="A910" s="5" t="s">
        <v>5723</v>
      </c>
      <c r="B910" s="39">
        <v>45875.467199074075</v>
      </c>
      <c r="C910" s="3" t="s">
        <v>4492</v>
      </c>
      <c r="D910" s="3">
        <v>116.0</v>
      </c>
      <c r="E910" s="3" t="s">
        <v>3275</v>
      </c>
      <c r="F910" s="3">
        <v>13300.0</v>
      </c>
      <c r="G910" s="5">
        <v>83.0</v>
      </c>
      <c r="H910" s="3"/>
      <c r="I910" s="3"/>
      <c r="J910" s="5">
        <v>0.0</v>
      </c>
      <c r="K910" s="5">
        <v>13300.0</v>
      </c>
      <c r="L910" s="5" t="s">
        <v>4678</v>
      </c>
      <c r="M910" s="5" t="s">
        <v>3275</v>
      </c>
      <c r="O910" s="5" t="s">
        <v>4342</v>
      </c>
      <c r="Q910" s="5" t="b">
        <v>0</v>
      </c>
      <c r="R910" s="5" t="s">
        <v>4647</v>
      </c>
      <c r="U910" s="5" t="s">
        <v>3249</v>
      </c>
    </row>
    <row r="911" ht="15.75" customHeight="1">
      <c r="A911" s="5" t="s">
        <v>5724</v>
      </c>
      <c r="B911" s="39">
        <v>45875.46760416667</v>
      </c>
      <c r="C911" s="3" t="s">
        <v>4493</v>
      </c>
      <c r="D911" s="3">
        <v>121.0</v>
      </c>
      <c r="E911" s="3" t="s">
        <v>3275</v>
      </c>
      <c r="F911" s="3">
        <v>15000.0</v>
      </c>
      <c r="G911" s="5">
        <v>83.0</v>
      </c>
      <c r="H911" s="3" t="s">
        <v>4678</v>
      </c>
      <c r="I911" s="3" t="s">
        <v>3275</v>
      </c>
      <c r="J911" s="5">
        <v>13300.0</v>
      </c>
      <c r="K911" s="5">
        <v>28300.0</v>
      </c>
      <c r="L911" s="5" t="s">
        <v>4679</v>
      </c>
      <c r="M911" s="5" t="s">
        <v>3275</v>
      </c>
      <c r="O911" s="5" t="s">
        <v>4342</v>
      </c>
      <c r="P911" s="5" t="s">
        <v>4647</v>
      </c>
      <c r="Q911" s="5" t="b">
        <v>1</v>
      </c>
      <c r="R911" s="5" t="s">
        <v>4647</v>
      </c>
      <c r="U911" s="5" t="s">
        <v>3249</v>
      </c>
    </row>
    <row r="912" ht="15.75" customHeight="1">
      <c r="A912" s="6" t="s">
        <v>5725</v>
      </c>
      <c r="B912" s="39">
        <v>45875.66811342593</v>
      </c>
      <c r="C912" s="3" t="s">
        <v>4613</v>
      </c>
      <c r="D912" s="3">
        <v>82.0</v>
      </c>
      <c r="E912" s="3" t="s">
        <v>3273</v>
      </c>
      <c r="F912" s="3">
        <v>35000.0</v>
      </c>
      <c r="G912" s="5">
        <v>115.0</v>
      </c>
      <c r="H912" s="3" t="s">
        <v>4597</v>
      </c>
      <c r="I912" s="3" t="s">
        <v>3273</v>
      </c>
      <c r="J912" s="5">
        <v>85200.0</v>
      </c>
      <c r="K912" s="5">
        <v>120200.0</v>
      </c>
      <c r="L912" s="6" t="s">
        <v>53</v>
      </c>
      <c r="M912" s="5" t="s">
        <v>3273</v>
      </c>
      <c r="O912" s="5" t="s">
        <v>4342</v>
      </c>
      <c r="P912" s="5" t="s">
        <v>4342</v>
      </c>
      <c r="Q912" s="5" t="b">
        <v>1</v>
      </c>
      <c r="R912" s="5" t="s">
        <v>4342</v>
      </c>
      <c r="U912" s="6" t="s">
        <v>3247</v>
      </c>
    </row>
    <row r="913" ht="15.75" customHeight="1">
      <c r="A913" s="5" t="s">
        <v>5726</v>
      </c>
      <c r="B913" s="39">
        <v>45875.668854166666</v>
      </c>
      <c r="C913" s="3" t="s">
        <v>4613</v>
      </c>
      <c r="D913" s="3">
        <v>82.0</v>
      </c>
      <c r="E913" s="3" t="s">
        <v>3273</v>
      </c>
      <c r="F913" s="3">
        <v>7600.0</v>
      </c>
      <c r="G913" s="5">
        <v>71.0</v>
      </c>
      <c r="H913" s="3"/>
      <c r="I913" s="3"/>
      <c r="J913" s="5">
        <v>0.0</v>
      </c>
      <c r="K913" s="5">
        <v>7600.0</v>
      </c>
      <c r="L913" s="5" t="s">
        <v>4680</v>
      </c>
      <c r="M913" s="5" t="s">
        <v>3273</v>
      </c>
      <c r="O913" s="5" t="s">
        <v>4342</v>
      </c>
      <c r="Q913" s="5" t="b">
        <v>0</v>
      </c>
      <c r="R913" s="5" t="s">
        <v>4342</v>
      </c>
      <c r="U913" s="6" t="s">
        <v>3247</v>
      </c>
    </row>
    <row r="914" ht="15.75" customHeight="1">
      <c r="A914" s="5" t="s">
        <v>5727</v>
      </c>
      <c r="B914" s="39">
        <v>45875.66943287037</v>
      </c>
      <c r="C914" s="3" t="s">
        <v>4657</v>
      </c>
      <c r="D914" s="3">
        <v>51.0</v>
      </c>
      <c r="E914" s="3" t="s">
        <v>4017</v>
      </c>
      <c r="F914" s="3">
        <v>3900.0</v>
      </c>
      <c r="G914" s="5">
        <v>71.0</v>
      </c>
      <c r="H914" s="3" t="s">
        <v>4680</v>
      </c>
      <c r="I914" s="3" t="s">
        <v>3273</v>
      </c>
      <c r="J914" s="5">
        <v>7600.0</v>
      </c>
      <c r="K914" s="5">
        <v>11500.0</v>
      </c>
      <c r="L914" s="5" t="s">
        <v>35</v>
      </c>
      <c r="M914" s="5" t="s">
        <v>3273</v>
      </c>
      <c r="O914" s="5" t="s">
        <v>4342</v>
      </c>
      <c r="P914" s="5" t="s">
        <v>4342</v>
      </c>
      <c r="Q914" s="5" t="b">
        <v>1</v>
      </c>
      <c r="R914" s="5" t="s">
        <v>4342</v>
      </c>
      <c r="U914" s="6" t="s">
        <v>3247</v>
      </c>
    </row>
    <row r="915" ht="15.75" customHeight="1">
      <c r="A915" s="5" t="s">
        <v>5728</v>
      </c>
      <c r="B915" s="39">
        <v>45880.70449074074</v>
      </c>
      <c r="C915" s="3" t="s">
        <v>4675</v>
      </c>
      <c r="D915" s="3">
        <v>118.0</v>
      </c>
      <c r="E915" s="3" t="s">
        <v>4671</v>
      </c>
      <c r="F915" s="3">
        <v>100000.0</v>
      </c>
      <c r="G915" s="5">
        <v>500.0</v>
      </c>
      <c r="H915" s="3"/>
      <c r="I915" s="3"/>
      <c r="J915" s="5">
        <v>0.0</v>
      </c>
      <c r="K915" s="5">
        <v>100000.0</v>
      </c>
      <c r="L915" s="5" t="s">
        <v>4681</v>
      </c>
      <c r="M915" s="5" t="s">
        <v>4671</v>
      </c>
      <c r="O915" s="5" t="s">
        <v>3342</v>
      </c>
      <c r="Q915" s="5" t="b">
        <v>0</v>
      </c>
      <c r="R915" s="5" t="s">
        <v>3715</v>
      </c>
      <c r="U915" s="6" t="s">
        <v>3247</v>
      </c>
    </row>
    <row r="916" ht="15.75" customHeight="1">
      <c r="A916" s="5" t="s">
        <v>5729</v>
      </c>
      <c r="B916" s="39">
        <v>45880.70657407407</v>
      </c>
      <c r="C916" s="3" t="s">
        <v>3577</v>
      </c>
      <c r="D916" s="3">
        <v>9.0</v>
      </c>
      <c r="E916" s="3" t="s">
        <v>3293</v>
      </c>
      <c r="F916" s="3">
        <v>30000.0</v>
      </c>
      <c r="G916" s="5">
        <v>500.0</v>
      </c>
      <c r="H916" s="3"/>
      <c r="I916" s="3"/>
      <c r="J916" s="5">
        <v>0.0</v>
      </c>
      <c r="K916" s="5">
        <v>30000.0</v>
      </c>
      <c r="L916" s="5" t="s">
        <v>4682</v>
      </c>
      <c r="M916" s="5" t="s">
        <v>4683</v>
      </c>
      <c r="O916" s="5" t="s">
        <v>3320</v>
      </c>
      <c r="Q916" s="5" t="b">
        <v>0</v>
      </c>
      <c r="R916" s="5" t="s">
        <v>3715</v>
      </c>
      <c r="U916" s="5" t="s">
        <v>3246</v>
      </c>
    </row>
    <row r="917" ht="15.75" customHeight="1">
      <c r="A917" s="5" t="s">
        <v>5730</v>
      </c>
      <c r="B917" s="39">
        <v>45880.70706018519</v>
      </c>
      <c r="C917" s="3" t="s">
        <v>3398</v>
      </c>
      <c r="D917" s="3">
        <v>40.0</v>
      </c>
      <c r="E917" s="3" t="s">
        <v>3293</v>
      </c>
      <c r="F917" s="3">
        <v>24000.0</v>
      </c>
      <c r="G917" s="5">
        <v>500.0</v>
      </c>
      <c r="H917" s="3" t="s">
        <v>4682</v>
      </c>
      <c r="I917" s="3" t="s">
        <v>4683</v>
      </c>
      <c r="J917" s="5">
        <v>30000.0</v>
      </c>
      <c r="K917" s="5">
        <v>54000.0</v>
      </c>
      <c r="L917" s="5" t="s">
        <v>4684</v>
      </c>
      <c r="M917" s="5" t="s">
        <v>4683</v>
      </c>
      <c r="O917" s="5" t="s">
        <v>3320</v>
      </c>
      <c r="P917" s="5" t="s">
        <v>3715</v>
      </c>
      <c r="Q917" s="5" t="b">
        <v>1</v>
      </c>
      <c r="R917" s="5" t="s">
        <v>3715</v>
      </c>
      <c r="U917" s="5" t="s">
        <v>3246</v>
      </c>
    </row>
    <row r="918" ht="15.75" customHeight="1">
      <c r="A918" s="5" t="s">
        <v>5731</v>
      </c>
      <c r="B918" s="39">
        <v>45880.70731481481</v>
      </c>
      <c r="C918" s="3" t="s">
        <v>3391</v>
      </c>
      <c r="D918" s="3">
        <v>32.0</v>
      </c>
      <c r="E918" s="3" t="s">
        <v>3392</v>
      </c>
      <c r="F918" s="3">
        <v>36300.0</v>
      </c>
      <c r="G918" s="5">
        <v>500.0</v>
      </c>
      <c r="H918" s="3" t="s">
        <v>4684</v>
      </c>
      <c r="I918" s="3" t="s">
        <v>4683</v>
      </c>
      <c r="J918" s="5">
        <v>54000.0</v>
      </c>
      <c r="K918" s="5">
        <v>90300.0</v>
      </c>
      <c r="L918" s="5" t="s">
        <v>4685</v>
      </c>
      <c r="M918" s="5" t="s">
        <v>4683</v>
      </c>
      <c r="O918" s="5" t="s">
        <v>3320</v>
      </c>
      <c r="P918" s="5" t="s">
        <v>3715</v>
      </c>
      <c r="Q918" s="5" t="b">
        <v>1</v>
      </c>
      <c r="R918" s="5" t="s">
        <v>3715</v>
      </c>
      <c r="U918" s="5" t="s">
        <v>3246</v>
      </c>
    </row>
    <row r="919" ht="15.75" customHeight="1">
      <c r="A919" s="5" t="s">
        <v>5732</v>
      </c>
      <c r="B919" s="39">
        <v>45880.70792824074</v>
      </c>
      <c r="C919" s="3" t="s">
        <v>3854</v>
      </c>
      <c r="D919" s="3">
        <v>47.0</v>
      </c>
      <c r="E919" s="3" t="s">
        <v>3563</v>
      </c>
      <c r="F919" s="3">
        <v>20000.0</v>
      </c>
      <c r="G919" s="5">
        <v>500.0</v>
      </c>
      <c r="H919" s="3" t="s">
        <v>4685</v>
      </c>
      <c r="I919" s="3" t="s">
        <v>4683</v>
      </c>
      <c r="J919" s="5">
        <v>90300.0</v>
      </c>
      <c r="K919" s="5">
        <v>110300.0</v>
      </c>
      <c r="L919" s="5" t="s">
        <v>4686</v>
      </c>
      <c r="M919" s="5" t="s">
        <v>4683</v>
      </c>
      <c r="O919" s="5" t="s">
        <v>3320</v>
      </c>
      <c r="P919" s="5" t="s">
        <v>3715</v>
      </c>
      <c r="Q919" s="5" t="b">
        <v>1</v>
      </c>
      <c r="R919" s="5" t="s">
        <v>3715</v>
      </c>
      <c r="U919" s="5" t="s">
        <v>3246</v>
      </c>
    </row>
    <row r="920" ht="15.75" customHeight="1">
      <c r="A920" s="5" t="s">
        <v>5733</v>
      </c>
      <c r="B920" s="39">
        <v>45880.70825231481</v>
      </c>
      <c r="C920" s="3" t="s">
        <v>4568</v>
      </c>
      <c r="D920" s="3">
        <v>11.0</v>
      </c>
      <c r="E920" s="3" t="s">
        <v>3293</v>
      </c>
      <c r="F920" s="3">
        <v>25000.0</v>
      </c>
      <c r="G920" s="5">
        <v>500.0</v>
      </c>
      <c r="H920" s="3" t="s">
        <v>4686</v>
      </c>
      <c r="I920" s="3" t="s">
        <v>4683</v>
      </c>
      <c r="J920" s="5">
        <v>110300.0</v>
      </c>
      <c r="K920" s="5">
        <v>135300.0</v>
      </c>
      <c r="L920" s="5" t="s">
        <v>4687</v>
      </c>
      <c r="M920" s="5" t="s">
        <v>4683</v>
      </c>
      <c r="O920" s="5" t="s">
        <v>3605</v>
      </c>
      <c r="P920" s="5" t="s">
        <v>3715</v>
      </c>
      <c r="Q920" s="5" t="b">
        <v>1</v>
      </c>
      <c r="R920" s="5" t="s">
        <v>3715</v>
      </c>
      <c r="U920" s="5" t="s">
        <v>3246</v>
      </c>
    </row>
    <row r="921" ht="15.75" customHeight="1">
      <c r="A921" s="5" t="s">
        <v>5734</v>
      </c>
      <c r="B921" s="39">
        <v>45880.71324074074</v>
      </c>
      <c r="C921" s="3" t="s">
        <v>4493</v>
      </c>
      <c r="D921" s="3">
        <v>121.0</v>
      </c>
      <c r="E921" s="3" t="s">
        <v>3275</v>
      </c>
      <c r="F921" s="3">
        <v>22000.0</v>
      </c>
      <c r="G921" s="5">
        <v>83.0</v>
      </c>
      <c r="H921" s="3" t="s">
        <v>4679</v>
      </c>
      <c r="I921" s="3" t="s">
        <v>3275</v>
      </c>
      <c r="J921" s="5">
        <v>28300.0</v>
      </c>
      <c r="K921" s="5">
        <v>50300.0</v>
      </c>
      <c r="L921" s="5" t="s">
        <v>4688</v>
      </c>
      <c r="M921" s="5" t="s">
        <v>3275</v>
      </c>
      <c r="O921" s="5" t="s">
        <v>4342</v>
      </c>
      <c r="P921" s="5" t="s">
        <v>4647</v>
      </c>
      <c r="Q921" s="5" t="b">
        <v>1</v>
      </c>
      <c r="R921" s="5" t="s">
        <v>4647</v>
      </c>
      <c r="U921" s="5" t="s">
        <v>3249</v>
      </c>
    </row>
    <row r="922" ht="15.75" customHeight="1">
      <c r="A922" s="5" t="s">
        <v>5735</v>
      </c>
      <c r="B922" s="39">
        <v>45880.71351851852</v>
      </c>
      <c r="C922" s="3" t="s">
        <v>4493</v>
      </c>
      <c r="D922" s="3">
        <v>121.0</v>
      </c>
      <c r="E922" s="3" t="s">
        <v>3275</v>
      </c>
      <c r="F922" s="3">
        <v>31000.0</v>
      </c>
      <c r="G922" s="5">
        <v>83.0</v>
      </c>
      <c r="H922" s="3" t="s">
        <v>4688</v>
      </c>
      <c r="I922" s="3" t="s">
        <v>3275</v>
      </c>
      <c r="J922" s="5">
        <v>50300.0</v>
      </c>
      <c r="K922" s="5">
        <v>81300.0</v>
      </c>
      <c r="L922" s="5" t="s">
        <v>4689</v>
      </c>
      <c r="M922" s="5" t="s">
        <v>3275</v>
      </c>
      <c r="O922" s="5" t="s">
        <v>4342</v>
      </c>
      <c r="P922" s="5" t="s">
        <v>4647</v>
      </c>
      <c r="Q922" s="5" t="b">
        <v>1</v>
      </c>
      <c r="R922" s="5" t="s">
        <v>4647</v>
      </c>
      <c r="U922" s="5" t="s">
        <v>3249</v>
      </c>
    </row>
    <row r="923" ht="15.75" customHeight="1">
      <c r="A923" s="5" t="s">
        <v>5736</v>
      </c>
      <c r="B923" s="39">
        <v>45880.71450231481</v>
      </c>
      <c r="C923" s="3" t="s">
        <v>4493</v>
      </c>
      <c r="D923" s="3">
        <v>121.0</v>
      </c>
      <c r="E923" s="3" t="s">
        <v>3275</v>
      </c>
      <c r="F923" s="3">
        <v>200.0</v>
      </c>
      <c r="G923" s="5">
        <v>83.0</v>
      </c>
      <c r="H923" s="3" t="s">
        <v>4689</v>
      </c>
      <c r="I923" s="3" t="s">
        <v>3275</v>
      </c>
      <c r="J923" s="5">
        <v>81300.0</v>
      </c>
      <c r="K923" s="5">
        <v>81500.0</v>
      </c>
      <c r="L923" s="5" t="s">
        <v>37</v>
      </c>
      <c r="M923" s="5" t="s">
        <v>3275</v>
      </c>
      <c r="O923" s="5" t="s">
        <v>4342</v>
      </c>
      <c r="P923" s="5" t="s">
        <v>4647</v>
      </c>
      <c r="Q923" s="5" t="b">
        <v>1</v>
      </c>
      <c r="R923" s="5" t="s">
        <v>4647</v>
      </c>
      <c r="U923" s="5" t="s">
        <v>3249</v>
      </c>
    </row>
    <row r="924" ht="15.75" customHeight="1">
      <c r="A924" s="5" t="s">
        <v>5737</v>
      </c>
      <c r="B924" s="39">
        <v>45880.7202662037</v>
      </c>
      <c r="C924" s="3" t="s">
        <v>4677</v>
      </c>
      <c r="D924" s="3">
        <v>6.0</v>
      </c>
      <c r="E924" s="3" t="s">
        <v>3386</v>
      </c>
      <c r="F924" s="3">
        <v>1000.0</v>
      </c>
      <c r="G924" s="5">
        <v>500.0</v>
      </c>
      <c r="H924" s="3" t="s">
        <v>4690</v>
      </c>
      <c r="I924" s="3" t="s">
        <v>4691</v>
      </c>
      <c r="J924" s="5">
        <v>200000.0</v>
      </c>
      <c r="K924" s="5">
        <v>201000.0</v>
      </c>
      <c r="L924" s="5" t="s">
        <v>4692</v>
      </c>
      <c r="M924" s="5" t="s">
        <v>4691</v>
      </c>
      <c r="O924" s="5" t="s">
        <v>4342</v>
      </c>
      <c r="P924" s="5" t="s">
        <v>3342</v>
      </c>
      <c r="Q924" s="5" t="b">
        <v>1</v>
      </c>
      <c r="R924" s="5" t="s">
        <v>3342</v>
      </c>
    </row>
    <row r="925" ht="15.75" customHeight="1">
      <c r="A925" s="5" t="s">
        <v>5738</v>
      </c>
      <c r="B925" s="39">
        <v>45880.7221875</v>
      </c>
      <c r="C925" s="3" t="s">
        <v>4632</v>
      </c>
      <c r="D925" s="3">
        <v>86.0</v>
      </c>
      <c r="E925" s="3" t="s">
        <v>3272</v>
      </c>
      <c r="F925" s="3">
        <v>-1000.0</v>
      </c>
      <c r="G925" s="5">
        <v>500.0</v>
      </c>
      <c r="H925" s="3" t="s">
        <v>4692</v>
      </c>
      <c r="I925" s="3" t="s">
        <v>4691</v>
      </c>
      <c r="J925" s="5">
        <v>201000.0</v>
      </c>
      <c r="K925" s="5">
        <v>200000.0</v>
      </c>
      <c r="L925" s="6" t="s">
        <v>4693</v>
      </c>
      <c r="M925" s="5" t="s">
        <v>4691</v>
      </c>
      <c r="O925" s="5" t="s">
        <v>4342</v>
      </c>
      <c r="P925" s="5" t="s">
        <v>3342</v>
      </c>
      <c r="Q925" s="5" t="b">
        <v>1</v>
      </c>
      <c r="R925" s="5" t="s">
        <v>3342</v>
      </c>
    </row>
    <row r="926" ht="15.75" customHeight="1">
      <c r="A926" s="5" t="s">
        <v>5739</v>
      </c>
      <c r="B926" s="39">
        <v>45880.724282407406</v>
      </c>
      <c r="C926" s="3" t="s">
        <v>4632</v>
      </c>
      <c r="D926" s="3">
        <v>86.0</v>
      </c>
      <c r="E926" s="3" t="s">
        <v>3272</v>
      </c>
      <c r="F926" s="3">
        <v>1600.0</v>
      </c>
      <c r="G926" s="5">
        <v>500.0</v>
      </c>
      <c r="H926" s="4" t="s">
        <v>4693</v>
      </c>
      <c r="I926" s="3" t="s">
        <v>4691</v>
      </c>
      <c r="J926" s="5">
        <v>600.0</v>
      </c>
      <c r="K926" s="5">
        <v>2200.0</v>
      </c>
      <c r="L926" s="5" t="s">
        <v>4694</v>
      </c>
      <c r="M926" s="5" t="s">
        <v>4691</v>
      </c>
      <c r="O926" s="5" t="s">
        <v>4342</v>
      </c>
      <c r="P926" s="5" t="s">
        <v>3342</v>
      </c>
      <c r="Q926" s="5" t="b">
        <v>1</v>
      </c>
      <c r="R926" s="5" t="s">
        <v>3342</v>
      </c>
    </row>
    <row r="927" ht="15.75" customHeight="1">
      <c r="A927" s="6" t="s">
        <v>5740</v>
      </c>
      <c r="B927" s="39">
        <v>45880.72479166667</v>
      </c>
      <c r="C927" s="3" t="s">
        <v>4493</v>
      </c>
      <c r="D927" s="3">
        <v>121.0</v>
      </c>
      <c r="E927" s="3" t="s">
        <v>3275</v>
      </c>
      <c r="F927" s="3">
        <v>17600.0</v>
      </c>
      <c r="G927" s="5">
        <v>86.0</v>
      </c>
      <c r="H927" s="3"/>
      <c r="I927" s="3"/>
      <c r="J927" s="5">
        <v>0.0</v>
      </c>
      <c r="K927" s="5">
        <v>1800.0</v>
      </c>
      <c r="L927" s="5" t="s">
        <v>4695</v>
      </c>
      <c r="M927" s="5" t="s">
        <v>3275</v>
      </c>
      <c r="O927" s="5" t="s">
        <v>4342</v>
      </c>
      <c r="Q927" s="5" t="b">
        <v>0</v>
      </c>
      <c r="R927" s="5" t="s">
        <v>4647</v>
      </c>
      <c r="U927" s="6" t="s">
        <v>3248</v>
      </c>
    </row>
    <row r="928" ht="15.75" customHeight="1">
      <c r="A928" s="5" t="s">
        <v>5741</v>
      </c>
      <c r="B928" s="39">
        <v>45882.72056712963</v>
      </c>
      <c r="C928" s="3" t="s">
        <v>14</v>
      </c>
      <c r="D928" s="3">
        <v>24.0</v>
      </c>
      <c r="E928" s="3" t="s">
        <v>3275</v>
      </c>
      <c r="F928" s="3">
        <v>52000.0</v>
      </c>
      <c r="G928" s="5">
        <v>86.0</v>
      </c>
      <c r="H928" s="3" t="s">
        <v>4695</v>
      </c>
      <c r="I928" s="3" t="s">
        <v>3275</v>
      </c>
      <c r="J928" s="5">
        <v>17600.0</v>
      </c>
      <c r="K928" s="5">
        <v>69600.0</v>
      </c>
      <c r="L928" s="5" t="s">
        <v>4696</v>
      </c>
      <c r="M928" s="5" t="s">
        <v>3275</v>
      </c>
      <c r="O928" s="5" t="s">
        <v>4342</v>
      </c>
      <c r="P928" s="5" t="s">
        <v>4647</v>
      </c>
      <c r="Q928" s="5" t="b">
        <v>1</v>
      </c>
      <c r="R928" s="5" t="s">
        <v>4647</v>
      </c>
      <c r="U928" s="6" t="s">
        <v>3248</v>
      </c>
    </row>
    <row r="929" ht="15.75" customHeight="1">
      <c r="A929" s="5" t="s">
        <v>5742</v>
      </c>
      <c r="B929" s="39">
        <v>45882.72101851852</v>
      </c>
      <c r="C929" s="3" t="s">
        <v>14</v>
      </c>
      <c r="D929" s="3">
        <v>24.0</v>
      </c>
      <c r="E929" s="3" t="s">
        <v>3275</v>
      </c>
      <c r="F929" s="3">
        <v>18400.0</v>
      </c>
      <c r="G929" s="5">
        <v>86.0</v>
      </c>
      <c r="H929" s="3" t="s">
        <v>4696</v>
      </c>
      <c r="I929" s="3" t="s">
        <v>3275</v>
      </c>
      <c r="J929" s="5">
        <v>69600.0</v>
      </c>
      <c r="K929" s="5">
        <v>88000.0</v>
      </c>
      <c r="L929" s="5" t="s">
        <v>40</v>
      </c>
      <c r="M929" s="5" t="s">
        <v>3275</v>
      </c>
      <c r="O929" s="5" t="s">
        <v>4342</v>
      </c>
      <c r="P929" s="5" t="s">
        <v>4647</v>
      </c>
      <c r="Q929" s="5" t="b">
        <v>1</v>
      </c>
      <c r="R929" s="5" t="s">
        <v>4647</v>
      </c>
      <c r="U929" s="6" t="s">
        <v>3248</v>
      </c>
    </row>
    <row r="930" ht="15.75" customHeight="1">
      <c r="A930" s="5" t="s">
        <v>5743</v>
      </c>
      <c r="B930" s="39">
        <v>45882.721504629626</v>
      </c>
      <c r="C930" s="3" t="s">
        <v>14</v>
      </c>
      <c r="D930" s="3">
        <v>24.0</v>
      </c>
      <c r="E930" s="3" t="s">
        <v>3275</v>
      </c>
      <c r="F930" s="3">
        <v>30000.0</v>
      </c>
      <c r="G930" s="5">
        <v>121.0</v>
      </c>
      <c r="H930" s="3"/>
      <c r="I930" s="3"/>
      <c r="J930" s="5">
        <v>0.0</v>
      </c>
      <c r="K930" s="5">
        <v>30000.0</v>
      </c>
      <c r="L930" s="5" t="s">
        <v>4697</v>
      </c>
      <c r="M930" s="5" t="s">
        <v>3275</v>
      </c>
      <c r="O930" s="5" t="s">
        <v>4342</v>
      </c>
      <c r="Q930" s="5" t="b">
        <v>0</v>
      </c>
      <c r="R930" s="5" t="s">
        <v>4647</v>
      </c>
      <c r="U930" s="5" t="s">
        <v>3246</v>
      </c>
    </row>
    <row r="931" ht="15.75" customHeight="1">
      <c r="A931" s="5" t="s">
        <v>5744</v>
      </c>
      <c r="B931" s="39">
        <v>45882.72614583333</v>
      </c>
      <c r="C931" s="3" t="s">
        <v>4568</v>
      </c>
      <c r="D931" s="3">
        <v>11.0</v>
      </c>
      <c r="E931" s="3" t="s">
        <v>3293</v>
      </c>
      <c r="F931" s="3">
        <v>11000.0</v>
      </c>
      <c r="G931" s="5">
        <v>69.0</v>
      </c>
      <c r="H931" s="3"/>
      <c r="I931" s="3"/>
      <c r="J931" s="5">
        <v>0.0</v>
      </c>
      <c r="K931" s="5">
        <v>13000.0</v>
      </c>
      <c r="L931" s="5" t="s">
        <v>34</v>
      </c>
      <c r="M931" s="5" t="s">
        <v>3293</v>
      </c>
      <c r="O931" s="5" t="s">
        <v>3605</v>
      </c>
      <c r="Q931" s="5" t="b">
        <v>0</v>
      </c>
      <c r="R931" s="5" t="s">
        <v>3605</v>
      </c>
      <c r="U931" s="6" t="s">
        <v>3248</v>
      </c>
    </row>
    <row r="932" ht="15.75" customHeight="1">
      <c r="A932" s="5" t="s">
        <v>5745</v>
      </c>
      <c r="B932" s="39">
        <v>45882.73861111111</v>
      </c>
      <c r="C932" s="3" t="s">
        <v>4694</v>
      </c>
      <c r="D932" s="3">
        <v>500.0</v>
      </c>
      <c r="E932" s="3" t="s">
        <v>4691</v>
      </c>
      <c r="F932" s="3">
        <v>6100.0</v>
      </c>
      <c r="G932" s="5">
        <v>66.0</v>
      </c>
      <c r="H932" s="3" t="s">
        <v>4661</v>
      </c>
      <c r="I932" s="3" t="s">
        <v>4017</v>
      </c>
      <c r="J932" s="5">
        <v>16900.0</v>
      </c>
      <c r="K932" s="5">
        <v>23000.0</v>
      </c>
      <c r="L932" s="5" t="s">
        <v>31</v>
      </c>
      <c r="M932" s="5" t="s">
        <v>4017</v>
      </c>
      <c r="N932" s="5" t="s">
        <v>5746</v>
      </c>
      <c r="O932" s="5" t="s">
        <v>3342</v>
      </c>
      <c r="P932" s="5" t="s">
        <v>4647</v>
      </c>
      <c r="Q932" s="5" t="b">
        <v>1</v>
      </c>
      <c r="R932" s="5" t="s">
        <v>4647</v>
      </c>
      <c r="U932" s="6" t="s">
        <v>3247</v>
      </c>
    </row>
    <row r="933" ht="15.75" customHeight="1">
      <c r="A933" s="5" t="s">
        <v>5747</v>
      </c>
      <c r="B933" s="39">
        <v>45884.7319212963</v>
      </c>
      <c r="C933" s="3" t="s">
        <v>14</v>
      </c>
      <c r="D933" s="3">
        <v>24.0</v>
      </c>
      <c r="E933" s="3" t="s">
        <v>3275</v>
      </c>
      <c r="F933" s="3">
        <v>45000.0</v>
      </c>
      <c r="G933" s="5">
        <v>121.0</v>
      </c>
      <c r="H933" s="3" t="s">
        <v>4697</v>
      </c>
      <c r="I933" s="3" t="s">
        <v>3275</v>
      </c>
      <c r="J933" s="5">
        <v>30000.0</v>
      </c>
      <c r="K933" s="5">
        <v>75000.0</v>
      </c>
      <c r="L933" s="5" t="s">
        <v>4698</v>
      </c>
      <c r="M933" s="5" t="s">
        <v>3275</v>
      </c>
      <c r="O933" s="5" t="s">
        <v>4342</v>
      </c>
      <c r="P933" s="5" t="s">
        <v>4647</v>
      </c>
      <c r="Q933" s="5" t="b">
        <v>1</v>
      </c>
      <c r="R933" s="5" t="s">
        <v>4647</v>
      </c>
      <c r="U933" s="5" t="s">
        <v>3246</v>
      </c>
    </row>
    <row r="934" ht="15.75" customHeight="1">
      <c r="A934" s="5" t="s">
        <v>5748</v>
      </c>
      <c r="B934" s="39">
        <v>45884.732303240744</v>
      </c>
      <c r="C934" s="3" t="s">
        <v>14</v>
      </c>
      <c r="D934" s="3">
        <v>24.0</v>
      </c>
      <c r="E934" s="3" t="s">
        <v>3275</v>
      </c>
      <c r="F934" s="3">
        <v>10800.0</v>
      </c>
      <c r="G934" s="5">
        <v>121.0</v>
      </c>
      <c r="H934" s="3" t="s">
        <v>4698</v>
      </c>
      <c r="I934" s="3" t="s">
        <v>3275</v>
      </c>
      <c r="J934" s="5">
        <v>75000.0</v>
      </c>
      <c r="K934" s="5">
        <v>85800.0</v>
      </c>
      <c r="L934" s="5" t="s">
        <v>55</v>
      </c>
      <c r="M934" s="5" t="s">
        <v>3275</v>
      </c>
      <c r="O934" s="5" t="s">
        <v>4342</v>
      </c>
      <c r="P934" s="5" t="s">
        <v>4647</v>
      </c>
      <c r="Q934" s="5" t="b">
        <v>1</v>
      </c>
      <c r="R934" s="5" t="s">
        <v>4647</v>
      </c>
      <c r="U934" s="5" t="s">
        <v>3246</v>
      </c>
    </row>
    <row r="935" ht="15.75" customHeight="1">
      <c r="A935" s="5" t="s">
        <v>5749</v>
      </c>
      <c r="B935" s="39">
        <v>45884.732719907406</v>
      </c>
      <c r="C935" s="3" t="s">
        <v>14</v>
      </c>
      <c r="D935" s="3">
        <v>24.0</v>
      </c>
      <c r="E935" s="3" t="s">
        <v>3275</v>
      </c>
      <c r="F935" s="3">
        <v>22000.0</v>
      </c>
      <c r="G935" s="5">
        <v>116.0</v>
      </c>
      <c r="H935" s="3"/>
      <c r="I935" s="3"/>
      <c r="J935" s="5">
        <v>0.0</v>
      </c>
      <c r="K935" s="5">
        <v>22000.0</v>
      </c>
      <c r="L935" s="5" t="s">
        <v>4699</v>
      </c>
      <c r="M935" s="5" t="s">
        <v>3275</v>
      </c>
      <c r="O935" s="5" t="s">
        <v>4342</v>
      </c>
      <c r="Q935" s="5" t="b">
        <v>0</v>
      </c>
      <c r="R935" s="5" t="s">
        <v>4647</v>
      </c>
      <c r="U935" s="5" t="s">
        <v>3246</v>
      </c>
    </row>
    <row r="936" ht="15.75" customHeight="1">
      <c r="A936" s="5" t="s">
        <v>5750</v>
      </c>
      <c r="B936" s="39">
        <v>45884.73320601852</v>
      </c>
      <c r="C936" s="3" t="s">
        <v>14</v>
      </c>
      <c r="D936" s="3">
        <v>24.0</v>
      </c>
      <c r="E936" s="3" t="s">
        <v>3275</v>
      </c>
      <c r="F936" s="3">
        <v>7845.0</v>
      </c>
      <c r="G936" s="5">
        <v>116.0</v>
      </c>
      <c r="H936" s="3" t="s">
        <v>4699</v>
      </c>
      <c r="I936" s="3" t="s">
        <v>3275</v>
      </c>
      <c r="J936" s="5">
        <v>22000.0</v>
      </c>
      <c r="K936" s="5">
        <v>29845.0</v>
      </c>
      <c r="L936" s="5" t="s">
        <v>4700</v>
      </c>
      <c r="M936" s="5" t="s">
        <v>3275</v>
      </c>
      <c r="O936" s="5" t="s">
        <v>4342</v>
      </c>
      <c r="P936" s="5" t="s">
        <v>4647</v>
      </c>
      <c r="Q936" s="5" t="b">
        <v>1</v>
      </c>
      <c r="R936" s="5" t="s">
        <v>4647</v>
      </c>
      <c r="U936" s="5" t="s">
        <v>3246</v>
      </c>
    </row>
    <row r="937" ht="15.75" customHeight="1">
      <c r="A937" s="6" t="s">
        <v>5751</v>
      </c>
      <c r="B937" s="39">
        <v>45884.73486111111</v>
      </c>
      <c r="C937" s="3" t="s">
        <v>14</v>
      </c>
      <c r="D937" s="3">
        <v>24.0</v>
      </c>
      <c r="E937" s="3" t="s">
        <v>3275</v>
      </c>
      <c r="F937" s="3">
        <v>555.0</v>
      </c>
      <c r="G937" s="5">
        <v>500.0</v>
      </c>
      <c r="H937" s="3" t="s">
        <v>4694</v>
      </c>
      <c r="I937" s="3" t="s">
        <v>4691</v>
      </c>
      <c r="J937" s="5">
        <v>-3900.0</v>
      </c>
      <c r="K937" s="5">
        <v>-3345.0</v>
      </c>
      <c r="L937" s="5" t="s">
        <v>4701</v>
      </c>
      <c r="M937" s="5" t="s">
        <v>4691</v>
      </c>
      <c r="O937" s="5" t="s">
        <v>4342</v>
      </c>
      <c r="P937" s="5" t="s">
        <v>3342</v>
      </c>
      <c r="Q937" s="5" t="b">
        <v>1</v>
      </c>
      <c r="R937" s="5" t="s">
        <v>3342</v>
      </c>
    </row>
    <row r="938" ht="15.75" customHeight="1">
      <c r="A938" s="5" t="s">
        <v>5752</v>
      </c>
      <c r="B938" s="39">
        <v>45884.75709490741</v>
      </c>
      <c r="C938" s="3" t="s">
        <v>4450</v>
      </c>
      <c r="D938" s="3">
        <v>50.0</v>
      </c>
      <c r="E938" s="3" t="s">
        <v>3386</v>
      </c>
      <c r="F938" s="3">
        <v>1000.0</v>
      </c>
      <c r="G938" s="5">
        <v>6.0</v>
      </c>
      <c r="H938" s="3" t="s">
        <v>4677</v>
      </c>
      <c r="I938" s="3" t="s">
        <v>3386</v>
      </c>
      <c r="J938" s="5">
        <v>31000.0</v>
      </c>
      <c r="K938" s="5">
        <v>32000.0</v>
      </c>
      <c r="L938" s="5" t="s">
        <v>9</v>
      </c>
      <c r="M938" s="5" t="s">
        <v>3386</v>
      </c>
      <c r="O938" s="5" t="s">
        <v>3605</v>
      </c>
      <c r="P938" s="5" t="s">
        <v>4342</v>
      </c>
      <c r="Q938" s="5" t="b">
        <v>1</v>
      </c>
      <c r="R938" s="5" t="s">
        <v>4342</v>
      </c>
    </row>
    <row r="939" ht="15.75" customHeight="1">
      <c r="A939" s="5" t="s">
        <v>5753</v>
      </c>
      <c r="B939" s="39">
        <v>45884.76199074074</v>
      </c>
      <c r="C939" s="3" t="s">
        <v>4520</v>
      </c>
      <c r="D939" s="3">
        <v>103.0</v>
      </c>
      <c r="E939" s="3" t="s">
        <v>3662</v>
      </c>
      <c r="F939" s="3">
        <v>2700.0</v>
      </c>
      <c r="G939" s="5">
        <v>50.0</v>
      </c>
      <c r="H939" s="3"/>
      <c r="I939" s="3"/>
      <c r="J939" s="5">
        <v>0.0</v>
      </c>
      <c r="K939" s="5">
        <v>2700.0</v>
      </c>
      <c r="L939" s="5" t="s">
        <v>4702</v>
      </c>
      <c r="M939" s="5" t="s">
        <v>4703</v>
      </c>
      <c r="O939" s="5" t="s">
        <v>4647</v>
      </c>
      <c r="Q939" s="5" t="b">
        <v>0</v>
      </c>
      <c r="R939" s="5" t="s">
        <v>4342</v>
      </c>
      <c r="U939" s="5" t="s">
        <v>3246</v>
      </c>
    </row>
    <row r="940" ht="15.75" customHeight="1">
      <c r="A940" s="5" t="s">
        <v>5754</v>
      </c>
      <c r="B940" s="39">
        <v>45884.76246527778</v>
      </c>
      <c r="C940" s="3" t="s">
        <v>4634</v>
      </c>
      <c r="D940" s="3">
        <v>89.0</v>
      </c>
      <c r="E940" s="3" t="s">
        <v>3380</v>
      </c>
      <c r="F940" s="3">
        <v>2400.0</v>
      </c>
      <c r="G940" s="5">
        <v>50.0</v>
      </c>
      <c r="H940" s="3" t="s">
        <v>4702</v>
      </c>
      <c r="I940" s="3" t="s">
        <v>4703</v>
      </c>
      <c r="J940" s="5">
        <v>2700.0</v>
      </c>
      <c r="K940" s="5">
        <v>5100.0</v>
      </c>
      <c r="L940" s="5" t="s">
        <v>4704</v>
      </c>
      <c r="M940" s="5" t="s">
        <v>4703</v>
      </c>
      <c r="O940" s="5" t="s">
        <v>4342</v>
      </c>
      <c r="P940" s="5" t="s">
        <v>4342</v>
      </c>
      <c r="Q940" s="5" t="b">
        <v>1</v>
      </c>
      <c r="R940" s="5" t="s">
        <v>4647</v>
      </c>
      <c r="U940" s="5" t="s">
        <v>3246</v>
      </c>
    </row>
    <row r="941" ht="15.75" customHeight="1">
      <c r="A941" s="5" t="s">
        <v>5755</v>
      </c>
      <c r="B941" s="39">
        <v>45884.76383101852</v>
      </c>
      <c r="C941" s="3" t="s">
        <v>13</v>
      </c>
      <c r="D941" s="3">
        <v>16.0</v>
      </c>
      <c r="E941" s="3" t="s">
        <v>3272</v>
      </c>
      <c r="F941" s="3">
        <v>2700.0</v>
      </c>
      <c r="G941" s="5">
        <v>103.0</v>
      </c>
      <c r="H941" s="3" t="s">
        <v>4520</v>
      </c>
      <c r="I941" s="3" t="s">
        <v>3662</v>
      </c>
      <c r="J941" s="5">
        <v>28300.0</v>
      </c>
      <c r="K941" s="5">
        <v>31000.0</v>
      </c>
      <c r="L941" s="5" t="s">
        <v>46</v>
      </c>
      <c r="M941" s="5" t="s">
        <v>3662</v>
      </c>
      <c r="O941" s="5" t="s">
        <v>4342</v>
      </c>
      <c r="P941" s="5" t="s">
        <v>4342</v>
      </c>
      <c r="Q941" s="5" t="b">
        <v>1</v>
      </c>
      <c r="R941" s="5" t="s">
        <v>4342</v>
      </c>
      <c r="U941" s="5" t="s">
        <v>3246</v>
      </c>
    </row>
    <row r="942" ht="15.75" customHeight="1">
      <c r="A942" s="5" t="s">
        <v>5756</v>
      </c>
      <c r="B942" s="39">
        <v>45884.763969907406</v>
      </c>
      <c r="C942" s="3" t="s">
        <v>13</v>
      </c>
      <c r="D942" s="3">
        <v>16.0</v>
      </c>
      <c r="E942" s="3" t="s">
        <v>3272</v>
      </c>
      <c r="F942" s="3">
        <v>2400.0</v>
      </c>
      <c r="G942" s="5">
        <v>89.0</v>
      </c>
      <c r="H942" s="3" t="s">
        <v>4634</v>
      </c>
      <c r="I942" s="3" t="s">
        <v>3380</v>
      </c>
      <c r="J942" s="5">
        <v>81100.0</v>
      </c>
      <c r="K942" s="5">
        <v>83500.0</v>
      </c>
      <c r="L942" s="5" t="s">
        <v>42</v>
      </c>
      <c r="M942" s="5" t="s">
        <v>3380</v>
      </c>
      <c r="O942" s="5" t="s">
        <v>4342</v>
      </c>
      <c r="P942" s="5" t="s">
        <v>4342</v>
      </c>
      <c r="Q942" s="5" t="b">
        <v>1</v>
      </c>
      <c r="R942" s="5" t="s">
        <v>4342</v>
      </c>
      <c r="U942" s="5" t="s">
        <v>3246</v>
      </c>
    </row>
    <row r="943" ht="15.75" customHeight="1">
      <c r="A943" s="5" t="s">
        <v>5757</v>
      </c>
      <c r="B943" s="39">
        <v>45884.78184027778</v>
      </c>
      <c r="C943" s="3" t="s">
        <v>4704</v>
      </c>
      <c r="D943" s="3">
        <v>50.0</v>
      </c>
      <c r="E943" s="3" t="s">
        <v>4703</v>
      </c>
      <c r="F943" s="3">
        <v>2250.0</v>
      </c>
      <c r="G943" s="5">
        <v>500.0</v>
      </c>
      <c r="H943" s="3"/>
      <c r="I943" s="3"/>
      <c r="J943" s="5">
        <v>0.0</v>
      </c>
      <c r="K943" s="5">
        <v>2250.0</v>
      </c>
      <c r="L943" s="5" t="s">
        <v>4705</v>
      </c>
      <c r="M943" s="5" t="s">
        <v>4706</v>
      </c>
      <c r="O943" s="5" t="s">
        <v>4647</v>
      </c>
      <c r="Q943" s="5" t="b">
        <v>0</v>
      </c>
      <c r="R943" s="5" t="s">
        <v>3715</v>
      </c>
      <c r="U943" s="5" t="s">
        <v>3246</v>
      </c>
    </row>
    <row r="944" ht="15.75" customHeight="1">
      <c r="A944" s="5" t="s">
        <v>5758</v>
      </c>
      <c r="B944" s="39">
        <v>45884.78277777778</v>
      </c>
      <c r="C944" s="3" t="s">
        <v>4704</v>
      </c>
      <c r="D944" s="3">
        <v>50.0</v>
      </c>
      <c r="E944" s="3" t="s">
        <v>4703</v>
      </c>
      <c r="F944" s="3">
        <v>600.0</v>
      </c>
      <c r="G944" s="5">
        <v>51.0</v>
      </c>
      <c r="H944" s="3"/>
      <c r="I944" s="3"/>
      <c r="J944" s="5">
        <v>0.0</v>
      </c>
      <c r="K944" s="5">
        <v>600.0</v>
      </c>
      <c r="L944" s="5" t="s">
        <v>4707</v>
      </c>
      <c r="M944" s="5" t="s">
        <v>4703</v>
      </c>
      <c r="O944" s="5" t="s">
        <v>4647</v>
      </c>
      <c r="Q944" s="5" t="b">
        <v>0</v>
      </c>
      <c r="R944" s="5" t="s">
        <v>4647</v>
      </c>
      <c r="U944" s="5" t="s">
        <v>3246</v>
      </c>
    </row>
    <row r="945" ht="15.75" customHeight="1">
      <c r="A945" s="5" t="s">
        <v>5759</v>
      </c>
      <c r="B945" s="39">
        <v>45884.783055555556</v>
      </c>
      <c r="C945" s="3" t="s">
        <v>33</v>
      </c>
      <c r="D945" s="3">
        <v>68.0</v>
      </c>
      <c r="E945" s="3" t="s">
        <v>3894</v>
      </c>
      <c r="F945" s="3">
        <v>2850.0</v>
      </c>
      <c r="G945" s="5">
        <v>50.0</v>
      </c>
      <c r="H945" s="3" t="s">
        <v>4704</v>
      </c>
      <c r="I945" s="3" t="s">
        <v>4708</v>
      </c>
      <c r="J945" s="5">
        <v>2250.0</v>
      </c>
      <c r="K945" s="5">
        <v>5100.0</v>
      </c>
      <c r="L945" s="5" t="s">
        <v>24</v>
      </c>
      <c r="M945" s="5" t="s">
        <v>4708</v>
      </c>
      <c r="O945" s="5" t="s">
        <v>4647</v>
      </c>
      <c r="P945" s="5" t="s">
        <v>4647</v>
      </c>
      <c r="Q945" s="5" t="b">
        <v>1</v>
      </c>
      <c r="R945" s="5" t="s">
        <v>4647</v>
      </c>
      <c r="U945" s="5" t="s">
        <v>3246</v>
      </c>
    </row>
    <row r="946" ht="15.75" customHeight="1">
      <c r="A946" s="6" t="s">
        <v>5760</v>
      </c>
      <c r="B946" s="39">
        <v>45884.78341435185</v>
      </c>
      <c r="C946" s="3" t="s">
        <v>33</v>
      </c>
      <c r="D946" s="3">
        <v>68.0</v>
      </c>
      <c r="E946" s="3" t="s">
        <v>3894</v>
      </c>
      <c r="F946" s="3">
        <v>3300.0</v>
      </c>
      <c r="G946" s="5">
        <v>51.0</v>
      </c>
      <c r="H946" s="3" t="s">
        <v>4707</v>
      </c>
      <c r="I946" s="3" t="s">
        <v>4708</v>
      </c>
      <c r="J946" s="5">
        <v>600.0</v>
      </c>
      <c r="K946" s="5">
        <v>3900.0</v>
      </c>
      <c r="L946" s="5" t="s">
        <v>25</v>
      </c>
      <c r="M946" s="5" t="s">
        <v>3894</v>
      </c>
      <c r="O946" s="5" t="s">
        <v>4647</v>
      </c>
      <c r="P946" s="5" t="s">
        <v>4647</v>
      </c>
      <c r="Q946" s="5" t="b">
        <v>0</v>
      </c>
      <c r="R946" s="5" t="s">
        <v>4647</v>
      </c>
      <c r="U946" s="5" t="s">
        <v>3246</v>
      </c>
    </row>
    <row r="947" ht="15.75" customHeight="1">
      <c r="A947" s="5" t="s">
        <v>5761</v>
      </c>
      <c r="B947" s="39">
        <v>45884.78429398148</v>
      </c>
      <c r="C947" s="3" t="s">
        <v>4649</v>
      </c>
      <c r="D947" s="3">
        <v>111.0</v>
      </c>
      <c r="E947" s="3" t="s">
        <v>3365</v>
      </c>
      <c r="F947" s="3">
        <v>4000.0</v>
      </c>
      <c r="G947" s="5">
        <v>500.0</v>
      </c>
      <c r="H947" s="3"/>
      <c r="I947" s="3"/>
      <c r="J947" s="5">
        <v>0.0</v>
      </c>
      <c r="K947" s="5">
        <v>4000.0</v>
      </c>
      <c r="L947" s="5" t="s">
        <v>4709</v>
      </c>
      <c r="M947" s="5" t="s">
        <v>4710</v>
      </c>
      <c r="O947" s="5" t="s">
        <v>4647</v>
      </c>
      <c r="Q947" s="5" t="b">
        <v>0</v>
      </c>
      <c r="R947" s="5" t="s">
        <v>3715</v>
      </c>
    </row>
    <row r="948" ht="15.75" customHeight="1">
      <c r="A948" s="5" t="s">
        <v>5762</v>
      </c>
      <c r="B948" s="39">
        <v>45888.37804398148</v>
      </c>
      <c r="C948" s="3" t="s">
        <v>24</v>
      </c>
      <c r="D948" s="3">
        <v>50.0</v>
      </c>
      <c r="E948" s="3" t="s">
        <v>4708</v>
      </c>
      <c r="F948" s="3">
        <v>5100.0</v>
      </c>
      <c r="G948" s="5">
        <v>500.0</v>
      </c>
      <c r="H948" s="3"/>
      <c r="I948" s="3"/>
      <c r="J948" s="5">
        <v>0.0</v>
      </c>
      <c r="K948" s="5">
        <v>5100.0</v>
      </c>
      <c r="L948" s="5" t="s">
        <v>4711</v>
      </c>
      <c r="M948" s="5" t="s">
        <v>4712</v>
      </c>
      <c r="O948" s="5" t="s">
        <v>4647</v>
      </c>
      <c r="Q948" s="5" t="b">
        <v>0</v>
      </c>
      <c r="R948" s="5" t="s">
        <v>4647</v>
      </c>
      <c r="U948" s="5" t="s">
        <v>3246</v>
      </c>
    </row>
    <row r="949" ht="15.75" customHeight="1">
      <c r="A949" s="5" t="s">
        <v>5763</v>
      </c>
      <c r="B949" s="39">
        <v>45888.37847222222</v>
      </c>
      <c r="C949" s="3" t="s">
        <v>25</v>
      </c>
      <c r="D949" s="3">
        <v>51.0</v>
      </c>
      <c r="E949" s="3" t="s">
        <v>3894</v>
      </c>
      <c r="F949" s="3">
        <v>1800.0</v>
      </c>
      <c r="G949" s="5">
        <v>500.0</v>
      </c>
      <c r="H949" s="3" t="s">
        <v>4711</v>
      </c>
      <c r="I949" s="3" t="s">
        <v>4712</v>
      </c>
      <c r="J949" s="5">
        <v>5100.0</v>
      </c>
      <c r="K949" s="5">
        <v>6900.0</v>
      </c>
      <c r="L949" s="5" t="s">
        <v>57</v>
      </c>
      <c r="M949" s="5" t="s">
        <v>4712</v>
      </c>
      <c r="O949" s="5" t="s">
        <v>4647</v>
      </c>
      <c r="P949" s="5" t="s">
        <v>4647</v>
      </c>
      <c r="Q949" s="5" t="b">
        <v>1</v>
      </c>
      <c r="R949" s="5" t="s">
        <v>4647</v>
      </c>
      <c r="U949" s="5" t="s">
        <v>3246</v>
      </c>
    </row>
    <row r="950" ht="15.75" customHeight="1">
      <c r="A950" s="5" t="s">
        <v>5764</v>
      </c>
      <c r="B950" s="39">
        <v>45888.38013888889</v>
      </c>
      <c r="C950" s="3" t="s">
        <v>18</v>
      </c>
      <c r="D950" s="3">
        <v>34.0</v>
      </c>
      <c r="E950" s="3" t="s">
        <v>3275</v>
      </c>
      <c r="F950" s="3">
        <v>9000.0</v>
      </c>
      <c r="G950" s="5">
        <v>116.0</v>
      </c>
      <c r="H950" s="3" t="s">
        <v>4700</v>
      </c>
      <c r="I950" s="3" t="s">
        <v>3275</v>
      </c>
      <c r="J950" s="5">
        <v>29845.0</v>
      </c>
      <c r="K950" s="5">
        <v>38845.0</v>
      </c>
      <c r="L950" s="5" t="s">
        <v>54</v>
      </c>
      <c r="M950" s="5" t="s">
        <v>3275</v>
      </c>
      <c r="O950" s="5" t="s">
        <v>4342</v>
      </c>
      <c r="P950" s="5" t="s">
        <v>4647</v>
      </c>
      <c r="Q950" s="5" t="b">
        <v>1</v>
      </c>
      <c r="R950" s="5" t="s">
        <v>4647</v>
      </c>
      <c r="U950" s="5" t="s">
        <v>3246</v>
      </c>
    </row>
    <row r="951" ht="15.75" customHeight="1">
      <c r="C951" s="3"/>
      <c r="D951" s="3"/>
      <c r="E951" s="3"/>
      <c r="F951" s="3"/>
      <c r="H951" s="3"/>
      <c r="I951" s="3"/>
    </row>
    <row r="952" ht="15.75" customHeight="1">
      <c r="C952" s="3"/>
      <c r="D952" s="3"/>
      <c r="E952" s="3"/>
      <c r="F952" s="3"/>
      <c r="H952" s="3"/>
      <c r="I952" s="3"/>
    </row>
    <row r="953" ht="15.75" customHeight="1">
      <c r="C953" s="3"/>
      <c r="D953" s="3"/>
      <c r="E953" s="3"/>
      <c r="F953" s="3"/>
      <c r="H953" s="3"/>
      <c r="I953" s="3"/>
    </row>
    <row r="954" ht="15.75" customHeight="1">
      <c r="C954" s="3"/>
      <c r="D954" s="3"/>
      <c r="E954" s="3"/>
      <c r="F954" s="3"/>
      <c r="H954" s="3"/>
      <c r="I954" s="3"/>
    </row>
    <row r="955" ht="15.75" customHeight="1">
      <c r="C955" s="3"/>
      <c r="D955" s="3"/>
      <c r="E955" s="3"/>
      <c r="F955" s="3"/>
      <c r="H955" s="3"/>
      <c r="I955" s="3"/>
    </row>
    <row r="956" ht="15.75" customHeight="1">
      <c r="C956" s="3"/>
      <c r="D956" s="3"/>
      <c r="E956" s="3"/>
      <c r="F956" s="3"/>
      <c r="H956" s="3"/>
      <c r="I956" s="3"/>
    </row>
    <row r="957" ht="15.75" customHeight="1">
      <c r="C957" s="3"/>
      <c r="D957" s="3"/>
      <c r="E957" s="3"/>
      <c r="F957" s="3"/>
      <c r="H957" s="3"/>
      <c r="I957" s="3"/>
    </row>
    <row r="958" ht="15.75" customHeight="1">
      <c r="C958" s="3"/>
      <c r="D958" s="3"/>
      <c r="E958" s="3"/>
      <c r="F958" s="3"/>
      <c r="H958" s="3"/>
      <c r="I958" s="3"/>
    </row>
    <row r="959" ht="15.75" customHeight="1">
      <c r="C959" s="3"/>
      <c r="D959" s="3"/>
      <c r="E959" s="3"/>
      <c r="F959" s="3"/>
      <c r="H959" s="3"/>
      <c r="I959" s="3"/>
    </row>
    <row r="960" ht="15.75" customHeight="1">
      <c r="C960" s="3"/>
      <c r="D960" s="3"/>
      <c r="E960" s="3"/>
      <c r="F960" s="3"/>
      <c r="H960" s="3"/>
      <c r="I960" s="3"/>
    </row>
    <row r="961" ht="15.75" customHeight="1">
      <c r="C961" s="3"/>
      <c r="D961" s="3"/>
      <c r="E961" s="3"/>
      <c r="F961" s="3"/>
      <c r="H961" s="3"/>
      <c r="I961" s="3"/>
    </row>
    <row r="962" ht="15.75" customHeight="1">
      <c r="C962" s="3"/>
      <c r="D962" s="3"/>
      <c r="E962" s="3"/>
      <c r="F962" s="3"/>
      <c r="H962" s="3"/>
      <c r="I962" s="3"/>
    </row>
    <row r="963" ht="15.75" customHeight="1">
      <c r="C963" s="3"/>
      <c r="D963" s="3"/>
      <c r="E963" s="3"/>
      <c r="F963" s="3"/>
      <c r="H963" s="3"/>
      <c r="I963" s="3"/>
    </row>
    <row r="964" ht="15.75" customHeight="1">
      <c r="C964" s="3"/>
      <c r="D964" s="3"/>
      <c r="E964" s="3"/>
      <c r="F964" s="3"/>
      <c r="H964" s="3"/>
      <c r="I964" s="3"/>
    </row>
    <row r="965" ht="15.75" customHeight="1">
      <c r="C965" s="3"/>
      <c r="D965" s="3"/>
      <c r="E965" s="3"/>
      <c r="F965" s="3"/>
      <c r="H965" s="3"/>
      <c r="I965" s="3"/>
    </row>
    <row r="966" ht="15.75" customHeight="1">
      <c r="C966" s="3"/>
      <c r="D966" s="3"/>
      <c r="E966" s="3"/>
      <c r="F966" s="3"/>
      <c r="H966" s="3"/>
      <c r="I966" s="3"/>
    </row>
    <row r="967" ht="15.75" customHeight="1">
      <c r="C967" s="3"/>
      <c r="D967" s="3"/>
      <c r="E967" s="3"/>
      <c r="F967" s="3"/>
      <c r="H967" s="3"/>
      <c r="I967" s="3"/>
    </row>
    <row r="968" ht="15.75" customHeight="1">
      <c r="C968" s="3"/>
      <c r="D968" s="3"/>
      <c r="E968" s="3"/>
      <c r="F968" s="3"/>
      <c r="H968" s="3"/>
      <c r="I968" s="3"/>
    </row>
    <row r="969" ht="15.75" customHeight="1">
      <c r="C969" s="3"/>
      <c r="D969" s="3"/>
      <c r="E969" s="3"/>
      <c r="F969" s="3"/>
      <c r="H969" s="3"/>
      <c r="I969" s="3"/>
    </row>
    <row r="970" ht="15.75" customHeight="1">
      <c r="C970" s="3"/>
      <c r="D970" s="3"/>
      <c r="E970" s="3"/>
      <c r="F970" s="3"/>
      <c r="H970" s="3"/>
      <c r="I970" s="3"/>
    </row>
    <row r="971" ht="15.75" customHeight="1">
      <c r="C971" s="3"/>
      <c r="D971" s="3"/>
      <c r="E971" s="3"/>
      <c r="F971" s="3"/>
      <c r="H971" s="3"/>
      <c r="I971" s="3"/>
    </row>
    <row r="972" ht="15.75" customHeight="1">
      <c r="C972" s="3"/>
      <c r="D972" s="3"/>
      <c r="E972" s="3"/>
      <c r="F972" s="3"/>
      <c r="H972" s="3"/>
      <c r="I972" s="3"/>
    </row>
    <row r="973" ht="15.75" customHeight="1">
      <c r="C973" s="3"/>
      <c r="D973" s="3"/>
      <c r="E973" s="3"/>
      <c r="F973" s="3"/>
      <c r="H973" s="3"/>
      <c r="I973" s="3"/>
    </row>
    <row r="974" ht="15.75" customHeight="1">
      <c r="C974" s="3"/>
      <c r="D974" s="3"/>
      <c r="E974" s="3"/>
      <c r="F974" s="3"/>
      <c r="H974" s="3"/>
      <c r="I974" s="3"/>
    </row>
    <row r="975" ht="15.75" customHeight="1">
      <c r="C975" s="3"/>
      <c r="D975" s="3"/>
      <c r="E975" s="3"/>
      <c r="F975" s="3"/>
      <c r="H975" s="3"/>
      <c r="I975" s="3"/>
    </row>
    <row r="976" ht="15.75" customHeight="1">
      <c r="C976" s="3"/>
      <c r="D976" s="3"/>
      <c r="E976" s="3"/>
      <c r="F976" s="3"/>
      <c r="H976" s="3"/>
      <c r="I976" s="3"/>
    </row>
    <row r="977" ht="15.75" customHeight="1">
      <c r="C977" s="3"/>
      <c r="D977" s="3"/>
      <c r="E977" s="3"/>
      <c r="F977" s="3"/>
      <c r="H977" s="3"/>
      <c r="I977" s="3"/>
    </row>
    <row r="978" ht="15.75" customHeight="1">
      <c r="C978" s="3"/>
      <c r="D978" s="3"/>
      <c r="E978" s="3"/>
      <c r="F978" s="3"/>
      <c r="H978" s="3"/>
      <c r="I978" s="3"/>
    </row>
    <row r="979" ht="15.75" customHeight="1">
      <c r="C979" s="3"/>
      <c r="D979" s="3"/>
      <c r="E979" s="3"/>
      <c r="F979" s="3"/>
      <c r="H979" s="3"/>
      <c r="I979" s="3"/>
    </row>
    <row r="980" ht="15.75" customHeight="1">
      <c r="C980" s="3"/>
      <c r="D980" s="3"/>
      <c r="E980" s="3"/>
      <c r="F980" s="3"/>
      <c r="H980" s="3"/>
      <c r="I980" s="3"/>
    </row>
    <row r="981" ht="15.75" customHeight="1">
      <c r="C981" s="3"/>
      <c r="D981" s="3"/>
      <c r="E981" s="3"/>
      <c r="F981" s="3"/>
      <c r="H981" s="3"/>
      <c r="I981" s="3"/>
    </row>
    <row r="982" ht="15.75" customHeight="1">
      <c r="C982" s="3"/>
      <c r="D982" s="3"/>
      <c r="E982" s="3"/>
      <c r="F982" s="3"/>
      <c r="H982" s="3"/>
      <c r="I982" s="3"/>
    </row>
    <row r="983" ht="15.75" customHeight="1">
      <c r="C983" s="3"/>
      <c r="D983" s="3"/>
      <c r="E983" s="3"/>
      <c r="F983" s="3"/>
      <c r="H983" s="3"/>
      <c r="I983" s="3"/>
    </row>
    <row r="984" ht="15.75" customHeight="1">
      <c r="C984" s="3"/>
      <c r="D984" s="3"/>
      <c r="E984" s="3"/>
      <c r="F984" s="3"/>
      <c r="H984" s="3"/>
      <c r="I984" s="3"/>
    </row>
    <row r="985" ht="15.75" customHeight="1">
      <c r="C985" s="3"/>
      <c r="D985" s="3"/>
      <c r="E985" s="3"/>
      <c r="F985" s="3"/>
      <c r="H985" s="3"/>
      <c r="I985" s="3"/>
    </row>
    <row r="986" ht="15.75" customHeight="1">
      <c r="C986" s="3"/>
      <c r="D986" s="3"/>
      <c r="E986" s="3"/>
      <c r="F986" s="3"/>
      <c r="H986" s="3"/>
      <c r="I986" s="3"/>
    </row>
    <row r="987" ht="15.75" customHeight="1">
      <c r="C987" s="3"/>
      <c r="D987" s="3"/>
      <c r="E987" s="3"/>
      <c r="F987" s="3"/>
      <c r="H987" s="3"/>
      <c r="I987" s="3"/>
    </row>
    <row r="988" ht="15.75" customHeight="1">
      <c r="C988" s="3"/>
      <c r="D988" s="3"/>
      <c r="E988" s="3"/>
      <c r="F988" s="3"/>
      <c r="H988" s="3"/>
      <c r="I988" s="3"/>
    </row>
    <row r="989" ht="15.75" customHeight="1">
      <c r="C989" s="3"/>
      <c r="D989" s="3"/>
      <c r="E989" s="3"/>
      <c r="F989" s="3"/>
      <c r="H989" s="3"/>
      <c r="I989" s="3"/>
    </row>
    <row r="990" ht="15.75" customHeight="1">
      <c r="C990" s="3"/>
      <c r="D990" s="3"/>
      <c r="E990" s="3"/>
      <c r="F990" s="3"/>
      <c r="H990" s="3"/>
      <c r="I990" s="3"/>
    </row>
    <row r="991" ht="15.75" customHeight="1">
      <c r="C991" s="3"/>
      <c r="D991" s="3"/>
      <c r="E991" s="3"/>
      <c r="F991" s="3"/>
      <c r="H991" s="3"/>
      <c r="I991" s="3"/>
    </row>
    <row r="992" ht="15.75" customHeight="1">
      <c r="C992" s="3"/>
      <c r="D992" s="3"/>
      <c r="E992" s="3"/>
      <c r="F992" s="3"/>
      <c r="H992" s="3"/>
      <c r="I992" s="3"/>
    </row>
    <row r="993" ht="15.75" customHeight="1">
      <c r="C993" s="3"/>
      <c r="D993" s="3"/>
      <c r="E993" s="3"/>
      <c r="F993" s="3"/>
      <c r="H993" s="3"/>
      <c r="I993" s="3"/>
    </row>
    <row r="994" ht="15.75" customHeight="1">
      <c r="C994" s="3"/>
      <c r="D994" s="3"/>
      <c r="E994" s="3"/>
      <c r="F994" s="3"/>
      <c r="H994" s="3"/>
      <c r="I994" s="3"/>
    </row>
    <row r="995" ht="15.75" customHeight="1">
      <c r="C995" s="3"/>
      <c r="D995" s="3"/>
      <c r="E995" s="3"/>
      <c r="F995" s="3"/>
      <c r="H995" s="3"/>
      <c r="I995" s="3"/>
    </row>
    <row r="996" ht="15.75" customHeight="1">
      <c r="C996" s="3"/>
      <c r="D996" s="3"/>
      <c r="E996" s="3"/>
      <c r="F996" s="3"/>
      <c r="H996" s="3"/>
      <c r="I996" s="3"/>
    </row>
    <row r="997" ht="15.75" customHeight="1">
      <c r="C997" s="3"/>
      <c r="D997" s="3"/>
      <c r="E997" s="3"/>
      <c r="F997" s="3"/>
      <c r="H997" s="3"/>
      <c r="I997" s="3"/>
    </row>
    <row r="998" ht="15.75" customHeight="1">
      <c r="C998" s="3"/>
      <c r="D998" s="3"/>
      <c r="E998" s="3"/>
      <c r="F998" s="3"/>
      <c r="H998" s="3"/>
      <c r="I998" s="3"/>
    </row>
    <row r="999" ht="15.75" customHeight="1">
      <c r="C999" s="3"/>
      <c r="D999" s="3"/>
      <c r="E999" s="3"/>
      <c r="F999" s="3"/>
      <c r="H999" s="3"/>
      <c r="I999" s="3"/>
    </row>
    <row r="1000" ht="15.75" customHeight="1">
      <c r="C1000" s="3"/>
      <c r="D1000" s="3"/>
      <c r="E1000" s="3"/>
      <c r="F1000" s="3"/>
      <c r="H1000" s="3"/>
      <c r="I1000" s="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0.13"/>
    <col customWidth="1" min="2" max="6" width="12.63"/>
  </cols>
  <sheetData>
    <row r="1" ht="15.75" customHeight="1">
      <c r="A1" s="5" t="s">
        <v>5765</v>
      </c>
    </row>
    <row r="2" ht="15.75" customHeight="1">
      <c r="A2" s="5" t="s">
        <v>5766</v>
      </c>
    </row>
    <row r="3" ht="15.75" customHeight="1">
      <c r="A3" s="5" t="s">
        <v>5767</v>
      </c>
    </row>
    <row r="4" ht="15.75" customHeight="1">
      <c r="A4" s="5" t="s">
        <v>5765</v>
      </c>
    </row>
    <row r="5" ht="15.75" customHeight="1"/>
    <row r="6" ht="15.75" customHeight="1">
      <c r="A6" s="5" t="s">
        <v>58</v>
      </c>
    </row>
    <row r="7" ht="15.75" customHeight="1">
      <c r="A7" s="5" t="s">
        <v>59</v>
      </c>
    </row>
    <row r="8" ht="15.75" customHeight="1"/>
    <row r="9" ht="15.75" customHeight="1">
      <c r="A9" s="5" t="s">
        <v>60</v>
      </c>
    </row>
    <row r="10" ht="15.75" customHeight="1">
      <c r="A10" s="5" t="s">
        <v>61</v>
      </c>
    </row>
    <row r="11" ht="15.75" customHeight="1">
      <c r="A11" s="5" t="s">
        <v>62</v>
      </c>
    </row>
    <row r="12" ht="15.75" customHeight="1">
      <c r="A12" s="5" t="s">
        <v>63</v>
      </c>
    </row>
    <row r="13" ht="15.75" customHeight="1"/>
    <row r="14" ht="15.75" customHeight="1">
      <c r="A14" s="5" t="s">
        <v>64</v>
      </c>
    </row>
    <row r="15" ht="15.75" customHeight="1">
      <c r="A15" s="5" t="s">
        <v>65</v>
      </c>
    </row>
    <row r="16" ht="15.75" customHeight="1">
      <c r="A16" s="5" t="s">
        <v>66</v>
      </c>
    </row>
    <row r="17" ht="15.75" customHeight="1">
      <c r="A17" s="5" t="s">
        <v>67</v>
      </c>
    </row>
    <row r="18" ht="15.75" customHeight="1">
      <c r="A18" s="5" t="s">
        <v>68</v>
      </c>
    </row>
    <row r="19" ht="15.75" customHeight="1">
      <c r="A19" s="5" t="s">
        <v>69</v>
      </c>
    </row>
    <row r="20" ht="15.75" customHeight="1">
      <c r="A20" s="5" t="s">
        <v>70</v>
      </c>
    </row>
    <row r="21" ht="15.75" customHeight="1">
      <c r="A21" s="5" t="s">
        <v>71</v>
      </c>
    </row>
    <row r="22" ht="15.75" customHeight="1">
      <c r="A22" s="5" t="s">
        <v>72</v>
      </c>
    </row>
    <row r="23" ht="15.75" customHeight="1">
      <c r="A23" s="5" t="s">
        <v>73</v>
      </c>
    </row>
    <row r="24" ht="15.75" customHeight="1">
      <c r="A24" s="5" t="s">
        <v>74</v>
      </c>
    </row>
    <row r="25" ht="15.75" customHeight="1">
      <c r="A25" s="5" t="s">
        <v>75</v>
      </c>
    </row>
    <row r="26" ht="15.75" customHeight="1">
      <c r="A26" s="5" t="s">
        <v>76</v>
      </c>
    </row>
    <row r="27" ht="15.75" customHeight="1">
      <c r="A27" s="5" t="s">
        <v>77</v>
      </c>
    </row>
    <row r="28" ht="15.75" customHeight="1">
      <c r="A28" s="5" t="s">
        <v>78</v>
      </c>
    </row>
    <row r="29" ht="15.75" customHeight="1">
      <c r="A29" s="5" t="s">
        <v>79</v>
      </c>
    </row>
    <row r="30" ht="15.75" customHeight="1">
      <c r="A30" s="5" t="s">
        <v>80</v>
      </c>
    </row>
    <row r="31" ht="15.75" customHeight="1">
      <c r="A31" s="5" t="s">
        <v>81</v>
      </c>
    </row>
    <row r="32" ht="15.75" customHeight="1">
      <c r="A32" s="5" t="s">
        <v>82</v>
      </c>
    </row>
    <row r="33" ht="15.75" customHeight="1">
      <c r="A33" s="5" t="s">
        <v>83</v>
      </c>
    </row>
    <row r="34" ht="15.75" customHeight="1">
      <c r="A34" s="5" t="s">
        <v>84</v>
      </c>
    </row>
    <row r="35" ht="15.75" customHeight="1">
      <c r="A35" s="5" t="s">
        <v>85</v>
      </c>
    </row>
    <row r="36" ht="15.75" customHeight="1">
      <c r="A36" s="5" t="s">
        <v>86</v>
      </c>
    </row>
    <row r="37" ht="15.75" customHeight="1">
      <c r="A37" s="5" t="s">
        <v>87</v>
      </c>
    </row>
    <row r="38" ht="15.75" customHeight="1">
      <c r="A38" s="5" t="s">
        <v>88</v>
      </c>
    </row>
    <row r="39" ht="15.75" customHeight="1">
      <c r="A39" s="5" t="s">
        <v>89</v>
      </c>
    </row>
    <row r="40" ht="15.75" customHeight="1">
      <c r="A40" s="5" t="s">
        <v>90</v>
      </c>
    </row>
    <row r="41" ht="15.75" customHeight="1">
      <c r="A41" s="5" t="s">
        <v>91</v>
      </c>
    </row>
    <row r="42" ht="15.75" customHeight="1">
      <c r="A42" s="5" t="s">
        <v>92</v>
      </c>
    </row>
    <row r="43" ht="15.75" customHeight="1">
      <c r="A43" s="5" t="s">
        <v>93</v>
      </c>
    </row>
    <row r="44" ht="15.75" customHeight="1">
      <c r="A44" s="5" t="s">
        <v>94</v>
      </c>
    </row>
    <row r="45" ht="15.75" customHeight="1">
      <c r="A45" s="5" t="s">
        <v>95</v>
      </c>
    </row>
    <row r="46" ht="15.75" customHeight="1">
      <c r="A46" s="5" t="s">
        <v>96</v>
      </c>
    </row>
    <row r="47" ht="15.75" customHeight="1">
      <c r="A47" s="5" t="s">
        <v>97</v>
      </c>
    </row>
    <row r="48" ht="15.75" customHeight="1">
      <c r="A48" s="5" t="s">
        <v>98</v>
      </c>
    </row>
    <row r="49" ht="15.75" customHeight="1">
      <c r="A49" s="5" t="s">
        <v>99</v>
      </c>
    </row>
    <row r="50" ht="15.75" customHeight="1">
      <c r="A50" s="5" t="s">
        <v>100</v>
      </c>
    </row>
    <row r="51" ht="15.75" customHeight="1">
      <c r="A51" s="5" t="s">
        <v>101</v>
      </c>
    </row>
    <row r="52" ht="15.75" customHeight="1">
      <c r="A52" s="5" t="s">
        <v>102</v>
      </c>
    </row>
    <row r="53" ht="15.75" customHeight="1">
      <c r="A53" s="5" t="s">
        <v>103</v>
      </c>
    </row>
    <row r="54" ht="15.75" customHeight="1">
      <c r="A54" s="5" t="s">
        <v>104</v>
      </c>
    </row>
    <row r="55" ht="15.75" customHeight="1">
      <c r="A55" s="5" t="s">
        <v>105</v>
      </c>
    </row>
    <row r="56" ht="15.75" customHeight="1">
      <c r="A56" s="5" t="s">
        <v>106</v>
      </c>
    </row>
    <row r="57" ht="15.75" customHeight="1">
      <c r="A57" s="5" t="s">
        <v>107</v>
      </c>
    </row>
    <row r="58" ht="15.75" customHeight="1">
      <c r="A58" s="5" t="s">
        <v>108</v>
      </c>
    </row>
    <row r="59" ht="15.75" customHeight="1">
      <c r="A59" s="5" t="s">
        <v>109</v>
      </c>
    </row>
    <row r="60" ht="15.75" customHeight="1">
      <c r="A60" s="5" t="s">
        <v>110</v>
      </c>
    </row>
    <row r="61" ht="15.75" customHeight="1">
      <c r="A61" s="5" t="s">
        <v>111</v>
      </c>
    </row>
    <row r="62" ht="15.75" customHeight="1">
      <c r="A62" s="5" t="s">
        <v>112</v>
      </c>
    </row>
    <row r="63" ht="15.75" customHeight="1">
      <c r="A63" s="5" t="s">
        <v>113</v>
      </c>
    </row>
    <row r="64" ht="15.75" customHeight="1">
      <c r="A64" s="5" t="s">
        <v>114</v>
      </c>
    </row>
    <row r="65" ht="15.75" customHeight="1">
      <c r="A65" s="5" t="s">
        <v>115</v>
      </c>
    </row>
    <row r="66" ht="15.75" customHeight="1">
      <c r="A66" s="5" t="s">
        <v>116</v>
      </c>
    </row>
    <row r="67" ht="15.75" customHeight="1">
      <c r="A67" s="5" t="s">
        <v>117</v>
      </c>
    </row>
    <row r="68" ht="15.75" customHeight="1">
      <c r="A68" s="5" t="s">
        <v>118</v>
      </c>
    </row>
    <row r="69" ht="15.75" customHeight="1">
      <c r="A69" s="5" t="s">
        <v>119</v>
      </c>
    </row>
    <row r="70" ht="15.75" customHeight="1">
      <c r="A70" s="5" t="s">
        <v>120</v>
      </c>
    </row>
    <row r="71" ht="15.75" customHeight="1">
      <c r="A71" s="5" t="s">
        <v>121</v>
      </c>
    </row>
    <row r="72" ht="15.75" customHeight="1">
      <c r="A72" s="5" t="s">
        <v>122</v>
      </c>
    </row>
    <row r="73" ht="15.75" customHeight="1">
      <c r="A73" s="5" t="s">
        <v>123</v>
      </c>
    </row>
    <row r="74" ht="15.75" customHeight="1">
      <c r="A74" s="5" t="s">
        <v>124</v>
      </c>
    </row>
    <row r="75" ht="15.75" customHeight="1">
      <c r="A75" s="5" t="s">
        <v>125</v>
      </c>
    </row>
    <row r="76" ht="15.75" customHeight="1">
      <c r="A76" s="5" t="s">
        <v>126</v>
      </c>
    </row>
    <row r="77" ht="15.75" customHeight="1">
      <c r="A77" s="5" t="s">
        <v>127</v>
      </c>
    </row>
    <row r="78" ht="15.75" customHeight="1">
      <c r="A78" s="5" t="s">
        <v>128</v>
      </c>
    </row>
    <row r="79" ht="15.75" customHeight="1">
      <c r="A79" s="5" t="s">
        <v>129</v>
      </c>
    </row>
    <row r="80" ht="15.75" customHeight="1">
      <c r="A80" s="5" t="s">
        <v>130</v>
      </c>
    </row>
    <row r="81" ht="15.75" customHeight="1">
      <c r="A81" s="5" t="s">
        <v>131</v>
      </c>
    </row>
    <row r="82" ht="15.75" customHeight="1">
      <c r="A82" s="5" t="s">
        <v>132</v>
      </c>
    </row>
    <row r="83" ht="15.75" customHeight="1">
      <c r="A83" s="5" t="s">
        <v>133</v>
      </c>
    </row>
    <row r="84" ht="15.75" customHeight="1">
      <c r="A84" s="5" t="s">
        <v>134</v>
      </c>
    </row>
    <row r="85" ht="15.75" customHeight="1">
      <c r="A85" s="5" t="s">
        <v>135</v>
      </c>
    </row>
    <row r="86" ht="15.75" customHeight="1">
      <c r="A86" s="5" t="s">
        <v>136</v>
      </c>
    </row>
    <row r="87" ht="15.75" customHeight="1">
      <c r="A87" s="5" t="s">
        <v>137</v>
      </c>
    </row>
    <row r="88" ht="15.75" customHeight="1">
      <c r="A88" s="5" t="s">
        <v>138</v>
      </c>
    </row>
    <row r="89" ht="15.75" customHeight="1">
      <c r="A89" s="5" t="s">
        <v>139</v>
      </c>
    </row>
    <row r="90" ht="15.75" customHeight="1">
      <c r="A90" s="5" t="s">
        <v>140</v>
      </c>
    </row>
    <row r="91" ht="15.75" customHeight="1">
      <c r="A91" s="5" t="s">
        <v>141</v>
      </c>
    </row>
    <row r="92" ht="15.75" customHeight="1">
      <c r="A92" s="5" t="s">
        <v>142</v>
      </c>
    </row>
    <row r="93" ht="15.75" customHeight="1">
      <c r="A93" s="5" t="s">
        <v>143</v>
      </c>
    </row>
    <row r="94" ht="15.75" customHeight="1">
      <c r="A94" s="5" t="s">
        <v>144</v>
      </c>
    </row>
    <row r="95" ht="15.75" customHeight="1">
      <c r="A95" s="5" t="s">
        <v>145</v>
      </c>
    </row>
    <row r="96" ht="15.75" customHeight="1">
      <c r="A96" s="5" t="s">
        <v>146</v>
      </c>
    </row>
    <row r="97" ht="15.75" customHeight="1">
      <c r="A97" s="5" t="s">
        <v>147</v>
      </c>
    </row>
    <row r="98" ht="15.75" customHeight="1">
      <c r="A98" s="5" t="s">
        <v>148</v>
      </c>
    </row>
    <row r="99" ht="15.75" customHeight="1">
      <c r="A99" s="5" t="s">
        <v>149</v>
      </c>
    </row>
    <row r="100" ht="15.75" customHeight="1">
      <c r="A100" s="5" t="s">
        <v>150</v>
      </c>
    </row>
    <row r="101" ht="15.75" customHeight="1">
      <c r="A101" s="5" t="s">
        <v>151</v>
      </c>
    </row>
    <row r="102" ht="15.75" customHeight="1">
      <c r="A102" s="5" t="s">
        <v>152</v>
      </c>
    </row>
    <row r="103" ht="15.75" customHeight="1">
      <c r="A103" s="5" t="s">
        <v>153</v>
      </c>
    </row>
    <row r="104" ht="15.75" customHeight="1">
      <c r="A104" s="5" t="s">
        <v>154</v>
      </c>
    </row>
    <row r="105" ht="15.75" customHeight="1">
      <c r="A105" s="5" t="s">
        <v>155</v>
      </c>
    </row>
    <row r="106" ht="15.75" customHeight="1">
      <c r="A106" s="5" t="s">
        <v>156</v>
      </c>
    </row>
    <row r="107" ht="15.75" customHeight="1">
      <c r="A107" s="5" t="s">
        <v>157</v>
      </c>
    </row>
    <row r="108" ht="15.75" customHeight="1">
      <c r="A108" s="5" t="s">
        <v>158</v>
      </c>
    </row>
    <row r="109" ht="15.75" customHeight="1">
      <c r="A109" s="5" t="s">
        <v>159</v>
      </c>
    </row>
    <row r="110" ht="15.75" customHeight="1">
      <c r="A110" s="5" t="s">
        <v>160</v>
      </c>
    </row>
    <row r="111" ht="15.75" customHeight="1">
      <c r="A111" s="5" t="s">
        <v>161</v>
      </c>
    </row>
    <row r="112" ht="15.75" customHeight="1">
      <c r="A112" s="5" t="s">
        <v>162</v>
      </c>
    </row>
    <row r="113" ht="15.75" customHeight="1">
      <c r="A113" s="5" t="s">
        <v>163</v>
      </c>
    </row>
    <row r="114" ht="15.75" customHeight="1">
      <c r="A114" s="5" t="s">
        <v>164</v>
      </c>
    </row>
    <row r="115" ht="15.75" customHeight="1">
      <c r="A115" s="5" t="s">
        <v>165</v>
      </c>
    </row>
    <row r="116" ht="15.75" customHeight="1">
      <c r="A116" s="5" t="s">
        <v>166</v>
      </c>
    </row>
    <row r="117" ht="15.75" customHeight="1">
      <c r="A117" s="5" t="s">
        <v>167</v>
      </c>
    </row>
    <row r="118" ht="15.75" customHeight="1">
      <c r="A118" s="5" t="s">
        <v>168</v>
      </c>
    </row>
    <row r="119" ht="15.75" customHeight="1">
      <c r="A119" s="5" t="s">
        <v>169</v>
      </c>
    </row>
    <row r="120" ht="15.75" customHeight="1">
      <c r="A120" s="5" t="s">
        <v>170</v>
      </c>
    </row>
    <row r="121" ht="15.75" customHeight="1">
      <c r="A121" s="5" t="s">
        <v>171</v>
      </c>
    </row>
    <row r="122" ht="15.75" customHeight="1">
      <c r="A122" s="5" t="s">
        <v>172</v>
      </c>
    </row>
    <row r="123" ht="15.75" customHeight="1">
      <c r="A123" s="5" t="s">
        <v>173</v>
      </c>
    </row>
    <row r="124" ht="15.75" customHeight="1">
      <c r="A124" s="5" t="s">
        <v>174</v>
      </c>
    </row>
    <row r="125" ht="15.75" customHeight="1">
      <c r="A125" s="5" t="s">
        <v>175</v>
      </c>
    </row>
    <row r="126" ht="15.75" customHeight="1">
      <c r="A126" s="5" t="s">
        <v>176</v>
      </c>
    </row>
    <row r="127" ht="15.75" customHeight="1">
      <c r="A127" s="5" t="s">
        <v>177</v>
      </c>
    </row>
    <row r="128" ht="15.75" customHeight="1">
      <c r="A128" s="5" t="s">
        <v>178</v>
      </c>
    </row>
    <row r="129" ht="15.75" customHeight="1">
      <c r="A129" s="5" t="s">
        <v>179</v>
      </c>
    </row>
    <row r="130" ht="15.75" customHeight="1">
      <c r="A130" s="5" t="s">
        <v>180</v>
      </c>
    </row>
    <row r="131" ht="15.75" customHeight="1">
      <c r="A131" s="5" t="s">
        <v>181</v>
      </c>
    </row>
    <row r="132" ht="15.75" customHeight="1">
      <c r="A132" s="5" t="s">
        <v>182</v>
      </c>
    </row>
    <row r="133" ht="15.75" customHeight="1">
      <c r="A133" s="5" t="s">
        <v>183</v>
      </c>
    </row>
    <row r="134" ht="15.75" customHeight="1">
      <c r="A134" s="5" t="s">
        <v>184</v>
      </c>
    </row>
    <row r="135" ht="15.75" customHeight="1">
      <c r="A135" s="5" t="s">
        <v>185</v>
      </c>
    </row>
    <row r="136" ht="15.75" customHeight="1">
      <c r="A136" s="5" t="s">
        <v>186</v>
      </c>
    </row>
    <row r="137" ht="15.75" customHeight="1">
      <c r="A137" s="5" t="s">
        <v>187</v>
      </c>
    </row>
    <row r="138" ht="15.75" customHeight="1">
      <c r="A138" s="5" t="s">
        <v>188</v>
      </c>
    </row>
    <row r="139" ht="15.75" customHeight="1">
      <c r="A139" s="5" t="s">
        <v>189</v>
      </c>
    </row>
    <row r="140" ht="15.75" customHeight="1">
      <c r="A140" s="5" t="s">
        <v>190</v>
      </c>
    </row>
    <row r="141" ht="15.75" customHeight="1">
      <c r="A141" s="5" t="s">
        <v>191</v>
      </c>
    </row>
    <row r="142" ht="15.75" customHeight="1">
      <c r="A142" s="5" t="s">
        <v>192</v>
      </c>
    </row>
    <row r="143" ht="15.75" customHeight="1">
      <c r="A143" s="5" t="s">
        <v>193</v>
      </c>
    </row>
    <row r="144" ht="15.75" customHeight="1">
      <c r="A144" s="5" t="s">
        <v>194</v>
      </c>
    </row>
    <row r="145" ht="15.75" customHeight="1">
      <c r="A145" s="5" t="s">
        <v>195</v>
      </c>
    </row>
    <row r="146" ht="15.75" customHeight="1">
      <c r="A146" s="5" t="s">
        <v>196</v>
      </c>
    </row>
    <row r="147" ht="15.75" customHeight="1">
      <c r="A147" s="5" t="s">
        <v>197</v>
      </c>
    </row>
    <row r="148" ht="15.75" customHeight="1">
      <c r="A148" s="5" t="s">
        <v>198</v>
      </c>
    </row>
    <row r="149" ht="15.75" customHeight="1">
      <c r="A149" s="5" t="s">
        <v>199</v>
      </c>
    </row>
    <row r="150" ht="15.75" customHeight="1">
      <c r="A150" s="5" t="s">
        <v>200</v>
      </c>
    </row>
    <row r="151" ht="15.75" customHeight="1">
      <c r="A151" s="5" t="s">
        <v>201</v>
      </c>
    </row>
    <row r="152" ht="15.75" customHeight="1">
      <c r="A152" s="5" t="s">
        <v>202</v>
      </c>
    </row>
    <row r="153" ht="15.75" customHeight="1">
      <c r="A153" s="5" t="s">
        <v>203</v>
      </c>
    </row>
    <row r="154" ht="15.75" customHeight="1">
      <c r="A154" s="5" t="s">
        <v>204</v>
      </c>
    </row>
    <row r="155" ht="15.75" customHeight="1">
      <c r="A155" s="5" t="s">
        <v>205</v>
      </c>
    </row>
    <row r="156" ht="15.75" customHeight="1">
      <c r="A156" s="5" t="s">
        <v>206</v>
      </c>
    </row>
    <row r="157" ht="15.75" customHeight="1">
      <c r="A157" s="5" t="s">
        <v>207</v>
      </c>
    </row>
    <row r="158" ht="15.75" customHeight="1">
      <c r="A158" s="5" t="s">
        <v>208</v>
      </c>
    </row>
    <row r="159" ht="15.75" customHeight="1">
      <c r="A159" s="5" t="s">
        <v>209</v>
      </c>
    </row>
    <row r="160" ht="15.75" customHeight="1">
      <c r="A160" s="5" t="s">
        <v>210</v>
      </c>
    </row>
    <row r="161" ht="15.75" customHeight="1">
      <c r="A161" s="5" t="s">
        <v>211</v>
      </c>
    </row>
    <row r="162" ht="15.75" customHeight="1"/>
    <row r="163" ht="15.75" customHeight="1">
      <c r="A163" s="5" t="s">
        <v>212</v>
      </c>
    </row>
    <row r="164" ht="15.75" customHeight="1">
      <c r="A164" s="5" t="s">
        <v>213</v>
      </c>
    </row>
    <row r="165" ht="15.75" customHeight="1">
      <c r="A165" s="5" t="s">
        <v>5768</v>
      </c>
    </row>
    <row r="166" ht="15.75" customHeight="1">
      <c r="A166" s="5" t="s">
        <v>215</v>
      </c>
    </row>
    <row r="167" ht="15.75" customHeight="1">
      <c r="A167" s="5" t="s">
        <v>216</v>
      </c>
    </row>
    <row r="168" ht="15.75" customHeight="1">
      <c r="A168" s="5" t="s">
        <v>5769</v>
      </c>
    </row>
    <row r="169" ht="15.75" customHeight="1">
      <c r="A169" s="5" t="s">
        <v>5770</v>
      </c>
    </row>
    <row r="170" ht="15.75" customHeight="1">
      <c r="A170" s="5" t="s">
        <v>219</v>
      </c>
    </row>
    <row r="171" ht="15.75" customHeight="1">
      <c r="A171" s="5" t="s">
        <v>5771</v>
      </c>
    </row>
    <row r="172" ht="15.75" customHeight="1">
      <c r="A172" s="5" t="s">
        <v>221</v>
      </c>
    </row>
    <row r="173" ht="15.75" customHeight="1">
      <c r="A173" s="5" t="s">
        <v>5772</v>
      </c>
    </row>
    <row r="174" ht="15.75" customHeight="1">
      <c r="A174" s="5" t="s">
        <v>223</v>
      </c>
    </row>
    <row r="175" ht="15.75" customHeight="1">
      <c r="A175" s="5" t="s">
        <v>224</v>
      </c>
    </row>
    <row r="176" ht="15.75" customHeight="1">
      <c r="A176" s="5" t="s">
        <v>225</v>
      </c>
    </row>
    <row r="177" ht="15.75" customHeight="1">
      <c r="A177" s="5" t="s">
        <v>5773</v>
      </c>
    </row>
    <row r="178" ht="15.75" customHeight="1">
      <c r="A178" s="5" t="s">
        <v>227</v>
      </c>
    </row>
    <row r="179" ht="15.75" customHeight="1">
      <c r="A179" s="5" t="s">
        <v>5774</v>
      </c>
    </row>
    <row r="180" ht="15.75" customHeight="1">
      <c r="A180" s="5" t="s">
        <v>229</v>
      </c>
    </row>
    <row r="181" ht="15.75" customHeight="1">
      <c r="A181" s="5" t="s">
        <v>230</v>
      </c>
    </row>
    <row r="182" ht="15.75" customHeight="1">
      <c r="A182" s="5" t="s">
        <v>231</v>
      </c>
    </row>
    <row r="183" ht="15.75" customHeight="1">
      <c r="A183" s="5" t="s">
        <v>232</v>
      </c>
    </row>
    <row r="184" ht="15.75" customHeight="1">
      <c r="A184" s="5" t="s">
        <v>233</v>
      </c>
    </row>
    <row r="185" ht="15.75" customHeight="1">
      <c r="A185" s="5" t="s">
        <v>234</v>
      </c>
    </row>
    <row r="186" ht="15.75" customHeight="1">
      <c r="A186" s="5" t="s">
        <v>235</v>
      </c>
    </row>
    <row r="187" ht="15.75" customHeight="1">
      <c r="A187" s="5" t="s">
        <v>5775</v>
      </c>
    </row>
    <row r="188" ht="15.75" customHeight="1">
      <c r="A188" s="5" t="s">
        <v>5776</v>
      </c>
    </row>
    <row r="189" ht="15.75" customHeight="1">
      <c r="A189" s="5" t="s">
        <v>5777</v>
      </c>
    </row>
    <row r="190" ht="15.75" customHeight="1">
      <c r="A190" s="5" t="s">
        <v>239</v>
      </c>
    </row>
    <row r="191" ht="15.75" customHeight="1">
      <c r="A191" s="5" t="s">
        <v>240</v>
      </c>
    </row>
    <row r="192" ht="15.75" customHeight="1">
      <c r="A192" s="5" t="s">
        <v>241</v>
      </c>
    </row>
    <row r="193" ht="15.75" customHeight="1">
      <c r="A193" s="5" t="s">
        <v>242</v>
      </c>
    </row>
    <row r="194" ht="15.75" customHeight="1">
      <c r="A194" s="5" t="s">
        <v>243</v>
      </c>
    </row>
    <row r="195" ht="15.75" customHeight="1">
      <c r="A195" s="5" t="s">
        <v>244</v>
      </c>
    </row>
    <row r="196" ht="15.75" customHeight="1">
      <c r="A196" s="5" t="s">
        <v>5778</v>
      </c>
    </row>
    <row r="197" ht="15.75" customHeight="1">
      <c r="A197" s="5" t="s">
        <v>5779</v>
      </c>
    </row>
    <row r="198" ht="15.75" customHeight="1">
      <c r="A198" s="5" t="s">
        <v>247</v>
      </c>
    </row>
    <row r="199" ht="15.75" customHeight="1">
      <c r="A199" s="5" t="s">
        <v>5780</v>
      </c>
    </row>
    <row r="200" ht="15.75" customHeight="1">
      <c r="A200" s="5" t="s">
        <v>249</v>
      </c>
    </row>
    <row r="201" ht="15.75" customHeight="1">
      <c r="A201" s="5" t="s">
        <v>250</v>
      </c>
    </row>
    <row r="202" ht="15.75" customHeight="1">
      <c r="A202" s="5" t="s">
        <v>251</v>
      </c>
    </row>
    <row r="203" ht="15.75" customHeight="1">
      <c r="A203" s="5" t="s">
        <v>252</v>
      </c>
    </row>
    <row r="204" ht="15.75" customHeight="1">
      <c r="A204" s="5" t="s">
        <v>253</v>
      </c>
    </row>
    <row r="205" ht="15.75" customHeight="1">
      <c r="A205" s="5" t="s">
        <v>5781</v>
      </c>
    </row>
    <row r="206" ht="15.75" customHeight="1">
      <c r="A206" s="5" t="s">
        <v>255</v>
      </c>
    </row>
    <row r="207" ht="15.75" customHeight="1">
      <c r="A207" s="5" t="s">
        <v>5782</v>
      </c>
    </row>
    <row r="208" ht="15.75" customHeight="1">
      <c r="A208" s="5" t="s">
        <v>257</v>
      </c>
    </row>
    <row r="209" ht="15.75" customHeight="1">
      <c r="A209" s="5" t="s">
        <v>5783</v>
      </c>
    </row>
    <row r="210" ht="15.75" customHeight="1">
      <c r="A210" s="5" t="s">
        <v>259</v>
      </c>
    </row>
    <row r="211" ht="15.75" customHeight="1">
      <c r="A211" s="5" t="s">
        <v>5784</v>
      </c>
    </row>
    <row r="212" ht="15.75" customHeight="1">
      <c r="A212" s="5" t="s">
        <v>261</v>
      </c>
    </row>
    <row r="213" ht="15.75" customHeight="1">
      <c r="A213" s="5" t="s">
        <v>5785</v>
      </c>
    </row>
    <row r="214" ht="15.75" customHeight="1">
      <c r="A214" s="5" t="s">
        <v>5786</v>
      </c>
    </row>
    <row r="215" ht="15.75" customHeight="1">
      <c r="A215" s="5" t="s">
        <v>264</v>
      </c>
    </row>
    <row r="216" ht="15.75" customHeight="1">
      <c r="A216" s="5" t="s">
        <v>5787</v>
      </c>
    </row>
    <row r="217" ht="15.75" customHeight="1">
      <c r="A217" s="5" t="s">
        <v>5788</v>
      </c>
    </row>
    <row r="218" ht="15.75" customHeight="1">
      <c r="A218" s="5" t="s">
        <v>5789</v>
      </c>
    </row>
    <row r="219" ht="15.75" customHeight="1">
      <c r="A219" s="5" t="s">
        <v>268</v>
      </c>
    </row>
    <row r="220" ht="15.75" customHeight="1">
      <c r="A220" s="5" t="s">
        <v>269</v>
      </c>
    </row>
    <row r="221" ht="15.75" customHeight="1">
      <c r="A221" s="5" t="s">
        <v>270</v>
      </c>
    </row>
    <row r="222" ht="15.75" customHeight="1">
      <c r="A222" s="5" t="s">
        <v>271</v>
      </c>
    </row>
    <row r="223" ht="15.75" customHeight="1">
      <c r="A223" s="5" t="s">
        <v>272</v>
      </c>
    </row>
    <row r="224" ht="15.75" customHeight="1">
      <c r="A224" s="5" t="s">
        <v>273</v>
      </c>
    </row>
    <row r="225" ht="15.75" customHeight="1">
      <c r="A225" s="5" t="s">
        <v>274</v>
      </c>
    </row>
    <row r="226" ht="15.75" customHeight="1">
      <c r="A226" s="5" t="s">
        <v>275</v>
      </c>
    </row>
    <row r="227" ht="15.75" customHeight="1">
      <c r="A227" s="5" t="s">
        <v>276</v>
      </c>
    </row>
    <row r="228" ht="15.75" customHeight="1">
      <c r="A228" s="5" t="s">
        <v>5790</v>
      </c>
    </row>
    <row r="229" ht="15.75" customHeight="1">
      <c r="A229" s="5" t="s">
        <v>5791</v>
      </c>
    </row>
    <row r="230" ht="15.75" customHeight="1">
      <c r="A230" s="5" t="s">
        <v>5792</v>
      </c>
    </row>
    <row r="231" ht="15.75" customHeight="1">
      <c r="A231" s="5" t="s">
        <v>5793</v>
      </c>
    </row>
    <row r="232" ht="15.75" customHeight="1">
      <c r="A232" s="5" t="s">
        <v>5794</v>
      </c>
    </row>
    <row r="233" ht="15.75" customHeight="1">
      <c r="A233" s="5" t="s">
        <v>282</v>
      </c>
    </row>
    <row r="234" ht="15.75" customHeight="1">
      <c r="A234" s="5" t="s">
        <v>5795</v>
      </c>
    </row>
    <row r="235" ht="15.75" customHeight="1">
      <c r="A235" s="5" t="s">
        <v>284</v>
      </c>
    </row>
    <row r="236" ht="15.75" customHeight="1">
      <c r="A236" s="5" t="s">
        <v>285</v>
      </c>
    </row>
    <row r="237" ht="15.75" customHeight="1">
      <c r="A237" s="5" t="s">
        <v>286</v>
      </c>
    </row>
    <row r="238" ht="15.75" customHeight="1">
      <c r="A238" s="5" t="s">
        <v>5796</v>
      </c>
    </row>
    <row r="239" ht="15.75" customHeight="1">
      <c r="A239" s="5" t="s">
        <v>288</v>
      </c>
    </row>
    <row r="240" ht="15.75" customHeight="1">
      <c r="A240" s="5" t="s">
        <v>289</v>
      </c>
    </row>
    <row r="241" ht="15.75" customHeight="1">
      <c r="A241" s="5" t="s">
        <v>290</v>
      </c>
    </row>
    <row r="242" ht="15.75" customHeight="1">
      <c r="A242" s="5" t="s">
        <v>291</v>
      </c>
    </row>
    <row r="243" ht="15.75" customHeight="1">
      <c r="A243" s="5" t="s">
        <v>292</v>
      </c>
    </row>
    <row r="244" ht="15.75" customHeight="1">
      <c r="A244" s="5" t="s">
        <v>293</v>
      </c>
    </row>
    <row r="245" ht="15.75" customHeight="1">
      <c r="A245" s="5" t="s">
        <v>294</v>
      </c>
    </row>
    <row r="246" ht="15.75" customHeight="1">
      <c r="A246" s="5" t="s">
        <v>5797</v>
      </c>
    </row>
    <row r="247" ht="15.75" customHeight="1">
      <c r="A247" s="5" t="s">
        <v>5798</v>
      </c>
    </row>
    <row r="248" ht="15.75" customHeight="1">
      <c r="A248" s="5" t="s">
        <v>5799</v>
      </c>
    </row>
    <row r="249" ht="15.75" customHeight="1">
      <c r="A249" s="5" t="s">
        <v>5800</v>
      </c>
    </row>
    <row r="250" ht="15.75" customHeight="1">
      <c r="A250" s="5" t="s">
        <v>5801</v>
      </c>
    </row>
    <row r="251" ht="15.75" customHeight="1">
      <c r="A251" s="5" t="s">
        <v>300</v>
      </c>
    </row>
    <row r="252" ht="15.75" customHeight="1">
      <c r="A252" s="5" t="s">
        <v>5802</v>
      </c>
    </row>
    <row r="253" ht="15.75" customHeight="1">
      <c r="A253" s="5" t="s">
        <v>5803</v>
      </c>
    </row>
    <row r="254" ht="15.75" customHeight="1">
      <c r="A254" s="5" t="s">
        <v>303</v>
      </c>
    </row>
    <row r="255" ht="15.75" customHeight="1">
      <c r="A255" s="5" t="s">
        <v>304</v>
      </c>
    </row>
    <row r="256" ht="15.75" customHeight="1">
      <c r="A256" s="5" t="s">
        <v>5804</v>
      </c>
    </row>
    <row r="257" ht="15.75" customHeight="1">
      <c r="A257" s="5" t="s">
        <v>5805</v>
      </c>
    </row>
    <row r="258" ht="15.75" customHeight="1">
      <c r="A258" s="5" t="s">
        <v>307</v>
      </c>
    </row>
    <row r="259" ht="15.75" customHeight="1">
      <c r="A259" s="5" t="s">
        <v>308</v>
      </c>
    </row>
    <row r="260" ht="15.75" customHeight="1">
      <c r="A260" s="5" t="s">
        <v>309</v>
      </c>
    </row>
    <row r="261" ht="15.75" customHeight="1">
      <c r="A261" s="5" t="s">
        <v>310</v>
      </c>
    </row>
    <row r="262" ht="15.75" customHeight="1">
      <c r="A262" s="5" t="s">
        <v>311</v>
      </c>
    </row>
    <row r="263" ht="15.75" customHeight="1">
      <c r="A263" s="5" t="s">
        <v>312</v>
      </c>
    </row>
    <row r="264" ht="15.75" customHeight="1">
      <c r="A264" s="5" t="s">
        <v>313</v>
      </c>
    </row>
    <row r="265" ht="15.75" customHeight="1">
      <c r="A265" s="5" t="s">
        <v>314</v>
      </c>
    </row>
    <row r="266" ht="15.75" customHeight="1">
      <c r="A266" s="5" t="s">
        <v>315</v>
      </c>
    </row>
    <row r="267" ht="15.75" customHeight="1">
      <c r="A267" s="5" t="s">
        <v>5806</v>
      </c>
    </row>
    <row r="268" ht="15.75" customHeight="1">
      <c r="A268" s="5" t="s">
        <v>5807</v>
      </c>
    </row>
    <row r="269" ht="15.75" customHeight="1">
      <c r="A269" s="5" t="s">
        <v>5808</v>
      </c>
    </row>
    <row r="270" ht="15.75" customHeight="1">
      <c r="A270" s="5" t="s">
        <v>5809</v>
      </c>
    </row>
    <row r="271" ht="15.75" customHeight="1">
      <c r="A271" s="5" t="s">
        <v>5810</v>
      </c>
    </row>
    <row r="272" ht="15.75" customHeight="1">
      <c r="A272" s="5" t="s">
        <v>321</v>
      </c>
    </row>
    <row r="273" ht="15.75" customHeight="1">
      <c r="A273" s="5" t="s">
        <v>5811</v>
      </c>
    </row>
    <row r="274" ht="15.75" customHeight="1">
      <c r="A274" s="5" t="s">
        <v>323</v>
      </c>
    </row>
    <row r="275" ht="15.75" customHeight="1">
      <c r="A275" s="5" t="s">
        <v>324</v>
      </c>
    </row>
    <row r="276" ht="15.75" customHeight="1">
      <c r="A276" s="5" t="s">
        <v>325</v>
      </c>
    </row>
    <row r="277" ht="15.75" customHeight="1">
      <c r="A277" s="5" t="s">
        <v>326</v>
      </c>
    </row>
    <row r="278" ht="15.75" customHeight="1">
      <c r="A278" s="5" t="s">
        <v>5812</v>
      </c>
    </row>
    <row r="279" ht="15.75" customHeight="1">
      <c r="A279" s="5" t="s">
        <v>5813</v>
      </c>
    </row>
    <row r="280" ht="15.75" customHeight="1">
      <c r="A280" s="5" t="s">
        <v>5814</v>
      </c>
    </row>
    <row r="281" ht="15.75" customHeight="1">
      <c r="A281" s="5" t="s">
        <v>330</v>
      </c>
    </row>
    <row r="282" ht="15.75" customHeight="1">
      <c r="A282" s="5" t="s">
        <v>331</v>
      </c>
    </row>
    <row r="283" ht="15.75" customHeight="1">
      <c r="A283" s="5" t="s">
        <v>332</v>
      </c>
    </row>
    <row r="284" ht="15.75" customHeight="1">
      <c r="A284" s="5" t="s">
        <v>333</v>
      </c>
    </row>
    <row r="285" ht="15.75" customHeight="1">
      <c r="A285" s="5" t="s">
        <v>5815</v>
      </c>
    </row>
    <row r="286" ht="15.75" customHeight="1">
      <c r="A286" s="5" t="s">
        <v>335</v>
      </c>
    </row>
    <row r="287" ht="15.75" customHeight="1">
      <c r="A287" s="5" t="s">
        <v>336</v>
      </c>
    </row>
    <row r="288" ht="15.75" customHeight="1">
      <c r="A288" s="5" t="s">
        <v>337</v>
      </c>
    </row>
    <row r="289" ht="15.75" customHeight="1">
      <c r="A289" s="5" t="s">
        <v>338</v>
      </c>
    </row>
    <row r="290" ht="15.75" customHeight="1">
      <c r="A290" s="5" t="s">
        <v>339</v>
      </c>
    </row>
    <row r="291" ht="15.75" customHeight="1">
      <c r="A291" s="5" t="s">
        <v>340</v>
      </c>
    </row>
    <row r="292" ht="15.75" customHeight="1">
      <c r="A292" s="5" t="s">
        <v>5816</v>
      </c>
    </row>
    <row r="293" ht="15.75" customHeight="1">
      <c r="A293" s="5" t="s">
        <v>5817</v>
      </c>
    </row>
    <row r="294" ht="15.75" customHeight="1"/>
    <row r="295" ht="15.75" customHeight="1">
      <c r="A295" s="5" t="s">
        <v>343</v>
      </c>
    </row>
    <row r="296" ht="15.75" customHeight="1">
      <c r="A296" s="5" t="s">
        <v>344</v>
      </c>
    </row>
    <row r="297" ht="15.75" customHeight="1">
      <c r="A297" s="5" t="s">
        <v>368</v>
      </c>
    </row>
    <row r="298" ht="15.75" customHeight="1">
      <c r="A298" s="5" t="s">
        <v>348</v>
      </c>
    </row>
    <row r="299" ht="15.75" customHeight="1">
      <c r="A299" s="5" t="s">
        <v>367</v>
      </c>
    </row>
    <row r="300" ht="15.75" customHeight="1">
      <c r="A300" s="5" t="s">
        <v>346</v>
      </c>
    </row>
    <row r="301" ht="15.75" customHeight="1">
      <c r="A301" s="5" t="s">
        <v>347</v>
      </c>
    </row>
    <row r="302" ht="15.75" customHeight="1">
      <c r="A302" s="5" t="s">
        <v>369</v>
      </c>
    </row>
    <row r="303" ht="15.75" customHeight="1">
      <c r="A303" s="5" t="s">
        <v>370</v>
      </c>
    </row>
    <row r="304" ht="15.75" customHeight="1">
      <c r="A304" s="5" t="s">
        <v>373</v>
      </c>
    </row>
    <row r="305" ht="15.75" customHeight="1">
      <c r="A305" s="5" t="s">
        <v>371</v>
      </c>
    </row>
    <row r="306" ht="15.75" customHeight="1">
      <c r="A306" s="5" t="s">
        <v>5818</v>
      </c>
    </row>
    <row r="307" ht="15.75" customHeight="1">
      <c r="A307" s="5" t="s">
        <v>374</v>
      </c>
    </row>
    <row r="308" ht="15.75" customHeight="1">
      <c r="A308" s="5" t="s">
        <v>5819</v>
      </c>
    </row>
    <row r="309" ht="15.75" customHeight="1">
      <c r="A309" s="5" t="s">
        <v>5820</v>
      </c>
    </row>
    <row r="310" ht="15.75" customHeight="1">
      <c r="A310" s="5" t="s">
        <v>377</v>
      </c>
    </row>
    <row r="311" ht="15.75" customHeight="1">
      <c r="A311" s="5" t="s">
        <v>379</v>
      </c>
    </row>
    <row r="312" ht="15.75" customHeight="1">
      <c r="A312" s="5" t="s">
        <v>381</v>
      </c>
    </row>
    <row r="313" ht="15.75" customHeight="1">
      <c r="A313" s="5" t="s">
        <v>5821</v>
      </c>
    </row>
    <row r="314" ht="15.75" customHeight="1">
      <c r="A314" s="5" t="s">
        <v>5822</v>
      </c>
    </row>
    <row r="315" ht="15.75" customHeight="1">
      <c r="A315" s="5" t="s">
        <v>5823</v>
      </c>
    </row>
    <row r="316" ht="15.75" customHeight="1">
      <c r="A316" s="5" t="s">
        <v>351</v>
      </c>
    </row>
    <row r="317" ht="15.75" customHeight="1">
      <c r="A317" s="5" t="s">
        <v>385</v>
      </c>
    </row>
    <row r="318" ht="15.75" customHeight="1">
      <c r="A318" s="5" t="s">
        <v>375</v>
      </c>
    </row>
    <row r="319" ht="15.75" customHeight="1">
      <c r="A319" s="5" t="s">
        <v>5824</v>
      </c>
    </row>
    <row r="320" ht="15.75" customHeight="1">
      <c r="A320" s="5" t="s">
        <v>5825</v>
      </c>
    </row>
    <row r="321" ht="15.75" customHeight="1">
      <c r="A321" s="5" t="s">
        <v>5826</v>
      </c>
    </row>
    <row r="322" ht="15.75" customHeight="1">
      <c r="A322" s="5" t="s">
        <v>5827</v>
      </c>
    </row>
    <row r="323" ht="15.75" customHeight="1">
      <c r="A323" s="5" t="s">
        <v>5828</v>
      </c>
    </row>
    <row r="324" ht="15.75" customHeight="1">
      <c r="A324" s="5" t="s">
        <v>5829</v>
      </c>
    </row>
    <row r="325" ht="15.75" customHeight="1">
      <c r="A325" s="5" t="s">
        <v>418</v>
      </c>
    </row>
    <row r="326" ht="15.75" customHeight="1">
      <c r="A326" s="5" t="s">
        <v>431</v>
      </c>
    </row>
    <row r="327" ht="15.75" customHeight="1">
      <c r="A327" s="5" t="s">
        <v>893</v>
      </c>
    </row>
    <row r="328" ht="15.75" customHeight="1">
      <c r="A328" s="5" t="s">
        <v>702</v>
      </c>
    </row>
    <row r="329" ht="15.75" customHeight="1">
      <c r="A329" s="5" t="s">
        <v>492</v>
      </c>
    </row>
    <row r="330" ht="15.75" customHeight="1">
      <c r="A330" s="5" t="s">
        <v>633</v>
      </c>
    </row>
    <row r="331" ht="15.75" customHeight="1">
      <c r="A331" s="5" t="s">
        <v>761</v>
      </c>
    </row>
    <row r="332" ht="15.75" customHeight="1">
      <c r="A332" s="5" t="s">
        <v>466</v>
      </c>
    </row>
    <row r="333" ht="15.75" customHeight="1">
      <c r="A333" s="5" t="s">
        <v>540</v>
      </c>
    </row>
    <row r="334" ht="15.75" customHeight="1">
      <c r="A334" s="5" t="s">
        <v>622</v>
      </c>
    </row>
    <row r="335" ht="15.75" customHeight="1">
      <c r="A335" s="5" t="s">
        <v>925</v>
      </c>
    </row>
    <row r="336" ht="15.75" customHeight="1">
      <c r="A336" s="5" t="s">
        <v>484</v>
      </c>
    </row>
    <row r="337" ht="15.75" customHeight="1">
      <c r="A337" s="5" t="s">
        <v>704</v>
      </c>
    </row>
    <row r="338" ht="15.75" customHeight="1">
      <c r="A338" s="5" t="s">
        <v>578</v>
      </c>
    </row>
    <row r="339" ht="15.75" customHeight="1">
      <c r="A339" s="5" t="s">
        <v>479</v>
      </c>
    </row>
    <row r="340" ht="15.75" customHeight="1">
      <c r="A340" s="5" t="s">
        <v>470</v>
      </c>
    </row>
    <row r="341" ht="15.75" customHeight="1">
      <c r="A341" s="5" t="s">
        <v>497</v>
      </c>
    </row>
    <row r="342" ht="15.75" customHeight="1">
      <c r="A342" s="5" t="s">
        <v>706</v>
      </c>
    </row>
    <row r="343" ht="15.75" customHeight="1">
      <c r="A343" s="5" t="s">
        <v>459</v>
      </c>
    </row>
    <row r="344" ht="15.75" customHeight="1">
      <c r="A344" s="5" t="s">
        <v>453</v>
      </c>
    </row>
    <row r="345" ht="15.75" customHeight="1">
      <c r="A345" s="5" t="s">
        <v>401</v>
      </c>
    </row>
    <row r="346" ht="15.75" customHeight="1">
      <c r="A346" s="5" t="s">
        <v>538</v>
      </c>
    </row>
    <row r="347" ht="15.75" customHeight="1">
      <c r="A347" s="5" t="s">
        <v>403</v>
      </c>
    </row>
    <row r="348" ht="15.75" customHeight="1">
      <c r="A348" s="5" t="s">
        <v>543</v>
      </c>
    </row>
    <row r="349" ht="15.75" customHeight="1">
      <c r="A349" s="5" t="s">
        <v>409</v>
      </c>
    </row>
    <row r="350" ht="15.75" customHeight="1">
      <c r="A350" s="5" t="s">
        <v>391</v>
      </c>
    </row>
    <row r="351" ht="15.75" customHeight="1">
      <c r="A351" s="5" t="s">
        <v>5830</v>
      </c>
    </row>
    <row r="352" ht="15.75" customHeight="1">
      <c r="A352" s="5" t="s">
        <v>5831</v>
      </c>
    </row>
    <row r="353" ht="15.75" customHeight="1">
      <c r="A353" s="5" t="s">
        <v>5832</v>
      </c>
    </row>
    <row r="354" ht="15.75" customHeight="1">
      <c r="A354" s="5" t="s">
        <v>439</v>
      </c>
    </row>
    <row r="355" ht="15.75" customHeight="1">
      <c r="A355" s="5" t="s">
        <v>1334</v>
      </c>
    </row>
    <row r="356" ht="15.75" customHeight="1">
      <c r="A356" s="5" t="s">
        <v>5833</v>
      </c>
    </row>
    <row r="357" ht="15.75" customHeight="1">
      <c r="A357" s="5" t="s">
        <v>1211</v>
      </c>
    </row>
    <row r="358" ht="15.75" customHeight="1">
      <c r="A358" s="5" t="s">
        <v>1332</v>
      </c>
    </row>
    <row r="359" ht="15.75" customHeight="1">
      <c r="A359" s="5" t="s">
        <v>5834</v>
      </c>
    </row>
    <row r="360" ht="15.75" customHeight="1">
      <c r="A360" s="5" t="s">
        <v>5835</v>
      </c>
    </row>
    <row r="361" ht="15.75" customHeight="1">
      <c r="A361" s="5" t="s">
        <v>5836</v>
      </c>
    </row>
    <row r="362" ht="15.75" customHeight="1">
      <c r="A362" s="5" t="s">
        <v>5837</v>
      </c>
    </row>
    <row r="363" ht="15.75" customHeight="1">
      <c r="A363" s="5" t="s">
        <v>5838</v>
      </c>
    </row>
    <row r="364" ht="15.75" customHeight="1">
      <c r="A364" s="5" t="s">
        <v>5839</v>
      </c>
    </row>
    <row r="365" ht="15.75" customHeight="1">
      <c r="A365" s="5" t="s">
        <v>414</v>
      </c>
    </row>
    <row r="366" ht="15.75" customHeight="1">
      <c r="A366" s="5" t="s">
        <v>5840</v>
      </c>
    </row>
    <row r="367" ht="15.75" customHeight="1">
      <c r="A367" s="5" t="s">
        <v>5841</v>
      </c>
    </row>
    <row r="368" ht="15.75" customHeight="1">
      <c r="A368" s="5" t="s">
        <v>393</v>
      </c>
    </row>
    <row r="369" ht="15.75" customHeight="1">
      <c r="A369" s="5" t="s">
        <v>394</v>
      </c>
    </row>
    <row r="370" ht="15.75" customHeight="1">
      <c r="A370" s="5" t="s">
        <v>395</v>
      </c>
    </row>
    <row r="371" ht="15.75" customHeight="1">
      <c r="A371" s="5" t="s">
        <v>396</v>
      </c>
    </row>
    <row r="372" ht="15.75" customHeight="1">
      <c r="A372" s="5" t="s">
        <v>398</v>
      </c>
    </row>
    <row r="373" ht="15.75" customHeight="1">
      <c r="A373" s="5" t="s">
        <v>399</v>
      </c>
    </row>
    <row r="374" ht="15.75" customHeight="1">
      <c r="A374" s="5" t="s">
        <v>400</v>
      </c>
    </row>
    <row r="375" ht="15.75" customHeight="1">
      <c r="A375" s="5" t="s">
        <v>402</v>
      </c>
    </row>
    <row r="376" ht="15.75" customHeight="1">
      <c r="A376" s="5" t="s">
        <v>507</v>
      </c>
    </row>
    <row r="377" ht="15.75" customHeight="1">
      <c r="A377" s="5" t="s">
        <v>404</v>
      </c>
    </row>
    <row r="378" ht="15.75" customHeight="1">
      <c r="A378" s="5" t="s">
        <v>5842</v>
      </c>
    </row>
    <row r="379" ht="15.75" customHeight="1">
      <c r="A379" s="5" t="s">
        <v>406</v>
      </c>
    </row>
    <row r="380" ht="15.75" customHeight="1">
      <c r="A380" s="5" t="s">
        <v>5843</v>
      </c>
    </row>
    <row r="381" ht="15.75" customHeight="1">
      <c r="A381" s="5" t="s">
        <v>408</v>
      </c>
    </row>
    <row r="382" ht="15.75" customHeight="1">
      <c r="A382" s="5" t="s">
        <v>424</v>
      </c>
    </row>
    <row r="383" ht="15.75" customHeight="1">
      <c r="A383" s="5" t="s">
        <v>5844</v>
      </c>
    </row>
    <row r="384" ht="15.75" customHeight="1">
      <c r="A384" s="5" t="s">
        <v>5845</v>
      </c>
    </row>
    <row r="385" ht="15.75" customHeight="1">
      <c r="A385" s="5" t="s">
        <v>5846</v>
      </c>
    </row>
    <row r="386" ht="15.75" customHeight="1">
      <c r="A386" s="5" t="s">
        <v>5847</v>
      </c>
    </row>
    <row r="387" ht="15.75" customHeight="1">
      <c r="A387" s="5" t="s">
        <v>5848</v>
      </c>
    </row>
    <row r="388" ht="15.75" customHeight="1">
      <c r="A388" s="5" t="s">
        <v>5849</v>
      </c>
    </row>
    <row r="389" ht="15.75" customHeight="1">
      <c r="A389" s="5" t="s">
        <v>5850</v>
      </c>
    </row>
    <row r="390" ht="15.75" customHeight="1">
      <c r="A390" s="5" t="s">
        <v>417</v>
      </c>
    </row>
    <row r="391" ht="15.75" customHeight="1">
      <c r="A391" s="5" t="s">
        <v>5851</v>
      </c>
    </row>
    <row r="392" ht="15.75" customHeight="1">
      <c r="A392" s="5" t="s">
        <v>5852</v>
      </c>
    </row>
    <row r="393" ht="15.75" customHeight="1">
      <c r="A393" s="5" t="s">
        <v>5853</v>
      </c>
    </row>
    <row r="394" ht="15.75" customHeight="1">
      <c r="A394" s="5" t="s">
        <v>5854</v>
      </c>
    </row>
    <row r="395" ht="15.75" customHeight="1">
      <c r="A395" s="5" t="s">
        <v>420</v>
      </c>
    </row>
    <row r="396" ht="15.75" customHeight="1">
      <c r="A396" s="5" t="s">
        <v>421</v>
      </c>
    </row>
    <row r="397" ht="15.75" customHeight="1">
      <c r="A397" s="5" t="s">
        <v>422</v>
      </c>
    </row>
    <row r="398" ht="15.75" customHeight="1">
      <c r="A398" s="5" t="s">
        <v>5855</v>
      </c>
    </row>
    <row r="399" ht="15.75" customHeight="1">
      <c r="A399" s="5" t="s">
        <v>5856</v>
      </c>
    </row>
    <row r="400" ht="15.75" customHeight="1">
      <c r="A400" s="5" t="s">
        <v>5857</v>
      </c>
    </row>
    <row r="401" ht="15.75" customHeight="1">
      <c r="A401" s="5" t="s">
        <v>5858</v>
      </c>
    </row>
    <row r="402" ht="15.75" customHeight="1">
      <c r="A402" s="5" t="s">
        <v>5859</v>
      </c>
    </row>
    <row r="403" ht="15.75" customHeight="1">
      <c r="A403" s="5" t="s">
        <v>5860</v>
      </c>
    </row>
    <row r="404" ht="15.75" customHeight="1">
      <c r="A404" s="5" t="s">
        <v>5861</v>
      </c>
    </row>
    <row r="405" ht="15.75" customHeight="1">
      <c r="A405" s="5" t="s">
        <v>429</v>
      </c>
    </row>
    <row r="406" ht="15.75" customHeight="1">
      <c r="A406" s="5" t="s">
        <v>5862</v>
      </c>
    </row>
    <row r="407" ht="15.75" customHeight="1">
      <c r="A407" s="5" t="s">
        <v>5863</v>
      </c>
    </row>
    <row r="408" ht="15.75" customHeight="1">
      <c r="A408" s="5" t="s">
        <v>5864</v>
      </c>
    </row>
    <row r="409" ht="15.75" customHeight="1">
      <c r="A409" s="5" t="s">
        <v>5865</v>
      </c>
    </row>
    <row r="410" ht="15.75" customHeight="1">
      <c r="A410" s="5" t="s">
        <v>433</v>
      </c>
    </row>
    <row r="411" ht="15.75" customHeight="1">
      <c r="A411" s="5" t="s">
        <v>434</v>
      </c>
    </row>
    <row r="412" ht="15.75" customHeight="1">
      <c r="A412" s="5" t="s">
        <v>5866</v>
      </c>
    </row>
    <row r="413" ht="15.75" customHeight="1">
      <c r="A413" s="5" t="s">
        <v>5867</v>
      </c>
    </row>
    <row r="414" ht="15.75" customHeight="1">
      <c r="A414" s="5" t="s">
        <v>437</v>
      </c>
    </row>
    <row r="415" ht="15.75" customHeight="1">
      <c r="A415" s="5" t="s">
        <v>5868</v>
      </c>
    </row>
    <row r="416" ht="15.75" customHeight="1">
      <c r="A416" s="5" t="s">
        <v>440</v>
      </c>
    </row>
    <row r="417" ht="15.75" customHeight="1">
      <c r="A417" s="5" t="s">
        <v>441</v>
      </c>
    </row>
    <row r="418" ht="15.75" customHeight="1">
      <c r="A418" s="5" t="s">
        <v>442</v>
      </c>
    </row>
    <row r="419" ht="15.75" customHeight="1">
      <c r="A419" s="5" t="s">
        <v>443</v>
      </c>
    </row>
    <row r="420" ht="15.75" customHeight="1">
      <c r="A420" s="5" t="s">
        <v>444</v>
      </c>
    </row>
    <row r="421" ht="15.75" customHeight="1">
      <c r="A421" s="5" t="s">
        <v>5869</v>
      </c>
    </row>
    <row r="422" ht="15.75" customHeight="1">
      <c r="A422" s="5" t="s">
        <v>445</v>
      </c>
    </row>
    <row r="423" ht="15.75" customHeight="1">
      <c r="A423" s="5" t="s">
        <v>5870</v>
      </c>
    </row>
    <row r="424" ht="15.75" customHeight="1">
      <c r="A424" s="5" t="s">
        <v>447</v>
      </c>
    </row>
    <row r="425" ht="15.75" customHeight="1">
      <c r="A425" s="5" t="s">
        <v>448</v>
      </c>
    </row>
    <row r="426" ht="15.75" customHeight="1">
      <c r="A426" s="5" t="s">
        <v>449</v>
      </c>
    </row>
    <row r="427" ht="15.75" customHeight="1">
      <c r="A427" s="5" t="s">
        <v>450</v>
      </c>
    </row>
    <row r="428" ht="15.75" customHeight="1">
      <c r="A428" s="5" t="s">
        <v>5871</v>
      </c>
    </row>
    <row r="429" ht="15.75" customHeight="1">
      <c r="A429" s="5" t="s">
        <v>5872</v>
      </c>
    </row>
    <row r="430" ht="15.75" customHeight="1">
      <c r="A430" s="5" t="s">
        <v>5873</v>
      </c>
    </row>
    <row r="431" ht="15.75" customHeight="1">
      <c r="A431" s="5" t="s">
        <v>5874</v>
      </c>
    </row>
    <row r="432" ht="15.75" customHeight="1">
      <c r="A432" s="5" t="s">
        <v>5875</v>
      </c>
    </row>
    <row r="433" ht="15.75" customHeight="1">
      <c r="A433" s="5" t="s">
        <v>5876</v>
      </c>
    </row>
    <row r="434" ht="15.75" customHeight="1">
      <c r="A434" s="5" t="s">
        <v>5877</v>
      </c>
    </row>
    <row r="435" ht="15.75" customHeight="1">
      <c r="A435" s="5" t="s">
        <v>5878</v>
      </c>
    </row>
    <row r="436" ht="15.75" customHeight="1">
      <c r="A436" s="5" t="s">
        <v>5879</v>
      </c>
    </row>
    <row r="437" ht="15.75" customHeight="1">
      <c r="A437" s="5" t="s">
        <v>460</v>
      </c>
    </row>
    <row r="438" ht="15.75" customHeight="1">
      <c r="A438" s="5" t="s">
        <v>5880</v>
      </c>
    </row>
    <row r="439" ht="15.75" customHeight="1">
      <c r="A439" s="5" t="s">
        <v>5881</v>
      </c>
    </row>
    <row r="440" ht="15.75" customHeight="1">
      <c r="A440" s="5" t="s">
        <v>5882</v>
      </c>
    </row>
    <row r="441" ht="15.75" customHeight="1">
      <c r="A441" s="5" t="s">
        <v>5883</v>
      </c>
    </row>
    <row r="442" ht="15.75" customHeight="1">
      <c r="A442" s="5" t="s">
        <v>5884</v>
      </c>
    </row>
    <row r="443" ht="15.75" customHeight="1">
      <c r="A443" s="5" t="s">
        <v>5885</v>
      </c>
    </row>
    <row r="444" ht="15.75" customHeight="1">
      <c r="A444" s="5" t="s">
        <v>5886</v>
      </c>
    </row>
    <row r="445" ht="15.75" customHeight="1">
      <c r="A445" s="5" t="s">
        <v>5887</v>
      </c>
    </row>
    <row r="446" ht="15.75" customHeight="1">
      <c r="A446" s="5" t="s">
        <v>5888</v>
      </c>
    </row>
    <row r="447" ht="15.75" customHeight="1">
      <c r="A447" s="5" t="s">
        <v>5889</v>
      </c>
    </row>
    <row r="448" ht="15.75" customHeight="1">
      <c r="A448" s="5" t="s">
        <v>5890</v>
      </c>
    </row>
    <row r="449" ht="15.75" customHeight="1">
      <c r="A449" s="5" t="s">
        <v>5891</v>
      </c>
    </row>
    <row r="450" ht="15.75" customHeight="1">
      <c r="A450" s="5" t="s">
        <v>5892</v>
      </c>
    </row>
    <row r="451" ht="15.75" customHeight="1">
      <c r="A451" s="5" t="s">
        <v>5893</v>
      </c>
    </row>
    <row r="452" ht="15.75" customHeight="1">
      <c r="A452" s="5" t="s">
        <v>5894</v>
      </c>
    </row>
    <row r="453" ht="15.75" customHeight="1">
      <c r="A453" s="5" t="s">
        <v>5895</v>
      </c>
    </row>
    <row r="454" ht="15.75" customHeight="1">
      <c r="A454" s="5" t="s">
        <v>5896</v>
      </c>
    </row>
    <row r="455" ht="15.75" customHeight="1">
      <c r="A455" s="5" t="s">
        <v>5897</v>
      </c>
    </row>
    <row r="456" ht="15.75" customHeight="1">
      <c r="A456" s="5" t="s">
        <v>5898</v>
      </c>
    </row>
    <row r="457" ht="15.75" customHeight="1">
      <c r="A457" s="5" t="s">
        <v>5899</v>
      </c>
    </row>
    <row r="458" ht="15.75" customHeight="1">
      <c r="A458" s="5" t="s">
        <v>5900</v>
      </c>
    </row>
    <row r="459" ht="15.75" customHeight="1">
      <c r="A459" s="5" t="s">
        <v>5901</v>
      </c>
    </row>
    <row r="460" ht="15.75" customHeight="1">
      <c r="A460" s="5" t="s">
        <v>5902</v>
      </c>
    </row>
    <row r="461" ht="15.75" customHeight="1">
      <c r="A461" s="5" t="s">
        <v>5903</v>
      </c>
    </row>
    <row r="462" ht="15.75" customHeight="1">
      <c r="A462" s="5" t="s">
        <v>5904</v>
      </c>
    </row>
    <row r="463" ht="15.75" customHeight="1">
      <c r="A463" s="5" t="s">
        <v>489</v>
      </c>
    </row>
    <row r="464" ht="15.75" customHeight="1">
      <c r="A464" s="5" t="s">
        <v>490</v>
      </c>
    </row>
    <row r="465" ht="15.75" customHeight="1">
      <c r="A465" s="5" t="s">
        <v>491</v>
      </c>
    </row>
    <row r="466" ht="15.75" customHeight="1">
      <c r="A466" s="5" t="s">
        <v>5905</v>
      </c>
    </row>
    <row r="467" ht="15.75" customHeight="1">
      <c r="A467" s="5" t="s">
        <v>5906</v>
      </c>
    </row>
    <row r="468" ht="15.75" customHeight="1">
      <c r="A468" s="5" t="s">
        <v>5907</v>
      </c>
    </row>
    <row r="469" ht="15.75" customHeight="1">
      <c r="A469" s="5" t="s">
        <v>5908</v>
      </c>
    </row>
    <row r="470" ht="15.75" customHeight="1">
      <c r="A470" s="5" t="s">
        <v>5909</v>
      </c>
    </row>
    <row r="471" ht="15.75" customHeight="1">
      <c r="A471" s="5" t="s">
        <v>5910</v>
      </c>
    </row>
    <row r="472" ht="15.75" customHeight="1">
      <c r="A472" s="5" t="s">
        <v>5911</v>
      </c>
    </row>
    <row r="473" ht="15.75" customHeight="1">
      <c r="A473" s="5" t="s">
        <v>5912</v>
      </c>
    </row>
    <row r="474" ht="15.75" customHeight="1">
      <c r="A474" s="5" t="s">
        <v>502</v>
      </c>
    </row>
    <row r="475" ht="15.75" customHeight="1">
      <c r="A475" s="5" t="s">
        <v>503</v>
      </c>
    </row>
    <row r="476" ht="15.75" customHeight="1">
      <c r="A476" s="5" t="s">
        <v>504</v>
      </c>
    </row>
    <row r="477" ht="15.75" customHeight="1">
      <c r="A477" s="5" t="s">
        <v>5913</v>
      </c>
    </row>
    <row r="478" ht="15.75" customHeight="1">
      <c r="A478" s="5" t="s">
        <v>5914</v>
      </c>
    </row>
    <row r="479" ht="15.75" customHeight="1">
      <c r="A479" s="5" t="s">
        <v>5915</v>
      </c>
    </row>
    <row r="480" ht="15.75" customHeight="1">
      <c r="A480" s="5" t="s">
        <v>5916</v>
      </c>
    </row>
    <row r="481" ht="15.75" customHeight="1">
      <c r="A481" s="5" t="s">
        <v>5917</v>
      </c>
    </row>
    <row r="482" ht="15.75" customHeight="1">
      <c r="A482" s="5" t="s">
        <v>508</v>
      </c>
    </row>
    <row r="483" ht="15.75" customHeight="1">
      <c r="A483" s="5" t="s">
        <v>509</v>
      </c>
    </row>
    <row r="484" ht="15.75" customHeight="1">
      <c r="A484" s="5" t="s">
        <v>510</v>
      </c>
    </row>
    <row r="485" ht="15.75" customHeight="1">
      <c r="A485" s="5" t="s">
        <v>511</v>
      </c>
    </row>
    <row r="486" ht="15.75" customHeight="1">
      <c r="A486" s="5" t="s">
        <v>512</v>
      </c>
    </row>
    <row r="487" ht="15.75" customHeight="1">
      <c r="A487" s="5" t="s">
        <v>513</v>
      </c>
    </row>
    <row r="488" ht="15.75" customHeight="1">
      <c r="A488" s="5" t="s">
        <v>5918</v>
      </c>
    </row>
    <row r="489" ht="15.75" customHeight="1">
      <c r="A489" s="5" t="s">
        <v>5919</v>
      </c>
    </row>
    <row r="490" ht="15.75" customHeight="1">
      <c r="A490" s="5" t="s">
        <v>5920</v>
      </c>
    </row>
    <row r="491" ht="15.75" customHeight="1">
      <c r="A491" s="5" t="s">
        <v>5921</v>
      </c>
    </row>
    <row r="492" ht="15.75" customHeight="1">
      <c r="A492" s="5" t="s">
        <v>5922</v>
      </c>
    </row>
    <row r="493" ht="15.75" customHeight="1">
      <c r="A493" s="5" t="s">
        <v>518</v>
      </c>
    </row>
    <row r="494" ht="15.75" customHeight="1">
      <c r="A494" s="5" t="s">
        <v>5923</v>
      </c>
    </row>
    <row r="495" ht="15.75" customHeight="1">
      <c r="A495" s="5" t="s">
        <v>520</v>
      </c>
    </row>
    <row r="496" ht="15.75" customHeight="1">
      <c r="A496" s="5" t="s">
        <v>521</v>
      </c>
    </row>
    <row r="497" ht="15.75" customHeight="1">
      <c r="A497" s="5" t="s">
        <v>5924</v>
      </c>
    </row>
    <row r="498" ht="15.75" customHeight="1">
      <c r="A498" s="5" t="s">
        <v>5925</v>
      </c>
    </row>
    <row r="499" ht="15.75" customHeight="1">
      <c r="A499" s="5" t="s">
        <v>5926</v>
      </c>
    </row>
    <row r="500" ht="15.75" customHeight="1">
      <c r="A500" s="5" t="s">
        <v>524</v>
      </c>
    </row>
    <row r="501" ht="15.75" customHeight="1">
      <c r="A501" s="5" t="s">
        <v>5927</v>
      </c>
    </row>
    <row r="502" ht="15.75" customHeight="1">
      <c r="A502" s="5" t="s">
        <v>5928</v>
      </c>
    </row>
    <row r="503" ht="15.75" customHeight="1">
      <c r="A503" s="5" t="s">
        <v>5929</v>
      </c>
    </row>
    <row r="504" ht="15.75" customHeight="1">
      <c r="A504" s="5" t="s">
        <v>5930</v>
      </c>
    </row>
    <row r="505" ht="15.75" customHeight="1">
      <c r="A505" s="5" t="s">
        <v>5931</v>
      </c>
    </row>
    <row r="506" ht="15.75" customHeight="1">
      <c r="A506" s="5" t="s">
        <v>5932</v>
      </c>
    </row>
    <row r="507" ht="15.75" customHeight="1">
      <c r="A507" s="5" t="s">
        <v>5933</v>
      </c>
    </row>
    <row r="508" ht="15.75" customHeight="1">
      <c r="A508" s="5" t="s">
        <v>530</v>
      </c>
    </row>
    <row r="509" ht="15.75" customHeight="1">
      <c r="A509" s="5" t="s">
        <v>531</v>
      </c>
    </row>
    <row r="510" ht="15.75" customHeight="1">
      <c r="A510" s="5" t="s">
        <v>532</v>
      </c>
    </row>
    <row r="511" ht="15.75" customHeight="1">
      <c r="A511" s="5" t="s">
        <v>5934</v>
      </c>
    </row>
    <row r="512" ht="15.75" customHeight="1">
      <c r="A512" s="5" t="s">
        <v>5935</v>
      </c>
    </row>
    <row r="513" ht="15.75" customHeight="1">
      <c r="A513" s="5" t="s">
        <v>5936</v>
      </c>
    </row>
    <row r="514" ht="15.75" customHeight="1">
      <c r="A514" s="5" t="s">
        <v>5937</v>
      </c>
    </row>
    <row r="515" ht="15.75" customHeight="1">
      <c r="A515" s="5" t="s">
        <v>5938</v>
      </c>
    </row>
    <row r="516" ht="15.75" customHeight="1">
      <c r="A516" s="5" t="s">
        <v>574</v>
      </c>
    </row>
    <row r="517" ht="15.75" customHeight="1">
      <c r="A517" s="5" t="s">
        <v>535</v>
      </c>
    </row>
    <row r="518" ht="15.75" customHeight="1">
      <c r="A518" s="5" t="s">
        <v>5939</v>
      </c>
    </row>
    <row r="519" ht="15.75" customHeight="1">
      <c r="A519" s="5" t="s">
        <v>5940</v>
      </c>
    </row>
    <row r="520" ht="15.75" customHeight="1">
      <c r="A520" s="5" t="s">
        <v>5941</v>
      </c>
    </row>
    <row r="521" ht="15.75" customHeight="1">
      <c r="A521" s="5" t="s">
        <v>5942</v>
      </c>
    </row>
    <row r="522" ht="15.75" customHeight="1">
      <c r="A522" s="5" t="s">
        <v>5943</v>
      </c>
    </row>
    <row r="523" ht="15.75" customHeight="1">
      <c r="A523" s="5" t="s">
        <v>5944</v>
      </c>
    </row>
    <row r="524" ht="15.75" customHeight="1">
      <c r="A524" s="5" t="s">
        <v>5945</v>
      </c>
    </row>
    <row r="525" ht="15.75" customHeight="1">
      <c r="A525" s="5" t="s">
        <v>5946</v>
      </c>
    </row>
    <row r="526" ht="15.75" customHeight="1">
      <c r="A526" s="5" t="s">
        <v>5947</v>
      </c>
    </row>
    <row r="527" ht="15.75" customHeight="1">
      <c r="A527" s="5" t="s">
        <v>548</v>
      </c>
    </row>
    <row r="528" ht="15.75" customHeight="1">
      <c r="A528" s="5" t="s">
        <v>5948</v>
      </c>
    </row>
    <row r="529" ht="15.75" customHeight="1">
      <c r="A529" s="5" t="s">
        <v>5949</v>
      </c>
    </row>
    <row r="530" ht="15.75" customHeight="1">
      <c r="A530" s="5" t="s">
        <v>570</v>
      </c>
    </row>
    <row r="531" ht="15.75" customHeight="1">
      <c r="A531" s="5" t="s">
        <v>5950</v>
      </c>
    </row>
    <row r="532" ht="15.75" customHeight="1">
      <c r="A532" s="5" t="s">
        <v>5951</v>
      </c>
    </row>
    <row r="533" ht="15.75" customHeight="1">
      <c r="A533" s="5" t="s">
        <v>5952</v>
      </c>
    </row>
    <row r="534" ht="15.75" customHeight="1">
      <c r="A534" s="5" t="s">
        <v>5953</v>
      </c>
    </row>
    <row r="535" ht="15.75" customHeight="1">
      <c r="A535" s="5" t="s">
        <v>556</v>
      </c>
    </row>
    <row r="536" ht="15.75" customHeight="1">
      <c r="A536" s="5" t="s">
        <v>554</v>
      </c>
    </row>
    <row r="537" ht="15.75" customHeight="1">
      <c r="A537" s="5" t="s">
        <v>5954</v>
      </c>
    </row>
    <row r="538" ht="15.75" customHeight="1">
      <c r="A538" s="5" t="s">
        <v>5955</v>
      </c>
    </row>
    <row r="539" ht="15.75" customHeight="1">
      <c r="A539" s="5" t="s">
        <v>5956</v>
      </c>
    </row>
    <row r="540" ht="15.75" customHeight="1">
      <c r="A540" s="5" t="s">
        <v>5957</v>
      </c>
    </row>
    <row r="541" ht="15.75" customHeight="1">
      <c r="A541" s="5" t="s">
        <v>5958</v>
      </c>
    </row>
    <row r="542" ht="15.75" customHeight="1">
      <c r="A542" s="5" t="s">
        <v>5959</v>
      </c>
    </row>
    <row r="543" ht="15.75" customHeight="1">
      <c r="A543" s="5" t="s">
        <v>5960</v>
      </c>
    </row>
    <row r="544" ht="15.75" customHeight="1">
      <c r="A544" s="5" t="s">
        <v>5961</v>
      </c>
    </row>
    <row r="545" ht="15.75" customHeight="1">
      <c r="A545" s="5" t="s">
        <v>5962</v>
      </c>
    </row>
    <row r="546" ht="15.75" customHeight="1">
      <c r="A546" s="5" t="s">
        <v>5963</v>
      </c>
    </row>
    <row r="547" ht="15.75" customHeight="1">
      <c r="A547" s="5" t="s">
        <v>5964</v>
      </c>
    </row>
    <row r="548" ht="15.75" customHeight="1">
      <c r="A548" s="5" t="s">
        <v>5965</v>
      </c>
    </row>
    <row r="549" ht="15.75" customHeight="1">
      <c r="A549" s="5" t="s">
        <v>5966</v>
      </c>
    </row>
    <row r="550" ht="15.75" customHeight="1">
      <c r="A550" s="5" t="s">
        <v>5967</v>
      </c>
    </row>
    <row r="551" ht="15.75" customHeight="1">
      <c r="A551" s="5" t="s">
        <v>5968</v>
      </c>
    </row>
    <row r="552" ht="15.75" customHeight="1">
      <c r="A552" s="5" t="s">
        <v>5969</v>
      </c>
    </row>
    <row r="553" ht="15.75" customHeight="1">
      <c r="A553" s="5" t="s">
        <v>5970</v>
      </c>
    </row>
    <row r="554" ht="15.75" customHeight="1">
      <c r="A554" s="5" t="s">
        <v>5971</v>
      </c>
    </row>
    <row r="555" ht="15.75" customHeight="1">
      <c r="A555" s="5" t="s">
        <v>5972</v>
      </c>
    </row>
    <row r="556" ht="15.75" customHeight="1">
      <c r="A556" s="5" t="s">
        <v>5973</v>
      </c>
    </row>
    <row r="557" ht="15.75" customHeight="1">
      <c r="A557" s="5" t="s">
        <v>5974</v>
      </c>
    </row>
    <row r="558" ht="15.75" customHeight="1">
      <c r="A558" s="5" t="s">
        <v>580</v>
      </c>
    </row>
    <row r="559" ht="15.75" customHeight="1">
      <c r="A559" s="5" t="s">
        <v>5975</v>
      </c>
    </row>
    <row r="560" ht="15.75" customHeight="1">
      <c r="A560" s="5" t="s">
        <v>5976</v>
      </c>
    </row>
    <row r="561" ht="15.75" customHeight="1">
      <c r="A561" s="5" t="s">
        <v>5977</v>
      </c>
    </row>
    <row r="562" ht="15.75" customHeight="1">
      <c r="A562" s="5" t="s">
        <v>5978</v>
      </c>
    </row>
    <row r="563" ht="15.75" customHeight="1">
      <c r="A563" s="5" t="s">
        <v>5979</v>
      </c>
    </row>
    <row r="564" ht="15.75" customHeight="1">
      <c r="A564" s="5" t="s">
        <v>5980</v>
      </c>
    </row>
    <row r="565" ht="15.75" customHeight="1">
      <c r="A565" s="5" t="s">
        <v>586</v>
      </c>
    </row>
    <row r="566" ht="15.75" customHeight="1">
      <c r="A566" s="5" t="s">
        <v>5981</v>
      </c>
    </row>
    <row r="567" ht="15.75" customHeight="1">
      <c r="A567" s="5" t="s">
        <v>5982</v>
      </c>
    </row>
    <row r="568" ht="15.75" customHeight="1">
      <c r="A568" s="5" t="s">
        <v>5983</v>
      </c>
    </row>
    <row r="569" ht="15.75" customHeight="1">
      <c r="A569" s="5" t="s">
        <v>5984</v>
      </c>
    </row>
    <row r="570" ht="15.75" customHeight="1">
      <c r="A570" s="5" t="s">
        <v>5985</v>
      </c>
    </row>
    <row r="571" ht="15.75" customHeight="1">
      <c r="A571" s="5" t="s">
        <v>5986</v>
      </c>
    </row>
    <row r="572" ht="15.75" customHeight="1">
      <c r="A572" s="5" t="s">
        <v>5987</v>
      </c>
    </row>
    <row r="573" ht="15.75" customHeight="1">
      <c r="A573" s="5" t="s">
        <v>593</v>
      </c>
    </row>
    <row r="574" ht="15.75" customHeight="1">
      <c r="A574" s="5" t="s">
        <v>594</v>
      </c>
    </row>
    <row r="575" ht="15.75" customHeight="1">
      <c r="A575" s="5" t="s">
        <v>5988</v>
      </c>
    </row>
    <row r="576" ht="15.75" customHeight="1">
      <c r="A576" s="5" t="s">
        <v>596</v>
      </c>
    </row>
    <row r="577" ht="15.75" customHeight="1">
      <c r="A577" s="5" t="s">
        <v>597</v>
      </c>
    </row>
    <row r="578" ht="15.75" customHeight="1">
      <c r="A578" s="5" t="s">
        <v>598</v>
      </c>
    </row>
    <row r="579" ht="15.75" customHeight="1">
      <c r="A579" s="5" t="s">
        <v>599</v>
      </c>
    </row>
    <row r="580" ht="15.75" customHeight="1">
      <c r="A580" s="5" t="s">
        <v>600</v>
      </c>
    </row>
    <row r="581" ht="15.75" customHeight="1">
      <c r="A581" s="5" t="s">
        <v>5989</v>
      </c>
    </row>
    <row r="582" ht="15.75" customHeight="1">
      <c r="A582" s="5" t="s">
        <v>602</v>
      </c>
    </row>
    <row r="583" ht="15.75" customHeight="1">
      <c r="A583" s="5" t="s">
        <v>604</v>
      </c>
    </row>
    <row r="584" ht="15.75" customHeight="1">
      <c r="A584" s="5" t="s">
        <v>603</v>
      </c>
    </row>
    <row r="585" ht="15.75" customHeight="1">
      <c r="A585" s="5" t="s">
        <v>5990</v>
      </c>
    </row>
    <row r="586" ht="15.75" customHeight="1">
      <c r="A586" s="5" t="s">
        <v>5991</v>
      </c>
    </row>
    <row r="587" ht="15.75" customHeight="1">
      <c r="A587" s="5" t="s">
        <v>5992</v>
      </c>
    </row>
    <row r="588" ht="15.75" customHeight="1">
      <c r="A588" s="5" t="s">
        <v>608</v>
      </c>
    </row>
    <row r="589" ht="15.75" customHeight="1">
      <c r="A589" s="5" t="s">
        <v>609</v>
      </c>
    </row>
    <row r="590" ht="15.75" customHeight="1">
      <c r="A590" s="5" t="s">
        <v>5993</v>
      </c>
    </row>
    <row r="591" ht="15.75" customHeight="1">
      <c r="A591" s="5" t="s">
        <v>611</v>
      </c>
    </row>
    <row r="592" ht="15.75" customHeight="1">
      <c r="A592" s="5" t="s">
        <v>612</v>
      </c>
    </row>
    <row r="593" ht="15.75" customHeight="1">
      <c r="A593" s="5" t="s">
        <v>613</v>
      </c>
    </row>
    <row r="594" ht="15.75" customHeight="1">
      <c r="A594" s="5" t="s">
        <v>647</v>
      </c>
    </row>
    <row r="595" ht="15.75" customHeight="1">
      <c r="A595" s="5" t="s">
        <v>5994</v>
      </c>
    </row>
    <row r="596" ht="15.75" customHeight="1">
      <c r="A596" s="5" t="s">
        <v>614</v>
      </c>
    </row>
    <row r="597" ht="15.75" customHeight="1">
      <c r="A597" s="5" t="s">
        <v>615</v>
      </c>
    </row>
    <row r="598" ht="15.75" customHeight="1">
      <c r="A598" s="5" t="s">
        <v>616</v>
      </c>
    </row>
    <row r="599" ht="15.75" customHeight="1">
      <c r="A599" s="5" t="s">
        <v>5995</v>
      </c>
    </row>
    <row r="600" ht="15.75" customHeight="1">
      <c r="A600" s="5" t="s">
        <v>5996</v>
      </c>
    </row>
    <row r="601" ht="15.75" customHeight="1">
      <c r="A601" s="5" t="s">
        <v>619</v>
      </c>
    </row>
    <row r="602" ht="15.75" customHeight="1">
      <c r="A602" s="5" t="s">
        <v>5997</v>
      </c>
    </row>
    <row r="603" ht="15.75" customHeight="1">
      <c r="A603" s="5" t="s">
        <v>5998</v>
      </c>
    </row>
    <row r="604" ht="15.75" customHeight="1">
      <c r="A604" s="5" t="s">
        <v>5999</v>
      </c>
    </row>
    <row r="605" ht="15.75" customHeight="1">
      <c r="A605" s="5" t="s">
        <v>6000</v>
      </c>
    </row>
    <row r="606" ht="15.75" customHeight="1">
      <c r="A606" s="5" t="s">
        <v>6001</v>
      </c>
    </row>
    <row r="607" ht="15.75" customHeight="1">
      <c r="A607" s="5" t="s">
        <v>6002</v>
      </c>
    </row>
    <row r="608" ht="15.75" customHeight="1">
      <c r="A608" s="5" t="s">
        <v>6003</v>
      </c>
    </row>
    <row r="609" ht="15.75" customHeight="1">
      <c r="A609" s="5" t="s">
        <v>625</v>
      </c>
    </row>
    <row r="610" ht="15.75" customHeight="1">
      <c r="A610" s="5" t="s">
        <v>626</v>
      </c>
    </row>
    <row r="611" ht="15.75" customHeight="1">
      <c r="A611" s="5" t="s">
        <v>627</v>
      </c>
    </row>
    <row r="612" ht="15.75" customHeight="1">
      <c r="A612" s="5" t="s">
        <v>628</v>
      </c>
    </row>
    <row r="613" ht="15.75" customHeight="1">
      <c r="A613" s="5" t="s">
        <v>629</v>
      </c>
    </row>
    <row r="614" ht="15.75" customHeight="1">
      <c r="A614" s="5" t="s">
        <v>6004</v>
      </c>
    </row>
    <row r="615" ht="15.75" customHeight="1">
      <c r="A615" s="5" t="s">
        <v>6005</v>
      </c>
    </row>
    <row r="616" ht="15.75" customHeight="1">
      <c r="A616" s="5" t="s">
        <v>631</v>
      </c>
    </row>
    <row r="617" ht="15.75" customHeight="1">
      <c r="A617" s="5" t="s">
        <v>6006</v>
      </c>
    </row>
    <row r="618" ht="15.75" customHeight="1">
      <c r="A618" s="5" t="s">
        <v>6007</v>
      </c>
    </row>
    <row r="619" ht="15.75" customHeight="1">
      <c r="A619" s="5" t="s">
        <v>6008</v>
      </c>
    </row>
    <row r="620" ht="15.75" customHeight="1">
      <c r="A620" s="5" t="s">
        <v>6009</v>
      </c>
    </row>
    <row r="621" ht="15.75" customHeight="1">
      <c r="A621" s="5" t="s">
        <v>6010</v>
      </c>
    </row>
    <row r="622" ht="15.75" customHeight="1">
      <c r="A622" s="5" t="s">
        <v>637</v>
      </c>
    </row>
    <row r="623" ht="15.75" customHeight="1">
      <c r="A623" s="5" t="s">
        <v>6011</v>
      </c>
    </row>
    <row r="624" ht="15.75" customHeight="1">
      <c r="A624" s="5" t="s">
        <v>6012</v>
      </c>
    </row>
    <row r="625" ht="15.75" customHeight="1">
      <c r="A625" s="5" t="s">
        <v>6013</v>
      </c>
    </row>
    <row r="626" ht="15.75" customHeight="1">
      <c r="A626" s="5" t="s">
        <v>641</v>
      </c>
    </row>
    <row r="627" ht="15.75" customHeight="1">
      <c r="A627" s="5" t="s">
        <v>642</v>
      </c>
    </row>
    <row r="628" ht="15.75" customHeight="1">
      <c r="A628" s="5" t="s">
        <v>6014</v>
      </c>
    </row>
    <row r="629" ht="15.75" customHeight="1">
      <c r="A629" s="5" t="s">
        <v>6015</v>
      </c>
    </row>
    <row r="630" ht="15.75" customHeight="1">
      <c r="A630" s="5" t="s">
        <v>6016</v>
      </c>
    </row>
    <row r="631" ht="15.75" customHeight="1">
      <c r="A631" s="5" t="s">
        <v>6017</v>
      </c>
    </row>
    <row r="632" ht="15.75" customHeight="1">
      <c r="A632" s="5" t="s">
        <v>6018</v>
      </c>
    </row>
    <row r="633" ht="15.75" customHeight="1">
      <c r="A633" s="5" t="s">
        <v>648</v>
      </c>
    </row>
    <row r="634" ht="15.75" customHeight="1">
      <c r="A634" s="5" t="s">
        <v>6019</v>
      </c>
    </row>
    <row r="635" ht="15.75" customHeight="1">
      <c r="A635" s="5" t="s">
        <v>6020</v>
      </c>
    </row>
    <row r="636" ht="15.75" customHeight="1">
      <c r="A636" s="5" t="s">
        <v>6021</v>
      </c>
    </row>
    <row r="637" ht="15.75" customHeight="1">
      <c r="A637" s="5" t="s">
        <v>6022</v>
      </c>
    </row>
    <row r="638" ht="15.75" customHeight="1">
      <c r="A638" s="5" t="s">
        <v>6023</v>
      </c>
    </row>
    <row r="639" ht="15.75" customHeight="1">
      <c r="A639" s="5" t="s">
        <v>6024</v>
      </c>
    </row>
    <row r="640" ht="15.75" customHeight="1">
      <c r="A640" s="5" t="s">
        <v>6025</v>
      </c>
    </row>
    <row r="641" ht="15.75" customHeight="1">
      <c r="A641" s="5" t="s">
        <v>6026</v>
      </c>
    </row>
    <row r="642" ht="15.75" customHeight="1">
      <c r="A642" s="5" t="s">
        <v>6027</v>
      </c>
    </row>
    <row r="643" ht="15.75" customHeight="1">
      <c r="A643" s="5" t="s">
        <v>6028</v>
      </c>
    </row>
    <row r="644" ht="15.75" customHeight="1">
      <c r="A644" s="5" t="s">
        <v>6029</v>
      </c>
    </row>
    <row r="645" ht="15.75" customHeight="1">
      <c r="A645" s="5" t="s">
        <v>660</v>
      </c>
    </row>
    <row r="646" ht="15.75" customHeight="1">
      <c r="A646" s="5" t="s">
        <v>6030</v>
      </c>
    </row>
    <row r="647" ht="15.75" customHeight="1">
      <c r="A647" s="5" t="s">
        <v>6031</v>
      </c>
    </row>
    <row r="648" ht="15.75" customHeight="1">
      <c r="A648" s="5" t="s">
        <v>6032</v>
      </c>
    </row>
    <row r="649" ht="15.75" customHeight="1">
      <c r="A649" s="5" t="s">
        <v>6033</v>
      </c>
    </row>
    <row r="650" ht="15.75" customHeight="1">
      <c r="A650" s="5" t="s">
        <v>6034</v>
      </c>
    </row>
    <row r="651" ht="15.75" customHeight="1">
      <c r="A651" s="5" t="s">
        <v>6035</v>
      </c>
    </row>
    <row r="652" ht="15.75" customHeight="1">
      <c r="A652" s="5" t="s">
        <v>6036</v>
      </c>
    </row>
    <row r="653" ht="15.75" customHeight="1">
      <c r="A653" s="5" t="s">
        <v>6037</v>
      </c>
    </row>
    <row r="654" ht="15.75" customHeight="1">
      <c r="A654" s="5" t="s">
        <v>6038</v>
      </c>
    </row>
    <row r="655" ht="15.75" customHeight="1">
      <c r="A655" s="5" t="s">
        <v>6039</v>
      </c>
    </row>
    <row r="656" ht="15.75" customHeight="1">
      <c r="A656" s="5" t="s">
        <v>669</v>
      </c>
    </row>
    <row r="657" ht="15.75" customHeight="1">
      <c r="A657" s="5" t="s">
        <v>6040</v>
      </c>
    </row>
    <row r="658" ht="15.75" customHeight="1">
      <c r="A658" s="5" t="s">
        <v>6041</v>
      </c>
    </row>
    <row r="659" ht="15.75" customHeight="1">
      <c r="A659" s="5" t="s">
        <v>672</v>
      </c>
    </row>
    <row r="660" ht="15.75" customHeight="1">
      <c r="A660" s="5" t="s">
        <v>6042</v>
      </c>
    </row>
    <row r="661" ht="15.75" customHeight="1">
      <c r="A661" s="5" t="s">
        <v>6043</v>
      </c>
    </row>
    <row r="662" ht="15.75" customHeight="1">
      <c r="A662" s="5" t="s">
        <v>675</v>
      </c>
    </row>
    <row r="663" ht="15.75" customHeight="1">
      <c r="A663" s="5" t="s">
        <v>676</v>
      </c>
    </row>
    <row r="664" ht="15.75" customHeight="1">
      <c r="A664" s="5" t="s">
        <v>6044</v>
      </c>
    </row>
    <row r="665" ht="15.75" customHeight="1">
      <c r="A665" s="5" t="s">
        <v>6045</v>
      </c>
    </row>
    <row r="666" ht="15.75" customHeight="1">
      <c r="A666" s="5" t="s">
        <v>6046</v>
      </c>
    </row>
    <row r="667" ht="15.75" customHeight="1">
      <c r="A667" s="5" t="s">
        <v>680</v>
      </c>
    </row>
    <row r="668" ht="15.75" customHeight="1">
      <c r="A668" s="5" t="s">
        <v>681</v>
      </c>
    </row>
    <row r="669" ht="15.75" customHeight="1">
      <c r="A669" s="5" t="s">
        <v>682</v>
      </c>
    </row>
    <row r="670" ht="15.75" customHeight="1">
      <c r="A670" s="5" t="s">
        <v>683</v>
      </c>
    </row>
    <row r="671" ht="15.75" customHeight="1">
      <c r="A671" s="5" t="s">
        <v>684</v>
      </c>
    </row>
    <row r="672" ht="15.75" customHeight="1">
      <c r="A672" s="5" t="s">
        <v>685</v>
      </c>
    </row>
    <row r="673" ht="15.75" customHeight="1">
      <c r="A673" s="5" t="s">
        <v>6047</v>
      </c>
    </row>
    <row r="674" ht="15.75" customHeight="1">
      <c r="A674" s="5" t="s">
        <v>6048</v>
      </c>
    </row>
    <row r="675" ht="15.75" customHeight="1">
      <c r="A675" s="5" t="s">
        <v>688</v>
      </c>
    </row>
    <row r="676" ht="15.75" customHeight="1">
      <c r="A676" s="5" t="s">
        <v>774</v>
      </c>
    </row>
    <row r="677" ht="15.75" customHeight="1">
      <c r="A677" s="5" t="s">
        <v>6049</v>
      </c>
    </row>
    <row r="678" ht="15.75" customHeight="1">
      <c r="A678" s="5" t="s">
        <v>690</v>
      </c>
    </row>
    <row r="679" ht="15.75" customHeight="1">
      <c r="A679" s="5" t="s">
        <v>691</v>
      </c>
    </row>
    <row r="680" ht="15.75" customHeight="1">
      <c r="A680" s="5" t="s">
        <v>6050</v>
      </c>
    </row>
    <row r="681" ht="15.75" customHeight="1">
      <c r="A681" s="5" t="s">
        <v>6051</v>
      </c>
    </row>
    <row r="682" ht="15.75" customHeight="1">
      <c r="A682" s="5" t="s">
        <v>6052</v>
      </c>
    </row>
    <row r="683" ht="15.75" customHeight="1">
      <c r="A683" s="5" t="s">
        <v>6053</v>
      </c>
    </row>
    <row r="684" ht="15.75" customHeight="1">
      <c r="A684" s="5" t="s">
        <v>6054</v>
      </c>
    </row>
    <row r="685" ht="15.75" customHeight="1">
      <c r="A685" s="5" t="s">
        <v>6055</v>
      </c>
    </row>
    <row r="686" ht="15.75" customHeight="1">
      <c r="A686" s="5" t="s">
        <v>6056</v>
      </c>
    </row>
    <row r="687" ht="15.75" customHeight="1">
      <c r="A687" s="5" t="s">
        <v>698</v>
      </c>
    </row>
    <row r="688" ht="15.75" customHeight="1">
      <c r="A688" s="5" t="s">
        <v>6057</v>
      </c>
    </row>
    <row r="689" ht="15.75" customHeight="1">
      <c r="A689" s="5" t="s">
        <v>6058</v>
      </c>
    </row>
    <row r="690" ht="15.75" customHeight="1">
      <c r="A690" s="5" t="s">
        <v>6059</v>
      </c>
    </row>
    <row r="691" ht="15.75" customHeight="1">
      <c r="A691" s="5" t="s">
        <v>6060</v>
      </c>
    </row>
    <row r="692" ht="15.75" customHeight="1">
      <c r="A692" s="5" t="s">
        <v>705</v>
      </c>
    </row>
    <row r="693" ht="15.75" customHeight="1">
      <c r="A693" s="5" t="s">
        <v>6061</v>
      </c>
    </row>
    <row r="694" ht="15.75" customHeight="1">
      <c r="A694" s="5" t="s">
        <v>6062</v>
      </c>
    </row>
    <row r="695" ht="15.75" customHeight="1">
      <c r="A695" s="5" t="s">
        <v>6063</v>
      </c>
    </row>
    <row r="696" ht="15.75" customHeight="1">
      <c r="A696" s="5" t="s">
        <v>6064</v>
      </c>
    </row>
    <row r="697" ht="15.75" customHeight="1">
      <c r="A697" s="5" t="s">
        <v>6065</v>
      </c>
    </row>
    <row r="698" ht="15.75" customHeight="1">
      <c r="A698" s="5" t="s">
        <v>6066</v>
      </c>
    </row>
    <row r="699" ht="15.75" customHeight="1">
      <c r="A699" s="5" t="s">
        <v>6067</v>
      </c>
    </row>
    <row r="700" ht="15.75" customHeight="1">
      <c r="A700" s="5" t="s">
        <v>6068</v>
      </c>
    </row>
    <row r="701" ht="15.75" customHeight="1">
      <c r="A701" s="5" t="s">
        <v>6069</v>
      </c>
    </row>
    <row r="702" ht="15.75" customHeight="1">
      <c r="A702" s="5" t="s">
        <v>716</v>
      </c>
    </row>
    <row r="703" ht="15.75" customHeight="1">
      <c r="A703" s="5" t="s">
        <v>6070</v>
      </c>
    </row>
    <row r="704" ht="15.75" customHeight="1">
      <c r="A704" s="5" t="s">
        <v>6071</v>
      </c>
    </row>
    <row r="705" ht="15.75" customHeight="1">
      <c r="A705" s="5" t="s">
        <v>6072</v>
      </c>
    </row>
    <row r="706" ht="15.75" customHeight="1">
      <c r="A706" s="5" t="s">
        <v>6073</v>
      </c>
    </row>
    <row r="707" ht="15.75" customHeight="1">
      <c r="A707" s="5" t="s">
        <v>6074</v>
      </c>
    </row>
    <row r="708" ht="15.75" customHeight="1">
      <c r="A708" s="5" t="s">
        <v>6075</v>
      </c>
    </row>
    <row r="709" ht="15.75" customHeight="1">
      <c r="A709" s="5" t="s">
        <v>6076</v>
      </c>
    </row>
    <row r="710" ht="15.75" customHeight="1">
      <c r="A710" s="5" t="s">
        <v>6077</v>
      </c>
    </row>
    <row r="711" ht="15.75" customHeight="1">
      <c r="A711" s="5" t="s">
        <v>6078</v>
      </c>
    </row>
    <row r="712" ht="15.75" customHeight="1">
      <c r="A712" s="5" t="s">
        <v>6079</v>
      </c>
    </row>
    <row r="713" ht="15.75" customHeight="1">
      <c r="A713" s="5" t="s">
        <v>6080</v>
      </c>
    </row>
    <row r="714" ht="15.75" customHeight="1">
      <c r="A714" s="5" t="s">
        <v>6081</v>
      </c>
    </row>
    <row r="715" ht="15.75" customHeight="1">
      <c r="A715" s="5" t="s">
        <v>6082</v>
      </c>
    </row>
    <row r="716" ht="15.75" customHeight="1">
      <c r="A716" s="5" t="s">
        <v>6083</v>
      </c>
    </row>
    <row r="717" ht="15.75" customHeight="1">
      <c r="A717" s="5" t="s">
        <v>727</v>
      </c>
    </row>
    <row r="718" ht="15.75" customHeight="1">
      <c r="A718" s="5" t="s">
        <v>728</v>
      </c>
    </row>
    <row r="719" ht="15.75" customHeight="1">
      <c r="A719" s="5" t="s">
        <v>730</v>
      </c>
    </row>
    <row r="720" ht="15.75" customHeight="1">
      <c r="A720" s="5" t="s">
        <v>6084</v>
      </c>
    </row>
    <row r="721" ht="15.75" customHeight="1">
      <c r="A721" s="5" t="s">
        <v>6085</v>
      </c>
    </row>
    <row r="722" ht="15.75" customHeight="1">
      <c r="A722" s="5" t="s">
        <v>732</v>
      </c>
    </row>
    <row r="723" ht="15.75" customHeight="1">
      <c r="A723" s="5" t="s">
        <v>6086</v>
      </c>
    </row>
    <row r="724" ht="15.75" customHeight="1">
      <c r="A724" s="5" t="s">
        <v>734</v>
      </c>
    </row>
    <row r="725" ht="15.75" customHeight="1">
      <c r="A725" s="5" t="s">
        <v>6087</v>
      </c>
    </row>
    <row r="726" ht="15.75" customHeight="1">
      <c r="A726" s="5" t="s">
        <v>6088</v>
      </c>
    </row>
    <row r="727" ht="15.75" customHeight="1">
      <c r="A727" s="5" t="s">
        <v>751</v>
      </c>
    </row>
    <row r="728" ht="15.75" customHeight="1">
      <c r="A728" s="5" t="s">
        <v>736</v>
      </c>
    </row>
    <row r="729" ht="15.75" customHeight="1">
      <c r="A729" s="5" t="s">
        <v>737</v>
      </c>
    </row>
    <row r="730" ht="15.75" customHeight="1">
      <c r="A730" s="5" t="s">
        <v>738</v>
      </c>
    </row>
    <row r="731" ht="15.75" customHeight="1">
      <c r="A731" s="5" t="s">
        <v>6089</v>
      </c>
    </row>
    <row r="732" ht="15.75" customHeight="1">
      <c r="A732" s="5" t="s">
        <v>740</v>
      </c>
    </row>
    <row r="733" ht="15.75" customHeight="1">
      <c r="A733" s="5" t="s">
        <v>741</v>
      </c>
    </row>
    <row r="734" ht="15.75" customHeight="1">
      <c r="A734" s="5" t="s">
        <v>6090</v>
      </c>
    </row>
    <row r="735" ht="15.75" customHeight="1">
      <c r="A735" s="5" t="s">
        <v>6091</v>
      </c>
    </row>
    <row r="736" ht="15.75" customHeight="1">
      <c r="A736" s="5" t="s">
        <v>6092</v>
      </c>
    </row>
    <row r="737" ht="15.75" customHeight="1">
      <c r="A737" s="5" t="s">
        <v>6093</v>
      </c>
    </row>
    <row r="738" ht="15.75" customHeight="1">
      <c r="A738" s="5" t="s">
        <v>6094</v>
      </c>
    </row>
    <row r="739" ht="15.75" customHeight="1">
      <c r="A739" s="5" t="s">
        <v>744</v>
      </c>
    </row>
    <row r="740" ht="15.75" customHeight="1">
      <c r="A740" s="5" t="s">
        <v>6095</v>
      </c>
    </row>
    <row r="741" ht="15.75" customHeight="1">
      <c r="A741" s="5" t="s">
        <v>6096</v>
      </c>
    </row>
    <row r="742" ht="15.75" customHeight="1">
      <c r="A742" s="5" t="s">
        <v>6097</v>
      </c>
    </row>
    <row r="743" ht="15.75" customHeight="1">
      <c r="A743" s="5" t="s">
        <v>6098</v>
      </c>
    </row>
    <row r="744" ht="15.75" customHeight="1">
      <c r="A744" s="5" t="s">
        <v>6099</v>
      </c>
    </row>
    <row r="745" ht="15.75" customHeight="1">
      <c r="A745" s="5" t="s">
        <v>6100</v>
      </c>
    </row>
    <row r="746" ht="15.75" customHeight="1">
      <c r="A746" s="5" t="s">
        <v>6101</v>
      </c>
    </row>
    <row r="747" ht="15.75" customHeight="1">
      <c r="A747" s="5" t="s">
        <v>748</v>
      </c>
    </row>
    <row r="748" ht="15.75" customHeight="1">
      <c r="A748" s="5" t="s">
        <v>749</v>
      </c>
    </row>
    <row r="749" ht="15.75" customHeight="1">
      <c r="A749" s="5" t="s">
        <v>750</v>
      </c>
    </row>
    <row r="750" ht="15.75" customHeight="1">
      <c r="A750" s="5" t="s">
        <v>6102</v>
      </c>
    </row>
    <row r="751" ht="15.75" customHeight="1">
      <c r="A751" s="5" t="s">
        <v>6103</v>
      </c>
    </row>
    <row r="752" ht="15.75" customHeight="1">
      <c r="A752" s="5" t="s">
        <v>6104</v>
      </c>
    </row>
    <row r="753" ht="15.75" customHeight="1">
      <c r="A753" s="5" t="s">
        <v>6105</v>
      </c>
    </row>
    <row r="754" ht="15.75" customHeight="1">
      <c r="A754" s="5" t="s">
        <v>756</v>
      </c>
    </row>
    <row r="755" ht="15.75" customHeight="1">
      <c r="A755" s="5" t="s">
        <v>6106</v>
      </c>
    </row>
    <row r="756" ht="15.75" customHeight="1">
      <c r="A756" s="5" t="s">
        <v>6107</v>
      </c>
    </row>
    <row r="757" ht="15.75" customHeight="1">
      <c r="A757" s="5" t="s">
        <v>759</v>
      </c>
    </row>
    <row r="758" ht="15.75" customHeight="1">
      <c r="A758" s="5" t="s">
        <v>760</v>
      </c>
    </row>
    <row r="759" ht="15.75" customHeight="1">
      <c r="A759" s="5" t="s">
        <v>6108</v>
      </c>
    </row>
    <row r="760" ht="15.75" customHeight="1">
      <c r="A760" s="5" t="s">
        <v>6109</v>
      </c>
    </row>
    <row r="761" ht="15.75" customHeight="1">
      <c r="A761" s="5" t="s">
        <v>6110</v>
      </c>
    </row>
    <row r="762" ht="15.75" customHeight="1">
      <c r="A762" s="5" t="s">
        <v>771</v>
      </c>
    </row>
    <row r="763" ht="15.75" customHeight="1">
      <c r="A763" s="5" t="s">
        <v>6111</v>
      </c>
    </row>
    <row r="764" ht="15.75" customHeight="1">
      <c r="A764" s="5" t="s">
        <v>6112</v>
      </c>
    </row>
    <row r="765" ht="15.75" customHeight="1">
      <c r="A765" s="5" t="s">
        <v>6113</v>
      </c>
    </row>
    <row r="766" ht="15.75" customHeight="1">
      <c r="A766" s="5" t="s">
        <v>6114</v>
      </c>
    </row>
    <row r="767" ht="15.75" customHeight="1">
      <c r="A767" s="5" t="s">
        <v>6115</v>
      </c>
    </row>
    <row r="768" ht="15.75" customHeight="1">
      <c r="A768" s="5" t="s">
        <v>6116</v>
      </c>
    </row>
    <row r="769" ht="15.75" customHeight="1">
      <c r="A769" s="5" t="s">
        <v>6117</v>
      </c>
    </row>
    <row r="770" ht="15.75" customHeight="1">
      <c r="A770" s="5" t="s">
        <v>6118</v>
      </c>
    </row>
    <row r="771" ht="15.75" customHeight="1">
      <c r="A771" s="5" t="s">
        <v>6119</v>
      </c>
    </row>
    <row r="772" ht="15.75" customHeight="1">
      <c r="A772" s="5" t="s">
        <v>6120</v>
      </c>
    </row>
    <row r="773" ht="15.75" customHeight="1">
      <c r="A773" s="5" t="s">
        <v>6121</v>
      </c>
    </row>
    <row r="774" ht="15.75" customHeight="1">
      <c r="A774" s="5" t="s">
        <v>6122</v>
      </c>
    </row>
    <row r="775" ht="15.75" customHeight="1">
      <c r="A775" s="5" t="s">
        <v>828</v>
      </c>
    </row>
    <row r="776" ht="15.75" customHeight="1">
      <c r="A776" s="5" t="s">
        <v>6123</v>
      </c>
    </row>
    <row r="777" ht="15.75" customHeight="1">
      <c r="A777" s="5" t="s">
        <v>6124</v>
      </c>
    </row>
    <row r="778" ht="15.75" customHeight="1">
      <c r="A778" s="5" t="s">
        <v>776</v>
      </c>
    </row>
    <row r="779" ht="15.75" customHeight="1">
      <c r="A779" s="5" t="s">
        <v>775</v>
      </c>
    </row>
    <row r="780" ht="15.75" customHeight="1">
      <c r="A780" s="5" t="s">
        <v>6125</v>
      </c>
    </row>
    <row r="781" ht="15.75" customHeight="1">
      <c r="A781" s="5" t="s">
        <v>6126</v>
      </c>
    </row>
    <row r="782" ht="15.75" customHeight="1">
      <c r="A782" s="5" t="s">
        <v>780</v>
      </c>
    </row>
    <row r="783" ht="15.75" customHeight="1">
      <c r="A783" s="5" t="s">
        <v>6127</v>
      </c>
    </row>
    <row r="784" ht="15.75" customHeight="1">
      <c r="A784" s="5" t="s">
        <v>6128</v>
      </c>
    </row>
    <row r="785" ht="15.75" customHeight="1">
      <c r="A785" s="5" t="s">
        <v>6129</v>
      </c>
    </row>
    <row r="786" ht="15.75" customHeight="1">
      <c r="A786" s="5" t="s">
        <v>6130</v>
      </c>
    </row>
    <row r="787" ht="15.75" customHeight="1">
      <c r="A787" s="5" t="s">
        <v>6131</v>
      </c>
    </row>
    <row r="788" ht="15.75" customHeight="1">
      <c r="A788" s="5" t="s">
        <v>6132</v>
      </c>
    </row>
    <row r="789" ht="15.75" customHeight="1">
      <c r="A789" s="5" t="s">
        <v>6133</v>
      </c>
    </row>
    <row r="790" ht="15.75" customHeight="1">
      <c r="A790" s="5" t="s">
        <v>6134</v>
      </c>
    </row>
    <row r="791" ht="15.75" customHeight="1">
      <c r="A791" s="5" t="s">
        <v>791</v>
      </c>
    </row>
    <row r="792" ht="15.75" customHeight="1">
      <c r="A792" s="5" t="s">
        <v>6135</v>
      </c>
    </row>
    <row r="793" ht="15.75" customHeight="1">
      <c r="A793" s="5" t="s">
        <v>787</v>
      </c>
    </row>
    <row r="794" ht="15.75" customHeight="1">
      <c r="A794" s="5" t="s">
        <v>6136</v>
      </c>
    </row>
    <row r="795" ht="15.75" customHeight="1">
      <c r="A795" s="5" t="s">
        <v>788</v>
      </c>
    </row>
    <row r="796" ht="15.75" customHeight="1">
      <c r="A796" s="5" t="s">
        <v>6137</v>
      </c>
    </row>
    <row r="797" ht="15.75" customHeight="1">
      <c r="A797" s="5" t="s">
        <v>6138</v>
      </c>
    </row>
    <row r="798" ht="15.75" customHeight="1">
      <c r="A798" s="5" t="s">
        <v>6139</v>
      </c>
    </row>
    <row r="799" ht="15.75" customHeight="1">
      <c r="A799" s="5" t="s">
        <v>6140</v>
      </c>
    </row>
    <row r="800" ht="15.75" customHeight="1">
      <c r="A800" s="5" t="s">
        <v>6141</v>
      </c>
    </row>
    <row r="801" ht="15.75" customHeight="1">
      <c r="A801" s="5" t="s">
        <v>869</v>
      </c>
    </row>
    <row r="802" ht="15.75" customHeight="1">
      <c r="A802" s="5" t="s">
        <v>6142</v>
      </c>
    </row>
    <row r="803" ht="15.75" customHeight="1">
      <c r="A803" s="5" t="s">
        <v>794</v>
      </c>
    </row>
    <row r="804" ht="15.75" customHeight="1">
      <c r="A804" s="5" t="s">
        <v>6143</v>
      </c>
    </row>
    <row r="805" ht="15.75" customHeight="1">
      <c r="A805" s="5" t="s">
        <v>6144</v>
      </c>
    </row>
    <row r="806" ht="15.75" customHeight="1">
      <c r="A806" s="5" t="s">
        <v>6145</v>
      </c>
    </row>
    <row r="807" ht="15.75" customHeight="1">
      <c r="A807" s="5" t="s">
        <v>843</v>
      </c>
    </row>
    <row r="808" ht="15.75" customHeight="1">
      <c r="A808" s="5" t="s">
        <v>797</v>
      </c>
    </row>
    <row r="809" ht="15.75" customHeight="1">
      <c r="A809" s="5" t="s">
        <v>6146</v>
      </c>
    </row>
    <row r="810" ht="15.75" customHeight="1">
      <c r="A810" s="5" t="s">
        <v>847</v>
      </c>
    </row>
    <row r="811" ht="15.75" customHeight="1">
      <c r="A811" s="5" t="s">
        <v>808</v>
      </c>
    </row>
    <row r="812" ht="15.75" customHeight="1">
      <c r="A812" s="5" t="s">
        <v>845</v>
      </c>
    </row>
    <row r="813" ht="15.75" customHeight="1">
      <c r="A813" s="5" t="s">
        <v>6147</v>
      </c>
    </row>
    <row r="814" ht="15.75" customHeight="1">
      <c r="A814" s="5" t="s">
        <v>6148</v>
      </c>
    </row>
    <row r="815" ht="15.75" customHeight="1">
      <c r="A815" s="5" t="s">
        <v>6149</v>
      </c>
    </row>
    <row r="816" ht="15.75" customHeight="1">
      <c r="A816" s="5" t="s">
        <v>6150</v>
      </c>
    </row>
    <row r="817" ht="15.75" customHeight="1">
      <c r="A817" s="5" t="s">
        <v>6151</v>
      </c>
    </row>
    <row r="818" ht="15.75" customHeight="1">
      <c r="A818" s="5" t="s">
        <v>6152</v>
      </c>
    </row>
    <row r="819" ht="15.75" customHeight="1">
      <c r="A819" s="5" t="s">
        <v>6153</v>
      </c>
    </row>
    <row r="820" ht="15.75" customHeight="1">
      <c r="A820" s="5" t="s">
        <v>6154</v>
      </c>
    </row>
    <row r="821" ht="15.75" customHeight="1">
      <c r="A821" s="5" t="s">
        <v>6155</v>
      </c>
    </row>
    <row r="822" ht="15.75" customHeight="1">
      <c r="A822" s="5" t="s">
        <v>6156</v>
      </c>
    </row>
    <row r="823" ht="15.75" customHeight="1">
      <c r="A823" s="5" t="s">
        <v>6157</v>
      </c>
    </row>
    <row r="824" ht="15.75" customHeight="1">
      <c r="A824" s="5" t="s">
        <v>6158</v>
      </c>
    </row>
    <row r="825" ht="15.75" customHeight="1">
      <c r="A825" s="5" t="s">
        <v>809</v>
      </c>
    </row>
    <row r="826" ht="15.75" customHeight="1">
      <c r="A826" s="5" t="s">
        <v>6159</v>
      </c>
    </row>
    <row r="827" ht="15.75" customHeight="1">
      <c r="A827" s="5" t="s">
        <v>6160</v>
      </c>
    </row>
    <row r="828" ht="15.75" customHeight="1">
      <c r="A828" s="5" t="s">
        <v>6161</v>
      </c>
    </row>
    <row r="829" ht="15.75" customHeight="1">
      <c r="A829" s="5" t="s">
        <v>6162</v>
      </c>
    </row>
    <row r="830" ht="15.75" customHeight="1">
      <c r="A830" s="5" t="s">
        <v>6163</v>
      </c>
    </row>
    <row r="831" ht="15.75" customHeight="1">
      <c r="A831" s="5" t="s">
        <v>6164</v>
      </c>
    </row>
    <row r="832" ht="15.75" customHeight="1">
      <c r="A832" s="5" t="s">
        <v>6165</v>
      </c>
    </row>
    <row r="833" ht="15.75" customHeight="1">
      <c r="A833" s="5" t="s">
        <v>6166</v>
      </c>
    </row>
    <row r="834" ht="15.75" customHeight="1">
      <c r="A834" s="5" t="s">
        <v>6167</v>
      </c>
    </row>
    <row r="835" ht="15.75" customHeight="1">
      <c r="A835" s="5" t="s">
        <v>6168</v>
      </c>
    </row>
    <row r="836" ht="15.75" customHeight="1">
      <c r="A836" s="5" t="s">
        <v>6169</v>
      </c>
    </row>
    <row r="837" ht="15.75" customHeight="1">
      <c r="A837" s="5" t="s">
        <v>6170</v>
      </c>
    </row>
    <row r="838" ht="15.75" customHeight="1">
      <c r="A838" s="5" t="s">
        <v>6171</v>
      </c>
    </row>
    <row r="839" ht="15.75" customHeight="1">
      <c r="A839" s="5" t="s">
        <v>6172</v>
      </c>
    </row>
    <row r="840" ht="15.75" customHeight="1">
      <c r="A840" s="5" t="s">
        <v>6173</v>
      </c>
    </row>
    <row r="841" ht="15.75" customHeight="1">
      <c r="A841" s="5" t="s">
        <v>6174</v>
      </c>
    </row>
    <row r="842" ht="15.75" customHeight="1">
      <c r="A842" s="5" t="s">
        <v>6175</v>
      </c>
    </row>
    <row r="843" ht="15.75" customHeight="1">
      <c r="A843" s="5" t="s">
        <v>837</v>
      </c>
    </row>
    <row r="844" ht="15.75" customHeight="1">
      <c r="A844" s="5" t="s">
        <v>6176</v>
      </c>
    </row>
    <row r="845" ht="15.75" customHeight="1">
      <c r="A845" s="5" t="s">
        <v>827</v>
      </c>
    </row>
    <row r="846" ht="15.75" customHeight="1">
      <c r="A846" s="5" t="s">
        <v>6177</v>
      </c>
    </row>
    <row r="847" ht="15.75" customHeight="1">
      <c r="A847" s="5" t="s">
        <v>830</v>
      </c>
    </row>
    <row r="848" ht="15.75" customHeight="1">
      <c r="A848" s="5" t="s">
        <v>831</v>
      </c>
    </row>
    <row r="849" ht="15.75" customHeight="1">
      <c r="A849" s="5" t="s">
        <v>6178</v>
      </c>
    </row>
    <row r="850" ht="15.75" customHeight="1">
      <c r="A850" s="5" t="s">
        <v>6179</v>
      </c>
    </row>
    <row r="851" ht="15.75" customHeight="1">
      <c r="A851" s="5" t="s">
        <v>6180</v>
      </c>
    </row>
    <row r="852" ht="15.75" customHeight="1">
      <c r="A852" s="5" t="s">
        <v>6181</v>
      </c>
    </row>
    <row r="853" ht="15.75" customHeight="1">
      <c r="A853" s="5" t="s">
        <v>6182</v>
      </c>
    </row>
    <row r="854" ht="15.75" customHeight="1">
      <c r="A854" s="5" t="s">
        <v>6183</v>
      </c>
    </row>
    <row r="855" ht="15.75" customHeight="1">
      <c r="A855" s="5" t="s">
        <v>839</v>
      </c>
    </row>
    <row r="856" ht="15.75" customHeight="1">
      <c r="A856" s="5" t="s">
        <v>6184</v>
      </c>
    </row>
    <row r="857" ht="15.75" customHeight="1">
      <c r="A857" s="5" t="s">
        <v>6185</v>
      </c>
    </row>
    <row r="858" ht="15.75" customHeight="1">
      <c r="A858" s="5" t="s">
        <v>6186</v>
      </c>
    </row>
    <row r="859" ht="15.75" customHeight="1">
      <c r="A859" s="5" t="s">
        <v>844</v>
      </c>
    </row>
    <row r="860" ht="15.75" customHeight="1">
      <c r="A860" s="5" t="s">
        <v>6187</v>
      </c>
    </row>
    <row r="861" ht="15.75" customHeight="1">
      <c r="A861" s="5" t="s">
        <v>6188</v>
      </c>
    </row>
    <row r="862" ht="15.75" customHeight="1">
      <c r="A862" s="5" t="s">
        <v>855</v>
      </c>
    </row>
    <row r="863" ht="15.75" customHeight="1">
      <c r="A863" s="5" t="s">
        <v>6189</v>
      </c>
    </row>
    <row r="864" ht="15.75" customHeight="1">
      <c r="A864" s="5" t="s">
        <v>6190</v>
      </c>
    </row>
    <row r="865" ht="15.75" customHeight="1">
      <c r="A865" s="5" t="s">
        <v>6191</v>
      </c>
    </row>
    <row r="866" ht="15.75" customHeight="1">
      <c r="A866" s="5" t="s">
        <v>6192</v>
      </c>
    </row>
    <row r="867" ht="15.75" customHeight="1">
      <c r="A867" s="5" t="s">
        <v>852</v>
      </c>
    </row>
    <row r="868" ht="15.75" customHeight="1">
      <c r="A868" s="5" t="s">
        <v>853</v>
      </c>
    </row>
    <row r="869" ht="15.75" customHeight="1">
      <c r="A869" s="5" t="s">
        <v>6193</v>
      </c>
    </row>
    <row r="870" ht="15.75" customHeight="1">
      <c r="A870" s="5" t="s">
        <v>6194</v>
      </c>
    </row>
    <row r="871" ht="15.75" customHeight="1">
      <c r="A871" s="5" t="s">
        <v>857</v>
      </c>
    </row>
    <row r="872" ht="15.75" customHeight="1">
      <c r="A872" s="5" t="s">
        <v>6195</v>
      </c>
    </row>
    <row r="873" ht="15.75" customHeight="1">
      <c r="A873" s="5" t="s">
        <v>859</v>
      </c>
    </row>
    <row r="874" ht="15.75" customHeight="1">
      <c r="A874" s="5" t="s">
        <v>860</v>
      </c>
    </row>
    <row r="875" ht="15.75" customHeight="1">
      <c r="A875" s="5" t="s">
        <v>861</v>
      </c>
    </row>
    <row r="876" ht="15.75" customHeight="1">
      <c r="A876" s="5" t="s">
        <v>6196</v>
      </c>
    </row>
    <row r="877" ht="15.75" customHeight="1">
      <c r="A877" s="5" t="s">
        <v>863</v>
      </c>
    </row>
    <row r="878" ht="15.75" customHeight="1">
      <c r="A878" s="5" t="s">
        <v>864</v>
      </c>
    </row>
    <row r="879" ht="15.75" customHeight="1">
      <c r="A879" s="5" t="s">
        <v>865</v>
      </c>
    </row>
    <row r="880" ht="15.75" customHeight="1">
      <c r="A880" s="5" t="s">
        <v>866</v>
      </c>
    </row>
    <row r="881" ht="15.75" customHeight="1">
      <c r="A881" s="5" t="s">
        <v>6197</v>
      </c>
    </row>
    <row r="882" ht="15.75" customHeight="1">
      <c r="A882" s="5" t="s">
        <v>6198</v>
      </c>
    </row>
    <row r="883" ht="15.75" customHeight="1">
      <c r="A883" s="5" t="s">
        <v>6199</v>
      </c>
    </row>
    <row r="884" ht="15.75" customHeight="1">
      <c r="A884" s="5" t="s">
        <v>6200</v>
      </c>
    </row>
    <row r="885" ht="15.75" customHeight="1">
      <c r="A885" s="5" t="s">
        <v>6201</v>
      </c>
    </row>
    <row r="886" ht="15.75" customHeight="1">
      <c r="A886" s="5" t="s">
        <v>6202</v>
      </c>
    </row>
    <row r="887" ht="15.75" customHeight="1">
      <c r="A887" s="5" t="s">
        <v>6203</v>
      </c>
    </row>
    <row r="888" ht="15.75" customHeight="1">
      <c r="A888" s="5" t="s">
        <v>6204</v>
      </c>
    </row>
    <row r="889" ht="15.75" customHeight="1">
      <c r="A889" s="5" t="s">
        <v>6205</v>
      </c>
    </row>
    <row r="890" ht="15.75" customHeight="1">
      <c r="A890" s="5" t="s">
        <v>6206</v>
      </c>
    </row>
    <row r="891" ht="15.75" customHeight="1">
      <c r="A891" s="5" t="s">
        <v>6207</v>
      </c>
    </row>
    <row r="892" ht="15.75" customHeight="1">
      <c r="A892" s="5" t="s">
        <v>6208</v>
      </c>
    </row>
    <row r="893" ht="15.75" customHeight="1">
      <c r="A893" s="5" t="s">
        <v>879</v>
      </c>
    </row>
    <row r="894" ht="15.75" customHeight="1">
      <c r="A894" s="5" t="s">
        <v>6209</v>
      </c>
    </row>
    <row r="895" ht="15.75" customHeight="1">
      <c r="A895" s="5" t="s">
        <v>6210</v>
      </c>
    </row>
    <row r="896" ht="15.75" customHeight="1">
      <c r="A896" s="5" t="s">
        <v>6211</v>
      </c>
    </row>
    <row r="897" ht="15.75" customHeight="1">
      <c r="A897" s="5" t="s">
        <v>6212</v>
      </c>
    </row>
    <row r="898" ht="15.75" customHeight="1">
      <c r="A898" s="5" t="s">
        <v>6213</v>
      </c>
    </row>
    <row r="899" ht="15.75" customHeight="1">
      <c r="A899" s="5" t="s">
        <v>6214</v>
      </c>
    </row>
    <row r="900" ht="15.75" customHeight="1">
      <c r="A900" s="5" t="s">
        <v>6215</v>
      </c>
    </row>
    <row r="901" ht="15.75" customHeight="1">
      <c r="A901" s="5" t="s">
        <v>6216</v>
      </c>
    </row>
    <row r="902" ht="15.75" customHeight="1">
      <c r="A902" s="5" t="s">
        <v>6217</v>
      </c>
    </row>
    <row r="903" ht="15.75" customHeight="1">
      <c r="A903" s="5" t="s">
        <v>6218</v>
      </c>
    </row>
    <row r="904" ht="15.75" customHeight="1">
      <c r="A904" s="5" t="s">
        <v>6219</v>
      </c>
    </row>
    <row r="905" ht="15.75" customHeight="1">
      <c r="A905" s="5" t="s">
        <v>6220</v>
      </c>
    </row>
    <row r="906" ht="15.75" customHeight="1">
      <c r="A906" s="5" t="s">
        <v>6221</v>
      </c>
    </row>
    <row r="907" ht="15.75" customHeight="1">
      <c r="A907" s="5" t="s">
        <v>6222</v>
      </c>
    </row>
    <row r="908" ht="15.75" customHeight="1">
      <c r="A908" s="5" t="s">
        <v>6223</v>
      </c>
    </row>
    <row r="909" ht="15.75" customHeight="1">
      <c r="A909" s="5" t="s">
        <v>6224</v>
      </c>
    </row>
    <row r="910" ht="15.75" customHeight="1">
      <c r="A910" s="5" t="s">
        <v>6225</v>
      </c>
    </row>
    <row r="911" ht="15.75" customHeight="1">
      <c r="A911" s="5" t="s">
        <v>6226</v>
      </c>
    </row>
    <row r="912" ht="15.75" customHeight="1">
      <c r="A912" s="5" t="s">
        <v>6227</v>
      </c>
    </row>
    <row r="913" ht="15.75" customHeight="1">
      <c r="A913" s="5" t="s">
        <v>6228</v>
      </c>
    </row>
    <row r="914" ht="15.75" customHeight="1">
      <c r="A914" s="5" t="s">
        <v>6229</v>
      </c>
    </row>
    <row r="915" ht="15.75" customHeight="1">
      <c r="A915" s="5" t="s">
        <v>6230</v>
      </c>
    </row>
    <row r="916" ht="15.75" customHeight="1">
      <c r="A916" s="5" t="s">
        <v>6231</v>
      </c>
    </row>
    <row r="917" ht="15.75" customHeight="1">
      <c r="A917" s="5" t="s">
        <v>6232</v>
      </c>
    </row>
    <row r="918" ht="15.75" customHeight="1">
      <c r="A918" s="5" t="s">
        <v>6233</v>
      </c>
    </row>
    <row r="919" ht="15.75" customHeight="1">
      <c r="A919" s="5" t="s">
        <v>6234</v>
      </c>
    </row>
    <row r="920" ht="15.75" customHeight="1">
      <c r="A920" s="5" t="s">
        <v>6235</v>
      </c>
    </row>
    <row r="921" ht="15.75" customHeight="1">
      <c r="A921" s="5" t="s">
        <v>6236</v>
      </c>
    </row>
    <row r="922" ht="15.75" customHeight="1">
      <c r="A922" s="5" t="s">
        <v>6237</v>
      </c>
    </row>
    <row r="923" ht="15.75" customHeight="1">
      <c r="A923" s="5" t="s">
        <v>6238</v>
      </c>
    </row>
    <row r="924" ht="15.75" customHeight="1">
      <c r="A924" s="5" t="s">
        <v>6239</v>
      </c>
    </row>
    <row r="925" ht="15.75" customHeight="1">
      <c r="A925" s="5" t="s">
        <v>6240</v>
      </c>
    </row>
    <row r="926" ht="15.75" customHeight="1">
      <c r="A926" s="5" t="s">
        <v>6241</v>
      </c>
    </row>
    <row r="927" ht="15.75" customHeight="1">
      <c r="A927" s="5" t="s">
        <v>6242</v>
      </c>
    </row>
    <row r="928" ht="15.75" customHeight="1">
      <c r="A928" s="5" t="s">
        <v>6243</v>
      </c>
    </row>
    <row r="929" ht="15.75" customHeight="1">
      <c r="A929" s="5" t="s">
        <v>6244</v>
      </c>
    </row>
    <row r="930" ht="15.75" customHeight="1">
      <c r="A930" s="5" t="s">
        <v>6245</v>
      </c>
    </row>
    <row r="931" ht="15.75" customHeight="1">
      <c r="A931" s="5" t="s">
        <v>6246</v>
      </c>
    </row>
    <row r="932" ht="15.75" customHeight="1">
      <c r="A932" s="5" t="s">
        <v>6247</v>
      </c>
    </row>
    <row r="933" ht="15.75" customHeight="1">
      <c r="A933" s="5" t="s">
        <v>6248</v>
      </c>
    </row>
    <row r="934" ht="15.75" customHeight="1">
      <c r="A934" s="5" t="s">
        <v>6249</v>
      </c>
    </row>
    <row r="935" ht="15.75" customHeight="1">
      <c r="A935" s="5" t="s">
        <v>6250</v>
      </c>
    </row>
    <row r="936" ht="15.75" customHeight="1">
      <c r="A936" s="5" t="s">
        <v>6251</v>
      </c>
    </row>
    <row r="937" ht="15.75" customHeight="1">
      <c r="A937" s="5" t="s">
        <v>924</v>
      </c>
    </row>
    <row r="938" ht="15.75" customHeight="1">
      <c r="A938" s="5" t="s">
        <v>6252</v>
      </c>
    </row>
    <row r="939" ht="15.75" customHeight="1">
      <c r="A939" s="5" t="s">
        <v>6253</v>
      </c>
    </row>
    <row r="940" ht="15.75" customHeight="1">
      <c r="A940" s="5" t="s">
        <v>928</v>
      </c>
    </row>
    <row r="941" ht="15.75" customHeight="1">
      <c r="A941" s="5" t="s">
        <v>6254</v>
      </c>
    </row>
    <row r="942" ht="15.75" customHeight="1">
      <c r="A942" s="5" t="s">
        <v>6255</v>
      </c>
    </row>
    <row r="943" ht="15.75" customHeight="1">
      <c r="A943" s="5" t="s">
        <v>6256</v>
      </c>
    </row>
    <row r="944" ht="15.75" customHeight="1">
      <c r="A944" s="5" t="s">
        <v>6257</v>
      </c>
    </row>
    <row r="945" ht="15.75" customHeight="1">
      <c r="A945" s="5" t="s">
        <v>931</v>
      </c>
    </row>
    <row r="946" ht="15.75" customHeight="1">
      <c r="A946" s="5" t="s">
        <v>932</v>
      </c>
    </row>
    <row r="947" ht="15.75" customHeight="1">
      <c r="A947" s="5" t="s">
        <v>6258</v>
      </c>
    </row>
    <row r="948" ht="15.75" customHeight="1">
      <c r="A948" s="5" t="s">
        <v>934</v>
      </c>
    </row>
    <row r="949" ht="15.75" customHeight="1">
      <c r="A949" s="5" t="s">
        <v>6259</v>
      </c>
    </row>
    <row r="950" ht="15.75" customHeight="1">
      <c r="A950" s="5" t="s">
        <v>6260</v>
      </c>
    </row>
    <row r="951" ht="15.75" customHeight="1">
      <c r="A951" s="5" t="s">
        <v>6261</v>
      </c>
    </row>
    <row r="952" ht="15.75" customHeight="1">
      <c r="A952" s="5" t="s">
        <v>6262</v>
      </c>
    </row>
    <row r="953" ht="15.75" customHeight="1">
      <c r="A953" s="5" t="s">
        <v>6263</v>
      </c>
    </row>
    <row r="954" ht="15.75" customHeight="1">
      <c r="A954" s="5" t="s">
        <v>6264</v>
      </c>
    </row>
    <row r="955" ht="15.75" customHeight="1">
      <c r="A955" s="5" t="s">
        <v>941</v>
      </c>
    </row>
    <row r="956" ht="15.75" customHeight="1">
      <c r="A956" s="5" t="s">
        <v>942</v>
      </c>
    </row>
    <row r="957" ht="15.75" customHeight="1">
      <c r="A957" s="5" t="s">
        <v>943</v>
      </c>
    </row>
    <row r="958" ht="15.75" customHeight="1">
      <c r="A958" s="5" t="s">
        <v>6265</v>
      </c>
    </row>
    <row r="959" ht="15.75" customHeight="1">
      <c r="A959" s="5" t="s">
        <v>6266</v>
      </c>
    </row>
    <row r="960" ht="15.75" customHeight="1">
      <c r="A960" s="5" t="s">
        <v>6267</v>
      </c>
    </row>
    <row r="961" ht="15.75" customHeight="1">
      <c r="A961" s="5" t="s">
        <v>947</v>
      </c>
    </row>
    <row r="962" ht="15.75" customHeight="1">
      <c r="A962" s="5" t="s">
        <v>6268</v>
      </c>
    </row>
    <row r="963" ht="15.75" customHeight="1">
      <c r="A963" s="5" t="s">
        <v>949</v>
      </c>
    </row>
    <row r="964" ht="15.75" customHeight="1">
      <c r="A964" s="5" t="s">
        <v>6269</v>
      </c>
    </row>
    <row r="965" ht="15.75" customHeight="1">
      <c r="A965" s="5" t="s">
        <v>6270</v>
      </c>
    </row>
    <row r="966" ht="15.75" customHeight="1">
      <c r="A966" s="5" t="s">
        <v>6271</v>
      </c>
    </row>
    <row r="967" ht="15.75" customHeight="1">
      <c r="A967" s="5" t="s">
        <v>953</v>
      </c>
    </row>
    <row r="968" ht="15.75" customHeight="1">
      <c r="A968" s="5" t="s">
        <v>954</v>
      </c>
    </row>
    <row r="969" ht="15.75" customHeight="1">
      <c r="A969" s="5" t="s">
        <v>955</v>
      </c>
    </row>
    <row r="970" ht="15.75" customHeight="1">
      <c r="A970" s="5" t="s">
        <v>6272</v>
      </c>
    </row>
    <row r="971" ht="15.75" customHeight="1">
      <c r="A971" s="5" t="s">
        <v>957</v>
      </c>
    </row>
    <row r="972" ht="15.75" customHeight="1">
      <c r="A972" s="5" t="s">
        <v>958</v>
      </c>
    </row>
    <row r="973" ht="15.75" customHeight="1">
      <c r="A973" s="5" t="s">
        <v>6273</v>
      </c>
    </row>
    <row r="974" ht="15.75" customHeight="1">
      <c r="A974" s="5" t="s">
        <v>6274</v>
      </c>
    </row>
    <row r="975" ht="15.75" customHeight="1">
      <c r="A975" s="5" t="s">
        <v>6275</v>
      </c>
    </row>
    <row r="976" ht="15.75" customHeight="1">
      <c r="A976" s="5" t="s">
        <v>962</v>
      </c>
    </row>
    <row r="977" ht="15.75" customHeight="1">
      <c r="A977" s="5" t="s">
        <v>963</v>
      </c>
    </row>
    <row r="978" ht="15.75" customHeight="1">
      <c r="A978" s="5" t="s">
        <v>964</v>
      </c>
    </row>
    <row r="979" ht="15.75" customHeight="1">
      <c r="A979" s="5" t="s">
        <v>965</v>
      </c>
    </row>
    <row r="980" ht="15.75" customHeight="1">
      <c r="A980" s="5" t="s">
        <v>966</v>
      </c>
    </row>
    <row r="981" ht="15.75" customHeight="1">
      <c r="A981" s="5" t="s">
        <v>967</v>
      </c>
    </row>
    <row r="982" ht="15.75" customHeight="1">
      <c r="A982" s="5" t="s">
        <v>6276</v>
      </c>
    </row>
    <row r="983" ht="15.75" customHeight="1">
      <c r="A983" s="5" t="s">
        <v>6277</v>
      </c>
    </row>
    <row r="984" ht="15.75" customHeight="1">
      <c r="A984" s="5" t="s">
        <v>6278</v>
      </c>
    </row>
    <row r="985" ht="15.75" customHeight="1">
      <c r="A985" s="5" t="s">
        <v>971</v>
      </c>
    </row>
    <row r="986" ht="15.75" customHeight="1">
      <c r="A986" s="5" t="s">
        <v>972</v>
      </c>
    </row>
    <row r="987" ht="15.75" customHeight="1">
      <c r="A987" s="5" t="s">
        <v>6279</v>
      </c>
    </row>
    <row r="988" ht="15.75" customHeight="1">
      <c r="A988" s="5" t="s">
        <v>974</v>
      </c>
    </row>
    <row r="989" ht="15.75" customHeight="1">
      <c r="A989" s="5" t="s">
        <v>975</v>
      </c>
    </row>
    <row r="990" ht="15.75" customHeight="1">
      <c r="A990" s="5" t="s">
        <v>976</v>
      </c>
    </row>
    <row r="991" ht="15.75" customHeight="1">
      <c r="A991" s="5" t="s">
        <v>6280</v>
      </c>
    </row>
    <row r="992" ht="15.75" customHeight="1">
      <c r="A992" s="5" t="s">
        <v>6281</v>
      </c>
    </row>
    <row r="993" ht="15.75" customHeight="1">
      <c r="A993" s="5" t="s">
        <v>6282</v>
      </c>
    </row>
    <row r="994" ht="15.75" customHeight="1">
      <c r="A994" s="5" t="s">
        <v>6283</v>
      </c>
    </row>
    <row r="995" ht="15.75" customHeight="1">
      <c r="A995" s="5" t="s">
        <v>6284</v>
      </c>
    </row>
    <row r="996" ht="15.75" customHeight="1">
      <c r="A996" s="5" t="s">
        <v>6285</v>
      </c>
    </row>
    <row r="997" ht="15.75" customHeight="1">
      <c r="A997" s="5" t="s">
        <v>6286</v>
      </c>
    </row>
    <row r="998" ht="15.75" customHeight="1">
      <c r="A998" s="5" t="s">
        <v>6287</v>
      </c>
    </row>
    <row r="999" ht="15.75" customHeight="1">
      <c r="A999" s="5" t="s">
        <v>6288</v>
      </c>
    </row>
    <row r="1000" ht="15.75" customHeight="1">
      <c r="A1000" s="5" t="s">
        <v>6289</v>
      </c>
    </row>
    <row r="1001" ht="15.75" customHeight="1">
      <c r="A1001" s="5" t="s">
        <v>6290</v>
      </c>
    </row>
    <row r="1002" ht="15.75" customHeight="1">
      <c r="A1002" s="5" t="s">
        <v>6291</v>
      </c>
    </row>
    <row r="1003" ht="15.75" customHeight="1">
      <c r="A1003" s="5" t="s">
        <v>6292</v>
      </c>
    </row>
    <row r="1004" ht="15.75" customHeight="1">
      <c r="A1004" s="5" t="s">
        <v>6293</v>
      </c>
    </row>
    <row r="1005" ht="15.75" customHeight="1">
      <c r="A1005" s="5" t="s">
        <v>6294</v>
      </c>
    </row>
    <row r="1006" ht="15.75" customHeight="1">
      <c r="A1006" s="5" t="s">
        <v>6295</v>
      </c>
    </row>
    <row r="1007" ht="15.75" customHeight="1">
      <c r="A1007" s="5" t="s">
        <v>6296</v>
      </c>
    </row>
    <row r="1008" ht="15.75" customHeight="1">
      <c r="A1008" s="5" t="s">
        <v>6297</v>
      </c>
    </row>
    <row r="1009" ht="15.75" customHeight="1">
      <c r="A1009" s="5" t="s">
        <v>6298</v>
      </c>
    </row>
    <row r="1010" ht="15.75" customHeight="1">
      <c r="A1010" s="5" t="s">
        <v>6299</v>
      </c>
    </row>
    <row r="1011" ht="15.75" customHeight="1">
      <c r="A1011" s="5" t="s">
        <v>6300</v>
      </c>
    </row>
    <row r="1012" ht="15.75" customHeight="1">
      <c r="A1012" s="5" t="s">
        <v>6301</v>
      </c>
    </row>
    <row r="1013" ht="15.75" customHeight="1">
      <c r="A1013" s="5" t="s">
        <v>6302</v>
      </c>
    </row>
    <row r="1014" ht="15.75" customHeight="1">
      <c r="A1014" s="5" t="s">
        <v>6303</v>
      </c>
    </row>
    <row r="1015" ht="15.75" customHeight="1">
      <c r="A1015" s="5" t="s">
        <v>6304</v>
      </c>
    </row>
    <row r="1016" ht="15.75" customHeight="1">
      <c r="A1016" s="5" t="s">
        <v>6305</v>
      </c>
    </row>
    <row r="1017" ht="15.75" customHeight="1">
      <c r="A1017" s="5" t="s">
        <v>6306</v>
      </c>
    </row>
    <row r="1018" ht="15.75" customHeight="1">
      <c r="A1018" s="5" t="s">
        <v>6307</v>
      </c>
    </row>
    <row r="1019" ht="15.75" customHeight="1">
      <c r="A1019" s="5" t="s">
        <v>6308</v>
      </c>
    </row>
    <row r="1020" ht="15.75" customHeight="1">
      <c r="A1020" s="5" t="s">
        <v>6309</v>
      </c>
    </row>
    <row r="1021" ht="15.75" customHeight="1">
      <c r="A1021" s="5" t="s">
        <v>6310</v>
      </c>
    </row>
    <row r="1022" ht="15.75" customHeight="1">
      <c r="A1022" s="5" t="s">
        <v>6311</v>
      </c>
    </row>
    <row r="1023" ht="15.75" customHeight="1">
      <c r="A1023" s="5" t="s">
        <v>1008</v>
      </c>
    </row>
    <row r="1024" ht="15.75" customHeight="1">
      <c r="A1024" s="5" t="s">
        <v>1009</v>
      </c>
    </row>
    <row r="1025" ht="15.75" customHeight="1">
      <c r="A1025" s="5" t="s">
        <v>6312</v>
      </c>
    </row>
    <row r="1026" ht="15.75" customHeight="1">
      <c r="A1026" s="5" t="s">
        <v>6313</v>
      </c>
    </row>
    <row r="1027" ht="15.75" customHeight="1">
      <c r="A1027" s="5" t="s">
        <v>6314</v>
      </c>
    </row>
    <row r="1028" ht="15.75" customHeight="1">
      <c r="A1028" s="5" t="s">
        <v>1013</v>
      </c>
    </row>
    <row r="1029" ht="15.75" customHeight="1">
      <c r="A1029" s="5" t="s">
        <v>1014</v>
      </c>
    </row>
    <row r="1030" ht="15.75" customHeight="1">
      <c r="A1030" s="5" t="s">
        <v>1015</v>
      </c>
    </row>
    <row r="1031" ht="15.75" customHeight="1">
      <c r="A1031" s="5" t="s">
        <v>6315</v>
      </c>
    </row>
    <row r="1032" ht="15.75" customHeight="1">
      <c r="A1032" s="5" t="s">
        <v>6316</v>
      </c>
    </row>
    <row r="1033" ht="15.75" customHeight="1">
      <c r="A1033" s="5" t="s">
        <v>6317</v>
      </c>
    </row>
    <row r="1034" ht="15.75" customHeight="1">
      <c r="A1034" s="5" t="s">
        <v>6318</v>
      </c>
    </row>
    <row r="1035" ht="15.75" customHeight="1">
      <c r="A1035" s="5" t="s">
        <v>6319</v>
      </c>
    </row>
    <row r="1036" ht="15.75" customHeight="1">
      <c r="A1036" s="5" t="s">
        <v>1021</v>
      </c>
    </row>
    <row r="1037" ht="15.75" customHeight="1">
      <c r="A1037" s="5" t="s">
        <v>6320</v>
      </c>
    </row>
    <row r="1038" ht="15.75" customHeight="1">
      <c r="A1038" s="5" t="s">
        <v>1023</v>
      </c>
    </row>
    <row r="1039" ht="15.75" customHeight="1">
      <c r="A1039" s="5" t="s">
        <v>1024</v>
      </c>
    </row>
    <row r="1040" ht="15.75" customHeight="1">
      <c r="A1040" s="5" t="s">
        <v>6321</v>
      </c>
    </row>
    <row r="1041" ht="15.75" customHeight="1">
      <c r="A1041" s="5" t="s">
        <v>6322</v>
      </c>
    </row>
    <row r="1042" ht="15.75" customHeight="1">
      <c r="A1042" s="5" t="s">
        <v>1027</v>
      </c>
    </row>
    <row r="1043" ht="15.75" customHeight="1">
      <c r="A1043" s="5" t="s">
        <v>6323</v>
      </c>
    </row>
    <row r="1044" ht="15.75" customHeight="1">
      <c r="A1044" s="5" t="s">
        <v>6324</v>
      </c>
    </row>
    <row r="1045" ht="15.75" customHeight="1">
      <c r="A1045" s="5" t="s">
        <v>1030</v>
      </c>
    </row>
    <row r="1046" ht="15.75" customHeight="1">
      <c r="A1046" s="5" t="s">
        <v>1031</v>
      </c>
    </row>
    <row r="1047" ht="15.75" customHeight="1">
      <c r="A1047" s="5" t="s">
        <v>1032</v>
      </c>
    </row>
    <row r="1048" ht="15.75" customHeight="1">
      <c r="A1048" s="5" t="s">
        <v>1033</v>
      </c>
    </row>
    <row r="1049" ht="15.75" customHeight="1">
      <c r="A1049" s="5" t="s">
        <v>6325</v>
      </c>
    </row>
    <row r="1050" ht="15.75" customHeight="1">
      <c r="A1050" s="5" t="s">
        <v>6326</v>
      </c>
    </row>
    <row r="1051" ht="15.75" customHeight="1">
      <c r="A1051" s="5" t="s">
        <v>1036</v>
      </c>
    </row>
    <row r="1052" ht="15.75" customHeight="1">
      <c r="A1052" s="5" t="s">
        <v>6327</v>
      </c>
    </row>
    <row r="1053" ht="15.75" customHeight="1">
      <c r="A1053" s="5" t="s">
        <v>6328</v>
      </c>
    </row>
    <row r="1054" ht="15.75" customHeight="1">
      <c r="A1054" s="5" t="s">
        <v>1039</v>
      </c>
    </row>
    <row r="1055" ht="15.75" customHeight="1">
      <c r="A1055" s="5" t="s">
        <v>1040</v>
      </c>
    </row>
    <row r="1056" ht="15.75" customHeight="1">
      <c r="A1056" s="5" t="s">
        <v>6329</v>
      </c>
    </row>
    <row r="1057" ht="15.75" customHeight="1">
      <c r="A1057" s="5" t="s">
        <v>6330</v>
      </c>
    </row>
    <row r="1058" ht="15.75" customHeight="1">
      <c r="A1058" s="5" t="s">
        <v>6331</v>
      </c>
    </row>
    <row r="1059" ht="15.75" customHeight="1">
      <c r="A1059" s="5" t="s">
        <v>6332</v>
      </c>
    </row>
    <row r="1060" ht="15.75" customHeight="1">
      <c r="A1060" s="5" t="s">
        <v>6333</v>
      </c>
    </row>
    <row r="1061" ht="15.75" customHeight="1">
      <c r="A1061" s="5" t="s">
        <v>6334</v>
      </c>
    </row>
    <row r="1062" ht="15.75" customHeight="1">
      <c r="A1062" s="5" t="s">
        <v>6335</v>
      </c>
    </row>
    <row r="1063" ht="15.75" customHeight="1">
      <c r="A1063" s="5" t="s">
        <v>1047</v>
      </c>
    </row>
    <row r="1064" ht="15.75" customHeight="1">
      <c r="A1064" s="5" t="s">
        <v>6336</v>
      </c>
    </row>
    <row r="1065" ht="15.75" customHeight="1">
      <c r="A1065" s="5" t="s">
        <v>6337</v>
      </c>
    </row>
    <row r="1066" ht="15.75" customHeight="1">
      <c r="A1066" s="5" t="s">
        <v>6338</v>
      </c>
    </row>
    <row r="1067" ht="15.75" customHeight="1">
      <c r="A1067" s="5" t="s">
        <v>6339</v>
      </c>
    </row>
    <row r="1068" ht="15.75" customHeight="1">
      <c r="A1068" s="5" t="s">
        <v>6340</v>
      </c>
    </row>
    <row r="1069" ht="15.75" customHeight="1">
      <c r="A1069" s="5" t="s">
        <v>1053</v>
      </c>
    </row>
    <row r="1070" ht="15.75" customHeight="1">
      <c r="A1070" s="5" t="s">
        <v>1054</v>
      </c>
    </row>
    <row r="1071" ht="15.75" customHeight="1">
      <c r="A1071" s="5" t="s">
        <v>1055</v>
      </c>
    </row>
    <row r="1072" ht="15.75" customHeight="1">
      <c r="A1072" s="5" t="s">
        <v>1056</v>
      </c>
    </row>
    <row r="1073" ht="15.75" customHeight="1">
      <c r="A1073" s="5" t="s">
        <v>6341</v>
      </c>
    </row>
    <row r="1074" ht="15.75" customHeight="1">
      <c r="A1074" s="5" t="s">
        <v>6342</v>
      </c>
    </row>
    <row r="1075" ht="15.75" customHeight="1">
      <c r="A1075" s="5" t="s">
        <v>1059</v>
      </c>
    </row>
    <row r="1076" ht="15.75" customHeight="1">
      <c r="A1076" s="5" t="s">
        <v>6343</v>
      </c>
    </row>
    <row r="1077" ht="15.75" customHeight="1">
      <c r="A1077" s="5" t="s">
        <v>6344</v>
      </c>
    </row>
    <row r="1078" ht="15.75" customHeight="1">
      <c r="A1078" s="5" t="s">
        <v>1061</v>
      </c>
    </row>
    <row r="1079" ht="15.75" customHeight="1">
      <c r="A1079" s="5" t="s">
        <v>1062</v>
      </c>
    </row>
    <row r="1080" ht="15.75" customHeight="1">
      <c r="A1080" s="5" t="s">
        <v>1063</v>
      </c>
    </row>
    <row r="1081" ht="15.75" customHeight="1">
      <c r="A1081" s="5" t="s">
        <v>1064</v>
      </c>
    </row>
    <row r="1082" ht="15.75" customHeight="1">
      <c r="A1082" s="5" t="s">
        <v>1065</v>
      </c>
    </row>
    <row r="1083" ht="15.75" customHeight="1">
      <c r="A1083" s="5" t="s">
        <v>6345</v>
      </c>
    </row>
    <row r="1084" ht="15.75" customHeight="1">
      <c r="A1084" s="5" t="s">
        <v>6346</v>
      </c>
    </row>
    <row r="1085" ht="15.75" customHeight="1">
      <c r="A1085" s="5" t="s">
        <v>1068</v>
      </c>
    </row>
    <row r="1086" ht="15.75" customHeight="1">
      <c r="A1086" s="5" t="s">
        <v>6347</v>
      </c>
    </row>
    <row r="1087" ht="15.75" customHeight="1">
      <c r="A1087" s="5" t="s">
        <v>1070</v>
      </c>
    </row>
    <row r="1088" ht="15.75" customHeight="1">
      <c r="A1088" s="5" t="s">
        <v>6348</v>
      </c>
    </row>
    <row r="1089" ht="15.75" customHeight="1">
      <c r="A1089" s="5" t="s">
        <v>6349</v>
      </c>
    </row>
    <row r="1090" ht="15.75" customHeight="1">
      <c r="A1090" s="5" t="s">
        <v>6350</v>
      </c>
    </row>
    <row r="1091" ht="15.75" customHeight="1">
      <c r="A1091" s="5" t="s">
        <v>6351</v>
      </c>
    </row>
    <row r="1092" ht="15.75" customHeight="1">
      <c r="A1092" s="5" t="s">
        <v>6352</v>
      </c>
    </row>
    <row r="1093" ht="15.75" customHeight="1">
      <c r="A1093" s="5" t="s">
        <v>1076</v>
      </c>
    </row>
    <row r="1094" ht="15.75" customHeight="1">
      <c r="A1094" s="5" t="s">
        <v>6353</v>
      </c>
    </row>
    <row r="1095" ht="15.75" customHeight="1">
      <c r="A1095" s="5" t="s">
        <v>1078</v>
      </c>
    </row>
    <row r="1096" ht="15.75" customHeight="1">
      <c r="A1096" s="5" t="s">
        <v>1079</v>
      </c>
    </row>
    <row r="1097" ht="15.75" customHeight="1">
      <c r="A1097" s="5" t="s">
        <v>1080</v>
      </c>
    </row>
    <row r="1098" ht="15.75" customHeight="1">
      <c r="A1098" s="5" t="s">
        <v>6354</v>
      </c>
    </row>
    <row r="1099" ht="15.75" customHeight="1">
      <c r="A1099" s="5" t="s">
        <v>6355</v>
      </c>
    </row>
    <row r="1100" ht="15.75" customHeight="1">
      <c r="A1100" s="5" t="s">
        <v>6356</v>
      </c>
    </row>
    <row r="1101" ht="15.75" customHeight="1">
      <c r="A1101" s="5" t="s">
        <v>6357</v>
      </c>
    </row>
    <row r="1102" ht="15.75" customHeight="1">
      <c r="A1102" s="5" t="s">
        <v>6358</v>
      </c>
    </row>
    <row r="1103" ht="15.75" customHeight="1">
      <c r="A1103" s="5" t="s">
        <v>1086</v>
      </c>
    </row>
    <row r="1104" ht="15.75" customHeight="1">
      <c r="A1104" s="5" t="s">
        <v>1087</v>
      </c>
    </row>
    <row r="1105" ht="15.75" customHeight="1">
      <c r="A1105" s="5" t="s">
        <v>1088</v>
      </c>
    </row>
    <row r="1106" ht="15.75" customHeight="1">
      <c r="A1106" s="5" t="s">
        <v>1089</v>
      </c>
    </row>
    <row r="1107" ht="15.75" customHeight="1">
      <c r="A1107" s="5" t="s">
        <v>1090</v>
      </c>
    </row>
    <row r="1108" ht="15.75" customHeight="1">
      <c r="A1108" s="5" t="s">
        <v>1091</v>
      </c>
    </row>
    <row r="1109" ht="15.75" customHeight="1">
      <c r="A1109" s="5" t="s">
        <v>1092</v>
      </c>
    </row>
    <row r="1110" ht="15.75" customHeight="1">
      <c r="A1110" s="5" t="s">
        <v>1093</v>
      </c>
    </row>
    <row r="1111" ht="15.75" customHeight="1">
      <c r="A1111" s="5" t="s">
        <v>1094</v>
      </c>
    </row>
    <row r="1112" ht="15.75" customHeight="1">
      <c r="A1112" s="5" t="s">
        <v>1095</v>
      </c>
    </row>
    <row r="1113" ht="15.75" customHeight="1">
      <c r="A1113" s="5" t="s">
        <v>1096</v>
      </c>
    </row>
    <row r="1114" ht="15.75" customHeight="1">
      <c r="A1114" s="5" t="s">
        <v>1097</v>
      </c>
    </row>
    <row r="1115" ht="15.75" customHeight="1">
      <c r="A1115" s="5" t="s">
        <v>1098</v>
      </c>
    </row>
    <row r="1116" ht="15.75" customHeight="1">
      <c r="A1116" s="5" t="s">
        <v>1099</v>
      </c>
    </row>
    <row r="1117" ht="15.75" customHeight="1">
      <c r="A1117" s="5" t="s">
        <v>6359</v>
      </c>
    </row>
    <row r="1118" ht="15.75" customHeight="1">
      <c r="A1118" s="5" t="s">
        <v>6360</v>
      </c>
    </row>
    <row r="1119" ht="15.75" customHeight="1">
      <c r="A1119" s="5" t="s">
        <v>6361</v>
      </c>
    </row>
    <row r="1120" ht="15.75" customHeight="1">
      <c r="A1120" s="5" t="s">
        <v>6362</v>
      </c>
    </row>
    <row r="1121" ht="15.75" customHeight="1">
      <c r="A1121" s="5" t="s">
        <v>6363</v>
      </c>
    </row>
    <row r="1122" ht="15.75" customHeight="1">
      <c r="A1122" s="5" t="s">
        <v>6364</v>
      </c>
    </row>
    <row r="1123" ht="15.75" customHeight="1">
      <c r="A1123" s="5" t="s">
        <v>6365</v>
      </c>
    </row>
    <row r="1124" ht="15.75" customHeight="1">
      <c r="A1124" s="5" t="s">
        <v>6366</v>
      </c>
    </row>
    <row r="1125" ht="15.75" customHeight="1">
      <c r="A1125" s="5" t="s">
        <v>6367</v>
      </c>
    </row>
    <row r="1126" ht="15.75" customHeight="1">
      <c r="A1126" s="5" t="s">
        <v>6368</v>
      </c>
    </row>
    <row r="1127" ht="15.75" customHeight="1">
      <c r="A1127" s="5" t="s">
        <v>6369</v>
      </c>
    </row>
    <row r="1128" ht="15.75" customHeight="1">
      <c r="A1128" s="5" t="s">
        <v>6370</v>
      </c>
    </row>
    <row r="1129" ht="15.75" customHeight="1">
      <c r="A1129" s="5" t="s">
        <v>6371</v>
      </c>
    </row>
    <row r="1130" ht="15.75" customHeight="1">
      <c r="A1130" s="5" t="s">
        <v>6372</v>
      </c>
    </row>
    <row r="1131" ht="15.75" customHeight="1">
      <c r="A1131" s="5" t="s">
        <v>6373</v>
      </c>
    </row>
    <row r="1132" ht="15.75" customHeight="1">
      <c r="A1132" s="5" t="s">
        <v>6374</v>
      </c>
    </row>
    <row r="1133" ht="15.75" customHeight="1">
      <c r="A1133" s="5" t="s">
        <v>6375</v>
      </c>
    </row>
    <row r="1134" ht="15.75" customHeight="1">
      <c r="A1134" s="5" t="s">
        <v>6376</v>
      </c>
    </row>
    <row r="1135" ht="15.75" customHeight="1">
      <c r="A1135" s="5" t="s">
        <v>6377</v>
      </c>
    </row>
    <row r="1136" ht="15.75" customHeight="1">
      <c r="A1136" s="5" t="s">
        <v>6378</v>
      </c>
    </row>
    <row r="1137" ht="15.75" customHeight="1">
      <c r="A1137" s="5" t="s">
        <v>6379</v>
      </c>
    </row>
    <row r="1138" ht="15.75" customHeight="1">
      <c r="A1138" s="5" t="s">
        <v>6380</v>
      </c>
    </row>
    <row r="1139" ht="15.75" customHeight="1">
      <c r="A1139" s="5" t="s">
        <v>6381</v>
      </c>
    </row>
    <row r="1140" ht="15.75" customHeight="1">
      <c r="A1140" s="5" t="s">
        <v>1122</v>
      </c>
    </row>
    <row r="1141" ht="15.75" customHeight="1">
      <c r="A1141" s="5" t="s">
        <v>1123</v>
      </c>
    </row>
    <row r="1142" ht="15.75" customHeight="1">
      <c r="A1142" s="5" t="s">
        <v>1124</v>
      </c>
    </row>
    <row r="1143" ht="15.75" customHeight="1">
      <c r="A1143" s="5" t="s">
        <v>1125</v>
      </c>
    </row>
    <row r="1144" ht="15.75" customHeight="1">
      <c r="A1144" s="5" t="s">
        <v>6382</v>
      </c>
    </row>
    <row r="1145" ht="15.75" customHeight="1">
      <c r="A1145" s="5" t="s">
        <v>1127</v>
      </c>
    </row>
    <row r="1146" ht="15.75" customHeight="1">
      <c r="A1146" s="5" t="s">
        <v>1128</v>
      </c>
    </row>
    <row r="1147" ht="15.75" customHeight="1">
      <c r="A1147" s="5" t="s">
        <v>6383</v>
      </c>
    </row>
    <row r="1148" ht="15.75" customHeight="1">
      <c r="A1148" s="5" t="s">
        <v>6384</v>
      </c>
    </row>
    <row r="1149" ht="15.75" customHeight="1">
      <c r="A1149" s="5" t="s">
        <v>1131</v>
      </c>
    </row>
    <row r="1150" ht="15.75" customHeight="1">
      <c r="A1150" s="5" t="s">
        <v>1132</v>
      </c>
    </row>
    <row r="1151" ht="15.75" customHeight="1">
      <c r="A1151" s="5" t="s">
        <v>1133</v>
      </c>
    </row>
    <row r="1152" ht="15.75" customHeight="1">
      <c r="A1152" s="5" t="s">
        <v>1134</v>
      </c>
    </row>
    <row r="1153" ht="15.75" customHeight="1">
      <c r="A1153" s="5" t="s">
        <v>1135</v>
      </c>
    </row>
    <row r="1154" ht="15.75" customHeight="1">
      <c r="A1154" s="5" t="s">
        <v>1136</v>
      </c>
    </row>
    <row r="1155" ht="15.75" customHeight="1">
      <c r="A1155" s="5" t="s">
        <v>1137</v>
      </c>
    </row>
    <row r="1156" ht="15.75" customHeight="1">
      <c r="A1156" s="5" t="s">
        <v>1138</v>
      </c>
    </row>
    <row r="1157" ht="15.75" customHeight="1">
      <c r="A1157" s="5" t="s">
        <v>1139</v>
      </c>
    </row>
    <row r="1158" ht="15.75" customHeight="1">
      <c r="A1158" s="5" t="s">
        <v>6385</v>
      </c>
    </row>
    <row r="1159" ht="15.75" customHeight="1">
      <c r="A1159" s="5" t="s">
        <v>6386</v>
      </c>
    </row>
    <row r="1160" ht="15.75" customHeight="1">
      <c r="A1160" s="5" t="s">
        <v>6387</v>
      </c>
    </row>
    <row r="1161" ht="15.75" customHeight="1">
      <c r="A1161" s="5" t="s">
        <v>6388</v>
      </c>
    </row>
    <row r="1162" ht="15.75" customHeight="1">
      <c r="A1162" s="5" t="s">
        <v>6389</v>
      </c>
    </row>
    <row r="1163" ht="15.75" customHeight="1">
      <c r="A1163" s="5" t="s">
        <v>6390</v>
      </c>
    </row>
    <row r="1164" ht="15.75" customHeight="1">
      <c r="A1164" s="5" t="s">
        <v>6391</v>
      </c>
    </row>
    <row r="1165" ht="15.75" customHeight="1">
      <c r="A1165" s="5" t="s">
        <v>6392</v>
      </c>
    </row>
    <row r="1166" ht="15.75" customHeight="1">
      <c r="A1166" s="5" t="s">
        <v>6393</v>
      </c>
    </row>
    <row r="1167" ht="15.75" customHeight="1">
      <c r="A1167" s="5" t="s">
        <v>6394</v>
      </c>
    </row>
    <row r="1168" ht="15.75" customHeight="1">
      <c r="A1168" s="5" t="s">
        <v>6395</v>
      </c>
    </row>
    <row r="1169" ht="15.75" customHeight="1">
      <c r="A1169" s="5" t="s">
        <v>6396</v>
      </c>
    </row>
    <row r="1170" ht="15.75" customHeight="1">
      <c r="A1170" s="5" t="s">
        <v>6397</v>
      </c>
    </row>
    <row r="1171" ht="15.75" customHeight="1">
      <c r="A1171" s="5" t="s">
        <v>6398</v>
      </c>
    </row>
    <row r="1172" ht="15.75" customHeight="1">
      <c r="A1172" s="5" t="s">
        <v>6399</v>
      </c>
    </row>
    <row r="1173" ht="15.75" customHeight="1">
      <c r="A1173" s="5" t="s">
        <v>6400</v>
      </c>
    </row>
    <row r="1174" ht="15.75" customHeight="1">
      <c r="A1174" s="5" t="s">
        <v>1155</v>
      </c>
    </row>
    <row r="1175" ht="15.75" customHeight="1">
      <c r="A1175" s="5" t="s">
        <v>6401</v>
      </c>
    </row>
    <row r="1176" ht="15.75" customHeight="1">
      <c r="A1176" s="5" t="s">
        <v>1157</v>
      </c>
    </row>
    <row r="1177" ht="15.75" customHeight="1">
      <c r="A1177" s="5" t="s">
        <v>1158</v>
      </c>
    </row>
    <row r="1178" ht="15.75" customHeight="1">
      <c r="A1178" s="5" t="s">
        <v>1159</v>
      </c>
    </row>
    <row r="1179" ht="15.75" customHeight="1">
      <c r="A1179" s="5" t="s">
        <v>1160</v>
      </c>
    </row>
    <row r="1180" ht="15.75" customHeight="1">
      <c r="A1180" s="5" t="s">
        <v>1161</v>
      </c>
    </row>
    <row r="1181" ht="15.75" customHeight="1">
      <c r="A1181" s="5" t="s">
        <v>1162</v>
      </c>
    </row>
    <row r="1182" ht="15.75" customHeight="1">
      <c r="A1182" s="5" t="s">
        <v>1163</v>
      </c>
    </row>
    <row r="1183" ht="15.75" customHeight="1">
      <c r="A1183" s="5" t="s">
        <v>1164</v>
      </c>
    </row>
    <row r="1184" ht="15.75" customHeight="1">
      <c r="A1184" s="5" t="s">
        <v>1165</v>
      </c>
    </row>
    <row r="1185" ht="15.75" customHeight="1">
      <c r="A1185" s="5" t="s">
        <v>1166</v>
      </c>
    </row>
    <row r="1186" ht="15.75" customHeight="1">
      <c r="A1186" s="5" t="s">
        <v>1167</v>
      </c>
    </row>
    <row r="1187" ht="15.75" customHeight="1">
      <c r="A1187" s="5" t="s">
        <v>1168</v>
      </c>
    </row>
    <row r="1188" ht="15.75" customHeight="1">
      <c r="A1188" s="5" t="s">
        <v>1169</v>
      </c>
    </row>
    <row r="1189" ht="15.75" customHeight="1">
      <c r="A1189" s="5" t="s">
        <v>1170</v>
      </c>
    </row>
    <row r="1190" ht="15.75" customHeight="1">
      <c r="A1190" s="5" t="s">
        <v>1171</v>
      </c>
    </row>
    <row r="1191" ht="15.75" customHeight="1">
      <c r="A1191" s="5" t="s">
        <v>6402</v>
      </c>
    </row>
    <row r="1192" ht="15.75" customHeight="1">
      <c r="A1192" s="5" t="s">
        <v>1173</v>
      </c>
    </row>
    <row r="1193" ht="15.75" customHeight="1">
      <c r="A1193" s="5" t="s">
        <v>1174</v>
      </c>
    </row>
    <row r="1194" ht="15.75" customHeight="1">
      <c r="A1194" s="5" t="s">
        <v>1175</v>
      </c>
    </row>
    <row r="1195" ht="15.75" customHeight="1">
      <c r="A1195" s="5" t="s">
        <v>1176</v>
      </c>
    </row>
    <row r="1196" ht="15.75" customHeight="1">
      <c r="A1196" s="5" t="s">
        <v>1177</v>
      </c>
    </row>
    <row r="1197" ht="15.75" customHeight="1">
      <c r="A1197" s="5" t="s">
        <v>6403</v>
      </c>
    </row>
    <row r="1198" ht="15.75" customHeight="1">
      <c r="A1198" s="5" t="s">
        <v>1179</v>
      </c>
    </row>
    <row r="1199" ht="15.75" customHeight="1">
      <c r="A1199" s="5" t="s">
        <v>1180</v>
      </c>
    </row>
    <row r="1200" ht="15.75" customHeight="1">
      <c r="A1200" s="5" t="s">
        <v>1181</v>
      </c>
    </row>
    <row r="1201" ht="15.75" customHeight="1">
      <c r="A1201" s="5" t="s">
        <v>6404</v>
      </c>
    </row>
    <row r="1202" ht="15.75" customHeight="1">
      <c r="A1202" s="5" t="s">
        <v>6405</v>
      </c>
    </row>
    <row r="1203" ht="15.75" customHeight="1">
      <c r="A1203" s="5" t="s">
        <v>1184</v>
      </c>
    </row>
    <row r="1204" ht="15.75" customHeight="1">
      <c r="A1204" s="5" t="s">
        <v>1185</v>
      </c>
    </row>
    <row r="1205" ht="15.75" customHeight="1">
      <c r="A1205" s="5" t="s">
        <v>6406</v>
      </c>
    </row>
    <row r="1206" ht="15.75" customHeight="1">
      <c r="A1206" s="5" t="s">
        <v>6407</v>
      </c>
    </row>
    <row r="1207" ht="15.75" customHeight="1">
      <c r="A1207" s="5" t="s">
        <v>1188</v>
      </c>
    </row>
    <row r="1208" ht="15.75" customHeight="1">
      <c r="A1208" s="5" t="s">
        <v>1189</v>
      </c>
    </row>
    <row r="1209" ht="15.75" customHeight="1">
      <c r="A1209" s="5" t="s">
        <v>1190</v>
      </c>
    </row>
    <row r="1210" ht="15.75" customHeight="1">
      <c r="A1210" s="5" t="s">
        <v>6408</v>
      </c>
    </row>
    <row r="1211" ht="15.75" customHeight="1">
      <c r="A1211" s="5" t="s">
        <v>6409</v>
      </c>
    </row>
    <row r="1212" ht="15.75" customHeight="1">
      <c r="A1212" s="5" t="s">
        <v>6410</v>
      </c>
    </row>
    <row r="1213" ht="15.75" customHeight="1">
      <c r="A1213" s="5" t="s">
        <v>6411</v>
      </c>
    </row>
    <row r="1214" ht="15.75" customHeight="1">
      <c r="A1214" s="5" t="s">
        <v>6412</v>
      </c>
    </row>
    <row r="1215" ht="15.75" customHeight="1">
      <c r="A1215" s="5" t="s">
        <v>6413</v>
      </c>
    </row>
    <row r="1216" ht="15.75" customHeight="1">
      <c r="A1216" s="5" t="s">
        <v>1196</v>
      </c>
    </row>
    <row r="1217" ht="15.75" customHeight="1">
      <c r="A1217" s="5" t="s">
        <v>6414</v>
      </c>
    </row>
    <row r="1218" ht="15.75" customHeight="1">
      <c r="A1218" s="5" t="s">
        <v>6415</v>
      </c>
    </row>
    <row r="1219" ht="15.75" customHeight="1">
      <c r="A1219" s="5" t="s">
        <v>1199</v>
      </c>
    </row>
    <row r="1220" ht="15.75" customHeight="1">
      <c r="A1220" s="5" t="s">
        <v>1200</v>
      </c>
    </row>
    <row r="1221" ht="15.75" customHeight="1">
      <c r="A1221" s="5" t="s">
        <v>6416</v>
      </c>
    </row>
    <row r="1222" ht="15.75" customHeight="1">
      <c r="A1222" s="5" t="s">
        <v>6417</v>
      </c>
    </row>
    <row r="1223" ht="15.75" customHeight="1">
      <c r="A1223" s="5" t="s">
        <v>6418</v>
      </c>
    </row>
    <row r="1224" ht="15.75" customHeight="1">
      <c r="A1224" s="5" t="s">
        <v>6419</v>
      </c>
    </row>
    <row r="1225" ht="15.75" customHeight="1">
      <c r="A1225" s="5" t="s">
        <v>6420</v>
      </c>
    </row>
    <row r="1226" ht="15.75" customHeight="1">
      <c r="A1226" s="5" t="s">
        <v>6421</v>
      </c>
    </row>
    <row r="1227" ht="15.75" customHeight="1">
      <c r="A1227" s="5" t="s">
        <v>6422</v>
      </c>
    </row>
    <row r="1228" ht="15.75" customHeight="1">
      <c r="A1228" s="5" t="s">
        <v>6423</v>
      </c>
    </row>
    <row r="1229" ht="15.75" customHeight="1">
      <c r="A1229" s="5" t="s">
        <v>1209</v>
      </c>
    </row>
    <row r="1230" ht="15.75" customHeight="1">
      <c r="A1230" s="5" t="s">
        <v>1210</v>
      </c>
    </row>
    <row r="1231" ht="15.75" customHeight="1">
      <c r="A1231" s="5" t="s">
        <v>6424</v>
      </c>
    </row>
    <row r="1232" ht="15.75" customHeight="1">
      <c r="A1232" s="5" t="s">
        <v>1213</v>
      </c>
    </row>
    <row r="1233" ht="15.75" customHeight="1">
      <c r="A1233" s="5" t="s">
        <v>1214</v>
      </c>
    </row>
    <row r="1234" ht="15.75" customHeight="1">
      <c r="A1234" s="5" t="s">
        <v>1215</v>
      </c>
    </row>
    <row r="1235" ht="15.75" customHeight="1">
      <c r="A1235" s="5" t="s">
        <v>1216</v>
      </c>
    </row>
    <row r="1236" ht="15.75" customHeight="1">
      <c r="A1236" s="5" t="s">
        <v>6425</v>
      </c>
    </row>
    <row r="1237" ht="15.75" customHeight="1">
      <c r="A1237" s="5" t="s">
        <v>6426</v>
      </c>
    </row>
    <row r="1238" ht="15.75" customHeight="1">
      <c r="A1238" s="5" t="s">
        <v>6427</v>
      </c>
    </row>
    <row r="1239" ht="15.75" customHeight="1">
      <c r="A1239" s="5" t="s">
        <v>6428</v>
      </c>
    </row>
    <row r="1240" ht="15.75" customHeight="1">
      <c r="A1240" s="5" t="s">
        <v>1221</v>
      </c>
    </row>
    <row r="1241" ht="15.75" customHeight="1">
      <c r="A1241" s="5" t="s">
        <v>1222</v>
      </c>
    </row>
    <row r="1242" ht="15.75" customHeight="1">
      <c r="A1242" s="5" t="s">
        <v>1223</v>
      </c>
    </row>
    <row r="1243" ht="15.75" customHeight="1">
      <c r="A1243" s="5" t="s">
        <v>6429</v>
      </c>
    </row>
    <row r="1244" ht="15.75" customHeight="1">
      <c r="A1244" s="5" t="s">
        <v>1224</v>
      </c>
    </row>
    <row r="1245" ht="15.75" customHeight="1">
      <c r="A1245" s="5" t="s">
        <v>6430</v>
      </c>
    </row>
    <row r="1246" ht="15.75" customHeight="1">
      <c r="A1246" s="5" t="s">
        <v>6431</v>
      </c>
    </row>
    <row r="1247" ht="15.75" customHeight="1">
      <c r="A1247" s="5" t="s">
        <v>6432</v>
      </c>
    </row>
    <row r="1248" ht="15.75" customHeight="1">
      <c r="A1248" s="5" t="s">
        <v>1228</v>
      </c>
    </row>
    <row r="1249" ht="15.75" customHeight="1">
      <c r="A1249" s="5" t="s">
        <v>1229</v>
      </c>
    </row>
    <row r="1250" ht="15.75" customHeight="1">
      <c r="A1250" s="5" t="s">
        <v>1230</v>
      </c>
    </row>
    <row r="1251" ht="15.75" customHeight="1">
      <c r="A1251" s="5" t="s">
        <v>1231</v>
      </c>
    </row>
    <row r="1252" ht="15.75" customHeight="1">
      <c r="A1252" s="5" t="s">
        <v>6433</v>
      </c>
    </row>
    <row r="1253" ht="15.75" customHeight="1">
      <c r="A1253" s="5" t="s">
        <v>6434</v>
      </c>
    </row>
    <row r="1254" ht="15.75" customHeight="1">
      <c r="A1254" s="5" t="s">
        <v>1234</v>
      </c>
    </row>
    <row r="1255" ht="15.75" customHeight="1">
      <c r="A1255" s="5" t="s">
        <v>6435</v>
      </c>
    </row>
    <row r="1256" ht="15.75" customHeight="1">
      <c r="A1256" s="5" t="s">
        <v>6436</v>
      </c>
    </row>
    <row r="1257" ht="15.75" customHeight="1">
      <c r="A1257" s="5" t="s">
        <v>1237</v>
      </c>
    </row>
    <row r="1258" ht="15.75" customHeight="1">
      <c r="A1258" s="5" t="s">
        <v>1238</v>
      </c>
    </row>
    <row r="1259" ht="15.75" customHeight="1">
      <c r="A1259" s="5" t="s">
        <v>1239</v>
      </c>
    </row>
    <row r="1260" ht="15.75" customHeight="1">
      <c r="A1260" s="5" t="s">
        <v>1240</v>
      </c>
    </row>
    <row r="1261" ht="15.75" customHeight="1">
      <c r="A1261" s="5" t="s">
        <v>1241</v>
      </c>
    </row>
    <row r="1262" ht="15.75" customHeight="1">
      <c r="A1262" s="5" t="s">
        <v>6437</v>
      </c>
    </row>
    <row r="1263" ht="15.75" customHeight="1">
      <c r="A1263" s="5" t="s">
        <v>6438</v>
      </c>
    </row>
    <row r="1264" ht="15.75" customHeight="1">
      <c r="A1264" s="5" t="s">
        <v>6439</v>
      </c>
    </row>
    <row r="1265" ht="15.75" customHeight="1">
      <c r="A1265" s="5" t="s">
        <v>6440</v>
      </c>
    </row>
    <row r="1266" ht="15.75" customHeight="1">
      <c r="A1266" s="5" t="s">
        <v>6441</v>
      </c>
    </row>
    <row r="1267" ht="15.75" customHeight="1">
      <c r="A1267" s="5" t="s">
        <v>1247</v>
      </c>
    </row>
    <row r="1268" ht="15.75" customHeight="1">
      <c r="A1268" s="5" t="s">
        <v>1248</v>
      </c>
    </row>
    <row r="1269" ht="15.75" customHeight="1">
      <c r="A1269" s="5" t="s">
        <v>1249</v>
      </c>
    </row>
    <row r="1270" ht="15.75" customHeight="1">
      <c r="A1270" s="5" t="s">
        <v>1250</v>
      </c>
    </row>
    <row r="1271" ht="15.75" customHeight="1">
      <c r="A1271" s="5" t="s">
        <v>6442</v>
      </c>
    </row>
    <row r="1272" ht="15.75" customHeight="1">
      <c r="A1272" s="5" t="s">
        <v>6443</v>
      </c>
    </row>
    <row r="1273" ht="15.75" customHeight="1">
      <c r="A1273" s="5" t="s">
        <v>1253</v>
      </c>
    </row>
    <row r="1274" ht="15.75" customHeight="1">
      <c r="A1274" s="5" t="s">
        <v>1254</v>
      </c>
    </row>
    <row r="1275" ht="15.75" customHeight="1">
      <c r="A1275" s="5" t="s">
        <v>6444</v>
      </c>
    </row>
    <row r="1276" ht="15.75" customHeight="1">
      <c r="A1276" s="5" t="s">
        <v>6445</v>
      </c>
    </row>
    <row r="1277" ht="15.75" customHeight="1">
      <c r="A1277" s="5" t="s">
        <v>6446</v>
      </c>
    </row>
    <row r="1278" ht="15.75" customHeight="1">
      <c r="A1278" s="5" t="s">
        <v>6447</v>
      </c>
    </row>
    <row r="1279" ht="15.75" customHeight="1">
      <c r="A1279" s="5" t="s">
        <v>6448</v>
      </c>
    </row>
    <row r="1280" ht="15.75" customHeight="1">
      <c r="A1280" s="5" t="s">
        <v>6449</v>
      </c>
    </row>
    <row r="1281" ht="15.75" customHeight="1">
      <c r="A1281" s="5" t="s">
        <v>6450</v>
      </c>
    </row>
    <row r="1282" ht="15.75" customHeight="1">
      <c r="A1282" s="5" t="s">
        <v>1261</v>
      </c>
    </row>
    <row r="1283" ht="15.75" customHeight="1">
      <c r="A1283" s="5" t="s">
        <v>1262</v>
      </c>
    </row>
    <row r="1284" ht="15.75" customHeight="1">
      <c r="A1284" s="5" t="s">
        <v>1263</v>
      </c>
    </row>
    <row r="1285" ht="15.75" customHeight="1">
      <c r="A1285" s="5" t="s">
        <v>1264</v>
      </c>
    </row>
    <row r="1286" ht="15.75" customHeight="1">
      <c r="A1286" s="5" t="s">
        <v>1265</v>
      </c>
    </row>
    <row r="1287" ht="15.75" customHeight="1">
      <c r="A1287" s="5" t="s">
        <v>1266</v>
      </c>
    </row>
    <row r="1288" ht="15.75" customHeight="1">
      <c r="A1288" s="5" t="s">
        <v>1267</v>
      </c>
    </row>
    <row r="1289" ht="15.75" customHeight="1">
      <c r="A1289" s="5" t="s">
        <v>1268</v>
      </c>
    </row>
    <row r="1290" ht="15.75" customHeight="1">
      <c r="A1290" s="5" t="s">
        <v>6451</v>
      </c>
    </row>
    <row r="1291" ht="15.75" customHeight="1">
      <c r="A1291" s="5" t="s">
        <v>6452</v>
      </c>
    </row>
    <row r="1292" ht="15.75" customHeight="1">
      <c r="A1292" s="5" t="s">
        <v>6453</v>
      </c>
    </row>
    <row r="1293" ht="15.75" customHeight="1">
      <c r="A1293" s="5" t="s">
        <v>6454</v>
      </c>
    </row>
    <row r="1294" ht="15.75" customHeight="1">
      <c r="A1294" s="5" t="s">
        <v>6455</v>
      </c>
    </row>
    <row r="1295" ht="15.75" customHeight="1">
      <c r="A1295" s="5" t="s">
        <v>1274</v>
      </c>
    </row>
    <row r="1296" ht="15.75" customHeight="1">
      <c r="A1296" s="5" t="s">
        <v>1275</v>
      </c>
    </row>
    <row r="1297" ht="15.75" customHeight="1">
      <c r="A1297" s="5" t="s">
        <v>1276</v>
      </c>
    </row>
    <row r="1298" ht="15.75" customHeight="1">
      <c r="A1298" s="5" t="s">
        <v>6456</v>
      </c>
    </row>
    <row r="1299" ht="15.75" customHeight="1">
      <c r="A1299" s="5" t="s">
        <v>6457</v>
      </c>
    </row>
    <row r="1300" ht="15.75" customHeight="1">
      <c r="A1300" s="5" t="s">
        <v>6458</v>
      </c>
    </row>
    <row r="1301" ht="15.75" customHeight="1">
      <c r="A1301" s="5" t="s">
        <v>6459</v>
      </c>
    </row>
    <row r="1302" ht="15.75" customHeight="1">
      <c r="A1302" s="5" t="s">
        <v>6460</v>
      </c>
    </row>
    <row r="1303" ht="15.75" customHeight="1">
      <c r="A1303" s="5" t="s">
        <v>6461</v>
      </c>
    </row>
    <row r="1304" ht="15.75" customHeight="1">
      <c r="A1304" s="5" t="s">
        <v>6462</v>
      </c>
    </row>
    <row r="1305" ht="15.75" customHeight="1">
      <c r="A1305" s="5" t="s">
        <v>6463</v>
      </c>
    </row>
    <row r="1306" ht="15.75" customHeight="1">
      <c r="A1306" s="5" t="s">
        <v>6464</v>
      </c>
    </row>
    <row r="1307" ht="15.75" customHeight="1">
      <c r="A1307" s="5" t="s">
        <v>6465</v>
      </c>
    </row>
    <row r="1308" ht="15.75" customHeight="1">
      <c r="A1308" s="5" t="s">
        <v>1285</v>
      </c>
    </row>
    <row r="1309" ht="15.75" customHeight="1">
      <c r="A1309" s="5" t="s">
        <v>1286</v>
      </c>
    </row>
    <row r="1310" ht="15.75" customHeight="1">
      <c r="A1310" s="5" t="s">
        <v>1287</v>
      </c>
    </row>
    <row r="1311" ht="15.75" customHeight="1">
      <c r="A1311" s="5" t="s">
        <v>1288</v>
      </c>
    </row>
    <row r="1312" ht="15.75" customHeight="1">
      <c r="A1312" s="5" t="s">
        <v>1289</v>
      </c>
    </row>
    <row r="1313" ht="15.75" customHeight="1">
      <c r="A1313" s="5" t="s">
        <v>1290</v>
      </c>
    </row>
    <row r="1314" ht="15.75" customHeight="1">
      <c r="A1314" s="5" t="s">
        <v>1291</v>
      </c>
    </row>
    <row r="1315" ht="15.75" customHeight="1">
      <c r="A1315" s="5" t="s">
        <v>1292</v>
      </c>
    </row>
    <row r="1316" ht="15.75" customHeight="1">
      <c r="A1316" s="5" t="s">
        <v>1293</v>
      </c>
    </row>
    <row r="1317" ht="15.75" customHeight="1">
      <c r="A1317" s="5" t="s">
        <v>6466</v>
      </c>
    </row>
    <row r="1318" ht="15.75" customHeight="1">
      <c r="A1318" s="5" t="s">
        <v>1295</v>
      </c>
    </row>
    <row r="1319" ht="15.75" customHeight="1">
      <c r="A1319" s="5" t="s">
        <v>1296</v>
      </c>
    </row>
    <row r="1320" ht="15.75" customHeight="1">
      <c r="A1320" s="5" t="s">
        <v>1297</v>
      </c>
    </row>
    <row r="1321" ht="15.75" customHeight="1">
      <c r="A1321" s="5" t="s">
        <v>6467</v>
      </c>
    </row>
    <row r="1322" ht="15.75" customHeight="1">
      <c r="A1322" s="5" t="s">
        <v>1299</v>
      </c>
    </row>
    <row r="1323" ht="15.75" customHeight="1">
      <c r="A1323" s="5" t="s">
        <v>6468</v>
      </c>
    </row>
    <row r="1324" ht="15.75" customHeight="1">
      <c r="A1324" s="5" t="s">
        <v>6469</v>
      </c>
    </row>
    <row r="1325" ht="15.75" customHeight="1">
      <c r="A1325" s="5" t="s">
        <v>6470</v>
      </c>
    </row>
    <row r="1326" ht="15.75" customHeight="1">
      <c r="A1326" s="5" t="s">
        <v>6471</v>
      </c>
    </row>
    <row r="1327" ht="15.75" customHeight="1">
      <c r="A1327" s="5" t="s">
        <v>1303</v>
      </c>
    </row>
    <row r="1328" ht="15.75" customHeight="1">
      <c r="A1328" s="5" t="s">
        <v>1304</v>
      </c>
    </row>
    <row r="1329" ht="15.75" customHeight="1">
      <c r="A1329" s="5" t="s">
        <v>1305</v>
      </c>
    </row>
    <row r="1330" ht="15.75" customHeight="1">
      <c r="A1330" s="5" t="s">
        <v>6472</v>
      </c>
    </row>
    <row r="1331" ht="15.75" customHeight="1">
      <c r="A1331" s="5" t="s">
        <v>1307</v>
      </c>
    </row>
    <row r="1332" ht="15.75" customHeight="1">
      <c r="A1332" s="5" t="s">
        <v>1308</v>
      </c>
    </row>
    <row r="1333" ht="15.75" customHeight="1">
      <c r="A1333" s="5" t="s">
        <v>1309</v>
      </c>
    </row>
    <row r="1334" ht="15.75" customHeight="1">
      <c r="A1334" s="5" t="s">
        <v>1310</v>
      </c>
    </row>
    <row r="1335" ht="15.75" customHeight="1">
      <c r="A1335" s="5" t="s">
        <v>1311</v>
      </c>
    </row>
    <row r="1336" ht="15.75" customHeight="1">
      <c r="A1336" s="5" t="s">
        <v>1312</v>
      </c>
    </row>
    <row r="1337" ht="15.75" customHeight="1">
      <c r="A1337" s="5" t="s">
        <v>6473</v>
      </c>
    </row>
    <row r="1338" ht="15.75" customHeight="1">
      <c r="A1338" s="5" t="s">
        <v>6474</v>
      </c>
    </row>
    <row r="1339" ht="15.75" customHeight="1">
      <c r="A1339" s="5" t="s">
        <v>6475</v>
      </c>
    </row>
    <row r="1340" ht="15.75" customHeight="1">
      <c r="A1340" s="5" t="s">
        <v>6476</v>
      </c>
    </row>
    <row r="1341" ht="15.75" customHeight="1">
      <c r="A1341" s="5" t="s">
        <v>6477</v>
      </c>
    </row>
    <row r="1342" ht="15.75" customHeight="1">
      <c r="A1342" s="5" t="s">
        <v>1318</v>
      </c>
    </row>
    <row r="1343" ht="15.75" customHeight="1">
      <c r="A1343" s="5" t="s">
        <v>6478</v>
      </c>
    </row>
    <row r="1344" ht="15.75" customHeight="1">
      <c r="A1344" s="5" t="s">
        <v>1320</v>
      </c>
    </row>
    <row r="1345" ht="15.75" customHeight="1">
      <c r="A1345" s="5" t="s">
        <v>1321</v>
      </c>
    </row>
    <row r="1346" ht="15.75" customHeight="1">
      <c r="A1346" s="5" t="s">
        <v>1322</v>
      </c>
    </row>
    <row r="1347" ht="15.75" customHeight="1">
      <c r="A1347" s="5" t="s">
        <v>1323</v>
      </c>
    </row>
    <row r="1348" ht="15.75" customHeight="1">
      <c r="A1348" s="5" t="s">
        <v>1324</v>
      </c>
    </row>
    <row r="1349" ht="15.75" customHeight="1">
      <c r="A1349" s="5" t="s">
        <v>1325</v>
      </c>
    </row>
    <row r="1350" ht="15.75" customHeight="1">
      <c r="A1350" s="5" t="s">
        <v>1326</v>
      </c>
    </row>
    <row r="1351" ht="15.75" customHeight="1">
      <c r="A1351" s="5" t="s">
        <v>1327</v>
      </c>
    </row>
    <row r="1352" ht="15.75" customHeight="1">
      <c r="A1352" s="5" t="s">
        <v>1328</v>
      </c>
    </row>
    <row r="1353" ht="15.75" customHeight="1">
      <c r="A1353" s="5" t="s">
        <v>6479</v>
      </c>
    </row>
    <row r="1354" ht="15.75" customHeight="1">
      <c r="A1354" s="5" t="s">
        <v>1330</v>
      </c>
    </row>
    <row r="1355" ht="15.75" customHeight="1">
      <c r="A1355" s="5" t="s">
        <v>6480</v>
      </c>
    </row>
    <row r="1356" ht="15.75" customHeight="1">
      <c r="A1356" s="5" t="s">
        <v>6481</v>
      </c>
    </row>
    <row r="1357" ht="15.75" customHeight="1">
      <c r="A1357" s="5" t="s">
        <v>6482</v>
      </c>
    </row>
    <row r="1358" ht="15.75" customHeight="1">
      <c r="A1358" s="5" t="s">
        <v>6483</v>
      </c>
    </row>
    <row r="1359" ht="15.75" customHeight="1">
      <c r="A1359" s="5" t="s">
        <v>6484</v>
      </c>
    </row>
    <row r="1360" ht="15.75" customHeight="1">
      <c r="A1360" s="5" t="s">
        <v>1338</v>
      </c>
    </row>
    <row r="1361" ht="15.75" customHeight="1">
      <c r="A1361" s="5" t="s">
        <v>1339</v>
      </c>
    </row>
    <row r="1362" ht="15.75" customHeight="1">
      <c r="A1362" s="5" t="s">
        <v>1340</v>
      </c>
    </row>
    <row r="1363" ht="15.75" customHeight="1">
      <c r="A1363" s="5" t="s">
        <v>6485</v>
      </c>
    </row>
    <row r="1364" ht="15.75" customHeight="1">
      <c r="A1364" s="5" t="s">
        <v>6486</v>
      </c>
    </row>
    <row r="1365" ht="15.75" customHeight="1">
      <c r="A1365" s="5" t="s">
        <v>6487</v>
      </c>
    </row>
    <row r="1366" ht="15.75" customHeight="1">
      <c r="A1366" s="5" t="s">
        <v>6488</v>
      </c>
    </row>
    <row r="1367" ht="15.75" customHeight="1">
      <c r="A1367" s="5" t="s">
        <v>1344</v>
      </c>
    </row>
    <row r="1368" ht="15.75" customHeight="1">
      <c r="A1368" s="5" t="s">
        <v>1345</v>
      </c>
    </row>
    <row r="1369" ht="15.75" customHeight="1">
      <c r="A1369" s="5" t="s">
        <v>1346</v>
      </c>
    </row>
    <row r="1370" ht="15.75" customHeight="1">
      <c r="A1370" s="5" t="s">
        <v>1347</v>
      </c>
    </row>
    <row r="1371" ht="15.75" customHeight="1">
      <c r="A1371" s="5" t="s">
        <v>1348</v>
      </c>
    </row>
    <row r="1372" ht="15.75" customHeight="1">
      <c r="A1372" s="5" t="s">
        <v>6489</v>
      </c>
    </row>
    <row r="1373" ht="15.75" customHeight="1">
      <c r="A1373" s="5" t="s">
        <v>1350</v>
      </c>
    </row>
    <row r="1374" ht="15.75" customHeight="1">
      <c r="A1374" s="5" t="s">
        <v>1351</v>
      </c>
    </row>
    <row r="1375" ht="15.75" customHeight="1">
      <c r="A1375" s="5" t="s">
        <v>1352</v>
      </c>
    </row>
    <row r="1376" ht="15.75" customHeight="1">
      <c r="A1376" s="5" t="s">
        <v>1353</v>
      </c>
    </row>
    <row r="1377" ht="15.75" customHeight="1">
      <c r="A1377" s="5" t="s">
        <v>6490</v>
      </c>
    </row>
    <row r="1378" ht="15.75" customHeight="1">
      <c r="A1378" s="5" t="s">
        <v>1355</v>
      </c>
    </row>
    <row r="1379" ht="15.75" customHeight="1">
      <c r="A1379" s="5" t="s">
        <v>6491</v>
      </c>
    </row>
    <row r="1380" ht="15.75" customHeight="1">
      <c r="A1380" s="5" t="s">
        <v>6492</v>
      </c>
    </row>
    <row r="1381" ht="15.75" customHeight="1">
      <c r="A1381" s="5" t="s">
        <v>6493</v>
      </c>
    </row>
    <row r="1382" ht="15.75" customHeight="1">
      <c r="A1382" s="5" t="s">
        <v>6494</v>
      </c>
    </row>
    <row r="1383" ht="15.75" customHeight="1">
      <c r="A1383" s="5" t="s">
        <v>6495</v>
      </c>
    </row>
    <row r="1384" ht="15.75" customHeight="1">
      <c r="A1384" s="5" t="s">
        <v>1361</v>
      </c>
    </row>
    <row r="1385" ht="15.75" customHeight="1">
      <c r="A1385" s="5" t="s">
        <v>6496</v>
      </c>
    </row>
    <row r="1386" ht="15.75" customHeight="1">
      <c r="A1386" s="5" t="s">
        <v>1363</v>
      </c>
    </row>
    <row r="1387" ht="15.75" customHeight="1">
      <c r="A1387" s="5" t="s">
        <v>6497</v>
      </c>
    </row>
    <row r="1388" ht="15.75" customHeight="1">
      <c r="A1388" s="5" t="s">
        <v>6498</v>
      </c>
    </row>
    <row r="1389" ht="15.75" customHeight="1">
      <c r="A1389" s="5" t="s">
        <v>6499</v>
      </c>
    </row>
    <row r="1390" ht="15.75" customHeight="1">
      <c r="A1390" s="5" t="s">
        <v>1367</v>
      </c>
    </row>
    <row r="1391" ht="15.75" customHeight="1">
      <c r="A1391" s="5" t="s">
        <v>397</v>
      </c>
    </row>
    <row r="1392" ht="15.75" customHeight="1">
      <c r="A1392" s="5" t="s">
        <v>779</v>
      </c>
    </row>
    <row r="1393" ht="15.75" customHeight="1">
      <c r="A1393" s="5"/>
    </row>
    <row r="1394" ht="15.75" customHeight="1">
      <c r="A1394" s="5" t="s">
        <v>6500</v>
      </c>
    </row>
    <row r="1395" ht="15.75" customHeight="1">
      <c r="A1395" s="5" t="s">
        <v>6501</v>
      </c>
    </row>
    <row r="1396" ht="15.75" customHeight="1">
      <c r="A1396" s="5" t="s">
        <v>6502</v>
      </c>
    </row>
    <row r="1397" ht="15.75" customHeight="1">
      <c r="A1397" s="5" t="s">
        <v>6503</v>
      </c>
    </row>
    <row r="1398" ht="15.75" customHeight="1">
      <c r="A1398" s="5" t="s">
        <v>6504</v>
      </c>
    </row>
    <row r="1399" ht="15.75" customHeight="1">
      <c r="A1399" s="5" t="s">
        <v>6505</v>
      </c>
    </row>
    <row r="1400" ht="15.75" customHeight="1">
      <c r="A1400" s="5" t="s">
        <v>6506</v>
      </c>
    </row>
    <row r="1401" ht="15.75" customHeight="1">
      <c r="A1401" s="5" t="s">
        <v>6507</v>
      </c>
    </row>
    <row r="1402" ht="15.75" customHeight="1">
      <c r="A1402" s="5" t="s">
        <v>6508</v>
      </c>
    </row>
    <row r="1403" ht="15.75" customHeight="1">
      <c r="A1403" s="5" t="s">
        <v>6509</v>
      </c>
    </row>
    <row r="1404" ht="15.75" customHeight="1">
      <c r="A1404" s="5" t="s">
        <v>6510</v>
      </c>
    </row>
    <row r="1405" ht="15.75" customHeight="1">
      <c r="A1405" s="5" t="s">
        <v>6511</v>
      </c>
    </row>
    <row r="1406" ht="15.75" customHeight="1">
      <c r="A1406" s="5" t="s">
        <v>6512</v>
      </c>
    </row>
    <row r="1407" ht="15.75" customHeight="1">
      <c r="A1407" s="5" t="s">
        <v>6513</v>
      </c>
    </row>
    <row r="1408" ht="15.75" customHeight="1">
      <c r="A1408" s="5" t="s">
        <v>6514</v>
      </c>
    </row>
    <row r="1409" ht="15.75" customHeight="1">
      <c r="A1409" s="5" t="s">
        <v>6515</v>
      </c>
    </row>
    <row r="1410" ht="15.75" customHeight="1">
      <c r="A1410" s="5" t="s">
        <v>6516</v>
      </c>
    </row>
    <row r="1411" ht="15.75" customHeight="1">
      <c r="A1411" s="5" t="s">
        <v>6517</v>
      </c>
    </row>
    <row r="1412" ht="15.75" customHeight="1">
      <c r="A1412" s="5" t="s">
        <v>6518</v>
      </c>
    </row>
    <row r="1413" ht="15.75" customHeight="1">
      <c r="A1413" s="5" t="s">
        <v>6519</v>
      </c>
    </row>
    <row r="1414" ht="15.75" customHeight="1">
      <c r="A1414" s="5" t="s">
        <v>6520</v>
      </c>
    </row>
    <row r="1415" ht="15.75" customHeight="1">
      <c r="A1415" s="5" t="s">
        <v>6521</v>
      </c>
    </row>
    <row r="1416" ht="15.75" customHeight="1">
      <c r="A1416" s="5" t="s">
        <v>6522</v>
      </c>
    </row>
    <row r="1417" ht="15.75" customHeight="1">
      <c r="A1417" s="5" t="s">
        <v>6523</v>
      </c>
    </row>
    <row r="1418" ht="15.75" customHeight="1">
      <c r="A1418" s="5" t="s">
        <v>6524</v>
      </c>
    </row>
    <row r="1419" ht="15.75" customHeight="1">
      <c r="A1419" s="5" t="s">
        <v>6525</v>
      </c>
    </row>
    <row r="1420" ht="15.75" customHeight="1">
      <c r="A1420" s="5" t="s">
        <v>6526</v>
      </c>
    </row>
    <row r="1421" ht="15.75" customHeight="1">
      <c r="A1421" s="5" t="s">
        <v>6527</v>
      </c>
    </row>
    <row r="1422" ht="15.75" customHeight="1">
      <c r="A1422" s="5" t="s">
        <v>6528</v>
      </c>
    </row>
    <row r="1423" ht="15.75" customHeight="1">
      <c r="A1423" s="5" t="s">
        <v>6529</v>
      </c>
    </row>
    <row r="1424" ht="15.75" customHeight="1">
      <c r="A1424" s="5" t="s">
        <v>6530</v>
      </c>
    </row>
    <row r="1425" ht="15.75" customHeight="1">
      <c r="A1425" s="5" t="s">
        <v>6531</v>
      </c>
    </row>
    <row r="1426" ht="15.75" customHeight="1">
      <c r="A1426" s="5" t="s">
        <v>6532</v>
      </c>
    </row>
    <row r="1427" ht="15.75" customHeight="1">
      <c r="A1427" s="5" t="s">
        <v>6533</v>
      </c>
    </row>
    <row r="1428" ht="15.75" customHeight="1">
      <c r="A1428" s="5" t="s">
        <v>6534</v>
      </c>
    </row>
    <row r="1429" ht="15.75" customHeight="1">
      <c r="A1429" s="5" t="s">
        <v>6535</v>
      </c>
    </row>
    <row r="1430" ht="15.75" customHeight="1">
      <c r="A1430" s="5" t="s">
        <v>6536</v>
      </c>
    </row>
    <row r="1431" ht="15.75" customHeight="1">
      <c r="A1431" s="5" t="s">
        <v>6537</v>
      </c>
    </row>
    <row r="1432" ht="15.75" customHeight="1">
      <c r="A1432" s="5" t="s">
        <v>6538</v>
      </c>
    </row>
    <row r="1433" ht="15.75" customHeight="1">
      <c r="A1433" s="5" t="s">
        <v>6539</v>
      </c>
    </row>
    <row r="1434" ht="15.75" customHeight="1">
      <c r="A1434" s="5" t="s">
        <v>6540</v>
      </c>
    </row>
    <row r="1435" ht="15.75" customHeight="1">
      <c r="A1435" s="5" t="s">
        <v>6541</v>
      </c>
    </row>
    <row r="1436" ht="15.75" customHeight="1">
      <c r="A1436" s="5" t="s">
        <v>6542</v>
      </c>
    </row>
    <row r="1437" ht="15.75" customHeight="1">
      <c r="A1437" s="5" t="s">
        <v>6543</v>
      </c>
    </row>
    <row r="1438" ht="15.75" customHeight="1">
      <c r="A1438" s="5" t="s">
        <v>6544</v>
      </c>
    </row>
    <row r="1439" ht="15.75" customHeight="1">
      <c r="A1439" s="5" t="s">
        <v>6545</v>
      </c>
    </row>
    <row r="1440" ht="15.75" customHeight="1">
      <c r="A1440" s="5" t="s">
        <v>6546</v>
      </c>
    </row>
    <row r="1441" ht="15.75" customHeight="1">
      <c r="A1441" s="5" t="s">
        <v>6547</v>
      </c>
    </row>
    <row r="1442" ht="15.75" customHeight="1">
      <c r="A1442" s="5" t="s">
        <v>6548</v>
      </c>
    </row>
    <row r="1443" ht="15.75" customHeight="1">
      <c r="A1443" s="5" t="s">
        <v>6549</v>
      </c>
    </row>
    <row r="1444" ht="15.75" customHeight="1">
      <c r="A1444" s="5" t="s">
        <v>6550</v>
      </c>
    </row>
    <row r="1445" ht="15.75" customHeight="1">
      <c r="A1445" s="5" t="s">
        <v>6551</v>
      </c>
    </row>
    <row r="1446" ht="15.75" customHeight="1">
      <c r="A1446" s="5" t="s">
        <v>6552</v>
      </c>
    </row>
    <row r="1447" ht="15.75" customHeight="1">
      <c r="A1447" s="5" t="s">
        <v>6553</v>
      </c>
    </row>
    <row r="1448" ht="15.75" customHeight="1">
      <c r="A1448" s="5" t="s">
        <v>6554</v>
      </c>
    </row>
    <row r="1449" ht="15.75" customHeight="1">
      <c r="A1449" s="5" t="s">
        <v>6555</v>
      </c>
    </row>
    <row r="1450" ht="15.75" customHeight="1">
      <c r="A1450" s="5" t="s">
        <v>6556</v>
      </c>
    </row>
    <row r="1451" ht="15.75" customHeight="1">
      <c r="A1451" s="5" t="s">
        <v>6557</v>
      </c>
    </row>
    <row r="1452" ht="15.75" customHeight="1">
      <c r="A1452" s="5" t="s">
        <v>6558</v>
      </c>
    </row>
    <row r="1453" ht="15.75" customHeight="1">
      <c r="A1453" s="5" t="s">
        <v>6559</v>
      </c>
    </row>
    <row r="1454" ht="15.75" customHeight="1">
      <c r="A1454" s="5" t="s">
        <v>6560</v>
      </c>
    </row>
    <row r="1455" ht="15.75" customHeight="1">
      <c r="A1455" s="5" t="s">
        <v>6561</v>
      </c>
    </row>
    <row r="1456" ht="15.75" customHeight="1">
      <c r="A1456" s="5" t="s">
        <v>6562</v>
      </c>
    </row>
    <row r="1457" ht="15.75" customHeight="1">
      <c r="A1457" s="5" t="s">
        <v>6563</v>
      </c>
    </row>
    <row r="1458" ht="15.75" customHeight="1">
      <c r="A1458" s="5" t="s">
        <v>6564</v>
      </c>
    </row>
    <row r="1459" ht="15.75" customHeight="1">
      <c r="A1459" s="5" t="s">
        <v>6565</v>
      </c>
    </row>
    <row r="1460" ht="15.75" customHeight="1">
      <c r="A1460" s="5" t="s">
        <v>6566</v>
      </c>
    </row>
    <row r="1461" ht="15.75" customHeight="1">
      <c r="A1461" s="5" t="s">
        <v>6567</v>
      </c>
    </row>
    <row r="1462" ht="15.75" customHeight="1">
      <c r="A1462" s="5" t="s">
        <v>6568</v>
      </c>
    </row>
    <row r="1463" ht="15.75" customHeight="1">
      <c r="A1463" s="5" t="s">
        <v>6569</v>
      </c>
    </row>
    <row r="1464" ht="15.75" customHeight="1">
      <c r="A1464" s="5" t="s">
        <v>6570</v>
      </c>
    </row>
    <row r="1465" ht="15.75" customHeight="1">
      <c r="A1465" s="5" t="s">
        <v>6571</v>
      </c>
    </row>
    <row r="1466" ht="15.75" customHeight="1">
      <c r="A1466" s="5" t="s">
        <v>6572</v>
      </c>
    </row>
    <row r="1467" ht="15.75" customHeight="1">
      <c r="A1467" s="5" t="s">
        <v>6573</v>
      </c>
    </row>
    <row r="1468" ht="15.75" customHeight="1">
      <c r="A1468" s="5" t="s">
        <v>6574</v>
      </c>
    </row>
    <row r="1469" ht="15.75" customHeight="1">
      <c r="A1469" s="5" t="s">
        <v>6575</v>
      </c>
    </row>
    <row r="1470" ht="15.75" customHeight="1">
      <c r="A1470" s="5" t="s">
        <v>6576</v>
      </c>
    </row>
    <row r="1471" ht="15.75" customHeight="1">
      <c r="A1471" s="5" t="s">
        <v>6577</v>
      </c>
    </row>
    <row r="1472" ht="15.75" customHeight="1">
      <c r="A1472" s="5" t="s">
        <v>6578</v>
      </c>
    </row>
    <row r="1473" ht="15.75" customHeight="1">
      <c r="A1473" s="5" t="s">
        <v>6579</v>
      </c>
    </row>
    <row r="1474" ht="15.75" customHeight="1">
      <c r="A1474" s="5" t="s">
        <v>6580</v>
      </c>
    </row>
    <row r="1475" ht="15.75" customHeight="1">
      <c r="A1475" s="5" t="s">
        <v>6581</v>
      </c>
    </row>
    <row r="1476" ht="15.75" customHeight="1">
      <c r="A1476" s="5" t="s">
        <v>6582</v>
      </c>
    </row>
    <row r="1477" ht="15.75" customHeight="1">
      <c r="A1477" s="5" t="s">
        <v>6583</v>
      </c>
    </row>
    <row r="1478" ht="15.75" customHeight="1">
      <c r="A1478" s="5" t="s">
        <v>6584</v>
      </c>
    </row>
    <row r="1479" ht="15.75" customHeight="1">
      <c r="A1479" s="5" t="s">
        <v>6585</v>
      </c>
    </row>
    <row r="1480" ht="15.75" customHeight="1">
      <c r="A1480" s="5" t="s">
        <v>6586</v>
      </c>
    </row>
    <row r="1481" ht="15.75" customHeight="1">
      <c r="A1481" s="5" t="s">
        <v>6587</v>
      </c>
    </row>
    <row r="1482" ht="15.75" customHeight="1">
      <c r="A1482" s="5" t="s">
        <v>6588</v>
      </c>
    </row>
    <row r="1483" ht="15.75" customHeight="1">
      <c r="A1483" s="5" t="s">
        <v>6589</v>
      </c>
    </row>
    <row r="1484" ht="15.75" customHeight="1">
      <c r="A1484" s="5" t="s">
        <v>6590</v>
      </c>
    </row>
    <row r="1485" ht="15.75" customHeight="1">
      <c r="A1485" s="5" t="s">
        <v>6591</v>
      </c>
    </row>
    <row r="1486" ht="15.75" customHeight="1">
      <c r="A1486" s="5" t="s">
        <v>6592</v>
      </c>
    </row>
    <row r="1487" ht="15.75" customHeight="1">
      <c r="A1487" s="5" t="s">
        <v>6593</v>
      </c>
    </row>
    <row r="1488" ht="15.75" customHeight="1">
      <c r="A1488" s="5" t="s">
        <v>6594</v>
      </c>
    </row>
    <row r="1489" ht="15.75" customHeight="1">
      <c r="A1489" s="5" t="s">
        <v>6595</v>
      </c>
    </row>
    <row r="1490" ht="15.75" customHeight="1">
      <c r="A1490" s="5" t="s">
        <v>6596</v>
      </c>
    </row>
    <row r="1491" ht="15.75" customHeight="1">
      <c r="A1491" s="5" t="s">
        <v>6597</v>
      </c>
    </row>
    <row r="1492" ht="15.75" customHeight="1">
      <c r="A1492" s="5" t="s">
        <v>6598</v>
      </c>
    </row>
    <row r="1493" ht="15.75" customHeight="1">
      <c r="A1493" s="5" t="s">
        <v>6599</v>
      </c>
    </row>
    <row r="1494" ht="15.75" customHeight="1">
      <c r="A1494" s="5" t="s">
        <v>6600</v>
      </c>
    </row>
    <row r="1495" ht="15.75" customHeight="1">
      <c r="A1495" s="5" t="s">
        <v>6601</v>
      </c>
    </row>
    <row r="1496" ht="15.75" customHeight="1">
      <c r="A1496" s="5" t="s">
        <v>6602</v>
      </c>
    </row>
    <row r="1497" ht="15.75" customHeight="1">
      <c r="A1497" s="5" t="s">
        <v>6603</v>
      </c>
    </row>
    <row r="1498" ht="15.75" customHeight="1">
      <c r="A1498" s="5" t="s">
        <v>6604</v>
      </c>
    </row>
    <row r="1499" ht="15.75" customHeight="1">
      <c r="A1499" s="5" t="s">
        <v>6605</v>
      </c>
    </row>
    <row r="1500" ht="15.75" customHeight="1">
      <c r="A1500" s="5" t="s">
        <v>6606</v>
      </c>
    </row>
    <row r="1501" ht="15.75" customHeight="1">
      <c r="A1501" s="5" t="s">
        <v>6607</v>
      </c>
    </row>
    <row r="1502" ht="15.75" customHeight="1">
      <c r="A1502" s="5" t="s">
        <v>6608</v>
      </c>
    </row>
    <row r="1503" ht="15.75" customHeight="1">
      <c r="A1503" s="5" t="s">
        <v>6609</v>
      </c>
    </row>
    <row r="1504" ht="15.75" customHeight="1">
      <c r="A1504" s="5" t="s">
        <v>6610</v>
      </c>
    </row>
    <row r="1505" ht="15.75" customHeight="1">
      <c r="A1505" s="5" t="s">
        <v>6611</v>
      </c>
    </row>
    <row r="1506" ht="15.75" customHeight="1">
      <c r="A1506" s="5" t="s">
        <v>6612</v>
      </c>
    </row>
    <row r="1507" ht="15.75" customHeight="1">
      <c r="A1507" s="5" t="s">
        <v>6613</v>
      </c>
    </row>
    <row r="1508" ht="15.75" customHeight="1">
      <c r="A1508" s="5" t="s">
        <v>6614</v>
      </c>
    </row>
    <row r="1509" ht="15.75" customHeight="1">
      <c r="A1509" s="5" t="s">
        <v>6615</v>
      </c>
    </row>
    <row r="1510" ht="15.75" customHeight="1">
      <c r="A1510" s="5" t="s">
        <v>6616</v>
      </c>
    </row>
    <row r="1511" ht="15.75" customHeight="1">
      <c r="A1511" s="5" t="s">
        <v>6617</v>
      </c>
    </row>
    <row r="1512" ht="15.75" customHeight="1">
      <c r="A1512" s="5" t="s">
        <v>6618</v>
      </c>
    </row>
    <row r="1513" ht="15.75" customHeight="1">
      <c r="A1513" s="5" t="s">
        <v>6619</v>
      </c>
    </row>
    <row r="1514" ht="15.75" customHeight="1">
      <c r="A1514" s="5" t="s">
        <v>6620</v>
      </c>
    </row>
    <row r="1515" ht="15.75" customHeight="1">
      <c r="A1515" s="5" t="s">
        <v>6621</v>
      </c>
    </row>
    <row r="1516" ht="15.75" customHeight="1">
      <c r="A1516" s="5" t="s">
        <v>6622</v>
      </c>
    </row>
    <row r="1517" ht="15.75" customHeight="1">
      <c r="A1517" s="5" t="s">
        <v>6623</v>
      </c>
    </row>
    <row r="1518" ht="15.75" customHeight="1">
      <c r="A1518" s="5" t="s">
        <v>6624</v>
      </c>
    </row>
    <row r="1519" ht="15.75" customHeight="1">
      <c r="A1519" s="5" t="s">
        <v>6625</v>
      </c>
    </row>
    <row r="1520" ht="15.75" customHeight="1">
      <c r="A1520" s="5" t="s">
        <v>6626</v>
      </c>
    </row>
    <row r="1521" ht="15.75" customHeight="1">
      <c r="A1521" s="5" t="s">
        <v>6627</v>
      </c>
    </row>
    <row r="1522" ht="15.75" customHeight="1">
      <c r="A1522" s="5" t="s">
        <v>6628</v>
      </c>
    </row>
    <row r="1523" ht="15.75" customHeight="1">
      <c r="A1523" s="5" t="s">
        <v>6629</v>
      </c>
    </row>
    <row r="1524" ht="15.75" customHeight="1">
      <c r="A1524" s="5" t="s">
        <v>6630</v>
      </c>
    </row>
    <row r="1525" ht="15.75" customHeight="1">
      <c r="A1525" s="5" t="s">
        <v>6631</v>
      </c>
    </row>
    <row r="1526" ht="15.75" customHeight="1">
      <c r="A1526" s="5" t="s">
        <v>6632</v>
      </c>
    </row>
    <row r="1527" ht="15.75" customHeight="1">
      <c r="A1527" s="5" t="s">
        <v>6633</v>
      </c>
    </row>
    <row r="1528" ht="15.75" customHeight="1">
      <c r="A1528" s="5" t="s">
        <v>6634</v>
      </c>
    </row>
    <row r="1529" ht="15.75" customHeight="1">
      <c r="A1529" s="5" t="s">
        <v>6635</v>
      </c>
    </row>
    <row r="1530" ht="15.75" customHeight="1">
      <c r="A1530" s="5" t="s">
        <v>6636</v>
      </c>
    </row>
    <row r="1531" ht="15.75" customHeight="1">
      <c r="A1531" s="5" t="s">
        <v>6637</v>
      </c>
    </row>
    <row r="1532" ht="15.75" customHeight="1">
      <c r="A1532" s="5" t="s">
        <v>6638</v>
      </c>
    </row>
    <row r="1533" ht="15.75" customHeight="1">
      <c r="A1533" s="5" t="s">
        <v>6639</v>
      </c>
    </row>
    <row r="1534" ht="15.75" customHeight="1">
      <c r="A1534" s="5" t="s">
        <v>6640</v>
      </c>
    </row>
    <row r="1535" ht="15.75" customHeight="1">
      <c r="A1535" s="5" t="s">
        <v>6641</v>
      </c>
    </row>
    <row r="1536" ht="15.75" customHeight="1">
      <c r="A1536" s="5" t="s">
        <v>6642</v>
      </c>
    </row>
    <row r="1537" ht="15.75" customHeight="1">
      <c r="A1537" s="5" t="s">
        <v>6643</v>
      </c>
    </row>
    <row r="1538" ht="15.75" customHeight="1">
      <c r="A1538" s="5" t="s">
        <v>6644</v>
      </c>
    </row>
    <row r="1539" ht="15.75" customHeight="1">
      <c r="A1539" s="5" t="s">
        <v>6645</v>
      </c>
    </row>
    <row r="1540" ht="15.75" customHeight="1">
      <c r="A1540" s="5" t="s">
        <v>6646</v>
      </c>
    </row>
    <row r="1541" ht="15.75" customHeight="1">
      <c r="A1541" s="5" t="s">
        <v>6647</v>
      </c>
    </row>
    <row r="1542" ht="15.75" customHeight="1">
      <c r="A1542" s="5" t="s">
        <v>6648</v>
      </c>
    </row>
    <row r="1543" ht="15.75" customHeight="1">
      <c r="A1543" s="5" t="s">
        <v>6649</v>
      </c>
    </row>
    <row r="1544" ht="15.75" customHeight="1">
      <c r="A1544" s="5" t="s">
        <v>6650</v>
      </c>
    </row>
    <row r="1545" ht="15.75" customHeight="1">
      <c r="A1545" s="5" t="s">
        <v>6651</v>
      </c>
    </row>
    <row r="1546" ht="15.75" customHeight="1">
      <c r="A1546" s="5" t="s">
        <v>6652</v>
      </c>
    </row>
    <row r="1547" ht="15.75" customHeight="1">
      <c r="A1547" s="5" t="s">
        <v>6653</v>
      </c>
    </row>
    <row r="1548" ht="15.75" customHeight="1">
      <c r="A1548" s="5" t="s">
        <v>6654</v>
      </c>
    </row>
    <row r="1549" ht="15.75" customHeight="1">
      <c r="A1549" s="5" t="s">
        <v>6655</v>
      </c>
    </row>
    <row r="1550" ht="15.75" customHeight="1">
      <c r="A1550" s="5" t="s">
        <v>6656</v>
      </c>
    </row>
    <row r="1551" ht="15.75" customHeight="1">
      <c r="A1551" s="5" t="s">
        <v>6657</v>
      </c>
    </row>
    <row r="1552" ht="15.75" customHeight="1">
      <c r="A1552" s="5" t="s">
        <v>6658</v>
      </c>
    </row>
    <row r="1553" ht="15.75" customHeight="1">
      <c r="A1553" s="5" t="s">
        <v>6659</v>
      </c>
    </row>
    <row r="1554" ht="15.75" customHeight="1">
      <c r="A1554" s="5" t="s">
        <v>6660</v>
      </c>
    </row>
    <row r="1555" ht="15.75" customHeight="1">
      <c r="A1555" s="5" t="s">
        <v>6661</v>
      </c>
    </row>
    <row r="1556" ht="15.75" customHeight="1">
      <c r="A1556" s="5" t="s">
        <v>6662</v>
      </c>
    </row>
    <row r="1557" ht="15.75" customHeight="1">
      <c r="A1557" s="5" t="s">
        <v>6663</v>
      </c>
    </row>
    <row r="1558" ht="15.75" customHeight="1">
      <c r="A1558" s="5" t="s">
        <v>6664</v>
      </c>
    </row>
    <row r="1559" ht="15.75" customHeight="1">
      <c r="A1559" s="5" t="s">
        <v>6665</v>
      </c>
    </row>
    <row r="1560" ht="15.75" customHeight="1">
      <c r="A1560" s="5" t="s">
        <v>6666</v>
      </c>
    </row>
    <row r="1561" ht="15.75" customHeight="1">
      <c r="A1561" s="5" t="s">
        <v>6667</v>
      </c>
    </row>
    <row r="1562" ht="15.75" customHeight="1">
      <c r="A1562" s="5" t="s">
        <v>6668</v>
      </c>
    </row>
    <row r="1563" ht="15.75" customHeight="1">
      <c r="A1563" s="5" t="s">
        <v>6669</v>
      </c>
    </row>
    <row r="1564" ht="15.75" customHeight="1">
      <c r="A1564" s="5" t="s">
        <v>6670</v>
      </c>
    </row>
    <row r="1565" ht="15.75" customHeight="1">
      <c r="A1565" s="5" t="s">
        <v>6671</v>
      </c>
    </row>
    <row r="1566" ht="15.75" customHeight="1">
      <c r="A1566" s="5" t="s">
        <v>6672</v>
      </c>
    </row>
    <row r="1567" ht="15.75" customHeight="1">
      <c r="A1567" s="5" t="s">
        <v>6673</v>
      </c>
    </row>
    <row r="1568" ht="15.75" customHeight="1">
      <c r="A1568" s="5" t="s">
        <v>6674</v>
      </c>
    </row>
    <row r="1569" ht="15.75" customHeight="1">
      <c r="A1569" s="5" t="s">
        <v>6675</v>
      </c>
    </row>
    <row r="1570" ht="15.75" customHeight="1">
      <c r="A1570" s="5" t="s">
        <v>6676</v>
      </c>
    </row>
    <row r="1571" ht="15.75" customHeight="1">
      <c r="A1571" s="5" t="s">
        <v>6677</v>
      </c>
    </row>
    <row r="1572" ht="15.75" customHeight="1">
      <c r="A1572" s="5" t="s">
        <v>6678</v>
      </c>
    </row>
    <row r="1573" ht="15.75" customHeight="1">
      <c r="A1573" s="5" t="s">
        <v>6679</v>
      </c>
    </row>
    <row r="1574" ht="15.75" customHeight="1">
      <c r="A1574" s="5" t="s">
        <v>6680</v>
      </c>
    </row>
    <row r="1575" ht="15.75" customHeight="1">
      <c r="A1575" s="5" t="s">
        <v>6681</v>
      </c>
    </row>
    <row r="1576" ht="15.75" customHeight="1">
      <c r="A1576" s="5" t="s">
        <v>6682</v>
      </c>
    </row>
    <row r="1577" ht="15.75" customHeight="1">
      <c r="A1577" s="5" t="s">
        <v>6683</v>
      </c>
    </row>
    <row r="1578" ht="15.75" customHeight="1">
      <c r="A1578" s="5" t="s">
        <v>6684</v>
      </c>
    </row>
    <row r="1579" ht="15.75" customHeight="1">
      <c r="A1579" s="5" t="s">
        <v>6685</v>
      </c>
    </row>
    <row r="1580" ht="15.75" customHeight="1">
      <c r="A1580" s="5" t="s">
        <v>6686</v>
      </c>
    </row>
    <row r="1581" ht="15.75" customHeight="1">
      <c r="A1581" s="5" t="s">
        <v>6687</v>
      </c>
    </row>
    <row r="1582" ht="15.75" customHeight="1">
      <c r="A1582" s="5" t="s">
        <v>6688</v>
      </c>
    </row>
    <row r="1583" ht="15.75" customHeight="1">
      <c r="A1583" s="5" t="s">
        <v>6689</v>
      </c>
    </row>
    <row r="1584" ht="15.75" customHeight="1">
      <c r="A1584" s="5" t="s">
        <v>6690</v>
      </c>
    </row>
    <row r="1585" ht="15.75" customHeight="1">
      <c r="A1585" s="5" t="s">
        <v>6691</v>
      </c>
    </row>
    <row r="1586" ht="15.75" customHeight="1">
      <c r="A1586" s="5" t="s">
        <v>6692</v>
      </c>
    </row>
    <row r="1587" ht="15.75" customHeight="1">
      <c r="A1587" s="5" t="s">
        <v>6693</v>
      </c>
    </row>
    <row r="1588" ht="15.75" customHeight="1">
      <c r="A1588" s="5" t="s">
        <v>6694</v>
      </c>
    </row>
    <row r="1589" ht="15.75" customHeight="1">
      <c r="A1589" s="5" t="s">
        <v>6695</v>
      </c>
    </row>
    <row r="1590" ht="15.75" customHeight="1">
      <c r="A1590" s="5" t="s">
        <v>6696</v>
      </c>
    </row>
    <row r="1591" ht="15.75" customHeight="1">
      <c r="A1591" s="5" t="s">
        <v>6697</v>
      </c>
    </row>
    <row r="1592" ht="15.75" customHeight="1">
      <c r="A1592" s="5" t="s">
        <v>6698</v>
      </c>
    </row>
    <row r="1593" ht="15.75" customHeight="1">
      <c r="A1593" s="5" t="s">
        <v>6699</v>
      </c>
    </row>
    <row r="1594" ht="15.75" customHeight="1">
      <c r="A1594" s="5" t="s">
        <v>6700</v>
      </c>
    </row>
    <row r="1595" ht="15.75" customHeight="1">
      <c r="A1595" s="5" t="s">
        <v>6701</v>
      </c>
    </row>
    <row r="1596" ht="15.75" customHeight="1">
      <c r="A1596" s="5" t="s">
        <v>6702</v>
      </c>
    </row>
    <row r="1597" ht="15.75" customHeight="1">
      <c r="A1597" s="5" t="s">
        <v>6703</v>
      </c>
    </row>
    <row r="1598" ht="15.75" customHeight="1">
      <c r="A1598" s="5" t="s">
        <v>6704</v>
      </c>
    </row>
    <row r="1599" ht="15.75" customHeight="1">
      <c r="A1599" s="5" t="s">
        <v>6705</v>
      </c>
    </row>
    <row r="1600" ht="15.75" customHeight="1">
      <c r="A1600" s="5" t="s">
        <v>6706</v>
      </c>
    </row>
    <row r="1601" ht="15.75" customHeight="1">
      <c r="A1601" s="5" t="s">
        <v>6707</v>
      </c>
    </row>
    <row r="1602" ht="15.75" customHeight="1">
      <c r="A1602" s="5" t="s">
        <v>6708</v>
      </c>
    </row>
    <row r="1603" ht="15.75" customHeight="1">
      <c r="A1603" s="5" t="s">
        <v>6709</v>
      </c>
    </row>
    <row r="1604" ht="15.75" customHeight="1">
      <c r="A1604" s="5" t="s">
        <v>6710</v>
      </c>
    </row>
    <row r="1605" ht="15.75" customHeight="1">
      <c r="A1605" s="5" t="s">
        <v>6711</v>
      </c>
    </row>
    <row r="1606" ht="15.75" customHeight="1">
      <c r="A1606" s="5" t="s">
        <v>6712</v>
      </c>
    </row>
    <row r="1607" ht="15.75" customHeight="1">
      <c r="A1607" s="5" t="s">
        <v>6713</v>
      </c>
    </row>
    <row r="1608" ht="15.75" customHeight="1">
      <c r="A1608" s="5" t="s">
        <v>6714</v>
      </c>
    </row>
    <row r="1609" ht="15.75" customHeight="1">
      <c r="A1609" s="5" t="s">
        <v>6715</v>
      </c>
    </row>
    <row r="1610" ht="15.75" customHeight="1">
      <c r="A1610" s="5" t="s">
        <v>6716</v>
      </c>
    </row>
    <row r="1611" ht="15.75" customHeight="1">
      <c r="A1611" s="5" t="s">
        <v>6717</v>
      </c>
    </row>
    <row r="1612" ht="15.75" customHeight="1">
      <c r="A1612" s="5" t="s">
        <v>6718</v>
      </c>
    </row>
    <row r="1613" ht="15.75" customHeight="1">
      <c r="A1613" s="5" t="s">
        <v>6719</v>
      </c>
    </row>
    <row r="1614" ht="15.75" customHeight="1">
      <c r="A1614" s="5" t="s">
        <v>6720</v>
      </c>
    </row>
    <row r="1615" ht="15.75" customHeight="1">
      <c r="A1615" s="5" t="s">
        <v>6721</v>
      </c>
    </row>
    <row r="1616" ht="15.75" customHeight="1">
      <c r="A1616" s="5" t="s">
        <v>6722</v>
      </c>
    </row>
    <row r="1617" ht="15.75" customHeight="1">
      <c r="A1617" s="5" t="s">
        <v>6723</v>
      </c>
    </row>
    <row r="1618" ht="15.75" customHeight="1">
      <c r="A1618" s="5" t="s">
        <v>6724</v>
      </c>
    </row>
    <row r="1619" ht="15.75" customHeight="1">
      <c r="A1619" s="5" t="s">
        <v>6725</v>
      </c>
    </row>
    <row r="1620" ht="15.75" customHeight="1">
      <c r="A1620" s="5" t="s">
        <v>6726</v>
      </c>
    </row>
    <row r="1621" ht="15.75" customHeight="1">
      <c r="A1621" s="5" t="s">
        <v>6727</v>
      </c>
    </row>
    <row r="1622" ht="15.75" customHeight="1">
      <c r="A1622" s="5" t="s">
        <v>6728</v>
      </c>
    </row>
    <row r="1623" ht="15.75" customHeight="1">
      <c r="A1623" s="5" t="s">
        <v>6729</v>
      </c>
    </row>
    <row r="1624" ht="15.75" customHeight="1">
      <c r="A1624" s="5" t="s">
        <v>6730</v>
      </c>
    </row>
    <row r="1625" ht="15.75" customHeight="1">
      <c r="A1625" s="5" t="s">
        <v>6731</v>
      </c>
    </row>
    <row r="1626" ht="15.75" customHeight="1">
      <c r="A1626" s="5" t="s">
        <v>6732</v>
      </c>
    </row>
    <row r="1627" ht="15.75" customHeight="1">
      <c r="A1627" s="5" t="s">
        <v>6733</v>
      </c>
    </row>
    <row r="1628" ht="15.75" customHeight="1">
      <c r="A1628" s="5" t="s">
        <v>6734</v>
      </c>
    </row>
    <row r="1629" ht="15.75" customHeight="1">
      <c r="A1629" s="5" t="s">
        <v>6735</v>
      </c>
    </row>
    <row r="1630" ht="15.75" customHeight="1">
      <c r="A1630" s="5" t="s">
        <v>6736</v>
      </c>
    </row>
    <row r="1631" ht="15.75" customHeight="1">
      <c r="A1631" s="5" t="s">
        <v>6737</v>
      </c>
    </row>
    <row r="1632" ht="15.75" customHeight="1">
      <c r="A1632" s="5" t="s">
        <v>6738</v>
      </c>
    </row>
    <row r="1633" ht="15.75" customHeight="1">
      <c r="A1633" s="5" t="s">
        <v>6739</v>
      </c>
    </row>
    <row r="1634" ht="15.75" customHeight="1">
      <c r="A1634" s="5" t="s">
        <v>6740</v>
      </c>
    </row>
    <row r="1635" ht="15.75" customHeight="1">
      <c r="A1635" s="5" t="s">
        <v>6741</v>
      </c>
    </row>
    <row r="1636" ht="15.75" customHeight="1">
      <c r="A1636" s="5" t="s">
        <v>6742</v>
      </c>
    </row>
    <row r="1637" ht="15.75" customHeight="1">
      <c r="A1637" s="5" t="s">
        <v>6743</v>
      </c>
    </row>
    <row r="1638" ht="15.75" customHeight="1">
      <c r="A1638" s="5" t="s">
        <v>6744</v>
      </c>
    </row>
    <row r="1639" ht="15.75" customHeight="1">
      <c r="A1639" s="5" t="s">
        <v>6745</v>
      </c>
    </row>
    <row r="1640" ht="15.75" customHeight="1">
      <c r="A1640" s="5" t="s">
        <v>6746</v>
      </c>
    </row>
    <row r="1641" ht="15.75" customHeight="1">
      <c r="A1641" s="5" t="s">
        <v>6747</v>
      </c>
    </row>
    <row r="1642" ht="15.75" customHeight="1">
      <c r="A1642" s="5" t="s">
        <v>6748</v>
      </c>
    </row>
    <row r="1643" ht="15.75" customHeight="1">
      <c r="A1643" s="5" t="s">
        <v>6749</v>
      </c>
    </row>
    <row r="1644" ht="15.75" customHeight="1">
      <c r="A1644" s="5" t="s">
        <v>6750</v>
      </c>
    </row>
    <row r="1645" ht="15.75" customHeight="1">
      <c r="A1645" s="5" t="s">
        <v>6751</v>
      </c>
    </row>
    <row r="1646" ht="15.75" customHeight="1">
      <c r="A1646" s="5" t="s">
        <v>6752</v>
      </c>
    </row>
    <row r="1647" ht="15.75" customHeight="1">
      <c r="A1647" s="5" t="s">
        <v>6753</v>
      </c>
    </row>
    <row r="1648" ht="15.75" customHeight="1">
      <c r="A1648" s="5" t="s">
        <v>6754</v>
      </c>
    </row>
    <row r="1649" ht="15.75" customHeight="1">
      <c r="A1649" s="5" t="s">
        <v>6755</v>
      </c>
    </row>
    <row r="1650" ht="15.75" customHeight="1">
      <c r="A1650" s="5" t="s">
        <v>6756</v>
      </c>
    </row>
    <row r="1651" ht="15.75" customHeight="1">
      <c r="A1651" s="5" t="s">
        <v>6757</v>
      </c>
    </row>
    <row r="1652" ht="15.75" customHeight="1">
      <c r="A1652" s="5" t="s">
        <v>6758</v>
      </c>
    </row>
    <row r="1653" ht="15.75" customHeight="1">
      <c r="A1653" s="5" t="s">
        <v>6759</v>
      </c>
    </row>
    <row r="1654" ht="15.75" customHeight="1">
      <c r="A1654" s="5" t="s">
        <v>6760</v>
      </c>
    </row>
    <row r="1655" ht="15.75" customHeight="1">
      <c r="A1655" s="5" t="s">
        <v>6761</v>
      </c>
    </row>
    <row r="1656" ht="15.75" customHeight="1">
      <c r="A1656" s="5" t="s">
        <v>6762</v>
      </c>
    </row>
    <row r="1657" ht="15.75" customHeight="1">
      <c r="A1657" s="5" t="s">
        <v>6763</v>
      </c>
    </row>
    <row r="1658" ht="15.75" customHeight="1">
      <c r="A1658" s="5" t="s">
        <v>6764</v>
      </c>
    </row>
    <row r="1659" ht="15.75" customHeight="1">
      <c r="A1659" s="5" t="s">
        <v>6765</v>
      </c>
    </row>
    <row r="1660" ht="15.75" customHeight="1">
      <c r="A1660" s="5" t="s">
        <v>6766</v>
      </c>
    </row>
    <row r="1661" ht="15.75" customHeight="1">
      <c r="A1661" s="5" t="s">
        <v>6767</v>
      </c>
    </row>
    <row r="1662" ht="15.75" customHeight="1">
      <c r="A1662" s="5" t="s">
        <v>6768</v>
      </c>
    </row>
    <row r="1663" ht="15.75" customHeight="1">
      <c r="A1663" s="5" t="s">
        <v>6769</v>
      </c>
    </row>
    <row r="1664" ht="15.75" customHeight="1">
      <c r="A1664" s="5" t="s">
        <v>6770</v>
      </c>
    </row>
    <row r="1665" ht="15.75" customHeight="1">
      <c r="A1665" s="5" t="s">
        <v>6771</v>
      </c>
    </row>
    <row r="1666" ht="15.75" customHeight="1">
      <c r="A1666" s="5" t="s">
        <v>6772</v>
      </c>
    </row>
    <row r="1667" ht="15.75" customHeight="1">
      <c r="A1667" s="5" t="s">
        <v>6773</v>
      </c>
    </row>
    <row r="1668" ht="15.75" customHeight="1">
      <c r="A1668" s="5" t="s">
        <v>6774</v>
      </c>
    </row>
    <row r="1669" ht="15.75" customHeight="1">
      <c r="A1669" s="5" t="s">
        <v>6775</v>
      </c>
    </row>
    <row r="1670" ht="15.75" customHeight="1">
      <c r="A1670" s="5" t="s">
        <v>6776</v>
      </c>
    </row>
    <row r="1671" ht="15.75" customHeight="1">
      <c r="A1671" s="5" t="s">
        <v>6777</v>
      </c>
    </row>
    <row r="1672" ht="15.75" customHeight="1">
      <c r="A1672" s="5" t="s">
        <v>6778</v>
      </c>
    </row>
    <row r="1673" ht="15.75" customHeight="1">
      <c r="A1673" s="5" t="s">
        <v>6779</v>
      </c>
    </row>
    <row r="1674" ht="15.75" customHeight="1">
      <c r="A1674" s="5" t="s">
        <v>6780</v>
      </c>
    </row>
    <row r="1675" ht="15.75" customHeight="1">
      <c r="A1675" s="5" t="s">
        <v>6781</v>
      </c>
    </row>
    <row r="1676" ht="15.75" customHeight="1">
      <c r="A1676" s="5" t="s">
        <v>6782</v>
      </c>
    </row>
    <row r="1677" ht="15.75" customHeight="1">
      <c r="A1677" s="5" t="s">
        <v>6783</v>
      </c>
    </row>
    <row r="1678" ht="15.75" customHeight="1">
      <c r="A1678" s="5" t="s">
        <v>6784</v>
      </c>
    </row>
    <row r="1679" ht="15.75" customHeight="1">
      <c r="A1679" s="5" t="s">
        <v>6785</v>
      </c>
    </row>
    <row r="1680" ht="15.75" customHeight="1">
      <c r="A1680" s="5" t="s">
        <v>6786</v>
      </c>
    </row>
    <row r="1681" ht="15.75" customHeight="1">
      <c r="A1681" s="5" t="s">
        <v>6787</v>
      </c>
    </row>
    <row r="1682" ht="15.75" customHeight="1">
      <c r="A1682" s="5" t="s">
        <v>6788</v>
      </c>
    </row>
    <row r="1683" ht="15.75" customHeight="1">
      <c r="A1683" s="5" t="s">
        <v>6789</v>
      </c>
    </row>
    <row r="1684" ht="15.75" customHeight="1">
      <c r="A1684" s="5" t="s">
        <v>6790</v>
      </c>
    </row>
    <row r="1685" ht="15.75" customHeight="1">
      <c r="A1685" s="5" t="s">
        <v>6791</v>
      </c>
    </row>
    <row r="1686" ht="15.75" customHeight="1">
      <c r="A1686" s="5" t="s">
        <v>6792</v>
      </c>
    </row>
    <row r="1687" ht="15.75" customHeight="1">
      <c r="A1687" s="5" t="s">
        <v>6793</v>
      </c>
    </row>
    <row r="1688" ht="15.75" customHeight="1">
      <c r="A1688" s="5" t="s">
        <v>6794</v>
      </c>
    </row>
    <row r="1689" ht="15.75" customHeight="1">
      <c r="A1689" s="5" t="s">
        <v>6795</v>
      </c>
    </row>
    <row r="1690" ht="15.75" customHeight="1">
      <c r="A1690" s="5" t="s">
        <v>6796</v>
      </c>
    </row>
    <row r="1691" ht="15.75" customHeight="1">
      <c r="A1691" s="5" t="s">
        <v>6797</v>
      </c>
    </row>
    <row r="1692" ht="15.75" customHeight="1">
      <c r="A1692" s="5" t="s">
        <v>6798</v>
      </c>
    </row>
    <row r="1693" ht="15.75" customHeight="1">
      <c r="A1693" s="5" t="s">
        <v>6799</v>
      </c>
    </row>
    <row r="1694" ht="15.75" customHeight="1">
      <c r="A1694" s="5" t="s">
        <v>6800</v>
      </c>
    </row>
    <row r="1695" ht="15.75" customHeight="1">
      <c r="A1695" s="5" t="s">
        <v>6801</v>
      </c>
    </row>
    <row r="1696" ht="15.75" customHeight="1">
      <c r="A1696" s="5" t="s">
        <v>6802</v>
      </c>
    </row>
    <row r="1697" ht="15.75" customHeight="1">
      <c r="A1697" s="5" t="s">
        <v>6803</v>
      </c>
    </row>
    <row r="1698" ht="15.75" customHeight="1">
      <c r="A1698" s="5" t="s">
        <v>6804</v>
      </c>
    </row>
    <row r="1699" ht="15.75" customHeight="1">
      <c r="A1699" s="5" t="s">
        <v>6805</v>
      </c>
    </row>
    <row r="1700" ht="15.75" customHeight="1">
      <c r="A1700" s="5" t="s">
        <v>6806</v>
      </c>
    </row>
    <row r="1701" ht="15.75" customHeight="1">
      <c r="A1701" s="5" t="s">
        <v>6807</v>
      </c>
    </row>
    <row r="1702" ht="15.75" customHeight="1">
      <c r="A1702" s="5" t="s">
        <v>6808</v>
      </c>
    </row>
    <row r="1703" ht="15.75" customHeight="1">
      <c r="A1703" s="5" t="s">
        <v>6809</v>
      </c>
    </row>
    <row r="1704" ht="15.75" customHeight="1">
      <c r="A1704" s="5" t="s">
        <v>6810</v>
      </c>
    </row>
    <row r="1705" ht="15.75" customHeight="1">
      <c r="A1705" s="5" t="s">
        <v>6811</v>
      </c>
    </row>
    <row r="1706" ht="15.75" customHeight="1">
      <c r="A1706" s="5" t="s">
        <v>6812</v>
      </c>
    </row>
    <row r="1707" ht="15.75" customHeight="1">
      <c r="A1707" s="5" t="s">
        <v>6813</v>
      </c>
    </row>
    <row r="1708" ht="15.75" customHeight="1">
      <c r="A1708" s="5" t="s">
        <v>6814</v>
      </c>
    </row>
    <row r="1709" ht="15.75" customHeight="1">
      <c r="A1709" s="5" t="s">
        <v>6815</v>
      </c>
    </row>
    <row r="1710" ht="15.75" customHeight="1">
      <c r="A1710" s="5" t="s">
        <v>6816</v>
      </c>
    </row>
    <row r="1711" ht="15.75" customHeight="1">
      <c r="A1711" s="5" t="s">
        <v>6817</v>
      </c>
    </row>
    <row r="1712" ht="15.75" customHeight="1">
      <c r="A1712" s="5" t="s">
        <v>6818</v>
      </c>
    </row>
    <row r="1713" ht="15.75" customHeight="1">
      <c r="A1713" s="5" t="s">
        <v>6819</v>
      </c>
    </row>
    <row r="1714" ht="15.75" customHeight="1">
      <c r="A1714" s="5" t="s">
        <v>6820</v>
      </c>
    </row>
    <row r="1715" ht="15.75" customHeight="1">
      <c r="A1715" s="5" t="s">
        <v>6821</v>
      </c>
    </row>
    <row r="1716" ht="15.75" customHeight="1">
      <c r="A1716" s="5" t="s">
        <v>6822</v>
      </c>
    </row>
    <row r="1717" ht="15.75" customHeight="1">
      <c r="A1717" s="5" t="s">
        <v>6823</v>
      </c>
    </row>
    <row r="1718" ht="15.75" customHeight="1">
      <c r="A1718" s="5" t="s">
        <v>6824</v>
      </c>
    </row>
    <row r="1719" ht="15.75" customHeight="1">
      <c r="A1719" s="5" t="s">
        <v>6825</v>
      </c>
    </row>
    <row r="1720" ht="15.75" customHeight="1">
      <c r="A1720" s="5" t="s">
        <v>6826</v>
      </c>
    </row>
    <row r="1721" ht="15.75" customHeight="1">
      <c r="A1721" s="5" t="s">
        <v>6827</v>
      </c>
    </row>
    <row r="1722" ht="15.75" customHeight="1">
      <c r="A1722" s="5" t="s">
        <v>6828</v>
      </c>
    </row>
    <row r="1723" ht="15.75" customHeight="1">
      <c r="A1723" s="5" t="s">
        <v>6829</v>
      </c>
    </row>
    <row r="1724" ht="15.75" customHeight="1">
      <c r="A1724" s="5" t="s">
        <v>6830</v>
      </c>
    </row>
    <row r="1725" ht="15.75" customHeight="1">
      <c r="A1725" s="5" t="s">
        <v>6831</v>
      </c>
    </row>
    <row r="1726" ht="15.75" customHeight="1">
      <c r="A1726" s="5" t="s">
        <v>6832</v>
      </c>
    </row>
    <row r="1727" ht="15.75" customHeight="1">
      <c r="A1727" s="5" t="s">
        <v>6833</v>
      </c>
    </row>
    <row r="1728" ht="15.75" customHeight="1">
      <c r="A1728" s="5" t="s">
        <v>6834</v>
      </c>
    </row>
    <row r="1729" ht="15.75" customHeight="1">
      <c r="A1729" s="5" t="s">
        <v>6835</v>
      </c>
    </row>
    <row r="1730" ht="15.75" customHeight="1">
      <c r="A1730" s="5" t="s">
        <v>6836</v>
      </c>
    </row>
    <row r="1731" ht="15.75" customHeight="1">
      <c r="A1731" s="5" t="s">
        <v>6837</v>
      </c>
    </row>
    <row r="1732" ht="15.75" customHeight="1">
      <c r="A1732" s="5" t="s">
        <v>6838</v>
      </c>
    </row>
    <row r="1733" ht="15.75" customHeight="1">
      <c r="A1733" s="5" t="s">
        <v>6839</v>
      </c>
    </row>
    <row r="1734" ht="15.75" customHeight="1">
      <c r="A1734" s="5" t="s">
        <v>6840</v>
      </c>
    </row>
    <row r="1735" ht="15.75" customHeight="1">
      <c r="A1735" s="5" t="s">
        <v>6841</v>
      </c>
    </row>
    <row r="1736" ht="15.75" customHeight="1">
      <c r="A1736" s="5" t="s">
        <v>6842</v>
      </c>
    </row>
    <row r="1737" ht="15.75" customHeight="1">
      <c r="A1737" s="5" t="s">
        <v>6843</v>
      </c>
    </row>
    <row r="1738" ht="15.75" customHeight="1">
      <c r="A1738" s="5" t="s">
        <v>6844</v>
      </c>
    </row>
    <row r="1739" ht="15.75" customHeight="1">
      <c r="A1739" s="5" t="s">
        <v>6845</v>
      </c>
    </row>
    <row r="1740" ht="15.75" customHeight="1">
      <c r="A1740" s="5" t="s">
        <v>6846</v>
      </c>
    </row>
    <row r="1741" ht="15.75" customHeight="1">
      <c r="A1741" s="5" t="s">
        <v>6847</v>
      </c>
    </row>
    <row r="1742" ht="15.75" customHeight="1">
      <c r="A1742" s="5" t="s">
        <v>6848</v>
      </c>
    </row>
    <row r="1743" ht="15.75" customHeight="1">
      <c r="A1743" s="5" t="s">
        <v>6849</v>
      </c>
    </row>
    <row r="1744" ht="15.75" customHeight="1">
      <c r="A1744" s="5" t="s">
        <v>6850</v>
      </c>
    </row>
    <row r="1745" ht="15.75" customHeight="1">
      <c r="A1745" s="5" t="s">
        <v>6851</v>
      </c>
    </row>
    <row r="1746" ht="15.75" customHeight="1">
      <c r="A1746" s="5" t="s">
        <v>6852</v>
      </c>
    </row>
    <row r="1747" ht="15.75" customHeight="1">
      <c r="A1747" s="5" t="s">
        <v>6853</v>
      </c>
    </row>
    <row r="1748" ht="15.75" customHeight="1">
      <c r="A1748" s="5" t="s">
        <v>6854</v>
      </c>
    </row>
    <row r="1749" ht="15.75" customHeight="1">
      <c r="A1749" s="5" t="s">
        <v>6855</v>
      </c>
    </row>
    <row r="1750" ht="15.75" customHeight="1">
      <c r="A1750" s="5" t="s">
        <v>6856</v>
      </c>
    </row>
    <row r="1751" ht="15.75" customHeight="1">
      <c r="A1751" s="5" t="s">
        <v>6857</v>
      </c>
    </row>
    <row r="1752" ht="15.75" customHeight="1">
      <c r="A1752" s="5" t="s">
        <v>6858</v>
      </c>
    </row>
    <row r="1753" ht="15.75" customHeight="1">
      <c r="A1753" s="5" t="s">
        <v>6859</v>
      </c>
    </row>
    <row r="1754" ht="15.75" customHeight="1">
      <c r="A1754" s="5" t="s">
        <v>6860</v>
      </c>
    </row>
    <row r="1755" ht="15.75" customHeight="1">
      <c r="A1755" s="5" t="s">
        <v>6861</v>
      </c>
    </row>
    <row r="1756" ht="15.75" customHeight="1">
      <c r="A1756" s="5" t="s">
        <v>6862</v>
      </c>
    </row>
    <row r="1757" ht="15.75" customHeight="1">
      <c r="A1757" s="5" t="s">
        <v>6863</v>
      </c>
    </row>
    <row r="1758" ht="15.75" customHeight="1">
      <c r="A1758" s="5" t="s">
        <v>6864</v>
      </c>
    </row>
    <row r="1759" ht="15.75" customHeight="1">
      <c r="A1759" s="5" t="s">
        <v>6865</v>
      </c>
    </row>
    <row r="1760" ht="15.75" customHeight="1">
      <c r="A1760" s="5" t="s">
        <v>6866</v>
      </c>
    </row>
    <row r="1761" ht="15.75" customHeight="1">
      <c r="A1761" s="5" t="s">
        <v>6867</v>
      </c>
    </row>
    <row r="1762" ht="15.75" customHeight="1">
      <c r="A1762" s="5" t="s">
        <v>6868</v>
      </c>
    </row>
    <row r="1763" ht="15.75" customHeight="1">
      <c r="A1763" s="5" t="s">
        <v>6869</v>
      </c>
    </row>
    <row r="1764" ht="15.75" customHeight="1">
      <c r="A1764" s="5" t="s">
        <v>6870</v>
      </c>
    </row>
    <row r="1765" ht="15.75" customHeight="1">
      <c r="A1765" s="5" t="s">
        <v>6871</v>
      </c>
    </row>
    <row r="1766" ht="15.75" customHeight="1">
      <c r="A1766" s="5" t="s">
        <v>6872</v>
      </c>
    </row>
    <row r="1767" ht="15.75" customHeight="1">
      <c r="A1767" s="5" t="s">
        <v>6873</v>
      </c>
    </row>
    <row r="1768" ht="15.75" customHeight="1">
      <c r="A1768" s="5" t="s">
        <v>6874</v>
      </c>
    </row>
    <row r="1769" ht="15.75" customHeight="1">
      <c r="A1769" s="5" t="s">
        <v>6875</v>
      </c>
    </row>
    <row r="1770" ht="15.75" customHeight="1">
      <c r="A1770" s="5" t="s">
        <v>6876</v>
      </c>
    </row>
    <row r="1771" ht="15.75" customHeight="1">
      <c r="A1771" s="5" t="s">
        <v>6877</v>
      </c>
    </row>
    <row r="1772" ht="15.75" customHeight="1">
      <c r="A1772" s="5" t="s">
        <v>6878</v>
      </c>
    </row>
    <row r="1773" ht="15.75" customHeight="1">
      <c r="A1773" s="5" t="s">
        <v>6879</v>
      </c>
    </row>
    <row r="1774" ht="15.75" customHeight="1">
      <c r="A1774" s="5" t="s">
        <v>6880</v>
      </c>
    </row>
    <row r="1775" ht="15.75" customHeight="1">
      <c r="A1775" s="5" t="s">
        <v>6881</v>
      </c>
    </row>
    <row r="1776" ht="15.75" customHeight="1">
      <c r="A1776" s="5" t="s">
        <v>6882</v>
      </c>
    </row>
    <row r="1777" ht="15.75" customHeight="1">
      <c r="A1777" s="5" t="s">
        <v>6883</v>
      </c>
    </row>
    <row r="1778" ht="15.75" customHeight="1">
      <c r="A1778" s="5" t="s">
        <v>6884</v>
      </c>
    </row>
    <row r="1779" ht="15.75" customHeight="1">
      <c r="A1779" s="5" t="s">
        <v>6885</v>
      </c>
    </row>
    <row r="1780" ht="15.75" customHeight="1">
      <c r="A1780" s="5" t="s">
        <v>6886</v>
      </c>
    </row>
    <row r="1781" ht="15.75" customHeight="1">
      <c r="A1781" s="5" t="s">
        <v>6887</v>
      </c>
    </row>
    <row r="1782" ht="15.75" customHeight="1">
      <c r="A1782" s="5" t="s">
        <v>6888</v>
      </c>
    </row>
    <row r="1783" ht="15.75" customHeight="1">
      <c r="A1783" s="5" t="s">
        <v>6889</v>
      </c>
    </row>
    <row r="1784" ht="15.75" customHeight="1">
      <c r="A1784" s="5" t="s">
        <v>6890</v>
      </c>
    </row>
    <row r="1785" ht="15.75" customHeight="1">
      <c r="A1785" s="5" t="s">
        <v>6891</v>
      </c>
    </row>
    <row r="1786" ht="15.75" customHeight="1">
      <c r="A1786" s="5" t="s">
        <v>6892</v>
      </c>
    </row>
    <row r="1787" ht="15.75" customHeight="1">
      <c r="A1787" s="5" t="s">
        <v>6893</v>
      </c>
    </row>
    <row r="1788" ht="15.75" customHeight="1">
      <c r="A1788" s="5" t="s">
        <v>6894</v>
      </c>
    </row>
    <row r="1789" ht="15.75" customHeight="1">
      <c r="A1789" s="5" t="s">
        <v>6895</v>
      </c>
    </row>
    <row r="1790" ht="15.75" customHeight="1">
      <c r="A1790" s="5" t="s">
        <v>6896</v>
      </c>
    </row>
    <row r="1791" ht="15.75" customHeight="1">
      <c r="A1791" s="5" t="s">
        <v>6897</v>
      </c>
    </row>
    <row r="1792" ht="15.75" customHeight="1">
      <c r="A1792" s="5" t="s">
        <v>6898</v>
      </c>
    </row>
    <row r="1793" ht="15.75" customHeight="1">
      <c r="A1793" s="5" t="s">
        <v>6899</v>
      </c>
    </row>
    <row r="1794" ht="15.75" customHeight="1">
      <c r="A1794" s="5" t="s">
        <v>6900</v>
      </c>
    </row>
    <row r="1795" ht="15.75" customHeight="1">
      <c r="A1795" s="5" t="s">
        <v>6901</v>
      </c>
    </row>
    <row r="1796" ht="15.75" customHeight="1">
      <c r="A1796" s="5" t="s">
        <v>6902</v>
      </c>
    </row>
    <row r="1797" ht="15.75" customHeight="1">
      <c r="A1797" s="5" t="s">
        <v>6903</v>
      </c>
    </row>
    <row r="1798" ht="15.75" customHeight="1">
      <c r="A1798" s="5" t="s">
        <v>6904</v>
      </c>
    </row>
    <row r="1799" ht="15.75" customHeight="1">
      <c r="A1799" s="5" t="s">
        <v>6905</v>
      </c>
    </row>
    <row r="1800" ht="15.75" customHeight="1">
      <c r="A1800" s="5" t="s">
        <v>6906</v>
      </c>
    </row>
    <row r="1801" ht="15.75" customHeight="1">
      <c r="A1801" s="5" t="s">
        <v>6907</v>
      </c>
    </row>
    <row r="1802" ht="15.75" customHeight="1">
      <c r="A1802" s="5" t="s">
        <v>6908</v>
      </c>
    </row>
    <row r="1803" ht="15.75" customHeight="1">
      <c r="A1803" s="5" t="s">
        <v>6909</v>
      </c>
    </row>
    <row r="1804" ht="15.75" customHeight="1">
      <c r="A1804" s="5" t="s">
        <v>6910</v>
      </c>
    </row>
    <row r="1805" ht="15.75" customHeight="1">
      <c r="A1805" s="5" t="s">
        <v>6911</v>
      </c>
    </row>
    <row r="1806" ht="15.75" customHeight="1">
      <c r="A1806" s="5" t="s">
        <v>6912</v>
      </c>
    </row>
    <row r="1807" ht="15.75" customHeight="1">
      <c r="A1807" s="5" t="s">
        <v>6913</v>
      </c>
    </row>
    <row r="1808" ht="15.75" customHeight="1">
      <c r="A1808" s="5" t="s">
        <v>6914</v>
      </c>
    </row>
    <row r="1809" ht="15.75" customHeight="1">
      <c r="A1809" s="5" t="s">
        <v>6915</v>
      </c>
    </row>
    <row r="1810" ht="15.75" customHeight="1">
      <c r="A1810" s="5" t="s">
        <v>6916</v>
      </c>
    </row>
    <row r="1811" ht="15.75" customHeight="1">
      <c r="A1811" s="5" t="s">
        <v>6917</v>
      </c>
    </row>
    <row r="1812" ht="15.75" customHeight="1">
      <c r="A1812" s="5" t="s">
        <v>6918</v>
      </c>
    </row>
    <row r="1813" ht="15.75" customHeight="1">
      <c r="A1813" s="5" t="s">
        <v>6919</v>
      </c>
    </row>
    <row r="1814" ht="15.75" customHeight="1">
      <c r="A1814" s="5" t="s">
        <v>6920</v>
      </c>
    </row>
    <row r="1815" ht="15.75" customHeight="1">
      <c r="A1815" s="5" t="s">
        <v>6921</v>
      </c>
    </row>
    <row r="1816" ht="15.75" customHeight="1">
      <c r="A1816" s="5" t="s">
        <v>6922</v>
      </c>
    </row>
    <row r="1817" ht="15.75" customHeight="1">
      <c r="A1817" s="5" t="s">
        <v>6923</v>
      </c>
    </row>
    <row r="1818" ht="15.75" customHeight="1">
      <c r="A1818" s="5" t="s">
        <v>6924</v>
      </c>
    </row>
    <row r="1819" ht="15.75" customHeight="1">
      <c r="A1819" s="5" t="s">
        <v>6925</v>
      </c>
    </row>
    <row r="1820" ht="15.75" customHeight="1">
      <c r="A1820" s="5" t="s">
        <v>6926</v>
      </c>
    </row>
    <row r="1821" ht="15.75" customHeight="1">
      <c r="A1821" s="5" t="s">
        <v>6927</v>
      </c>
    </row>
    <row r="1822" ht="15.75" customHeight="1">
      <c r="A1822" s="5" t="s">
        <v>6928</v>
      </c>
    </row>
    <row r="1823" ht="15.75" customHeight="1">
      <c r="A1823" s="5" t="s">
        <v>6929</v>
      </c>
    </row>
    <row r="1824" ht="15.75" customHeight="1">
      <c r="A1824" s="5" t="s">
        <v>6930</v>
      </c>
    </row>
    <row r="1825" ht="15.75" customHeight="1">
      <c r="A1825" s="5" t="s">
        <v>6931</v>
      </c>
    </row>
    <row r="1826" ht="15.75" customHeight="1">
      <c r="A1826" s="5" t="s">
        <v>6932</v>
      </c>
    </row>
    <row r="1827" ht="15.75" customHeight="1">
      <c r="A1827" s="5" t="s">
        <v>6933</v>
      </c>
    </row>
    <row r="1828" ht="15.75" customHeight="1">
      <c r="A1828" s="5" t="s">
        <v>6934</v>
      </c>
    </row>
    <row r="1829" ht="15.75" customHeight="1">
      <c r="A1829" s="5" t="s">
        <v>6935</v>
      </c>
    </row>
    <row r="1830" ht="15.75" customHeight="1">
      <c r="A1830" s="5" t="s">
        <v>6936</v>
      </c>
    </row>
    <row r="1831" ht="15.75" customHeight="1">
      <c r="A1831" s="5" t="s">
        <v>6937</v>
      </c>
    </row>
    <row r="1832" ht="15.75" customHeight="1">
      <c r="A1832" s="5" t="s">
        <v>6938</v>
      </c>
    </row>
    <row r="1833" ht="15.75" customHeight="1">
      <c r="A1833" s="5" t="s">
        <v>6939</v>
      </c>
    </row>
    <row r="1834" ht="15.75" customHeight="1">
      <c r="A1834" s="5" t="s">
        <v>6940</v>
      </c>
    </row>
    <row r="1835" ht="15.75" customHeight="1">
      <c r="A1835" s="5" t="s">
        <v>6941</v>
      </c>
    </row>
    <row r="1836" ht="15.75" customHeight="1">
      <c r="A1836" s="5" t="s">
        <v>6942</v>
      </c>
    </row>
    <row r="1837" ht="15.75" customHeight="1">
      <c r="A1837" s="5" t="s">
        <v>6943</v>
      </c>
    </row>
    <row r="1838" ht="15.75" customHeight="1">
      <c r="A1838" s="5" t="s">
        <v>6944</v>
      </c>
    </row>
    <row r="1839" ht="15.75" customHeight="1">
      <c r="A1839" s="5" t="s">
        <v>6945</v>
      </c>
    </row>
    <row r="1840" ht="15.75" customHeight="1">
      <c r="A1840" s="5" t="s">
        <v>6946</v>
      </c>
    </row>
    <row r="1841" ht="15.75" customHeight="1">
      <c r="A1841" s="5" t="s">
        <v>6947</v>
      </c>
    </row>
    <row r="1842" ht="15.75" customHeight="1">
      <c r="A1842" s="5" t="s">
        <v>6948</v>
      </c>
    </row>
    <row r="1843" ht="15.75" customHeight="1">
      <c r="A1843" s="5" t="s">
        <v>6949</v>
      </c>
    </row>
    <row r="1844" ht="15.75" customHeight="1">
      <c r="A1844" s="5" t="s">
        <v>6950</v>
      </c>
    </row>
    <row r="1845" ht="15.75" customHeight="1">
      <c r="A1845" s="5" t="s">
        <v>6951</v>
      </c>
    </row>
    <row r="1846" ht="15.75" customHeight="1">
      <c r="A1846" s="5" t="s">
        <v>6952</v>
      </c>
    </row>
    <row r="1847" ht="15.75" customHeight="1">
      <c r="A1847" s="5" t="s">
        <v>6953</v>
      </c>
    </row>
    <row r="1848" ht="15.75" customHeight="1">
      <c r="A1848" s="5" t="s">
        <v>6954</v>
      </c>
    </row>
    <row r="1849" ht="15.75" customHeight="1">
      <c r="A1849" s="5" t="s">
        <v>6955</v>
      </c>
    </row>
    <row r="1850" ht="15.75" customHeight="1">
      <c r="A1850" s="5" t="s">
        <v>6956</v>
      </c>
    </row>
    <row r="1851" ht="15.75" customHeight="1">
      <c r="A1851" s="5" t="s">
        <v>6957</v>
      </c>
    </row>
    <row r="1852" ht="15.75" customHeight="1">
      <c r="A1852" s="5" t="s">
        <v>6958</v>
      </c>
    </row>
    <row r="1853" ht="15.75" customHeight="1">
      <c r="A1853" s="5" t="s">
        <v>6959</v>
      </c>
    </row>
    <row r="1854" ht="15.75" customHeight="1">
      <c r="A1854" s="5" t="s">
        <v>6960</v>
      </c>
    </row>
    <row r="1855" ht="15.75" customHeight="1">
      <c r="A1855" s="5" t="s">
        <v>6961</v>
      </c>
    </row>
    <row r="1856" ht="15.75" customHeight="1">
      <c r="A1856" s="5" t="s">
        <v>6962</v>
      </c>
    </row>
    <row r="1857" ht="15.75" customHeight="1">
      <c r="A1857" s="5" t="s">
        <v>6963</v>
      </c>
    </row>
    <row r="1858" ht="15.75" customHeight="1">
      <c r="A1858" s="5" t="s">
        <v>6964</v>
      </c>
    </row>
    <row r="1859" ht="15.75" customHeight="1">
      <c r="A1859" s="5" t="s">
        <v>6965</v>
      </c>
    </row>
    <row r="1860" ht="15.75" customHeight="1">
      <c r="A1860" s="5" t="s">
        <v>6966</v>
      </c>
    </row>
    <row r="1861" ht="15.75" customHeight="1">
      <c r="A1861" s="5" t="s">
        <v>6967</v>
      </c>
    </row>
    <row r="1862" ht="15.75" customHeight="1">
      <c r="A1862" s="5" t="s">
        <v>6968</v>
      </c>
    </row>
    <row r="1863" ht="15.75" customHeight="1">
      <c r="A1863" s="5" t="s">
        <v>6969</v>
      </c>
    </row>
    <row r="1864" ht="15.75" customHeight="1">
      <c r="A1864" s="5" t="s">
        <v>6970</v>
      </c>
    </row>
    <row r="1865" ht="15.75" customHeight="1">
      <c r="A1865" s="5" t="s">
        <v>6971</v>
      </c>
    </row>
    <row r="1866" ht="15.75" customHeight="1">
      <c r="A1866" s="5" t="s">
        <v>6972</v>
      </c>
    </row>
    <row r="1867" ht="15.75" customHeight="1">
      <c r="A1867" s="5" t="s">
        <v>6973</v>
      </c>
    </row>
    <row r="1868" ht="15.75" customHeight="1">
      <c r="A1868" s="5" t="s">
        <v>6974</v>
      </c>
    </row>
    <row r="1869" ht="15.75" customHeight="1">
      <c r="A1869" s="5" t="s">
        <v>6975</v>
      </c>
    </row>
    <row r="1870" ht="15.75" customHeight="1">
      <c r="A1870" s="5" t="s">
        <v>6976</v>
      </c>
    </row>
    <row r="1871" ht="15.75" customHeight="1">
      <c r="A1871" s="5" t="s">
        <v>6977</v>
      </c>
    </row>
    <row r="1872" ht="15.75" customHeight="1">
      <c r="A1872" s="5" t="s">
        <v>6978</v>
      </c>
    </row>
    <row r="1873" ht="15.75" customHeight="1">
      <c r="A1873" s="5" t="s">
        <v>6979</v>
      </c>
    </row>
    <row r="1874" ht="15.75" customHeight="1">
      <c r="A1874" s="5" t="s">
        <v>6980</v>
      </c>
    </row>
    <row r="1875" ht="15.75" customHeight="1">
      <c r="A1875" s="5" t="s">
        <v>6981</v>
      </c>
    </row>
    <row r="1876" ht="15.75" customHeight="1">
      <c r="A1876" s="5" t="s">
        <v>6982</v>
      </c>
    </row>
    <row r="1877" ht="15.75" customHeight="1">
      <c r="A1877" s="5" t="s">
        <v>6983</v>
      </c>
    </row>
    <row r="1878" ht="15.75" customHeight="1">
      <c r="A1878" s="5" t="s">
        <v>6984</v>
      </c>
    </row>
    <row r="1879" ht="15.75" customHeight="1">
      <c r="A1879" s="5" t="s">
        <v>6985</v>
      </c>
    </row>
    <row r="1880" ht="15.75" customHeight="1">
      <c r="A1880" s="5" t="s">
        <v>6986</v>
      </c>
    </row>
    <row r="1881" ht="15.75" customHeight="1">
      <c r="A1881" s="5" t="s">
        <v>6987</v>
      </c>
    </row>
    <row r="1882" ht="15.75" customHeight="1">
      <c r="A1882" s="5" t="s">
        <v>6988</v>
      </c>
    </row>
    <row r="1883" ht="15.75" customHeight="1">
      <c r="A1883" s="5" t="s">
        <v>6989</v>
      </c>
    </row>
    <row r="1884" ht="15.75" customHeight="1">
      <c r="A1884" s="5" t="s">
        <v>6990</v>
      </c>
    </row>
    <row r="1885" ht="15.75" customHeight="1">
      <c r="A1885" s="5" t="s">
        <v>6991</v>
      </c>
    </row>
    <row r="1886" ht="15.75" customHeight="1">
      <c r="A1886" s="5" t="s">
        <v>6992</v>
      </c>
    </row>
    <row r="1887" ht="15.75" customHeight="1">
      <c r="A1887" s="5" t="s">
        <v>6993</v>
      </c>
    </row>
    <row r="1888" ht="15.75" customHeight="1">
      <c r="A1888" s="5" t="s">
        <v>6994</v>
      </c>
    </row>
    <row r="1889" ht="15.75" customHeight="1">
      <c r="A1889" s="5" t="s">
        <v>6995</v>
      </c>
    </row>
    <row r="1890" ht="15.75" customHeight="1">
      <c r="A1890" s="5" t="s">
        <v>6996</v>
      </c>
    </row>
    <row r="1891" ht="15.75" customHeight="1">
      <c r="A1891" s="5" t="s">
        <v>6997</v>
      </c>
    </row>
    <row r="1892" ht="15.75" customHeight="1">
      <c r="A1892" s="5" t="s">
        <v>6998</v>
      </c>
    </row>
    <row r="1893" ht="15.75" customHeight="1">
      <c r="A1893" s="5" t="s">
        <v>6999</v>
      </c>
    </row>
    <row r="1894" ht="15.75" customHeight="1">
      <c r="A1894" s="5" t="s">
        <v>7000</v>
      </c>
    </row>
    <row r="1895" ht="15.75" customHeight="1">
      <c r="A1895" s="5" t="s">
        <v>7001</v>
      </c>
    </row>
    <row r="1896" ht="15.75" customHeight="1">
      <c r="A1896" s="5" t="s">
        <v>7002</v>
      </c>
    </row>
    <row r="1897" ht="15.75" customHeight="1">
      <c r="A1897" s="5" t="s">
        <v>7003</v>
      </c>
    </row>
    <row r="1898" ht="15.75" customHeight="1">
      <c r="A1898" s="5" t="s">
        <v>7004</v>
      </c>
    </row>
    <row r="1899" ht="15.75" customHeight="1">
      <c r="A1899" s="5" t="s">
        <v>7005</v>
      </c>
    </row>
    <row r="1900" ht="15.75" customHeight="1">
      <c r="A1900" s="5" t="s">
        <v>7006</v>
      </c>
    </row>
    <row r="1901" ht="15.75" customHeight="1">
      <c r="A1901" s="5" t="s">
        <v>7007</v>
      </c>
    </row>
    <row r="1902" ht="15.75" customHeight="1">
      <c r="A1902" s="5" t="s">
        <v>7008</v>
      </c>
    </row>
    <row r="1903" ht="15.75" customHeight="1">
      <c r="A1903" s="5" t="s">
        <v>7009</v>
      </c>
    </row>
    <row r="1904" ht="15.75" customHeight="1">
      <c r="A1904" s="5" t="s">
        <v>7010</v>
      </c>
    </row>
    <row r="1905" ht="15.75" customHeight="1">
      <c r="A1905" s="5" t="s">
        <v>7011</v>
      </c>
    </row>
    <row r="1906" ht="15.75" customHeight="1">
      <c r="A1906" s="5" t="s">
        <v>7012</v>
      </c>
    </row>
    <row r="1907" ht="15.75" customHeight="1">
      <c r="A1907" s="5" t="s">
        <v>7013</v>
      </c>
    </row>
    <row r="1908" ht="15.75" customHeight="1">
      <c r="A1908" s="5" t="s">
        <v>7014</v>
      </c>
    </row>
    <row r="1909" ht="15.75" customHeight="1">
      <c r="A1909" s="5" t="s">
        <v>7015</v>
      </c>
    </row>
    <row r="1910" ht="15.75" customHeight="1">
      <c r="A1910" s="5" t="s">
        <v>7016</v>
      </c>
    </row>
    <row r="1911" ht="15.75" customHeight="1">
      <c r="A1911" s="5" t="s">
        <v>7017</v>
      </c>
    </row>
    <row r="1912" ht="15.75" customHeight="1">
      <c r="A1912" s="5" t="s">
        <v>7018</v>
      </c>
    </row>
    <row r="1913" ht="15.75" customHeight="1">
      <c r="A1913" s="5" t="s">
        <v>7019</v>
      </c>
    </row>
    <row r="1914" ht="15.75" customHeight="1">
      <c r="A1914" s="5" t="s">
        <v>7020</v>
      </c>
    </row>
    <row r="1915" ht="15.75" customHeight="1">
      <c r="A1915" s="5" t="s">
        <v>7021</v>
      </c>
    </row>
    <row r="1916" ht="15.75" customHeight="1">
      <c r="A1916" s="5" t="s">
        <v>7022</v>
      </c>
    </row>
    <row r="1917" ht="15.75" customHeight="1">
      <c r="A1917" s="5" t="s">
        <v>7023</v>
      </c>
    </row>
    <row r="1918" ht="15.75" customHeight="1">
      <c r="A1918" s="5" t="s">
        <v>7024</v>
      </c>
    </row>
    <row r="1919" ht="15.75" customHeight="1">
      <c r="A1919" s="5" t="s">
        <v>7025</v>
      </c>
    </row>
    <row r="1920" ht="15.75" customHeight="1">
      <c r="A1920" s="5" t="s">
        <v>7026</v>
      </c>
    </row>
    <row r="1921" ht="15.75" customHeight="1">
      <c r="A1921" s="5" t="s">
        <v>7027</v>
      </c>
    </row>
    <row r="1922" ht="15.75" customHeight="1">
      <c r="A1922" s="5" t="s">
        <v>7028</v>
      </c>
    </row>
    <row r="1923" ht="15.75" customHeight="1">
      <c r="A1923" s="5" t="s">
        <v>7029</v>
      </c>
    </row>
    <row r="1924" ht="15.75" customHeight="1">
      <c r="A1924" s="5" t="s">
        <v>7030</v>
      </c>
    </row>
    <row r="1925" ht="15.75" customHeight="1">
      <c r="A1925" s="5" t="s">
        <v>7031</v>
      </c>
    </row>
    <row r="1926" ht="15.75" customHeight="1">
      <c r="A1926" s="5" t="s">
        <v>7032</v>
      </c>
    </row>
    <row r="1927" ht="15.75" customHeight="1">
      <c r="A1927" s="5" t="s">
        <v>7033</v>
      </c>
    </row>
    <row r="1928" ht="15.75" customHeight="1">
      <c r="A1928" s="5" t="s">
        <v>7034</v>
      </c>
    </row>
    <row r="1929" ht="15.75" customHeight="1">
      <c r="A1929" s="5" t="s">
        <v>7035</v>
      </c>
    </row>
    <row r="1930" ht="15.75" customHeight="1">
      <c r="A1930" s="5" t="s">
        <v>7036</v>
      </c>
    </row>
    <row r="1931" ht="15.75" customHeight="1">
      <c r="A1931" s="5" t="s">
        <v>7037</v>
      </c>
    </row>
    <row r="1932" ht="15.75" customHeight="1">
      <c r="A1932" s="5" t="s">
        <v>7038</v>
      </c>
    </row>
    <row r="1933" ht="15.75" customHeight="1">
      <c r="A1933" s="5" t="s">
        <v>7039</v>
      </c>
    </row>
    <row r="1934" ht="15.75" customHeight="1">
      <c r="A1934" s="5" t="s">
        <v>7040</v>
      </c>
    </row>
    <row r="1935" ht="15.75" customHeight="1">
      <c r="A1935" s="5" t="s">
        <v>7041</v>
      </c>
    </row>
    <row r="1936" ht="15.75" customHeight="1">
      <c r="A1936" s="5" t="s">
        <v>7042</v>
      </c>
    </row>
    <row r="1937" ht="15.75" customHeight="1">
      <c r="A1937" s="5" t="s">
        <v>7043</v>
      </c>
    </row>
    <row r="1938" ht="15.75" customHeight="1">
      <c r="A1938" s="5" t="s">
        <v>7044</v>
      </c>
    </row>
    <row r="1939" ht="15.75" customHeight="1">
      <c r="A1939" s="5" t="s">
        <v>7045</v>
      </c>
    </row>
    <row r="1940" ht="15.75" customHeight="1">
      <c r="A1940" s="5" t="s">
        <v>7046</v>
      </c>
    </row>
    <row r="1941" ht="15.75" customHeight="1">
      <c r="A1941" s="5" t="s">
        <v>7047</v>
      </c>
    </row>
    <row r="1942" ht="15.75" customHeight="1">
      <c r="A1942" s="5" t="s">
        <v>7048</v>
      </c>
    </row>
    <row r="1943" ht="15.75" customHeight="1">
      <c r="A1943" s="5" t="s">
        <v>7049</v>
      </c>
    </row>
    <row r="1944" ht="15.75" customHeight="1">
      <c r="A1944" s="5" t="s">
        <v>7050</v>
      </c>
    </row>
    <row r="1945" ht="15.75" customHeight="1">
      <c r="A1945" s="5" t="s">
        <v>7051</v>
      </c>
    </row>
    <row r="1946" ht="15.75" customHeight="1">
      <c r="A1946" s="5" t="s">
        <v>7052</v>
      </c>
    </row>
    <row r="1947" ht="15.75" customHeight="1">
      <c r="A1947" s="5" t="s">
        <v>7053</v>
      </c>
    </row>
    <row r="1948" ht="15.75" customHeight="1">
      <c r="A1948" s="5" t="s">
        <v>7054</v>
      </c>
    </row>
    <row r="1949" ht="15.75" customHeight="1">
      <c r="A1949" s="5" t="s">
        <v>7055</v>
      </c>
    </row>
    <row r="1950" ht="15.75" customHeight="1">
      <c r="A1950" s="5" t="s">
        <v>7056</v>
      </c>
    </row>
    <row r="1951" ht="15.75" customHeight="1">
      <c r="A1951" s="5" t="s">
        <v>7057</v>
      </c>
    </row>
    <row r="1952" ht="15.75" customHeight="1">
      <c r="A1952" s="5" t="s">
        <v>7058</v>
      </c>
    </row>
    <row r="1953" ht="15.75" customHeight="1">
      <c r="A1953" s="5" t="s">
        <v>7059</v>
      </c>
    </row>
    <row r="1954" ht="15.75" customHeight="1">
      <c r="A1954" s="5" t="s">
        <v>7060</v>
      </c>
    </row>
    <row r="1955" ht="15.75" customHeight="1">
      <c r="A1955" s="5" t="s">
        <v>7061</v>
      </c>
    </row>
    <row r="1956" ht="15.75" customHeight="1">
      <c r="A1956" s="5" t="s">
        <v>7062</v>
      </c>
    </row>
    <row r="1957" ht="15.75" customHeight="1">
      <c r="A1957" s="5" t="s">
        <v>7063</v>
      </c>
    </row>
    <row r="1958" ht="15.75" customHeight="1">
      <c r="A1958" s="5" t="s">
        <v>7064</v>
      </c>
    </row>
    <row r="1959" ht="15.75" customHeight="1">
      <c r="A1959" s="5" t="s">
        <v>7065</v>
      </c>
    </row>
    <row r="1960" ht="15.75" customHeight="1">
      <c r="A1960" s="5" t="s">
        <v>7066</v>
      </c>
    </row>
    <row r="1961" ht="15.75" customHeight="1">
      <c r="A1961" s="5" t="s">
        <v>7067</v>
      </c>
    </row>
    <row r="1962" ht="15.75" customHeight="1">
      <c r="A1962" s="5" t="s">
        <v>7068</v>
      </c>
    </row>
    <row r="1963" ht="15.75" customHeight="1">
      <c r="A1963" s="5" t="s">
        <v>7069</v>
      </c>
    </row>
    <row r="1964" ht="15.75" customHeight="1">
      <c r="A1964" s="5" t="s">
        <v>7070</v>
      </c>
    </row>
    <row r="1965" ht="15.75" customHeight="1">
      <c r="A1965" s="5" t="s">
        <v>7071</v>
      </c>
    </row>
    <row r="1966" ht="15.75" customHeight="1">
      <c r="A1966" s="5" t="s">
        <v>7072</v>
      </c>
    </row>
    <row r="1967" ht="15.75" customHeight="1">
      <c r="A1967" s="5" t="s">
        <v>7073</v>
      </c>
    </row>
    <row r="1968" ht="15.75" customHeight="1">
      <c r="A1968" s="5" t="s">
        <v>7074</v>
      </c>
    </row>
    <row r="1969" ht="15.75" customHeight="1">
      <c r="A1969" s="5" t="s">
        <v>7075</v>
      </c>
    </row>
    <row r="1970" ht="15.75" customHeight="1">
      <c r="A1970" s="5" t="s">
        <v>7076</v>
      </c>
    </row>
    <row r="1971" ht="15.75" customHeight="1">
      <c r="A1971" s="5" t="s">
        <v>7077</v>
      </c>
    </row>
    <row r="1972" ht="15.75" customHeight="1">
      <c r="A1972" s="5" t="s">
        <v>7078</v>
      </c>
    </row>
    <row r="1973" ht="15.75" customHeight="1">
      <c r="A1973" s="5" t="s">
        <v>7079</v>
      </c>
    </row>
    <row r="1974" ht="15.75" customHeight="1">
      <c r="A1974" s="5" t="s">
        <v>7080</v>
      </c>
    </row>
    <row r="1975" ht="15.75" customHeight="1">
      <c r="A1975" s="5" t="s">
        <v>7081</v>
      </c>
    </row>
    <row r="1976" ht="15.75" customHeight="1">
      <c r="A1976" s="5" t="s">
        <v>7082</v>
      </c>
    </row>
    <row r="1977" ht="15.75" customHeight="1">
      <c r="A1977" s="5" t="s">
        <v>7083</v>
      </c>
    </row>
    <row r="1978" ht="15.75" customHeight="1">
      <c r="A1978" s="5" t="s">
        <v>7084</v>
      </c>
    </row>
    <row r="1979" ht="15.75" customHeight="1">
      <c r="A1979" s="5" t="s">
        <v>7085</v>
      </c>
    </row>
    <row r="1980" ht="15.75" customHeight="1">
      <c r="A1980" s="5" t="s">
        <v>7086</v>
      </c>
    </row>
    <row r="1981" ht="15.75" customHeight="1">
      <c r="A1981" s="5" t="s">
        <v>7087</v>
      </c>
    </row>
    <row r="1982" ht="15.75" customHeight="1">
      <c r="A1982" s="5" t="s">
        <v>7088</v>
      </c>
    </row>
    <row r="1983" ht="15.75" customHeight="1">
      <c r="A1983" s="5" t="s">
        <v>7089</v>
      </c>
    </row>
    <row r="1984" ht="15.75" customHeight="1">
      <c r="A1984" s="5" t="s">
        <v>7090</v>
      </c>
    </row>
    <row r="1985" ht="15.75" customHeight="1">
      <c r="A1985" s="5" t="s">
        <v>7091</v>
      </c>
    </row>
    <row r="1986" ht="15.75" customHeight="1">
      <c r="A1986" s="5" t="s">
        <v>7092</v>
      </c>
    </row>
    <row r="1987" ht="15.75" customHeight="1">
      <c r="A1987" s="5" t="s">
        <v>7093</v>
      </c>
    </row>
    <row r="1988" ht="15.75" customHeight="1">
      <c r="A1988" s="5" t="s">
        <v>7094</v>
      </c>
    </row>
    <row r="1989" ht="15.75" customHeight="1">
      <c r="A1989" s="5" t="s">
        <v>7095</v>
      </c>
    </row>
    <row r="1990" ht="15.75" customHeight="1">
      <c r="A1990" s="5" t="s">
        <v>7096</v>
      </c>
    </row>
    <row r="1991" ht="15.75" customHeight="1">
      <c r="A1991" s="5" t="s">
        <v>7097</v>
      </c>
    </row>
    <row r="1992" ht="15.75" customHeight="1">
      <c r="A1992" s="5" t="s">
        <v>7098</v>
      </c>
    </row>
    <row r="1993" ht="15.75" customHeight="1">
      <c r="A1993" s="5" t="s">
        <v>7099</v>
      </c>
    </row>
    <row r="1994" ht="15.75" customHeight="1">
      <c r="A1994" s="5" t="s">
        <v>7100</v>
      </c>
    </row>
    <row r="1995" ht="15.75" customHeight="1">
      <c r="A1995" s="5" t="s">
        <v>7101</v>
      </c>
    </row>
    <row r="1996" ht="15.75" customHeight="1">
      <c r="A1996" s="5" t="s">
        <v>7102</v>
      </c>
    </row>
    <row r="1997" ht="15.75" customHeight="1">
      <c r="A1997" s="5" t="s">
        <v>7103</v>
      </c>
    </row>
    <row r="1998" ht="15.75" customHeight="1">
      <c r="A1998" s="5" t="s">
        <v>7104</v>
      </c>
    </row>
    <row r="1999" ht="15.75" customHeight="1">
      <c r="A1999" s="5" t="s">
        <v>7105</v>
      </c>
    </row>
    <row r="2000" ht="15.75" customHeight="1">
      <c r="A2000" s="5" t="s">
        <v>7106</v>
      </c>
    </row>
    <row r="2001" ht="15.75" customHeight="1">
      <c r="A2001" s="5" t="s">
        <v>7107</v>
      </c>
    </row>
    <row r="2002" ht="15.75" customHeight="1">
      <c r="A2002" s="5" t="s">
        <v>7108</v>
      </c>
    </row>
    <row r="2003" ht="15.75" customHeight="1">
      <c r="A2003" s="5" t="s">
        <v>7109</v>
      </c>
    </row>
    <row r="2004" ht="15.75" customHeight="1">
      <c r="A2004" s="5" t="s">
        <v>7110</v>
      </c>
    </row>
    <row r="2005" ht="15.75" customHeight="1">
      <c r="A2005" s="5" t="s">
        <v>7111</v>
      </c>
    </row>
    <row r="2006" ht="15.75" customHeight="1">
      <c r="A2006" s="5" t="s">
        <v>7112</v>
      </c>
    </row>
    <row r="2007" ht="15.75" customHeight="1">
      <c r="A2007" s="5" t="s">
        <v>7113</v>
      </c>
    </row>
    <row r="2008" ht="15.75" customHeight="1">
      <c r="A2008" s="5" t="s">
        <v>7114</v>
      </c>
    </row>
    <row r="2009" ht="15.75" customHeight="1">
      <c r="A2009" s="5" t="s">
        <v>7115</v>
      </c>
    </row>
    <row r="2010" ht="15.75" customHeight="1">
      <c r="A2010" s="5" t="s">
        <v>7116</v>
      </c>
    </row>
    <row r="2011" ht="15.75" customHeight="1">
      <c r="A2011" s="5" t="s">
        <v>7117</v>
      </c>
    </row>
    <row r="2012" ht="15.75" customHeight="1">
      <c r="A2012" s="5" t="s">
        <v>7118</v>
      </c>
    </row>
    <row r="2013" ht="15.75" customHeight="1">
      <c r="A2013" s="5" t="s">
        <v>7119</v>
      </c>
    </row>
    <row r="2014" ht="15.75" customHeight="1">
      <c r="A2014" s="5" t="s">
        <v>7120</v>
      </c>
    </row>
    <row r="2015" ht="15.75" customHeight="1">
      <c r="A2015" s="5" t="s">
        <v>7121</v>
      </c>
    </row>
    <row r="2016" ht="15.75" customHeight="1">
      <c r="A2016" s="5" t="s">
        <v>7122</v>
      </c>
    </row>
    <row r="2017" ht="15.75" customHeight="1">
      <c r="A2017" s="5" t="s">
        <v>7123</v>
      </c>
    </row>
    <row r="2018" ht="15.75" customHeight="1">
      <c r="A2018" s="5" t="s">
        <v>7124</v>
      </c>
    </row>
    <row r="2019" ht="15.75" customHeight="1">
      <c r="A2019" s="5" t="s">
        <v>7125</v>
      </c>
    </row>
    <row r="2020" ht="15.75" customHeight="1">
      <c r="A2020" s="5" t="s">
        <v>7126</v>
      </c>
    </row>
    <row r="2021" ht="15.75" customHeight="1">
      <c r="A2021" s="5" t="s">
        <v>7127</v>
      </c>
    </row>
    <row r="2022" ht="15.75" customHeight="1">
      <c r="A2022" s="5" t="s">
        <v>7128</v>
      </c>
    </row>
    <row r="2023" ht="15.75" customHeight="1">
      <c r="A2023" s="5" t="s">
        <v>7129</v>
      </c>
    </row>
    <row r="2024" ht="15.75" customHeight="1">
      <c r="A2024" s="5" t="s">
        <v>7130</v>
      </c>
    </row>
    <row r="2025" ht="15.75" customHeight="1">
      <c r="A2025" s="5" t="s">
        <v>7131</v>
      </c>
    </row>
    <row r="2026" ht="15.75" customHeight="1">
      <c r="A2026" s="5" t="s">
        <v>7132</v>
      </c>
    </row>
    <row r="2027" ht="15.75" customHeight="1">
      <c r="A2027" s="5" t="s">
        <v>7133</v>
      </c>
    </row>
    <row r="2028" ht="15.75" customHeight="1">
      <c r="A2028" s="5" t="s">
        <v>7134</v>
      </c>
    </row>
    <row r="2029" ht="15.75" customHeight="1">
      <c r="A2029" s="5" t="s">
        <v>7135</v>
      </c>
    </row>
    <row r="2030" ht="15.75" customHeight="1">
      <c r="A2030" s="5" t="s">
        <v>7136</v>
      </c>
    </row>
    <row r="2031" ht="15.75" customHeight="1">
      <c r="A2031" s="5" t="s">
        <v>7137</v>
      </c>
    </row>
    <row r="2032" ht="15.75" customHeight="1">
      <c r="A2032" s="5" t="s">
        <v>7138</v>
      </c>
    </row>
    <row r="2033" ht="15.75" customHeight="1">
      <c r="A2033" s="5" t="s">
        <v>7139</v>
      </c>
    </row>
    <row r="2034" ht="15.75" customHeight="1">
      <c r="A2034" s="5" t="s">
        <v>7140</v>
      </c>
    </row>
    <row r="2035" ht="15.75" customHeight="1">
      <c r="A2035" s="5" t="s">
        <v>7141</v>
      </c>
    </row>
    <row r="2036" ht="15.75" customHeight="1">
      <c r="A2036" s="5" t="s">
        <v>7142</v>
      </c>
    </row>
    <row r="2037" ht="15.75" customHeight="1">
      <c r="A2037" s="5" t="s">
        <v>7143</v>
      </c>
    </row>
    <row r="2038" ht="15.75" customHeight="1">
      <c r="A2038" s="5" t="s">
        <v>7144</v>
      </c>
    </row>
    <row r="2039" ht="15.75" customHeight="1">
      <c r="A2039" s="5" t="s">
        <v>7145</v>
      </c>
    </row>
    <row r="2040" ht="15.75" customHeight="1">
      <c r="A2040" s="5" t="s">
        <v>7146</v>
      </c>
    </row>
    <row r="2041" ht="15.75" customHeight="1">
      <c r="A2041" s="5" t="s">
        <v>7147</v>
      </c>
    </row>
    <row r="2042" ht="15.75" customHeight="1">
      <c r="A2042" s="5" t="s">
        <v>7148</v>
      </c>
    </row>
    <row r="2043" ht="15.75" customHeight="1">
      <c r="A2043" s="5" t="s">
        <v>7149</v>
      </c>
    </row>
    <row r="2044" ht="15.75" customHeight="1">
      <c r="A2044" s="5" t="s">
        <v>7150</v>
      </c>
    </row>
    <row r="2045" ht="15.75" customHeight="1">
      <c r="A2045" s="5" t="s">
        <v>7151</v>
      </c>
    </row>
    <row r="2046" ht="15.75" customHeight="1">
      <c r="A2046" s="5" t="s">
        <v>7152</v>
      </c>
    </row>
    <row r="2047" ht="15.75" customHeight="1">
      <c r="A2047" s="5" t="s">
        <v>7153</v>
      </c>
    </row>
    <row r="2048" ht="15.75" customHeight="1">
      <c r="A2048" s="5" t="s">
        <v>7154</v>
      </c>
    </row>
    <row r="2049" ht="15.75" customHeight="1">
      <c r="A2049" s="5" t="s">
        <v>7155</v>
      </c>
    </row>
    <row r="2050" ht="15.75" customHeight="1">
      <c r="A2050" s="5" t="s">
        <v>7156</v>
      </c>
    </row>
    <row r="2051" ht="15.75" customHeight="1">
      <c r="A2051" s="5" t="s">
        <v>7157</v>
      </c>
    </row>
    <row r="2052" ht="15.75" customHeight="1">
      <c r="A2052" s="5" t="s">
        <v>7158</v>
      </c>
    </row>
    <row r="2053" ht="15.75" customHeight="1">
      <c r="A2053" s="5" t="s">
        <v>7159</v>
      </c>
    </row>
    <row r="2054" ht="15.75" customHeight="1">
      <c r="A2054" s="5" t="s">
        <v>7160</v>
      </c>
    </row>
    <row r="2055" ht="15.75" customHeight="1">
      <c r="A2055" s="5" t="s">
        <v>7161</v>
      </c>
    </row>
    <row r="2056" ht="15.75" customHeight="1">
      <c r="A2056" s="5" t="s">
        <v>7162</v>
      </c>
    </row>
    <row r="2057" ht="15.75" customHeight="1">
      <c r="A2057" s="5" t="s">
        <v>7163</v>
      </c>
    </row>
    <row r="2058" ht="15.75" customHeight="1">
      <c r="A2058" s="5" t="s">
        <v>7164</v>
      </c>
    </row>
    <row r="2059" ht="15.75" customHeight="1">
      <c r="A2059" s="5" t="s">
        <v>7165</v>
      </c>
    </row>
    <row r="2060" ht="15.75" customHeight="1">
      <c r="A2060" s="5" t="s">
        <v>7166</v>
      </c>
    </row>
    <row r="2061" ht="15.75" customHeight="1">
      <c r="A2061" s="5" t="s">
        <v>7167</v>
      </c>
    </row>
    <row r="2062" ht="15.75" customHeight="1">
      <c r="A2062" s="5" t="s">
        <v>7168</v>
      </c>
    </row>
    <row r="2063" ht="15.75" customHeight="1">
      <c r="A2063" s="5" t="s">
        <v>7169</v>
      </c>
    </row>
    <row r="2064" ht="15.75" customHeight="1">
      <c r="A2064" s="5" t="s">
        <v>7170</v>
      </c>
    </row>
    <row r="2065" ht="15.75" customHeight="1">
      <c r="A2065" s="5" t="s">
        <v>7171</v>
      </c>
    </row>
    <row r="2066" ht="15.75" customHeight="1">
      <c r="A2066" s="5" t="s">
        <v>7172</v>
      </c>
    </row>
    <row r="2067" ht="15.75" customHeight="1">
      <c r="A2067" s="5" t="s">
        <v>7173</v>
      </c>
    </row>
    <row r="2068" ht="15.75" customHeight="1">
      <c r="A2068" s="5" t="s">
        <v>7174</v>
      </c>
    </row>
    <row r="2069" ht="15.75" customHeight="1">
      <c r="A2069" s="5" t="s">
        <v>7175</v>
      </c>
    </row>
    <row r="2070" ht="15.75" customHeight="1">
      <c r="A2070" s="5" t="s">
        <v>7176</v>
      </c>
    </row>
    <row r="2071" ht="15.75" customHeight="1">
      <c r="A2071" s="5" t="s">
        <v>7177</v>
      </c>
    </row>
    <row r="2072" ht="15.75" customHeight="1">
      <c r="A2072" s="5" t="s">
        <v>7178</v>
      </c>
    </row>
    <row r="2073" ht="15.75" customHeight="1">
      <c r="A2073" s="5" t="s">
        <v>7179</v>
      </c>
    </row>
    <row r="2074" ht="15.75" customHeight="1">
      <c r="A2074" s="5" t="s">
        <v>7180</v>
      </c>
    </row>
    <row r="2075" ht="15.75" customHeight="1">
      <c r="A2075" s="5" t="s">
        <v>7181</v>
      </c>
    </row>
    <row r="2076" ht="15.75" customHeight="1">
      <c r="A2076" s="5" t="s">
        <v>7182</v>
      </c>
    </row>
    <row r="2077" ht="15.75" customHeight="1">
      <c r="A2077" s="5" t="s">
        <v>7183</v>
      </c>
    </row>
    <row r="2078" ht="15.75" customHeight="1">
      <c r="A2078" s="5" t="s">
        <v>7184</v>
      </c>
    </row>
    <row r="2079" ht="15.75" customHeight="1">
      <c r="A2079" s="5" t="s">
        <v>7185</v>
      </c>
    </row>
    <row r="2080" ht="15.75" customHeight="1">
      <c r="A2080" s="5" t="s">
        <v>7186</v>
      </c>
    </row>
    <row r="2081" ht="15.75" customHeight="1">
      <c r="A2081" s="5" t="s">
        <v>7187</v>
      </c>
    </row>
    <row r="2082" ht="15.75" customHeight="1">
      <c r="A2082" s="5" t="s">
        <v>7188</v>
      </c>
    </row>
    <row r="2083" ht="15.75" customHeight="1">
      <c r="A2083" s="5" t="s">
        <v>7189</v>
      </c>
    </row>
    <row r="2084" ht="15.75" customHeight="1">
      <c r="A2084" s="5" t="s">
        <v>7190</v>
      </c>
    </row>
    <row r="2085" ht="15.75" customHeight="1">
      <c r="A2085" s="5" t="s">
        <v>7191</v>
      </c>
    </row>
    <row r="2086" ht="15.75" customHeight="1">
      <c r="A2086" s="5" t="s">
        <v>7192</v>
      </c>
    </row>
    <row r="2087" ht="15.75" customHeight="1">
      <c r="A2087" s="5" t="s">
        <v>7193</v>
      </c>
    </row>
    <row r="2088" ht="15.75" customHeight="1">
      <c r="A2088" s="5" t="s">
        <v>7194</v>
      </c>
    </row>
    <row r="2089" ht="15.75" customHeight="1">
      <c r="A2089" s="5" t="s">
        <v>7195</v>
      </c>
    </row>
    <row r="2090" ht="15.75" customHeight="1">
      <c r="A2090" s="5" t="s">
        <v>7196</v>
      </c>
    </row>
    <row r="2091" ht="15.75" customHeight="1">
      <c r="A2091" s="5" t="s">
        <v>7197</v>
      </c>
    </row>
    <row r="2092" ht="15.75" customHeight="1">
      <c r="A2092" s="5" t="s">
        <v>7198</v>
      </c>
    </row>
    <row r="2093" ht="15.75" customHeight="1">
      <c r="A2093" s="5" t="s">
        <v>7199</v>
      </c>
    </row>
    <row r="2094" ht="15.75" customHeight="1">
      <c r="A2094" s="5" t="s">
        <v>7200</v>
      </c>
    </row>
    <row r="2095" ht="15.75" customHeight="1">
      <c r="A2095" s="5" t="s">
        <v>7201</v>
      </c>
    </row>
    <row r="2096" ht="15.75" customHeight="1">
      <c r="A2096" s="5" t="s">
        <v>7202</v>
      </c>
    </row>
    <row r="2097" ht="15.75" customHeight="1">
      <c r="A2097" s="5" t="s">
        <v>7203</v>
      </c>
    </row>
    <row r="2098" ht="15.75" customHeight="1">
      <c r="A2098" s="5" t="s">
        <v>7204</v>
      </c>
    </row>
    <row r="2099" ht="15.75" customHeight="1">
      <c r="A2099" s="5" t="s">
        <v>7205</v>
      </c>
    </row>
    <row r="2100" ht="15.75" customHeight="1">
      <c r="A2100" s="5" t="s">
        <v>7206</v>
      </c>
    </row>
    <row r="2101" ht="15.75" customHeight="1">
      <c r="A2101" s="5" t="s">
        <v>7207</v>
      </c>
    </row>
    <row r="2102" ht="15.75" customHeight="1">
      <c r="A2102" s="5" t="s">
        <v>7208</v>
      </c>
    </row>
    <row r="2103" ht="15.75" customHeight="1">
      <c r="A2103" s="5" t="s">
        <v>7209</v>
      </c>
    </row>
    <row r="2104" ht="15.75" customHeight="1">
      <c r="A2104" s="5" t="s">
        <v>7210</v>
      </c>
    </row>
    <row r="2105" ht="15.75" customHeight="1">
      <c r="A2105" s="5" t="s">
        <v>7211</v>
      </c>
    </row>
    <row r="2106" ht="15.75" customHeight="1">
      <c r="A2106" s="5" t="s">
        <v>7212</v>
      </c>
    </row>
    <row r="2107" ht="15.75" customHeight="1">
      <c r="A2107" s="5" t="s">
        <v>7213</v>
      </c>
    </row>
    <row r="2108" ht="15.75" customHeight="1">
      <c r="A2108" s="5" t="s">
        <v>7214</v>
      </c>
    </row>
    <row r="2109" ht="15.75" customHeight="1">
      <c r="A2109" s="5" t="s">
        <v>7215</v>
      </c>
    </row>
    <row r="2110" ht="15.75" customHeight="1">
      <c r="A2110" s="5" t="s">
        <v>7216</v>
      </c>
    </row>
    <row r="2111" ht="15.75" customHeight="1">
      <c r="A2111" s="5" t="s">
        <v>7217</v>
      </c>
    </row>
    <row r="2112" ht="15.75" customHeight="1">
      <c r="A2112" s="5" t="s">
        <v>7218</v>
      </c>
    </row>
    <row r="2113" ht="15.75" customHeight="1">
      <c r="A2113" s="5" t="s">
        <v>7219</v>
      </c>
    </row>
    <row r="2114" ht="15.75" customHeight="1">
      <c r="A2114" s="5" t="s">
        <v>7220</v>
      </c>
    </row>
    <row r="2115" ht="15.75" customHeight="1">
      <c r="A2115" s="5" t="s">
        <v>7221</v>
      </c>
    </row>
    <row r="2116" ht="15.75" customHeight="1">
      <c r="A2116" s="5" t="s">
        <v>7222</v>
      </c>
    </row>
    <row r="2117" ht="15.75" customHeight="1">
      <c r="A2117" s="5" t="s">
        <v>7223</v>
      </c>
    </row>
    <row r="2118" ht="15.75" customHeight="1">
      <c r="A2118" s="5" t="s">
        <v>7224</v>
      </c>
    </row>
    <row r="2119" ht="15.75" customHeight="1">
      <c r="A2119" s="5" t="s">
        <v>7225</v>
      </c>
    </row>
    <row r="2120" ht="15.75" customHeight="1">
      <c r="A2120" s="5" t="s">
        <v>7226</v>
      </c>
    </row>
    <row r="2121" ht="15.75" customHeight="1">
      <c r="A2121" s="5" t="s">
        <v>7227</v>
      </c>
    </row>
    <row r="2122" ht="15.75" customHeight="1">
      <c r="A2122" s="5" t="s">
        <v>7228</v>
      </c>
    </row>
    <row r="2123" ht="15.75" customHeight="1">
      <c r="A2123" s="5" t="s">
        <v>7229</v>
      </c>
    </row>
    <row r="2124" ht="15.75" customHeight="1">
      <c r="A2124" s="5" t="s">
        <v>7230</v>
      </c>
    </row>
    <row r="2125" ht="15.75" customHeight="1">
      <c r="A2125" s="5" t="s">
        <v>7231</v>
      </c>
    </row>
    <row r="2126" ht="15.75" customHeight="1">
      <c r="A2126" s="5" t="s">
        <v>7232</v>
      </c>
    </row>
    <row r="2127" ht="15.75" customHeight="1">
      <c r="A2127" s="5" t="s">
        <v>7233</v>
      </c>
    </row>
    <row r="2128" ht="15.75" customHeight="1">
      <c r="A2128" s="5" t="s">
        <v>7234</v>
      </c>
    </row>
    <row r="2129" ht="15.75" customHeight="1">
      <c r="A2129" s="5" t="s">
        <v>7235</v>
      </c>
    </row>
    <row r="2130" ht="15.75" customHeight="1">
      <c r="A2130" s="5" t="s">
        <v>7236</v>
      </c>
    </row>
    <row r="2131" ht="15.75" customHeight="1">
      <c r="A2131" s="5" t="s">
        <v>7237</v>
      </c>
    </row>
    <row r="2132" ht="15.75" customHeight="1">
      <c r="A2132" s="5" t="s">
        <v>7238</v>
      </c>
    </row>
    <row r="2133" ht="15.75" customHeight="1">
      <c r="A2133" s="5" t="s">
        <v>7239</v>
      </c>
    </row>
    <row r="2134" ht="15.75" customHeight="1">
      <c r="A2134" s="5" t="s">
        <v>7240</v>
      </c>
    </row>
    <row r="2135" ht="15.75" customHeight="1">
      <c r="A2135" s="5" t="s">
        <v>7241</v>
      </c>
    </row>
    <row r="2136" ht="15.75" customHeight="1">
      <c r="A2136" s="5" t="s">
        <v>7242</v>
      </c>
    </row>
    <row r="2137" ht="15.75" customHeight="1">
      <c r="A2137" s="5" t="s">
        <v>7243</v>
      </c>
    </row>
    <row r="2138" ht="15.75" customHeight="1">
      <c r="A2138" s="5" t="s">
        <v>7244</v>
      </c>
    </row>
    <row r="2139" ht="15.75" customHeight="1">
      <c r="A2139" s="5" t="s">
        <v>7245</v>
      </c>
    </row>
    <row r="2140" ht="15.75" customHeight="1">
      <c r="A2140" s="5" t="s">
        <v>7246</v>
      </c>
    </row>
    <row r="2141" ht="15.75" customHeight="1">
      <c r="A2141" s="5" t="s">
        <v>7247</v>
      </c>
    </row>
    <row r="2142" ht="15.75" customHeight="1">
      <c r="A2142" s="5" t="s">
        <v>7248</v>
      </c>
    </row>
    <row r="2143" ht="15.75" customHeight="1">
      <c r="A2143" s="5" t="s">
        <v>7249</v>
      </c>
    </row>
    <row r="2144" ht="15.75" customHeight="1">
      <c r="A2144" s="5" t="s">
        <v>7250</v>
      </c>
    </row>
    <row r="2145" ht="15.75" customHeight="1">
      <c r="A2145" s="5" t="s">
        <v>7251</v>
      </c>
    </row>
    <row r="2146" ht="15.75" customHeight="1">
      <c r="A2146" s="5" t="s">
        <v>7252</v>
      </c>
    </row>
    <row r="2147" ht="15.75" customHeight="1">
      <c r="A2147" s="5" t="s">
        <v>7253</v>
      </c>
    </row>
    <row r="2148" ht="15.75" customHeight="1">
      <c r="A2148" s="5" t="s">
        <v>7254</v>
      </c>
    </row>
    <row r="2149" ht="15.75" customHeight="1">
      <c r="A2149" s="5" t="s">
        <v>7255</v>
      </c>
    </row>
    <row r="2150" ht="15.75" customHeight="1">
      <c r="A2150" s="5" t="s">
        <v>7256</v>
      </c>
    </row>
    <row r="2151" ht="15.75" customHeight="1">
      <c r="A2151" s="5" t="s">
        <v>7257</v>
      </c>
    </row>
    <row r="2152" ht="15.75" customHeight="1">
      <c r="A2152" s="5" t="s">
        <v>7258</v>
      </c>
    </row>
    <row r="2153" ht="15.75" customHeight="1">
      <c r="A2153" s="5" t="s">
        <v>7259</v>
      </c>
    </row>
    <row r="2154" ht="15.75" customHeight="1">
      <c r="A2154" s="5" t="s">
        <v>7260</v>
      </c>
    </row>
    <row r="2155" ht="15.75" customHeight="1">
      <c r="A2155" s="5" t="s">
        <v>7261</v>
      </c>
    </row>
    <row r="2156" ht="15.75" customHeight="1">
      <c r="A2156" s="5" t="s">
        <v>7262</v>
      </c>
    </row>
    <row r="2157" ht="15.75" customHeight="1">
      <c r="A2157" s="5" t="s">
        <v>7263</v>
      </c>
    </row>
    <row r="2158" ht="15.75" customHeight="1">
      <c r="A2158" s="5" t="s">
        <v>7264</v>
      </c>
    </row>
    <row r="2159" ht="15.75" customHeight="1">
      <c r="A2159" s="5" t="s">
        <v>7265</v>
      </c>
    </row>
    <row r="2160" ht="15.75" customHeight="1">
      <c r="A2160" s="5" t="s">
        <v>7266</v>
      </c>
    </row>
    <row r="2161" ht="15.75" customHeight="1">
      <c r="A2161" s="5" t="s">
        <v>7267</v>
      </c>
    </row>
    <row r="2162" ht="15.75" customHeight="1">
      <c r="A2162" s="5" t="s">
        <v>7268</v>
      </c>
    </row>
    <row r="2163" ht="15.75" customHeight="1">
      <c r="A2163" s="5" t="s">
        <v>7269</v>
      </c>
    </row>
    <row r="2164" ht="15.75" customHeight="1">
      <c r="A2164" s="5" t="s">
        <v>7270</v>
      </c>
    </row>
    <row r="2165" ht="15.75" customHeight="1">
      <c r="A2165" s="5" t="s">
        <v>7271</v>
      </c>
    </row>
    <row r="2166" ht="15.75" customHeight="1">
      <c r="A2166" s="5" t="s">
        <v>7272</v>
      </c>
    </row>
    <row r="2167" ht="15.75" customHeight="1">
      <c r="A2167" s="5" t="s">
        <v>7273</v>
      </c>
    </row>
    <row r="2168" ht="15.75" customHeight="1">
      <c r="A2168" s="5" t="s">
        <v>7274</v>
      </c>
    </row>
    <row r="2169" ht="15.75" customHeight="1">
      <c r="A2169" s="5" t="s">
        <v>7275</v>
      </c>
    </row>
    <row r="2170" ht="15.75" customHeight="1">
      <c r="A2170" s="5" t="s">
        <v>7276</v>
      </c>
    </row>
    <row r="2171" ht="15.75" customHeight="1">
      <c r="A2171" s="5" t="s">
        <v>7277</v>
      </c>
    </row>
    <row r="2172" ht="15.75" customHeight="1">
      <c r="A2172" s="5" t="s">
        <v>7278</v>
      </c>
    </row>
    <row r="2173" ht="15.75" customHeight="1">
      <c r="A2173" s="5" t="s">
        <v>7279</v>
      </c>
    </row>
    <row r="2174" ht="15.75" customHeight="1">
      <c r="A2174" s="5" t="s">
        <v>7280</v>
      </c>
    </row>
    <row r="2175" ht="15.75" customHeight="1">
      <c r="A2175" s="5" t="s">
        <v>7281</v>
      </c>
    </row>
    <row r="2176" ht="15.75" customHeight="1">
      <c r="A2176" s="5" t="s">
        <v>7282</v>
      </c>
    </row>
    <row r="2177" ht="15.75" customHeight="1">
      <c r="A2177" s="5" t="s">
        <v>7283</v>
      </c>
    </row>
    <row r="2178" ht="15.75" customHeight="1">
      <c r="A2178" s="5" t="s">
        <v>7284</v>
      </c>
    </row>
    <row r="2179" ht="15.75" customHeight="1">
      <c r="A2179" s="5" t="s">
        <v>7285</v>
      </c>
    </row>
    <row r="2180" ht="15.75" customHeight="1">
      <c r="A2180" s="5" t="s">
        <v>7286</v>
      </c>
    </row>
    <row r="2181" ht="15.75" customHeight="1">
      <c r="A2181" s="5" t="s">
        <v>7287</v>
      </c>
    </row>
    <row r="2182" ht="15.75" customHeight="1">
      <c r="A2182" s="5" t="s">
        <v>7288</v>
      </c>
    </row>
    <row r="2183" ht="15.75" customHeight="1">
      <c r="A2183" s="5" t="s">
        <v>7289</v>
      </c>
    </row>
    <row r="2184" ht="15.75" customHeight="1">
      <c r="A2184" s="5" t="s">
        <v>7290</v>
      </c>
    </row>
    <row r="2185" ht="15.75" customHeight="1">
      <c r="A2185" s="5" t="s">
        <v>7291</v>
      </c>
    </row>
    <row r="2186" ht="15.75" customHeight="1">
      <c r="A2186" s="5" t="s">
        <v>7292</v>
      </c>
    </row>
    <row r="2187" ht="15.75" customHeight="1">
      <c r="A2187" s="5" t="s">
        <v>7293</v>
      </c>
    </row>
    <row r="2188" ht="15.75" customHeight="1">
      <c r="A2188" s="5" t="s">
        <v>7294</v>
      </c>
    </row>
    <row r="2189" ht="15.75" customHeight="1">
      <c r="A2189" s="5" t="s">
        <v>7295</v>
      </c>
    </row>
    <row r="2190" ht="15.75" customHeight="1">
      <c r="A2190" s="5" t="s">
        <v>7296</v>
      </c>
    </row>
    <row r="2191" ht="15.75" customHeight="1">
      <c r="A2191" s="5" t="s">
        <v>7297</v>
      </c>
    </row>
    <row r="2192" ht="15.75" customHeight="1">
      <c r="A2192" s="5" t="s">
        <v>7298</v>
      </c>
    </row>
    <row r="2193" ht="15.75" customHeight="1">
      <c r="A2193" s="5" t="s">
        <v>7299</v>
      </c>
    </row>
    <row r="2194" ht="15.75" customHeight="1">
      <c r="A2194" s="5" t="s">
        <v>7300</v>
      </c>
    </row>
    <row r="2195" ht="15.75" customHeight="1">
      <c r="A2195" s="5" t="s">
        <v>7301</v>
      </c>
    </row>
    <row r="2196" ht="15.75" customHeight="1">
      <c r="A2196" s="5" t="s">
        <v>7302</v>
      </c>
    </row>
    <row r="2197" ht="15.75" customHeight="1">
      <c r="A2197" s="5" t="s">
        <v>7303</v>
      </c>
    </row>
    <row r="2198" ht="15.75" customHeight="1">
      <c r="A2198" s="5" t="s">
        <v>7304</v>
      </c>
    </row>
    <row r="2199" ht="15.75" customHeight="1">
      <c r="A2199" s="5" t="s">
        <v>7305</v>
      </c>
    </row>
    <row r="2200" ht="15.75" customHeight="1">
      <c r="A2200" s="5" t="s">
        <v>7306</v>
      </c>
    </row>
    <row r="2201" ht="15.75" customHeight="1">
      <c r="A2201" s="5" t="s">
        <v>7307</v>
      </c>
    </row>
    <row r="2202" ht="15.75" customHeight="1">
      <c r="A2202" s="5" t="s">
        <v>7308</v>
      </c>
    </row>
    <row r="2203" ht="15.75" customHeight="1">
      <c r="A2203" s="5" t="s">
        <v>7309</v>
      </c>
    </row>
    <row r="2204" ht="15.75" customHeight="1">
      <c r="A2204" s="5" t="s">
        <v>7310</v>
      </c>
    </row>
    <row r="2205" ht="15.75" customHeight="1">
      <c r="A2205" s="5" t="s">
        <v>7311</v>
      </c>
    </row>
    <row r="2206" ht="15.75" customHeight="1">
      <c r="A2206" s="5" t="s">
        <v>7312</v>
      </c>
    </row>
    <row r="2207" ht="15.75" customHeight="1">
      <c r="A2207" s="5" t="s">
        <v>7313</v>
      </c>
    </row>
    <row r="2208" ht="15.75" customHeight="1">
      <c r="A2208" s="5" t="s">
        <v>7314</v>
      </c>
    </row>
    <row r="2209" ht="15.75" customHeight="1">
      <c r="A2209" s="5" t="s">
        <v>7315</v>
      </c>
    </row>
    <row r="2210" ht="15.75" customHeight="1">
      <c r="A2210" s="5" t="s">
        <v>7316</v>
      </c>
    </row>
    <row r="2211" ht="15.75" customHeight="1">
      <c r="A2211" s="5" t="s">
        <v>7317</v>
      </c>
    </row>
    <row r="2212" ht="15.75" customHeight="1">
      <c r="A2212" s="5" t="s">
        <v>7318</v>
      </c>
    </row>
    <row r="2213" ht="15.75" customHeight="1">
      <c r="A2213" s="5" t="s">
        <v>7319</v>
      </c>
    </row>
    <row r="2214" ht="15.75" customHeight="1">
      <c r="A2214" s="5" t="s">
        <v>7320</v>
      </c>
    </row>
    <row r="2215" ht="15.75" customHeight="1">
      <c r="A2215" s="5" t="s">
        <v>7321</v>
      </c>
    </row>
    <row r="2216" ht="15.75" customHeight="1">
      <c r="A2216" s="5" t="s">
        <v>7322</v>
      </c>
    </row>
    <row r="2217" ht="15.75" customHeight="1">
      <c r="A2217" s="5" t="s">
        <v>7323</v>
      </c>
    </row>
    <row r="2218" ht="15.75" customHeight="1">
      <c r="A2218" s="5" t="s">
        <v>7324</v>
      </c>
    </row>
    <row r="2219" ht="15.75" customHeight="1">
      <c r="A2219" s="5" t="s">
        <v>7325</v>
      </c>
    </row>
    <row r="2220" ht="15.75" customHeight="1">
      <c r="A2220" s="5" t="s">
        <v>7326</v>
      </c>
    </row>
    <row r="2221" ht="15.75" customHeight="1">
      <c r="A2221" s="5" t="s">
        <v>7327</v>
      </c>
    </row>
    <row r="2222" ht="15.75" customHeight="1">
      <c r="A2222" s="5" t="s">
        <v>7328</v>
      </c>
    </row>
    <row r="2223" ht="15.75" customHeight="1">
      <c r="A2223" s="5" t="s">
        <v>7329</v>
      </c>
    </row>
    <row r="2224" ht="15.75" customHeight="1">
      <c r="A2224" s="5" t="s">
        <v>7330</v>
      </c>
    </row>
    <row r="2225" ht="15.75" customHeight="1">
      <c r="A2225" s="5" t="s">
        <v>7331</v>
      </c>
    </row>
    <row r="2226" ht="15.75" customHeight="1">
      <c r="A2226" s="5" t="s">
        <v>7332</v>
      </c>
    </row>
    <row r="2227" ht="15.75" customHeight="1">
      <c r="A2227" s="5" t="s">
        <v>7333</v>
      </c>
    </row>
    <row r="2228" ht="15.75" customHeight="1">
      <c r="A2228" s="5" t="s">
        <v>7334</v>
      </c>
    </row>
    <row r="2229" ht="15.75" customHeight="1">
      <c r="A2229" s="5" t="s">
        <v>7335</v>
      </c>
    </row>
    <row r="2230" ht="15.75" customHeight="1">
      <c r="A2230" s="5" t="s">
        <v>7336</v>
      </c>
    </row>
    <row r="2231" ht="15.75" customHeight="1">
      <c r="A2231" s="5" t="s">
        <v>7337</v>
      </c>
    </row>
    <row r="2232" ht="15.75" customHeight="1">
      <c r="A2232" s="5" t="s">
        <v>7338</v>
      </c>
    </row>
    <row r="2233" ht="15.75" customHeight="1">
      <c r="A2233" s="5" t="s">
        <v>7339</v>
      </c>
    </row>
    <row r="2234" ht="15.75" customHeight="1">
      <c r="A2234" s="5" t="s">
        <v>7340</v>
      </c>
    </row>
    <row r="2235" ht="15.75" customHeight="1">
      <c r="A2235" s="5" t="s">
        <v>7341</v>
      </c>
    </row>
    <row r="2236" ht="15.75" customHeight="1">
      <c r="A2236" s="5" t="s">
        <v>7342</v>
      </c>
    </row>
    <row r="2237" ht="15.75" customHeight="1">
      <c r="A2237" s="5" t="s">
        <v>7343</v>
      </c>
    </row>
    <row r="2238" ht="15.75" customHeight="1">
      <c r="A2238" s="5" t="s">
        <v>7344</v>
      </c>
    </row>
    <row r="2239" ht="15.75" customHeight="1">
      <c r="A2239" s="5" t="s">
        <v>7345</v>
      </c>
    </row>
    <row r="2240" ht="15.75" customHeight="1">
      <c r="A2240" s="5" t="s">
        <v>7346</v>
      </c>
    </row>
    <row r="2241" ht="15.75" customHeight="1">
      <c r="A2241" s="5" t="s">
        <v>7347</v>
      </c>
    </row>
    <row r="2242" ht="15.75" customHeight="1">
      <c r="A2242" s="5" t="s">
        <v>7348</v>
      </c>
    </row>
    <row r="2243" ht="15.75" customHeight="1">
      <c r="A2243" s="5" t="s">
        <v>7349</v>
      </c>
    </row>
    <row r="2244" ht="15.75" customHeight="1">
      <c r="A2244" s="5" t="s">
        <v>7350</v>
      </c>
    </row>
    <row r="2245" ht="15.75" customHeight="1">
      <c r="A2245" s="5" t="s">
        <v>7351</v>
      </c>
    </row>
    <row r="2246" ht="15.75" customHeight="1">
      <c r="A2246" s="5" t="s">
        <v>7352</v>
      </c>
    </row>
    <row r="2247" ht="15.75" customHeight="1">
      <c r="A2247" s="5" t="s">
        <v>7353</v>
      </c>
    </row>
    <row r="2248" ht="15.75" customHeight="1">
      <c r="A2248" s="5" t="s">
        <v>7354</v>
      </c>
    </row>
    <row r="2249" ht="15.75" customHeight="1">
      <c r="A2249" s="5" t="s">
        <v>7355</v>
      </c>
    </row>
    <row r="2250" ht="15.75" customHeight="1">
      <c r="A2250" s="5" t="s">
        <v>7356</v>
      </c>
    </row>
    <row r="2251" ht="15.75" customHeight="1">
      <c r="A2251" s="5" t="s">
        <v>7357</v>
      </c>
    </row>
    <row r="2252" ht="15.75" customHeight="1">
      <c r="A2252" s="5" t="s">
        <v>7358</v>
      </c>
    </row>
    <row r="2253" ht="15.75" customHeight="1">
      <c r="A2253" s="5" t="s">
        <v>7359</v>
      </c>
    </row>
    <row r="2254" ht="15.75" customHeight="1">
      <c r="A2254" s="5" t="s">
        <v>7360</v>
      </c>
    </row>
    <row r="2255" ht="15.75" customHeight="1">
      <c r="A2255" s="5" t="s">
        <v>7361</v>
      </c>
    </row>
    <row r="2256" ht="15.75" customHeight="1">
      <c r="A2256" s="5" t="s">
        <v>7362</v>
      </c>
    </row>
    <row r="2257" ht="15.75" customHeight="1">
      <c r="A2257" s="5" t="s">
        <v>7363</v>
      </c>
    </row>
    <row r="2258" ht="15.75" customHeight="1">
      <c r="A2258" s="5" t="s">
        <v>7364</v>
      </c>
    </row>
    <row r="2259" ht="15.75" customHeight="1">
      <c r="A2259" s="5" t="s">
        <v>7365</v>
      </c>
    </row>
    <row r="2260" ht="15.75" customHeight="1">
      <c r="A2260" s="5" t="s">
        <v>7366</v>
      </c>
    </row>
    <row r="2261" ht="15.75" customHeight="1">
      <c r="A2261" s="5" t="s">
        <v>7367</v>
      </c>
    </row>
    <row r="2262" ht="15.75" customHeight="1">
      <c r="A2262" s="5" t="s">
        <v>7368</v>
      </c>
    </row>
    <row r="2263" ht="15.75" customHeight="1">
      <c r="A2263" s="5" t="s">
        <v>7369</v>
      </c>
    </row>
    <row r="2264" ht="15.75" customHeight="1">
      <c r="A2264" s="5" t="s">
        <v>7370</v>
      </c>
    </row>
    <row r="2265" ht="15.75" customHeight="1">
      <c r="A2265" s="5" t="s">
        <v>7371</v>
      </c>
    </row>
    <row r="2266" ht="15.75" customHeight="1">
      <c r="A2266" s="5" t="s">
        <v>7372</v>
      </c>
    </row>
    <row r="2267" ht="15.75" customHeight="1">
      <c r="A2267" s="5" t="s">
        <v>7373</v>
      </c>
    </row>
    <row r="2268" ht="15.75" customHeight="1">
      <c r="A2268" s="5" t="s">
        <v>7374</v>
      </c>
    </row>
    <row r="2269" ht="15.75" customHeight="1">
      <c r="A2269" s="5" t="s">
        <v>7375</v>
      </c>
    </row>
    <row r="2270" ht="15.75" customHeight="1">
      <c r="A2270" s="5" t="s">
        <v>7376</v>
      </c>
    </row>
    <row r="2271" ht="15.75" customHeight="1">
      <c r="A2271" s="5" t="s">
        <v>7377</v>
      </c>
    </row>
    <row r="2272" ht="15.75" customHeight="1">
      <c r="A2272" s="5" t="s">
        <v>7378</v>
      </c>
    </row>
    <row r="2273" ht="15.75" customHeight="1">
      <c r="A2273" s="5" t="s">
        <v>7379</v>
      </c>
    </row>
    <row r="2274" ht="15.75" customHeight="1">
      <c r="A2274" s="5" t="s">
        <v>7380</v>
      </c>
    </row>
    <row r="2275" ht="15.75" customHeight="1">
      <c r="A2275" s="5" t="s">
        <v>7381</v>
      </c>
    </row>
    <row r="2276" ht="15.75" customHeight="1">
      <c r="A2276" s="5" t="s">
        <v>7382</v>
      </c>
    </row>
    <row r="2277" ht="15.75" customHeight="1">
      <c r="A2277" s="5" t="s">
        <v>7383</v>
      </c>
    </row>
    <row r="2278" ht="15.75" customHeight="1">
      <c r="A2278" s="5" t="s">
        <v>7384</v>
      </c>
    </row>
    <row r="2279" ht="15.75" customHeight="1">
      <c r="A2279" s="5" t="s">
        <v>7385</v>
      </c>
    </row>
    <row r="2280" ht="15.75" customHeight="1">
      <c r="A2280" s="5" t="s">
        <v>7386</v>
      </c>
    </row>
    <row r="2281" ht="15.75" customHeight="1">
      <c r="A2281" s="5" t="s">
        <v>7387</v>
      </c>
    </row>
    <row r="2282" ht="15.75" customHeight="1">
      <c r="A2282" s="5" t="s">
        <v>7388</v>
      </c>
    </row>
    <row r="2283" ht="15.75" customHeight="1">
      <c r="A2283" s="5" t="s">
        <v>7389</v>
      </c>
    </row>
    <row r="2284" ht="15.75" customHeight="1">
      <c r="A2284" s="5" t="s">
        <v>7390</v>
      </c>
    </row>
    <row r="2285" ht="15.75" customHeight="1">
      <c r="A2285" s="5" t="s">
        <v>7391</v>
      </c>
    </row>
    <row r="2286" ht="15.75" customHeight="1">
      <c r="A2286" s="5" t="s">
        <v>7392</v>
      </c>
    </row>
    <row r="2287" ht="15.75" customHeight="1">
      <c r="A2287" s="5" t="s">
        <v>7393</v>
      </c>
    </row>
    <row r="2288" ht="15.75" customHeight="1">
      <c r="A2288" s="5" t="s">
        <v>7394</v>
      </c>
    </row>
    <row r="2289" ht="15.75" customHeight="1">
      <c r="A2289" s="5" t="s">
        <v>7395</v>
      </c>
    </row>
    <row r="2290" ht="15.75" customHeight="1">
      <c r="A2290" s="5" t="s">
        <v>7396</v>
      </c>
    </row>
    <row r="2291" ht="15.75" customHeight="1">
      <c r="A2291" s="5" t="s">
        <v>7397</v>
      </c>
    </row>
    <row r="2292" ht="15.75" customHeight="1">
      <c r="A2292" s="5" t="s">
        <v>7398</v>
      </c>
    </row>
    <row r="2293" ht="15.75" customHeight="1">
      <c r="A2293" s="5" t="s">
        <v>7399</v>
      </c>
    </row>
    <row r="2294" ht="15.75" customHeight="1">
      <c r="A2294" s="5" t="s">
        <v>7400</v>
      </c>
    </row>
    <row r="2295" ht="15.75" customHeight="1">
      <c r="A2295" s="5" t="s">
        <v>7401</v>
      </c>
    </row>
    <row r="2296" ht="15.75" customHeight="1">
      <c r="A2296" s="5" t="s">
        <v>7402</v>
      </c>
    </row>
    <row r="2297" ht="15.75" customHeight="1">
      <c r="A2297" s="5" t="s">
        <v>7403</v>
      </c>
    </row>
    <row r="2298" ht="15.75" customHeight="1">
      <c r="A2298" s="5" t="s">
        <v>7404</v>
      </c>
    </row>
    <row r="2299" ht="15.75" customHeight="1">
      <c r="A2299" s="5" t="s">
        <v>7405</v>
      </c>
    </row>
    <row r="2300" ht="15.75" customHeight="1">
      <c r="A2300" s="5" t="s">
        <v>7406</v>
      </c>
    </row>
    <row r="2301" ht="15.75" customHeight="1">
      <c r="A2301" s="5" t="s">
        <v>7407</v>
      </c>
    </row>
    <row r="2302" ht="15.75" customHeight="1">
      <c r="A2302" s="5" t="s">
        <v>7408</v>
      </c>
    </row>
    <row r="2303" ht="15.75" customHeight="1">
      <c r="A2303" s="5" t="s">
        <v>7409</v>
      </c>
    </row>
    <row r="2304" ht="15.75" customHeight="1">
      <c r="A2304" s="5" t="s">
        <v>7410</v>
      </c>
    </row>
    <row r="2305" ht="15.75" customHeight="1">
      <c r="A2305" s="5" t="s">
        <v>7411</v>
      </c>
    </row>
    <row r="2306" ht="15.75" customHeight="1">
      <c r="A2306" s="5" t="s">
        <v>7412</v>
      </c>
    </row>
    <row r="2307" ht="15.75" customHeight="1">
      <c r="A2307" s="5" t="s">
        <v>7413</v>
      </c>
    </row>
    <row r="2308" ht="15.75" customHeight="1">
      <c r="A2308" s="5" t="s">
        <v>7414</v>
      </c>
    </row>
    <row r="2309" ht="15.75" customHeight="1">
      <c r="A2309" s="5" t="s">
        <v>7415</v>
      </c>
    </row>
    <row r="2310" ht="15.75" customHeight="1">
      <c r="A2310" s="5" t="s">
        <v>7416</v>
      </c>
    </row>
    <row r="2311" ht="15.75" customHeight="1">
      <c r="A2311" s="5" t="s">
        <v>7417</v>
      </c>
    </row>
    <row r="2312" ht="15.75" customHeight="1">
      <c r="A2312" s="5" t="s">
        <v>7418</v>
      </c>
    </row>
    <row r="2313" ht="15.75" customHeight="1">
      <c r="A2313" s="5" t="s">
        <v>7419</v>
      </c>
    </row>
    <row r="2314" ht="15.75" customHeight="1">
      <c r="A2314" s="5" t="s">
        <v>7420</v>
      </c>
    </row>
    <row r="2315" ht="15.75" customHeight="1">
      <c r="A2315" s="5" t="s">
        <v>7421</v>
      </c>
    </row>
    <row r="2316" ht="15.75" customHeight="1">
      <c r="A2316" s="5" t="s">
        <v>7422</v>
      </c>
    </row>
    <row r="2317" ht="15.75" customHeight="1">
      <c r="A2317" s="5" t="s">
        <v>7423</v>
      </c>
    </row>
    <row r="2318" ht="15.75" customHeight="1">
      <c r="A2318" s="5" t="s">
        <v>7424</v>
      </c>
    </row>
    <row r="2319" ht="15.75" customHeight="1">
      <c r="A2319" s="5" t="s">
        <v>7425</v>
      </c>
    </row>
    <row r="2320" ht="15.75" customHeight="1">
      <c r="A2320" s="5" t="s">
        <v>7426</v>
      </c>
    </row>
    <row r="2321" ht="15.75" customHeight="1">
      <c r="A2321" s="5" t="s">
        <v>7427</v>
      </c>
    </row>
    <row r="2322" ht="15.75" customHeight="1">
      <c r="A2322" s="5" t="s">
        <v>7428</v>
      </c>
    </row>
    <row r="2323" ht="15.75" customHeight="1">
      <c r="A2323" s="5" t="s">
        <v>7429</v>
      </c>
    </row>
    <row r="2324" ht="15.75" customHeight="1">
      <c r="A2324" s="5" t="s">
        <v>7430</v>
      </c>
    </row>
    <row r="2325" ht="15.75" customHeight="1">
      <c r="A2325" s="5" t="s">
        <v>7431</v>
      </c>
    </row>
    <row r="2326" ht="15.75" customHeight="1">
      <c r="A2326" s="5" t="s">
        <v>7432</v>
      </c>
    </row>
    <row r="2327" ht="15.75" customHeight="1">
      <c r="A2327" s="5" t="s">
        <v>7433</v>
      </c>
    </row>
    <row r="2328" ht="15.75" customHeight="1">
      <c r="A2328" s="5" t="s">
        <v>7434</v>
      </c>
    </row>
    <row r="2329" ht="15.75" customHeight="1">
      <c r="A2329" s="5" t="s">
        <v>7435</v>
      </c>
    </row>
    <row r="2330" ht="15.75" customHeight="1">
      <c r="A2330" s="5" t="s">
        <v>7436</v>
      </c>
    </row>
    <row r="2331" ht="15.75" customHeight="1">
      <c r="A2331" s="5" t="s">
        <v>7437</v>
      </c>
    </row>
    <row r="2332" ht="15.75" customHeight="1">
      <c r="A2332" s="5" t="s">
        <v>7438</v>
      </c>
    </row>
    <row r="2333" ht="15.75" customHeight="1">
      <c r="A2333" s="5" t="s">
        <v>7439</v>
      </c>
    </row>
    <row r="2334" ht="15.75" customHeight="1">
      <c r="A2334" s="5" t="s">
        <v>7440</v>
      </c>
    </row>
    <row r="2335" ht="15.75" customHeight="1">
      <c r="A2335" s="5" t="s">
        <v>7441</v>
      </c>
    </row>
    <row r="2336" ht="15.75" customHeight="1">
      <c r="A2336" s="5" t="s">
        <v>7442</v>
      </c>
    </row>
    <row r="2337" ht="15.75" customHeight="1">
      <c r="A2337" s="5" t="s">
        <v>7443</v>
      </c>
    </row>
    <row r="2338" ht="15.75" customHeight="1">
      <c r="A2338" s="5" t="s">
        <v>7444</v>
      </c>
    </row>
    <row r="2339" ht="15.75" customHeight="1">
      <c r="A2339" s="5" t="s">
        <v>7445</v>
      </c>
    </row>
    <row r="2340" ht="15.75" customHeight="1">
      <c r="A2340" s="5" t="s">
        <v>7446</v>
      </c>
    </row>
    <row r="2341" ht="15.75" customHeight="1">
      <c r="A2341" s="5" t="s">
        <v>7447</v>
      </c>
    </row>
    <row r="2342" ht="15.75" customHeight="1">
      <c r="A2342" s="5" t="s">
        <v>7448</v>
      </c>
    </row>
    <row r="2343" ht="15.75" customHeight="1">
      <c r="A2343" s="5" t="s">
        <v>7449</v>
      </c>
    </row>
    <row r="2344" ht="15.75" customHeight="1">
      <c r="A2344" s="5" t="s">
        <v>7450</v>
      </c>
    </row>
    <row r="2345" ht="15.75" customHeight="1">
      <c r="A2345" s="5" t="s">
        <v>7451</v>
      </c>
    </row>
    <row r="2346" ht="15.75" customHeight="1">
      <c r="A2346" s="5" t="s">
        <v>7452</v>
      </c>
    </row>
    <row r="2347" ht="15.75" customHeight="1">
      <c r="A2347" s="5" t="s">
        <v>7453</v>
      </c>
    </row>
    <row r="2348" ht="15.75" customHeight="1">
      <c r="A2348" s="5" t="s">
        <v>7454</v>
      </c>
    </row>
    <row r="2349" ht="15.75" customHeight="1">
      <c r="A2349" s="5" t="s">
        <v>7455</v>
      </c>
    </row>
    <row r="2350" ht="15.75" customHeight="1">
      <c r="A2350" s="5" t="s">
        <v>7456</v>
      </c>
    </row>
    <row r="2351" ht="15.75" customHeight="1">
      <c r="A2351" s="5" t="s">
        <v>7457</v>
      </c>
    </row>
    <row r="2352" ht="15.75" customHeight="1">
      <c r="A2352" s="5" t="s">
        <v>7458</v>
      </c>
    </row>
    <row r="2353" ht="15.75" customHeight="1">
      <c r="A2353" s="5" t="s">
        <v>7459</v>
      </c>
    </row>
    <row r="2354" ht="15.75" customHeight="1">
      <c r="A2354" s="5" t="s">
        <v>7460</v>
      </c>
    </row>
    <row r="2355" ht="15.75" customHeight="1">
      <c r="A2355" s="5" t="s">
        <v>7461</v>
      </c>
    </row>
    <row r="2356" ht="15.75" customHeight="1">
      <c r="A2356" s="5" t="s">
        <v>7462</v>
      </c>
    </row>
    <row r="2357" ht="15.75" customHeight="1">
      <c r="A2357" s="5" t="s">
        <v>7463</v>
      </c>
    </row>
    <row r="2358" ht="15.75" customHeight="1">
      <c r="A2358" s="5" t="s">
        <v>7464</v>
      </c>
    </row>
    <row r="2359" ht="15.75" customHeight="1">
      <c r="A2359" s="5" t="s">
        <v>7465</v>
      </c>
    </row>
    <row r="2360" ht="15.75" customHeight="1">
      <c r="A2360" s="5" t="s">
        <v>7466</v>
      </c>
    </row>
    <row r="2361" ht="15.75" customHeight="1">
      <c r="A2361" s="5" t="s">
        <v>7467</v>
      </c>
    </row>
    <row r="2362" ht="15.75" customHeight="1">
      <c r="A2362" s="5" t="s">
        <v>7468</v>
      </c>
    </row>
    <row r="2363" ht="15.75" customHeight="1">
      <c r="A2363" s="5" t="s">
        <v>7469</v>
      </c>
    </row>
    <row r="2364" ht="15.75" customHeight="1">
      <c r="A2364" s="5" t="s">
        <v>7470</v>
      </c>
    </row>
    <row r="2365" ht="15.75" customHeight="1">
      <c r="A2365" s="5" t="s">
        <v>7471</v>
      </c>
    </row>
    <row r="2366" ht="15.75" customHeight="1">
      <c r="A2366" s="5" t="s">
        <v>7472</v>
      </c>
    </row>
    <row r="2367" ht="15.75" customHeight="1">
      <c r="A2367" s="5" t="s">
        <v>7473</v>
      </c>
    </row>
    <row r="2368" ht="15.75" customHeight="1">
      <c r="A2368" s="5" t="s">
        <v>7474</v>
      </c>
    </row>
    <row r="2369" ht="15.75" customHeight="1">
      <c r="A2369" s="5" t="s">
        <v>7475</v>
      </c>
    </row>
    <row r="2370" ht="15.75" customHeight="1">
      <c r="A2370" s="5" t="s">
        <v>7476</v>
      </c>
    </row>
    <row r="2371" ht="15.75" customHeight="1">
      <c r="A2371" s="5" t="s">
        <v>7477</v>
      </c>
    </row>
    <row r="2372" ht="15.75" customHeight="1">
      <c r="A2372" s="5" t="s">
        <v>7478</v>
      </c>
    </row>
    <row r="2373" ht="15.75" customHeight="1">
      <c r="A2373" s="5" t="s">
        <v>7479</v>
      </c>
    </row>
    <row r="2374" ht="15.75" customHeight="1">
      <c r="A2374" s="5" t="s">
        <v>7480</v>
      </c>
    </row>
    <row r="2375" ht="15.75" customHeight="1">
      <c r="A2375" s="5" t="s">
        <v>7481</v>
      </c>
    </row>
    <row r="2376" ht="15.75" customHeight="1">
      <c r="A2376" s="5" t="s">
        <v>7482</v>
      </c>
    </row>
    <row r="2377" ht="15.75" customHeight="1">
      <c r="A2377" s="5" t="s">
        <v>7483</v>
      </c>
    </row>
    <row r="2378" ht="15.75" customHeight="1">
      <c r="A2378" s="5" t="s">
        <v>7484</v>
      </c>
    </row>
    <row r="2379" ht="15.75" customHeight="1">
      <c r="A2379" s="5" t="s">
        <v>7485</v>
      </c>
    </row>
    <row r="2380" ht="15.75" customHeight="1">
      <c r="A2380" s="5" t="s">
        <v>7486</v>
      </c>
    </row>
    <row r="2381" ht="15.75" customHeight="1">
      <c r="A2381" s="5" t="s">
        <v>7487</v>
      </c>
    </row>
    <row r="2382" ht="15.75" customHeight="1">
      <c r="A2382" s="5" t="s">
        <v>7488</v>
      </c>
    </row>
    <row r="2383" ht="15.75" customHeight="1">
      <c r="A2383" s="5" t="s">
        <v>7489</v>
      </c>
    </row>
    <row r="2384" ht="15.75" customHeight="1">
      <c r="A2384" s="5" t="s">
        <v>7490</v>
      </c>
    </row>
    <row r="2385" ht="15.75" customHeight="1">
      <c r="A2385" s="5" t="s">
        <v>7491</v>
      </c>
    </row>
    <row r="2386" ht="15.75" customHeight="1">
      <c r="A2386" s="5" t="s">
        <v>7492</v>
      </c>
    </row>
    <row r="2387" ht="15.75" customHeight="1">
      <c r="A2387" s="5" t="s">
        <v>7493</v>
      </c>
    </row>
    <row r="2388" ht="15.75" customHeight="1">
      <c r="A2388" s="5" t="s">
        <v>7494</v>
      </c>
    </row>
    <row r="2389" ht="15.75" customHeight="1">
      <c r="A2389" s="5" t="s">
        <v>7495</v>
      </c>
    </row>
    <row r="2390" ht="15.75" customHeight="1">
      <c r="A2390" s="5" t="s">
        <v>7496</v>
      </c>
    </row>
    <row r="2391" ht="15.75" customHeight="1">
      <c r="A2391" s="5" t="s">
        <v>7497</v>
      </c>
    </row>
    <row r="2392" ht="15.75" customHeight="1">
      <c r="A2392" s="5" t="s">
        <v>7498</v>
      </c>
    </row>
    <row r="2393" ht="15.75" customHeight="1">
      <c r="A2393" s="5" t="s">
        <v>7499</v>
      </c>
    </row>
    <row r="2394" ht="15.75" customHeight="1">
      <c r="A2394" s="5" t="s">
        <v>7500</v>
      </c>
    </row>
    <row r="2395" ht="15.75" customHeight="1">
      <c r="A2395" s="5" t="s">
        <v>7501</v>
      </c>
    </row>
    <row r="2396" ht="15.75" customHeight="1">
      <c r="A2396" s="5" t="s">
        <v>7502</v>
      </c>
    </row>
    <row r="2397" ht="15.75" customHeight="1">
      <c r="A2397" s="5" t="s">
        <v>7503</v>
      </c>
    </row>
    <row r="2398" ht="15.75" customHeight="1">
      <c r="A2398" s="5" t="s">
        <v>7504</v>
      </c>
    </row>
    <row r="2399" ht="15.75" customHeight="1">
      <c r="A2399" s="5" t="s">
        <v>7505</v>
      </c>
    </row>
    <row r="2400" ht="15.75" customHeight="1">
      <c r="A2400" s="5" t="s">
        <v>7506</v>
      </c>
    </row>
    <row r="2401" ht="15.75" customHeight="1">
      <c r="A2401" s="5" t="s">
        <v>7507</v>
      </c>
    </row>
    <row r="2402" ht="15.75" customHeight="1">
      <c r="A2402" s="5" t="s">
        <v>7508</v>
      </c>
    </row>
    <row r="2403" ht="15.75" customHeight="1">
      <c r="A2403" s="5" t="s">
        <v>7509</v>
      </c>
    </row>
    <row r="2404" ht="15.75" customHeight="1">
      <c r="A2404" s="5" t="s">
        <v>7510</v>
      </c>
    </row>
    <row r="2405" ht="15.75" customHeight="1">
      <c r="A2405" s="5" t="s">
        <v>7511</v>
      </c>
    </row>
    <row r="2406" ht="15.75" customHeight="1">
      <c r="A2406" s="5" t="s">
        <v>7512</v>
      </c>
    </row>
    <row r="2407" ht="15.75" customHeight="1">
      <c r="A2407" s="5" t="s">
        <v>7513</v>
      </c>
    </row>
    <row r="2408" ht="15.75" customHeight="1">
      <c r="A2408" s="5" t="s">
        <v>7514</v>
      </c>
    </row>
    <row r="2409" ht="15.75" customHeight="1">
      <c r="A2409" s="5" t="s">
        <v>7515</v>
      </c>
    </row>
    <row r="2410" ht="15.75" customHeight="1">
      <c r="A2410" s="5" t="s">
        <v>7516</v>
      </c>
    </row>
    <row r="2411" ht="15.75" customHeight="1">
      <c r="A2411" s="5" t="s">
        <v>7517</v>
      </c>
    </row>
    <row r="2412" ht="15.75" customHeight="1">
      <c r="A2412" s="5" t="s">
        <v>7518</v>
      </c>
    </row>
    <row r="2413" ht="15.75" customHeight="1">
      <c r="A2413" s="5" t="s">
        <v>7519</v>
      </c>
    </row>
    <row r="2414" ht="15.75" customHeight="1">
      <c r="A2414" s="5" t="s">
        <v>7520</v>
      </c>
    </row>
    <row r="2415" ht="15.75" customHeight="1">
      <c r="A2415" s="5" t="s">
        <v>7521</v>
      </c>
    </row>
    <row r="2416" ht="15.75" customHeight="1">
      <c r="A2416" s="5" t="s">
        <v>7522</v>
      </c>
    </row>
    <row r="2417" ht="15.75" customHeight="1">
      <c r="A2417" s="5" t="s">
        <v>7523</v>
      </c>
    </row>
    <row r="2418" ht="15.75" customHeight="1">
      <c r="A2418" s="5" t="s">
        <v>7524</v>
      </c>
    </row>
    <row r="2419" ht="15.75" customHeight="1">
      <c r="A2419" s="5" t="s">
        <v>7525</v>
      </c>
    </row>
    <row r="2420" ht="15.75" customHeight="1">
      <c r="A2420" s="5" t="s">
        <v>7526</v>
      </c>
    </row>
    <row r="2421" ht="15.75" customHeight="1">
      <c r="A2421" s="5" t="s">
        <v>7527</v>
      </c>
    </row>
    <row r="2422" ht="15.75" customHeight="1">
      <c r="A2422" s="5" t="s">
        <v>7528</v>
      </c>
    </row>
    <row r="2423" ht="15.75" customHeight="1">
      <c r="A2423" s="5" t="s">
        <v>7529</v>
      </c>
    </row>
    <row r="2424" ht="15.75" customHeight="1">
      <c r="A2424" s="5" t="s">
        <v>7530</v>
      </c>
    </row>
    <row r="2425" ht="15.75" customHeight="1">
      <c r="A2425" s="5" t="s">
        <v>7531</v>
      </c>
    </row>
    <row r="2426" ht="15.75" customHeight="1">
      <c r="A2426" s="5" t="s">
        <v>7532</v>
      </c>
    </row>
    <row r="2427" ht="15.75" customHeight="1">
      <c r="A2427" s="5" t="s">
        <v>7533</v>
      </c>
    </row>
    <row r="2428" ht="15.75" customHeight="1">
      <c r="A2428" s="5" t="s">
        <v>7534</v>
      </c>
    </row>
    <row r="2429" ht="15.75" customHeight="1">
      <c r="A2429" s="5" t="s">
        <v>7535</v>
      </c>
    </row>
    <row r="2430" ht="15.75" customHeight="1">
      <c r="A2430" s="5" t="s">
        <v>7536</v>
      </c>
    </row>
    <row r="2431" ht="15.75" customHeight="1">
      <c r="A2431" s="5" t="s">
        <v>7537</v>
      </c>
    </row>
    <row r="2432" ht="15.75" customHeight="1">
      <c r="A2432" s="5" t="s">
        <v>7538</v>
      </c>
    </row>
    <row r="2433" ht="15.75" customHeight="1">
      <c r="A2433" s="5" t="s">
        <v>7539</v>
      </c>
    </row>
    <row r="2434" ht="15.75" customHeight="1">
      <c r="A2434" s="5" t="s">
        <v>7540</v>
      </c>
    </row>
    <row r="2435" ht="15.75" customHeight="1">
      <c r="A2435" s="5" t="s">
        <v>7541</v>
      </c>
    </row>
    <row r="2436" ht="15.75" customHeight="1">
      <c r="A2436" s="5" t="s">
        <v>7542</v>
      </c>
    </row>
    <row r="2437" ht="15.75" customHeight="1">
      <c r="A2437" s="5" t="s">
        <v>7543</v>
      </c>
    </row>
    <row r="2438" ht="15.75" customHeight="1">
      <c r="A2438" s="5" t="s">
        <v>7544</v>
      </c>
    </row>
    <row r="2439" ht="15.75" customHeight="1">
      <c r="A2439" s="5" t="s">
        <v>7545</v>
      </c>
    </row>
    <row r="2440" ht="15.75" customHeight="1">
      <c r="A2440" s="5" t="s">
        <v>7546</v>
      </c>
    </row>
    <row r="2441" ht="15.75" customHeight="1">
      <c r="A2441" s="5" t="s">
        <v>7547</v>
      </c>
    </row>
    <row r="2442" ht="15.75" customHeight="1">
      <c r="A2442" s="5" t="s">
        <v>7548</v>
      </c>
    </row>
    <row r="2443" ht="15.75" customHeight="1">
      <c r="A2443" s="5" t="s">
        <v>7549</v>
      </c>
    </row>
    <row r="2444" ht="15.75" customHeight="1">
      <c r="A2444" s="5" t="s">
        <v>7550</v>
      </c>
    </row>
    <row r="2445" ht="15.75" customHeight="1">
      <c r="A2445" s="5" t="s">
        <v>7551</v>
      </c>
    </row>
    <row r="2446" ht="15.75" customHeight="1">
      <c r="A2446" s="5" t="s">
        <v>7552</v>
      </c>
    </row>
    <row r="2447" ht="15.75" customHeight="1">
      <c r="A2447" s="5" t="s">
        <v>7553</v>
      </c>
    </row>
    <row r="2448" ht="15.75" customHeight="1">
      <c r="A2448" s="5" t="s">
        <v>7554</v>
      </c>
    </row>
    <row r="2449" ht="15.75" customHeight="1">
      <c r="A2449" s="5" t="s">
        <v>7555</v>
      </c>
    </row>
    <row r="2450" ht="15.75" customHeight="1">
      <c r="A2450" s="5" t="s">
        <v>7556</v>
      </c>
    </row>
    <row r="2451" ht="15.75" customHeight="1">
      <c r="A2451" s="5" t="s">
        <v>7557</v>
      </c>
    </row>
    <row r="2452" ht="15.75" customHeight="1">
      <c r="A2452" s="5" t="s">
        <v>7558</v>
      </c>
    </row>
    <row r="2453" ht="15.75" customHeight="1">
      <c r="A2453" s="5" t="s">
        <v>7559</v>
      </c>
    </row>
    <row r="2454" ht="15.75" customHeight="1">
      <c r="A2454" s="5" t="s">
        <v>7560</v>
      </c>
    </row>
    <row r="2455" ht="15.75" customHeight="1">
      <c r="A2455" s="5" t="s">
        <v>7561</v>
      </c>
    </row>
    <row r="2456" ht="15.75" customHeight="1">
      <c r="A2456" s="5" t="s">
        <v>7562</v>
      </c>
    </row>
    <row r="2457" ht="15.75" customHeight="1">
      <c r="A2457" s="5" t="s">
        <v>7563</v>
      </c>
    </row>
    <row r="2458" ht="15.75" customHeight="1">
      <c r="A2458" s="5" t="s">
        <v>7564</v>
      </c>
    </row>
    <row r="2459" ht="15.75" customHeight="1">
      <c r="A2459" s="5" t="s">
        <v>7565</v>
      </c>
    </row>
    <row r="2460" ht="15.75" customHeight="1">
      <c r="A2460" s="5" t="s">
        <v>7566</v>
      </c>
    </row>
    <row r="2461" ht="15.75" customHeight="1">
      <c r="A2461" s="5" t="s">
        <v>7567</v>
      </c>
    </row>
    <row r="2462" ht="15.75" customHeight="1">
      <c r="A2462" s="5" t="s">
        <v>7568</v>
      </c>
    </row>
    <row r="2463" ht="15.75" customHeight="1">
      <c r="A2463" s="5" t="s">
        <v>7569</v>
      </c>
    </row>
    <row r="2464" ht="15.75" customHeight="1">
      <c r="A2464" s="5" t="s">
        <v>7570</v>
      </c>
    </row>
    <row r="2465" ht="15.75" customHeight="1">
      <c r="A2465" s="5" t="s">
        <v>7571</v>
      </c>
    </row>
    <row r="2466" ht="15.75" customHeight="1">
      <c r="A2466" s="5" t="s">
        <v>7572</v>
      </c>
    </row>
    <row r="2467" ht="15.75" customHeight="1">
      <c r="A2467" s="5" t="s">
        <v>7573</v>
      </c>
    </row>
    <row r="2468" ht="15.75" customHeight="1">
      <c r="A2468" s="5" t="s">
        <v>7574</v>
      </c>
    </row>
    <row r="2469" ht="15.75" customHeight="1">
      <c r="A2469" s="5" t="s">
        <v>7575</v>
      </c>
    </row>
    <row r="2470" ht="15.75" customHeight="1">
      <c r="A2470" s="5" t="s">
        <v>7576</v>
      </c>
    </row>
    <row r="2471" ht="15.75" customHeight="1">
      <c r="A2471" s="5" t="s">
        <v>7577</v>
      </c>
    </row>
    <row r="2472" ht="15.75" customHeight="1">
      <c r="A2472" s="5" t="s">
        <v>7578</v>
      </c>
    </row>
    <row r="2473" ht="15.75" customHeight="1">
      <c r="A2473" s="5" t="s">
        <v>7579</v>
      </c>
    </row>
    <row r="2474" ht="15.75" customHeight="1">
      <c r="A2474" s="5" t="s">
        <v>7580</v>
      </c>
    </row>
    <row r="2475" ht="15.75" customHeight="1">
      <c r="A2475" s="5" t="s">
        <v>7581</v>
      </c>
    </row>
    <row r="2476" ht="15.75" customHeight="1">
      <c r="A2476" s="5" t="s">
        <v>7582</v>
      </c>
    </row>
    <row r="2477" ht="15.75" customHeight="1">
      <c r="A2477" s="5" t="s">
        <v>7583</v>
      </c>
    </row>
    <row r="2478" ht="15.75" customHeight="1">
      <c r="A2478" s="5" t="s">
        <v>7584</v>
      </c>
    </row>
    <row r="2479" ht="15.75" customHeight="1">
      <c r="A2479" s="5" t="s">
        <v>7585</v>
      </c>
    </row>
    <row r="2480" ht="15.75" customHeight="1">
      <c r="A2480" s="5" t="s">
        <v>7586</v>
      </c>
    </row>
    <row r="2481" ht="15.75" customHeight="1">
      <c r="A2481" s="5" t="s">
        <v>7587</v>
      </c>
    </row>
    <row r="2482" ht="15.75" customHeight="1">
      <c r="A2482" s="5" t="s">
        <v>7588</v>
      </c>
    </row>
    <row r="2483" ht="15.75" customHeight="1">
      <c r="A2483" s="5"/>
    </row>
    <row r="2484" ht="15.75" customHeight="1">
      <c r="A2484" s="5" t="s">
        <v>7589</v>
      </c>
    </row>
    <row r="2485" ht="15.75" customHeight="1">
      <c r="A2485" s="5" t="s">
        <v>1369</v>
      </c>
    </row>
    <row r="2486" ht="15.75" customHeight="1">
      <c r="A2486" s="5" t="s">
        <v>1370</v>
      </c>
    </row>
    <row r="2487" ht="15.75" customHeight="1">
      <c r="A2487" s="5" t="s">
        <v>1371</v>
      </c>
    </row>
    <row r="2488" ht="15.75" customHeight="1">
      <c r="A2488" s="5" t="s">
        <v>1372</v>
      </c>
    </row>
    <row r="2489" ht="15.75" customHeight="1">
      <c r="A2489" s="5" t="s">
        <v>1373</v>
      </c>
    </row>
    <row r="2490" ht="15.75" customHeight="1">
      <c r="A2490" s="5" t="s">
        <v>1374</v>
      </c>
    </row>
    <row r="2491" ht="15.75" customHeight="1">
      <c r="A2491" s="5" t="s">
        <v>1375</v>
      </c>
    </row>
    <row r="2492" ht="15.75" customHeight="1">
      <c r="A2492" s="5" t="s">
        <v>1376</v>
      </c>
    </row>
    <row r="2493" ht="15.75" customHeight="1">
      <c r="A2493" s="5" t="s">
        <v>7590</v>
      </c>
    </row>
    <row r="2494" ht="15.75" customHeight="1">
      <c r="A2494" s="5" t="s">
        <v>7591</v>
      </c>
    </row>
    <row r="2495" ht="15.75" customHeight="1">
      <c r="A2495" s="5" t="s">
        <v>7592</v>
      </c>
    </row>
    <row r="2496" ht="15.75" customHeight="1">
      <c r="A2496" s="5" t="s">
        <v>7593</v>
      </c>
    </row>
    <row r="2497" ht="15.75" customHeight="1">
      <c r="A2497" s="5" t="s">
        <v>7594</v>
      </c>
    </row>
    <row r="2498" ht="15.75" customHeight="1">
      <c r="A2498" s="5" t="s">
        <v>7595</v>
      </c>
    </row>
    <row r="2499" ht="15.75" customHeight="1">
      <c r="A2499" s="5" t="s">
        <v>7596</v>
      </c>
    </row>
    <row r="2500" ht="15.75" customHeight="1">
      <c r="A2500" s="5" t="s">
        <v>1384</v>
      </c>
    </row>
    <row r="2501" ht="15.75" customHeight="1">
      <c r="A2501" s="5" t="s">
        <v>7597</v>
      </c>
    </row>
    <row r="2502" ht="15.75" customHeight="1">
      <c r="A2502" s="5" t="s">
        <v>7598</v>
      </c>
    </row>
    <row r="2503" ht="15.75" customHeight="1">
      <c r="A2503" s="5" t="s">
        <v>7599</v>
      </c>
    </row>
    <row r="2504" ht="15.75" customHeight="1">
      <c r="A2504" s="5" t="s">
        <v>1388</v>
      </c>
    </row>
    <row r="2505" ht="15.75" customHeight="1">
      <c r="A2505" s="5" t="s">
        <v>7600</v>
      </c>
    </row>
    <row r="2506" ht="15.75" customHeight="1">
      <c r="A2506" s="5" t="s">
        <v>1390</v>
      </c>
    </row>
    <row r="2507" ht="15.75" customHeight="1">
      <c r="A2507" s="5" t="s">
        <v>1391</v>
      </c>
    </row>
    <row r="2508" ht="15.75" customHeight="1">
      <c r="A2508" s="5" t="s">
        <v>1392</v>
      </c>
    </row>
    <row r="2509" ht="15.75" customHeight="1">
      <c r="A2509" s="5" t="s">
        <v>1393</v>
      </c>
    </row>
    <row r="2510" ht="15.75" customHeight="1">
      <c r="A2510" s="5" t="s">
        <v>1394</v>
      </c>
    </row>
    <row r="2511" ht="15.75" customHeight="1">
      <c r="A2511" s="5" t="s">
        <v>1395</v>
      </c>
    </row>
    <row r="2512" ht="15.75" customHeight="1">
      <c r="A2512" s="5" t="s">
        <v>1396</v>
      </c>
    </row>
    <row r="2513" ht="15.75" customHeight="1">
      <c r="A2513" s="5" t="s">
        <v>7601</v>
      </c>
    </row>
    <row r="2514" ht="15.75" customHeight="1">
      <c r="A2514" s="5" t="s">
        <v>7602</v>
      </c>
    </row>
    <row r="2515" ht="15.75" customHeight="1">
      <c r="A2515" s="5" t="s">
        <v>1399</v>
      </c>
    </row>
    <row r="2516" ht="15.75" customHeight="1">
      <c r="A2516" s="5" t="s">
        <v>7603</v>
      </c>
    </row>
    <row r="2517" ht="15.75" customHeight="1">
      <c r="A2517" s="5" t="s">
        <v>1401</v>
      </c>
    </row>
    <row r="2518" ht="15.75" customHeight="1">
      <c r="A2518" s="5" t="s">
        <v>1402</v>
      </c>
    </row>
    <row r="2519" ht="15.75" customHeight="1">
      <c r="A2519" s="5" t="s">
        <v>7604</v>
      </c>
    </row>
    <row r="2520" ht="15.75" customHeight="1">
      <c r="A2520" s="5" t="s">
        <v>1404</v>
      </c>
    </row>
    <row r="2521" ht="15.75" customHeight="1">
      <c r="A2521" s="5" t="s">
        <v>1405</v>
      </c>
    </row>
    <row r="2522" ht="15.75" customHeight="1">
      <c r="A2522" s="5" t="s">
        <v>7605</v>
      </c>
    </row>
    <row r="2523" ht="15.75" customHeight="1">
      <c r="A2523" s="5" t="s">
        <v>7606</v>
      </c>
    </row>
    <row r="2524" ht="15.75" customHeight="1">
      <c r="A2524" s="5" t="s">
        <v>7607</v>
      </c>
    </row>
    <row r="2525" ht="15.75" customHeight="1">
      <c r="A2525" s="5" t="s">
        <v>7608</v>
      </c>
    </row>
    <row r="2526" ht="15.75" customHeight="1">
      <c r="A2526" s="5" t="s">
        <v>7609</v>
      </c>
    </row>
    <row r="2527" ht="15.75" customHeight="1">
      <c r="A2527" s="5" t="s">
        <v>1411</v>
      </c>
    </row>
    <row r="2528" ht="15.75" customHeight="1">
      <c r="A2528" s="5" t="s">
        <v>1412</v>
      </c>
    </row>
    <row r="2529" ht="15.75" customHeight="1">
      <c r="A2529" s="5" t="s">
        <v>1413</v>
      </c>
    </row>
    <row r="2530" ht="15.75" customHeight="1">
      <c r="A2530" s="5" t="s">
        <v>7610</v>
      </c>
    </row>
    <row r="2531" ht="15.75" customHeight="1">
      <c r="A2531" s="5" t="s">
        <v>7611</v>
      </c>
    </row>
    <row r="2532" ht="15.75" customHeight="1">
      <c r="A2532" s="5" t="s">
        <v>7612</v>
      </c>
    </row>
    <row r="2533" ht="15.75" customHeight="1">
      <c r="A2533" s="5" t="s">
        <v>1417</v>
      </c>
    </row>
    <row r="2534" ht="15.75" customHeight="1">
      <c r="A2534" s="5" t="s">
        <v>1418</v>
      </c>
    </row>
    <row r="2535" ht="15.75" customHeight="1">
      <c r="A2535" s="5" t="s">
        <v>7613</v>
      </c>
    </row>
    <row r="2536" ht="15.75" customHeight="1">
      <c r="A2536" s="5" t="s">
        <v>7614</v>
      </c>
    </row>
    <row r="2537" ht="15.75" customHeight="1">
      <c r="A2537" s="5" t="s">
        <v>7615</v>
      </c>
    </row>
    <row r="2538" ht="15.75" customHeight="1">
      <c r="A2538" s="5" t="s">
        <v>1422</v>
      </c>
    </row>
    <row r="2539" ht="15.75" customHeight="1">
      <c r="A2539" s="5" t="s">
        <v>1423</v>
      </c>
    </row>
    <row r="2540" ht="15.75" customHeight="1">
      <c r="A2540" s="5" t="s">
        <v>1424</v>
      </c>
    </row>
    <row r="2541" ht="15.75" customHeight="1">
      <c r="A2541" s="5" t="s">
        <v>7616</v>
      </c>
    </row>
    <row r="2542" ht="15.75" customHeight="1">
      <c r="A2542" s="5" t="s">
        <v>7617</v>
      </c>
    </row>
    <row r="2543" ht="15.75" customHeight="1">
      <c r="A2543" s="5" t="s">
        <v>1427</v>
      </c>
    </row>
    <row r="2544" ht="15.75" customHeight="1">
      <c r="A2544" s="5" t="s">
        <v>1428</v>
      </c>
    </row>
    <row r="2545" ht="15.75" customHeight="1">
      <c r="A2545" s="5" t="s">
        <v>1429</v>
      </c>
    </row>
    <row r="2546" ht="15.75" customHeight="1">
      <c r="A2546" s="5" t="s">
        <v>1430</v>
      </c>
    </row>
    <row r="2547" ht="15.75" customHeight="1">
      <c r="A2547" s="5" t="s">
        <v>1431</v>
      </c>
    </row>
    <row r="2548" ht="15.75" customHeight="1">
      <c r="A2548" s="5" t="s">
        <v>7618</v>
      </c>
    </row>
    <row r="2549" ht="15.75" customHeight="1">
      <c r="A2549" s="5" t="s">
        <v>7619</v>
      </c>
    </row>
    <row r="2550" ht="15.75" customHeight="1">
      <c r="A2550" s="5" t="s">
        <v>7620</v>
      </c>
    </row>
    <row r="2551" ht="15.75" customHeight="1">
      <c r="A2551" s="5" t="s">
        <v>7621</v>
      </c>
    </row>
    <row r="2552" ht="15.75" customHeight="1">
      <c r="A2552" s="5" t="s">
        <v>1436</v>
      </c>
    </row>
    <row r="2553" ht="15.75" customHeight="1">
      <c r="A2553" s="5" t="s">
        <v>7622</v>
      </c>
    </row>
    <row r="2554" ht="15.75" customHeight="1">
      <c r="A2554" s="5" t="s">
        <v>7623</v>
      </c>
    </row>
    <row r="2555" ht="15.75" customHeight="1">
      <c r="A2555" s="5" t="s">
        <v>7624</v>
      </c>
    </row>
    <row r="2556" ht="15.75" customHeight="1">
      <c r="A2556" s="5" t="s">
        <v>1440</v>
      </c>
    </row>
    <row r="2557" ht="15.75" customHeight="1">
      <c r="A2557" s="5" t="s">
        <v>1441</v>
      </c>
    </row>
    <row r="2558" ht="15.75" customHeight="1">
      <c r="A2558" s="5" t="s">
        <v>1442</v>
      </c>
    </row>
    <row r="2559" ht="15.75" customHeight="1">
      <c r="A2559" s="5" t="s">
        <v>7625</v>
      </c>
    </row>
    <row r="2560" ht="15.75" customHeight="1">
      <c r="A2560" s="5" t="s">
        <v>1444</v>
      </c>
    </row>
    <row r="2561" ht="15.75" customHeight="1">
      <c r="A2561" s="5" t="s">
        <v>1445</v>
      </c>
    </row>
    <row r="2562" ht="15.75" customHeight="1">
      <c r="A2562" s="5" t="s">
        <v>1446</v>
      </c>
    </row>
    <row r="2563" ht="15.75" customHeight="1">
      <c r="A2563" s="5" t="s">
        <v>1447</v>
      </c>
    </row>
    <row r="2564" ht="15.75" customHeight="1">
      <c r="A2564" s="5" t="s">
        <v>1448</v>
      </c>
    </row>
    <row r="2565" ht="15.75" customHeight="1">
      <c r="A2565" s="5" t="s">
        <v>1449</v>
      </c>
    </row>
    <row r="2566" ht="15.75" customHeight="1">
      <c r="A2566" s="5" t="s">
        <v>1450</v>
      </c>
    </row>
    <row r="2567" ht="15.75" customHeight="1">
      <c r="A2567" s="5" t="s">
        <v>1451</v>
      </c>
    </row>
    <row r="2568" ht="15.75" customHeight="1">
      <c r="A2568" s="5" t="s">
        <v>1452</v>
      </c>
    </row>
    <row r="2569" ht="15.75" customHeight="1">
      <c r="A2569" s="5" t="s">
        <v>1453</v>
      </c>
    </row>
    <row r="2570" ht="15.75" customHeight="1">
      <c r="A2570" s="5" t="s">
        <v>1454</v>
      </c>
    </row>
    <row r="2571" ht="15.75" customHeight="1">
      <c r="A2571" s="5" t="s">
        <v>1455</v>
      </c>
    </row>
    <row r="2572" ht="15.75" customHeight="1">
      <c r="A2572" s="5" t="s">
        <v>1456</v>
      </c>
    </row>
    <row r="2573" ht="15.75" customHeight="1">
      <c r="A2573" s="5" t="s">
        <v>1457</v>
      </c>
    </row>
    <row r="2574" ht="15.75" customHeight="1">
      <c r="A2574" s="5" t="s">
        <v>1458</v>
      </c>
    </row>
    <row r="2575" ht="15.75" customHeight="1">
      <c r="A2575" s="5" t="s">
        <v>1459</v>
      </c>
    </row>
    <row r="2576" ht="15.75" customHeight="1">
      <c r="A2576" s="5" t="s">
        <v>1460</v>
      </c>
    </row>
    <row r="2577" ht="15.75" customHeight="1">
      <c r="A2577" s="5" t="s">
        <v>1461</v>
      </c>
    </row>
    <row r="2578" ht="15.75" customHeight="1">
      <c r="A2578" s="5" t="s">
        <v>1462</v>
      </c>
    </row>
    <row r="2579" ht="15.75" customHeight="1">
      <c r="A2579" s="5" t="s">
        <v>1463</v>
      </c>
    </row>
    <row r="2580" ht="15.75" customHeight="1">
      <c r="A2580" s="5" t="s">
        <v>1464</v>
      </c>
    </row>
    <row r="2581" ht="15.75" customHeight="1">
      <c r="A2581" s="5" t="s">
        <v>1465</v>
      </c>
    </row>
    <row r="2582" ht="15.75" customHeight="1">
      <c r="A2582" s="5" t="s">
        <v>1466</v>
      </c>
    </row>
    <row r="2583" ht="15.75" customHeight="1">
      <c r="A2583" s="5" t="s">
        <v>1467</v>
      </c>
    </row>
    <row r="2584" ht="15.75" customHeight="1">
      <c r="A2584" s="5" t="s">
        <v>1468</v>
      </c>
    </row>
    <row r="2585" ht="15.75" customHeight="1">
      <c r="A2585" s="5" t="s">
        <v>1469</v>
      </c>
    </row>
    <row r="2586" ht="15.75" customHeight="1">
      <c r="A2586" s="5" t="s">
        <v>1470</v>
      </c>
    </row>
    <row r="2587" ht="15.75" customHeight="1">
      <c r="A2587" s="5" t="s">
        <v>1471</v>
      </c>
    </row>
    <row r="2588" ht="15.75" customHeight="1">
      <c r="A2588" s="5" t="s">
        <v>1472</v>
      </c>
    </row>
    <row r="2589" ht="15.75" customHeight="1">
      <c r="A2589" s="5" t="s">
        <v>1473</v>
      </c>
    </row>
    <row r="2590" ht="15.75" customHeight="1">
      <c r="A2590" s="5" t="s">
        <v>1474</v>
      </c>
    </row>
    <row r="2591" ht="15.75" customHeight="1">
      <c r="A2591" s="5" t="s">
        <v>1475</v>
      </c>
    </row>
    <row r="2592" ht="15.75" customHeight="1">
      <c r="A2592" s="5" t="s">
        <v>1476</v>
      </c>
    </row>
    <row r="2593" ht="15.75" customHeight="1">
      <c r="A2593" s="5" t="s">
        <v>1477</v>
      </c>
    </row>
    <row r="2594" ht="15.75" customHeight="1">
      <c r="A2594" s="5" t="s">
        <v>1478</v>
      </c>
    </row>
    <row r="2595" ht="15.75" customHeight="1">
      <c r="A2595" s="5" t="s">
        <v>1479</v>
      </c>
    </row>
    <row r="2596" ht="15.75" customHeight="1">
      <c r="A2596" s="5" t="s">
        <v>1480</v>
      </c>
    </row>
    <row r="2597" ht="15.75" customHeight="1">
      <c r="A2597" s="5" t="s">
        <v>1481</v>
      </c>
    </row>
    <row r="2598" ht="15.75" customHeight="1">
      <c r="A2598" s="5" t="s">
        <v>1482</v>
      </c>
    </row>
    <row r="2599" ht="15.75" customHeight="1">
      <c r="A2599" s="5" t="s">
        <v>1483</v>
      </c>
    </row>
    <row r="2600" ht="15.75" customHeight="1">
      <c r="A2600" s="5" t="s">
        <v>1484</v>
      </c>
    </row>
    <row r="2601" ht="15.75" customHeight="1">
      <c r="A2601" s="5" t="s">
        <v>7626</v>
      </c>
    </row>
    <row r="2602" ht="15.75" customHeight="1">
      <c r="A2602" s="5" t="s">
        <v>7627</v>
      </c>
    </row>
    <row r="2603" ht="15.75" customHeight="1">
      <c r="A2603" s="5" t="s">
        <v>1487</v>
      </c>
    </row>
    <row r="2604" ht="15.75" customHeight="1">
      <c r="A2604" s="5" t="s">
        <v>7628</v>
      </c>
    </row>
    <row r="2605" ht="15.75" customHeight="1">
      <c r="A2605" s="5" t="s">
        <v>7629</v>
      </c>
    </row>
    <row r="2606" ht="15.75" customHeight="1">
      <c r="A2606" s="5" t="s">
        <v>7630</v>
      </c>
    </row>
    <row r="2607" ht="15.75" customHeight="1">
      <c r="A2607" s="5" t="s">
        <v>7631</v>
      </c>
    </row>
    <row r="2608" ht="15.75" customHeight="1">
      <c r="A2608" s="5" t="s">
        <v>7632</v>
      </c>
    </row>
    <row r="2609" ht="15.75" customHeight="1">
      <c r="A2609" s="5" t="s">
        <v>7633</v>
      </c>
    </row>
    <row r="2610" ht="15.75" customHeight="1">
      <c r="A2610" s="5" t="s">
        <v>1494</v>
      </c>
    </row>
    <row r="2611" ht="15.75" customHeight="1">
      <c r="A2611" s="5" t="s">
        <v>1495</v>
      </c>
    </row>
    <row r="2612" ht="15.75" customHeight="1">
      <c r="A2612" s="5" t="s">
        <v>1496</v>
      </c>
    </row>
    <row r="2613" ht="15.75" customHeight="1">
      <c r="A2613" s="5" t="s">
        <v>1497</v>
      </c>
    </row>
    <row r="2614" ht="15.75" customHeight="1">
      <c r="A2614" s="5" t="s">
        <v>1498</v>
      </c>
    </row>
    <row r="2615" ht="15.75" customHeight="1">
      <c r="A2615" s="5" t="s">
        <v>7634</v>
      </c>
    </row>
    <row r="2616" ht="15.75" customHeight="1">
      <c r="A2616" s="5" t="s">
        <v>1500</v>
      </c>
    </row>
    <row r="2617" ht="15.75" customHeight="1">
      <c r="A2617" s="5" t="s">
        <v>1501</v>
      </c>
    </row>
    <row r="2618" ht="15.75" customHeight="1">
      <c r="A2618" s="5" t="s">
        <v>1502</v>
      </c>
    </row>
    <row r="2619" ht="15.75" customHeight="1">
      <c r="A2619" s="5" t="s">
        <v>1503</v>
      </c>
    </row>
    <row r="2620" ht="15.75" customHeight="1">
      <c r="A2620" s="5" t="s">
        <v>1504</v>
      </c>
    </row>
    <row r="2621" ht="15.75" customHeight="1">
      <c r="A2621" s="5" t="s">
        <v>1505</v>
      </c>
    </row>
    <row r="2622" ht="15.75" customHeight="1">
      <c r="A2622" s="5" t="s">
        <v>1506</v>
      </c>
    </row>
    <row r="2623" ht="15.75" customHeight="1">
      <c r="A2623" s="5" t="s">
        <v>7635</v>
      </c>
    </row>
    <row r="2624" ht="15.75" customHeight="1">
      <c r="A2624" s="5" t="s">
        <v>7636</v>
      </c>
    </row>
    <row r="2625" ht="15.75" customHeight="1">
      <c r="A2625" s="5" t="s">
        <v>7637</v>
      </c>
    </row>
    <row r="2626" ht="15.75" customHeight="1">
      <c r="A2626" s="5" t="s">
        <v>7638</v>
      </c>
    </row>
    <row r="2627" ht="15.75" customHeight="1">
      <c r="A2627" s="5" t="s">
        <v>7639</v>
      </c>
    </row>
    <row r="2628" ht="15.75" customHeight="1">
      <c r="A2628" s="5" t="s">
        <v>7640</v>
      </c>
    </row>
    <row r="2629" ht="15.75" customHeight="1">
      <c r="A2629" s="5" t="s">
        <v>1513</v>
      </c>
    </row>
    <row r="2630" ht="15.75" customHeight="1">
      <c r="A2630" s="5" t="s">
        <v>1514</v>
      </c>
    </row>
    <row r="2631" ht="15.75" customHeight="1">
      <c r="A2631" s="5" t="s">
        <v>7641</v>
      </c>
    </row>
    <row r="2632" ht="15.75" customHeight="1">
      <c r="A2632" s="5" t="s">
        <v>7642</v>
      </c>
    </row>
    <row r="2633" ht="15.75" customHeight="1">
      <c r="A2633" s="5" t="s">
        <v>7643</v>
      </c>
    </row>
    <row r="2634" ht="15.75" customHeight="1">
      <c r="A2634" s="5" t="s">
        <v>1518</v>
      </c>
    </row>
    <row r="2635" ht="15.75" customHeight="1">
      <c r="A2635" s="5" t="s">
        <v>1519</v>
      </c>
    </row>
    <row r="2636" ht="15.75" customHeight="1">
      <c r="A2636" s="5" t="s">
        <v>7644</v>
      </c>
    </row>
    <row r="2637" ht="15.75" customHeight="1">
      <c r="A2637" s="5" t="s">
        <v>7645</v>
      </c>
    </row>
    <row r="2638" ht="15.75" customHeight="1">
      <c r="A2638" s="5" t="s">
        <v>7646</v>
      </c>
    </row>
    <row r="2639" ht="15.75" customHeight="1">
      <c r="A2639" s="5" t="s">
        <v>7647</v>
      </c>
    </row>
    <row r="2640" ht="15.75" customHeight="1">
      <c r="A2640" s="5" t="s">
        <v>1524</v>
      </c>
    </row>
    <row r="2641" ht="15.75" customHeight="1">
      <c r="A2641" s="5" t="s">
        <v>1525</v>
      </c>
    </row>
    <row r="2642" ht="15.75" customHeight="1">
      <c r="A2642" s="5" t="s">
        <v>1526</v>
      </c>
    </row>
    <row r="2643" ht="15.75" customHeight="1">
      <c r="A2643" s="5" t="s">
        <v>7648</v>
      </c>
    </row>
    <row r="2644" ht="15.75" customHeight="1">
      <c r="A2644" s="5" t="s">
        <v>1528</v>
      </c>
    </row>
    <row r="2645" ht="15.75" customHeight="1">
      <c r="A2645" s="5" t="s">
        <v>1529</v>
      </c>
    </row>
    <row r="2646" ht="15.75" customHeight="1">
      <c r="A2646" s="5" t="s">
        <v>1530</v>
      </c>
    </row>
    <row r="2647" ht="15.75" customHeight="1">
      <c r="A2647" s="5" t="s">
        <v>1531</v>
      </c>
    </row>
    <row r="2648" ht="15.75" customHeight="1">
      <c r="A2648" s="5" t="s">
        <v>1532</v>
      </c>
    </row>
    <row r="2649" ht="15.75" customHeight="1">
      <c r="A2649" s="5" t="s">
        <v>1533</v>
      </c>
    </row>
    <row r="2650" ht="15.75" customHeight="1">
      <c r="A2650" s="5" t="s">
        <v>1534</v>
      </c>
    </row>
    <row r="2651" ht="15.75" customHeight="1">
      <c r="A2651" s="5" t="s">
        <v>1535</v>
      </c>
    </row>
    <row r="2652" ht="15.75" customHeight="1">
      <c r="A2652" s="5" t="s">
        <v>1536</v>
      </c>
    </row>
    <row r="2653" ht="15.75" customHeight="1">
      <c r="A2653" s="5" t="s">
        <v>1537</v>
      </c>
    </row>
    <row r="2654" ht="15.75" customHeight="1">
      <c r="A2654" s="5" t="s">
        <v>1538</v>
      </c>
    </row>
    <row r="2655" ht="15.75" customHeight="1">
      <c r="A2655" s="5" t="s">
        <v>1539</v>
      </c>
    </row>
    <row r="2656" ht="15.75" customHeight="1">
      <c r="A2656" s="5" t="s">
        <v>1540</v>
      </c>
    </row>
    <row r="2657" ht="15.75" customHeight="1">
      <c r="A2657" s="5" t="s">
        <v>1541</v>
      </c>
    </row>
    <row r="2658" ht="15.75" customHeight="1">
      <c r="A2658" s="5" t="s">
        <v>1542</v>
      </c>
    </row>
    <row r="2659" ht="15.75" customHeight="1">
      <c r="A2659" s="5" t="s">
        <v>1543</v>
      </c>
    </row>
    <row r="2660" ht="15.75" customHeight="1">
      <c r="A2660" s="5" t="s">
        <v>1544</v>
      </c>
    </row>
    <row r="2661" ht="15.75" customHeight="1">
      <c r="A2661" s="5" t="s">
        <v>1545</v>
      </c>
    </row>
    <row r="2662" ht="15.75" customHeight="1">
      <c r="A2662" s="5" t="s">
        <v>1546</v>
      </c>
    </row>
    <row r="2663" ht="15.75" customHeight="1">
      <c r="A2663" s="5" t="s">
        <v>1547</v>
      </c>
    </row>
    <row r="2664" ht="15.75" customHeight="1">
      <c r="A2664" s="5" t="s">
        <v>1548</v>
      </c>
    </row>
    <row r="2665" ht="15.75" customHeight="1">
      <c r="A2665" s="5" t="s">
        <v>1549</v>
      </c>
    </row>
    <row r="2666" ht="15.75" customHeight="1">
      <c r="A2666" s="5" t="s">
        <v>7649</v>
      </c>
    </row>
    <row r="2667" ht="15.75" customHeight="1">
      <c r="A2667" s="5" t="s">
        <v>1551</v>
      </c>
    </row>
    <row r="2668" ht="15.75" customHeight="1">
      <c r="A2668" s="5" t="s">
        <v>1552</v>
      </c>
    </row>
    <row r="2669" ht="15.75" customHeight="1">
      <c r="A2669" s="5" t="s">
        <v>1553</v>
      </c>
    </row>
    <row r="2670" ht="15.75" customHeight="1">
      <c r="A2670" s="5" t="s">
        <v>1554</v>
      </c>
    </row>
    <row r="2671" ht="15.75" customHeight="1">
      <c r="A2671" s="5" t="s">
        <v>1555</v>
      </c>
    </row>
    <row r="2672" ht="15.75" customHeight="1">
      <c r="A2672" s="5" t="s">
        <v>1556</v>
      </c>
    </row>
    <row r="2673" ht="15.75" customHeight="1">
      <c r="A2673" s="5" t="s">
        <v>1557</v>
      </c>
    </row>
    <row r="2674" ht="15.75" customHeight="1">
      <c r="A2674" s="5" t="s">
        <v>1558</v>
      </c>
    </row>
    <row r="2675" ht="15.75" customHeight="1">
      <c r="A2675" s="5" t="s">
        <v>1559</v>
      </c>
    </row>
    <row r="2676" ht="15.75" customHeight="1">
      <c r="A2676" s="5" t="s">
        <v>1560</v>
      </c>
    </row>
    <row r="2677" ht="15.75" customHeight="1">
      <c r="A2677" s="5" t="s">
        <v>1561</v>
      </c>
    </row>
    <row r="2678" ht="15.75" customHeight="1">
      <c r="A2678" s="5" t="s">
        <v>1562</v>
      </c>
    </row>
    <row r="2679" ht="15.75" customHeight="1">
      <c r="A2679" s="5" t="s">
        <v>7650</v>
      </c>
    </row>
    <row r="2680" ht="15.75" customHeight="1">
      <c r="A2680" s="5" t="s">
        <v>1564</v>
      </c>
    </row>
    <row r="2681" ht="15.75" customHeight="1">
      <c r="A2681" s="5" t="s">
        <v>7651</v>
      </c>
    </row>
    <row r="2682" ht="15.75" customHeight="1">
      <c r="A2682" s="5" t="s">
        <v>1566</v>
      </c>
    </row>
    <row r="2683" ht="15.75" customHeight="1">
      <c r="A2683" s="5" t="s">
        <v>1567</v>
      </c>
    </row>
    <row r="2684" ht="15.75" customHeight="1">
      <c r="A2684" s="5" t="s">
        <v>1568</v>
      </c>
    </row>
    <row r="2685" ht="15.75" customHeight="1">
      <c r="A2685" s="5" t="s">
        <v>1569</v>
      </c>
    </row>
    <row r="2686" ht="15.75" customHeight="1">
      <c r="A2686" s="5" t="s">
        <v>1570</v>
      </c>
    </row>
    <row r="2687" ht="15.75" customHeight="1">
      <c r="A2687" s="5" t="s">
        <v>1571</v>
      </c>
    </row>
    <row r="2688" ht="15.75" customHeight="1">
      <c r="A2688" s="5" t="s">
        <v>1572</v>
      </c>
    </row>
    <row r="2689" ht="15.75" customHeight="1">
      <c r="A2689" s="5" t="s">
        <v>1573</v>
      </c>
    </row>
    <row r="2690" ht="15.75" customHeight="1">
      <c r="A2690" s="5" t="s">
        <v>1574</v>
      </c>
    </row>
    <row r="2691" ht="15.75" customHeight="1">
      <c r="A2691" s="5" t="s">
        <v>1575</v>
      </c>
    </row>
    <row r="2692" ht="15.75" customHeight="1">
      <c r="A2692" s="5" t="s">
        <v>1576</v>
      </c>
    </row>
    <row r="2693" ht="15.75" customHeight="1">
      <c r="A2693" s="5" t="s">
        <v>1577</v>
      </c>
    </row>
    <row r="2694" ht="15.75" customHeight="1">
      <c r="A2694" s="5" t="s">
        <v>7652</v>
      </c>
    </row>
    <row r="2695" ht="15.75" customHeight="1">
      <c r="A2695" s="5" t="s">
        <v>1579</v>
      </c>
    </row>
    <row r="2696" ht="15.75" customHeight="1">
      <c r="A2696" s="5" t="s">
        <v>1580</v>
      </c>
    </row>
    <row r="2697" ht="15.75" customHeight="1">
      <c r="A2697" s="5" t="s">
        <v>1581</v>
      </c>
    </row>
    <row r="2698" ht="15.75" customHeight="1">
      <c r="A2698" s="5" t="s">
        <v>1582</v>
      </c>
    </row>
    <row r="2699" ht="15.75" customHeight="1">
      <c r="A2699" s="5" t="s">
        <v>1583</v>
      </c>
    </row>
    <row r="2700" ht="15.75" customHeight="1">
      <c r="A2700" s="5" t="s">
        <v>1584</v>
      </c>
    </row>
    <row r="2701" ht="15.75" customHeight="1">
      <c r="A2701" s="5" t="s">
        <v>1585</v>
      </c>
    </row>
    <row r="2702" ht="15.75" customHeight="1">
      <c r="A2702" s="5" t="s">
        <v>1586</v>
      </c>
    </row>
    <row r="2703" ht="15.75" customHeight="1">
      <c r="A2703" s="5" t="s">
        <v>1587</v>
      </c>
    </row>
    <row r="2704" ht="15.75" customHeight="1">
      <c r="A2704" s="5" t="s">
        <v>1588</v>
      </c>
    </row>
    <row r="2705" ht="15.75" customHeight="1">
      <c r="A2705" s="5" t="s">
        <v>1589</v>
      </c>
    </row>
    <row r="2706" ht="15.75" customHeight="1">
      <c r="A2706" s="5" t="s">
        <v>1590</v>
      </c>
    </row>
    <row r="2707" ht="15.75" customHeight="1">
      <c r="A2707" s="5" t="s">
        <v>1591</v>
      </c>
    </row>
    <row r="2708" ht="15.75" customHeight="1">
      <c r="A2708" s="5" t="s">
        <v>1592</v>
      </c>
    </row>
    <row r="2709" ht="15.75" customHeight="1">
      <c r="A2709" s="5" t="s">
        <v>1593</v>
      </c>
    </row>
    <row r="2710" ht="15.75" customHeight="1">
      <c r="A2710" s="5" t="s">
        <v>1594</v>
      </c>
    </row>
    <row r="2711" ht="15.75" customHeight="1">
      <c r="A2711" s="5" t="s">
        <v>1595</v>
      </c>
    </row>
    <row r="2712" ht="15.75" customHeight="1">
      <c r="A2712" s="5" t="s">
        <v>1596</v>
      </c>
    </row>
    <row r="2713" ht="15.75" customHeight="1">
      <c r="A2713" s="5" t="s">
        <v>7653</v>
      </c>
    </row>
    <row r="2714" ht="15.75" customHeight="1">
      <c r="A2714" s="5" t="s">
        <v>7654</v>
      </c>
    </row>
    <row r="2715" ht="15.75" customHeight="1">
      <c r="A2715" s="5" t="s">
        <v>7655</v>
      </c>
    </row>
    <row r="2716" ht="15.75" customHeight="1">
      <c r="A2716" s="5" t="s">
        <v>7656</v>
      </c>
    </row>
    <row r="2717" ht="15.75" customHeight="1">
      <c r="A2717" s="5" t="s">
        <v>1601</v>
      </c>
    </row>
    <row r="2718" ht="15.75" customHeight="1">
      <c r="A2718" s="5" t="s">
        <v>7657</v>
      </c>
    </row>
    <row r="2719" ht="15.75" customHeight="1">
      <c r="A2719" s="5" t="s">
        <v>7658</v>
      </c>
    </row>
    <row r="2720" ht="15.75" customHeight="1">
      <c r="A2720" s="5" t="s">
        <v>1604</v>
      </c>
    </row>
    <row r="2721" ht="15.75" customHeight="1">
      <c r="A2721" s="5" t="s">
        <v>1605</v>
      </c>
    </row>
    <row r="2722" ht="15.75" customHeight="1">
      <c r="A2722" s="5" t="s">
        <v>1606</v>
      </c>
    </row>
    <row r="2723" ht="15.75" customHeight="1">
      <c r="A2723" s="5" t="s">
        <v>7659</v>
      </c>
    </row>
    <row r="2724" ht="15.75" customHeight="1">
      <c r="A2724" s="5" t="s">
        <v>1608</v>
      </c>
    </row>
    <row r="2725" ht="15.75" customHeight="1">
      <c r="A2725" s="5" t="s">
        <v>1609</v>
      </c>
    </row>
    <row r="2726" ht="15.75" customHeight="1">
      <c r="A2726" s="5" t="s">
        <v>1610</v>
      </c>
    </row>
    <row r="2727" ht="15.75" customHeight="1">
      <c r="A2727" s="5" t="s">
        <v>1611</v>
      </c>
    </row>
    <row r="2728" ht="15.75" customHeight="1">
      <c r="A2728" s="5" t="s">
        <v>1612</v>
      </c>
    </row>
    <row r="2729" ht="15.75" customHeight="1">
      <c r="A2729" s="5" t="s">
        <v>1613</v>
      </c>
    </row>
    <row r="2730" ht="15.75" customHeight="1">
      <c r="A2730" s="5" t="s">
        <v>1614</v>
      </c>
    </row>
    <row r="2731" ht="15.75" customHeight="1">
      <c r="A2731" s="5" t="s">
        <v>1615</v>
      </c>
    </row>
    <row r="2732" ht="15.75" customHeight="1">
      <c r="A2732" s="5" t="s">
        <v>1616</v>
      </c>
    </row>
    <row r="2733" ht="15.75" customHeight="1">
      <c r="A2733" s="5" t="s">
        <v>1617</v>
      </c>
    </row>
    <row r="2734" ht="15.75" customHeight="1">
      <c r="A2734" s="5" t="s">
        <v>1618</v>
      </c>
    </row>
    <row r="2735" ht="15.75" customHeight="1">
      <c r="A2735" s="5" t="s">
        <v>1619</v>
      </c>
    </row>
    <row r="2736" ht="15.75" customHeight="1">
      <c r="A2736" s="5" t="s">
        <v>1620</v>
      </c>
    </row>
    <row r="2737" ht="15.75" customHeight="1">
      <c r="A2737" s="5" t="s">
        <v>1621</v>
      </c>
    </row>
    <row r="2738" ht="15.75" customHeight="1">
      <c r="A2738" s="5" t="s">
        <v>1622</v>
      </c>
    </row>
    <row r="2739" ht="15.75" customHeight="1">
      <c r="A2739" s="5" t="s">
        <v>1623</v>
      </c>
    </row>
    <row r="2740" ht="15.75" customHeight="1">
      <c r="A2740" s="5" t="s">
        <v>7660</v>
      </c>
    </row>
    <row r="2741" ht="15.75" customHeight="1">
      <c r="A2741" s="5" t="s">
        <v>1625</v>
      </c>
    </row>
    <row r="2742" ht="15.75" customHeight="1">
      <c r="A2742" s="5" t="s">
        <v>1626</v>
      </c>
    </row>
    <row r="2743" ht="15.75" customHeight="1">
      <c r="A2743" s="5" t="s">
        <v>1627</v>
      </c>
    </row>
    <row r="2744" ht="15.75" customHeight="1">
      <c r="A2744" s="5" t="s">
        <v>1628</v>
      </c>
    </row>
    <row r="2745" ht="15.75" customHeight="1">
      <c r="A2745" s="5" t="s">
        <v>1629</v>
      </c>
    </row>
    <row r="2746" ht="15.75" customHeight="1">
      <c r="A2746" s="5" t="s">
        <v>1630</v>
      </c>
    </row>
    <row r="2747" ht="15.75" customHeight="1">
      <c r="A2747" s="5" t="s">
        <v>1631</v>
      </c>
    </row>
    <row r="2748" ht="15.75" customHeight="1">
      <c r="A2748" s="5" t="s">
        <v>1632</v>
      </c>
    </row>
    <row r="2749" ht="15.75" customHeight="1">
      <c r="A2749" s="5" t="s">
        <v>7661</v>
      </c>
    </row>
    <row r="2750" ht="15.75" customHeight="1">
      <c r="A2750" s="5" t="s">
        <v>7662</v>
      </c>
    </row>
    <row r="2751" ht="15.75" customHeight="1">
      <c r="A2751" s="5" t="s">
        <v>1635</v>
      </c>
    </row>
    <row r="2752" ht="15.75" customHeight="1">
      <c r="A2752" s="5" t="s">
        <v>1636</v>
      </c>
    </row>
    <row r="2753" ht="15.75" customHeight="1">
      <c r="A2753" s="5" t="s">
        <v>1637</v>
      </c>
    </row>
    <row r="2754" ht="15.75" customHeight="1">
      <c r="A2754" s="5" t="s">
        <v>1638</v>
      </c>
    </row>
    <row r="2755" ht="15.75" customHeight="1">
      <c r="A2755" s="5" t="s">
        <v>1639</v>
      </c>
    </row>
    <row r="2756" ht="15.75" customHeight="1">
      <c r="A2756" s="5" t="s">
        <v>1640</v>
      </c>
    </row>
    <row r="2757" ht="15.75" customHeight="1">
      <c r="A2757" s="5" t="s">
        <v>1641</v>
      </c>
    </row>
    <row r="2758" ht="15.75" customHeight="1">
      <c r="A2758" s="5" t="s">
        <v>1642</v>
      </c>
    </row>
    <row r="2759" ht="15.75" customHeight="1">
      <c r="A2759" s="5" t="s">
        <v>7663</v>
      </c>
    </row>
    <row r="2760" ht="15.75" customHeight="1">
      <c r="A2760" s="5" t="s">
        <v>1644</v>
      </c>
    </row>
    <row r="2761" ht="15.75" customHeight="1">
      <c r="A2761" s="5" t="s">
        <v>1645</v>
      </c>
    </row>
    <row r="2762" ht="15.75" customHeight="1">
      <c r="A2762" s="5" t="s">
        <v>1646</v>
      </c>
    </row>
    <row r="2763" ht="15.75" customHeight="1">
      <c r="A2763" s="5" t="s">
        <v>1647</v>
      </c>
    </row>
    <row r="2764" ht="15.75" customHeight="1">
      <c r="A2764" s="5" t="s">
        <v>1648</v>
      </c>
    </row>
    <row r="2765" ht="15.75" customHeight="1">
      <c r="A2765" s="5" t="s">
        <v>1649</v>
      </c>
    </row>
    <row r="2766" ht="15.75" customHeight="1">
      <c r="A2766" s="5" t="s">
        <v>1650</v>
      </c>
    </row>
    <row r="2767" ht="15.75" customHeight="1">
      <c r="A2767" s="5" t="s">
        <v>7664</v>
      </c>
    </row>
    <row r="2768" ht="15.75" customHeight="1">
      <c r="A2768" s="5" t="s">
        <v>1652</v>
      </c>
    </row>
    <row r="2769" ht="15.75" customHeight="1">
      <c r="A2769" s="5" t="s">
        <v>1653</v>
      </c>
    </row>
    <row r="2770" ht="15.75" customHeight="1">
      <c r="A2770" s="5" t="s">
        <v>1654</v>
      </c>
    </row>
    <row r="2771" ht="15.75" customHeight="1">
      <c r="A2771" s="5" t="s">
        <v>1655</v>
      </c>
    </row>
    <row r="2772" ht="15.75" customHeight="1">
      <c r="A2772" s="5" t="s">
        <v>1656</v>
      </c>
    </row>
    <row r="2773" ht="15.75" customHeight="1">
      <c r="A2773" s="5" t="s">
        <v>1657</v>
      </c>
    </row>
    <row r="2774" ht="15.75" customHeight="1">
      <c r="A2774" s="5" t="s">
        <v>1658</v>
      </c>
    </row>
    <row r="2775" ht="15.75" customHeight="1">
      <c r="A2775" s="5" t="s">
        <v>1659</v>
      </c>
    </row>
    <row r="2776" ht="15.75" customHeight="1">
      <c r="A2776" s="5" t="s">
        <v>1660</v>
      </c>
    </row>
    <row r="2777" ht="15.75" customHeight="1">
      <c r="A2777" s="5" t="s">
        <v>1661</v>
      </c>
    </row>
    <row r="2778" ht="15.75" customHeight="1">
      <c r="A2778" s="5" t="s">
        <v>1662</v>
      </c>
    </row>
    <row r="2779" ht="15.75" customHeight="1">
      <c r="A2779" s="5" t="s">
        <v>1663</v>
      </c>
    </row>
    <row r="2780" ht="15.75" customHeight="1">
      <c r="A2780" s="5" t="s">
        <v>1664</v>
      </c>
    </row>
    <row r="2781" ht="15.75" customHeight="1">
      <c r="A2781" s="5" t="s">
        <v>1665</v>
      </c>
    </row>
    <row r="2782" ht="15.75" customHeight="1">
      <c r="A2782" s="5" t="s">
        <v>1666</v>
      </c>
    </row>
    <row r="2783" ht="15.75" customHeight="1">
      <c r="A2783" s="5" t="s">
        <v>1667</v>
      </c>
    </row>
    <row r="2784" ht="15.75" customHeight="1">
      <c r="A2784" s="5" t="s">
        <v>1668</v>
      </c>
    </row>
    <row r="2785" ht="15.75" customHeight="1">
      <c r="A2785" s="5" t="s">
        <v>1669</v>
      </c>
    </row>
    <row r="2786" ht="15.75" customHeight="1">
      <c r="A2786" s="5" t="s">
        <v>1670</v>
      </c>
    </row>
    <row r="2787" ht="15.75" customHeight="1">
      <c r="A2787" s="5" t="s">
        <v>1671</v>
      </c>
    </row>
    <row r="2788" ht="15.75" customHeight="1">
      <c r="A2788" s="5" t="s">
        <v>1672</v>
      </c>
    </row>
    <row r="2789" ht="15.75" customHeight="1">
      <c r="A2789" s="5" t="s">
        <v>1673</v>
      </c>
    </row>
    <row r="2790" ht="15.75" customHeight="1">
      <c r="A2790" s="5" t="s">
        <v>1674</v>
      </c>
    </row>
    <row r="2791" ht="15.75" customHeight="1">
      <c r="A2791" s="5" t="s">
        <v>1675</v>
      </c>
    </row>
    <row r="2792" ht="15.75" customHeight="1">
      <c r="A2792" s="5" t="s">
        <v>7665</v>
      </c>
    </row>
    <row r="2793" ht="15.75" customHeight="1">
      <c r="A2793" s="5" t="s">
        <v>1677</v>
      </c>
    </row>
    <row r="2794" ht="15.75" customHeight="1">
      <c r="A2794" s="5" t="s">
        <v>1678</v>
      </c>
    </row>
    <row r="2795" ht="15.75" customHeight="1">
      <c r="A2795" s="5" t="s">
        <v>1679</v>
      </c>
    </row>
    <row r="2796" ht="15.75" customHeight="1">
      <c r="A2796" s="5" t="s">
        <v>7666</v>
      </c>
    </row>
    <row r="2797" ht="15.75" customHeight="1">
      <c r="A2797" s="5" t="s">
        <v>1681</v>
      </c>
    </row>
    <row r="2798" ht="15.75" customHeight="1">
      <c r="A2798" s="5" t="s">
        <v>1682</v>
      </c>
    </row>
    <row r="2799" ht="15.75" customHeight="1">
      <c r="A2799" s="5" t="s">
        <v>1683</v>
      </c>
    </row>
    <row r="2800" ht="15.75" customHeight="1">
      <c r="A2800" s="5" t="s">
        <v>1684</v>
      </c>
    </row>
    <row r="2801" ht="15.75" customHeight="1">
      <c r="A2801" s="5" t="s">
        <v>1685</v>
      </c>
    </row>
    <row r="2802" ht="15.75" customHeight="1">
      <c r="A2802" s="5" t="s">
        <v>1686</v>
      </c>
    </row>
    <row r="2803" ht="15.75" customHeight="1">
      <c r="A2803" s="5" t="s">
        <v>1687</v>
      </c>
    </row>
    <row r="2804" ht="15.75" customHeight="1">
      <c r="A2804" s="5" t="s">
        <v>1688</v>
      </c>
    </row>
    <row r="2805" ht="15.75" customHeight="1">
      <c r="A2805" s="5" t="s">
        <v>1689</v>
      </c>
    </row>
    <row r="2806" ht="15.75" customHeight="1">
      <c r="A2806" s="5" t="s">
        <v>1690</v>
      </c>
    </row>
    <row r="2807" ht="15.75" customHeight="1">
      <c r="A2807" s="5" t="s">
        <v>1691</v>
      </c>
    </row>
    <row r="2808" ht="15.75" customHeight="1">
      <c r="A2808" s="5" t="s">
        <v>1692</v>
      </c>
    </row>
    <row r="2809" ht="15.75" customHeight="1">
      <c r="A2809" s="5" t="s">
        <v>1693</v>
      </c>
    </row>
    <row r="2810" ht="15.75" customHeight="1">
      <c r="A2810" s="5" t="s">
        <v>7667</v>
      </c>
    </row>
    <row r="2811" ht="15.75" customHeight="1">
      <c r="A2811" s="5" t="s">
        <v>1695</v>
      </c>
    </row>
    <row r="2812" ht="15.75" customHeight="1">
      <c r="A2812" s="5" t="s">
        <v>1696</v>
      </c>
    </row>
    <row r="2813" ht="15.75" customHeight="1">
      <c r="A2813" s="5" t="s">
        <v>1697</v>
      </c>
    </row>
    <row r="2814" ht="15.75" customHeight="1">
      <c r="A2814" s="5" t="s">
        <v>1698</v>
      </c>
    </row>
    <row r="2815" ht="15.75" customHeight="1">
      <c r="A2815" s="5" t="s">
        <v>1699</v>
      </c>
    </row>
    <row r="2816" ht="15.75" customHeight="1">
      <c r="A2816" s="5" t="s">
        <v>1700</v>
      </c>
    </row>
    <row r="2817" ht="15.75" customHeight="1">
      <c r="A2817" s="5" t="s">
        <v>1701</v>
      </c>
    </row>
    <row r="2818" ht="15.75" customHeight="1">
      <c r="A2818" s="5" t="s">
        <v>1702</v>
      </c>
    </row>
    <row r="2819" ht="15.75" customHeight="1">
      <c r="A2819" s="5" t="s">
        <v>1703</v>
      </c>
    </row>
    <row r="2820" ht="15.75" customHeight="1">
      <c r="A2820" s="5" t="s">
        <v>1704</v>
      </c>
    </row>
    <row r="2821" ht="15.75" customHeight="1">
      <c r="A2821" s="5" t="s">
        <v>1705</v>
      </c>
    </row>
    <row r="2822" ht="15.75" customHeight="1">
      <c r="A2822" s="5" t="s">
        <v>1706</v>
      </c>
    </row>
    <row r="2823" ht="15.75" customHeight="1">
      <c r="A2823" s="5" t="s">
        <v>7668</v>
      </c>
    </row>
    <row r="2824" ht="15.75" customHeight="1">
      <c r="A2824" s="5" t="s">
        <v>7669</v>
      </c>
    </row>
    <row r="2825" ht="15.75" customHeight="1">
      <c r="A2825" s="5" t="s">
        <v>1709</v>
      </c>
    </row>
    <row r="2826" ht="15.75" customHeight="1">
      <c r="A2826" s="5" t="s">
        <v>1710</v>
      </c>
    </row>
    <row r="2827" ht="15.75" customHeight="1">
      <c r="A2827" s="5" t="s">
        <v>1711</v>
      </c>
    </row>
    <row r="2828" ht="15.75" customHeight="1">
      <c r="A2828" s="5" t="s">
        <v>7670</v>
      </c>
    </row>
    <row r="2829" ht="15.75" customHeight="1">
      <c r="A2829" s="5" t="s">
        <v>7671</v>
      </c>
    </row>
    <row r="2830" ht="15.75" customHeight="1">
      <c r="A2830" s="5" t="s">
        <v>1714</v>
      </c>
    </row>
    <row r="2831" ht="15.75" customHeight="1">
      <c r="A2831" s="5" t="s">
        <v>1715</v>
      </c>
    </row>
    <row r="2832" ht="15.75" customHeight="1">
      <c r="A2832" s="5" t="s">
        <v>1716</v>
      </c>
    </row>
    <row r="2833" ht="15.75" customHeight="1">
      <c r="A2833" s="5" t="s">
        <v>1717</v>
      </c>
    </row>
    <row r="2834" ht="15.75" customHeight="1">
      <c r="A2834" s="5" t="s">
        <v>7672</v>
      </c>
    </row>
    <row r="2835" ht="15.75" customHeight="1">
      <c r="A2835" s="5" t="s">
        <v>7673</v>
      </c>
    </row>
    <row r="2836" ht="15.75" customHeight="1">
      <c r="A2836" s="5" t="s">
        <v>1720</v>
      </c>
    </row>
    <row r="2837" ht="15.75" customHeight="1">
      <c r="A2837" s="5" t="s">
        <v>7674</v>
      </c>
    </row>
    <row r="2838" ht="15.75" customHeight="1">
      <c r="A2838" s="5" t="s">
        <v>7675</v>
      </c>
    </row>
    <row r="2839" ht="15.75" customHeight="1">
      <c r="A2839" s="5" t="s">
        <v>1723</v>
      </c>
    </row>
    <row r="2840" ht="15.75" customHeight="1">
      <c r="A2840" s="5" t="s">
        <v>1724</v>
      </c>
    </row>
    <row r="2841" ht="15.75" customHeight="1">
      <c r="A2841" s="5" t="s">
        <v>1725</v>
      </c>
    </row>
    <row r="2842" ht="15.75" customHeight="1">
      <c r="A2842" s="5" t="s">
        <v>1726</v>
      </c>
    </row>
    <row r="2843" ht="15.75" customHeight="1">
      <c r="A2843" s="5" t="s">
        <v>1727</v>
      </c>
    </row>
    <row r="2844" ht="15.75" customHeight="1">
      <c r="A2844" s="5" t="s">
        <v>1728</v>
      </c>
    </row>
    <row r="2845" ht="15.75" customHeight="1">
      <c r="A2845" s="5" t="s">
        <v>1729</v>
      </c>
    </row>
    <row r="2846" ht="15.75" customHeight="1">
      <c r="A2846" s="5" t="s">
        <v>1730</v>
      </c>
    </row>
    <row r="2847" ht="15.75" customHeight="1">
      <c r="A2847" s="5" t="s">
        <v>7676</v>
      </c>
    </row>
    <row r="2848" ht="15.75" customHeight="1">
      <c r="A2848" s="5" t="s">
        <v>7677</v>
      </c>
    </row>
    <row r="2849" ht="15.75" customHeight="1">
      <c r="A2849" s="5" t="s">
        <v>7678</v>
      </c>
    </row>
    <row r="2850" ht="15.75" customHeight="1">
      <c r="A2850" s="5" t="s">
        <v>7679</v>
      </c>
    </row>
    <row r="2851" ht="15.75" customHeight="1">
      <c r="A2851" s="5" t="s">
        <v>7680</v>
      </c>
    </row>
    <row r="2852" ht="15.75" customHeight="1">
      <c r="A2852" s="5" t="s">
        <v>7681</v>
      </c>
    </row>
    <row r="2853" ht="15.75" customHeight="1">
      <c r="A2853" s="5" t="s">
        <v>7682</v>
      </c>
    </row>
    <row r="2854" ht="15.75" customHeight="1">
      <c r="A2854" s="5" t="s">
        <v>1738</v>
      </c>
    </row>
    <row r="2855" ht="15.75" customHeight="1">
      <c r="A2855" s="5" t="s">
        <v>1739</v>
      </c>
    </row>
    <row r="2856" ht="15.75" customHeight="1">
      <c r="A2856" s="5" t="s">
        <v>1740</v>
      </c>
    </row>
    <row r="2857" ht="15.75" customHeight="1">
      <c r="A2857" s="5" t="s">
        <v>1741</v>
      </c>
    </row>
    <row r="2858" ht="15.75" customHeight="1">
      <c r="A2858" s="5" t="s">
        <v>1742</v>
      </c>
    </row>
    <row r="2859" ht="15.75" customHeight="1">
      <c r="A2859" s="5" t="s">
        <v>1743</v>
      </c>
    </row>
    <row r="2860" ht="15.75" customHeight="1">
      <c r="A2860" s="5" t="s">
        <v>1744</v>
      </c>
    </row>
    <row r="2861" ht="15.75" customHeight="1">
      <c r="A2861" s="5" t="s">
        <v>1745</v>
      </c>
    </row>
    <row r="2862" ht="15.75" customHeight="1">
      <c r="A2862" s="5" t="s">
        <v>7683</v>
      </c>
    </row>
    <row r="2863" ht="15.75" customHeight="1">
      <c r="A2863" s="5" t="s">
        <v>7684</v>
      </c>
    </row>
    <row r="2864" ht="15.75" customHeight="1">
      <c r="A2864" s="5" t="s">
        <v>1748</v>
      </c>
    </row>
    <row r="2865" ht="15.75" customHeight="1">
      <c r="A2865" s="5" t="s">
        <v>1749</v>
      </c>
    </row>
    <row r="2866" ht="15.75" customHeight="1">
      <c r="A2866" s="5" t="s">
        <v>1750</v>
      </c>
    </row>
    <row r="2867" ht="15.75" customHeight="1">
      <c r="A2867" s="5" t="s">
        <v>1751</v>
      </c>
    </row>
    <row r="2868" ht="15.75" customHeight="1">
      <c r="A2868" s="5" t="s">
        <v>1752</v>
      </c>
    </row>
    <row r="2869" ht="15.75" customHeight="1">
      <c r="A2869" s="5" t="s">
        <v>1753</v>
      </c>
    </row>
    <row r="2870" ht="15.75" customHeight="1">
      <c r="A2870" s="5" t="s">
        <v>1754</v>
      </c>
    </row>
    <row r="2871" ht="15.75" customHeight="1">
      <c r="A2871" s="5" t="s">
        <v>1755</v>
      </c>
    </row>
    <row r="2872" ht="15.75" customHeight="1">
      <c r="A2872" s="5" t="s">
        <v>1756</v>
      </c>
    </row>
    <row r="2873" ht="15.75" customHeight="1">
      <c r="A2873" s="5" t="s">
        <v>7685</v>
      </c>
    </row>
    <row r="2874" ht="15.75" customHeight="1">
      <c r="A2874" s="5" t="s">
        <v>7686</v>
      </c>
    </row>
    <row r="2875" ht="15.75" customHeight="1">
      <c r="A2875" s="5" t="s">
        <v>1759</v>
      </c>
    </row>
    <row r="2876" ht="15.75" customHeight="1">
      <c r="A2876" s="5" t="s">
        <v>1760</v>
      </c>
    </row>
    <row r="2877" ht="15.75" customHeight="1">
      <c r="A2877" s="5" t="s">
        <v>1761</v>
      </c>
    </row>
    <row r="2878" ht="15.75" customHeight="1">
      <c r="A2878" s="5" t="s">
        <v>1762</v>
      </c>
    </row>
    <row r="2879" ht="15.75" customHeight="1">
      <c r="A2879" s="5" t="s">
        <v>1763</v>
      </c>
    </row>
    <row r="2880" ht="15.75" customHeight="1">
      <c r="A2880" s="5" t="s">
        <v>1764</v>
      </c>
    </row>
    <row r="2881" ht="15.75" customHeight="1">
      <c r="A2881" s="5" t="s">
        <v>1765</v>
      </c>
    </row>
    <row r="2882" ht="15.75" customHeight="1">
      <c r="A2882" s="5" t="s">
        <v>1766</v>
      </c>
    </row>
    <row r="2883" ht="15.75" customHeight="1">
      <c r="A2883" s="5" t="s">
        <v>1767</v>
      </c>
    </row>
    <row r="2884" ht="15.75" customHeight="1">
      <c r="A2884" s="5" t="s">
        <v>1768</v>
      </c>
    </row>
    <row r="2885" ht="15.75" customHeight="1">
      <c r="A2885" s="5" t="s">
        <v>1769</v>
      </c>
    </row>
    <row r="2886" ht="15.75" customHeight="1">
      <c r="A2886" s="5" t="s">
        <v>1770</v>
      </c>
    </row>
    <row r="2887" ht="15.75" customHeight="1">
      <c r="A2887" s="5" t="s">
        <v>1771</v>
      </c>
    </row>
    <row r="2888" ht="15.75" customHeight="1">
      <c r="A2888" s="5" t="s">
        <v>1772</v>
      </c>
    </row>
    <row r="2889" ht="15.75" customHeight="1">
      <c r="A2889" s="5" t="s">
        <v>1773</v>
      </c>
    </row>
    <row r="2890" ht="15.75" customHeight="1">
      <c r="A2890" s="5" t="s">
        <v>1774</v>
      </c>
    </row>
    <row r="2891" ht="15.75" customHeight="1">
      <c r="A2891" s="5" t="s">
        <v>1775</v>
      </c>
    </row>
    <row r="2892" ht="15.75" customHeight="1">
      <c r="A2892" s="5" t="s">
        <v>1776</v>
      </c>
    </row>
    <row r="2893" ht="15.75" customHeight="1">
      <c r="A2893" s="5" t="s">
        <v>7687</v>
      </c>
    </row>
    <row r="2894" ht="15.75" customHeight="1">
      <c r="A2894" s="5" t="s">
        <v>1778</v>
      </c>
    </row>
    <row r="2895" ht="15.75" customHeight="1">
      <c r="A2895" s="5" t="s">
        <v>1779</v>
      </c>
    </row>
    <row r="2896" ht="15.75" customHeight="1">
      <c r="A2896" s="5" t="s">
        <v>7688</v>
      </c>
    </row>
    <row r="2897" ht="15.75" customHeight="1">
      <c r="A2897" s="5" t="s">
        <v>1781</v>
      </c>
    </row>
    <row r="2898" ht="15.75" customHeight="1">
      <c r="A2898" s="5" t="s">
        <v>1782</v>
      </c>
    </row>
    <row r="2899" ht="15.75" customHeight="1">
      <c r="A2899" s="5" t="s">
        <v>1783</v>
      </c>
    </row>
    <row r="2900" ht="15.75" customHeight="1">
      <c r="A2900" s="5" t="s">
        <v>1784</v>
      </c>
    </row>
    <row r="2901" ht="15.75" customHeight="1">
      <c r="A2901" s="5" t="s">
        <v>1785</v>
      </c>
    </row>
    <row r="2902" ht="15.75" customHeight="1">
      <c r="A2902" s="5" t="s">
        <v>1786</v>
      </c>
    </row>
    <row r="2903" ht="15.75" customHeight="1">
      <c r="A2903" s="5" t="s">
        <v>7689</v>
      </c>
    </row>
    <row r="2904" ht="15.75" customHeight="1">
      <c r="A2904" s="5" t="s">
        <v>7690</v>
      </c>
    </row>
    <row r="2905" ht="15.75" customHeight="1">
      <c r="A2905" s="5" t="s">
        <v>1789</v>
      </c>
    </row>
    <row r="2906" ht="15.75" customHeight="1">
      <c r="A2906" s="5" t="s">
        <v>1790</v>
      </c>
    </row>
    <row r="2907" ht="15.75" customHeight="1">
      <c r="A2907" s="5" t="s">
        <v>7691</v>
      </c>
    </row>
    <row r="2908" ht="15.75" customHeight="1">
      <c r="A2908" s="5" t="s">
        <v>7692</v>
      </c>
    </row>
    <row r="2909" ht="15.75" customHeight="1">
      <c r="A2909" s="5" t="s">
        <v>1793</v>
      </c>
    </row>
    <row r="2910" ht="15.75" customHeight="1">
      <c r="A2910" s="5" t="s">
        <v>1794</v>
      </c>
    </row>
    <row r="2911" ht="15.75" customHeight="1">
      <c r="A2911" s="5" t="s">
        <v>7693</v>
      </c>
    </row>
    <row r="2912" ht="15.75" customHeight="1">
      <c r="A2912" s="5" t="s">
        <v>7694</v>
      </c>
    </row>
    <row r="2913" ht="15.75" customHeight="1">
      <c r="A2913" s="5" t="s">
        <v>7695</v>
      </c>
    </row>
    <row r="2914" ht="15.75" customHeight="1">
      <c r="A2914" s="5" t="s">
        <v>1798</v>
      </c>
    </row>
    <row r="2915" ht="15.75" customHeight="1">
      <c r="A2915" s="5" t="s">
        <v>1799</v>
      </c>
    </row>
    <row r="2916" ht="15.75" customHeight="1">
      <c r="A2916" s="5" t="s">
        <v>1800</v>
      </c>
    </row>
    <row r="2917" ht="15.75" customHeight="1">
      <c r="A2917" s="5" t="s">
        <v>1801</v>
      </c>
    </row>
    <row r="2918" ht="15.75" customHeight="1">
      <c r="A2918" s="5" t="s">
        <v>1802</v>
      </c>
    </row>
    <row r="2919" ht="15.75" customHeight="1">
      <c r="A2919" s="5" t="s">
        <v>1803</v>
      </c>
    </row>
    <row r="2920" ht="15.75" customHeight="1">
      <c r="A2920" s="5" t="s">
        <v>1804</v>
      </c>
    </row>
    <row r="2921" ht="15.75" customHeight="1">
      <c r="A2921" s="5" t="s">
        <v>7696</v>
      </c>
    </row>
    <row r="2922" ht="15.75" customHeight="1">
      <c r="A2922" s="5" t="s">
        <v>1806</v>
      </c>
    </row>
    <row r="2923" ht="15.75" customHeight="1">
      <c r="A2923" s="5" t="s">
        <v>1807</v>
      </c>
    </row>
    <row r="2924" ht="15.75" customHeight="1">
      <c r="A2924" s="5" t="s">
        <v>1808</v>
      </c>
    </row>
    <row r="2925" ht="15.75" customHeight="1">
      <c r="A2925" s="5" t="s">
        <v>7697</v>
      </c>
    </row>
    <row r="2926" ht="15.75" customHeight="1">
      <c r="A2926" s="5" t="s">
        <v>1810</v>
      </c>
    </row>
    <row r="2927" ht="15.75" customHeight="1">
      <c r="A2927" s="5" t="s">
        <v>7698</v>
      </c>
    </row>
    <row r="2928" ht="15.75" customHeight="1">
      <c r="A2928" s="5" t="s">
        <v>7699</v>
      </c>
    </row>
    <row r="2929" ht="15.75" customHeight="1">
      <c r="A2929" s="5" t="s">
        <v>7700</v>
      </c>
    </row>
    <row r="2930" ht="15.75" customHeight="1">
      <c r="A2930" s="5" t="s">
        <v>7701</v>
      </c>
    </row>
    <row r="2931" ht="15.75" customHeight="1">
      <c r="A2931" s="5" t="s">
        <v>7702</v>
      </c>
    </row>
    <row r="2932" ht="15.75" customHeight="1">
      <c r="A2932" s="5" t="s">
        <v>1816</v>
      </c>
    </row>
    <row r="2933" ht="15.75" customHeight="1">
      <c r="A2933" s="5" t="s">
        <v>1817</v>
      </c>
    </row>
    <row r="2934" ht="15.75" customHeight="1">
      <c r="A2934" s="5" t="s">
        <v>1818</v>
      </c>
    </row>
    <row r="2935" ht="15.75" customHeight="1">
      <c r="A2935" s="5" t="s">
        <v>7703</v>
      </c>
    </row>
    <row r="2936" ht="15.75" customHeight="1">
      <c r="A2936" s="5" t="s">
        <v>1820</v>
      </c>
    </row>
    <row r="2937" ht="15.75" customHeight="1">
      <c r="A2937" s="5" t="s">
        <v>1821</v>
      </c>
    </row>
    <row r="2938" ht="15.75" customHeight="1">
      <c r="A2938" s="5" t="s">
        <v>7704</v>
      </c>
    </row>
    <row r="2939" ht="15.75" customHeight="1">
      <c r="A2939" s="5" t="s">
        <v>1823</v>
      </c>
    </row>
    <row r="2940" ht="15.75" customHeight="1">
      <c r="A2940" s="5" t="s">
        <v>1824</v>
      </c>
    </row>
    <row r="2941" ht="15.75" customHeight="1">
      <c r="A2941" s="5" t="s">
        <v>1825</v>
      </c>
    </row>
    <row r="2942" ht="15.75" customHeight="1">
      <c r="A2942" s="5" t="s">
        <v>1826</v>
      </c>
    </row>
    <row r="2943" ht="15.75" customHeight="1">
      <c r="A2943" s="5" t="s">
        <v>1827</v>
      </c>
    </row>
    <row r="2944" ht="15.75" customHeight="1">
      <c r="A2944" s="5" t="s">
        <v>1828</v>
      </c>
    </row>
    <row r="2945" ht="15.75" customHeight="1">
      <c r="A2945" s="5" t="s">
        <v>1829</v>
      </c>
    </row>
    <row r="2946" ht="15.75" customHeight="1">
      <c r="A2946" s="5" t="s">
        <v>1830</v>
      </c>
    </row>
    <row r="2947" ht="15.75" customHeight="1">
      <c r="A2947" s="5" t="s">
        <v>1831</v>
      </c>
    </row>
    <row r="2948" ht="15.75" customHeight="1">
      <c r="A2948" s="5" t="s">
        <v>1832</v>
      </c>
    </row>
    <row r="2949" ht="15.75" customHeight="1">
      <c r="A2949" s="5" t="s">
        <v>1833</v>
      </c>
    </row>
    <row r="2950" ht="15.75" customHeight="1">
      <c r="A2950" s="5" t="s">
        <v>1834</v>
      </c>
    </row>
    <row r="2951" ht="15.75" customHeight="1">
      <c r="A2951" s="5" t="s">
        <v>1835</v>
      </c>
    </row>
    <row r="2952" ht="15.75" customHeight="1">
      <c r="A2952" s="5" t="s">
        <v>1836</v>
      </c>
    </row>
    <row r="2953" ht="15.75" customHeight="1">
      <c r="A2953" s="5" t="s">
        <v>1837</v>
      </c>
    </row>
    <row r="2954" ht="15.75" customHeight="1">
      <c r="A2954" s="5" t="s">
        <v>1838</v>
      </c>
    </row>
    <row r="2955" ht="15.75" customHeight="1">
      <c r="A2955" s="5" t="s">
        <v>1839</v>
      </c>
    </row>
    <row r="2956" ht="15.75" customHeight="1">
      <c r="A2956" s="5" t="s">
        <v>1840</v>
      </c>
    </row>
    <row r="2957" ht="15.75" customHeight="1">
      <c r="A2957" s="5" t="s">
        <v>1841</v>
      </c>
    </row>
    <row r="2958" ht="15.75" customHeight="1">
      <c r="A2958" s="5" t="s">
        <v>1842</v>
      </c>
    </row>
    <row r="2959" ht="15.75" customHeight="1">
      <c r="A2959" s="5" t="s">
        <v>1843</v>
      </c>
    </row>
    <row r="2960" ht="15.75" customHeight="1">
      <c r="A2960" s="5" t="s">
        <v>1844</v>
      </c>
    </row>
    <row r="2961" ht="15.75" customHeight="1">
      <c r="A2961" s="5" t="s">
        <v>1845</v>
      </c>
    </row>
    <row r="2962" ht="15.75" customHeight="1">
      <c r="A2962" s="5" t="s">
        <v>1846</v>
      </c>
    </row>
    <row r="2963" ht="15.75" customHeight="1">
      <c r="A2963" s="5" t="s">
        <v>1847</v>
      </c>
    </row>
    <row r="2964" ht="15.75" customHeight="1">
      <c r="A2964" s="5" t="s">
        <v>1848</v>
      </c>
    </row>
    <row r="2965" ht="15.75" customHeight="1">
      <c r="A2965" s="5" t="s">
        <v>1849</v>
      </c>
    </row>
    <row r="2966" ht="15.75" customHeight="1">
      <c r="A2966" s="5" t="s">
        <v>1850</v>
      </c>
    </row>
    <row r="2967" ht="15.75" customHeight="1">
      <c r="A2967" s="5" t="s">
        <v>7705</v>
      </c>
    </row>
    <row r="2968" ht="15.75" customHeight="1">
      <c r="A2968" s="5" t="s">
        <v>1852</v>
      </c>
    </row>
    <row r="2969" ht="15.75" customHeight="1">
      <c r="A2969" s="5" t="s">
        <v>1853</v>
      </c>
    </row>
    <row r="2970" ht="15.75" customHeight="1">
      <c r="A2970" s="5" t="s">
        <v>1854</v>
      </c>
    </row>
    <row r="2971" ht="15.75" customHeight="1">
      <c r="A2971" s="5" t="s">
        <v>1855</v>
      </c>
    </row>
    <row r="2972" ht="15.75" customHeight="1">
      <c r="A2972" s="5" t="s">
        <v>1856</v>
      </c>
    </row>
    <row r="2973" ht="15.75" customHeight="1">
      <c r="A2973" s="5" t="s">
        <v>1857</v>
      </c>
    </row>
    <row r="2974" ht="15.75" customHeight="1">
      <c r="A2974" s="5" t="s">
        <v>1858</v>
      </c>
    </row>
    <row r="2975" ht="15.75" customHeight="1">
      <c r="A2975" s="5" t="s">
        <v>7706</v>
      </c>
    </row>
    <row r="2976" ht="15.75" customHeight="1">
      <c r="A2976" s="5" t="s">
        <v>1860</v>
      </c>
    </row>
    <row r="2977" ht="15.75" customHeight="1">
      <c r="A2977" s="5" t="s">
        <v>1861</v>
      </c>
    </row>
    <row r="2978" ht="15.75" customHeight="1">
      <c r="A2978" s="5" t="s">
        <v>1862</v>
      </c>
    </row>
    <row r="2979" ht="15.75" customHeight="1">
      <c r="A2979" s="5" t="s">
        <v>1863</v>
      </c>
    </row>
    <row r="2980" ht="15.75" customHeight="1">
      <c r="A2980" s="5" t="s">
        <v>7707</v>
      </c>
    </row>
    <row r="2981" ht="15.75" customHeight="1">
      <c r="A2981" s="5" t="s">
        <v>1865</v>
      </c>
    </row>
    <row r="2982" ht="15.75" customHeight="1">
      <c r="A2982" s="5" t="s">
        <v>1866</v>
      </c>
    </row>
    <row r="2983" ht="15.75" customHeight="1">
      <c r="A2983" s="5" t="s">
        <v>1867</v>
      </c>
    </row>
    <row r="2984" ht="15.75" customHeight="1">
      <c r="A2984" s="5" t="s">
        <v>1868</v>
      </c>
    </row>
    <row r="2985" ht="15.75" customHeight="1">
      <c r="A2985" s="5" t="s">
        <v>1869</v>
      </c>
    </row>
    <row r="2986" ht="15.75" customHeight="1">
      <c r="A2986" s="5" t="s">
        <v>7708</v>
      </c>
    </row>
    <row r="2987" ht="15.75" customHeight="1">
      <c r="A2987" s="5" t="s">
        <v>1871</v>
      </c>
    </row>
    <row r="2988" ht="15.75" customHeight="1">
      <c r="A2988" s="5" t="s">
        <v>7709</v>
      </c>
    </row>
    <row r="2989" ht="15.75" customHeight="1">
      <c r="A2989" s="5" t="s">
        <v>1873</v>
      </c>
    </row>
    <row r="2990" ht="15.75" customHeight="1">
      <c r="A2990" s="5" t="s">
        <v>1874</v>
      </c>
    </row>
    <row r="2991" ht="15.75" customHeight="1">
      <c r="A2991" s="5" t="s">
        <v>7710</v>
      </c>
    </row>
    <row r="2992" ht="15.75" customHeight="1">
      <c r="A2992" s="5" t="s">
        <v>1876</v>
      </c>
    </row>
    <row r="2993" ht="15.75" customHeight="1">
      <c r="A2993" s="5" t="s">
        <v>1877</v>
      </c>
    </row>
    <row r="2994" ht="15.75" customHeight="1">
      <c r="A2994" s="5" t="s">
        <v>1878</v>
      </c>
    </row>
    <row r="2995" ht="15.75" customHeight="1">
      <c r="A2995" s="5" t="s">
        <v>1879</v>
      </c>
    </row>
    <row r="2996" ht="15.75" customHeight="1">
      <c r="A2996" s="5" t="s">
        <v>1880</v>
      </c>
    </row>
    <row r="2997" ht="15.75" customHeight="1">
      <c r="A2997" s="5" t="s">
        <v>1881</v>
      </c>
    </row>
    <row r="2998" ht="15.75" customHeight="1">
      <c r="A2998" s="5" t="s">
        <v>1882</v>
      </c>
    </row>
    <row r="2999" ht="15.75" customHeight="1">
      <c r="A2999" s="5" t="s">
        <v>1883</v>
      </c>
    </row>
    <row r="3000" ht="15.75" customHeight="1">
      <c r="A3000" s="5" t="s">
        <v>1884</v>
      </c>
    </row>
    <row r="3001" ht="15.75" customHeight="1">
      <c r="A3001" s="5" t="s">
        <v>1885</v>
      </c>
    </row>
    <row r="3002" ht="15.75" customHeight="1">
      <c r="A3002" s="5" t="s">
        <v>1886</v>
      </c>
    </row>
    <row r="3003" ht="15.75" customHeight="1">
      <c r="A3003" s="5" t="s">
        <v>1887</v>
      </c>
    </row>
    <row r="3004" ht="15.75" customHeight="1">
      <c r="A3004" s="5" t="s">
        <v>1888</v>
      </c>
    </row>
    <row r="3005" ht="15.75" customHeight="1">
      <c r="A3005" s="5" t="s">
        <v>1889</v>
      </c>
    </row>
    <row r="3006" ht="15.75" customHeight="1">
      <c r="A3006" s="5" t="s">
        <v>1890</v>
      </c>
    </row>
    <row r="3007" ht="15.75" customHeight="1">
      <c r="A3007" s="5" t="s">
        <v>1891</v>
      </c>
    </row>
    <row r="3008" ht="15.75" customHeight="1">
      <c r="A3008" s="5" t="s">
        <v>1892</v>
      </c>
    </row>
    <row r="3009" ht="15.75" customHeight="1">
      <c r="A3009" s="5" t="s">
        <v>1893</v>
      </c>
    </row>
    <row r="3010" ht="15.75" customHeight="1">
      <c r="A3010" s="5" t="s">
        <v>1894</v>
      </c>
    </row>
    <row r="3011" ht="15.75" customHeight="1">
      <c r="A3011" s="5" t="s">
        <v>1895</v>
      </c>
    </row>
    <row r="3012" ht="15.75" customHeight="1">
      <c r="A3012" s="5" t="s">
        <v>1896</v>
      </c>
    </row>
    <row r="3013" ht="15.75" customHeight="1">
      <c r="A3013" s="5" t="s">
        <v>1897</v>
      </c>
    </row>
    <row r="3014" ht="15.75" customHeight="1">
      <c r="A3014" s="5" t="s">
        <v>1898</v>
      </c>
    </row>
    <row r="3015" ht="15.75" customHeight="1">
      <c r="A3015" s="5" t="s">
        <v>1899</v>
      </c>
    </row>
    <row r="3016" ht="15.75" customHeight="1">
      <c r="A3016" s="5" t="s">
        <v>1900</v>
      </c>
    </row>
    <row r="3017" ht="15.75" customHeight="1">
      <c r="A3017" s="5" t="s">
        <v>1901</v>
      </c>
    </row>
    <row r="3018" ht="15.75" customHeight="1">
      <c r="A3018" s="5" t="s">
        <v>1902</v>
      </c>
    </row>
    <row r="3019" ht="15.75" customHeight="1">
      <c r="A3019" s="5" t="s">
        <v>1903</v>
      </c>
    </row>
    <row r="3020" ht="15.75" customHeight="1">
      <c r="A3020" s="5" t="s">
        <v>1904</v>
      </c>
    </row>
    <row r="3021" ht="15.75" customHeight="1">
      <c r="A3021" s="5" t="s">
        <v>1905</v>
      </c>
    </row>
    <row r="3022" ht="15.75" customHeight="1">
      <c r="A3022" s="5" t="s">
        <v>1906</v>
      </c>
    </row>
    <row r="3023" ht="15.75" customHeight="1">
      <c r="A3023" s="5" t="s">
        <v>1907</v>
      </c>
    </row>
    <row r="3024" ht="15.75" customHeight="1">
      <c r="A3024" s="5" t="s">
        <v>1908</v>
      </c>
    </row>
    <row r="3025" ht="15.75" customHeight="1">
      <c r="A3025" s="5" t="s">
        <v>1909</v>
      </c>
    </row>
    <row r="3026" ht="15.75" customHeight="1">
      <c r="A3026" s="5" t="s">
        <v>1910</v>
      </c>
    </row>
    <row r="3027" ht="15.75" customHeight="1">
      <c r="A3027" s="5" t="s">
        <v>7711</v>
      </c>
    </row>
    <row r="3028" ht="15.75" customHeight="1">
      <c r="A3028" s="5" t="s">
        <v>1912</v>
      </c>
    </row>
    <row r="3029" ht="15.75" customHeight="1">
      <c r="A3029" s="5" t="s">
        <v>1913</v>
      </c>
    </row>
    <row r="3030" ht="15.75" customHeight="1">
      <c r="A3030" s="5" t="s">
        <v>1914</v>
      </c>
    </row>
    <row r="3031" ht="15.75" customHeight="1">
      <c r="A3031" s="5" t="s">
        <v>1915</v>
      </c>
    </row>
    <row r="3032" ht="15.75" customHeight="1">
      <c r="A3032" s="5" t="s">
        <v>1916</v>
      </c>
    </row>
    <row r="3033" ht="15.75" customHeight="1">
      <c r="A3033" s="5" t="s">
        <v>1917</v>
      </c>
    </row>
    <row r="3034" ht="15.75" customHeight="1">
      <c r="A3034" s="5" t="s">
        <v>1918</v>
      </c>
    </row>
    <row r="3035" ht="15.75" customHeight="1">
      <c r="A3035" s="5" t="s">
        <v>1919</v>
      </c>
    </row>
    <row r="3036" ht="15.75" customHeight="1">
      <c r="A3036" s="5" t="s">
        <v>1920</v>
      </c>
    </row>
    <row r="3037" ht="15.75" customHeight="1">
      <c r="A3037" s="5" t="s">
        <v>1921</v>
      </c>
    </row>
    <row r="3038" ht="15.75" customHeight="1">
      <c r="A3038" s="5" t="s">
        <v>1922</v>
      </c>
    </row>
    <row r="3039" ht="15.75" customHeight="1">
      <c r="A3039" s="5" t="s">
        <v>1923</v>
      </c>
    </row>
    <row r="3040" ht="15.75" customHeight="1">
      <c r="A3040" s="5" t="s">
        <v>1924</v>
      </c>
    </row>
    <row r="3041" ht="15.75" customHeight="1">
      <c r="A3041" s="5" t="s">
        <v>1925</v>
      </c>
    </row>
    <row r="3042" ht="15.75" customHeight="1">
      <c r="A3042" s="5" t="s">
        <v>1926</v>
      </c>
    </row>
    <row r="3043" ht="15.75" customHeight="1">
      <c r="A3043" s="5" t="s">
        <v>1927</v>
      </c>
    </row>
    <row r="3044" ht="15.75" customHeight="1">
      <c r="A3044" s="5" t="s">
        <v>1928</v>
      </c>
    </row>
    <row r="3045" ht="15.75" customHeight="1">
      <c r="A3045" s="5" t="s">
        <v>1929</v>
      </c>
    </row>
    <row r="3046" ht="15.75" customHeight="1">
      <c r="A3046" s="5" t="s">
        <v>1930</v>
      </c>
    </row>
    <row r="3047" ht="15.75" customHeight="1">
      <c r="A3047" s="5" t="s">
        <v>1931</v>
      </c>
    </row>
    <row r="3048" ht="15.75" customHeight="1">
      <c r="A3048" s="5" t="s">
        <v>1932</v>
      </c>
    </row>
    <row r="3049" ht="15.75" customHeight="1">
      <c r="A3049" s="5" t="s">
        <v>1933</v>
      </c>
    </row>
    <row r="3050" ht="15.75" customHeight="1">
      <c r="A3050" s="5" t="s">
        <v>1934</v>
      </c>
    </row>
    <row r="3051" ht="15.75" customHeight="1">
      <c r="A3051" s="5" t="s">
        <v>1935</v>
      </c>
    </row>
    <row r="3052" ht="15.75" customHeight="1">
      <c r="A3052" s="5" t="s">
        <v>1936</v>
      </c>
    </row>
    <row r="3053" ht="15.75" customHeight="1">
      <c r="A3053" s="5" t="s">
        <v>1937</v>
      </c>
    </row>
    <row r="3054" ht="15.75" customHeight="1">
      <c r="A3054" s="5" t="s">
        <v>1938</v>
      </c>
    </row>
    <row r="3055" ht="15.75" customHeight="1">
      <c r="A3055" s="5" t="s">
        <v>1939</v>
      </c>
    </row>
    <row r="3056" ht="15.75" customHeight="1">
      <c r="A3056" s="5" t="s">
        <v>1940</v>
      </c>
    </row>
    <row r="3057" ht="15.75" customHeight="1">
      <c r="A3057" s="5" t="s">
        <v>1941</v>
      </c>
    </row>
    <row r="3058" ht="15.75" customHeight="1">
      <c r="A3058" s="5" t="s">
        <v>1942</v>
      </c>
    </row>
    <row r="3059" ht="15.75" customHeight="1">
      <c r="A3059" s="5" t="s">
        <v>1943</v>
      </c>
    </row>
    <row r="3060" ht="15.75" customHeight="1">
      <c r="A3060" s="5" t="s">
        <v>1944</v>
      </c>
    </row>
    <row r="3061" ht="15.75" customHeight="1">
      <c r="A3061" s="5" t="s">
        <v>1945</v>
      </c>
    </row>
    <row r="3062" ht="15.75" customHeight="1">
      <c r="A3062" s="5" t="s">
        <v>1946</v>
      </c>
    </row>
    <row r="3063" ht="15.75" customHeight="1">
      <c r="A3063" s="5" t="s">
        <v>1947</v>
      </c>
    </row>
    <row r="3064" ht="15.75" customHeight="1">
      <c r="A3064" s="5" t="s">
        <v>1948</v>
      </c>
    </row>
    <row r="3065" ht="15.75" customHeight="1">
      <c r="A3065" s="5" t="s">
        <v>1949</v>
      </c>
    </row>
    <row r="3066" ht="15.75" customHeight="1">
      <c r="A3066" s="5" t="s">
        <v>1950</v>
      </c>
    </row>
    <row r="3067" ht="15.75" customHeight="1">
      <c r="A3067" s="5" t="s">
        <v>1951</v>
      </c>
    </row>
    <row r="3068" ht="15.75" customHeight="1">
      <c r="A3068" s="5" t="s">
        <v>1952</v>
      </c>
    </row>
    <row r="3069" ht="15.75" customHeight="1">
      <c r="A3069" s="5" t="s">
        <v>1953</v>
      </c>
    </row>
    <row r="3070" ht="15.75" customHeight="1">
      <c r="A3070" s="5" t="s">
        <v>1954</v>
      </c>
    </row>
    <row r="3071" ht="15.75" customHeight="1">
      <c r="A3071" s="5" t="s">
        <v>1955</v>
      </c>
    </row>
    <row r="3072" ht="15.75" customHeight="1">
      <c r="A3072" s="5" t="s">
        <v>1956</v>
      </c>
    </row>
    <row r="3073" ht="15.75" customHeight="1">
      <c r="A3073" s="5" t="s">
        <v>1957</v>
      </c>
    </row>
    <row r="3074" ht="15.75" customHeight="1">
      <c r="A3074" s="5" t="s">
        <v>1958</v>
      </c>
    </row>
    <row r="3075" ht="15.75" customHeight="1">
      <c r="A3075" s="5" t="s">
        <v>7712</v>
      </c>
    </row>
    <row r="3076" ht="15.75" customHeight="1">
      <c r="A3076" s="5" t="s">
        <v>7713</v>
      </c>
    </row>
    <row r="3077" ht="15.75" customHeight="1">
      <c r="A3077" s="5" t="s">
        <v>1961</v>
      </c>
    </row>
    <row r="3078" ht="15.75" customHeight="1">
      <c r="A3078" s="5" t="s">
        <v>1962</v>
      </c>
    </row>
    <row r="3079" ht="15.75" customHeight="1">
      <c r="A3079" s="5" t="s">
        <v>7714</v>
      </c>
    </row>
    <row r="3080" ht="15.75" customHeight="1">
      <c r="A3080" s="5" t="s">
        <v>1964</v>
      </c>
    </row>
    <row r="3081" ht="15.75" customHeight="1">
      <c r="A3081" s="5" t="s">
        <v>1965</v>
      </c>
    </row>
    <row r="3082" ht="15.75" customHeight="1">
      <c r="A3082" s="5" t="s">
        <v>1966</v>
      </c>
    </row>
    <row r="3083" ht="15.75" customHeight="1">
      <c r="A3083" s="5" t="s">
        <v>1967</v>
      </c>
    </row>
    <row r="3084" ht="15.75" customHeight="1">
      <c r="A3084" s="5" t="s">
        <v>1968</v>
      </c>
    </row>
    <row r="3085" ht="15.75" customHeight="1">
      <c r="A3085" s="5" t="s">
        <v>1969</v>
      </c>
    </row>
    <row r="3086" ht="15.75" customHeight="1">
      <c r="A3086" s="5" t="s">
        <v>1970</v>
      </c>
    </row>
    <row r="3087" ht="15.75" customHeight="1">
      <c r="A3087" s="5" t="s">
        <v>1971</v>
      </c>
    </row>
    <row r="3088" ht="15.75" customHeight="1">
      <c r="A3088" s="5" t="s">
        <v>1972</v>
      </c>
    </row>
    <row r="3089" ht="15.75" customHeight="1">
      <c r="A3089" s="5" t="s">
        <v>1973</v>
      </c>
    </row>
    <row r="3090" ht="15.75" customHeight="1">
      <c r="A3090" s="5" t="s">
        <v>1974</v>
      </c>
    </row>
    <row r="3091" ht="15.75" customHeight="1">
      <c r="A3091" s="5" t="s">
        <v>7715</v>
      </c>
    </row>
    <row r="3092" ht="15.75" customHeight="1">
      <c r="A3092" s="5" t="s">
        <v>1976</v>
      </c>
    </row>
    <row r="3093" ht="15.75" customHeight="1">
      <c r="A3093" s="5" t="s">
        <v>1977</v>
      </c>
    </row>
    <row r="3094" ht="15.75" customHeight="1">
      <c r="A3094" s="5" t="s">
        <v>1978</v>
      </c>
    </row>
    <row r="3095" ht="15.75" customHeight="1">
      <c r="A3095" s="5" t="s">
        <v>1979</v>
      </c>
    </row>
    <row r="3096" ht="15.75" customHeight="1">
      <c r="A3096" s="5" t="s">
        <v>1980</v>
      </c>
    </row>
    <row r="3097" ht="15.75" customHeight="1">
      <c r="A3097" s="5" t="s">
        <v>1981</v>
      </c>
    </row>
    <row r="3098" ht="15.75" customHeight="1">
      <c r="A3098" s="5" t="s">
        <v>1982</v>
      </c>
    </row>
    <row r="3099" ht="15.75" customHeight="1">
      <c r="A3099" s="5" t="s">
        <v>1983</v>
      </c>
    </row>
    <row r="3100" ht="15.75" customHeight="1">
      <c r="A3100" s="5" t="s">
        <v>1984</v>
      </c>
    </row>
    <row r="3101" ht="15.75" customHeight="1">
      <c r="A3101" s="5" t="s">
        <v>1985</v>
      </c>
    </row>
    <row r="3102" ht="15.75" customHeight="1">
      <c r="A3102" s="5" t="s">
        <v>1986</v>
      </c>
    </row>
    <row r="3103" ht="15.75" customHeight="1">
      <c r="A3103" s="5" t="s">
        <v>1987</v>
      </c>
    </row>
    <row r="3104" ht="15.75" customHeight="1">
      <c r="A3104" s="5" t="s">
        <v>1988</v>
      </c>
    </row>
    <row r="3105" ht="15.75" customHeight="1">
      <c r="A3105" s="5" t="s">
        <v>1989</v>
      </c>
    </row>
    <row r="3106" ht="15.75" customHeight="1">
      <c r="A3106" s="5" t="s">
        <v>1990</v>
      </c>
    </row>
    <row r="3107" ht="15.75" customHeight="1">
      <c r="A3107" s="5" t="s">
        <v>1991</v>
      </c>
    </row>
    <row r="3108" ht="15.75" customHeight="1">
      <c r="A3108" s="5" t="s">
        <v>1992</v>
      </c>
    </row>
    <row r="3109" ht="15.75" customHeight="1">
      <c r="A3109" s="5" t="s">
        <v>1993</v>
      </c>
    </row>
    <row r="3110" ht="15.75" customHeight="1">
      <c r="A3110" s="5" t="s">
        <v>1994</v>
      </c>
    </row>
    <row r="3111" ht="15.75" customHeight="1">
      <c r="A3111" s="5" t="s">
        <v>1995</v>
      </c>
    </row>
    <row r="3112" ht="15.75" customHeight="1">
      <c r="A3112" s="5" t="s">
        <v>1996</v>
      </c>
    </row>
    <row r="3113" ht="15.75" customHeight="1">
      <c r="A3113" s="5" t="s">
        <v>1997</v>
      </c>
    </row>
    <row r="3114" ht="15.75" customHeight="1">
      <c r="A3114" s="5" t="s">
        <v>1998</v>
      </c>
    </row>
    <row r="3115" ht="15.75" customHeight="1">
      <c r="A3115" s="5" t="s">
        <v>1999</v>
      </c>
    </row>
    <row r="3116" ht="15.75" customHeight="1">
      <c r="A3116" s="5" t="s">
        <v>2000</v>
      </c>
    </row>
    <row r="3117" ht="15.75" customHeight="1">
      <c r="A3117" s="5" t="s">
        <v>2001</v>
      </c>
    </row>
    <row r="3118" ht="15.75" customHeight="1">
      <c r="A3118" s="5" t="s">
        <v>2002</v>
      </c>
    </row>
    <row r="3119" ht="15.75" customHeight="1">
      <c r="A3119" s="5" t="s">
        <v>2003</v>
      </c>
    </row>
    <row r="3120" ht="15.75" customHeight="1">
      <c r="A3120" s="5" t="s">
        <v>2004</v>
      </c>
    </row>
    <row r="3121" ht="15.75" customHeight="1">
      <c r="A3121" s="5" t="s">
        <v>2005</v>
      </c>
    </row>
    <row r="3122" ht="15.75" customHeight="1">
      <c r="A3122" s="5" t="s">
        <v>2006</v>
      </c>
    </row>
    <row r="3123" ht="15.75" customHeight="1">
      <c r="A3123" s="5" t="s">
        <v>7716</v>
      </c>
    </row>
    <row r="3124" ht="15.75" customHeight="1">
      <c r="A3124" s="5" t="s">
        <v>2008</v>
      </c>
    </row>
    <row r="3125" ht="15.75" customHeight="1">
      <c r="A3125" s="5" t="s">
        <v>2009</v>
      </c>
    </row>
    <row r="3126" ht="15.75" customHeight="1">
      <c r="A3126" s="5" t="s">
        <v>2010</v>
      </c>
    </row>
    <row r="3127" ht="15.75" customHeight="1">
      <c r="A3127" s="5" t="s">
        <v>2011</v>
      </c>
    </row>
    <row r="3128" ht="15.75" customHeight="1">
      <c r="A3128" s="5" t="s">
        <v>2012</v>
      </c>
    </row>
    <row r="3129" ht="15.75" customHeight="1">
      <c r="A3129" s="5" t="s">
        <v>2013</v>
      </c>
    </row>
    <row r="3130" ht="15.75" customHeight="1">
      <c r="A3130" s="5" t="s">
        <v>2014</v>
      </c>
    </row>
    <row r="3131" ht="15.75" customHeight="1">
      <c r="A3131" s="5" t="s">
        <v>2015</v>
      </c>
    </row>
    <row r="3132" ht="15.75" customHeight="1">
      <c r="A3132" s="5" t="s">
        <v>2016</v>
      </c>
    </row>
    <row r="3133" ht="15.75" customHeight="1">
      <c r="A3133" s="5" t="s">
        <v>2017</v>
      </c>
    </row>
    <row r="3134" ht="15.75" customHeight="1">
      <c r="A3134" s="5" t="s">
        <v>2018</v>
      </c>
    </row>
    <row r="3135" ht="15.75" customHeight="1">
      <c r="A3135" s="5" t="s">
        <v>2019</v>
      </c>
    </row>
    <row r="3136" ht="15.75" customHeight="1">
      <c r="A3136" s="5" t="s">
        <v>2020</v>
      </c>
    </row>
    <row r="3137" ht="15.75" customHeight="1">
      <c r="A3137" s="5" t="s">
        <v>2021</v>
      </c>
    </row>
    <row r="3138" ht="15.75" customHeight="1">
      <c r="A3138" s="5" t="s">
        <v>2022</v>
      </c>
    </row>
    <row r="3139" ht="15.75" customHeight="1">
      <c r="A3139" s="5" t="s">
        <v>2023</v>
      </c>
    </row>
    <row r="3140" ht="15.75" customHeight="1">
      <c r="A3140" s="5" t="s">
        <v>2024</v>
      </c>
    </row>
    <row r="3141" ht="15.75" customHeight="1">
      <c r="A3141" s="5" t="s">
        <v>2025</v>
      </c>
    </row>
    <row r="3142" ht="15.75" customHeight="1">
      <c r="A3142" s="5" t="s">
        <v>2026</v>
      </c>
    </row>
    <row r="3143" ht="15.75" customHeight="1">
      <c r="A3143" s="5" t="s">
        <v>2027</v>
      </c>
    </row>
    <row r="3144" ht="15.75" customHeight="1">
      <c r="A3144" s="5" t="s">
        <v>2028</v>
      </c>
    </row>
    <row r="3145" ht="15.75" customHeight="1">
      <c r="A3145" s="5" t="s">
        <v>2029</v>
      </c>
    </row>
    <row r="3146" ht="15.75" customHeight="1">
      <c r="A3146" s="5" t="s">
        <v>7717</v>
      </c>
    </row>
    <row r="3147" ht="15.75" customHeight="1">
      <c r="A3147" s="5" t="s">
        <v>2031</v>
      </c>
    </row>
    <row r="3148" ht="15.75" customHeight="1">
      <c r="A3148" s="5" t="s">
        <v>2032</v>
      </c>
    </row>
    <row r="3149" ht="15.75" customHeight="1">
      <c r="A3149" s="5" t="s">
        <v>2033</v>
      </c>
    </row>
    <row r="3150" ht="15.75" customHeight="1">
      <c r="A3150" s="5" t="s">
        <v>2034</v>
      </c>
    </row>
    <row r="3151" ht="15.75" customHeight="1">
      <c r="A3151" s="5" t="s">
        <v>7718</v>
      </c>
    </row>
    <row r="3152" ht="15.75" customHeight="1">
      <c r="A3152" s="5" t="s">
        <v>7719</v>
      </c>
    </row>
    <row r="3153" ht="15.75" customHeight="1">
      <c r="A3153" s="5" t="s">
        <v>2037</v>
      </c>
    </row>
    <row r="3154" ht="15.75" customHeight="1">
      <c r="A3154" s="5" t="s">
        <v>2038</v>
      </c>
    </row>
    <row r="3155" ht="15.75" customHeight="1">
      <c r="A3155" s="5" t="s">
        <v>2039</v>
      </c>
    </row>
    <row r="3156" ht="15.75" customHeight="1">
      <c r="A3156" s="5" t="s">
        <v>2040</v>
      </c>
    </row>
    <row r="3157" ht="15.75" customHeight="1">
      <c r="A3157" s="5" t="s">
        <v>2041</v>
      </c>
    </row>
    <row r="3158" ht="15.75" customHeight="1">
      <c r="A3158" s="5" t="s">
        <v>2042</v>
      </c>
    </row>
    <row r="3159" ht="15.75" customHeight="1">
      <c r="A3159" s="5" t="s">
        <v>2043</v>
      </c>
    </row>
    <row r="3160" ht="15.75" customHeight="1">
      <c r="A3160" s="5" t="s">
        <v>2044</v>
      </c>
    </row>
    <row r="3161" ht="15.75" customHeight="1">
      <c r="A3161" s="5" t="s">
        <v>2045</v>
      </c>
    </row>
    <row r="3162" ht="15.75" customHeight="1">
      <c r="A3162" s="5" t="s">
        <v>2046</v>
      </c>
    </row>
    <row r="3163" ht="15.75" customHeight="1">
      <c r="A3163" s="5" t="s">
        <v>2047</v>
      </c>
    </row>
    <row r="3164" ht="15.75" customHeight="1">
      <c r="A3164" s="5" t="s">
        <v>2048</v>
      </c>
    </row>
    <row r="3165" ht="15.75" customHeight="1">
      <c r="A3165" s="5" t="s">
        <v>2049</v>
      </c>
    </row>
    <row r="3166" ht="15.75" customHeight="1">
      <c r="A3166" s="5" t="s">
        <v>2050</v>
      </c>
    </row>
    <row r="3167" ht="15.75" customHeight="1">
      <c r="A3167" s="5" t="s">
        <v>2051</v>
      </c>
    </row>
    <row r="3168" ht="15.75" customHeight="1">
      <c r="A3168" s="5" t="s">
        <v>2052</v>
      </c>
    </row>
    <row r="3169" ht="15.75" customHeight="1">
      <c r="A3169" s="5" t="s">
        <v>2053</v>
      </c>
    </row>
    <row r="3170" ht="15.75" customHeight="1">
      <c r="A3170" s="5" t="s">
        <v>2054</v>
      </c>
    </row>
    <row r="3171" ht="15.75" customHeight="1">
      <c r="A3171" s="5" t="s">
        <v>2055</v>
      </c>
    </row>
    <row r="3172" ht="15.75" customHeight="1">
      <c r="A3172" s="5" t="s">
        <v>2056</v>
      </c>
    </row>
    <row r="3173" ht="15.75" customHeight="1">
      <c r="A3173" s="5" t="s">
        <v>2057</v>
      </c>
    </row>
    <row r="3174" ht="15.75" customHeight="1">
      <c r="A3174" s="5" t="s">
        <v>2058</v>
      </c>
    </row>
    <row r="3175" ht="15.75" customHeight="1">
      <c r="A3175" s="5" t="s">
        <v>2059</v>
      </c>
    </row>
    <row r="3176" ht="15.75" customHeight="1">
      <c r="A3176" s="5" t="s">
        <v>2060</v>
      </c>
    </row>
    <row r="3177" ht="15.75" customHeight="1">
      <c r="A3177" s="5" t="s">
        <v>2061</v>
      </c>
    </row>
    <row r="3178" ht="15.75" customHeight="1">
      <c r="A3178" s="5" t="s">
        <v>2062</v>
      </c>
    </row>
    <row r="3179" ht="15.75" customHeight="1">
      <c r="A3179" s="5" t="s">
        <v>2063</v>
      </c>
    </row>
    <row r="3180" ht="15.75" customHeight="1">
      <c r="A3180" s="5" t="s">
        <v>2064</v>
      </c>
    </row>
    <row r="3181" ht="15.75" customHeight="1">
      <c r="A3181" s="5" t="s">
        <v>2065</v>
      </c>
    </row>
    <row r="3182" ht="15.75" customHeight="1">
      <c r="A3182" s="5" t="s">
        <v>2066</v>
      </c>
    </row>
    <row r="3183" ht="15.75" customHeight="1">
      <c r="A3183" s="5" t="s">
        <v>2067</v>
      </c>
    </row>
    <row r="3184" ht="15.75" customHeight="1">
      <c r="A3184" s="5" t="s">
        <v>2068</v>
      </c>
    </row>
    <row r="3185" ht="15.75" customHeight="1">
      <c r="A3185" s="5" t="s">
        <v>2069</v>
      </c>
    </row>
    <row r="3186" ht="15.75" customHeight="1">
      <c r="A3186" s="5" t="s">
        <v>2070</v>
      </c>
    </row>
    <row r="3187" ht="15.75" customHeight="1">
      <c r="A3187" s="5" t="s">
        <v>2071</v>
      </c>
    </row>
    <row r="3188" ht="15.75" customHeight="1">
      <c r="A3188" s="5" t="s">
        <v>2072</v>
      </c>
    </row>
    <row r="3189" ht="15.75" customHeight="1">
      <c r="A3189" s="5" t="s">
        <v>2073</v>
      </c>
    </row>
    <row r="3190" ht="15.75" customHeight="1">
      <c r="A3190" s="5" t="s">
        <v>2074</v>
      </c>
    </row>
    <row r="3191" ht="15.75" customHeight="1">
      <c r="A3191" s="5" t="s">
        <v>2075</v>
      </c>
    </row>
    <row r="3192" ht="15.75" customHeight="1">
      <c r="A3192" s="5" t="s">
        <v>2076</v>
      </c>
    </row>
    <row r="3193" ht="15.75" customHeight="1">
      <c r="A3193" s="5" t="s">
        <v>2077</v>
      </c>
    </row>
    <row r="3194" ht="15.75" customHeight="1">
      <c r="A3194" s="5" t="s">
        <v>2078</v>
      </c>
    </row>
    <row r="3195" ht="15.75" customHeight="1">
      <c r="A3195" s="5" t="s">
        <v>2079</v>
      </c>
    </row>
    <row r="3196" ht="15.75" customHeight="1">
      <c r="A3196" s="5" t="s">
        <v>2080</v>
      </c>
    </row>
    <row r="3197" ht="15.75" customHeight="1">
      <c r="A3197" s="5" t="s">
        <v>2081</v>
      </c>
    </row>
    <row r="3198" ht="15.75" customHeight="1">
      <c r="A3198" s="5" t="s">
        <v>2082</v>
      </c>
    </row>
    <row r="3199" ht="15.75" customHeight="1">
      <c r="A3199" s="5" t="s">
        <v>2083</v>
      </c>
    </row>
    <row r="3200" ht="15.75" customHeight="1">
      <c r="A3200" s="5" t="s">
        <v>2084</v>
      </c>
    </row>
    <row r="3201" ht="15.75" customHeight="1">
      <c r="A3201" s="5" t="s">
        <v>2085</v>
      </c>
    </row>
    <row r="3202" ht="15.75" customHeight="1">
      <c r="A3202" s="5" t="s">
        <v>2086</v>
      </c>
    </row>
    <row r="3203" ht="15.75" customHeight="1">
      <c r="A3203" s="5" t="s">
        <v>2087</v>
      </c>
    </row>
    <row r="3204" ht="15.75" customHeight="1">
      <c r="A3204" s="5" t="s">
        <v>2088</v>
      </c>
    </row>
    <row r="3205" ht="15.75" customHeight="1">
      <c r="A3205" s="5" t="s">
        <v>2089</v>
      </c>
    </row>
    <row r="3206" ht="15.75" customHeight="1">
      <c r="A3206" s="5" t="s">
        <v>2090</v>
      </c>
    </row>
    <row r="3207" ht="15.75" customHeight="1">
      <c r="A3207" s="5" t="s">
        <v>2091</v>
      </c>
    </row>
    <row r="3208" ht="15.75" customHeight="1">
      <c r="A3208" s="5" t="s">
        <v>2092</v>
      </c>
    </row>
    <row r="3209" ht="15.75" customHeight="1">
      <c r="A3209" s="5" t="s">
        <v>2093</v>
      </c>
    </row>
    <row r="3210" ht="15.75" customHeight="1">
      <c r="A3210" s="5" t="s">
        <v>2094</v>
      </c>
    </row>
    <row r="3211" ht="15.75" customHeight="1">
      <c r="A3211" s="5" t="s">
        <v>2095</v>
      </c>
    </row>
    <row r="3212" ht="15.75" customHeight="1">
      <c r="A3212" s="5" t="s">
        <v>2096</v>
      </c>
    </row>
    <row r="3213" ht="15.75" customHeight="1">
      <c r="A3213" s="5" t="s">
        <v>2097</v>
      </c>
    </row>
    <row r="3214" ht="15.75" customHeight="1">
      <c r="A3214" s="5" t="s">
        <v>2098</v>
      </c>
    </row>
    <row r="3215" ht="15.75" customHeight="1">
      <c r="A3215" s="5" t="s">
        <v>2099</v>
      </c>
    </row>
    <row r="3216" ht="15.75" customHeight="1">
      <c r="A3216" s="5" t="s">
        <v>2100</v>
      </c>
    </row>
    <row r="3217" ht="15.75" customHeight="1">
      <c r="A3217" s="5" t="s">
        <v>2101</v>
      </c>
    </row>
    <row r="3218" ht="15.75" customHeight="1">
      <c r="A3218" s="5" t="s">
        <v>2102</v>
      </c>
    </row>
    <row r="3219" ht="15.75" customHeight="1">
      <c r="A3219" s="5" t="s">
        <v>2103</v>
      </c>
    </row>
    <row r="3220" ht="15.75" customHeight="1">
      <c r="A3220" s="5" t="s">
        <v>2104</v>
      </c>
    </row>
    <row r="3221" ht="15.75" customHeight="1">
      <c r="A3221" s="5" t="s">
        <v>2105</v>
      </c>
    </row>
    <row r="3222" ht="15.75" customHeight="1">
      <c r="A3222" s="5" t="s">
        <v>2106</v>
      </c>
    </row>
    <row r="3223" ht="15.75" customHeight="1">
      <c r="A3223" s="5" t="s">
        <v>2107</v>
      </c>
    </row>
    <row r="3224" ht="15.75" customHeight="1">
      <c r="A3224" s="5" t="s">
        <v>2108</v>
      </c>
    </row>
    <row r="3225" ht="15.75" customHeight="1">
      <c r="A3225" s="5" t="s">
        <v>2109</v>
      </c>
    </row>
    <row r="3226" ht="15.75" customHeight="1">
      <c r="A3226" s="5" t="s">
        <v>2110</v>
      </c>
    </row>
    <row r="3227" ht="15.75" customHeight="1">
      <c r="A3227" s="5" t="s">
        <v>2111</v>
      </c>
    </row>
    <row r="3228" ht="15.75" customHeight="1">
      <c r="A3228" s="5" t="s">
        <v>2112</v>
      </c>
    </row>
    <row r="3229" ht="15.75" customHeight="1">
      <c r="A3229" s="5" t="s">
        <v>2113</v>
      </c>
    </row>
    <row r="3230" ht="15.75" customHeight="1">
      <c r="A3230" s="5" t="s">
        <v>2114</v>
      </c>
    </row>
    <row r="3231" ht="15.75" customHeight="1">
      <c r="A3231" s="5" t="s">
        <v>2115</v>
      </c>
    </row>
    <row r="3232" ht="15.75" customHeight="1">
      <c r="A3232" s="5" t="s">
        <v>2116</v>
      </c>
    </row>
    <row r="3233" ht="15.75" customHeight="1">
      <c r="A3233" s="5" t="s">
        <v>2117</v>
      </c>
    </row>
    <row r="3234" ht="15.75" customHeight="1">
      <c r="A3234" s="5" t="s">
        <v>2118</v>
      </c>
    </row>
    <row r="3235" ht="15.75" customHeight="1">
      <c r="A3235" s="5" t="s">
        <v>2119</v>
      </c>
    </row>
    <row r="3236" ht="15.75" customHeight="1">
      <c r="A3236" s="5" t="s">
        <v>2120</v>
      </c>
    </row>
    <row r="3237" ht="15.75" customHeight="1">
      <c r="A3237" s="5" t="s">
        <v>2121</v>
      </c>
    </row>
    <row r="3238" ht="15.75" customHeight="1">
      <c r="A3238" s="5" t="s">
        <v>2122</v>
      </c>
    </row>
    <row r="3239" ht="15.75" customHeight="1">
      <c r="A3239" s="5" t="s">
        <v>2123</v>
      </c>
    </row>
    <row r="3240" ht="15.75" customHeight="1">
      <c r="A3240" s="5" t="s">
        <v>2124</v>
      </c>
    </row>
    <row r="3241" ht="15.75" customHeight="1">
      <c r="A3241" s="5" t="s">
        <v>2125</v>
      </c>
    </row>
    <row r="3242" ht="15.75" customHeight="1">
      <c r="A3242" s="5" t="s">
        <v>2126</v>
      </c>
    </row>
    <row r="3243" ht="15.75" customHeight="1">
      <c r="A3243" s="5" t="s">
        <v>2127</v>
      </c>
    </row>
    <row r="3244" ht="15.75" customHeight="1">
      <c r="A3244" s="5" t="s">
        <v>2128</v>
      </c>
    </row>
    <row r="3245" ht="15.75" customHeight="1">
      <c r="A3245" s="5" t="s">
        <v>2129</v>
      </c>
    </row>
    <row r="3246" ht="15.75" customHeight="1">
      <c r="A3246" s="5" t="s">
        <v>2130</v>
      </c>
    </row>
    <row r="3247" ht="15.75" customHeight="1">
      <c r="A3247" s="5" t="s">
        <v>2131</v>
      </c>
    </row>
    <row r="3248" ht="15.75" customHeight="1">
      <c r="A3248" s="5" t="s">
        <v>2132</v>
      </c>
    </row>
    <row r="3249" ht="15.75" customHeight="1">
      <c r="A3249" s="5" t="s">
        <v>2133</v>
      </c>
    </row>
    <row r="3250" ht="15.75" customHeight="1">
      <c r="A3250" s="5" t="s">
        <v>7720</v>
      </c>
    </row>
    <row r="3251" ht="15.75" customHeight="1">
      <c r="A3251" s="5" t="s">
        <v>2135</v>
      </c>
    </row>
    <row r="3252" ht="15.75" customHeight="1">
      <c r="A3252" s="5" t="s">
        <v>7721</v>
      </c>
    </row>
    <row r="3253" ht="15.75" customHeight="1">
      <c r="A3253" s="5" t="s">
        <v>2137</v>
      </c>
    </row>
    <row r="3254" ht="15.75" customHeight="1">
      <c r="A3254" s="5" t="s">
        <v>2138</v>
      </c>
    </row>
    <row r="3255" ht="15.75" customHeight="1">
      <c r="A3255" s="5" t="s">
        <v>2139</v>
      </c>
    </row>
    <row r="3256" ht="15.75" customHeight="1">
      <c r="A3256" s="5" t="s">
        <v>2140</v>
      </c>
    </row>
    <row r="3257" ht="15.75" customHeight="1">
      <c r="A3257" s="5" t="s">
        <v>2141</v>
      </c>
    </row>
    <row r="3258" ht="15.75" customHeight="1">
      <c r="A3258" s="5" t="s">
        <v>2142</v>
      </c>
    </row>
    <row r="3259" ht="15.75" customHeight="1">
      <c r="A3259" s="5" t="s">
        <v>2143</v>
      </c>
    </row>
    <row r="3260" ht="15.75" customHeight="1">
      <c r="A3260" s="5" t="s">
        <v>2144</v>
      </c>
    </row>
    <row r="3261" ht="15.75" customHeight="1">
      <c r="A3261" s="5" t="s">
        <v>2145</v>
      </c>
    </row>
    <row r="3262" ht="15.75" customHeight="1">
      <c r="A3262" s="5" t="s">
        <v>2146</v>
      </c>
    </row>
    <row r="3263" ht="15.75" customHeight="1">
      <c r="A3263" s="5" t="s">
        <v>2147</v>
      </c>
    </row>
    <row r="3264" ht="15.75" customHeight="1">
      <c r="A3264" s="5" t="s">
        <v>2148</v>
      </c>
    </row>
    <row r="3265" ht="15.75" customHeight="1">
      <c r="A3265" s="5" t="s">
        <v>2149</v>
      </c>
    </row>
    <row r="3266" ht="15.75" customHeight="1">
      <c r="A3266" s="5" t="s">
        <v>2150</v>
      </c>
    </row>
    <row r="3267" ht="15.75" customHeight="1">
      <c r="A3267" s="5" t="s">
        <v>2151</v>
      </c>
    </row>
    <row r="3268" ht="15.75" customHeight="1">
      <c r="A3268" s="5" t="s">
        <v>2152</v>
      </c>
    </row>
    <row r="3269" ht="15.75" customHeight="1">
      <c r="A3269" s="5" t="s">
        <v>2153</v>
      </c>
    </row>
    <row r="3270" ht="15.75" customHeight="1">
      <c r="A3270" s="5" t="s">
        <v>2154</v>
      </c>
    </row>
    <row r="3271" ht="15.75" customHeight="1">
      <c r="A3271" s="5" t="s">
        <v>2155</v>
      </c>
    </row>
    <row r="3272" ht="15.75" customHeight="1">
      <c r="A3272" s="5" t="s">
        <v>2156</v>
      </c>
    </row>
    <row r="3273" ht="15.75" customHeight="1">
      <c r="A3273" s="5" t="s">
        <v>2157</v>
      </c>
    </row>
    <row r="3274" ht="15.75" customHeight="1">
      <c r="A3274" s="5" t="s">
        <v>2158</v>
      </c>
    </row>
    <row r="3275" ht="15.75" customHeight="1">
      <c r="A3275" s="5" t="s">
        <v>2159</v>
      </c>
    </row>
    <row r="3276" ht="15.75" customHeight="1">
      <c r="A3276" s="5" t="s">
        <v>2160</v>
      </c>
    </row>
    <row r="3277" ht="15.75" customHeight="1">
      <c r="A3277" s="5" t="s">
        <v>2161</v>
      </c>
    </row>
    <row r="3278" ht="15.75" customHeight="1">
      <c r="A3278" s="5" t="s">
        <v>2162</v>
      </c>
    </row>
    <row r="3279" ht="15.75" customHeight="1">
      <c r="A3279" s="5" t="s">
        <v>2163</v>
      </c>
    </row>
    <row r="3280" ht="15.75" customHeight="1">
      <c r="A3280" s="5" t="s">
        <v>2164</v>
      </c>
    </row>
    <row r="3281" ht="15.75" customHeight="1">
      <c r="A3281" s="5" t="s">
        <v>2165</v>
      </c>
    </row>
    <row r="3282" ht="15.75" customHeight="1">
      <c r="A3282" s="5" t="s">
        <v>2166</v>
      </c>
    </row>
    <row r="3283" ht="15.75" customHeight="1">
      <c r="A3283" s="5" t="s">
        <v>2167</v>
      </c>
    </row>
    <row r="3284" ht="15.75" customHeight="1">
      <c r="A3284" s="5" t="s">
        <v>2168</v>
      </c>
    </row>
    <row r="3285" ht="15.75" customHeight="1">
      <c r="A3285" s="5" t="s">
        <v>2169</v>
      </c>
    </row>
    <row r="3286" ht="15.75" customHeight="1">
      <c r="A3286" s="5" t="s">
        <v>2170</v>
      </c>
    </row>
    <row r="3287" ht="15.75" customHeight="1">
      <c r="A3287" s="5" t="s">
        <v>2171</v>
      </c>
    </row>
    <row r="3288" ht="15.75" customHeight="1">
      <c r="A3288" s="5" t="s">
        <v>2172</v>
      </c>
    </row>
    <row r="3289" ht="15.75" customHeight="1">
      <c r="A3289" s="5" t="s">
        <v>2173</v>
      </c>
    </row>
    <row r="3290" ht="15.75" customHeight="1">
      <c r="A3290" s="5" t="s">
        <v>2174</v>
      </c>
    </row>
    <row r="3291" ht="15.75" customHeight="1">
      <c r="A3291" s="5" t="s">
        <v>2175</v>
      </c>
    </row>
    <row r="3292" ht="15.75" customHeight="1">
      <c r="A3292" s="5" t="s">
        <v>2176</v>
      </c>
    </row>
    <row r="3293" ht="15.75" customHeight="1">
      <c r="A3293" s="5" t="s">
        <v>2177</v>
      </c>
    </row>
    <row r="3294" ht="15.75" customHeight="1">
      <c r="A3294" s="5" t="s">
        <v>2178</v>
      </c>
    </row>
    <row r="3295" ht="15.75" customHeight="1">
      <c r="A3295" s="5" t="s">
        <v>2179</v>
      </c>
    </row>
    <row r="3296" ht="15.75" customHeight="1">
      <c r="A3296" s="5" t="s">
        <v>2180</v>
      </c>
    </row>
    <row r="3297" ht="15.75" customHeight="1">
      <c r="A3297" s="5" t="s">
        <v>2181</v>
      </c>
    </row>
    <row r="3298" ht="15.75" customHeight="1">
      <c r="A3298" s="5" t="s">
        <v>2182</v>
      </c>
    </row>
    <row r="3299" ht="15.75" customHeight="1">
      <c r="A3299" s="5" t="s">
        <v>2183</v>
      </c>
    </row>
    <row r="3300" ht="15.75" customHeight="1">
      <c r="A3300" s="5" t="s">
        <v>2184</v>
      </c>
    </row>
    <row r="3301" ht="15.75" customHeight="1">
      <c r="A3301" s="5" t="s">
        <v>2185</v>
      </c>
    </row>
    <row r="3302" ht="15.75" customHeight="1">
      <c r="A3302" s="5" t="s">
        <v>2186</v>
      </c>
    </row>
    <row r="3303" ht="15.75" customHeight="1">
      <c r="A3303" s="5" t="s">
        <v>2187</v>
      </c>
    </row>
    <row r="3304" ht="15.75" customHeight="1">
      <c r="A3304" s="5" t="s">
        <v>2188</v>
      </c>
    </row>
    <row r="3305" ht="15.75" customHeight="1">
      <c r="A3305" s="5" t="s">
        <v>2189</v>
      </c>
    </row>
    <row r="3306" ht="15.75" customHeight="1">
      <c r="A3306" s="5" t="s">
        <v>2190</v>
      </c>
    </row>
    <row r="3307" ht="15.75" customHeight="1">
      <c r="A3307" s="5" t="s">
        <v>2191</v>
      </c>
    </row>
    <row r="3308" ht="15.75" customHeight="1">
      <c r="A3308" s="5" t="s">
        <v>2192</v>
      </c>
    </row>
    <row r="3309" ht="15.75" customHeight="1">
      <c r="A3309" s="5" t="s">
        <v>2193</v>
      </c>
    </row>
    <row r="3310" ht="15.75" customHeight="1">
      <c r="A3310" s="5" t="s">
        <v>2194</v>
      </c>
    </row>
    <row r="3311" ht="15.75" customHeight="1">
      <c r="A3311" s="5" t="s">
        <v>2195</v>
      </c>
    </row>
    <row r="3312" ht="15.75" customHeight="1">
      <c r="A3312" s="5" t="s">
        <v>2196</v>
      </c>
    </row>
    <row r="3313" ht="15.75" customHeight="1">
      <c r="A3313" s="5" t="s">
        <v>2197</v>
      </c>
    </row>
    <row r="3314" ht="15.75" customHeight="1">
      <c r="A3314" s="5" t="s">
        <v>7722</v>
      </c>
    </row>
    <row r="3315" ht="15.75" customHeight="1">
      <c r="A3315" s="5" t="s">
        <v>2199</v>
      </c>
    </row>
    <row r="3316" ht="15.75" customHeight="1">
      <c r="A3316" s="5" t="s">
        <v>2200</v>
      </c>
    </row>
    <row r="3317" ht="15.75" customHeight="1">
      <c r="A3317" s="5" t="s">
        <v>2201</v>
      </c>
    </row>
    <row r="3318" ht="15.75" customHeight="1">
      <c r="A3318" s="5" t="s">
        <v>2202</v>
      </c>
    </row>
    <row r="3319" ht="15.75" customHeight="1">
      <c r="A3319" s="5" t="s">
        <v>2203</v>
      </c>
    </row>
    <row r="3320" ht="15.75" customHeight="1">
      <c r="A3320" s="5" t="s">
        <v>2204</v>
      </c>
    </row>
    <row r="3321" ht="15.75" customHeight="1">
      <c r="A3321" s="5" t="s">
        <v>2205</v>
      </c>
    </row>
    <row r="3322" ht="15.75" customHeight="1">
      <c r="A3322" s="5" t="s">
        <v>2206</v>
      </c>
    </row>
    <row r="3323" ht="15.75" customHeight="1">
      <c r="A3323" s="5" t="s">
        <v>2207</v>
      </c>
    </row>
    <row r="3324" ht="15.75" customHeight="1">
      <c r="A3324" s="5" t="s">
        <v>2208</v>
      </c>
    </row>
    <row r="3325" ht="15.75" customHeight="1">
      <c r="A3325" s="5" t="s">
        <v>2209</v>
      </c>
    </row>
    <row r="3326" ht="15.75" customHeight="1">
      <c r="A3326" s="5" t="s">
        <v>2210</v>
      </c>
    </row>
    <row r="3327" ht="15.75" customHeight="1">
      <c r="A3327" s="5" t="s">
        <v>2211</v>
      </c>
    </row>
    <row r="3328" ht="15.75" customHeight="1">
      <c r="A3328" s="5" t="s">
        <v>2212</v>
      </c>
    </row>
    <row r="3329" ht="15.75" customHeight="1">
      <c r="A3329" s="5" t="s">
        <v>2213</v>
      </c>
    </row>
    <row r="3330" ht="15.75" customHeight="1">
      <c r="A3330" s="5" t="s">
        <v>2214</v>
      </c>
    </row>
    <row r="3331" ht="15.75" customHeight="1">
      <c r="A3331" s="5" t="s">
        <v>2215</v>
      </c>
    </row>
    <row r="3332" ht="15.75" customHeight="1">
      <c r="A3332" s="5" t="s">
        <v>2216</v>
      </c>
    </row>
    <row r="3333" ht="15.75" customHeight="1">
      <c r="A3333" s="5" t="s">
        <v>2217</v>
      </c>
    </row>
    <row r="3334" ht="15.75" customHeight="1">
      <c r="A3334" s="5" t="s">
        <v>2218</v>
      </c>
    </row>
    <row r="3335" ht="15.75" customHeight="1">
      <c r="A3335" s="5" t="s">
        <v>7723</v>
      </c>
    </row>
    <row r="3336" ht="15.75" customHeight="1">
      <c r="A3336" s="5" t="s">
        <v>2220</v>
      </c>
    </row>
    <row r="3337" ht="15.75" customHeight="1">
      <c r="A3337" s="5" t="s">
        <v>7724</v>
      </c>
    </row>
    <row r="3338" ht="15.75" customHeight="1">
      <c r="A3338" s="5" t="s">
        <v>2222</v>
      </c>
    </row>
    <row r="3339" ht="15.75" customHeight="1">
      <c r="A3339" s="5" t="s">
        <v>7725</v>
      </c>
    </row>
    <row r="3340" ht="15.75" customHeight="1">
      <c r="A3340" s="5" t="s">
        <v>2224</v>
      </c>
    </row>
    <row r="3341" ht="15.75" customHeight="1">
      <c r="A3341" s="5" t="s">
        <v>2225</v>
      </c>
    </row>
    <row r="3342" ht="15.75" customHeight="1">
      <c r="A3342" s="5" t="s">
        <v>2226</v>
      </c>
    </row>
    <row r="3343" ht="15.75" customHeight="1">
      <c r="A3343" s="5" t="s">
        <v>2227</v>
      </c>
    </row>
    <row r="3344" ht="15.75" customHeight="1">
      <c r="A3344" s="5" t="s">
        <v>2228</v>
      </c>
    </row>
    <row r="3345" ht="15.75" customHeight="1">
      <c r="A3345" s="5" t="s">
        <v>2229</v>
      </c>
    </row>
    <row r="3346" ht="15.75" customHeight="1">
      <c r="A3346" s="5" t="s">
        <v>2230</v>
      </c>
    </row>
    <row r="3347" ht="15.75" customHeight="1">
      <c r="A3347" s="5" t="s">
        <v>2231</v>
      </c>
    </row>
    <row r="3348" ht="15.75" customHeight="1">
      <c r="A3348" s="5" t="s">
        <v>2232</v>
      </c>
    </row>
    <row r="3349" ht="15.75" customHeight="1">
      <c r="A3349" s="5" t="s">
        <v>2233</v>
      </c>
    </row>
    <row r="3350" ht="15.75" customHeight="1">
      <c r="A3350" s="5" t="s">
        <v>2234</v>
      </c>
    </row>
    <row r="3351" ht="15.75" customHeight="1">
      <c r="A3351" s="5" t="s">
        <v>2235</v>
      </c>
    </row>
    <row r="3352" ht="15.75" customHeight="1">
      <c r="A3352" s="5" t="s">
        <v>2236</v>
      </c>
    </row>
    <row r="3353" ht="15.75" customHeight="1">
      <c r="A3353" s="5" t="s">
        <v>2237</v>
      </c>
    </row>
    <row r="3354" ht="15.75" customHeight="1">
      <c r="A3354" s="5" t="s">
        <v>2238</v>
      </c>
    </row>
    <row r="3355" ht="15.75" customHeight="1">
      <c r="A3355" s="5" t="s">
        <v>2239</v>
      </c>
    </row>
    <row r="3356" ht="15.75" customHeight="1">
      <c r="A3356" s="5" t="s">
        <v>2240</v>
      </c>
    </row>
    <row r="3357" ht="15.75" customHeight="1">
      <c r="A3357" s="5" t="s">
        <v>2241</v>
      </c>
    </row>
    <row r="3358" ht="15.75" customHeight="1">
      <c r="A3358" s="5" t="s">
        <v>2242</v>
      </c>
    </row>
    <row r="3359" ht="15.75" customHeight="1">
      <c r="A3359" s="5" t="s">
        <v>2243</v>
      </c>
    </row>
    <row r="3360" ht="15.75" customHeight="1">
      <c r="A3360" s="5" t="s">
        <v>2244</v>
      </c>
    </row>
    <row r="3361" ht="15.75" customHeight="1">
      <c r="A3361" s="5" t="s">
        <v>2245</v>
      </c>
    </row>
    <row r="3362" ht="15.75" customHeight="1">
      <c r="A3362" s="5" t="s">
        <v>2246</v>
      </c>
    </row>
    <row r="3363" ht="15.75" customHeight="1">
      <c r="A3363" s="5" t="s">
        <v>2247</v>
      </c>
    </row>
    <row r="3364" ht="15.75" customHeight="1">
      <c r="A3364" s="5" t="s">
        <v>2248</v>
      </c>
    </row>
    <row r="3365" ht="15.75" customHeight="1">
      <c r="A3365" s="5" t="s">
        <v>2249</v>
      </c>
    </row>
    <row r="3366" ht="15.75" customHeight="1">
      <c r="A3366" s="5" t="s">
        <v>2250</v>
      </c>
    </row>
    <row r="3367" ht="15.75" customHeight="1">
      <c r="A3367" s="5" t="s">
        <v>2251</v>
      </c>
    </row>
    <row r="3368" ht="15.75" customHeight="1">
      <c r="A3368" s="5" t="s">
        <v>2252</v>
      </c>
    </row>
    <row r="3369" ht="15.75" customHeight="1">
      <c r="A3369" s="5" t="s">
        <v>2253</v>
      </c>
    </row>
    <row r="3370" ht="15.75" customHeight="1">
      <c r="A3370" s="5" t="s">
        <v>2254</v>
      </c>
    </row>
    <row r="3371" ht="15.75" customHeight="1">
      <c r="A3371" s="5" t="s">
        <v>2255</v>
      </c>
    </row>
    <row r="3372" ht="15.75" customHeight="1">
      <c r="A3372" s="5" t="s">
        <v>2256</v>
      </c>
    </row>
    <row r="3373" ht="15.75" customHeight="1">
      <c r="A3373" s="5" t="s">
        <v>2257</v>
      </c>
    </row>
    <row r="3374" ht="15.75" customHeight="1">
      <c r="A3374" s="5" t="s">
        <v>7726</v>
      </c>
    </row>
    <row r="3375" ht="15.75" customHeight="1">
      <c r="A3375" s="5" t="s">
        <v>7727</v>
      </c>
    </row>
    <row r="3376" ht="15.75" customHeight="1">
      <c r="A3376" s="5" t="s">
        <v>2260</v>
      </c>
    </row>
    <row r="3377" ht="15.75" customHeight="1">
      <c r="A3377" s="5" t="s">
        <v>2261</v>
      </c>
    </row>
    <row r="3378" ht="15.75" customHeight="1">
      <c r="A3378" s="5" t="s">
        <v>2262</v>
      </c>
    </row>
    <row r="3379" ht="15.75" customHeight="1">
      <c r="A3379" s="5" t="s">
        <v>2263</v>
      </c>
    </row>
    <row r="3380" ht="15.75" customHeight="1">
      <c r="A3380" s="5" t="s">
        <v>2264</v>
      </c>
    </row>
    <row r="3381" ht="15.75" customHeight="1">
      <c r="A3381" s="5" t="s">
        <v>2265</v>
      </c>
    </row>
    <row r="3382" ht="15.75" customHeight="1">
      <c r="A3382" s="5" t="s">
        <v>2266</v>
      </c>
    </row>
    <row r="3383" ht="15.75" customHeight="1">
      <c r="A3383" s="5" t="s">
        <v>2267</v>
      </c>
    </row>
    <row r="3384" ht="15.75" customHeight="1">
      <c r="A3384" s="5" t="s">
        <v>2268</v>
      </c>
    </row>
    <row r="3385" ht="15.75" customHeight="1">
      <c r="A3385" s="5" t="s">
        <v>2269</v>
      </c>
    </row>
    <row r="3386" ht="15.75" customHeight="1">
      <c r="A3386" s="5" t="s">
        <v>2270</v>
      </c>
    </row>
    <row r="3387" ht="15.75" customHeight="1">
      <c r="A3387" s="5" t="s">
        <v>2271</v>
      </c>
    </row>
    <row r="3388" ht="15.75" customHeight="1">
      <c r="A3388" s="5" t="s">
        <v>2272</v>
      </c>
    </row>
    <row r="3389" ht="15.75" customHeight="1">
      <c r="A3389" s="5" t="s">
        <v>2273</v>
      </c>
    </row>
    <row r="3390" ht="15.75" customHeight="1">
      <c r="A3390" s="5" t="s">
        <v>2274</v>
      </c>
    </row>
    <row r="3391" ht="15.75" customHeight="1">
      <c r="A3391" s="5" t="s">
        <v>2275</v>
      </c>
    </row>
    <row r="3392" ht="15.75" customHeight="1">
      <c r="A3392" s="5" t="s">
        <v>2276</v>
      </c>
    </row>
    <row r="3393" ht="15.75" customHeight="1">
      <c r="A3393" s="5" t="s">
        <v>2277</v>
      </c>
    </row>
    <row r="3394" ht="15.75" customHeight="1">
      <c r="A3394" s="5" t="s">
        <v>2278</v>
      </c>
    </row>
    <row r="3395" ht="15.75" customHeight="1">
      <c r="A3395" s="5" t="s">
        <v>2279</v>
      </c>
    </row>
    <row r="3396" ht="15.75" customHeight="1">
      <c r="A3396" s="5" t="s">
        <v>2280</v>
      </c>
    </row>
    <row r="3397" ht="15.75" customHeight="1">
      <c r="A3397" s="5" t="s">
        <v>2281</v>
      </c>
    </row>
    <row r="3398" ht="15.75" customHeight="1">
      <c r="A3398" s="5" t="s">
        <v>2282</v>
      </c>
    </row>
    <row r="3399" ht="15.75" customHeight="1">
      <c r="A3399" s="5" t="s">
        <v>2283</v>
      </c>
    </row>
    <row r="3400" ht="15.75" customHeight="1">
      <c r="A3400" s="5" t="s">
        <v>2284</v>
      </c>
    </row>
    <row r="3401" ht="15.75" customHeight="1">
      <c r="A3401" s="5" t="s">
        <v>2285</v>
      </c>
    </row>
    <row r="3402" ht="15.75" customHeight="1">
      <c r="A3402" s="5" t="s">
        <v>2286</v>
      </c>
    </row>
    <row r="3403" ht="15.75" customHeight="1">
      <c r="A3403" s="5" t="s">
        <v>7728</v>
      </c>
    </row>
    <row r="3404" ht="15.75" customHeight="1">
      <c r="A3404" s="5" t="s">
        <v>2288</v>
      </c>
    </row>
    <row r="3405" ht="15.75" customHeight="1">
      <c r="A3405" s="5" t="s">
        <v>2289</v>
      </c>
    </row>
    <row r="3406" ht="15.75" customHeight="1">
      <c r="A3406" s="5" t="s">
        <v>2290</v>
      </c>
    </row>
    <row r="3407" ht="15.75" customHeight="1">
      <c r="A3407" s="5" t="s">
        <v>2291</v>
      </c>
    </row>
    <row r="3408" ht="15.75" customHeight="1">
      <c r="A3408" s="5" t="s">
        <v>2292</v>
      </c>
    </row>
    <row r="3409" ht="15.75" customHeight="1">
      <c r="A3409" s="5" t="s">
        <v>2293</v>
      </c>
    </row>
    <row r="3410" ht="15.75" customHeight="1">
      <c r="A3410" s="5" t="s">
        <v>2294</v>
      </c>
    </row>
    <row r="3411" ht="15.75" customHeight="1">
      <c r="A3411" s="5" t="s">
        <v>2295</v>
      </c>
    </row>
    <row r="3412" ht="15.75" customHeight="1">
      <c r="A3412" s="5" t="s">
        <v>2296</v>
      </c>
    </row>
    <row r="3413" ht="15.75" customHeight="1">
      <c r="A3413" s="5" t="s">
        <v>2297</v>
      </c>
    </row>
    <row r="3414" ht="15.75" customHeight="1">
      <c r="A3414" s="5" t="s">
        <v>2298</v>
      </c>
    </row>
    <row r="3415" ht="15.75" customHeight="1">
      <c r="A3415" s="5" t="s">
        <v>2299</v>
      </c>
    </row>
    <row r="3416" ht="15.75" customHeight="1">
      <c r="A3416" s="5" t="s">
        <v>2300</v>
      </c>
    </row>
    <row r="3417" ht="15.75" customHeight="1">
      <c r="A3417" s="5" t="s">
        <v>2301</v>
      </c>
    </row>
    <row r="3418" ht="15.75" customHeight="1">
      <c r="A3418" s="5" t="s">
        <v>2302</v>
      </c>
    </row>
    <row r="3419" ht="15.75" customHeight="1">
      <c r="A3419" s="5" t="s">
        <v>2303</v>
      </c>
    </row>
    <row r="3420" ht="15.75" customHeight="1">
      <c r="A3420" s="5" t="s">
        <v>2304</v>
      </c>
    </row>
    <row r="3421" ht="15.75" customHeight="1">
      <c r="A3421" s="5" t="s">
        <v>2305</v>
      </c>
    </row>
    <row r="3422" ht="15.75" customHeight="1">
      <c r="A3422" s="5"/>
    </row>
    <row r="3423" ht="15.75" customHeight="1">
      <c r="A3423" s="5" t="s">
        <v>7729</v>
      </c>
    </row>
    <row r="3424" ht="15.75" customHeight="1">
      <c r="A3424" s="5" t="s">
        <v>2307</v>
      </c>
    </row>
    <row r="3425" ht="15.75" customHeight="1">
      <c r="A3425" s="5" t="s">
        <v>2308</v>
      </c>
    </row>
    <row r="3426" ht="15.75" customHeight="1">
      <c r="A3426" s="5" t="s">
        <v>2309</v>
      </c>
    </row>
    <row r="3427" ht="15.75" customHeight="1">
      <c r="A3427" s="5" t="s">
        <v>2310</v>
      </c>
    </row>
    <row r="3428" ht="15.75" customHeight="1">
      <c r="A3428" s="5" t="s">
        <v>2311</v>
      </c>
    </row>
    <row r="3429" ht="15.75" customHeight="1">
      <c r="A3429" s="5" t="s">
        <v>2312</v>
      </c>
    </row>
    <row r="3430" ht="15.75" customHeight="1">
      <c r="A3430" s="5" t="s">
        <v>2313</v>
      </c>
    </row>
    <row r="3431" ht="15.75" customHeight="1">
      <c r="A3431" s="5" t="s">
        <v>2314</v>
      </c>
    </row>
    <row r="3432" ht="15.75" customHeight="1">
      <c r="A3432" s="5" t="s">
        <v>2315</v>
      </c>
    </row>
    <row r="3433" ht="15.75" customHeight="1">
      <c r="A3433" s="5" t="s">
        <v>2316</v>
      </c>
    </row>
    <row r="3434" ht="15.75" customHeight="1">
      <c r="A3434" s="5" t="s">
        <v>2317</v>
      </c>
    </row>
    <row r="3435" ht="15.75" customHeight="1">
      <c r="A3435" s="5" t="s">
        <v>2318</v>
      </c>
    </row>
    <row r="3436" ht="15.75" customHeight="1">
      <c r="A3436" s="5" t="s">
        <v>2319</v>
      </c>
    </row>
    <row r="3437" ht="15.75" customHeight="1">
      <c r="A3437" s="5" t="s">
        <v>2320</v>
      </c>
    </row>
    <row r="3438" ht="15.75" customHeight="1">
      <c r="A3438" s="5" t="s">
        <v>2321</v>
      </c>
    </row>
    <row r="3439" ht="15.75" customHeight="1">
      <c r="A3439" s="5" t="s">
        <v>2322</v>
      </c>
    </row>
    <row r="3440" ht="15.75" customHeight="1">
      <c r="A3440" s="5" t="s">
        <v>2323</v>
      </c>
    </row>
    <row r="3441" ht="15.75" customHeight="1">
      <c r="A3441" s="5" t="s">
        <v>2324</v>
      </c>
    </row>
    <row r="3442" ht="15.75" customHeight="1">
      <c r="A3442" s="5" t="s">
        <v>2325</v>
      </c>
    </row>
    <row r="3443" ht="15.75" customHeight="1">
      <c r="A3443" s="5" t="s">
        <v>2326</v>
      </c>
    </row>
    <row r="3444" ht="15.75" customHeight="1">
      <c r="A3444" s="5" t="s">
        <v>2327</v>
      </c>
    </row>
    <row r="3445" ht="15.75" customHeight="1">
      <c r="A3445" s="5" t="s">
        <v>2328</v>
      </c>
    </row>
    <row r="3446" ht="15.75" customHeight="1">
      <c r="A3446" s="5" t="s">
        <v>2329</v>
      </c>
    </row>
    <row r="3447" ht="15.75" customHeight="1">
      <c r="A3447" s="5" t="s">
        <v>2330</v>
      </c>
    </row>
    <row r="3448" ht="15.75" customHeight="1">
      <c r="A3448" s="5" t="s">
        <v>2331</v>
      </c>
    </row>
    <row r="3449" ht="15.75" customHeight="1">
      <c r="A3449" s="5" t="s">
        <v>2332</v>
      </c>
    </row>
    <row r="3450" ht="15.75" customHeight="1">
      <c r="A3450" s="5" t="s">
        <v>2333</v>
      </c>
    </row>
    <row r="3451" ht="15.75" customHeight="1">
      <c r="A3451" s="5" t="s">
        <v>2334</v>
      </c>
    </row>
    <row r="3452" ht="15.75" customHeight="1">
      <c r="A3452" s="5" t="s">
        <v>2335</v>
      </c>
    </row>
    <row r="3453" ht="15.75" customHeight="1">
      <c r="A3453" s="5" t="s">
        <v>2336</v>
      </c>
    </row>
    <row r="3454" ht="15.75" customHeight="1">
      <c r="A3454" s="5" t="s">
        <v>2337</v>
      </c>
    </row>
    <row r="3455" ht="15.75" customHeight="1">
      <c r="A3455" s="5" t="s">
        <v>2338</v>
      </c>
    </row>
    <row r="3456" ht="15.75" customHeight="1">
      <c r="A3456" s="5" t="s">
        <v>2339</v>
      </c>
    </row>
    <row r="3457" ht="15.75" customHeight="1">
      <c r="A3457" s="5" t="s">
        <v>2340</v>
      </c>
    </row>
    <row r="3458" ht="15.75" customHeight="1">
      <c r="A3458" s="5" t="s">
        <v>2341</v>
      </c>
    </row>
    <row r="3459" ht="15.75" customHeight="1">
      <c r="A3459" s="5" t="s">
        <v>2342</v>
      </c>
    </row>
    <row r="3460" ht="15.75" customHeight="1">
      <c r="A3460" s="5" t="s">
        <v>2343</v>
      </c>
    </row>
    <row r="3461" ht="15.75" customHeight="1">
      <c r="A3461" s="5" t="s">
        <v>2344</v>
      </c>
    </row>
    <row r="3462" ht="15.75" customHeight="1">
      <c r="A3462" s="5" t="s">
        <v>2345</v>
      </c>
    </row>
    <row r="3463" ht="15.75" customHeight="1">
      <c r="A3463" s="5" t="s">
        <v>2346</v>
      </c>
    </row>
    <row r="3464" ht="15.75" customHeight="1">
      <c r="A3464" s="5" t="s">
        <v>2347</v>
      </c>
    </row>
    <row r="3465" ht="15.75" customHeight="1">
      <c r="A3465" s="5" t="s">
        <v>2348</v>
      </c>
    </row>
    <row r="3466" ht="15.75" customHeight="1">
      <c r="A3466" s="5" t="s">
        <v>2349</v>
      </c>
    </row>
    <row r="3467" ht="15.75" customHeight="1">
      <c r="A3467" s="5" t="s">
        <v>2350</v>
      </c>
    </row>
    <row r="3468" ht="15.75" customHeight="1">
      <c r="A3468" s="5" t="s">
        <v>2351</v>
      </c>
    </row>
    <row r="3469" ht="15.75" customHeight="1">
      <c r="A3469" s="5" t="s">
        <v>2352</v>
      </c>
    </row>
    <row r="3470" ht="15.75" customHeight="1">
      <c r="A3470" s="5" t="s">
        <v>2353</v>
      </c>
    </row>
    <row r="3471" ht="15.75" customHeight="1">
      <c r="A3471" s="5" t="s">
        <v>2354</v>
      </c>
    </row>
    <row r="3472" ht="15.75" customHeight="1">
      <c r="A3472" s="5" t="s">
        <v>2355</v>
      </c>
    </row>
    <row r="3473" ht="15.75" customHeight="1">
      <c r="A3473" s="5" t="s">
        <v>2356</v>
      </c>
    </row>
    <row r="3474" ht="15.75" customHeight="1">
      <c r="A3474" s="5" t="s">
        <v>2357</v>
      </c>
    </row>
    <row r="3475" ht="15.75" customHeight="1">
      <c r="A3475" s="5" t="s">
        <v>2358</v>
      </c>
    </row>
    <row r="3476" ht="15.75" customHeight="1">
      <c r="A3476" s="5" t="s">
        <v>2359</v>
      </c>
    </row>
    <row r="3477" ht="15.75" customHeight="1">
      <c r="A3477" s="5" t="s">
        <v>2360</v>
      </c>
    </row>
    <row r="3478" ht="15.75" customHeight="1">
      <c r="A3478" s="5" t="s">
        <v>2361</v>
      </c>
    </row>
    <row r="3479" ht="15.75" customHeight="1">
      <c r="A3479" s="5" t="s">
        <v>2362</v>
      </c>
    </row>
    <row r="3480" ht="15.75" customHeight="1">
      <c r="A3480" s="5" t="s">
        <v>2363</v>
      </c>
    </row>
    <row r="3481" ht="15.75" customHeight="1">
      <c r="A3481" s="5" t="s">
        <v>2364</v>
      </c>
    </row>
    <row r="3482" ht="15.75" customHeight="1">
      <c r="A3482" s="5" t="s">
        <v>2365</v>
      </c>
    </row>
    <row r="3483" ht="15.75" customHeight="1">
      <c r="A3483" s="5" t="s">
        <v>2366</v>
      </c>
    </row>
    <row r="3484" ht="15.75" customHeight="1">
      <c r="A3484" s="5" t="s">
        <v>2367</v>
      </c>
    </row>
    <row r="3485" ht="15.75" customHeight="1">
      <c r="A3485" s="5" t="s">
        <v>2368</v>
      </c>
    </row>
    <row r="3486" ht="15.75" customHeight="1">
      <c r="A3486" s="5" t="s">
        <v>2369</v>
      </c>
    </row>
    <row r="3487" ht="15.75" customHeight="1">
      <c r="A3487" s="5" t="s">
        <v>2370</v>
      </c>
    </row>
    <row r="3488" ht="15.75" customHeight="1">
      <c r="A3488" s="5" t="s">
        <v>2371</v>
      </c>
    </row>
    <row r="3489" ht="15.75" customHeight="1">
      <c r="A3489" s="5" t="s">
        <v>2372</v>
      </c>
    </row>
    <row r="3490" ht="15.75" customHeight="1">
      <c r="A3490" s="5" t="s">
        <v>2373</v>
      </c>
    </row>
    <row r="3491" ht="15.75" customHeight="1">
      <c r="A3491" s="5" t="s">
        <v>2374</v>
      </c>
    </row>
    <row r="3492" ht="15.75" customHeight="1">
      <c r="A3492" s="5" t="s">
        <v>2375</v>
      </c>
    </row>
    <row r="3493" ht="15.75" customHeight="1">
      <c r="A3493" s="5" t="s">
        <v>2376</v>
      </c>
    </row>
    <row r="3494" ht="15.75" customHeight="1">
      <c r="A3494" s="5" t="s">
        <v>2377</v>
      </c>
    </row>
    <row r="3495" ht="15.75" customHeight="1">
      <c r="A3495" s="5" t="s">
        <v>2378</v>
      </c>
    </row>
    <row r="3496" ht="15.75" customHeight="1">
      <c r="A3496" s="5" t="s">
        <v>2379</v>
      </c>
    </row>
    <row r="3497" ht="15.75" customHeight="1">
      <c r="A3497" s="5" t="s">
        <v>2380</v>
      </c>
    </row>
    <row r="3498" ht="15.75" customHeight="1">
      <c r="A3498" s="5" t="s">
        <v>2381</v>
      </c>
    </row>
    <row r="3499" ht="15.75" customHeight="1">
      <c r="A3499" s="5" t="s">
        <v>2382</v>
      </c>
    </row>
    <row r="3500" ht="15.75" customHeight="1">
      <c r="A3500" s="5" t="s">
        <v>2383</v>
      </c>
    </row>
    <row r="3501" ht="15.75" customHeight="1">
      <c r="A3501" s="5" t="s">
        <v>2384</v>
      </c>
    </row>
    <row r="3502" ht="15.75" customHeight="1">
      <c r="A3502" s="5" t="s">
        <v>2385</v>
      </c>
    </row>
    <row r="3503" ht="15.75" customHeight="1">
      <c r="A3503" s="5" t="s">
        <v>2386</v>
      </c>
    </row>
    <row r="3504" ht="15.75" customHeight="1">
      <c r="A3504" s="5" t="s">
        <v>2387</v>
      </c>
    </row>
    <row r="3505" ht="15.75" customHeight="1">
      <c r="A3505" s="5" t="s">
        <v>2388</v>
      </c>
    </row>
    <row r="3506" ht="15.75" customHeight="1">
      <c r="A3506" s="5" t="s">
        <v>2389</v>
      </c>
    </row>
    <row r="3507" ht="15.75" customHeight="1">
      <c r="A3507" s="5" t="s">
        <v>2390</v>
      </c>
    </row>
    <row r="3508" ht="15.75" customHeight="1">
      <c r="A3508" s="5" t="s">
        <v>2391</v>
      </c>
    </row>
    <row r="3509" ht="15.75" customHeight="1">
      <c r="A3509" s="5" t="s">
        <v>2392</v>
      </c>
    </row>
    <row r="3510" ht="15.75" customHeight="1">
      <c r="A3510" s="5" t="s">
        <v>2393</v>
      </c>
    </row>
    <row r="3511" ht="15.75" customHeight="1">
      <c r="A3511" s="5" t="s">
        <v>2394</v>
      </c>
    </row>
    <row r="3512" ht="15.75" customHeight="1">
      <c r="A3512" s="5" t="s">
        <v>2395</v>
      </c>
    </row>
    <row r="3513" ht="15.75" customHeight="1">
      <c r="A3513" s="5" t="s">
        <v>2396</v>
      </c>
    </row>
    <row r="3514" ht="15.75" customHeight="1">
      <c r="A3514" s="5" t="s">
        <v>2397</v>
      </c>
    </row>
    <row r="3515" ht="15.75" customHeight="1">
      <c r="A3515" s="5" t="s">
        <v>2398</v>
      </c>
    </row>
    <row r="3516" ht="15.75" customHeight="1">
      <c r="A3516" s="5" t="s">
        <v>2399</v>
      </c>
    </row>
    <row r="3517" ht="15.75" customHeight="1">
      <c r="A3517" s="5" t="s">
        <v>2400</v>
      </c>
    </row>
    <row r="3518" ht="15.75" customHeight="1">
      <c r="A3518" s="5" t="s">
        <v>2401</v>
      </c>
    </row>
    <row r="3519" ht="15.75" customHeight="1">
      <c r="A3519" s="5" t="s">
        <v>2402</v>
      </c>
    </row>
    <row r="3520" ht="15.75" customHeight="1">
      <c r="A3520" s="5" t="s">
        <v>2403</v>
      </c>
    </row>
    <row r="3521" ht="15.75" customHeight="1">
      <c r="A3521" s="5" t="s">
        <v>2404</v>
      </c>
    </row>
    <row r="3522" ht="15.75" customHeight="1">
      <c r="A3522" s="5" t="s">
        <v>2405</v>
      </c>
    </row>
    <row r="3523" ht="15.75" customHeight="1">
      <c r="A3523" s="5" t="s">
        <v>2406</v>
      </c>
    </row>
    <row r="3524" ht="15.75" customHeight="1">
      <c r="A3524" s="5" t="s">
        <v>2407</v>
      </c>
    </row>
    <row r="3525" ht="15.75" customHeight="1">
      <c r="A3525" s="5" t="s">
        <v>2408</v>
      </c>
    </row>
    <row r="3526" ht="15.75" customHeight="1">
      <c r="A3526" s="5" t="s">
        <v>2409</v>
      </c>
    </row>
    <row r="3527" ht="15.75" customHeight="1">
      <c r="A3527" s="5" t="s">
        <v>2410</v>
      </c>
    </row>
    <row r="3528" ht="15.75" customHeight="1">
      <c r="A3528" s="5" t="s">
        <v>2411</v>
      </c>
    </row>
    <row r="3529" ht="15.75" customHeight="1">
      <c r="A3529" s="5" t="s">
        <v>2412</v>
      </c>
    </row>
    <row r="3530" ht="15.75" customHeight="1">
      <c r="A3530" s="5" t="s">
        <v>2413</v>
      </c>
    </row>
    <row r="3531" ht="15.75" customHeight="1">
      <c r="A3531" s="5" t="s">
        <v>2414</v>
      </c>
    </row>
    <row r="3532" ht="15.75" customHeight="1">
      <c r="A3532" s="5" t="s">
        <v>2415</v>
      </c>
    </row>
    <row r="3533" ht="15.75" customHeight="1">
      <c r="A3533" s="5" t="s">
        <v>2416</v>
      </c>
    </row>
    <row r="3534" ht="15.75" customHeight="1">
      <c r="A3534" s="5" t="s">
        <v>2417</v>
      </c>
    </row>
    <row r="3535" ht="15.75" customHeight="1">
      <c r="A3535" s="5" t="s">
        <v>2418</v>
      </c>
    </row>
    <row r="3536" ht="15.75" customHeight="1">
      <c r="A3536" s="5" t="s">
        <v>2419</v>
      </c>
    </row>
    <row r="3537" ht="15.75" customHeight="1">
      <c r="A3537" s="5" t="s">
        <v>2420</v>
      </c>
    </row>
    <row r="3538" ht="15.75" customHeight="1">
      <c r="A3538" s="5" t="s">
        <v>2421</v>
      </c>
    </row>
    <row r="3539" ht="15.75" customHeight="1">
      <c r="A3539" s="5" t="s">
        <v>2422</v>
      </c>
    </row>
    <row r="3540" ht="15.75" customHeight="1">
      <c r="A3540" s="5" t="s">
        <v>2423</v>
      </c>
    </row>
    <row r="3541" ht="15.75" customHeight="1">
      <c r="A3541" s="5" t="s">
        <v>2424</v>
      </c>
    </row>
    <row r="3542" ht="15.75" customHeight="1">
      <c r="A3542" s="5" t="s">
        <v>2425</v>
      </c>
    </row>
    <row r="3543" ht="15.75" customHeight="1">
      <c r="A3543" s="5" t="s">
        <v>2426</v>
      </c>
    </row>
    <row r="3544" ht="15.75" customHeight="1">
      <c r="A3544" s="5" t="s">
        <v>2427</v>
      </c>
    </row>
    <row r="3545" ht="15.75" customHeight="1">
      <c r="A3545" s="5" t="s">
        <v>2428</v>
      </c>
    </row>
    <row r="3546" ht="15.75" customHeight="1">
      <c r="A3546" s="5" t="s">
        <v>2429</v>
      </c>
    </row>
    <row r="3547" ht="15.75" customHeight="1">
      <c r="A3547" s="5" t="s">
        <v>2430</v>
      </c>
    </row>
    <row r="3548" ht="15.75" customHeight="1">
      <c r="A3548" s="5" t="s">
        <v>2431</v>
      </c>
    </row>
    <row r="3549" ht="15.75" customHeight="1">
      <c r="A3549" s="5" t="s">
        <v>2432</v>
      </c>
    </row>
    <row r="3550" ht="15.75" customHeight="1">
      <c r="A3550" s="5" t="s">
        <v>2433</v>
      </c>
    </row>
    <row r="3551" ht="15.75" customHeight="1">
      <c r="A3551" s="5" t="s">
        <v>2434</v>
      </c>
    </row>
    <row r="3552" ht="15.75" customHeight="1">
      <c r="A3552" s="5" t="s">
        <v>2435</v>
      </c>
    </row>
    <row r="3553" ht="15.75" customHeight="1">
      <c r="A3553" s="5" t="s">
        <v>2436</v>
      </c>
    </row>
    <row r="3554" ht="15.75" customHeight="1">
      <c r="A3554" s="5" t="s">
        <v>2437</v>
      </c>
    </row>
    <row r="3555" ht="15.75" customHeight="1">
      <c r="A3555" s="5" t="s">
        <v>2438</v>
      </c>
    </row>
    <row r="3556" ht="15.75" customHeight="1">
      <c r="A3556" s="5" t="s">
        <v>2439</v>
      </c>
    </row>
    <row r="3557" ht="15.75" customHeight="1">
      <c r="A3557" s="5" t="s">
        <v>2440</v>
      </c>
    </row>
    <row r="3558" ht="15.75" customHeight="1">
      <c r="A3558" s="5" t="s">
        <v>2441</v>
      </c>
    </row>
    <row r="3559" ht="15.75" customHeight="1">
      <c r="A3559" s="5" t="s">
        <v>2442</v>
      </c>
    </row>
    <row r="3560" ht="15.75" customHeight="1">
      <c r="A3560" s="5" t="s">
        <v>2443</v>
      </c>
    </row>
    <row r="3561" ht="15.75" customHeight="1">
      <c r="A3561" s="5" t="s">
        <v>2444</v>
      </c>
    </row>
    <row r="3562" ht="15.75" customHeight="1">
      <c r="A3562" s="5" t="s">
        <v>2445</v>
      </c>
    </row>
    <row r="3563" ht="15.75" customHeight="1">
      <c r="A3563" s="5" t="s">
        <v>2446</v>
      </c>
    </row>
    <row r="3564" ht="15.75" customHeight="1">
      <c r="A3564" s="5" t="s">
        <v>2447</v>
      </c>
    </row>
    <row r="3565" ht="15.75" customHeight="1">
      <c r="A3565" s="5" t="s">
        <v>2448</v>
      </c>
    </row>
    <row r="3566" ht="15.75" customHeight="1">
      <c r="A3566" s="5" t="s">
        <v>2449</v>
      </c>
    </row>
    <row r="3567" ht="15.75" customHeight="1">
      <c r="A3567" s="5" t="s">
        <v>2450</v>
      </c>
    </row>
    <row r="3568" ht="15.75" customHeight="1">
      <c r="A3568" s="5" t="s">
        <v>2451</v>
      </c>
    </row>
    <row r="3569" ht="15.75" customHeight="1">
      <c r="A3569" s="5" t="s">
        <v>2452</v>
      </c>
    </row>
    <row r="3570" ht="15.75" customHeight="1">
      <c r="A3570" s="5" t="s">
        <v>2453</v>
      </c>
    </row>
    <row r="3571" ht="15.75" customHeight="1">
      <c r="A3571" s="5" t="s">
        <v>2454</v>
      </c>
    </row>
    <row r="3572" ht="15.75" customHeight="1">
      <c r="A3572" s="5" t="s">
        <v>2455</v>
      </c>
    </row>
    <row r="3573" ht="15.75" customHeight="1">
      <c r="A3573" s="5" t="s">
        <v>2456</v>
      </c>
    </row>
    <row r="3574" ht="15.75" customHeight="1">
      <c r="A3574" s="5" t="s">
        <v>2457</v>
      </c>
    </row>
    <row r="3575" ht="15.75" customHeight="1">
      <c r="A3575" s="5" t="s">
        <v>2458</v>
      </c>
    </row>
    <row r="3576" ht="15.75" customHeight="1">
      <c r="A3576" s="5" t="s">
        <v>2459</v>
      </c>
    </row>
    <row r="3577" ht="15.75" customHeight="1">
      <c r="A3577" s="5" t="s">
        <v>2460</v>
      </c>
    </row>
    <row r="3578" ht="15.75" customHeight="1">
      <c r="A3578" s="5" t="s">
        <v>2461</v>
      </c>
    </row>
    <row r="3579" ht="15.75" customHeight="1">
      <c r="A3579" s="5" t="s">
        <v>2462</v>
      </c>
    </row>
    <row r="3580" ht="15.75" customHeight="1">
      <c r="A3580" s="5" t="s">
        <v>2463</v>
      </c>
    </row>
    <row r="3581" ht="15.75" customHeight="1">
      <c r="A3581" s="5" t="s">
        <v>2464</v>
      </c>
    </row>
    <row r="3582" ht="15.75" customHeight="1">
      <c r="A3582" s="5" t="s">
        <v>2465</v>
      </c>
    </row>
    <row r="3583" ht="15.75" customHeight="1">
      <c r="A3583" s="5" t="s">
        <v>2466</v>
      </c>
    </row>
    <row r="3584" ht="15.75" customHeight="1">
      <c r="A3584" s="5" t="s">
        <v>2467</v>
      </c>
    </row>
    <row r="3585" ht="15.75" customHeight="1">
      <c r="A3585" s="5" t="s">
        <v>2468</v>
      </c>
    </row>
    <row r="3586" ht="15.75" customHeight="1">
      <c r="A3586" s="5" t="s">
        <v>2469</v>
      </c>
    </row>
    <row r="3587" ht="15.75" customHeight="1">
      <c r="A3587" s="5" t="s">
        <v>2470</v>
      </c>
    </row>
    <row r="3588" ht="15.75" customHeight="1">
      <c r="A3588" s="5" t="s">
        <v>2471</v>
      </c>
    </row>
    <row r="3589" ht="15.75" customHeight="1">
      <c r="A3589" s="5" t="s">
        <v>2472</v>
      </c>
    </row>
    <row r="3590" ht="15.75" customHeight="1">
      <c r="A3590" s="5" t="s">
        <v>2473</v>
      </c>
    </row>
    <row r="3591" ht="15.75" customHeight="1">
      <c r="A3591" s="5" t="s">
        <v>2474</v>
      </c>
    </row>
    <row r="3592" ht="15.75" customHeight="1">
      <c r="A3592" s="5" t="s">
        <v>2475</v>
      </c>
    </row>
    <row r="3593" ht="15.75" customHeight="1">
      <c r="A3593" s="5" t="s">
        <v>2476</v>
      </c>
    </row>
    <row r="3594" ht="15.75" customHeight="1">
      <c r="A3594" s="5" t="s">
        <v>2477</v>
      </c>
    </row>
    <row r="3595" ht="15.75" customHeight="1">
      <c r="A3595" s="5" t="s">
        <v>2478</v>
      </c>
    </row>
    <row r="3596" ht="15.75" customHeight="1">
      <c r="A3596" s="5" t="s">
        <v>2479</v>
      </c>
    </row>
    <row r="3597" ht="15.75" customHeight="1">
      <c r="A3597" s="5" t="s">
        <v>2480</v>
      </c>
    </row>
    <row r="3598" ht="15.75" customHeight="1">
      <c r="A3598" s="5" t="s">
        <v>2481</v>
      </c>
    </row>
    <row r="3599" ht="15.75" customHeight="1">
      <c r="A3599" s="5" t="s">
        <v>2482</v>
      </c>
    </row>
    <row r="3600" ht="15.75" customHeight="1">
      <c r="A3600" s="5" t="s">
        <v>2483</v>
      </c>
    </row>
    <row r="3601" ht="15.75" customHeight="1">
      <c r="A3601" s="5" t="s">
        <v>2484</v>
      </c>
    </row>
    <row r="3602" ht="15.75" customHeight="1">
      <c r="A3602" s="5" t="s">
        <v>2485</v>
      </c>
    </row>
    <row r="3603" ht="15.75" customHeight="1">
      <c r="A3603" s="5" t="s">
        <v>2486</v>
      </c>
    </row>
    <row r="3604" ht="15.75" customHeight="1">
      <c r="A3604" s="5" t="s">
        <v>2487</v>
      </c>
    </row>
    <row r="3605" ht="15.75" customHeight="1">
      <c r="A3605" s="5" t="s">
        <v>2488</v>
      </c>
    </row>
    <row r="3606" ht="15.75" customHeight="1">
      <c r="A3606" s="5" t="s">
        <v>2489</v>
      </c>
    </row>
    <row r="3607" ht="15.75" customHeight="1">
      <c r="A3607" s="5" t="s">
        <v>2490</v>
      </c>
    </row>
    <row r="3608" ht="15.75" customHeight="1">
      <c r="A3608" s="5" t="s">
        <v>2491</v>
      </c>
    </row>
    <row r="3609" ht="15.75" customHeight="1">
      <c r="A3609" s="5" t="s">
        <v>2492</v>
      </c>
    </row>
    <row r="3610" ht="15.75" customHeight="1">
      <c r="A3610" s="5" t="s">
        <v>2493</v>
      </c>
    </row>
    <row r="3611" ht="15.75" customHeight="1">
      <c r="A3611" s="5" t="s">
        <v>2494</v>
      </c>
    </row>
    <row r="3612" ht="15.75" customHeight="1">
      <c r="A3612" s="5" t="s">
        <v>2495</v>
      </c>
    </row>
    <row r="3613" ht="15.75" customHeight="1">
      <c r="A3613" s="5" t="s">
        <v>2496</v>
      </c>
    </row>
    <row r="3614" ht="15.75" customHeight="1">
      <c r="A3614" s="5" t="s">
        <v>2497</v>
      </c>
    </row>
    <row r="3615" ht="15.75" customHeight="1">
      <c r="A3615" s="5" t="s">
        <v>2498</v>
      </c>
    </row>
    <row r="3616" ht="15.75" customHeight="1">
      <c r="A3616" s="5" t="s">
        <v>2499</v>
      </c>
    </row>
    <row r="3617" ht="15.75" customHeight="1">
      <c r="A3617" s="5" t="s">
        <v>2500</v>
      </c>
    </row>
    <row r="3618" ht="15.75" customHeight="1">
      <c r="A3618" s="5" t="s">
        <v>2501</v>
      </c>
    </row>
    <row r="3619" ht="15.75" customHeight="1">
      <c r="A3619" s="5" t="s">
        <v>2502</v>
      </c>
    </row>
    <row r="3620" ht="15.75" customHeight="1">
      <c r="A3620" s="5" t="s">
        <v>2503</v>
      </c>
    </row>
    <row r="3621" ht="15.75" customHeight="1">
      <c r="A3621" s="5" t="s">
        <v>2504</v>
      </c>
    </row>
    <row r="3622" ht="15.75" customHeight="1">
      <c r="A3622" s="5" t="s">
        <v>2505</v>
      </c>
    </row>
    <row r="3623" ht="15.75" customHeight="1">
      <c r="A3623" s="5" t="s">
        <v>2506</v>
      </c>
    </row>
    <row r="3624" ht="15.75" customHeight="1">
      <c r="A3624" s="5" t="s">
        <v>2507</v>
      </c>
    </row>
    <row r="3625" ht="15.75" customHeight="1">
      <c r="A3625" s="5" t="s">
        <v>2508</v>
      </c>
    </row>
    <row r="3626" ht="15.75" customHeight="1">
      <c r="A3626" s="5" t="s">
        <v>2509</v>
      </c>
    </row>
    <row r="3627" ht="15.75" customHeight="1">
      <c r="A3627" s="5" t="s">
        <v>2510</v>
      </c>
    </row>
    <row r="3628" ht="15.75" customHeight="1">
      <c r="A3628" s="5" t="s">
        <v>2511</v>
      </c>
    </row>
    <row r="3629" ht="15.75" customHeight="1">
      <c r="A3629" s="5" t="s">
        <v>2512</v>
      </c>
    </row>
    <row r="3630" ht="15.75" customHeight="1">
      <c r="A3630" s="5" t="s">
        <v>2513</v>
      </c>
    </row>
    <row r="3631" ht="15.75" customHeight="1">
      <c r="A3631" s="5" t="s">
        <v>2514</v>
      </c>
    </row>
    <row r="3632" ht="15.75" customHeight="1">
      <c r="A3632" s="5" t="s">
        <v>2515</v>
      </c>
    </row>
    <row r="3633" ht="15.75" customHeight="1">
      <c r="A3633" s="5" t="s">
        <v>2516</v>
      </c>
    </row>
    <row r="3634" ht="15.75" customHeight="1">
      <c r="A3634" s="5" t="s">
        <v>2517</v>
      </c>
    </row>
    <row r="3635" ht="15.75" customHeight="1">
      <c r="A3635" s="5" t="s">
        <v>2518</v>
      </c>
    </row>
    <row r="3636" ht="15.75" customHeight="1">
      <c r="A3636" s="5" t="s">
        <v>2519</v>
      </c>
    </row>
    <row r="3637" ht="15.75" customHeight="1">
      <c r="A3637" s="5" t="s">
        <v>2520</v>
      </c>
    </row>
    <row r="3638" ht="15.75" customHeight="1">
      <c r="A3638" s="5" t="s">
        <v>2521</v>
      </c>
    </row>
    <row r="3639" ht="15.75" customHeight="1">
      <c r="A3639" s="5" t="s">
        <v>2522</v>
      </c>
    </row>
    <row r="3640" ht="15.75" customHeight="1">
      <c r="A3640" s="5" t="s">
        <v>2523</v>
      </c>
    </row>
    <row r="3641" ht="15.75" customHeight="1">
      <c r="A3641" s="5" t="s">
        <v>2524</v>
      </c>
    </row>
    <row r="3642" ht="15.75" customHeight="1">
      <c r="A3642" s="5" t="s">
        <v>2525</v>
      </c>
    </row>
    <row r="3643" ht="15.75" customHeight="1">
      <c r="A3643" s="5" t="s">
        <v>2526</v>
      </c>
    </row>
    <row r="3644" ht="15.75" customHeight="1">
      <c r="A3644" s="5" t="s">
        <v>2527</v>
      </c>
    </row>
    <row r="3645" ht="15.75" customHeight="1">
      <c r="A3645" s="5" t="s">
        <v>2528</v>
      </c>
    </row>
    <row r="3646" ht="15.75" customHeight="1">
      <c r="A3646" s="5" t="s">
        <v>2529</v>
      </c>
    </row>
    <row r="3647" ht="15.75" customHeight="1">
      <c r="A3647" s="5" t="s">
        <v>2530</v>
      </c>
    </row>
    <row r="3648" ht="15.75" customHeight="1">
      <c r="A3648" s="5" t="s">
        <v>2531</v>
      </c>
    </row>
    <row r="3649" ht="15.75" customHeight="1">
      <c r="A3649" s="5" t="s">
        <v>2532</v>
      </c>
    </row>
    <row r="3650" ht="15.75" customHeight="1">
      <c r="A3650" s="5" t="s">
        <v>2533</v>
      </c>
    </row>
    <row r="3651" ht="15.75" customHeight="1">
      <c r="A3651" s="5" t="s">
        <v>2534</v>
      </c>
    </row>
    <row r="3652" ht="15.75" customHeight="1">
      <c r="A3652" s="5" t="s">
        <v>2535</v>
      </c>
    </row>
    <row r="3653" ht="15.75" customHeight="1">
      <c r="A3653" s="5" t="s">
        <v>2536</v>
      </c>
    </row>
    <row r="3654" ht="15.75" customHeight="1">
      <c r="A3654" s="5" t="s">
        <v>2537</v>
      </c>
    </row>
    <row r="3655" ht="15.75" customHeight="1">
      <c r="A3655" s="5" t="s">
        <v>2538</v>
      </c>
    </row>
    <row r="3656" ht="15.75" customHeight="1">
      <c r="A3656" s="5" t="s">
        <v>2539</v>
      </c>
    </row>
    <row r="3657" ht="15.75" customHeight="1">
      <c r="A3657" s="5" t="s">
        <v>2540</v>
      </c>
    </row>
    <row r="3658" ht="15.75" customHeight="1">
      <c r="A3658" s="5" t="s">
        <v>2541</v>
      </c>
    </row>
    <row r="3659" ht="15.75" customHeight="1">
      <c r="A3659" s="5" t="s">
        <v>2542</v>
      </c>
    </row>
    <row r="3660" ht="15.75" customHeight="1">
      <c r="A3660" s="5" t="s">
        <v>2543</v>
      </c>
    </row>
    <row r="3661" ht="15.75" customHeight="1">
      <c r="A3661" s="5" t="s">
        <v>2544</v>
      </c>
    </row>
    <row r="3662" ht="15.75" customHeight="1">
      <c r="A3662" s="5" t="s">
        <v>2545</v>
      </c>
    </row>
    <row r="3663" ht="15.75" customHeight="1">
      <c r="A3663" s="5" t="s">
        <v>2546</v>
      </c>
    </row>
    <row r="3664" ht="15.75" customHeight="1">
      <c r="A3664" s="5" t="s">
        <v>2547</v>
      </c>
    </row>
    <row r="3665" ht="15.75" customHeight="1">
      <c r="A3665" s="5" t="s">
        <v>2548</v>
      </c>
    </row>
    <row r="3666" ht="15.75" customHeight="1">
      <c r="A3666" s="5" t="s">
        <v>2549</v>
      </c>
    </row>
    <row r="3667" ht="15.75" customHeight="1">
      <c r="A3667" s="5" t="s">
        <v>2550</v>
      </c>
    </row>
    <row r="3668" ht="15.75" customHeight="1">
      <c r="A3668" s="5" t="s">
        <v>2551</v>
      </c>
    </row>
    <row r="3669" ht="15.75" customHeight="1">
      <c r="A3669" s="5" t="s">
        <v>2552</v>
      </c>
    </row>
    <row r="3670" ht="15.75" customHeight="1">
      <c r="A3670" s="5" t="s">
        <v>2553</v>
      </c>
    </row>
    <row r="3671" ht="15.75" customHeight="1">
      <c r="A3671" s="5" t="s">
        <v>2554</v>
      </c>
    </row>
    <row r="3672" ht="15.75" customHeight="1">
      <c r="A3672" s="5" t="s">
        <v>2555</v>
      </c>
    </row>
    <row r="3673" ht="15.75" customHeight="1">
      <c r="A3673" s="5" t="s">
        <v>2556</v>
      </c>
    </row>
    <row r="3674" ht="15.75" customHeight="1">
      <c r="A3674" s="5" t="s">
        <v>2557</v>
      </c>
    </row>
    <row r="3675" ht="15.75" customHeight="1">
      <c r="A3675" s="5" t="s">
        <v>2558</v>
      </c>
    </row>
    <row r="3676" ht="15.75" customHeight="1">
      <c r="A3676" s="5" t="s">
        <v>2559</v>
      </c>
    </row>
    <row r="3677" ht="15.75" customHeight="1">
      <c r="A3677" s="5" t="s">
        <v>2560</v>
      </c>
    </row>
    <row r="3678" ht="15.75" customHeight="1">
      <c r="A3678" s="5" t="s">
        <v>2561</v>
      </c>
    </row>
    <row r="3679" ht="15.75" customHeight="1">
      <c r="A3679" s="5" t="s">
        <v>2562</v>
      </c>
    </row>
    <row r="3680" ht="15.75" customHeight="1">
      <c r="A3680" s="5" t="s">
        <v>2563</v>
      </c>
    </row>
    <row r="3681" ht="15.75" customHeight="1">
      <c r="A3681" s="5" t="s">
        <v>2564</v>
      </c>
    </row>
    <row r="3682" ht="15.75" customHeight="1">
      <c r="A3682" s="5" t="s">
        <v>2565</v>
      </c>
    </row>
    <row r="3683" ht="15.75" customHeight="1">
      <c r="A3683" s="5" t="s">
        <v>2566</v>
      </c>
    </row>
    <row r="3684" ht="15.75" customHeight="1">
      <c r="A3684" s="5" t="s">
        <v>2567</v>
      </c>
    </row>
    <row r="3685" ht="15.75" customHeight="1">
      <c r="A3685" s="5" t="s">
        <v>2568</v>
      </c>
    </row>
    <row r="3686" ht="15.75" customHeight="1">
      <c r="A3686" s="5" t="s">
        <v>2569</v>
      </c>
    </row>
    <row r="3687" ht="15.75" customHeight="1">
      <c r="A3687" s="5" t="s">
        <v>2570</v>
      </c>
    </row>
    <row r="3688" ht="15.75" customHeight="1">
      <c r="A3688" s="5" t="s">
        <v>2571</v>
      </c>
    </row>
    <row r="3689" ht="15.75" customHeight="1">
      <c r="A3689" s="5" t="s">
        <v>2572</v>
      </c>
    </row>
    <row r="3690" ht="15.75" customHeight="1">
      <c r="A3690" s="5" t="s">
        <v>2573</v>
      </c>
    </row>
    <row r="3691" ht="15.75" customHeight="1">
      <c r="A3691" s="5" t="s">
        <v>2574</v>
      </c>
    </row>
    <row r="3692" ht="15.75" customHeight="1">
      <c r="A3692" s="5" t="s">
        <v>2575</v>
      </c>
    </row>
    <row r="3693" ht="15.75" customHeight="1">
      <c r="A3693" s="5" t="s">
        <v>2576</v>
      </c>
    </row>
    <row r="3694" ht="15.75" customHeight="1">
      <c r="A3694" s="5" t="s">
        <v>2577</v>
      </c>
    </row>
    <row r="3695" ht="15.75" customHeight="1">
      <c r="A3695" s="5" t="s">
        <v>2578</v>
      </c>
    </row>
    <row r="3696" ht="15.75" customHeight="1">
      <c r="A3696" s="5" t="s">
        <v>2579</v>
      </c>
    </row>
    <row r="3697" ht="15.75" customHeight="1">
      <c r="A3697" s="5" t="s">
        <v>2580</v>
      </c>
    </row>
    <row r="3698" ht="15.75" customHeight="1">
      <c r="A3698" s="5" t="s">
        <v>2581</v>
      </c>
    </row>
    <row r="3699" ht="15.75" customHeight="1">
      <c r="A3699" s="5" t="s">
        <v>2582</v>
      </c>
    </row>
    <row r="3700" ht="15.75" customHeight="1">
      <c r="A3700" s="5" t="s">
        <v>2583</v>
      </c>
    </row>
    <row r="3701" ht="15.75" customHeight="1">
      <c r="A3701" s="5" t="s">
        <v>2584</v>
      </c>
    </row>
    <row r="3702" ht="15.75" customHeight="1">
      <c r="A3702" s="5" t="s">
        <v>2585</v>
      </c>
    </row>
    <row r="3703" ht="15.75" customHeight="1">
      <c r="A3703" s="5" t="s">
        <v>2586</v>
      </c>
    </row>
    <row r="3704" ht="15.75" customHeight="1">
      <c r="A3704" s="5" t="s">
        <v>2587</v>
      </c>
    </row>
    <row r="3705" ht="15.75" customHeight="1">
      <c r="A3705" s="5" t="s">
        <v>2588</v>
      </c>
    </row>
    <row r="3706" ht="15.75" customHeight="1">
      <c r="A3706" s="5" t="s">
        <v>2589</v>
      </c>
    </row>
    <row r="3707" ht="15.75" customHeight="1">
      <c r="A3707" s="5" t="s">
        <v>2590</v>
      </c>
    </row>
    <row r="3708" ht="15.75" customHeight="1">
      <c r="A3708" s="5" t="s">
        <v>2591</v>
      </c>
    </row>
    <row r="3709" ht="15.75" customHeight="1">
      <c r="A3709" s="5" t="s">
        <v>2592</v>
      </c>
    </row>
    <row r="3710" ht="15.75" customHeight="1">
      <c r="A3710" s="5" t="s">
        <v>2593</v>
      </c>
    </row>
    <row r="3711" ht="15.75" customHeight="1">
      <c r="A3711" s="5" t="s">
        <v>2594</v>
      </c>
    </row>
    <row r="3712" ht="15.75" customHeight="1">
      <c r="A3712" s="5" t="s">
        <v>2595</v>
      </c>
    </row>
    <row r="3713" ht="15.75" customHeight="1">
      <c r="A3713" s="5" t="s">
        <v>2596</v>
      </c>
    </row>
    <row r="3714" ht="15.75" customHeight="1">
      <c r="A3714" s="5" t="s">
        <v>2597</v>
      </c>
    </row>
    <row r="3715" ht="15.75" customHeight="1">
      <c r="A3715" s="5" t="s">
        <v>2598</v>
      </c>
    </row>
    <row r="3716" ht="15.75" customHeight="1">
      <c r="A3716" s="5" t="s">
        <v>2599</v>
      </c>
    </row>
    <row r="3717" ht="15.75" customHeight="1">
      <c r="A3717" s="5" t="s">
        <v>2600</v>
      </c>
    </row>
    <row r="3718" ht="15.75" customHeight="1">
      <c r="A3718" s="5" t="s">
        <v>2601</v>
      </c>
    </row>
    <row r="3719" ht="15.75" customHeight="1">
      <c r="A3719" s="5" t="s">
        <v>2602</v>
      </c>
    </row>
    <row r="3720" ht="15.75" customHeight="1">
      <c r="A3720" s="5" t="s">
        <v>2603</v>
      </c>
    </row>
    <row r="3721" ht="15.75" customHeight="1">
      <c r="A3721" s="5" t="s">
        <v>2604</v>
      </c>
    </row>
    <row r="3722" ht="15.75" customHeight="1">
      <c r="A3722" s="5" t="s">
        <v>2605</v>
      </c>
    </row>
    <row r="3723" ht="15.75" customHeight="1">
      <c r="A3723" s="5" t="s">
        <v>2606</v>
      </c>
    </row>
    <row r="3724" ht="15.75" customHeight="1">
      <c r="A3724" s="5" t="s">
        <v>2607</v>
      </c>
    </row>
    <row r="3725" ht="15.75" customHeight="1">
      <c r="A3725" s="5" t="s">
        <v>2608</v>
      </c>
    </row>
    <row r="3726" ht="15.75" customHeight="1">
      <c r="A3726" s="5" t="s">
        <v>2609</v>
      </c>
    </row>
    <row r="3727" ht="15.75" customHeight="1">
      <c r="A3727" s="5" t="s">
        <v>2610</v>
      </c>
    </row>
    <row r="3728" ht="15.75" customHeight="1">
      <c r="A3728" s="5" t="s">
        <v>2611</v>
      </c>
    </row>
    <row r="3729" ht="15.75" customHeight="1">
      <c r="A3729" s="5" t="s">
        <v>2612</v>
      </c>
    </row>
    <row r="3730" ht="15.75" customHeight="1">
      <c r="A3730" s="5" t="s">
        <v>2613</v>
      </c>
    </row>
    <row r="3731" ht="15.75" customHeight="1">
      <c r="A3731" s="5" t="s">
        <v>2614</v>
      </c>
    </row>
    <row r="3732" ht="15.75" customHeight="1">
      <c r="A3732" s="5" t="s">
        <v>2615</v>
      </c>
    </row>
    <row r="3733" ht="15.75" customHeight="1">
      <c r="A3733" s="5" t="s">
        <v>2616</v>
      </c>
    </row>
    <row r="3734" ht="15.75" customHeight="1">
      <c r="A3734" s="5" t="s">
        <v>2617</v>
      </c>
    </row>
    <row r="3735" ht="15.75" customHeight="1">
      <c r="A3735" s="5" t="s">
        <v>2618</v>
      </c>
    </row>
    <row r="3736" ht="15.75" customHeight="1">
      <c r="A3736" s="5" t="s">
        <v>2619</v>
      </c>
    </row>
    <row r="3737" ht="15.75" customHeight="1">
      <c r="A3737" s="5" t="s">
        <v>2620</v>
      </c>
    </row>
    <row r="3738" ht="15.75" customHeight="1">
      <c r="A3738" s="5" t="s">
        <v>2621</v>
      </c>
    </row>
    <row r="3739" ht="15.75" customHeight="1">
      <c r="A3739" s="5" t="s">
        <v>2622</v>
      </c>
    </row>
    <row r="3740" ht="15.75" customHeight="1">
      <c r="A3740" s="5" t="s">
        <v>2623</v>
      </c>
    </row>
    <row r="3741" ht="15.75" customHeight="1">
      <c r="A3741" s="5" t="s">
        <v>2624</v>
      </c>
    </row>
    <row r="3742" ht="15.75" customHeight="1">
      <c r="A3742" s="5" t="s">
        <v>2625</v>
      </c>
    </row>
    <row r="3743" ht="15.75" customHeight="1">
      <c r="A3743" s="5" t="s">
        <v>2626</v>
      </c>
    </row>
    <row r="3744" ht="15.75" customHeight="1">
      <c r="A3744" s="5" t="s">
        <v>2627</v>
      </c>
    </row>
    <row r="3745" ht="15.75" customHeight="1">
      <c r="A3745" s="5" t="s">
        <v>2628</v>
      </c>
    </row>
    <row r="3746" ht="15.75" customHeight="1">
      <c r="A3746" s="5" t="s">
        <v>2629</v>
      </c>
    </row>
    <row r="3747" ht="15.75" customHeight="1">
      <c r="A3747" s="5" t="s">
        <v>2630</v>
      </c>
    </row>
    <row r="3748" ht="15.75" customHeight="1">
      <c r="A3748" s="5" t="s">
        <v>2631</v>
      </c>
    </row>
    <row r="3749" ht="15.75" customHeight="1">
      <c r="A3749" s="5" t="s">
        <v>2632</v>
      </c>
    </row>
    <row r="3750" ht="15.75" customHeight="1">
      <c r="A3750" s="5" t="s">
        <v>2633</v>
      </c>
    </row>
    <row r="3751" ht="15.75" customHeight="1">
      <c r="A3751" s="5" t="s">
        <v>2634</v>
      </c>
    </row>
    <row r="3752" ht="15.75" customHeight="1">
      <c r="A3752" s="5" t="s">
        <v>2635</v>
      </c>
    </row>
    <row r="3753" ht="15.75" customHeight="1">
      <c r="A3753" s="5" t="s">
        <v>2636</v>
      </c>
    </row>
    <row r="3754" ht="15.75" customHeight="1">
      <c r="A3754" s="5" t="s">
        <v>2637</v>
      </c>
    </row>
    <row r="3755" ht="15.75" customHeight="1">
      <c r="A3755" s="5" t="s">
        <v>2638</v>
      </c>
    </row>
    <row r="3756" ht="15.75" customHeight="1">
      <c r="A3756" s="5" t="s">
        <v>2639</v>
      </c>
    </row>
    <row r="3757" ht="15.75" customHeight="1">
      <c r="A3757" s="5" t="s">
        <v>2640</v>
      </c>
    </row>
    <row r="3758" ht="15.75" customHeight="1">
      <c r="A3758" s="5" t="s">
        <v>2641</v>
      </c>
    </row>
    <row r="3759" ht="15.75" customHeight="1">
      <c r="A3759" s="5" t="s">
        <v>2642</v>
      </c>
    </row>
    <row r="3760" ht="15.75" customHeight="1">
      <c r="A3760" s="5" t="s">
        <v>2643</v>
      </c>
    </row>
    <row r="3761" ht="15.75" customHeight="1">
      <c r="A3761" s="5" t="s">
        <v>2644</v>
      </c>
    </row>
    <row r="3762" ht="15.75" customHeight="1">
      <c r="A3762" s="5" t="s">
        <v>2645</v>
      </c>
    </row>
    <row r="3763" ht="15.75" customHeight="1">
      <c r="A3763" s="5" t="s">
        <v>2646</v>
      </c>
    </row>
    <row r="3764" ht="15.75" customHeight="1">
      <c r="A3764" s="5" t="s">
        <v>2647</v>
      </c>
    </row>
    <row r="3765" ht="15.75" customHeight="1">
      <c r="A3765" s="5" t="s">
        <v>2648</v>
      </c>
    </row>
    <row r="3766" ht="15.75" customHeight="1">
      <c r="A3766" s="5" t="s">
        <v>2649</v>
      </c>
    </row>
    <row r="3767" ht="15.75" customHeight="1">
      <c r="A3767" s="5" t="s">
        <v>2650</v>
      </c>
    </row>
    <row r="3768" ht="15.75" customHeight="1">
      <c r="A3768" s="5" t="s">
        <v>2651</v>
      </c>
    </row>
    <row r="3769" ht="15.75" customHeight="1">
      <c r="A3769" s="5" t="s">
        <v>2652</v>
      </c>
    </row>
    <row r="3770" ht="15.75" customHeight="1">
      <c r="A3770" s="5" t="s">
        <v>2653</v>
      </c>
    </row>
    <row r="3771" ht="15.75" customHeight="1">
      <c r="A3771" s="5" t="s">
        <v>2654</v>
      </c>
    </row>
    <row r="3772" ht="15.75" customHeight="1">
      <c r="A3772" s="5" t="s">
        <v>2655</v>
      </c>
    </row>
    <row r="3773" ht="15.75" customHeight="1">
      <c r="A3773" s="5" t="s">
        <v>2656</v>
      </c>
    </row>
    <row r="3774" ht="15.75" customHeight="1">
      <c r="A3774" s="5" t="s">
        <v>2657</v>
      </c>
    </row>
    <row r="3775" ht="15.75" customHeight="1">
      <c r="A3775" s="5" t="s">
        <v>2658</v>
      </c>
    </row>
    <row r="3776" ht="15.75" customHeight="1">
      <c r="A3776" s="5" t="s">
        <v>2659</v>
      </c>
    </row>
    <row r="3777" ht="15.75" customHeight="1">
      <c r="A3777" s="5" t="s">
        <v>2660</v>
      </c>
    </row>
    <row r="3778" ht="15.75" customHeight="1">
      <c r="A3778" s="5" t="s">
        <v>2661</v>
      </c>
    </row>
    <row r="3779" ht="15.75" customHeight="1">
      <c r="A3779" s="5" t="s">
        <v>2662</v>
      </c>
    </row>
    <row r="3780" ht="15.75" customHeight="1">
      <c r="A3780" s="5" t="s">
        <v>2663</v>
      </c>
    </row>
    <row r="3781" ht="15.75" customHeight="1">
      <c r="A3781" s="5" t="s">
        <v>2664</v>
      </c>
    </row>
    <row r="3782" ht="15.75" customHeight="1">
      <c r="A3782" s="5" t="s">
        <v>2665</v>
      </c>
    </row>
    <row r="3783" ht="15.75" customHeight="1">
      <c r="A3783" s="5" t="s">
        <v>2666</v>
      </c>
    </row>
    <row r="3784" ht="15.75" customHeight="1">
      <c r="A3784" s="5" t="s">
        <v>2667</v>
      </c>
    </row>
    <row r="3785" ht="15.75" customHeight="1">
      <c r="A3785" s="5" t="s">
        <v>2668</v>
      </c>
    </row>
    <row r="3786" ht="15.75" customHeight="1">
      <c r="A3786" s="5" t="s">
        <v>2669</v>
      </c>
    </row>
    <row r="3787" ht="15.75" customHeight="1">
      <c r="A3787" s="5" t="s">
        <v>2670</v>
      </c>
    </row>
    <row r="3788" ht="15.75" customHeight="1">
      <c r="A3788" s="5" t="s">
        <v>2671</v>
      </c>
    </row>
    <row r="3789" ht="15.75" customHeight="1">
      <c r="A3789" s="5" t="s">
        <v>2672</v>
      </c>
    </row>
    <row r="3790" ht="15.75" customHeight="1">
      <c r="A3790" s="5" t="s">
        <v>2673</v>
      </c>
    </row>
    <row r="3791" ht="15.75" customHeight="1">
      <c r="A3791" s="5" t="s">
        <v>2674</v>
      </c>
    </row>
    <row r="3792" ht="15.75" customHeight="1">
      <c r="A3792" s="5" t="s">
        <v>2675</v>
      </c>
    </row>
    <row r="3793" ht="15.75" customHeight="1">
      <c r="A3793" s="5" t="s">
        <v>2676</v>
      </c>
    </row>
    <row r="3794" ht="15.75" customHeight="1">
      <c r="A3794" s="5" t="s">
        <v>2677</v>
      </c>
    </row>
    <row r="3795" ht="15.75" customHeight="1">
      <c r="A3795" s="5" t="s">
        <v>2678</v>
      </c>
    </row>
    <row r="3796" ht="15.75" customHeight="1">
      <c r="A3796" s="5" t="s">
        <v>2679</v>
      </c>
    </row>
    <row r="3797" ht="15.75" customHeight="1">
      <c r="A3797" s="5" t="s">
        <v>2680</v>
      </c>
    </row>
    <row r="3798" ht="15.75" customHeight="1">
      <c r="A3798" s="5" t="s">
        <v>2681</v>
      </c>
    </row>
    <row r="3799" ht="15.75" customHeight="1">
      <c r="A3799" s="5" t="s">
        <v>2682</v>
      </c>
    </row>
    <row r="3800" ht="15.75" customHeight="1">
      <c r="A3800" s="5" t="s">
        <v>2683</v>
      </c>
    </row>
    <row r="3801" ht="15.75" customHeight="1">
      <c r="A3801" s="5" t="s">
        <v>2684</v>
      </c>
    </row>
    <row r="3802" ht="15.75" customHeight="1">
      <c r="A3802" s="5" t="s">
        <v>2685</v>
      </c>
    </row>
    <row r="3803" ht="15.75" customHeight="1">
      <c r="A3803" s="5" t="s">
        <v>2686</v>
      </c>
    </row>
    <row r="3804" ht="15.75" customHeight="1">
      <c r="A3804" s="5" t="s">
        <v>2687</v>
      </c>
    </row>
    <row r="3805" ht="15.75" customHeight="1">
      <c r="A3805" s="5" t="s">
        <v>2688</v>
      </c>
    </row>
    <row r="3806" ht="15.75" customHeight="1">
      <c r="A3806" s="5" t="s">
        <v>2689</v>
      </c>
    </row>
    <row r="3807" ht="15.75" customHeight="1">
      <c r="A3807" s="5" t="s">
        <v>2690</v>
      </c>
    </row>
    <row r="3808" ht="15.75" customHeight="1">
      <c r="A3808" s="5" t="s">
        <v>2691</v>
      </c>
    </row>
    <row r="3809" ht="15.75" customHeight="1">
      <c r="A3809" s="5" t="s">
        <v>2692</v>
      </c>
    </row>
    <row r="3810" ht="15.75" customHeight="1">
      <c r="A3810" s="5" t="s">
        <v>2693</v>
      </c>
    </row>
    <row r="3811" ht="15.75" customHeight="1">
      <c r="A3811" s="5" t="s">
        <v>2694</v>
      </c>
    </row>
    <row r="3812" ht="15.75" customHeight="1">
      <c r="A3812" s="5" t="s">
        <v>2695</v>
      </c>
    </row>
    <row r="3813" ht="15.75" customHeight="1">
      <c r="A3813" s="5" t="s">
        <v>2696</v>
      </c>
    </row>
    <row r="3814" ht="15.75" customHeight="1">
      <c r="A3814" s="5" t="s">
        <v>2697</v>
      </c>
    </row>
    <row r="3815" ht="15.75" customHeight="1">
      <c r="A3815" s="5" t="s">
        <v>2698</v>
      </c>
    </row>
    <row r="3816" ht="15.75" customHeight="1">
      <c r="A3816" s="5" t="s">
        <v>2699</v>
      </c>
    </row>
    <row r="3817" ht="15.75" customHeight="1">
      <c r="A3817" s="5" t="s">
        <v>2700</v>
      </c>
    </row>
    <row r="3818" ht="15.75" customHeight="1">
      <c r="A3818" s="5" t="s">
        <v>2701</v>
      </c>
    </row>
    <row r="3819" ht="15.75" customHeight="1">
      <c r="A3819" s="5" t="s">
        <v>2702</v>
      </c>
    </row>
    <row r="3820" ht="15.75" customHeight="1">
      <c r="A3820" s="5" t="s">
        <v>2703</v>
      </c>
    </row>
    <row r="3821" ht="15.75" customHeight="1">
      <c r="A3821" s="5" t="s">
        <v>2704</v>
      </c>
    </row>
    <row r="3822" ht="15.75" customHeight="1">
      <c r="A3822" s="5" t="s">
        <v>2705</v>
      </c>
    </row>
    <row r="3823" ht="15.75" customHeight="1">
      <c r="A3823" s="5" t="s">
        <v>2706</v>
      </c>
    </row>
    <row r="3824" ht="15.75" customHeight="1">
      <c r="A3824" s="5" t="s">
        <v>2707</v>
      </c>
    </row>
    <row r="3825" ht="15.75" customHeight="1">
      <c r="A3825" s="5" t="s">
        <v>2708</v>
      </c>
    </row>
    <row r="3826" ht="15.75" customHeight="1">
      <c r="A3826" s="5" t="s">
        <v>2709</v>
      </c>
    </row>
    <row r="3827" ht="15.75" customHeight="1">
      <c r="A3827" s="5" t="s">
        <v>2710</v>
      </c>
    </row>
    <row r="3828" ht="15.75" customHeight="1">
      <c r="A3828" s="5" t="s">
        <v>2711</v>
      </c>
    </row>
    <row r="3829" ht="15.75" customHeight="1">
      <c r="A3829" s="5" t="s">
        <v>2712</v>
      </c>
    </row>
    <row r="3830" ht="15.75" customHeight="1">
      <c r="A3830" s="5" t="s">
        <v>2713</v>
      </c>
    </row>
    <row r="3831" ht="15.75" customHeight="1">
      <c r="A3831" s="5" t="s">
        <v>2714</v>
      </c>
    </row>
    <row r="3832" ht="15.75" customHeight="1">
      <c r="A3832" s="5" t="s">
        <v>2715</v>
      </c>
    </row>
    <row r="3833" ht="15.75" customHeight="1">
      <c r="A3833" s="5" t="s">
        <v>2716</v>
      </c>
    </row>
    <row r="3834" ht="15.75" customHeight="1">
      <c r="A3834" s="5" t="s">
        <v>2717</v>
      </c>
    </row>
    <row r="3835" ht="15.75" customHeight="1">
      <c r="A3835" s="5" t="s">
        <v>2718</v>
      </c>
    </row>
    <row r="3836" ht="15.75" customHeight="1">
      <c r="A3836" s="5" t="s">
        <v>2719</v>
      </c>
    </row>
    <row r="3837" ht="15.75" customHeight="1">
      <c r="A3837" s="5" t="s">
        <v>2720</v>
      </c>
    </row>
    <row r="3838" ht="15.75" customHeight="1">
      <c r="A3838" s="5" t="s">
        <v>2721</v>
      </c>
    </row>
    <row r="3839" ht="15.75" customHeight="1">
      <c r="A3839" s="5" t="s">
        <v>2722</v>
      </c>
    </row>
    <row r="3840" ht="15.75" customHeight="1">
      <c r="A3840" s="5" t="s">
        <v>2723</v>
      </c>
    </row>
    <row r="3841" ht="15.75" customHeight="1">
      <c r="A3841" s="5" t="s">
        <v>2724</v>
      </c>
    </row>
    <row r="3842" ht="15.75" customHeight="1">
      <c r="A3842" s="5" t="s">
        <v>2725</v>
      </c>
    </row>
    <row r="3843" ht="15.75" customHeight="1">
      <c r="A3843" s="5" t="s">
        <v>2726</v>
      </c>
    </row>
    <row r="3844" ht="15.75" customHeight="1">
      <c r="A3844" s="5" t="s">
        <v>2727</v>
      </c>
    </row>
    <row r="3845" ht="15.75" customHeight="1">
      <c r="A3845" s="5" t="s">
        <v>2728</v>
      </c>
    </row>
    <row r="3846" ht="15.75" customHeight="1">
      <c r="A3846" s="5" t="s">
        <v>2729</v>
      </c>
    </row>
    <row r="3847" ht="15.75" customHeight="1">
      <c r="A3847" s="5" t="s">
        <v>2730</v>
      </c>
    </row>
    <row r="3848" ht="15.75" customHeight="1">
      <c r="A3848" s="5" t="s">
        <v>2731</v>
      </c>
    </row>
    <row r="3849" ht="15.75" customHeight="1">
      <c r="A3849" s="5" t="s">
        <v>2732</v>
      </c>
    </row>
    <row r="3850" ht="15.75" customHeight="1">
      <c r="A3850" s="5" t="s">
        <v>2733</v>
      </c>
    </row>
    <row r="3851" ht="15.75" customHeight="1">
      <c r="A3851" s="5" t="s">
        <v>2734</v>
      </c>
    </row>
    <row r="3852" ht="15.75" customHeight="1">
      <c r="A3852" s="5" t="s">
        <v>2735</v>
      </c>
    </row>
    <row r="3853" ht="15.75" customHeight="1">
      <c r="A3853" s="5" t="s">
        <v>2736</v>
      </c>
    </row>
    <row r="3854" ht="15.75" customHeight="1">
      <c r="A3854" s="5" t="s">
        <v>2737</v>
      </c>
    </row>
    <row r="3855" ht="15.75" customHeight="1">
      <c r="A3855" s="5" t="s">
        <v>2738</v>
      </c>
    </row>
    <row r="3856" ht="15.75" customHeight="1">
      <c r="A3856" s="5" t="s">
        <v>2739</v>
      </c>
    </row>
    <row r="3857" ht="15.75" customHeight="1">
      <c r="A3857" s="5" t="s">
        <v>2740</v>
      </c>
    </row>
    <row r="3858" ht="15.75" customHeight="1">
      <c r="A3858" s="5" t="s">
        <v>2741</v>
      </c>
    </row>
    <row r="3859" ht="15.75" customHeight="1">
      <c r="A3859" s="5" t="s">
        <v>2742</v>
      </c>
    </row>
    <row r="3860" ht="15.75" customHeight="1">
      <c r="A3860" s="5" t="s">
        <v>2743</v>
      </c>
    </row>
    <row r="3861" ht="15.75" customHeight="1">
      <c r="A3861" s="5" t="s">
        <v>2744</v>
      </c>
    </row>
    <row r="3862" ht="15.75" customHeight="1">
      <c r="A3862" s="5" t="s">
        <v>2745</v>
      </c>
    </row>
    <row r="3863" ht="15.75" customHeight="1">
      <c r="A3863" s="5" t="s">
        <v>2746</v>
      </c>
    </row>
    <row r="3864" ht="15.75" customHeight="1">
      <c r="A3864" s="5" t="s">
        <v>2747</v>
      </c>
    </row>
    <row r="3865" ht="15.75" customHeight="1">
      <c r="A3865" s="5" t="s">
        <v>2748</v>
      </c>
    </row>
    <row r="3866" ht="15.75" customHeight="1">
      <c r="A3866" s="5" t="s">
        <v>2749</v>
      </c>
    </row>
    <row r="3867" ht="15.75" customHeight="1">
      <c r="A3867" s="5" t="s">
        <v>2750</v>
      </c>
    </row>
    <row r="3868" ht="15.75" customHeight="1">
      <c r="A3868" s="5" t="s">
        <v>2751</v>
      </c>
    </row>
    <row r="3869" ht="15.75" customHeight="1">
      <c r="A3869" s="5" t="s">
        <v>2752</v>
      </c>
    </row>
    <row r="3870" ht="15.75" customHeight="1">
      <c r="A3870" s="5" t="s">
        <v>2753</v>
      </c>
    </row>
    <row r="3871" ht="15.75" customHeight="1">
      <c r="A3871" s="5" t="s">
        <v>2754</v>
      </c>
    </row>
    <row r="3872" ht="15.75" customHeight="1">
      <c r="A3872" s="5" t="s">
        <v>2755</v>
      </c>
    </row>
    <row r="3873" ht="15.75" customHeight="1">
      <c r="A3873" s="5" t="s">
        <v>2756</v>
      </c>
    </row>
    <row r="3874" ht="15.75" customHeight="1">
      <c r="A3874" s="5" t="s">
        <v>2757</v>
      </c>
    </row>
    <row r="3875" ht="15.75" customHeight="1">
      <c r="A3875" s="5" t="s">
        <v>2758</v>
      </c>
    </row>
    <row r="3876" ht="15.75" customHeight="1">
      <c r="A3876" s="5" t="s">
        <v>2759</v>
      </c>
    </row>
    <row r="3877" ht="15.75" customHeight="1">
      <c r="A3877" s="5" t="s">
        <v>2760</v>
      </c>
    </row>
    <row r="3878" ht="15.75" customHeight="1">
      <c r="A3878" s="5" t="s">
        <v>2761</v>
      </c>
    </row>
    <row r="3879" ht="15.75" customHeight="1">
      <c r="A3879" s="5" t="s">
        <v>2762</v>
      </c>
    </row>
    <row r="3880" ht="15.75" customHeight="1">
      <c r="A3880" s="5" t="s">
        <v>2763</v>
      </c>
    </row>
    <row r="3881" ht="15.75" customHeight="1">
      <c r="A3881" s="5" t="s">
        <v>2764</v>
      </c>
    </row>
    <row r="3882" ht="15.75" customHeight="1">
      <c r="A3882" s="5" t="s">
        <v>2765</v>
      </c>
    </row>
    <row r="3883" ht="15.75" customHeight="1">
      <c r="A3883" s="5" t="s">
        <v>2766</v>
      </c>
    </row>
    <row r="3884" ht="15.75" customHeight="1">
      <c r="A3884" s="5" t="s">
        <v>2767</v>
      </c>
    </row>
    <row r="3885" ht="15.75" customHeight="1">
      <c r="A3885" s="5" t="s">
        <v>2768</v>
      </c>
    </row>
    <row r="3886" ht="15.75" customHeight="1">
      <c r="A3886" s="5" t="s">
        <v>2769</v>
      </c>
    </row>
    <row r="3887" ht="15.75" customHeight="1">
      <c r="A3887" s="5" t="s">
        <v>2770</v>
      </c>
    </row>
    <row r="3888" ht="15.75" customHeight="1">
      <c r="A3888" s="5" t="s">
        <v>2771</v>
      </c>
    </row>
    <row r="3889" ht="15.75" customHeight="1">
      <c r="A3889" s="5" t="s">
        <v>2772</v>
      </c>
    </row>
    <row r="3890" ht="15.75" customHeight="1">
      <c r="A3890" s="5" t="s">
        <v>2773</v>
      </c>
    </row>
    <row r="3891" ht="15.75" customHeight="1">
      <c r="A3891" s="5" t="s">
        <v>2774</v>
      </c>
    </row>
    <row r="3892" ht="15.75" customHeight="1">
      <c r="A3892" s="5" t="s">
        <v>2775</v>
      </c>
    </row>
    <row r="3893" ht="15.75" customHeight="1">
      <c r="A3893" s="5" t="s">
        <v>2776</v>
      </c>
    </row>
    <row r="3894" ht="15.75" customHeight="1">
      <c r="A3894" s="5" t="s">
        <v>2777</v>
      </c>
    </row>
    <row r="3895" ht="15.75" customHeight="1">
      <c r="A3895" s="5" t="s">
        <v>2778</v>
      </c>
    </row>
    <row r="3896" ht="15.75" customHeight="1">
      <c r="A3896" s="5" t="s">
        <v>2779</v>
      </c>
    </row>
    <row r="3897" ht="15.75" customHeight="1">
      <c r="A3897" s="5" t="s">
        <v>2780</v>
      </c>
    </row>
    <row r="3898" ht="15.75" customHeight="1">
      <c r="A3898" s="5" t="s">
        <v>2781</v>
      </c>
    </row>
    <row r="3899" ht="15.75" customHeight="1">
      <c r="A3899" s="5" t="s">
        <v>2782</v>
      </c>
    </row>
    <row r="3900" ht="15.75" customHeight="1">
      <c r="A3900" s="5" t="s">
        <v>2783</v>
      </c>
    </row>
    <row r="3901" ht="15.75" customHeight="1">
      <c r="A3901" s="5" t="s">
        <v>2784</v>
      </c>
    </row>
    <row r="3902" ht="15.75" customHeight="1">
      <c r="A3902" s="5" t="s">
        <v>2785</v>
      </c>
    </row>
    <row r="3903" ht="15.75" customHeight="1">
      <c r="A3903" s="5" t="s">
        <v>2786</v>
      </c>
    </row>
    <row r="3904" ht="15.75" customHeight="1">
      <c r="A3904" s="5" t="s">
        <v>2787</v>
      </c>
    </row>
    <row r="3905" ht="15.75" customHeight="1">
      <c r="A3905" s="5" t="s">
        <v>2788</v>
      </c>
    </row>
    <row r="3906" ht="15.75" customHeight="1">
      <c r="A3906" s="5" t="s">
        <v>2789</v>
      </c>
    </row>
    <row r="3907" ht="15.75" customHeight="1">
      <c r="A3907" s="5" t="s">
        <v>2790</v>
      </c>
    </row>
    <row r="3908" ht="15.75" customHeight="1">
      <c r="A3908" s="5" t="s">
        <v>2791</v>
      </c>
    </row>
    <row r="3909" ht="15.75" customHeight="1">
      <c r="A3909" s="5" t="s">
        <v>2792</v>
      </c>
    </row>
    <row r="3910" ht="15.75" customHeight="1">
      <c r="A3910" s="5" t="s">
        <v>2793</v>
      </c>
    </row>
    <row r="3911" ht="15.75" customHeight="1">
      <c r="A3911" s="5" t="s">
        <v>2794</v>
      </c>
    </row>
    <row r="3912" ht="15.75" customHeight="1">
      <c r="A3912" s="5" t="s">
        <v>2795</v>
      </c>
    </row>
    <row r="3913" ht="15.75" customHeight="1">
      <c r="A3913" s="5" t="s">
        <v>2796</v>
      </c>
    </row>
    <row r="3914" ht="15.75" customHeight="1">
      <c r="A3914" s="5" t="s">
        <v>2797</v>
      </c>
    </row>
    <row r="3915" ht="15.75" customHeight="1">
      <c r="A3915" s="5" t="s">
        <v>2798</v>
      </c>
    </row>
    <row r="3916" ht="15.75" customHeight="1">
      <c r="A3916" s="5" t="s">
        <v>2799</v>
      </c>
    </row>
    <row r="3917" ht="15.75" customHeight="1">
      <c r="A3917" s="5" t="s">
        <v>2800</v>
      </c>
    </row>
    <row r="3918" ht="15.75" customHeight="1">
      <c r="A3918" s="5" t="s">
        <v>2801</v>
      </c>
    </row>
    <row r="3919" ht="15.75" customHeight="1">
      <c r="A3919" s="5" t="s">
        <v>2802</v>
      </c>
    </row>
    <row r="3920" ht="15.75" customHeight="1">
      <c r="A3920" s="5" t="s">
        <v>2803</v>
      </c>
    </row>
    <row r="3921" ht="15.75" customHeight="1">
      <c r="A3921" s="5" t="s">
        <v>2804</v>
      </c>
    </row>
    <row r="3922" ht="15.75" customHeight="1">
      <c r="A3922" s="5" t="s">
        <v>2805</v>
      </c>
    </row>
    <row r="3923" ht="15.75" customHeight="1">
      <c r="A3923" s="5" t="s">
        <v>2806</v>
      </c>
    </row>
    <row r="3924" ht="15.75" customHeight="1">
      <c r="A3924" s="5" t="s">
        <v>2807</v>
      </c>
    </row>
    <row r="3925" ht="15.75" customHeight="1">
      <c r="A3925" s="5" t="s">
        <v>2808</v>
      </c>
    </row>
    <row r="3926" ht="15.75" customHeight="1">
      <c r="A3926" s="5" t="s">
        <v>2809</v>
      </c>
    </row>
    <row r="3927" ht="15.75" customHeight="1">
      <c r="A3927" s="5" t="s">
        <v>2810</v>
      </c>
    </row>
    <row r="3928" ht="15.75" customHeight="1">
      <c r="A3928" s="5" t="s">
        <v>2811</v>
      </c>
    </row>
    <row r="3929" ht="15.75" customHeight="1">
      <c r="A3929" s="5" t="s">
        <v>2812</v>
      </c>
    </row>
    <row r="3930" ht="15.75" customHeight="1">
      <c r="A3930" s="5" t="s">
        <v>2813</v>
      </c>
    </row>
    <row r="3931" ht="15.75" customHeight="1">
      <c r="A3931" s="5" t="s">
        <v>2814</v>
      </c>
    </row>
    <row r="3932" ht="15.75" customHeight="1">
      <c r="A3932" s="5" t="s">
        <v>2815</v>
      </c>
    </row>
    <row r="3933" ht="15.75" customHeight="1">
      <c r="A3933" s="5" t="s">
        <v>2816</v>
      </c>
    </row>
    <row r="3934" ht="15.75" customHeight="1">
      <c r="A3934" s="5" t="s">
        <v>2817</v>
      </c>
    </row>
    <row r="3935" ht="15.75" customHeight="1">
      <c r="A3935" s="5" t="s">
        <v>2818</v>
      </c>
    </row>
    <row r="3936" ht="15.75" customHeight="1">
      <c r="A3936" s="5" t="s">
        <v>2819</v>
      </c>
    </row>
    <row r="3937" ht="15.75" customHeight="1">
      <c r="A3937" s="5" t="s">
        <v>2820</v>
      </c>
    </row>
    <row r="3938" ht="15.75" customHeight="1">
      <c r="A3938" s="5" t="s">
        <v>2821</v>
      </c>
    </row>
    <row r="3939" ht="15.75" customHeight="1">
      <c r="A3939" s="5" t="s">
        <v>2822</v>
      </c>
    </row>
    <row r="3940" ht="15.75" customHeight="1">
      <c r="A3940" s="5" t="s">
        <v>2823</v>
      </c>
    </row>
    <row r="3941" ht="15.75" customHeight="1">
      <c r="A3941" s="5" t="s">
        <v>2824</v>
      </c>
    </row>
    <row r="3942" ht="15.75" customHeight="1">
      <c r="A3942" s="5" t="s">
        <v>2825</v>
      </c>
    </row>
    <row r="3943" ht="15.75" customHeight="1">
      <c r="A3943" s="5" t="s">
        <v>2826</v>
      </c>
    </row>
    <row r="3944" ht="15.75" customHeight="1">
      <c r="A3944" s="5" t="s">
        <v>2827</v>
      </c>
    </row>
    <row r="3945" ht="15.75" customHeight="1">
      <c r="A3945" s="5" t="s">
        <v>2828</v>
      </c>
    </row>
    <row r="3946" ht="15.75" customHeight="1">
      <c r="A3946" s="5" t="s">
        <v>2829</v>
      </c>
    </row>
    <row r="3947" ht="15.75" customHeight="1">
      <c r="A3947" s="5" t="s">
        <v>2830</v>
      </c>
    </row>
    <row r="3948" ht="15.75" customHeight="1">
      <c r="A3948" s="5" t="s">
        <v>2831</v>
      </c>
    </row>
    <row r="3949" ht="15.75" customHeight="1">
      <c r="A3949" s="5" t="s">
        <v>2832</v>
      </c>
    </row>
    <row r="3950" ht="15.75" customHeight="1">
      <c r="A3950" s="5" t="s">
        <v>2833</v>
      </c>
    </row>
    <row r="3951" ht="15.75" customHeight="1">
      <c r="A3951" s="5" t="s">
        <v>2834</v>
      </c>
    </row>
    <row r="3952" ht="15.75" customHeight="1">
      <c r="A3952" s="5" t="s">
        <v>2835</v>
      </c>
    </row>
    <row r="3953" ht="15.75" customHeight="1">
      <c r="A3953" s="5" t="s">
        <v>2836</v>
      </c>
    </row>
    <row r="3954" ht="15.75" customHeight="1">
      <c r="A3954" s="5" t="s">
        <v>2837</v>
      </c>
    </row>
    <row r="3955" ht="15.75" customHeight="1">
      <c r="A3955" s="5" t="s">
        <v>2838</v>
      </c>
    </row>
    <row r="3956" ht="15.75" customHeight="1">
      <c r="A3956" s="5" t="s">
        <v>2839</v>
      </c>
    </row>
    <row r="3957" ht="15.75" customHeight="1">
      <c r="A3957" s="5" t="s">
        <v>2840</v>
      </c>
    </row>
    <row r="3958" ht="15.75" customHeight="1">
      <c r="A3958" s="5" t="s">
        <v>2841</v>
      </c>
    </row>
    <row r="3959" ht="15.75" customHeight="1">
      <c r="A3959" s="5" t="s">
        <v>2842</v>
      </c>
    </row>
    <row r="3960" ht="15.75" customHeight="1">
      <c r="A3960" s="5" t="s">
        <v>2843</v>
      </c>
    </row>
    <row r="3961" ht="15.75" customHeight="1">
      <c r="A3961" s="5" t="s">
        <v>2844</v>
      </c>
    </row>
    <row r="3962" ht="15.75" customHeight="1">
      <c r="A3962" s="5" t="s">
        <v>2845</v>
      </c>
    </row>
    <row r="3963" ht="15.75" customHeight="1">
      <c r="A3963" s="5" t="s">
        <v>2846</v>
      </c>
    </row>
    <row r="3964" ht="15.75" customHeight="1">
      <c r="A3964" s="5" t="s">
        <v>2847</v>
      </c>
    </row>
    <row r="3965" ht="15.75" customHeight="1">
      <c r="A3965" s="5" t="s">
        <v>2848</v>
      </c>
    </row>
    <row r="3966" ht="15.75" customHeight="1">
      <c r="A3966" s="5" t="s">
        <v>2849</v>
      </c>
    </row>
    <row r="3967" ht="15.75" customHeight="1">
      <c r="A3967" s="5" t="s">
        <v>2850</v>
      </c>
    </row>
    <row r="3968" ht="15.75" customHeight="1">
      <c r="A3968" s="5" t="s">
        <v>2851</v>
      </c>
    </row>
    <row r="3969" ht="15.75" customHeight="1">
      <c r="A3969" s="5" t="s">
        <v>2852</v>
      </c>
    </row>
    <row r="3970" ht="15.75" customHeight="1">
      <c r="A3970" s="5" t="s">
        <v>2853</v>
      </c>
    </row>
    <row r="3971" ht="15.75" customHeight="1">
      <c r="A3971" s="5" t="s">
        <v>2854</v>
      </c>
    </row>
    <row r="3972" ht="15.75" customHeight="1">
      <c r="A3972" s="5" t="s">
        <v>2855</v>
      </c>
    </row>
    <row r="3973" ht="15.75" customHeight="1">
      <c r="A3973" s="5" t="s">
        <v>2856</v>
      </c>
    </row>
    <row r="3974" ht="15.75" customHeight="1">
      <c r="A3974" s="5" t="s">
        <v>2857</v>
      </c>
    </row>
    <row r="3975" ht="15.75" customHeight="1">
      <c r="A3975" s="5" t="s">
        <v>2858</v>
      </c>
    </row>
    <row r="3976" ht="15.75" customHeight="1">
      <c r="A3976" s="5" t="s">
        <v>2859</v>
      </c>
    </row>
    <row r="3977" ht="15.75" customHeight="1">
      <c r="A3977" s="5" t="s">
        <v>2860</v>
      </c>
    </row>
    <row r="3978" ht="15.75" customHeight="1">
      <c r="A3978" s="5" t="s">
        <v>2861</v>
      </c>
    </row>
    <row r="3979" ht="15.75" customHeight="1">
      <c r="A3979" s="5" t="s">
        <v>2862</v>
      </c>
    </row>
    <row r="3980" ht="15.75" customHeight="1">
      <c r="A3980" s="5" t="s">
        <v>2863</v>
      </c>
    </row>
    <row r="3981" ht="15.75" customHeight="1">
      <c r="A3981" s="5" t="s">
        <v>2864</v>
      </c>
    </row>
    <row r="3982" ht="15.75" customHeight="1">
      <c r="A3982" s="5" t="s">
        <v>2865</v>
      </c>
    </row>
    <row r="3983" ht="15.75" customHeight="1">
      <c r="A3983" s="5" t="s">
        <v>2866</v>
      </c>
    </row>
    <row r="3984" ht="15.75" customHeight="1">
      <c r="A3984" s="5" t="s">
        <v>2867</v>
      </c>
    </row>
    <row r="3985" ht="15.75" customHeight="1">
      <c r="A3985" s="5" t="s">
        <v>2868</v>
      </c>
    </row>
    <row r="3986" ht="15.75" customHeight="1">
      <c r="A3986" s="5" t="s">
        <v>2869</v>
      </c>
    </row>
    <row r="3987" ht="15.75" customHeight="1">
      <c r="A3987" s="5" t="s">
        <v>2870</v>
      </c>
    </row>
    <row r="3988" ht="15.75" customHeight="1">
      <c r="A3988" s="5" t="s">
        <v>2871</v>
      </c>
    </row>
    <row r="3989" ht="15.75" customHeight="1">
      <c r="A3989" s="5" t="s">
        <v>2872</v>
      </c>
    </row>
    <row r="3990" ht="15.75" customHeight="1">
      <c r="A3990" s="5" t="s">
        <v>2873</v>
      </c>
    </row>
    <row r="3991" ht="15.75" customHeight="1">
      <c r="A3991" s="5" t="s">
        <v>2874</v>
      </c>
    </row>
    <row r="3992" ht="15.75" customHeight="1">
      <c r="A3992" s="5" t="s">
        <v>2875</v>
      </c>
    </row>
    <row r="3993" ht="15.75" customHeight="1">
      <c r="A3993" s="5" t="s">
        <v>2876</v>
      </c>
    </row>
    <row r="3994" ht="15.75" customHeight="1">
      <c r="A3994" s="5" t="s">
        <v>2877</v>
      </c>
    </row>
    <row r="3995" ht="15.75" customHeight="1">
      <c r="A3995" s="5" t="s">
        <v>2878</v>
      </c>
    </row>
    <row r="3996" ht="15.75" customHeight="1">
      <c r="A3996" s="5" t="s">
        <v>2879</v>
      </c>
    </row>
    <row r="3997" ht="15.75" customHeight="1">
      <c r="A3997" s="5" t="s">
        <v>2880</v>
      </c>
    </row>
    <row r="3998" ht="15.75" customHeight="1">
      <c r="A3998" s="5" t="s">
        <v>2881</v>
      </c>
    </row>
    <row r="3999" ht="15.75" customHeight="1">
      <c r="A3999" s="5" t="s">
        <v>2882</v>
      </c>
    </row>
    <row r="4000" ht="15.75" customHeight="1">
      <c r="A4000" s="5" t="s">
        <v>2883</v>
      </c>
    </row>
    <row r="4001" ht="15.75" customHeight="1">
      <c r="A4001" s="5" t="s">
        <v>2884</v>
      </c>
    </row>
    <row r="4002" ht="15.75" customHeight="1">
      <c r="A4002" s="5" t="s">
        <v>2885</v>
      </c>
    </row>
    <row r="4003" ht="15.75" customHeight="1">
      <c r="A4003" s="5" t="s">
        <v>2886</v>
      </c>
    </row>
    <row r="4004" ht="15.75" customHeight="1">
      <c r="A4004" s="5" t="s">
        <v>2887</v>
      </c>
    </row>
    <row r="4005" ht="15.75" customHeight="1">
      <c r="A4005" s="5" t="s">
        <v>2888</v>
      </c>
    </row>
    <row r="4006" ht="15.75" customHeight="1">
      <c r="A4006" s="5" t="s">
        <v>2889</v>
      </c>
    </row>
    <row r="4007" ht="15.75" customHeight="1">
      <c r="A4007" s="5" t="s">
        <v>2890</v>
      </c>
    </row>
    <row r="4008" ht="15.75" customHeight="1">
      <c r="A4008" s="5" t="s">
        <v>2891</v>
      </c>
    </row>
    <row r="4009" ht="15.75" customHeight="1">
      <c r="A4009" s="5" t="s">
        <v>2892</v>
      </c>
    </row>
    <row r="4010" ht="15.75" customHeight="1">
      <c r="A4010" s="5" t="s">
        <v>2893</v>
      </c>
    </row>
    <row r="4011" ht="15.75" customHeight="1">
      <c r="A4011" s="5" t="s">
        <v>2894</v>
      </c>
    </row>
    <row r="4012" ht="15.75" customHeight="1">
      <c r="A4012" s="5" t="s">
        <v>2895</v>
      </c>
    </row>
    <row r="4013" ht="15.75" customHeight="1">
      <c r="A4013" s="5" t="s">
        <v>2896</v>
      </c>
    </row>
    <row r="4014" ht="15.75" customHeight="1">
      <c r="A4014" s="5" t="s">
        <v>2897</v>
      </c>
    </row>
    <row r="4015" ht="15.75" customHeight="1">
      <c r="A4015" s="5" t="s">
        <v>2898</v>
      </c>
    </row>
    <row r="4016" ht="15.75" customHeight="1">
      <c r="A4016" s="5" t="s">
        <v>2899</v>
      </c>
    </row>
    <row r="4017" ht="15.75" customHeight="1">
      <c r="A4017" s="5" t="s">
        <v>2900</v>
      </c>
    </row>
    <row r="4018" ht="15.75" customHeight="1">
      <c r="A4018" s="5" t="s">
        <v>2901</v>
      </c>
    </row>
    <row r="4019" ht="15.75" customHeight="1">
      <c r="A4019" s="5" t="s">
        <v>2902</v>
      </c>
    </row>
    <row r="4020" ht="15.75" customHeight="1">
      <c r="A4020" s="5" t="s">
        <v>2903</v>
      </c>
    </row>
    <row r="4021" ht="15.75" customHeight="1">
      <c r="A4021" s="5" t="s">
        <v>2904</v>
      </c>
    </row>
    <row r="4022" ht="15.75" customHeight="1">
      <c r="A4022" s="5" t="s">
        <v>2905</v>
      </c>
    </row>
    <row r="4023" ht="15.75" customHeight="1">
      <c r="A4023" s="5" t="s">
        <v>2906</v>
      </c>
    </row>
    <row r="4024" ht="15.75" customHeight="1">
      <c r="A4024" s="5" t="s">
        <v>2907</v>
      </c>
    </row>
    <row r="4025" ht="15.75" customHeight="1">
      <c r="A4025" s="5" t="s">
        <v>2908</v>
      </c>
    </row>
    <row r="4026" ht="15.75" customHeight="1">
      <c r="A4026" s="5" t="s">
        <v>2909</v>
      </c>
    </row>
    <row r="4027" ht="15.75" customHeight="1">
      <c r="A4027" s="5" t="s">
        <v>2910</v>
      </c>
    </row>
    <row r="4028" ht="15.75" customHeight="1">
      <c r="A4028" s="5" t="s">
        <v>2911</v>
      </c>
    </row>
    <row r="4029" ht="15.75" customHeight="1">
      <c r="A4029" s="5" t="s">
        <v>2912</v>
      </c>
    </row>
    <row r="4030" ht="15.75" customHeight="1">
      <c r="A4030" s="5" t="s">
        <v>2913</v>
      </c>
    </row>
    <row r="4031" ht="15.75" customHeight="1">
      <c r="A4031" s="5" t="s">
        <v>2914</v>
      </c>
    </row>
    <row r="4032" ht="15.75" customHeight="1">
      <c r="A4032" s="5" t="s">
        <v>2915</v>
      </c>
    </row>
    <row r="4033" ht="15.75" customHeight="1">
      <c r="A4033" s="5" t="s">
        <v>2916</v>
      </c>
    </row>
    <row r="4034" ht="15.75" customHeight="1">
      <c r="A4034" s="5" t="s">
        <v>2917</v>
      </c>
    </row>
    <row r="4035" ht="15.75" customHeight="1">
      <c r="A4035" s="5" t="s">
        <v>2918</v>
      </c>
    </row>
    <row r="4036" ht="15.75" customHeight="1">
      <c r="A4036" s="5" t="s">
        <v>2919</v>
      </c>
    </row>
    <row r="4037" ht="15.75" customHeight="1">
      <c r="A4037" s="5" t="s">
        <v>2920</v>
      </c>
    </row>
    <row r="4038" ht="15.75" customHeight="1">
      <c r="A4038" s="5" t="s">
        <v>2921</v>
      </c>
    </row>
    <row r="4039" ht="15.75" customHeight="1">
      <c r="A4039" s="5" t="s">
        <v>2922</v>
      </c>
    </row>
    <row r="4040" ht="15.75" customHeight="1">
      <c r="A4040" s="5" t="s">
        <v>2923</v>
      </c>
    </row>
    <row r="4041" ht="15.75" customHeight="1">
      <c r="A4041" s="5" t="s">
        <v>2924</v>
      </c>
    </row>
    <row r="4042" ht="15.75" customHeight="1">
      <c r="A4042" s="5" t="s">
        <v>2925</v>
      </c>
    </row>
    <row r="4043" ht="15.75" customHeight="1">
      <c r="A4043" s="5" t="s">
        <v>2926</v>
      </c>
    </row>
    <row r="4044" ht="15.75" customHeight="1">
      <c r="A4044" s="5" t="s">
        <v>2927</v>
      </c>
    </row>
    <row r="4045" ht="15.75" customHeight="1">
      <c r="A4045" s="5" t="s">
        <v>2928</v>
      </c>
    </row>
    <row r="4046" ht="15.75" customHeight="1">
      <c r="A4046" s="5" t="s">
        <v>2929</v>
      </c>
    </row>
    <row r="4047" ht="15.75" customHeight="1">
      <c r="A4047" s="5" t="s">
        <v>2930</v>
      </c>
    </row>
    <row r="4048" ht="15.75" customHeight="1">
      <c r="A4048" s="5" t="s">
        <v>2931</v>
      </c>
    </row>
    <row r="4049" ht="15.75" customHeight="1">
      <c r="A4049" s="5" t="s">
        <v>2932</v>
      </c>
    </row>
    <row r="4050" ht="15.75" customHeight="1">
      <c r="A4050" s="5" t="s">
        <v>2933</v>
      </c>
    </row>
    <row r="4051" ht="15.75" customHeight="1">
      <c r="A4051" s="5" t="s">
        <v>2934</v>
      </c>
    </row>
    <row r="4052" ht="15.75" customHeight="1">
      <c r="A4052" s="5" t="s">
        <v>2935</v>
      </c>
    </row>
    <row r="4053" ht="15.75" customHeight="1">
      <c r="A4053" s="5" t="s">
        <v>2936</v>
      </c>
    </row>
    <row r="4054" ht="15.75" customHeight="1">
      <c r="A4054" s="5" t="s">
        <v>2937</v>
      </c>
    </row>
    <row r="4055" ht="15.75" customHeight="1">
      <c r="A4055" s="5" t="s">
        <v>2938</v>
      </c>
    </row>
    <row r="4056" ht="15.75" customHeight="1">
      <c r="A4056" s="5" t="s">
        <v>2939</v>
      </c>
    </row>
    <row r="4057" ht="15.75" customHeight="1">
      <c r="A4057" s="5" t="s">
        <v>2940</v>
      </c>
    </row>
    <row r="4058" ht="15.75" customHeight="1">
      <c r="A4058" s="5" t="s">
        <v>2941</v>
      </c>
    </row>
    <row r="4059" ht="15.75" customHeight="1">
      <c r="A4059" s="5" t="s">
        <v>2942</v>
      </c>
    </row>
    <row r="4060" ht="15.75" customHeight="1">
      <c r="A4060" s="5" t="s">
        <v>2943</v>
      </c>
    </row>
    <row r="4061" ht="15.75" customHeight="1">
      <c r="A4061" s="5" t="s">
        <v>2944</v>
      </c>
    </row>
    <row r="4062" ht="15.75" customHeight="1">
      <c r="A4062" s="5" t="s">
        <v>2945</v>
      </c>
    </row>
    <row r="4063" ht="15.75" customHeight="1">
      <c r="A4063" s="5" t="s">
        <v>2946</v>
      </c>
    </row>
    <row r="4064" ht="15.75" customHeight="1">
      <c r="A4064" s="5" t="s">
        <v>2947</v>
      </c>
    </row>
    <row r="4065" ht="15.75" customHeight="1">
      <c r="A4065" s="5" t="s">
        <v>2948</v>
      </c>
    </row>
    <row r="4066" ht="15.75" customHeight="1">
      <c r="A4066" s="5" t="s">
        <v>2949</v>
      </c>
    </row>
    <row r="4067" ht="15.75" customHeight="1">
      <c r="A4067" s="5" t="s">
        <v>2950</v>
      </c>
    </row>
    <row r="4068" ht="15.75" customHeight="1">
      <c r="A4068" s="5" t="s">
        <v>2951</v>
      </c>
    </row>
    <row r="4069" ht="15.75" customHeight="1">
      <c r="A4069" s="5" t="s">
        <v>2952</v>
      </c>
    </row>
    <row r="4070" ht="15.75" customHeight="1">
      <c r="A4070" s="5" t="s">
        <v>2953</v>
      </c>
    </row>
    <row r="4071" ht="15.75" customHeight="1">
      <c r="A4071" s="5" t="s">
        <v>2954</v>
      </c>
    </row>
    <row r="4072" ht="15.75" customHeight="1">
      <c r="A4072" s="5" t="s">
        <v>2955</v>
      </c>
    </row>
    <row r="4073" ht="15.75" customHeight="1">
      <c r="A4073" s="5" t="s">
        <v>2956</v>
      </c>
    </row>
    <row r="4074" ht="15.75" customHeight="1">
      <c r="A4074" s="5" t="s">
        <v>2957</v>
      </c>
    </row>
    <row r="4075" ht="15.75" customHeight="1">
      <c r="A4075" s="5" t="s">
        <v>2958</v>
      </c>
    </row>
    <row r="4076" ht="15.75" customHeight="1">
      <c r="A4076" s="5" t="s">
        <v>2959</v>
      </c>
    </row>
    <row r="4077" ht="15.75" customHeight="1">
      <c r="A4077" s="5" t="s">
        <v>2960</v>
      </c>
    </row>
    <row r="4078" ht="15.75" customHeight="1">
      <c r="A4078" s="5" t="s">
        <v>2961</v>
      </c>
    </row>
    <row r="4079" ht="15.75" customHeight="1">
      <c r="A4079" s="5" t="s">
        <v>2962</v>
      </c>
    </row>
    <row r="4080" ht="15.75" customHeight="1">
      <c r="A4080" s="5" t="s">
        <v>2963</v>
      </c>
    </row>
    <row r="4081" ht="15.75" customHeight="1">
      <c r="A4081" s="5" t="s">
        <v>2964</v>
      </c>
    </row>
    <row r="4082" ht="15.75" customHeight="1">
      <c r="A4082" s="5" t="s">
        <v>2965</v>
      </c>
    </row>
    <row r="4083" ht="15.75" customHeight="1">
      <c r="A4083" s="5" t="s">
        <v>2966</v>
      </c>
    </row>
    <row r="4084" ht="15.75" customHeight="1">
      <c r="A4084" s="5" t="s">
        <v>2967</v>
      </c>
    </row>
    <row r="4085" ht="15.75" customHeight="1">
      <c r="A4085" s="5" t="s">
        <v>2968</v>
      </c>
    </row>
    <row r="4086" ht="15.75" customHeight="1">
      <c r="A4086" s="5" t="s">
        <v>2969</v>
      </c>
    </row>
    <row r="4087" ht="15.75" customHeight="1">
      <c r="A4087" s="5" t="s">
        <v>2970</v>
      </c>
    </row>
    <row r="4088" ht="15.75" customHeight="1">
      <c r="A4088" s="5" t="s">
        <v>2971</v>
      </c>
    </row>
    <row r="4089" ht="15.75" customHeight="1">
      <c r="A4089" s="5" t="s">
        <v>2972</v>
      </c>
    </row>
    <row r="4090" ht="15.75" customHeight="1">
      <c r="A4090" s="5" t="s">
        <v>2973</v>
      </c>
    </row>
    <row r="4091" ht="15.75" customHeight="1">
      <c r="A4091" s="5" t="s">
        <v>2974</v>
      </c>
    </row>
    <row r="4092" ht="15.75" customHeight="1">
      <c r="A4092" s="5" t="s">
        <v>2975</v>
      </c>
    </row>
    <row r="4093" ht="15.75" customHeight="1">
      <c r="A4093" s="5" t="s">
        <v>2976</v>
      </c>
    </row>
    <row r="4094" ht="15.75" customHeight="1">
      <c r="A4094" s="5" t="s">
        <v>2977</v>
      </c>
    </row>
    <row r="4095" ht="15.75" customHeight="1">
      <c r="A4095" s="5" t="s">
        <v>2978</v>
      </c>
    </row>
    <row r="4096" ht="15.75" customHeight="1">
      <c r="A4096" s="5" t="s">
        <v>2979</v>
      </c>
    </row>
    <row r="4097" ht="15.75" customHeight="1">
      <c r="A4097" s="5" t="s">
        <v>2980</v>
      </c>
    </row>
    <row r="4098" ht="15.75" customHeight="1">
      <c r="A4098" s="5" t="s">
        <v>2981</v>
      </c>
    </row>
    <row r="4099" ht="15.75" customHeight="1">
      <c r="A4099" s="5" t="s">
        <v>2982</v>
      </c>
    </row>
    <row r="4100" ht="15.75" customHeight="1">
      <c r="A4100" s="5" t="s">
        <v>2983</v>
      </c>
    </row>
    <row r="4101" ht="15.75" customHeight="1">
      <c r="A4101" s="5" t="s">
        <v>2984</v>
      </c>
    </row>
    <row r="4102" ht="15.75" customHeight="1">
      <c r="A4102" s="5" t="s">
        <v>2985</v>
      </c>
    </row>
    <row r="4103" ht="15.75" customHeight="1">
      <c r="A4103" s="5" t="s">
        <v>2986</v>
      </c>
    </row>
    <row r="4104" ht="15.75" customHeight="1">
      <c r="A4104" s="5" t="s">
        <v>2987</v>
      </c>
    </row>
    <row r="4105" ht="15.75" customHeight="1">
      <c r="A4105" s="5" t="s">
        <v>2988</v>
      </c>
    </row>
    <row r="4106" ht="15.75" customHeight="1">
      <c r="A4106" s="5" t="s">
        <v>2989</v>
      </c>
    </row>
    <row r="4107" ht="15.75" customHeight="1">
      <c r="A4107" s="5" t="s">
        <v>2990</v>
      </c>
    </row>
    <row r="4108" ht="15.75" customHeight="1">
      <c r="A4108" s="5" t="s">
        <v>2991</v>
      </c>
    </row>
    <row r="4109" ht="15.75" customHeight="1">
      <c r="A4109" s="5" t="s">
        <v>2992</v>
      </c>
    </row>
    <row r="4110" ht="15.75" customHeight="1">
      <c r="A4110" s="5" t="s">
        <v>2993</v>
      </c>
    </row>
    <row r="4111" ht="15.75" customHeight="1">
      <c r="A4111" s="5" t="s">
        <v>2994</v>
      </c>
    </row>
    <row r="4112" ht="15.75" customHeight="1">
      <c r="A4112" s="5" t="s">
        <v>2995</v>
      </c>
    </row>
    <row r="4113" ht="15.75" customHeight="1">
      <c r="A4113" s="5" t="s">
        <v>2996</v>
      </c>
    </row>
    <row r="4114" ht="15.75" customHeight="1">
      <c r="A4114" s="5" t="s">
        <v>2997</v>
      </c>
    </row>
    <row r="4115" ht="15.75" customHeight="1">
      <c r="A4115" s="5" t="s">
        <v>2998</v>
      </c>
    </row>
    <row r="4116" ht="15.75" customHeight="1">
      <c r="A4116" s="5" t="s">
        <v>2999</v>
      </c>
    </row>
    <row r="4117" ht="15.75" customHeight="1">
      <c r="A4117" s="5" t="s">
        <v>3000</v>
      </c>
    </row>
    <row r="4118" ht="15.75" customHeight="1">
      <c r="A4118" s="5" t="s">
        <v>3001</v>
      </c>
    </row>
    <row r="4119" ht="15.75" customHeight="1">
      <c r="A4119" s="5" t="s">
        <v>3002</v>
      </c>
    </row>
    <row r="4120" ht="15.75" customHeight="1">
      <c r="A4120" s="5" t="s">
        <v>3003</v>
      </c>
    </row>
    <row r="4121" ht="15.75" customHeight="1">
      <c r="A4121" s="5" t="s">
        <v>3004</v>
      </c>
    </row>
    <row r="4122" ht="15.75" customHeight="1">
      <c r="A4122" s="5" t="s">
        <v>3005</v>
      </c>
    </row>
    <row r="4123" ht="15.75" customHeight="1">
      <c r="A4123" s="5" t="s">
        <v>3006</v>
      </c>
    </row>
    <row r="4124" ht="15.75" customHeight="1">
      <c r="A4124" s="5" t="s">
        <v>3007</v>
      </c>
    </row>
    <row r="4125" ht="15.75" customHeight="1">
      <c r="A4125" s="5" t="s">
        <v>3008</v>
      </c>
    </row>
    <row r="4126" ht="15.75" customHeight="1">
      <c r="A4126" s="5" t="s">
        <v>3009</v>
      </c>
    </row>
    <row r="4127" ht="15.75" customHeight="1">
      <c r="A4127" s="5" t="s">
        <v>3010</v>
      </c>
    </row>
    <row r="4128" ht="15.75" customHeight="1">
      <c r="A4128" s="5" t="s">
        <v>3011</v>
      </c>
    </row>
    <row r="4129" ht="15.75" customHeight="1">
      <c r="A4129" s="5" t="s">
        <v>3012</v>
      </c>
    </row>
    <row r="4130" ht="15.75" customHeight="1">
      <c r="A4130" s="5" t="s">
        <v>3013</v>
      </c>
    </row>
    <row r="4131" ht="15.75" customHeight="1">
      <c r="A4131" s="5" t="s">
        <v>3014</v>
      </c>
    </row>
    <row r="4132" ht="15.75" customHeight="1">
      <c r="A4132" s="5" t="s">
        <v>3015</v>
      </c>
    </row>
    <row r="4133" ht="15.75" customHeight="1">
      <c r="A4133" s="5" t="s">
        <v>3016</v>
      </c>
    </row>
    <row r="4134" ht="15.75" customHeight="1">
      <c r="A4134" s="5" t="s">
        <v>3017</v>
      </c>
    </row>
    <row r="4135" ht="15.75" customHeight="1">
      <c r="A4135" s="5" t="s">
        <v>3018</v>
      </c>
    </row>
    <row r="4136" ht="15.75" customHeight="1">
      <c r="A4136" s="5" t="s">
        <v>3019</v>
      </c>
    </row>
    <row r="4137" ht="15.75" customHeight="1">
      <c r="A4137" s="5" t="s">
        <v>3020</v>
      </c>
    </row>
    <row r="4138" ht="15.75" customHeight="1">
      <c r="A4138" s="5" t="s">
        <v>3021</v>
      </c>
    </row>
    <row r="4139" ht="15.75" customHeight="1">
      <c r="A4139" s="5" t="s">
        <v>3022</v>
      </c>
    </row>
    <row r="4140" ht="15.75" customHeight="1">
      <c r="A4140" s="5" t="s">
        <v>3023</v>
      </c>
    </row>
    <row r="4141" ht="15.75" customHeight="1">
      <c r="A4141" s="5" t="s">
        <v>3024</v>
      </c>
    </row>
    <row r="4142" ht="15.75" customHeight="1">
      <c r="A4142" s="5" t="s">
        <v>3025</v>
      </c>
    </row>
    <row r="4143" ht="15.75" customHeight="1">
      <c r="A4143" s="5" t="s">
        <v>3026</v>
      </c>
    </row>
    <row r="4144" ht="15.75" customHeight="1">
      <c r="A4144" s="5" t="s">
        <v>3027</v>
      </c>
    </row>
    <row r="4145" ht="15.75" customHeight="1">
      <c r="A4145" s="5" t="s">
        <v>3028</v>
      </c>
    </row>
    <row r="4146" ht="15.75" customHeight="1">
      <c r="A4146" s="5" t="s">
        <v>3029</v>
      </c>
    </row>
    <row r="4147" ht="15.75" customHeight="1">
      <c r="A4147" s="5" t="s">
        <v>3030</v>
      </c>
    </row>
    <row r="4148" ht="15.75" customHeight="1">
      <c r="A4148" s="5" t="s">
        <v>3031</v>
      </c>
    </row>
    <row r="4149" ht="15.75" customHeight="1">
      <c r="A4149" s="5" t="s">
        <v>3032</v>
      </c>
    </row>
    <row r="4150" ht="15.75" customHeight="1">
      <c r="A4150" s="5" t="s">
        <v>3033</v>
      </c>
    </row>
    <row r="4151" ht="15.75" customHeight="1">
      <c r="A4151" s="5" t="s">
        <v>3034</v>
      </c>
    </row>
    <row r="4152" ht="15.75" customHeight="1">
      <c r="A4152" s="5" t="s">
        <v>3035</v>
      </c>
    </row>
    <row r="4153" ht="15.75" customHeight="1">
      <c r="A4153" s="5" t="s">
        <v>3036</v>
      </c>
    </row>
    <row r="4154" ht="15.75" customHeight="1">
      <c r="A4154" s="5" t="s">
        <v>3037</v>
      </c>
    </row>
    <row r="4155" ht="15.75" customHeight="1">
      <c r="A4155" s="5" t="s">
        <v>3038</v>
      </c>
    </row>
    <row r="4156" ht="15.75" customHeight="1">
      <c r="A4156" s="5" t="s">
        <v>3039</v>
      </c>
    </row>
    <row r="4157" ht="15.75" customHeight="1">
      <c r="A4157" s="5" t="s">
        <v>3040</v>
      </c>
    </row>
    <row r="4158" ht="15.75" customHeight="1">
      <c r="A4158" s="5" t="s">
        <v>3041</v>
      </c>
    </row>
    <row r="4159" ht="15.75" customHeight="1">
      <c r="A4159" s="5" t="s">
        <v>3042</v>
      </c>
    </row>
    <row r="4160" ht="15.75" customHeight="1">
      <c r="A4160" s="5" t="s">
        <v>3043</v>
      </c>
    </row>
    <row r="4161" ht="15.75" customHeight="1">
      <c r="A4161" s="5" t="s">
        <v>3044</v>
      </c>
    </row>
    <row r="4162" ht="15.75" customHeight="1">
      <c r="A4162" s="5" t="s">
        <v>3045</v>
      </c>
    </row>
    <row r="4163" ht="15.75" customHeight="1">
      <c r="A4163" s="5" t="s">
        <v>3046</v>
      </c>
    </row>
    <row r="4164" ht="15.75" customHeight="1">
      <c r="A4164" s="5" t="s">
        <v>3047</v>
      </c>
    </row>
    <row r="4165" ht="15.75" customHeight="1">
      <c r="A4165" s="5" t="s">
        <v>3048</v>
      </c>
    </row>
    <row r="4166" ht="15.75" customHeight="1">
      <c r="A4166" s="5" t="s">
        <v>3049</v>
      </c>
    </row>
    <row r="4167" ht="15.75" customHeight="1">
      <c r="A4167" s="5" t="s">
        <v>3050</v>
      </c>
    </row>
    <row r="4168" ht="15.75" customHeight="1">
      <c r="A4168" s="5" t="s">
        <v>3051</v>
      </c>
    </row>
    <row r="4169" ht="15.75" customHeight="1">
      <c r="A4169" s="5" t="s">
        <v>3052</v>
      </c>
    </row>
    <row r="4170" ht="15.75" customHeight="1">
      <c r="A4170" s="5" t="s">
        <v>3053</v>
      </c>
    </row>
    <row r="4171" ht="15.75" customHeight="1">
      <c r="A4171" s="5" t="s">
        <v>3054</v>
      </c>
    </row>
    <row r="4172" ht="15.75" customHeight="1">
      <c r="A4172" s="5" t="s">
        <v>3055</v>
      </c>
    </row>
    <row r="4173" ht="15.75" customHeight="1">
      <c r="A4173" s="5" t="s">
        <v>3056</v>
      </c>
    </row>
    <row r="4174" ht="15.75" customHeight="1">
      <c r="A4174" s="5" t="s">
        <v>3057</v>
      </c>
    </row>
    <row r="4175" ht="15.75" customHeight="1">
      <c r="A4175" s="5" t="s">
        <v>3058</v>
      </c>
    </row>
    <row r="4176" ht="15.75" customHeight="1">
      <c r="A4176" s="5" t="s">
        <v>3059</v>
      </c>
    </row>
    <row r="4177" ht="15.75" customHeight="1">
      <c r="A4177" s="5" t="s">
        <v>3060</v>
      </c>
    </row>
    <row r="4178" ht="15.75" customHeight="1">
      <c r="A4178" s="5" t="s">
        <v>3061</v>
      </c>
    </row>
    <row r="4179" ht="15.75" customHeight="1">
      <c r="A4179" s="5" t="s">
        <v>3062</v>
      </c>
    </row>
    <row r="4180" ht="15.75" customHeight="1">
      <c r="A4180" s="5" t="s">
        <v>3063</v>
      </c>
    </row>
    <row r="4181" ht="15.75" customHeight="1">
      <c r="A4181" s="5" t="s">
        <v>3064</v>
      </c>
    </row>
    <row r="4182" ht="15.75" customHeight="1">
      <c r="A4182" s="5" t="s">
        <v>3065</v>
      </c>
    </row>
    <row r="4183" ht="15.75" customHeight="1">
      <c r="A4183" s="5" t="s">
        <v>3066</v>
      </c>
    </row>
    <row r="4184" ht="15.75" customHeight="1">
      <c r="A4184" s="5" t="s">
        <v>3067</v>
      </c>
    </row>
    <row r="4185" ht="15.75" customHeight="1">
      <c r="A4185" s="5" t="s">
        <v>3068</v>
      </c>
    </row>
    <row r="4186" ht="15.75" customHeight="1">
      <c r="A4186" s="5" t="s">
        <v>3069</v>
      </c>
    </row>
    <row r="4187" ht="15.75" customHeight="1">
      <c r="A4187" s="5" t="s">
        <v>3070</v>
      </c>
    </row>
    <row r="4188" ht="15.75" customHeight="1">
      <c r="A4188" s="5" t="s">
        <v>3071</v>
      </c>
    </row>
    <row r="4189" ht="15.75" customHeight="1">
      <c r="A4189" s="5" t="s">
        <v>3072</v>
      </c>
    </row>
    <row r="4190" ht="15.75" customHeight="1">
      <c r="A4190" s="5" t="s">
        <v>3073</v>
      </c>
    </row>
    <row r="4191" ht="15.75" customHeight="1">
      <c r="A4191" s="5" t="s">
        <v>3074</v>
      </c>
    </row>
    <row r="4192" ht="15.75" customHeight="1">
      <c r="A4192" s="5" t="s">
        <v>3075</v>
      </c>
    </row>
    <row r="4193" ht="15.75" customHeight="1">
      <c r="A4193" s="5" t="s">
        <v>3076</v>
      </c>
    </row>
    <row r="4194" ht="15.75" customHeight="1">
      <c r="A4194" s="5" t="s">
        <v>3077</v>
      </c>
    </row>
    <row r="4195" ht="15.75" customHeight="1">
      <c r="A4195" s="5" t="s">
        <v>3078</v>
      </c>
    </row>
    <row r="4196" ht="15.75" customHeight="1">
      <c r="A4196" s="5" t="s">
        <v>3079</v>
      </c>
    </row>
    <row r="4197" ht="15.75" customHeight="1">
      <c r="A4197" s="5" t="s">
        <v>3080</v>
      </c>
    </row>
    <row r="4198" ht="15.75" customHeight="1">
      <c r="A4198" s="5" t="s">
        <v>3081</v>
      </c>
    </row>
    <row r="4199" ht="15.75" customHeight="1">
      <c r="A4199" s="5" t="s">
        <v>3082</v>
      </c>
    </row>
    <row r="4200" ht="15.75" customHeight="1">
      <c r="A4200" s="5" t="s">
        <v>3083</v>
      </c>
    </row>
    <row r="4201" ht="15.75" customHeight="1">
      <c r="A4201" s="5" t="s">
        <v>3084</v>
      </c>
    </row>
    <row r="4202" ht="15.75" customHeight="1">
      <c r="A4202" s="5" t="s">
        <v>3085</v>
      </c>
    </row>
    <row r="4203" ht="15.75" customHeight="1">
      <c r="A4203" s="5" t="s">
        <v>3086</v>
      </c>
    </row>
    <row r="4204" ht="15.75" customHeight="1">
      <c r="A4204" s="5" t="s">
        <v>3087</v>
      </c>
    </row>
    <row r="4205" ht="15.75" customHeight="1">
      <c r="A4205" s="5" t="s">
        <v>3088</v>
      </c>
    </row>
    <row r="4206" ht="15.75" customHeight="1">
      <c r="A4206" s="5" t="s">
        <v>3089</v>
      </c>
    </row>
    <row r="4207" ht="15.75" customHeight="1">
      <c r="A4207" s="5" t="s">
        <v>3090</v>
      </c>
    </row>
    <row r="4208" ht="15.75" customHeight="1">
      <c r="A4208" s="5" t="s">
        <v>3091</v>
      </c>
    </row>
    <row r="4209" ht="15.75" customHeight="1">
      <c r="A4209" s="5" t="s">
        <v>3092</v>
      </c>
    </row>
    <row r="4210" ht="15.75" customHeight="1">
      <c r="A4210" s="5" t="s">
        <v>3093</v>
      </c>
    </row>
    <row r="4211" ht="15.75" customHeight="1">
      <c r="A4211" s="5" t="s">
        <v>3094</v>
      </c>
    </row>
    <row r="4212" ht="15.75" customHeight="1">
      <c r="A4212" s="5" t="s">
        <v>3095</v>
      </c>
    </row>
    <row r="4213" ht="15.75" customHeight="1">
      <c r="A4213" s="5" t="s">
        <v>3096</v>
      </c>
    </row>
    <row r="4214" ht="15.75" customHeight="1">
      <c r="A4214" s="5" t="s">
        <v>3097</v>
      </c>
    </row>
    <row r="4215" ht="15.75" customHeight="1">
      <c r="A4215" s="5" t="s">
        <v>3098</v>
      </c>
    </row>
    <row r="4216" ht="15.75" customHeight="1">
      <c r="A4216" s="5" t="s">
        <v>3099</v>
      </c>
    </row>
    <row r="4217" ht="15.75" customHeight="1">
      <c r="A4217" s="5" t="s">
        <v>3100</v>
      </c>
    </row>
    <row r="4218" ht="15.75" customHeight="1">
      <c r="A4218" s="5" t="s">
        <v>3101</v>
      </c>
    </row>
    <row r="4219" ht="15.75" customHeight="1">
      <c r="A4219" s="5" t="s">
        <v>3102</v>
      </c>
    </row>
    <row r="4220" ht="15.75" customHeight="1">
      <c r="A4220" s="5" t="s">
        <v>3103</v>
      </c>
    </row>
    <row r="4221" ht="15.75" customHeight="1">
      <c r="A4221" s="5" t="s">
        <v>3104</v>
      </c>
    </row>
    <row r="4222" ht="15.75" customHeight="1">
      <c r="A4222" s="5" t="s">
        <v>3105</v>
      </c>
    </row>
    <row r="4223" ht="15.75" customHeight="1">
      <c r="A4223" s="5" t="s">
        <v>3106</v>
      </c>
    </row>
    <row r="4224" ht="15.75" customHeight="1">
      <c r="A4224" s="5" t="s">
        <v>3107</v>
      </c>
    </row>
    <row r="4225" ht="15.75" customHeight="1">
      <c r="A4225" s="5" t="s">
        <v>3108</v>
      </c>
    </row>
    <row r="4226" ht="15.75" customHeight="1">
      <c r="A4226" s="5" t="s">
        <v>3109</v>
      </c>
    </row>
    <row r="4227" ht="15.75" customHeight="1">
      <c r="A4227" s="5" t="s">
        <v>3110</v>
      </c>
    </row>
    <row r="4228" ht="15.75" customHeight="1">
      <c r="A4228" s="5" t="s">
        <v>3111</v>
      </c>
    </row>
    <row r="4229" ht="15.75" customHeight="1">
      <c r="A4229" s="5" t="s">
        <v>3112</v>
      </c>
    </row>
    <row r="4230" ht="15.75" customHeight="1">
      <c r="A4230" s="5" t="s">
        <v>3113</v>
      </c>
    </row>
    <row r="4231" ht="15.75" customHeight="1">
      <c r="A4231" s="5" t="s">
        <v>3114</v>
      </c>
    </row>
    <row r="4232" ht="15.75" customHeight="1">
      <c r="A4232" s="5" t="s">
        <v>3115</v>
      </c>
    </row>
    <row r="4233" ht="15.75" customHeight="1">
      <c r="A4233" s="5" t="s">
        <v>3116</v>
      </c>
    </row>
    <row r="4234" ht="15.75" customHeight="1">
      <c r="A4234" s="5" t="s">
        <v>3117</v>
      </c>
    </row>
    <row r="4235" ht="15.75" customHeight="1">
      <c r="A4235" s="5" t="s">
        <v>3118</v>
      </c>
    </row>
    <row r="4236" ht="15.75" customHeight="1">
      <c r="A4236" s="5" t="s">
        <v>3119</v>
      </c>
    </row>
    <row r="4237" ht="15.75" customHeight="1">
      <c r="A4237" s="5" t="s">
        <v>3120</v>
      </c>
    </row>
    <row r="4238" ht="15.75" customHeight="1">
      <c r="A4238" s="5" t="s">
        <v>3121</v>
      </c>
    </row>
    <row r="4239" ht="15.75" customHeight="1">
      <c r="A4239" s="5" t="s">
        <v>3122</v>
      </c>
    </row>
    <row r="4240" ht="15.75" customHeight="1">
      <c r="A4240" s="5" t="s">
        <v>3123</v>
      </c>
    </row>
    <row r="4241" ht="15.75" customHeight="1">
      <c r="A4241" s="5" t="s">
        <v>3124</v>
      </c>
    </row>
    <row r="4242" ht="15.75" customHeight="1">
      <c r="A4242" s="5" t="s">
        <v>3125</v>
      </c>
    </row>
    <row r="4243" ht="15.75" customHeight="1">
      <c r="A4243" s="5" t="s">
        <v>3126</v>
      </c>
    </row>
    <row r="4244" ht="15.75" customHeight="1">
      <c r="A4244" s="5" t="s">
        <v>3127</v>
      </c>
    </row>
    <row r="4245" ht="15.75" customHeight="1">
      <c r="A4245" s="5" t="s">
        <v>3128</v>
      </c>
    </row>
    <row r="4246" ht="15.75" customHeight="1">
      <c r="A4246" s="5" t="s">
        <v>3129</v>
      </c>
    </row>
    <row r="4247" ht="15.75" customHeight="1">
      <c r="A4247" s="5" t="s">
        <v>3130</v>
      </c>
    </row>
    <row r="4248" ht="15.75" customHeight="1">
      <c r="A4248" s="5" t="s">
        <v>3131</v>
      </c>
    </row>
    <row r="4249" ht="15.75" customHeight="1">
      <c r="A4249" s="5" t="s">
        <v>3132</v>
      </c>
    </row>
    <row r="4250" ht="15.75" customHeight="1">
      <c r="A4250" s="5" t="s">
        <v>3133</v>
      </c>
    </row>
    <row r="4251" ht="15.75" customHeight="1">
      <c r="A4251" s="5" t="s">
        <v>3134</v>
      </c>
    </row>
    <row r="4252" ht="15.75" customHeight="1">
      <c r="A4252" s="5" t="s">
        <v>3135</v>
      </c>
    </row>
    <row r="4253" ht="15.75" customHeight="1">
      <c r="A4253" s="5" t="s">
        <v>3136</v>
      </c>
    </row>
    <row r="4254" ht="15.75" customHeight="1">
      <c r="A4254" s="5" t="s">
        <v>3137</v>
      </c>
    </row>
    <row r="4255" ht="15.75" customHeight="1">
      <c r="A4255" s="5" t="s">
        <v>3138</v>
      </c>
    </row>
    <row r="4256" ht="15.75" customHeight="1">
      <c r="A4256" s="5" t="s">
        <v>3139</v>
      </c>
    </row>
    <row r="4257" ht="15.75" customHeight="1">
      <c r="A4257" s="5" t="s">
        <v>3140</v>
      </c>
    </row>
    <row r="4258" ht="15.75" customHeight="1">
      <c r="A4258" s="5" t="s">
        <v>3141</v>
      </c>
    </row>
    <row r="4259" ht="15.75" customHeight="1">
      <c r="A4259" s="5" t="s">
        <v>3142</v>
      </c>
    </row>
    <row r="4260" ht="15.75" customHeight="1">
      <c r="A4260" s="5" t="s">
        <v>3143</v>
      </c>
    </row>
    <row r="4261" ht="15.75" customHeight="1">
      <c r="A4261" s="5" t="s">
        <v>3144</v>
      </c>
    </row>
    <row r="4262" ht="15.75" customHeight="1">
      <c r="A4262" s="5" t="s">
        <v>3145</v>
      </c>
    </row>
    <row r="4263" ht="15.75" customHeight="1">
      <c r="A4263" s="5" t="s">
        <v>3146</v>
      </c>
    </row>
    <row r="4264" ht="15.75" customHeight="1">
      <c r="A4264" s="5" t="s">
        <v>3147</v>
      </c>
    </row>
    <row r="4265" ht="15.75" customHeight="1">
      <c r="A4265" s="5" t="s">
        <v>3148</v>
      </c>
    </row>
    <row r="4266" ht="15.75" customHeight="1">
      <c r="A4266" s="5" t="s">
        <v>3149</v>
      </c>
    </row>
    <row r="4267" ht="15.75" customHeight="1">
      <c r="A4267" s="5" t="s">
        <v>3150</v>
      </c>
    </row>
    <row r="4268" ht="15.75" customHeight="1">
      <c r="A4268" s="5" t="s">
        <v>3151</v>
      </c>
    </row>
    <row r="4269" ht="15.75" customHeight="1">
      <c r="A4269" s="5" t="s">
        <v>3152</v>
      </c>
    </row>
    <row r="4270" ht="15.75" customHeight="1">
      <c r="A4270" s="5" t="s">
        <v>3153</v>
      </c>
    </row>
    <row r="4271" ht="15.75" customHeight="1">
      <c r="A4271" s="5" t="s">
        <v>3154</v>
      </c>
    </row>
    <row r="4272" ht="15.75" customHeight="1">
      <c r="A4272" s="5" t="s">
        <v>3155</v>
      </c>
    </row>
    <row r="4273" ht="15.75" customHeight="1">
      <c r="A4273" s="5" t="s">
        <v>3156</v>
      </c>
    </row>
    <row r="4274" ht="15.75" customHeight="1">
      <c r="A4274" s="5" t="s">
        <v>3157</v>
      </c>
    </row>
    <row r="4275" ht="15.75" customHeight="1">
      <c r="A4275" s="5" t="s">
        <v>3158</v>
      </c>
    </row>
    <row r="4276" ht="15.75" customHeight="1">
      <c r="A4276" s="5" t="s">
        <v>3159</v>
      </c>
    </row>
    <row r="4277" ht="15.75" customHeight="1">
      <c r="A4277" s="5" t="s">
        <v>3160</v>
      </c>
    </row>
    <row r="4278" ht="15.75" customHeight="1">
      <c r="A4278" s="5" t="s">
        <v>3161</v>
      </c>
    </row>
    <row r="4279" ht="15.75" customHeight="1">
      <c r="A4279" s="5" t="s">
        <v>3162</v>
      </c>
    </row>
    <row r="4280" ht="15.75" customHeight="1">
      <c r="A4280" s="5" t="s">
        <v>3163</v>
      </c>
    </row>
    <row r="4281" ht="15.75" customHeight="1">
      <c r="A4281" s="5" t="s">
        <v>3164</v>
      </c>
    </row>
    <row r="4282" ht="15.75" customHeight="1">
      <c r="A4282" s="5" t="s">
        <v>3165</v>
      </c>
    </row>
    <row r="4283" ht="15.75" customHeight="1">
      <c r="A4283" s="5" t="s">
        <v>3166</v>
      </c>
    </row>
    <row r="4284" ht="15.75" customHeight="1">
      <c r="A4284" s="5" t="s">
        <v>3167</v>
      </c>
    </row>
    <row r="4285" ht="15.75" customHeight="1">
      <c r="A4285" s="5" t="s">
        <v>3168</v>
      </c>
    </row>
    <row r="4286" ht="15.75" customHeight="1">
      <c r="A4286" s="5" t="s">
        <v>3169</v>
      </c>
    </row>
    <row r="4287" ht="15.75" customHeight="1">
      <c r="A4287" s="5" t="s">
        <v>3170</v>
      </c>
    </row>
    <row r="4288" ht="15.75" customHeight="1">
      <c r="A4288" s="5" t="s">
        <v>3171</v>
      </c>
    </row>
    <row r="4289" ht="15.75" customHeight="1">
      <c r="A4289" s="5" t="s">
        <v>3172</v>
      </c>
    </row>
    <row r="4290" ht="15.75" customHeight="1">
      <c r="A4290" s="5" t="s">
        <v>3173</v>
      </c>
    </row>
    <row r="4291" ht="15.75" customHeight="1">
      <c r="A4291" s="5" t="s">
        <v>3174</v>
      </c>
    </row>
    <row r="4292" ht="15.75" customHeight="1">
      <c r="A4292" s="5" t="s">
        <v>3175</v>
      </c>
    </row>
    <row r="4293" ht="15.75" customHeight="1">
      <c r="A4293" s="5" t="s">
        <v>3176</v>
      </c>
    </row>
    <row r="4294" ht="15.75" customHeight="1">
      <c r="A4294" s="5" t="s">
        <v>3177</v>
      </c>
    </row>
    <row r="4295" ht="15.75" customHeight="1">
      <c r="A4295" s="5" t="s">
        <v>3178</v>
      </c>
    </row>
    <row r="4296" ht="15.75" customHeight="1">
      <c r="A4296" s="5" t="s">
        <v>3179</v>
      </c>
    </row>
    <row r="4297" ht="15.75" customHeight="1">
      <c r="A4297" s="5" t="s">
        <v>3180</v>
      </c>
    </row>
    <row r="4298" ht="15.75" customHeight="1">
      <c r="A4298" s="5" t="s">
        <v>3181</v>
      </c>
    </row>
    <row r="4299" ht="15.75" customHeight="1">
      <c r="A4299" s="5" t="s">
        <v>3182</v>
      </c>
    </row>
    <row r="4300" ht="15.75" customHeight="1">
      <c r="A4300" s="5" t="s">
        <v>3183</v>
      </c>
    </row>
    <row r="4301" ht="15.75" customHeight="1">
      <c r="A4301" s="5" t="s">
        <v>3184</v>
      </c>
    </row>
    <row r="4302" ht="15.75" customHeight="1">
      <c r="A4302" s="5" t="s">
        <v>3185</v>
      </c>
    </row>
    <row r="4303" ht="15.75" customHeight="1">
      <c r="A4303" s="5" t="s">
        <v>3186</v>
      </c>
    </row>
    <row r="4304" ht="15.75" customHeight="1">
      <c r="A4304" s="5" t="s">
        <v>3187</v>
      </c>
    </row>
    <row r="4305" ht="15.75" customHeight="1">
      <c r="A4305" s="5" t="s">
        <v>3188</v>
      </c>
    </row>
    <row r="4306" ht="15.75" customHeight="1">
      <c r="A4306" s="5" t="s">
        <v>3189</v>
      </c>
    </row>
    <row r="4307" ht="15.75" customHeight="1">
      <c r="A4307" s="5" t="s">
        <v>3190</v>
      </c>
    </row>
    <row r="4308" ht="15.75" customHeight="1">
      <c r="A4308" s="5" t="s">
        <v>3191</v>
      </c>
    </row>
    <row r="4309" ht="15.75" customHeight="1">
      <c r="A4309" s="5" t="s">
        <v>3192</v>
      </c>
    </row>
    <row r="4310" ht="15.75" customHeight="1">
      <c r="A4310" s="5" t="s">
        <v>3193</v>
      </c>
    </row>
    <row r="4311" ht="15.75" customHeight="1">
      <c r="A4311" s="5" t="s">
        <v>3194</v>
      </c>
    </row>
    <row r="4312" ht="15.75" customHeight="1">
      <c r="A4312" s="5" t="s">
        <v>3195</v>
      </c>
    </row>
    <row r="4313" ht="15.75" customHeight="1">
      <c r="A4313" s="5" t="s">
        <v>3196</v>
      </c>
    </row>
    <row r="4314" ht="15.75" customHeight="1">
      <c r="A4314" s="5" t="s">
        <v>3197</v>
      </c>
    </row>
    <row r="4315" ht="15.75" customHeight="1">
      <c r="A4315" s="5" t="s">
        <v>3198</v>
      </c>
    </row>
    <row r="4316" ht="15.75" customHeight="1">
      <c r="A4316" s="5" t="s">
        <v>3199</v>
      </c>
    </row>
    <row r="4317" ht="15.75" customHeight="1">
      <c r="A4317" s="5" t="s">
        <v>3200</v>
      </c>
    </row>
    <row r="4318" ht="15.75" customHeight="1">
      <c r="A4318" s="5" t="s">
        <v>3201</v>
      </c>
    </row>
    <row r="4319" ht="15.75" customHeight="1">
      <c r="A4319" s="5" t="s">
        <v>3202</v>
      </c>
    </row>
    <row r="4320" ht="15.75" customHeight="1">
      <c r="A4320" s="5" t="s">
        <v>3203</v>
      </c>
    </row>
    <row r="4321" ht="15.75" customHeight="1">
      <c r="A4321" s="5" t="s">
        <v>3204</v>
      </c>
    </row>
    <row r="4322" ht="15.75" customHeight="1">
      <c r="A4322" s="5" t="s">
        <v>3205</v>
      </c>
    </row>
    <row r="4323" ht="15.75" customHeight="1">
      <c r="A4323" s="5" t="s">
        <v>3206</v>
      </c>
    </row>
    <row r="4324" ht="15.75" customHeight="1">
      <c r="A4324" s="5" t="s">
        <v>3207</v>
      </c>
    </row>
    <row r="4325" ht="15.75" customHeight="1">
      <c r="A4325" s="5" t="s">
        <v>3208</v>
      </c>
    </row>
    <row r="4326" ht="15.75" customHeight="1">
      <c r="A4326" s="5" t="s">
        <v>3209</v>
      </c>
    </row>
    <row r="4327" ht="15.75" customHeight="1">
      <c r="A4327" s="5" t="s">
        <v>3210</v>
      </c>
    </row>
    <row r="4328" ht="15.75" customHeight="1">
      <c r="A4328" s="5" t="s">
        <v>3211</v>
      </c>
    </row>
    <row r="4329" ht="15.75" customHeight="1">
      <c r="A4329" s="5" t="s">
        <v>3212</v>
      </c>
    </row>
    <row r="4330" ht="15.75" customHeight="1">
      <c r="A4330" s="5" t="s">
        <v>3213</v>
      </c>
    </row>
    <row r="4331" ht="15.75" customHeight="1">
      <c r="A4331" s="5" t="s">
        <v>3214</v>
      </c>
    </row>
    <row r="4332" ht="15.75" customHeight="1">
      <c r="A4332" s="5" t="s">
        <v>3215</v>
      </c>
    </row>
    <row r="4333" ht="15.75" customHeight="1">
      <c r="A4333" s="5" t="s">
        <v>3216</v>
      </c>
    </row>
    <row r="4334" ht="15.75" customHeight="1">
      <c r="A4334" s="5" t="s">
        <v>3217</v>
      </c>
    </row>
    <row r="4335" ht="15.75" customHeight="1">
      <c r="A4335" s="5" t="s">
        <v>3218</v>
      </c>
    </row>
    <row r="4336" ht="15.75" customHeight="1">
      <c r="A4336" s="5" t="s">
        <v>3219</v>
      </c>
    </row>
    <row r="4337" ht="15.75" customHeight="1">
      <c r="A4337" s="5" t="s">
        <v>3220</v>
      </c>
    </row>
    <row r="4338" ht="15.75" customHeight="1">
      <c r="A4338" s="5" t="s">
        <v>3221</v>
      </c>
    </row>
    <row r="4339" ht="15.75" customHeight="1">
      <c r="A4339" s="5" t="s">
        <v>3222</v>
      </c>
    </row>
    <row r="4340" ht="15.75" customHeight="1">
      <c r="A4340" s="5" t="s">
        <v>3223</v>
      </c>
    </row>
    <row r="4341" ht="15.75" customHeight="1">
      <c r="A4341" s="5" t="s">
        <v>3224</v>
      </c>
    </row>
    <row r="4342" ht="15.75" customHeight="1">
      <c r="A4342" s="5" t="s">
        <v>3225</v>
      </c>
    </row>
    <row r="4343" ht="15.75" customHeight="1">
      <c r="A4343" s="5" t="s">
        <v>3226</v>
      </c>
    </row>
    <row r="4344" ht="15.75" customHeight="1">
      <c r="A4344" s="5" t="s">
        <v>3227</v>
      </c>
    </row>
    <row r="4345" ht="15.75" customHeight="1">
      <c r="A4345" s="5" t="s">
        <v>3228</v>
      </c>
    </row>
    <row r="4346" ht="15.75" customHeight="1">
      <c r="A4346" s="5" t="s">
        <v>3229</v>
      </c>
    </row>
    <row r="4347" ht="15.75" customHeight="1">
      <c r="A4347" s="5" t="s">
        <v>3230</v>
      </c>
    </row>
    <row r="4348" ht="15.75" customHeight="1">
      <c r="A4348" s="5" t="s">
        <v>3231</v>
      </c>
    </row>
    <row r="4349" ht="15.75" customHeight="1">
      <c r="A4349" s="5" t="s">
        <v>3232</v>
      </c>
    </row>
    <row r="4350" ht="15.75" customHeight="1">
      <c r="A4350" s="5" t="s">
        <v>3233</v>
      </c>
    </row>
    <row r="4351" ht="15.75" customHeight="1">
      <c r="A4351" s="5" t="s">
        <v>3234</v>
      </c>
    </row>
    <row r="4352" ht="15.75" customHeight="1">
      <c r="A4352" s="5" t="s">
        <v>3235</v>
      </c>
    </row>
    <row r="4353" ht="15.75" customHeight="1">
      <c r="A4353" s="5" t="s">
        <v>3236</v>
      </c>
    </row>
    <row r="4354" ht="15.75" customHeight="1">
      <c r="A4354" s="5" t="s">
        <v>3237</v>
      </c>
    </row>
    <row r="4355" ht="15.75" customHeight="1">
      <c r="A4355" s="5" t="s">
        <v>3238</v>
      </c>
    </row>
    <row r="4356" ht="15.75" customHeight="1">
      <c r="A4356" s="5" t="s">
        <v>3239</v>
      </c>
    </row>
    <row r="4357" ht="15.75" customHeight="1">
      <c r="A4357" s="5" t="s">
        <v>3240</v>
      </c>
    </row>
    <row r="4358" ht="15.75" customHeight="1">
      <c r="A4358" s="5" t="s">
        <v>3241</v>
      </c>
    </row>
    <row r="4359" ht="15.75" customHeight="1">
      <c r="A4359" s="5" t="s">
        <v>3242</v>
      </c>
    </row>
    <row r="4360" ht="15.75" customHeight="1">
      <c r="A4360" s="5" t="s">
        <v>3243</v>
      </c>
    </row>
    <row r="4361" ht="15.75" customHeight="1">
      <c r="A4361" s="5"/>
    </row>
    <row r="4362" ht="15.75" customHeight="1">
      <c r="A4362" s="5" t="s">
        <v>5765</v>
      </c>
    </row>
    <row r="4363" ht="15.75" customHeight="1">
      <c r="A4363" s="5" t="s">
        <v>7730</v>
      </c>
    </row>
    <row r="4364" ht="15.75" customHeight="1">
      <c r="A4364" s="5" t="s">
        <v>7731</v>
      </c>
    </row>
    <row r="4365" ht="15.75" customHeight="1">
      <c r="A4365" s="5" t="s">
        <v>5765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2.63"/>
  </cols>
  <sheetData>
    <row r="1" ht="15.75" customHeight="1">
      <c r="A1" s="5" t="s">
        <v>7732</v>
      </c>
      <c r="B1" s="5" t="s">
        <v>7733</v>
      </c>
      <c r="C1" s="5" t="s">
        <v>7734</v>
      </c>
      <c r="D1" s="5" t="s">
        <v>7735</v>
      </c>
      <c r="E1" s="5" t="s">
        <v>3</v>
      </c>
    </row>
    <row r="2" ht="15.75" customHeight="1">
      <c r="A2" s="5" t="s">
        <v>7736</v>
      </c>
      <c r="B2" s="5"/>
      <c r="C2" s="6" t="s">
        <v>7737</v>
      </c>
      <c r="D2" s="5" t="s">
        <v>54</v>
      </c>
    </row>
    <row r="3" ht="15.75" customHeight="1">
      <c r="A3" s="5"/>
      <c r="B3" s="5"/>
    </row>
    <row r="4" ht="15.75" customHeight="1">
      <c r="A4" s="5"/>
      <c r="B4" s="5"/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75"/>
    <col customWidth="1" min="2" max="6" width="12.63"/>
  </cols>
  <sheetData>
    <row r="1" ht="15.75" customHeight="1">
      <c r="A1" s="31" t="s">
        <v>7738</v>
      </c>
    </row>
    <row r="2" ht="15.75" customHeight="1">
      <c r="A2" s="5" t="s">
        <v>3294</v>
      </c>
    </row>
    <row r="3" ht="15.75" customHeight="1">
      <c r="A3" s="5" t="s">
        <v>3320</v>
      </c>
    </row>
    <row r="4" ht="15.75" customHeight="1">
      <c r="A4" s="5" t="s">
        <v>3605</v>
      </c>
    </row>
    <row r="5" ht="15.75" customHeight="1">
      <c r="A5" s="5" t="s">
        <v>4342</v>
      </c>
    </row>
    <row r="6" ht="15.75" customHeight="1">
      <c r="A6" s="5" t="s">
        <v>3342</v>
      </c>
    </row>
    <row r="7" ht="15.75" customHeight="1">
      <c r="A7" s="5" t="s">
        <v>4647</v>
      </c>
    </row>
    <row r="8" ht="15.75" customHeight="1">
      <c r="A8" s="5" t="s">
        <v>3337</v>
      </c>
    </row>
    <row r="9" ht="15.75" customHeight="1">
      <c r="A9" s="5" t="s">
        <v>7739</v>
      </c>
    </row>
    <row r="10" ht="15.75" customHeight="1">
      <c r="A10" s="5" t="s">
        <v>3457</v>
      </c>
    </row>
    <row r="11" ht="15.75" customHeight="1">
      <c r="A11" s="5" t="s">
        <v>3715</v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0"/>
  <cols>
    <col customWidth="1" min="1" max="6" width="12.63"/>
  </cols>
  <sheetData>
    <row r="1" ht="15.75" customHeight="1">
      <c r="A1" s="43" t="s">
        <v>7740</v>
      </c>
      <c r="B1" s="44" t="s">
        <v>7741</v>
      </c>
      <c r="C1" s="44" t="s">
        <v>7742</v>
      </c>
      <c r="D1" s="44" t="s">
        <v>7743</v>
      </c>
      <c r="E1" s="44" t="s">
        <v>7744</v>
      </c>
      <c r="F1" s="44" t="s">
        <v>7745</v>
      </c>
      <c r="G1" s="44" t="s">
        <v>7746</v>
      </c>
      <c r="H1" s="44" t="s">
        <v>7747</v>
      </c>
      <c r="I1" s="44" t="s">
        <v>7748</v>
      </c>
      <c r="J1" s="44" t="s">
        <v>7749</v>
      </c>
      <c r="K1" s="45" t="s">
        <v>7750</v>
      </c>
      <c r="L1" s="44" t="s">
        <v>7751</v>
      </c>
      <c r="M1" s="44" t="s">
        <v>7752</v>
      </c>
      <c r="N1" s="44" t="s">
        <v>7753</v>
      </c>
      <c r="O1" s="46" t="s">
        <v>7754</v>
      </c>
      <c r="P1" s="46" t="s">
        <v>7755</v>
      </c>
      <c r="Q1" s="46" t="s">
        <v>7756</v>
      </c>
      <c r="R1" s="47" t="s">
        <v>7757</v>
      </c>
      <c r="S1" s="44" t="s">
        <v>7758</v>
      </c>
      <c r="T1" s="44" t="s">
        <v>7759</v>
      </c>
      <c r="U1" s="44" t="s">
        <v>7760</v>
      </c>
      <c r="V1" s="44" t="s">
        <v>7761</v>
      </c>
      <c r="W1" s="44" t="s">
        <v>7762</v>
      </c>
      <c r="X1" s="44" t="s">
        <v>7763</v>
      </c>
      <c r="Y1" s="44" t="s">
        <v>7764</v>
      </c>
    </row>
    <row r="2" ht="15.75" customHeight="1">
      <c r="A2" s="5" t="str">
        <f>IFERROR(__xludf.DUMMYFUNCTION("IMPORTRANGE(""https://docs.google.com/spreadsheets/d/1K4FbrEqBWgpGHU7endU5yHpLzeM0dREtUGQF3mOWIUk/edit?gid=542800275#gid=542800275"",""CIU_EXPO!A2:Y700"")"),"#REF!")</f>
        <v>#REF!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3" width="12.63"/>
    <col customWidth="1" min="4" max="4" width="16.25"/>
    <col customWidth="1" min="5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7765</v>
      </c>
      <c r="E1" s="1" t="s">
        <v>7766</v>
      </c>
    </row>
    <row r="2" ht="15.75" customHeight="1">
      <c r="A2" s="2">
        <v>1.0</v>
      </c>
      <c r="B2" s="2">
        <v>107500.0</v>
      </c>
      <c r="C2" s="5" t="str">
        <f t="array" ref="C2:C130">PILETAS!C2:C130</f>
        <v/>
      </c>
      <c r="D2" s="5" t="str">
        <f t="array" ref="D2">XLOOKUP(C2,'PILETAS LOTES'!$A$2:$A1000,'PILETAS LOTES'!$F$2:$F1000,"",0)</f>
        <v/>
      </c>
      <c r="E2" s="5" t="str">
        <f t="array" ref="E2">XLOOKUP(C2,'PILETAS LOTES'!$A$2:$A1000,'PILETAS LOTES'!$H$2:$H1000,"",0)</f>
        <v/>
      </c>
    </row>
    <row r="3" ht="15.75" customHeight="1">
      <c r="A3" s="2">
        <v>2.0</v>
      </c>
      <c r="B3" s="2">
        <v>8400.0</v>
      </c>
      <c r="C3" s="5" t="s">
        <v>7</v>
      </c>
      <c r="D3" s="3" t="str">
        <f t="array" ref="D3">XLOOKUP(C3,'PILETAS LOTES'!$A$2:$A1000,'PILETAS LOTES'!$F$2:$F1000,"",0)</f>
        <v>Chardonnay</v>
      </c>
      <c r="E3" s="5">
        <f t="array" ref="E3">XLOOKUP(C3,'PILETAS LOTES'!$A$2:$A1000,'PILETAS LOTES'!$H$2:$H1000,"",0)</f>
        <v>2200</v>
      </c>
    </row>
    <row r="4" ht="15.75" customHeight="1">
      <c r="A4" s="2">
        <v>3.0</v>
      </c>
      <c r="B4" s="2">
        <v>15000.0</v>
      </c>
      <c r="C4" s="5"/>
      <c r="D4" s="3" t="str">
        <f t="array" ref="D4">XLOOKUP(C4,'PILETAS LOTES'!$A$2:$A1000,'PILETAS LOTES'!$F$2:$F1000,"",0)</f>
        <v/>
      </c>
      <c r="E4" s="5" t="str">
        <f t="array" ref="E4">XLOOKUP(C4,'PILETAS LOTES'!$A$2:$A1000,'PILETAS LOTES'!$H$2:$H1000,"",0)</f>
        <v/>
      </c>
    </row>
    <row r="5" ht="15.75" customHeight="1">
      <c r="A5" s="2">
        <v>4.0</v>
      </c>
      <c r="B5" s="2">
        <v>26000.0</v>
      </c>
      <c r="C5" s="5"/>
      <c r="D5" s="3" t="str">
        <f t="array" ref="D5">XLOOKUP(C5,'PILETAS LOTES'!$A$2:$A1000,'PILETAS LOTES'!$F$2:$F1000,"",0)</f>
        <v/>
      </c>
      <c r="E5" s="5" t="str">
        <f t="array" ref="E5">XLOOKUP(C5,'PILETAS LOTES'!$A$2:$A1000,'PILETAS LOTES'!$H$2:$H1000,"",0)</f>
        <v/>
      </c>
    </row>
    <row r="6" ht="15.75" customHeight="1">
      <c r="A6" s="2">
        <v>5.0</v>
      </c>
      <c r="B6" s="2">
        <v>30000.0</v>
      </c>
      <c r="C6" s="5" t="s">
        <v>8</v>
      </c>
      <c r="D6" s="3" t="str">
        <f t="array" ref="D6">XLOOKUP(C6,'PILETAS LOTES'!$A$2:$A1000,'PILETAS LOTES'!$F$2:$F1000,"",0)</f>
        <v>Chardonnay</v>
      </c>
      <c r="E6" s="5">
        <f t="array" ref="E6">XLOOKUP(C6,'PILETAS LOTES'!$A$2:$A1000,'PILETAS LOTES'!$H$2:$H1000,"",0)</f>
        <v>30000</v>
      </c>
    </row>
    <row r="7" ht="15.75" customHeight="1">
      <c r="A7" s="2">
        <v>6.0</v>
      </c>
      <c r="B7" s="2">
        <v>32000.0</v>
      </c>
      <c r="C7" s="5" t="s">
        <v>9</v>
      </c>
      <c r="D7" s="3" t="str">
        <f t="array" ref="D7">XLOOKUP(C7,'PILETAS LOTES'!$A$2:$A1000,'PILETAS LOTES'!$F$2:$F1000,"",0)</f>
        <v/>
      </c>
      <c r="E7" s="5" t="str">
        <f t="array" ref="E7">XLOOKUP(C7,'PILETAS LOTES'!$A$2:$A1000,'PILETAS LOTES'!$H$2:$H1000,"",0)</f>
        <v/>
      </c>
    </row>
    <row r="8" ht="15.75" customHeight="1">
      <c r="A8" s="2">
        <v>7.0</v>
      </c>
      <c r="B8" s="2">
        <v>30000.0</v>
      </c>
      <c r="C8" s="5"/>
      <c r="D8" s="3" t="str">
        <f t="array" ref="D8">XLOOKUP(C8,'PILETAS LOTES'!$A$2:$A1000,'PILETAS LOTES'!$F$2:$F1000,"",0)</f>
        <v/>
      </c>
      <c r="E8" s="5" t="str">
        <f t="array" ref="E8">XLOOKUP(C8,'PILETAS LOTES'!$A$2:$A1000,'PILETAS LOTES'!$H$2:$H1000,"",0)</f>
        <v/>
      </c>
    </row>
    <row r="9" ht="15.75" customHeight="1">
      <c r="A9" s="2">
        <v>8.0</v>
      </c>
      <c r="B9" s="2">
        <v>22000.0</v>
      </c>
      <c r="C9" s="5" t="s">
        <v>10</v>
      </c>
      <c r="D9" s="3" t="str">
        <f t="array" ref="D9">XLOOKUP(C9,'PILETAS LOTES'!$A$2:$A1000,'PILETAS LOTES'!$F$2:$F1000,"",0)</f>
        <v>Chardonnay</v>
      </c>
      <c r="E9" s="5">
        <f t="array" ref="E9">XLOOKUP(C9,'PILETAS LOTES'!$A$2:$A1000,'PILETAS LOTES'!$H$2:$H1000,"",0)</f>
        <v>22000</v>
      </c>
    </row>
    <row r="10" ht="15.75" customHeight="1">
      <c r="A10" s="2">
        <v>9.0</v>
      </c>
      <c r="B10" s="2">
        <v>30000.0</v>
      </c>
      <c r="C10" s="5"/>
      <c r="D10" s="3" t="str">
        <f t="array" ref="D10">XLOOKUP(C10,'PILETAS LOTES'!$A$2:$A1000,'PILETAS LOTES'!$F$2:$F1000,"",0)</f>
        <v/>
      </c>
      <c r="E10" s="5" t="str">
        <f t="array" ref="E10">XLOOKUP(C10,'PILETAS LOTES'!$A$2:$A1000,'PILETAS LOTES'!$H$2:$H1000,"",0)</f>
        <v/>
      </c>
    </row>
    <row r="11" ht="15.75" customHeight="1">
      <c r="A11" s="2">
        <v>10.0</v>
      </c>
      <c r="B11" s="2">
        <v>21000.0</v>
      </c>
      <c r="C11" s="5" t="s">
        <v>11</v>
      </c>
      <c r="D11" s="3" t="str">
        <f t="array" ref="D11">XLOOKUP(C11,'PILETAS LOTES'!$A$2:$A1000,'PILETAS LOTES'!$F$2:$F1000,"",0)</f>
        <v>Chardonnay</v>
      </c>
      <c r="E11" s="5">
        <f t="array" ref="E11">XLOOKUP(C11,'PILETAS LOTES'!$A$2:$A1000,'PILETAS LOTES'!$H$2:$H1000,"",0)</f>
        <v>21000</v>
      </c>
    </row>
    <row r="12" ht="15.75" customHeight="1">
      <c r="A12" s="3">
        <v>11.0</v>
      </c>
      <c r="B12" s="3">
        <v>36000.0</v>
      </c>
      <c r="C12" s="5"/>
      <c r="D12" s="3" t="str">
        <f t="array" ref="D12">XLOOKUP(C12,'PILETAS LOTES'!$A$2:$A1000,'PILETAS LOTES'!$F$2:$F1000,"",0)</f>
        <v/>
      </c>
      <c r="E12" s="5" t="str">
        <f t="array" ref="E12">XLOOKUP(C12,'PILETAS LOTES'!$A$2:$A1000,'PILETAS LOTES'!$H$2:$H1000,"",0)</f>
        <v/>
      </c>
    </row>
    <row r="13" ht="15.75" customHeight="1">
      <c r="A13" s="3">
        <v>12.0</v>
      </c>
      <c r="B13" s="3">
        <v>35300.0</v>
      </c>
      <c r="C13" s="5"/>
      <c r="D13" s="3" t="str">
        <f t="array" ref="D13">XLOOKUP(C13,'PILETAS LOTES'!$A$2:$A1000,'PILETAS LOTES'!$F$2:$F1000,"",0)</f>
        <v/>
      </c>
      <c r="E13" s="5" t="str">
        <f t="array" ref="E13">XLOOKUP(C13,'PILETAS LOTES'!$A$2:$A1000,'PILETAS LOTES'!$H$2:$H1000,"",0)</f>
        <v/>
      </c>
    </row>
    <row r="14" ht="15.75" customHeight="1">
      <c r="A14" s="3">
        <v>13.0</v>
      </c>
      <c r="B14" s="3">
        <v>20000.0</v>
      </c>
      <c r="C14" s="5"/>
      <c r="D14" s="3" t="str">
        <f t="array" ref="D14">XLOOKUP(C14,'PILETAS LOTES'!$A$2:$A1000,'PILETAS LOTES'!$F$2:$F1000,"",0)</f>
        <v/>
      </c>
      <c r="E14" s="5" t="str">
        <f t="array" ref="E14">XLOOKUP(C14,'PILETAS LOTES'!$A$2:$A1000,'PILETAS LOTES'!$H$2:$H1000,"",0)</f>
        <v/>
      </c>
    </row>
    <row r="15" ht="15.75" customHeight="1">
      <c r="A15" s="3">
        <v>14.0</v>
      </c>
      <c r="B15" s="3">
        <v>37000.0</v>
      </c>
      <c r="C15" s="5" t="s">
        <v>12</v>
      </c>
      <c r="D15" s="3" t="str">
        <f t="array" ref="D15">XLOOKUP(C15,'PILETAS LOTES'!$A$2:$A1000,'PILETAS LOTES'!$F$2:$F1000,"",0)</f>
        <v>Aspirant</v>
      </c>
      <c r="E15" s="5">
        <f t="array" ref="E15">XLOOKUP(C15,'PILETAS LOTES'!$A$2:$A1000,'PILETAS LOTES'!$H$2:$H1000,"",0)</f>
        <v>37000</v>
      </c>
    </row>
    <row r="16" ht="15.75" customHeight="1">
      <c r="A16" s="3">
        <v>15.0</v>
      </c>
      <c r="B16" s="3">
        <v>36500.0</v>
      </c>
      <c r="C16" s="5"/>
      <c r="D16" s="3" t="str">
        <f t="array" ref="D16">XLOOKUP(C16,'PILETAS LOTES'!$A$2:$A1000,'PILETAS LOTES'!$F$2:$F1000,"",0)</f>
        <v/>
      </c>
      <c r="E16" s="5" t="str">
        <f t="array" ref="E16">XLOOKUP(C16,'PILETAS LOTES'!$A$2:$A1000,'PILETAS LOTES'!$H$2:$H1000,"",0)</f>
        <v/>
      </c>
    </row>
    <row r="17" ht="15.75" customHeight="1">
      <c r="A17" s="3">
        <v>16.0</v>
      </c>
      <c r="B17" s="3">
        <v>19500.0</v>
      </c>
      <c r="C17" s="5" t="s">
        <v>13</v>
      </c>
      <c r="D17" s="3" t="str">
        <f t="array" ref="D17">XLOOKUP(C17,'PILETAS LOTES'!$A$2:$A1000,'PILETAS LOTES'!$F$2:$F1000,"",0)</f>
        <v/>
      </c>
      <c r="E17" s="5" t="str">
        <f t="array" ref="E17">XLOOKUP(C17,'PILETAS LOTES'!$A$2:$A1000,'PILETAS LOTES'!$H$2:$H1000,"",0)</f>
        <v/>
      </c>
    </row>
    <row r="18" ht="15.75" customHeight="1">
      <c r="A18" s="3">
        <v>17.0</v>
      </c>
      <c r="B18" s="3">
        <v>39500.0</v>
      </c>
      <c r="C18" s="5"/>
      <c r="D18" s="3" t="str">
        <f t="array" ref="D18">XLOOKUP(C18,'PILETAS LOTES'!$A$2:$A1000,'PILETAS LOTES'!$F$2:$F1000,"",0)</f>
        <v/>
      </c>
      <c r="E18" s="5" t="str">
        <f t="array" ref="E18">XLOOKUP(C18,'PILETAS LOTES'!$A$2:$A1000,'PILETAS LOTES'!$H$2:$H1000,"",0)</f>
        <v/>
      </c>
    </row>
    <row r="19" ht="15.75" customHeight="1">
      <c r="A19" s="3">
        <v>18.0</v>
      </c>
      <c r="B19" s="3">
        <v>39500.0</v>
      </c>
      <c r="C19" s="5"/>
      <c r="D19" s="3" t="str">
        <f t="array" ref="D19">XLOOKUP(C19,'PILETAS LOTES'!$A$2:$A1000,'PILETAS LOTES'!$F$2:$F1000,"",0)</f>
        <v/>
      </c>
      <c r="E19" s="5" t="str">
        <f t="array" ref="E19">XLOOKUP(C19,'PILETAS LOTES'!$A$2:$A1000,'PILETAS LOTES'!$H$2:$H1000,"",0)</f>
        <v/>
      </c>
    </row>
    <row r="20" ht="15.75" customHeight="1">
      <c r="A20" s="3">
        <v>19.0</v>
      </c>
      <c r="B20" s="3">
        <v>27500.0</v>
      </c>
      <c r="C20" s="5"/>
      <c r="D20" s="3" t="str">
        <f t="array" ref="D20">XLOOKUP(C20,'PILETAS LOTES'!$A$2:$A1000,'PILETAS LOTES'!$F$2:$F1000,"",0)</f>
        <v/>
      </c>
      <c r="E20" s="5" t="str">
        <f t="array" ref="E20">XLOOKUP(C20,'PILETAS LOTES'!$A$2:$A1000,'PILETAS LOTES'!$H$2:$H1000,"",0)</f>
        <v/>
      </c>
    </row>
    <row r="21" ht="15.75" customHeight="1">
      <c r="A21" s="3">
        <v>20.0</v>
      </c>
      <c r="B21" s="3">
        <v>38100.0</v>
      </c>
      <c r="C21" s="5"/>
      <c r="D21" s="3" t="str">
        <f t="array" ref="D21">XLOOKUP(C21,'PILETAS LOTES'!$A$2:$A1000,'PILETAS LOTES'!$F$2:$F1000,"",0)</f>
        <v/>
      </c>
      <c r="E21" s="5" t="str">
        <f t="array" ref="E21">XLOOKUP(C21,'PILETAS LOTES'!$A$2:$A1000,'PILETAS LOTES'!$H$2:$H1000,"",0)</f>
        <v/>
      </c>
    </row>
    <row r="22" ht="15.75" customHeight="1">
      <c r="A22" s="3">
        <v>21.0</v>
      </c>
      <c r="B22" s="3">
        <v>28000.0</v>
      </c>
      <c r="C22" s="5"/>
      <c r="D22" s="3" t="str">
        <f t="array" ref="D22">XLOOKUP(C22,'PILETAS LOTES'!$A$2:$A1000,'PILETAS LOTES'!$F$2:$F1000,"",0)</f>
        <v/>
      </c>
      <c r="E22" s="5" t="str">
        <f t="array" ref="E22">XLOOKUP(C22,'PILETAS LOTES'!$A$2:$A1000,'PILETAS LOTES'!$H$2:$H1000,"",0)</f>
        <v/>
      </c>
    </row>
    <row r="23" ht="15.75" customHeight="1">
      <c r="A23" s="3">
        <v>22.0</v>
      </c>
      <c r="B23" s="3">
        <v>41100.0</v>
      </c>
      <c r="C23" s="5"/>
      <c r="D23" s="3" t="str">
        <f t="array" ref="D23">XLOOKUP(C23,'PILETAS LOTES'!$A$2:$A1000,'PILETAS LOTES'!$F$2:$F1000,"",0)</f>
        <v/>
      </c>
      <c r="E23" s="5" t="str">
        <f t="array" ref="E23">XLOOKUP(C23,'PILETAS LOTES'!$A$2:$A1000,'PILETAS LOTES'!$H$2:$H1000,"",0)</f>
        <v/>
      </c>
    </row>
    <row r="24" ht="15.75" customHeight="1">
      <c r="A24" s="3">
        <v>23.0</v>
      </c>
      <c r="B24" s="3">
        <v>197100.0</v>
      </c>
      <c r="C24" s="5"/>
      <c r="D24" s="3" t="str">
        <f t="array" ref="D24">XLOOKUP(C24,'PILETAS LOTES'!$A$2:$A1000,'PILETAS LOTES'!$F$2:$F1000,"",0)</f>
        <v/>
      </c>
      <c r="E24" s="5" t="str">
        <f t="array" ref="E24">XLOOKUP(C24,'PILETAS LOTES'!$A$2:$A1000,'PILETAS LOTES'!$H$2:$H1000,"",0)</f>
        <v/>
      </c>
    </row>
    <row r="25" ht="15.75" customHeight="1">
      <c r="A25" s="3">
        <v>24.0</v>
      </c>
      <c r="B25" s="3">
        <v>186600.0</v>
      </c>
      <c r="C25" s="5" t="s">
        <v>14</v>
      </c>
      <c r="D25" s="3" t="str">
        <f t="array" ref="D25">XLOOKUP(C25,'PILETAS LOTES'!$A$2:$A1000,'PILETAS LOTES'!$F$2:$F1000,"",0)</f>
        <v>Malbec</v>
      </c>
      <c r="E25" s="5">
        <f t="array" ref="E25">XLOOKUP(C25,'PILETAS LOTES'!$A$2:$A1000,'PILETAS LOTES'!$H$2:$H1000,"",0)</f>
        <v>186600</v>
      </c>
    </row>
    <row r="26" ht="15.75" customHeight="1">
      <c r="A26" s="3">
        <v>25.0</v>
      </c>
      <c r="B26" s="3">
        <v>194300.0</v>
      </c>
      <c r="C26" s="5" t="s">
        <v>15</v>
      </c>
      <c r="D26" s="3" t="str">
        <f t="array" ref="D26">XLOOKUP(C26,'PILETAS LOTES'!$A$2:$A1000,'PILETAS LOTES'!$F$2:$F1000,"",0)</f>
        <v/>
      </c>
      <c r="E26" s="5" t="str">
        <f t="array" ref="E26">XLOOKUP(C26,'PILETAS LOTES'!$A$2:$A1000,'PILETAS LOTES'!$H$2:$H1000,"",0)</f>
        <v/>
      </c>
    </row>
    <row r="27" ht="15.75" customHeight="1">
      <c r="A27" s="3">
        <v>26.0</v>
      </c>
      <c r="B27" s="3">
        <v>207600.0</v>
      </c>
      <c r="C27" s="5" t="s">
        <v>16</v>
      </c>
      <c r="D27" s="3" t="str">
        <f t="array" ref="D27">XLOOKUP(C27,'PILETAS LOTES'!$A$2:$A1000,'PILETAS LOTES'!$F$2:$F1000,"",0)</f>
        <v>Tinto</v>
      </c>
      <c r="E27" s="5">
        <f t="array" ref="E27">XLOOKUP(C27,'PILETAS LOTES'!$A$2:$A1000,'PILETAS LOTES'!$H$2:$H1000,"",0)</f>
        <v>207600</v>
      </c>
    </row>
    <row r="28" ht="15.75" customHeight="1">
      <c r="A28" s="3">
        <v>27.0</v>
      </c>
      <c r="B28" s="3">
        <v>207100.0</v>
      </c>
      <c r="C28" s="5"/>
      <c r="D28" s="3" t="str">
        <f t="array" ref="D28">XLOOKUP(C28,'PILETAS LOTES'!$A$2:$A1000,'PILETAS LOTES'!$F$2:$F1000,"",0)</f>
        <v/>
      </c>
      <c r="E28" s="5" t="str">
        <f t="array" ref="E28">XLOOKUP(C28,'PILETAS LOTES'!$A$2:$A1000,'PILETAS LOTES'!$H$2:$H1000,"",0)</f>
        <v/>
      </c>
    </row>
    <row r="29" ht="15.75" customHeight="1">
      <c r="A29" s="3">
        <v>28.0</v>
      </c>
      <c r="B29" s="3">
        <v>216000.0</v>
      </c>
      <c r="C29" s="5"/>
      <c r="D29" s="3" t="str">
        <f t="array" ref="D29">XLOOKUP(C29,'PILETAS LOTES'!$A$2:$A1000,'PILETAS LOTES'!$F$2:$F1000,"",0)</f>
        <v/>
      </c>
      <c r="E29" s="5" t="str">
        <f t="array" ref="E29">XLOOKUP(C29,'PILETAS LOTES'!$A$2:$A1000,'PILETAS LOTES'!$H$2:$H1000,"",0)</f>
        <v/>
      </c>
    </row>
    <row r="30" ht="15.75" customHeight="1">
      <c r="A30" s="3">
        <v>29.0</v>
      </c>
      <c r="B30" s="3">
        <v>20400.0</v>
      </c>
      <c r="C30" s="5"/>
      <c r="D30" s="3" t="str">
        <f t="array" ref="D30">XLOOKUP(C30,'PILETAS LOTES'!$A$2:$A1000,'PILETAS LOTES'!$F$2:$F1000,"",0)</f>
        <v/>
      </c>
      <c r="E30" s="5" t="str">
        <f t="array" ref="E30">XLOOKUP(C30,'PILETAS LOTES'!$A$2:$A1000,'PILETAS LOTES'!$H$2:$H1000,"",0)</f>
        <v/>
      </c>
    </row>
    <row r="31" ht="15.75" customHeight="1">
      <c r="A31" s="3">
        <v>30.0</v>
      </c>
      <c r="B31" s="3">
        <v>38800.0</v>
      </c>
      <c r="C31" s="5"/>
      <c r="D31" s="3" t="str">
        <f t="array" ref="D31">XLOOKUP(C31,'PILETAS LOTES'!$A$2:$A1000,'PILETAS LOTES'!$F$2:$F1000,"",0)</f>
        <v/>
      </c>
      <c r="E31" s="5" t="str">
        <f t="array" ref="E31">XLOOKUP(C31,'PILETAS LOTES'!$A$2:$A1000,'PILETAS LOTES'!$H$2:$H1000,"",0)</f>
        <v/>
      </c>
    </row>
    <row r="32" ht="15.75" customHeight="1">
      <c r="A32" s="3">
        <v>31.0</v>
      </c>
      <c r="B32" s="3">
        <v>25700.0</v>
      </c>
      <c r="C32" s="5"/>
      <c r="D32" s="3" t="str">
        <f t="array" ref="D32">XLOOKUP(C32,'PILETAS LOTES'!$A$2:$A1000,'PILETAS LOTES'!$F$2:$F1000,"",0)</f>
        <v/>
      </c>
      <c r="E32" s="5" t="str">
        <f t="array" ref="E32">XLOOKUP(C32,'PILETAS LOTES'!$A$2:$A1000,'PILETAS LOTES'!$H$2:$H1000,"",0)</f>
        <v/>
      </c>
    </row>
    <row r="33" ht="15.75" customHeight="1">
      <c r="A33" s="3">
        <v>32.0</v>
      </c>
      <c r="B33" s="3">
        <v>36300.0</v>
      </c>
      <c r="C33" s="5"/>
      <c r="D33" s="3" t="str">
        <f t="array" ref="D33">XLOOKUP(C33,'PILETAS LOTES'!$A$2:$A1000,'PILETAS LOTES'!$F$2:$F1000,"",0)</f>
        <v/>
      </c>
      <c r="E33" s="5" t="str">
        <f t="array" ref="E33">XLOOKUP(C33,'PILETAS LOTES'!$A$2:$A1000,'PILETAS LOTES'!$H$2:$H1000,"",0)</f>
        <v/>
      </c>
    </row>
    <row r="34" ht="15.75" customHeight="1">
      <c r="A34" s="3">
        <v>33.0</v>
      </c>
      <c r="B34" s="3">
        <v>25300.0</v>
      </c>
      <c r="C34" s="5" t="s">
        <v>17</v>
      </c>
      <c r="D34" s="3" t="str">
        <f t="array" ref="D34">XLOOKUP(C34,'PILETAS LOTES'!$A$2:$A1000,'PILETAS LOTES'!$F$2:$F1000,"",0)</f>
        <v>Chardonnay</v>
      </c>
      <c r="E34" s="5">
        <f t="array" ref="E34">XLOOKUP(C34,'PILETAS LOTES'!$A$2:$A1000,'PILETAS LOTES'!$H$2:$H1000,"",0)</f>
        <v>25300</v>
      </c>
    </row>
    <row r="35" ht="15.75" customHeight="1">
      <c r="A35" s="3">
        <v>34.0</v>
      </c>
      <c r="B35" s="3">
        <v>39500.0</v>
      </c>
      <c r="C35" s="5" t="s">
        <v>18</v>
      </c>
      <c r="D35" s="3" t="str">
        <f t="array" ref="D35">XLOOKUP(C35,'PILETAS LOTES'!$A$2:$A1000,'PILETAS LOTES'!$F$2:$F1000,"",0)</f>
        <v>Malbec</v>
      </c>
      <c r="E35" s="5">
        <f t="array" ref="E35">XLOOKUP(C35,'PILETAS LOTES'!$A$2:$A1000,'PILETAS LOTES'!$H$2:$H1000,"",0)</f>
        <v>39500</v>
      </c>
    </row>
    <row r="36" ht="15.75" customHeight="1">
      <c r="A36" s="3">
        <v>35.0</v>
      </c>
      <c r="B36" s="3">
        <v>39300.0</v>
      </c>
      <c r="C36" s="5"/>
      <c r="D36" s="3" t="str">
        <f t="array" ref="D36">XLOOKUP(C36,'PILETAS LOTES'!$A$2:$A1000,'PILETAS LOTES'!$F$2:$F1000,"",0)</f>
        <v/>
      </c>
      <c r="E36" s="5" t="str">
        <f t="array" ref="E36">XLOOKUP(C36,'PILETAS LOTES'!$A$2:$A1000,'PILETAS LOTES'!$H$2:$H1000,"",0)</f>
        <v/>
      </c>
    </row>
    <row r="37" ht="15.75" customHeight="1">
      <c r="A37" s="3">
        <v>36.0</v>
      </c>
      <c r="B37" s="3">
        <v>19700.0</v>
      </c>
      <c r="C37" s="5" t="s">
        <v>19</v>
      </c>
      <c r="D37" s="3" t="str">
        <f t="array" ref="D37">XLOOKUP(C37,'PILETAS LOTES'!$A$2:$A1000,'PILETAS LOTES'!$F$2:$F1000,"",0)</f>
        <v>Torrontes</v>
      </c>
      <c r="E37" s="5">
        <f t="array" ref="E37">XLOOKUP(C37,'PILETAS LOTES'!$A$2:$A1000,'PILETAS LOTES'!$H$2:$H1000,"",0)</f>
        <v>19700</v>
      </c>
    </row>
    <row r="38" ht="15.75" customHeight="1">
      <c r="A38" s="3">
        <v>37.0</v>
      </c>
      <c r="B38" s="3">
        <v>39000.0</v>
      </c>
      <c r="C38" s="5"/>
      <c r="D38" s="3" t="str">
        <f t="array" ref="D38">XLOOKUP(C38,'PILETAS LOTES'!$A$2:$A1000,'PILETAS LOTES'!$F$2:$F1000,"",0)</f>
        <v/>
      </c>
      <c r="E38" s="5" t="str">
        <f t="array" ref="E38">XLOOKUP(C38,'PILETAS LOTES'!$A$2:$A1000,'PILETAS LOTES'!$H$2:$H1000,"",0)</f>
        <v/>
      </c>
    </row>
    <row r="39" ht="15.75" customHeight="1">
      <c r="A39" s="3">
        <v>38.0</v>
      </c>
      <c r="B39" s="3">
        <v>23500.0</v>
      </c>
      <c r="C39" s="5"/>
      <c r="D39" s="3" t="str">
        <f t="array" ref="D39">XLOOKUP(C39,'PILETAS LOTES'!$A$2:$A1000,'PILETAS LOTES'!$F$2:$F1000,"",0)</f>
        <v/>
      </c>
      <c r="E39" s="5" t="str">
        <f t="array" ref="E39">XLOOKUP(C39,'PILETAS LOTES'!$A$2:$A1000,'PILETAS LOTES'!$H$2:$H1000,"",0)</f>
        <v/>
      </c>
    </row>
    <row r="40" ht="15.75" customHeight="1">
      <c r="A40" s="3">
        <v>39.0</v>
      </c>
      <c r="B40" s="3">
        <v>40000.0</v>
      </c>
      <c r="C40" s="5"/>
      <c r="D40" s="3" t="str">
        <f t="array" ref="D40">XLOOKUP(C40,'PILETAS LOTES'!$A$2:$A1000,'PILETAS LOTES'!$F$2:$F1000,"",0)</f>
        <v/>
      </c>
      <c r="E40" s="5" t="str">
        <f t="array" ref="E40">XLOOKUP(C40,'PILETAS LOTES'!$A$2:$A1000,'PILETAS LOTES'!$H$2:$H1000,"",0)</f>
        <v/>
      </c>
    </row>
    <row r="41" ht="15.75" customHeight="1">
      <c r="A41" s="3">
        <v>40.0</v>
      </c>
      <c r="B41" s="3">
        <v>24000.0</v>
      </c>
      <c r="C41" s="5"/>
      <c r="D41" s="3" t="str">
        <f t="array" ref="D41">XLOOKUP(C41,'PILETAS LOTES'!$A$2:$A1000,'PILETAS LOTES'!$F$2:$F1000,"",0)</f>
        <v/>
      </c>
      <c r="E41" s="5" t="str">
        <f t="array" ref="E41">XLOOKUP(C41,'PILETAS LOTES'!$A$2:$A1000,'PILETAS LOTES'!$H$2:$H1000,"",0)</f>
        <v/>
      </c>
    </row>
    <row r="42" ht="15.75" customHeight="1">
      <c r="A42" s="3">
        <v>41.0</v>
      </c>
      <c r="B42" s="3">
        <v>35100.0</v>
      </c>
      <c r="C42" s="5"/>
      <c r="D42" s="3" t="str">
        <f t="array" ref="D42">XLOOKUP(C42,'PILETAS LOTES'!$A$2:$A1000,'PILETAS LOTES'!$F$2:$F1000,"",0)</f>
        <v/>
      </c>
      <c r="E42" s="5" t="str">
        <f t="array" ref="E42">XLOOKUP(C42,'PILETAS LOTES'!$A$2:$A1000,'PILETAS LOTES'!$H$2:$H1000,"",0)</f>
        <v/>
      </c>
    </row>
    <row r="43" ht="15.75" customHeight="1">
      <c r="A43" s="3">
        <v>42.0</v>
      </c>
      <c r="B43" s="3">
        <v>35900.0</v>
      </c>
      <c r="C43" s="5" t="s">
        <v>20</v>
      </c>
      <c r="D43" s="3" t="str">
        <f t="array" ref="D43">XLOOKUP(C43,'PILETAS LOTES'!$A$2:$A1000,'PILETAS LOTES'!$F$2:$F1000,"",0)</f>
        <v>Bonarda</v>
      </c>
      <c r="E43" s="5">
        <f t="array" ref="E43">XLOOKUP(C43,'PILETAS LOTES'!$A$2:$A1000,'PILETAS LOTES'!$H$2:$H1000,"",0)</f>
        <v>35900</v>
      </c>
    </row>
    <row r="44" ht="15.75" customHeight="1">
      <c r="A44" s="3">
        <v>43.0</v>
      </c>
      <c r="B44" s="3">
        <v>17000.0</v>
      </c>
      <c r="C44" s="5"/>
      <c r="D44" s="3" t="str">
        <f t="array" ref="D44">XLOOKUP(C44,'PILETAS LOTES'!$A$2:$A1000,'PILETAS LOTES'!$F$2:$F1000,"",0)</f>
        <v/>
      </c>
      <c r="E44" s="5" t="str">
        <f t="array" ref="E44">XLOOKUP(C44,'PILETAS LOTES'!$A$2:$A1000,'PILETAS LOTES'!$H$2:$H1000,"",0)</f>
        <v/>
      </c>
    </row>
    <row r="45" ht="15.75" customHeight="1">
      <c r="A45" s="3">
        <v>44.0</v>
      </c>
      <c r="B45" s="3">
        <v>19100.0</v>
      </c>
      <c r="C45" s="5" t="s">
        <v>21</v>
      </c>
      <c r="D45" s="3" t="str">
        <f t="array" ref="D45">XLOOKUP(C45,'PILETAS LOTES'!$A$2:$A1000,'PILETAS LOTES'!$F$2:$F1000,"",0)</f>
        <v>Torrontes</v>
      </c>
      <c r="E45" s="5">
        <f t="array" ref="E45">XLOOKUP(C45,'PILETAS LOTES'!$A$2:$A1000,'PILETAS LOTES'!$H$2:$H1000,"",0)</f>
        <v>19100</v>
      </c>
    </row>
    <row r="46" ht="15.75" customHeight="1">
      <c r="A46" s="3">
        <v>45.0</v>
      </c>
      <c r="B46" s="3">
        <v>30000.0</v>
      </c>
      <c r="C46" s="5"/>
      <c r="D46" s="3" t="str">
        <f t="array" ref="D46">XLOOKUP(C46,'PILETAS LOTES'!$A$2:$A1000,'PILETAS LOTES'!$F$2:$F1000,"",0)</f>
        <v/>
      </c>
      <c r="E46" s="5" t="str">
        <f t="array" ref="E46">XLOOKUP(C46,'PILETAS LOTES'!$A$2:$A1000,'PILETAS LOTES'!$H$2:$H1000,"",0)</f>
        <v/>
      </c>
    </row>
    <row r="47" ht="15.75" customHeight="1">
      <c r="A47" s="3">
        <v>46.0</v>
      </c>
      <c r="B47" s="3">
        <v>29000.0</v>
      </c>
      <c r="C47" s="5" t="s">
        <v>22</v>
      </c>
      <c r="D47" s="3" t="str">
        <f t="array" ref="D47">XLOOKUP(C47,'PILETAS LOTES'!$A$2:$A1000,'PILETAS LOTES'!$F$2:$F1000,"",0)</f>
        <v>Bonarda</v>
      </c>
      <c r="E47" s="5">
        <f t="array" ref="E47">XLOOKUP(C47,'PILETAS LOTES'!$A$2:$A1000,'PILETAS LOTES'!$H$2:$H1000,"",0)</f>
        <v>29000</v>
      </c>
    </row>
    <row r="48" ht="15.75" customHeight="1">
      <c r="A48" s="3">
        <v>47.0</v>
      </c>
      <c r="B48" s="3">
        <v>20000.0</v>
      </c>
      <c r="C48" s="5"/>
      <c r="D48" s="3" t="str">
        <f t="array" ref="D48">XLOOKUP(C48,'PILETAS LOTES'!$A$2:$A1000,'PILETAS LOTES'!$F$2:$F1000,"",0)</f>
        <v/>
      </c>
      <c r="E48" s="5" t="str">
        <f t="array" ref="E48">XLOOKUP(C48,'PILETAS LOTES'!$A$2:$A1000,'PILETAS LOTES'!$H$2:$H1000,"",0)</f>
        <v/>
      </c>
    </row>
    <row r="49" ht="15.75" customHeight="1">
      <c r="A49" s="3">
        <v>48.0</v>
      </c>
      <c r="B49" s="3">
        <v>26000.0</v>
      </c>
      <c r="C49" s="5" t="s">
        <v>23</v>
      </c>
      <c r="D49" s="3" t="str">
        <f t="array" ref="D49">XLOOKUP(C49,'PILETAS LOTES'!$A$2:$A1000,'PILETAS LOTES'!$F$2:$F1000,"",0)</f>
        <v>Pedro Gimenez</v>
      </c>
      <c r="E49" s="5">
        <f t="array" ref="E49">XLOOKUP(C49,'PILETAS LOTES'!$A$2:$A1000,'PILETAS LOTES'!$H$2:$H1000,"",0)</f>
        <v>26000</v>
      </c>
    </row>
    <row r="50" ht="15.75" customHeight="1">
      <c r="A50" s="3">
        <v>49.0</v>
      </c>
      <c r="B50" s="3">
        <v>26000.0</v>
      </c>
      <c r="C50" s="5"/>
      <c r="D50" s="3" t="str">
        <f t="array" ref="D50">XLOOKUP(C50,'PILETAS LOTES'!$A$2:$A1000,'PILETAS LOTES'!$F$2:$F1000,"",0)</f>
        <v/>
      </c>
      <c r="E50" s="5" t="str">
        <f t="array" ref="E50">XLOOKUP(C50,'PILETAS LOTES'!$A$2:$A1000,'PILETAS LOTES'!$H$2:$H1000,"",0)</f>
        <v/>
      </c>
    </row>
    <row r="51" ht="15.75" customHeight="1">
      <c r="A51" s="3">
        <v>50.0</v>
      </c>
      <c r="B51" s="3">
        <v>5100.0</v>
      </c>
      <c r="C51" s="5" t="s">
        <v>24</v>
      </c>
      <c r="D51" s="3" t="str">
        <f t="array" ref="D51">XLOOKUP(C51,'PILETAS LOTES'!$A$2:$A1000,'PILETAS LOTES'!$F$2:$F1000,"",0)</f>
        <v/>
      </c>
      <c r="E51" s="5" t="str">
        <f t="array" ref="E51">XLOOKUP(C51,'PILETAS LOTES'!$A$2:$A1000,'PILETAS LOTES'!$H$2:$H1000,"",0)</f>
        <v/>
      </c>
    </row>
    <row r="52" ht="15.75" customHeight="1">
      <c r="A52" s="3">
        <v>51.0</v>
      </c>
      <c r="B52" s="3">
        <v>3900.0</v>
      </c>
      <c r="C52" s="5" t="s">
        <v>25</v>
      </c>
      <c r="D52" s="3" t="str">
        <f t="array" ref="D52">XLOOKUP(C52,'PILETAS LOTES'!$A$2:$A1000,'PILETAS LOTES'!$F$2:$F1000,"",0)</f>
        <v/>
      </c>
      <c r="E52" s="5" t="str">
        <f t="array" ref="E52">XLOOKUP(C52,'PILETAS LOTES'!$A$2:$A1000,'PILETAS LOTES'!$H$2:$H1000,"",0)</f>
        <v/>
      </c>
    </row>
    <row r="53" ht="15.75" customHeight="1">
      <c r="A53" s="3">
        <v>52.0</v>
      </c>
      <c r="B53" s="3">
        <v>27000.0</v>
      </c>
      <c r="C53" s="5"/>
      <c r="D53" s="3" t="str">
        <f t="array" ref="D53">XLOOKUP(C53,'PILETAS LOTES'!$A$2:$A1000,'PILETAS LOTES'!$F$2:$F1000,"",0)</f>
        <v/>
      </c>
      <c r="E53" s="5" t="str">
        <f t="array" ref="E53">XLOOKUP(C53,'PILETAS LOTES'!$A$2:$A1000,'PILETAS LOTES'!$H$2:$H1000,"",0)</f>
        <v/>
      </c>
    </row>
    <row r="54" ht="15.75" customHeight="1">
      <c r="A54" s="3">
        <v>53.0</v>
      </c>
      <c r="B54" s="3">
        <v>22000.0</v>
      </c>
      <c r="C54" s="5" t="s">
        <v>26</v>
      </c>
      <c r="D54" s="3" t="str">
        <f t="array" ref="D54">XLOOKUP(C54,'PILETAS LOTES'!$A$2:$A1000,'PILETAS LOTES'!$F$2:$F1000,"",0)</f>
        <v>Tanat</v>
      </c>
      <c r="E54" s="5">
        <f t="array" ref="E54">XLOOKUP(C54,'PILETAS LOTES'!$A$2:$A1000,'PILETAS LOTES'!$H$2:$H1000,"",0)</f>
        <v>22000</v>
      </c>
    </row>
    <row r="55" ht="15.75" customHeight="1">
      <c r="A55" s="3">
        <v>54.0</v>
      </c>
      <c r="B55" s="3">
        <v>22900.0</v>
      </c>
      <c r="C55" s="5" t="s">
        <v>27</v>
      </c>
      <c r="D55" s="3" t="str">
        <f t="array" ref="D55">XLOOKUP(C55,'PILETAS LOTES'!$A$2:$A1000,'PILETAS LOTES'!$F$2:$F1000,"",0)</f>
        <v/>
      </c>
      <c r="E55" s="5" t="str">
        <f t="array" ref="E55">XLOOKUP(C55,'PILETAS LOTES'!$A$2:$A1000,'PILETAS LOTES'!$H$2:$H1000,"",0)</f>
        <v/>
      </c>
    </row>
    <row r="56" ht="15.75" customHeight="1">
      <c r="A56" s="3">
        <v>55.0</v>
      </c>
      <c r="B56" s="3">
        <v>3000.0</v>
      </c>
      <c r="C56" s="5" t="s">
        <v>28</v>
      </c>
      <c r="D56" s="3" t="str">
        <f t="array" ref="D56">XLOOKUP(C56,'PILETAS LOTES'!$A$2:$A1000,'PILETAS LOTES'!$F$2:$F1000,"",0)</f>
        <v>Chardonnay</v>
      </c>
      <c r="E56" s="5">
        <f t="array" ref="E56">XLOOKUP(C56,'PILETAS LOTES'!$A$2:$A1000,'PILETAS LOTES'!$H$2:$H1000,"",0)</f>
        <v>3000</v>
      </c>
    </row>
    <row r="57" ht="15.75" customHeight="1">
      <c r="A57" s="3">
        <v>56.0</v>
      </c>
      <c r="B57" s="3">
        <v>3000.0</v>
      </c>
      <c r="C57" s="5"/>
      <c r="D57" s="3" t="str">
        <f t="array" ref="D57">XLOOKUP(C57,'PILETAS LOTES'!$A$2:$A1000,'PILETAS LOTES'!$F$2:$F1000,"",0)</f>
        <v/>
      </c>
      <c r="E57" s="5" t="str">
        <f t="array" ref="E57">XLOOKUP(C57,'PILETAS LOTES'!$A$2:$A1000,'PILETAS LOTES'!$H$2:$H1000,"",0)</f>
        <v/>
      </c>
    </row>
    <row r="58" ht="15.75" customHeight="1">
      <c r="A58" s="3">
        <v>57.0</v>
      </c>
      <c r="B58" s="3">
        <v>96800.0</v>
      </c>
      <c r="C58" s="5"/>
      <c r="D58" s="3" t="str">
        <f t="array" ref="D58">XLOOKUP(C58,'PILETAS LOTES'!$A$2:$A1000,'PILETAS LOTES'!$F$2:$F1000,"",0)</f>
        <v/>
      </c>
      <c r="E58" s="5" t="str">
        <f t="array" ref="E58">XLOOKUP(C58,'PILETAS LOTES'!$A$2:$A1000,'PILETAS LOTES'!$H$2:$H1000,"",0)</f>
        <v/>
      </c>
    </row>
    <row r="59" ht="15.75" customHeight="1">
      <c r="A59" s="3">
        <v>58.0</v>
      </c>
      <c r="B59" s="3">
        <v>58400.0</v>
      </c>
      <c r="C59" s="5"/>
      <c r="D59" s="3" t="str">
        <f t="array" ref="D59">XLOOKUP(C59,'PILETAS LOTES'!$A$2:$A1000,'PILETAS LOTES'!$F$2:$F1000,"",0)</f>
        <v/>
      </c>
      <c r="E59" s="5" t="str">
        <f t="array" ref="E59">XLOOKUP(C59,'PILETAS LOTES'!$A$2:$A1000,'PILETAS LOTES'!$H$2:$H1000,"",0)</f>
        <v/>
      </c>
    </row>
    <row r="60" ht="15.75" customHeight="1">
      <c r="A60" s="3">
        <v>59.0</v>
      </c>
      <c r="B60" s="3">
        <v>58200.0</v>
      </c>
      <c r="C60" s="5"/>
      <c r="D60" s="3" t="str">
        <f t="array" ref="D60">XLOOKUP(C60,'PILETAS LOTES'!$A$2:$A1000,'PILETAS LOTES'!$F$2:$F1000,"",0)</f>
        <v/>
      </c>
      <c r="E60" s="5" t="str">
        <f t="array" ref="E60">XLOOKUP(C60,'PILETAS LOTES'!$A$2:$A1000,'PILETAS LOTES'!$H$2:$H1000,"",0)</f>
        <v/>
      </c>
    </row>
    <row r="61" ht="15.75" customHeight="1">
      <c r="A61" s="3">
        <v>60.0</v>
      </c>
      <c r="B61" s="3">
        <v>55000.0</v>
      </c>
      <c r="C61" s="5"/>
      <c r="D61" s="3" t="str">
        <f t="array" ref="D61">XLOOKUP(C61,'PILETAS LOTES'!$A$2:$A1000,'PILETAS LOTES'!$F$2:$F1000,"",0)</f>
        <v/>
      </c>
      <c r="E61" s="5" t="str">
        <f t="array" ref="E61">XLOOKUP(C61,'PILETAS LOTES'!$A$2:$A1000,'PILETAS LOTES'!$H$2:$H1000,"",0)</f>
        <v/>
      </c>
    </row>
    <row r="62" ht="15.75" customHeight="1">
      <c r="A62" s="3">
        <v>61.0</v>
      </c>
      <c r="B62" s="3">
        <v>57100.0</v>
      </c>
      <c r="C62" s="5"/>
      <c r="D62" s="3" t="str">
        <f t="array" ref="D62">XLOOKUP(C62,'PILETAS LOTES'!$A$2:$A1000,'PILETAS LOTES'!$F$2:$F1000,"",0)</f>
        <v/>
      </c>
      <c r="E62" s="5" t="str">
        <f t="array" ref="E62">XLOOKUP(C62,'PILETAS LOTES'!$A$2:$A1000,'PILETAS LOTES'!$H$2:$H1000,"",0)</f>
        <v/>
      </c>
    </row>
    <row r="63" ht="15.75" customHeight="1">
      <c r="A63" s="3">
        <v>62.0</v>
      </c>
      <c r="B63" s="3">
        <v>55000.0</v>
      </c>
      <c r="C63" s="5"/>
      <c r="D63" s="3" t="str">
        <f t="array" ref="D63">XLOOKUP(C63,'PILETAS LOTES'!$A$2:$A1000,'PILETAS LOTES'!$F$2:$F1000,"",0)</f>
        <v/>
      </c>
      <c r="E63" s="5" t="str">
        <f t="array" ref="E63">XLOOKUP(C63,'PILETAS LOTES'!$A$2:$A1000,'PILETAS LOTES'!$H$2:$H1000,"",0)</f>
        <v/>
      </c>
    </row>
    <row r="64" ht="15.75" customHeight="1">
      <c r="A64" s="3">
        <v>63.0</v>
      </c>
      <c r="B64" s="3">
        <v>70300.0</v>
      </c>
      <c r="C64" s="5"/>
      <c r="D64" s="3" t="str">
        <f t="array" ref="D64">XLOOKUP(C64,'PILETAS LOTES'!$A$2:$A1000,'PILETAS LOTES'!$F$2:$F1000,"",0)</f>
        <v/>
      </c>
      <c r="E64" s="5" t="str">
        <f t="array" ref="E64">XLOOKUP(C64,'PILETAS LOTES'!$A$2:$A1000,'PILETAS LOTES'!$H$2:$H1000,"",0)</f>
        <v/>
      </c>
    </row>
    <row r="65" ht="15.75" customHeight="1">
      <c r="A65" s="3">
        <v>64.0</v>
      </c>
      <c r="B65" s="3">
        <v>259600.0</v>
      </c>
      <c r="C65" s="5"/>
      <c r="D65" s="3" t="str">
        <f t="array" ref="D65">XLOOKUP(C65,'PILETAS LOTES'!$A$2:$A1000,'PILETAS LOTES'!$F$2:$F1000,"",0)</f>
        <v/>
      </c>
      <c r="E65" s="5" t="str">
        <f t="array" ref="E65">XLOOKUP(C65,'PILETAS LOTES'!$A$2:$A1000,'PILETAS LOTES'!$H$2:$H1000,"",0)</f>
        <v/>
      </c>
    </row>
    <row r="66" ht="15.75" customHeight="1">
      <c r="A66" s="3">
        <v>65.0</v>
      </c>
      <c r="B66" s="3">
        <v>35500.0</v>
      </c>
      <c r="C66" s="5" t="s">
        <v>29</v>
      </c>
      <c r="D66" s="3" t="str">
        <f t="array" ref="D66">XLOOKUP(C66,'PILETAS LOTES'!$A$2:$A1000,'PILETAS LOTES'!$F$2:$F1000,"",0)</f>
        <v/>
      </c>
      <c r="E66" s="5" t="str">
        <f t="array" ref="E66">XLOOKUP(C66,'PILETAS LOTES'!$A$2:$A1000,'PILETAS LOTES'!$H$2:$H1000,"",0)</f>
        <v/>
      </c>
    </row>
    <row r="67" ht="15.75" customHeight="1">
      <c r="A67" s="3">
        <v>66.0</v>
      </c>
      <c r="B67" s="3">
        <v>23000.0</v>
      </c>
      <c r="C67" s="5" t="s">
        <v>31</v>
      </c>
      <c r="D67" s="3" t="str">
        <f t="array" ref="D67">XLOOKUP(C67,'PILETAS LOTES'!$A$2:$A1000,'PILETAS LOTES'!$F$2:$F1000,"",0)</f>
        <v/>
      </c>
      <c r="E67" s="5" t="str">
        <f t="array" ref="E67">XLOOKUP(C67,'PILETAS LOTES'!$A$2:$A1000,'PILETAS LOTES'!$H$2:$H1000,"",0)</f>
        <v/>
      </c>
    </row>
    <row r="68" ht="15.75" customHeight="1">
      <c r="A68" s="3">
        <v>67.0</v>
      </c>
      <c r="B68" s="3">
        <v>23000.0</v>
      </c>
      <c r="C68" s="5" t="s">
        <v>32</v>
      </c>
      <c r="D68" s="3" t="str">
        <f t="array" ref="D68">XLOOKUP(C68,'PILETAS LOTES'!$A$2:$A1000,'PILETAS LOTES'!$F$2:$F1000,"",0)</f>
        <v>Anccelotta</v>
      </c>
      <c r="E68" s="5">
        <f t="array" ref="E68">XLOOKUP(C68,'PILETAS LOTES'!$A$2:$A1000,'PILETAS LOTES'!$H$2:$H1000,"",0)</f>
        <v>23000</v>
      </c>
    </row>
    <row r="69" ht="15.75" customHeight="1">
      <c r="A69" s="3">
        <v>68.0</v>
      </c>
      <c r="B69" s="3">
        <v>13000.0</v>
      </c>
      <c r="C69" s="5" t="s">
        <v>33</v>
      </c>
      <c r="D69" s="3" t="str">
        <f t="array" ref="D69">XLOOKUP(C69,'PILETAS LOTES'!$A$2:$A1000,'PILETAS LOTES'!$F$2:$F1000,"",0)</f>
        <v/>
      </c>
      <c r="E69" s="5" t="str">
        <f t="array" ref="E69">XLOOKUP(C69,'PILETAS LOTES'!$A$2:$A1000,'PILETAS LOTES'!$H$2:$H1000,"",0)</f>
        <v/>
      </c>
    </row>
    <row r="70" ht="15.75" customHeight="1">
      <c r="A70" s="3">
        <v>69.0</v>
      </c>
      <c r="B70" s="3">
        <v>13000.0</v>
      </c>
      <c r="C70" s="5" t="s">
        <v>34</v>
      </c>
      <c r="D70" s="3" t="str">
        <f t="array" ref="D70">XLOOKUP(C70,'PILETAS LOTES'!$A$2:$A1000,'PILETAS LOTES'!$F$2:$F1000,"",0)</f>
        <v/>
      </c>
      <c r="E70" s="5" t="str">
        <f t="array" ref="E70">XLOOKUP(C70,'PILETAS LOTES'!$A$2:$A1000,'PILETAS LOTES'!$H$2:$H1000,"",0)</f>
        <v/>
      </c>
    </row>
    <row r="71" ht="15.75" customHeight="1">
      <c r="A71" s="3">
        <v>70.0</v>
      </c>
      <c r="B71" s="3">
        <v>13000.0</v>
      </c>
      <c r="C71" s="5"/>
      <c r="D71" s="3" t="str">
        <f t="array" ref="D71">XLOOKUP(C71,'PILETAS LOTES'!$A$2:$A1000,'PILETAS LOTES'!$F$2:$F1000,"",0)</f>
        <v/>
      </c>
      <c r="E71" s="5" t="str">
        <f t="array" ref="E71">XLOOKUP(C71,'PILETAS LOTES'!$A$2:$A1000,'PILETAS LOTES'!$H$2:$H1000,"",0)</f>
        <v/>
      </c>
    </row>
    <row r="72" ht="15.75" customHeight="1">
      <c r="A72" s="3">
        <v>71.0</v>
      </c>
      <c r="B72" s="3">
        <v>13000.0</v>
      </c>
      <c r="C72" s="5" t="s">
        <v>35</v>
      </c>
      <c r="D72" s="3" t="str">
        <f t="array" ref="D72">XLOOKUP(C72,'PILETAS LOTES'!$A$2:$A1000,'PILETAS LOTES'!$F$2:$F1000,"",0)</f>
        <v/>
      </c>
      <c r="E72" s="5" t="str">
        <f t="array" ref="E72">XLOOKUP(C72,'PILETAS LOTES'!$A$2:$A1000,'PILETAS LOTES'!$H$2:$H1000,"",0)</f>
        <v/>
      </c>
    </row>
    <row r="73" ht="15.75" customHeight="1">
      <c r="A73" s="3">
        <v>72.0</v>
      </c>
      <c r="B73" s="3">
        <v>13000.0</v>
      </c>
      <c r="C73" s="5"/>
      <c r="D73" s="3" t="str">
        <f t="array" ref="D73">XLOOKUP(C73,'PILETAS LOTES'!$A$2:$A1000,'PILETAS LOTES'!$F$2:$F1000,"",0)</f>
        <v/>
      </c>
      <c r="E73" s="5" t="str">
        <f t="array" ref="E73">XLOOKUP(C73,'PILETAS LOTES'!$A$2:$A1000,'PILETAS LOTES'!$H$2:$H1000,"",0)</f>
        <v/>
      </c>
    </row>
    <row r="74" ht="15.75" customHeight="1">
      <c r="A74" s="3">
        <v>73.0</v>
      </c>
      <c r="B74" s="3">
        <v>13000.0</v>
      </c>
      <c r="C74" s="5"/>
      <c r="D74" s="3" t="str">
        <f t="array" ref="D74">XLOOKUP(C74,'PILETAS LOTES'!$A$2:$A1000,'PILETAS LOTES'!$F$2:$F1000,"",0)</f>
        <v/>
      </c>
      <c r="E74" s="5" t="str">
        <f t="array" ref="E74">XLOOKUP(C74,'PILETAS LOTES'!$A$2:$A1000,'PILETAS LOTES'!$H$2:$H1000,"",0)</f>
        <v/>
      </c>
    </row>
    <row r="75" ht="15.75" customHeight="1">
      <c r="A75" s="3">
        <v>74.0</v>
      </c>
      <c r="B75" s="3">
        <v>13000.0</v>
      </c>
      <c r="C75" s="5"/>
      <c r="D75" s="3" t="str">
        <f t="array" ref="D75">XLOOKUP(C75,'PILETAS LOTES'!$A$2:$A1000,'PILETAS LOTES'!$F$2:$F1000,"",0)</f>
        <v/>
      </c>
      <c r="E75" s="5" t="str">
        <f t="array" ref="E75">XLOOKUP(C75,'PILETAS LOTES'!$A$2:$A1000,'PILETAS LOTES'!$H$2:$H1000,"",0)</f>
        <v/>
      </c>
    </row>
    <row r="76" ht="15.75" customHeight="1">
      <c r="A76" s="3">
        <v>75.0</v>
      </c>
      <c r="B76" s="3">
        <v>7000.0</v>
      </c>
      <c r="C76" s="5" t="s">
        <v>36</v>
      </c>
      <c r="D76" s="3" t="str">
        <f t="array" ref="D76">XLOOKUP(C76,'PILETAS LOTES'!$A$2:$A1000,'PILETAS LOTES'!$F$2:$F1000,"",0)</f>
        <v>Tanat</v>
      </c>
      <c r="E76" s="5">
        <f t="array" ref="E76">XLOOKUP(C76,'PILETAS LOTES'!$A$2:$A1000,'PILETAS LOTES'!$H$2:$H1000,"",0)</f>
        <v>7000</v>
      </c>
    </row>
    <row r="77" ht="15.75" customHeight="1">
      <c r="A77" s="3">
        <v>76.0</v>
      </c>
      <c r="B77" s="3">
        <v>25500.0</v>
      </c>
      <c r="C77" s="5"/>
      <c r="D77" s="3" t="str">
        <f t="array" ref="D77">XLOOKUP(C77,'PILETAS LOTES'!$A$2:$A1000,'PILETAS LOTES'!$F$2:$F1000,"",0)</f>
        <v/>
      </c>
      <c r="E77" s="5" t="str">
        <f t="array" ref="E77">XLOOKUP(C77,'PILETAS LOTES'!$A$2:$A1000,'PILETAS LOTES'!$H$2:$H1000,"",0)</f>
        <v/>
      </c>
    </row>
    <row r="78" ht="15.75" customHeight="1">
      <c r="A78" s="3">
        <v>77.0</v>
      </c>
      <c r="B78" s="3">
        <v>26000.0</v>
      </c>
      <c r="C78" s="5"/>
      <c r="D78" s="3" t="str">
        <f t="array" ref="D78">XLOOKUP(C78,'PILETAS LOTES'!$A$2:$A1000,'PILETAS LOTES'!$F$2:$F1000,"",0)</f>
        <v/>
      </c>
      <c r="E78" s="5" t="str">
        <f t="array" ref="E78">XLOOKUP(C78,'PILETAS LOTES'!$A$2:$A1000,'PILETAS LOTES'!$H$2:$H1000,"",0)</f>
        <v/>
      </c>
    </row>
    <row r="79" ht="15.75" customHeight="1">
      <c r="A79" s="3">
        <v>78.0</v>
      </c>
      <c r="B79" s="3">
        <v>25800.0</v>
      </c>
      <c r="C79" s="5"/>
      <c r="D79" s="3" t="str">
        <f t="array" ref="D79">XLOOKUP(C79,'PILETAS LOTES'!$A$2:$A1000,'PILETAS LOTES'!$F$2:$F1000,"",0)</f>
        <v/>
      </c>
      <c r="E79" s="5" t="str">
        <f t="array" ref="E79">XLOOKUP(C79,'PILETAS LOTES'!$A$2:$A1000,'PILETAS LOTES'!$H$2:$H1000,"",0)</f>
        <v/>
      </c>
    </row>
    <row r="80" ht="15.75" customHeight="1">
      <c r="A80" s="3">
        <v>79.0</v>
      </c>
      <c r="B80" s="3">
        <v>26000.0</v>
      </c>
      <c r="C80" s="5"/>
      <c r="D80" s="3" t="str">
        <f t="array" ref="D80">XLOOKUP(C80,'PILETAS LOTES'!$A$2:$A1000,'PILETAS LOTES'!$F$2:$F1000,"",0)</f>
        <v/>
      </c>
      <c r="E80" s="5" t="str">
        <f t="array" ref="E80">XLOOKUP(C80,'PILETAS LOTES'!$A$2:$A1000,'PILETAS LOTES'!$H$2:$H1000,"",0)</f>
        <v/>
      </c>
    </row>
    <row r="81" ht="15.75" customHeight="1">
      <c r="A81" s="3">
        <v>80.0</v>
      </c>
      <c r="B81" s="3">
        <v>26100.0</v>
      </c>
      <c r="C81" s="5"/>
      <c r="D81" s="3" t="str">
        <f t="array" ref="D81">XLOOKUP(C81,'PILETAS LOTES'!$A$2:$A1000,'PILETAS LOTES'!$F$2:$F1000,"",0)</f>
        <v/>
      </c>
      <c r="E81" s="5" t="str">
        <f t="array" ref="E81">XLOOKUP(C81,'PILETAS LOTES'!$A$2:$A1000,'PILETAS LOTES'!$H$2:$H1000,"",0)</f>
        <v/>
      </c>
    </row>
    <row r="82" ht="15.75" customHeight="1">
      <c r="A82" s="3">
        <v>81.0</v>
      </c>
      <c r="B82" s="3">
        <v>26500.0</v>
      </c>
      <c r="C82" s="5"/>
      <c r="D82" s="3" t="str">
        <f t="array" ref="D82">XLOOKUP(C82,'PILETAS LOTES'!$A$2:$A1000,'PILETAS LOTES'!$F$2:$F1000,"",0)</f>
        <v/>
      </c>
      <c r="E82" s="5" t="str">
        <f t="array" ref="E82">XLOOKUP(C82,'PILETAS LOTES'!$A$2:$A1000,'PILETAS LOTES'!$H$2:$H1000,"",0)</f>
        <v/>
      </c>
    </row>
    <row r="83" ht="15.75" customHeight="1">
      <c r="A83" s="3">
        <v>82.0</v>
      </c>
      <c r="B83" s="3">
        <v>42600.0</v>
      </c>
      <c r="C83" s="5"/>
      <c r="D83" s="3" t="str">
        <f t="array" ref="D83">XLOOKUP(C83,'PILETAS LOTES'!$A$2:$A1000,'PILETAS LOTES'!$F$2:$F1000,"",0)</f>
        <v/>
      </c>
      <c r="E83" s="5" t="str">
        <f t="array" ref="E83">XLOOKUP(C83,'PILETAS LOTES'!$A$2:$A1000,'PILETAS LOTES'!$H$2:$H1000,"",0)</f>
        <v/>
      </c>
    </row>
    <row r="84" ht="15.75" customHeight="1">
      <c r="A84" s="3">
        <v>83.0</v>
      </c>
      <c r="B84" s="3">
        <v>81500.0</v>
      </c>
      <c r="C84" s="5" t="s">
        <v>37</v>
      </c>
      <c r="D84" s="3" t="str">
        <f t="array" ref="D84">XLOOKUP(C84,'PILETAS LOTES'!$A$2:$A1000,'PILETAS LOTES'!$F$2:$F1000,"",0)</f>
        <v/>
      </c>
      <c r="E84" s="5" t="str">
        <f t="array" ref="E84">XLOOKUP(C84,'PILETAS LOTES'!$A$2:$A1000,'PILETAS LOTES'!$H$2:$H1000,"",0)</f>
        <v/>
      </c>
    </row>
    <row r="85" ht="15.75" customHeight="1">
      <c r="A85" s="3">
        <v>84.0</v>
      </c>
      <c r="B85" s="3">
        <v>83000.0</v>
      </c>
      <c r="C85" s="5" t="s">
        <v>38</v>
      </c>
      <c r="D85" s="3" t="str">
        <f t="array" ref="D85">XLOOKUP(C85,'PILETAS LOTES'!$A$2:$A1000,'PILETAS LOTES'!$F$2:$F1000,"",0)</f>
        <v/>
      </c>
      <c r="E85" s="5" t="str">
        <f t="array" ref="E85">XLOOKUP(C85,'PILETAS LOTES'!$A$2:$A1000,'PILETAS LOTES'!$H$2:$H1000,"",0)</f>
        <v/>
      </c>
    </row>
    <row r="86" ht="15.75" customHeight="1">
      <c r="A86" s="3">
        <v>85.0</v>
      </c>
      <c r="B86" s="3">
        <v>84000.0</v>
      </c>
      <c r="C86" s="5" t="s">
        <v>39</v>
      </c>
      <c r="D86" s="3" t="str">
        <f t="array" ref="D86">XLOOKUP(C86,'PILETAS LOTES'!$A$2:$A1000,'PILETAS LOTES'!$F$2:$F1000,"",0)</f>
        <v/>
      </c>
      <c r="E86" s="5" t="str">
        <f t="array" ref="E86">XLOOKUP(C86,'PILETAS LOTES'!$A$2:$A1000,'PILETAS LOTES'!$H$2:$H1000,"",0)</f>
        <v/>
      </c>
    </row>
    <row r="87" ht="15.75" customHeight="1">
      <c r="A87" s="3">
        <v>86.0</v>
      </c>
      <c r="B87" s="3">
        <v>88000.0</v>
      </c>
      <c r="C87" s="5" t="s">
        <v>40</v>
      </c>
      <c r="D87" s="3" t="str">
        <f t="array" ref="D87">XLOOKUP(C87,'PILETAS LOTES'!$A$2:$A1000,'PILETAS LOTES'!$F$2:$F1000,"",0)</f>
        <v/>
      </c>
      <c r="E87" s="5" t="str">
        <f t="array" ref="E87">XLOOKUP(C87,'PILETAS LOTES'!$A$2:$A1000,'PILETAS LOTES'!$H$2:$H1000,"",0)</f>
        <v/>
      </c>
    </row>
    <row r="88" ht="15.75" customHeight="1">
      <c r="A88" s="3">
        <v>87.0</v>
      </c>
      <c r="B88" s="3">
        <v>93700.0</v>
      </c>
      <c r="C88" s="5" t="s">
        <v>41</v>
      </c>
      <c r="D88" s="3" t="str">
        <f t="array" ref="D88">XLOOKUP(C88,'PILETAS LOTES'!$A$2:$A1000,'PILETAS LOTES'!$F$2:$F1000,"",0)</f>
        <v/>
      </c>
      <c r="E88" s="5" t="str">
        <f t="array" ref="E88">XLOOKUP(C88,'PILETAS LOTES'!$A$2:$A1000,'PILETAS LOTES'!$H$2:$H1000,"",0)</f>
        <v/>
      </c>
    </row>
    <row r="89" ht="15.75" customHeight="1">
      <c r="A89" s="3">
        <v>88.0</v>
      </c>
      <c r="B89" s="3">
        <v>78900.0</v>
      </c>
      <c r="C89" s="5"/>
      <c r="D89" s="3" t="str">
        <f t="array" ref="D89">XLOOKUP(C89,'PILETAS LOTES'!$A$2:$A1000,'PILETAS LOTES'!$F$2:$F1000,"",0)</f>
        <v/>
      </c>
      <c r="E89" s="5" t="str">
        <f t="array" ref="E89">XLOOKUP(C89,'PILETAS LOTES'!$A$2:$A1000,'PILETAS LOTES'!$H$2:$H1000,"",0)</f>
        <v/>
      </c>
    </row>
    <row r="90" ht="15.75" customHeight="1">
      <c r="A90" s="3">
        <v>89.0</v>
      </c>
      <c r="B90" s="3">
        <v>83500.0</v>
      </c>
      <c r="C90" s="5" t="s">
        <v>42</v>
      </c>
      <c r="D90" s="3" t="str">
        <f t="array" ref="D90">XLOOKUP(C90,'PILETAS LOTES'!$A$2:$A1000,'PILETAS LOTES'!$F$2:$F1000,"",0)</f>
        <v/>
      </c>
      <c r="E90" s="5" t="str">
        <f t="array" ref="E90">XLOOKUP(C90,'PILETAS LOTES'!$A$2:$A1000,'PILETAS LOTES'!$H$2:$H1000,"",0)</f>
        <v/>
      </c>
    </row>
    <row r="91" ht="15.75" customHeight="1">
      <c r="A91" s="3">
        <v>90.0</v>
      </c>
      <c r="B91" s="3">
        <v>97500.0</v>
      </c>
      <c r="C91" s="5" t="s">
        <v>43</v>
      </c>
      <c r="D91" s="3" t="str">
        <f t="array" ref="D91">XLOOKUP(C91,'PILETAS LOTES'!$A$2:$A1000,'PILETAS LOTES'!$F$2:$F1000,"",0)</f>
        <v/>
      </c>
      <c r="E91" s="5" t="str">
        <f t="array" ref="E91">XLOOKUP(C91,'PILETAS LOTES'!$A$2:$A1000,'PILETAS LOTES'!$H$2:$H1000,"",0)</f>
        <v/>
      </c>
    </row>
    <row r="92" ht="15.75" customHeight="1">
      <c r="A92" s="3">
        <v>91.0</v>
      </c>
      <c r="B92" s="3">
        <v>86000.0</v>
      </c>
      <c r="C92" s="5"/>
      <c r="D92" s="3" t="str">
        <f t="array" ref="D92">XLOOKUP(C92,'PILETAS LOTES'!$A$2:$A1000,'PILETAS LOTES'!$F$2:$F1000,"",0)</f>
        <v/>
      </c>
      <c r="E92" s="5" t="str">
        <f t="array" ref="E92">XLOOKUP(C92,'PILETAS LOTES'!$A$2:$A1000,'PILETAS LOTES'!$H$2:$H1000,"",0)</f>
        <v/>
      </c>
    </row>
    <row r="93" ht="15.75" customHeight="1">
      <c r="A93" s="3">
        <v>92.0</v>
      </c>
      <c r="B93" s="3">
        <v>76000.0</v>
      </c>
      <c r="C93" s="5"/>
      <c r="D93" s="3" t="str">
        <f t="array" ref="D93">XLOOKUP(C93,'PILETAS LOTES'!$A$2:$A1000,'PILETAS LOTES'!$F$2:$F1000,"",0)</f>
        <v/>
      </c>
      <c r="E93" s="5" t="str">
        <f t="array" ref="E93">XLOOKUP(C93,'PILETAS LOTES'!$A$2:$A1000,'PILETAS LOTES'!$H$2:$H1000,"",0)</f>
        <v/>
      </c>
    </row>
    <row r="94" ht="15.75" customHeight="1">
      <c r="A94" s="3">
        <v>931.0</v>
      </c>
      <c r="B94" s="3">
        <v>11200.0</v>
      </c>
      <c r="C94" s="5" t="s">
        <v>44</v>
      </c>
      <c r="D94" s="3" t="str">
        <f t="array" ref="D94">XLOOKUP(C94,'PILETAS LOTES'!$A$2:$A1000,'PILETAS LOTES'!$F$2:$F1000,"",0)</f>
        <v/>
      </c>
      <c r="E94" s="5" t="str">
        <f t="array" ref="E94">XLOOKUP(C94,'PILETAS LOTES'!$A$2:$A1000,'PILETAS LOTES'!$H$2:$H1000,"",0)</f>
        <v/>
      </c>
    </row>
    <row r="95" ht="15.75" customHeight="1">
      <c r="A95" s="3">
        <v>935.0</v>
      </c>
      <c r="B95" s="3">
        <v>11200.0</v>
      </c>
      <c r="C95" s="5" t="s">
        <v>45</v>
      </c>
      <c r="D95" s="3" t="str">
        <f t="array" ref="D95">XLOOKUP(C95,'PILETAS LOTES'!$A$2:$A1000,'PILETAS LOTES'!$F$2:$F1000,"",0)</f>
        <v/>
      </c>
      <c r="E95" s="5" t="str">
        <f t="array" ref="E95">XLOOKUP(C95,'PILETAS LOTES'!$A$2:$A1000,'PILETAS LOTES'!$H$2:$H1000,"",0)</f>
        <v/>
      </c>
    </row>
    <row r="96" ht="15.75" customHeight="1">
      <c r="A96" s="3">
        <v>94.0</v>
      </c>
      <c r="B96" s="3">
        <v>11600.0</v>
      </c>
      <c r="C96" s="5"/>
      <c r="D96" s="3" t="str">
        <f t="array" ref="D96">XLOOKUP(C96,'PILETAS LOTES'!$A$2:$A1000,'PILETAS LOTES'!$F$2:$F1000,"",0)</f>
        <v/>
      </c>
      <c r="E96" s="5" t="str">
        <f t="array" ref="E96">XLOOKUP(C96,'PILETAS LOTES'!$A$2:$A1000,'PILETAS LOTES'!$H$2:$H1000,"",0)</f>
        <v/>
      </c>
    </row>
    <row r="97" ht="15.75" customHeight="1">
      <c r="A97" s="3">
        <v>95.0</v>
      </c>
      <c r="B97" s="3">
        <v>77100.0</v>
      </c>
      <c r="C97" s="5"/>
      <c r="D97" s="3" t="str">
        <f t="array" ref="D97">XLOOKUP(C97,'PILETAS LOTES'!$A$2:$A1000,'PILETAS LOTES'!$F$2:$F1000,"",0)</f>
        <v/>
      </c>
      <c r="E97" s="5" t="str">
        <f t="array" ref="E97">XLOOKUP(C97,'PILETAS LOTES'!$A$2:$A1000,'PILETAS LOTES'!$H$2:$H1000,"",0)</f>
        <v/>
      </c>
    </row>
    <row r="98" ht="15.75" customHeight="1">
      <c r="A98" s="3">
        <v>96.0</v>
      </c>
      <c r="B98" s="3">
        <v>85600.0</v>
      </c>
      <c r="C98" s="5"/>
      <c r="D98" s="3" t="str">
        <f t="array" ref="D98">XLOOKUP(C98,'PILETAS LOTES'!$A$2:$A1000,'PILETAS LOTES'!$F$2:$F1000,"",0)</f>
        <v/>
      </c>
      <c r="E98" s="5" t="str">
        <f t="array" ref="E98">XLOOKUP(C98,'PILETAS LOTES'!$A$2:$A1000,'PILETAS LOTES'!$H$2:$H1000,"",0)</f>
        <v/>
      </c>
    </row>
    <row r="99" ht="15.75" customHeight="1">
      <c r="A99" s="3">
        <v>97.0</v>
      </c>
      <c r="B99" s="3">
        <v>299200.0</v>
      </c>
      <c r="C99" s="5"/>
      <c r="D99" s="3" t="str">
        <f t="array" ref="D99">XLOOKUP(C99,'PILETAS LOTES'!$A$2:$A1000,'PILETAS LOTES'!$F$2:$F1000,"",0)</f>
        <v/>
      </c>
      <c r="E99" s="5" t="str">
        <f t="array" ref="E99">XLOOKUP(C99,'PILETAS LOTES'!$A$2:$A1000,'PILETAS LOTES'!$H$2:$H1000,"",0)</f>
        <v/>
      </c>
    </row>
    <row r="100" ht="15.75" customHeight="1">
      <c r="A100" s="3">
        <v>98.0</v>
      </c>
      <c r="B100" s="3">
        <v>254800.0</v>
      </c>
      <c r="C100" s="5"/>
      <c r="D100" s="3" t="str">
        <f t="array" ref="D100">XLOOKUP(C100,'PILETAS LOTES'!$A$2:$A1000,'PILETAS LOTES'!$F$2:$F1000,"",0)</f>
        <v/>
      </c>
      <c r="E100" s="5" t="str">
        <f t="array" ref="E100">XLOOKUP(C100,'PILETAS LOTES'!$A$2:$A1000,'PILETAS LOTES'!$H$2:$H1000,"",0)</f>
        <v/>
      </c>
    </row>
    <row r="101" ht="15.75" customHeight="1">
      <c r="A101" s="3">
        <v>99.0</v>
      </c>
      <c r="B101" s="3">
        <v>240600.0</v>
      </c>
      <c r="C101" s="5"/>
      <c r="D101" s="3" t="str">
        <f t="array" ref="D101">XLOOKUP(C101,'PILETAS LOTES'!$A$2:$A1000,'PILETAS LOTES'!$F$2:$F1000,"",0)</f>
        <v/>
      </c>
      <c r="E101" s="5" t="str">
        <f t="array" ref="E101">XLOOKUP(C101,'PILETAS LOTES'!$A$2:$A1000,'PILETAS LOTES'!$H$2:$H1000,"",0)</f>
        <v/>
      </c>
    </row>
    <row r="102" ht="15.75" customHeight="1">
      <c r="A102" s="3">
        <v>100.0</v>
      </c>
      <c r="B102" s="3">
        <v>242000.0</v>
      </c>
      <c r="C102" s="5"/>
      <c r="D102" s="3" t="str">
        <f t="array" ref="D102">XLOOKUP(C102,'PILETAS LOTES'!$A$2:$A1000,'PILETAS LOTES'!$F$2:$F1000,"",0)</f>
        <v/>
      </c>
      <c r="E102" s="5" t="str">
        <f t="array" ref="E102">XLOOKUP(C102,'PILETAS LOTES'!$A$2:$A1000,'PILETAS LOTES'!$H$2:$H1000,"",0)</f>
        <v/>
      </c>
    </row>
    <row r="103" ht="15.75" customHeight="1">
      <c r="A103" s="3">
        <v>101.0</v>
      </c>
      <c r="B103" s="3">
        <v>244000.0</v>
      </c>
      <c r="C103" s="5"/>
      <c r="D103" s="3" t="str">
        <f t="array" ref="D103">XLOOKUP(C103,'PILETAS LOTES'!$A$2:$A1000,'PILETAS LOTES'!$F$2:$F1000,"",0)</f>
        <v/>
      </c>
      <c r="E103" s="5" t="str">
        <f t="array" ref="E103">XLOOKUP(C103,'PILETAS LOTES'!$A$2:$A1000,'PILETAS LOTES'!$H$2:$H1000,"",0)</f>
        <v/>
      </c>
    </row>
    <row r="104" ht="15.75" customHeight="1">
      <c r="A104" s="3">
        <v>102.0</v>
      </c>
      <c r="B104" s="3">
        <v>31000.0</v>
      </c>
      <c r="C104" s="5"/>
      <c r="D104" s="3" t="str">
        <f t="array" ref="D104">XLOOKUP(C104,'PILETAS LOTES'!$A$2:$A1000,'PILETAS LOTES'!$F$2:$F1000,"",0)</f>
        <v/>
      </c>
      <c r="E104" s="5" t="str">
        <f t="array" ref="E104">XLOOKUP(C104,'PILETAS LOTES'!$A$2:$A1000,'PILETAS LOTES'!$H$2:$H1000,"",0)</f>
        <v/>
      </c>
    </row>
    <row r="105" ht="15.75" customHeight="1">
      <c r="A105" s="3">
        <v>103.0</v>
      </c>
      <c r="B105" s="3">
        <v>31000.0</v>
      </c>
      <c r="C105" s="5" t="s">
        <v>46</v>
      </c>
      <c r="D105" s="3" t="str">
        <f t="array" ref="D105">XLOOKUP(C105,'PILETAS LOTES'!$A$2:$A1000,'PILETAS LOTES'!$F$2:$F1000,"",0)</f>
        <v/>
      </c>
      <c r="E105" s="5" t="str">
        <f t="array" ref="E105">XLOOKUP(C105,'PILETAS LOTES'!$A$2:$A1000,'PILETAS LOTES'!$H$2:$H1000,"",0)</f>
        <v/>
      </c>
    </row>
    <row r="106" ht="15.75" customHeight="1">
      <c r="A106" s="3">
        <v>104.0</v>
      </c>
      <c r="B106" s="3">
        <v>31000.0</v>
      </c>
      <c r="C106" s="5" t="s">
        <v>47</v>
      </c>
      <c r="D106" s="3" t="str">
        <f t="array" ref="D106">XLOOKUP(C106,'PILETAS LOTES'!$A$2:$A1000,'PILETAS LOTES'!$F$2:$F1000,"",0)</f>
        <v>Bonarda</v>
      </c>
      <c r="E106" s="5">
        <f t="array" ref="E106">XLOOKUP(C106,'PILETAS LOTES'!$A$2:$A1000,'PILETAS LOTES'!$H$2:$H1000,"",0)</f>
        <v>31000</v>
      </c>
    </row>
    <row r="107" ht="15.75" customHeight="1">
      <c r="A107" s="3">
        <v>105.0</v>
      </c>
      <c r="B107" s="3">
        <v>31000.0</v>
      </c>
      <c r="C107" s="5" t="s">
        <v>48</v>
      </c>
      <c r="D107" s="3" t="str">
        <f t="array" ref="D107">XLOOKUP(C107,'PILETAS LOTES'!$A$2:$A1000,'PILETAS LOTES'!$F$2:$F1000,"",0)</f>
        <v>Bonarda</v>
      </c>
      <c r="E107" s="5">
        <f t="array" ref="E107">XLOOKUP(C107,'PILETAS LOTES'!$A$2:$A1000,'PILETAS LOTES'!$H$2:$H1000,"",0)</f>
        <v>31000</v>
      </c>
    </row>
    <row r="108" ht="15.75" customHeight="1">
      <c r="A108" s="3">
        <v>106.0</v>
      </c>
      <c r="B108" s="3">
        <v>11000.0</v>
      </c>
      <c r="C108" s="5" t="s">
        <v>49</v>
      </c>
      <c r="D108" s="3" t="str">
        <f t="array" ref="D108">XLOOKUP(C108,'PILETAS LOTES'!$A$2:$A1000,'PILETAS LOTES'!$F$2:$F1000,"",0)</f>
        <v/>
      </c>
      <c r="E108" s="5" t="str">
        <f t="array" ref="E108">XLOOKUP(C108,'PILETAS LOTES'!$A$2:$A1000,'PILETAS LOTES'!$H$2:$H1000,"",0)</f>
        <v/>
      </c>
    </row>
    <row r="109" ht="15.75" customHeight="1">
      <c r="A109" s="3">
        <v>107.0</v>
      </c>
      <c r="B109" s="3">
        <v>31000.0</v>
      </c>
      <c r="C109" s="5" t="s">
        <v>50</v>
      </c>
      <c r="D109" s="3" t="str">
        <f t="array" ref="D109">XLOOKUP(C109,'PILETAS LOTES'!$A$2:$A1000,'PILETAS LOTES'!$F$2:$F1000,"",0)</f>
        <v>Bonarda</v>
      </c>
      <c r="E109" s="5">
        <f t="array" ref="E109">XLOOKUP(C109,'PILETAS LOTES'!$A$2:$A1000,'PILETAS LOTES'!$H$2:$H1000,"",0)</f>
        <v>31000</v>
      </c>
    </row>
    <row r="110" ht="15.75" customHeight="1">
      <c r="A110" s="3">
        <v>108.0</v>
      </c>
      <c r="B110" s="3">
        <v>31000.0</v>
      </c>
      <c r="C110" s="5"/>
      <c r="D110" s="3" t="str">
        <f t="array" ref="D110">XLOOKUP(C110,'PILETAS LOTES'!$A$2:$A1000,'PILETAS LOTES'!$F$2:$F1000,"",0)</f>
        <v/>
      </c>
      <c r="E110" s="5" t="str">
        <f t="array" ref="E110">XLOOKUP(C110,'PILETAS LOTES'!$A$2:$A1000,'PILETAS LOTES'!$H$2:$H1000,"",0)</f>
        <v/>
      </c>
    </row>
    <row r="111" ht="15.75" customHeight="1">
      <c r="A111" s="3">
        <v>109.0</v>
      </c>
      <c r="B111" s="3">
        <v>15600.0</v>
      </c>
      <c r="C111" s="5" t="s">
        <v>51</v>
      </c>
      <c r="D111" s="3" t="str">
        <f t="array" ref="D111">XLOOKUP(C111,'PILETAS LOTES'!$A$2:$A1000,'PILETAS LOTES'!$F$2:$F1000,"",0)</f>
        <v>Bonarda</v>
      </c>
      <c r="E111" s="5">
        <f t="array" ref="E111">XLOOKUP(C111,'PILETAS LOTES'!$A$2:$A1000,'PILETAS LOTES'!$H$2:$H1000,"",0)</f>
        <v>15600</v>
      </c>
    </row>
    <row r="112" ht="15.75" customHeight="1">
      <c r="A112" s="3">
        <v>110.0</v>
      </c>
      <c r="B112" s="3">
        <v>15600.0</v>
      </c>
      <c r="C112" s="5"/>
      <c r="D112" s="3" t="str">
        <f t="array" ref="D112">XLOOKUP(C112,'PILETAS LOTES'!$A$2:$A1000,'PILETAS LOTES'!$F$2:$F1000,"",0)</f>
        <v/>
      </c>
      <c r="E112" s="5" t="str">
        <f t="array" ref="E112">XLOOKUP(C112,'PILETAS LOTES'!$A$2:$A1000,'PILETAS LOTES'!$H$2:$H1000,"",0)</f>
        <v/>
      </c>
    </row>
    <row r="113" ht="15.75" customHeight="1">
      <c r="A113" s="3">
        <v>111.0</v>
      </c>
      <c r="B113" s="3">
        <v>4000.0</v>
      </c>
      <c r="C113" s="5"/>
      <c r="D113" s="3" t="str">
        <f t="array" ref="D113">XLOOKUP(C113,'PILETAS LOTES'!$A$2:$A1000,'PILETAS LOTES'!$F$2:$F1000,"",0)</f>
        <v/>
      </c>
      <c r="E113" s="5" t="str">
        <f t="array" ref="E113">XLOOKUP(C113,'PILETAS LOTES'!$A$2:$A1000,'PILETAS LOTES'!$H$2:$H1000,"",0)</f>
        <v/>
      </c>
    </row>
    <row r="114" ht="15.75" customHeight="1">
      <c r="A114" s="3">
        <v>112.0</v>
      </c>
      <c r="B114" s="3">
        <v>702400.0</v>
      </c>
      <c r="C114" s="5"/>
      <c r="D114" s="3" t="str">
        <f t="array" ref="D114">XLOOKUP(C114,'PILETAS LOTES'!$A$2:$A1000,'PILETAS LOTES'!$F$2:$F1000,"",0)</f>
        <v/>
      </c>
      <c r="E114" s="5" t="str">
        <f t="array" ref="E114">XLOOKUP(C114,'PILETAS LOTES'!$A$2:$A1000,'PILETAS LOTES'!$H$2:$H1000,"",0)</f>
        <v/>
      </c>
    </row>
    <row r="115" ht="15.75" customHeight="1">
      <c r="A115" s="3">
        <v>113.0</v>
      </c>
      <c r="B115" s="3">
        <v>713100.0</v>
      </c>
      <c r="C115" s="5"/>
      <c r="D115" s="3" t="str">
        <f t="array" ref="D115">XLOOKUP(C115,'PILETAS LOTES'!$A$2:$A1000,'PILETAS LOTES'!$F$2:$F1000,"",0)</f>
        <v/>
      </c>
      <c r="E115" s="5" t="str">
        <f t="array" ref="E115">XLOOKUP(C115,'PILETAS LOTES'!$A$2:$A1000,'PILETAS LOTES'!$H$2:$H1000,"",0)</f>
        <v/>
      </c>
    </row>
    <row r="116" ht="15.75" customHeight="1">
      <c r="A116" s="3">
        <v>114.0</v>
      </c>
      <c r="B116" s="3">
        <v>125300.0</v>
      </c>
      <c r="C116" s="5" t="s">
        <v>52</v>
      </c>
      <c r="D116" s="3" t="str">
        <f t="array" ref="D116">XLOOKUP(C116,'PILETAS LOTES'!$A$2:$A1000,'PILETAS LOTES'!$F$2:$F1000,"",0)</f>
        <v/>
      </c>
      <c r="E116" s="5" t="str">
        <f t="array" ref="E116">XLOOKUP(C116,'PILETAS LOTES'!$A$2:$A1000,'PILETAS LOTES'!$H$2:$H1000,"",0)</f>
        <v/>
      </c>
    </row>
    <row r="117" ht="15.75" customHeight="1">
      <c r="A117" s="3">
        <v>115.0</v>
      </c>
      <c r="B117" s="3">
        <v>120200.0</v>
      </c>
      <c r="C117" s="5" t="s">
        <v>53</v>
      </c>
      <c r="D117" s="3" t="str">
        <f t="array" ref="D117">XLOOKUP(C117,'PILETAS LOTES'!$A$2:$A1000,'PILETAS LOTES'!$F$2:$F1000,"",0)</f>
        <v/>
      </c>
      <c r="E117" s="5" t="str">
        <f t="array" ref="E117">XLOOKUP(C117,'PILETAS LOTES'!$A$2:$A1000,'PILETAS LOTES'!$H$2:$H1000,"",0)</f>
        <v/>
      </c>
    </row>
    <row r="118" ht="15.75" customHeight="1">
      <c r="A118" s="3">
        <v>116.0</v>
      </c>
      <c r="B118" s="3">
        <v>99600.0</v>
      </c>
      <c r="C118" s="5" t="s">
        <v>54</v>
      </c>
      <c r="D118" s="3" t="str">
        <f t="array" ref="D118">XLOOKUP(C118,'PILETAS LOTES'!$A$2:$A1000,'PILETAS LOTES'!$F$2:$F1000,"",0)</f>
        <v/>
      </c>
      <c r="E118" s="5" t="str">
        <f t="array" ref="E118">XLOOKUP(C118,'PILETAS LOTES'!$A$2:$A1000,'PILETAS LOTES'!$H$2:$H1000,"",0)</f>
        <v/>
      </c>
    </row>
    <row r="119" ht="15.75" customHeight="1">
      <c r="A119" s="3">
        <v>117.0</v>
      </c>
      <c r="B119" s="3">
        <v>96600.0</v>
      </c>
      <c r="C119" s="5"/>
      <c r="D119" s="3" t="str">
        <f t="array" ref="D119">XLOOKUP(C119,'PILETAS LOTES'!$A$2:$A1000,'PILETAS LOTES'!$F$2:$F1000,"",0)</f>
        <v/>
      </c>
      <c r="E119" s="5" t="str">
        <f t="array" ref="E119">XLOOKUP(C119,'PILETAS LOTES'!$A$2:$A1000,'PILETAS LOTES'!$H$2:$H1000,"",0)</f>
        <v/>
      </c>
    </row>
    <row r="120" ht="15.75" customHeight="1">
      <c r="A120" s="3">
        <v>118.0</v>
      </c>
      <c r="B120" s="3">
        <v>155600.0</v>
      </c>
      <c r="C120" s="5"/>
      <c r="D120" s="3" t="str">
        <f t="array" ref="D120">XLOOKUP(C120,'PILETAS LOTES'!$A$2:$A1000,'PILETAS LOTES'!$F$2:$F1000,"",0)</f>
        <v/>
      </c>
      <c r="E120" s="5" t="str">
        <f t="array" ref="E120">XLOOKUP(C120,'PILETAS LOTES'!$A$2:$A1000,'PILETAS LOTES'!$H$2:$H1000,"",0)</f>
        <v/>
      </c>
    </row>
    <row r="121" ht="15.75" customHeight="1">
      <c r="A121" s="3">
        <v>119.0</v>
      </c>
      <c r="B121" s="3">
        <v>159800.0</v>
      </c>
      <c r="C121" s="5"/>
      <c r="D121" s="3" t="str">
        <f t="array" ref="D121">XLOOKUP(C121,'PILETAS LOTES'!$A$2:$A1000,'PILETAS LOTES'!$F$2:$F1000,"",0)</f>
        <v/>
      </c>
      <c r="E121" s="5" t="str">
        <f t="array" ref="E121">XLOOKUP(C121,'PILETAS LOTES'!$A$2:$A1000,'PILETAS LOTES'!$H$2:$H1000,"",0)</f>
        <v/>
      </c>
    </row>
    <row r="122" ht="15.75" customHeight="1">
      <c r="A122" s="3">
        <v>120.0</v>
      </c>
      <c r="B122" s="3">
        <v>88800.0</v>
      </c>
      <c r="C122" s="5"/>
      <c r="D122" s="3" t="str">
        <f t="array" ref="D122">XLOOKUP(C122,'PILETAS LOTES'!$A$2:$A1000,'PILETAS LOTES'!$F$2:$F1000,"",0)</f>
        <v/>
      </c>
      <c r="E122" s="5" t="str">
        <f t="array" ref="E122">XLOOKUP(C122,'PILETAS LOTES'!$A$2:$A1000,'PILETAS LOTES'!$H$2:$H1000,"",0)</f>
        <v/>
      </c>
    </row>
    <row r="123" ht="15.75" customHeight="1">
      <c r="A123" s="3">
        <v>121.0</v>
      </c>
      <c r="B123" s="3">
        <v>85800.0</v>
      </c>
      <c r="C123" s="5" t="s">
        <v>55</v>
      </c>
      <c r="D123" s="3" t="str">
        <f t="array" ref="D123">XLOOKUP(C123,'PILETAS LOTES'!$A$2:$A1000,'PILETAS LOTES'!$F$2:$F1000,"",0)</f>
        <v/>
      </c>
      <c r="E123" s="5" t="str">
        <f t="array" ref="E123">XLOOKUP(C123,'PILETAS LOTES'!$A$2:$A1000,'PILETAS LOTES'!$H$2:$H1000,"",0)</f>
        <v/>
      </c>
    </row>
    <row r="124" ht="15.75" customHeight="1">
      <c r="A124" s="3">
        <v>122.0</v>
      </c>
      <c r="B124" s="3">
        <v>63700.0</v>
      </c>
      <c r="C124" s="5"/>
      <c r="D124" s="3" t="str">
        <f t="array" ref="D124">XLOOKUP(C124,'PILETAS LOTES'!$A$2:$A1000,'PILETAS LOTES'!$F$2:$F1000,"",0)</f>
        <v/>
      </c>
      <c r="E124" s="5" t="str">
        <f t="array" ref="E124">XLOOKUP(C124,'PILETAS LOTES'!$A$2:$A1000,'PILETAS LOTES'!$H$2:$H1000,"",0)</f>
        <v/>
      </c>
    </row>
    <row r="125" ht="15.75" customHeight="1">
      <c r="A125" s="3">
        <v>123.0</v>
      </c>
      <c r="B125" s="3">
        <v>10700.0</v>
      </c>
      <c r="C125" s="5"/>
      <c r="D125" s="3" t="str">
        <f t="array" ref="D125">XLOOKUP(C125,'PILETAS LOTES'!$A$2:$A1000,'PILETAS LOTES'!$F$2:$F1000,"",0)</f>
        <v/>
      </c>
      <c r="E125" s="5" t="str">
        <f t="array" ref="E125">XLOOKUP(C125,'PILETAS LOTES'!$A$2:$A1000,'PILETAS LOTES'!$H$2:$H1000,"",0)</f>
        <v/>
      </c>
    </row>
    <row r="126" ht="15.75" customHeight="1">
      <c r="A126" s="3">
        <v>124.0</v>
      </c>
      <c r="B126" s="3">
        <v>10500.0</v>
      </c>
      <c r="C126" s="5"/>
      <c r="D126" s="3" t="str">
        <f t="array" ref="D126">XLOOKUP(C126,'PILETAS LOTES'!$A$2:$A1000,'PILETAS LOTES'!$F$2:$F1000,"",0)</f>
        <v/>
      </c>
      <c r="E126" s="5" t="str">
        <f t="array" ref="E126">XLOOKUP(C126,'PILETAS LOTES'!$A$2:$A1000,'PILETAS LOTES'!$H$2:$H1000,"",0)</f>
        <v/>
      </c>
    </row>
    <row r="127" ht="15.75" customHeight="1">
      <c r="A127" s="3">
        <v>125.0</v>
      </c>
      <c r="B127" s="3">
        <v>31000.0</v>
      </c>
      <c r="C127" s="5"/>
      <c r="D127" s="3" t="str">
        <f t="array" ref="D127">XLOOKUP(C127,'PILETAS LOTES'!$A$2:$A1000,'PILETAS LOTES'!$F$2:$F1000,"",0)</f>
        <v/>
      </c>
      <c r="E127" s="5" t="str">
        <f t="array" ref="E127">XLOOKUP(C127,'PILETAS LOTES'!$A$2:$A1000,'PILETAS LOTES'!$H$2:$H1000,"",0)</f>
        <v/>
      </c>
    </row>
    <row r="128" ht="15.75" customHeight="1">
      <c r="A128" s="3">
        <v>126.0</v>
      </c>
      <c r="B128" s="3">
        <v>31000.0</v>
      </c>
      <c r="C128" s="5"/>
      <c r="D128" s="3" t="str">
        <f t="array" ref="D128">XLOOKUP(C128,'PILETAS LOTES'!$A$2:$A1000,'PILETAS LOTES'!$F$2:$F1000,"",0)</f>
        <v/>
      </c>
      <c r="E128" s="5" t="str">
        <f t="array" ref="E128">XLOOKUP(C128,'PILETAS LOTES'!$A$2:$A1000,'PILETAS LOTES'!$H$2:$H1000,"",0)</f>
        <v/>
      </c>
    </row>
    <row r="129" ht="15.75" customHeight="1">
      <c r="A129" s="3">
        <v>127.0</v>
      </c>
      <c r="B129" s="3">
        <v>31000.0</v>
      </c>
      <c r="C129" s="5"/>
      <c r="D129" s="3" t="str">
        <f t="array" ref="D129">XLOOKUP(C129,'PILETAS LOTES'!$A$2:$A1000,'PILETAS LOTES'!$F$2:$F1000,"",0)</f>
        <v/>
      </c>
      <c r="E129" s="5" t="str">
        <f t="array" ref="E129">XLOOKUP(C129,'PILETAS LOTES'!$A$2:$A1000,'PILETAS LOTES'!$H$2:$H1000,"",0)</f>
        <v/>
      </c>
    </row>
    <row r="130" ht="15.75" customHeight="1">
      <c r="A130" s="3">
        <v>150.0</v>
      </c>
      <c r="C130" s="5" t="s">
        <v>56</v>
      </c>
      <c r="D130" s="3" t="str">
        <f t="array" ref="D130">XLOOKUP(C130,'PILETAS LOTES'!$A$2:$A1000,'PILETAS LOTES'!$F$2:$F1000,"",0)</f>
        <v>Correccion</v>
      </c>
      <c r="E130" s="5">
        <f t="array" ref="E130">XLOOKUP(C130,'PILETAS LOTES'!$A$2:$A1000,'PILETAS LOTES'!$H$2:$H1000,"",0)</f>
        <v>14501</v>
      </c>
    </row>
    <row r="131" ht="15.75" customHeight="1">
      <c r="A131" s="3"/>
      <c r="D131" s="3"/>
    </row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0"/>
  <cols>
    <col customWidth="1" min="1" max="5" width="12.63"/>
    <col customWidth="1" min="6" max="6" width="27.75"/>
  </cols>
  <sheetData>
    <row r="1" ht="15.75" customHeight="1">
      <c r="A1" s="48" t="s">
        <v>7767</v>
      </c>
      <c r="B1" s="48" t="s">
        <v>7740</v>
      </c>
      <c r="C1" s="48" t="s">
        <v>7768</v>
      </c>
      <c r="D1" s="48" t="s">
        <v>7735</v>
      </c>
      <c r="E1" s="49" t="s">
        <v>7769</v>
      </c>
      <c r="F1" s="48" t="s">
        <v>4</v>
      </c>
      <c r="G1" s="50" t="s">
        <v>7770</v>
      </c>
      <c r="H1" s="48" t="s">
        <v>7771</v>
      </c>
      <c r="I1" s="48" t="s">
        <v>7772</v>
      </c>
      <c r="J1" s="51" t="s">
        <v>7773</v>
      </c>
      <c r="K1" s="52" t="s">
        <v>7774</v>
      </c>
      <c r="L1" s="48" t="s">
        <v>7775</v>
      </c>
      <c r="M1" s="48" t="s">
        <v>7776</v>
      </c>
      <c r="N1" s="48" t="s">
        <v>7777</v>
      </c>
      <c r="O1" s="48">
        <v>420.0</v>
      </c>
      <c r="P1" s="48">
        <v>520.0</v>
      </c>
      <c r="Q1" s="48">
        <v>620.0</v>
      </c>
      <c r="R1" s="48" t="s">
        <v>7778</v>
      </c>
      <c r="S1" s="48" t="s">
        <v>7779</v>
      </c>
      <c r="T1" s="51" t="s">
        <v>7780</v>
      </c>
      <c r="U1" s="48" t="s">
        <v>7781</v>
      </c>
      <c r="V1" s="48" t="s">
        <v>7782</v>
      </c>
      <c r="W1" s="48" t="s">
        <v>7783</v>
      </c>
    </row>
    <row r="2" ht="15.75" customHeight="1">
      <c r="A2" s="3">
        <f>IFERROR(__xludf.DUMMYFUNCTION("IMPORTRANGE(""https://docs.google.com/spreadsheets/d/1TzUfNWs0yocwDUIiqYtAe6nRr0RJptqO5h0qGqW4PVk/edit?gid=1088908225#gid=1088908225"",""BD_ANALISIS_EXPO!a2:W"")"),2.0)</f>
        <v>2</v>
      </c>
      <c r="B2" s="53">
        <f>IFERROR(__xludf.DUMMYFUNCTION("""COMPUTED_VALUE"""),45308.0)</f>
        <v>45308</v>
      </c>
      <c r="C2" s="3">
        <f>IFERROR(__xludf.DUMMYFUNCTION("""COMPUTED_VALUE"""),54.0)</f>
        <v>54</v>
      </c>
      <c r="D2" s="3" t="str">
        <f>IFERROR(__xludf.DUMMYFUNCTION("""COMPUTED_VALUE"""),"#REF!")</f>
        <v>#REF!</v>
      </c>
      <c r="E2" s="54">
        <f>IFERROR(__xludf.DUMMYFUNCTION("""COMPUTED_VALUE"""),22900.0)</f>
        <v>22900</v>
      </c>
      <c r="F2" s="3" t="str">
        <f>IFERROR(__xludf.DUMMYFUNCTION("""COMPUTED_VALUE"""),"Malbec rectificado")</f>
        <v>Malbec rectificado</v>
      </c>
      <c r="G2" s="55">
        <f>IFERROR(__xludf.DUMMYFUNCTION("""COMPUTED_VALUE"""),13.0)</f>
        <v>13</v>
      </c>
      <c r="H2" s="56">
        <f>IFERROR(__xludf.DUMMYFUNCTION("""COMPUTED_VALUE"""),2.0)</f>
        <v>2</v>
      </c>
      <c r="I2" s="57">
        <f>IFERROR(__xludf.DUMMYFUNCTION("""COMPUTED_VALUE"""),0.55)</f>
        <v>0.55</v>
      </c>
      <c r="J2" s="57">
        <f>IFERROR(__xludf.DUMMYFUNCTION("""COMPUTED_VALUE"""),6.9)</f>
        <v>6.9</v>
      </c>
      <c r="K2" s="57">
        <f>IFERROR(__xludf.DUMMYFUNCTION("""COMPUTED_VALUE"""),2.11)</f>
        <v>2.11</v>
      </c>
      <c r="L2" s="54">
        <f>IFERROR(__xludf.DUMMYFUNCTION("""COMPUTED_VALUE"""),25.0)</f>
        <v>25</v>
      </c>
      <c r="M2" s="3">
        <f>IFERROR(__xludf.DUMMYFUNCTION("""COMPUTED_VALUE"""),90.0)</f>
        <v>90</v>
      </c>
      <c r="N2" s="3"/>
      <c r="O2" s="3"/>
      <c r="P2" s="3"/>
      <c r="Q2" s="3"/>
      <c r="R2" s="3"/>
      <c r="S2" s="3"/>
      <c r="T2" s="5"/>
      <c r="U2" s="5"/>
      <c r="V2" s="5"/>
      <c r="W2" s="5"/>
    </row>
    <row r="3" ht="15.75" customHeight="1">
      <c r="A3" s="3">
        <f>IFERROR(__xludf.DUMMYFUNCTION("""COMPUTED_VALUE"""),3.0)</f>
        <v>3</v>
      </c>
      <c r="B3" s="53">
        <f>IFERROR(__xludf.DUMMYFUNCTION("""COMPUTED_VALUE"""),45308.0)</f>
        <v>45308</v>
      </c>
      <c r="C3" s="3">
        <f>IFERROR(__xludf.DUMMYFUNCTION("""COMPUTED_VALUE"""),15.0)</f>
        <v>15</v>
      </c>
      <c r="D3" s="3"/>
      <c r="E3" s="54">
        <f>IFERROR(__xludf.DUMMYFUNCTION("""COMPUTED_VALUE"""),36500.0)</f>
        <v>36500</v>
      </c>
      <c r="F3" s="3" t="str">
        <f>IFERROR(__xludf.DUMMYFUNCTION("""COMPUTED_VALUE"""),"Malbec rectificado")</f>
        <v>Malbec rectificado</v>
      </c>
      <c r="G3" s="55">
        <f>IFERROR(__xludf.DUMMYFUNCTION("""COMPUTED_VALUE"""),12.9)</f>
        <v>12.9</v>
      </c>
      <c r="H3" s="56">
        <f>IFERROR(__xludf.DUMMYFUNCTION("""COMPUTED_VALUE"""),2.0)</f>
        <v>2</v>
      </c>
      <c r="I3" s="57">
        <f>IFERROR(__xludf.DUMMYFUNCTION("""COMPUTED_VALUE"""),0.57)</f>
        <v>0.57</v>
      </c>
      <c r="J3" s="57">
        <f>IFERROR(__xludf.DUMMYFUNCTION("""COMPUTED_VALUE"""),8.26)</f>
        <v>8.26</v>
      </c>
      <c r="K3" s="57">
        <f>IFERROR(__xludf.DUMMYFUNCTION("""COMPUTED_VALUE"""),2.16)</f>
        <v>2.16</v>
      </c>
      <c r="L3" s="54">
        <f>IFERROR(__xludf.DUMMYFUNCTION("""COMPUTED_VALUE"""),26.0)</f>
        <v>26</v>
      </c>
      <c r="M3" s="3">
        <f>IFERROR(__xludf.DUMMYFUNCTION("""COMPUTED_VALUE"""),75.0)</f>
        <v>75</v>
      </c>
      <c r="N3" s="3"/>
      <c r="O3" s="3"/>
      <c r="P3" s="3"/>
      <c r="Q3" s="3"/>
      <c r="R3" s="3"/>
      <c r="S3" s="3"/>
      <c r="T3" s="5"/>
      <c r="U3" s="5"/>
      <c r="V3" s="5"/>
      <c r="W3" s="5"/>
    </row>
    <row r="4" ht="15.75" customHeight="1">
      <c r="A4" s="3">
        <f>IFERROR(__xludf.DUMMYFUNCTION("""COMPUTED_VALUE"""),4.0)</f>
        <v>4</v>
      </c>
      <c r="B4" s="53">
        <f>IFERROR(__xludf.DUMMYFUNCTION("""COMPUTED_VALUE"""),45308.0)</f>
        <v>45308</v>
      </c>
      <c r="C4" s="3">
        <f>IFERROR(__xludf.DUMMYFUNCTION("""COMPUTED_VALUE"""),11.0)</f>
        <v>11</v>
      </c>
      <c r="D4" s="3" t="str">
        <f>IFERROR(__xludf.DUMMYFUNCTION("""COMPUTED_VALUE"""),"#REF!")</f>
        <v>#REF!</v>
      </c>
      <c r="E4" s="54">
        <f>IFERROR(__xludf.DUMMYFUNCTION("""COMPUTED_VALUE"""),36000.0)</f>
        <v>36000</v>
      </c>
      <c r="F4" s="3" t="str">
        <f>IFERROR(__xludf.DUMMYFUNCTION("""COMPUTED_VALUE"""),"blanco rectificado")</f>
        <v>blanco rectificado</v>
      </c>
      <c r="G4" s="55">
        <f>IFERROR(__xludf.DUMMYFUNCTION("""COMPUTED_VALUE"""),10.0)</f>
        <v>10</v>
      </c>
      <c r="H4" s="56">
        <f>IFERROR(__xludf.DUMMYFUNCTION("""COMPUTED_VALUE"""),2.0)</f>
        <v>2</v>
      </c>
      <c r="I4" s="57">
        <f>IFERROR(__xludf.DUMMYFUNCTION("""COMPUTED_VALUE"""),0.55)</f>
        <v>0.55</v>
      </c>
      <c r="J4" s="57">
        <f>IFERROR(__xludf.DUMMYFUNCTION("""COMPUTED_VALUE"""),6.12)</f>
        <v>6.12</v>
      </c>
      <c r="K4" s="57">
        <f>IFERROR(__xludf.DUMMYFUNCTION("""COMPUTED_VALUE"""),2.2)</f>
        <v>2.2</v>
      </c>
      <c r="L4" s="54">
        <f>IFERROR(__xludf.DUMMYFUNCTION("""COMPUTED_VALUE"""),25.0)</f>
        <v>25</v>
      </c>
      <c r="M4" s="3">
        <f>IFERROR(__xludf.DUMMYFUNCTION("""COMPUTED_VALUE"""),90.0)</f>
        <v>90</v>
      </c>
      <c r="N4" s="3"/>
      <c r="O4" s="3"/>
      <c r="P4" s="3"/>
      <c r="Q4" s="3"/>
      <c r="R4" s="3"/>
      <c r="S4" s="3"/>
      <c r="T4" s="5"/>
      <c r="U4" s="5"/>
      <c r="V4" s="5"/>
      <c r="W4" s="5"/>
    </row>
    <row r="5" ht="15.75" customHeight="1">
      <c r="A5" s="3">
        <f>IFERROR(__xludf.DUMMYFUNCTION("""COMPUTED_VALUE"""),5.0)</f>
        <v>5</v>
      </c>
      <c r="B5" s="53">
        <f>IFERROR(__xludf.DUMMYFUNCTION("""COMPUTED_VALUE"""),45308.0)</f>
        <v>45308</v>
      </c>
      <c r="C5" s="3">
        <f>IFERROR(__xludf.DUMMYFUNCTION("""COMPUTED_VALUE"""),36.0)</f>
        <v>36</v>
      </c>
      <c r="D5" s="3" t="str">
        <f>IFERROR(__xludf.DUMMYFUNCTION("""COMPUTED_VALUE"""),"1.020")</f>
        <v>1.020</v>
      </c>
      <c r="E5" s="54">
        <f>IFERROR(__xludf.DUMMYFUNCTION("""COMPUTED_VALUE"""),19700.0)</f>
        <v>19700</v>
      </c>
      <c r="F5" s="3" t="str">
        <f>IFERROR(__xludf.DUMMYFUNCTION("""COMPUTED_VALUE"""),"Criolla Rectificada")</f>
        <v>Criolla Rectificada</v>
      </c>
      <c r="G5" s="55">
        <f>IFERROR(__xludf.DUMMYFUNCTION("""COMPUTED_VALUE"""),13.0)</f>
        <v>13</v>
      </c>
      <c r="H5" s="56">
        <f>IFERROR(__xludf.DUMMYFUNCTION("""COMPUTED_VALUE"""),2.0)</f>
        <v>2</v>
      </c>
      <c r="I5" s="57">
        <f>IFERROR(__xludf.DUMMYFUNCTION("""COMPUTED_VALUE"""),0.6)</f>
        <v>0.6</v>
      </c>
      <c r="J5" s="57">
        <f>IFERROR(__xludf.DUMMYFUNCTION("""COMPUTED_VALUE"""),6.2)</f>
        <v>6.2</v>
      </c>
      <c r="K5" s="57">
        <f>IFERROR(__xludf.DUMMYFUNCTION("""COMPUTED_VALUE"""),2.11)</f>
        <v>2.11</v>
      </c>
      <c r="L5" s="54">
        <f>IFERROR(__xludf.DUMMYFUNCTION("""COMPUTED_VALUE"""),22.0)</f>
        <v>22</v>
      </c>
      <c r="M5" s="3">
        <f>IFERROR(__xludf.DUMMYFUNCTION("""COMPUTED_VALUE"""),110.0)</f>
        <v>110</v>
      </c>
      <c r="N5" s="3"/>
      <c r="O5" s="3"/>
      <c r="P5" s="3"/>
      <c r="Q5" s="3"/>
      <c r="R5" s="3"/>
      <c r="S5" s="3"/>
      <c r="T5" s="5"/>
      <c r="U5" s="5"/>
      <c r="V5" s="5"/>
      <c r="W5" s="5"/>
    </row>
    <row r="6" ht="15.75" customHeight="1">
      <c r="A6" s="3">
        <f>IFERROR(__xludf.DUMMYFUNCTION("""COMPUTED_VALUE"""),6.0)</f>
        <v>6</v>
      </c>
      <c r="B6" s="53">
        <f>IFERROR(__xludf.DUMMYFUNCTION("""COMPUTED_VALUE"""),45309.0)</f>
        <v>45309</v>
      </c>
      <c r="C6" s="3">
        <f>IFERROR(__xludf.DUMMYFUNCTION("""COMPUTED_VALUE"""),16.0)</f>
        <v>16</v>
      </c>
      <c r="D6" s="3"/>
      <c r="E6" s="54">
        <f>IFERROR(__xludf.DUMMYFUNCTION("""COMPUTED_VALUE"""),19500.0)</f>
        <v>19500</v>
      </c>
      <c r="F6" s="3" t="str">
        <f>IFERROR(__xludf.DUMMYFUNCTION("""COMPUTED_VALUE"""),"rosado rectificado")</f>
        <v>rosado rectificado</v>
      </c>
      <c r="G6" s="55">
        <f>IFERROR(__xludf.DUMMYFUNCTION("""COMPUTED_VALUE"""),12.9)</f>
        <v>12.9</v>
      </c>
      <c r="H6" s="56">
        <f>IFERROR(__xludf.DUMMYFUNCTION("""COMPUTED_VALUE"""),2.0)</f>
        <v>2</v>
      </c>
      <c r="I6" s="57">
        <f>IFERROR(__xludf.DUMMYFUNCTION("""COMPUTED_VALUE"""),0.5)</f>
        <v>0.5</v>
      </c>
      <c r="J6" s="57">
        <f>IFERROR(__xludf.DUMMYFUNCTION("""COMPUTED_VALUE"""),6.9)</f>
        <v>6.9</v>
      </c>
      <c r="K6" s="57">
        <f>IFERROR(__xludf.DUMMYFUNCTION("""COMPUTED_VALUE"""),2.09)</f>
        <v>2.09</v>
      </c>
      <c r="L6" s="54">
        <f>IFERROR(__xludf.DUMMYFUNCTION("""COMPUTED_VALUE"""),19.0)</f>
        <v>19</v>
      </c>
      <c r="M6" s="3">
        <f>IFERROR(__xludf.DUMMYFUNCTION("""COMPUTED_VALUE"""),160.0)</f>
        <v>160</v>
      </c>
      <c r="N6" s="3"/>
      <c r="O6" s="3"/>
      <c r="P6" s="3"/>
      <c r="Q6" s="3"/>
      <c r="R6" s="3"/>
      <c r="S6" s="3"/>
      <c r="T6" s="5"/>
      <c r="U6" s="5"/>
      <c r="V6" s="5"/>
      <c r="W6" s="5"/>
    </row>
    <row r="7" ht="15.75" customHeight="1">
      <c r="A7" s="3">
        <f>IFERROR(__xludf.DUMMYFUNCTION("""COMPUTED_VALUE"""),7.0)</f>
        <v>7</v>
      </c>
      <c r="B7" s="53">
        <f>IFERROR(__xludf.DUMMYFUNCTION("""COMPUTED_VALUE"""),45309.0)</f>
        <v>45309</v>
      </c>
      <c r="C7" s="3">
        <f>IFERROR(__xludf.DUMMYFUNCTION("""COMPUTED_VALUE"""),42.0)</f>
        <v>42</v>
      </c>
      <c r="D7" s="3" t="str">
        <f>IFERROR(__xludf.DUMMYFUNCTION("""COMPUTED_VALUE"""),"#REF!")</f>
        <v>#REF!</v>
      </c>
      <c r="E7" s="54">
        <f>IFERROR(__xludf.DUMMYFUNCTION("""COMPUTED_VALUE"""),35900.0)</f>
        <v>35900</v>
      </c>
      <c r="F7" s="3" t="str">
        <f>IFERROR(__xludf.DUMMYFUNCTION("""COMPUTED_VALUE"""),"Cabernet Sauvignon rectificado")</f>
        <v>Cabernet Sauvignon rectificado</v>
      </c>
      <c r="G7" s="55">
        <f>IFERROR(__xludf.DUMMYFUNCTION("""COMPUTED_VALUE"""),13.0)</f>
        <v>13</v>
      </c>
      <c r="H7" s="56">
        <f>IFERROR(__xludf.DUMMYFUNCTION("""COMPUTED_VALUE"""),2.0)</f>
        <v>2</v>
      </c>
      <c r="I7" s="57">
        <f>IFERROR(__xludf.DUMMYFUNCTION("""COMPUTED_VALUE"""),0.57)</f>
        <v>0.57</v>
      </c>
      <c r="J7" s="57">
        <f>IFERROR(__xludf.DUMMYFUNCTION("""COMPUTED_VALUE"""),8.8)</f>
        <v>8.8</v>
      </c>
      <c r="K7" s="57">
        <f>IFERROR(__xludf.DUMMYFUNCTION("""COMPUTED_VALUE"""),2.21)</f>
        <v>2.21</v>
      </c>
      <c r="L7" s="54">
        <f>IFERROR(__xludf.DUMMYFUNCTION("""COMPUTED_VALUE"""),25.0)</f>
        <v>25</v>
      </c>
      <c r="M7" s="3">
        <f>IFERROR(__xludf.DUMMYFUNCTION("""COMPUTED_VALUE"""),100.0)</f>
        <v>100</v>
      </c>
      <c r="N7" s="3"/>
      <c r="O7" s="3"/>
      <c r="P7" s="3"/>
      <c r="Q7" s="3"/>
      <c r="R7" s="3"/>
      <c r="S7" s="3"/>
      <c r="T7" s="5"/>
      <c r="U7" s="5"/>
      <c r="V7" s="5"/>
      <c r="W7" s="5"/>
    </row>
    <row r="8" ht="15.75" customHeight="1">
      <c r="A8" s="3">
        <f>IFERROR(__xludf.DUMMYFUNCTION("""COMPUTED_VALUE"""),8.0)</f>
        <v>8</v>
      </c>
      <c r="B8" s="53">
        <f>IFERROR(__xludf.DUMMYFUNCTION("""COMPUTED_VALUE"""),45313.0)</f>
        <v>45313</v>
      </c>
      <c r="C8" s="3">
        <f>IFERROR(__xludf.DUMMYFUNCTION("""COMPUTED_VALUE"""),48.0)</f>
        <v>48</v>
      </c>
      <c r="D8" s="3" t="str">
        <f>IFERROR(__xludf.DUMMYFUNCTION("""COMPUTED_VALUE"""),"#REF!")</f>
        <v>#REF!</v>
      </c>
      <c r="E8" s="54">
        <f>IFERROR(__xludf.DUMMYFUNCTION("""COMPUTED_VALUE"""),26000.0)</f>
        <v>26000</v>
      </c>
      <c r="F8" s="3" t="str">
        <f>IFERROR(__xludf.DUMMYFUNCTION("""COMPUTED_VALUE"""),"Cabernet Sauvignon rectificado")</f>
        <v>Cabernet Sauvignon rectificado</v>
      </c>
      <c r="G8" s="55">
        <f>IFERROR(__xludf.DUMMYFUNCTION("""COMPUTED_VALUE"""),12.8)</f>
        <v>12.8</v>
      </c>
      <c r="H8" s="56">
        <f>IFERROR(__xludf.DUMMYFUNCTION("""COMPUTED_VALUE"""),2.0)</f>
        <v>2</v>
      </c>
      <c r="I8" s="57">
        <f>IFERROR(__xludf.DUMMYFUNCTION("""COMPUTED_VALUE"""),0.53)</f>
        <v>0.53</v>
      </c>
      <c r="J8" s="57">
        <f>IFERROR(__xludf.DUMMYFUNCTION("""COMPUTED_VALUE"""),8.4)</f>
        <v>8.4</v>
      </c>
      <c r="K8" s="57">
        <f>IFERROR(__xludf.DUMMYFUNCTION("""COMPUTED_VALUE"""),2.16)</f>
        <v>2.16</v>
      </c>
      <c r="L8" s="54">
        <f>IFERROR(__xludf.DUMMYFUNCTION("""COMPUTED_VALUE"""),25.0)</f>
        <v>25</v>
      </c>
      <c r="M8" s="3">
        <f>IFERROR(__xludf.DUMMYFUNCTION("""COMPUTED_VALUE"""),90.0)</f>
        <v>90</v>
      </c>
      <c r="N8" s="3"/>
      <c r="O8" s="3"/>
      <c r="P8" s="3"/>
      <c r="Q8" s="3"/>
      <c r="R8" s="3"/>
      <c r="S8" s="3"/>
      <c r="T8" s="5"/>
      <c r="U8" s="5"/>
      <c r="V8" s="5"/>
      <c r="W8" s="5"/>
    </row>
    <row r="9" ht="15.75" customHeight="1">
      <c r="A9" s="3">
        <f>IFERROR(__xludf.DUMMYFUNCTION("""COMPUTED_VALUE"""),9.0)</f>
        <v>9</v>
      </c>
      <c r="B9" s="53">
        <f>IFERROR(__xludf.DUMMYFUNCTION("""COMPUTED_VALUE"""),45314.0)</f>
        <v>45314</v>
      </c>
      <c r="C9" s="3">
        <f>IFERROR(__xludf.DUMMYFUNCTION("""COMPUTED_VALUE"""),49.0)</f>
        <v>49</v>
      </c>
      <c r="D9" s="3" t="str">
        <f>IFERROR(__xludf.DUMMYFUNCTION("""COMPUTED_VALUE"""),"#REF!")</f>
        <v>#REF!</v>
      </c>
      <c r="E9" s="54">
        <f>IFERROR(__xludf.DUMMYFUNCTION("""COMPUTED_VALUE"""),26000.0)</f>
        <v>26000</v>
      </c>
      <c r="F9" s="3" t="str">
        <f>IFERROR(__xludf.DUMMYFUNCTION("""COMPUTED_VALUE"""),"Cabernet Sauvignon rectificado")</f>
        <v>Cabernet Sauvignon rectificado</v>
      </c>
      <c r="G9" s="55">
        <f>IFERROR(__xludf.DUMMYFUNCTION("""COMPUTED_VALUE"""),12.7)</f>
        <v>12.7</v>
      </c>
      <c r="H9" s="56">
        <f>IFERROR(__xludf.DUMMYFUNCTION("""COMPUTED_VALUE"""),2.0)</f>
        <v>2</v>
      </c>
      <c r="I9" s="57">
        <f>IFERROR(__xludf.DUMMYFUNCTION("""COMPUTED_VALUE"""),0.57)</f>
        <v>0.57</v>
      </c>
      <c r="J9" s="57">
        <f>IFERROR(__xludf.DUMMYFUNCTION("""COMPUTED_VALUE"""),8.3)</f>
        <v>8.3</v>
      </c>
      <c r="K9" s="57">
        <f>IFERROR(__xludf.DUMMYFUNCTION("""COMPUTED_VALUE"""),2.18)</f>
        <v>2.18</v>
      </c>
      <c r="L9" s="54">
        <f>IFERROR(__xludf.DUMMYFUNCTION("""COMPUTED_VALUE"""),27.0)</f>
        <v>27</v>
      </c>
      <c r="M9" s="3">
        <f>IFERROR(__xludf.DUMMYFUNCTION("""COMPUTED_VALUE"""),110.0)</f>
        <v>110</v>
      </c>
      <c r="N9" s="3"/>
      <c r="O9" s="3"/>
      <c r="P9" s="3"/>
      <c r="Q9" s="3"/>
      <c r="R9" s="3"/>
      <c r="S9" s="3"/>
      <c r="T9" s="5"/>
      <c r="U9" s="5"/>
      <c r="V9" s="5"/>
      <c r="W9" s="5"/>
    </row>
    <row r="10" ht="15.75" customHeight="1">
      <c r="A10" s="3">
        <f>IFERROR(__xludf.DUMMYFUNCTION("""COMPUTED_VALUE"""),10.0)</f>
        <v>10</v>
      </c>
      <c r="B10" s="3"/>
      <c r="C10" s="3">
        <f>IFERROR(__xludf.DUMMYFUNCTION("""COMPUTED_VALUE"""),41.0)</f>
        <v>41</v>
      </c>
      <c r="D10" s="3" t="str">
        <f>IFERROR(__xludf.DUMMYFUNCTION("""COMPUTED_VALUE"""),"#REF!")</f>
        <v>#REF!</v>
      </c>
      <c r="E10" s="54">
        <f>IFERROR(__xludf.DUMMYFUNCTION("""COMPUTED_VALUE"""),35100.0)</f>
        <v>35100</v>
      </c>
      <c r="F10" s="3" t="str">
        <f>IFERROR(__xludf.DUMMYFUNCTION("""COMPUTED_VALUE"""),"Cabernet sauvignon recticado")</f>
        <v>Cabernet sauvignon recticado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5"/>
      <c r="U10" s="5"/>
      <c r="V10" s="5"/>
      <c r="W10" s="5"/>
    </row>
    <row r="11" ht="15.75" customHeight="1">
      <c r="A11" s="3">
        <f>IFERROR(__xludf.DUMMYFUNCTION("""COMPUTED_VALUE"""),11.0)</f>
        <v>11</v>
      </c>
      <c r="B11" s="53">
        <f>IFERROR(__xludf.DUMMYFUNCTION("""COMPUTED_VALUE"""),44950.0)</f>
        <v>44950</v>
      </c>
      <c r="C11" s="3">
        <f>IFERROR(__xludf.DUMMYFUNCTION("""COMPUTED_VALUE"""),50.0)</f>
        <v>50</v>
      </c>
      <c r="D11" s="3"/>
      <c r="E11" s="3"/>
      <c r="F11" s="3" t="str">
        <f>IFERROR(__xludf.DUMMYFUNCTION("""COMPUTED_VALUE"""),"Malbec montecepas")</f>
        <v>Malbec montecepas</v>
      </c>
      <c r="G11" s="55">
        <f>IFERROR(__xludf.DUMMYFUNCTION("""COMPUTED_VALUE"""),13.1)</f>
        <v>13.1</v>
      </c>
      <c r="H11" s="56">
        <f>IFERROR(__xludf.DUMMYFUNCTION("""COMPUTED_VALUE"""),2.0)</f>
        <v>2</v>
      </c>
      <c r="I11" s="57">
        <f>IFERROR(__xludf.DUMMYFUNCTION("""COMPUTED_VALUE"""),0.55)</f>
        <v>0.55</v>
      </c>
      <c r="J11" s="57">
        <f>IFERROR(__xludf.DUMMYFUNCTION("""COMPUTED_VALUE"""),5.2)</f>
        <v>5.2</v>
      </c>
      <c r="K11" s="57">
        <f>IFERROR(__xludf.DUMMYFUNCTION("""COMPUTED_VALUE"""),3.7)</f>
        <v>3.7</v>
      </c>
      <c r="L11" s="54">
        <f>IFERROR(__xludf.DUMMYFUNCTION("""COMPUTED_VALUE"""),40.0)</f>
        <v>40</v>
      </c>
      <c r="M11" s="3">
        <f>IFERROR(__xludf.DUMMYFUNCTION("""COMPUTED_VALUE"""),130.0)</f>
        <v>130</v>
      </c>
      <c r="N11" s="3"/>
      <c r="O11" s="3"/>
      <c r="P11" s="3"/>
      <c r="Q11" s="3"/>
      <c r="R11" s="3"/>
      <c r="S11" s="3"/>
      <c r="T11" s="5"/>
      <c r="U11" s="5"/>
      <c r="V11" s="5"/>
      <c r="W11" s="5"/>
    </row>
    <row r="12" ht="15.75" customHeight="1">
      <c r="A12" s="3">
        <f>IFERROR(__xludf.DUMMYFUNCTION("""COMPUTED_VALUE"""),12.0)</f>
        <v>12</v>
      </c>
      <c r="B12" s="53">
        <f>IFERROR(__xludf.DUMMYFUNCTION("""COMPUTED_VALUE"""),45321.0)</f>
        <v>45321</v>
      </c>
      <c r="C12" s="3">
        <f>IFERROR(__xludf.DUMMYFUNCTION("""COMPUTED_VALUE"""),9.0)</f>
        <v>9</v>
      </c>
      <c r="D12" s="3"/>
      <c r="E12" s="3"/>
      <c r="F12" s="3"/>
      <c r="G12" s="3"/>
      <c r="H12" s="3"/>
      <c r="I12" s="57">
        <f>IFERROR(__xludf.DUMMYFUNCTION("""COMPUTED_VALUE"""),0.57)</f>
        <v>0.57</v>
      </c>
      <c r="J12" s="3"/>
      <c r="K12" s="57">
        <f>IFERROR(__xludf.DUMMYFUNCTION("""COMPUTED_VALUE"""),3.6)</f>
        <v>3.6</v>
      </c>
      <c r="L12" s="54">
        <f>IFERROR(__xludf.DUMMYFUNCTION("""COMPUTED_VALUE"""),38.0)</f>
        <v>38</v>
      </c>
      <c r="M12" s="3">
        <f>IFERROR(__xludf.DUMMYFUNCTION("""COMPUTED_VALUE"""),120.0)</f>
        <v>120</v>
      </c>
      <c r="N12" s="3"/>
      <c r="O12" s="3"/>
      <c r="P12" s="3"/>
      <c r="Q12" s="3"/>
      <c r="R12" s="3"/>
      <c r="S12" s="3"/>
      <c r="T12" s="5"/>
      <c r="U12" s="5"/>
      <c r="V12" s="5"/>
      <c r="W12" s="5"/>
    </row>
    <row r="13" ht="15.75" customHeight="1">
      <c r="A13" s="3">
        <f>IFERROR(__xludf.DUMMYFUNCTION("""COMPUTED_VALUE"""),13.0)</f>
        <v>13</v>
      </c>
      <c r="B13" s="53">
        <f>IFERROR(__xludf.DUMMYFUNCTION("""COMPUTED_VALUE"""),44950.0)</f>
        <v>44950</v>
      </c>
      <c r="C13" s="3">
        <f>IFERROR(__xludf.DUMMYFUNCTION("""COMPUTED_VALUE"""),51.0)</f>
        <v>51</v>
      </c>
      <c r="D13" s="3" t="str">
        <f>IFERROR(__xludf.DUMMYFUNCTION("""COMPUTED_VALUE"""),"1.021")</f>
        <v>1.021</v>
      </c>
      <c r="E13" s="54">
        <f>IFERROR(__xludf.DUMMYFUNCTION("""COMPUTED_VALUE"""),2500.0)</f>
        <v>2500</v>
      </c>
      <c r="F13" s="3" t="str">
        <f>IFERROR(__xludf.DUMMYFUNCTION("""COMPUTED_VALUE"""),"Syrah Malbec")</f>
        <v>Syrah Malbec</v>
      </c>
      <c r="G13" s="55">
        <f>IFERROR(__xludf.DUMMYFUNCTION("""COMPUTED_VALUE"""),13.0)</f>
        <v>13</v>
      </c>
      <c r="H13" s="56">
        <f>IFERROR(__xludf.DUMMYFUNCTION("""COMPUTED_VALUE"""),2.0)</f>
        <v>2</v>
      </c>
      <c r="I13" s="57">
        <f>IFERROR(__xludf.DUMMYFUNCTION("""COMPUTED_VALUE"""),0.5)</f>
        <v>0.5</v>
      </c>
      <c r="J13" s="57">
        <f>IFERROR(__xludf.DUMMYFUNCTION("""COMPUTED_VALUE"""),5.2)</f>
        <v>5.2</v>
      </c>
      <c r="K13" s="57">
        <f>IFERROR(__xludf.DUMMYFUNCTION("""COMPUTED_VALUE"""),3.65)</f>
        <v>3.65</v>
      </c>
      <c r="L13" s="54">
        <f>IFERROR(__xludf.DUMMYFUNCTION("""COMPUTED_VALUE"""),40.0)</f>
        <v>40</v>
      </c>
      <c r="M13" s="3">
        <f>IFERROR(__xludf.DUMMYFUNCTION("""COMPUTED_VALUE"""),100.0)</f>
        <v>100</v>
      </c>
      <c r="N13" s="3"/>
      <c r="O13" s="3"/>
      <c r="P13" s="3"/>
      <c r="Q13" s="3"/>
      <c r="R13" s="3"/>
      <c r="S13" s="3"/>
      <c r="T13" s="5"/>
      <c r="U13" s="5"/>
      <c r="V13" s="5"/>
      <c r="W13" s="5"/>
    </row>
    <row r="14" ht="15.75" customHeight="1">
      <c r="A14" s="3">
        <f>IFERROR(__xludf.DUMMYFUNCTION("""COMPUTED_VALUE"""),14.0)</f>
        <v>14</v>
      </c>
      <c r="B14" s="53">
        <f>IFERROR(__xludf.DUMMYFUNCTION("""COMPUTED_VALUE"""),45327.0)</f>
        <v>45327</v>
      </c>
      <c r="C14" s="3">
        <f>IFERROR(__xludf.DUMMYFUNCTION("""COMPUTED_VALUE"""),32.0)</f>
        <v>32</v>
      </c>
      <c r="D14" s="3" t="str">
        <f>IFERROR(__xludf.DUMMYFUNCTION("""COMPUTED_VALUE"""),"#REF!")</f>
        <v>#REF!</v>
      </c>
      <c r="E14" s="54">
        <f>IFERROR(__xludf.DUMMYFUNCTION("""COMPUTED_VALUE"""),36300.0)</f>
        <v>36300</v>
      </c>
      <c r="F14" s="3" t="str">
        <f>IFERROR(__xludf.DUMMYFUNCTION("""COMPUTED_VALUE"""),"Merlot-syrah 2023")</f>
        <v>Merlot-syrah 2023</v>
      </c>
      <c r="G14" s="55">
        <f>IFERROR(__xludf.DUMMYFUNCTION("""COMPUTED_VALUE"""),13.2)</f>
        <v>13.2</v>
      </c>
      <c r="H14" s="56">
        <f>IFERROR(__xludf.DUMMYFUNCTION("""COMPUTED_VALUE"""),2.0)</f>
        <v>2</v>
      </c>
      <c r="I14" s="57">
        <f>IFERROR(__xludf.DUMMYFUNCTION("""COMPUTED_VALUE"""),0.5)</f>
        <v>0.5</v>
      </c>
      <c r="J14" s="57">
        <f>IFERROR(__xludf.DUMMYFUNCTION("""COMPUTED_VALUE"""),5.25)</f>
        <v>5.25</v>
      </c>
      <c r="K14" s="57">
        <f>IFERROR(__xludf.DUMMYFUNCTION("""COMPUTED_VALUE"""),3.8)</f>
        <v>3.8</v>
      </c>
      <c r="L14" s="54">
        <f>IFERROR(__xludf.DUMMYFUNCTION("""COMPUTED_VALUE"""),45.0)</f>
        <v>45</v>
      </c>
      <c r="M14" s="3">
        <f>IFERROR(__xludf.DUMMYFUNCTION("""COMPUTED_VALUE"""),130.0)</f>
        <v>130</v>
      </c>
      <c r="N14" s="3"/>
      <c r="O14" s="3"/>
      <c r="P14" s="3"/>
      <c r="Q14" s="3"/>
      <c r="R14" s="3"/>
      <c r="S14" s="3"/>
      <c r="T14" s="5"/>
      <c r="U14" s="5"/>
      <c r="V14" s="5"/>
      <c r="W14" s="5"/>
    </row>
    <row r="15" ht="15.75" customHeight="1">
      <c r="A15" s="3">
        <f>IFERROR(__xludf.DUMMYFUNCTION("""COMPUTED_VALUE"""),15.0)</f>
        <v>15</v>
      </c>
      <c r="B15" s="53">
        <f>IFERROR(__xludf.DUMMYFUNCTION("""COMPUTED_VALUE"""),45327.0)</f>
        <v>45327</v>
      </c>
      <c r="C15" s="3">
        <f>IFERROR(__xludf.DUMMYFUNCTION("""COMPUTED_VALUE"""),65.0)</f>
        <v>65</v>
      </c>
      <c r="D15" s="3" t="str">
        <f>IFERROR(__xludf.DUMMYFUNCTION("""COMPUTED_VALUE"""),"#REF!")</f>
        <v>#REF!</v>
      </c>
      <c r="E15" s="54">
        <f>IFERROR(__xludf.DUMMYFUNCTION("""COMPUTED_VALUE"""),17000.0)</f>
        <v>17000</v>
      </c>
      <c r="F15" s="3" t="str">
        <f>IFERROR(__xludf.DUMMYFUNCTION("""COMPUTED_VALUE"""),"chardonnay-Sauvignon blanc -24")</f>
        <v>chardonnay-Sauvignon blanc -24</v>
      </c>
      <c r="G15" s="3"/>
      <c r="H15" s="56">
        <f>IFERROR(__xludf.DUMMYFUNCTION("""COMPUTED_VALUE"""),214.0)</f>
        <v>214</v>
      </c>
      <c r="I15" s="3"/>
      <c r="J15" s="3"/>
      <c r="K15" s="57">
        <f>IFERROR(__xludf.DUMMYFUNCTION("""COMPUTED_VALUE"""),3.6)</f>
        <v>3.6</v>
      </c>
      <c r="L15" s="3"/>
      <c r="M15" s="3"/>
      <c r="N15" s="3"/>
      <c r="O15" s="3"/>
      <c r="P15" s="3"/>
      <c r="Q15" s="3"/>
      <c r="R15" s="3"/>
      <c r="S15" s="3"/>
      <c r="T15" s="5"/>
      <c r="U15" s="5"/>
      <c r="V15" s="5"/>
      <c r="W15" s="5"/>
    </row>
    <row r="16" ht="15.75" customHeight="1">
      <c r="A16" s="3">
        <f>IFERROR(__xludf.DUMMYFUNCTION("""COMPUTED_VALUE"""),16.0)</f>
        <v>16</v>
      </c>
      <c r="B16" s="53">
        <f>IFERROR(__xludf.DUMMYFUNCTION("""COMPUTED_VALUE"""),45327.0)</f>
        <v>45327</v>
      </c>
      <c r="C16" s="3">
        <f>IFERROR(__xludf.DUMMYFUNCTION("""COMPUTED_VALUE"""),82.0)</f>
        <v>82</v>
      </c>
      <c r="D16" s="3" t="str">
        <f>IFERROR(__xludf.DUMMYFUNCTION("""COMPUTED_VALUE"""),"#REF!")</f>
        <v>#REF!</v>
      </c>
      <c r="E16" s="54">
        <f>IFERROR(__xludf.DUMMYFUNCTION("""COMPUTED_VALUE"""),40000.0)</f>
        <v>40000</v>
      </c>
      <c r="F16" s="3" t="str">
        <f>IFERROR(__xludf.DUMMYFUNCTION("""COMPUTED_VALUE"""),"chardonnay-Sauvignon blanc -24")</f>
        <v>chardonnay-Sauvignon blanc -24</v>
      </c>
      <c r="G16" s="3"/>
      <c r="H16" s="3"/>
      <c r="I16" s="3"/>
      <c r="J16" s="3"/>
      <c r="K16" s="57">
        <f>IFERROR(__xludf.DUMMYFUNCTION("""COMPUTED_VALUE"""),3.32)</f>
        <v>3.32</v>
      </c>
      <c r="L16" s="3"/>
      <c r="M16" s="3"/>
      <c r="N16" s="3"/>
      <c r="O16" s="3"/>
      <c r="P16" s="3"/>
      <c r="Q16" s="3"/>
      <c r="R16" s="3"/>
      <c r="S16" s="3"/>
      <c r="T16" s="5"/>
      <c r="U16" s="5"/>
      <c r="V16" s="5"/>
      <c r="W16" s="5"/>
    </row>
    <row r="17" ht="15.75" customHeight="1">
      <c r="A17" s="3">
        <f>IFERROR(__xludf.DUMMYFUNCTION("""COMPUTED_VALUE"""),17.0)</f>
        <v>17</v>
      </c>
      <c r="B17" s="53">
        <f>IFERROR(__xludf.DUMMYFUNCTION("""COMPUTED_VALUE"""),45327.0)</f>
        <v>45327</v>
      </c>
      <c r="C17" s="3">
        <f>IFERROR(__xludf.DUMMYFUNCTION("""COMPUTED_VALUE"""),81.0)</f>
        <v>81</v>
      </c>
      <c r="D17" s="3" t="str">
        <f>IFERROR(__xludf.DUMMYFUNCTION("""COMPUTED_VALUE"""),"#REF!")</f>
        <v>#REF!</v>
      </c>
      <c r="E17" s="54">
        <f>IFERROR(__xludf.DUMMYFUNCTION("""COMPUTED_VALUE"""),25000.0)</f>
        <v>25000</v>
      </c>
      <c r="F17" s="3" t="str">
        <f>IFERROR(__xludf.DUMMYFUNCTION("""COMPUTED_VALUE"""),"chardonnay-Sauvignon blanc -24")</f>
        <v>chardonnay-Sauvignon blanc -24</v>
      </c>
      <c r="G17" s="3"/>
      <c r="H17" s="3"/>
      <c r="I17" s="3"/>
      <c r="J17" s="3"/>
      <c r="K17" s="57">
        <f>IFERROR(__xludf.DUMMYFUNCTION("""COMPUTED_VALUE"""),3.33)</f>
        <v>3.33</v>
      </c>
      <c r="L17" s="3"/>
      <c r="M17" s="3"/>
      <c r="N17" s="3"/>
      <c r="O17" s="3"/>
      <c r="P17" s="3"/>
      <c r="Q17" s="3"/>
      <c r="R17" s="3"/>
      <c r="S17" s="3"/>
      <c r="T17" s="5"/>
      <c r="U17" s="5"/>
      <c r="V17" s="5"/>
      <c r="W17" s="5"/>
    </row>
    <row r="18" ht="15.75" customHeight="1">
      <c r="A18" s="3">
        <f>IFERROR(__xludf.DUMMYFUNCTION("""COMPUTED_VALUE"""),18.0)</f>
        <v>18</v>
      </c>
      <c r="B18" s="53">
        <f>IFERROR(__xludf.DUMMYFUNCTION("""COMPUTED_VALUE"""),45328.0)</f>
        <v>45328</v>
      </c>
      <c r="C18" s="3">
        <f>IFERROR(__xludf.DUMMYFUNCTION("""COMPUTED_VALUE"""),65.0)</f>
        <v>65</v>
      </c>
      <c r="D18" s="3" t="str">
        <f>IFERROR(__xludf.DUMMYFUNCTION("""COMPUTED_VALUE"""),"#REF!")</f>
        <v>#REF!</v>
      </c>
      <c r="E18" s="3"/>
      <c r="F18" s="3" t="str">
        <f>IFERROR(__xludf.DUMMYFUNCTION("""COMPUTED_VALUE"""),"chardonnay")</f>
        <v>chardonnay</v>
      </c>
      <c r="G18" s="3"/>
      <c r="H18" s="56">
        <f>IFERROR(__xludf.DUMMYFUNCTION("""COMPUTED_VALUE"""),208.0)</f>
        <v>208</v>
      </c>
      <c r="I18" s="3"/>
      <c r="J18" s="3"/>
      <c r="K18" s="57">
        <f>IFERROR(__xludf.DUMMYFUNCTION("""COMPUTED_VALUE"""),3.6)</f>
        <v>3.6</v>
      </c>
      <c r="L18" s="3"/>
      <c r="M18" s="3"/>
      <c r="N18" s="3"/>
      <c r="O18" s="3"/>
      <c r="P18" s="3"/>
      <c r="Q18" s="3"/>
      <c r="R18" s="3"/>
      <c r="S18" s="3"/>
      <c r="T18" s="5"/>
      <c r="U18" s="5"/>
      <c r="V18" s="5"/>
      <c r="W18" s="5"/>
    </row>
    <row r="19" ht="15.75" customHeight="1">
      <c r="A19" s="3">
        <f>IFERROR(__xludf.DUMMYFUNCTION("""COMPUTED_VALUE"""),19.0)</f>
        <v>19</v>
      </c>
      <c r="B19" s="53">
        <f>IFERROR(__xludf.DUMMYFUNCTION("""COMPUTED_VALUE"""),45329.0)</f>
        <v>45329</v>
      </c>
      <c r="C19" s="3">
        <f>IFERROR(__xludf.DUMMYFUNCTION("""COMPUTED_VALUE"""),82.0)</f>
        <v>82</v>
      </c>
      <c r="D19" s="3" t="str">
        <f>IFERROR(__xludf.DUMMYFUNCTION("""COMPUTED_VALUE"""),"#REF!")</f>
        <v>#REF!</v>
      </c>
      <c r="E19" s="3"/>
      <c r="F19" s="3" t="str">
        <f>IFERROR(__xludf.DUMMYFUNCTION("""COMPUTED_VALUE"""),"Chardonnay")</f>
        <v>Chardonnay</v>
      </c>
      <c r="G19" s="3"/>
      <c r="H19" s="56">
        <f>IFERROR(__xludf.DUMMYFUNCTION("""COMPUTED_VALUE"""),6.0)</f>
        <v>6</v>
      </c>
      <c r="I19" s="3"/>
      <c r="J19" s="57">
        <f>IFERROR(__xludf.DUMMYFUNCTION("""COMPUTED_VALUE"""),7.3)</f>
        <v>7.3</v>
      </c>
      <c r="K19" s="57">
        <f>IFERROR(__xludf.DUMMYFUNCTION("""COMPUTED_VALUE"""),3.3)</f>
        <v>3.3</v>
      </c>
      <c r="L19" s="3"/>
      <c r="M19" s="3"/>
      <c r="N19" s="3"/>
      <c r="O19" s="3"/>
      <c r="P19" s="3"/>
      <c r="Q19" s="3"/>
      <c r="R19" s="3"/>
      <c r="S19" s="3"/>
      <c r="T19" s="5"/>
      <c r="U19" s="5"/>
      <c r="V19" s="5"/>
      <c r="W19" s="5"/>
    </row>
    <row r="20" ht="15.75" customHeight="1">
      <c r="A20" s="3">
        <f>IFERROR(__xludf.DUMMYFUNCTION("""COMPUTED_VALUE"""),20.0)</f>
        <v>20</v>
      </c>
      <c r="B20" s="53">
        <f>IFERROR(__xludf.DUMMYFUNCTION("""COMPUTED_VALUE"""),45330.0)</f>
        <v>45330</v>
      </c>
      <c r="C20" s="3">
        <f>IFERROR(__xludf.DUMMYFUNCTION("""COMPUTED_VALUE"""),82.0)</f>
        <v>82</v>
      </c>
      <c r="D20" s="3" t="str">
        <f>IFERROR(__xludf.DUMMYFUNCTION("""COMPUTED_VALUE"""),"#REF!")</f>
        <v>#REF!</v>
      </c>
      <c r="E20" s="3"/>
      <c r="F20" s="3" t="str">
        <f>IFERROR(__xludf.DUMMYFUNCTION("""COMPUTED_VALUE"""),"Chardonnay")</f>
        <v>Chardonnay</v>
      </c>
      <c r="G20" s="55">
        <f>IFERROR(__xludf.DUMMYFUNCTION("""COMPUTED_VALUE"""),11.9)</f>
        <v>11.9</v>
      </c>
      <c r="H20" s="56">
        <f>IFERROR(__xludf.DUMMYFUNCTION("""COMPUTED_VALUE"""),2.0)</f>
        <v>2</v>
      </c>
      <c r="I20" s="57">
        <f>IFERROR(__xludf.DUMMYFUNCTION("""COMPUTED_VALUE"""),0.28)</f>
        <v>0.28</v>
      </c>
      <c r="J20" s="57">
        <f>IFERROR(__xludf.DUMMYFUNCTION("""COMPUTED_VALUE"""),7.3)</f>
        <v>7.3</v>
      </c>
      <c r="K20" s="57">
        <f>IFERROR(__xludf.DUMMYFUNCTION("""COMPUTED_VALUE"""),3.26)</f>
        <v>3.26</v>
      </c>
      <c r="L20" s="54">
        <f>IFERROR(__xludf.DUMMYFUNCTION("""COMPUTED_VALUE"""),25.0)</f>
        <v>25</v>
      </c>
      <c r="M20" s="3">
        <f>IFERROR(__xludf.DUMMYFUNCTION("""COMPUTED_VALUE"""),80.0)</f>
        <v>80</v>
      </c>
      <c r="N20" s="3"/>
      <c r="O20" s="3"/>
      <c r="P20" s="3"/>
      <c r="Q20" s="3"/>
      <c r="R20" s="3"/>
      <c r="S20" s="3"/>
      <c r="T20" s="5"/>
      <c r="U20" s="5"/>
      <c r="V20" s="5"/>
      <c r="W20" s="5"/>
    </row>
    <row r="21" ht="15.75" customHeight="1">
      <c r="A21" s="3">
        <f>IFERROR(__xludf.DUMMYFUNCTION("""COMPUTED_VALUE"""),21.0)</f>
        <v>21</v>
      </c>
      <c r="B21" s="53">
        <f>IFERROR(__xludf.DUMMYFUNCTION("""COMPUTED_VALUE"""),45330.0)</f>
        <v>45330</v>
      </c>
      <c r="C21" s="3">
        <f>IFERROR(__xludf.DUMMYFUNCTION("""COMPUTED_VALUE"""),81.0)</f>
        <v>81</v>
      </c>
      <c r="D21" s="3" t="str">
        <f>IFERROR(__xludf.DUMMYFUNCTION("""COMPUTED_VALUE"""),"#REF!")</f>
        <v>#REF!</v>
      </c>
      <c r="E21" s="3"/>
      <c r="F21" s="3" t="str">
        <f>IFERROR(__xludf.DUMMYFUNCTION("""COMPUTED_VALUE"""),"Chardonnay")</f>
        <v>Chardonnay</v>
      </c>
      <c r="G21" s="55">
        <f>IFERROR(__xludf.DUMMYFUNCTION("""COMPUTED_VALUE"""),12.0)</f>
        <v>12</v>
      </c>
      <c r="H21" s="56">
        <f>IFERROR(__xludf.DUMMYFUNCTION("""COMPUTED_VALUE"""),8.0)</f>
        <v>8</v>
      </c>
      <c r="I21" s="57">
        <f>IFERROR(__xludf.DUMMYFUNCTION("""COMPUTED_VALUE"""),0.3)</f>
        <v>0.3</v>
      </c>
      <c r="J21" s="57">
        <f>IFERROR(__xludf.DUMMYFUNCTION("""COMPUTED_VALUE"""),7.5)</f>
        <v>7.5</v>
      </c>
      <c r="K21" s="57">
        <f>IFERROR(__xludf.DUMMYFUNCTION("""COMPUTED_VALUE"""),3.25)</f>
        <v>3.25</v>
      </c>
      <c r="L21" s="54">
        <f>IFERROR(__xludf.DUMMYFUNCTION("""COMPUTED_VALUE"""),13.0)</f>
        <v>13</v>
      </c>
      <c r="M21" s="3">
        <f>IFERROR(__xludf.DUMMYFUNCTION("""COMPUTED_VALUE"""),76.0)</f>
        <v>76</v>
      </c>
      <c r="N21" s="3"/>
      <c r="O21" s="3"/>
      <c r="P21" s="3"/>
      <c r="Q21" s="3"/>
      <c r="R21" s="3"/>
      <c r="S21" s="3"/>
      <c r="T21" s="5"/>
      <c r="U21" s="5"/>
      <c r="V21" s="5"/>
      <c r="W21" s="5"/>
    </row>
    <row r="22" ht="15.75" customHeight="1">
      <c r="A22" s="3">
        <f>IFERROR(__xludf.DUMMYFUNCTION("""COMPUTED_VALUE"""),22.0)</f>
        <v>22</v>
      </c>
      <c r="B22" s="53">
        <f>IFERROR(__xludf.DUMMYFUNCTION("""COMPUTED_VALUE"""),45334.0)</f>
        <v>45334</v>
      </c>
      <c r="C22" s="3">
        <f>IFERROR(__xludf.DUMMYFUNCTION("""COMPUTED_VALUE"""),82.0)</f>
        <v>82</v>
      </c>
      <c r="D22" s="3" t="str">
        <f>IFERROR(__xludf.DUMMYFUNCTION("""COMPUTED_VALUE"""),"#REF!")</f>
        <v>#REF!</v>
      </c>
      <c r="E22" s="3"/>
      <c r="F22" s="3" t="str">
        <f>IFERROR(__xludf.DUMMYFUNCTION("""COMPUTED_VALUE"""),"chardonay")</f>
        <v>chardonay</v>
      </c>
      <c r="G22" s="3"/>
      <c r="H22" s="3"/>
      <c r="I22" s="3"/>
      <c r="J22" s="57">
        <f>IFERROR(__xludf.DUMMYFUNCTION("""COMPUTED_VALUE"""),6.5)</f>
        <v>6.5</v>
      </c>
      <c r="K22" s="57">
        <f>IFERROR(__xludf.DUMMYFUNCTION("""COMPUTED_VALUE"""),3.5)</f>
        <v>3.5</v>
      </c>
      <c r="L22" s="3"/>
      <c r="M22" s="3">
        <f>IFERROR(__xludf.DUMMYFUNCTION("""COMPUTED_VALUE"""),25.0)</f>
        <v>25</v>
      </c>
      <c r="N22" s="3"/>
      <c r="O22" s="3"/>
      <c r="P22" s="3"/>
      <c r="Q22" s="3"/>
      <c r="R22" s="3"/>
      <c r="S22" s="3"/>
      <c r="T22" s="5"/>
      <c r="U22" s="5"/>
      <c r="V22" s="5"/>
      <c r="W22" s="5"/>
    </row>
    <row r="23" ht="15.75" customHeight="1">
      <c r="A23" s="3">
        <f>IFERROR(__xludf.DUMMYFUNCTION("""COMPUTED_VALUE"""),23.0)</f>
        <v>23</v>
      </c>
      <c r="B23" s="53">
        <f>IFERROR(__xludf.DUMMYFUNCTION("""COMPUTED_VALUE"""),45334.0)</f>
        <v>45334</v>
      </c>
      <c r="C23" s="3">
        <f>IFERROR(__xludf.DUMMYFUNCTION("""COMPUTED_VALUE"""),81.0)</f>
        <v>81</v>
      </c>
      <c r="D23" s="3" t="str">
        <f>IFERROR(__xludf.DUMMYFUNCTION("""COMPUTED_VALUE"""),"#REF!")</f>
        <v>#REF!</v>
      </c>
      <c r="E23" s="3"/>
      <c r="F23" s="3" t="str">
        <f>IFERROR(__xludf.DUMMYFUNCTION("""COMPUTED_VALUE"""),"Chardonnay")</f>
        <v>Chardonnay</v>
      </c>
      <c r="G23" s="55">
        <f>IFERROR(__xludf.DUMMYFUNCTION("""COMPUTED_VALUE"""),12.2)</f>
        <v>12.2</v>
      </c>
      <c r="H23" s="56">
        <f>IFERROR(__xludf.DUMMYFUNCTION("""COMPUTED_VALUE"""),2.0)</f>
        <v>2</v>
      </c>
      <c r="I23" s="3"/>
      <c r="J23" s="57">
        <f>IFERROR(__xludf.DUMMYFUNCTION("""COMPUTED_VALUE"""),6.2)</f>
        <v>6.2</v>
      </c>
      <c r="K23" s="57">
        <f>IFERROR(__xludf.DUMMYFUNCTION("""COMPUTED_VALUE"""),3.55)</f>
        <v>3.55</v>
      </c>
      <c r="L23" s="3"/>
      <c r="M23" s="3">
        <f>IFERROR(__xludf.DUMMYFUNCTION("""COMPUTED_VALUE"""),20.0)</f>
        <v>20</v>
      </c>
      <c r="N23" s="3"/>
      <c r="O23" s="3"/>
      <c r="P23" s="3"/>
      <c r="Q23" s="3"/>
      <c r="R23" s="3"/>
      <c r="S23" s="3"/>
      <c r="T23" s="5"/>
      <c r="U23" s="5"/>
      <c r="V23" s="5"/>
      <c r="W23" s="5"/>
    </row>
    <row r="24" ht="15.75" customHeight="1">
      <c r="A24" s="3">
        <f>IFERROR(__xludf.DUMMYFUNCTION("""COMPUTED_VALUE"""),24.0)</f>
        <v>24</v>
      </c>
      <c r="B24" s="53">
        <f>IFERROR(__xludf.DUMMYFUNCTION("""COMPUTED_VALUE"""),45335.0)</f>
        <v>45335</v>
      </c>
      <c r="C24" s="3">
        <f>IFERROR(__xludf.DUMMYFUNCTION("""COMPUTED_VALUE"""),65.0)</f>
        <v>65</v>
      </c>
      <c r="D24" s="3" t="str">
        <f>IFERROR(__xludf.DUMMYFUNCTION("""COMPUTED_VALUE"""),"#REF!")</f>
        <v>#REF!</v>
      </c>
      <c r="E24" s="3"/>
      <c r="F24" s="3" t="str">
        <f>IFERROR(__xludf.DUMMYFUNCTION("""COMPUTED_VALUE"""),"Chardonnay")</f>
        <v>Chardonnay</v>
      </c>
      <c r="G24" s="55">
        <f>IFERROR(__xludf.DUMMYFUNCTION("""COMPUTED_VALUE"""),12.2)</f>
        <v>12.2</v>
      </c>
      <c r="H24" s="56">
        <f>IFERROR(__xludf.DUMMYFUNCTION("""COMPUTED_VALUE"""),2.0)</f>
        <v>2</v>
      </c>
      <c r="I24" s="3"/>
      <c r="J24" s="57">
        <f>IFERROR(__xludf.DUMMYFUNCTION("""COMPUTED_VALUE"""),6.5)</f>
        <v>6.5</v>
      </c>
      <c r="K24" s="57">
        <f>IFERROR(__xludf.DUMMYFUNCTION("""COMPUTED_VALUE"""),3.6)</f>
        <v>3.6</v>
      </c>
      <c r="L24" s="54">
        <f>IFERROR(__xludf.DUMMYFUNCTION("""COMPUTED_VALUE"""),15.0)</f>
        <v>15</v>
      </c>
      <c r="M24" s="3"/>
      <c r="N24" s="3"/>
      <c r="O24" s="3"/>
      <c r="P24" s="3"/>
      <c r="Q24" s="3"/>
      <c r="R24" s="3"/>
      <c r="S24" s="3"/>
      <c r="T24" s="5"/>
      <c r="U24" s="5"/>
      <c r="V24" s="5"/>
      <c r="W24" s="5"/>
    </row>
    <row r="25" ht="15.75" customHeight="1">
      <c r="A25" s="3">
        <f>IFERROR(__xludf.DUMMYFUNCTION("""COMPUTED_VALUE"""),25.0)</f>
        <v>25</v>
      </c>
      <c r="B25" s="53">
        <f>IFERROR(__xludf.DUMMYFUNCTION("""COMPUTED_VALUE"""),45335.0)</f>
        <v>45335</v>
      </c>
      <c r="C25" s="3">
        <f>IFERROR(__xludf.DUMMYFUNCTION("""COMPUTED_VALUE"""),66.0)</f>
        <v>66</v>
      </c>
      <c r="D25" s="3" t="str">
        <f>IFERROR(__xludf.DUMMYFUNCTION("""COMPUTED_VALUE"""),"#REF!")</f>
        <v>#REF!</v>
      </c>
      <c r="E25" s="3"/>
      <c r="F25" s="3" t="str">
        <f>IFERROR(__xludf.DUMMYFUNCTION("""COMPUTED_VALUE"""),"Chardonnay")</f>
        <v>Chardonnay</v>
      </c>
      <c r="G25" s="55">
        <f>IFERROR(__xludf.DUMMYFUNCTION("""COMPUTED_VALUE"""),12.5)</f>
        <v>12.5</v>
      </c>
      <c r="H25" s="56">
        <f>IFERROR(__xludf.DUMMYFUNCTION("""COMPUTED_VALUE"""),2.0)</f>
        <v>2</v>
      </c>
      <c r="I25" s="3"/>
      <c r="J25" s="57">
        <f>IFERROR(__xludf.DUMMYFUNCTION("""COMPUTED_VALUE"""),6.12)</f>
        <v>6.12</v>
      </c>
      <c r="K25" s="57">
        <f>IFERROR(__xludf.DUMMYFUNCTION("""COMPUTED_VALUE"""),3.53)</f>
        <v>3.53</v>
      </c>
      <c r="L25" s="54">
        <f>IFERROR(__xludf.DUMMYFUNCTION("""COMPUTED_VALUE"""),25.0)</f>
        <v>25</v>
      </c>
      <c r="M25" s="3"/>
      <c r="N25" s="3"/>
      <c r="O25" s="3"/>
      <c r="P25" s="3"/>
      <c r="Q25" s="3"/>
      <c r="R25" s="3"/>
      <c r="S25" s="3"/>
      <c r="T25" s="5"/>
      <c r="U25" s="5"/>
      <c r="V25" s="5"/>
      <c r="W25" s="5"/>
    </row>
    <row r="26" ht="15.75" customHeight="1">
      <c r="A26" s="3">
        <f>IFERROR(__xludf.DUMMYFUNCTION("""COMPUTED_VALUE"""),26.0)</f>
        <v>26</v>
      </c>
      <c r="B26" s="53">
        <f>IFERROR(__xludf.DUMMYFUNCTION("""COMPUTED_VALUE"""),45335.0)</f>
        <v>45335</v>
      </c>
      <c r="C26" s="3">
        <f>IFERROR(__xludf.DUMMYFUNCTION("""COMPUTED_VALUE"""),67.0)</f>
        <v>67</v>
      </c>
      <c r="D26" s="3" t="str">
        <f>IFERROR(__xludf.DUMMYFUNCTION("""COMPUTED_VALUE"""),"#REF!")</f>
        <v>#REF!</v>
      </c>
      <c r="E26" s="3"/>
      <c r="F26" s="3" t="str">
        <f>IFERROR(__xludf.DUMMYFUNCTION("""COMPUTED_VALUE"""),"Chardonnnay")</f>
        <v>Chardonnnay</v>
      </c>
      <c r="G26" s="55">
        <f>IFERROR(__xludf.DUMMYFUNCTION("""COMPUTED_VALUE"""),11.8)</f>
        <v>11.8</v>
      </c>
      <c r="H26" s="56">
        <f>IFERROR(__xludf.DUMMYFUNCTION("""COMPUTED_VALUE"""),2.0)</f>
        <v>2</v>
      </c>
      <c r="I26" s="3"/>
      <c r="J26" s="57">
        <f>IFERROR(__xludf.DUMMYFUNCTION("""COMPUTED_VALUE"""),6.04)</f>
        <v>6.04</v>
      </c>
      <c r="K26" s="57">
        <f>IFERROR(__xludf.DUMMYFUNCTION("""COMPUTED_VALUE"""),3.55)</f>
        <v>3.55</v>
      </c>
      <c r="L26" s="54">
        <f>IFERROR(__xludf.DUMMYFUNCTION("""COMPUTED_VALUE"""),18.0)</f>
        <v>18</v>
      </c>
      <c r="M26" s="3"/>
      <c r="N26" s="3"/>
      <c r="O26" s="3"/>
      <c r="P26" s="3"/>
      <c r="Q26" s="3"/>
      <c r="R26" s="3"/>
      <c r="S26" s="3"/>
      <c r="T26" s="5"/>
      <c r="U26" s="5"/>
      <c r="V26" s="5"/>
      <c r="W26" s="5"/>
    </row>
    <row r="27" ht="15.75" customHeight="1">
      <c r="A27" s="3">
        <f>IFERROR(__xludf.DUMMYFUNCTION("""COMPUTED_VALUE"""),27.0)</f>
        <v>27</v>
      </c>
      <c r="B27" s="53">
        <f>IFERROR(__xludf.DUMMYFUNCTION("""COMPUTED_VALUE"""),45335.0)</f>
        <v>45335</v>
      </c>
      <c r="C27" s="3">
        <f>IFERROR(__xludf.DUMMYFUNCTION("""COMPUTED_VALUE"""),80.0)</f>
        <v>80</v>
      </c>
      <c r="D27" s="3"/>
      <c r="E27" s="3"/>
      <c r="F27" s="3" t="str">
        <f>IFERROR(__xludf.DUMMYFUNCTION("""COMPUTED_VALUE"""),"Chardonnay")</f>
        <v>Chardonnay</v>
      </c>
      <c r="G27" s="55">
        <f>IFERROR(__xludf.DUMMYFUNCTION("""COMPUTED_VALUE"""),13.0)</f>
        <v>13</v>
      </c>
      <c r="H27" s="56">
        <f>IFERROR(__xludf.DUMMYFUNCTION("""COMPUTED_VALUE"""),2.0)</f>
        <v>2</v>
      </c>
      <c r="I27" s="3"/>
      <c r="J27" s="57">
        <f>IFERROR(__xludf.DUMMYFUNCTION("""COMPUTED_VALUE"""),5.9)</f>
        <v>5.9</v>
      </c>
      <c r="K27" s="57">
        <f>IFERROR(__xludf.DUMMYFUNCTION("""COMPUTED_VALUE"""),3.47)</f>
        <v>3.47</v>
      </c>
      <c r="L27" s="54">
        <f>IFERROR(__xludf.DUMMYFUNCTION("""COMPUTED_VALUE"""),18.0)</f>
        <v>18</v>
      </c>
      <c r="M27" s="3"/>
      <c r="N27" s="3"/>
      <c r="O27" s="3"/>
      <c r="P27" s="3"/>
      <c r="Q27" s="3"/>
      <c r="R27" s="3"/>
      <c r="S27" s="3"/>
      <c r="T27" s="5"/>
      <c r="U27" s="5"/>
      <c r="V27" s="5"/>
      <c r="W27" s="5"/>
    </row>
    <row r="28" ht="15.75" customHeight="1">
      <c r="A28" s="3">
        <f>IFERROR(__xludf.DUMMYFUNCTION("""COMPUTED_VALUE"""),28.0)</f>
        <v>28</v>
      </c>
      <c r="B28" s="53">
        <f>IFERROR(__xludf.DUMMYFUNCTION("""COMPUTED_VALUE"""),45336.0)</f>
        <v>45336</v>
      </c>
      <c r="C28" s="3">
        <f>IFERROR(__xludf.DUMMYFUNCTION("""COMPUTED_VALUE"""),79.0)</f>
        <v>79</v>
      </c>
      <c r="D28" s="3" t="str">
        <f>IFERROR(__xludf.DUMMYFUNCTION("""COMPUTED_VALUE"""),"#REF!")</f>
        <v>#REF!</v>
      </c>
      <c r="E28" s="3"/>
      <c r="F28" s="3" t="str">
        <f>IFERROR(__xludf.DUMMYFUNCTION("""COMPUTED_VALUE"""),"Chardonnay")</f>
        <v>Chardonnay</v>
      </c>
      <c r="G28" s="55">
        <f>IFERROR(__xludf.DUMMYFUNCTION("""COMPUTED_VALUE"""),12.0)</f>
        <v>12</v>
      </c>
      <c r="H28" s="56">
        <f>IFERROR(__xludf.DUMMYFUNCTION("""COMPUTED_VALUE"""),2.0)</f>
        <v>2</v>
      </c>
      <c r="I28" s="3"/>
      <c r="J28" s="57">
        <f>IFERROR(__xludf.DUMMYFUNCTION("""COMPUTED_VALUE"""),6.2)</f>
        <v>6.2</v>
      </c>
      <c r="K28" s="57">
        <f>IFERROR(__xludf.DUMMYFUNCTION("""COMPUTED_VALUE"""),3.45)</f>
        <v>3.45</v>
      </c>
      <c r="L28" s="54">
        <f>IFERROR(__xludf.DUMMYFUNCTION("""COMPUTED_VALUE"""),12.0)</f>
        <v>12</v>
      </c>
      <c r="M28" s="3"/>
      <c r="N28" s="3"/>
      <c r="O28" s="3"/>
      <c r="P28" s="3"/>
      <c r="Q28" s="3"/>
      <c r="R28" s="3"/>
      <c r="S28" s="3"/>
      <c r="T28" s="5"/>
      <c r="U28" s="5"/>
      <c r="V28" s="5"/>
      <c r="W28" s="5"/>
    </row>
    <row r="29" ht="15.75" customHeight="1">
      <c r="A29" s="3">
        <f>IFERROR(__xludf.DUMMYFUNCTION("""COMPUTED_VALUE"""),29.0)</f>
        <v>29</v>
      </c>
      <c r="B29" s="53">
        <f>IFERROR(__xludf.DUMMYFUNCTION("""COMPUTED_VALUE"""),45336.0)</f>
        <v>45336</v>
      </c>
      <c r="C29" s="3">
        <f>IFERROR(__xludf.DUMMYFUNCTION("""COMPUTED_VALUE"""),83.0)</f>
        <v>83</v>
      </c>
      <c r="D29" s="3" t="str">
        <f>IFERROR(__xludf.DUMMYFUNCTION("""COMPUTED_VALUE"""),"#REF!")</f>
        <v>#REF!</v>
      </c>
      <c r="E29" s="3"/>
      <c r="F29" s="3" t="str">
        <f>IFERROR(__xludf.DUMMYFUNCTION("""COMPUTED_VALUE"""),"aspirant")</f>
        <v>aspirant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5"/>
      <c r="U29" s="5"/>
      <c r="V29" s="5"/>
      <c r="W29" s="5"/>
    </row>
    <row r="30" ht="15.75" customHeight="1">
      <c r="A30" s="3">
        <f>IFERROR(__xludf.DUMMYFUNCTION("""COMPUTED_VALUE"""),30.0)</f>
        <v>30</v>
      </c>
      <c r="B30" s="53">
        <f>IFERROR(__xludf.DUMMYFUNCTION("""COMPUTED_VALUE"""),45339.0)</f>
        <v>45339</v>
      </c>
      <c r="C30" s="3">
        <f>IFERROR(__xludf.DUMMYFUNCTION("""COMPUTED_VALUE"""),90.0)</f>
        <v>90</v>
      </c>
      <c r="D30" s="3"/>
      <c r="E30" s="3"/>
      <c r="F30" s="3"/>
      <c r="G30" s="3"/>
      <c r="H30" s="3"/>
      <c r="I30" s="3"/>
      <c r="J30" s="3"/>
      <c r="K30" s="3"/>
      <c r="L30" s="54">
        <f>IFERROR(__xludf.DUMMYFUNCTION("""COMPUTED_VALUE"""),33.0)</f>
        <v>33</v>
      </c>
      <c r="M30" s="3"/>
      <c r="N30" s="3"/>
      <c r="O30" s="3"/>
      <c r="P30" s="3"/>
      <c r="Q30" s="3"/>
      <c r="R30" s="3"/>
      <c r="S30" s="3"/>
      <c r="T30" s="5"/>
      <c r="U30" s="5"/>
      <c r="V30" s="5"/>
      <c r="W30" s="5"/>
    </row>
    <row r="31" ht="15.75" customHeight="1">
      <c r="A31" s="3">
        <f>IFERROR(__xludf.DUMMYFUNCTION("""COMPUTED_VALUE"""),31.0)</f>
        <v>31</v>
      </c>
      <c r="B31" s="53">
        <f>IFERROR(__xludf.DUMMYFUNCTION("""COMPUTED_VALUE"""),45341.0)</f>
        <v>45341</v>
      </c>
      <c r="C31" s="3">
        <f>IFERROR(__xludf.DUMMYFUNCTION("""COMPUTED_VALUE"""),78.0)</f>
        <v>78</v>
      </c>
      <c r="D31" s="3"/>
      <c r="E31" s="3"/>
      <c r="F31" s="3"/>
      <c r="G31" s="55">
        <f>IFERROR(__xludf.DUMMYFUNCTION("""COMPUTED_VALUE"""),11.5)</f>
        <v>11.5</v>
      </c>
      <c r="H31" s="56">
        <f>IFERROR(__xludf.DUMMYFUNCTION("""COMPUTED_VALUE"""),2.0)</f>
        <v>2</v>
      </c>
      <c r="I31" s="57">
        <f>IFERROR(__xludf.DUMMYFUNCTION("""COMPUTED_VALUE"""),0.3)</f>
        <v>0.3</v>
      </c>
      <c r="J31" s="57">
        <f>IFERROR(__xludf.DUMMYFUNCTION("""COMPUTED_VALUE"""),7.3)</f>
        <v>7.3</v>
      </c>
      <c r="K31" s="57">
        <f>IFERROR(__xludf.DUMMYFUNCTION("""COMPUTED_VALUE"""),3.26)</f>
        <v>3.26</v>
      </c>
      <c r="L31" s="54">
        <f>IFERROR(__xludf.DUMMYFUNCTION("""COMPUTED_VALUE"""),12.0)</f>
        <v>12</v>
      </c>
      <c r="M31" s="3"/>
      <c r="N31" s="3"/>
      <c r="O31" s="3"/>
      <c r="P31" s="3"/>
      <c r="Q31" s="3"/>
      <c r="R31" s="3"/>
      <c r="S31" s="3"/>
      <c r="T31" s="5"/>
      <c r="U31" s="5"/>
      <c r="V31" s="5"/>
      <c r="W31" s="5"/>
    </row>
    <row r="32" ht="15.75" customHeight="1">
      <c r="A32" s="3">
        <f>IFERROR(__xludf.DUMMYFUNCTION("""COMPUTED_VALUE"""),32.0)</f>
        <v>32</v>
      </c>
      <c r="B32" s="53">
        <f>IFERROR(__xludf.DUMMYFUNCTION("""COMPUTED_VALUE"""),45341.0)</f>
        <v>45341</v>
      </c>
      <c r="C32" s="3">
        <f>IFERROR(__xludf.DUMMYFUNCTION("""COMPUTED_VALUE"""),77.0)</f>
        <v>77</v>
      </c>
      <c r="D32" s="3" t="str">
        <f>IFERROR(__xludf.DUMMYFUNCTION("""COMPUTED_VALUE"""),"1.083")</f>
        <v>1.083</v>
      </c>
      <c r="E32" s="54">
        <f>IFERROR(__xludf.DUMMYFUNCTION("""COMPUTED_VALUE"""),18579.600000000002)</f>
        <v>18579.6</v>
      </c>
      <c r="F32" s="3" t="str">
        <f>IFERROR(__xludf.DUMMYFUNCTION("""COMPUTED_VALUE"""),"Pedro Gimenez")</f>
        <v>Pedro Gimenez</v>
      </c>
      <c r="G32" s="3"/>
      <c r="H32" s="56">
        <f>IFERROR(__xludf.DUMMYFUNCTION("""COMPUTED_VALUE"""),2.25)</f>
        <v>2.25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5"/>
      <c r="U32" s="5"/>
      <c r="V32" s="5"/>
      <c r="W32" s="5"/>
    </row>
    <row r="33" ht="15.75" customHeight="1">
      <c r="A33" s="3">
        <f>IFERROR(__xludf.DUMMYFUNCTION("""COMPUTED_VALUE"""),33.0)</f>
        <v>33</v>
      </c>
      <c r="B33" s="53">
        <f>IFERROR(__xludf.DUMMYFUNCTION("""COMPUTED_VALUE"""),45341.0)</f>
        <v>45341</v>
      </c>
      <c r="C33" s="3">
        <f>IFERROR(__xludf.DUMMYFUNCTION("""COMPUTED_VALUE"""),83.0)</f>
        <v>83</v>
      </c>
      <c r="D33" s="3" t="str">
        <f>IFERROR(__xludf.DUMMYFUNCTION("""COMPUTED_VALUE"""),"1.108")</f>
        <v>1.108</v>
      </c>
      <c r="E33" s="54">
        <f>IFERROR(__xludf.DUMMYFUNCTION("""COMPUTED_VALUE"""),47642.4)</f>
        <v>47642.4</v>
      </c>
      <c r="F33" s="3" t="str">
        <f>IFERROR(__xludf.DUMMYFUNCTION("""COMPUTED_VALUE"""),"Bonarda")</f>
        <v>Bonarda</v>
      </c>
      <c r="G33" s="3"/>
      <c r="H33" s="56">
        <f>IFERROR(__xludf.DUMMYFUNCTION("""COMPUTED_VALUE"""),2.25)</f>
        <v>2.25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5"/>
      <c r="U33" s="5"/>
      <c r="V33" s="5"/>
      <c r="W33" s="5"/>
    </row>
    <row r="34" ht="15.75" customHeight="1">
      <c r="A34" s="3">
        <f>IFERROR(__xludf.DUMMYFUNCTION("""COMPUTED_VALUE"""),34.0)</f>
        <v>34</v>
      </c>
      <c r="B34" s="53">
        <f>IFERROR(__xludf.DUMMYFUNCTION("""COMPUTED_VALUE"""),45341.0)</f>
        <v>45341</v>
      </c>
      <c r="C34" s="3">
        <f>IFERROR(__xludf.DUMMYFUNCTION("""COMPUTED_VALUE"""),67.0)</f>
        <v>67</v>
      </c>
      <c r="D34" s="3"/>
      <c r="E34" s="3"/>
      <c r="F34" s="3"/>
      <c r="G34" s="3"/>
      <c r="H34" s="3"/>
      <c r="I34" s="3"/>
      <c r="J34" s="3"/>
      <c r="K34" s="57">
        <f>IFERROR(__xludf.DUMMYFUNCTION("""COMPUTED_VALUE"""),3.45)</f>
        <v>3.45</v>
      </c>
      <c r="L34" s="54">
        <f>IFERROR(__xludf.DUMMYFUNCTION("""COMPUTED_VALUE"""),25.0)</f>
        <v>25</v>
      </c>
      <c r="M34" s="3">
        <f>IFERROR(__xludf.DUMMYFUNCTION("""COMPUTED_VALUE"""),102.0)</f>
        <v>102</v>
      </c>
      <c r="N34" s="3"/>
      <c r="O34" s="3"/>
      <c r="P34" s="3"/>
      <c r="Q34" s="3"/>
      <c r="R34" s="3"/>
      <c r="S34" s="3"/>
      <c r="T34" s="5"/>
      <c r="U34" s="5"/>
      <c r="V34" s="5"/>
      <c r="W34" s="5"/>
    </row>
    <row r="35" ht="15.75" customHeight="1">
      <c r="A35" s="3">
        <f>IFERROR(__xludf.DUMMYFUNCTION("""COMPUTED_VALUE"""),35.0)</f>
        <v>35</v>
      </c>
      <c r="B35" s="53">
        <f>IFERROR(__xludf.DUMMYFUNCTION("""COMPUTED_VALUE"""),45341.0)</f>
        <v>45341</v>
      </c>
      <c r="C35" s="3">
        <f>IFERROR(__xludf.DUMMYFUNCTION("""COMPUTED_VALUE"""),80.0)</f>
        <v>80</v>
      </c>
      <c r="D35" s="3" t="str">
        <f>IFERROR(__xludf.DUMMYFUNCTION("""COMPUTED_VALUE"""),"1.100")</f>
        <v>1.100</v>
      </c>
      <c r="E35" s="54">
        <f>IFERROR(__xludf.DUMMYFUNCTION("""COMPUTED_VALUE"""),18657.600000000002)</f>
        <v>18657.6</v>
      </c>
      <c r="F35" s="3" t="str">
        <f>IFERROR(__xludf.DUMMYFUNCTION("""COMPUTED_VALUE"""),"Syrah")</f>
        <v>Syrah</v>
      </c>
      <c r="G35" s="3"/>
      <c r="H35" s="3"/>
      <c r="I35" s="3"/>
      <c r="J35" s="3"/>
      <c r="K35" s="57">
        <f>IFERROR(__xludf.DUMMYFUNCTION("""COMPUTED_VALUE"""),3.43)</f>
        <v>3.43</v>
      </c>
      <c r="L35" s="54">
        <f>IFERROR(__xludf.DUMMYFUNCTION("""COMPUTED_VALUE"""),24.0)</f>
        <v>24</v>
      </c>
      <c r="M35" s="3">
        <f>IFERROR(__xludf.DUMMYFUNCTION("""COMPUTED_VALUE"""),83.0)</f>
        <v>83</v>
      </c>
      <c r="N35" s="3"/>
      <c r="O35" s="3"/>
      <c r="P35" s="3"/>
      <c r="Q35" s="3"/>
      <c r="R35" s="3"/>
      <c r="S35" s="3"/>
      <c r="T35" s="5"/>
      <c r="U35" s="5"/>
      <c r="V35" s="5"/>
      <c r="W35" s="5"/>
    </row>
    <row r="36" ht="15.75" customHeight="1">
      <c r="A36" s="3">
        <f>IFERROR(__xludf.DUMMYFUNCTION("""COMPUTED_VALUE"""),36.0)</f>
        <v>36</v>
      </c>
      <c r="B36" s="53">
        <f>IFERROR(__xludf.DUMMYFUNCTION("""COMPUTED_VALUE"""),45341.0)</f>
        <v>45341</v>
      </c>
      <c r="C36" s="3">
        <f>IFERROR(__xludf.DUMMYFUNCTION("""COMPUTED_VALUE"""),74.0)</f>
        <v>74</v>
      </c>
      <c r="D36" s="3" t="str">
        <f>IFERROR(__xludf.DUMMYFUNCTION("""COMPUTED_VALUE"""),"1.106")</f>
        <v>1.106</v>
      </c>
      <c r="E36" s="54">
        <f>IFERROR(__xludf.DUMMYFUNCTION("""COMPUTED_VALUE"""),13000.0)</f>
        <v>13000</v>
      </c>
      <c r="F36" s="3" t="str">
        <f>IFERROR(__xludf.DUMMYFUNCTION("""COMPUTED_VALUE"""),"Syrah P")</f>
        <v>Syrah P</v>
      </c>
      <c r="G36" s="3"/>
      <c r="H36" s="3"/>
      <c r="I36" s="3"/>
      <c r="J36" s="3"/>
      <c r="K36" s="57">
        <f>IFERROR(__xludf.DUMMYFUNCTION("""COMPUTED_VALUE"""),3.4)</f>
        <v>3.4</v>
      </c>
      <c r="L36" s="54">
        <f>IFERROR(__xludf.DUMMYFUNCTION("""COMPUTED_VALUE"""),20.0)</f>
        <v>20</v>
      </c>
      <c r="M36" s="3">
        <f>IFERROR(__xludf.DUMMYFUNCTION("""COMPUTED_VALUE"""),85.0)</f>
        <v>85</v>
      </c>
      <c r="N36" s="3"/>
      <c r="O36" s="3"/>
      <c r="P36" s="3"/>
      <c r="Q36" s="3"/>
      <c r="R36" s="3"/>
      <c r="S36" s="3"/>
      <c r="T36" s="5"/>
      <c r="U36" s="5"/>
      <c r="V36" s="5"/>
      <c r="W36" s="5"/>
    </row>
    <row r="37" ht="15.75" customHeight="1">
      <c r="A37" s="3">
        <f>IFERROR(__xludf.DUMMYFUNCTION("""COMPUTED_VALUE"""),37.0)</f>
        <v>37</v>
      </c>
      <c r="B37" s="53">
        <f>IFERROR(__xludf.DUMMYFUNCTION("""COMPUTED_VALUE"""),45341.0)</f>
        <v>45341</v>
      </c>
      <c r="C37" s="3">
        <f>IFERROR(__xludf.DUMMYFUNCTION("""COMPUTED_VALUE"""),81.0)</f>
        <v>81</v>
      </c>
      <c r="D37" s="3"/>
      <c r="E37" s="3"/>
      <c r="F37" s="3"/>
      <c r="G37" s="3"/>
      <c r="H37" s="3"/>
      <c r="I37" s="3"/>
      <c r="J37" s="3"/>
      <c r="K37" s="57">
        <f>IFERROR(__xludf.DUMMYFUNCTION("""COMPUTED_VALUE"""),3.39)</f>
        <v>3.39</v>
      </c>
      <c r="L37" s="54">
        <f>IFERROR(__xludf.DUMMYFUNCTION("""COMPUTED_VALUE"""),23.0)</f>
        <v>23</v>
      </c>
      <c r="M37" s="3">
        <f>IFERROR(__xludf.DUMMYFUNCTION("""COMPUTED_VALUE"""),92.0)</f>
        <v>92</v>
      </c>
      <c r="N37" s="3"/>
      <c r="O37" s="3"/>
      <c r="P37" s="3"/>
      <c r="Q37" s="3"/>
      <c r="R37" s="3"/>
      <c r="S37" s="3"/>
      <c r="T37" s="5"/>
      <c r="U37" s="5"/>
      <c r="V37" s="5"/>
      <c r="W37" s="5"/>
    </row>
    <row r="38" ht="15.75" customHeight="1">
      <c r="A38" s="3">
        <f>IFERROR(__xludf.DUMMYFUNCTION("""COMPUTED_VALUE"""),38.0)</f>
        <v>38</v>
      </c>
      <c r="B38" s="53">
        <f>IFERROR(__xludf.DUMMYFUNCTION("""COMPUTED_VALUE"""),45341.0)</f>
        <v>45341</v>
      </c>
      <c r="C38" s="3">
        <f>IFERROR(__xludf.DUMMYFUNCTION("""COMPUTED_VALUE"""),66.0)</f>
        <v>66</v>
      </c>
      <c r="D38" s="3"/>
      <c r="E38" s="3"/>
      <c r="F38" s="3"/>
      <c r="G38" s="3"/>
      <c r="H38" s="3"/>
      <c r="I38" s="3"/>
      <c r="J38" s="3"/>
      <c r="K38" s="57">
        <f>IFERROR(__xludf.DUMMYFUNCTION("""COMPUTED_VALUE"""),3.5)</f>
        <v>3.5</v>
      </c>
      <c r="L38" s="54">
        <f>IFERROR(__xludf.DUMMYFUNCTION("""COMPUTED_VALUE"""),26.0)</f>
        <v>26</v>
      </c>
      <c r="M38" s="3">
        <f>IFERROR(__xludf.DUMMYFUNCTION("""COMPUTED_VALUE"""),102.0)</f>
        <v>102</v>
      </c>
      <c r="N38" s="3"/>
      <c r="O38" s="3"/>
      <c r="P38" s="3"/>
      <c r="Q38" s="3"/>
      <c r="R38" s="3"/>
      <c r="S38" s="3"/>
      <c r="T38" s="5"/>
      <c r="U38" s="5"/>
      <c r="V38" s="5"/>
      <c r="W38" s="5"/>
    </row>
    <row r="39" ht="15.75" customHeight="1">
      <c r="A39" s="3">
        <f>IFERROR(__xludf.DUMMYFUNCTION("""COMPUTED_VALUE"""),39.0)</f>
        <v>39</v>
      </c>
      <c r="B39" s="53">
        <f>IFERROR(__xludf.DUMMYFUNCTION("""COMPUTED_VALUE"""),45341.0)</f>
        <v>45341</v>
      </c>
      <c r="C39" s="3">
        <f>IFERROR(__xludf.DUMMYFUNCTION("""COMPUTED_VALUE"""),82.0)</f>
        <v>82</v>
      </c>
      <c r="D39" s="3"/>
      <c r="E39" s="3"/>
      <c r="F39" s="3"/>
      <c r="G39" s="3"/>
      <c r="H39" s="3"/>
      <c r="I39" s="3"/>
      <c r="J39" s="3"/>
      <c r="K39" s="57">
        <f>IFERROR(__xludf.DUMMYFUNCTION("""COMPUTED_VALUE"""),3.4)</f>
        <v>3.4</v>
      </c>
      <c r="L39" s="54">
        <f>IFERROR(__xludf.DUMMYFUNCTION("""COMPUTED_VALUE"""),25.0)</f>
        <v>25</v>
      </c>
      <c r="M39" s="3">
        <f>IFERROR(__xludf.DUMMYFUNCTION("""COMPUTED_VALUE"""),110.0)</f>
        <v>110</v>
      </c>
      <c r="N39" s="3"/>
      <c r="O39" s="3"/>
      <c r="P39" s="3"/>
      <c r="Q39" s="3"/>
      <c r="R39" s="3"/>
      <c r="S39" s="3"/>
      <c r="T39" s="5"/>
      <c r="U39" s="5"/>
      <c r="V39" s="5"/>
      <c r="W39" s="5"/>
    </row>
    <row r="40" ht="15.75" customHeight="1">
      <c r="A40" s="3">
        <f>IFERROR(__xludf.DUMMYFUNCTION("""COMPUTED_VALUE"""),40.0)</f>
        <v>40</v>
      </c>
      <c r="B40" s="53">
        <f>IFERROR(__xludf.DUMMYFUNCTION("""COMPUTED_VALUE"""),45341.0)</f>
        <v>45341</v>
      </c>
      <c r="C40" s="3">
        <f>IFERROR(__xludf.DUMMYFUNCTION("""COMPUTED_VALUE"""),65.0)</f>
        <v>65</v>
      </c>
      <c r="D40" s="3"/>
      <c r="E40" s="3"/>
      <c r="F40" s="3"/>
      <c r="G40" s="3"/>
      <c r="H40" s="3"/>
      <c r="I40" s="3"/>
      <c r="J40" s="3"/>
      <c r="K40" s="57">
        <f>IFERROR(__xludf.DUMMYFUNCTION("""COMPUTED_VALUE"""),3.5)</f>
        <v>3.5</v>
      </c>
      <c r="L40" s="54">
        <f>IFERROR(__xludf.DUMMYFUNCTION("""COMPUTED_VALUE"""),27.0)</f>
        <v>27</v>
      </c>
      <c r="M40" s="3">
        <f>IFERROR(__xludf.DUMMYFUNCTION("""COMPUTED_VALUE"""),90.0)</f>
        <v>90</v>
      </c>
      <c r="N40" s="3"/>
      <c r="O40" s="3"/>
      <c r="P40" s="3"/>
      <c r="Q40" s="3"/>
      <c r="R40" s="3"/>
      <c r="S40" s="3"/>
      <c r="T40" s="5"/>
      <c r="U40" s="5"/>
      <c r="V40" s="5"/>
      <c r="W40" s="5"/>
    </row>
    <row r="41" ht="15.75" customHeight="1">
      <c r="A41" s="3">
        <f>IFERROR(__xludf.DUMMYFUNCTION("""COMPUTED_VALUE"""),41.0)</f>
        <v>41</v>
      </c>
      <c r="B41" s="53">
        <f>IFERROR(__xludf.DUMMYFUNCTION("""COMPUTED_VALUE"""),45342.0)</f>
        <v>45342</v>
      </c>
      <c r="C41" s="3">
        <f>IFERROR(__xludf.DUMMYFUNCTION("""COMPUTED_VALUE"""),84.0)</f>
        <v>84</v>
      </c>
      <c r="D41" s="3" t="str">
        <f>IFERROR(__xludf.DUMMYFUNCTION("""COMPUTED_VALUE"""),"1.110")</f>
        <v>1.110</v>
      </c>
      <c r="E41" s="54">
        <f>IFERROR(__xludf.DUMMYFUNCTION("""COMPUTED_VALUE"""),31512.0)</f>
        <v>31512</v>
      </c>
      <c r="F41" s="3" t="str">
        <f>IFERROR(__xludf.DUMMYFUNCTION("""COMPUTED_VALUE"""),"Cabernet Sauvignon")</f>
        <v>Cabernet Sauvignon</v>
      </c>
      <c r="G41" s="3"/>
      <c r="H41" s="56">
        <f>IFERROR(__xludf.DUMMYFUNCTION("""COMPUTED_VALUE"""),2.0)</f>
        <v>2</v>
      </c>
      <c r="I41" s="57">
        <f>IFERROR(__xludf.DUMMYFUNCTION("""COMPUTED_VALUE"""),0.34)</f>
        <v>0.34</v>
      </c>
      <c r="J41" s="3"/>
      <c r="K41" s="3"/>
      <c r="L41" s="54">
        <f>IFERROR(__xludf.DUMMYFUNCTION("""COMPUTED_VALUE"""),35.0)</f>
        <v>35</v>
      </c>
      <c r="M41" s="3"/>
      <c r="N41" s="3"/>
      <c r="O41" s="3"/>
      <c r="P41" s="3"/>
      <c r="Q41" s="3"/>
      <c r="R41" s="3"/>
      <c r="S41" s="3"/>
      <c r="T41" s="5"/>
      <c r="U41" s="5"/>
      <c r="V41" s="5"/>
      <c r="W41" s="5"/>
    </row>
    <row r="42" ht="15.75" customHeight="1">
      <c r="A42" s="3">
        <f>IFERROR(__xludf.DUMMYFUNCTION("""COMPUTED_VALUE"""),42.0)</f>
        <v>42</v>
      </c>
      <c r="B42" s="53">
        <f>IFERROR(__xludf.DUMMYFUNCTION("""COMPUTED_VALUE"""),45342.0)</f>
        <v>45342</v>
      </c>
      <c r="C42" s="3">
        <f>IFERROR(__xludf.DUMMYFUNCTION("""COMPUTED_VALUE"""),102.0)</f>
        <v>102</v>
      </c>
      <c r="D42" s="3" t="str">
        <f>IFERROR(__xludf.DUMMYFUNCTION("""COMPUTED_VALUE"""),"#REF!")</f>
        <v>#REF!</v>
      </c>
      <c r="E42" s="3"/>
      <c r="F42" s="3" t="str">
        <f>IFERROR(__xludf.DUMMYFUNCTION("""COMPUTED_VALUE"""),"Aspirant Ancc")</f>
        <v>Aspirant Ancc</v>
      </c>
      <c r="G42" s="55">
        <f>IFERROR(__xludf.DUMMYFUNCTION("""COMPUTED_VALUE"""),11.5)</f>
        <v>11.5</v>
      </c>
      <c r="H42" s="56">
        <f>IFERROR(__xludf.DUMMYFUNCTION("""COMPUTED_VALUE"""),2.0)</f>
        <v>2</v>
      </c>
      <c r="I42" s="57">
        <f>IFERROR(__xludf.DUMMYFUNCTION("""COMPUTED_VALUE"""),0.34)</f>
        <v>0.34</v>
      </c>
      <c r="J42" s="57">
        <f>IFERROR(__xludf.DUMMYFUNCTION("""COMPUTED_VALUE"""),8.41)</f>
        <v>8.41</v>
      </c>
      <c r="K42" s="57">
        <f>IFERROR(__xludf.DUMMYFUNCTION("""COMPUTED_VALUE"""),3.38)</f>
        <v>3.38</v>
      </c>
      <c r="L42" s="54">
        <f>IFERROR(__xludf.DUMMYFUNCTION("""COMPUTED_VALUE"""),37.0)</f>
        <v>37</v>
      </c>
      <c r="M42" s="3">
        <f>IFERROR(__xludf.DUMMYFUNCTION("""COMPUTED_VALUE"""),70.0)</f>
        <v>70</v>
      </c>
      <c r="N42" s="3"/>
      <c r="O42" s="3"/>
      <c r="P42" s="3"/>
      <c r="Q42" s="3"/>
      <c r="R42" s="3"/>
      <c r="S42" s="3"/>
      <c r="T42" s="5"/>
      <c r="U42" s="5"/>
      <c r="V42" s="5"/>
      <c r="W42" s="5"/>
    </row>
    <row r="43" ht="15.75" customHeight="1">
      <c r="A43" s="3">
        <f>IFERROR(__xludf.DUMMYFUNCTION("""COMPUTED_VALUE"""),43.0)</f>
        <v>43</v>
      </c>
      <c r="B43" s="53">
        <f>IFERROR(__xludf.DUMMYFUNCTION("""COMPUTED_VALUE"""),45342.0)</f>
        <v>45342</v>
      </c>
      <c r="C43" s="3">
        <f>IFERROR(__xludf.DUMMYFUNCTION("""COMPUTED_VALUE"""),85.0)</f>
        <v>85</v>
      </c>
      <c r="D43" s="3" t="str">
        <f>IFERROR(__xludf.DUMMYFUNCTION("""COMPUTED_VALUE"""),"1.107")</f>
        <v>1.107</v>
      </c>
      <c r="E43" s="54">
        <f>IFERROR(__xludf.DUMMYFUNCTION("""COMPUTED_VALUE"""),45162.0)</f>
        <v>45162</v>
      </c>
      <c r="F43" s="3" t="str">
        <f>IFERROR(__xludf.DUMMYFUNCTION("""COMPUTED_VALUE"""),"Bonarda")</f>
        <v>Bonarda</v>
      </c>
      <c r="G43" s="3"/>
      <c r="H43" s="56">
        <f>IFERROR(__xludf.DUMMYFUNCTION("""COMPUTED_VALUE"""),2.0)</f>
        <v>2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5"/>
      <c r="U43" s="5"/>
      <c r="V43" s="5"/>
      <c r="W43" s="5"/>
    </row>
    <row r="44" ht="15.75" customHeight="1">
      <c r="A44" s="3">
        <f>IFERROR(__xludf.DUMMYFUNCTION("""COMPUTED_VALUE"""),44.0)</f>
        <v>44</v>
      </c>
      <c r="B44" s="53">
        <f>IFERROR(__xludf.DUMMYFUNCTION("""COMPUTED_VALUE"""),45343.0)</f>
        <v>45343</v>
      </c>
      <c r="C44" s="3">
        <f>IFERROR(__xludf.DUMMYFUNCTION("""COMPUTED_VALUE"""),30.0)</f>
        <v>30</v>
      </c>
      <c r="D44" s="3" t="str">
        <f>IFERROR(__xludf.DUMMYFUNCTION("""COMPUTED_VALUE"""),"1.026")</f>
        <v>1.026</v>
      </c>
      <c r="E44" s="54">
        <f>IFERROR(__xludf.DUMMYFUNCTION("""COMPUTED_VALUE"""),38800.0)</f>
        <v>38800</v>
      </c>
      <c r="F44" s="3" t="str">
        <f>IFERROR(__xludf.DUMMYFUNCTION("""COMPUTED_VALUE"""),"Chardonnay")</f>
        <v>Chardonnay</v>
      </c>
      <c r="G44" s="55">
        <f>IFERROR(__xludf.DUMMYFUNCTION("""COMPUTED_VALUE"""),11.9)</f>
        <v>11.9</v>
      </c>
      <c r="H44" s="3"/>
      <c r="I44" s="3"/>
      <c r="J44" s="57">
        <f>IFERROR(__xludf.DUMMYFUNCTION("""COMPUTED_VALUE"""),6.3)</f>
        <v>6.3</v>
      </c>
      <c r="K44" s="57">
        <f>IFERROR(__xludf.DUMMYFUNCTION("""COMPUTED_VALUE"""),3.45)</f>
        <v>3.45</v>
      </c>
      <c r="L44" s="54">
        <f>IFERROR(__xludf.DUMMYFUNCTION("""COMPUTED_VALUE"""),25.0)</f>
        <v>25</v>
      </c>
      <c r="M44" s="3"/>
      <c r="N44" s="3"/>
      <c r="O44" s="3"/>
      <c r="P44" s="3"/>
      <c r="Q44" s="3"/>
      <c r="R44" s="3"/>
      <c r="S44" s="3"/>
      <c r="T44" s="5"/>
      <c r="U44" s="5"/>
      <c r="V44" s="5"/>
      <c r="W44" s="5"/>
    </row>
    <row r="45" ht="15.75" customHeight="1">
      <c r="A45" s="3">
        <f>IFERROR(__xludf.DUMMYFUNCTION("""COMPUTED_VALUE"""),45.0)</f>
        <v>45</v>
      </c>
      <c r="B45" s="53">
        <f>IFERROR(__xludf.DUMMYFUNCTION("""COMPUTED_VALUE"""),45343.0)</f>
        <v>45343</v>
      </c>
      <c r="C45" s="3">
        <f>IFERROR(__xludf.DUMMYFUNCTION("""COMPUTED_VALUE"""),34.0)</f>
        <v>34</v>
      </c>
      <c r="D45" s="3" t="str">
        <f>IFERROR(__xludf.DUMMYFUNCTION("""COMPUTED_VALUE"""),"1.054")</f>
        <v>1.054</v>
      </c>
      <c r="E45" s="54">
        <f>IFERROR(__xludf.DUMMYFUNCTION("""COMPUTED_VALUE"""),39500.0)</f>
        <v>39500</v>
      </c>
      <c r="F45" s="3" t="str">
        <f>IFERROR(__xludf.DUMMYFUNCTION("""COMPUTED_VALUE"""),"Chardonnay")</f>
        <v>Chardonnay</v>
      </c>
      <c r="G45" s="55">
        <f>IFERROR(__xludf.DUMMYFUNCTION("""COMPUTED_VALUE"""),12.2)</f>
        <v>12.2</v>
      </c>
      <c r="H45" s="3"/>
      <c r="I45" s="3"/>
      <c r="J45" s="57">
        <f>IFERROR(__xludf.DUMMYFUNCTION("""COMPUTED_VALUE"""),6.2)</f>
        <v>6.2</v>
      </c>
      <c r="K45" s="57">
        <f>IFERROR(__xludf.DUMMYFUNCTION("""COMPUTED_VALUE"""),3.54)</f>
        <v>3.54</v>
      </c>
      <c r="L45" s="54">
        <f>IFERROR(__xludf.DUMMYFUNCTION("""COMPUTED_VALUE"""),27.0)</f>
        <v>27</v>
      </c>
      <c r="M45" s="3"/>
      <c r="N45" s="3"/>
      <c r="O45" s="3"/>
      <c r="P45" s="3"/>
      <c r="Q45" s="3"/>
      <c r="R45" s="3"/>
      <c r="S45" s="3"/>
      <c r="T45" s="5"/>
      <c r="U45" s="5"/>
      <c r="V45" s="5"/>
      <c r="W45" s="5"/>
    </row>
    <row r="46" ht="15.75" customHeight="1">
      <c r="A46" s="3">
        <f>IFERROR(__xludf.DUMMYFUNCTION("""COMPUTED_VALUE"""),46.0)</f>
        <v>46</v>
      </c>
      <c r="B46" s="53">
        <f>IFERROR(__xludf.DUMMYFUNCTION("""COMPUTED_VALUE"""),45343.0)</f>
        <v>45343</v>
      </c>
      <c r="C46" s="3">
        <f>IFERROR(__xludf.DUMMYFUNCTION("""COMPUTED_VALUE"""),35.0)</f>
        <v>35</v>
      </c>
      <c r="D46" s="3" t="str">
        <f>IFERROR(__xludf.DUMMYFUNCTION("""COMPUTED_VALUE"""),"1.028")</f>
        <v>1.028</v>
      </c>
      <c r="E46" s="54">
        <f>IFERROR(__xludf.DUMMYFUNCTION("""COMPUTED_VALUE"""),39300.0)</f>
        <v>39300</v>
      </c>
      <c r="F46" s="3" t="str">
        <f>IFERROR(__xludf.DUMMYFUNCTION("""COMPUTED_VALUE"""),"Chardonnay")</f>
        <v>Chardonnay</v>
      </c>
      <c r="G46" s="55">
        <f>IFERROR(__xludf.DUMMYFUNCTION("""COMPUTED_VALUE"""),12.3)</f>
        <v>12.3</v>
      </c>
      <c r="H46" s="3"/>
      <c r="I46" s="3"/>
      <c r="J46" s="57">
        <f>IFERROR(__xludf.DUMMYFUNCTION("""COMPUTED_VALUE"""),6.2)</f>
        <v>6.2</v>
      </c>
      <c r="K46" s="57">
        <f>IFERROR(__xludf.DUMMYFUNCTION("""COMPUTED_VALUE"""),3.49)</f>
        <v>3.49</v>
      </c>
      <c r="L46" s="54">
        <f>IFERROR(__xludf.DUMMYFUNCTION("""COMPUTED_VALUE"""),22.0)</f>
        <v>22</v>
      </c>
      <c r="M46" s="3"/>
      <c r="N46" s="3"/>
      <c r="O46" s="3"/>
      <c r="P46" s="3"/>
      <c r="Q46" s="3"/>
      <c r="R46" s="3"/>
      <c r="S46" s="3"/>
      <c r="T46" s="5"/>
      <c r="U46" s="5"/>
      <c r="V46" s="5"/>
      <c r="W46" s="5"/>
    </row>
    <row r="47" ht="15.75" customHeight="1">
      <c r="A47" s="3">
        <f>IFERROR(__xludf.DUMMYFUNCTION("""COMPUTED_VALUE"""),47.0)</f>
        <v>47</v>
      </c>
      <c r="B47" s="53">
        <f>IFERROR(__xludf.DUMMYFUNCTION("""COMPUTED_VALUE"""),45343.0)</f>
        <v>45343</v>
      </c>
      <c r="C47" s="3">
        <f>IFERROR(__xludf.DUMMYFUNCTION("""COMPUTED_VALUE"""),46.0)</f>
        <v>46</v>
      </c>
      <c r="D47" s="3" t="str">
        <f>IFERROR(__xludf.DUMMYFUNCTION("""COMPUTED_VALUE"""),"1.027")</f>
        <v>1.027</v>
      </c>
      <c r="E47" s="54">
        <f>IFERROR(__xludf.DUMMYFUNCTION("""COMPUTED_VALUE"""),29000.0)</f>
        <v>29000</v>
      </c>
      <c r="F47" s="3" t="str">
        <f>IFERROR(__xludf.DUMMYFUNCTION("""COMPUTED_VALUE"""),"Chardonnay")</f>
        <v>Chardonnay</v>
      </c>
      <c r="G47" s="55">
        <f>IFERROR(__xludf.DUMMYFUNCTION("""COMPUTED_VALUE"""),12.0)</f>
        <v>12</v>
      </c>
      <c r="H47" s="3"/>
      <c r="I47" s="3"/>
      <c r="J47" s="57">
        <f>IFERROR(__xludf.DUMMYFUNCTION("""COMPUTED_VALUE"""),6.25)</f>
        <v>6.25</v>
      </c>
      <c r="K47" s="57">
        <f>IFERROR(__xludf.DUMMYFUNCTION("""COMPUTED_VALUE"""),3.56)</f>
        <v>3.56</v>
      </c>
      <c r="L47" s="54">
        <f>IFERROR(__xludf.DUMMYFUNCTION("""COMPUTED_VALUE"""),23.0)</f>
        <v>23</v>
      </c>
      <c r="M47" s="3"/>
      <c r="N47" s="3"/>
      <c r="O47" s="3"/>
      <c r="P47" s="3"/>
      <c r="Q47" s="3"/>
      <c r="R47" s="3"/>
      <c r="S47" s="3"/>
      <c r="T47" s="5"/>
      <c r="U47" s="5"/>
      <c r="V47" s="5"/>
      <c r="W47" s="5"/>
    </row>
    <row r="48" ht="15.75" customHeight="1">
      <c r="A48" s="3">
        <f>IFERROR(__xludf.DUMMYFUNCTION("""COMPUTED_VALUE"""),48.0)</f>
        <v>48</v>
      </c>
      <c r="B48" s="53">
        <f>IFERROR(__xludf.DUMMYFUNCTION("""COMPUTED_VALUE"""),45343.0)</f>
        <v>45343</v>
      </c>
      <c r="C48" s="3">
        <f>IFERROR(__xludf.DUMMYFUNCTION("""COMPUTED_VALUE"""),47.0)</f>
        <v>47</v>
      </c>
      <c r="D48" s="3" t="str">
        <f>IFERROR(__xludf.DUMMYFUNCTION("""COMPUTED_VALUE"""),"1.029")</f>
        <v>1.029</v>
      </c>
      <c r="E48" s="54">
        <f>IFERROR(__xludf.DUMMYFUNCTION("""COMPUTED_VALUE"""),20000.0)</f>
        <v>20000</v>
      </c>
      <c r="F48" s="3" t="str">
        <f>IFERROR(__xludf.DUMMYFUNCTION("""COMPUTED_VALUE"""),"Chardonnay")</f>
        <v>Chardonnay</v>
      </c>
      <c r="G48" s="55">
        <f>IFERROR(__xludf.DUMMYFUNCTION("""COMPUTED_VALUE"""),11.9)</f>
        <v>11.9</v>
      </c>
      <c r="H48" s="3"/>
      <c r="I48" s="3"/>
      <c r="J48" s="57">
        <f>IFERROR(__xludf.DUMMYFUNCTION("""COMPUTED_VALUE"""),6.3)</f>
        <v>6.3</v>
      </c>
      <c r="K48" s="57">
        <f>IFERROR(__xludf.DUMMYFUNCTION("""COMPUTED_VALUE"""),3.45)</f>
        <v>3.45</v>
      </c>
      <c r="L48" s="54">
        <f>IFERROR(__xludf.DUMMYFUNCTION("""COMPUTED_VALUE"""),24.0)</f>
        <v>24</v>
      </c>
      <c r="M48" s="3"/>
      <c r="N48" s="3"/>
      <c r="O48" s="3"/>
      <c r="P48" s="3"/>
      <c r="Q48" s="3"/>
      <c r="R48" s="3"/>
      <c r="S48" s="3"/>
      <c r="T48" s="5"/>
      <c r="U48" s="5"/>
      <c r="V48" s="5"/>
      <c r="W48" s="5"/>
    </row>
    <row r="49" ht="15.75" customHeight="1">
      <c r="A49" s="3">
        <f>IFERROR(__xludf.DUMMYFUNCTION("""COMPUTED_VALUE"""),49.0)</f>
        <v>49</v>
      </c>
      <c r="B49" s="53">
        <f>IFERROR(__xludf.DUMMYFUNCTION("""COMPUTED_VALUE"""),45343.0)</f>
        <v>45343</v>
      </c>
      <c r="C49" s="3">
        <f>IFERROR(__xludf.DUMMYFUNCTION("""COMPUTED_VALUE"""),83.0)</f>
        <v>83</v>
      </c>
      <c r="D49" s="3" t="str">
        <f>IFERROR(__xludf.DUMMYFUNCTION("""COMPUTED_VALUE"""),"#REF!")</f>
        <v>#REF!</v>
      </c>
      <c r="E49" s="3"/>
      <c r="F49" s="3" t="str">
        <f>IFERROR(__xludf.DUMMYFUNCTION("""COMPUTED_VALUE"""),"merlot /aspirant 1")</f>
        <v>merlot /aspirant 1</v>
      </c>
      <c r="G49" s="3"/>
      <c r="H49" s="56">
        <f>IFERROR(__xludf.DUMMYFUNCTION("""COMPUTED_VALUE"""),7.5)</f>
        <v>7.5</v>
      </c>
      <c r="I49" s="57">
        <f>IFERROR(__xludf.DUMMYFUNCTION("""COMPUTED_VALUE"""),0.36)</f>
        <v>0.36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5"/>
      <c r="U49" s="5"/>
      <c r="V49" s="5"/>
      <c r="W49" s="5"/>
    </row>
    <row r="50" ht="15.75" customHeight="1">
      <c r="A50" s="3">
        <f>IFERROR(__xludf.DUMMYFUNCTION("""COMPUTED_VALUE"""),50.0)</f>
        <v>50</v>
      </c>
      <c r="B50" s="53">
        <f>IFERROR(__xludf.DUMMYFUNCTION("""COMPUTED_VALUE"""),45343.0)</f>
        <v>45343</v>
      </c>
      <c r="C50" s="3">
        <f>IFERROR(__xludf.DUMMYFUNCTION("""COMPUTED_VALUE"""),75.0)</f>
        <v>75</v>
      </c>
      <c r="D50" s="3" t="str">
        <f>IFERROR(__xludf.DUMMYFUNCTION("""COMPUTED_VALUE"""),"#REF!")</f>
        <v>#REF!</v>
      </c>
      <c r="E50" s="3"/>
      <c r="F50" s="3" t="str">
        <f>IFERROR(__xludf.DUMMYFUNCTION("""COMPUTED_VALUE"""),"Chardonnay")</f>
        <v>Chardonnay</v>
      </c>
      <c r="G50" s="3"/>
      <c r="H50" s="56">
        <f>IFERROR(__xludf.DUMMYFUNCTION("""COMPUTED_VALUE"""),2.0)</f>
        <v>2</v>
      </c>
      <c r="I50" s="3"/>
      <c r="J50" s="57">
        <f>IFERROR(__xludf.DUMMYFUNCTION("""COMPUTED_VALUE"""),6.0)</f>
        <v>6</v>
      </c>
      <c r="K50" s="57">
        <f>IFERROR(__xludf.DUMMYFUNCTION("""COMPUTED_VALUE"""),3.5)</f>
        <v>3.5</v>
      </c>
      <c r="L50" s="54">
        <f>IFERROR(__xludf.DUMMYFUNCTION("""COMPUTED_VALUE"""),20.0)</f>
        <v>20</v>
      </c>
      <c r="M50" s="3"/>
      <c r="N50" s="3"/>
      <c r="O50" s="3"/>
      <c r="P50" s="3"/>
      <c r="Q50" s="3"/>
      <c r="R50" s="3"/>
      <c r="S50" s="3"/>
      <c r="T50" s="5"/>
      <c r="U50" s="5"/>
      <c r="V50" s="5"/>
      <c r="W50" s="5"/>
    </row>
    <row r="51" ht="15.75" customHeight="1">
      <c r="A51" s="3">
        <f>IFERROR(__xludf.DUMMYFUNCTION("""COMPUTED_VALUE"""),51.0)</f>
        <v>51</v>
      </c>
      <c r="B51" s="53">
        <f>IFERROR(__xludf.DUMMYFUNCTION("""COMPUTED_VALUE"""),45344.0)</f>
        <v>45344</v>
      </c>
      <c r="C51" s="3">
        <f>IFERROR(__xludf.DUMMYFUNCTION("""COMPUTED_VALUE"""),77.0)</f>
        <v>77</v>
      </c>
      <c r="D51" s="3" t="str">
        <f>IFERROR(__xludf.DUMMYFUNCTION("""COMPUTED_VALUE"""),"1.083")</f>
        <v>1.083</v>
      </c>
      <c r="E51" s="54">
        <f>IFERROR(__xludf.DUMMYFUNCTION("""COMPUTED_VALUE"""),18579.600000000002)</f>
        <v>18579.6</v>
      </c>
      <c r="F51" s="3" t="str">
        <f>IFERROR(__xludf.DUMMYFUNCTION("""COMPUTED_VALUE"""),"Pedro Gimenez")</f>
        <v>Pedro Gimenez</v>
      </c>
      <c r="G51" s="55">
        <f>IFERROR(__xludf.DUMMYFUNCTION("""COMPUTED_VALUE"""),12.5)</f>
        <v>12.5</v>
      </c>
      <c r="H51" s="56">
        <f>IFERROR(__xludf.DUMMYFUNCTION("""COMPUTED_VALUE"""),2.0)</f>
        <v>2</v>
      </c>
      <c r="I51" s="57">
        <f>IFERROR(__xludf.DUMMYFUNCTION("""COMPUTED_VALUE"""),0.35)</f>
        <v>0.35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5"/>
      <c r="U51" s="5"/>
      <c r="V51" s="5"/>
      <c r="W51" s="5"/>
    </row>
    <row r="52" ht="15.75" customHeight="1">
      <c r="A52" s="3">
        <f>IFERROR(__xludf.DUMMYFUNCTION("""COMPUTED_VALUE"""),52.0)</f>
        <v>52</v>
      </c>
      <c r="B52" s="53">
        <f>IFERROR(__xludf.DUMMYFUNCTION("""COMPUTED_VALUE"""),45344.0)</f>
        <v>45344</v>
      </c>
      <c r="C52" s="3">
        <f>IFERROR(__xludf.DUMMYFUNCTION("""COMPUTED_VALUE"""),84.0)</f>
        <v>84</v>
      </c>
      <c r="D52" s="3" t="str">
        <f>IFERROR(__xludf.DUMMYFUNCTION("""COMPUTED_VALUE"""),"1.110")</f>
        <v>1.110</v>
      </c>
      <c r="E52" s="54">
        <f>IFERROR(__xludf.DUMMYFUNCTION("""COMPUTED_VALUE"""),31512.0)</f>
        <v>31512</v>
      </c>
      <c r="F52" s="3" t="str">
        <f>IFERROR(__xludf.DUMMYFUNCTION("""COMPUTED_VALUE"""),"Cabernet Sauvignon")</f>
        <v>Cabernet Sauvignon</v>
      </c>
      <c r="G52" s="55">
        <f>IFERROR(__xludf.DUMMYFUNCTION("""COMPUTED_VALUE"""),12.2)</f>
        <v>12.2</v>
      </c>
      <c r="H52" s="56">
        <f>IFERROR(__xludf.DUMMYFUNCTION("""COMPUTED_VALUE"""),3.75)</f>
        <v>3.75</v>
      </c>
      <c r="I52" s="57">
        <f>IFERROR(__xludf.DUMMYFUNCTION("""COMPUTED_VALUE"""),0.34)</f>
        <v>0.34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5"/>
      <c r="U52" s="5"/>
      <c r="V52" s="5"/>
      <c r="W52" s="5"/>
    </row>
    <row r="53" ht="15.75" customHeight="1">
      <c r="A53" s="3">
        <f>IFERROR(__xludf.DUMMYFUNCTION("""COMPUTED_VALUE"""),53.0)</f>
        <v>53</v>
      </c>
      <c r="B53" s="53">
        <f>IFERROR(__xludf.DUMMYFUNCTION("""COMPUTED_VALUE"""),45344.0)</f>
        <v>45344</v>
      </c>
      <c r="C53" s="3">
        <f>IFERROR(__xludf.DUMMYFUNCTION("""COMPUTED_VALUE"""),85.0)</f>
        <v>85</v>
      </c>
      <c r="D53" s="3" t="str">
        <f>IFERROR(__xludf.DUMMYFUNCTION("""COMPUTED_VALUE"""),"1.107")</f>
        <v>1.107</v>
      </c>
      <c r="E53" s="54">
        <f>IFERROR(__xludf.DUMMYFUNCTION("""COMPUTED_VALUE"""),45162.0)</f>
        <v>45162</v>
      </c>
      <c r="F53" s="3" t="str">
        <f>IFERROR(__xludf.DUMMYFUNCTION("""COMPUTED_VALUE"""),"Bonarda")</f>
        <v>Bonarda</v>
      </c>
      <c r="G53" s="55">
        <f>IFERROR(__xludf.DUMMYFUNCTION("""COMPUTED_VALUE"""),11.2)</f>
        <v>11.2</v>
      </c>
      <c r="H53" s="56">
        <f>IFERROR(__xludf.DUMMYFUNCTION("""COMPUTED_VALUE"""),9.0)</f>
        <v>9</v>
      </c>
      <c r="I53" s="57">
        <f>IFERROR(__xludf.DUMMYFUNCTION("""COMPUTED_VALUE"""),0.38)</f>
        <v>0.38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5"/>
      <c r="U53" s="5"/>
      <c r="V53" s="5"/>
      <c r="W53" s="5"/>
    </row>
    <row r="54" ht="15.75" customHeight="1">
      <c r="A54" s="3">
        <f>IFERROR(__xludf.DUMMYFUNCTION("""COMPUTED_VALUE"""),54.0)</f>
        <v>54</v>
      </c>
      <c r="B54" s="53">
        <f>IFERROR(__xludf.DUMMYFUNCTION("""COMPUTED_VALUE"""),45344.0)</f>
        <v>45344</v>
      </c>
      <c r="C54" s="3">
        <f>IFERROR(__xludf.DUMMYFUNCTION("""COMPUTED_VALUE"""),103.0)</f>
        <v>103</v>
      </c>
      <c r="D54" s="3" t="str">
        <f>IFERROR(__xludf.DUMMYFUNCTION("""COMPUTED_VALUE"""),"1.104")</f>
        <v>1.104</v>
      </c>
      <c r="E54" s="54">
        <f>IFERROR(__xludf.DUMMYFUNCTION("""COMPUTED_VALUE"""),28200.0)</f>
        <v>28200</v>
      </c>
      <c r="F54" s="3" t="str">
        <f>IFERROR(__xludf.DUMMYFUNCTION("""COMPUTED_VALUE"""),"Malbec Gota")</f>
        <v>Malbec Gota</v>
      </c>
      <c r="G54" s="55">
        <f>IFERROR(__xludf.DUMMYFUNCTION("""COMPUTED_VALUE"""),11.5)</f>
        <v>11.5</v>
      </c>
      <c r="H54" s="56">
        <f>IFERROR(__xludf.DUMMYFUNCTION("""COMPUTED_VALUE"""),2.0)</f>
        <v>2</v>
      </c>
      <c r="I54" s="57">
        <f>IFERROR(__xludf.DUMMYFUNCTION("""COMPUTED_VALUE"""),0.38)</f>
        <v>0.38</v>
      </c>
      <c r="J54" s="57">
        <f>IFERROR(__xludf.DUMMYFUNCTION("""COMPUTED_VALUE"""),7.5)</f>
        <v>7.5</v>
      </c>
      <c r="K54" s="3"/>
      <c r="L54" s="54">
        <f>IFERROR(__xludf.DUMMYFUNCTION("""COMPUTED_VALUE"""),40.0)</f>
        <v>40</v>
      </c>
      <c r="M54" s="3">
        <f>IFERROR(__xludf.DUMMYFUNCTION("""COMPUTED_VALUE"""),110.0)</f>
        <v>110</v>
      </c>
      <c r="N54" s="3"/>
      <c r="O54" s="3"/>
      <c r="P54" s="3"/>
      <c r="Q54" s="3"/>
      <c r="R54" s="3"/>
      <c r="S54" s="3"/>
      <c r="T54" s="5"/>
      <c r="U54" s="5"/>
      <c r="V54" s="5"/>
      <c r="W54" s="5"/>
    </row>
    <row r="55" ht="15.75" customHeight="1">
      <c r="A55" s="3">
        <f>IFERROR(__xludf.DUMMYFUNCTION("""COMPUTED_VALUE"""),55.0)</f>
        <v>55</v>
      </c>
      <c r="B55" s="53">
        <f>IFERROR(__xludf.DUMMYFUNCTION("""COMPUTED_VALUE"""),45344.0)</f>
        <v>45344</v>
      </c>
      <c r="C55" s="3">
        <f>IFERROR(__xludf.DUMMYFUNCTION("""COMPUTED_VALUE"""),104.0)</f>
        <v>104</v>
      </c>
      <c r="D55" s="3" t="str">
        <f>IFERROR(__xludf.DUMMYFUNCTION("""COMPUTED_VALUE"""),"1.095")</f>
        <v>1.095</v>
      </c>
      <c r="E55" s="54">
        <f>IFERROR(__xludf.DUMMYFUNCTION("""COMPUTED_VALUE"""),31000.0)</f>
        <v>31000</v>
      </c>
      <c r="F55" s="3" t="str">
        <f>IFERROR(__xludf.DUMMYFUNCTION("""COMPUTED_VALUE"""),"Syrah Tempranillo")</f>
        <v>Syrah Tempranillo</v>
      </c>
      <c r="G55" s="55">
        <f>IFERROR(__xludf.DUMMYFUNCTION("""COMPUTED_VALUE"""),11.5)</f>
        <v>11.5</v>
      </c>
      <c r="H55" s="56">
        <f>IFERROR(__xludf.DUMMYFUNCTION("""COMPUTED_VALUE"""),2.0)</f>
        <v>2</v>
      </c>
      <c r="I55" s="57">
        <f>IFERROR(__xludf.DUMMYFUNCTION("""COMPUTED_VALUE"""),0.37)</f>
        <v>0.37</v>
      </c>
      <c r="J55" s="57">
        <f>IFERROR(__xludf.DUMMYFUNCTION("""COMPUTED_VALUE"""),7.6)</f>
        <v>7.6</v>
      </c>
      <c r="K55" s="3"/>
      <c r="L55" s="54">
        <f>IFERROR(__xludf.DUMMYFUNCTION("""COMPUTED_VALUE"""),39.0)</f>
        <v>39</v>
      </c>
      <c r="M55" s="3">
        <f>IFERROR(__xludf.DUMMYFUNCTION("""COMPUTED_VALUE"""),120.0)</f>
        <v>120</v>
      </c>
      <c r="N55" s="3"/>
      <c r="O55" s="3"/>
      <c r="P55" s="3"/>
      <c r="Q55" s="3"/>
      <c r="R55" s="3"/>
      <c r="S55" s="3"/>
      <c r="T55" s="5"/>
      <c r="U55" s="5"/>
      <c r="V55" s="5"/>
      <c r="W55" s="5"/>
    </row>
    <row r="56" ht="15.75" customHeight="1">
      <c r="A56" s="3">
        <f>IFERROR(__xludf.DUMMYFUNCTION("""COMPUTED_VALUE"""),56.0)</f>
        <v>56</v>
      </c>
      <c r="B56" s="53">
        <f>IFERROR(__xludf.DUMMYFUNCTION("""COMPUTED_VALUE"""),45345.0)</f>
        <v>45345</v>
      </c>
      <c r="C56" s="3">
        <f>IFERROR(__xludf.DUMMYFUNCTION("""COMPUTED_VALUE"""),83.0)</f>
        <v>83</v>
      </c>
      <c r="D56" s="3" t="str">
        <f>IFERROR(__xludf.DUMMYFUNCTION("""COMPUTED_VALUE"""),"1.108")</f>
        <v>1.108</v>
      </c>
      <c r="E56" s="54">
        <f>IFERROR(__xludf.DUMMYFUNCTION("""COMPUTED_VALUE"""),47642.4)</f>
        <v>47642.4</v>
      </c>
      <c r="F56" s="3" t="str">
        <f>IFERROR(__xludf.DUMMYFUNCTION("""COMPUTED_VALUE"""),"Bonarda")</f>
        <v>Bonarda</v>
      </c>
      <c r="G56" s="3"/>
      <c r="H56" s="56">
        <f>IFERROR(__xludf.DUMMYFUNCTION("""COMPUTED_VALUE"""),3.75)</f>
        <v>3.75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5"/>
      <c r="U56" s="5"/>
      <c r="V56" s="5"/>
      <c r="W56" s="5"/>
    </row>
    <row r="57" ht="15.75" customHeight="1">
      <c r="A57" s="3">
        <f>IFERROR(__xludf.DUMMYFUNCTION("""COMPUTED_VALUE"""),57.0)</f>
        <v>57</v>
      </c>
      <c r="B57" s="53">
        <f>IFERROR(__xludf.DUMMYFUNCTION("""COMPUTED_VALUE"""),45345.0)</f>
        <v>45345</v>
      </c>
      <c r="C57" s="3">
        <f>IFERROR(__xludf.DUMMYFUNCTION("""COMPUTED_VALUE"""),85.0)</f>
        <v>85</v>
      </c>
      <c r="D57" s="3" t="str">
        <f>IFERROR(__xludf.DUMMYFUNCTION("""COMPUTED_VALUE"""),"1.107")</f>
        <v>1.107</v>
      </c>
      <c r="E57" s="54">
        <f>IFERROR(__xludf.DUMMYFUNCTION("""COMPUTED_VALUE"""),45162.0)</f>
        <v>45162</v>
      </c>
      <c r="F57" s="3" t="str">
        <f>IFERROR(__xludf.DUMMYFUNCTION("""COMPUTED_VALUE"""),"Bonarda")</f>
        <v>Bonarda</v>
      </c>
      <c r="G57" s="3"/>
      <c r="H57" s="56">
        <f>IFERROR(__xludf.DUMMYFUNCTION("""COMPUTED_VALUE"""),18.0)</f>
        <v>18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5"/>
      <c r="U57" s="5"/>
      <c r="V57" s="5"/>
      <c r="W57" s="5"/>
    </row>
    <row r="58" ht="15.75" customHeight="1">
      <c r="A58" s="3">
        <f>IFERROR(__xludf.DUMMYFUNCTION("""COMPUTED_VALUE"""),58.0)</f>
        <v>58</v>
      </c>
      <c r="B58" s="53">
        <f>IFERROR(__xludf.DUMMYFUNCTION("""COMPUTED_VALUE"""),45345.0)</f>
        <v>45345</v>
      </c>
      <c r="C58" s="3">
        <f>IFERROR(__xludf.DUMMYFUNCTION("""COMPUTED_VALUE"""),68.0)</f>
        <v>68</v>
      </c>
      <c r="D58" s="3" t="str">
        <f>IFERROR(__xludf.DUMMYFUNCTION("""COMPUTED_VALUE"""),"1.088")</f>
        <v>1.088</v>
      </c>
      <c r="E58" s="54">
        <f>IFERROR(__xludf.DUMMYFUNCTION("""COMPUTED_VALUE"""),14385.0)</f>
        <v>14385</v>
      </c>
      <c r="F58" s="3" t="str">
        <f>IFERROR(__xludf.DUMMYFUNCTION("""COMPUTED_VALUE"""),"Syrah Rosado")</f>
        <v>Syrah Rosado</v>
      </c>
      <c r="G58" s="55">
        <f>IFERROR(__xludf.DUMMYFUNCTION("""COMPUTED_VALUE"""),11.8)</f>
        <v>11.8</v>
      </c>
      <c r="H58" s="56">
        <f>IFERROR(__xludf.DUMMYFUNCTION("""COMPUTED_VALUE"""),2.0)</f>
        <v>2</v>
      </c>
      <c r="I58" s="3"/>
      <c r="J58" s="57">
        <f>IFERROR(__xludf.DUMMYFUNCTION("""COMPUTED_VALUE"""),8.41)</f>
        <v>8.41</v>
      </c>
      <c r="K58" s="57">
        <f>IFERROR(__xludf.DUMMYFUNCTION("""COMPUTED_VALUE"""),3.37)</f>
        <v>3.37</v>
      </c>
      <c r="L58" s="54">
        <f>IFERROR(__xludf.DUMMYFUNCTION("""COMPUTED_VALUE"""),19.0)</f>
        <v>19</v>
      </c>
      <c r="M58" s="3">
        <f>IFERROR(__xludf.DUMMYFUNCTION("""COMPUTED_VALUE"""),140.0)</f>
        <v>140</v>
      </c>
      <c r="N58" s="3"/>
      <c r="O58" s="3"/>
      <c r="P58" s="3"/>
      <c r="Q58" s="3"/>
      <c r="R58" s="3"/>
      <c r="S58" s="3"/>
      <c r="T58" s="5"/>
      <c r="U58" s="5"/>
      <c r="V58" s="5"/>
      <c r="W58" s="5"/>
    </row>
    <row r="59" ht="15.75" customHeight="1">
      <c r="A59" s="3">
        <f>IFERROR(__xludf.DUMMYFUNCTION("""COMPUTED_VALUE"""),59.0)</f>
        <v>59</v>
      </c>
      <c r="B59" s="53">
        <f>IFERROR(__xludf.DUMMYFUNCTION("""COMPUTED_VALUE"""),45345.0)</f>
        <v>45345</v>
      </c>
      <c r="C59" s="3">
        <f>IFERROR(__xludf.DUMMYFUNCTION("""COMPUTED_VALUE"""),69.0)</f>
        <v>69</v>
      </c>
      <c r="D59" s="3" t="str">
        <f>IFERROR(__xludf.DUMMYFUNCTION("""COMPUTED_VALUE"""),"1.092")</f>
        <v>1.092</v>
      </c>
      <c r="E59" s="54">
        <f>IFERROR(__xludf.DUMMYFUNCTION("""COMPUTED_VALUE"""),10000.0)</f>
        <v>10000</v>
      </c>
      <c r="F59" s="3" t="str">
        <f>IFERROR(__xludf.DUMMYFUNCTION("""COMPUTED_VALUE"""),"Tempranillo Merlot s/Asp 2")</f>
        <v>Tempranillo Merlot s/Asp 2</v>
      </c>
      <c r="G59" s="3"/>
      <c r="H59" s="56">
        <f>IFERROR(__xludf.DUMMYFUNCTION("""COMPUTED_VALUE"""),2.0)</f>
        <v>2</v>
      </c>
      <c r="I59" s="3"/>
      <c r="J59" s="57">
        <f>IFERROR(__xludf.DUMMYFUNCTION("""COMPUTED_VALUE"""),8.35)</f>
        <v>8.35</v>
      </c>
      <c r="K59" s="57">
        <f>IFERROR(__xludf.DUMMYFUNCTION("""COMPUTED_VALUE"""),3.3)</f>
        <v>3.3</v>
      </c>
      <c r="L59" s="54">
        <f>IFERROR(__xludf.DUMMYFUNCTION("""COMPUTED_VALUE"""),12.0)</f>
        <v>12</v>
      </c>
      <c r="M59" s="3">
        <f>IFERROR(__xludf.DUMMYFUNCTION("""COMPUTED_VALUE"""),89.0)</f>
        <v>89</v>
      </c>
      <c r="N59" s="3"/>
      <c r="O59" s="3"/>
      <c r="P59" s="3"/>
      <c r="Q59" s="3"/>
      <c r="R59" s="3"/>
      <c r="S59" s="3"/>
      <c r="T59" s="5"/>
      <c r="U59" s="5"/>
      <c r="V59" s="5"/>
      <c r="W59" s="5"/>
    </row>
    <row r="60" ht="15.75" customHeight="1">
      <c r="A60" s="3">
        <f>IFERROR(__xludf.DUMMYFUNCTION("""COMPUTED_VALUE"""),60.0)</f>
        <v>60</v>
      </c>
      <c r="B60" s="53">
        <f>IFERROR(__xludf.DUMMYFUNCTION("""COMPUTED_VALUE"""),45345.0)</f>
        <v>45345</v>
      </c>
      <c r="C60" s="3">
        <f>IFERROR(__xludf.DUMMYFUNCTION("""COMPUTED_VALUE"""),76.0)</f>
        <v>76</v>
      </c>
      <c r="D60" s="3"/>
      <c r="E60" s="3"/>
      <c r="F60" s="3"/>
      <c r="G60" s="3"/>
      <c r="H60" s="56">
        <f>IFERROR(__xludf.DUMMYFUNCTION("""COMPUTED_VALUE"""),2.0)</f>
        <v>2</v>
      </c>
      <c r="I60" s="3"/>
      <c r="J60" s="57">
        <f>IFERROR(__xludf.DUMMYFUNCTION("""COMPUTED_VALUE"""),7.3)</f>
        <v>7.3</v>
      </c>
      <c r="K60" s="57">
        <f>IFERROR(__xludf.DUMMYFUNCTION("""COMPUTED_VALUE"""),3.588)</f>
        <v>3.588</v>
      </c>
      <c r="L60" s="54">
        <f>IFERROR(__xludf.DUMMYFUNCTION("""COMPUTED_VALUE"""),12.0)</f>
        <v>12</v>
      </c>
      <c r="M60" s="3">
        <f>IFERROR(__xludf.DUMMYFUNCTION("""COMPUTED_VALUE"""),90.0)</f>
        <v>90</v>
      </c>
      <c r="N60" s="3"/>
      <c r="O60" s="3"/>
      <c r="P60" s="3"/>
      <c r="Q60" s="3"/>
      <c r="R60" s="3"/>
      <c r="S60" s="3"/>
      <c r="T60" s="5"/>
      <c r="U60" s="5"/>
      <c r="V60" s="5"/>
      <c r="W60" s="5"/>
    </row>
    <row r="61" ht="15.75" customHeight="1">
      <c r="A61" s="3">
        <f>IFERROR(__xludf.DUMMYFUNCTION("""COMPUTED_VALUE"""),61.0)</f>
        <v>61</v>
      </c>
      <c r="B61" s="53">
        <f>IFERROR(__xludf.DUMMYFUNCTION("""COMPUTED_VALUE"""),45348.0)</f>
        <v>45348</v>
      </c>
      <c r="C61" s="3">
        <f>IFERROR(__xludf.DUMMYFUNCTION("""COMPUTED_VALUE"""),85.0)</f>
        <v>85</v>
      </c>
      <c r="D61" s="3" t="str">
        <f>IFERROR(__xludf.DUMMYFUNCTION("""COMPUTED_VALUE"""),"1.107")</f>
        <v>1.107</v>
      </c>
      <c r="E61" s="54">
        <f>IFERROR(__xludf.DUMMYFUNCTION("""COMPUTED_VALUE"""),45162.0)</f>
        <v>45162</v>
      </c>
      <c r="F61" s="3" t="str">
        <f>IFERROR(__xludf.DUMMYFUNCTION("""COMPUTED_VALUE"""),"Bonarda")</f>
        <v>Bonarda</v>
      </c>
      <c r="G61" s="3"/>
      <c r="H61" s="56">
        <f>IFERROR(__xludf.DUMMYFUNCTION("""COMPUTED_VALUE"""),13.0)</f>
        <v>13</v>
      </c>
      <c r="I61" s="57">
        <f>IFERROR(__xludf.DUMMYFUNCTION("""COMPUTED_VALUE"""),0.4)</f>
        <v>0.4</v>
      </c>
      <c r="J61" s="57">
        <f>IFERROR(__xludf.DUMMYFUNCTION("""COMPUTED_VALUE"""),7.11)</f>
        <v>7.11</v>
      </c>
      <c r="K61" s="57">
        <f>IFERROR(__xludf.DUMMYFUNCTION("""COMPUTED_VALUE"""),3.74)</f>
        <v>3.74</v>
      </c>
      <c r="L61" s="54">
        <f>IFERROR(__xludf.DUMMYFUNCTION("""COMPUTED_VALUE"""),32.0)</f>
        <v>32</v>
      </c>
      <c r="M61" s="3"/>
      <c r="N61" s="3"/>
      <c r="O61" s="3"/>
      <c r="P61" s="3"/>
      <c r="Q61" s="3"/>
      <c r="R61" s="3"/>
      <c r="S61" s="3"/>
      <c r="T61" s="5"/>
      <c r="U61" s="5"/>
      <c r="V61" s="5"/>
      <c r="W61" s="5"/>
    </row>
    <row r="62" ht="15.75" customHeight="1">
      <c r="A62" s="3">
        <f>IFERROR(__xludf.DUMMYFUNCTION("""COMPUTED_VALUE"""),62.0)</f>
        <v>62</v>
      </c>
      <c r="B62" s="53">
        <f>IFERROR(__xludf.DUMMYFUNCTION("""COMPUTED_VALUE"""),45350.0)</f>
        <v>45350</v>
      </c>
      <c r="C62" s="3">
        <f>IFERROR(__xludf.DUMMYFUNCTION("""COMPUTED_VALUE"""),105.0)</f>
        <v>105</v>
      </c>
      <c r="D62" s="3" t="str">
        <f>IFERROR(__xludf.DUMMYFUNCTION("""COMPUTED_VALUE"""),"1.096")</f>
        <v>1.096</v>
      </c>
      <c r="E62" s="54">
        <f>IFERROR(__xludf.DUMMYFUNCTION("""COMPUTED_VALUE"""),31000.0)</f>
        <v>31000</v>
      </c>
      <c r="F62" s="3" t="str">
        <f>IFERROR(__xludf.DUMMYFUNCTION("""COMPUTED_VALUE"""),"Syrah Tempranillo")</f>
        <v>Syrah Tempranillo</v>
      </c>
      <c r="G62" s="55">
        <f>IFERROR(__xludf.DUMMYFUNCTION("""COMPUTED_VALUE"""),12.8)</f>
        <v>12.8</v>
      </c>
      <c r="H62" s="56">
        <f>IFERROR(__xludf.DUMMYFUNCTION("""COMPUTED_VALUE"""),2.0)</f>
        <v>2</v>
      </c>
      <c r="I62" s="57">
        <f>IFERROR(__xludf.DUMMYFUNCTION("""COMPUTED_VALUE"""),0.34)</f>
        <v>0.34</v>
      </c>
      <c r="J62" s="3"/>
      <c r="K62" s="57">
        <f>IFERROR(__xludf.DUMMYFUNCTION("""COMPUTED_VALUE"""),3.59)</f>
        <v>3.59</v>
      </c>
      <c r="L62" s="54">
        <f>IFERROR(__xludf.DUMMYFUNCTION("""COMPUTED_VALUE"""),40.0)</f>
        <v>40</v>
      </c>
      <c r="M62" s="3"/>
      <c r="N62" s="3"/>
      <c r="O62" s="3"/>
      <c r="P62" s="3"/>
      <c r="Q62" s="3"/>
      <c r="R62" s="3"/>
      <c r="S62" s="3"/>
      <c r="T62" s="5"/>
      <c r="U62" s="5"/>
      <c r="V62" s="5"/>
      <c r="W62" s="5"/>
    </row>
    <row r="63" ht="15.75" customHeight="1">
      <c r="A63" s="3">
        <f>IFERROR(__xludf.DUMMYFUNCTION("""COMPUTED_VALUE"""),63.0)</f>
        <v>63</v>
      </c>
      <c r="B63" s="53">
        <f>IFERROR(__xludf.DUMMYFUNCTION("""COMPUTED_VALUE"""),45350.0)</f>
        <v>45350</v>
      </c>
      <c r="C63" s="3">
        <f>IFERROR(__xludf.DUMMYFUNCTION("""COMPUTED_VALUE"""),106.0)</f>
        <v>106</v>
      </c>
      <c r="D63" s="3" t="str">
        <f>IFERROR(__xludf.DUMMYFUNCTION("""COMPUTED_VALUE"""),"1.097")</f>
        <v>1.097</v>
      </c>
      <c r="E63" s="54">
        <f>IFERROR(__xludf.DUMMYFUNCTION("""COMPUTED_VALUE"""),11000.0)</f>
        <v>11000</v>
      </c>
      <c r="F63" s="3" t="str">
        <f>IFERROR(__xludf.DUMMYFUNCTION("""COMPUTED_VALUE"""),"Syrah")</f>
        <v>Syrah</v>
      </c>
      <c r="G63" s="55">
        <f>IFERROR(__xludf.DUMMYFUNCTION("""COMPUTED_VALUE"""),13.0)</f>
        <v>13</v>
      </c>
      <c r="H63" s="56">
        <f>IFERROR(__xludf.DUMMYFUNCTION("""COMPUTED_VALUE"""),2.0)</f>
        <v>2</v>
      </c>
      <c r="I63" s="57">
        <f>IFERROR(__xludf.DUMMYFUNCTION("""COMPUTED_VALUE"""),0.4)</f>
        <v>0.4</v>
      </c>
      <c r="J63" s="3"/>
      <c r="K63" s="57">
        <f>IFERROR(__xludf.DUMMYFUNCTION("""COMPUTED_VALUE"""),3.64)</f>
        <v>3.64</v>
      </c>
      <c r="L63" s="54">
        <f>IFERROR(__xludf.DUMMYFUNCTION("""COMPUTED_VALUE"""),35.0)</f>
        <v>35</v>
      </c>
      <c r="M63" s="3"/>
      <c r="N63" s="3"/>
      <c r="O63" s="3"/>
      <c r="P63" s="3"/>
      <c r="Q63" s="3"/>
      <c r="R63" s="3"/>
      <c r="S63" s="3"/>
      <c r="T63" s="5"/>
      <c r="U63" s="5"/>
      <c r="V63" s="5"/>
      <c r="W63" s="5"/>
    </row>
    <row r="64" ht="15.75" customHeight="1">
      <c r="A64" s="3">
        <f>IFERROR(__xludf.DUMMYFUNCTION("""COMPUTED_VALUE"""),64.0)</f>
        <v>64</v>
      </c>
      <c r="B64" s="53">
        <f>IFERROR(__xludf.DUMMYFUNCTION("""COMPUTED_VALUE"""),45350.0)</f>
        <v>45350</v>
      </c>
      <c r="C64" s="3">
        <f>IFERROR(__xludf.DUMMYFUNCTION("""COMPUTED_VALUE"""),107.0)</f>
        <v>107</v>
      </c>
      <c r="D64" s="3" t="str">
        <f>IFERROR(__xludf.DUMMYFUNCTION("""COMPUTED_VALUE"""),"1.098")</f>
        <v>1.098</v>
      </c>
      <c r="E64" s="54">
        <f>IFERROR(__xludf.DUMMYFUNCTION("""COMPUTED_VALUE"""),31000.0)</f>
        <v>31000</v>
      </c>
      <c r="F64" s="3" t="str">
        <f>IFERROR(__xludf.DUMMYFUNCTION("""COMPUTED_VALUE"""),"Syrah")</f>
        <v>Syrah</v>
      </c>
      <c r="G64" s="55">
        <f>IFERROR(__xludf.DUMMYFUNCTION("""COMPUTED_VALUE"""),12.9)</f>
        <v>12.9</v>
      </c>
      <c r="H64" s="56">
        <f>IFERROR(__xludf.DUMMYFUNCTION("""COMPUTED_VALUE"""),2.8)</f>
        <v>2.8</v>
      </c>
      <c r="I64" s="57">
        <f>IFERROR(__xludf.DUMMYFUNCTION("""COMPUTED_VALUE"""),0.35)</f>
        <v>0.35</v>
      </c>
      <c r="J64" s="3"/>
      <c r="K64" s="57">
        <f>IFERROR(__xludf.DUMMYFUNCTION("""COMPUTED_VALUE"""),3.548)</f>
        <v>3.548</v>
      </c>
      <c r="L64" s="54">
        <f>IFERROR(__xludf.DUMMYFUNCTION("""COMPUTED_VALUE"""),35.0)</f>
        <v>35</v>
      </c>
      <c r="M64" s="3"/>
      <c r="N64" s="3"/>
      <c r="O64" s="3"/>
      <c r="P64" s="3"/>
      <c r="Q64" s="3"/>
      <c r="R64" s="3"/>
      <c r="S64" s="3"/>
      <c r="T64" s="5"/>
      <c r="U64" s="5"/>
      <c r="V64" s="5"/>
      <c r="W64" s="5"/>
    </row>
    <row r="65" ht="15.75" customHeight="1">
      <c r="A65" s="3">
        <f>IFERROR(__xludf.DUMMYFUNCTION("""COMPUTED_VALUE"""),65.0)</f>
        <v>65</v>
      </c>
      <c r="B65" s="53">
        <f>IFERROR(__xludf.DUMMYFUNCTION("""COMPUTED_VALUE"""),45350.0)</f>
        <v>45350</v>
      </c>
      <c r="C65" s="3">
        <f>IFERROR(__xludf.DUMMYFUNCTION("""COMPUTED_VALUE"""),108.0)</f>
        <v>108</v>
      </c>
      <c r="D65" s="3" t="str">
        <f>IFERROR(__xludf.DUMMYFUNCTION("""COMPUTED_VALUE"""),"1.101")</f>
        <v>1.101</v>
      </c>
      <c r="E65" s="54">
        <f>IFERROR(__xludf.DUMMYFUNCTION("""COMPUTED_VALUE"""),31000.0)</f>
        <v>31000</v>
      </c>
      <c r="F65" s="3" t="str">
        <f>IFERROR(__xludf.DUMMYFUNCTION("""COMPUTED_VALUE"""),"Syrah")</f>
        <v>Syrah</v>
      </c>
      <c r="G65" s="55">
        <f>IFERROR(__xludf.DUMMYFUNCTION("""COMPUTED_VALUE"""),13.1)</f>
        <v>13.1</v>
      </c>
      <c r="H65" s="56">
        <f>IFERROR(__xludf.DUMMYFUNCTION("""COMPUTED_VALUE"""),2.8)</f>
        <v>2.8</v>
      </c>
      <c r="I65" s="57">
        <f>IFERROR(__xludf.DUMMYFUNCTION("""COMPUTED_VALUE"""),0.35)</f>
        <v>0.35</v>
      </c>
      <c r="J65" s="3"/>
      <c r="K65" s="57">
        <f>IFERROR(__xludf.DUMMYFUNCTION("""COMPUTED_VALUE"""),3.66)</f>
        <v>3.66</v>
      </c>
      <c r="L65" s="54">
        <f>IFERROR(__xludf.DUMMYFUNCTION("""COMPUTED_VALUE"""),40.0)</f>
        <v>40</v>
      </c>
      <c r="M65" s="3"/>
      <c r="N65" s="3"/>
      <c r="O65" s="3"/>
      <c r="P65" s="3"/>
      <c r="Q65" s="3"/>
      <c r="R65" s="3"/>
      <c r="S65" s="3"/>
      <c r="T65" s="5"/>
      <c r="U65" s="5"/>
      <c r="V65" s="5"/>
      <c r="W65" s="5"/>
    </row>
    <row r="66" ht="15.75" customHeight="1">
      <c r="A66" s="3">
        <f>IFERROR(__xludf.DUMMYFUNCTION("""COMPUTED_VALUE"""),66.0)</f>
        <v>66</v>
      </c>
      <c r="B66" s="53">
        <f>IFERROR(__xludf.DUMMYFUNCTION("""COMPUTED_VALUE"""),45350.0)</f>
        <v>45350</v>
      </c>
      <c r="C66" s="3">
        <f>IFERROR(__xludf.DUMMYFUNCTION("""COMPUTED_VALUE"""),84.0)</f>
        <v>84</v>
      </c>
      <c r="D66" s="3" t="str">
        <f>IFERROR(__xludf.DUMMYFUNCTION("""COMPUTED_VALUE"""),"1.110")</f>
        <v>1.110</v>
      </c>
      <c r="E66" s="54">
        <f>IFERROR(__xludf.DUMMYFUNCTION("""COMPUTED_VALUE"""),31512.0)</f>
        <v>31512</v>
      </c>
      <c r="F66" s="3" t="str">
        <f>IFERROR(__xludf.DUMMYFUNCTION("""COMPUTED_VALUE"""),"Cabernet Sauvignon")</f>
        <v>Cabernet Sauvignon</v>
      </c>
      <c r="G66" s="55">
        <f>IFERROR(__xludf.DUMMYFUNCTION("""COMPUTED_VALUE"""),12.6)</f>
        <v>12.6</v>
      </c>
      <c r="H66" s="56">
        <f>IFERROR(__xludf.DUMMYFUNCTION("""COMPUTED_VALUE"""),5.0)</f>
        <v>5</v>
      </c>
      <c r="I66" s="57">
        <f>IFERROR(__xludf.DUMMYFUNCTION("""COMPUTED_VALUE"""),0.37)</f>
        <v>0.37</v>
      </c>
      <c r="J66" s="3"/>
      <c r="K66" s="57">
        <f>IFERROR(__xludf.DUMMYFUNCTION("""COMPUTED_VALUE"""),3.65)</f>
        <v>3.65</v>
      </c>
      <c r="L66" s="3"/>
      <c r="M66" s="3"/>
      <c r="N66" s="3"/>
      <c r="O66" s="3"/>
      <c r="P66" s="3"/>
      <c r="Q66" s="3"/>
      <c r="R66" s="3"/>
      <c r="S66" s="3"/>
      <c r="T66" s="5"/>
      <c r="U66" s="5"/>
      <c r="V66" s="5"/>
      <c r="W66" s="5"/>
    </row>
    <row r="67" ht="15.75" customHeight="1">
      <c r="A67" s="3">
        <f>IFERROR(__xludf.DUMMYFUNCTION("""COMPUTED_VALUE"""),67.0)</f>
        <v>67</v>
      </c>
      <c r="B67" s="3"/>
      <c r="C67" s="3">
        <f>IFERROR(__xludf.DUMMYFUNCTION("""COMPUTED_VALUE"""),73.0)</f>
        <v>73</v>
      </c>
      <c r="D67" s="3" t="str">
        <f>IFERROR(__xludf.DUMMYFUNCTION("""COMPUTED_VALUE"""),"#REF!")</f>
        <v>#REF!</v>
      </c>
      <c r="E67" s="3"/>
      <c r="F67" s="3" t="str">
        <f>IFERROR(__xludf.DUMMYFUNCTION("""COMPUTED_VALUE"""),"tinto sobre orujo aspirant rectificado")</f>
        <v>tinto sobre orujo aspirant rectificado</v>
      </c>
      <c r="G67" s="55">
        <f>IFERROR(__xludf.DUMMYFUNCTION("""COMPUTED_VALUE"""),11.0)</f>
        <v>11</v>
      </c>
      <c r="H67" s="56">
        <f>IFERROR(__xludf.DUMMYFUNCTION("""COMPUTED_VALUE"""),2.0)</f>
        <v>2</v>
      </c>
      <c r="I67" s="57">
        <f>IFERROR(__xludf.DUMMYFUNCTION("""COMPUTED_VALUE"""),0.35)</f>
        <v>0.35</v>
      </c>
      <c r="J67" s="3"/>
      <c r="K67" s="57">
        <f>IFERROR(__xludf.DUMMYFUNCTION("""COMPUTED_VALUE"""),3.0)</f>
        <v>3</v>
      </c>
      <c r="L67" s="54">
        <f>IFERROR(__xludf.DUMMYFUNCTION("""COMPUTED_VALUE"""),25.0)</f>
        <v>25</v>
      </c>
      <c r="M67" s="3">
        <f>IFERROR(__xludf.DUMMYFUNCTION("""COMPUTED_VALUE"""),150.0)</f>
        <v>150</v>
      </c>
      <c r="N67" s="3"/>
      <c r="O67" s="3"/>
      <c r="P67" s="3"/>
      <c r="Q67" s="3"/>
      <c r="R67" s="3"/>
      <c r="S67" s="3"/>
      <c r="T67" s="5"/>
      <c r="U67" s="5"/>
      <c r="V67" s="5"/>
      <c r="W67" s="5"/>
    </row>
    <row r="68" ht="15.75" customHeight="1">
      <c r="A68" s="3">
        <f>IFERROR(__xludf.DUMMYFUNCTION("""COMPUTED_VALUE"""),68.0)</f>
        <v>68</v>
      </c>
      <c r="B68" s="53">
        <f>IFERROR(__xludf.DUMMYFUNCTION("""COMPUTED_VALUE"""),45351.0)</f>
        <v>45351</v>
      </c>
      <c r="C68" s="3">
        <f>IFERROR(__xludf.DUMMYFUNCTION("""COMPUTED_VALUE"""),85.0)</f>
        <v>85</v>
      </c>
      <c r="D68" s="3" t="str">
        <f>IFERROR(__xludf.DUMMYFUNCTION("""COMPUTED_VALUE"""),"1.107")</f>
        <v>1.107</v>
      </c>
      <c r="E68" s="54">
        <f>IFERROR(__xludf.DUMMYFUNCTION("""COMPUTED_VALUE"""),45162.0)</f>
        <v>45162</v>
      </c>
      <c r="F68" s="3" t="str">
        <f>IFERROR(__xludf.DUMMYFUNCTION("""COMPUTED_VALUE"""),"Bonarda")</f>
        <v>Bonarda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5"/>
      <c r="U68" s="5"/>
      <c r="V68" s="5"/>
      <c r="W68" s="5"/>
    </row>
    <row r="69" ht="15.75" customHeight="1">
      <c r="A69" s="3">
        <f>IFERROR(__xludf.DUMMYFUNCTION("""COMPUTED_VALUE"""),69.0)</f>
        <v>69</v>
      </c>
      <c r="B69" s="53">
        <f>IFERROR(__xludf.DUMMYFUNCTION("""COMPUTED_VALUE"""),45351.0)</f>
        <v>45351</v>
      </c>
      <c r="C69" s="3">
        <f>IFERROR(__xludf.DUMMYFUNCTION("""COMPUTED_VALUE"""),77.0)</f>
        <v>77</v>
      </c>
      <c r="D69" s="3" t="str">
        <f>IFERROR(__xludf.DUMMYFUNCTION("""COMPUTED_VALUE"""),"1.083")</f>
        <v>1.083</v>
      </c>
      <c r="E69" s="54">
        <f>IFERROR(__xludf.DUMMYFUNCTION("""COMPUTED_VALUE"""),18579.600000000002)</f>
        <v>18579.6</v>
      </c>
      <c r="F69" s="3" t="str">
        <f>IFERROR(__xludf.DUMMYFUNCTION("""COMPUTED_VALUE"""),"Pedro Gimenez")</f>
        <v>Pedro Gimenez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5"/>
      <c r="U69" s="5"/>
      <c r="V69" s="5"/>
      <c r="W69" s="5"/>
    </row>
    <row r="70" ht="15.75" customHeight="1">
      <c r="A70" s="3">
        <f>IFERROR(__xludf.DUMMYFUNCTION("""COMPUTED_VALUE"""),70.0)</f>
        <v>70</v>
      </c>
      <c r="B70" s="53">
        <f>IFERROR(__xludf.DUMMYFUNCTION("""COMPUTED_VALUE"""),45351.0)</f>
        <v>45351</v>
      </c>
      <c r="C70" s="3">
        <f>IFERROR(__xludf.DUMMYFUNCTION("""COMPUTED_VALUE"""),52.0)</f>
        <v>52</v>
      </c>
      <c r="D70" s="3" t="str">
        <f>IFERROR(__xludf.DUMMYFUNCTION("""COMPUTED_VALUE"""),"#REF!")</f>
        <v>#REF!</v>
      </c>
      <c r="E70" s="3"/>
      <c r="F70" s="3" t="str">
        <f>IFERROR(__xludf.DUMMYFUNCTION("""COMPUTED_VALUE"""),"Chardonnay")</f>
        <v>Chardonnay</v>
      </c>
      <c r="G70" s="3"/>
      <c r="H70" s="3"/>
      <c r="I70" s="3"/>
      <c r="J70" s="57">
        <f>IFERROR(__xludf.DUMMYFUNCTION("""COMPUTED_VALUE"""),7.3)</f>
        <v>7.3</v>
      </c>
      <c r="K70" s="57">
        <f>IFERROR(__xludf.DUMMYFUNCTION("""COMPUTED_VALUE"""),3.52)</f>
        <v>3.52</v>
      </c>
      <c r="L70" s="54">
        <f>IFERROR(__xludf.DUMMYFUNCTION("""COMPUTED_VALUE"""),20.0)</f>
        <v>20</v>
      </c>
      <c r="M70" s="3">
        <f>IFERROR(__xludf.DUMMYFUNCTION("""COMPUTED_VALUE"""),77.0)</f>
        <v>77</v>
      </c>
      <c r="N70" s="3"/>
      <c r="O70" s="3"/>
      <c r="P70" s="3"/>
      <c r="Q70" s="3"/>
      <c r="R70" s="3"/>
      <c r="S70" s="3"/>
      <c r="T70" s="5"/>
      <c r="U70" s="5"/>
      <c r="V70" s="5"/>
      <c r="W70" s="5"/>
    </row>
    <row r="71" ht="15.75" customHeight="1">
      <c r="A71" s="3">
        <f>IFERROR(__xludf.DUMMYFUNCTION("""COMPUTED_VALUE"""),71.0)</f>
        <v>71</v>
      </c>
      <c r="B71" s="53">
        <f>IFERROR(__xludf.DUMMYFUNCTION("""COMPUTED_VALUE"""),45351.0)</f>
        <v>45351</v>
      </c>
      <c r="C71" s="3">
        <f>IFERROR(__xludf.DUMMYFUNCTION("""COMPUTED_VALUE"""),10.0)</f>
        <v>10</v>
      </c>
      <c r="D71" s="3" t="str">
        <f>IFERROR(__xludf.DUMMYFUNCTION("""COMPUTED_VALUE"""),"#REF!")</f>
        <v>#REF!</v>
      </c>
      <c r="E71" s="3"/>
      <c r="F71" s="3" t="str">
        <f>IFERROR(__xludf.DUMMYFUNCTION("""COMPUTED_VALUE"""),"Chardonnay")</f>
        <v>Chardonnay</v>
      </c>
      <c r="G71" s="3"/>
      <c r="H71" s="3"/>
      <c r="I71" s="3"/>
      <c r="J71" s="57">
        <f>IFERROR(__xludf.DUMMYFUNCTION("""COMPUTED_VALUE"""),7.6)</f>
        <v>7.6</v>
      </c>
      <c r="K71" s="57">
        <f>IFERROR(__xludf.DUMMYFUNCTION("""COMPUTED_VALUE"""),3.45)</f>
        <v>3.45</v>
      </c>
      <c r="L71" s="54">
        <f>IFERROR(__xludf.DUMMYFUNCTION("""COMPUTED_VALUE"""),22.0)</f>
        <v>22</v>
      </c>
      <c r="M71" s="3">
        <f>IFERROR(__xludf.DUMMYFUNCTION("""COMPUTED_VALUE"""),100.0)</f>
        <v>100</v>
      </c>
      <c r="N71" s="3"/>
      <c r="O71" s="3"/>
      <c r="P71" s="3"/>
      <c r="Q71" s="3"/>
      <c r="R71" s="3"/>
      <c r="S71" s="3"/>
      <c r="T71" s="5"/>
      <c r="U71" s="5"/>
      <c r="V71" s="5"/>
      <c r="W71" s="5"/>
    </row>
    <row r="72" ht="15.75" customHeight="1">
      <c r="A72" s="3">
        <f>IFERROR(__xludf.DUMMYFUNCTION("""COMPUTED_VALUE"""),72.0)</f>
        <v>72</v>
      </c>
      <c r="B72" s="53">
        <f>IFERROR(__xludf.DUMMYFUNCTION("""COMPUTED_VALUE"""),45351.0)</f>
        <v>45351</v>
      </c>
      <c r="C72" s="3">
        <f>IFERROR(__xludf.DUMMYFUNCTION("""COMPUTED_VALUE"""),44.0)</f>
        <v>44</v>
      </c>
      <c r="D72" s="3" t="str">
        <f>IFERROR(__xludf.DUMMYFUNCTION("""COMPUTED_VALUE"""),"#REF!")</f>
        <v>#REF!</v>
      </c>
      <c r="E72" s="3"/>
      <c r="F72" s="3" t="str">
        <f>IFERROR(__xludf.DUMMYFUNCTION("""COMPUTED_VALUE"""),"chenin")</f>
        <v>chenin</v>
      </c>
      <c r="G72" s="55">
        <f>IFERROR(__xludf.DUMMYFUNCTION("""COMPUTED_VALUE"""),11.0)</f>
        <v>11</v>
      </c>
      <c r="H72" s="3"/>
      <c r="I72" s="3"/>
      <c r="J72" s="57">
        <f>IFERROR(__xludf.DUMMYFUNCTION("""COMPUTED_VALUE"""),9.18)</f>
        <v>9.18</v>
      </c>
      <c r="K72" s="57">
        <f>IFERROR(__xludf.DUMMYFUNCTION("""COMPUTED_VALUE"""),3.31)</f>
        <v>3.31</v>
      </c>
      <c r="L72" s="54">
        <f>IFERROR(__xludf.DUMMYFUNCTION("""COMPUTED_VALUE"""),18.0)</f>
        <v>18</v>
      </c>
      <c r="M72" s="3">
        <f>IFERROR(__xludf.DUMMYFUNCTION("""COMPUTED_VALUE"""),110.0)</f>
        <v>110</v>
      </c>
      <c r="N72" s="3"/>
      <c r="O72" s="3"/>
      <c r="P72" s="3"/>
      <c r="Q72" s="3"/>
      <c r="R72" s="3"/>
      <c r="S72" s="3"/>
      <c r="T72" s="5"/>
      <c r="U72" s="5"/>
      <c r="V72" s="5"/>
      <c r="W72" s="5"/>
    </row>
    <row r="73" ht="15.75" customHeight="1">
      <c r="A73" s="3">
        <f>IFERROR(__xludf.DUMMYFUNCTION("""COMPUTED_VALUE"""),73.0)</f>
        <v>73</v>
      </c>
      <c r="B73" s="53">
        <f>IFERROR(__xludf.DUMMYFUNCTION("""COMPUTED_VALUE"""),45351.0)</f>
        <v>45351</v>
      </c>
      <c r="C73" s="3">
        <f>IFERROR(__xludf.DUMMYFUNCTION("""COMPUTED_VALUE"""),77.0)</f>
        <v>77</v>
      </c>
      <c r="D73" s="3" t="str">
        <f>IFERROR(__xludf.DUMMYFUNCTION("""COMPUTED_VALUE"""),"1.083")</f>
        <v>1.083</v>
      </c>
      <c r="E73" s="54">
        <f>IFERROR(__xludf.DUMMYFUNCTION("""COMPUTED_VALUE"""),18579.600000000002)</f>
        <v>18579.6</v>
      </c>
      <c r="F73" s="3" t="str">
        <f>IFERROR(__xludf.DUMMYFUNCTION("""COMPUTED_VALUE"""),"Pedro Gimenez")</f>
        <v>Pedro Gimenez</v>
      </c>
      <c r="G73" s="3"/>
      <c r="H73" s="56">
        <f>IFERROR(__xludf.DUMMYFUNCTION("""COMPUTED_VALUE"""),4.12)</f>
        <v>4.12</v>
      </c>
      <c r="I73" s="57">
        <f>IFERROR(__xludf.DUMMYFUNCTION("""COMPUTED_VALUE"""),0.43)</f>
        <v>0.43</v>
      </c>
      <c r="J73" s="3"/>
      <c r="K73" s="3"/>
      <c r="L73" s="54">
        <f>IFERROR(__xludf.DUMMYFUNCTION("""COMPUTED_VALUE"""),33.0)</f>
        <v>33</v>
      </c>
      <c r="M73" s="3"/>
      <c r="N73" s="3"/>
      <c r="O73" s="3"/>
      <c r="P73" s="3"/>
      <c r="Q73" s="3"/>
      <c r="R73" s="3"/>
      <c r="S73" s="3"/>
      <c r="T73" s="5"/>
      <c r="U73" s="5"/>
      <c r="V73" s="5"/>
      <c r="W73" s="5"/>
    </row>
    <row r="74" ht="15.75" customHeight="1">
      <c r="A74" s="3">
        <f>IFERROR(__xludf.DUMMYFUNCTION("""COMPUTED_VALUE"""),74.0)</f>
        <v>74</v>
      </c>
      <c r="B74" s="53">
        <f>IFERROR(__xludf.DUMMYFUNCTION("""COMPUTED_VALUE"""),45351.0)</f>
        <v>45351</v>
      </c>
      <c r="C74" s="3">
        <f>IFERROR(__xludf.DUMMYFUNCTION("""COMPUTED_VALUE"""),85.0)</f>
        <v>85</v>
      </c>
      <c r="D74" s="3" t="str">
        <f>IFERROR(__xludf.DUMMYFUNCTION("""COMPUTED_VALUE"""),"1.107")</f>
        <v>1.107</v>
      </c>
      <c r="E74" s="54">
        <f>IFERROR(__xludf.DUMMYFUNCTION("""COMPUTED_VALUE"""),45162.0)</f>
        <v>45162</v>
      </c>
      <c r="F74" s="3" t="str">
        <f>IFERROR(__xludf.DUMMYFUNCTION("""COMPUTED_VALUE"""),"Bonarda")</f>
        <v>Bonarda</v>
      </c>
      <c r="G74" s="3"/>
      <c r="H74" s="56">
        <f>IFERROR(__xludf.DUMMYFUNCTION("""COMPUTED_VALUE"""),9.7)</f>
        <v>9.7</v>
      </c>
      <c r="I74" s="57">
        <f>IFERROR(__xludf.DUMMYFUNCTION("""COMPUTED_VALUE"""),0.4)</f>
        <v>0.4</v>
      </c>
      <c r="J74" s="3"/>
      <c r="K74" s="3"/>
      <c r="L74" s="54">
        <f>IFERROR(__xludf.DUMMYFUNCTION("""COMPUTED_VALUE"""),32.0)</f>
        <v>32</v>
      </c>
      <c r="M74" s="3"/>
      <c r="N74" s="3"/>
      <c r="O74" s="3"/>
      <c r="P74" s="3"/>
      <c r="Q74" s="3"/>
      <c r="R74" s="3"/>
      <c r="S74" s="3"/>
      <c r="T74" s="5"/>
      <c r="U74" s="5"/>
      <c r="V74" s="5"/>
      <c r="W74" s="5"/>
    </row>
    <row r="75" ht="15.75" customHeight="1">
      <c r="A75" s="3">
        <f>IFERROR(__xludf.DUMMYFUNCTION("""COMPUTED_VALUE"""),75.0)</f>
        <v>75</v>
      </c>
      <c r="B75" s="53">
        <f>IFERROR(__xludf.DUMMYFUNCTION("""COMPUTED_VALUE"""),45352.0)</f>
        <v>45352</v>
      </c>
      <c r="C75" s="3">
        <f>IFERROR(__xludf.DUMMYFUNCTION("""COMPUTED_VALUE"""),41.0)</f>
        <v>41</v>
      </c>
      <c r="D75" s="3" t="str">
        <f>IFERROR(__xludf.DUMMYFUNCTION("""COMPUTED_VALUE"""),"#REF!")</f>
        <v>#REF!</v>
      </c>
      <c r="E75" s="3"/>
      <c r="F75" s="3" t="str">
        <f>IFERROR(__xludf.DUMMYFUNCTION("""COMPUTED_VALUE"""),"corte merlot sobre aspirant 2")</f>
        <v>corte merlot sobre aspirant 2</v>
      </c>
      <c r="G75" s="55">
        <f>IFERROR(__xludf.DUMMYFUNCTION("""COMPUTED_VALUE"""),12.5)</f>
        <v>12.5</v>
      </c>
      <c r="H75" s="56">
        <f>IFERROR(__xludf.DUMMYFUNCTION("""COMPUTED_VALUE"""),3.91)</f>
        <v>3.91</v>
      </c>
      <c r="I75" s="57">
        <f>IFERROR(__xludf.DUMMYFUNCTION("""COMPUTED_VALUE"""),0.52)</f>
        <v>0.52</v>
      </c>
      <c r="J75" s="57">
        <f>IFERROR(__xludf.DUMMYFUNCTION("""COMPUTED_VALUE"""),6.12)</f>
        <v>6.12</v>
      </c>
      <c r="K75" s="57">
        <f>IFERROR(__xludf.DUMMYFUNCTION("""COMPUTED_VALUE"""),3.6)</f>
        <v>3.6</v>
      </c>
      <c r="L75" s="54">
        <f>IFERROR(__xludf.DUMMYFUNCTION("""COMPUTED_VALUE"""),32.0)</f>
        <v>32</v>
      </c>
      <c r="M75" s="3">
        <f>IFERROR(__xludf.DUMMYFUNCTION("""COMPUTED_VALUE"""),128.0)</f>
        <v>128</v>
      </c>
      <c r="N75" s="3"/>
      <c r="O75" s="3"/>
      <c r="P75" s="3"/>
      <c r="Q75" s="3"/>
      <c r="R75" s="3"/>
      <c r="S75" s="3"/>
      <c r="T75" s="5"/>
      <c r="U75" s="5"/>
      <c r="V75" s="5"/>
      <c r="W75" s="5"/>
    </row>
    <row r="76" ht="15.75" customHeight="1">
      <c r="A76" s="3">
        <f>IFERROR(__xludf.DUMMYFUNCTION("""COMPUTED_VALUE"""),76.0)</f>
        <v>76</v>
      </c>
      <c r="B76" s="53">
        <f>IFERROR(__xludf.DUMMYFUNCTION("""COMPUTED_VALUE"""),45353.0)</f>
        <v>45353</v>
      </c>
      <c r="C76" s="3">
        <f>IFERROR(__xludf.DUMMYFUNCTION("""COMPUTED_VALUE"""),85.0)</f>
        <v>85</v>
      </c>
      <c r="D76" s="3" t="str">
        <f>IFERROR(__xludf.DUMMYFUNCTION("""COMPUTED_VALUE"""),"1.107")</f>
        <v>1.107</v>
      </c>
      <c r="E76" s="54">
        <f>IFERROR(__xludf.DUMMYFUNCTION("""COMPUTED_VALUE"""),45162.0)</f>
        <v>45162</v>
      </c>
      <c r="F76" s="3" t="str">
        <f>IFERROR(__xludf.DUMMYFUNCTION("""COMPUTED_VALUE"""),"Bonarda")</f>
        <v>Bonarda</v>
      </c>
      <c r="G76" s="3"/>
      <c r="H76" s="56">
        <f>IFERROR(__xludf.DUMMYFUNCTION("""COMPUTED_VALUE"""),10.0)</f>
        <v>10</v>
      </c>
      <c r="I76" s="57">
        <f>IFERROR(__xludf.DUMMYFUNCTION("""COMPUTED_VALUE"""),0.4)</f>
        <v>0.4</v>
      </c>
      <c r="J76" s="57">
        <f>IFERROR(__xludf.DUMMYFUNCTION("""COMPUTED_VALUE"""),6.0)</f>
        <v>6</v>
      </c>
      <c r="K76" s="3"/>
      <c r="L76" s="54">
        <f>IFERROR(__xludf.DUMMYFUNCTION("""COMPUTED_VALUE"""),30.0)</f>
        <v>30</v>
      </c>
      <c r="M76" s="3">
        <f>IFERROR(__xludf.DUMMYFUNCTION("""COMPUTED_VALUE"""),115.0)</f>
        <v>115</v>
      </c>
      <c r="N76" s="3"/>
      <c r="O76" s="3"/>
      <c r="P76" s="3"/>
      <c r="Q76" s="3"/>
      <c r="R76" s="3"/>
      <c r="S76" s="3"/>
      <c r="T76" s="5"/>
      <c r="U76" s="5"/>
      <c r="V76" s="5"/>
      <c r="W76" s="5"/>
    </row>
    <row r="77" ht="15.75" customHeight="1">
      <c r="A77" s="3">
        <f>IFERROR(__xludf.DUMMYFUNCTION("""COMPUTED_VALUE"""),77.0)</f>
        <v>77</v>
      </c>
      <c r="B77" s="53">
        <f>IFERROR(__xludf.DUMMYFUNCTION("""COMPUTED_VALUE"""),45353.0)</f>
        <v>45353</v>
      </c>
      <c r="C77" s="3">
        <f>IFERROR(__xludf.DUMMYFUNCTION("""COMPUTED_VALUE"""),80.0)</f>
        <v>80</v>
      </c>
      <c r="D77" s="3" t="str">
        <f>IFERROR(__xludf.DUMMYFUNCTION("""COMPUTED_VALUE"""),"1.100")</f>
        <v>1.100</v>
      </c>
      <c r="E77" s="54">
        <f>IFERROR(__xludf.DUMMYFUNCTION("""COMPUTED_VALUE"""),18657.600000000002)</f>
        <v>18657.6</v>
      </c>
      <c r="F77" s="3" t="str">
        <f>IFERROR(__xludf.DUMMYFUNCTION("""COMPUTED_VALUE"""),"Syrah")</f>
        <v>Syrah</v>
      </c>
      <c r="G77" s="55">
        <f>IFERROR(__xludf.DUMMYFUNCTION("""COMPUTED_VALUE"""),12.1)</f>
        <v>12.1</v>
      </c>
      <c r="H77" s="56">
        <f>IFERROR(__xludf.DUMMYFUNCTION("""COMPUTED_VALUE"""),2.0)</f>
        <v>2</v>
      </c>
      <c r="I77" s="57">
        <f>IFERROR(__xludf.DUMMYFUNCTION("""COMPUTED_VALUE"""),0.3)</f>
        <v>0.3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5"/>
      <c r="U77" s="5"/>
      <c r="V77" s="5"/>
      <c r="W77" s="5"/>
    </row>
    <row r="78" ht="15.75" customHeight="1">
      <c r="A78" s="3">
        <f>IFERROR(__xludf.DUMMYFUNCTION("""COMPUTED_VALUE"""),78.0)</f>
        <v>78</v>
      </c>
      <c r="B78" s="53">
        <f>IFERROR(__xludf.DUMMYFUNCTION("""COMPUTED_VALUE"""),45355.0)</f>
        <v>45355</v>
      </c>
      <c r="C78" s="3">
        <f>IFERROR(__xludf.DUMMYFUNCTION("""COMPUTED_VALUE"""),8.0)</f>
        <v>8</v>
      </c>
      <c r="D78" s="3" t="str">
        <f>IFERROR(__xludf.DUMMYFUNCTION("""COMPUTED_VALUE"""),"#REF!")</f>
        <v>#REF!</v>
      </c>
      <c r="E78" s="3"/>
      <c r="F78" s="3" t="str">
        <f>IFERROR(__xludf.DUMMYFUNCTION("""COMPUTED_VALUE"""),"chardonnay")</f>
        <v>chardonnay</v>
      </c>
      <c r="G78" s="3"/>
      <c r="H78" s="3"/>
      <c r="I78" s="3"/>
      <c r="J78" s="3"/>
      <c r="K78" s="3"/>
      <c r="L78" s="54">
        <f>IFERROR(__xludf.DUMMYFUNCTION("""COMPUTED_VALUE"""),19.0)</f>
        <v>19</v>
      </c>
      <c r="M78" s="3">
        <f>IFERROR(__xludf.DUMMYFUNCTION("""COMPUTED_VALUE"""),79.0)</f>
        <v>79</v>
      </c>
      <c r="N78" s="3"/>
      <c r="O78" s="3"/>
      <c r="P78" s="3"/>
      <c r="Q78" s="3"/>
      <c r="R78" s="3"/>
      <c r="S78" s="3"/>
      <c r="T78" s="5"/>
      <c r="U78" s="5"/>
      <c r="V78" s="5"/>
      <c r="W78" s="5"/>
    </row>
    <row r="79" ht="15.75" customHeight="1">
      <c r="A79" s="3">
        <f>IFERROR(__xludf.DUMMYFUNCTION("""COMPUTED_VALUE"""),79.0)</f>
        <v>79</v>
      </c>
      <c r="B79" s="53">
        <f>IFERROR(__xludf.DUMMYFUNCTION("""COMPUTED_VALUE"""),45355.0)</f>
        <v>45355</v>
      </c>
      <c r="C79" s="3">
        <f>IFERROR(__xludf.DUMMYFUNCTION("""COMPUTED_VALUE"""),10.0)</f>
        <v>10</v>
      </c>
      <c r="D79" s="3" t="str">
        <f>IFERROR(__xludf.DUMMYFUNCTION("""COMPUTED_VALUE"""),"1.034")</f>
        <v>1.034</v>
      </c>
      <c r="E79" s="54">
        <f>IFERROR(__xludf.DUMMYFUNCTION("""COMPUTED_VALUE"""),21000.0)</f>
        <v>21000</v>
      </c>
      <c r="F79" s="3" t="str">
        <f>IFERROR(__xludf.DUMMYFUNCTION("""COMPUTED_VALUE"""),"Chardonnay")</f>
        <v>Chardonnay</v>
      </c>
      <c r="G79" s="3"/>
      <c r="H79" s="3"/>
      <c r="I79" s="3"/>
      <c r="J79" s="3"/>
      <c r="K79" s="3"/>
      <c r="L79" s="54">
        <f>IFERROR(__xludf.DUMMYFUNCTION("""COMPUTED_VALUE"""),20.0)</f>
        <v>20</v>
      </c>
      <c r="M79" s="3">
        <f>IFERROR(__xludf.DUMMYFUNCTION("""COMPUTED_VALUE"""),98.0)</f>
        <v>98</v>
      </c>
      <c r="N79" s="3"/>
      <c r="O79" s="3"/>
      <c r="P79" s="3"/>
      <c r="Q79" s="3"/>
      <c r="R79" s="3"/>
      <c r="S79" s="3"/>
      <c r="T79" s="5"/>
      <c r="U79" s="5"/>
      <c r="V79" s="5"/>
      <c r="W79" s="5"/>
    </row>
    <row r="80" ht="15.75" customHeight="1">
      <c r="A80" s="3">
        <f>IFERROR(__xludf.DUMMYFUNCTION("""COMPUTED_VALUE"""),80.0)</f>
        <v>80</v>
      </c>
      <c r="B80" s="53">
        <f>IFERROR(__xludf.DUMMYFUNCTION("""COMPUTED_VALUE"""),45355.0)</f>
        <v>45355</v>
      </c>
      <c r="C80" s="3">
        <f>IFERROR(__xludf.DUMMYFUNCTION("""COMPUTED_VALUE"""),30.0)</f>
        <v>30</v>
      </c>
      <c r="D80" s="3" t="str">
        <f>IFERROR(__xludf.DUMMYFUNCTION("""COMPUTED_VALUE"""),"1.026")</f>
        <v>1.026</v>
      </c>
      <c r="E80" s="54">
        <f>IFERROR(__xludf.DUMMYFUNCTION("""COMPUTED_VALUE"""),38800.0)</f>
        <v>38800</v>
      </c>
      <c r="F80" s="3" t="str">
        <f>IFERROR(__xludf.DUMMYFUNCTION("""COMPUTED_VALUE"""),"Chardonnay")</f>
        <v>Chardonnay</v>
      </c>
      <c r="G80" s="3"/>
      <c r="H80" s="3"/>
      <c r="I80" s="3"/>
      <c r="J80" s="3"/>
      <c r="K80" s="3"/>
      <c r="L80" s="54">
        <f>IFERROR(__xludf.DUMMYFUNCTION("""COMPUTED_VALUE"""),28.0)</f>
        <v>28</v>
      </c>
      <c r="M80" s="3">
        <f>IFERROR(__xludf.DUMMYFUNCTION("""COMPUTED_VALUE"""),100.0)</f>
        <v>100</v>
      </c>
      <c r="N80" s="3"/>
      <c r="O80" s="3"/>
      <c r="P80" s="3"/>
      <c r="Q80" s="3"/>
      <c r="R80" s="3"/>
      <c r="S80" s="3"/>
      <c r="T80" s="5"/>
      <c r="U80" s="5"/>
      <c r="V80" s="5"/>
      <c r="W80" s="5"/>
    </row>
    <row r="81" ht="15.75" customHeight="1">
      <c r="A81" s="3">
        <f>IFERROR(__xludf.DUMMYFUNCTION("""COMPUTED_VALUE"""),81.0)</f>
        <v>81</v>
      </c>
      <c r="B81" s="53">
        <f>IFERROR(__xludf.DUMMYFUNCTION("""COMPUTED_VALUE"""),45355.0)</f>
        <v>45355</v>
      </c>
      <c r="C81" s="3">
        <f>IFERROR(__xludf.DUMMYFUNCTION("""COMPUTED_VALUE"""),34.0)</f>
        <v>34</v>
      </c>
      <c r="D81" s="3" t="str">
        <f>IFERROR(__xludf.DUMMYFUNCTION("""COMPUTED_VALUE"""),"1.054")</f>
        <v>1.054</v>
      </c>
      <c r="E81" s="54">
        <f>IFERROR(__xludf.DUMMYFUNCTION("""COMPUTED_VALUE"""),39500.0)</f>
        <v>39500</v>
      </c>
      <c r="F81" s="3" t="str">
        <f>IFERROR(__xludf.DUMMYFUNCTION("""COMPUTED_VALUE"""),"Chardonnay")</f>
        <v>Chardonnay</v>
      </c>
      <c r="G81" s="3"/>
      <c r="H81" s="3"/>
      <c r="I81" s="3"/>
      <c r="J81" s="3"/>
      <c r="K81" s="3"/>
      <c r="L81" s="54">
        <f>IFERROR(__xludf.DUMMYFUNCTION("""COMPUTED_VALUE"""),23.0)</f>
        <v>23</v>
      </c>
      <c r="M81" s="3">
        <f>IFERROR(__xludf.DUMMYFUNCTION("""COMPUTED_VALUE"""),102.0)</f>
        <v>102</v>
      </c>
      <c r="N81" s="3"/>
      <c r="O81" s="3"/>
      <c r="P81" s="3"/>
      <c r="Q81" s="3"/>
      <c r="R81" s="3"/>
      <c r="S81" s="3"/>
      <c r="T81" s="5"/>
      <c r="U81" s="5"/>
      <c r="V81" s="5"/>
      <c r="W81" s="5"/>
    </row>
    <row r="82" ht="15.75" customHeight="1">
      <c r="A82" s="3">
        <f>IFERROR(__xludf.DUMMYFUNCTION("""COMPUTED_VALUE"""),82.0)</f>
        <v>82</v>
      </c>
      <c r="B82" s="53">
        <f>IFERROR(__xludf.DUMMYFUNCTION("""COMPUTED_VALUE"""),45355.0)</f>
        <v>45355</v>
      </c>
      <c r="C82" s="3">
        <f>IFERROR(__xludf.DUMMYFUNCTION("""COMPUTED_VALUE"""),35.0)</f>
        <v>35</v>
      </c>
      <c r="D82" s="3" t="str">
        <f>IFERROR(__xludf.DUMMYFUNCTION("""COMPUTED_VALUE"""),"1.028")</f>
        <v>1.028</v>
      </c>
      <c r="E82" s="54">
        <f>IFERROR(__xludf.DUMMYFUNCTION("""COMPUTED_VALUE"""),39300.0)</f>
        <v>39300</v>
      </c>
      <c r="F82" s="3" t="str">
        <f>IFERROR(__xludf.DUMMYFUNCTION("""COMPUTED_VALUE"""),"Chardonnay")</f>
        <v>Chardonnay</v>
      </c>
      <c r="G82" s="3"/>
      <c r="H82" s="3"/>
      <c r="I82" s="3"/>
      <c r="J82" s="3"/>
      <c r="K82" s="3"/>
      <c r="L82" s="54">
        <f>IFERROR(__xludf.DUMMYFUNCTION("""COMPUTED_VALUE"""),36.0)</f>
        <v>36</v>
      </c>
      <c r="M82" s="3">
        <f>IFERROR(__xludf.DUMMYFUNCTION("""COMPUTED_VALUE"""),110.0)</f>
        <v>110</v>
      </c>
      <c r="N82" s="3"/>
      <c r="O82" s="3"/>
      <c r="P82" s="3"/>
      <c r="Q82" s="3"/>
      <c r="R82" s="3"/>
      <c r="S82" s="3"/>
      <c r="T82" s="5"/>
      <c r="U82" s="5"/>
      <c r="V82" s="5"/>
      <c r="W82" s="5"/>
    </row>
    <row r="83" ht="15.75" customHeight="1">
      <c r="A83" s="3">
        <f>IFERROR(__xludf.DUMMYFUNCTION("""COMPUTED_VALUE"""),83.0)</f>
        <v>83</v>
      </c>
      <c r="B83" s="53">
        <f>IFERROR(__xludf.DUMMYFUNCTION("""COMPUTED_VALUE"""),45355.0)</f>
        <v>45355</v>
      </c>
      <c r="C83" s="3">
        <f>IFERROR(__xludf.DUMMYFUNCTION("""COMPUTED_VALUE"""),44.0)</f>
        <v>44</v>
      </c>
      <c r="D83" s="3" t="str">
        <f>IFERROR(__xludf.DUMMYFUNCTION("""COMPUTED_VALUE"""),"1.066")</f>
        <v>1.066</v>
      </c>
      <c r="E83" s="54">
        <f>IFERROR(__xludf.DUMMYFUNCTION("""COMPUTED_VALUE"""),10000.0)</f>
        <v>10000</v>
      </c>
      <c r="F83" s="3" t="str">
        <f>IFERROR(__xludf.DUMMYFUNCTION("""COMPUTED_VALUE"""),"Chenin")</f>
        <v>Chenin</v>
      </c>
      <c r="G83" s="3"/>
      <c r="H83" s="3"/>
      <c r="I83" s="3"/>
      <c r="J83" s="3"/>
      <c r="K83" s="3"/>
      <c r="L83" s="54">
        <f>IFERROR(__xludf.DUMMYFUNCTION("""COMPUTED_VALUE"""),19.0)</f>
        <v>19</v>
      </c>
      <c r="M83" s="3">
        <f>IFERROR(__xludf.DUMMYFUNCTION("""COMPUTED_VALUE"""),92.0)</f>
        <v>92</v>
      </c>
      <c r="N83" s="3"/>
      <c r="O83" s="3"/>
      <c r="P83" s="3"/>
      <c r="Q83" s="3"/>
      <c r="R83" s="3"/>
      <c r="S83" s="3"/>
      <c r="T83" s="5"/>
      <c r="U83" s="5"/>
      <c r="V83" s="5"/>
      <c r="W83" s="5"/>
    </row>
    <row r="84" ht="15.75" customHeight="1">
      <c r="A84" s="3">
        <f>IFERROR(__xludf.DUMMYFUNCTION("""COMPUTED_VALUE"""),84.0)</f>
        <v>84</v>
      </c>
      <c r="B84" s="53">
        <f>IFERROR(__xludf.DUMMYFUNCTION("""COMPUTED_VALUE"""),45355.0)</f>
        <v>45355</v>
      </c>
      <c r="C84" s="3">
        <f>IFERROR(__xludf.DUMMYFUNCTION("""COMPUTED_VALUE"""),46.0)</f>
        <v>46</v>
      </c>
      <c r="D84" s="3" t="str">
        <f>IFERROR(__xludf.DUMMYFUNCTION("""COMPUTED_VALUE"""),"1.027")</f>
        <v>1.027</v>
      </c>
      <c r="E84" s="54">
        <f>IFERROR(__xludf.DUMMYFUNCTION("""COMPUTED_VALUE"""),29000.0)</f>
        <v>29000</v>
      </c>
      <c r="F84" s="3" t="str">
        <f>IFERROR(__xludf.DUMMYFUNCTION("""COMPUTED_VALUE"""),"Chardonnay")</f>
        <v>Chardonnay</v>
      </c>
      <c r="G84" s="3"/>
      <c r="H84" s="3"/>
      <c r="I84" s="3"/>
      <c r="J84" s="3"/>
      <c r="K84" s="3"/>
      <c r="L84" s="54">
        <f>IFERROR(__xludf.DUMMYFUNCTION("""COMPUTED_VALUE"""),25.0)</f>
        <v>25</v>
      </c>
      <c r="M84" s="3">
        <f>IFERROR(__xludf.DUMMYFUNCTION("""COMPUTED_VALUE"""),96.0)</f>
        <v>96</v>
      </c>
      <c r="N84" s="3"/>
      <c r="O84" s="3"/>
      <c r="P84" s="3"/>
      <c r="Q84" s="3"/>
      <c r="R84" s="3"/>
      <c r="S84" s="3"/>
      <c r="T84" s="5"/>
      <c r="U84" s="5"/>
      <c r="V84" s="5"/>
      <c r="W84" s="5"/>
    </row>
    <row r="85" ht="15.75" customHeight="1">
      <c r="A85" s="3">
        <f>IFERROR(__xludf.DUMMYFUNCTION("""COMPUTED_VALUE"""),85.0)</f>
        <v>85</v>
      </c>
      <c r="B85" s="53">
        <f>IFERROR(__xludf.DUMMYFUNCTION("""COMPUTED_VALUE"""),45355.0)</f>
        <v>45355</v>
      </c>
      <c r="C85" s="3">
        <f>IFERROR(__xludf.DUMMYFUNCTION("""COMPUTED_VALUE"""),47.0)</f>
        <v>47</v>
      </c>
      <c r="D85" s="3" t="str">
        <f>IFERROR(__xludf.DUMMYFUNCTION("""COMPUTED_VALUE"""),"1.029")</f>
        <v>1.029</v>
      </c>
      <c r="E85" s="54">
        <f>IFERROR(__xludf.DUMMYFUNCTION("""COMPUTED_VALUE"""),20000.0)</f>
        <v>20000</v>
      </c>
      <c r="F85" s="3" t="str">
        <f>IFERROR(__xludf.DUMMYFUNCTION("""COMPUTED_VALUE"""),"Chardonnay")</f>
        <v>Chardonnay</v>
      </c>
      <c r="G85" s="3"/>
      <c r="H85" s="3"/>
      <c r="I85" s="3"/>
      <c r="J85" s="3"/>
      <c r="K85" s="3"/>
      <c r="L85" s="54">
        <f>IFERROR(__xludf.DUMMYFUNCTION("""COMPUTED_VALUE"""),26.0)</f>
        <v>26</v>
      </c>
      <c r="M85" s="3">
        <f>IFERROR(__xludf.DUMMYFUNCTION("""COMPUTED_VALUE"""),89.0)</f>
        <v>89</v>
      </c>
      <c r="N85" s="3"/>
      <c r="O85" s="3"/>
      <c r="P85" s="3"/>
      <c r="Q85" s="3"/>
      <c r="R85" s="3"/>
      <c r="S85" s="3"/>
      <c r="T85" s="5"/>
      <c r="U85" s="5"/>
      <c r="V85" s="5"/>
      <c r="W85" s="5"/>
    </row>
    <row r="86" ht="15.75" customHeight="1">
      <c r="A86" s="3">
        <f>IFERROR(__xludf.DUMMYFUNCTION("""COMPUTED_VALUE"""),86.0)</f>
        <v>86</v>
      </c>
      <c r="B86" s="53">
        <f>IFERROR(__xludf.DUMMYFUNCTION("""COMPUTED_VALUE"""),45355.0)</f>
        <v>45355</v>
      </c>
      <c r="C86" s="3">
        <f>IFERROR(__xludf.DUMMYFUNCTION("""COMPUTED_VALUE"""),52.0)</f>
        <v>52</v>
      </c>
      <c r="D86" s="3" t="str">
        <f>IFERROR(__xludf.DUMMYFUNCTION("""COMPUTED_VALUE"""),"1.033")</f>
        <v>1.033</v>
      </c>
      <c r="E86" s="54">
        <f>IFERROR(__xludf.DUMMYFUNCTION("""COMPUTED_VALUE"""),27000.0)</f>
        <v>27000</v>
      </c>
      <c r="F86" s="3" t="str">
        <f>IFERROR(__xludf.DUMMYFUNCTION("""COMPUTED_VALUE"""),"Chardonnay")</f>
        <v>Chardonnay</v>
      </c>
      <c r="G86" s="3"/>
      <c r="H86" s="3"/>
      <c r="I86" s="3"/>
      <c r="J86" s="3"/>
      <c r="K86" s="3"/>
      <c r="L86" s="54">
        <f>IFERROR(__xludf.DUMMYFUNCTION("""COMPUTED_VALUE"""),25.0)</f>
        <v>25</v>
      </c>
      <c r="M86" s="3">
        <f>IFERROR(__xludf.DUMMYFUNCTION("""COMPUTED_VALUE"""),130.0)</f>
        <v>130</v>
      </c>
      <c r="N86" s="3"/>
      <c r="O86" s="3"/>
      <c r="P86" s="3"/>
      <c r="Q86" s="3"/>
      <c r="R86" s="3"/>
      <c r="S86" s="3"/>
      <c r="T86" s="5"/>
      <c r="U86" s="5"/>
      <c r="V86" s="5"/>
      <c r="W86" s="5"/>
    </row>
    <row r="87" ht="15.75" customHeight="1">
      <c r="A87" s="3">
        <f>IFERROR(__xludf.DUMMYFUNCTION("""COMPUTED_VALUE"""),87.0)</f>
        <v>87</v>
      </c>
      <c r="B87" s="53">
        <f>IFERROR(__xludf.DUMMYFUNCTION("""COMPUTED_VALUE"""),45356.0)</f>
        <v>45356</v>
      </c>
      <c r="C87" s="3">
        <f>IFERROR(__xludf.DUMMYFUNCTION("""COMPUTED_VALUE"""),127.0)</f>
        <v>127</v>
      </c>
      <c r="D87" s="3" t="str">
        <f>IFERROR(__xludf.DUMMYFUNCTION("""COMPUTED_VALUE"""),"1.084")</f>
        <v>1.084</v>
      </c>
      <c r="E87" s="54">
        <f>IFERROR(__xludf.DUMMYFUNCTION("""COMPUTED_VALUE"""),31000.0)</f>
        <v>31000</v>
      </c>
      <c r="F87" s="3" t="str">
        <f>IFERROR(__xludf.DUMMYFUNCTION("""COMPUTED_VALUE"""),"Syrah s/Asp 2")</f>
        <v>Syrah s/Asp 2</v>
      </c>
      <c r="G87" s="55">
        <f>IFERROR(__xludf.DUMMYFUNCTION("""COMPUTED_VALUE"""),11.7)</f>
        <v>11.7</v>
      </c>
      <c r="H87" s="56">
        <f>IFERROR(__xludf.DUMMYFUNCTION("""COMPUTED_VALUE"""),10.0)</f>
        <v>10</v>
      </c>
      <c r="I87" s="57">
        <f>IFERROR(__xludf.DUMMYFUNCTION("""COMPUTED_VALUE"""),0.37)</f>
        <v>0.37</v>
      </c>
      <c r="J87" s="57">
        <f>IFERROR(__xludf.DUMMYFUNCTION("""COMPUTED_VALUE"""),6.7)</f>
        <v>6.7</v>
      </c>
      <c r="K87" s="3"/>
      <c r="L87" s="54">
        <f>IFERROR(__xludf.DUMMYFUNCTION("""COMPUTED_VALUE"""),32.0)</f>
        <v>32</v>
      </c>
      <c r="M87" s="3"/>
      <c r="N87" s="3"/>
      <c r="O87" s="3"/>
      <c r="P87" s="3"/>
      <c r="Q87" s="3"/>
      <c r="R87" s="3"/>
      <c r="S87" s="3"/>
      <c r="T87" s="5"/>
      <c r="U87" s="5"/>
      <c r="V87" s="5"/>
      <c r="W87" s="5"/>
    </row>
    <row r="88" ht="15.75" customHeight="1">
      <c r="A88" s="3">
        <f>IFERROR(__xludf.DUMMYFUNCTION("""COMPUTED_VALUE"""),88.0)</f>
        <v>88</v>
      </c>
      <c r="B88" s="53">
        <f>IFERROR(__xludf.DUMMYFUNCTION("""COMPUTED_VALUE"""),45356.0)</f>
        <v>45356</v>
      </c>
      <c r="C88" s="3">
        <f>IFERROR(__xludf.DUMMYFUNCTION("""COMPUTED_VALUE"""),126.0)</f>
        <v>126</v>
      </c>
      <c r="D88" s="3" t="str">
        <f>IFERROR(__xludf.DUMMYFUNCTION("""COMPUTED_VALUE"""),"1.084")</f>
        <v>1.084</v>
      </c>
      <c r="E88" s="54">
        <f>IFERROR(__xludf.DUMMYFUNCTION("""COMPUTED_VALUE"""),31000.0)</f>
        <v>31000</v>
      </c>
      <c r="F88" s="3" t="str">
        <f>IFERROR(__xludf.DUMMYFUNCTION("""COMPUTED_VALUE"""),"Syrah s/Asp 2")</f>
        <v>Syrah s/Asp 2</v>
      </c>
      <c r="G88" s="55">
        <f>IFERROR(__xludf.DUMMYFUNCTION("""COMPUTED_VALUE"""),11.6)</f>
        <v>11.6</v>
      </c>
      <c r="H88" s="56">
        <f>IFERROR(__xludf.DUMMYFUNCTION("""COMPUTED_VALUE"""),10.0)</f>
        <v>10</v>
      </c>
      <c r="I88" s="57">
        <f>IFERROR(__xludf.DUMMYFUNCTION("""COMPUTED_VALUE"""),0.38)</f>
        <v>0.38</v>
      </c>
      <c r="J88" s="57">
        <f>IFERROR(__xludf.DUMMYFUNCTION("""COMPUTED_VALUE"""),6.7)</f>
        <v>6.7</v>
      </c>
      <c r="K88" s="3"/>
      <c r="L88" s="54">
        <f>IFERROR(__xludf.DUMMYFUNCTION("""COMPUTED_VALUE"""),30.0)</f>
        <v>30</v>
      </c>
      <c r="M88" s="3"/>
      <c r="N88" s="3"/>
      <c r="O88" s="3"/>
      <c r="P88" s="3"/>
      <c r="Q88" s="3"/>
      <c r="R88" s="3"/>
      <c r="S88" s="3"/>
      <c r="T88" s="5"/>
      <c r="U88" s="5"/>
      <c r="V88" s="5"/>
      <c r="W88" s="5"/>
    </row>
    <row r="89" ht="15.75" customHeight="1">
      <c r="A89" s="3">
        <f>IFERROR(__xludf.DUMMYFUNCTION("""COMPUTED_VALUE"""),89.0)</f>
        <v>89</v>
      </c>
      <c r="B89" s="53">
        <f>IFERROR(__xludf.DUMMYFUNCTION("""COMPUTED_VALUE"""),45356.0)</f>
        <v>45356</v>
      </c>
      <c r="C89" s="3">
        <f>IFERROR(__xludf.DUMMYFUNCTION("""COMPUTED_VALUE"""),120.0)</f>
        <v>120</v>
      </c>
      <c r="D89" s="3" t="str">
        <f>IFERROR(__xludf.DUMMYFUNCTION("""COMPUTED_VALUE"""),"1.086")</f>
        <v>1.086</v>
      </c>
      <c r="E89" s="54">
        <f>IFERROR(__xludf.DUMMYFUNCTION("""COMPUTED_VALUE"""),88800.0)</f>
        <v>88800</v>
      </c>
      <c r="F89" s="3" t="str">
        <f>IFERROR(__xludf.DUMMYFUNCTION("""COMPUTED_VALUE"""),"Syrah Temp s/Asp 3")</f>
        <v>Syrah Temp s/Asp 3</v>
      </c>
      <c r="G89" s="55">
        <f>IFERROR(__xludf.DUMMYFUNCTION("""COMPUTED_VALUE"""),12.5)</f>
        <v>12.5</v>
      </c>
      <c r="H89" s="56">
        <f>IFERROR(__xludf.DUMMYFUNCTION("""COMPUTED_VALUE"""),3.75)</f>
        <v>3.75</v>
      </c>
      <c r="I89" s="3"/>
      <c r="J89" s="3"/>
      <c r="K89" s="3"/>
      <c r="L89" s="3"/>
      <c r="M89" s="3">
        <f>IFERROR(__xludf.DUMMYFUNCTION("""COMPUTED_VALUE"""),96.0)</f>
        <v>96</v>
      </c>
      <c r="N89" s="3"/>
      <c r="O89" s="3"/>
      <c r="P89" s="3"/>
      <c r="Q89" s="3"/>
      <c r="R89" s="3"/>
      <c r="S89" s="3"/>
      <c r="T89" s="5"/>
      <c r="U89" s="5"/>
      <c r="V89" s="5"/>
      <c r="W89" s="5"/>
    </row>
    <row r="90" ht="15.75" customHeight="1">
      <c r="A90" s="3">
        <f>IFERROR(__xludf.DUMMYFUNCTION("""COMPUTED_VALUE"""),90.0)</f>
        <v>90</v>
      </c>
      <c r="B90" s="53">
        <f>IFERROR(__xludf.DUMMYFUNCTION("""COMPUTED_VALUE"""),45357.0)</f>
        <v>45357</v>
      </c>
      <c r="C90" s="3">
        <f>IFERROR(__xludf.DUMMYFUNCTION("""COMPUTED_VALUE"""),86.0)</f>
        <v>86</v>
      </c>
      <c r="D90" s="3" t="str">
        <f>IFERROR(__xludf.DUMMYFUNCTION("""COMPUTED_VALUE"""),"1.109")</f>
        <v>1.109</v>
      </c>
      <c r="E90" s="54">
        <f>IFERROR(__xludf.DUMMYFUNCTION("""COMPUTED_VALUE"""),49951.200000000004)</f>
        <v>49951.2</v>
      </c>
      <c r="F90" s="3" t="str">
        <f>IFERROR(__xludf.DUMMYFUNCTION("""COMPUTED_VALUE"""),"Bonarda")</f>
        <v>Bonarda</v>
      </c>
      <c r="G90" s="55">
        <f>IFERROR(__xludf.DUMMYFUNCTION("""COMPUTED_VALUE"""),12.5)</f>
        <v>12.5</v>
      </c>
      <c r="H90" s="56">
        <f>IFERROR(__xludf.DUMMYFUNCTION("""COMPUTED_VALUE"""),16.0)</f>
        <v>16</v>
      </c>
      <c r="I90" s="57">
        <f>IFERROR(__xludf.DUMMYFUNCTION("""COMPUTED_VALUE"""),0.4)</f>
        <v>0.4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5"/>
      <c r="U90" s="5"/>
      <c r="V90" s="5"/>
      <c r="W90" s="5"/>
    </row>
    <row r="91" ht="15.75" customHeight="1">
      <c r="A91" s="3">
        <f>IFERROR(__xludf.DUMMYFUNCTION("""COMPUTED_VALUE"""),91.0)</f>
        <v>91</v>
      </c>
      <c r="B91" s="53">
        <f>IFERROR(__xludf.DUMMYFUNCTION("""COMPUTED_VALUE"""),45357.0)</f>
        <v>45357</v>
      </c>
      <c r="C91" s="3">
        <f>IFERROR(__xludf.DUMMYFUNCTION("""COMPUTED_VALUE"""),87.0)</f>
        <v>87</v>
      </c>
      <c r="D91" s="3"/>
      <c r="E91" s="3"/>
      <c r="F91" s="3"/>
      <c r="G91" s="55">
        <f>IFERROR(__xludf.DUMMYFUNCTION("""COMPUTED_VALUE"""),12.5)</f>
        <v>12.5</v>
      </c>
      <c r="H91" s="56">
        <f>IFERROR(__xludf.DUMMYFUNCTION("""COMPUTED_VALUE"""),5.7)</f>
        <v>5.7</v>
      </c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5"/>
      <c r="U91" s="5"/>
      <c r="V91" s="5"/>
      <c r="W91" s="5"/>
    </row>
    <row r="92" ht="15.75" customHeight="1">
      <c r="A92" s="3">
        <f>IFERROR(__xludf.DUMMYFUNCTION("""COMPUTED_VALUE"""),92.0)</f>
        <v>92</v>
      </c>
      <c r="B92" s="53">
        <f>IFERROR(__xludf.DUMMYFUNCTION("""COMPUTED_VALUE"""),45359.0)</f>
        <v>45359</v>
      </c>
      <c r="C92" s="3">
        <f>IFERROR(__xludf.DUMMYFUNCTION("""COMPUTED_VALUE"""),121.0)</f>
        <v>121</v>
      </c>
      <c r="D92" s="3" t="str">
        <f>IFERROR(__xludf.DUMMYFUNCTION("""COMPUTED_VALUE"""),"#REF!")</f>
        <v>#REF!</v>
      </c>
      <c r="E92" s="3"/>
      <c r="F92" s="3" t="str">
        <f>IFERROR(__xludf.DUMMYFUNCTION("""COMPUTED_VALUE"""),"syrah")</f>
        <v>syrah</v>
      </c>
      <c r="G92" s="55">
        <f>IFERROR(__xludf.DUMMYFUNCTION("""COMPUTED_VALUE"""),12.5)</f>
        <v>12.5</v>
      </c>
      <c r="H92" s="56">
        <f>IFERROR(__xludf.DUMMYFUNCTION("""COMPUTED_VALUE"""),2.0)</f>
        <v>2</v>
      </c>
      <c r="I92" s="57">
        <f>IFERROR(__xludf.DUMMYFUNCTION("""COMPUTED_VALUE"""),0.4)</f>
        <v>0.4</v>
      </c>
      <c r="J92" s="57">
        <f>IFERROR(__xludf.DUMMYFUNCTION("""COMPUTED_VALUE"""),6.0)</f>
        <v>6</v>
      </c>
      <c r="K92" s="3"/>
      <c r="L92" s="54">
        <f>IFERROR(__xludf.DUMMYFUNCTION("""COMPUTED_VALUE"""),38.0)</f>
        <v>38</v>
      </c>
      <c r="M92" s="3">
        <f>IFERROR(__xludf.DUMMYFUNCTION("""COMPUTED_VALUE"""),115.0)</f>
        <v>115</v>
      </c>
      <c r="N92" s="3"/>
      <c r="O92" s="3"/>
      <c r="P92" s="3"/>
      <c r="Q92" s="3"/>
      <c r="R92" s="3"/>
      <c r="S92" s="3"/>
      <c r="T92" s="5"/>
      <c r="U92" s="5"/>
      <c r="V92" s="5"/>
      <c r="W92" s="5"/>
    </row>
    <row r="93" ht="15.75" customHeight="1">
      <c r="A93" s="3">
        <f>IFERROR(__xludf.DUMMYFUNCTION("""COMPUTED_VALUE"""),93.0)</f>
        <v>93</v>
      </c>
      <c r="B93" s="53">
        <f>IFERROR(__xludf.DUMMYFUNCTION("""COMPUTED_VALUE"""),45362.0)</f>
        <v>45362</v>
      </c>
      <c r="C93" s="3">
        <f>IFERROR(__xludf.DUMMYFUNCTION("""COMPUTED_VALUE"""),8.0)</f>
        <v>8</v>
      </c>
      <c r="D93" s="3" t="str">
        <f>IFERROR(__xludf.DUMMYFUNCTION("""COMPUTED_VALUE"""),"1.079")</f>
        <v>1.079</v>
      </c>
      <c r="E93" s="54">
        <f>IFERROR(__xludf.DUMMYFUNCTION("""COMPUTED_VALUE"""),22000.0)</f>
        <v>22000</v>
      </c>
      <c r="F93" s="3" t="str">
        <f>IFERROR(__xludf.DUMMYFUNCTION("""COMPUTED_VALUE"""),"Chenin")</f>
        <v>Chenin</v>
      </c>
      <c r="G93" s="3"/>
      <c r="H93" s="3"/>
      <c r="I93" s="3"/>
      <c r="J93" s="3"/>
      <c r="K93" s="57">
        <f>IFERROR(__xludf.DUMMYFUNCTION("""COMPUTED_VALUE"""),3.31)</f>
        <v>3.31</v>
      </c>
      <c r="L93" s="54">
        <f>IFERROR(__xludf.DUMMYFUNCTION("""COMPUTED_VALUE"""),19.0)</f>
        <v>19</v>
      </c>
      <c r="M93" s="3"/>
      <c r="N93" s="3"/>
      <c r="O93" s="3"/>
      <c r="P93" s="3"/>
      <c r="Q93" s="3"/>
      <c r="R93" s="3"/>
      <c r="S93" s="3"/>
      <c r="T93" s="5"/>
      <c r="U93" s="5"/>
      <c r="V93" s="5"/>
      <c r="W93" s="5"/>
    </row>
    <row r="94" ht="15.75" customHeight="1">
      <c r="A94" s="3">
        <f>IFERROR(__xludf.DUMMYFUNCTION("""COMPUTED_VALUE"""),94.0)</f>
        <v>94</v>
      </c>
      <c r="B94" s="53">
        <f>IFERROR(__xludf.DUMMYFUNCTION("""COMPUTED_VALUE"""),45362.0)</f>
        <v>45362</v>
      </c>
      <c r="C94" s="3">
        <f>IFERROR(__xludf.DUMMYFUNCTION("""COMPUTED_VALUE"""),10.0)</f>
        <v>10</v>
      </c>
      <c r="D94" s="3" t="str">
        <f>IFERROR(__xludf.DUMMYFUNCTION("""COMPUTED_VALUE"""),"1.034")</f>
        <v>1.034</v>
      </c>
      <c r="E94" s="54">
        <f>IFERROR(__xludf.DUMMYFUNCTION("""COMPUTED_VALUE"""),21000.0)</f>
        <v>21000</v>
      </c>
      <c r="F94" s="3" t="str">
        <f>IFERROR(__xludf.DUMMYFUNCTION("""COMPUTED_VALUE"""),"Chardonnay")</f>
        <v>Chardonnay</v>
      </c>
      <c r="G94" s="3"/>
      <c r="H94" s="3"/>
      <c r="I94" s="3"/>
      <c r="J94" s="3"/>
      <c r="K94" s="57">
        <f>IFERROR(__xludf.DUMMYFUNCTION("""COMPUTED_VALUE"""),3.37)</f>
        <v>3.37</v>
      </c>
      <c r="L94" s="54">
        <f>IFERROR(__xludf.DUMMYFUNCTION("""COMPUTED_VALUE"""),28.0)</f>
        <v>28</v>
      </c>
      <c r="M94" s="3"/>
      <c r="N94" s="3"/>
      <c r="O94" s="3"/>
      <c r="P94" s="3"/>
      <c r="Q94" s="3"/>
      <c r="R94" s="3"/>
      <c r="S94" s="3"/>
      <c r="T94" s="5"/>
      <c r="U94" s="5"/>
      <c r="V94" s="5"/>
      <c r="W94" s="5"/>
    </row>
    <row r="95" ht="15.75" customHeight="1">
      <c r="A95" s="3">
        <f>IFERROR(__xludf.DUMMYFUNCTION("""COMPUTED_VALUE"""),95.0)</f>
        <v>95</v>
      </c>
      <c r="B95" s="53">
        <f>IFERROR(__xludf.DUMMYFUNCTION("""COMPUTED_VALUE"""),45362.0)</f>
        <v>45362</v>
      </c>
      <c r="C95" s="3">
        <f>IFERROR(__xludf.DUMMYFUNCTION("""COMPUTED_VALUE"""),30.0)</f>
        <v>30</v>
      </c>
      <c r="D95" s="3" t="str">
        <f>IFERROR(__xludf.DUMMYFUNCTION("""COMPUTED_VALUE"""),"1.026")</f>
        <v>1.026</v>
      </c>
      <c r="E95" s="54">
        <f>IFERROR(__xludf.DUMMYFUNCTION("""COMPUTED_VALUE"""),38800.0)</f>
        <v>38800</v>
      </c>
      <c r="F95" s="3" t="str">
        <f>IFERROR(__xludf.DUMMYFUNCTION("""COMPUTED_VALUE"""),"Chardonnay")</f>
        <v>Chardonnay</v>
      </c>
      <c r="G95" s="3"/>
      <c r="H95" s="3"/>
      <c r="I95" s="3"/>
      <c r="J95" s="3"/>
      <c r="K95" s="57">
        <f>IFERROR(__xludf.DUMMYFUNCTION("""COMPUTED_VALUE"""),3.31)</f>
        <v>3.31</v>
      </c>
      <c r="L95" s="54">
        <f>IFERROR(__xludf.DUMMYFUNCTION("""COMPUTED_VALUE"""),31.0)</f>
        <v>31</v>
      </c>
      <c r="M95" s="3"/>
      <c r="N95" s="3"/>
      <c r="O95" s="3"/>
      <c r="P95" s="3"/>
      <c r="Q95" s="3"/>
      <c r="R95" s="3"/>
      <c r="S95" s="3"/>
      <c r="T95" s="5"/>
      <c r="U95" s="5"/>
      <c r="V95" s="5"/>
      <c r="W95" s="5"/>
    </row>
    <row r="96" ht="15.75" customHeight="1">
      <c r="A96" s="3">
        <f>IFERROR(__xludf.DUMMYFUNCTION("""COMPUTED_VALUE"""),96.0)</f>
        <v>96</v>
      </c>
      <c r="B96" s="53">
        <f>IFERROR(__xludf.DUMMYFUNCTION("""COMPUTED_VALUE"""),45362.0)</f>
        <v>45362</v>
      </c>
      <c r="C96" s="3">
        <f>IFERROR(__xludf.DUMMYFUNCTION("""COMPUTED_VALUE"""),34.0)</f>
        <v>34</v>
      </c>
      <c r="D96" s="3" t="str">
        <f>IFERROR(__xludf.DUMMYFUNCTION("""COMPUTED_VALUE"""),"1.054")</f>
        <v>1.054</v>
      </c>
      <c r="E96" s="54">
        <f>IFERROR(__xludf.DUMMYFUNCTION("""COMPUTED_VALUE"""),39500.0)</f>
        <v>39500</v>
      </c>
      <c r="F96" s="3" t="str">
        <f>IFERROR(__xludf.DUMMYFUNCTION("""COMPUTED_VALUE"""),"Chardonnay")</f>
        <v>Chardonnay</v>
      </c>
      <c r="G96" s="3"/>
      <c r="H96" s="3"/>
      <c r="I96" s="3"/>
      <c r="J96" s="3"/>
      <c r="K96" s="57">
        <f>IFERROR(__xludf.DUMMYFUNCTION("""COMPUTED_VALUE"""),3.4)</f>
        <v>3.4</v>
      </c>
      <c r="L96" s="54">
        <f>IFERROR(__xludf.DUMMYFUNCTION("""COMPUTED_VALUE"""),32.0)</f>
        <v>32</v>
      </c>
      <c r="M96" s="3"/>
      <c r="N96" s="3"/>
      <c r="O96" s="3"/>
      <c r="P96" s="3"/>
      <c r="Q96" s="3"/>
      <c r="R96" s="3"/>
      <c r="S96" s="3"/>
      <c r="T96" s="5"/>
      <c r="U96" s="5"/>
      <c r="V96" s="5"/>
      <c r="W96" s="5"/>
    </row>
    <row r="97" ht="15.75" customHeight="1">
      <c r="A97" s="3">
        <f>IFERROR(__xludf.DUMMYFUNCTION("""COMPUTED_VALUE"""),97.0)</f>
        <v>97</v>
      </c>
      <c r="B97" s="53">
        <f>IFERROR(__xludf.DUMMYFUNCTION("""COMPUTED_VALUE"""),45362.0)</f>
        <v>45362</v>
      </c>
      <c r="C97" s="3">
        <f>IFERROR(__xludf.DUMMYFUNCTION("""COMPUTED_VALUE"""),35.0)</f>
        <v>35</v>
      </c>
      <c r="D97" s="3" t="str">
        <f>IFERROR(__xludf.DUMMYFUNCTION("""COMPUTED_VALUE"""),"1.028")</f>
        <v>1.028</v>
      </c>
      <c r="E97" s="54">
        <f>IFERROR(__xludf.DUMMYFUNCTION("""COMPUTED_VALUE"""),39300.0)</f>
        <v>39300</v>
      </c>
      <c r="F97" s="3" t="str">
        <f>IFERROR(__xludf.DUMMYFUNCTION("""COMPUTED_VALUE"""),"Chardonnay")</f>
        <v>Chardonnay</v>
      </c>
      <c r="G97" s="3"/>
      <c r="H97" s="3"/>
      <c r="I97" s="3"/>
      <c r="J97" s="3"/>
      <c r="K97" s="57">
        <f>IFERROR(__xludf.DUMMYFUNCTION("""COMPUTED_VALUE"""),3.48)</f>
        <v>3.48</v>
      </c>
      <c r="L97" s="54">
        <f>IFERROR(__xludf.DUMMYFUNCTION("""COMPUTED_VALUE"""),38.0)</f>
        <v>38</v>
      </c>
      <c r="M97" s="3"/>
      <c r="N97" s="3"/>
      <c r="O97" s="3"/>
      <c r="P97" s="3"/>
      <c r="Q97" s="3"/>
      <c r="R97" s="3"/>
      <c r="S97" s="3"/>
      <c r="T97" s="5"/>
      <c r="U97" s="5"/>
      <c r="V97" s="5"/>
      <c r="W97" s="5"/>
    </row>
    <row r="98" ht="15.75" customHeight="1">
      <c r="A98" s="3">
        <f>IFERROR(__xludf.DUMMYFUNCTION("""COMPUTED_VALUE"""),98.0)</f>
        <v>98</v>
      </c>
      <c r="B98" s="53">
        <f>IFERROR(__xludf.DUMMYFUNCTION("""COMPUTED_VALUE"""),45362.0)</f>
        <v>45362</v>
      </c>
      <c r="C98" s="3">
        <f>IFERROR(__xludf.DUMMYFUNCTION("""COMPUTED_VALUE"""),44.0)</f>
        <v>44</v>
      </c>
      <c r="D98" s="3" t="str">
        <f>IFERROR(__xludf.DUMMYFUNCTION("""COMPUTED_VALUE"""),"1.066")</f>
        <v>1.066</v>
      </c>
      <c r="E98" s="54">
        <f>IFERROR(__xludf.DUMMYFUNCTION("""COMPUTED_VALUE"""),10000.0)</f>
        <v>10000</v>
      </c>
      <c r="F98" s="3" t="str">
        <f>IFERROR(__xludf.DUMMYFUNCTION("""COMPUTED_VALUE"""),"Chenin")</f>
        <v>Chenin</v>
      </c>
      <c r="G98" s="3"/>
      <c r="H98" s="3"/>
      <c r="I98" s="3"/>
      <c r="J98" s="3"/>
      <c r="K98" s="57">
        <f>IFERROR(__xludf.DUMMYFUNCTION("""COMPUTED_VALUE"""),3.22)</f>
        <v>3.22</v>
      </c>
      <c r="L98" s="54">
        <f>IFERROR(__xludf.DUMMYFUNCTION("""COMPUTED_VALUE"""),28.0)</f>
        <v>28</v>
      </c>
      <c r="M98" s="3"/>
      <c r="N98" s="3"/>
      <c r="O98" s="3"/>
      <c r="P98" s="3"/>
      <c r="Q98" s="3"/>
      <c r="R98" s="3"/>
      <c r="S98" s="3"/>
      <c r="T98" s="5"/>
      <c r="U98" s="5"/>
      <c r="V98" s="5"/>
      <c r="W98" s="5"/>
    </row>
    <row r="99" ht="15.75" customHeight="1">
      <c r="A99" s="3">
        <f>IFERROR(__xludf.DUMMYFUNCTION("""COMPUTED_VALUE"""),99.0)</f>
        <v>99</v>
      </c>
      <c r="B99" s="53">
        <f>IFERROR(__xludf.DUMMYFUNCTION("""COMPUTED_VALUE"""),45362.0)</f>
        <v>45362</v>
      </c>
      <c r="C99" s="3">
        <f>IFERROR(__xludf.DUMMYFUNCTION("""COMPUTED_VALUE"""),46.0)</f>
        <v>46</v>
      </c>
      <c r="D99" s="3" t="str">
        <f>IFERROR(__xludf.DUMMYFUNCTION("""COMPUTED_VALUE"""),"1.027")</f>
        <v>1.027</v>
      </c>
      <c r="E99" s="54">
        <f>IFERROR(__xludf.DUMMYFUNCTION("""COMPUTED_VALUE"""),29000.0)</f>
        <v>29000</v>
      </c>
      <c r="F99" s="3" t="str">
        <f>IFERROR(__xludf.DUMMYFUNCTION("""COMPUTED_VALUE"""),"Chardonnay")</f>
        <v>Chardonnay</v>
      </c>
      <c r="G99" s="3"/>
      <c r="H99" s="3"/>
      <c r="I99" s="3"/>
      <c r="J99" s="3"/>
      <c r="K99" s="57">
        <f>IFERROR(__xludf.DUMMYFUNCTION("""COMPUTED_VALUE"""),3.35)</f>
        <v>3.35</v>
      </c>
      <c r="L99" s="54">
        <f>IFERROR(__xludf.DUMMYFUNCTION("""COMPUTED_VALUE"""),34.0)</f>
        <v>34</v>
      </c>
      <c r="M99" s="3"/>
      <c r="N99" s="3"/>
      <c r="O99" s="3"/>
      <c r="P99" s="3"/>
      <c r="Q99" s="3"/>
      <c r="R99" s="3"/>
      <c r="S99" s="3"/>
      <c r="T99" s="5"/>
      <c r="U99" s="5"/>
      <c r="V99" s="5"/>
      <c r="W99" s="5"/>
    </row>
    <row r="100" ht="15.75" customHeight="1">
      <c r="A100" s="3">
        <f>IFERROR(__xludf.DUMMYFUNCTION("""COMPUTED_VALUE"""),100.0)</f>
        <v>100</v>
      </c>
      <c r="B100" s="53">
        <f>IFERROR(__xludf.DUMMYFUNCTION("""COMPUTED_VALUE"""),45362.0)</f>
        <v>45362</v>
      </c>
      <c r="C100" s="3">
        <f>IFERROR(__xludf.DUMMYFUNCTION("""COMPUTED_VALUE"""),47.0)</f>
        <v>47</v>
      </c>
      <c r="D100" s="3" t="str">
        <f>IFERROR(__xludf.DUMMYFUNCTION("""COMPUTED_VALUE"""),"1.029")</f>
        <v>1.029</v>
      </c>
      <c r="E100" s="54">
        <f>IFERROR(__xludf.DUMMYFUNCTION("""COMPUTED_VALUE"""),20000.0)</f>
        <v>20000</v>
      </c>
      <c r="F100" s="3" t="str">
        <f>IFERROR(__xludf.DUMMYFUNCTION("""COMPUTED_VALUE"""),"Chardonnay")</f>
        <v>Chardonnay</v>
      </c>
      <c r="G100" s="3"/>
      <c r="H100" s="3"/>
      <c r="I100" s="3"/>
      <c r="J100" s="3"/>
      <c r="K100" s="57">
        <f>IFERROR(__xludf.DUMMYFUNCTION("""COMPUTED_VALUE"""),3.48)</f>
        <v>3.48</v>
      </c>
      <c r="L100" s="54">
        <f>IFERROR(__xludf.DUMMYFUNCTION("""COMPUTED_VALUE"""),33.0)</f>
        <v>33</v>
      </c>
      <c r="M100" s="3"/>
      <c r="N100" s="3"/>
      <c r="O100" s="3"/>
      <c r="P100" s="3"/>
      <c r="Q100" s="3"/>
      <c r="R100" s="3"/>
      <c r="S100" s="3"/>
      <c r="T100" s="5"/>
      <c r="U100" s="5"/>
      <c r="V100" s="5"/>
      <c r="W100" s="5"/>
    </row>
    <row r="101" ht="15.75" customHeight="1">
      <c r="A101" s="3">
        <f>IFERROR(__xludf.DUMMYFUNCTION("""COMPUTED_VALUE"""),101.0)</f>
        <v>101</v>
      </c>
      <c r="B101" s="53">
        <f>IFERROR(__xludf.DUMMYFUNCTION("""COMPUTED_VALUE"""),45362.0)</f>
        <v>45362</v>
      </c>
      <c r="C101" s="3">
        <f>IFERROR(__xludf.DUMMYFUNCTION("""COMPUTED_VALUE"""),52.0)</f>
        <v>52</v>
      </c>
      <c r="D101" s="3" t="str">
        <f>IFERROR(__xludf.DUMMYFUNCTION("""COMPUTED_VALUE"""),"1.033")</f>
        <v>1.033</v>
      </c>
      <c r="E101" s="54">
        <f>IFERROR(__xludf.DUMMYFUNCTION("""COMPUTED_VALUE"""),27000.0)</f>
        <v>27000</v>
      </c>
      <c r="F101" s="3" t="str">
        <f>IFERROR(__xludf.DUMMYFUNCTION("""COMPUTED_VALUE"""),"Chardonnay")</f>
        <v>Chardonnay</v>
      </c>
      <c r="G101" s="3"/>
      <c r="H101" s="3"/>
      <c r="I101" s="3"/>
      <c r="J101" s="3"/>
      <c r="K101" s="57">
        <f>IFERROR(__xludf.DUMMYFUNCTION("""COMPUTED_VALUE"""),3.32)</f>
        <v>3.32</v>
      </c>
      <c r="L101" s="54">
        <f>IFERROR(__xludf.DUMMYFUNCTION("""COMPUTED_VALUE"""),27.0)</f>
        <v>27</v>
      </c>
      <c r="M101" s="3"/>
      <c r="N101" s="3"/>
      <c r="O101" s="3"/>
      <c r="P101" s="3"/>
      <c r="Q101" s="3"/>
      <c r="R101" s="3"/>
      <c r="S101" s="3"/>
      <c r="T101" s="5"/>
      <c r="U101" s="5"/>
      <c r="V101" s="5"/>
      <c r="W101" s="5"/>
    </row>
    <row r="102" ht="15.75" customHeight="1">
      <c r="A102" s="3">
        <f>IFERROR(__xludf.DUMMYFUNCTION("""COMPUTED_VALUE"""),102.0)</f>
        <v>102</v>
      </c>
      <c r="B102" s="53">
        <f>IFERROR(__xludf.DUMMYFUNCTION("""COMPUTED_VALUE"""),45362.0)</f>
        <v>45362</v>
      </c>
      <c r="C102" s="3">
        <f>IFERROR(__xludf.DUMMYFUNCTION("""COMPUTED_VALUE"""),55.0)</f>
        <v>55</v>
      </c>
      <c r="D102" s="3" t="str">
        <f>IFERROR(__xludf.DUMMYFUNCTION("""COMPUTED_VALUE"""),"1.067")</f>
        <v>1.067</v>
      </c>
      <c r="E102" s="54">
        <f>IFERROR(__xludf.DUMMYFUNCTION("""COMPUTED_VALUE"""),1600.0)</f>
        <v>1600</v>
      </c>
      <c r="F102" s="3" t="str">
        <f>IFERROR(__xludf.DUMMYFUNCTION("""COMPUTED_VALUE"""),"Chenin")</f>
        <v>Chenin</v>
      </c>
      <c r="G102" s="3"/>
      <c r="H102" s="3"/>
      <c r="I102" s="3"/>
      <c r="J102" s="3"/>
      <c r="K102" s="3"/>
      <c r="L102" s="54">
        <f>IFERROR(__xludf.DUMMYFUNCTION("""COMPUTED_VALUE"""),24.0)</f>
        <v>24</v>
      </c>
      <c r="M102" s="3"/>
      <c r="N102" s="3"/>
      <c r="O102" s="3"/>
      <c r="P102" s="3"/>
      <c r="Q102" s="3"/>
      <c r="R102" s="3"/>
      <c r="S102" s="3"/>
      <c r="T102" s="5"/>
      <c r="U102" s="5"/>
      <c r="V102" s="5"/>
      <c r="W102" s="5"/>
    </row>
    <row r="103" ht="15.75" customHeight="1">
      <c r="A103" s="3">
        <f>IFERROR(__xludf.DUMMYFUNCTION("""COMPUTED_VALUE"""),103.0)</f>
        <v>103</v>
      </c>
      <c r="B103" s="53">
        <f>IFERROR(__xludf.DUMMYFUNCTION("""COMPUTED_VALUE"""),45364.0)</f>
        <v>45364</v>
      </c>
      <c r="C103" s="3">
        <f>IFERROR(__xludf.DUMMYFUNCTION("""COMPUTED_VALUE"""),81.0)</f>
        <v>81</v>
      </c>
      <c r="D103" s="3"/>
      <c r="E103" s="3"/>
      <c r="F103" s="3"/>
      <c r="G103" s="3"/>
      <c r="H103" s="56">
        <f>IFERROR(__xludf.DUMMYFUNCTION("""COMPUTED_VALUE"""),2.5)</f>
        <v>2.5</v>
      </c>
      <c r="I103" s="57">
        <f>IFERROR(__xludf.DUMMYFUNCTION("""COMPUTED_VALUE"""),0.4)</f>
        <v>0.4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5"/>
      <c r="U103" s="5"/>
      <c r="V103" s="5"/>
      <c r="W103" s="5"/>
    </row>
    <row r="104" ht="15.75" customHeight="1">
      <c r="A104" s="3">
        <f>IFERROR(__xludf.DUMMYFUNCTION("""COMPUTED_VALUE"""),104.0)</f>
        <v>104</v>
      </c>
      <c r="B104" s="53">
        <f>IFERROR(__xludf.DUMMYFUNCTION("""COMPUTED_VALUE"""),45364.0)</f>
        <v>45364</v>
      </c>
      <c r="C104" s="3">
        <f>IFERROR(__xludf.DUMMYFUNCTION("""COMPUTED_VALUE"""),82.0)</f>
        <v>82</v>
      </c>
      <c r="D104" s="3"/>
      <c r="E104" s="3"/>
      <c r="F104" s="3"/>
      <c r="G104" s="3"/>
      <c r="H104" s="56">
        <f>IFERROR(__xludf.DUMMYFUNCTION("""COMPUTED_VALUE"""),2.6)</f>
        <v>2.6</v>
      </c>
      <c r="I104" s="57">
        <f>IFERROR(__xludf.DUMMYFUNCTION("""COMPUTED_VALUE"""),0.4)</f>
        <v>0.4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5"/>
      <c r="U104" s="5"/>
      <c r="V104" s="5"/>
      <c r="W104" s="5"/>
    </row>
    <row r="105" ht="15.75" customHeight="1">
      <c r="A105" s="3">
        <f>IFERROR(__xludf.DUMMYFUNCTION("""COMPUTED_VALUE"""),105.0)</f>
        <v>105</v>
      </c>
      <c r="B105" s="53">
        <f>IFERROR(__xludf.DUMMYFUNCTION("""COMPUTED_VALUE"""),45365.0)</f>
        <v>45365</v>
      </c>
      <c r="C105" s="3">
        <f>IFERROR(__xludf.DUMMYFUNCTION("""COMPUTED_VALUE"""),83.0)</f>
        <v>83</v>
      </c>
      <c r="D105" s="3" t="str">
        <f>IFERROR(__xludf.DUMMYFUNCTION("""COMPUTED_VALUE"""),"1.108")</f>
        <v>1.108</v>
      </c>
      <c r="E105" s="54">
        <f>IFERROR(__xludf.DUMMYFUNCTION("""COMPUTED_VALUE"""),47642.4)</f>
        <v>47642.4</v>
      </c>
      <c r="F105" s="3" t="str">
        <f>IFERROR(__xludf.DUMMYFUNCTION("""COMPUTED_VALUE"""),"Bonarda")</f>
        <v>Bonarda</v>
      </c>
      <c r="G105" s="3"/>
      <c r="H105" s="56">
        <f>IFERROR(__xludf.DUMMYFUNCTION("""COMPUTED_VALUE"""),2.25)</f>
        <v>2.25</v>
      </c>
      <c r="I105" s="57">
        <f>IFERROR(__xludf.DUMMYFUNCTION("""COMPUTED_VALUE"""),0.5)</f>
        <v>0.5</v>
      </c>
      <c r="J105" s="3"/>
      <c r="K105" s="3"/>
      <c r="L105" s="54">
        <f>IFERROR(__xludf.DUMMYFUNCTION("""COMPUTED_VALUE"""),25.0)</f>
        <v>25</v>
      </c>
      <c r="M105" s="3">
        <f>IFERROR(__xludf.DUMMYFUNCTION("""COMPUTED_VALUE"""),100.0)</f>
        <v>100</v>
      </c>
      <c r="N105" s="3"/>
      <c r="O105" s="3"/>
      <c r="P105" s="3"/>
      <c r="Q105" s="3"/>
      <c r="R105" s="3"/>
      <c r="S105" s="3"/>
      <c r="T105" s="5"/>
      <c r="U105" s="5"/>
      <c r="V105" s="5"/>
      <c r="W105" s="5"/>
    </row>
    <row r="106" ht="15.75" customHeight="1">
      <c r="A106" s="3">
        <f>IFERROR(__xludf.DUMMYFUNCTION("""COMPUTED_VALUE"""),106.0)</f>
        <v>106</v>
      </c>
      <c r="B106" s="53">
        <f>IFERROR(__xludf.DUMMYFUNCTION("""COMPUTED_VALUE"""),45363.0)</f>
        <v>45363</v>
      </c>
      <c r="C106" s="3">
        <f>IFERROR(__xludf.DUMMYFUNCTION("""COMPUTED_VALUE"""),86.0)</f>
        <v>86</v>
      </c>
      <c r="D106" s="3" t="str">
        <f>IFERROR(__xludf.DUMMYFUNCTION("""COMPUTED_VALUE"""),"1.109")</f>
        <v>1.109</v>
      </c>
      <c r="E106" s="54">
        <f>IFERROR(__xludf.DUMMYFUNCTION("""COMPUTED_VALUE"""),49951.200000000004)</f>
        <v>49951.2</v>
      </c>
      <c r="F106" s="3" t="str">
        <f>IFERROR(__xludf.DUMMYFUNCTION("""COMPUTED_VALUE"""),"Bonarda")</f>
        <v>Bonarda</v>
      </c>
      <c r="G106" s="55">
        <f>IFERROR(__xludf.DUMMYFUNCTION("""COMPUTED_VALUE"""),12.0)</f>
        <v>12</v>
      </c>
      <c r="H106" s="56">
        <f>IFERROR(__xludf.DUMMYFUNCTION("""COMPUTED_VALUE"""),3.2)</f>
        <v>3.2</v>
      </c>
      <c r="I106" s="57">
        <f>IFERROR(__xludf.DUMMYFUNCTION("""COMPUTED_VALUE"""),0.44)</f>
        <v>0.44</v>
      </c>
      <c r="J106" s="3"/>
      <c r="K106" s="57">
        <f>IFERROR(__xludf.DUMMYFUNCTION("""COMPUTED_VALUE"""),3.72)</f>
        <v>3.72</v>
      </c>
      <c r="L106" s="54">
        <f>IFERROR(__xludf.DUMMYFUNCTION("""COMPUTED_VALUE"""),25.0)</f>
        <v>25</v>
      </c>
      <c r="M106" s="3">
        <f>IFERROR(__xludf.DUMMYFUNCTION("""COMPUTED_VALUE"""),77.0)</f>
        <v>77</v>
      </c>
      <c r="N106" s="3"/>
      <c r="O106" s="3"/>
      <c r="P106" s="3"/>
      <c r="Q106" s="3"/>
      <c r="R106" s="3"/>
      <c r="S106" s="3"/>
      <c r="T106" s="5"/>
      <c r="U106" s="5"/>
      <c r="V106" s="5"/>
      <c r="W106" s="5"/>
    </row>
    <row r="107" ht="15.75" customHeight="1">
      <c r="A107" s="3">
        <f>IFERROR(__xludf.DUMMYFUNCTION("""COMPUTED_VALUE"""),107.0)</f>
        <v>107</v>
      </c>
      <c r="B107" s="53">
        <f>IFERROR(__xludf.DUMMYFUNCTION("""COMPUTED_VALUE"""),45363.0)</f>
        <v>45363</v>
      </c>
      <c r="C107" s="3">
        <f>IFERROR(__xludf.DUMMYFUNCTION("""COMPUTED_VALUE"""),84.0)</f>
        <v>84</v>
      </c>
      <c r="D107" s="3" t="str">
        <f>IFERROR(__xludf.DUMMYFUNCTION("""COMPUTED_VALUE"""),"1.110")</f>
        <v>1.110</v>
      </c>
      <c r="E107" s="54">
        <f>IFERROR(__xludf.DUMMYFUNCTION("""COMPUTED_VALUE"""),31512.0)</f>
        <v>31512</v>
      </c>
      <c r="F107" s="3" t="str">
        <f>IFERROR(__xludf.DUMMYFUNCTION("""COMPUTED_VALUE"""),"Cabernet Sauvignon")</f>
        <v>Cabernet Sauvignon</v>
      </c>
      <c r="G107" s="3"/>
      <c r="H107" s="56">
        <f>IFERROR(__xludf.DUMMYFUNCTION("""COMPUTED_VALUE"""),25.0)</f>
        <v>25</v>
      </c>
      <c r="I107" s="57">
        <f>IFERROR(__xludf.DUMMYFUNCTION("""COMPUTED_VALUE"""),0.37)</f>
        <v>0.37</v>
      </c>
      <c r="J107" s="3"/>
      <c r="K107" s="3"/>
      <c r="L107" s="54">
        <f>IFERROR(__xludf.DUMMYFUNCTION("""COMPUTED_VALUE"""),25.0)</f>
        <v>25</v>
      </c>
      <c r="M107" s="3"/>
      <c r="N107" s="3"/>
      <c r="O107" s="3"/>
      <c r="P107" s="3"/>
      <c r="Q107" s="3"/>
      <c r="R107" s="3"/>
      <c r="S107" s="3"/>
      <c r="T107" s="5"/>
      <c r="U107" s="5"/>
      <c r="V107" s="5"/>
      <c r="W107" s="5"/>
    </row>
    <row r="108" ht="15.75" customHeight="1">
      <c r="A108" s="3">
        <f>IFERROR(__xludf.DUMMYFUNCTION("""COMPUTED_VALUE"""),108.0)</f>
        <v>108</v>
      </c>
      <c r="B108" s="53">
        <f>IFERROR(__xludf.DUMMYFUNCTION("""COMPUTED_VALUE"""),45362.0)</f>
        <v>45362</v>
      </c>
      <c r="C108" s="3">
        <f>IFERROR(__xludf.DUMMYFUNCTION("""COMPUTED_VALUE"""),88.0)</f>
        <v>88</v>
      </c>
      <c r="D108" s="3" t="str">
        <f>IFERROR(__xludf.DUMMYFUNCTION("""COMPUTED_VALUE"""),"1.111")</f>
        <v>1.111</v>
      </c>
      <c r="E108" s="54">
        <f>IFERROR(__xludf.DUMMYFUNCTION("""COMPUTED_VALUE"""),55489.200000000004)</f>
        <v>55489.2</v>
      </c>
      <c r="F108" s="3" t="str">
        <f>IFERROR(__xludf.DUMMYFUNCTION("""COMPUTED_VALUE"""),"Bonarda")</f>
        <v>Bonarda</v>
      </c>
      <c r="G108" s="3"/>
      <c r="H108" s="56">
        <f>IFERROR(__xludf.DUMMYFUNCTION("""COMPUTED_VALUE"""),7.5)</f>
        <v>7.5</v>
      </c>
      <c r="I108" s="3"/>
      <c r="J108" s="3"/>
      <c r="K108" s="3"/>
      <c r="L108" s="54">
        <f>IFERROR(__xludf.DUMMYFUNCTION("""COMPUTED_VALUE"""),32.0)</f>
        <v>32</v>
      </c>
      <c r="M108" s="3"/>
      <c r="N108" s="3"/>
      <c r="O108" s="3"/>
      <c r="P108" s="3"/>
      <c r="Q108" s="3"/>
      <c r="R108" s="3"/>
      <c r="S108" s="3"/>
      <c r="T108" s="5"/>
      <c r="U108" s="5"/>
      <c r="V108" s="5"/>
      <c r="W108" s="5" t="str">
        <f>IFERROR(__xludf.DUMMYFUNCTION("""COMPUTED_VALUE"""),"PRENSAR PRIORIDAD DE ANALISIS ACETAL ALDEHIDO")</f>
        <v>PRENSAR PRIORIDAD DE ANALISIS ACETAL ALDEHIDO</v>
      </c>
    </row>
    <row r="109" ht="15.75" customHeight="1">
      <c r="A109" s="3">
        <f>IFERROR(__xludf.DUMMYFUNCTION("""COMPUTED_VALUE"""),109.0)</f>
        <v>109</v>
      </c>
      <c r="B109" s="53">
        <f>IFERROR(__xludf.DUMMYFUNCTION("""COMPUTED_VALUE"""),45365.0)</f>
        <v>45365</v>
      </c>
      <c r="C109" s="3">
        <f>IFERROR(__xludf.DUMMYFUNCTION("""COMPUTED_VALUE"""),85.0)</f>
        <v>85</v>
      </c>
      <c r="D109" s="3" t="str">
        <f>IFERROR(__xludf.DUMMYFUNCTION("""COMPUTED_VALUE"""),"1.107")</f>
        <v>1.107</v>
      </c>
      <c r="E109" s="54">
        <f>IFERROR(__xludf.DUMMYFUNCTION("""COMPUTED_VALUE"""),45162.0)</f>
        <v>45162</v>
      </c>
      <c r="F109" s="3" t="str">
        <f>IFERROR(__xludf.DUMMYFUNCTION("""COMPUTED_VALUE"""),"Bonarda")</f>
        <v>Bonarda</v>
      </c>
      <c r="G109" s="3"/>
      <c r="H109" s="56">
        <f>IFERROR(__xludf.DUMMYFUNCTION("""COMPUTED_VALUE"""),2.25)</f>
        <v>2.25</v>
      </c>
      <c r="I109" s="57">
        <f>IFERROR(__xludf.DUMMYFUNCTION("""COMPUTED_VALUE"""),0.37)</f>
        <v>0.37</v>
      </c>
      <c r="J109" s="3"/>
      <c r="K109" s="3"/>
      <c r="L109" s="54">
        <f>IFERROR(__xludf.DUMMYFUNCTION("""COMPUTED_VALUE"""),32.0)</f>
        <v>32</v>
      </c>
      <c r="M109" s="3">
        <f>IFERROR(__xludf.DUMMYFUNCTION("""COMPUTED_VALUE"""),115.0)</f>
        <v>115</v>
      </c>
      <c r="N109" s="3"/>
      <c r="O109" s="3"/>
      <c r="P109" s="3"/>
      <c r="Q109" s="3"/>
      <c r="R109" s="3"/>
      <c r="S109" s="3"/>
      <c r="T109" s="5"/>
      <c r="U109" s="5"/>
      <c r="V109" s="5"/>
      <c r="W109" s="5"/>
    </row>
    <row r="110" ht="15.75" customHeight="1">
      <c r="A110" s="3">
        <f>IFERROR(__xludf.DUMMYFUNCTION("""COMPUTED_VALUE"""),110.0)</f>
        <v>110</v>
      </c>
      <c r="B110" s="53">
        <f>IFERROR(__xludf.DUMMYFUNCTION("""COMPUTED_VALUE"""),45364.0)</f>
        <v>45364</v>
      </c>
      <c r="C110" s="3">
        <f>IFERROR(__xludf.DUMMYFUNCTION("""COMPUTED_VALUE"""),120.0)</f>
        <v>120</v>
      </c>
      <c r="D110" s="3" t="str">
        <f>IFERROR(__xludf.DUMMYFUNCTION("""COMPUTED_VALUE"""),"1.086")</f>
        <v>1.086</v>
      </c>
      <c r="E110" s="54">
        <f>IFERROR(__xludf.DUMMYFUNCTION("""COMPUTED_VALUE"""),88800.0)</f>
        <v>88800</v>
      </c>
      <c r="F110" s="3" t="str">
        <f>IFERROR(__xludf.DUMMYFUNCTION("""COMPUTED_VALUE"""),"Syrah Temp s/Asp 3")</f>
        <v>Syrah Temp s/Asp 3</v>
      </c>
      <c r="G110" s="55">
        <f>IFERROR(__xludf.DUMMYFUNCTION("""COMPUTED_VALUE"""),12.7)</f>
        <v>12.7</v>
      </c>
      <c r="H110" s="56">
        <f>IFERROR(__xludf.DUMMYFUNCTION("""COMPUTED_VALUE"""),2.0)</f>
        <v>2</v>
      </c>
      <c r="I110" s="57">
        <f>IFERROR(__xludf.DUMMYFUNCTION("""COMPUTED_VALUE"""),0.47)</f>
        <v>0.47</v>
      </c>
      <c r="J110" s="3"/>
      <c r="K110" s="3"/>
      <c r="L110" s="54">
        <f>IFERROR(__xludf.DUMMYFUNCTION("""COMPUTED_VALUE"""),32.0)</f>
        <v>32</v>
      </c>
      <c r="M110" s="3">
        <f>IFERROR(__xludf.DUMMYFUNCTION("""COMPUTED_VALUE"""),102.0)</f>
        <v>102</v>
      </c>
      <c r="N110" s="3"/>
      <c r="O110" s="3"/>
      <c r="P110" s="3"/>
      <c r="Q110" s="3"/>
      <c r="R110" s="3"/>
      <c r="S110" s="3"/>
      <c r="T110" s="5"/>
      <c r="U110" s="5"/>
      <c r="V110" s="5"/>
      <c r="W110" s="5"/>
    </row>
    <row r="111" ht="15.75" customHeight="1">
      <c r="A111" s="3">
        <f>IFERROR(__xludf.DUMMYFUNCTION("""COMPUTED_VALUE"""),111.0)</f>
        <v>111</v>
      </c>
      <c r="B111" s="53">
        <f>IFERROR(__xludf.DUMMYFUNCTION("""COMPUTED_VALUE"""),45364.0)</f>
        <v>45364</v>
      </c>
      <c r="C111" s="3">
        <f>IFERROR(__xludf.DUMMYFUNCTION("""COMPUTED_VALUE"""),121.0)</f>
        <v>121</v>
      </c>
      <c r="D111" s="3" t="str">
        <f>IFERROR(__xludf.DUMMYFUNCTION("""COMPUTED_VALUE"""),"1.093")</f>
        <v>1.093</v>
      </c>
      <c r="E111" s="54">
        <f>IFERROR(__xludf.DUMMYFUNCTION("""COMPUTED_VALUE"""),85800.0)</f>
        <v>85800</v>
      </c>
      <c r="F111" s="3" t="str">
        <f>IFERROR(__xludf.DUMMYFUNCTION("""COMPUTED_VALUE"""),"Anccelotta Syrah")</f>
        <v>Anccelotta Syrah</v>
      </c>
      <c r="G111" s="55">
        <f>IFERROR(__xludf.DUMMYFUNCTION("""COMPUTED_VALUE"""),12.8)</f>
        <v>12.8</v>
      </c>
      <c r="H111" s="56">
        <f>IFERROR(__xludf.DUMMYFUNCTION("""COMPUTED_VALUE"""),2.64)</f>
        <v>2.64</v>
      </c>
      <c r="I111" s="57">
        <f>IFERROR(__xludf.DUMMYFUNCTION("""COMPUTED_VALUE"""),0.4)</f>
        <v>0.4</v>
      </c>
      <c r="J111" s="3"/>
      <c r="K111" s="3"/>
      <c r="L111" s="54">
        <f>IFERROR(__xludf.DUMMYFUNCTION("""COMPUTED_VALUE"""),25.0)</f>
        <v>25</v>
      </c>
      <c r="M111" s="3">
        <f>IFERROR(__xludf.DUMMYFUNCTION("""COMPUTED_VALUE"""),100.0)</f>
        <v>100</v>
      </c>
      <c r="N111" s="3"/>
      <c r="O111" s="3"/>
      <c r="P111" s="3"/>
      <c r="Q111" s="3"/>
      <c r="R111" s="3"/>
      <c r="S111" s="3"/>
      <c r="T111" s="5"/>
      <c r="U111" s="5"/>
      <c r="V111" s="5"/>
      <c r="W111" s="5"/>
    </row>
    <row r="112" ht="15.75" customHeight="1">
      <c r="A112" s="3">
        <f>IFERROR(__xludf.DUMMYFUNCTION("""COMPUTED_VALUE"""),112.0)</f>
        <v>112</v>
      </c>
      <c r="B112" s="53">
        <f>IFERROR(__xludf.DUMMYFUNCTION("""COMPUTED_VALUE"""),45364.0)</f>
        <v>45364</v>
      </c>
      <c r="C112" s="3">
        <f>IFERROR(__xludf.DUMMYFUNCTION("""COMPUTED_VALUE"""),126.0)</f>
        <v>126</v>
      </c>
      <c r="D112" s="3" t="str">
        <f>IFERROR(__xludf.DUMMYFUNCTION("""COMPUTED_VALUE"""),"1.084")</f>
        <v>1.084</v>
      </c>
      <c r="E112" s="54">
        <f>IFERROR(__xludf.DUMMYFUNCTION("""COMPUTED_VALUE"""),31000.0)</f>
        <v>31000</v>
      </c>
      <c r="F112" s="3" t="str">
        <f>IFERROR(__xludf.DUMMYFUNCTION("""COMPUTED_VALUE"""),"Syrah s/Asp 2")</f>
        <v>Syrah s/Asp 2</v>
      </c>
      <c r="G112" s="55">
        <f>IFERROR(__xludf.DUMMYFUNCTION("""COMPUTED_VALUE"""),11.8)</f>
        <v>11.8</v>
      </c>
      <c r="H112" s="56">
        <f>IFERROR(__xludf.DUMMYFUNCTION("""COMPUTED_VALUE"""),9.0)</f>
        <v>9</v>
      </c>
      <c r="I112" s="57">
        <f>IFERROR(__xludf.DUMMYFUNCTION("""COMPUTED_VALUE"""),0.4)</f>
        <v>0.4</v>
      </c>
      <c r="J112" s="57">
        <f>IFERROR(__xludf.DUMMYFUNCTION("""COMPUTED_VALUE"""),6.1)</f>
        <v>6.1</v>
      </c>
      <c r="K112" s="57">
        <f>IFERROR(__xludf.DUMMYFUNCTION("""COMPUTED_VALUE"""),3.6)</f>
        <v>3.6</v>
      </c>
      <c r="L112" s="54">
        <f>IFERROR(__xludf.DUMMYFUNCTION("""COMPUTED_VALUE"""),25.0)</f>
        <v>25</v>
      </c>
      <c r="M112" s="3">
        <f>IFERROR(__xludf.DUMMYFUNCTION("""COMPUTED_VALUE"""),96.0)</f>
        <v>96</v>
      </c>
      <c r="N112" s="3"/>
      <c r="O112" s="3"/>
      <c r="P112" s="3"/>
      <c r="Q112" s="3"/>
      <c r="R112" s="3"/>
      <c r="S112" s="3"/>
      <c r="T112" s="5"/>
      <c r="U112" s="5"/>
      <c r="V112" s="5"/>
      <c r="W112" s="5"/>
    </row>
    <row r="113" ht="15.75" customHeight="1">
      <c r="A113" s="3">
        <f>IFERROR(__xludf.DUMMYFUNCTION("""COMPUTED_VALUE"""),113.0)</f>
        <v>113</v>
      </c>
      <c r="B113" s="53">
        <f>IFERROR(__xludf.DUMMYFUNCTION("""COMPUTED_VALUE"""),45364.0)</f>
        <v>45364</v>
      </c>
      <c r="C113" s="3">
        <f>IFERROR(__xludf.DUMMYFUNCTION("""COMPUTED_VALUE"""),127.0)</f>
        <v>127</v>
      </c>
      <c r="D113" s="3" t="str">
        <f>IFERROR(__xludf.DUMMYFUNCTION("""COMPUTED_VALUE"""),"1.084")</f>
        <v>1.084</v>
      </c>
      <c r="E113" s="54">
        <f>IFERROR(__xludf.DUMMYFUNCTION("""COMPUTED_VALUE"""),31000.0)</f>
        <v>31000</v>
      </c>
      <c r="F113" s="3" t="str">
        <f>IFERROR(__xludf.DUMMYFUNCTION("""COMPUTED_VALUE"""),"Syrah s/Asp 2")</f>
        <v>Syrah s/Asp 2</v>
      </c>
      <c r="G113" s="55">
        <f>IFERROR(__xludf.DUMMYFUNCTION("""COMPUTED_VALUE"""),11.8)</f>
        <v>11.8</v>
      </c>
      <c r="H113" s="56">
        <f>IFERROR(__xludf.DUMMYFUNCTION("""COMPUTED_VALUE"""),10.0)</f>
        <v>10</v>
      </c>
      <c r="I113" s="57">
        <f>IFERROR(__xludf.DUMMYFUNCTION("""COMPUTED_VALUE"""),0.5)</f>
        <v>0.5</v>
      </c>
      <c r="J113" s="57">
        <f>IFERROR(__xludf.DUMMYFUNCTION("""COMPUTED_VALUE"""),5.4)</f>
        <v>5.4</v>
      </c>
      <c r="K113" s="57">
        <f>IFERROR(__xludf.DUMMYFUNCTION("""COMPUTED_VALUE"""),3.7)</f>
        <v>3.7</v>
      </c>
      <c r="L113" s="54">
        <f>IFERROR(__xludf.DUMMYFUNCTION("""COMPUTED_VALUE"""),25.0)</f>
        <v>25</v>
      </c>
      <c r="M113" s="3">
        <f>IFERROR(__xludf.DUMMYFUNCTION("""COMPUTED_VALUE"""),83.0)</f>
        <v>83</v>
      </c>
      <c r="N113" s="3"/>
      <c r="O113" s="3"/>
      <c r="P113" s="3"/>
      <c r="Q113" s="3"/>
      <c r="R113" s="3"/>
      <c r="S113" s="3"/>
      <c r="T113" s="5"/>
      <c r="U113" s="5"/>
      <c r="V113" s="5"/>
      <c r="W113" s="5"/>
    </row>
    <row r="114" ht="15.75" customHeight="1">
      <c r="A114" s="3">
        <f>IFERROR(__xludf.DUMMYFUNCTION("""COMPUTED_VALUE"""),114.0)</f>
        <v>114</v>
      </c>
      <c r="B114" s="53">
        <f>IFERROR(__xludf.DUMMYFUNCTION("""COMPUTED_VALUE"""),45365.0)</f>
        <v>45365</v>
      </c>
      <c r="C114" s="3">
        <f>IFERROR(__xludf.DUMMYFUNCTION("""COMPUTED_VALUE"""),32.0)</f>
        <v>32</v>
      </c>
      <c r="D114" s="3" t="str">
        <f>IFERROR(__xludf.DUMMYFUNCTION("""COMPUTED_VALUE"""),"1.080")</f>
        <v>1.080</v>
      </c>
      <c r="E114" s="54">
        <f>IFERROR(__xludf.DUMMYFUNCTION("""COMPUTED_VALUE"""),36300.0)</f>
        <v>36300</v>
      </c>
      <c r="F114" s="3" t="str">
        <f>IFERROR(__xludf.DUMMYFUNCTION("""COMPUTED_VALUE"""),"Malbec")</f>
        <v>Malbec</v>
      </c>
      <c r="G114" s="3"/>
      <c r="H114" s="3"/>
      <c r="I114" s="3"/>
      <c r="J114" s="3"/>
      <c r="K114" s="3"/>
      <c r="L114" s="3"/>
      <c r="M114" s="3"/>
      <c r="N114" s="3"/>
      <c r="O114" s="3">
        <f>IFERROR(__xludf.DUMMYFUNCTION("""COMPUTED_VALUE"""),578.0)</f>
        <v>578</v>
      </c>
      <c r="P114" s="3">
        <f>IFERROR(__xludf.DUMMYFUNCTION("""COMPUTED_VALUE"""),791.0)</f>
        <v>791</v>
      </c>
      <c r="Q114" s="3"/>
      <c r="R114" s="3">
        <f>IFERROR(__xludf.DUMMYFUNCTION("""COMPUTED_VALUE"""),1369.0)</f>
        <v>1369</v>
      </c>
      <c r="S114" s="54">
        <f>IFERROR(__xludf.DUMMYFUNCTION("""COMPUTED_VALUE"""),1873.4930795847752)</f>
        <v>1873.49308</v>
      </c>
      <c r="T114" s="5"/>
      <c r="U114" s="5"/>
      <c r="V114" s="5"/>
      <c r="W114" s="5"/>
    </row>
    <row r="115" ht="15.75" customHeight="1">
      <c r="A115" s="3">
        <f>IFERROR(__xludf.DUMMYFUNCTION("""COMPUTED_VALUE"""),115.0)</f>
        <v>115</v>
      </c>
      <c r="B115" s="53">
        <f>IFERROR(__xludf.DUMMYFUNCTION("""COMPUTED_VALUE"""),45365.0)</f>
        <v>45365</v>
      </c>
      <c r="C115" s="3">
        <f>IFERROR(__xludf.DUMMYFUNCTION("""COMPUTED_VALUE"""),88.0)</f>
        <v>88</v>
      </c>
      <c r="D115" s="3" t="str">
        <f>IFERROR(__xludf.DUMMYFUNCTION("""COMPUTED_VALUE"""),"1.111")</f>
        <v>1.111</v>
      </c>
      <c r="E115" s="54">
        <f>IFERROR(__xludf.DUMMYFUNCTION("""COMPUTED_VALUE"""),55489.200000000004)</f>
        <v>55489.2</v>
      </c>
      <c r="F115" s="3" t="str">
        <f>IFERROR(__xludf.DUMMYFUNCTION("""COMPUTED_VALUE"""),"Bonarda")</f>
        <v>Bonarda</v>
      </c>
      <c r="G115" s="3"/>
      <c r="H115" s="56">
        <f>IFERROR(__xludf.DUMMYFUNCTION("""COMPUTED_VALUE"""),5.6)</f>
        <v>5.6</v>
      </c>
      <c r="I115" s="57">
        <f>IFERROR(__xludf.DUMMYFUNCTION("""COMPUTED_VALUE"""),0.47)</f>
        <v>0.47</v>
      </c>
      <c r="J115" s="3"/>
      <c r="K115" s="3"/>
      <c r="L115" s="54">
        <f>IFERROR(__xludf.DUMMYFUNCTION("""COMPUTED_VALUE"""),25.0)</f>
        <v>25</v>
      </c>
      <c r="M115" s="3">
        <f>IFERROR(__xludf.DUMMYFUNCTION("""COMPUTED_VALUE"""),116.0)</f>
        <v>116</v>
      </c>
      <c r="N115" s="3"/>
      <c r="O115" s="3"/>
      <c r="P115" s="3"/>
      <c r="Q115" s="3"/>
      <c r="R115" s="3"/>
      <c r="S115" s="3"/>
      <c r="T115" s="5"/>
      <c r="U115" s="5"/>
      <c r="V115" s="5"/>
      <c r="W115" s="5"/>
    </row>
    <row r="116" ht="15.75" customHeight="1">
      <c r="A116" s="3">
        <f>IFERROR(__xludf.DUMMYFUNCTION("""COMPUTED_VALUE"""),116.0)</f>
        <v>116</v>
      </c>
      <c r="B116" s="53">
        <f>IFERROR(__xludf.DUMMYFUNCTION("""COMPUTED_VALUE"""),45373.0)</f>
        <v>45373</v>
      </c>
      <c r="C116" s="3">
        <f>IFERROR(__xludf.DUMMYFUNCTION("""COMPUTED_VALUE"""),114.0)</f>
        <v>114</v>
      </c>
      <c r="D116" s="3" t="str">
        <f>IFERROR(__xludf.DUMMYFUNCTION("""COMPUTED_VALUE"""),"1.090")</f>
        <v>1.090</v>
      </c>
      <c r="E116" s="54">
        <f>IFERROR(__xludf.DUMMYFUNCTION("""COMPUTED_VALUE"""),125300.0)</f>
        <v>125300</v>
      </c>
      <c r="F116" s="3" t="str">
        <f>IFERROR(__xludf.DUMMYFUNCTION("""COMPUTED_VALUE"""),"Aspirant Ancc")</f>
        <v>Aspirant Ancc</v>
      </c>
      <c r="G116" s="3"/>
      <c r="H116" s="3"/>
      <c r="I116" s="3"/>
      <c r="J116" s="3"/>
      <c r="K116" s="3"/>
      <c r="L116" s="54">
        <f>IFERROR(__xludf.DUMMYFUNCTION("""COMPUTED_VALUE"""),38.0)</f>
        <v>38</v>
      </c>
      <c r="M116" s="3">
        <f>IFERROR(__xludf.DUMMYFUNCTION("""COMPUTED_VALUE"""),105.0)</f>
        <v>105</v>
      </c>
      <c r="N116" s="3"/>
      <c r="O116" s="3"/>
      <c r="P116" s="3"/>
      <c r="Q116" s="3"/>
      <c r="R116" s="3"/>
      <c r="S116" s="3"/>
      <c r="T116" s="5"/>
      <c r="U116" s="5"/>
      <c r="V116" s="5"/>
      <c r="W116" s="5"/>
    </row>
    <row r="117" ht="15.75" customHeight="1">
      <c r="A117" s="3">
        <f>IFERROR(__xludf.DUMMYFUNCTION("""COMPUTED_VALUE"""),117.0)</f>
        <v>117</v>
      </c>
      <c r="B117" s="53">
        <f>IFERROR(__xludf.DUMMYFUNCTION("""COMPUTED_VALUE"""),45365.0)</f>
        <v>45365</v>
      </c>
      <c r="C117" s="3">
        <f>IFERROR(__xludf.DUMMYFUNCTION("""COMPUTED_VALUE"""),115.0)</f>
        <v>115</v>
      </c>
      <c r="D117" s="3" t="str">
        <f>IFERROR(__xludf.DUMMYFUNCTION("""COMPUTED_VALUE"""),"1.091")</f>
        <v>1.091</v>
      </c>
      <c r="E117" s="54">
        <f>IFERROR(__xludf.DUMMYFUNCTION("""COMPUTED_VALUE"""),120200.0)</f>
        <v>120200</v>
      </c>
      <c r="F117" s="3" t="str">
        <f>IFERROR(__xludf.DUMMYFUNCTION("""COMPUTED_VALUE"""),"Tempranillo Merlot s/Asp 1")</f>
        <v>Tempranillo Merlot s/Asp 1</v>
      </c>
      <c r="G117" s="3"/>
      <c r="H117" s="3"/>
      <c r="I117" s="3"/>
      <c r="J117" s="3"/>
      <c r="K117" s="3"/>
      <c r="L117" s="54">
        <f>IFERROR(__xludf.DUMMYFUNCTION("""COMPUTED_VALUE"""),35.0)</f>
        <v>35</v>
      </c>
      <c r="M117" s="3">
        <f>IFERROR(__xludf.DUMMYFUNCTION("""COMPUTED_VALUE"""),96.0)</f>
        <v>96</v>
      </c>
      <c r="N117" s="3"/>
      <c r="O117" s="3"/>
      <c r="P117" s="3"/>
      <c r="Q117" s="3"/>
      <c r="R117" s="3"/>
      <c r="S117" s="3"/>
      <c r="T117" s="5"/>
      <c r="U117" s="5"/>
      <c r="V117" s="5"/>
      <c r="W117" s="5"/>
    </row>
    <row r="118" ht="15.75" customHeight="1">
      <c r="A118" s="3">
        <f>IFERROR(__xludf.DUMMYFUNCTION("""COMPUTED_VALUE"""),118.0)</f>
        <v>118</v>
      </c>
      <c r="B118" s="53">
        <f>IFERROR(__xludf.DUMMYFUNCTION("""COMPUTED_VALUE"""),45367.0)</f>
        <v>45367</v>
      </c>
      <c r="C118" s="3">
        <f>IFERROR(__xludf.DUMMYFUNCTION("""COMPUTED_VALUE"""),84.0)</f>
        <v>84</v>
      </c>
      <c r="D118" s="3" t="str">
        <f>IFERROR(__xludf.DUMMYFUNCTION("""COMPUTED_VALUE"""),"1.110")</f>
        <v>1.110</v>
      </c>
      <c r="E118" s="54">
        <f>IFERROR(__xludf.DUMMYFUNCTION("""COMPUTED_VALUE"""),31512.0)</f>
        <v>31512</v>
      </c>
      <c r="F118" s="3" t="str">
        <f>IFERROR(__xludf.DUMMYFUNCTION("""COMPUTED_VALUE"""),"Cabernet Sauvignon")</f>
        <v>Cabernet Sauvignon</v>
      </c>
      <c r="G118" s="3"/>
      <c r="H118" s="56">
        <f>IFERROR(__xludf.DUMMYFUNCTION("""COMPUTED_VALUE"""),4.5)</f>
        <v>4.5</v>
      </c>
      <c r="I118" s="57">
        <f>IFERROR(__xludf.DUMMYFUNCTION("""COMPUTED_VALUE"""),0.38)</f>
        <v>0.38</v>
      </c>
      <c r="J118" s="3"/>
      <c r="K118" s="3"/>
      <c r="L118" s="54">
        <f>IFERROR(__xludf.DUMMYFUNCTION("""COMPUTED_VALUE"""),32.0)</f>
        <v>32</v>
      </c>
      <c r="M118" s="3">
        <f>IFERROR(__xludf.DUMMYFUNCTION("""COMPUTED_VALUE"""),90.0)</f>
        <v>90</v>
      </c>
      <c r="N118" s="3"/>
      <c r="O118" s="3"/>
      <c r="P118" s="3"/>
      <c r="Q118" s="3"/>
      <c r="R118" s="3"/>
      <c r="S118" s="3"/>
      <c r="T118" s="5"/>
      <c r="U118" s="5"/>
      <c r="V118" s="5"/>
      <c r="W118" s="5"/>
    </row>
    <row r="119" ht="15.75" customHeight="1">
      <c r="A119" s="3">
        <f>IFERROR(__xludf.DUMMYFUNCTION("""COMPUTED_VALUE"""),119.0)</f>
        <v>119</v>
      </c>
      <c r="B119" s="53">
        <f>IFERROR(__xludf.DUMMYFUNCTION("""COMPUTED_VALUE"""),45367.0)</f>
        <v>45367</v>
      </c>
      <c r="C119" s="3">
        <f>IFERROR(__xludf.DUMMYFUNCTION("""COMPUTED_VALUE"""),102.0)</f>
        <v>102</v>
      </c>
      <c r="D119" s="3" t="str">
        <f>IFERROR(__xludf.DUMMYFUNCTION("""COMPUTED_VALUE"""),"1.094")</f>
        <v>1.094</v>
      </c>
      <c r="E119" s="54">
        <f>IFERROR(__xludf.DUMMYFUNCTION("""COMPUTED_VALUE"""),15000.0)</f>
        <v>15000</v>
      </c>
      <c r="F119" s="3" t="str">
        <f>IFERROR(__xludf.DUMMYFUNCTION("""COMPUTED_VALUE"""),"Malbec Pres")</f>
        <v>Malbec Pres</v>
      </c>
      <c r="G119" s="55">
        <f>IFERROR(__xludf.DUMMYFUNCTION("""COMPUTED_VALUE"""),12.7)</f>
        <v>12.7</v>
      </c>
      <c r="H119" s="56">
        <f>IFERROR(__xludf.DUMMYFUNCTION("""COMPUTED_VALUE"""),6.4)</f>
        <v>6.4</v>
      </c>
      <c r="I119" s="57">
        <f>IFERROR(__xludf.DUMMYFUNCTION("""COMPUTED_VALUE"""),0.4)</f>
        <v>0.4</v>
      </c>
      <c r="J119" s="57">
        <f>IFERROR(__xludf.DUMMYFUNCTION("""COMPUTED_VALUE"""),6.1)</f>
        <v>6.1</v>
      </c>
      <c r="K119" s="57">
        <f>IFERROR(__xludf.DUMMYFUNCTION("""COMPUTED_VALUE"""),3.75)</f>
        <v>3.75</v>
      </c>
      <c r="L119" s="54">
        <f>IFERROR(__xludf.DUMMYFUNCTION("""COMPUTED_VALUE"""),27.0)</f>
        <v>27</v>
      </c>
      <c r="M119" s="3">
        <f>IFERROR(__xludf.DUMMYFUNCTION("""COMPUTED_VALUE"""),95.0)</f>
        <v>95</v>
      </c>
      <c r="N119" s="3"/>
      <c r="O119" s="3"/>
      <c r="P119" s="3"/>
      <c r="Q119" s="3"/>
      <c r="R119" s="3"/>
      <c r="S119" s="3"/>
      <c r="T119" s="5"/>
      <c r="U119" s="5"/>
      <c r="V119" s="5"/>
      <c r="W119" s="5"/>
    </row>
    <row r="120" ht="15.75" customHeight="1">
      <c r="A120" s="3">
        <f>IFERROR(__xludf.DUMMYFUNCTION("""COMPUTED_VALUE"""),120.0)</f>
        <v>120</v>
      </c>
      <c r="B120" s="53">
        <f>IFERROR(__xludf.DUMMYFUNCTION("""COMPUTED_VALUE"""),45369.0)</f>
        <v>45369</v>
      </c>
      <c r="C120" s="3">
        <f>IFERROR(__xludf.DUMMYFUNCTION("""COMPUTED_VALUE"""),103.0)</f>
        <v>103</v>
      </c>
      <c r="D120" s="3" t="str">
        <f>IFERROR(__xludf.DUMMYFUNCTION("""COMPUTED_VALUE"""),"1.104")</f>
        <v>1.104</v>
      </c>
      <c r="E120" s="54">
        <f>IFERROR(__xludf.DUMMYFUNCTION("""COMPUTED_VALUE"""),28200.0)</f>
        <v>28200</v>
      </c>
      <c r="F120" s="3" t="str">
        <f>IFERROR(__xludf.DUMMYFUNCTION("""COMPUTED_VALUE"""),"Malbec Gota")</f>
        <v>Malbec Gota</v>
      </c>
      <c r="G120" s="55">
        <f>IFERROR(__xludf.DUMMYFUNCTION("""COMPUTED_VALUE"""),12.4)</f>
        <v>12.4</v>
      </c>
      <c r="H120" s="56">
        <f>IFERROR(__xludf.DUMMYFUNCTION("""COMPUTED_VALUE"""),2.0)</f>
        <v>2</v>
      </c>
      <c r="I120" s="57">
        <f>IFERROR(__xludf.DUMMYFUNCTION("""COMPUTED_VALUE"""),0.42)</f>
        <v>0.42</v>
      </c>
      <c r="J120" s="57">
        <f>IFERROR(__xludf.DUMMYFUNCTION("""COMPUTED_VALUE"""),6.34)</f>
        <v>6.34</v>
      </c>
      <c r="K120" s="57">
        <f>IFERROR(__xludf.DUMMYFUNCTION("""COMPUTED_VALUE"""),3.7)</f>
        <v>3.7</v>
      </c>
      <c r="L120" s="54">
        <f>IFERROR(__xludf.DUMMYFUNCTION("""COMPUTED_VALUE"""),20.0)</f>
        <v>20</v>
      </c>
      <c r="M120" s="3">
        <f>IFERROR(__xludf.DUMMYFUNCTION("""COMPUTED_VALUE"""),90.0)</f>
        <v>90</v>
      </c>
      <c r="N120" s="3"/>
      <c r="O120" s="3"/>
      <c r="P120" s="3"/>
      <c r="Q120" s="3"/>
      <c r="R120" s="3"/>
      <c r="S120" s="3"/>
      <c r="T120" s="5"/>
      <c r="U120" s="5"/>
      <c r="V120" s="5"/>
      <c r="W120" s="5"/>
    </row>
    <row r="121" ht="15.75" customHeight="1">
      <c r="A121" s="3">
        <f>IFERROR(__xludf.DUMMYFUNCTION("""COMPUTED_VALUE"""),121.0)</f>
        <v>121</v>
      </c>
      <c r="B121" s="53">
        <f>IFERROR(__xludf.DUMMYFUNCTION("""COMPUTED_VALUE"""),45369.0)</f>
        <v>45369</v>
      </c>
      <c r="C121" s="3">
        <f>IFERROR(__xludf.DUMMYFUNCTION("""COMPUTED_VALUE"""),77.0)</f>
        <v>77</v>
      </c>
      <c r="D121" s="3" t="str">
        <f>IFERROR(__xludf.DUMMYFUNCTION("""COMPUTED_VALUE"""),"1.083")</f>
        <v>1.083</v>
      </c>
      <c r="E121" s="54">
        <f>IFERROR(__xludf.DUMMYFUNCTION("""COMPUTED_VALUE"""),18579.600000000002)</f>
        <v>18579.6</v>
      </c>
      <c r="F121" s="3" t="str">
        <f>IFERROR(__xludf.DUMMYFUNCTION("""COMPUTED_VALUE"""),"Pedro Gimenez")</f>
        <v>Pedro Gimenez</v>
      </c>
      <c r="G121" s="55">
        <f>IFERROR(__xludf.DUMMYFUNCTION("""COMPUTED_VALUE"""),12.8)</f>
        <v>12.8</v>
      </c>
      <c r="H121" s="56">
        <f>IFERROR(__xludf.DUMMYFUNCTION("""COMPUTED_VALUE"""),2.0)</f>
        <v>2</v>
      </c>
      <c r="I121" s="3"/>
      <c r="J121" s="3"/>
      <c r="K121" s="3"/>
      <c r="L121" s="54">
        <f>IFERROR(__xludf.DUMMYFUNCTION("""COMPUTED_VALUE"""),12.0)</f>
        <v>12</v>
      </c>
      <c r="M121" s="3"/>
      <c r="N121" s="3"/>
      <c r="O121" s="3"/>
      <c r="P121" s="3"/>
      <c r="Q121" s="3"/>
      <c r="R121" s="3"/>
      <c r="S121" s="3"/>
      <c r="T121" s="5"/>
      <c r="U121" s="5"/>
      <c r="V121" s="5"/>
      <c r="W121" s="5"/>
    </row>
    <row r="122" ht="15.75" customHeight="1">
      <c r="A122" s="3">
        <f>IFERROR(__xludf.DUMMYFUNCTION("""COMPUTED_VALUE"""),122.0)</f>
        <v>122</v>
      </c>
      <c r="B122" s="53">
        <f>IFERROR(__xludf.DUMMYFUNCTION("""COMPUTED_VALUE"""),45369.0)</f>
        <v>45369</v>
      </c>
      <c r="C122" s="3">
        <f>IFERROR(__xludf.DUMMYFUNCTION("""COMPUTED_VALUE"""),90.0)</f>
        <v>90</v>
      </c>
      <c r="D122" s="3"/>
      <c r="E122" s="3"/>
      <c r="F122" s="3"/>
      <c r="G122" s="3"/>
      <c r="H122" s="56">
        <f>IFERROR(__xludf.DUMMYFUNCTION("""COMPUTED_VALUE"""),9.0)</f>
        <v>9</v>
      </c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5"/>
      <c r="U122" s="5"/>
      <c r="V122" s="5"/>
      <c r="W122" s="5"/>
    </row>
    <row r="123" ht="15.75" customHeight="1">
      <c r="A123" s="3">
        <f>IFERROR(__xludf.DUMMYFUNCTION("""COMPUTED_VALUE"""),123.0)</f>
        <v>123</v>
      </c>
      <c r="B123" s="53">
        <f>IFERROR(__xludf.DUMMYFUNCTION("""COMPUTED_VALUE"""),45369.0)</f>
        <v>45369</v>
      </c>
      <c r="C123" s="3">
        <f>IFERROR(__xludf.DUMMYFUNCTION("""COMPUTED_VALUE"""),69.0)</f>
        <v>69</v>
      </c>
      <c r="D123" s="3" t="str">
        <f>IFERROR(__xludf.DUMMYFUNCTION("""COMPUTED_VALUE"""),"1.092")</f>
        <v>1.092</v>
      </c>
      <c r="E123" s="54">
        <f>IFERROR(__xludf.DUMMYFUNCTION("""COMPUTED_VALUE"""),10000.0)</f>
        <v>10000</v>
      </c>
      <c r="F123" s="3" t="str">
        <f>IFERROR(__xludf.DUMMYFUNCTION("""COMPUTED_VALUE"""),"Tempranillo Merlot s/Asp 2")</f>
        <v>Tempranillo Merlot s/Asp 2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5"/>
      <c r="U123" s="5"/>
      <c r="V123" s="5"/>
      <c r="W123" s="5"/>
    </row>
    <row r="124" ht="15.75" customHeight="1">
      <c r="A124" s="3">
        <f>IFERROR(__xludf.DUMMYFUNCTION("""COMPUTED_VALUE"""),124.0)</f>
        <v>124</v>
      </c>
      <c r="B124" s="53">
        <f>IFERROR(__xludf.DUMMYFUNCTION("""COMPUTED_VALUE"""),45370.0)</f>
        <v>45370</v>
      </c>
      <c r="C124" s="3">
        <f>IFERROR(__xludf.DUMMYFUNCTION("""COMPUTED_VALUE"""),45.0)</f>
        <v>45</v>
      </c>
      <c r="D124" s="3"/>
      <c r="E124" s="3"/>
      <c r="F124" s="3"/>
      <c r="G124" s="55">
        <f>IFERROR(__xludf.DUMMYFUNCTION("""COMPUTED_VALUE"""),12.0)</f>
        <v>12</v>
      </c>
      <c r="H124" s="56">
        <f>IFERROR(__xludf.DUMMYFUNCTION("""COMPUTED_VALUE"""),5.6)</f>
        <v>5.6</v>
      </c>
      <c r="I124" s="57">
        <f>IFERROR(__xludf.DUMMYFUNCTION("""COMPUTED_VALUE"""),0.4)</f>
        <v>0.4</v>
      </c>
      <c r="J124" s="3"/>
      <c r="K124" s="3"/>
      <c r="L124" s="54">
        <f>IFERROR(__xludf.DUMMYFUNCTION("""COMPUTED_VALUE"""),25.0)</f>
        <v>25</v>
      </c>
      <c r="M124" s="3">
        <f>IFERROR(__xludf.DUMMYFUNCTION("""COMPUTED_VALUE"""),120.0)</f>
        <v>120</v>
      </c>
      <c r="N124" s="3"/>
      <c r="O124" s="3"/>
      <c r="P124" s="3"/>
      <c r="Q124" s="3"/>
      <c r="R124" s="3"/>
      <c r="S124" s="3"/>
      <c r="T124" s="5"/>
      <c r="U124" s="5"/>
      <c r="V124" s="5"/>
      <c r="W124" s="5"/>
    </row>
    <row r="125" ht="15.75" customHeight="1">
      <c r="A125" s="3">
        <f>IFERROR(__xludf.DUMMYFUNCTION("""COMPUTED_VALUE"""),125.0)</f>
        <v>125</v>
      </c>
      <c r="B125" s="53">
        <f>IFERROR(__xludf.DUMMYFUNCTION("""COMPUTED_VALUE"""),45371.0)</f>
        <v>45371</v>
      </c>
      <c r="C125" s="3">
        <f>IFERROR(__xludf.DUMMYFUNCTION("""COMPUTED_VALUE"""),68.0)</f>
        <v>68</v>
      </c>
      <c r="D125" s="3" t="str">
        <f>IFERROR(__xludf.DUMMYFUNCTION("""COMPUTED_VALUE"""),"1.088")</f>
        <v>1.088</v>
      </c>
      <c r="E125" s="54">
        <f>IFERROR(__xludf.DUMMYFUNCTION("""COMPUTED_VALUE"""),14385.0)</f>
        <v>14385</v>
      </c>
      <c r="F125" s="3" t="str">
        <f>IFERROR(__xludf.DUMMYFUNCTION("""COMPUTED_VALUE"""),"Syrah Rosado")</f>
        <v>Syrah Rosado</v>
      </c>
      <c r="G125" s="55">
        <f>IFERROR(__xludf.DUMMYFUNCTION("""COMPUTED_VALUE"""),13.4)</f>
        <v>13.4</v>
      </c>
      <c r="H125" s="56">
        <f>IFERROR(__xludf.DUMMYFUNCTION("""COMPUTED_VALUE"""),2.0)</f>
        <v>2</v>
      </c>
      <c r="I125" s="57">
        <f>IFERROR(__xludf.DUMMYFUNCTION("""COMPUTED_VALUE"""),0.35)</f>
        <v>0.35</v>
      </c>
      <c r="J125" s="57">
        <f>IFERROR(__xludf.DUMMYFUNCTION("""COMPUTED_VALUE"""),6.12)</f>
        <v>6.12</v>
      </c>
      <c r="K125" s="3"/>
      <c r="L125" s="54">
        <f>IFERROR(__xludf.DUMMYFUNCTION("""COMPUTED_VALUE"""),19.0)</f>
        <v>19</v>
      </c>
      <c r="M125" s="3">
        <f>IFERROR(__xludf.DUMMYFUNCTION("""COMPUTED_VALUE"""),77.0)</f>
        <v>77</v>
      </c>
      <c r="N125" s="3"/>
      <c r="O125" s="3"/>
      <c r="P125" s="3"/>
      <c r="Q125" s="3"/>
      <c r="R125" s="3"/>
      <c r="S125" s="3"/>
      <c r="T125" s="5"/>
      <c r="U125" s="5"/>
      <c r="V125" s="5"/>
      <c r="W125" s="5"/>
    </row>
    <row r="126" ht="15.75" customHeight="1">
      <c r="A126" s="3">
        <f>IFERROR(__xludf.DUMMYFUNCTION("""COMPUTED_VALUE"""),126.0)</f>
        <v>126</v>
      </c>
      <c r="B126" s="53">
        <f>IFERROR(__xludf.DUMMYFUNCTION("""COMPUTED_VALUE"""),45371.0)</f>
        <v>45371</v>
      </c>
      <c r="C126" s="3">
        <f>IFERROR(__xludf.DUMMYFUNCTION("""COMPUTED_VALUE"""),69.0)</f>
        <v>69</v>
      </c>
      <c r="D126" s="3" t="str">
        <f>IFERROR(__xludf.DUMMYFUNCTION("""COMPUTED_VALUE"""),"1.092")</f>
        <v>1.092</v>
      </c>
      <c r="E126" s="54">
        <f>IFERROR(__xludf.DUMMYFUNCTION("""COMPUTED_VALUE"""),10000.0)</f>
        <v>10000</v>
      </c>
      <c r="F126" s="3" t="str">
        <f>IFERROR(__xludf.DUMMYFUNCTION("""COMPUTED_VALUE"""),"Tempranillo Merlot s/Asp 2")</f>
        <v>Tempranillo Merlot s/Asp 2</v>
      </c>
      <c r="G126" s="55">
        <f>IFERROR(__xludf.DUMMYFUNCTION("""COMPUTED_VALUE"""),12.6)</f>
        <v>12.6</v>
      </c>
      <c r="H126" s="56">
        <f>IFERROR(__xludf.DUMMYFUNCTION("""COMPUTED_VALUE"""),3.46)</f>
        <v>3.46</v>
      </c>
      <c r="I126" s="57">
        <f>IFERROR(__xludf.DUMMYFUNCTION("""COMPUTED_VALUE"""),0.5)</f>
        <v>0.5</v>
      </c>
      <c r="J126" s="57">
        <f>IFERROR(__xludf.DUMMYFUNCTION("""COMPUTED_VALUE"""),5.73)</f>
        <v>5.73</v>
      </c>
      <c r="K126" s="3"/>
      <c r="L126" s="54">
        <f>IFERROR(__xludf.DUMMYFUNCTION("""COMPUTED_VALUE"""),20.0)</f>
        <v>20</v>
      </c>
      <c r="M126" s="3">
        <f>IFERROR(__xludf.DUMMYFUNCTION("""COMPUTED_VALUE"""),83.0)</f>
        <v>83</v>
      </c>
      <c r="N126" s="3"/>
      <c r="O126" s="3"/>
      <c r="P126" s="3"/>
      <c r="Q126" s="3"/>
      <c r="R126" s="3"/>
      <c r="S126" s="3"/>
      <c r="T126" s="5"/>
      <c r="U126" s="5"/>
      <c r="V126" s="5"/>
      <c r="W126" s="5"/>
    </row>
    <row r="127" ht="15.75" customHeight="1">
      <c r="A127" s="3">
        <f>IFERROR(__xludf.DUMMYFUNCTION("""COMPUTED_VALUE"""),127.0)</f>
        <v>127</v>
      </c>
      <c r="B127" s="53">
        <f>IFERROR(__xludf.DUMMYFUNCTION("""COMPUTED_VALUE"""),45371.0)</f>
        <v>45371</v>
      </c>
      <c r="C127" s="3">
        <f>IFERROR(__xludf.DUMMYFUNCTION("""COMPUTED_VALUE"""),102.0)</f>
        <v>102</v>
      </c>
      <c r="D127" s="3" t="str">
        <f>IFERROR(__xludf.DUMMYFUNCTION("""COMPUTED_VALUE"""),"1.094")</f>
        <v>1.094</v>
      </c>
      <c r="E127" s="54">
        <f>IFERROR(__xludf.DUMMYFUNCTION("""COMPUTED_VALUE"""),15000.0)</f>
        <v>15000</v>
      </c>
      <c r="F127" s="3" t="str">
        <f>IFERROR(__xludf.DUMMYFUNCTION("""COMPUTED_VALUE"""),"Malbec Pres")</f>
        <v>Malbec Pres</v>
      </c>
      <c r="G127" s="55">
        <f>IFERROR(__xludf.DUMMYFUNCTION("""COMPUTED_VALUE"""),12.9)</f>
        <v>12.9</v>
      </c>
      <c r="H127" s="56">
        <f>IFERROR(__xludf.DUMMYFUNCTION("""COMPUTED_VALUE"""),4.5)</f>
        <v>4.5</v>
      </c>
      <c r="I127" s="57">
        <f>IFERROR(__xludf.DUMMYFUNCTION("""COMPUTED_VALUE"""),0.55)</f>
        <v>0.55</v>
      </c>
      <c r="J127" s="57">
        <f>IFERROR(__xludf.DUMMYFUNCTION("""COMPUTED_VALUE"""),5.9)</f>
        <v>5.9</v>
      </c>
      <c r="K127" s="3"/>
      <c r="L127" s="54">
        <f>IFERROR(__xludf.DUMMYFUNCTION("""COMPUTED_VALUE"""),21.0)</f>
        <v>21</v>
      </c>
      <c r="M127" s="3">
        <f>IFERROR(__xludf.DUMMYFUNCTION("""COMPUTED_VALUE"""),86.0)</f>
        <v>86</v>
      </c>
      <c r="N127" s="3"/>
      <c r="O127" s="3"/>
      <c r="P127" s="3"/>
      <c r="Q127" s="3"/>
      <c r="R127" s="3"/>
      <c r="S127" s="3"/>
      <c r="T127" s="5"/>
      <c r="U127" s="5"/>
      <c r="V127" s="5"/>
      <c r="W127" s="5"/>
    </row>
    <row r="128" ht="15.75" customHeight="1">
      <c r="A128" s="3">
        <f>IFERROR(__xludf.DUMMYFUNCTION("""COMPUTED_VALUE"""),128.0)</f>
        <v>128</v>
      </c>
      <c r="B128" s="53">
        <f>IFERROR(__xludf.DUMMYFUNCTION("""COMPUTED_VALUE"""),45371.0)</f>
        <v>45371</v>
      </c>
      <c r="C128" s="3">
        <f>IFERROR(__xludf.DUMMYFUNCTION("""COMPUTED_VALUE"""),103.0)</f>
        <v>103</v>
      </c>
      <c r="D128" s="3" t="str">
        <f>IFERROR(__xludf.DUMMYFUNCTION("""COMPUTED_VALUE"""),"1.104")</f>
        <v>1.104</v>
      </c>
      <c r="E128" s="54">
        <f>IFERROR(__xludf.DUMMYFUNCTION("""COMPUTED_VALUE"""),28200.0)</f>
        <v>28200</v>
      </c>
      <c r="F128" s="3" t="str">
        <f>IFERROR(__xludf.DUMMYFUNCTION("""COMPUTED_VALUE"""),"Malbec Gota")</f>
        <v>Malbec Gota</v>
      </c>
      <c r="G128" s="55">
        <f>IFERROR(__xludf.DUMMYFUNCTION("""COMPUTED_VALUE"""),12.4)</f>
        <v>12.4</v>
      </c>
      <c r="H128" s="56">
        <f>IFERROR(__xludf.DUMMYFUNCTION("""COMPUTED_VALUE"""),2.0)</f>
        <v>2</v>
      </c>
      <c r="I128" s="57">
        <f>IFERROR(__xludf.DUMMYFUNCTION("""COMPUTED_VALUE"""),0.4)</f>
        <v>0.4</v>
      </c>
      <c r="J128" s="57">
        <f>IFERROR(__xludf.DUMMYFUNCTION("""COMPUTED_VALUE"""),5.8)</f>
        <v>5.8</v>
      </c>
      <c r="K128" s="3"/>
      <c r="L128" s="54">
        <f>IFERROR(__xludf.DUMMYFUNCTION("""COMPUTED_VALUE"""),23.0)</f>
        <v>23</v>
      </c>
      <c r="M128" s="3">
        <f>IFERROR(__xludf.DUMMYFUNCTION("""COMPUTED_VALUE"""),90.0)</f>
        <v>90</v>
      </c>
      <c r="N128" s="3"/>
      <c r="O128" s="3"/>
      <c r="P128" s="3"/>
      <c r="Q128" s="3"/>
      <c r="R128" s="3"/>
      <c r="S128" s="3"/>
      <c r="T128" s="5"/>
      <c r="U128" s="5"/>
      <c r="V128" s="5"/>
      <c r="W128" s="5"/>
    </row>
    <row r="129" ht="15.75" customHeight="1">
      <c r="A129" s="3">
        <f>IFERROR(__xludf.DUMMYFUNCTION("""COMPUTED_VALUE"""),129.0)</f>
        <v>129</v>
      </c>
      <c r="B129" s="53">
        <f>IFERROR(__xludf.DUMMYFUNCTION("""COMPUTED_VALUE"""),45371.0)</f>
        <v>45371</v>
      </c>
      <c r="C129" s="3">
        <f>IFERROR(__xludf.DUMMYFUNCTION("""COMPUTED_VALUE"""),104.0)</f>
        <v>104</v>
      </c>
      <c r="D129" s="3" t="str">
        <f>IFERROR(__xludf.DUMMYFUNCTION("""COMPUTED_VALUE"""),"1.095")</f>
        <v>1.095</v>
      </c>
      <c r="E129" s="54">
        <f>IFERROR(__xludf.DUMMYFUNCTION("""COMPUTED_VALUE"""),31000.0)</f>
        <v>31000</v>
      </c>
      <c r="F129" s="3" t="str">
        <f>IFERROR(__xludf.DUMMYFUNCTION("""COMPUTED_VALUE"""),"Syrah Tempranillo")</f>
        <v>Syrah Tempranillo</v>
      </c>
      <c r="G129" s="55">
        <f>IFERROR(__xludf.DUMMYFUNCTION("""COMPUTED_VALUE"""),12.8)</f>
        <v>12.8</v>
      </c>
      <c r="H129" s="56">
        <f>IFERROR(__xludf.DUMMYFUNCTION("""COMPUTED_VALUE"""),3.2)</f>
        <v>3.2</v>
      </c>
      <c r="I129" s="57">
        <f>IFERROR(__xludf.DUMMYFUNCTION("""COMPUTED_VALUE"""),0.55)</f>
        <v>0.55</v>
      </c>
      <c r="J129" s="3"/>
      <c r="K129" s="3"/>
      <c r="L129" s="54">
        <f>IFERROR(__xludf.DUMMYFUNCTION("""COMPUTED_VALUE"""),20.0)</f>
        <v>20</v>
      </c>
      <c r="M129" s="3">
        <f>IFERROR(__xludf.DUMMYFUNCTION("""COMPUTED_VALUE"""),70.0)</f>
        <v>70</v>
      </c>
      <c r="N129" s="3"/>
      <c r="O129" s="3"/>
      <c r="P129" s="3"/>
      <c r="Q129" s="3"/>
      <c r="R129" s="3"/>
      <c r="S129" s="3"/>
      <c r="T129" s="5"/>
      <c r="U129" s="5"/>
      <c r="V129" s="5"/>
      <c r="W129" s="5"/>
    </row>
    <row r="130" ht="15.75" customHeight="1">
      <c r="A130" s="3">
        <f>IFERROR(__xludf.DUMMYFUNCTION("""COMPUTED_VALUE"""),130.0)</f>
        <v>130</v>
      </c>
      <c r="B130" s="53">
        <f>IFERROR(__xludf.DUMMYFUNCTION("""COMPUTED_VALUE"""),45372.0)</f>
        <v>45372</v>
      </c>
      <c r="C130" s="3">
        <f>IFERROR(__xludf.DUMMYFUNCTION("""COMPUTED_VALUE"""),105.0)</f>
        <v>105</v>
      </c>
      <c r="D130" s="3" t="str">
        <f>IFERROR(__xludf.DUMMYFUNCTION("""COMPUTED_VALUE"""),"1.096")</f>
        <v>1.096</v>
      </c>
      <c r="E130" s="54">
        <f>IFERROR(__xludf.DUMMYFUNCTION("""COMPUTED_VALUE"""),31000.0)</f>
        <v>31000</v>
      </c>
      <c r="F130" s="3" t="str">
        <f>IFERROR(__xludf.DUMMYFUNCTION("""COMPUTED_VALUE"""),"Syrah Tempranillo")</f>
        <v>Syrah Tempranillo</v>
      </c>
      <c r="G130" s="55">
        <f>IFERROR(__xludf.DUMMYFUNCTION("""COMPUTED_VALUE"""),12.9)</f>
        <v>12.9</v>
      </c>
      <c r="H130" s="56">
        <f>IFERROR(__xludf.DUMMYFUNCTION("""COMPUTED_VALUE"""),2.9)</f>
        <v>2.9</v>
      </c>
      <c r="I130" s="57">
        <f>IFERROR(__xludf.DUMMYFUNCTION("""COMPUTED_VALUE"""),0.52)</f>
        <v>0.52</v>
      </c>
      <c r="J130" s="3"/>
      <c r="K130" s="3"/>
      <c r="L130" s="54">
        <f>IFERROR(__xludf.DUMMYFUNCTION("""COMPUTED_VALUE"""),16.0)</f>
        <v>16</v>
      </c>
      <c r="M130" s="3">
        <f>IFERROR(__xludf.DUMMYFUNCTION("""COMPUTED_VALUE"""),80.0)</f>
        <v>80</v>
      </c>
      <c r="N130" s="3"/>
      <c r="O130" s="3"/>
      <c r="P130" s="3"/>
      <c r="Q130" s="3"/>
      <c r="R130" s="3"/>
      <c r="S130" s="3"/>
      <c r="T130" s="5"/>
      <c r="U130" s="5"/>
      <c r="V130" s="5"/>
      <c r="W130" s="5"/>
    </row>
    <row r="131" ht="15.75" customHeight="1">
      <c r="A131" s="3">
        <f>IFERROR(__xludf.DUMMYFUNCTION("""COMPUTED_VALUE"""),131.0)</f>
        <v>131</v>
      </c>
      <c r="B131" s="53">
        <f>IFERROR(__xludf.DUMMYFUNCTION("""COMPUTED_VALUE"""),45372.0)</f>
        <v>45372</v>
      </c>
      <c r="C131" s="3">
        <f>IFERROR(__xludf.DUMMYFUNCTION("""COMPUTED_VALUE"""),106.0)</f>
        <v>106</v>
      </c>
      <c r="D131" s="3" t="str">
        <f>IFERROR(__xludf.DUMMYFUNCTION("""COMPUTED_VALUE"""),"1.097")</f>
        <v>1.097</v>
      </c>
      <c r="E131" s="54">
        <f>IFERROR(__xludf.DUMMYFUNCTION("""COMPUTED_VALUE"""),11000.0)</f>
        <v>11000</v>
      </c>
      <c r="F131" s="3" t="str">
        <f>IFERROR(__xludf.DUMMYFUNCTION("""COMPUTED_VALUE"""),"Syrah")</f>
        <v>Syrah</v>
      </c>
      <c r="G131" s="55">
        <f>IFERROR(__xludf.DUMMYFUNCTION("""COMPUTED_VALUE"""),13.0)</f>
        <v>13</v>
      </c>
      <c r="H131" s="56">
        <f>IFERROR(__xludf.DUMMYFUNCTION("""COMPUTED_VALUE"""),3.3)</f>
        <v>3.3</v>
      </c>
      <c r="I131" s="57">
        <f>IFERROR(__xludf.DUMMYFUNCTION("""COMPUTED_VALUE"""),0.49)</f>
        <v>0.49</v>
      </c>
      <c r="J131" s="3"/>
      <c r="K131" s="3"/>
      <c r="L131" s="54">
        <f>IFERROR(__xludf.DUMMYFUNCTION("""COMPUTED_VALUE"""),17.0)</f>
        <v>17</v>
      </c>
      <c r="M131" s="3">
        <f>IFERROR(__xludf.DUMMYFUNCTION("""COMPUTED_VALUE"""),85.0)</f>
        <v>85</v>
      </c>
      <c r="N131" s="3"/>
      <c r="O131" s="3"/>
      <c r="P131" s="3"/>
      <c r="Q131" s="3"/>
      <c r="R131" s="3"/>
      <c r="S131" s="3"/>
      <c r="T131" s="5"/>
      <c r="U131" s="5"/>
      <c r="V131" s="5"/>
      <c r="W131" s="5"/>
    </row>
    <row r="132" ht="15.75" customHeight="1">
      <c r="A132" s="3">
        <f>IFERROR(__xludf.DUMMYFUNCTION("""COMPUTED_VALUE"""),132.0)</f>
        <v>132</v>
      </c>
      <c r="B132" s="53">
        <f>IFERROR(__xludf.DUMMYFUNCTION("""COMPUTED_VALUE"""),45372.0)</f>
        <v>45372</v>
      </c>
      <c r="C132" s="3">
        <f>IFERROR(__xludf.DUMMYFUNCTION("""COMPUTED_VALUE"""),107.0)</f>
        <v>107</v>
      </c>
      <c r="D132" s="3" t="str">
        <f>IFERROR(__xludf.DUMMYFUNCTION("""COMPUTED_VALUE"""),"1.098")</f>
        <v>1.098</v>
      </c>
      <c r="E132" s="54">
        <f>IFERROR(__xludf.DUMMYFUNCTION("""COMPUTED_VALUE"""),31000.0)</f>
        <v>31000</v>
      </c>
      <c r="F132" s="3" t="str">
        <f>IFERROR(__xludf.DUMMYFUNCTION("""COMPUTED_VALUE"""),"Syrah")</f>
        <v>Syrah</v>
      </c>
      <c r="G132" s="55">
        <f>IFERROR(__xludf.DUMMYFUNCTION("""COMPUTED_VALUE"""),12.9)</f>
        <v>12.9</v>
      </c>
      <c r="H132" s="56">
        <f>IFERROR(__xludf.DUMMYFUNCTION("""COMPUTED_VALUE"""),3.4)</f>
        <v>3.4</v>
      </c>
      <c r="I132" s="57">
        <f>IFERROR(__xludf.DUMMYFUNCTION("""COMPUTED_VALUE"""),0.48)</f>
        <v>0.48</v>
      </c>
      <c r="J132" s="3"/>
      <c r="K132" s="3"/>
      <c r="L132" s="54">
        <f>IFERROR(__xludf.DUMMYFUNCTION("""COMPUTED_VALUE"""),16.0)</f>
        <v>16</v>
      </c>
      <c r="M132" s="3">
        <f>IFERROR(__xludf.DUMMYFUNCTION("""COMPUTED_VALUE"""),70.0)</f>
        <v>70</v>
      </c>
      <c r="N132" s="3"/>
      <c r="O132" s="3"/>
      <c r="P132" s="3"/>
      <c r="Q132" s="3"/>
      <c r="R132" s="3"/>
      <c r="S132" s="3"/>
      <c r="T132" s="5"/>
      <c r="U132" s="5"/>
      <c r="V132" s="5"/>
      <c r="W132" s="5"/>
    </row>
    <row r="133" ht="15.75" customHeight="1">
      <c r="A133" s="3">
        <f>IFERROR(__xludf.DUMMYFUNCTION("""COMPUTED_VALUE"""),133.0)</f>
        <v>133</v>
      </c>
      <c r="B133" s="53">
        <f>IFERROR(__xludf.DUMMYFUNCTION("""COMPUTED_VALUE"""),45372.0)</f>
        <v>45372</v>
      </c>
      <c r="C133" s="3">
        <f>IFERROR(__xludf.DUMMYFUNCTION("""COMPUTED_VALUE"""),108.0)</f>
        <v>108</v>
      </c>
      <c r="D133" s="3" t="str">
        <f>IFERROR(__xludf.DUMMYFUNCTION("""COMPUTED_VALUE"""),"1.101")</f>
        <v>1.101</v>
      </c>
      <c r="E133" s="54">
        <f>IFERROR(__xludf.DUMMYFUNCTION("""COMPUTED_VALUE"""),31000.0)</f>
        <v>31000</v>
      </c>
      <c r="F133" s="3" t="str">
        <f>IFERROR(__xludf.DUMMYFUNCTION("""COMPUTED_VALUE"""),"Syrah")</f>
        <v>Syrah</v>
      </c>
      <c r="G133" s="55">
        <f>IFERROR(__xludf.DUMMYFUNCTION("""COMPUTED_VALUE"""),12.8)</f>
        <v>12.8</v>
      </c>
      <c r="H133" s="56">
        <f>IFERROR(__xludf.DUMMYFUNCTION("""COMPUTED_VALUE"""),2.8)</f>
        <v>2.8</v>
      </c>
      <c r="I133" s="57">
        <f>IFERROR(__xludf.DUMMYFUNCTION("""COMPUTED_VALUE"""),0.55)</f>
        <v>0.55</v>
      </c>
      <c r="J133" s="3"/>
      <c r="K133" s="3"/>
      <c r="L133" s="54">
        <f>IFERROR(__xludf.DUMMYFUNCTION("""COMPUTED_VALUE"""),13.0)</f>
        <v>13</v>
      </c>
      <c r="M133" s="3">
        <f>IFERROR(__xludf.DUMMYFUNCTION("""COMPUTED_VALUE"""),85.0)</f>
        <v>85</v>
      </c>
      <c r="N133" s="3"/>
      <c r="O133" s="3"/>
      <c r="P133" s="3"/>
      <c r="Q133" s="3"/>
      <c r="R133" s="3"/>
      <c r="S133" s="3"/>
      <c r="T133" s="5"/>
      <c r="U133" s="5"/>
      <c r="V133" s="5"/>
      <c r="W133" s="5"/>
    </row>
    <row r="134" ht="15.75" customHeight="1">
      <c r="A134" s="3">
        <f>IFERROR(__xludf.DUMMYFUNCTION("""COMPUTED_VALUE"""),134.0)</f>
        <v>134</v>
      </c>
      <c r="B134" s="53">
        <f>IFERROR(__xludf.DUMMYFUNCTION("""COMPUTED_VALUE"""),45372.0)</f>
        <v>45372</v>
      </c>
      <c r="C134" s="3">
        <f>IFERROR(__xludf.DUMMYFUNCTION("""COMPUTED_VALUE"""),109.0)</f>
        <v>109</v>
      </c>
      <c r="D134" s="3" t="str">
        <f>IFERROR(__xludf.DUMMYFUNCTION("""COMPUTED_VALUE"""),"1.102")</f>
        <v>1.102</v>
      </c>
      <c r="E134" s="54">
        <f>IFERROR(__xludf.DUMMYFUNCTION("""COMPUTED_VALUE"""),15600.0)</f>
        <v>15600</v>
      </c>
      <c r="F134" s="3" t="str">
        <f>IFERROR(__xludf.DUMMYFUNCTION("""COMPUTED_VALUE"""),"Syrah")</f>
        <v>Syrah</v>
      </c>
      <c r="G134" s="55">
        <f>IFERROR(__xludf.DUMMYFUNCTION("""COMPUTED_VALUE"""),12.7)</f>
        <v>12.7</v>
      </c>
      <c r="H134" s="56">
        <f>IFERROR(__xludf.DUMMYFUNCTION("""COMPUTED_VALUE"""),2.6)</f>
        <v>2.6</v>
      </c>
      <c r="I134" s="57">
        <f>IFERROR(__xludf.DUMMYFUNCTION("""COMPUTED_VALUE"""),0.6)</f>
        <v>0.6</v>
      </c>
      <c r="J134" s="3"/>
      <c r="K134" s="3"/>
      <c r="L134" s="54">
        <f>IFERROR(__xludf.DUMMYFUNCTION("""COMPUTED_VALUE"""),12.0)</f>
        <v>12</v>
      </c>
      <c r="M134" s="3">
        <f>IFERROR(__xludf.DUMMYFUNCTION("""COMPUTED_VALUE"""),90.0)</f>
        <v>90</v>
      </c>
      <c r="N134" s="3"/>
      <c r="O134" s="3"/>
      <c r="P134" s="3"/>
      <c r="Q134" s="3"/>
      <c r="R134" s="3"/>
      <c r="S134" s="3"/>
      <c r="T134" s="5"/>
      <c r="U134" s="5"/>
      <c r="V134" s="5"/>
      <c r="W134" s="5"/>
    </row>
    <row r="135" ht="15.75" customHeight="1">
      <c r="A135" s="3">
        <f>IFERROR(__xludf.DUMMYFUNCTION("""COMPUTED_VALUE"""),135.0)</f>
        <v>135</v>
      </c>
      <c r="B135" s="53">
        <f>IFERROR(__xludf.DUMMYFUNCTION("""COMPUTED_VALUE"""),45372.0)</f>
        <v>45372</v>
      </c>
      <c r="C135" s="3">
        <f>IFERROR(__xludf.DUMMYFUNCTION("""COMPUTED_VALUE"""),110.0)</f>
        <v>110</v>
      </c>
      <c r="D135" s="3" t="str">
        <f>IFERROR(__xludf.DUMMYFUNCTION("""COMPUTED_VALUE"""),"1.103")</f>
        <v>1.103</v>
      </c>
      <c r="E135" s="54">
        <f>IFERROR(__xludf.DUMMYFUNCTION("""COMPUTED_VALUE"""),15600.0)</f>
        <v>15600</v>
      </c>
      <c r="F135" s="3" t="str">
        <f>IFERROR(__xludf.DUMMYFUNCTION("""COMPUTED_VALUE"""),"Syrah")</f>
        <v>Syrah</v>
      </c>
      <c r="G135" s="55">
        <f>IFERROR(__xludf.DUMMYFUNCTION("""COMPUTED_VALUE"""),12.5)</f>
        <v>12.5</v>
      </c>
      <c r="H135" s="56">
        <f>IFERROR(__xludf.DUMMYFUNCTION("""COMPUTED_VALUE"""),2.5)</f>
        <v>2.5</v>
      </c>
      <c r="I135" s="57">
        <f>IFERROR(__xludf.DUMMYFUNCTION("""COMPUTED_VALUE"""),0.62)</f>
        <v>0.62</v>
      </c>
      <c r="J135" s="3"/>
      <c r="K135" s="3"/>
      <c r="L135" s="54">
        <f>IFERROR(__xludf.DUMMYFUNCTION("""COMPUTED_VALUE"""),10.0)</f>
        <v>10</v>
      </c>
      <c r="M135" s="3">
        <f>IFERROR(__xludf.DUMMYFUNCTION("""COMPUTED_VALUE"""),100.0)</f>
        <v>100</v>
      </c>
      <c r="N135" s="3"/>
      <c r="O135" s="3"/>
      <c r="P135" s="3"/>
      <c r="Q135" s="3"/>
      <c r="R135" s="3"/>
      <c r="S135" s="3"/>
      <c r="T135" s="5"/>
      <c r="U135" s="5"/>
      <c r="V135" s="5"/>
      <c r="W135" s="5"/>
    </row>
    <row r="136" ht="15.75" customHeight="1">
      <c r="A136" s="3">
        <f>IFERROR(__xludf.DUMMYFUNCTION("""COMPUTED_VALUE"""),136.0)</f>
        <v>136</v>
      </c>
      <c r="B136" s="53">
        <f>IFERROR(__xludf.DUMMYFUNCTION("""COMPUTED_VALUE"""),45372.0)</f>
        <v>45372</v>
      </c>
      <c r="C136" s="3">
        <f>IFERROR(__xludf.DUMMYFUNCTION("""COMPUTED_VALUE"""),114.0)</f>
        <v>114</v>
      </c>
      <c r="D136" s="3" t="str">
        <f>IFERROR(__xludf.DUMMYFUNCTION("""COMPUTED_VALUE"""),"1.090")</f>
        <v>1.090</v>
      </c>
      <c r="E136" s="54">
        <f>IFERROR(__xludf.DUMMYFUNCTION("""COMPUTED_VALUE"""),125300.0)</f>
        <v>125300</v>
      </c>
      <c r="F136" s="3" t="str">
        <f>IFERROR(__xludf.DUMMYFUNCTION("""COMPUTED_VALUE"""),"Aspirant Ancc")</f>
        <v>Aspirant Ancc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5"/>
      <c r="U136" s="5"/>
      <c r="V136" s="5"/>
      <c r="W136" s="5"/>
    </row>
    <row r="137" ht="15.75" customHeight="1">
      <c r="A137" s="3">
        <f>IFERROR(__xludf.DUMMYFUNCTION("""COMPUTED_VALUE"""),137.0)</f>
        <v>137</v>
      </c>
      <c r="B137" s="53">
        <f>IFERROR(__xludf.DUMMYFUNCTION("""COMPUTED_VALUE"""),45372.0)</f>
        <v>45372</v>
      </c>
      <c r="C137" s="3">
        <f>IFERROR(__xludf.DUMMYFUNCTION("""COMPUTED_VALUE"""),115.0)</f>
        <v>115</v>
      </c>
      <c r="D137" s="3" t="str">
        <f>IFERROR(__xludf.DUMMYFUNCTION("""COMPUTED_VALUE"""),"1.091")</f>
        <v>1.091</v>
      </c>
      <c r="E137" s="54">
        <f>IFERROR(__xludf.DUMMYFUNCTION("""COMPUTED_VALUE"""),120200.0)</f>
        <v>120200</v>
      </c>
      <c r="F137" s="3" t="str">
        <f>IFERROR(__xludf.DUMMYFUNCTION("""COMPUTED_VALUE"""),"Tempranillo Merlot s/Asp 1")</f>
        <v>Tempranillo Merlot s/Asp 1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5"/>
      <c r="U137" s="5"/>
      <c r="V137" s="5"/>
      <c r="W137" s="5"/>
    </row>
    <row r="138" ht="15.75" customHeight="1">
      <c r="A138" s="3">
        <f>IFERROR(__xludf.DUMMYFUNCTION("""COMPUTED_VALUE"""),138.0)</f>
        <v>138</v>
      </c>
      <c r="B138" s="53">
        <f>IFERROR(__xludf.DUMMYFUNCTION("""COMPUTED_VALUE"""),45372.0)</f>
        <v>45372</v>
      </c>
      <c r="C138" s="3">
        <f>IFERROR(__xludf.DUMMYFUNCTION("""COMPUTED_VALUE"""),41.0)</f>
        <v>41</v>
      </c>
      <c r="D138" s="3" t="str">
        <f>IFERROR(__xludf.DUMMYFUNCTION("""COMPUTED_VALUE"""),"#REF!")</f>
        <v>#REF!</v>
      </c>
      <c r="E138" s="3"/>
      <c r="F138" s="3" t="str">
        <f>IFERROR(__xludf.DUMMYFUNCTION("""COMPUTED_VALUE"""),"syrah")</f>
        <v>syrah</v>
      </c>
      <c r="G138" s="55">
        <f>IFERROR(__xludf.DUMMYFUNCTION("""COMPUTED_VALUE"""),13.0)</f>
        <v>13</v>
      </c>
      <c r="H138" s="56">
        <f>IFERROR(__xludf.DUMMYFUNCTION("""COMPUTED_VALUE"""),2.64)</f>
        <v>2.64</v>
      </c>
      <c r="I138" s="57">
        <f>IFERROR(__xludf.DUMMYFUNCTION("""COMPUTED_VALUE"""),0.42)</f>
        <v>0.42</v>
      </c>
      <c r="J138" s="3"/>
      <c r="K138" s="3"/>
      <c r="L138" s="54">
        <f>IFERROR(__xludf.DUMMYFUNCTION("""COMPUTED_VALUE"""),12.0)</f>
        <v>12</v>
      </c>
      <c r="M138" s="3">
        <f>IFERROR(__xludf.DUMMYFUNCTION("""COMPUTED_VALUE"""),77.0)</f>
        <v>77</v>
      </c>
      <c r="N138" s="3"/>
      <c r="O138" s="3"/>
      <c r="P138" s="3"/>
      <c r="Q138" s="3"/>
      <c r="R138" s="3"/>
      <c r="S138" s="3"/>
      <c r="T138" s="5"/>
      <c r="U138" s="5"/>
      <c r="V138" s="5"/>
      <c r="W138" s="5"/>
    </row>
    <row r="139" ht="15.75" customHeight="1">
      <c r="A139" s="3">
        <f>IFERROR(__xludf.DUMMYFUNCTION("""COMPUTED_VALUE"""),139.0)</f>
        <v>139</v>
      </c>
      <c r="B139" s="53">
        <f>IFERROR(__xludf.DUMMYFUNCTION("""COMPUTED_VALUE"""),45372.0)</f>
        <v>45372</v>
      </c>
      <c r="C139" s="3">
        <f>IFERROR(__xludf.DUMMYFUNCTION("""COMPUTED_VALUE"""),87.0)</f>
        <v>87</v>
      </c>
      <c r="D139" s="3"/>
      <c r="E139" s="3"/>
      <c r="F139" s="3"/>
      <c r="G139" s="3"/>
      <c r="H139" s="56">
        <f>IFERROR(__xludf.DUMMYFUNCTION("""COMPUTED_VALUE"""),2.0)</f>
        <v>2</v>
      </c>
      <c r="I139" s="57">
        <f>IFERROR(__xludf.DUMMYFUNCTION("""COMPUTED_VALUE"""),0.47)</f>
        <v>0.47</v>
      </c>
      <c r="J139" s="3"/>
      <c r="K139" s="3"/>
      <c r="L139" s="54">
        <f>IFERROR(__xludf.DUMMYFUNCTION("""COMPUTED_VALUE"""),12.0)</f>
        <v>12</v>
      </c>
      <c r="M139" s="3">
        <f>IFERROR(__xludf.DUMMYFUNCTION("""COMPUTED_VALUE"""),75.0)</f>
        <v>75</v>
      </c>
      <c r="N139" s="3"/>
      <c r="O139" s="3"/>
      <c r="P139" s="3"/>
      <c r="Q139" s="3"/>
      <c r="R139" s="3"/>
      <c r="S139" s="3"/>
      <c r="T139" s="5"/>
      <c r="U139" s="5"/>
      <c r="V139" s="5"/>
      <c r="W139" s="5"/>
    </row>
    <row r="140" ht="15.75" customHeight="1">
      <c r="A140" s="3">
        <f>IFERROR(__xludf.DUMMYFUNCTION("""COMPUTED_VALUE"""),140.0)</f>
        <v>140</v>
      </c>
      <c r="B140" s="53">
        <f>IFERROR(__xludf.DUMMYFUNCTION("""COMPUTED_VALUE"""),45372.0)</f>
        <v>45372</v>
      </c>
      <c r="C140" s="3">
        <f>IFERROR(__xludf.DUMMYFUNCTION("""COMPUTED_VALUE"""),91.0)</f>
        <v>91</v>
      </c>
      <c r="D140" s="3"/>
      <c r="E140" s="3"/>
      <c r="F140" s="3"/>
      <c r="G140" s="3"/>
      <c r="H140" s="56">
        <f>IFERROR(__xludf.DUMMYFUNCTION("""COMPUTED_VALUE"""),4.5)</f>
        <v>4.5</v>
      </c>
      <c r="I140" s="57">
        <f>IFERROR(__xludf.DUMMYFUNCTION("""COMPUTED_VALUE"""),0.37)</f>
        <v>0.37</v>
      </c>
      <c r="J140" s="3"/>
      <c r="K140" s="3"/>
      <c r="L140" s="54">
        <f>IFERROR(__xludf.DUMMYFUNCTION("""COMPUTED_VALUE"""),15.0)</f>
        <v>15</v>
      </c>
      <c r="M140" s="3">
        <f>IFERROR(__xludf.DUMMYFUNCTION("""COMPUTED_VALUE"""),80.0)</f>
        <v>80</v>
      </c>
      <c r="N140" s="3"/>
      <c r="O140" s="3"/>
      <c r="P140" s="3"/>
      <c r="Q140" s="3"/>
      <c r="R140" s="3"/>
      <c r="S140" s="3"/>
      <c r="T140" s="5"/>
      <c r="U140" s="5"/>
      <c r="V140" s="5"/>
      <c r="W140" s="5"/>
    </row>
    <row r="141" ht="15.75" customHeight="1">
      <c r="A141" s="3">
        <f>IFERROR(__xludf.DUMMYFUNCTION("""COMPUTED_VALUE"""),141.0)</f>
        <v>141</v>
      </c>
      <c r="B141" s="53">
        <f>IFERROR(__xludf.DUMMYFUNCTION("""COMPUTED_VALUE"""),45372.0)</f>
        <v>45372</v>
      </c>
      <c r="C141" s="3">
        <f>IFERROR(__xludf.DUMMYFUNCTION("""COMPUTED_VALUE"""),9.0)</f>
        <v>9</v>
      </c>
      <c r="D141" s="3" t="str">
        <f>IFERROR(__xludf.DUMMYFUNCTION("""COMPUTED_VALUE"""),"#REF!")</f>
        <v>#REF!</v>
      </c>
      <c r="E141" s="3"/>
      <c r="F141" s="3" t="str">
        <f>IFERROR(__xludf.DUMMYFUNCTION("""COMPUTED_VALUE"""),"syah/aspirant")</f>
        <v>syah/aspirant</v>
      </c>
      <c r="G141" s="3"/>
      <c r="H141" s="56">
        <f>IFERROR(__xludf.DUMMYFUNCTION("""COMPUTED_VALUE"""),9.0)</f>
        <v>9</v>
      </c>
      <c r="I141" s="57">
        <f>IFERROR(__xludf.DUMMYFUNCTION("""COMPUTED_VALUE"""),0.54)</f>
        <v>0.54</v>
      </c>
      <c r="J141" s="3"/>
      <c r="K141" s="3"/>
      <c r="L141" s="54">
        <f>IFERROR(__xludf.DUMMYFUNCTION("""COMPUTED_VALUE"""),38.0)</f>
        <v>38</v>
      </c>
      <c r="M141" s="3">
        <f>IFERROR(__xludf.DUMMYFUNCTION("""COMPUTED_VALUE"""),90.0)</f>
        <v>90</v>
      </c>
      <c r="N141" s="3"/>
      <c r="O141" s="3"/>
      <c r="P141" s="3"/>
      <c r="Q141" s="3"/>
      <c r="R141" s="3"/>
      <c r="S141" s="3"/>
      <c r="T141" s="5"/>
      <c r="U141" s="5"/>
      <c r="V141" s="5"/>
      <c r="W141" s="5"/>
    </row>
    <row r="142" ht="15.75" customHeight="1">
      <c r="A142" s="3">
        <f>IFERROR(__xludf.DUMMYFUNCTION("""COMPUTED_VALUE"""),142.0)</f>
        <v>142</v>
      </c>
      <c r="B142" s="53">
        <f>IFERROR(__xludf.DUMMYFUNCTION("""COMPUTED_VALUE"""),45373.0)</f>
        <v>45373</v>
      </c>
      <c r="C142" s="3">
        <f>IFERROR(__xludf.DUMMYFUNCTION("""COMPUTED_VALUE"""),114.0)</f>
        <v>114</v>
      </c>
      <c r="D142" s="3" t="str">
        <f>IFERROR(__xludf.DUMMYFUNCTION("""COMPUTED_VALUE"""),"1.090")</f>
        <v>1.090</v>
      </c>
      <c r="E142" s="54">
        <f>IFERROR(__xludf.DUMMYFUNCTION("""COMPUTED_VALUE"""),125300.0)</f>
        <v>125300</v>
      </c>
      <c r="F142" s="3" t="str">
        <f>IFERROR(__xludf.DUMMYFUNCTION("""COMPUTED_VALUE"""),"Aspirant Ancc")</f>
        <v>Aspirant Ancc</v>
      </c>
      <c r="G142" s="55">
        <f>IFERROR(__xludf.DUMMYFUNCTION("""COMPUTED_VALUE"""),11.5)</f>
        <v>11.5</v>
      </c>
      <c r="H142" s="56">
        <f>IFERROR(__xludf.DUMMYFUNCTION("""COMPUTED_VALUE"""),2.0)</f>
        <v>2</v>
      </c>
      <c r="I142" s="57">
        <f>IFERROR(__xludf.DUMMYFUNCTION("""COMPUTED_VALUE"""),0.34)</f>
        <v>0.34</v>
      </c>
      <c r="J142" s="57">
        <f>IFERROR(__xludf.DUMMYFUNCTION("""COMPUTED_VALUE"""),7.6)</f>
        <v>7.6</v>
      </c>
      <c r="K142" s="3"/>
      <c r="L142" s="54">
        <f>IFERROR(__xludf.DUMMYFUNCTION("""COMPUTED_VALUE"""),45.0)</f>
        <v>45</v>
      </c>
      <c r="M142" s="3">
        <f>IFERROR(__xludf.DUMMYFUNCTION("""COMPUTED_VALUE"""),96.0)</f>
        <v>96</v>
      </c>
      <c r="N142" s="3"/>
      <c r="O142" s="3"/>
      <c r="P142" s="3"/>
      <c r="Q142" s="3"/>
      <c r="R142" s="3"/>
      <c r="S142" s="3"/>
      <c r="T142" s="5"/>
      <c r="U142" s="5"/>
      <c r="V142" s="5"/>
      <c r="W142" s="5"/>
    </row>
    <row r="143" ht="15.75" customHeight="1">
      <c r="A143" s="3">
        <f>IFERROR(__xludf.DUMMYFUNCTION("""COMPUTED_VALUE"""),143.0)</f>
        <v>143</v>
      </c>
      <c r="B143" s="53">
        <f>IFERROR(__xludf.DUMMYFUNCTION("""COMPUTED_VALUE"""),45373.0)</f>
        <v>45373</v>
      </c>
      <c r="C143" s="3">
        <f>IFERROR(__xludf.DUMMYFUNCTION("""COMPUTED_VALUE"""),115.0)</f>
        <v>115</v>
      </c>
      <c r="D143" s="3" t="str">
        <f>IFERROR(__xludf.DUMMYFUNCTION("""COMPUTED_VALUE"""),"1.091")</f>
        <v>1.091</v>
      </c>
      <c r="E143" s="54">
        <f>IFERROR(__xludf.DUMMYFUNCTION("""COMPUTED_VALUE"""),120200.0)</f>
        <v>120200</v>
      </c>
      <c r="F143" s="3" t="str">
        <f>IFERROR(__xludf.DUMMYFUNCTION("""COMPUTED_VALUE"""),"Tempranillo Merlot s/Asp 1")</f>
        <v>Tempranillo Merlot s/Asp 1</v>
      </c>
      <c r="G143" s="55">
        <f>IFERROR(__xludf.DUMMYFUNCTION("""COMPUTED_VALUE"""),12.2)</f>
        <v>12.2</v>
      </c>
      <c r="H143" s="56">
        <f>IFERROR(__xludf.DUMMYFUNCTION("""COMPUTED_VALUE"""),3.0)</f>
        <v>3</v>
      </c>
      <c r="I143" s="57">
        <f>IFERROR(__xludf.DUMMYFUNCTION("""COMPUTED_VALUE"""),0.47)</f>
        <v>0.47</v>
      </c>
      <c r="J143" s="57">
        <f>IFERROR(__xludf.DUMMYFUNCTION("""COMPUTED_VALUE"""),5.4)</f>
        <v>5.4</v>
      </c>
      <c r="K143" s="3"/>
      <c r="L143" s="54">
        <f>IFERROR(__xludf.DUMMYFUNCTION("""COMPUTED_VALUE"""),38.0)</f>
        <v>38</v>
      </c>
      <c r="M143" s="3">
        <f>IFERROR(__xludf.DUMMYFUNCTION("""COMPUTED_VALUE"""),90.0)</f>
        <v>90</v>
      </c>
      <c r="N143" s="3"/>
      <c r="O143" s="3"/>
      <c r="P143" s="3"/>
      <c r="Q143" s="3"/>
      <c r="R143" s="3"/>
      <c r="S143" s="3"/>
      <c r="T143" s="5"/>
      <c r="U143" s="5"/>
      <c r="V143" s="5"/>
      <c r="W143" s="5"/>
    </row>
    <row r="144" ht="15.75" customHeight="1">
      <c r="A144" s="3">
        <f>IFERROR(__xludf.DUMMYFUNCTION("""COMPUTED_VALUE"""),144.0)</f>
        <v>144</v>
      </c>
      <c r="B144" s="53">
        <f>IFERROR(__xludf.DUMMYFUNCTION("""COMPUTED_VALUE"""),45376.0)</f>
        <v>45376</v>
      </c>
      <c r="C144" s="3">
        <f>IFERROR(__xludf.DUMMYFUNCTION("""COMPUTED_VALUE"""),47.0)</f>
        <v>47</v>
      </c>
      <c r="D144" s="3" t="str">
        <f>IFERROR(__xludf.DUMMYFUNCTION("""COMPUTED_VALUE"""),"1.029")</f>
        <v>1.029</v>
      </c>
      <c r="E144" s="54">
        <f>IFERROR(__xludf.DUMMYFUNCTION("""COMPUTED_VALUE"""),20000.0)</f>
        <v>20000</v>
      </c>
      <c r="F144" s="3" t="str">
        <f>IFERROR(__xludf.DUMMYFUNCTION("""COMPUTED_VALUE"""),"Chardonnay")</f>
        <v>Chardonnay</v>
      </c>
      <c r="G144" s="3"/>
      <c r="H144" s="3"/>
      <c r="I144" s="3"/>
      <c r="J144" s="3"/>
      <c r="K144" s="3"/>
      <c r="L144" s="54">
        <f>IFERROR(__xludf.DUMMYFUNCTION("""COMPUTED_VALUE"""),28.0)</f>
        <v>28</v>
      </c>
      <c r="M144" s="3"/>
      <c r="N144" s="3"/>
      <c r="O144" s="3"/>
      <c r="P144" s="3"/>
      <c r="Q144" s="3"/>
      <c r="R144" s="3"/>
      <c r="S144" s="3"/>
      <c r="T144" s="5"/>
      <c r="U144" s="5"/>
      <c r="V144" s="5"/>
      <c r="W144" s="5"/>
    </row>
    <row r="145" ht="15.75" customHeight="1">
      <c r="A145" s="3">
        <f>IFERROR(__xludf.DUMMYFUNCTION("""COMPUTED_VALUE"""),145.0)</f>
        <v>145</v>
      </c>
      <c r="B145" s="53">
        <f>IFERROR(__xludf.DUMMYFUNCTION("""COMPUTED_VALUE"""),45376.0)</f>
        <v>45376</v>
      </c>
      <c r="C145" s="3">
        <f>IFERROR(__xludf.DUMMYFUNCTION("""COMPUTED_VALUE"""),8.0)</f>
        <v>8</v>
      </c>
      <c r="D145" s="3" t="str">
        <f>IFERROR(__xludf.DUMMYFUNCTION("""COMPUTED_VALUE"""),"1.079")</f>
        <v>1.079</v>
      </c>
      <c r="E145" s="54">
        <f>IFERROR(__xludf.DUMMYFUNCTION("""COMPUTED_VALUE"""),22000.0)</f>
        <v>22000</v>
      </c>
      <c r="F145" s="3" t="str">
        <f>IFERROR(__xludf.DUMMYFUNCTION("""COMPUTED_VALUE"""),"Chenin")</f>
        <v>Chenin</v>
      </c>
      <c r="G145" s="3"/>
      <c r="H145" s="3"/>
      <c r="I145" s="3"/>
      <c r="J145" s="3"/>
      <c r="K145" s="3"/>
      <c r="L145" s="54">
        <f>IFERROR(__xludf.DUMMYFUNCTION("""COMPUTED_VALUE"""),25.0)</f>
        <v>25</v>
      </c>
      <c r="M145" s="3"/>
      <c r="N145" s="3"/>
      <c r="O145" s="3"/>
      <c r="P145" s="3"/>
      <c r="Q145" s="3"/>
      <c r="R145" s="3"/>
      <c r="S145" s="3"/>
      <c r="T145" s="5"/>
      <c r="U145" s="5"/>
      <c r="V145" s="5"/>
      <c r="W145" s="5"/>
    </row>
    <row r="146" ht="15.75" customHeight="1">
      <c r="A146" s="3">
        <f>IFERROR(__xludf.DUMMYFUNCTION("""COMPUTED_VALUE"""),146.0)</f>
        <v>146</v>
      </c>
      <c r="B146" s="53">
        <f>IFERROR(__xludf.DUMMYFUNCTION("""COMPUTED_VALUE"""),45376.0)</f>
        <v>45376</v>
      </c>
      <c r="C146" s="3">
        <f>IFERROR(__xludf.DUMMYFUNCTION("""COMPUTED_VALUE"""),30.0)</f>
        <v>30</v>
      </c>
      <c r="D146" s="3" t="str">
        <f>IFERROR(__xludf.DUMMYFUNCTION("""COMPUTED_VALUE"""),"1.026")</f>
        <v>1.026</v>
      </c>
      <c r="E146" s="54">
        <f>IFERROR(__xludf.DUMMYFUNCTION("""COMPUTED_VALUE"""),38800.0)</f>
        <v>38800</v>
      </c>
      <c r="F146" s="3" t="str">
        <f>IFERROR(__xludf.DUMMYFUNCTION("""COMPUTED_VALUE"""),"Chardonnay")</f>
        <v>Chardonnay</v>
      </c>
      <c r="G146" s="3"/>
      <c r="H146" s="3"/>
      <c r="I146" s="3"/>
      <c r="J146" s="3"/>
      <c r="K146" s="3"/>
      <c r="L146" s="54">
        <f>IFERROR(__xludf.DUMMYFUNCTION("""COMPUTED_VALUE"""),27.0)</f>
        <v>27</v>
      </c>
      <c r="M146" s="3"/>
      <c r="N146" s="3"/>
      <c r="O146" s="3"/>
      <c r="P146" s="3"/>
      <c r="Q146" s="3"/>
      <c r="R146" s="3"/>
      <c r="S146" s="3"/>
      <c r="T146" s="5"/>
      <c r="U146" s="5"/>
      <c r="V146" s="5"/>
      <c r="W146" s="5"/>
    </row>
    <row r="147" ht="15.75" customHeight="1">
      <c r="A147" s="3">
        <f>IFERROR(__xludf.DUMMYFUNCTION("""COMPUTED_VALUE"""),147.0)</f>
        <v>147</v>
      </c>
      <c r="B147" s="53">
        <f>IFERROR(__xludf.DUMMYFUNCTION("""COMPUTED_VALUE"""),45376.0)</f>
        <v>45376</v>
      </c>
      <c r="C147" s="3">
        <f>IFERROR(__xludf.DUMMYFUNCTION("""COMPUTED_VALUE"""),46.0)</f>
        <v>46</v>
      </c>
      <c r="D147" s="3" t="str">
        <f>IFERROR(__xludf.DUMMYFUNCTION("""COMPUTED_VALUE"""),"1.027")</f>
        <v>1.027</v>
      </c>
      <c r="E147" s="54">
        <f>IFERROR(__xludf.DUMMYFUNCTION("""COMPUTED_VALUE"""),29000.0)</f>
        <v>29000</v>
      </c>
      <c r="F147" s="3" t="str">
        <f>IFERROR(__xludf.DUMMYFUNCTION("""COMPUTED_VALUE"""),"Chardonnay")</f>
        <v>Chardonnay</v>
      </c>
      <c r="G147" s="3"/>
      <c r="H147" s="3"/>
      <c r="I147" s="3"/>
      <c r="J147" s="3"/>
      <c r="K147" s="3"/>
      <c r="L147" s="54">
        <f>IFERROR(__xludf.DUMMYFUNCTION("""COMPUTED_VALUE"""),29.0)</f>
        <v>29</v>
      </c>
      <c r="M147" s="3"/>
      <c r="N147" s="3"/>
      <c r="O147" s="3"/>
      <c r="P147" s="3"/>
      <c r="Q147" s="3"/>
      <c r="R147" s="3"/>
      <c r="S147" s="3"/>
      <c r="T147" s="5"/>
      <c r="U147" s="5"/>
      <c r="V147" s="5"/>
      <c r="W147" s="5"/>
    </row>
    <row r="148" ht="15.75" customHeight="1">
      <c r="A148" s="3">
        <f>IFERROR(__xludf.DUMMYFUNCTION("""COMPUTED_VALUE"""),148.0)</f>
        <v>148</v>
      </c>
      <c r="B148" s="53">
        <f>IFERROR(__xludf.DUMMYFUNCTION("""COMPUTED_VALUE"""),45376.0)</f>
        <v>45376</v>
      </c>
      <c r="C148" s="3">
        <f>IFERROR(__xludf.DUMMYFUNCTION("""COMPUTED_VALUE"""),16.0)</f>
        <v>16</v>
      </c>
      <c r="D148" s="3" t="str">
        <f>IFERROR(__xludf.DUMMYFUNCTION("""COMPUTED_VALUE"""),"1.000")</f>
        <v>1.000</v>
      </c>
      <c r="E148" s="54">
        <f>IFERROR(__xludf.DUMMYFUNCTION("""COMPUTED_VALUE"""),19500.0)</f>
        <v>19500</v>
      </c>
      <c r="F148" s="3" t="str">
        <f>IFERROR(__xludf.DUMMYFUNCTION("""COMPUTED_VALUE"""),"Sangria Bonarda Rect")</f>
        <v>Sangria Bonarda Rect</v>
      </c>
      <c r="G148" s="3"/>
      <c r="H148" s="3"/>
      <c r="I148" s="3"/>
      <c r="J148" s="3"/>
      <c r="K148" s="3"/>
      <c r="L148" s="54">
        <f>IFERROR(__xludf.DUMMYFUNCTION("""COMPUTED_VALUE"""),25.0)</f>
        <v>25</v>
      </c>
      <c r="M148" s="3"/>
      <c r="N148" s="3"/>
      <c r="O148" s="3"/>
      <c r="P148" s="3"/>
      <c r="Q148" s="3"/>
      <c r="R148" s="3"/>
      <c r="S148" s="3"/>
      <c r="T148" s="5"/>
      <c r="U148" s="5"/>
      <c r="V148" s="5"/>
      <c r="W148" s="5"/>
    </row>
    <row r="149" ht="15.75" customHeight="1">
      <c r="A149" s="3">
        <f>IFERROR(__xludf.DUMMYFUNCTION("""COMPUTED_VALUE"""),149.0)</f>
        <v>149</v>
      </c>
      <c r="B149" s="53">
        <f>IFERROR(__xludf.DUMMYFUNCTION("""COMPUTED_VALUE"""),45376.0)</f>
        <v>45376</v>
      </c>
      <c r="C149" s="3">
        <f>IFERROR(__xludf.DUMMYFUNCTION("""COMPUTED_VALUE"""),34.0)</f>
        <v>34</v>
      </c>
      <c r="D149" s="3" t="str">
        <f>IFERROR(__xludf.DUMMYFUNCTION("""COMPUTED_VALUE"""),"1.054")</f>
        <v>1.054</v>
      </c>
      <c r="E149" s="54">
        <f>IFERROR(__xludf.DUMMYFUNCTION("""COMPUTED_VALUE"""),39500.0)</f>
        <v>39500</v>
      </c>
      <c r="F149" s="3" t="str">
        <f>IFERROR(__xludf.DUMMYFUNCTION("""COMPUTED_VALUE"""),"Chardonnay")</f>
        <v>Chardonnay</v>
      </c>
      <c r="G149" s="3"/>
      <c r="H149" s="3"/>
      <c r="I149" s="3"/>
      <c r="J149" s="3"/>
      <c r="K149" s="3"/>
      <c r="L149" s="54">
        <f>IFERROR(__xludf.DUMMYFUNCTION("""COMPUTED_VALUE"""),26.0)</f>
        <v>26</v>
      </c>
      <c r="M149" s="3"/>
      <c r="N149" s="3"/>
      <c r="O149" s="3"/>
      <c r="P149" s="3"/>
      <c r="Q149" s="3"/>
      <c r="R149" s="3"/>
      <c r="S149" s="3"/>
      <c r="T149" s="5"/>
      <c r="U149" s="5"/>
      <c r="V149" s="5"/>
      <c r="W149" s="5"/>
    </row>
    <row r="150" ht="15.75" customHeight="1">
      <c r="A150" s="3">
        <f>IFERROR(__xludf.DUMMYFUNCTION("""COMPUTED_VALUE"""),150.0)</f>
        <v>150</v>
      </c>
      <c r="B150" s="53">
        <f>IFERROR(__xludf.DUMMYFUNCTION("""COMPUTED_VALUE"""),45376.0)</f>
        <v>45376</v>
      </c>
      <c r="C150" s="3">
        <f>IFERROR(__xludf.DUMMYFUNCTION("""COMPUTED_VALUE"""),35.0)</f>
        <v>35</v>
      </c>
      <c r="D150" s="3" t="str">
        <f>IFERROR(__xludf.DUMMYFUNCTION("""COMPUTED_VALUE"""),"1.028")</f>
        <v>1.028</v>
      </c>
      <c r="E150" s="54">
        <f>IFERROR(__xludf.DUMMYFUNCTION("""COMPUTED_VALUE"""),39300.0)</f>
        <v>39300</v>
      </c>
      <c r="F150" s="3" t="str">
        <f>IFERROR(__xludf.DUMMYFUNCTION("""COMPUTED_VALUE"""),"Chardonnay")</f>
        <v>Chardonnay</v>
      </c>
      <c r="G150" s="3"/>
      <c r="H150" s="3"/>
      <c r="I150" s="3"/>
      <c r="J150" s="3"/>
      <c r="K150" s="3"/>
      <c r="L150" s="54">
        <f>IFERROR(__xludf.DUMMYFUNCTION("""COMPUTED_VALUE"""),29.0)</f>
        <v>29</v>
      </c>
      <c r="M150" s="3"/>
      <c r="N150" s="3"/>
      <c r="O150" s="3"/>
      <c r="P150" s="3"/>
      <c r="Q150" s="3"/>
      <c r="R150" s="3"/>
      <c r="S150" s="3"/>
      <c r="T150" s="5"/>
      <c r="U150" s="5"/>
      <c r="V150" s="5"/>
      <c r="W150" s="5"/>
    </row>
    <row r="151" ht="15.75" customHeight="1">
      <c r="A151" s="3">
        <f>IFERROR(__xludf.DUMMYFUNCTION("""COMPUTED_VALUE"""),151.0)</f>
        <v>151</v>
      </c>
      <c r="B151" s="53">
        <f>IFERROR(__xludf.DUMMYFUNCTION("""COMPUTED_VALUE"""),45376.0)</f>
        <v>45376</v>
      </c>
      <c r="C151" s="3">
        <f>IFERROR(__xludf.DUMMYFUNCTION("""COMPUTED_VALUE"""),44.0)</f>
        <v>44</v>
      </c>
      <c r="D151" s="3" t="str">
        <f>IFERROR(__xludf.DUMMYFUNCTION("""COMPUTED_VALUE"""),"1.066")</f>
        <v>1.066</v>
      </c>
      <c r="E151" s="54">
        <f>IFERROR(__xludf.DUMMYFUNCTION("""COMPUTED_VALUE"""),10000.0)</f>
        <v>10000</v>
      </c>
      <c r="F151" s="3" t="str">
        <f>IFERROR(__xludf.DUMMYFUNCTION("""COMPUTED_VALUE"""),"Chenin")</f>
        <v>Chenin</v>
      </c>
      <c r="G151" s="3"/>
      <c r="H151" s="3"/>
      <c r="I151" s="3"/>
      <c r="J151" s="3"/>
      <c r="K151" s="3"/>
      <c r="L151" s="54">
        <f>IFERROR(__xludf.DUMMYFUNCTION("""COMPUTED_VALUE"""),27.0)</f>
        <v>27</v>
      </c>
      <c r="M151" s="3"/>
      <c r="N151" s="3"/>
      <c r="O151" s="3"/>
      <c r="P151" s="3"/>
      <c r="Q151" s="3"/>
      <c r="R151" s="3"/>
      <c r="S151" s="3"/>
      <c r="T151" s="5"/>
      <c r="U151" s="5"/>
      <c r="V151" s="5"/>
      <c r="W151" s="5"/>
    </row>
    <row r="152" ht="15.75" customHeight="1">
      <c r="A152" s="3">
        <f>IFERROR(__xludf.DUMMYFUNCTION("""COMPUTED_VALUE"""),152.0)</f>
        <v>152</v>
      </c>
      <c r="B152" s="53">
        <f>IFERROR(__xludf.DUMMYFUNCTION("""COMPUTED_VALUE"""),45376.0)</f>
        <v>45376</v>
      </c>
      <c r="C152" s="3">
        <f>IFERROR(__xludf.DUMMYFUNCTION("""COMPUTED_VALUE"""),52.0)</f>
        <v>52</v>
      </c>
      <c r="D152" s="3" t="str">
        <f>IFERROR(__xludf.DUMMYFUNCTION("""COMPUTED_VALUE"""),"1.033")</f>
        <v>1.033</v>
      </c>
      <c r="E152" s="54">
        <f>IFERROR(__xludf.DUMMYFUNCTION("""COMPUTED_VALUE"""),27000.0)</f>
        <v>27000</v>
      </c>
      <c r="F152" s="3" t="str">
        <f>IFERROR(__xludf.DUMMYFUNCTION("""COMPUTED_VALUE"""),"Chardonnay")</f>
        <v>Chardonnay</v>
      </c>
      <c r="G152" s="3"/>
      <c r="H152" s="3"/>
      <c r="I152" s="3"/>
      <c r="J152" s="3"/>
      <c r="K152" s="3"/>
      <c r="L152" s="54">
        <f>IFERROR(__xludf.DUMMYFUNCTION("""COMPUTED_VALUE"""),29.0)</f>
        <v>29</v>
      </c>
      <c r="M152" s="3"/>
      <c r="N152" s="3"/>
      <c r="O152" s="3"/>
      <c r="P152" s="3"/>
      <c r="Q152" s="3"/>
      <c r="R152" s="3"/>
      <c r="S152" s="3"/>
      <c r="T152" s="5"/>
      <c r="U152" s="5"/>
      <c r="V152" s="5"/>
      <c r="W152" s="5"/>
    </row>
    <row r="153" ht="15.75" customHeight="1">
      <c r="A153" s="3">
        <f>IFERROR(__xludf.DUMMYFUNCTION("""COMPUTED_VALUE"""),153.0)</f>
        <v>153</v>
      </c>
      <c r="B153" s="53">
        <f>IFERROR(__xludf.DUMMYFUNCTION("""COMPUTED_VALUE"""),45377.0)</f>
        <v>45377</v>
      </c>
      <c r="C153" s="3">
        <f>IFERROR(__xludf.DUMMYFUNCTION("""COMPUTED_VALUE"""),80.0)</f>
        <v>80</v>
      </c>
      <c r="D153" s="3" t="str">
        <f>IFERROR(__xludf.DUMMYFUNCTION("""COMPUTED_VALUE"""),"1.148")</f>
        <v>1.148</v>
      </c>
      <c r="E153" s="54">
        <f>IFERROR(__xludf.DUMMYFUNCTION("""COMPUTED_VALUE"""),15000.0)</f>
        <v>15000</v>
      </c>
      <c r="F153" s="3" t="str">
        <f>IFERROR(__xludf.DUMMYFUNCTION("""COMPUTED_VALUE"""),"Bonarda")</f>
        <v>Bonarda</v>
      </c>
      <c r="G153" s="55">
        <f>IFERROR(__xludf.DUMMYFUNCTION("""COMPUTED_VALUE"""),13.5)</f>
        <v>13.5</v>
      </c>
      <c r="H153" s="56">
        <f>IFERROR(__xludf.DUMMYFUNCTION("""COMPUTED_VALUE"""),3.21)</f>
        <v>3.21</v>
      </c>
      <c r="I153" s="57">
        <f>IFERROR(__xludf.DUMMYFUNCTION("""COMPUTED_VALUE"""),0.5)</f>
        <v>0.5</v>
      </c>
      <c r="J153" s="3"/>
      <c r="K153" s="3"/>
      <c r="L153" s="54">
        <f>IFERROR(__xludf.DUMMYFUNCTION("""COMPUTED_VALUE"""),25.0)</f>
        <v>25</v>
      </c>
      <c r="M153" s="3"/>
      <c r="N153" s="3"/>
      <c r="O153" s="3"/>
      <c r="P153" s="3"/>
      <c r="Q153" s="3"/>
      <c r="R153" s="3"/>
      <c r="S153" s="3"/>
      <c r="T153" s="5"/>
      <c r="U153" s="5"/>
      <c r="V153" s="5"/>
      <c r="W153" s="5"/>
    </row>
    <row r="154" ht="15.75" customHeight="1">
      <c r="A154" s="3">
        <f>IFERROR(__xludf.DUMMYFUNCTION("""COMPUTED_VALUE"""),154.0)</f>
        <v>154</v>
      </c>
      <c r="B154" s="53">
        <f>IFERROR(__xludf.DUMMYFUNCTION("""COMPUTED_VALUE"""),45377.0)</f>
        <v>45377</v>
      </c>
      <c r="C154" s="3">
        <f>IFERROR(__xludf.DUMMYFUNCTION("""COMPUTED_VALUE"""),86.0)</f>
        <v>86</v>
      </c>
      <c r="D154" s="3" t="str">
        <f>IFERROR(__xludf.DUMMYFUNCTION("""COMPUTED_VALUE"""),"1.171")</f>
        <v>1.171</v>
      </c>
      <c r="E154" s="54">
        <f>IFERROR(__xludf.DUMMYFUNCTION("""COMPUTED_VALUE"""),55000.0)</f>
        <v>55000</v>
      </c>
      <c r="F154" s="3" t="str">
        <f>IFERROR(__xludf.DUMMYFUNCTION("""COMPUTED_VALUE"""),"Tinto Recarga")</f>
        <v>Tinto Recarga</v>
      </c>
      <c r="G154" s="3"/>
      <c r="H154" s="56">
        <f>IFERROR(__xludf.DUMMYFUNCTION("""COMPUTED_VALUE"""),7.5)</f>
        <v>7.5</v>
      </c>
      <c r="I154" s="57">
        <f>IFERROR(__xludf.DUMMYFUNCTION("""COMPUTED_VALUE"""),0.44)</f>
        <v>0.44</v>
      </c>
      <c r="J154" s="3"/>
      <c r="K154" s="3"/>
      <c r="L154" s="54">
        <f>IFERROR(__xludf.DUMMYFUNCTION("""COMPUTED_VALUE"""),20.0)</f>
        <v>20</v>
      </c>
      <c r="M154" s="3"/>
      <c r="N154" s="3"/>
      <c r="O154" s="3"/>
      <c r="P154" s="3"/>
      <c r="Q154" s="3"/>
      <c r="R154" s="3"/>
      <c r="S154" s="3"/>
      <c r="T154" s="5"/>
      <c r="U154" s="5"/>
      <c r="V154" s="5"/>
      <c r="W154" s="5"/>
    </row>
    <row r="155" ht="15.75" customHeight="1">
      <c r="A155" s="3">
        <f>IFERROR(__xludf.DUMMYFUNCTION("""COMPUTED_VALUE"""),155.0)</f>
        <v>155</v>
      </c>
      <c r="B155" s="53">
        <f>IFERROR(__xludf.DUMMYFUNCTION("""COMPUTED_VALUE"""),45378.0)</f>
        <v>45378</v>
      </c>
      <c r="C155" s="3">
        <f>IFERROR(__xludf.DUMMYFUNCTION("""COMPUTED_VALUE"""),83.0)</f>
        <v>83</v>
      </c>
      <c r="D155" s="3" t="str">
        <f>IFERROR(__xludf.DUMMYFUNCTION("""COMPUTED_VALUE"""),"1.169")</f>
        <v>1.169</v>
      </c>
      <c r="E155" s="54">
        <f>IFERROR(__xludf.DUMMYFUNCTION("""COMPUTED_VALUE"""),81000.0)</f>
        <v>81000</v>
      </c>
      <c r="F155" s="3" t="str">
        <f>IFERROR(__xludf.DUMMYFUNCTION("""COMPUTED_VALUE"""),"Bonarda")</f>
        <v>Bonarda</v>
      </c>
      <c r="G155" s="3"/>
      <c r="H155" s="56">
        <f>IFERROR(__xludf.DUMMYFUNCTION("""COMPUTED_VALUE"""),7.5)</f>
        <v>7.5</v>
      </c>
      <c r="I155" s="57">
        <f>IFERROR(__xludf.DUMMYFUNCTION("""COMPUTED_VALUE"""),0.37)</f>
        <v>0.37</v>
      </c>
      <c r="J155" s="3"/>
      <c r="K155" s="3"/>
      <c r="L155" s="54">
        <f>IFERROR(__xludf.DUMMYFUNCTION("""COMPUTED_VALUE"""),25.0)</f>
        <v>25</v>
      </c>
      <c r="M155" s="3"/>
      <c r="N155" s="3"/>
      <c r="O155" s="3"/>
      <c r="P155" s="3"/>
      <c r="Q155" s="3"/>
      <c r="R155" s="3"/>
      <c r="S155" s="3"/>
      <c r="T155" s="5"/>
      <c r="U155" s="5"/>
      <c r="V155" s="5"/>
      <c r="W155" s="5"/>
    </row>
    <row r="156" ht="15.75" customHeight="1">
      <c r="A156" s="3">
        <f>IFERROR(__xludf.DUMMYFUNCTION("""COMPUTED_VALUE"""),156.0)</f>
        <v>156</v>
      </c>
      <c r="B156" s="53">
        <f>IFERROR(__xludf.DUMMYFUNCTION("""COMPUTED_VALUE"""),45378.0)</f>
        <v>45378</v>
      </c>
      <c r="C156" s="3">
        <f>IFERROR(__xludf.DUMMYFUNCTION("""COMPUTED_VALUE"""),85.0)</f>
        <v>85</v>
      </c>
      <c r="D156" s="3"/>
      <c r="E156" s="3"/>
      <c r="F156" s="3"/>
      <c r="G156" s="55">
        <f>IFERROR(__xludf.DUMMYFUNCTION("""COMPUTED_VALUE"""),12.8)</f>
        <v>12.8</v>
      </c>
      <c r="H156" s="56">
        <f>IFERROR(__xludf.DUMMYFUNCTION("""COMPUTED_VALUE"""),8.0)</f>
        <v>8</v>
      </c>
      <c r="I156" s="57">
        <f>IFERROR(__xludf.DUMMYFUNCTION("""COMPUTED_VALUE"""),0.5)</f>
        <v>0.5</v>
      </c>
      <c r="J156" s="3"/>
      <c r="K156" s="3"/>
      <c r="L156" s="54">
        <f>IFERROR(__xludf.DUMMYFUNCTION("""COMPUTED_VALUE"""),25.0)</f>
        <v>25</v>
      </c>
      <c r="M156" s="3"/>
      <c r="N156" s="3"/>
      <c r="O156" s="3"/>
      <c r="P156" s="3"/>
      <c r="Q156" s="3"/>
      <c r="R156" s="3"/>
      <c r="S156" s="3"/>
      <c r="T156" s="5"/>
      <c r="U156" s="5"/>
      <c r="V156" s="5"/>
      <c r="W156" s="5"/>
    </row>
    <row r="157" ht="15.75" customHeight="1">
      <c r="A157" s="3">
        <f>IFERROR(__xludf.DUMMYFUNCTION("""COMPUTED_VALUE"""),157.0)</f>
        <v>157</v>
      </c>
      <c r="B157" s="53">
        <f>IFERROR(__xludf.DUMMYFUNCTION("""COMPUTED_VALUE"""),45378.0)</f>
        <v>45378</v>
      </c>
      <c r="C157" s="3">
        <f>IFERROR(__xludf.DUMMYFUNCTION("""COMPUTED_VALUE"""),72.0)</f>
        <v>72</v>
      </c>
      <c r="D157" s="3" t="str">
        <f>IFERROR(__xludf.DUMMYFUNCTION("""COMPUTED_VALUE"""),"#REF!")</f>
        <v>#REF!</v>
      </c>
      <c r="E157" s="3"/>
      <c r="F157" s="3" t="str">
        <f>IFERROR(__xludf.DUMMYFUNCTION("""COMPUTED_VALUE"""),"Pedro giemenez")</f>
        <v>Pedro giemenez</v>
      </c>
      <c r="G157" s="55">
        <f>IFERROR(__xludf.DUMMYFUNCTION("""COMPUTED_VALUE"""),12.5)</f>
        <v>12.5</v>
      </c>
      <c r="H157" s="56">
        <f>IFERROR(__xludf.DUMMYFUNCTION("""COMPUTED_VALUE"""),2.0)</f>
        <v>2</v>
      </c>
      <c r="I157" s="57">
        <f>IFERROR(__xludf.DUMMYFUNCTION("""COMPUTED_VALUE"""),0.4)</f>
        <v>0.4</v>
      </c>
      <c r="J157" s="57">
        <f>IFERROR(__xludf.DUMMYFUNCTION("""COMPUTED_VALUE"""),5.3)</f>
        <v>5.3</v>
      </c>
      <c r="K157" s="3"/>
      <c r="L157" s="54">
        <f>IFERROR(__xludf.DUMMYFUNCTION("""COMPUTED_VALUE"""),19.0)</f>
        <v>19</v>
      </c>
      <c r="M157" s="3">
        <f>IFERROR(__xludf.DUMMYFUNCTION("""COMPUTED_VALUE"""),110.0)</f>
        <v>110</v>
      </c>
      <c r="N157" s="3"/>
      <c r="O157" s="3"/>
      <c r="P157" s="3"/>
      <c r="Q157" s="3"/>
      <c r="R157" s="3"/>
      <c r="S157" s="3"/>
      <c r="T157" s="5"/>
      <c r="U157" s="5"/>
      <c r="V157" s="5"/>
      <c r="W157" s="5"/>
    </row>
    <row r="158" ht="15.75" customHeight="1">
      <c r="A158" s="3">
        <f>IFERROR(__xludf.DUMMYFUNCTION("""COMPUTED_VALUE"""),158.0)</f>
        <v>158</v>
      </c>
      <c r="B158" s="53">
        <f>IFERROR(__xludf.DUMMYFUNCTION("""COMPUTED_VALUE"""),45378.0)</f>
        <v>45378</v>
      </c>
      <c r="C158" s="3">
        <f>IFERROR(__xludf.DUMMYFUNCTION("""COMPUTED_VALUE"""),75.0)</f>
        <v>75</v>
      </c>
      <c r="D158" s="3" t="str">
        <f>IFERROR(__xludf.DUMMYFUNCTION("""COMPUTED_VALUE"""),"#REF!")</f>
        <v>#REF!</v>
      </c>
      <c r="E158" s="3"/>
      <c r="F158" s="3" t="str">
        <f>IFERROR(__xludf.DUMMYFUNCTION("""COMPUTED_VALUE"""),"Pedro giemenez")</f>
        <v>Pedro giemenez</v>
      </c>
      <c r="G158" s="55">
        <f>IFERROR(__xludf.DUMMYFUNCTION("""COMPUTED_VALUE"""),12.5)</f>
        <v>12.5</v>
      </c>
      <c r="H158" s="56">
        <f>IFERROR(__xludf.DUMMYFUNCTION("""COMPUTED_VALUE"""),2.0)</f>
        <v>2</v>
      </c>
      <c r="I158" s="57">
        <f>IFERROR(__xludf.DUMMYFUNCTION("""COMPUTED_VALUE"""),0.4)</f>
        <v>0.4</v>
      </c>
      <c r="J158" s="57">
        <f>IFERROR(__xludf.DUMMYFUNCTION("""COMPUTED_VALUE"""),5.3)</f>
        <v>5.3</v>
      </c>
      <c r="K158" s="3"/>
      <c r="L158" s="54">
        <f>IFERROR(__xludf.DUMMYFUNCTION("""COMPUTED_VALUE"""),19.0)</f>
        <v>19</v>
      </c>
      <c r="M158" s="3">
        <f>IFERROR(__xludf.DUMMYFUNCTION("""COMPUTED_VALUE"""),110.0)</f>
        <v>110</v>
      </c>
      <c r="N158" s="3"/>
      <c r="O158" s="3"/>
      <c r="P158" s="3"/>
      <c r="Q158" s="3"/>
      <c r="R158" s="3"/>
      <c r="S158" s="3"/>
      <c r="T158" s="5"/>
      <c r="U158" s="5"/>
      <c r="V158" s="5"/>
      <c r="W158" s="5"/>
    </row>
    <row r="159" ht="15.75" customHeight="1">
      <c r="A159" s="3">
        <f>IFERROR(__xludf.DUMMYFUNCTION("""COMPUTED_VALUE"""),159.0)</f>
        <v>159</v>
      </c>
      <c r="B159" s="53">
        <f>IFERROR(__xludf.DUMMYFUNCTION("""COMPUTED_VALUE"""),45378.0)</f>
        <v>45378</v>
      </c>
      <c r="C159" s="3">
        <f>IFERROR(__xludf.DUMMYFUNCTION("""COMPUTED_VALUE"""),111.0)</f>
        <v>111</v>
      </c>
      <c r="D159" s="3" t="str">
        <f>IFERROR(__xludf.DUMMYFUNCTION("""COMPUTED_VALUE"""),"#REF!")</f>
        <v>#REF!</v>
      </c>
      <c r="E159" s="3"/>
      <c r="F159" s="3" t="str">
        <f>IFERROR(__xludf.DUMMYFUNCTION("""COMPUTED_VALUE"""),"claro de filtro gusto a mohos")</f>
        <v>claro de filtro gusto a mohos</v>
      </c>
      <c r="G159" s="3"/>
      <c r="H159" s="56">
        <f>IFERROR(__xludf.DUMMYFUNCTION("""COMPUTED_VALUE"""),3.0)</f>
        <v>3</v>
      </c>
      <c r="I159" s="57">
        <f>IFERROR(__xludf.DUMMYFUNCTION("""COMPUTED_VALUE"""),0.47)</f>
        <v>0.47</v>
      </c>
      <c r="J159" s="3"/>
      <c r="K159" s="3"/>
      <c r="L159" s="54">
        <f>IFERROR(__xludf.DUMMYFUNCTION("""COMPUTED_VALUE"""),35.0)</f>
        <v>35</v>
      </c>
      <c r="M159" s="3"/>
      <c r="N159" s="3"/>
      <c r="O159" s="3"/>
      <c r="P159" s="3"/>
      <c r="Q159" s="3"/>
      <c r="R159" s="3"/>
      <c r="S159" s="3"/>
      <c r="T159" s="5"/>
      <c r="U159" s="5"/>
      <c r="V159" s="5"/>
      <c r="W159" s="5"/>
    </row>
    <row r="160" ht="15.75" customHeight="1">
      <c r="A160" s="3">
        <f>IFERROR(__xludf.DUMMYFUNCTION("""COMPUTED_VALUE"""),160.0)</f>
        <v>160</v>
      </c>
      <c r="B160" s="53">
        <f>IFERROR(__xludf.DUMMYFUNCTION("""COMPUTED_VALUE"""),45383.0)</f>
        <v>45383</v>
      </c>
      <c r="C160" s="3">
        <f>IFERROR(__xludf.DUMMYFUNCTION("""COMPUTED_VALUE"""),45.0)</f>
        <v>45</v>
      </c>
      <c r="D160" s="3" t="str">
        <f>IFERROR(__xludf.DUMMYFUNCTION("""COMPUTED_VALUE"""),"1.121")</f>
        <v>1.121</v>
      </c>
      <c r="E160" s="54">
        <f>IFERROR(__xludf.DUMMYFUNCTION("""COMPUTED_VALUE"""),30000.0)</f>
        <v>30000</v>
      </c>
      <c r="F160" s="3" t="str">
        <f>IFERROR(__xludf.DUMMYFUNCTION("""COMPUTED_VALUE"""),"Syrah s/Asp 2")</f>
        <v>Syrah s/Asp 2</v>
      </c>
      <c r="G160" s="3"/>
      <c r="H160" s="56">
        <f>IFERROR(__xludf.DUMMYFUNCTION("""COMPUTED_VALUE"""),3.0)</f>
        <v>3</v>
      </c>
      <c r="I160" s="3"/>
      <c r="J160" s="3"/>
      <c r="K160" s="3"/>
      <c r="L160" s="54">
        <f>IFERROR(__xludf.DUMMYFUNCTION("""COMPUTED_VALUE"""),25.0)</f>
        <v>25</v>
      </c>
      <c r="M160" s="3"/>
      <c r="N160" s="3"/>
      <c r="O160" s="3"/>
      <c r="P160" s="3"/>
      <c r="Q160" s="3"/>
      <c r="R160" s="3"/>
      <c r="S160" s="3"/>
      <c r="T160" s="5"/>
      <c r="U160" s="5"/>
      <c r="V160" s="5"/>
      <c r="W160" s="5"/>
    </row>
    <row r="161" ht="15.75" customHeight="1">
      <c r="A161" s="3">
        <f>IFERROR(__xludf.DUMMYFUNCTION("""COMPUTED_VALUE"""),161.0)</f>
        <v>161</v>
      </c>
      <c r="B161" s="53">
        <f>IFERROR(__xludf.DUMMYFUNCTION("""COMPUTED_VALUE"""),45378.0)</f>
        <v>45378</v>
      </c>
      <c r="C161" s="3">
        <f>IFERROR(__xludf.DUMMYFUNCTION("""COMPUTED_VALUE"""),78.0)</f>
        <v>78</v>
      </c>
      <c r="D161" s="3" t="str">
        <f>IFERROR(__xludf.DUMMYFUNCTION("""COMPUTED_VALUE"""),"1.164")</f>
        <v>1.164</v>
      </c>
      <c r="E161" s="54">
        <f>IFERROR(__xludf.DUMMYFUNCTION("""COMPUTED_VALUE"""),13306.800000000001)</f>
        <v>13306.8</v>
      </c>
      <c r="F161" s="3" t="str">
        <f>IFERROR(__xludf.DUMMYFUNCTION("""COMPUTED_VALUE"""),"Malbec")</f>
        <v>Malbec</v>
      </c>
      <c r="G161" s="3"/>
      <c r="H161" s="3"/>
      <c r="I161" s="57">
        <f>IFERROR(__xludf.DUMMYFUNCTION("""COMPUTED_VALUE"""),0.35)</f>
        <v>0.35</v>
      </c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5"/>
      <c r="U161" s="5"/>
      <c r="V161" s="5"/>
      <c r="W161" s="5"/>
    </row>
    <row r="162" ht="15.75" customHeight="1">
      <c r="A162" s="3">
        <f>IFERROR(__xludf.DUMMYFUNCTION("""COMPUTED_VALUE"""),162.0)</f>
        <v>162</v>
      </c>
      <c r="B162" s="53">
        <f>IFERROR(__xludf.DUMMYFUNCTION("""COMPUTED_VALUE"""),45378.0)</f>
        <v>45378</v>
      </c>
      <c r="C162" s="3">
        <f>IFERROR(__xludf.DUMMYFUNCTION("""COMPUTED_VALUE"""),118.0)</f>
        <v>118</v>
      </c>
      <c r="D162" s="3" t="str">
        <f>IFERROR(__xludf.DUMMYFUNCTION("""COMPUTED_VALUE"""),"1.132")</f>
        <v>1.132</v>
      </c>
      <c r="E162" s="54">
        <f>IFERROR(__xludf.DUMMYFUNCTION("""COMPUTED_VALUE"""),155600.0)</f>
        <v>155600</v>
      </c>
      <c r="F162" s="3" t="str">
        <f>IFERROR(__xludf.DUMMYFUNCTION("""COMPUTED_VALUE"""),"Syrah")</f>
        <v>Syrah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5"/>
      <c r="U162" s="5"/>
      <c r="V162" s="5"/>
      <c r="W162" s="5"/>
    </row>
    <row r="163" ht="15.75" customHeight="1">
      <c r="A163" s="3">
        <f>IFERROR(__xludf.DUMMYFUNCTION("""COMPUTED_VALUE"""),163.0)</f>
        <v>163</v>
      </c>
      <c r="B163" s="53">
        <f>IFERROR(__xludf.DUMMYFUNCTION("""COMPUTED_VALUE"""),45381.0)</f>
        <v>45381</v>
      </c>
      <c r="C163" s="3">
        <f>IFERROR(__xludf.DUMMYFUNCTION("""COMPUTED_VALUE"""),85.0)</f>
        <v>85</v>
      </c>
      <c r="D163" s="3" t="str">
        <f>IFERROR(__xludf.DUMMYFUNCTION("""COMPUTED_VALUE"""),"#REF!")</f>
        <v>#REF!</v>
      </c>
      <c r="E163" s="3"/>
      <c r="F163" s="3" t="str">
        <f>IFERROR(__xludf.DUMMYFUNCTION("""COMPUTED_VALUE"""),"Bonarda")</f>
        <v>Bonarda</v>
      </c>
      <c r="G163" s="3"/>
      <c r="H163" s="56">
        <f>IFERROR(__xludf.DUMMYFUNCTION("""COMPUTED_VALUE"""),6.4)</f>
        <v>6.4</v>
      </c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5"/>
      <c r="U163" s="5"/>
      <c r="V163" s="5"/>
      <c r="W163" s="5"/>
    </row>
    <row r="164" ht="15.75" customHeight="1">
      <c r="A164" s="3">
        <f>IFERROR(__xludf.DUMMYFUNCTION("""COMPUTED_VALUE"""),164.0)</f>
        <v>164</v>
      </c>
      <c r="B164" s="53">
        <f>IFERROR(__xludf.DUMMYFUNCTION("""COMPUTED_VALUE"""),45381.0)</f>
        <v>45381</v>
      </c>
      <c r="C164" s="3">
        <f>IFERROR(__xludf.DUMMYFUNCTION("""COMPUTED_VALUE"""),65.0)</f>
        <v>65</v>
      </c>
      <c r="D164" s="3" t="str">
        <f>IFERROR(__xludf.DUMMYFUNCTION("""COMPUTED_VALUE"""),"1.152")</f>
        <v>1.152</v>
      </c>
      <c r="E164" s="54">
        <f>IFERROR(__xludf.DUMMYFUNCTION("""COMPUTED_VALUE"""),30435.600000000002)</f>
        <v>30435.6</v>
      </c>
      <c r="F164" s="3" t="str">
        <f>IFERROR(__xludf.DUMMYFUNCTION("""COMPUTED_VALUE"""),"Malbec")</f>
        <v>Malbec</v>
      </c>
      <c r="G164" s="3"/>
      <c r="H164" s="56">
        <f>IFERROR(__xludf.DUMMYFUNCTION("""COMPUTED_VALUE"""),2.0)</f>
        <v>2</v>
      </c>
      <c r="I164" s="57">
        <f>IFERROR(__xludf.DUMMYFUNCTION("""COMPUTED_VALUE"""),0.4)</f>
        <v>0.4</v>
      </c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5"/>
      <c r="U164" s="5"/>
      <c r="V164" s="5"/>
      <c r="W164" s="5"/>
    </row>
    <row r="165" ht="15.75" customHeight="1">
      <c r="A165" s="3">
        <f>IFERROR(__xludf.DUMMYFUNCTION("""COMPUTED_VALUE"""),165.0)</f>
        <v>165</v>
      </c>
      <c r="B165" s="53">
        <f>IFERROR(__xludf.DUMMYFUNCTION("""COMPUTED_VALUE"""),45381.0)</f>
        <v>45381</v>
      </c>
      <c r="C165" s="3">
        <f>IFERROR(__xludf.DUMMYFUNCTION("""COMPUTED_VALUE"""),82.0)</f>
        <v>82</v>
      </c>
      <c r="D165" s="3"/>
      <c r="E165" s="3"/>
      <c r="F165" s="3"/>
      <c r="G165" s="3"/>
      <c r="H165" s="56">
        <f>IFERROR(__xludf.DUMMYFUNCTION("""COMPUTED_VALUE"""),2.0)</f>
        <v>2</v>
      </c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5"/>
      <c r="U165" s="5"/>
      <c r="V165" s="5"/>
      <c r="W165" s="5"/>
    </row>
    <row r="166" ht="15.75" customHeight="1">
      <c r="A166" s="3">
        <f>IFERROR(__xludf.DUMMYFUNCTION("""COMPUTED_VALUE"""),166.0)</f>
        <v>166</v>
      </c>
      <c r="B166" s="53">
        <f>IFERROR(__xludf.DUMMYFUNCTION("""COMPUTED_VALUE"""),45383.0)</f>
        <v>45383</v>
      </c>
      <c r="C166" s="3">
        <f>IFERROR(__xludf.DUMMYFUNCTION("""COMPUTED_VALUE"""),9.0)</f>
        <v>9</v>
      </c>
      <c r="D166" s="3" t="str">
        <f>IFERROR(__xludf.DUMMYFUNCTION("""COMPUTED_VALUE"""),"1.084")</f>
        <v>1.084</v>
      </c>
      <c r="E166" s="54">
        <f>IFERROR(__xludf.DUMMYFUNCTION("""COMPUTED_VALUE"""),30000.0)</f>
        <v>30000</v>
      </c>
      <c r="F166" s="3" t="str">
        <f>IFERROR(__xludf.DUMMYFUNCTION("""COMPUTED_VALUE"""),"Syrah s/Asp 2")</f>
        <v>Syrah s/Asp 2</v>
      </c>
      <c r="G166" s="3"/>
      <c r="H166" s="56">
        <f>IFERROR(__xludf.DUMMYFUNCTION("""COMPUTED_VALUE"""),2.8)</f>
        <v>2.8</v>
      </c>
      <c r="I166" s="57">
        <f>IFERROR(__xludf.DUMMYFUNCTION("""COMPUTED_VALUE"""),0.45)</f>
        <v>0.45</v>
      </c>
      <c r="J166" s="3"/>
      <c r="K166" s="3"/>
      <c r="L166" s="54">
        <f>IFERROR(__xludf.DUMMYFUNCTION("""COMPUTED_VALUE"""),25.0)</f>
        <v>25</v>
      </c>
      <c r="M166" s="3"/>
      <c r="N166" s="3"/>
      <c r="O166" s="3"/>
      <c r="P166" s="3"/>
      <c r="Q166" s="3"/>
      <c r="R166" s="3"/>
      <c r="S166" s="3"/>
      <c r="T166" s="5"/>
      <c r="U166" s="5"/>
      <c r="V166" s="5"/>
      <c r="W166" s="5"/>
    </row>
    <row r="167" ht="15.75" customHeight="1">
      <c r="A167" s="3">
        <f>IFERROR(__xludf.DUMMYFUNCTION("""COMPUTED_VALUE"""),167.0)</f>
        <v>167</v>
      </c>
      <c r="B167" s="53">
        <f>IFERROR(__xludf.DUMMYFUNCTION("""COMPUTED_VALUE"""),45383.0)</f>
        <v>45383</v>
      </c>
      <c r="C167" s="3">
        <f>IFERROR(__xludf.DUMMYFUNCTION("""COMPUTED_VALUE"""),45.0)</f>
        <v>45</v>
      </c>
      <c r="D167" s="3" t="str">
        <f>IFERROR(__xludf.DUMMYFUNCTION("""COMPUTED_VALUE"""),"1.121")</f>
        <v>1.121</v>
      </c>
      <c r="E167" s="54">
        <f>IFERROR(__xludf.DUMMYFUNCTION("""COMPUTED_VALUE"""),30000.0)</f>
        <v>30000</v>
      </c>
      <c r="F167" s="3" t="str">
        <f>IFERROR(__xludf.DUMMYFUNCTION("""COMPUTED_VALUE"""),"Syrah s/Asp 2")</f>
        <v>Syrah s/Asp 2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5"/>
      <c r="U167" s="5"/>
      <c r="V167" s="5"/>
      <c r="W167" s="5"/>
    </row>
    <row r="168" ht="15.75" customHeight="1">
      <c r="A168" s="3">
        <f>IFERROR(__xludf.DUMMYFUNCTION("""COMPUTED_VALUE"""),168.0)</f>
        <v>168</v>
      </c>
      <c r="B168" s="53">
        <f>IFERROR(__xludf.DUMMYFUNCTION("""COMPUTED_VALUE"""),45383.0)</f>
        <v>45383</v>
      </c>
      <c r="C168" s="3">
        <f>IFERROR(__xludf.DUMMYFUNCTION("""COMPUTED_VALUE"""),51.0)</f>
        <v>51</v>
      </c>
      <c r="D168" s="3" t="str">
        <f>IFERROR(__xludf.DUMMYFUNCTION("""COMPUTED_VALUE"""),"1.118")</f>
        <v>1.118</v>
      </c>
      <c r="E168" s="54">
        <f>IFERROR(__xludf.DUMMYFUNCTION("""COMPUTED_VALUE"""),3900.0)</f>
        <v>3900</v>
      </c>
      <c r="F168" s="3" t="str">
        <f>IFERROR(__xludf.DUMMYFUNCTION("""COMPUTED_VALUE"""),"Syrah Rosado")</f>
        <v>Syrah Rosado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5"/>
      <c r="U168" s="5"/>
      <c r="V168" s="5"/>
      <c r="W168" s="5"/>
    </row>
    <row r="169" ht="15.75" customHeight="1">
      <c r="A169" s="3">
        <f>IFERROR(__xludf.DUMMYFUNCTION("""COMPUTED_VALUE"""),169.0)</f>
        <v>169</v>
      </c>
      <c r="B169" s="53">
        <f>IFERROR(__xludf.DUMMYFUNCTION("""COMPUTED_VALUE"""),45383.0)</f>
        <v>45383</v>
      </c>
      <c r="C169" s="3">
        <f>IFERROR(__xludf.DUMMYFUNCTION("""COMPUTED_VALUE"""),55.0)</f>
        <v>55</v>
      </c>
      <c r="D169" s="3" t="str">
        <f>IFERROR(__xludf.DUMMYFUNCTION("""COMPUTED_VALUE"""),"1.119")</f>
        <v>1.119</v>
      </c>
      <c r="E169" s="54">
        <f>IFERROR(__xludf.DUMMYFUNCTION("""COMPUTED_VALUE"""),3000.0)</f>
        <v>3000</v>
      </c>
      <c r="F169" s="3" t="str">
        <f>IFERROR(__xludf.DUMMYFUNCTION("""COMPUTED_VALUE"""),"Syrah Rosado")</f>
        <v>Syrah Rosado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5"/>
      <c r="U169" s="5"/>
      <c r="V169" s="5"/>
      <c r="W169" s="5"/>
    </row>
    <row r="170" ht="15.75" customHeight="1">
      <c r="A170" s="3">
        <f>IFERROR(__xludf.DUMMYFUNCTION("""COMPUTED_VALUE"""),170.0)</f>
        <v>170</v>
      </c>
      <c r="B170" s="53">
        <f>IFERROR(__xludf.DUMMYFUNCTION("""COMPUTED_VALUE"""),45383.0)</f>
        <v>45383</v>
      </c>
      <c r="C170" s="3">
        <f>IFERROR(__xludf.DUMMYFUNCTION("""COMPUTED_VALUE"""),118.0)</f>
        <v>118</v>
      </c>
      <c r="D170" s="3" t="str">
        <f>IFERROR(__xludf.DUMMYFUNCTION("""COMPUTED_VALUE"""),"1.132")</f>
        <v>1.132</v>
      </c>
      <c r="E170" s="54">
        <f>IFERROR(__xludf.DUMMYFUNCTION("""COMPUTED_VALUE"""),155600.0)</f>
        <v>155600</v>
      </c>
      <c r="F170" s="3" t="str">
        <f>IFERROR(__xludf.DUMMYFUNCTION("""COMPUTED_VALUE"""),"Syrah")</f>
        <v>Syrah</v>
      </c>
      <c r="G170" s="55">
        <f>IFERROR(__xludf.DUMMYFUNCTION("""COMPUTED_VALUE"""),13.1)</f>
        <v>13.1</v>
      </c>
      <c r="H170" s="3"/>
      <c r="I170" s="57">
        <f>IFERROR(__xludf.DUMMYFUNCTION("""COMPUTED_VALUE"""),0.47)</f>
        <v>0.47</v>
      </c>
      <c r="J170" s="3"/>
      <c r="K170" s="3"/>
      <c r="L170" s="54">
        <f>IFERROR(__xludf.DUMMYFUNCTION("""COMPUTED_VALUE"""),20.0)</f>
        <v>20</v>
      </c>
      <c r="M170" s="3">
        <f>IFERROR(__xludf.DUMMYFUNCTION("""COMPUTED_VALUE"""),77.0)</f>
        <v>77</v>
      </c>
      <c r="N170" s="3"/>
      <c r="O170" s="3"/>
      <c r="P170" s="3"/>
      <c r="Q170" s="3"/>
      <c r="R170" s="3"/>
      <c r="S170" s="3"/>
      <c r="T170" s="5"/>
      <c r="U170" s="5"/>
      <c r="V170" s="5"/>
      <c r="W170" s="5"/>
    </row>
    <row r="171" ht="15.75" customHeight="1">
      <c r="A171" s="3">
        <f>IFERROR(__xludf.DUMMYFUNCTION("""COMPUTED_VALUE"""),171.0)</f>
        <v>171</v>
      </c>
      <c r="B171" s="53">
        <f>IFERROR(__xludf.DUMMYFUNCTION("""COMPUTED_VALUE"""),45384.0)</f>
        <v>45384</v>
      </c>
      <c r="C171" s="3">
        <f>IFERROR(__xludf.DUMMYFUNCTION("""COMPUTED_VALUE"""),110.0)</f>
        <v>110</v>
      </c>
      <c r="D171" s="3" t="str">
        <f>IFERROR(__xludf.DUMMYFUNCTION("""COMPUTED_VALUE"""),"1.146")</f>
        <v>1.146</v>
      </c>
      <c r="E171" s="54">
        <f>IFERROR(__xludf.DUMMYFUNCTION("""COMPUTED_VALUE"""),15000.0)</f>
        <v>15000</v>
      </c>
      <c r="F171" s="3" t="str">
        <f>IFERROR(__xludf.DUMMYFUNCTION("""COMPUTED_VALUE"""),"Bonarda P")</f>
        <v>Bonarda P</v>
      </c>
      <c r="G171" s="3"/>
      <c r="H171" s="3"/>
      <c r="I171" s="57">
        <f>IFERROR(__xludf.DUMMYFUNCTION("""COMPUTED_VALUE"""),0.5)</f>
        <v>0.5</v>
      </c>
      <c r="J171" s="3"/>
      <c r="K171" s="3"/>
      <c r="L171" s="54">
        <f>IFERROR(__xludf.DUMMYFUNCTION("""COMPUTED_VALUE"""),20.0)</f>
        <v>20</v>
      </c>
      <c r="M171" s="3">
        <f>IFERROR(__xludf.DUMMYFUNCTION("""COMPUTED_VALUE"""),90.0)</f>
        <v>90</v>
      </c>
      <c r="N171" s="3"/>
      <c r="O171" s="3"/>
      <c r="P171" s="3"/>
      <c r="Q171" s="3"/>
      <c r="R171" s="3"/>
      <c r="S171" s="3"/>
      <c r="T171" s="5"/>
      <c r="U171" s="5"/>
      <c r="V171" s="5"/>
      <c r="W171" s="5"/>
    </row>
    <row r="172" ht="15.75" customHeight="1">
      <c r="A172" s="3">
        <f>IFERROR(__xludf.DUMMYFUNCTION("""COMPUTED_VALUE"""),172.0)</f>
        <v>172</v>
      </c>
      <c r="B172" s="53">
        <f>IFERROR(__xludf.DUMMYFUNCTION("""COMPUTED_VALUE"""),45384.0)</f>
        <v>45384</v>
      </c>
      <c r="C172" s="3">
        <f>IFERROR(__xludf.DUMMYFUNCTION("""COMPUTED_VALUE"""),89.0)</f>
        <v>89</v>
      </c>
      <c r="D172" s="3" t="str">
        <f>IFERROR(__xludf.DUMMYFUNCTION("""COMPUTED_VALUE"""),"1.153")</f>
        <v>1.153</v>
      </c>
      <c r="E172" s="54">
        <f>IFERROR(__xludf.DUMMYFUNCTION("""COMPUTED_VALUE"""),32775.6)</f>
        <v>32775.6</v>
      </c>
      <c r="F172" s="3" t="str">
        <f>IFERROR(__xludf.DUMMYFUNCTION("""COMPUTED_VALUE"""),"Bonarda")</f>
        <v>Bonarda</v>
      </c>
      <c r="G172" s="55">
        <f>IFERROR(__xludf.DUMMYFUNCTION("""COMPUTED_VALUE"""),12.7)</f>
        <v>12.7</v>
      </c>
      <c r="H172" s="56">
        <f>IFERROR(__xludf.DUMMYFUNCTION("""COMPUTED_VALUE"""),2.5)</f>
        <v>2.5</v>
      </c>
      <c r="I172" s="57">
        <f>IFERROR(__xludf.DUMMYFUNCTION("""COMPUTED_VALUE"""),0.45)</f>
        <v>0.45</v>
      </c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5"/>
      <c r="U172" s="5"/>
      <c r="V172" s="5"/>
      <c r="W172" s="5"/>
    </row>
    <row r="173" ht="15.75" customHeight="1">
      <c r="A173" s="3">
        <f>IFERROR(__xludf.DUMMYFUNCTION("""COMPUTED_VALUE"""),173.0)</f>
        <v>173</v>
      </c>
      <c r="B173" s="53">
        <f>IFERROR(__xludf.DUMMYFUNCTION("""COMPUTED_VALUE"""),45384.0)</f>
        <v>45384</v>
      </c>
      <c r="C173" s="3">
        <f>IFERROR(__xludf.DUMMYFUNCTION("""COMPUTED_VALUE"""),84.0)</f>
        <v>84</v>
      </c>
      <c r="D173" s="3" t="str">
        <f>IFERROR(__xludf.DUMMYFUNCTION("""COMPUTED_VALUE"""),"1.158")</f>
        <v>1.158</v>
      </c>
      <c r="E173" s="54">
        <f>IFERROR(__xludf.DUMMYFUNCTION("""COMPUTED_VALUE"""),29156.4)</f>
        <v>29156.4</v>
      </c>
      <c r="F173" s="3" t="str">
        <f>IFERROR(__xludf.DUMMYFUNCTION("""COMPUTED_VALUE"""),"Malbec")</f>
        <v>Malbec</v>
      </c>
      <c r="G173" s="3"/>
      <c r="H173" s="56">
        <f>IFERROR(__xludf.DUMMYFUNCTION("""COMPUTED_VALUE"""),3.0)</f>
        <v>3</v>
      </c>
      <c r="I173" s="57">
        <f>IFERROR(__xludf.DUMMYFUNCTION("""COMPUTED_VALUE"""),0.4)</f>
        <v>0.4</v>
      </c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5"/>
      <c r="U173" s="5"/>
      <c r="V173" s="5"/>
      <c r="W173" s="5"/>
    </row>
    <row r="174" ht="15.75" customHeight="1">
      <c r="A174" s="3">
        <f>IFERROR(__xludf.DUMMYFUNCTION("""COMPUTED_VALUE"""),174.0)</f>
        <v>174</v>
      </c>
      <c r="B174" s="3"/>
      <c r="C174" s="3">
        <f>IFERROR(__xludf.DUMMYFUNCTION("""COMPUTED_VALUE"""),73.0)</f>
        <v>73</v>
      </c>
      <c r="D174" s="3" t="str">
        <f>IFERROR(__xludf.DUMMYFUNCTION("""COMPUTED_VALUE"""),"1.065")</f>
        <v>1.065</v>
      </c>
      <c r="E174" s="54">
        <f>IFERROR(__xludf.DUMMYFUNCTION("""COMPUTED_VALUE"""),13000.0)</f>
        <v>13000</v>
      </c>
      <c r="F174" s="3" t="str">
        <f>IFERROR(__xludf.DUMMYFUNCTION("""COMPUTED_VALUE"""),"Tinto Rectificado")</f>
        <v>Tinto Rectificado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5"/>
      <c r="U174" s="5"/>
      <c r="V174" s="5"/>
      <c r="W174" s="5"/>
    </row>
    <row r="175" ht="15.75" customHeight="1">
      <c r="A175" s="3">
        <f>IFERROR(__xludf.DUMMYFUNCTION("""COMPUTED_VALUE"""),175.0)</f>
        <v>175</v>
      </c>
      <c r="B175" s="3"/>
      <c r="C175" s="3">
        <f>IFERROR(__xludf.DUMMYFUNCTION("""COMPUTED_VALUE"""),74.0)</f>
        <v>74</v>
      </c>
      <c r="D175" s="3" t="str">
        <f>IFERROR(__xludf.DUMMYFUNCTION("""COMPUTED_VALUE"""),"1.106")</f>
        <v>1.106</v>
      </c>
      <c r="E175" s="54">
        <f>IFERROR(__xludf.DUMMYFUNCTION("""COMPUTED_VALUE"""),13000.0)</f>
        <v>13000</v>
      </c>
      <c r="F175" s="3" t="str">
        <f>IFERROR(__xludf.DUMMYFUNCTION("""COMPUTED_VALUE"""),"Syrah P")</f>
        <v>Syrah P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5"/>
      <c r="U175" s="5"/>
      <c r="V175" s="5"/>
      <c r="W175" s="5"/>
    </row>
    <row r="176" ht="15.75" customHeight="1">
      <c r="A176" s="3">
        <f>IFERROR(__xludf.DUMMYFUNCTION("""COMPUTED_VALUE"""),176.0)</f>
        <v>176</v>
      </c>
      <c r="B176" s="53">
        <f>IFERROR(__xludf.DUMMYFUNCTION("""COMPUTED_VALUE"""),45386.0)</f>
        <v>45386</v>
      </c>
      <c r="C176" s="3">
        <f>IFERROR(__xludf.DUMMYFUNCTION("""COMPUTED_VALUE"""),127.0)</f>
        <v>127</v>
      </c>
      <c r="D176" s="3" t="str">
        <f>IFERROR(__xludf.DUMMYFUNCTION("""COMPUTED_VALUE"""),"1.107")</f>
        <v>1.107</v>
      </c>
      <c r="E176" s="54">
        <f>IFERROR(__xludf.DUMMYFUNCTION("""COMPUTED_VALUE"""),31000.0)</f>
        <v>31000</v>
      </c>
      <c r="F176" s="3" t="str">
        <f>IFERROR(__xludf.DUMMYFUNCTION("""COMPUTED_VALUE"""),"Bonarda")</f>
        <v>Bonarda</v>
      </c>
      <c r="G176" s="55">
        <f>IFERROR(__xludf.DUMMYFUNCTION("""COMPUTED_VALUE"""),13.5)</f>
        <v>13.5</v>
      </c>
      <c r="H176" s="56">
        <f>IFERROR(__xludf.DUMMYFUNCTION("""COMPUTED_VALUE"""),6.4)</f>
        <v>6.4</v>
      </c>
      <c r="I176" s="3"/>
      <c r="J176" s="3"/>
      <c r="K176" s="3"/>
      <c r="L176" s="54">
        <f>IFERROR(__xludf.DUMMYFUNCTION("""COMPUTED_VALUE"""),26.0)</f>
        <v>26</v>
      </c>
      <c r="M176" s="3"/>
      <c r="N176" s="3"/>
      <c r="O176" s="3"/>
      <c r="P176" s="3"/>
      <c r="Q176" s="3"/>
      <c r="R176" s="3"/>
      <c r="S176" s="3"/>
      <c r="T176" s="5"/>
      <c r="U176" s="5"/>
      <c r="V176" s="5"/>
      <c r="W176" s="5"/>
    </row>
    <row r="177" ht="15.75" customHeight="1">
      <c r="A177" s="3">
        <f>IFERROR(__xludf.DUMMYFUNCTION("""COMPUTED_VALUE"""),177.0)</f>
        <v>177</v>
      </c>
      <c r="B177" s="53">
        <f>IFERROR(__xludf.DUMMYFUNCTION("""COMPUTED_VALUE"""),45385.0)</f>
        <v>45385</v>
      </c>
      <c r="C177" s="3">
        <f>IFERROR(__xludf.DUMMYFUNCTION("""COMPUTED_VALUE"""),116.0)</f>
        <v>116</v>
      </c>
      <c r="D177" s="3" t="str">
        <f>IFERROR(__xludf.DUMMYFUNCTION("""COMPUTED_VALUE"""),"1.129")</f>
        <v>1.129</v>
      </c>
      <c r="E177" s="54">
        <f>IFERROR(__xludf.DUMMYFUNCTION("""COMPUTED_VALUE"""),82000.0)</f>
        <v>82000</v>
      </c>
      <c r="F177" s="3" t="str">
        <f>IFERROR(__xludf.DUMMYFUNCTION("""COMPUTED_VALUE"""),"Bonarda")</f>
        <v>Bonarda</v>
      </c>
      <c r="G177" s="55">
        <f>IFERROR(__xludf.DUMMYFUNCTION("""COMPUTED_VALUE"""),12.7)</f>
        <v>12.7</v>
      </c>
      <c r="H177" s="56">
        <f>IFERROR(__xludf.DUMMYFUNCTION("""COMPUTED_VALUE"""),3.46)</f>
        <v>3.46</v>
      </c>
      <c r="I177" s="57">
        <f>IFERROR(__xludf.DUMMYFUNCTION("""COMPUTED_VALUE"""),0.45)</f>
        <v>0.45</v>
      </c>
      <c r="J177" s="3"/>
      <c r="K177" s="3"/>
      <c r="L177" s="54">
        <f>IFERROR(__xludf.DUMMYFUNCTION("""COMPUTED_VALUE"""),25.0)</f>
        <v>25</v>
      </c>
      <c r="M177" s="3"/>
      <c r="N177" s="3"/>
      <c r="O177" s="3"/>
      <c r="P177" s="3"/>
      <c r="Q177" s="3"/>
      <c r="R177" s="3"/>
      <c r="S177" s="3"/>
      <c r="T177" s="5"/>
      <c r="U177" s="5"/>
      <c r="V177" s="5"/>
      <c r="W177" s="5"/>
    </row>
    <row r="178" ht="15.75" customHeight="1">
      <c r="A178" s="3">
        <f>IFERROR(__xludf.DUMMYFUNCTION("""COMPUTED_VALUE"""),178.0)</f>
        <v>178</v>
      </c>
      <c r="B178" s="53">
        <f>IFERROR(__xludf.DUMMYFUNCTION("""COMPUTED_VALUE"""),45385.0)</f>
        <v>45385</v>
      </c>
      <c r="C178" s="3">
        <f>IFERROR(__xludf.DUMMYFUNCTION("""COMPUTED_VALUE"""),88.0)</f>
        <v>88</v>
      </c>
      <c r="D178" s="3" t="str">
        <f>IFERROR(__xludf.DUMMYFUNCTION("""COMPUTED_VALUE"""),"1.173")</f>
        <v>1.173</v>
      </c>
      <c r="E178" s="54">
        <f>IFERROR(__xludf.DUMMYFUNCTION("""COMPUTED_VALUE"""),36426.0)</f>
        <v>36426</v>
      </c>
      <c r="F178" s="3" t="str">
        <f>IFERROR(__xludf.DUMMYFUNCTION("""COMPUTED_VALUE"""),"Bonarda")</f>
        <v>Bonarda</v>
      </c>
      <c r="G178" s="3"/>
      <c r="H178" s="56">
        <f>IFERROR(__xludf.DUMMYFUNCTION("""COMPUTED_VALUE"""),4.5)</f>
        <v>4.5</v>
      </c>
      <c r="I178" s="57">
        <f>IFERROR(__xludf.DUMMYFUNCTION("""COMPUTED_VALUE"""),0.4)</f>
        <v>0.4</v>
      </c>
      <c r="J178" s="3"/>
      <c r="K178" s="3"/>
      <c r="L178" s="54">
        <f>IFERROR(__xludf.DUMMYFUNCTION("""COMPUTED_VALUE"""),19.0)</f>
        <v>19</v>
      </c>
      <c r="M178" s="3"/>
      <c r="N178" s="3"/>
      <c r="O178" s="3"/>
      <c r="P178" s="3"/>
      <c r="Q178" s="3"/>
      <c r="R178" s="3"/>
      <c r="S178" s="3"/>
      <c r="T178" s="5"/>
      <c r="U178" s="5"/>
      <c r="V178" s="5"/>
      <c r="W178" s="5"/>
    </row>
    <row r="179" ht="15.75" customHeight="1">
      <c r="A179" s="3">
        <f>IFERROR(__xludf.DUMMYFUNCTION("""COMPUTED_VALUE"""),179.0)</f>
        <v>179</v>
      </c>
      <c r="B179" s="3"/>
      <c r="C179" s="3">
        <f>IFERROR(__xludf.DUMMYFUNCTION("""COMPUTED_VALUE"""),51.0)</f>
        <v>51</v>
      </c>
      <c r="D179" s="3" t="str">
        <f>IFERROR(__xludf.DUMMYFUNCTION("""COMPUTED_VALUE"""),"1.118")</f>
        <v>1.118</v>
      </c>
      <c r="E179" s="54">
        <f>IFERROR(__xludf.DUMMYFUNCTION("""COMPUTED_VALUE"""),3900.0)</f>
        <v>3900</v>
      </c>
      <c r="F179" s="3" t="str">
        <f>IFERROR(__xludf.DUMMYFUNCTION("""COMPUTED_VALUE"""),"Syrah Rosado")</f>
        <v>Syrah Rosado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5"/>
      <c r="U179" s="5"/>
      <c r="V179" s="5"/>
      <c r="W179" s="5"/>
    </row>
    <row r="180" ht="15.75" customHeight="1">
      <c r="A180" s="3">
        <f>IFERROR(__xludf.DUMMYFUNCTION("""COMPUTED_VALUE"""),180.0)</f>
        <v>180</v>
      </c>
      <c r="B180" s="53">
        <f>IFERROR(__xludf.DUMMYFUNCTION("""COMPUTED_VALUE"""),45386.0)</f>
        <v>45386</v>
      </c>
      <c r="C180" s="3">
        <f>IFERROR(__xludf.DUMMYFUNCTION("""COMPUTED_VALUE"""),25.0)</f>
        <v>25</v>
      </c>
      <c r="D180" s="3" t="str">
        <f>IFERROR(__xludf.DUMMYFUNCTION("""COMPUTED_VALUE"""),"1.133")</f>
        <v>1.133</v>
      </c>
      <c r="E180" s="54">
        <f>IFERROR(__xludf.DUMMYFUNCTION("""COMPUTED_VALUE"""),194300.0)</f>
        <v>194300</v>
      </c>
      <c r="F180" s="3" t="str">
        <f>IFERROR(__xludf.DUMMYFUNCTION("""COMPUTED_VALUE"""),"Syrah")</f>
        <v>Syrah</v>
      </c>
      <c r="G180" s="55">
        <f>IFERROR(__xludf.DUMMYFUNCTION("""COMPUTED_VALUE"""),13.3)</f>
        <v>13.3</v>
      </c>
      <c r="H180" s="56">
        <f>IFERROR(__xludf.DUMMYFUNCTION("""COMPUTED_VALUE"""),3.0)</f>
        <v>3</v>
      </c>
      <c r="I180" s="57">
        <f>IFERROR(__xludf.DUMMYFUNCTION("""COMPUTED_VALUE"""),0.47)</f>
        <v>0.47</v>
      </c>
      <c r="J180" s="3"/>
      <c r="K180" s="3"/>
      <c r="L180" s="54">
        <f>IFERROR(__xludf.DUMMYFUNCTION("""COMPUTED_VALUE"""),20.0)</f>
        <v>20</v>
      </c>
      <c r="M180" s="3">
        <f>IFERROR(__xludf.DUMMYFUNCTION("""COMPUTED_VALUE"""),102.0)</f>
        <v>102</v>
      </c>
      <c r="N180" s="3"/>
      <c r="O180" s="3">
        <f>IFERROR(__xludf.DUMMYFUNCTION("""COMPUTED_VALUE"""),275.0)</f>
        <v>275</v>
      </c>
      <c r="P180" s="3">
        <f>IFERROR(__xludf.DUMMYFUNCTION("""COMPUTED_VALUE"""),436.0)</f>
        <v>436</v>
      </c>
      <c r="Q180" s="3"/>
      <c r="R180" s="3">
        <f>IFERROR(__xludf.DUMMYFUNCTION("""COMPUTED_VALUE"""),711.0)</f>
        <v>711</v>
      </c>
      <c r="S180" s="54">
        <f>IFERROR(__xludf.DUMMYFUNCTION("""COMPUTED_VALUE"""),1127.0)</f>
        <v>1127</v>
      </c>
      <c r="T180" s="5"/>
      <c r="U180" s="5"/>
      <c r="V180" s="5"/>
      <c r="W180" s="5"/>
    </row>
    <row r="181" ht="15.75" customHeight="1">
      <c r="A181" s="3">
        <f>IFERROR(__xludf.DUMMYFUNCTION("""COMPUTED_VALUE"""),181.0)</f>
        <v>181</v>
      </c>
      <c r="B181" s="53">
        <f>IFERROR(__xludf.DUMMYFUNCTION("""COMPUTED_VALUE"""),45386.0)</f>
        <v>45386</v>
      </c>
      <c r="C181" s="3">
        <f>IFERROR(__xludf.DUMMYFUNCTION("""COMPUTED_VALUE"""),90.0)</f>
        <v>90</v>
      </c>
      <c r="D181" s="3" t="str">
        <f>IFERROR(__xludf.DUMMYFUNCTION("""COMPUTED_VALUE"""),"1.163")</f>
        <v>1.163</v>
      </c>
      <c r="E181" s="54">
        <f>IFERROR(__xludf.DUMMYFUNCTION("""COMPUTED_VALUE"""),43461.6)</f>
        <v>43461.6</v>
      </c>
      <c r="F181" s="3" t="str">
        <f>IFERROR(__xludf.DUMMYFUNCTION("""COMPUTED_VALUE"""),"Bonarda")</f>
        <v>Bonarda</v>
      </c>
      <c r="G181" s="3"/>
      <c r="H181" s="56">
        <f>IFERROR(__xludf.DUMMYFUNCTION("""COMPUTED_VALUE"""),7.5)</f>
        <v>7.5</v>
      </c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5"/>
      <c r="U181" s="5"/>
      <c r="V181" s="5"/>
      <c r="W181" s="5"/>
    </row>
    <row r="182" ht="15.75" customHeight="1">
      <c r="A182" s="3">
        <f>IFERROR(__xludf.DUMMYFUNCTION("""COMPUTED_VALUE"""),182.0)</f>
        <v>182</v>
      </c>
      <c r="B182" s="53">
        <f>IFERROR(__xludf.DUMMYFUNCTION("""COMPUTED_VALUE"""),45386.0)</f>
        <v>45386</v>
      </c>
      <c r="C182" s="3">
        <f>IFERROR(__xludf.DUMMYFUNCTION("""COMPUTED_VALUE"""),78.0)</f>
        <v>78</v>
      </c>
      <c r="D182" s="3" t="str">
        <f>IFERROR(__xludf.DUMMYFUNCTION("""COMPUTED_VALUE"""),"1.164")</f>
        <v>1.164</v>
      </c>
      <c r="E182" s="54">
        <f>IFERROR(__xludf.DUMMYFUNCTION("""COMPUTED_VALUE"""),13306.800000000001)</f>
        <v>13306.8</v>
      </c>
      <c r="F182" s="3" t="str">
        <f>IFERROR(__xludf.DUMMYFUNCTION("""COMPUTED_VALUE"""),"Malbec")</f>
        <v>Malbec</v>
      </c>
      <c r="G182" s="3"/>
      <c r="H182" s="56">
        <f>IFERROR(__xludf.DUMMYFUNCTION("""COMPUTED_VALUE"""),7.8)</f>
        <v>7.8</v>
      </c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5"/>
      <c r="U182" s="5"/>
      <c r="V182" s="5"/>
      <c r="W182" s="5"/>
    </row>
    <row r="183" ht="15.75" customHeight="1">
      <c r="A183" s="3">
        <f>IFERROR(__xludf.DUMMYFUNCTION("""COMPUTED_VALUE"""),183.0)</f>
        <v>183</v>
      </c>
      <c r="B183" s="3"/>
      <c r="C183" s="3">
        <f>IFERROR(__xludf.DUMMYFUNCTION("""COMPUTED_VALUE"""),94.0)</f>
        <v>94</v>
      </c>
      <c r="D183" s="3" t="str">
        <f>IFERROR(__xludf.DUMMYFUNCTION("""COMPUTED_VALUE"""),"1.117")</f>
        <v>1.117</v>
      </c>
      <c r="E183" s="54">
        <f>IFERROR(__xludf.DUMMYFUNCTION("""COMPUTED_VALUE"""),11000.0)</f>
        <v>11000</v>
      </c>
      <c r="F183" s="3" t="str">
        <f>IFERROR(__xludf.DUMMYFUNCTION("""COMPUTED_VALUE"""),"Torrontes")</f>
        <v>Torrontes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5"/>
      <c r="U183" s="5"/>
      <c r="V183" s="5"/>
      <c r="W183" s="5"/>
    </row>
    <row r="184" ht="15.75" customHeight="1">
      <c r="A184" s="3">
        <f>IFERROR(__xludf.DUMMYFUNCTION("""COMPUTED_VALUE"""),184.0)</f>
        <v>184</v>
      </c>
      <c r="B184" s="53">
        <f>IFERROR(__xludf.DUMMYFUNCTION("""COMPUTED_VALUE"""),45391.0)</f>
        <v>45391</v>
      </c>
      <c r="C184" s="3">
        <f>IFERROR(__xludf.DUMMYFUNCTION("""COMPUTED_VALUE"""),66.0)</f>
        <v>66</v>
      </c>
      <c r="D184" s="3" t="str">
        <f>IFERROR(__xludf.DUMMYFUNCTION("""COMPUTED_VALUE"""),"1.172")</f>
        <v>1.172</v>
      </c>
      <c r="E184" s="54">
        <f>IFERROR(__xludf.DUMMYFUNCTION("""COMPUTED_VALUE"""),12199.2)</f>
        <v>12199.2</v>
      </c>
      <c r="F184" s="3" t="str">
        <f>IFERROR(__xludf.DUMMYFUNCTION("""COMPUTED_VALUE"""),"Malbec")</f>
        <v>Malbec</v>
      </c>
      <c r="G184" s="55">
        <f>IFERROR(__xludf.DUMMYFUNCTION("""COMPUTED_VALUE"""),14.0)</f>
        <v>14</v>
      </c>
      <c r="H184" s="56">
        <f>IFERROR(__xludf.DUMMYFUNCTION("""COMPUTED_VALUE"""),4.5)</f>
        <v>4.5</v>
      </c>
      <c r="I184" s="3"/>
      <c r="J184" s="57">
        <f>IFERROR(__xludf.DUMMYFUNCTION("""COMPUTED_VALUE"""),5.7)</f>
        <v>5.7</v>
      </c>
      <c r="K184" s="3"/>
      <c r="L184" s="54">
        <f>IFERROR(__xludf.DUMMYFUNCTION("""COMPUTED_VALUE"""),12.0)</f>
        <v>12</v>
      </c>
      <c r="M184" s="3"/>
      <c r="N184" s="3"/>
      <c r="O184" s="3"/>
      <c r="P184" s="3"/>
      <c r="Q184" s="3"/>
      <c r="R184" s="3"/>
      <c r="S184" s="3"/>
      <c r="T184" s="5"/>
      <c r="U184" s="5"/>
      <c r="V184" s="5"/>
      <c r="W184" s="5"/>
    </row>
    <row r="185" ht="15.75" customHeight="1">
      <c r="A185" s="3">
        <f>IFERROR(__xludf.DUMMYFUNCTION("""COMPUTED_VALUE"""),185.0)</f>
        <v>185</v>
      </c>
      <c r="B185" s="53">
        <f>IFERROR(__xludf.DUMMYFUNCTION("""COMPUTED_VALUE"""),45391.0)</f>
        <v>45391</v>
      </c>
      <c r="C185" s="3">
        <f>IFERROR(__xludf.DUMMYFUNCTION("""COMPUTED_VALUE"""),96.0)</f>
        <v>96</v>
      </c>
      <c r="D185" s="3" t="str">
        <f>IFERROR(__xludf.DUMMYFUNCTION("""COMPUTED_VALUE"""),"1.125")</f>
        <v>1.125</v>
      </c>
      <c r="E185" s="54">
        <f>IFERROR(__xludf.DUMMYFUNCTION("""COMPUTED_VALUE"""),53430.0)</f>
        <v>53430</v>
      </c>
      <c r="F185" s="3" t="str">
        <f>IFERROR(__xludf.DUMMYFUNCTION("""COMPUTED_VALUE"""),"Bonarda")</f>
        <v>Bonarda</v>
      </c>
      <c r="G185" s="55">
        <f>IFERROR(__xludf.DUMMYFUNCTION("""COMPUTED_VALUE"""),12.9)</f>
        <v>12.9</v>
      </c>
      <c r="H185" s="56">
        <f>IFERROR(__xludf.DUMMYFUNCTION("""COMPUTED_VALUE"""),7.5)</f>
        <v>7.5</v>
      </c>
      <c r="I185" s="57">
        <f>IFERROR(__xludf.DUMMYFUNCTION("""COMPUTED_VALUE"""),0.48)</f>
        <v>0.48</v>
      </c>
      <c r="J185" s="3"/>
      <c r="K185" s="3"/>
      <c r="L185" s="54">
        <f>IFERROR(__xludf.DUMMYFUNCTION("""COMPUTED_VALUE"""),25.0)</f>
        <v>25</v>
      </c>
      <c r="M185" s="3"/>
      <c r="N185" s="3"/>
      <c r="O185" s="3"/>
      <c r="P185" s="3"/>
      <c r="Q185" s="3"/>
      <c r="R185" s="3"/>
      <c r="S185" s="3"/>
      <c r="T185" s="5"/>
      <c r="U185" s="5"/>
      <c r="V185" s="5"/>
      <c r="W185" s="5"/>
    </row>
    <row r="186" ht="15.75" customHeight="1">
      <c r="A186" s="3">
        <f>IFERROR(__xludf.DUMMYFUNCTION("""COMPUTED_VALUE"""),186.0)</f>
        <v>186</v>
      </c>
      <c r="B186" s="53">
        <f>IFERROR(__xludf.DUMMYFUNCTION("""COMPUTED_VALUE"""),45391.0)</f>
        <v>45391</v>
      </c>
      <c r="C186" s="3">
        <f>IFERROR(__xludf.DUMMYFUNCTION("""COMPUTED_VALUE"""),91.0)</f>
        <v>91</v>
      </c>
      <c r="D186" s="3"/>
      <c r="E186" s="3"/>
      <c r="F186" s="3"/>
      <c r="G186" s="55">
        <f>IFERROR(__xludf.DUMMYFUNCTION("""COMPUTED_VALUE"""),12.5)</f>
        <v>12.5</v>
      </c>
      <c r="H186" s="56">
        <f>IFERROR(__xludf.DUMMYFUNCTION("""COMPUTED_VALUE"""),11.0)</f>
        <v>11</v>
      </c>
      <c r="I186" s="57">
        <f>IFERROR(__xludf.DUMMYFUNCTION("""COMPUTED_VALUE"""),0.47)</f>
        <v>0.47</v>
      </c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5"/>
      <c r="U186" s="5"/>
      <c r="V186" s="5"/>
      <c r="W186" s="5"/>
    </row>
    <row r="187" ht="15.75" customHeight="1">
      <c r="A187" s="3">
        <f>IFERROR(__xludf.DUMMYFUNCTION("""COMPUTED_VALUE"""),187.0)</f>
        <v>187</v>
      </c>
      <c r="B187" s="53">
        <f>IFERROR(__xludf.DUMMYFUNCTION("""COMPUTED_VALUE"""),45391.0)</f>
        <v>45391</v>
      </c>
      <c r="C187" s="3">
        <f>IFERROR(__xludf.DUMMYFUNCTION("""COMPUTED_VALUE"""),84.0)</f>
        <v>84</v>
      </c>
      <c r="D187" s="3" t="str">
        <f>IFERROR(__xludf.DUMMYFUNCTION("""COMPUTED_VALUE"""),"1.158")</f>
        <v>1.158</v>
      </c>
      <c r="E187" s="54">
        <f>IFERROR(__xludf.DUMMYFUNCTION("""COMPUTED_VALUE"""),29156.4)</f>
        <v>29156.4</v>
      </c>
      <c r="F187" s="3" t="str">
        <f>IFERROR(__xludf.DUMMYFUNCTION("""COMPUTED_VALUE"""),"Malbec")</f>
        <v>Malbec</v>
      </c>
      <c r="G187" s="55">
        <f>IFERROR(__xludf.DUMMYFUNCTION("""COMPUTED_VALUE"""),11.0)</f>
        <v>11</v>
      </c>
      <c r="H187" s="56">
        <f>IFERROR(__xludf.DUMMYFUNCTION("""COMPUTED_VALUE"""),34.0)</f>
        <v>34</v>
      </c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5"/>
      <c r="U187" s="5"/>
      <c r="V187" s="5"/>
      <c r="W187" s="5"/>
    </row>
    <row r="188" ht="15.75" customHeight="1">
      <c r="A188" s="3">
        <f>IFERROR(__xludf.DUMMYFUNCTION("""COMPUTED_VALUE"""),188.0)</f>
        <v>188</v>
      </c>
      <c r="B188" s="53">
        <f>IFERROR(__xludf.DUMMYFUNCTION("""COMPUTED_VALUE"""),45392.0)</f>
        <v>45392</v>
      </c>
      <c r="C188" s="3">
        <f>IFERROR(__xludf.DUMMYFUNCTION("""COMPUTED_VALUE"""),79.0)</f>
        <v>79</v>
      </c>
      <c r="D188" s="3" t="str">
        <f>IFERROR(__xludf.DUMMYFUNCTION("""COMPUTED_VALUE"""),"1.127")</f>
        <v>1.127</v>
      </c>
      <c r="E188" s="54">
        <f>IFERROR(__xludf.DUMMYFUNCTION("""COMPUTED_VALUE"""),15553.2)</f>
        <v>15553.2</v>
      </c>
      <c r="F188" s="3" t="str">
        <f>IFERROR(__xludf.DUMMYFUNCTION("""COMPUTED_VALUE"""),"Bonarda")</f>
        <v>Bonarda</v>
      </c>
      <c r="G188" s="3"/>
      <c r="H188" s="56">
        <f>IFERROR(__xludf.DUMMYFUNCTION("""COMPUTED_VALUE"""),4.5)</f>
        <v>4.5</v>
      </c>
      <c r="I188" s="57">
        <f>IFERROR(__xludf.DUMMYFUNCTION("""COMPUTED_VALUE"""),0.5)</f>
        <v>0.5</v>
      </c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5"/>
      <c r="U188" s="5"/>
      <c r="V188" s="5"/>
      <c r="W188" s="5"/>
    </row>
    <row r="189" ht="15.75" customHeight="1">
      <c r="A189" s="3">
        <f>IFERROR(__xludf.DUMMYFUNCTION("""COMPUTED_VALUE"""),189.0)</f>
        <v>189</v>
      </c>
      <c r="B189" s="53">
        <f>IFERROR(__xludf.DUMMYFUNCTION("""COMPUTED_VALUE"""),45392.0)</f>
        <v>45392</v>
      </c>
      <c r="C189" s="3">
        <f>IFERROR(__xludf.DUMMYFUNCTION("""COMPUTED_VALUE"""),87.0)</f>
        <v>87</v>
      </c>
      <c r="D189" s="3" t="str">
        <f>IFERROR(__xludf.DUMMYFUNCTION("""COMPUTED_VALUE"""),"1.135")</f>
        <v>1.135</v>
      </c>
      <c r="E189" s="54">
        <f>IFERROR(__xludf.DUMMYFUNCTION("""COMPUTED_VALUE"""),48890.4)</f>
        <v>48890.4</v>
      </c>
      <c r="F189" s="3" t="str">
        <f>IFERROR(__xludf.DUMMYFUNCTION("""COMPUTED_VALUE"""),"Cabernet Sau")</f>
        <v>Cabernet Sau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5"/>
      <c r="U189" s="5"/>
      <c r="V189" s="5"/>
      <c r="W189" s="5"/>
    </row>
    <row r="190" ht="15.75" customHeight="1">
      <c r="A190" s="3">
        <f>IFERROR(__xludf.DUMMYFUNCTION("""COMPUTED_VALUE"""),190.0)</f>
        <v>190</v>
      </c>
      <c r="B190" s="53">
        <f>IFERROR(__xludf.DUMMYFUNCTION("""COMPUTED_VALUE"""),45392.0)</f>
        <v>45392</v>
      </c>
      <c r="C190" s="3">
        <f>IFERROR(__xludf.DUMMYFUNCTION("""COMPUTED_VALUE"""),85.0)</f>
        <v>85</v>
      </c>
      <c r="D190" s="3"/>
      <c r="E190" s="3"/>
      <c r="F190" s="3"/>
      <c r="G190" s="55">
        <f>IFERROR(__xludf.DUMMYFUNCTION("""COMPUTED_VALUE"""),13.0)</f>
        <v>13</v>
      </c>
      <c r="H190" s="56">
        <f>IFERROR(__xludf.DUMMYFUNCTION("""COMPUTED_VALUE"""),15.0)</f>
        <v>15</v>
      </c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5"/>
      <c r="U190" s="5"/>
      <c r="V190" s="5"/>
      <c r="W190" s="5"/>
    </row>
    <row r="191" ht="15.75" customHeight="1">
      <c r="A191" s="3">
        <f>IFERROR(__xludf.DUMMYFUNCTION("""COMPUTED_VALUE"""),191.0)</f>
        <v>191</v>
      </c>
      <c r="B191" s="53">
        <f>IFERROR(__xludf.DUMMYFUNCTION("""COMPUTED_VALUE"""),45392.0)</f>
        <v>45392</v>
      </c>
      <c r="C191" s="3">
        <f>IFERROR(__xludf.DUMMYFUNCTION("""COMPUTED_VALUE"""),117.0)</f>
        <v>117</v>
      </c>
      <c r="D191" s="3" t="str">
        <f>IFERROR(__xludf.DUMMYFUNCTION("""COMPUTED_VALUE"""),"#REF!")</f>
        <v>#REF!</v>
      </c>
      <c r="E191" s="3"/>
      <c r="F191" s="3" t="str">
        <f>IFERROR(__xludf.DUMMYFUNCTION("""COMPUTED_VALUE"""),"corte tinto garbin")</f>
        <v>corte tinto garbin</v>
      </c>
      <c r="G191" s="55">
        <f>IFERROR(__xludf.DUMMYFUNCTION("""COMPUTED_VALUE"""),12.7)</f>
        <v>12.7</v>
      </c>
      <c r="H191" s="56">
        <f>IFERROR(__xludf.DUMMYFUNCTION("""COMPUTED_VALUE"""),2.0)</f>
        <v>2</v>
      </c>
      <c r="I191" s="57">
        <f>IFERROR(__xludf.DUMMYFUNCTION("""COMPUTED_VALUE"""),0.51)</f>
        <v>0.51</v>
      </c>
      <c r="J191" s="3"/>
      <c r="K191" s="3"/>
      <c r="L191" s="54">
        <f>IFERROR(__xludf.DUMMYFUNCTION("""COMPUTED_VALUE"""),40.0)</f>
        <v>40</v>
      </c>
      <c r="M191" s="3">
        <f>IFERROR(__xludf.DUMMYFUNCTION("""COMPUTED_VALUE"""),92.0)</f>
        <v>92</v>
      </c>
      <c r="N191" s="3"/>
      <c r="O191" s="3"/>
      <c r="P191" s="3"/>
      <c r="Q191" s="3"/>
      <c r="R191" s="3"/>
      <c r="S191" s="3"/>
      <c r="T191" s="5"/>
      <c r="U191" s="5"/>
      <c r="V191" s="5"/>
      <c r="W191" s="5"/>
    </row>
    <row r="192" ht="15.75" customHeight="1">
      <c r="A192" s="3">
        <f>IFERROR(__xludf.DUMMYFUNCTION("""COMPUTED_VALUE"""),192.0)</f>
        <v>192</v>
      </c>
      <c r="B192" s="53">
        <f>IFERROR(__xludf.DUMMYFUNCTION("""COMPUTED_VALUE"""),45392.0)</f>
        <v>45392</v>
      </c>
      <c r="C192" s="3">
        <f>IFERROR(__xludf.DUMMYFUNCTION("""COMPUTED_VALUE"""),106.0)</f>
        <v>106</v>
      </c>
      <c r="D192" s="3" t="str">
        <f>IFERROR(__xludf.DUMMYFUNCTION("""COMPUTED_VALUE"""),"1.147")</f>
        <v>1.147</v>
      </c>
      <c r="E192" s="54">
        <f>IFERROR(__xludf.DUMMYFUNCTION("""COMPUTED_VALUE"""),11000.0)</f>
        <v>11000</v>
      </c>
      <c r="F192" s="3" t="str">
        <f>IFERROR(__xludf.DUMMYFUNCTION("""COMPUTED_VALUE"""),"Tinto Recarga")</f>
        <v>Tinto Recarga</v>
      </c>
      <c r="G192" s="55">
        <f>IFERROR(__xludf.DUMMYFUNCTION("""COMPUTED_VALUE"""),13.5)</f>
        <v>13.5</v>
      </c>
      <c r="H192" s="56">
        <f>IFERROR(__xludf.DUMMYFUNCTION("""COMPUTED_VALUE"""),15.0)</f>
        <v>15</v>
      </c>
      <c r="I192" s="57">
        <f>IFERROR(__xludf.DUMMYFUNCTION("""COMPUTED_VALUE"""),0.4)</f>
        <v>0.4</v>
      </c>
      <c r="J192" s="3"/>
      <c r="K192" s="3"/>
      <c r="L192" s="54">
        <f>IFERROR(__xludf.DUMMYFUNCTION("""COMPUTED_VALUE"""),12.0)</f>
        <v>12</v>
      </c>
      <c r="M192" s="3"/>
      <c r="N192" s="3"/>
      <c r="O192" s="3"/>
      <c r="P192" s="3"/>
      <c r="Q192" s="3"/>
      <c r="R192" s="3"/>
      <c r="S192" s="3"/>
      <c r="T192" s="5"/>
      <c r="U192" s="5"/>
      <c r="V192" s="5"/>
      <c r="W192" s="5"/>
    </row>
    <row r="193" ht="15.75" customHeight="1">
      <c r="A193" s="3">
        <f>IFERROR(__xludf.DUMMYFUNCTION("""COMPUTED_VALUE"""),193.0)</f>
        <v>193</v>
      </c>
      <c r="B193" s="53">
        <f>IFERROR(__xludf.DUMMYFUNCTION("""COMPUTED_VALUE"""),45392.0)</f>
        <v>45392</v>
      </c>
      <c r="C193" s="3">
        <f>IFERROR(__xludf.DUMMYFUNCTION("""COMPUTED_VALUE"""),107.0)</f>
        <v>107</v>
      </c>
      <c r="D193" s="3" t="str">
        <f>IFERROR(__xludf.DUMMYFUNCTION("""COMPUTED_VALUE"""),"1.122")</f>
        <v>1.122</v>
      </c>
      <c r="E193" s="54">
        <f>IFERROR(__xludf.DUMMYFUNCTION("""COMPUTED_VALUE"""),31000.0)</f>
        <v>31000</v>
      </c>
      <c r="F193" s="3" t="str">
        <f>IFERROR(__xludf.DUMMYFUNCTION("""COMPUTED_VALUE"""),"Malbec G")</f>
        <v>Malbec G</v>
      </c>
      <c r="G193" s="55">
        <f>IFERROR(__xludf.DUMMYFUNCTION("""COMPUTED_VALUE"""),13.2)</f>
        <v>13.2</v>
      </c>
      <c r="H193" s="56">
        <f>IFERROR(__xludf.DUMMYFUNCTION("""COMPUTED_VALUE"""),6.0)</f>
        <v>6</v>
      </c>
      <c r="I193" s="57">
        <f>IFERROR(__xludf.DUMMYFUNCTION("""COMPUTED_VALUE"""),0.45)</f>
        <v>0.45</v>
      </c>
      <c r="J193" s="3"/>
      <c r="K193" s="3"/>
      <c r="L193" s="54">
        <f>IFERROR(__xludf.DUMMYFUNCTION("""COMPUTED_VALUE"""),20.0)</f>
        <v>20</v>
      </c>
      <c r="M193" s="3"/>
      <c r="N193" s="3"/>
      <c r="O193" s="3"/>
      <c r="P193" s="3"/>
      <c r="Q193" s="3"/>
      <c r="R193" s="3"/>
      <c r="S193" s="3"/>
      <c r="T193" s="5"/>
      <c r="U193" s="5"/>
      <c r="V193" s="5"/>
      <c r="W193" s="5"/>
    </row>
    <row r="194" ht="15.75" customHeight="1">
      <c r="A194" s="3">
        <f>IFERROR(__xludf.DUMMYFUNCTION("""COMPUTED_VALUE"""),194.0)</f>
        <v>194</v>
      </c>
      <c r="B194" s="53">
        <f>IFERROR(__xludf.DUMMYFUNCTION("""COMPUTED_VALUE"""),45392.0)</f>
        <v>45392</v>
      </c>
      <c r="C194" s="3">
        <f>IFERROR(__xludf.DUMMYFUNCTION("""COMPUTED_VALUE"""),108.0)</f>
        <v>108</v>
      </c>
      <c r="D194" s="3" t="str">
        <f>IFERROR(__xludf.DUMMYFUNCTION("""COMPUTED_VALUE"""),"1.145")</f>
        <v>1.145</v>
      </c>
      <c r="E194" s="54">
        <f>IFERROR(__xludf.DUMMYFUNCTION("""COMPUTED_VALUE"""),31000.0)</f>
        <v>31000</v>
      </c>
      <c r="F194" s="3" t="str">
        <f>IFERROR(__xludf.DUMMYFUNCTION("""COMPUTED_VALUE"""),"Malbec")</f>
        <v>Malbec</v>
      </c>
      <c r="G194" s="55">
        <f>IFERROR(__xludf.DUMMYFUNCTION("""COMPUTED_VALUE"""),13.1)</f>
        <v>13.1</v>
      </c>
      <c r="H194" s="56">
        <f>IFERROR(__xludf.DUMMYFUNCTION("""COMPUTED_VALUE"""),5.0)</f>
        <v>5</v>
      </c>
      <c r="I194" s="57">
        <f>IFERROR(__xludf.DUMMYFUNCTION("""COMPUTED_VALUE"""),0.42)</f>
        <v>0.42</v>
      </c>
      <c r="J194" s="3"/>
      <c r="K194" s="3"/>
      <c r="L194" s="54">
        <f>IFERROR(__xludf.DUMMYFUNCTION("""COMPUTED_VALUE"""),23.0)</f>
        <v>23</v>
      </c>
      <c r="M194" s="3"/>
      <c r="N194" s="3"/>
      <c r="O194" s="3"/>
      <c r="P194" s="3"/>
      <c r="Q194" s="3"/>
      <c r="R194" s="3"/>
      <c r="S194" s="3"/>
      <c r="T194" s="5"/>
      <c r="U194" s="5"/>
      <c r="V194" s="5"/>
      <c r="W194" s="5"/>
    </row>
    <row r="195" ht="15.75" customHeight="1">
      <c r="A195" s="3">
        <f>IFERROR(__xludf.DUMMYFUNCTION("""COMPUTED_VALUE"""),195.0)</f>
        <v>195</v>
      </c>
      <c r="B195" s="53">
        <f>IFERROR(__xludf.DUMMYFUNCTION("""COMPUTED_VALUE"""),45392.0)</f>
        <v>45392</v>
      </c>
      <c r="C195" s="3">
        <f>IFERROR(__xludf.DUMMYFUNCTION("""COMPUTED_VALUE"""),109.0)</f>
        <v>109</v>
      </c>
      <c r="D195" s="3" t="str">
        <f>IFERROR(__xludf.DUMMYFUNCTION("""COMPUTED_VALUE"""),"1.144")</f>
        <v>1.144</v>
      </c>
      <c r="E195" s="54">
        <f>IFERROR(__xludf.DUMMYFUNCTION("""COMPUTED_VALUE"""),10000.0)</f>
        <v>10000</v>
      </c>
      <c r="F195" s="3" t="str">
        <f>IFERROR(__xludf.DUMMYFUNCTION("""COMPUTED_VALUE"""),"Malbec P")</f>
        <v>Malbec P</v>
      </c>
      <c r="G195" s="55">
        <f>IFERROR(__xludf.DUMMYFUNCTION("""COMPUTED_VALUE"""),13.1)</f>
        <v>13.1</v>
      </c>
      <c r="H195" s="56">
        <f>IFERROR(__xludf.DUMMYFUNCTION("""COMPUTED_VALUE"""),3.0)</f>
        <v>3</v>
      </c>
      <c r="I195" s="57">
        <f>IFERROR(__xludf.DUMMYFUNCTION("""COMPUTED_VALUE"""),0.48)</f>
        <v>0.48</v>
      </c>
      <c r="J195" s="3"/>
      <c r="K195" s="3"/>
      <c r="L195" s="54">
        <f>IFERROR(__xludf.DUMMYFUNCTION("""COMPUTED_VALUE"""),22.0)</f>
        <v>22</v>
      </c>
      <c r="M195" s="3"/>
      <c r="N195" s="3"/>
      <c r="O195" s="3"/>
      <c r="P195" s="3"/>
      <c r="Q195" s="3"/>
      <c r="R195" s="3"/>
      <c r="S195" s="3"/>
      <c r="T195" s="5"/>
      <c r="U195" s="5"/>
      <c r="V195" s="5"/>
      <c r="W195" s="5"/>
    </row>
    <row r="196" ht="15.75" customHeight="1">
      <c r="A196" s="3">
        <f>IFERROR(__xludf.DUMMYFUNCTION("""COMPUTED_VALUE"""),196.0)</f>
        <v>196</v>
      </c>
      <c r="B196" s="53">
        <f>IFERROR(__xludf.DUMMYFUNCTION("""COMPUTED_VALUE"""),45393.0)</f>
        <v>45393</v>
      </c>
      <c r="C196" s="3">
        <f>IFERROR(__xludf.DUMMYFUNCTION("""COMPUTED_VALUE"""),102.0)</f>
        <v>102</v>
      </c>
      <c r="D196" s="3" t="str">
        <f>IFERROR(__xludf.DUMMYFUNCTION("""COMPUTED_VALUE"""),"1.128")</f>
        <v>1.128</v>
      </c>
      <c r="E196" s="54">
        <f>IFERROR(__xludf.DUMMYFUNCTION("""COMPUTED_VALUE"""),31000.0)</f>
        <v>31000</v>
      </c>
      <c r="F196" s="3" t="str">
        <f>IFERROR(__xludf.DUMMYFUNCTION("""COMPUTED_VALUE"""),"Tinto Rec")</f>
        <v>Tinto Rec</v>
      </c>
      <c r="G196" s="55">
        <f>IFERROR(__xludf.DUMMYFUNCTION("""COMPUTED_VALUE"""),13.6)</f>
        <v>13.6</v>
      </c>
      <c r="H196" s="56">
        <f>IFERROR(__xludf.DUMMYFUNCTION("""COMPUTED_VALUE"""),16.0)</f>
        <v>16</v>
      </c>
      <c r="I196" s="57">
        <f>IFERROR(__xludf.DUMMYFUNCTION("""COMPUTED_VALUE"""),0.4)</f>
        <v>0.4</v>
      </c>
      <c r="J196" s="3"/>
      <c r="K196" s="3"/>
      <c r="L196" s="54">
        <f>IFERROR(__xludf.DUMMYFUNCTION("""COMPUTED_VALUE"""),13.0)</f>
        <v>13</v>
      </c>
      <c r="M196" s="3"/>
      <c r="N196" s="3"/>
      <c r="O196" s="3"/>
      <c r="P196" s="3"/>
      <c r="Q196" s="3"/>
      <c r="R196" s="3"/>
      <c r="S196" s="3"/>
      <c r="T196" s="5"/>
      <c r="U196" s="5"/>
      <c r="V196" s="5"/>
      <c r="W196" s="5"/>
    </row>
    <row r="197" ht="15.75" customHeight="1">
      <c r="A197" s="3">
        <f>IFERROR(__xludf.DUMMYFUNCTION("""COMPUTED_VALUE"""),197.0)</f>
        <v>197</v>
      </c>
      <c r="B197" s="53">
        <f>IFERROR(__xludf.DUMMYFUNCTION("""COMPUTED_VALUE"""),45393.0)</f>
        <v>45393</v>
      </c>
      <c r="C197" s="3">
        <f>IFERROR(__xludf.DUMMYFUNCTION("""COMPUTED_VALUE"""),104.0)</f>
        <v>104</v>
      </c>
      <c r="D197" s="3" t="str">
        <f>IFERROR(__xludf.DUMMYFUNCTION("""COMPUTED_VALUE"""),"1.143")</f>
        <v>1.143</v>
      </c>
      <c r="E197" s="54">
        <f>IFERROR(__xludf.DUMMYFUNCTION("""COMPUTED_VALUE"""),12000.0)</f>
        <v>12000</v>
      </c>
      <c r="F197" s="3" t="str">
        <f>IFERROR(__xludf.DUMMYFUNCTION("""COMPUTED_VALUE"""),"Tinto Recarga")</f>
        <v>Tinto Recarga</v>
      </c>
      <c r="G197" s="3"/>
      <c r="H197" s="56">
        <f>IFERROR(__xludf.DUMMYFUNCTION("""COMPUTED_VALUE"""),8.18)</f>
        <v>8.18</v>
      </c>
      <c r="I197" s="3"/>
      <c r="J197" s="3"/>
      <c r="K197" s="3"/>
      <c r="L197" s="54">
        <f>IFERROR(__xludf.DUMMYFUNCTION("""COMPUTED_VALUE"""),12.0)</f>
        <v>12</v>
      </c>
      <c r="M197" s="3"/>
      <c r="N197" s="3"/>
      <c r="O197" s="3"/>
      <c r="P197" s="3"/>
      <c r="Q197" s="3"/>
      <c r="R197" s="3"/>
      <c r="S197" s="3"/>
      <c r="T197" s="5"/>
      <c r="U197" s="5"/>
      <c r="V197" s="5"/>
      <c r="W197" s="5"/>
    </row>
    <row r="198" ht="15.75" customHeight="1">
      <c r="A198" s="3">
        <f>IFERROR(__xludf.DUMMYFUNCTION("""COMPUTED_VALUE"""),198.0)</f>
        <v>198</v>
      </c>
      <c r="B198" s="53">
        <f>IFERROR(__xludf.DUMMYFUNCTION("""COMPUTED_VALUE"""),45393.0)</f>
        <v>45393</v>
      </c>
      <c r="C198" s="3">
        <f>IFERROR(__xludf.DUMMYFUNCTION("""COMPUTED_VALUE"""),111.0)</f>
        <v>111</v>
      </c>
      <c r="D198" s="3" t="str">
        <f>IFERROR(__xludf.DUMMYFUNCTION("""COMPUTED_VALUE"""),"1.142")</f>
        <v>1.142</v>
      </c>
      <c r="E198" s="54">
        <f>IFERROR(__xludf.DUMMYFUNCTION("""COMPUTED_VALUE"""),4000.0)</f>
        <v>4000</v>
      </c>
      <c r="F198" s="3" t="str">
        <f>IFERROR(__xludf.DUMMYFUNCTION("""COMPUTED_VALUE"""),"Borra")</f>
        <v>Borra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5"/>
      <c r="U198" s="5"/>
      <c r="V198" s="5"/>
      <c r="W198" s="5"/>
    </row>
    <row r="199" ht="15.75" customHeight="1">
      <c r="A199" s="3">
        <f>IFERROR(__xludf.DUMMYFUNCTION("""COMPUTED_VALUE"""),199.0)</f>
        <v>199</v>
      </c>
      <c r="B199" s="53">
        <f>IFERROR(__xludf.DUMMYFUNCTION("""COMPUTED_VALUE"""),45393.0)</f>
        <v>45393</v>
      </c>
      <c r="C199" s="3">
        <f>IFERROR(__xludf.DUMMYFUNCTION("""COMPUTED_VALUE"""),105.0)</f>
        <v>105</v>
      </c>
      <c r="D199" s="3" t="str">
        <f>IFERROR(__xludf.DUMMYFUNCTION("""COMPUTED_VALUE"""),"1.124")</f>
        <v>1.124</v>
      </c>
      <c r="E199" s="54">
        <f>IFERROR(__xludf.DUMMYFUNCTION("""COMPUTED_VALUE"""),31000.0)</f>
        <v>31000</v>
      </c>
      <c r="F199" s="3" t="str">
        <f>IFERROR(__xludf.DUMMYFUNCTION("""COMPUTED_VALUE"""),"Bonarda G")</f>
        <v>Bonarda G</v>
      </c>
      <c r="G199" s="3"/>
      <c r="H199" s="56">
        <f>IFERROR(__xludf.DUMMYFUNCTION("""COMPUTED_VALUE"""),20.0)</f>
        <v>20</v>
      </c>
      <c r="I199" s="57">
        <f>IFERROR(__xludf.DUMMYFUNCTION("""COMPUTED_VALUE"""),0.52)</f>
        <v>0.52</v>
      </c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5"/>
      <c r="U199" s="5"/>
      <c r="V199" s="5"/>
      <c r="W199" s="5"/>
    </row>
    <row r="200" ht="15.75" customHeight="1">
      <c r="A200" s="3">
        <f>IFERROR(__xludf.DUMMYFUNCTION("""COMPUTED_VALUE"""),200.0)</f>
        <v>200</v>
      </c>
      <c r="B200" s="53">
        <f>IFERROR(__xludf.DUMMYFUNCTION("""COMPUTED_VALUE"""),45393.0)</f>
        <v>45393</v>
      </c>
      <c r="C200" s="3">
        <f>IFERROR(__xludf.DUMMYFUNCTION("""COMPUTED_VALUE"""),110.0)</f>
        <v>110</v>
      </c>
      <c r="D200" s="3" t="str">
        <f>IFERROR(__xludf.DUMMYFUNCTION("""COMPUTED_VALUE"""),"1.146")</f>
        <v>1.146</v>
      </c>
      <c r="E200" s="54">
        <f>IFERROR(__xludf.DUMMYFUNCTION("""COMPUTED_VALUE"""),15000.0)</f>
        <v>15000</v>
      </c>
      <c r="F200" s="3" t="str">
        <f>IFERROR(__xludf.DUMMYFUNCTION("""COMPUTED_VALUE"""),"Bonarda P")</f>
        <v>Bonarda P</v>
      </c>
      <c r="G200" s="3"/>
      <c r="H200" s="56">
        <f>IFERROR(__xludf.DUMMYFUNCTION("""COMPUTED_VALUE"""),17.0)</f>
        <v>17</v>
      </c>
      <c r="I200" s="57">
        <f>IFERROR(__xludf.DUMMYFUNCTION("""COMPUTED_VALUE"""),0.5)</f>
        <v>0.5</v>
      </c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5"/>
      <c r="U200" s="5"/>
      <c r="V200" s="5"/>
      <c r="W200" s="5"/>
    </row>
    <row r="201" ht="15.75" customHeight="1">
      <c r="A201" s="3">
        <f>IFERROR(__xludf.DUMMYFUNCTION("""COMPUTED_VALUE"""),201.0)</f>
        <v>201</v>
      </c>
      <c r="B201" s="53">
        <f>IFERROR(__xludf.DUMMYFUNCTION("""COMPUTED_VALUE"""),45393.0)</f>
        <v>45393</v>
      </c>
      <c r="C201" s="3">
        <f>IFERROR(__xludf.DUMMYFUNCTION("""COMPUTED_VALUE"""),111.0)</f>
        <v>111</v>
      </c>
      <c r="D201" s="3" t="str">
        <f>IFERROR(__xludf.DUMMYFUNCTION("""COMPUTED_VALUE"""),"1.142")</f>
        <v>1.142</v>
      </c>
      <c r="E201" s="54">
        <f>IFERROR(__xludf.DUMMYFUNCTION("""COMPUTED_VALUE"""),4000.0)</f>
        <v>4000</v>
      </c>
      <c r="F201" s="3" t="str">
        <f>IFERROR(__xludf.DUMMYFUNCTION("""COMPUTED_VALUE"""),"Borra")</f>
        <v>Borra</v>
      </c>
      <c r="G201" s="55">
        <f>IFERROR(__xludf.DUMMYFUNCTION("""COMPUTED_VALUE"""),12.0)</f>
        <v>12</v>
      </c>
      <c r="H201" s="56">
        <f>IFERROR(__xludf.DUMMYFUNCTION("""COMPUTED_VALUE"""),2.0)</f>
        <v>2</v>
      </c>
      <c r="I201" s="57">
        <f>IFERROR(__xludf.DUMMYFUNCTION("""COMPUTED_VALUE"""),0.6)</f>
        <v>0.6</v>
      </c>
      <c r="J201" s="57">
        <f>IFERROR(__xludf.DUMMYFUNCTION("""COMPUTED_VALUE"""),5.0)</f>
        <v>5</v>
      </c>
      <c r="K201" s="3"/>
      <c r="L201" s="54">
        <f>IFERROR(__xludf.DUMMYFUNCTION("""COMPUTED_VALUE"""),50.0)</f>
        <v>50</v>
      </c>
      <c r="M201" s="3">
        <f>IFERROR(__xludf.DUMMYFUNCTION("""COMPUTED_VALUE"""),120.0)</f>
        <v>120</v>
      </c>
      <c r="N201" s="3"/>
      <c r="O201" s="3"/>
      <c r="P201" s="3"/>
      <c r="Q201" s="3"/>
      <c r="R201" s="3"/>
      <c r="S201" s="3"/>
      <c r="T201" s="5"/>
      <c r="U201" s="5"/>
      <c r="V201" s="5"/>
      <c r="W201" s="5"/>
    </row>
    <row r="202" ht="15.75" customHeight="1">
      <c r="A202" s="3">
        <f>IFERROR(__xludf.DUMMYFUNCTION("""COMPUTED_VALUE"""),202.0)</f>
        <v>202</v>
      </c>
      <c r="B202" s="53">
        <f>IFERROR(__xludf.DUMMYFUNCTION("""COMPUTED_VALUE"""),45393.0)</f>
        <v>45393</v>
      </c>
      <c r="C202" s="3">
        <f>IFERROR(__xludf.DUMMYFUNCTION("""COMPUTED_VALUE"""),67.0)</f>
        <v>67</v>
      </c>
      <c r="D202" s="3" t="str">
        <f>IFERROR(__xludf.DUMMYFUNCTION("""COMPUTED_VALUE"""),"1.161")</f>
        <v>1.161</v>
      </c>
      <c r="E202" s="54">
        <f>IFERROR(__xludf.DUMMYFUNCTION("""COMPUTED_VALUE"""),11497.2)</f>
        <v>11497.2</v>
      </c>
      <c r="F202" s="3" t="str">
        <f>IFERROR(__xludf.DUMMYFUNCTION("""COMPUTED_VALUE"""),"Cabernet")</f>
        <v>Cabernet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5"/>
      <c r="U202" s="5"/>
      <c r="V202" s="5"/>
      <c r="W202" s="5"/>
    </row>
    <row r="203" ht="15.75" customHeight="1">
      <c r="A203" s="3">
        <f>IFERROR(__xludf.DUMMYFUNCTION("""COMPUTED_VALUE"""),203.0)</f>
        <v>203</v>
      </c>
      <c r="B203" s="53">
        <f>IFERROR(__xludf.DUMMYFUNCTION("""COMPUTED_VALUE"""),45393.0)</f>
        <v>45393</v>
      </c>
      <c r="C203" s="3">
        <f>IFERROR(__xludf.DUMMYFUNCTION("""COMPUTED_VALUE"""),68.0)</f>
        <v>68</v>
      </c>
      <c r="D203" s="3" t="str">
        <f>IFERROR(__xludf.DUMMYFUNCTION("""COMPUTED_VALUE"""),"1.186")</f>
        <v>1.186</v>
      </c>
      <c r="E203" s="54">
        <f>IFERROR(__xludf.DUMMYFUNCTION("""COMPUTED_VALUE"""),6676.8)</f>
        <v>6676.8</v>
      </c>
      <c r="F203" s="3" t="str">
        <f>IFERROR(__xludf.DUMMYFUNCTION("""COMPUTED_VALUE"""),"Cabernet")</f>
        <v>Cabernet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5"/>
      <c r="U203" s="5"/>
      <c r="V203" s="5"/>
      <c r="W203" s="5"/>
    </row>
    <row r="204" ht="15.75" customHeight="1">
      <c r="A204" s="3">
        <f>IFERROR(__xludf.DUMMYFUNCTION("""COMPUTED_VALUE"""),204.0)</f>
        <v>204</v>
      </c>
      <c r="B204" s="53">
        <f>IFERROR(__xludf.DUMMYFUNCTION("""COMPUTED_VALUE"""),45394.0)</f>
        <v>45394</v>
      </c>
      <c r="C204" s="3">
        <f>IFERROR(__xludf.DUMMYFUNCTION("""COMPUTED_VALUE"""),91.0)</f>
        <v>91</v>
      </c>
      <c r="D204" s="3"/>
      <c r="E204" s="3"/>
      <c r="F204" s="3"/>
      <c r="G204" s="55">
        <f>IFERROR(__xludf.DUMMYFUNCTION("""COMPUTED_VALUE"""),12.5)</f>
        <v>12.5</v>
      </c>
      <c r="H204" s="56">
        <f>IFERROR(__xludf.DUMMYFUNCTION("""COMPUTED_VALUE"""),10.0)</f>
        <v>10</v>
      </c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5"/>
      <c r="U204" s="5"/>
      <c r="V204" s="5"/>
      <c r="W204" s="5"/>
    </row>
    <row r="205" ht="15.75" customHeight="1">
      <c r="A205" s="3">
        <f>IFERROR(__xludf.DUMMYFUNCTION("""COMPUTED_VALUE"""),205.0)</f>
        <v>205</v>
      </c>
      <c r="B205" s="53">
        <f>IFERROR(__xludf.DUMMYFUNCTION("""COMPUTED_VALUE"""),45394.0)</f>
        <v>45394</v>
      </c>
      <c r="C205" s="3">
        <f>IFERROR(__xludf.DUMMYFUNCTION("""COMPUTED_VALUE"""),50.0)</f>
        <v>50</v>
      </c>
      <c r="D205" s="3" t="str">
        <f>IFERROR(__xludf.DUMMYFUNCTION("""COMPUTED_VALUE"""),"#REF!")</f>
        <v>#REF!</v>
      </c>
      <c r="E205" s="3"/>
      <c r="F205" s="3" t="str">
        <f>IFERROR(__xludf.DUMMYFUNCTION("""COMPUTED_VALUE"""),"tinto despacho")</f>
        <v>tinto despacho</v>
      </c>
      <c r="G205" s="3"/>
      <c r="H205" s="3"/>
      <c r="I205" s="57">
        <f>IFERROR(__xludf.DUMMYFUNCTION("""COMPUTED_VALUE"""),0.6)</f>
        <v>0.6</v>
      </c>
      <c r="J205" s="3"/>
      <c r="K205" s="3"/>
      <c r="L205" s="54">
        <f>IFERROR(__xludf.DUMMYFUNCTION("""COMPUTED_VALUE"""),30.0)</f>
        <v>30</v>
      </c>
      <c r="M205" s="3"/>
      <c r="N205" s="3"/>
      <c r="O205" s="3"/>
      <c r="P205" s="3"/>
      <c r="Q205" s="3"/>
      <c r="R205" s="3"/>
      <c r="S205" s="3"/>
      <c r="T205" s="5"/>
      <c r="U205" s="5"/>
      <c r="V205" s="5"/>
      <c r="W205" s="5"/>
    </row>
    <row r="206" ht="15.75" customHeight="1">
      <c r="A206" s="3">
        <f>IFERROR(__xludf.DUMMYFUNCTION("""COMPUTED_VALUE"""),206.0)</f>
        <v>206</v>
      </c>
      <c r="B206" s="53">
        <f>IFERROR(__xludf.DUMMYFUNCTION("""COMPUTED_VALUE"""),45394.0)</f>
        <v>45394</v>
      </c>
      <c r="C206" s="3">
        <f>IFERROR(__xludf.DUMMYFUNCTION("""COMPUTED_VALUE"""),85.0)</f>
        <v>85</v>
      </c>
      <c r="D206" s="3" t="str">
        <f>IFERROR(__xludf.DUMMYFUNCTION("""COMPUTED_VALUE"""),"1.179")</f>
        <v>1.179</v>
      </c>
      <c r="E206" s="54">
        <f>IFERROR(__xludf.DUMMYFUNCTION("""COMPUTED_VALUE"""),60000.0)</f>
        <v>60000</v>
      </c>
      <c r="F206" s="3" t="str">
        <f>IFERROR(__xludf.DUMMYFUNCTION("""COMPUTED_VALUE"""),"Bonarda")</f>
        <v>Bonarda</v>
      </c>
      <c r="G206" s="55">
        <f>IFERROR(__xludf.DUMMYFUNCTION("""COMPUTED_VALUE"""),14.0)</f>
        <v>14</v>
      </c>
      <c r="H206" s="56">
        <f>IFERROR(__xludf.DUMMYFUNCTION("""COMPUTED_VALUE"""),2.0)</f>
        <v>2</v>
      </c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5"/>
      <c r="U206" s="5"/>
      <c r="V206" s="5"/>
      <c r="W206" s="5"/>
    </row>
    <row r="207" ht="15.75" customHeight="1">
      <c r="A207" s="3">
        <f>IFERROR(__xludf.DUMMYFUNCTION("""COMPUTED_VALUE"""),207.0)</f>
        <v>207</v>
      </c>
      <c r="B207" s="53">
        <f>IFERROR(__xludf.DUMMYFUNCTION("""COMPUTED_VALUE"""),45394.0)</f>
        <v>45394</v>
      </c>
      <c r="C207" s="3">
        <f>IFERROR(__xludf.DUMMYFUNCTION("""COMPUTED_VALUE"""),87.0)</f>
        <v>87</v>
      </c>
      <c r="D207" s="3" t="str">
        <f>IFERROR(__xludf.DUMMYFUNCTION("""COMPUTED_VALUE"""),"1.135")</f>
        <v>1.135</v>
      </c>
      <c r="E207" s="54">
        <f>IFERROR(__xludf.DUMMYFUNCTION("""COMPUTED_VALUE"""),48890.4)</f>
        <v>48890.4</v>
      </c>
      <c r="F207" s="3" t="str">
        <f>IFERROR(__xludf.DUMMYFUNCTION("""COMPUTED_VALUE"""),"Cabernet Sau")</f>
        <v>Cabernet Sau</v>
      </c>
      <c r="G207" s="3"/>
      <c r="H207" s="56">
        <f>IFERROR(__xludf.DUMMYFUNCTION("""COMPUTED_VALUE"""),3.46)</f>
        <v>3.46</v>
      </c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5"/>
      <c r="U207" s="5"/>
      <c r="V207" s="5"/>
      <c r="W207" s="5"/>
    </row>
    <row r="208" ht="15.75" customHeight="1">
      <c r="A208" s="3">
        <f>IFERROR(__xludf.DUMMYFUNCTION("""COMPUTED_VALUE"""),208.0)</f>
        <v>208</v>
      </c>
      <c r="B208" s="53">
        <f>IFERROR(__xludf.DUMMYFUNCTION("""COMPUTED_VALUE"""),45395.0)</f>
        <v>45395</v>
      </c>
      <c r="C208" s="3">
        <f>IFERROR(__xludf.DUMMYFUNCTION("""COMPUTED_VALUE"""),14.0)</f>
        <v>14</v>
      </c>
      <c r="D208" s="3" t="str">
        <f>IFERROR(__xludf.DUMMYFUNCTION("""COMPUTED_VALUE"""),"1.157")</f>
        <v>1.157</v>
      </c>
      <c r="E208" s="54">
        <f>IFERROR(__xludf.DUMMYFUNCTION("""COMPUTED_VALUE"""),12000.0)</f>
        <v>12000</v>
      </c>
      <c r="F208" s="3" t="str">
        <f>IFERROR(__xludf.DUMMYFUNCTION("""COMPUTED_VALUE"""),"Tinto Recarga")</f>
        <v>Tinto Recarga</v>
      </c>
      <c r="G208" s="3"/>
      <c r="H208" s="56">
        <f>IFERROR(__xludf.DUMMYFUNCTION("""COMPUTED_VALUE"""),4.0)</f>
        <v>4</v>
      </c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5"/>
      <c r="U208" s="5"/>
      <c r="V208" s="5"/>
      <c r="W208" s="5"/>
    </row>
    <row r="209" ht="15.75" customHeight="1">
      <c r="A209" s="3">
        <f>IFERROR(__xludf.DUMMYFUNCTION("""COMPUTED_VALUE"""),209.0)</f>
        <v>209</v>
      </c>
      <c r="B209" s="53">
        <f>IFERROR(__xludf.DUMMYFUNCTION("""COMPUTED_VALUE"""),45397.0)</f>
        <v>45397</v>
      </c>
      <c r="C209" s="3">
        <f>IFERROR(__xludf.DUMMYFUNCTION("""COMPUTED_VALUE"""),65.0)</f>
        <v>65</v>
      </c>
      <c r="D209" s="3" t="str">
        <f>IFERROR(__xludf.DUMMYFUNCTION("""COMPUTED_VALUE"""),"1.152")</f>
        <v>1.152</v>
      </c>
      <c r="E209" s="54">
        <f>IFERROR(__xludf.DUMMYFUNCTION("""COMPUTED_VALUE"""),30435.600000000002)</f>
        <v>30435.6</v>
      </c>
      <c r="F209" s="3" t="str">
        <f>IFERROR(__xludf.DUMMYFUNCTION("""COMPUTED_VALUE"""),"Malbec")</f>
        <v>Malbec</v>
      </c>
      <c r="G209" s="55">
        <f>IFERROR(__xludf.DUMMYFUNCTION("""COMPUTED_VALUE"""),13.7)</f>
        <v>13.7</v>
      </c>
      <c r="H209" s="56">
        <f>IFERROR(__xludf.DUMMYFUNCTION("""COMPUTED_VALUE"""),7.5)</f>
        <v>7.5</v>
      </c>
      <c r="I209" s="57">
        <f>IFERROR(__xludf.DUMMYFUNCTION("""COMPUTED_VALUE"""),0.45)</f>
        <v>0.45</v>
      </c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5"/>
      <c r="U209" s="5"/>
      <c r="V209" s="5"/>
      <c r="W209" s="5"/>
    </row>
    <row r="210" ht="15.75" customHeight="1">
      <c r="A210" s="3">
        <f>IFERROR(__xludf.DUMMYFUNCTION("""COMPUTED_VALUE"""),210.0)</f>
        <v>210</v>
      </c>
      <c r="B210" s="53">
        <f>IFERROR(__xludf.DUMMYFUNCTION("""COMPUTED_VALUE"""),45397.0)</f>
        <v>45397</v>
      </c>
      <c r="C210" s="3">
        <f>IFERROR(__xludf.DUMMYFUNCTION("""COMPUTED_VALUE"""),77.0)</f>
        <v>77</v>
      </c>
      <c r="D210" s="3" t="str">
        <f>IFERROR(__xludf.DUMMYFUNCTION("""COMPUTED_VALUE"""),"1.150")</f>
        <v>1.150</v>
      </c>
      <c r="E210" s="54">
        <f>IFERROR(__xludf.DUMMYFUNCTION("""COMPUTED_VALUE"""),11700.0)</f>
        <v>11700</v>
      </c>
      <c r="F210" s="3" t="str">
        <f>IFERROR(__xludf.DUMMYFUNCTION("""COMPUTED_VALUE"""),"Malbec")</f>
        <v>Malbec</v>
      </c>
      <c r="G210" s="55">
        <f>IFERROR(__xludf.DUMMYFUNCTION("""COMPUTED_VALUE"""),14.0)</f>
        <v>14</v>
      </c>
      <c r="H210" s="56">
        <f>IFERROR(__xludf.DUMMYFUNCTION("""COMPUTED_VALUE"""),15.0)</f>
        <v>15</v>
      </c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5"/>
      <c r="U210" s="5"/>
      <c r="V210" s="5"/>
      <c r="W210" s="5"/>
    </row>
    <row r="211" ht="15.75" customHeight="1">
      <c r="A211" s="3">
        <f>IFERROR(__xludf.DUMMYFUNCTION("""COMPUTED_VALUE"""),211.0)</f>
        <v>211</v>
      </c>
      <c r="B211" s="53">
        <f>IFERROR(__xludf.DUMMYFUNCTION("""COMPUTED_VALUE"""),45397.0)</f>
        <v>45397</v>
      </c>
      <c r="C211" s="3">
        <f>IFERROR(__xludf.DUMMYFUNCTION("""COMPUTED_VALUE"""),89.0)</f>
        <v>89</v>
      </c>
      <c r="D211" s="3" t="str">
        <f>IFERROR(__xludf.DUMMYFUNCTION("""COMPUTED_VALUE"""),"1.182")</f>
        <v>1.182</v>
      </c>
      <c r="E211" s="54">
        <f>IFERROR(__xludf.DUMMYFUNCTION("""COMPUTED_VALUE"""),6500.0)</f>
        <v>6500</v>
      </c>
      <c r="F211" s="3" t="str">
        <f>IFERROR(__xludf.DUMMYFUNCTION("""COMPUTED_VALUE"""),"Tinto Recarga")</f>
        <v>Tinto Recarga</v>
      </c>
      <c r="G211" s="55">
        <f>IFERROR(__xludf.DUMMYFUNCTION("""COMPUTED_VALUE"""),13.4)</f>
        <v>13.4</v>
      </c>
      <c r="H211" s="56">
        <f>IFERROR(__xludf.DUMMYFUNCTION("""COMPUTED_VALUE"""),10.0)</f>
        <v>10</v>
      </c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5"/>
      <c r="U211" s="5"/>
      <c r="V211" s="5"/>
      <c r="W211" s="5"/>
    </row>
    <row r="212" ht="15.75" customHeight="1">
      <c r="A212" s="3">
        <f>IFERROR(__xludf.DUMMYFUNCTION("""COMPUTED_VALUE"""),212.0)</f>
        <v>212</v>
      </c>
      <c r="B212" s="53">
        <f>IFERROR(__xludf.DUMMYFUNCTION("""COMPUTED_VALUE"""),45031.0)</f>
        <v>45031</v>
      </c>
      <c r="C212" s="3">
        <f>IFERROR(__xludf.DUMMYFUNCTION("""COMPUTED_VALUE"""),83.0)</f>
        <v>83</v>
      </c>
      <c r="D212" s="3" t="str">
        <f>IFERROR(__xludf.DUMMYFUNCTION("""COMPUTED_VALUE"""),"1.180")</f>
        <v>1.180</v>
      </c>
      <c r="E212" s="54">
        <f>IFERROR(__xludf.DUMMYFUNCTION("""COMPUTED_VALUE"""),20000.0)</f>
        <v>20000</v>
      </c>
      <c r="F212" s="3" t="str">
        <f>IFERROR(__xludf.DUMMYFUNCTION("""COMPUTED_VALUE"""),"Bonarda")</f>
        <v>Bonarda</v>
      </c>
      <c r="G212" s="3"/>
      <c r="H212" s="56">
        <f>IFERROR(__xludf.DUMMYFUNCTION("""COMPUTED_VALUE"""),5.0)</f>
        <v>5</v>
      </c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5"/>
      <c r="U212" s="5"/>
      <c r="V212" s="5"/>
      <c r="W212" s="5"/>
    </row>
    <row r="213" ht="15.75" customHeight="1">
      <c r="A213" s="3">
        <f>IFERROR(__xludf.DUMMYFUNCTION("""COMPUTED_VALUE"""),213.0)</f>
        <v>213</v>
      </c>
      <c r="B213" s="53">
        <f>IFERROR(__xludf.DUMMYFUNCTION("""COMPUTED_VALUE"""),45031.0)</f>
        <v>45031</v>
      </c>
      <c r="C213" s="3">
        <f>IFERROR(__xludf.DUMMYFUNCTION("""COMPUTED_VALUE"""),96.0)</f>
        <v>96</v>
      </c>
      <c r="D213" s="3" t="str">
        <f>IFERROR(__xludf.DUMMYFUNCTION("""COMPUTED_VALUE"""),"1.125")</f>
        <v>1.125</v>
      </c>
      <c r="E213" s="54">
        <f>IFERROR(__xludf.DUMMYFUNCTION("""COMPUTED_VALUE"""),53430.0)</f>
        <v>53430</v>
      </c>
      <c r="F213" s="3" t="str">
        <f>IFERROR(__xludf.DUMMYFUNCTION("""COMPUTED_VALUE"""),"Bonarda")</f>
        <v>Bonarda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5"/>
      <c r="U213" s="5"/>
      <c r="V213" s="5"/>
      <c r="W213" s="5"/>
    </row>
    <row r="214" ht="15.75" customHeight="1">
      <c r="A214" s="3">
        <f>IFERROR(__xludf.DUMMYFUNCTION("""COMPUTED_VALUE"""),214.0)</f>
        <v>214</v>
      </c>
      <c r="B214" s="53">
        <f>IFERROR(__xludf.DUMMYFUNCTION("""COMPUTED_VALUE"""),45031.0)</f>
        <v>45031</v>
      </c>
      <c r="C214" s="3">
        <f>IFERROR(__xludf.DUMMYFUNCTION("""COMPUTED_VALUE"""),95.0)</f>
        <v>95</v>
      </c>
      <c r="D214" s="3" t="str">
        <f>IFERROR(__xludf.DUMMYFUNCTION("""COMPUTED_VALUE"""),"1.170")</f>
        <v>1.170</v>
      </c>
      <c r="E214" s="54">
        <f>IFERROR(__xludf.DUMMYFUNCTION("""COMPUTED_VALUE"""),47000.0)</f>
        <v>47000</v>
      </c>
      <c r="F214" s="3" t="str">
        <f>IFERROR(__xludf.DUMMYFUNCTION("""COMPUTED_VALUE"""),"Tinto Recarga")</f>
        <v>Tinto Recarga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5"/>
      <c r="U214" s="5"/>
      <c r="V214" s="5"/>
      <c r="W214" s="5"/>
    </row>
    <row r="215" ht="15.75" customHeight="1">
      <c r="A215" s="3">
        <f>IFERROR(__xludf.DUMMYFUNCTION("""COMPUTED_VALUE"""),215.0)</f>
        <v>215</v>
      </c>
      <c r="B215" s="53">
        <f>IFERROR(__xludf.DUMMYFUNCTION("""COMPUTED_VALUE"""),45031.0)</f>
        <v>45031</v>
      </c>
      <c r="C215" s="3">
        <f>IFERROR(__xludf.DUMMYFUNCTION("""COMPUTED_VALUE"""),88.0)</f>
        <v>88</v>
      </c>
      <c r="D215" s="3" t="str">
        <f>IFERROR(__xludf.DUMMYFUNCTION("""COMPUTED_VALUE"""),"1.181")</f>
        <v>1.181</v>
      </c>
      <c r="E215" s="54">
        <f>IFERROR(__xludf.DUMMYFUNCTION("""COMPUTED_VALUE"""),6000.0)</f>
        <v>6000</v>
      </c>
      <c r="F215" s="3" t="str">
        <f>IFERROR(__xludf.DUMMYFUNCTION("""COMPUTED_VALUE"""),"Tinto Recarga")</f>
        <v>Tinto Recarga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5"/>
      <c r="U215" s="5"/>
      <c r="V215" s="5"/>
      <c r="W215" s="5"/>
    </row>
    <row r="216" ht="15.75" customHeight="1">
      <c r="A216" s="3">
        <f>IFERROR(__xludf.DUMMYFUNCTION("""COMPUTED_VALUE"""),216.0)</f>
        <v>216</v>
      </c>
      <c r="B216" s="53">
        <f>IFERROR(__xludf.DUMMYFUNCTION("""COMPUTED_VALUE"""),45031.0)</f>
        <v>45031</v>
      </c>
      <c r="C216" s="3">
        <f>IFERROR(__xludf.DUMMYFUNCTION("""COMPUTED_VALUE"""),85.0)</f>
        <v>85</v>
      </c>
      <c r="D216" s="3" t="str">
        <f>IFERROR(__xludf.DUMMYFUNCTION("""COMPUTED_VALUE"""),"1.179")</f>
        <v>1.179</v>
      </c>
      <c r="E216" s="54">
        <f>IFERROR(__xludf.DUMMYFUNCTION("""COMPUTED_VALUE"""),60000.0)</f>
        <v>60000</v>
      </c>
      <c r="F216" s="3" t="str">
        <f>IFERROR(__xludf.DUMMYFUNCTION("""COMPUTED_VALUE"""),"Bonarda")</f>
        <v>Bonarda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5"/>
      <c r="U216" s="5"/>
      <c r="V216" s="5"/>
      <c r="W216" s="5"/>
    </row>
    <row r="217" ht="15.75" customHeight="1">
      <c r="A217" s="3">
        <f>IFERROR(__xludf.DUMMYFUNCTION("""COMPUTED_VALUE"""),217.0)</f>
        <v>217</v>
      </c>
      <c r="B217" s="53">
        <f>IFERROR(__xludf.DUMMYFUNCTION("""COMPUTED_VALUE"""),45031.0)</f>
        <v>45031</v>
      </c>
      <c r="C217" s="3">
        <f>IFERROR(__xludf.DUMMYFUNCTION("""COMPUTED_VALUE"""),84.0)</f>
        <v>84</v>
      </c>
      <c r="D217" s="3" t="str">
        <f>IFERROR(__xludf.DUMMYFUNCTION("""COMPUTED_VALUE"""),"1.158")</f>
        <v>1.158</v>
      </c>
      <c r="E217" s="54">
        <f>IFERROR(__xludf.DUMMYFUNCTION("""COMPUTED_VALUE"""),29156.4)</f>
        <v>29156.4</v>
      </c>
      <c r="F217" s="3" t="str">
        <f>IFERROR(__xludf.DUMMYFUNCTION("""COMPUTED_VALUE"""),"Malbec")</f>
        <v>Malbec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5"/>
      <c r="U217" s="5"/>
      <c r="V217" s="5"/>
      <c r="W217" s="5"/>
    </row>
    <row r="218" ht="15.75" customHeight="1">
      <c r="A218" s="3">
        <f>IFERROR(__xludf.DUMMYFUNCTION("""COMPUTED_VALUE"""),218.0)</f>
        <v>218</v>
      </c>
      <c r="B218" s="53">
        <f>IFERROR(__xludf.DUMMYFUNCTION("""COMPUTED_VALUE"""),45031.0)</f>
        <v>45031</v>
      </c>
      <c r="C218" s="3">
        <f>IFERROR(__xludf.DUMMYFUNCTION("""COMPUTED_VALUE"""),67.0)</f>
        <v>67</v>
      </c>
      <c r="D218" s="3" t="str">
        <f>IFERROR(__xludf.DUMMYFUNCTION("""COMPUTED_VALUE"""),"1.161")</f>
        <v>1.161</v>
      </c>
      <c r="E218" s="54">
        <f>IFERROR(__xludf.DUMMYFUNCTION("""COMPUTED_VALUE"""),11497.2)</f>
        <v>11497.2</v>
      </c>
      <c r="F218" s="3" t="str">
        <f>IFERROR(__xludf.DUMMYFUNCTION("""COMPUTED_VALUE"""),"Cabernet")</f>
        <v>Cabernet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5"/>
      <c r="U218" s="5"/>
      <c r="V218" s="5"/>
      <c r="W218" s="5"/>
    </row>
    <row r="219" ht="15.75" customHeight="1">
      <c r="A219" s="3">
        <f>IFERROR(__xludf.DUMMYFUNCTION("""COMPUTED_VALUE"""),219.0)</f>
        <v>219</v>
      </c>
      <c r="B219" s="53">
        <f>IFERROR(__xludf.DUMMYFUNCTION("""COMPUTED_VALUE"""),45031.0)</f>
        <v>45031</v>
      </c>
      <c r="C219" s="3">
        <f>IFERROR(__xludf.DUMMYFUNCTION("""COMPUTED_VALUE"""),68.0)</f>
        <v>68</v>
      </c>
      <c r="D219" s="3" t="str">
        <f>IFERROR(__xludf.DUMMYFUNCTION("""COMPUTED_VALUE"""),"1.186")</f>
        <v>1.186</v>
      </c>
      <c r="E219" s="54">
        <f>IFERROR(__xludf.DUMMYFUNCTION("""COMPUTED_VALUE"""),13000.0)</f>
        <v>13000</v>
      </c>
      <c r="F219" s="3" t="str">
        <f>IFERROR(__xludf.DUMMYFUNCTION("""COMPUTED_VALUE"""),"Cabernet")</f>
        <v>Cabernet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5"/>
      <c r="U219" s="5"/>
      <c r="V219" s="5"/>
      <c r="W219" s="5"/>
    </row>
    <row r="220" ht="15.75" customHeight="1">
      <c r="A220" s="3">
        <f>IFERROR(__xludf.DUMMYFUNCTION("""COMPUTED_VALUE"""),220.0)</f>
        <v>220</v>
      </c>
      <c r="B220" s="53">
        <f>IFERROR(__xludf.DUMMYFUNCTION("""COMPUTED_VALUE"""),45031.0)</f>
        <v>45031</v>
      </c>
      <c r="C220" s="3">
        <f>IFERROR(__xludf.DUMMYFUNCTION("""COMPUTED_VALUE"""),77.0)</f>
        <v>77</v>
      </c>
      <c r="D220" s="3" t="str">
        <f>IFERROR(__xludf.DUMMYFUNCTION("""COMPUTED_VALUE"""),"1.150")</f>
        <v>1.150</v>
      </c>
      <c r="E220" s="54">
        <f>IFERROR(__xludf.DUMMYFUNCTION("""COMPUTED_VALUE"""),11700.0)</f>
        <v>11700</v>
      </c>
      <c r="F220" s="3" t="str">
        <f>IFERROR(__xludf.DUMMYFUNCTION("""COMPUTED_VALUE"""),"Malbec")</f>
        <v>Malbec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5"/>
      <c r="U220" s="5"/>
      <c r="V220" s="5"/>
      <c r="W220" s="5"/>
    </row>
    <row r="221" ht="15.75" customHeight="1">
      <c r="A221" s="3">
        <f>IFERROR(__xludf.DUMMYFUNCTION("""COMPUTED_VALUE"""),221.0)</f>
        <v>221</v>
      </c>
      <c r="B221" s="53">
        <f>IFERROR(__xludf.DUMMYFUNCTION("""COMPUTED_VALUE"""),45031.0)</f>
        <v>45031</v>
      </c>
      <c r="C221" s="3">
        <f>IFERROR(__xludf.DUMMYFUNCTION("""COMPUTED_VALUE"""),26.0)</f>
        <v>26</v>
      </c>
      <c r="D221" s="3" t="str">
        <f>IFERROR(__xludf.DUMMYFUNCTION("""COMPUTED_VALUE"""),"1.174")</f>
        <v>1.174</v>
      </c>
      <c r="E221" s="54">
        <f>IFERROR(__xludf.DUMMYFUNCTION("""COMPUTED_VALUE"""),102000.0)</f>
        <v>102000</v>
      </c>
      <c r="F221" s="3" t="str">
        <f>IFERROR(__xludf.DUMMYFUNCTION("""COMPUTED_VALUE"""),"Malbec")</f>
        <v>Malbec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5"/>
      <c r="U221" s="5"/>
      <c r="V221" s="5"/>
      <c r="W221" s="5"/>
    </row>
    <row r="222" ht="15.75" customHeight="1">
      <c r="A222" s="3">
        <f>IFERROR(__xludf.DUMMYFUNCTION("""COMPUTED_VALUE"""),222.0)</f>
        <v>222</v>
      </c>
      <c r="B222" s="53">
        <f>IFERROR(__xludf.DUMMYFUNCTION("""COMPUTED_VALUE"""),45031.0)</f>
        <v>45031</v>
      </c>
      <c r="C222" s="3">
        <f>IFERROR(__xludf.DUMMYFUNCTION("""COMPUTED_VALUE"""),107.0)</f>
        <v>107</v>
      </c>
      <c r="D222" s="3" t="str">
        <f>IFERROR(__xludf.DUMMYFUNCTION("""COMPUTED_VALUE"""),"1.122")</f>
        <v>1.122</v>
      </c>
      <c r="E222" s="54">
        <f>IFERROR(__xludf.DUMMYFUNCTION("""COMPUTED_VALUE"""),31000.0)</f>
        <v>31000</v>
      </c>
      <c r="F222" s="3" t="str">
        <f>IFERROR(__xludf.DUMMYFUNCTION("""COMPUTED_VALUE"""),"Malbec G")</f>
        <v>Malbec G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5"/>
      <c r="U222" s="5"/>
      <c r="V222" s="5"/>
      <c r="W222" s="5"/>
    </row>
    <row r="223" ht="15.75" customHeight="1">
      <c r="A223" s="3">
        <f>IFERROR(__xludf.DUMMYFUNCTION("""COMPUTED_VALUE"""),223.0)</f>
        <v>223</v>
      </c>
      <c r="B223" s="53">
        <f>IFERROR(__xludf.DUMMYFUNCTION("""COMPUTED_VALUE"""),45031.0)</f>
        <v>45031</v>
      </c>
      <c r="C223" s="3">
        <f>IFERROR(__xludf.DUMMYFUNCTION("""COMPUTED_VALUE"""),108.0)</f>
        <v>108</v>
      </c>
      <c r="D223" s="3" t="str">
        <f>IFERROR(__xludf.DUMMYFUNCTION("""COMPUTED_VALUE"""),"1.145")</f>
        <v>1.145</v>
      </c>
      <c r="E223" s="54">
        <f>IFERROR(__xludf.DUMMYFUNCTION("""COMPUTED_VALUE"""),31000.0)</f>
        <v>31000</v>
      </c>
      <c r="F223" s="3" t="str">
        <f>IFERROR(__xludf.DUMMYFUNCTION("""COMPUTED_VALUE"""),"Malbec")</f>
        <v>Malbec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5"/>
      <c r="U223" s="5"/>
      <c r="V223" s="5"/>
      <c r="W223" s="5"/>
    </row>
    <row r="224" ht="15.75" customHeight="1">
      <c r="A224" s="3">
        <f>IFERROR(__xludf.DUMMYFUNCTION("""COMPUTED_VALUE"""),224.0)</f>
        <v>224</v>
      </c>
      <c r="B224" s="53">
        <f>IFERROR(__xludf.DUMMYFUNCTION("""COMPUTED_VALUE"""),45031.0)</f>
        <v>45031</v>
      </c>
      <c r="C224" s="3">
        <f>IFERROR(__xludf.DUMMYFUNCTION("""COMPUTED_VALUE"""),109.0)</f>
        <v>109</v>
      </c>
      <c r="D224" s="3" t="str">
        <f>IFERROR(__xludf.DUMMYFUNCTION("""COMPUTED_VALUE"""),"1.144")</f>
        <v>1.144</v>
      </c>
      <c r="E224" s="54">
        <f>IFERROR(__xludf.DUMMYFUNCTION("""COMPUTED_VALUE"""),10000.0)</f>
        <v>10000</v>
      </c>
      <c r="F224" s="3" t="str">
        <f>IFERROR(__xludf.DUMMYFUNCTION("""COMPUTED_VALUE"""),"Malbec P")</f>
        <v>Malbec P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5"/>
      <c r="U224" s="5"/>
      <c r="V224" s="5"/>
      <c r="W224" s="5"/>
    </row>
    <row r="225" ht="15.75" customHeight="1">
      <c r="A225" s="3">
        <f>IFERROR(__xludf.DUMMYFUNCTION("""COMPUTED_VALUE"""),225.0)</f>
        <v>225</v>
      </c>
      <c r="B225" s="53">
        <f>IFERROR(__xludf.DUMMYFUNCTION("""COMPUTED_VALUE"""),45031.0)</f>
        <v>45031</v>
      </c>
      <c r="C225" s="3">
        <f>IFERROR(__xludf.DUMMYFUNCTION("""COMPUTED_VALUE"""),110.0)</f>
        <v>110</v>
      </c>
      <c r="D225" s="3" t="str">
        <f>IFERROR(__xludf.DUMMYFUNCTION("""COMPUTED_VALUE"""),"1.146")</f>
        <v>1.146</v>
      </c>
      <c r="E225" s="54">
        <f>IFERROR(__xludf.DUMMYFUNCTION("""COMPUTED_VALUE"""),15000.0)</f>
        <v>15000</v>
      </c>
      <c r="F225" s="3" t="str">
        <f>IFERROR(__xludf.DUMMYFUNCTION("""COMPUTED_VALUE"""),"Bonarda P")</f>
        <v>Bonarda P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5"/>
      <c r="U225" s="5"/>
      <c r="V225" s="5"/>
      <c r="W225" s="5"/>
    </row>
    <row r="226" ht="15.75" customHeight="1">
      <c r="A226" s="3">
        <f>IFERROR(__xludf.DUMMYFUNCTION("""COMPUTED_VALUE"""),226.0)</f>
        <v>226</v>
      </c>
      <c r="B226" s="53">
        <f>IFERROR(__xludf.DUMMYFUNCTION("""COMPUTED_VALUE"""),45031.0)</f>
        <v>45031</v>
      </c>
      <c r="C226" s="3">
        <f>IFERROR(__xludf.DUMMYFUNCTION("""COMPUTED_VALUE"""),102.0)</f>
        <v>102</v>
      </c>
      <c r="D226" s="3" t="str">
        <f>IFERROR(__xludf.DUMMYFUNCTION("""COMPUTED_VALUE"""),"1.128")</f>
        <v>1.128</v>
      </c>
      <c r="E226" s="54">
        <f>IFERROR(__xludf.DUMMYFUNCTION("""COMPUTED_VALUE"""),31000.0)</f>
        <v>31000</v>
      </c>
      <c r="F226" s="3" t="str">
        <f>IFERROR(__xludf.DUMMYFUNCTION("""COMPUTED_VALUE"""),"Tinto Rec")</f>
        <v>Tinto Rec</v>
      </c>
      <c r="G226" s="55">
        <f>IFERROR(__xludf.DUMMYFUNCTION("""COMPUTED_VALUE"""),13.4)</f>
        <v>13.4</v>
      </c>
      <c r="H226" s="56">
        <f>IFERROR(__xludf.DUMMYFUNCTION("""COMPUTED_VALUE"""),15.0)</f>
        <v>15</v>
      </c>
      <c r="I226" s="57">
        <f>IFERROR(__xludf.DUMMYFUNCTION("""COMPUTED_VALUE"""),0.4)</f>
        <v>0.4</v>
      </c>
      <c r="J226" s="3"/>
      <c r="K226" s="3"/>
      <c r="L226" s="54">
        <f>IFERROR(__xludf.DUMMYFUNCTION("""COMPUTED_VALUE"""),15.0)</f>
        <v>15</v>
      </c>
      <c r="M226" s="3"/>
      <c r="N226" s="3"/>
      <c r="O226" s="3"/>
      <c r="P226" s="3"/>
      <c r="Q226" s="3"/>
      <c r="R226" s="3"/>
      <c r="S226" s="3"/>
      <c r="T226" s="5"/>
      <c r="U226" s="5"/>
      <c r="V226" s="5"/>
      <c r="W226" s="5"/>
    </row>
    <row r="227" ht="15.75" customHeight="1">
      <c r="A227" s="3">
        <f>IFERROR(__xludf.DUMMYFUNCTION("""COMPUTED_VALUE"""),227.0)</f>
        <v>227</v>
      </c>
      <c r="B227" s="53">
        <f>IFERROR(__xludf.DUMMYFUNCTION("""COMPUTED_VALUE"""),45398.0)</f>
        <v>45398</v>
      </c>
      <c r="C227" s="3">
        <f>IFERROR(__xludf.DUMMYFUNCTION("""COMPUTED_VALUE"""),103.0)</f>
        <v>103</v>
      </c>
      <c r="D227" s="3" t="str">
        <f>IFERROR(__xludf.DUMMYFUNCTION("""COMPUTED_VALUE"""),"1.104")</f>
        <v>1.104</v>
      </c>
      <c r="E227" s="54">
        <f>IFERROR(__xludf.DUMMYFUNCTION("""COMPUTED_VALUE"""),28200.0)</f>
        <v>28200</v>
      </c>
      <c r="F227" s="3" t="str">
        <f>IFERROR(__xludf.DUMMYFUNCTION("""COMPUTED_VALUE"""),"Malbec Gota")</f>
        <v>Malbec Gota</v>
      </c>
      <c r="G227" s="3"/>
      <c r="H227" s="56">
        <f>IFERROR(__xludf.DUMMYFUNCTION("""COMPUTED_VALUE"""),2.0)</f>
        <v>2</v>
      </c>
      <c r="I227" s="57">
        <f>IFERROR(__xludf.DUMMYFUNCTION("""COMPUTED_VALUE"""),0.55)</f>
        <v>0.55</v>
      </c>
      <c r="J227" s="3"/>
      <c r="K227" s="3"/>
      <c r="L227" s="54">
        <f>IFERROR(__xludf.DUMMYFUNCTION("""COMPUTED_VALUE"""),25.0)</f>
        <v>25</v>
      </c>
      <c r="M227" s="3"/>
      <c r="N227" s="3"/>
      <c r="O227" s="3"/>
      <c r="P227" s="3"/>
      <c r="Q227" s="3"/>
      <c r="R227" s="3"/>
      <c r="S227" s="3"/>
      <c r="T227" s="5"/>
      <c r="U227" s="5"/>
      <c r="V227" s="5"/>
      <c r="W227" s="5"/>
    </row>
    <row r="228" ht="15.75" customHeight="1">
      <c r="A228" s="3">
        <f>IFERROR(__xludf.DUMMYFUNCTION("""COMPUTED_VALUE"""),228.0)</f>
        <v>228</v>
      </c>
      <c r="B228" s="53">
        <f>IFERROR(__xludf.DUMMYFUNCTION("""COMPUTED_VALUE"""),45398.0)</f>
        <v>45398</v>
      </c>
      <c r="C228" s="3">
        <f>IFERROR(__xludf.DUMMYFUNCTION("""COMPUTED_VALUE"""),104.0)</f>
        <v>104</v>
      </c>
      <c r="D228" s="3" t="str">
        <f>IFERROR(__xludf.DUMMYFUNCTION("""COMPUTED_VALUE"""),"1.143")</f>
        <v>1.143</v>
      </c>
      <c r="E228" s="54">
        <f>IFERROR(__xludf.DUMMYFUNCTION("""COMPUTED_VALUE"""),12000.0)</f>
        <v>12000</v>
      </c>
      <c r="F228" s="3" t="str">
        <f>IFERROR(__xludf.DUMMYFUNCTION("""COMPUTED_VALUE"""),"Tinto Recarga")</f>
        <v>Tinto Recarga</v>
      </c>
      <c r="G228" s="3"/>
      <c r="H228" s="56">
        <f>IFERROR(__xludf.DUMMYFUNCTION("""COMPUTED_VALUE"""),8.0)</f>
        <v>8</v>
      </c>
      <c r="I228" s="57">
        <f>IFERROR(__xludf.DUMMYFUNCTION("""COMPUTED_VALUE"""),0.61)</f>
        <v>0.61</v>
      </c>
      <c r="J228" s="3"/>
      <c r="K228" s="3"/>
      <c r="L228" s="54">
        <f>IFERROR(__xludf.DUMMYFUNCTION("""COMPUTED_VALUE"""),12.0)</f>
        <v>12</v>
      </c>
      <c r="M228" s="3"/>
      <c r="N228" s="3"/>
      <c r="O228" s="3"/>
      <c r="P228" s="3"/>
      <c r="Q228" s="3"/>
      <c r="R228" s="3"/>
      <c r="S228" s="3"/>
      <c r="T228" s="5"/>
      <c r="U228" s="5"/>
      <c r="V228" s="5"/>
      <c r="W228" s="5"/>
    </row>
    <row r="229" ht="15.75" customHeight="1">
      <c r="A229" s="3">
        <f>IFERROR(__xludf.DUMMYFUNCTION("""COMPUTED_VALUE"""),229.0)</f>
        <v>229</v>
      </c>
      <c r="B229" s="53">
        <f>IFERROR(__xludf.DUMMYFUNCTION("""COMPUTED_VALUE"""),45398.0)</f>
        <v>45398</v>
      </c>
      <c r="C229" s="3">
        <f>IFERROR(__xludf.DUMMYFUNCTION("""COMPUTED_VALUE"""),105.0)</f>
        <v>105</v>
      </c>
      <c r="D229" s="3" t="str">
        <f>IFERROR(__xludf.DUMMYFUNCTION("""COMPUTED_VALUE"""),"1.124")</f>
        <v>1.124</v>
      </c>
      <c r="E229" s="54">
        <f>IFERROR(__xludf.DUMMYFUNCTION("""COMPUTED_VALUE"""),31000.0)</f>
        <v>31000</v>
      </c>
      <c r="F229" s="3" t="str">
        <f>IFERROR(__xludf.DUMMYFUNCTION("""COMPUTED_VALUE"""),"Bonarda G")</f>
        <v>Bonarda G</v>
      </c>
      <c r="G229" s="55">
        <f>IFERROR(__xludf.DUMMYFUNCTION("""COMPUTED_VALUE"""),12.8)</f>
        <v>12.8</v>
      </c>
      <c r="H229" s="56">
        <f>IFERROR(__xludf.DUMMYFUNCTION("""COMPUTED_VALUE"""),22.0)</f>
        <v>22</v>
      </c>
      <c r="I229" s="57">
        <f>IFERROR(__xludf.DUMMYFUNCTION("""COMPUTED_VALUE"""),0.62)</f>
        <v>0.62</v>
      </c>
      <c r="J229" s="3"/>
      <c r="K229" s="3"/>
      <c r="L229" s="54">
        <f>IFERROR(__xludf.DUMMYFUNCTION("""COMPUTED_VALUE"""),13.0)</f>
        <v>13</v>
      </c>
      <c r="M229" s="3"/>
      <c r="N229" s="3"/>
      <c r="O229" s="3"/>
      <c r="P229" s="3"/>
      <c r="Q229" s="3"/>
      <c r="R229" s="3"/>
      <c r="S229" s="3"/>
      <c r="T229" s="5"/>
      <c r="U229" s="5"/>
      <c r="V229" s="5"/>
      <c r="W229" s="5"/>
    </row>
    <row r="230" ht="15.75" customHeight="1">
      <c r="A230" s="3">
        <f>IFERROR(__xludf.DUMMYFUNCTION("""COMPUTED_VALUE"""),230.0)</f>
        <v>230</v>
      </c>
      <c r="B230" s="53">
        <f>IFERROR(__xludf.DUMMYFUNCTION("""COMPUTED_VALUE"""),45398.0)</f>
        <v>45398</v>
      </c>
      <c r="C230" s="3">
        <f>IFERROR(__xludf.DUMMYFUNCTION("""COMPUTED_VALUE"""),106.0)</f>
        <v>106</v>
      </c>
      <c r="D230" s="3" t="str">
        <f>IFERROR(__xludf.DUMMYFUNCTION("""COMPUTED_VALUE"""),"1.147")</f>
        <v>1.147</v>
      </c>
      <c r="E230" s="54">
        <f>IFERROR(__xludf.DUMMYFUNCTION("""COMPUTED_VALUE"""),11000.0)</f>
        <v>11000</v>
      </c>
      <c r="F230" s="3" t="str">
        <f>IFERROR(__xludf.DUMMYFUNCTION("""COMPUTED_VALUE"""),"Tinto Recarga")</f>
        <v>Tinto Recarga</v>
      </c>
      <c r="G230" s="3"/>
      <c r="H230" s="56">
        <f>IFERROR(__xludf.DUMMYFUNCTION("""COMPUTED_VALUE"""),10.0)</f>
        <v>10</v>
      </c>
      <c r="I230" s="57">
        <f>IFERROR(__xludf.DUMMYFUNCTION("""COMPUTED_VALUE"""),0.45)</f>
        <v>0.45</v>
      </c>
      <c r="J230" s="3"/>
      <c r="K230" s="3"/>
      <c r="L230" s="54">
        <f>IFERROR(__xludf.DUMMYFUNCTION("""COMPUTED_VALUE"""),12.0)</f>
        <v>12</v>
      </c>
      <c r="M230" s="3"/>
      <c r="N230" s="3"/>
      <c r="O230" s="3"/>
      <c r="P230" s="3"/>
      <c r="Q230" s="3"/>
      <c r="R230" s="3"/>
      <c r="S230" s="3"/>
      <c r="T230" s="5"/>
      <c r="U230" s="5"/>
      <c r="V230" s="5"/>
      <c r="W230" s="5"/>
    </row>
    <row r="231" ht="15.75" customHeight="1">
      <c r="A231" s="3">
        <f>IFERROR(__xludf.DUMMYFUNCTION("""COMPUTED_VALUE"""),231.0)</f>
        <v>231</v>
      </c>
      <c r="B231" s="53">
        <f>IFERROR(__xludf.DUMMYFUNCTION("""COMPUTED_VALUE"""),45398.0)</f>
        <v>45398</v>
      </c>
      <c r="C231" s="3">
        <f>IFERROR(__xludf.DUMMYFUNCTION("""COMPUTED_VALUE"""),107.0)</f>
        <v>107</v>
      </c>
      <c r="D231" s="3" t="str">
        <f>IFERROR(__xludf.DUMMYFUNCTION("""COMPUTED_VALUE"""),"1.122")</f>
        <v>1.122</v>
      </c>
      <c r="E231" s="54">
        <f>IFERROR(__xludf.DUMMYFUNCTION("""COMPUTED_VALUE"""),31000.0)</f>
        <v>31000</v>
      </c>
      <c r="F231" s="3" t="str">
        <f>IFERROR(__xludf.DUMMYFUNCTION("""COMPUTED_VALUE"""),"Malbec G")</f>
        <v>Malbec G</v>
      </c>
      <c r="G231" s="3"/>
      <c r="H231" s="56">
        <f>IFERROR(__xludf.DUMMYFUNCTION("""COMPUTED_VALUE"""),9.0)</f>
        <v>9</v>
      </c>
      <c r="I231" s="57">
        <f>IFERROR(__xludf.DUMMYFUNCTION("""COMPUTED_VALUE"""),0.4)</f>
        <v>0.4</v>
      </c>
      <c r="J231" s="3"/>
      <c r="K231" s="3"/>
      <c r="L231" s="54">
        <f>IFERROR(__xludf.DUMMYFUNCTION("""COMPUTED_VALUE"""),15.0)</f>
        <v>15</v>
      </c>
      <c r="M231" s="3"/>
      <c r="N231" s="3"/>
      <c r="O231" s="3"/>
      <c r="P231" s="3"/>
      <c r="Q231" s="3"/>
      <c r="R231" s="3"/>
      <c r="S231" s="3"/>
      <c r="T231" s="5"/>
      <c r="U231" s="5"/>
      <c r="V231" s="5"/>
      <c r="W231" s="5"/>
    </row>
    <row r="232" ht="15.75" customHeight="1">
      <c r="A232" s="3">
        <f>IFERROR(__xludf.DUMMYFUNCTION("""COMPUTED_VALUE"""),232.0)</f>
        <v>232</v>
      </c>
      <c r="B232" s="53">
        <f>IFERROR(__xludf.DUMMYFUNCTION("""COMPUTED_VALUE"""),45398.0)</f>
        <v>45398</v>
      </c>
      <c r="C232" s="3">
        <f>IFERROR(__xludf.DUMMYFUNCTION("""COMPUTED_VALUE"""),108.0)</f>
        <v>108</v>
      </c>
      <c r="D232" s="3" t="str">
        <f>IFERROR(__xludf.DUMMYFUNCTION("""COMPUTED_VALUE"""),"1.145")</f>
        <v>1.145</v>
      </c>
      <c r="E232" s="54">
        <f>IFERROR(__xludf.DUMMYFUNCTION("""COMPUTED_VALUE"""),31000.0)</f>
        <v>31000</v>
      </c>
      <c r="F232" s="3" t="str">
        <f>IFERROR(__xludf.DUMMYFUNCTION("""COMPUTED_VALUE"""),"Malbec")</f>
        <v>Malbec</v>
      </c>
      <c r="G232" s="3"/>
      <c r="H232" s="56">
        <f>IFERROR(__xludf.DUMMYFUNCTION("""COMPUTED_VALUE"""),8.0)</f>
        <v>8</v>
      </c>
      <c r="I232" s="57">
        <f>IFERROR(__xludf.DUMMYFUNCTION("""COMPUTED_VALUE"""),0.45)</f>
        <v>0.45</v>
      </c>
      <c r="J232" s="3"/>
      <c r="K232" s="3"/>
      <c r="L232" s="54">
        <f>IFERROR(__xludf.DUMMYFUNCTION("""COMPUTED_VALUE"""),13.0)</f>
        <v>13</v>
      </c>
      <c r="M232" s="3"/>
      <c r="N232" s="3"/>
      <c r="O232" s="3"/>
      <c r="P232" s="3"/>
      <c r="Q232" s="3"/>
      <c r="R232" s="3"/>
      <c r="S232" s="3"/>
      <c r="T232" s="5"/>
      <c r="U232" s="5"/>
      <c r="V232" s="5"/>
      <c r="W232" s="5"/>
    </row>
    <row r="233" ht="15.75" customHeight="1">
      <c r="A233" s="3">
        <f>IFERROR(__xludf.DUMMYFUNCTION("""COMPUTED_VALUE"""),233.0)</f>
        <v>233</v>
      </c>
      <c r="B233" s="53">
        <f>IFERROR(__xludf.DUMMYFUNCTION("""COMPUTED_VALUE"""),45398.0)</f>
        <v>45398</v>
      </c>
      <c r="C233" s="3">
        <f>IFERROR(__xludf.DUMMYFUNCTION("""COMPUTED_VALUE"""),109.0)</f>
        <v>109</v>
      </c>
      <c r="D233" s="3" t="str">
        <f>IFERROR(__xludf.DUMMYFUNCTION("""COMPUTED_VALUE"""),"1.144")</f>
        <v>1.144</v>
      </c>
      <c r="E233" s="54">
        <f>IFERROR(__xludf.DUMMYFUNCTION("""COMPUTED_VALUE"""),10000.0)</f>
        <v>10000</v>
      </c>
      <c r="F233" s="3" t="str">
        <f>IFERROR(__xludf.DUMMYFUNCTION("""COMPUTED_VALUE"""),"Malbec P")</f>
        <v>Malbec P</v>
      </c>
      <c r="G233" s="3"/>
      <c r="H233" s="56">
        <f>IFERROR(__xludf.DUMMYFUNCTION("""COMPUTED_VALUE"""),13.5)</f>
        <v>13.5</v>
      </c>
      <c r="I233" s="57">
        <f>IFERROR(__xludf.DUMMYFUNCTION("""COMPUTED_VALUE"""),0.46)</f>
        <v>0.46</v>
      </c>
      <c r="J233" s="3"/>
      <c r="K233" s="3"/>
      <c r="L233" s="54">
        <f>IFERROR(__xludf.DUMMYFUNCTION("""COMPUTED_VALUE"""),12.0)</f>
        <v>12</v>
      </c>
      <c r="M233" s="3"/>
      <c r="N233" s="3"/>
      <c r="O233" s="3"/>
      <c r="P233" s="3"/>
      <c r="Q233" s="3"/>
      <c r="R233" s="3"/>
      <c r="S233" s="3"/>
      <c r="T233" s="5"/>
      <c r="U233" s="5"/>
      <c r="V233" s="5"/>
      <c r="W233" s="5"/>
    </row>
    <row r="234" ht="15.75" customHeight="1">
      <c r="A234" s="3">
        <f>IFERROR(__xludf.DUMMYFUNCTION("""COMPUTED_VALUE"""),234.0)</f>
        <v>234</v>
      </c>
      <c r="B234" s="53">
        <f>IFERROR(__xludf.DUMMYFUNCTION("""COMPUTED_VALUE"""),45398.0)</f>
        <v>45398</v>
      </c>
      <c r="C234" s="3">
        <f>IFERROR(__xludf.DUMMYFUNCTION("""COMPUTED_VALUE"""),110.0)</f>
        <v>110</v>
      </c>
      <c r="D234" s="3" t="str">
        <f>IFERROR(__xludf.DUMMYFUNCTION("""COMPUTED_VALUE"""),"1.146")</f>
        <v>1.146</v>
      </c>
      <c r="E234" s="54">
        <f>IFERROR(__xludf.DUMMYFUNCTION("""COMPUTED_VALUE"""),15000.0)</f>
        <v>15000</v>
      </c>
      <c r="F234" s="3" t="str">
        <f>IFERROR(__xludf.DUMMYFUNCTION("""COMPUTED_VALUE"""),"Bonarda P")</f>
        <v>Bonarda P</v>
      </c>
      <c r="G234" s="3"/>
      <c r="H234" s="56">
        <f>IFERROR(__xludf.DUMMYFUNCTION("""COMPUTED_VALUE"""),20.0)</f>
        <v>20</v>
      </c>
      <c r="I234" s="57">
        <f>IFERROR(__xludf.DUMMYFUNCTION("""COMPUTED_VALUE"""),0.48)</f>
        <v>0.48</v>
      </c>
      <c r="J234" s="3"/>
      <c r="K234" s="3"/>
      <c r="L234" s="54">
        <f>IFERROR(__xludf.DUMMYFUNCTION("""COMPUTED_VALUE"""),12.0)</f>
        <v>12</v>
      </c>
      <c r="M234" s="3"/>
      <c r="N234" s="3"/>
      <c r="O234" s="3"/>
      <c r="P234" s="3"/>
      <c r="Q234" s="3"/>
      <c r="R234" s="3"/>
      <c r="S234" s="3"/>
      <c r="T234" s="5"/>
      <c r="U234" s="5"/>
      <c r="V234" s="5"/>
      <c r="W234" s="5"/>
    </row>
    <row r="235" ht="15.75" customHeight="1">
      <c r="A235" s="3">
        <f>IFERROR(__xludf.DUMMYFUNCTION("""COMPUTED_VALUE"""),235.0)</f>
        <v>235</v>
      </c>
      <c r="B235" s="53">
        <f>IFERROR(__xludf.DUMMYFUNCTION("""COMPUTED_VALUE"""),45399.0)</f>
        <v>45399</v>
      </c>
      <c r="C235" s="3">
        <f>IFERROR(__xludf.DUMMYFUNCTION("""COMPUTED_VALUE"""),111.0)</f>
        <v>111</v>
      </c>
      <c r="D235" s="3" t="str">
        <f>IFERROR(__xludf.DUMMYFUNCTION("""COMPUTED_VALUE"""),"1.142")</f>
        <v>1.142</v>
      </c>
      <c r="E235" s="54">
        <f>IFERROR(__xludf.DUMMYFUNCTION("""COMPUTED_VALUE"""),4000.0)</f>
        <v>4000</v>
      </c>
      <c r="F235" s="3" t="str">
        <f>IFERROR(__xludf.DUMMYFUNCTION("""COMPUTED_VALUE"""),"Borra")</f>
        <v>Borra</v>
      </c>
      <c r="G235" s="55">
        <f>IFERROR(__xludf.DUMMYFUNCTION("""COMPUTED_VALUE"""),11.5)</f>
        <v>11.5</v>
      </c>
      <c r="H235" s="56">
        <f>IFERROR(__xludf.DUMMYFUNCTION("""COMPUTED_VALUE"""),2.0)</f>
        <v>2</v>
      </c>
      <c r="I235" s="57">
        <f>IFERROR(__xludf.DUMMYFUNCTION("""COMPUTED_VALUE"""),0.7)</f>
        <v>0.7</v>
      </c>
      <c r="J235" s="57">
        <f>IFERROR(__xludf.DUMMYFUNCTION("""COMPUTED_VALUE"""),5.35)</f>
        <v>5.35</v>
      </c>
      <c r="K235" s="3"/>
      <c r="L235" s="54">
        <f>IFERROR(__xludf.DUMMYFUNCTION("""COMPUTED_VALUE"""),35.0)</f>
        <v>35</v>
      </c>
      <c r="M235" s="3"/>
      <c r="N235" s="3"/>
      <c r="O235" s="3"/>
      <c r="P235" s="3"/>
      <c r="Q235" s="3"/>
      <c r="R235" s="3"/>
      <c r="S235" s="3"/>
      <c r="T235" s="5"/>
      <c r="U235" s="5"/>
      <c r="V235" s="5"/>
      <c r="W235" s="5"/>
    </row>
    <row r="236" ht="15.75" customHeight="1">
      <c r="A236" s="3">
        <f>IFERROR(__xludf.DUMMYFUNCTION("""COMPUTED_VALUE"""),236.0)</f>
        <v>236</v>
      </c>
      <c r="B236" s="53">
        <f>IFERROR(__xludf.DUMMYFUNCTION("""COMPUTED_VALUE"""),45399.0)</f>
        <v>45399</v>
      </c>
      <c r="C236" s="3">
        <f>IFERROR(__xludf.DUMMYFUNCTION("""COMPUTED_VALUE"""),126.0)</f>
        <v>126</v>
      </c>
      <c r="D236" s="3" t="str">
        <f>IFERROR(__xludf.DUMMYFUNCTION("""COMPUTED_VALUE"""),"1.156")</f>
        <v>1.156</v>
      </c>
      <c r="E236" s="54">
        <f>IFERROR(__xludf.DUMMYFUNCTION("""COMPUTED_VALUE"""),31000.0)</f>
        <v>31000</v>
      </c>
      <c r="F236" s="3" t="str">
        <f>IFERROR(__xludf.DUMMYFUNCTION("""COMPUTED_VALUE"""),"Tinto Recarga")</f>
        <v>Tinto Recarga</v>
      </c>
      <c r="G236" s="55">
        <f>IFERROR(__xludf.DUMMYFUNCTION("""COMPUTED_VALUE"""),13.4)</f>
        <v>13.4</v>
      </c>
      <c r="H236" s="56">
        <f>IFERROR(__xludf.DUMMYFUNCTION("""COMPUTED_VALUE"""),5.4)</f>
        <v>5.4</v>
      </c>
      <c r="I236" s="57">
        <f>IFERROR(__xludf.DUMMYFUNCTION("""COMPUTED_VALUE"""),0.53)</f>
        <v>0.53</v>
      </c>
      <c r="J236" s="3"/>
      <c r="K236" s="3"/>
      <c r="L236" s="54">
        <f>IFERROR(__xludf.DUMMYFUNCTION("""COMPUTED_VALUE"""),12.0)</f>
        <v>12</v>
      </c>
      <c r="M236" s="3"/>
      <c r="N236" s="3"/>
      <c r="O236" s="3"/>
      <c r="P236" s="3"/>
      <c r="Q236" s="3"/>
      <c r="R236" s="3"/>
      <c r="S236" s="3"/>
      <c r="T236" s="5"/>
      <c r="U236" s="5"/>
      <c r="V236" s="5"/>
      <c r="W236" s="5"/>
    </row>
    <row r="237" ht="15.75" customHeight="1">
      <c r="A237" s="3">
        <f>IFERROR(__xludf.DUMMYFUNCTION("""COMPUTED_VALUE"""),237.0)</f>
        <v>237</v>
      </c>
      <c r="B237" s="53">
        <f>IFERROR(__xludf.DUMMYFUNCTION("""COMPUTED_VALUE"""),45399.0)</f>
        <v>45399</v>
      </c>
      <c r="C237" s="3">
        <f>IFERROR(__xludf.DUMMYFUNCTION("""COMPUTED_VALUE"""),127.0)</f>
        <v>127</v>
      </c>
      <c r="D237" s="3" t="str">
        <f>IFERROR(__xludf.DUMMYFUNCTION("""COMPUTED_VALUE"""),"1.107")</f>
        <v>1.107</v>
      </c>
      <c r="E237" s="54">
        <f>IFERROR(__xludf.DUMMYFUNCTION("""COMPUTED_VALUE"""),31000.0)</f>
        <v>31000</v>
      </c>
      <c r="F237" s="3" t="str">
        <f>IFERROR(__xludf.DUMMYFUNCTION("""COMPUTED_VALUE"""),"Bonarda")</f>
        <v>Bonarda</v>
      </c>
      <c r="G237" s="55">
        <f>IFERROR(__xludf.DUMMYFUNCTION("""COMPUTED_VALUE"""),13.7)</f>
        <v>13.7</v>
      </c>
      <c r="H237" s="56">
        <f>IFERROR(__xludf.DUMMYFUNCTION("""COMPUTED_VALUE"""),6.75)</f>
        <v>6.75</v>
      </c>
      <c r="I237" s="57">
        <f>IFERROR(__xludf.DUMMYFUNCTION("""COMPUTED_VALUE"""),0.65)</f>
        <v>0.65</v>
      </c>
      <c r="J237" s="3"/>
      <c r="K237" s="3"/>
      <c r="L237" s="54">
        <f>IFERROR(__xludf.DUMMYFUNCTION("""COMPUTED_VALUE"""),15.0)</f>
        <v>15</v>
      </c>
      <c r="M237" s="3"/>
      <c r="N237" s="3"/>
      <c r="O237" s="3"/>
      <c r="P237" s="3"/>
      <c r="Q237" s="3"/>
      <c r="R237" s="3"/>
      <c r="S237" s="3"/>
      <c r="T237" s="5"/>
      <c r="U237" s="5"/>
      <c r="V237" s="5"/>
      <c r="W237" s="5"/>
    </row>
    <row r="238" ht="15.75" customHeight="1">
      <c r="A238" s="3">
        <f>IFERROR(__xludf.DUMMYFUNCTION("""COMPUTED_VALUE"""),238.0)</f>
        <v>238</v>
      </c>
      <c r="B238" s="53">
        <f>IFERROR(__xludf.DUMMYFUNCTION("""COMPUTED_VALUE"""),45399.0)</f>
        <v>45399</v>
      </c>
      <c r="C238" s="3">
        <f>IFERROR(__xludf.DUMMYFUNCTION("""COMPUTED_VALUE"""),935.0)</f>
        <v>935</v>
      </c>
      <c r="D238" s="3" t="str">
        <f>IFERROR(__xludf.DUMMYFUNCTION("""COMPUTED_VALUE"""),"1.155")</f>
        <v>1.155</v>
      </c>
      <c r="E238" s="54">
        <f>IFERROR(__xludf.DUMMYFUNCTION("""COMPUTED_VALUE"""),11200.0)</f>
        <v>11200</v>
      </c>
      <c r="F238" s="3" t="str">
        <f>IFERROR(__xludf.DUMMYFUNCTION("""COMPUTED_VALUE"""),"Tinto Recarga")</f>
        <v>Tinto Recarga</v>
      </c>
      <c r="G238" s="55">
        <f>IFERROR(__xludf.DUMMYFUNCTION("""COMPUTED_VALUE"""),13.7)</f>
        <v>13.7</v>
      </c>
      <c r="H238" s="56">
        <f>IFERROR(__xludf.DUMMYFUNCTION("""COMPUTED_VALUE"""),4.5)</f>
        <v>4.5</v>
      </c>
      <c r="I238" s="57">
        <f>IFERROR(__xludf.DUMMYFUNCTION("""COMPUTED_VALUE"""),0.49)</f>
        <v>0.49</v>
      </c>
      <c r="J238" s="3"/>
      <c r="K238" s="3"/>
      <c r="L238" s="54">
        <f>IFERROR(__xludf.DUMMYFUNCTION("""COMPUTED_VALUE"""),12.0)</f>
        <v>12</v>
      </c>
      <c r="M238" s="3"/>
      <c r="N238" s="3"/>
      <c r="O238" s="3"/>
      <c r="P238" s="3"/>
      <c r="Q238" s="3"/>
      <c r="R238" s="3"/>
      <c r="S238" s="3"/>
      <c r="T238" s="5"/>
      <c r="U238" s="5"/>
      <c r="V238" s="5"/>
      <c r="W238" s="5"/>
    </row>
    <row r="239" ht="15.75" customHeight="1">
      <c r="A239" s="3">
        <f>IFERROR(__xludf.DUMMYFUNCTION("""COMPUTED_VALUE"""),239.0)</f>
        <v>239</v>
      </c>
      <c r="B239" s="53">
        <f>IFERROR(__xludf.DUMMYFUNCTION("""COMPUTED_VALUE"""),45399.0)</f>
        <v>45399</v>
      </c>
      <c r="C239" s="3">
        <f>IFERROR(__xludf.DUMMYFUNCTION("""COMPUTED_VALUE"""),14.0)</f>
        <v>14</v>
      </c>
      <c r="D239" s="3" t="str">
        <f>IFERROR(__xludf.DUMMYFUNCTION("""COMPUTED_VALUE"""),"1.157")</f>
        <v>1.157</v>
      </c>
      <c r="E239" s="54">
        <f>IFERROR(__xludf.DUMMYFUNCTION("""COMPUTED_VALUE"""),12000.0)</f>
        <v>12000</v>
      </c>
      <c r="F239" s="3" t="str">
        <f>IFERROR(__xludf.DUMMYFUNCTION("""COMPUTED_VALUE"""),"Tinto Recarga")</f>
        <v>Tinto Recarga</v>
      </c>
      <c r="G239" s="55">
        <f>IFERROR(__xludf.DUMMYFUNCTION("""COMPUTED_VALUE"""),13.0)</f>
        <v>13</v>
      </c>
      <c r="H239" s="56">
        <f>IFERROR(__xludf.DUMMYFUNCTION("""COMPUTED_VALUE"""),4.0)</f>
        <v>4</v>
      </c>
      <c r="I239" s="57">
        <f>IFERROR(__xludf.DUMMYFUNCTION("""COMPUTED_VALUE"""),0.55)</f>
        <v>0.55</v>
      </c>
      <c r="J239" s="3"/>
      <c r="K239" s="3"/>
      <c r="L239" s="54">
        <f>IFERROR(__xludf.DUMMYFUNCTION("""COMPUTED_VALUE"""),50.0)</f>
        <v>50</v>
      </c>
      <c r="M239" s="3"/>
      <c r="N239" s="3"/>
      <c r="O239" s="3"/>
      <c r="P239" s="3"/>
      <c r="Q239" s="3"/>
      <c r="R239" s="3"/>
      <c r="S239" s="3"/>
      <c r="T239" s="5"/>
      <c r="U239" s="5"/>
      <c r="V239" s="5"/>
      <c r="W239" s="5"/>
    </row>
    <row r="240" ht="15.75" customHeight="1">
      <c r="A240" s="3">
        <f>IFERROR(__xludf.DUMMYFUNCTION("""COMPUTED_VALUE"""),240.0)</f>
        <v>240</v>
      </c>
      <c r="B240" s="53">
        <f>IFERROR(__xludf.DUMMYFUNCTION("""COMPUTED_VALUE"""),45399.0)</f>
        <v>45399</v>
      </c>
      <c r="C240" s="3">
        <f>IFERROR(__xludf.DUMMYFUNCTION("""COMPUTED_VALUE"""),40.0)</f>
        <v>40</v>
      </c>
      <c r="D240" s="3" t="str">
        <f>IFERROR(__xludf.DUMMYFUNCTION("""COMPUTED_VALUE"""),"1.139")</f>
        <v>1.139</v>
      </c>
      <c r="E240" s="54">
        <f>IFERROR(__xludf.DUMMYFUNCTION("""COMPUTED_VALUE"""),24000.0)</f>
        <v>24000</v>
      </c>
      <c r="F240" s="3" t="str">
        <f>IFERROR(__xludf.DUMMYFUNCTION("""COMPUTED_VALUE"""),"Bonarda")</f>
        <v>Bonarda</v>
      </c>
      <c r="G240" s="55">
        <f>IFERROR(__xludf.DUMMYFUNCTION("""COMPUTED_VALUE"""),13.0)</f>
        <v>13</v>
      </c>
      <c r="H240" s="56">
        <f>IFERROR(__xludf.DUMMYFUNCTION("""COMPUTED_VALUE"""),4.76)</f>
        <v>4.76</v>
      </c>
      <c r="I240" s="57">
        <f>IFERROR(__xludf.DUMMYFUNCTION("""COMPUTED_VALUE"""),0.4)</f>
        <v>0.4</v>
      </c>
      <c r="J240" s="3"/>
      <c r="K240" s="3"/>
      <c r="L240" s="54">
        <f>IFERROR(__xludf.DUMMYFUNCTION("""COMPUTED_VALUE"""),25.0)</f>
        <v>25</v>
      </c>
      <c r="M240" s="3"/>
      <c r="N240" s="3"/>
      <c r="O240" s="3"/>
      <c r="P240" s="3"/>
      <c r="Q240" s="3"/>
      <c r="R240" s="3"/>
      <c r="S240" s="3"/>
      <c r="T240" s="5"/>
      <c r="U240" s="5"/>
      <c r="V240" s="5"/>
      <c r="W240" s="5"/>
    </row>
    <row r="241" ht="15.75" customHeight="1">
      <c r="A241" s="3">
        <f>IFERROR(__xludf.DUMMYFUNCTION("""COMPUTED_VALUE"""),241.0)</f>
        <v>241</v>
      </c>
      <c r="B241" s="53">
        <f>IFERROR(__xludf.DUMMYFUNCTION("""COMPUTED_VALUE"""),45399.0)</f>
        <v>45399</v>
      </c>
      <c r="C241" s="3">
        <f>IFERROR(__xludf.DUMMYFUNCTION("""COMPUTED_VALUE"""),96.0)</f>
        <v>96</v>
      </c>
      <c r="D241" s="3" t="str">
        <f>IFERROR(__xludf.DUMMYFUNCTION("""COMPUTED_VALUE"""),"1.125")</f>
        <v>1.125</v>
      </c>
      <c r="E241" s="54">
        <f>IFERROR(__xludf.DUMMYFUNCTION("""COMPUTED_VALUE"""),53430.0)</f>
        <v>53430</v>
      </c>
      <c r="F241" s="3" t="str">
        <f>IFERROR(__xludf.DUMMYFUNCTION("""COMPUTED_VALUE"""),"Bonarda")</f>
        <v>Bonarda</v>
      </c>
      <c r="G241" s="55">
        <f>IFERROR(__xludf.DUMMYFUNCTION("""COMPUTED_VALUE"""),13.7)</f>
        <v>13.7</v>
      </c>
      <c r="H241" s="56">
        <f>IFERROR(__xludf.DUMMYFUNCTION("""COMPUTED_VALUE"""),2.4)</f>
        <v>2.4</v>
      </c>
      <c r="I241" s="57">
        <f>IFERROR(__xludf.DUMMYFUNCTION("""COMPUTED_VALUE"""),0.45)</f>
        <v>0.45</v>
      </c>
      <c r="J241" s="3"/>
      <c r="K241" s="3"/>
      <c r="L241" s="54">
        <f>IFERROR(__xludf.DUMMYFUNCTION("""COMPUTED_VALUE"""),30.0)</f>
        <v>30</v>
      </c>
      <c r="M241" s="3"/>
      <c r="N241" s="3"/>
      <c r="O241" s="3"/>
      <c r="P241" s="3"/>
      <c r="Q241" s="3"/>
      <c r="R241" s="3"/>
      <c r="S241" s="3"/>
      <c r="T241" s="5"/>
      <c r="U241" s="5"/>
      <c r="V241" s="5"/>
      <c r="W241" s="5"/>
    </row>
    <row r="242" ht="15.75" customHeight="1">
      <c r="A242" s="3">
        <f>IFERROR(__xludf.DUMMYFUNCTION("""COMPUTED_VALUE"""),242.0)</f>
        <v>242</v>
      </c>
      <c r="B242" s="53">
        <f>IFERROR(__xludf.DUMMYFUNCTION("""COMPUTED_VALUE"""),45399.0)</f>
        <v>45399</v>
      </c>
      <c r="C242" s="3">
        <f>IFERROR(__xludf.DUMMYFUNCTION("""COMPUTED_VALUE"""),95.0)</f>
        <v>95</v>
      </c>
      <c r="D242" s="3" t="str">
        <f>IFERROR(__xludf.DUMMYFUNCTION("""COMPUTED_VALUE"""),"1.170")</f>
        <v>1.170</v>
      </c>
      <c r="E242" s="54">
        <f>IFERROR(__xludf.DUMMYFUNCTION("""COMPUTED_VALUE"""),47000.0)</f>
        <v>47000</v>
      </c>
      <c r="F242" s="3" t="str">
        <f>IFERROR(__xludf.DUMMYFUNCTION("""COMPUTED_VALUE"""),"Tinto Recarga")</f>
        <v>Tinto Recarga</v>
      </c>
      <c r="G242" s="55">
        <f>IFERROR(__xludf.DUMMYFUNCTION("""COMPUTED_VALUE"""),13.8)</f>
        <v>13.8</v>
      </c>
      <c r="H242" s="56">
        <f>IFERROR(__xludf.DUMMYFUNCTION("""COMPUTED_VALUE"""),5.8)</f>
        <v>5.8</v>
      </c>
      <c r="I242" s="57">
        <f>IFERROR(__xludf.DUMMYFUNCTION("""COMPUTED_VALUE"""),0.4)</f>
        <v>0.4</v>
      </c>
      <c r="J242" s="3"/>
      <c r="K242" s="3"/>
      <c r="L242" s="54">
        <f>IFERROR(__xludf.DUMMYFUNCTION("""COMPUTED_VALUE"""),12.0)</f>
        <v>12</v>
      </c>
      <c r="M242" s="3"/>
      <c r="N242" s="3"/>
      <c r="O242" s="3"/>
      <c r="P242" s="3"/>
      <c r="Q242" s="3"/>
      <c r="R242" s="3"/>
      <c r="S242" s="3"/>
      <c r="T242" s="5"/>
      <c r="U242" s="5"/>
      <c r="V242" s="5"/>
      <c r="W242" s="5"/>
    </row>
    <row r="243" ht="15.75" customHeight="1">
      <c r="A243" s="3">
        <f>IFERROR(__xludf.DUMMYFUNCTION("""COMPUTED_VALUE"""),243.0)</f>
        <v>243</v>
      </c>
      <c r="B243" s="53">
        <f>IFERROR(__xludf.DUMMYFUNCTION("""COMPUTED_VALUE"""),45399.0)</f>
        <v>45399</v>
      </c>
      <c r="C243" s="3">
        <f>IFERROR(__xludf.DUMMYFUNCTION("""COMPUTED_VALUE"""),88.0)</f>
        <v>88</v>
      </c>
      <c r="D243" s="3" t="str">
        <f>IFERROR(__xludf.DUMMYFUNCTION("""COMPUTED_VALUE"""),"1.181")</f>
        <v>1.181</v>
      </c>
      <c r="E243" s="54">
        <f>IFERROR(__xludf.DUMMYFUNCTION("""COMPUTED_VALUE"""),6000.0)</f>
        <v>6000</v>
      </c>
      <c r="F243" s="3" t="str">
        <f>IFERROR(__xludf.DUMMYFUNCTION("""COMPUTED_VALUE"""),"Tinto Recarga")</f>
        <v>Tinto Recarga</v>
      </c>
      <c r="G243" s="55">
        <f>IFERROR(__xludf.DUMMYFUNCTION("""COMPUTED_VALUE"""),13.8)</f>
        <v>13.8</v>
      </c>
      <c r="H243" s="56">
        <f>IFERROR(__xludf.DUMMYFUNCTION("""COMPUTED_VALUE"""),2.9)</f>
        <v>2.9</v>
      </c>
      <c r="I243" s="57">
        <f>IFERROR(__xludf.DUMMYFUNCTION("""COMPUTED_VALUE"""),0.42)</f>
        <v>0.42</v>
      </c>
      <c r="J243" s="3"/>
      <c r="K243" s="3"/>
      <c r="L243" s="54">
        <f>IFERROR(__xludf.DUMMYFUNCTION("""COMPUTED_VALUE"""),13.0)</f>
        <v>13</v>
      </c>
      <c r="M243" s="3"/>
      <c r="N243" s="3"/>
      <c r="O243" s="3"/>
      <c r="P243" s="3"/>
      <c r="Q243" s="3"/>
      <c r="R243" s="3"/>
      <c r="S243" s="3"/>
      <c r="T243" s="5"/>
      <c r="U243" s="5"/>
      <c r="V243" s="5"/>
      <c r="W243" s="5"/>
    </row>
    <row r="244" ht="15.75" customHeight="1">
      <c r="A244" s="3">
        <f>IFERROR(__xludf.DUMMYFUNCTION("""COMPUTED_VALUE"""),244.0)</f>
        <v>244</v>
      </c>
      <c r="B244" s="53">
        <f>IFERROR(__xludf.DUMMYFUNCTION("""COMPUTED_VALUE"""),45400.0)</f>
        <v>45400</v>
      </c>
      <c r="C244" s="3">
        <f>IFERROR(__xludf.DUMMYFUNCTION("""COMPUTED_VALUE"""),85.0)</f>
        <v>85</v>
      </c>
      <c r="D244" s="3" t="str">
        <f>IFERROR(__xludf.DUMMYFUNCTION("""COMPUTED_VALUE"""),"1.179")</f>
        <v>1.179</v>
      </c>
      <c r="E244" s="54">
        <f>IFERROR(__xludf.DUMMYFUNCTION("""COMPUTED_VALUE"""),60000.0)</f>
        <v>60000</v>
      </c>
      <c r="F244" s="3" t="str">
        <f>IFERROR(__xludf.DUMMYFUNCTION("""COMPUTED_VALUE"""),"Bonarda")</f>
        <v>Bonarda</v>
      </c>
      <c r="G244" s="3"/>
      <c r="H244" s="56">
        <f>IFERROR(__xludf.DUMMYFUNCTION("""COMPUTED_VALUE"""),3.0)</f>
        <v>3</v>
      </c>
      <c r="I244" s="57">
        <f>IFERROR(__xludf.DUMMYFUNCTION("""COMPUTED_VALUE"""),0.5)</f>
        <v>0.5</v>
      </c>
      <c r="J244" s="3"/>
      <c r="K244" s="3"/>
      <c r="L244" s="54">
        <f>IFERROR(__xludf.DUMMYFUNCTION("""COMPUTED_VALUE"""),15.0)</f>
        <v>15</v>
      </c>
      <c r="M244" s="3"/>
      <c r="N244" s="3"/>
      <c r="O244" s="3"/>
      <c r="P244" s="3"/>
      <c r="Q244" s="3"/>
      <c r="R244" s="3"/>
      <c r="S244" s="3"/>
      <c r="T244" s="5"/>
      <c r="U244" s="5"/>
      <c r="V244" s="5"/>
      <c r="W244" s="5"/>
    </row>
    <row r="245" ht="15.75" customHeight="1">
      <c r="A245" s="3">
        <f>IFERROR(__xludf.DUMMYFUNCTION("""COMPUTED_VALUE"""),245.0)</f>
        <v>245</v>
      </c>
      <c r="B245" s="53">
        <f>IFERROR(__xludf.DUMMYFUNCTION("""COMPUTED_VALUE"""),45400.0)</f>
        <v>45400</v>
      </c>
      <c r="C245" s="3">
        <f>IFERROR(__xludf.DUMMYFUNCTION("""COMPUTED_VALUE"""),84.0)</f>
        <v>84</v>
      </c>
      <c r="D245" s="3" t="str">
        <f>IFERROR(__xludf.DUMMYFUNCTION("""COMPUTED_VALUE"""),"1.158")</f>
        <v>1.158</v>
      </c>
      <c r="E245" s="54">
        <f>IFERROR(__xludf.DUMMYFUNCTION("""COMPUTED_VALUE"""),29156.4)</f>
        <v>29156.4</v>
      </c>
      <c r="F245" s="3" t="str">
        <f>IFERROR(__xludf.DUMMYFUNCTION("""COMPUTED_VALUE"""),"Malbec")</f>
        <v>Malbec</v>
      </c>
      <c r="G245" s="55">
        <f>IFERROR(__xludf.DUMMYFUNCTION("""COMPUTED_VALUE"""),13.8)</f>
        <v>13.8</v>
      </c>
      <c r="H245" s="56">
        <f>IFERROR(__xludf.DUMMYFUNCTION("""COMPUTED_VALUE"""),3.52)</f>
        <v>3.52</v>
      </c>
      <c r="I245" s="57">
        <f>IFERROR(__xludf.DUMMYFUNCTION("""COMPUTED_VALUE"""),0.6)</f>
        <v>0.6</v>
      </c>
      <c r="J245" s="3"/>
      <c r="K245" s="3"/>
      <c r="L245" s="54">
        <f>IFERROR(__xludf.DUMMYFUNCTION("""COMPUTED_VALUE"""),19.0)</f>
        <v>19</v>
      </c>
      <c r="M245" s="3"/>
      <c r="N245" s="3"/>
      <c r="O245" s="3"/>
      <c r="P245" s="3"/>
      <c r="Q245" s="3"/>
      <c r="R245" s="3"/>
      <c r="S245" s="3"/>
      <c r="T245" s="5"/>
      <c r="U245" s="5"/>
      <c r="V245" s="5"/>
      <c r="W245" s="5"/>
    </row>
    <row r="246" ht="15.75" customHeight="1">
      <c r="A246" s="3">
        <f>IFERROR(__xludf.DUMMYFUNCTION("""COMPUTED_VALUE"""),246.0)</f>
        <v>246</v>
      </c>
      <c r="B246" s="53">
        <f>IFERROR(__xludf.DUMMYFUNCTION("""COMPUTED_VALUE"""),45400.0)</f>
        <v>45400</v>
      </c>
      <c r="C246" s="3">
        <f>IFERROR(__xludf.DUMMYFUNCTION("""COMPUTED_VALUE"""),67.0)</f>
        <v>67</v>
      </c>
      <c r="D246" s="3" t="str">
        <f>IFERROR(__xludf.DUMMYFUNCTION("""COMPUTED_VALUE"""),"1.161")</f>
        <v>1.161</v>
      </c>
      <c r="E246" s="54">
        <f>IFERROR(__xludf.DUMMYFUNCTION("""COMPUTED_VALUE"""),11497.2)</f>
        <v>11497.2</v>
      </c>
      <c r="F246" s="3" t="str">
        <f>IFERROR(__xludf.DUMMYFUNCTION("""COMPUTED_VALUE"""),"Cabernet")</f>
        <v>Cabernet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5"/>
      <c r="U246" s="5"/>
      <c r="V246" s="5"/>
      <c r="W246" s="5"/>
    </row>
    <row r="247" ht="15.75" customHeight="1">
      <c r="A247" s="3">
        <f>IFERROR(__xludf.DUMMYFUNCTION("""COMPUTED_VALUE"""),247.0)</f>
        <v>247</v>
      </c>
      <c r="B247" s="53">
        <f>IFERROR(__xludf.DUMMYFUNCTION("""COMPUTED_VALUE"""),45400.0)</f>
        <v>45400</v>
      </c>
      <c r="C247" s="3">
        <f>IFERROR(__xludf.DUMMYFUNCTION("""COMPUTED_VALUE"""),68.0)</f>
        <v>68</v>
      </c>
      <c r="D247" s="3" t="str">
        <f>IFERROR(__xludf.DUMMYFUNCTION("""COMPUTED_VALUE"""),"1.186")</f>
        <v>1.186</v>
      </c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5"/>
      <c r="U247" s="5"/>
      <c r="V247" s="5"/>
      <c r="W247" s="5"/>
    </row>
    <row r="248" ht="15.75" customHeight="1">
      <c r="A248" s="3">
        <f>IFERROR(__xludf.DUMMYFUNCTION("""COMPUTED_VALUE"""),248.0)</f>
        <v>248</v>
      </c>
      <c r="B248" s="53">
        <f>IFERROR(__xludf.DUMMYFUNCTION("""COMPUTED_VALUE"""),45400.0)</f>
        <v>45400</v>
      </c>
      <c r="C248" s="3">
        <f>IFERROR(__xludf.DUMMYFUNCTION("""COMPUTED_VALUE"""),77.0)</f>
        <v>77</v>
      </c>
      <c r="D248" s="3" t="str">
        <f>IFERROR(__xludf.DUMMYFUNCTION("""COMPUTED_VALUE"""),"1.150")</f>
        <v>1.150</v>
      </c>
      <c r="E248" s="54">
        <f>IFERROR(__xludf.DUMMYFUNCTION("""COMPUTED_VALUE"""),11700.0)</f>
        <v>11700</v>
      </c>
      <c r="F248" s="3" t="str">
        <f>IFERROR(__xludf.DUMMYFUNCTION("""COMPUTED_VALUE"""),"Malbec")</f>
        <v>Malbec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5"/>
      <c r="U248" s="5"/>
      <c r="V248" s="5"/>
      <c r="W248" s="5"/>
    </row>
    <row r="249" ht="15.75" customHeight="1">
      <c r="A249" s="3">
        <f>IFERROR(__xludf.DUMMYFUNCTION("""COMPUTED_VALUE"""),249.0)</f>
        <v>249</v>
      </c>
      <c r="B249" s="53">
        <f>IFERROR(__xludf.DUMMYFUNCTION("""COMPUTED_VALUE"""),45401.0)</f>
        <v>45401</v>
      </c>
      <c r="C249" s="3">
        <f>IFERROR(__xludf.DUMMYFUNCTION("""COMPUTED_VALUE"""),26.0)</f>
        <v>26</v>
      </c>
      <c r="D249" s="3" t="str">
        <f>IFERROR(__xludf.DUMMYFUNCTION("""COMPUTED_VALUE"""),"1.174")</f>
        <v>1.174</v>
      </c>
      <c r="E249" s="54">
        <f>IFERROR(__xludf.DUMMYFUNCTION("""COMPUTED_VALUE"""),102000.0)</f>
        <v>102000</v>
      </c>
      <c r="F249" s="3" t="str">
        <f>IFERROR(__xludf.DUMMYFUNCTION("""COMPUTED_VALUE"""),"Malbec")</f>
        <v>Malbec</v>
      </c>
      <c r="G249" s="3"/>
      <c r="H249" s="56">
        <f>IFERROR(__xludf.DUMMYFUNCTION("""COMPUTED_VALUE"""),6.42)</f>
        <v>6.42</v>
      </c>
      <c r="I249" s="57">
        <f>IFERROR(__xludf.DUMMYFUNCTION("""COMPUTED_VALUE"""),0.63)</f>
        <v>0.63</v>
      </c>
      <c r="J249" s="3"/>
      <c r="K249" s="3"/>
      <c r="L249" s="54">
        <f>IFERROR(__xludf.DUMMYFUNCTION("""COMPUTED_VALUE"""),12.0)</f>
        <v>12</v>
      </c>
      <c r="M249" s="3"/>
      <c r="N249" s="3"/>
      <c r="O249" s="3"/>
      <c r="P249" s="3"/>
      <c r="Q249" s="3"/>
      <c r="R249" s="3"/>
      <c r="S249" s="3"/>
      <c r="T249" s="5"/>
      <c r="U249" s="5"/>
      <c r="V249" s="5"/>
      <c r="W249" s="5"/>
    </row>
    <row r="250" ht="15.75" customHeight="1">
      <c r="A250" s="3">
        <f>IFERROR(__xludf.DUMMYFUNCTION("""COMPUTED_VALUE"""),250.0)</f>
        <v>250</v>
      </c>
      <c r="B250" s="53">
        <f>IFERROR(__xludf.DUMMYFUNCTION("""COMPUTED_VALUE"""),45399.0)</f>
        <v>45399</v>
      </c>
      <c r="C250" s="3">
        <f>IFERROR(__xludf.DUMMYFUNCTION("""COMPUTED_VALUE"""),50.0)</f>
        <v>50</v>
      </c>
      <c r="D250" s="3" t="str">
        <f>IFERROR(__xludf.DUMMYFUNCTION("""COMPUTED_VALUE"""),"1.141")</f>
        <v>1.141</v>
      </c>
      <c r="E250" s="54">
        <f>IFERROR(__xludf.DUMMYFUNCTION("""COMPUTED_VALUE"""),5100.0)</f>
        <v>5100</v>
      </c>
      <c r="F250" s="3" t="str">
        <f>IFERROR(__xludf.DUMMYFUNCTION("""COMPUTED_VALUE"""),"Tinto Despacho")</f>
        <v>Tinto Despacho</v>
      </c>
      <c r="G250" s="3"/>
      <c r="H250" s="3"/>
      <c r="I250" s="57">
        <f>IFERROR(__xludf.DUMMYFUNCTION("""COMPUTED_VALUE"""),0.65)</f>
        <v>0.65</v>
      </c>
      <c r="J250" s="3"/>
      <c r="K250" s="3"/>
      <c r="L250" s="54">
        <f>IFERROR(__xludf.DUMMYFUNCTION("""COMPUTED_VALUE"""),15.0)</f>
        <v>15</v>
      </c>
      <c r="M250" s="3"/>
      <c r="N250" s="3"/>
      <c r="O250" s="3"/>
      <c r="P250" s="3"/>
      <c r="Q250" s="3"/>
      <c r="R250" s="3"/>
      <c r="S250" s="3"/>
      <c r="T250" s="5"/>
      <c r="U250" s="5"/>
      <c r="V250" s="5"/>
      <c r="W250" s="5" t="str">
        <f>IFERROR(__xludf.DUMMYFUNCTION("""COMPUTED_VALUE"""),"se corrigió anhdirido a 50")</f>
        <v>se corrigió anhdirido a 50</v>
      </c>
    </row>
    <row r="251" ht="15.75" customHeight="1">
      <c r="A251" s="3">
        <f>IFERROR(__xludf.DUMMYFUNCTION("""COMPUTED_VALUE"""),251.0)</f>
        <v>251</v>
      </c>
      <c r="B251" s="53">
        <f>IFERROR(__xludf.DUMMYFUNCTION("""COMPUTED_VALUE"""),45401.0)</f>
        <v>45401</v>
      </c>
      <c r="C251" s="3">
        <f>IFERROR(__xludf.DUMMYFUNCTION("""COMPUTED_VALUE"""),71.0)</f>
        <v>71</v>
      </c>
      <c r="D251" s="3" t="str">
        <f>IFERROR(__xludf.DUMMYFUNCTION("""COMPUTED_VALUE"""),"1.134")</f>
        <v>1.134</v>
      </c>
      <c r="E251" s="54">
        <f>IFERROR(__xludf.DUMMYFUNCTION("""COMPUTED_VALUE"""),6000.0)</f>
        <v>6000</v>
      </c>
      <c r="F251" s="3" t="str">
        <f>IFERROR(__xludf.DUMMYFUNCTION("""COMPUTED_VALUE"""),"Borra")</f>
        <v>Borra</v>
      </c>
      <c r="G251" s="3"/>
      <c r="H251" s="3"/>
      <c r="I251" s="3"/>
      <c r="J251" s="3"/>
      <c r="K251" s="3"/>
      <c r="L251" s="54">
        <f>IFERROR(__xludf.DUMMYFUNCTION("""COMPUTED_VALUE"""),25.0)</f>
        <v>25</v>
      </c>
      <c r="M251" s="3"/>
      <c r="N251" s="3"/>
      <c r="O251" s="3"/>
      <c r="P251" s="3"/>
      <c r="Q251" s="3"/>
      <c r="R251" s="3"/>
      <c r="S251" s="3"/>
      <c r="T251" s="5"/>
      <c r="U251" s="5"/>
      <c r="V251" s="5"/>
      <c r="W251" s="5"/>
    </row>
    <row r="252" ht="15.75" customHeight="1">
      <c r="A252" s="3">
        <f>IFERROR(__xludf.DUMMYFUNCTION("""COMPUTED_VALUE"""),252.0)</f>
        <v>252</v>
      </c>
      <c r="B252" s="53">
        <f>IFERROR(__xludf.DUMMYFUNCTION("""COMPUTED_VALUE"""),45401.0)</f>
        <v>45401</v>
      </c>
      <c r="C252" s="3">
        <f>IFERROR(__xludf.DUMMYFUNCTION("""COMPUTED_VALUE"""),85.0)</f>
        <v>85</v>
      </c>
      <c r="D252" s="3" t="str">
        <f>IFERROR(__xludf.DUMMYFUNCTION("""COMPUTED_VALUE"""),"1.179")</f>
        <v>1.179</v>
      </c>
      <c r="E252" s="54">
        <f>IFERROR(__xludf.DUMMYFUNCTION("""COMPUTED_VALUE"""),60000.0)</f>
        <v>60000</v>
      </c>
      <c r="F252" s="3" t="str">
        <f>IFERROR(__xludf.DUMMYFUNCTION("""COMPUTED_VALUE"""),"Bonarda")</f>
        <v>Bonarda</v>
      </c>
      <c r="G252" s="3"/>
      <c r="H252" s="56">
        <f>IFERROR(__xludf.DUMMYFUNCTION("""COMPUTED_VALUE"""),2.99)</f>
        <v>2.99</v>
      </c>
      <c r="I252" s="57">
        <f>IFERROR(__xludf.DUMMYFUNCTION("""COMPUTED_VALUE"""),0.62)</f>
        <v>0.62</v>
      </c>
      <c r="J252" s="3"/>
      <c r="K252" s="3"/>
      <c r="L252" s="54">
        <f>IFERROR(__xludf.DUMMYFUNCTION("""COMPUTED_VALUE"""),24.0)</f>
        <v>24</v>
      </c>
      <c r="M252" s="3"/>
      <c r="N252" s="3"/>
      <c r="O252" s="3"/>
      <c r="P252" s="3"/>
      <c r="Q252" s="3"/>
      <c r="R252" s="3"/>
      <c r="S252" s="3"/>
      <c r="T252" s="5"/>
      <c r="U252" s="5"/>
      <c r="V252" s="5"/>
      <c r="W252" s="5"/>
    </row>
    <row r="253" ht="15.75" customHeight="1">
      <c r="A253" s="3">
        <f>IFERROR(__xludf.DUMMYFUNCTION("""COMPUTED_VALUE"""),253.0)</f>
        <v>253</v>
      </c>
      <c r="B253" s="53">
        <f>IFERROR(__xludf.DUMMYFUNCTION("""COMPUTED_VALUE"""),45401.0)</f>
        <v>45401</v>
      </c>
      <c r="C253" s="3">
        <f>IFERROR(__xludf.DUMMYFUNCTION("""COMPUTED_VALUE"""),66.0)</f>
        <v>66</v>
      </c>
      <c r="D253" s="3" t="str">
        <f>IFERROR(__xludf.DUMMYFUNCTION("""COMPUTED_VALUE"""),"1.168")</f>
        <v>1.168</v>
      </c>
      <c r="E253" s="54">
        <f>IFERROR(__xludf.DUMMYFUNCTION("""COMPUTED_VALUE"""),8252.4)</f>
        <v>8252.4</v>
      </c>
      <c r="F253" s="3" t="str">
        <f>IFERROR(__xludf.DUMMYFUNCTION("""COMPUTED_VALUE"""),"Malbec")</f>
        <v>Malbec</v>
      </c>
      <c r="G253" s="3"/>
      <c r="H253" s="56">
        <f>IFERROR(__xludf.DUMMYFUNCTION("""COMPUTED_VALUE"""),2.4)</f>
        <v>2.4</v>
      </c>
      <c r="I253" s="57">
        <f>IFERROR(__xludf.DUMMYFUNCTION("""COMPUTED_VALUE"""),0.54)</f>
        <v>0.54</v>
      </c>
      <c r="J253" s="3"/>
      <c r="K253" s="3"/>
      <c r="L253" s="54">
        <f>IFERROR(__xludf.DUMMYFUNCTION("""COMPUTED_VALUE"""),15.0)</f>
        <v>15</v>
      </c>
      <c r="M253" s="3"/>
      <c r="N253" s="3"/>
      <c r="O253" s="3"/>
      <c r="P253" s="3"/>
      <c r="Q253" s="3"/>
      <c r="R253" s="3"/>
      <c r="S253" s="3"/>
      <c r="T253" s="5"/>
      <c r="U253" s="5"/>
      <c r="V253" s="5"/>
      <c r="W253" s="5"/>
    </row>
    <row r="254" ht="15.75" customHeight="1">
      <c r="A254" s="3">
        <f>IFERROR(__xludf.DUMMYFUNCTION("""COMPUTED_VALUE"""),254.0)</f>
        <v>254</v>
      </c>
      <c r="B254" s="53">
        <f>IFERROR(__xludf.DUMMYFUNCTION("""COMPUTED_VALUE"""),45401.0)</f>
        <v>45401</v>
      </c>
      <c r="C254" s="3">
        <f>IFERROR(__xludf.DUMMYFUNCTION("""COMPUTED_VALUE"""),83.0)</f>
        <v>83</v>
      </c>
      <c r="D254" s="3" t="str">
        <f>IFERROR(__xludf.DUMMYFUNCTION("""COMPUTED_VALUE"""),"1.180")</f>
        <v>1.180</v>
      </c>
      <c r="E254" s="54">
        <f>IFERROR(__xludf.DUMMYFUNCTION("""COMPUTED_VALUE"""),20000.0)</f>
        <v>20000</v>
      </c>
      <c r="F254" s="3" t="str">
        <f>IFERROR(__xludf.DUMMYFUNCTION("""COMPUTED_VALUE"""),"Bonarda")</f>
        <v>Bonarda</v>
      </c>
      <c r="G254" s="3"/>
      <c r="H254" s="56">
        <f>IFERROR(__xludf.DUMMYFUNCTION("""COMPUTED_VALUE"""),9.0)</f>
        <v>9</v>
      </c>
      <c r="I254" s="57">
        <f>IFERROR(__xludf.DUMMYFUNCTION("""COMPUTED_VALUE"""),0.61)</f>
        <v>0.61</v>
      </c>
      <c r="J254" s="3"/>
      <c r="K254" s="3"/>
      <c r="L254" s="54">
        <f>IFERROR(__xludf.DUMMYFUNCTION("""COMPUTED_VALUE"""),25.0)</f>
        <v>25</v>
      </c>
      <c r="M254" s="3"/>
      <c r="N254" s="3"/>
      <c r="O254" s="3"/>
      <c r="P254" s="3"/>
      <c r="Q254" s="3"/>
      <c r="R254" s="3"/>
      <c r="S254" s="3"/>
      <c r="T254" s="5"/>
      <c r="U254" s="5"/>
      <c r="V254" s="5"/>
      <c r="W254" s="5"/>
    </row>
    <row r="255" ht="15.75" customHeight="1">
      <c r="A255" s="3">
        <f>IFERROR(__xludf.DUMMYFUNCTION("""COMPUTED_VALUE"""),255.0)</f>
        <v>255</v>
      </c>
      <c r="B255" s="53">
        <f>IFERROR(__xludf.DUMMYFUNCTION("""COMPUTED_VALUE"""),45401.0)</f>
        <v>45401</v>
      </c>
      <c r="C255" s="3">
        <f>IFERROR(__xludf.DUMMYFUNCTION("""COMPUTED_VALUE"""),77.0)</f>
        <v>77</v>
      </c>
      <c r="D255" s="3" t="str">
        <f>IFERROR(__xludf.DUMMYFUNCTION("""COMPUTED_VALUE"""),"1.150")</f>
        <v>1.150</v>
      </c>
      <c r="E255" s="54">
        <f>IFERROR(__xludf.DUMMYFUNCTION("""COMPUTED_VALUE"""),11700.0)</f>
        <v>11700</v>
      </c>
      <c r="F255" s="3" t="str">
        <f>IFERROR(__xludf.DUMMYFUNCTION("""COMPUTED_VALUE"""),"Malbec")</f>
        <v>Malbec</v>
      </c>
      <c r="G255" s="3"/>
      <c r="H255" s="56">
        <f>IFERROR(__xludf.DUMMYFUNCTION("""COMPUTED_VALUE"""),11.0)</f>
        <v>11</v>
      </c>
      <c r="I255" s="57">
        <f>IFERROR(__xludf.DUMMYFUNCTION("""COMPUTED_VALUE"""),0.5)</f>
        <v>0.5</v>
      </c>
      <c r="J255" s="3"/>
      <c r="K255" s="3"/>
      <c r="L255" s="54">
        <f>IFERROR(__xludf.DUMMYFUNCTION("""COMPUTED_VALUE"""),25.0)</f>
        <v>25</v>
      </c>
      <c r="M255" s="3"/>
      <c r="N255" s="3"/>
      <c r="O255" s="3"/>
      <c r="P255" s="3"/>
      <c r="Q255" s="3"/>
      <c r="R255" s="3"/>
      <c r="S255" s="3"/>
      <c r="T255" s="5"/>
      <c r="U255" s="5"/>
      <c r="V255" s="5"/>
      <c r="W255" s="5"/>
    </row>
    <row r="256" ht="15.75" customHeight="1">
      <c r="A256" s="3">
        <f>IFERROR(__xludf.DUMMYFUNCTION("""COMPUTED_VALUE"""),256.0)</f>
        <v>256</v>
      </c>
      <c r="B256" s="53">
        <f>IFERROR(__xludf.DUMMYFUNCTION("""COMPUTED_VALUE"""),45401.0)</f>
        <v>45401</v>
      </c>
      <c r="C256" s="3">
        <f>IFERROR(__xludf.DUMMYFUNCTION("""COMPUTED_VALUE"""),78.0)</f>
        <v>78</v>
      </c>
      <c r="D256" s="3" t="str">
        <f>IFERROR(__xludf.DUMMYFUNCTION("""COMPUTED_VALUE"""),"1.164")</f>
        <v>1.164</v>
      </c>
      <c r="E256" s="54">
        <f>IFERROR(__xludf.DUMMYFUNCTION("""COMPUTED_VALUE"""),13306.800000000001)</f>
        <v>13306.8</v>
      </c>
      <c r="F256" s="3" t="str">
        <f>IFERROR(__xludf.DUMMYFUNCTION("""COMPUTED_VALUE"""),"Malbec")</f>
        <v>Malbec</v>
      </c>
      <c r="G256" s="3"/>
      <c r="H256" s="56">
        <f>IFERROR(__xludf.DUMMYFUNCTION("""COMPUTED_VALUE"""),10.65)</f>
        <v>10.65</v>
      </c>
      <c r="I256" s="57">
        <f>IFERROR(__xludf.DUMMYFUNCTION("""COMPUTED_VALUE"""),0.68)</f>
        <v>0.68</v>
      </c>
      <c r="J256" s="3"/>
      <c r="K256" s="3"/>
      <c r="L256" s="54">
        <f>IFERROR(__xludf.DUMMYFUNCTION("""COMPUTED_VALUE"""),12.0)</f>
        <v>12</v>
      </c>
      <c r="M256" s="3"/>
      <c r="N256" s="3"/>
      <c r="O256" s="3"/>
      <c r="P256" s="3"/>
      <c r="Q256" s="3"/>
      <c r="R256" s="3"/>
      <c r="S256" s="3"/>
      <c r="T256" s="5"/>
      <c r="U256" s="5"/>
      <c r="V256" s="5"/>
      <c r="W256" s="5"/>
    </row>
    <row r="257" ht="15.75" customHeight="1">
      <c r="A257" s="3">
        <f>IFERROR(__xludf.DUMMYFUNCTION("""COMPUTED_VALUE"""),257.0)</f>
        <v>257</v>
      </c>
      <c r="B257" s="53">
        <f>IFERROR(__xludf.DUMMYFUNCTION("""COMPUTED_VALUE"""),45401.0)</f>
        <v>45401</v>
      </c>
      <c r="C257" s="3">
        <f>IFERROR(__xludf.DUMMYFUNCTION("""COMPUTED_VALUE"""),69.0)</f>
        <v>69</v>
      </c>
      <c r="D257" s="3" t="str">
        <f>IFERROR(__xludf.DUMMYFUNCTION("""COMPUTED_VALUE"""),"1.168")</f>
        <v>1.168</v>
      </c>
      <c r="E257" s="54">
        <f>IFERROR(__xludf.DUMMYFUNCTION("""COMPUTED_VALUE"""),8252.4)</f>
        <v>8252.4</v>
      </c>
      <c r="F257" s="3" t="str">
        <f>IFERROR(__xludf.DUMMYFUNCTION("""COMPUTED_VALUE"""),"Malbec")</f>
        <v>Malbec</v>
      </c>
      <c r="G257" s="3"/>
      <c r="H257" s="56">
        <f>IFERROR(__xludf.DUMMYFUNCTION("""COMPUTED_VALUE"""),11.0)</f>
        <v>11</v>
      </c>
      <c r="I257" s="57">
        <f>IFERROR(__xludf.DUMMYFUNCTION("""COMPUTED_VALUE"""),0.55)</f>
        <v>0.55</v>
      </c>
      <c r="J257" s="3"/>
      <c r="K257" s="3"/>
      <c r="L257" s="54">
        <f>IFERROR(__xludf.DUMMYFUNCTION("""COMPUTED_VALUE"""),20.0)</f>
        <v>20</v>
      </c>
      <c r="M257" s="3"/>
      <c r="N257" s="3"/>
      <c r="O257" s="3"/>
      <c r="P257" s="3"/>
      <c r="Q257" s="3"/>
      <c r="R257" s="3"/>
      <c r="S257" s="3"/>
      <c r="T257" s="5"/>
      <c r="U257" s="5"/>
      <c r="V257" s="5"/>
      <c r="W257" s="5"/>
    </row>
    <row r="258" ht="15.75" customHeight="1">
      <c r="A258" s="3">
        <f>IFERROR(__xludf.DUMMYFUNCTION("""COMPUTED_VALUE"""),258.0)</f>
        <v>258</v>
      </c>
      <c r="B258" s="53">
        <f>IFERROR(__xludf.DUMMYFUNCTION("""COMPUTED_VALUE"""),45401.0)</f>
        <v>45401</v>
      </c>
      <c r="C258" s="3">
        <f>IFERROR(__xludf.DUMMYFUNCTION("""COMPUTED_VALUE"""),67.0)</f>
        <v>67</v>
      </c>
      <c r="D258" s="3" t="str">
        <f>IFERROR(__xludf.DUMMYFUNCTION("""COMPUTED_VALUE"""),"1.161")</f>
        <v>1.161</v>
      </c>
      <c r="E258" s="54">
        <f>IFERROR(__xludf.DUMMYFUNCTION("""COMPUTED_VALUE"""),11497.2)</f>
        <v>11497.2</v>
      </c>
      <c r="F258" s="3" t="str">
        <f>IFERROR(__xludf.DUMMYFUNCTION("""COMPUTED_VALUE"""),"Cabernet")</f>
        <v>Cabernet</v>
      </c>
      <c r="G258" s="3"/>
      <c r="H258" s="56">
        <f>IFERROR(__xludf.DUMMYFUNCTION("""COMPUTED_VALUE"""),3.37)</f>
        <v>3.37</v>
      </c>
      <c r="I258" s="57">
        <f>IFERROR(__xludf.DUMMYFUNCTION("""COMPUTED_VALUE"""),0.65)</f>
        <v>0.65</v>
      </c>
      <c r="J258" s="3"/>
      <c r="K258" s="3"/>
      <c r="L258" s="54">
        <f>IFERROR(__xludf.DUMMYFUNCTION("""COMPUTED_VALUE"""),17.0)</f>
        <v>17</v>
      </c>
      <c r="M258" s="3"/>
      <c r="N258" s="3"/>
      <c r="O258" s="3"/>
      <c r="P258" s="3"/>
      <c r="Q258" s="3"/>
      <c r="R258" s="3"/>
      <c r="S258" s="3"/>
      <c r="T258" s="5"/>
      <c r="U258" s="5"/>
      <c r="V258" s="5"/>
      <c r="W258" s="5"/>
    </row>
    <row r="259" ht="15.75" customHeight="1">
      <c r="A259" s="3">
        <f>IFERROR(__xludf.DUMMYFUNCTION("""COMPUTED_VALUE"""),259.0)</f>
        <v>259</v>
      </c>
      <c r="B259" s="53">
        <f>IFERROR(__xludf.DUMMYFUNCTION("""COMPUTED_VALUE"""),45401.0)</f>
        <v>45401</v>
      </c>
      <c r="C259" s="3">
        <f>IFERROR(__xludf.DUMMYFUNCTION("""COMPUTED_VALUE"""),76.0)</f>
        <v>76</v>
      </c>
      <c r="D259" s="3" t="str">
        <f>IFERROR(__xludf.DUMMYFUNCTION("""COMPUTED_VALUE"""),"1.151")</f>
        <v>1.151</v>
      </c>
      <c r="E259" s="54">
        <f>IFERROR(__xludf.DUMMYFUNCTION("""COMPUTED_VALUE"""),11200.800000000001)</f>
        <v>11200.8</v>
      </c>
      <c r="F259" s="3" t="str">
        <f>IFERROR(__xludf.DUMMYFUNCTION("""COMPUTED_VALUE"""),"Cabernet")</f>
        <v>Cabernet</v>
      </c>
      <c r="G259" s="3"/>
      <c r="H259" s="56">
        <f>IFERROR(__xludf.DUMMYFUNCTION("""COMPUTED_VALUE"""),4.0)</f>
        <v>4</v>
      </c>
      <c r="I259" s="57">
        <f>IFERROR(__xludf.DUMMYFUNCTION("""COMPUTED_VALUE"""),0.5)</f>
        <v>0.5</v>
      </c>
      <c r="J259" s="3"/>
      <c r="K259" s="3"/>
      <c r="L259" s="54">
        <f>IFERROR(__xludf.DUMMYFUNCTION("""COMPUTED_VALUE"""),20.0)</f>
        <v>20</v>
      </c>
      <c r="M259" s="3"/>
      <c r="N259" s="3"/>
      <c r="O259" s="3"/>
      <c r="P259" s="3"/>
      <c r="Q259" s="3"/>
      <c r="R259" s="3"/>
      <c r="S259" s="3"/>
      <c r="T259" s="5"/>
      <c r="U259" s="5"/>
      <c r="V259" s="5"/>
      <c r="W259" s="5"/>
    </row>
    <row r="260" ht="15.75" customHeight="1">
      <c r="A260" s="3">
        <f>IFERROR(__xludf.DUMMYFUNCTION("""COMPUTED_VALUE"""),260.0)</f>
        <v>260</v>
      </c>
      <c r="B260" s="53">
        <f>IFERROR(__xludf.DUMMYFUNCTION("""COMPUTED_VALUE"""),45401.0)</f>
        <v>45401</v>
      </c>
      <c r="C260" s="3">
        <f>IFERROR(__xludf.DUMMYFUNCTION("""COMPUTED_VALUE"""),89.0)</f>
        <v>89</v>
      </c>
      <c r="D260" s="3" t="str">
        <f>IFERROR(__xludf.DUMMYFUNCTION("""COMPUTED_VALUE"""),"1.182")</f>
        <v>1.182</v>
      </c>
      <c r="E260" s="54">
        <f>IFERROR(__xludf.DUMMYFUNCTION("""COMPUTED_VALUE"""),6500.0)</f>
        <v>6500</v>
      </c>
      <c r="F260" s="3" t="str">
        <f>IFERROR(__xludf.DUMMYFUNCTION("""COMPUTED_VALUE"""),"Tinto Recarga")</f>
        <v>Tinto Recarga</v>
      </c>
      <c r="G260" s="3"/>
      <c r="H260" s="56">
        <f>IFERROR(__xludf.DUMMYFUNCTION("""COMPUTED_VALUE"""),2.0)</f>
        <v>2</v>
      </c>
      <c r="I260" s="57">
        <f>IFERROR(__xludf.DUMMYFUNCTION("""COMPUTED_VALUE"""),0.4)</f>
        <v>0.4</v>
      </c>
      <c r="J260" s="3"/>
      <c r="K260" s="3"/>
      <c r="L260" s="54">
        <f>IFERROR(__xludf.DUMMYFUNCTION("""COMPUTED_VALUE"""),13.0)</f>
        <v>13</v>
      </c>
      <c r="M260" s="3"/>
      <c r="N260" s="3"/>
      <c r="O260" s="3"/>
      <c r="P260" s="3"/>
      <c r="Q260" s="3"/>
      <c r="R260" s="3"/>
      <c r="S260" s="3"/>
      <c r="T260" s="5"/>
      <c r="U260" s="5"/>
      <c r="V260" s="5"/>
      <c r="W260" s="5"/>
    </row>
    <row r="261" ht="15.75" customHeight="1">
      <c r="A261" s="3">
        <f>IFERROR(__xludf.DUMMYFUNCTION("""COMPUTED_VALUE"""),261.0)</f>
        <v>261</v>
      </c>
      <c r="B261" s="53">
        <f>IFERROR(__xludf.DUMMYFUNCTION("""COMPUTED_VALUE"""),45401.0)</f>
        <v>45401</v>
      </c>
      <c r="C261" s="3">
        <f>IFERROR(__xludf.DUMMYFUNCTION("""COMPUTED_VALUE"""),68.0)</f>
        <v>68</v>
      </c>
      <c r="D261" s="3" t="str">
        <f>IFERROR(__xludf.DUMMYFUNCTION("""COMPUTED_VALUE"""),"1.186")</f>
        <v>1.186</v>
      </c>
      <c r="E261" s="54">
        <f>IFERROR(__xludf.DUMMYFUNCTION("""COMPUTED_VALUE"""),6676.8)</f>
        <v>6676.8</v>
      </c>
      <c r="F261" s="3" t="str">
        <f>IFERROR(__xludf.DUMMYFUNCTION("""COMPUTED_VALUE"""),"Cabernet")</f>
        <v>Cabernet</v>
      </c>
      <c r="G261" s="3"/>
      <c r="H261" s="56">
        <f>IFERROR(__xludf.DUMMYFUNCTION("""COMPUTED_VALUE"""),2.0)</f>
        <v>2</v>
      </c>
      <c r="I261" s="57">
        <f>IFERROR(__xludf.DUMMYFUNCTION("""COMPUTED_VALUE"""),0.57)</f>
        <v>0.57</v>
      </c>
      <c r="J261" s="3"/>
      <c r="K261" s="3"/>
      <c r="L261" s="54">
        <f>IFERROR(__xludf.DUMMYFUNCTION("""COMPUTED_VALUE"""),20.0)</f>
        <v>20</v>
      </c>
      <c r="M261" s="3"/>
      <c r="N261" s="3"/>
      <c r="O261" s="3"/>
      <c r="P261" s="3"/>
      <c r="Q261" s="3"/>
      <c r="R261" s="3"/>
      <c r="S261" s="3"/>
      <c r="T261" s="5"/>
      <c r="U261" s="5"/>
      <c r="V261" s="5"/>
      <c r="W261" s="5"/>
    </row>
    <row r="262" ht="15.75" customHeight="1">
      <c r="A262" s="3">
        <f>IFERROR(__xludf.DUMMYFUNCTION("""COMPUTED_VALUE"""),262.0)</f>
        <v>262</v>
      </c>
      <c r="B262" s="53">
        <f>IFERROR(__xludf.DUMMYFUNCTION("""COMPUTED_VALUE"""),45401.0)</f>
        <v>45401</v>
      </c>
      <c r="C262" s="3">
        <f>IFERROR(__xludf.DUMMYFUNCTION("""COMPUTED_VALUE"""),82.0)</f>
        <v>82</v>
      </c>
      <c r="D262" s="3" t="str">
        <f>IFERROR(__xludf.DUMMYFUNCTION("""COMPUTED_VALUE"""),"1.160")</f>
        <v>1.160</v>
      </c>
      <c r="E262" s="54">
        <f>IFERROR(__xludf.DUMMYFUNCTION("""COMPUTED_VALUE"""),21340.8)</f>
        <v>21340.8</v>
      </c>
      <c r="F262" s="3" t="str">
        <f>IFERROR(__xludf.DUMMYFUNCTION("""COMPUTED_VALUE"""),"Malbec")</f>
        <v>Malbec</v>
      </c>
      <c r="G262" s="3"/>
      <c r="H262" s="56">
        <f>IFERROR(__xludf.DUMMYFUNCTION("""COMPUTED_VALUE"""),4.76)</f>
        <v>4.76</v>
      </c>
      <c r="I262" s="57">
        <f>IFERROR(__xludf.DUMMYFUNCTION("""COMPUTED_VALUE"""),0.64)</f>
        <v>0.64</v>
      </c>
      <c r="J262" s="3"/>
      <c r="K262" s="3"/>
      <c r="L262" s="54">
        <f>IFERROR(__xludf.DUMMYFUNCTION("""COMPUTED_VALUE"""),17.0)</f>
        <v>17</v>
      </c>
      <c r="M262" s="3"/>
      <c r="N262" s="3"/>
      <c r="O262" s="3"/>
      <c r="P262" s="3"/>
      <c r="Q262" s="3"/>
      <c r="R262" s="3"/>
      <c r="S262" s="3"/>
      <c r="T262" s="5"/>
      <c r="U262" s="5"/>
      <c r="V262" s="5"/>
      <c r="W262" s="5"/>
    </row>
    <row r="263" ht="15.75" customHeight="1">
      <c r="A263" s="3">
        <f>IFERROR(__xludf.DUMMYFUNCTION("""COMPUTED_VALUE"""),263.0)</f>
        <v>263</v>
      </c>
      <c r="B263" s="53">
        <f>IFERROR(__xludf.DUMMYFUNCTION("""COMPUTED_VALUE"""),45401.0)</f>
        <v>45401</v>
      </c>
      <c r="C263" s="3">
        <f>IFERROR(__xludf.DUMMYFUNCTION("""COMPUTED_VALUE"""),90.0)</f>
        <v>90</v>
      </c>
      <c r="D263" s="3" t="str">
        <f>IFERROR(__xludf.DUMMYFUNCTION("""COMPUTED_VALUE"""),"1.177")</f>
        <v>1.177</v>
      </c>
      <c r="E263" s="54">
        <f>IFERROR(__xludf.DUMMYFUNCTION("""COMPUTED_VALUE"""),50000.0)</f>
        <v>50000</v>
      </c>
      <c r="F263" s="3" t="str">
        <f>IFERROR(__xludf.DUMMYFUNCTION("""COMPUTED_VALUE"""),"Tinto Recarga")</f>
        <v>Tinto Recarga</v>
      </c>
      <c r="G263" s="3"/>
      <c r="H263" s="56">
        <f>IFERROR(__xludf.DUMMYFUNCTION("""COMPUTED_VALUE"""),2.0)</f>
        <v>2</v>
      </c>
      <c r="I263" s="57">
        <f>IFERROR(__xludf.DUMMYFUNCTION("""COMPUTED_VALUE"""),0.45)</f>
        <v>0.45</v>
      </c>
      <c r="J263" s="3"/>
      <c r="K263" s="3"/>
      <c r="L263" s="54">
        <f>IFERROR(__xludf.DUMMYFUNCTION("""COMPUTED_VALUE"""),20.0)</f>
        <v>20</v>
      </c>
      <c r="M263" s="3"/>
      <c r="N263" s="3"/>
      <c r="O263" s="3"/>
      <c r="P263" s="3"/>
      <c r="Q263" s="3"/>
      <c r="R263" s="3"/>
      <c r="S263" s="3"/>
      <c r="T263" s="5"/>
      <c r="U263" s="5"/>
      <c r="V263" s="5"/>
      <c r="W263" s="5"/>
    </row>
    <row r="264" ht="15.75" customHeight="1">
      <c r="A264" s="3">
        <f>IFERROR(__xludf.DUMMYFUNCTION("""COMPUTED_VALUE"""),264.0)</f>
        <v>264</v>
      </c>
      <c r="B264" s="53">
        <f>IFERROR(__xludf.DUMMYFUNCTION("""COMPUTED_VALUE"""),45401.0)</f>
        <v>45401</v>
      </c>
      <c r="C264" s="3">
        <f>IFERROR(__xludf.DUMMYFUNCTION("""COMPUTED_VALUE"""),79.0)</f>
        <v>79</v>
      </c>
      <c r="D264" s="3" t="str">
        <f>IFERROR(__xludf.DUMMYFUNCTION("""COMPUTED_VALUE"""),"1.127")</f>
        <v>1.127</v>
      </c>
      <c r="E264" s="54">
        <f>IFERROR(__xludf.DUMMYFUNCTION("""COMPUTED_VALUE"""),15553.2)</f>
        <v>15553.2</v>
      </c>
      <c r="F264" s="3" t="str">
        <f>IFERROR(__xludf.DUMMYFUNCTION("""COMPUTED_VALUE"""),"Bonarda")</f>
        <v>Bonarda</v>
      </c>
      <c r="G264" s="3"/>
      <c r="H264" s="56">
        <f>IFERROR(__xludf.DUMMYFUNCTION("""COMPUTED_VALUE"""),2.0)</f>
        <v>2</v>
      </c>
      <c r="I264" s="57">
        <f>IFERROR(__xludf.DUMMYFUNCTION("""COMPUTED_VALUE"""),0.52)</f>
        <v>0.52</v>
      </c>
      <c r="J264" s="3"/>
      <c r="K264" s="3"/>
      <c r="L264" s="54">
        <f>IFERROR(__xludf.DUMMYFUNCTION("""COMPUTED_VALUE"""),13.0)</f>
        <v>13</v>
      </c>
      <c r="M264" s="3"/>
      <c r="N264" s="3"/>
      <c r="O264" s="3"/>
      <c r="P264" s="3"/>
      <c r="Q264" s="3"/>
      <c r="R264" s="3"/>
      <c r="S264" s="3"/>
      <c r="T264" s="5"/>
      <c r="U264" s="5"/>
      <c r="V264" s="5"/>
      <c r="W264" s="5"/>
    </row>
    <row r="265" ht="15.75" customHeight="1">
      <c r="A265" s="3">
        <f>IFERROR(__xludf.DUMMYFUNCTION("""COMPUTED_VALUE"""),265.0)</f>
        <v>265</v>
      </c>
      <c r="B265" s="53">
        <f>IFERROR(__xludf.DUMMYFUNCTION("""COMPUTED_VALUE"""),45402.0)</f>
        <v>45402</v>
      </c>
      <c r="C265" s="3">
        <f>IFERROR(__xludf.DUMMYFUNCTION("""COMPUTED_VALUE"""),86.0)</f>
        <v>86</v>
      </c>
      <c r="D265" s="3" t="str">
        <f>IFERROR(__xludf.DUMMYFUNCTION("""COMPUTED_VALUE"""),"1.171")</f>
        <v>1.171</v>
      </c>
      <c r="E265" s="54">
        <f>IFERROR(__xludf.DUMMYFUNCTION("""COMPUTED_VALUE"""),55000.0)</f>
        <v>55000</v>
      </c>
      <c r="F265" s="3" t="str">
        <f>IFERROR(__xludf.DUMMYFUNCTION("""COMPUTED_VALUE"""),"Tinto Recarga")</f>
        <v>Tinto Recarga</v>
      </c>
      <c r="G265" s="3"/>
      <c r="H265" s="56">
        <f>IFERROR(__xludf.DUMMYFUNCTION("""COMPUTED_VALUE"""),5.8)</f>
        <v>5.8</v>
      </c>
      <c r="I265" s="57">
        <f>IFERROR(__xludf.DUMMYFUNCTION("""COMPUTED_VALUE"""),0.54)</f>
        <v>0.54</v>
      </c>
      <c r="J265" s="3"/>
      <c r="K265" s="3"/>
      <c r="L265" s="54">
        <f>IFERROR(__xludf.DUMMYFUNCTION("""COMPUTED_VALUE"""),12.0)</f>
        <v>12</v>
      </c>
      <c r="M265" s="3"/>
      <c r="N265" s="3"/>
      <c r="O265" s="3"/>
      <c r="P265" s="3"/>
      <c r="Q265" s="3"/>
      <c r="R265" s="3"/>
      <c r="S265" s="3"/>
      <c r="T265" s="5"/>
      <c r="U265" s="5"/>
      <c r="V265" s="5"/>
      <c r="W265" s="5"/>
    </row>
    <row r="266" ht="15.75" customHeight="1">
      <c r="A266" s="3">
        <f>IFERROR(__xludf.DUMMYFUNCTION("""COMPUTED_VALUE"""),266.0)</f>
        <v>266</v>
      </c>
      <c r="B266" s="53">
        <f>IFERROR(__xludf.DUMMYFUNCTION("""COMPUTED_VALUE"""),45402.0)</f>
        <v>45402</v>
      </c>
      <c r="C266" s="3">
        <f>IFERROR(__xludf.DUMMYFUNCTION("""COMPUTED_VALUE"""),88.0)</f>
        <v>88</v>
      </c>
      <c r="D266" s="3" t="str">
        <f>IFERROR(__xludf.DUMMYFUNCTION("""COMPUTED_VALUE"""),"1.181")</f>
        <v>1.181</v>
      </c>
      <c r="E266" s="54">
        <f>IFERROR(__xludf.DUMMYFUNCTION("""COMPUTED_VALUE"""),6000.0)</f>
        <v>6000</v>
      </c>
      <c r="F266" s="3" t="str">
        <f>IFERROR(__xludf.DUMMYFUNCTION("""COMPUTED_VALUE"""),"Tinto Recarga")</f>
        <v>Tinto Recarga</v>
      </c>
      <c r="G266" s="3"/>
      <c r="H266" s="56">
        <f>IFERROR(__xludf.DUMMYFUNCTION("""COMPUTED_VALUE"""),2.0)</f>
        <v>2</v>
      </c>
      <c r="I266" s="57">
        <f>IFERROR(__xludf.DUMMYFUNCTION("""COMPUTED_VALUE"""),0.45)</f>
        <v>0.45</v>
      </c>
      <c r="J266" s="3"/>
      <c r="K266" s="3"/>
      <c r="L266" s="54">
        <f>IFERROR(__xludf.DUMMYFUNCTION("""COMPUTED_VALUE"""),15.0)</f>
        <v>15</v>
      </c>
      <c r="M266" s="3"/>
      <c r="N266" s="3"/>
      <c r="O266" s="3"/>
      <c r="P266" s="3"/>
      <c r="Q266" s="3"/>
      <c r="R266" s="3"/>
      <c r="S266" s="3"/>
      <c r="T266" s="5"/>
      <c r="U266" s="5"/>
      <c r="V266" s="5"/>
      <c r="W266" s="5"/>
    </row>
    <row r="267" ht="15.75" customHeight="1">
      <c r="A267" s="3">
        <f>IFERROR(__xludf.DUMMYFUNCTION("""COMPUTED_VALUE"""),267.0)</f>
        <v>267</v>
      </c>
      <c r="B267" s="53">
        <f>IFERROR(__xludf.DUMMYFUNCTION("""COMPUTED_VALUE"""),45402.0)</f>
        <v>45402</v>
      </c>
      <c r="C267" s="3">
        <f>IFERROR(__xludf.DUMMYFUNCTION("""COMPUTED_VALUE"""),92.0)</f>
        <v>92</v>
      </c>
      <c r="D267" s="3" t="str">
        <f>IFERROR(__xludf.DUMMYFUNCTION("""COMPUTED_VALUE"""),"1.167")</f>
        <v>1.167</v>
      </c>
      <c r="E267" s="54">
        <f>IFERROR(__xludf.DUMMYFUNCTION("""COMPUTED_VALUE"""),29577.600000000002)</f>
        <v>29577.6</v>
      </c>
      <c r="F267" s="3" t="str">
        <f>IFERROR(__xludf.DUMMYFUNCTION("""COMPUTED_VALUE"""),"Cabernet")</f>
        <v>Cabernet</v>
      </c>
      <c r="G267" s="55">
        <f>IFERROR(__xludf.DUMMYFUNCTION("""COMPUTED_VALUE"""),13.0)</f>
        <v>13</v>
      </c>
      <c r="H267" s="56">
        <f>IFERROR(__xludf.DUMMYFUNCTION("""COMPUTED_VALUE"""),2.8)</f>
        <v>2.8</v>
      </c>
      <c r="I267" s="57">
        <f>IFERROR(__xludf.DUMMYFUNCTION("""COMPUTED_VALUE"""),0.45)</f>
        <v>0.45</v>
      </c>
      <c r="J267" s="3"/>
      <c r="K267" s="3"/>
      <c r="L267" s="54">
        <f>IFERROR(__xludf.DUMMYFUNCTION("""COMPUTED_VALUE"""),19.0)</f>
        <v>19</v>
      </c>
      <c r="M267" s="3"/>
      <c r="N267" s="3"/>
      <c r="O267" s="3"/>
      <c r="P267" s="3"/>
      <c r="Q267" s="3"/>
      <c r="R267" s="3"/>
      <c r="S267" s="3"/>
      <c r="T267" s="5"/>
      <c r="U267" s="5"/>
      <c r="V267" s="5"/>
      <c r="W267" s="5"/>
    </row>
    <row r="268" ht="15.75" customHeight="1">
      <c r="A268" s="3">
        <f>IFERROR(__xludf.DUMMYFUNCTION("""COMPUTED_VALUE"""),268.0)</f>
        <v>268</v>
      </c>
      <c r="B268" s="53">
        <f>IFERROR(__xludf.DUMMYFUNCTION("""COMPUTED_VALUE"""),45402.0)</f>
        <v>45402</v>
      </c>
      <c r="C268" s="3">
        <f>IFERROR(__xludf.DUMMYFUNCTION("""COMPUTED_VALUE"""),25.0)</f>
        <v>25</v>
      </c>
      <c r="D268" s="3" t="str">
        <f>IFERROR(__xludf.DUMMYFUNCTION("""COMPUTED_VALUE"""),"1.133")</f>
        <v>1.133</v>
      </c>
      <c r="E268" s="54">
        <f>IFERROR(__xludf.DUMMYFUNCTION("""COMPUTED_VALUE"""),194300.0)</f>
        <v>194300</v>
      </c>
      <c r="F268" s="3" t="str">
        <f>IFERROR(__xludf.DUMMYFUNCTION("""COMPUTED_VALUE"""),"Syrah")</f>
        <v>Syrah</v>
      </c>
      <c r="G268" s="3"/>
      <c r="H268" s="3"/>
      <c r="I268" s="3"/>
      <c r="J268" s="3"/>
      <c r="K268" s="3"/>
      <c r="L268" s="3"/>
      <c r="M268" s="3"/>
      <c r="N268" s="3"/>
      <c r="O268" s="3">
        <f>IFERROR(__xludf.DUMMYFUNCTION("""COMPUTED_VALUE"""),275.0)</f>
        <v>275</v>
      </c>
      <c r="P268" s="3">
        <f>IFERROR(__xludf.DUMMYFUNCTION("""COMPUTED_VALUE"""),436.0)</f>
        <v>436</v>
      </c>
      <c r="Q268" s="3"/>
      <c r="R268" s="3">
        <f>IFERROR(__xludf.DUMMYFUNCTION("""COMPUTED_VALUE"""),711.0)</f>
        <v>711</v>
      </c>
      <c r="S268" s="54">
        <f>IFERROR(__xludf.DUMMYFUNCTION("""COMPUTED_VALUE"""),1127.2581818181818)</f>
        <v>1127.258182</v>
      </c>
      <c r="T268" s="5"/>
      <c r="U268" s="5"/>
      <c r="V268" s="5"/>
      <c r="W268" s="5"/>
    </row>
    <row r="269" ht="15.75" customHeight="1">
      <c r="A269" s="3">
        <f>IFERROR(__xludf.DUMMYFUNCTION("""COMPUTED_VALUE"""),269.0)</f>
        <v>269</v>
      </c>
      <c r="B269" s="53">
        <f>IFERROR(__xludf.DUMMYFUNCTION("""COMPUTED_VALUE"""),44671.0)</f>
        <v>44671</v>
      </c>
      <c r="C269" s="3">
        <f>IFERROR(__xludf.DUMMYFUNCTION("""COMPUTED_VALUE"""),102.0)</f>
        <v>102</v>
      </c>
      <c r="D269" s="3" t="str">
        <f>IFERROR(__xludf.DUMMYFUNCTION("""COMPUTED_VALUE"""),"1.128")</f>
        <v>1.128</v>
      </c>
      <c r="E269" s="54">
        <f>IFERROR(__xludf.DUMMYFUNCTION("""COMPUTED_VALUE"""),31000.0)</f>
        <v>31000</v>
      </c>
      <c r="F269" s="3" t="str">
        <f>IFERROR(__xludf.DUMMYFUNCTION("""COMPUTED_VALUE"""),"Tinto Rec")</f>
        <v>Tinto Rec</v>
      </c>
      <c r="G269" s="3"/>
      <c r="H269" s="56">
        <f>IFERROR(__xludf.DUMMYFUNCTION("""COMPUTED_VALUE"""),15.0)</f>
        <v>15</v>
      </c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5"/>
      <c r="U269" s="5"/>
      <c r="V269" s="5"/>
      <c r="W269" s="5"/>
    </row>
    <row r="270" ht="15.75" customHeight="1">
      <c r="A270" s="3">
        <f>IFERROR(__xludf.DUMMYFUNCTION("""COMPUTED_VALUE"""),270.0)</f>
        <v>270</v>
      </c>
      <c r="B270" s="53">
        <f>IFERROR(__xludf.DUMMYFUNCTION("""COMPUTED_VALUE"""),45404.0)</f>
        <v>45404</v>
      </c>
      <c r="C270" s="3">
        <f>IFERROR(__xludf.DUMMYFUNCTION("""COMPUTED_VALUE"""),104.0)</f>
        <v>104</v>
      </c>
      <c r="D270" s="3" t="str">
        <f>IFERROR(__xludf.DUMMYFUNCTION("""COMPUTED_VALUE"""),"1.143")</f>
        <v>1.143</v>
      </c>
      <c r="E270" s="54">
        <f>IFERROR(__xludf.DUMMYFUNCTION("""COMPUTED_VALUE"""),12000.0)</f>
        <v>12000</v>
      </c>
      <c r="F270" s="3" t="str">
        <f>IFERROR(__xludf.DUMMYFUNCTION("""COMPUTED_VALUE"""),"Tinto Recarga")</f>
        <v>Tinto Recarga</v>
      </c>
      <c r="G270" s="3"/>
      <c r="H270" s="56">
        <f>IFERROR(__xludf.DUMMYFUNCTION("""COMPUTED_VALUE"""),8.1)</f>
        <v>8.1</v>
      </c>
      <c r="I270" s="57">
        <f>IFERROR(__xludf.DUMMYFUNCTION("""COMPUTED_VALUE"""),0.55)</f>
        <v>0.55</v>
      </c>
      <c r="J270" s="3"/>
      <c r="K270" s="3"/>
      <c r="L270" s="54">
        <f>IFERROR(__xludf.DUMMYFUNCTION("""COMPUTED_VALUE"""),20.0)</f>
        <v>20</v>
      </c>
      <c r="M270" s="3"/>
      <c r="N270" s="3"/>
      <c r="O270" s="3"/>
      <c r="P270" s="3"/>
      <c r="Q270" s="3"/>
      <c r="R270" s="3"/>
      <c r="S270" s="3"/>
      <c r="T270" s="5"/>
      <c r="U270" s="5"/>
      <c r="V270" s="5"/>
      <c r="W270" s="5"/>
    </row>
    <row r="271" ht="15.75" customHeight="1">
      <c r="A271" s="3">
        <f>IFERROR(__xludf.DUMMYFUNCTION("""COMPUTED_VALUE"""),271.0)</f>
        <v>271</v>
      </c>
      <c r="B271" s="53">
        <f>IFERROR(__xludf.DUMMYFUNCTION("""COMPUTED_VALUE"""),45404.0)</f>
        <v>45404</v>
      </c>
      <c r="C271" s="3">
        <f>IFERROR(__xludf.DUMMYFUNCTION("""COMPUTED_VALUE"""),105.0)</f>
        <v>105</v>
      </c>
      <c r="D271" s="3" t="str">
        <f>IFERROR(__xludf.DUMMYFUNCTION("""COMPUTED_VALUE"""),"1.124")</f>
        <v>1.124</v>
      </c>
      <c r="E271" s="54">
        <f>IFERROR(__xludf.DUMMYFUNCTION("""COMPUTED_VALUE"""),31000.0)</f>
        <v>31000</v>
      </c>
      <c r="F271" s="3" t="str">
        <f>IFERROR(__xludf.DUMMYFUNCTION("""COMPUTED_VALUE"""),"Bonarda G")</f>
        <v>Bonarda G</v>
      </c>
      <c r="G271" s="3"/>
      <c r="H271" s="56">
        <f>IFERROR(__xludf.DUMMYFUNCTION("""COMPUTED_VALUE"""),16.2)</f>
        <v>16.2</v>
      </c>
      <c r="I271" s="57">
        <f>IFERROR(__xludf.DUMMYFUNCTION("""COMPUTED_VALUE"""),0.53)</f>
        <v>0.53</v>
      </c>
      <c r="J271" s="3"/>
      <c r="K271" s="3"/>
      <c r="L271" s="54">
        <f>IFERROR(__xludf.DUMMYFUNCTION("""COMPUTED_VALUE"""),20.0)</f>
        <v>20</v>
      </c>
      <c r="M271" s="3"/>
      <c r="N271" s="3"/>
      <c r="O271" s="3"/>
      <c r="P271" s="3"/>
      <c r="Q271" s="3"/>
      <c r="R271" s="3"/>
      <c r="S271" s="3"/>
      <c r="T271" s="5"/>
      <c r="U271" s="5"/>
      <c r="V271" s="5"/>
      <c r="W271" s="5"/>
    </row>
    <row r="272" ht="15.75" customHeight="1">
      <c r="A272" s="3">
        <f>IFERROR(__xludf.DUMMYFUNCTION("""COMPUTED_VALUE"""),272.0)</f>
        <v>272</v>
      </c>
      <c r="B272" s="53">
        <f>IFERROR(__xludf.DUMMYFUNCTION("""COMPUTED_VALUE"""),45404.0)</f>
        <v>45404</v>
      </c>
      <c r="C272" s="3">
        <f>IFERROR(__xludf.DUMMYFUNCTION("""COMPUTED_VALUE"""),106.0)</f>
        <v>106</v>
      </c>
      <c r="D272" s="3" t="str">
        <f>IFERROR(__xludf.DUMMYFUNCTION("""COMPUTED_VALUE"""),"1.147")</f>
        <v>1.147</v>
      </c>
      <c r="E272" s="54">
        <f>IFERROR(__xludf.DUMMYFUNCTION("""COMPUTED_VALUE"""),11000.0)</f>
        <v>11000</v>
      </c>
      <c r="F272" s="3" t="str">
        <f>IFERROR(__xludf.DUMMYFUNCTION("""COMPUTED_VALUE"""),"Tinto Recarga")</f>
        <v>Tinto Recarga</v>
      </c>
      <c r="G272" s="3"/>
      <c r="H272" s="56">
        <f>IFERROR(__xludf.DUMMYFUNCTION("""COMPUTED_VALUE"""),15.576923076923077)</f>
        <v>15.57692308</v>
      </c>
      <c r="I272" s="57">
        <f>IFERROR(__xludf.DUMMYFUNCTION("""COMPUTED_VALUE"""),0.52)</f>
        <v>0.52</v>
      </c>
      <c r="J272" s="3"/>
      <c r="K272" s="3"/>
      <c r="L272" s="54">
        <f>IFERROR(__xludf.DUMMYFUNCTION("""COMPUTED_VALUE"""),21.0)</f>
        <v>21</v>
      </c>
      <c r="M272" s="3"/>
      <c r="N272" s="3"/>
      <c r="O272" s="3"/>
      <c r="P272" s="3"/>
      <c r="Q272" s="3"/>
      <c r="R272" s="3"/>
      <c r="S272" s="3"/>
      <c r="T272" s="5"/>
      <c r="U272" s="5"/>
      <c r="V272" s="5"/>
      <c r="W272" s="5"/>
    </row>
    <row r="273" ht="15.75" customHeight="1">
      <c r="A273" s="3">
        <f>IFERROR(__xludf.DUMMYFUNCTION("""COMPUTED_VALUE"""),273.0)</f>
        <v>273</v>
      </c>
      <c r="B273" s="53">
        <f>IFERROR(__xludf.DUMMYFUNCTION("""COMPUTED_VALUE"""),45404.0)</f>
        <v>45404</v>
      </c>
      <c r="C273" s="3">
        <f>IFERROR(__xludf.DUMMYFUNCTION("""COMPUTED_VALUE"""),109.0)</f>
        <v>109</v>
      </c>
      <c r="D273" s="3" t="str">
        <f>IFERROR(__xludf.DUMMYFUNCTION("""COMPUTED_VALUE"""),"1.144")</f>
        <v>1.144</v>
      </c>
      <c r="E273" s="54">
        <f>IFERROR(__xludf.DUMMYFUNCTION("""COMPUTED_VALUE"""),10000.0)</f>
        <v>10000</v>
      </c>
      <c r="F273" s="3" t="str">
        <f>IFERROR(__xludf.DUMMYFUNCTION("""COMPUTED_VALUE"""),"Malbec P")</f>
        <v>Malbec P</v>
      </c>
      <c r="G273" s="3"/>
      <c r="H273" s="56">
        <f>IFERROR(__xludf.DUMMYFUNCTION("""COMPUTED_VALUE"""),2.0)</f>
        <v>2</v>
      </c>
      <c r="I273" s="57">
        <f>IFERROR(__xludf.DUMMYFUNCTION("""COMPUTED_VALUE"""),0.63)</f>
        <v>0.63</v>
      </c>
      <c r="J273" s="3"/>
      <c r="K273" s="3"/>
      <c r="L273" s="54">
        <f>IFERROR(__xludf.DUMMYFUNCTION("""COMPUTED_VALUE"""),19.0)</f>
        <v>19</v>
      </c>
      <c r="M273" s="3"/>
      <c r="N273" s="3"/>
      <c r="O273" s="3"/>
      <c r="P273" s="3"/>
      <c r="Q273" s="3"/>
      <c r="R273" s="3"/>
      <c r="S273" s="3"/>
      <c r="T273" s="5"/>
      <c r="U273" s="5"/>
      <c r="V273" s="5"/>
      <c r="W273" s="5"/>
    </row>
    <row r="274" ht="15.75" customHeight="1">
      <c r="A274" s="3">
        <f>IFERROR(__xludf.DUMMYFUNCTION("""COMPUTED_VALUE"""),274.0)</f>
        <v>274</v>
      </c>
      <c r="B274" s="53">
        <f>IFERROR(__xludf.DUMMYFUNCTION("""COMPUTED_VALUE"""),45404.0)</f>
        <v>45404</v>
      </c>
      <c r="C274" s="3">
        <f>IFERROR(__xludf.DUMMYFUNCTION("""COMPUTED_VALUE"""),110.0)</f>
        <v>110</v>
      </c>
      <c r="D274" s="3" t="str">
        <f>IFERROR(__xludf.DUMMYFUNCTION("""COMPUTED_VALUE"""),"1.146")</f>
        <v>1.146</v>
      </c>
      <c r="E274" s="54">
        <f>IFERROR(__xludf.DUMMYFUNCTION("""COMPUTED_VALUE"""),15000.0)</f>
        <v>15000</v>
      </c>
      <c r="F274" s="3" t="str">
        <f>IFERROR(__xludf.DUMMYFUNCTION("""COMPUTED_VALUE"""),"Bonarda P")</f>
        <v>Bonarda P</v>
      </c>
      <c r="G274" s="3"/>
      <c r="H274" s="56">
        <f>IFERROR(__xludf.DUMMYFUNCTION("""COMPUTED_VALUE"""),16.0)</f>
        <v>16</v>
      </c>
      <c r="I274" s="57">
        <f>IFERROR(__xludf.DUMMYFUNCTION("""COMPUTED_VALUE"""),0.51)</f>
        <v>0.51</v>
      </c>
      <c r="J274" s="3"/>
      <c r="K274" s="3"/>
      <c r="L274" s="54">
        <f>IFERROR(__xludf.DUMMYFUNCTION("""COMPUTED_VALUE"""),17.0)</f>
        <v>17</v>
      </c>
      <c r="M274" s="3"/>
      <c r="N274" s="3"/>
      <c r="O274" s="3"/>
      <c r="P274" s="3"/>
      <c r="Q274" s="3"/>
      <c r="R274" s="3"/>
      <c r="S274" s="3"/>
      <c r="T274" s="5"/>
      <c r="U274" s="5"/>
      <c r="V274" s="5"/>
      <c r="W274" s="5"/>
    </row>
    <row r="275" ht="15.75" customHeight="1">
      <c r="A275" s="3">
        <f>IFERROR(__xludf.DUMMYFUNCTION("""COMPUTED_VALUE"""),275.0)</f>
        <v>275</v>
      </c>
      <c r="B275" s="53">
        <f>IFERROR(__xludf.DUMMYFUNCTION("""COMPUTED_VALUE"""),45405.0)</f>
        <v>45405</v>
      </c>
      <c r="C275" s="3">
        <f>IFERROR(__xludf.DUMMYFUNCTION("""COMPUTED_VALUE"""),49.0)</f>
        <v>49</v>
      </c>
      <c r="D275" s="3" t="str">
        <f>IFERROR(__xludf.DUMMYFUNCTION("""COMPUTED_VALUE"""),"1.115")</f>
        <v>1.115</v>
      </c>
      <c r="E275" s="54">
        <f>IFERROR(__xludf.DUMMYFUNCTION("""COMPUTED_VALUE"""),15990.0)</f>
        <v>15990</v>
      </c>
      <c r="F275" s="3" t="str">
        <f>IFERROR(__xludf.DUMMYFUNCTION("""COMPUTED_VALUE"""),"Malbec")</f>
        <v>Malbec</v>
      </c>
      <c r="G275" s="55">
        <f>IFERROR(__xludf.DUMMYFUNCTION("""COMPUTED_VALUE"""),13.0)</f>
        <v>13</v>
      </c>
      <c r="H275" s="56">
        <f>IFERROR(__xludf.DUMMYFUNCTION("""COMPUTED_VALUE"""),2.6)</f>
        <v>2.6</v>
      </c>
      <c r="I275" s="57">
        <f>IFERROR(__xludf.DUMMYFUNCTION("""COMPUTED_VALUE"""),0.57)</f>
        <v>0.57</v>
      </c>
      <c r="J275" s="57">
        <f>IFERROR(__xludf.DUMMYFUNCTION("""COMPUTED_VALUE"""),5.3)</f>
        <v>5.3</v>
      </c>
      <c r="K275" s="3"/>
      <c r="L275" s="54">
        <f>IFERROR(__xludf.DUMMYFUNCTION("""COMPUTED_VALUE"""),32.0)</f>
        <v>32</v>
      </c>
      <c r="M275" s="3">
        <f>IFERROR(__xludf.DUMMYFUNCTION("""COMPUTED_VALUE"""),80.0)</f>
        <v>80</v>
      </c>
      <c r="N275" s="3"/>
      <c r="O275" s="3"/>
      <c r="P275" s="3"/>
      <c r="Q275" s="3"/>
      <c r="R275" s="3"/>
      <c r="S275" s="3"/>
      <c r="T275" s="5"/>
      <c r="U275" s="5"/>
      <c r="V275" s="5"/>
      <c r="W275" s="5"/>
    </row>
    <row r="276" ht="15.75" customHeight="1">
      <c r="A276" s="3">
        <f>IFERROR(__xludf.DUMMYFUNCTION("""COMPUTED_VALUE"""),276.0)</f>
        <v>276</v>
      </c>
      <c r="B276" s="53">
        <f>IFERROR(__xludf.DUMMYFUNCTION("""COMPUTED_VALUE"""),45405.0)</f>
        <v>45405</v>
      </c>
      <c r="C276" s="3">
        <f>IFERROR(__xludf.DUMMYFUNCTION("""COMPUTED_VALUE"""),77.0)</f>
        <v>77</v>
      </c>
      <c r="D276" s="3" t="str">
        <f>IFERROR(__xludf.DUMMYFUNCTION("""COMPUTED_VALUE"""),"1.150")</f>
        <v>1.150</v>
      </c>
      <c r="E276" s="54">
        <f>IFERROR(__xludf.DUMMYFUNCTION("""COMPUTED_VALUE"""),11700.0)</f>
        <v>11700</v>
      </c>
      <c r="F276" s="3" t="str">
        <f>IFERROR(__xludf.DUMMYFUNCTION("""COMPUTED_VALUE"""),"Malbec")</f>
        <v>Malbec</v>
      </c>
      <c r="G276" s="3"/>
      <c r="H276" s="56">
        <f>IFERROR(__xludf.DUMMYFUNCTION("""COMPUTED_VALUE"""),16.0)</f>
        <v>16</v>
      </c>
      <c r="I276" s="57">
        <f>IFERROR(__xludf.DUMMYFUNCTION("""COMPUTED_VALUE"""),0.45)</f>
        <v>0.45</v>
      </c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5"/>
      <c r="U276" s="5"/>
      <c r="V276" s="5"/>
      <c r="W276" s="5"/>
    </row>
    <row r="277" ht="15.75" customHeight="1">
      <c r="A277" s="3">
        <f>IFERROR(__xludf.DUMMYFUNCTION("""COMPUTED_VALUE"""),277.0)</f>
        <v>277</v>
      </c>
      <c r="B277" s="53">
        <f>IFERROR(__xludf.DUMMYFUNCTION("""COMPUTED_VALUE"""),45405.0)</f>
        <v>45405</v>
      </c>
      <c r="C277" s="3">
        <f>IFERROR(__xludf.DUMMYFUNCTION("""COMPUTED_VALUE"""),78.0)</f>
        <v>78</v>
      </c>
      <c r="D277" s="3" t="str">
        <f>IFERROR(__xludf.DUMMYFUNCTION("""COMPUTED_VALUE"""),"1.164")</f>
        <v>1.164</v>
      </c>
      <c r="E277" s="54">
        <f>IFERROR(__xludf.DUMMYFUNCTION("""COMPUTED_VALUE"""),13306.800000000001)</f>
        <v>13306.8</v>
      </c>
      <c r="F277" s="3" t="str">
        <f>IFERROR(__xludf.DUMMYFUNCTION("""COMPUTED_VALUE"""),"Malbec")</f>
        <v>Malbec</v>
      </c>
      <c r="G277" s="3"/>
      <c r="H277" s="56">
        <f>IFERROR(__xludf.DUMMYFUNCTION("""COMPUTED_VALUE"""),10.0)</f>
        <v>10</v>
      </c>
      <c r="I277" s="57">
        <f>IFERROR(__xludf.DUMMYFUNCTION("""COMPUTED_VALUE"""),0.54)</f>
        <v>0.54</v>
      </c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5"/>
      <c r="U277" s="5"/>
      <c r="V277" s="5"/>
      <c r="W277" s="5"/>
    </row>
    <row r="278" ht="15.75" customHeight="1">
      <c r="A278" s="3">
        <f>IFERROR(__xludf.DUMMYFUNCTION("""COMPUTED_VALUE"""),278.0)</f>
        <v>278</v>
      </c>
      <c r="B278" s="53">
        <f>IFERROR(__xludf.DUMMYFUNCTION("""COMPUTED_VALUE"""),45405.0)</f>
        <v>45405</v>
      </c>
      <c r="C278" s="3">
        <f>IFERROR(__xludf.DUMMYFUNCTION("""COMPUTED_VALUE"""),69.0)</f>
        <v>69</v>
      </c>
      <c r="D278" s="3" t="str">
        <f>IFERROR(__xludf.DUMMYFUNCTION("""COMPUTED_VALUE"""),"1.168")</f>
        <v>1.168</v>
      </c>
      <c r="E278" s="54">
        <f>IFERROR(__xludf.DUMMYFUNCTION("""COMPUTED_VALUE"""),8252.4)</f>
        <v>8252.4</v>
      </c>
      <c r="F278" s="3" t="str">
        <f>IFERROR(__xludf.DUMMYFUNCTION("""COMPUTED_VALUE"""),"Malbec")</f>
        <v>Malbec</v>
      </c>
      <c r="G278" s="3"/>
      <c r="H278" s="56">
        <f>IFERROR(__xludf.DUMMYFUNCTION("""COMPUTED_VALUE"""),2.61)</f>
        <v>2.61</v>
      </c>
      <c r="I278" s="57">
        <f>IFERROR(__xludf.DUMMYFUNCTION("""COMPUTED_VALUE"""),0.61)</f>
        <v>0.61</v>
      </c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5"/>
      <c r="U278" s="5"/>
      <c r="V278" s="5"/>
      <c r="W278" s="5"/>
    </row>
    <row r="279" ht="15.75" customHeight="1">
      <c r="A279" s="3">
        <f>IFERROR(__xludf.DUMMYFUNCTION("""COMPUTED_VALUE"""),279.0)</f>
        <v>279</v>
      </c>
      <c r="B279" s="53">
        <f>IFERROR(__xludf.DUMMYFUNCTION("""COMPUTED_VALUE"""),45405.0)</f>
        <v>45405</v>
      </c>
      <c r="C279" s="3">
        <f>IFERROR(__xludf.DUMMYFUNCTION("""COMPUTED_VALUE"""),66.0)</f>
        <v>66</v>
      </c>
      <c r="D279" s="3" t="str">
        <f>IFERROR(__xludf.DUMMYFUNCTION("""COMPUTED_VALUE"""),"1.172")</f>
        <v>1.172</v>
      </c>
      <c r="E279" s="54">
        <f>IFERROR(__xludf.DUMMYFUNCTION("""COMPUTED_VALUE"""),12199.2)</f>
        <v>12199.2</v>
      </c>
      <c r="F279" s="3" t="str">
        <f>IFERROR(__xludf.DUMMYFUNCTION("""COMPUTED_VALUE"""),"Malbec")</f>
        <v>Malbec</v>
      </c>
      <c r="G279" s="3"/>
      <c r="H279" s="56">
        <f>IFERROR(__xludf.DUMMYFUNCTION("""COMPUTED_VALUE"""),6.75)</f>
        <v>6.75</v>
      </c>
      <c r="I279" s="57">
        <f>IFERROR(__xludf.DUMMYFUNCTION("""COMPUTED_VALUE"""),0.4)</f>
        <v>0.4</v>
      </c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5"/>
      <c r="U279" s="5"/>
      <c r="V279" s="5"/>
      <c r="W279" s="5"/>
    </row>
    <row r="280" ht="15.75" customHeight="1">
      <c r="A280" s="3">
        <f>IFERROR(__xludf.DUMMYFUNCTION("""COMPUTED_VALUE"""),280.0)</f>
        <v>280</v>
      </c>
      <c r="B280" s="53">
        <f>IFERROR(__xludf.DUMMYFUNCTION("""COMPUTED_VALUE"""),45405.0)</f>
        <v>45405</v>
      </c>
      <c r="C280" s="3">
        <f>IFERROR(__xludf.DUMMYFUNCTION("""COMPUTED_VALUE"""),26.0)</f>
        <v>26</v>
      </c>
      <c r="D280" s="3" t="str">
        <f>IFERROR(__xludf.DUMMYFUNCTION("""COMPUTED_VALUE"""),"1.174")</f>
        <v>1.174</v>
      </c>
      <c r="E280" s="54">
        <f>IFERROR(__xludf.DUMMYFUNCTION("""COMPUTED_VALUE"""),142000.0)</f>
        <v>142000</v>
      </c>
      <c r="F280" s="3" t="str">
        <f>IFERROR(__xludf.DUMMYFUNCTION("""COMPUTED_VALUE"""),"Malbec")</f>
        <v>Malbec</v>
      </c>
      <c r="G280" s="3"/>
      <c r="H280" s="56">
        <f>IFERROR(__xludf.DUMMYFUNCTION("""COMPUTED_VALUE"""),4.0)</f>
        <v>4</v>
      </c>
      <c r="I280" s="57">
        <f>IFERROR(__xludf.DUMMYFUNCTION("""COMPUTED_VALUE"""),0.51)</f>
        <v>0.51</v>
      </c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5"/>
      <c r="U280" s="5"/>
      <c r="V280" s="5"/>
      <c r="W280" s="5"/>
    </row>
    <row r="281" ht="15.75" customHeight="1">
      <c r="A281" s="3">
        <f>IFERROR(__xludf.DUMMYFUNCTION("""COMPUTED_VALUE"""),281.0)</f>
        <v>281</v>
      </c>
      <c r="B281" s="53">
        <f>IFERROR(__xludf.DUMMYFUNCTION("""COMPUTED_VALUE"""),45405.0)</f>
        <v>45405</v>
      </c>
      <c r="C281" s="3">
        <f>IFERROR(__xludf.DUMMYFUNCTION("""COMPUTED_VALUE"""),95.0)</f>
        <v>95</v>
      </c>
      <c r="D281" s="3" t="str">
        <f>IFERROR(__xludf.DUMMYFUNCTION("""COMPUTED_VALUE"""),"1.193")</f>
        <v>1.193</v>
      </c>
      <c r="E281" s="54">
        <f>IFERROR(__xludf.DUMMYFUNCTION("""COMPUTED_VALUE"""),75000.0)</f>
        <v>75000</v>
      </c>
      <c r="F281" s="3" t="str">
        <f>IFERROR(__xludf.DUMMYFUNCTION("""COMPUTED_VALUE"""),"Tinto Recarga")</f>
        <v>Tinto Recarga</v>
      </c>
      <c r="G281" s="3"/>
      <c r="H281" s="56">
        <f>IFERROR(__xludf.DUMMYFUNCTION("""COMPUTED_VALUE"""),6.75)</f>
        <v>6.75</v>
      </c>
      <c r="I281" s="57">
        <f>IFERROR(__xludf.DUMMYFUNCTION("""COMPUTED_VALUE"""),0.4)</f>
        <v>0.4</v>
      </c>
      <c r="J281" s="3"/>
      <c r="K281" s="3"/>
      <c r="L281" s="54">
        <f>IFERROR(__xludf.DUMMYFUNCTION("""COMPUTED_VALUE"""),12.0)</f>
        <v>12</v>
      </c>
      <c r="M281" s="3"/>
      <c r="N281" s="3"/>
      <c r="O281" s="3"/>
      <c r="P281" s="3"/>
      <c r="Q281" s="3"/>
      <c r="R281" s="3"/>
      <c r="S281" s="3"/>
      <c r="T281" s="5"/>
      <c r="U281" s="5"/>
      <c r="V281" s="5"/>
      <c r="W281" s="5"/>
    </row>
    <row r="282" ht="15.75" customHeight="1">
      <c r="A282" s="3">
        <f>IFERROR(__xludf.DUMMYFUNCTION("""COMPUTED_VALUE"""),282.0)</f>
        <v>282</v>
      </c>
      <c r="B282" s="53">
        <f>IFERROR(__xludf.DUMMYFUNCTION("""COMPUTED_VALUE"""),45405.0)</f>
        <v>45405</v>
      </c>
      <c r="C282" s="3">
        <f>IFERROR(__xludf.DUMMYFUNCTION("""COMPUTED_VALUE"""),96.0)</f>
        <v>96</v>
      </c>
      <c r="D282" s="3" t="str">
        <f>IFERROR(__xludf.DUMMYFUNCTION("""COMPUTED_VALUE"""),"1.192")</f>
        <v>1.192</v>
      </c>
      <c r="E282" s="54">
        <f>IFERROR(__xludf.DUMMYFUNCTION("""COMPUTED_VALUE"""),65000.0)</f>
        <v>65000</v>
      </c>
      <c r="F282" s="3" t="str">
        <f>IFERROR(__xludf.DUMMYFUNCTION("""COMPUTED_VALUE"""),"Tinto Recarga")</f>
        <v>Tinto Recarga</v>
      </c>
      <c r="G282" s="3"/>
      <c r="H282" s="56">
        <f>IFERROR(__xludf.DUMMYFUNCTION("""COMPUTED_VALUE"""),2.52)</f>
        <v>2.52</v>
      </c>
      <c r="I282" s="57">
        <f>IFERROR(__xludf.DUMMYFUNCTION("""COMPUTED_VALUE"""),0.44)</f>
        <v>0.44</v>
      </c>
      <c r="J282" s="3"/>
      <c r="K282" s="3"/>
      <c r="L282" s="54">
        <f>IFERROR(__xludf.DUMMYFUNCTION("""COMPUTED_VALUE"""),25.0)</f>
        <v>25</v>
      </c>
      <c r="M282" s="3"/>
      <c r="N282" s="3"/>
      <c r="O282" s="3"/>
      <c r="P282" s="3"/>
      <c r="Q282" s="3"/>
      <c r="R282" s="3"/>
      <c r="S282" s="3"/>
      <c r="T282" s="5"/>
      <c r="U282" s="5"/>
      <c r="V282" s="5"/>
      <c r="W282" s="5"/>
    </row>
    <row r="283" ht="15.75" customHeight="1">
      <c r="A283" s="3">
        <f>IFERROR(__xludf.DUMMYFUNCTION("""COMPUTED_VALUE"""),283.0)</f>
        <v>283</v>
      </c>
      <c r="B283" s="53">
        <f>IFERROR(__xludf.DUMMYFUNCTION("""COMPUTED_VALUE"""),45405.0)</f>
        <v>45405</v>
      </c>
      <c r="C283" s="3">
        <f>IFERROR(__xludf.DUMMYFUNCTION("""COMPUTED_VALUE"""),88.0)</f>
        <v>88</v>
      </c>
      <c r="D283" s="3" t="str">
        <f>IFERROR(__xludf.DUMMYFUNCTION("""COMPUTED_VALUE"""),"1.181")</f>
        <v>1.181</v>
      </c>
      <c r="E283" s="54">
        <f>IFERROR(__xludf.DUMMYFUNCTION("""COMPUTED_VALUE"""),6000.0)</f>
        <v>6000</v>
      </c>
      <c r="F283" s="3" t="str">
        <f>IFERROR(__xludf.DUMMYFUNCTION("""COMPUTED_VALUE"""),"Tinto Recarga")</f>
        <v>Tinto Recarga</v>
      </c>
      <c r="G283" s="3"/>
      <c r="H283" s="56">
        <f>IFERROR(__xludf.DUMMYFUNCTION("""COMPUTED_VALUE"""),12.0)</f>
        <v>12</v>
      </c>
      <c r="I283" s="57">
        <f>IFERROR(__xludf.DUMMYFUNCTION("""COMPUTED_VALUE"""),0.57)</f>
        <v>0.57</v>
      </c>
      <c r="J283" s="3"/>
      <c r="K283" s="3"/>
      <c r="L283" s="54">
        <f>IFERROR(__xludf.DUMMYFUNCTION("""COMPUTED_VALUE"""),12.0)</f>
        <v>12</v>
      </c>
      <c r="M283" s="3"/>
      <c r="N283" s="3"/>
      <c r="O283" s="3"/>
      <c r="P283" s="3"/>
      <c r="Q283" s="3"/>
      <c r="R283" s="3"/>
      <c r="S283" s="3"/>
      <c r="T283" s="5"/>
      <c r="U283" s="5"/>
      <c r="V283" s="5"/>
      <c r="W283" s="5"/>
    </row>
    <row r="284" ht="15.75" customHeight="1">
      <c r="A284" s="3">
        <f>IFERROR(__xludf.DUMMYFUNCTION("""COMPUTED_VALUE"""),284.0)</f>
        <v>284</v>
      </c>
      <c r="B284" s="53">
        <f>IFERROR(__xludf.DUMMYFUNCTION("""COMPUTED_VALUE"""),45405.0)</f>
        <v>45405</v>
      </c>
      <c r="C284" s="3">
        <f>IFERROR(__xludf.DUMMYFUNCTION("""COMPUTED_VALUE"""),84.0)</f>
        <v>84</v>
      </c>
      <c r="D284" s="3" t="str">
        <f>IFERROR(__xludf.DUMMYFUNCTION("""COMPUTED_VALUE"""),"1.187")</f>
        <v>1.187</v>
      </c>
      <c r="E284" s="54">
        <f>IFERROR(__xludf.DUMMYFUNCTION("""COMPUTED_VALUE"""),83000.0)</f>
        <v>83000</v>
      </c>
      <c r="F284" s="3" t="str">
        <f>IFERROR(__xludf.DUMMYFUNCTION("""COMPUTED_VALUE"""),"Tinto Recarga")</f>
        <v>Tinto Recarga</v>
      </c>
      <c r="G284" s="55">
        <f>IFERROR(__xludf.DUMMYFUNCTION("""COMPUTED_VALUE"""),13.5)</f>
        <v>13.5</v>
      </c>
      <c r="H284" s="56">
        <f>IFERROR(__xludf.DUMMYFUNCTION("""COMPUTED_VALUE"""),3.7)</f>
        <v>3.7</v>
      </c>
      <c r="I284" s="57">
        <f>IFERROR(__xludf.DUMMYFUNCTION("""COMPUTED_VALUE"""),0.47)</f>
        <v>0.47</v>
      </c>
      <c r="J284" s="3"/>
      <c r="K284" s="3"/>
      <c r="L284" s="54">
        <f>IFERROR(__xludf.DUMMYFUNCTION("""COMPUTED_VALUE"""),25.0)</f>
        <v>25</v>
      </c>
      <c r="M284" s="3"/>
      <c r="N284" s="3"/>
      <c r="O284" s="3"/>
      <c r="P284" s="3"/>
      <c r="Q284" s="3"/>
      <c r="R284" s="3"/>
      <c r="S284" s="3"/>
      <c r="T284" s="5"/>
      <c r="U284" s="5"/>
      <c r="V284" s="5"/>
      <c r="W284" s="5"/>
    </row>
    <row r="285" ht="15.75" customHeight="1">
      <c r="A285" s="3">
        <f>IFERROR(__xludf.DUMMYFUNCTION("""COMPUTED_VALUE"""),285.0)</f>
        <v>285</v>
      </c>
      <c r="B285" s="53">
        <f>IFERROR(__xludf.DUMMYFUNCTION("""COMPUTED_VALUE"""),45405.0)</f>
        <v>45405</v>
      </c>
      <c r="C285" s="3">
        <f>IFERROR(__xludf.DUMMYFUNCTION("""COMPUTED_VALUE"""),87.0)</f>
        <v>87</v>
      </c>
      <c r="D285" s="3" t="str">
        <f>IFERROR(__xludf.DUMMYFUNCTION("""COMPUTED_VALUE"""),"1.185")</f>
        <v>1.185</v>
      </c>
      <c r="E285" s="54">
        <f>IFERROR(__xludf.DUMMYFUNCTION("""COMPUTED_VALUE"""),57033.6)</f>
        <v>57033.6</v>
      </c>
      <c r="F285" s="3" t="str">
        <f>IFERROR(__xludf.DUMMYFUNCTION("""COMPUTED_VALUE"""),"Cabernet")</f>
        <v>Cabernet</v>
      </c>
      <c r="G285" s="55">
        <f>IFERROR(__xludf.DUMMYFUNCTION("""COMPUTED_VALUE"""),12.9)</f>
        <v>12.9</v>
      </c>
      <c r="H285" s="56">
        <f>IFERROR(__xludf.DUMMYFUNCTION("""COMPUTED_VALUE"""),10.0)</f>
        <v>10</v>
      </c>
      <c r="I285" s="57">
        <f>IFERROR(__xludf.DUMMYFUNCTION("""COMPUTED_VALUE"""),0.4)</f>
        <v>0.4</v>
      </c>
      <c r="J285" s="3"/>
      <c r="K285" s="3"/>
      <c r="L285" s="54">
        <f>IFERROR(__xludf.DUMMYFUNCTION("""COMPUTED_VALUE"""),15.0)</f>
        <v>15</v>
      </c>
      <c r="M285" s="3"/>
      <c r="N285" s="3"/>
      <c r="O285" s="3"/>
      <c r="P285" s="3"/>
      <c r="Q285" s="3"/>
      <c r="R285" s="3"/>
      <c r="S285" s="3"/>
      <c r="T285" s="5"/>
      <c r="U285" s="5"/>
      <c r="V285" s="5"/>
      <c r="W285" s="5"/>
    </row>
    <row r="286" ht="15.75" customHeight="1">
      <c r="A286" s="3">
        <f>IFERROR(__xludf.DUMMYFUNCTION("""COMPUTED_VALUE"""),286.0)</f>
        <v>286</v>
      </c>
      <c r="B286" s="53">
        <f>IFERROR(__xludf.DUMMYFUNCTION("""COMPUTED_VALUE"""),45405.0)</f>
        <v>45405</v>
      </c>
      <c r="C286" s="3">
        <f>IFERROR(__xludf.DUMMYFUNCTION("""COMPUTED_VALUE"""),31.0)</f>
        <v>31</v>
      </c>
      <c r="D286" s="3" t="str">
        <f>IFERROR(__xludf.DUMMYFUNCTION("""COMPUTED_VALUE"""),"1.175")</f>
        <v>1.175</v>
      </c>
      <c r="E286" s="54">
        <f>IFERROR(__xludf.DUMMYFUNCTION("""COMPUTED_VALUE"""),25700.0)</f>
        <v>25700</v>
      </c>
      <c r="F286" s="3" t="str">
        <f>IFERROR(__xludf.DUMMYFUNCTION("""COMPUTED_VALUE"""),"Bonarda")</f>
        <v>Bonarda</v>
      </c>
      <c r="G286" s="3"/>
      <c r="H286" s="56">
        <f>IFERROR(__xludf.DUMMYFUNCTION("""COMPUTED_VALUE"""),1.92)</f>
        <v>1.92</v>
      </c>
      <c r="I286" s="57">
        <f>IFERROR(__xludf.DUMMYFUNCTION("""COMPUTED_VALUE"""),0.42)</f>
        <v>0.42</v>
      </c>
      <c r="J286" s="3"/>
      <c r="K286" s="3"/>
      <c r="L286" s="54">
        <f>IFERROR(__xludf.DUMMYFUNCTION("""COMPUTED_VALUE"""),20.0)</f>
        <v>20</v>
      </c>
      <c r="M286" s="3"/>
      <c r="N286" s="3"/>
      <c r="O286" s="3"/>
      <c r="P286" s="3"/>
      <c r="Q286" s="3"/>
      <c r="R286" s="3"/>
      <c r="S286" s="3"/>
      <c r="T286" s="5"/>
      <c r="U286" s="5"/>
      <c r="V286" s="5"/>
      <c r="W286" s="5"/>
    </row>
    <row r="287" ht="15.75" customHeight="1">
      <c r="A287" s="3">
        <f>IFERROR(__xludf.DUMMYFUNCTION("""COMPUTED_VALUE"""),287.0)</f>
        <v>287</v>
      </c>
      <c r="B287" s="53">
        <f>IFERROR(__xludf.DUMMYFUNCTION("""COMPUTED_VALUE"""),45405.0)</f>
        <v>45405</v>
      </c>
      <c r="C287" s="3">
        <f>IFERROR(__xludf.DUMMYFUNCTION("""COMPUTED_VALUE"""),33.0)</f>
        <v>33</v>
      </c>
      <c r="D287" s="3" t="str">
        <f>IFERROR(__xludf.DUMMYFUNCTION("""COMPUTED_VALUE"""),"1.176")</f>
        <v>1.176</v>
      </c>
      <c r="E287" s="54">
        <f>IFERROR(__xludf.DUMMYFUNCTION("""COMPUTED_VALUE"""),10000.0)</f>
        <v>10000</v>
      </c>
      <c r="F287" s="3" t="str">
        <f>IFERROR(__xludf.DUMMYFUNCTION("""COMPUTED_VALUE"""),"Bonarda")</f>
        <v>Bonarda</v>
      </c>
      <c r="G287" s="3"/>
      <c r="H287" s="56">
        <f>IFERROR(__xludf.DUMMYFUNCTION("""COMPUTED_VALUE"""),2.0)</f>
        <v>2</v>
      </c>
      <c r="I287" s="57">
        <f>IFERROR(__xludf.DUMMYFUNCTION("""COMPUTED_VALUE"""),0.4)</f>
        <v>0.4</v>
      </c>
      <c r="J287" s="3"/>
      <c r="K287" s="3"/>
      <c r="L287" s="54">
        <f>IFERROR(__xludf.DUMMYFUNCTION("""COMPUTED_VALUE"""),12.0)</f>
        <v>12</v>
      </c>
      <c r="M287" s="3"/>
      <c r="N287" s="3"/>
      <c r="O287" s="3"/>
      <c r="P287" s="3"/>
      <c r="Q287" s="3"/>
      <c r="R287" s="3"/>
      <c r="S287" s="3"/>
      <c r="T287" s="5"/>
      <c r="U287" s="5"/>
      <c r="V287" s="5"/>
      <c r="W287" s="5"/>
    </row>
    <row r="288" ht="15.75" customHeight="1">
      <c r="A288" s="3">
        <f>IFERROR(__xludf.DUMMYFUNCTION("""COMPUTED_VALUE"""),288.0)</f>
        <v>288</v>
      </c>
      <c r="B288" s="53">
        <f>IFERROR(__xludf.DUMMYFUNCTION("""COMPUTED_VALUE"""),45405.0)</f>
        <v>45405</v>
      </c>
      <c r="C288" s="3">
        <f>IFERROR(__xludf.DUMMYFUNCTION("""COMPUTED_VALUE"""),11.0)</f>
        <v>11</v>
      </c>
      <c r="D288" s="3" t="str">
        <f>IFERROR(__xludf.DUMMYFUNCTION("""COMPUTED_VALUE"""),"1.178")</f>
        <v>1.178</v>
      </c>
      <c r="E288" s="54">
        <f>IFERROR(__xludf.DUMMYFUNCTION("""COMPUTED_VALUE"""),30000.0)</f>
        <v>30000</v>
      </c>
      <c r="F288" s="3" t="str">
        <f>IFERROR(__xludf.DUMMYFUNCTION("""COMPUTED_VALUE"""),"Bonarda")</f>
        <v>Bonarda</v>
      </c>
      <c r="G288" s="3"/>
      <c r="H288" s="56">
        <f>IFERROR(__xludf.DUMMYFUNCTION("""COMPUTED_VALUE"""),1.77)</f>
        <v>1.77</v>
      </c>
      <c r="I288" s="57">
        <f>IFERROR(__xludf.DUMMYFUNCTION("""COMPUTED_VALUE"""),0.38)</f>
        <v>0.38</v>
      </c>
      <c r="J288" s="3"/>
      <c r="K288" s="3"/>
      <c r="L288" s="54">
        <f>IFERROR(__xludf.DUMMYFUNCTION("""COMPUTED_VALUE"""),18.0)</f>
        <v>18</v>
      </c>
      <c r="M288" s="3"/>
      <c r="N288" s="3"/>
      <c r="O288" s="3"/>
      <c r="P288" s="3"/>
      <c r="Q288" s="3"/>
      <c r="R288" s="3"/>
      <c r="S288" s="3"/>
      <c r="T288" s="5"/>
      <c r="U288" s="5"/>
      <c r="V288" s="5"/>
      <c r="W288" s="5"/>
    </row>
    <row r="289" ht="15.75" customHeight="1">
      <c r="A289" s="3">
        <f>IFERROR(__xludf.DUMMYFUNCTION("""COMPUTED_VALUE"""),289.0)</f>
        <v>289</v>
      </c>
      <c r="B289" s="53">
        <f>IFERROR(__xludf.DUMMYFUNCTION("""COMPUTED_VALUE"""),45405.0)</f>
        <v>45405</v>
      </c>
      <c r="C289" s="3">
        <f>IFERROR(__xludf.DUMMYFUNCTION("""COMPUTED_VALUE"""),12.0)</f>
        <v>12</v>
      </c>
      <c r="D289" s="3" t="str">
        <f>IFERROR(__xludf.DUMMYFUNCTION("""COMPUTED_VALUE"""),"1.188")</f>
        <v>1.188</v>
      </c>
      <c r="E289" s="54">
        <f>IFERROR(__xludf.DUMMYFUNCTION("""COMPUTED_VALUE"""),35300.0)</f>
        <v>35300</v>
      </c>
      <c r="F289" s="3" t="str">
        <f>IFERROR(__xludf.DUMMYFUNCTION("""COMPUTED_VALUE"""),"Cabernet")</f>
        <v>Cabernet</v>
      </c>
      <c r="G289" s="3"/>
      <c r="H289" s="56">
        <f>IFERROR(__xludf.DUMMYFUNCTION("""COMPUTED_VALUE"""),3.24)</f>
        <v>3.24</v>
      </c>
      <c r="I289" s="57">
        <f>IFERROR(__xludf.DUMMYFUNCTION("""COMPUTED_VALUE"""),0.45)</f>
        <v>0.45</v>
      </c>
      <c r="J289" s="3"/>
      <c r="K289" s="3"/>
      <c r="L289" s="54">
        <f>IFERROR(__xludf.DUMMYFUNCTION("""COMPUTED_VALUE"""),20.0)</f>
        <v>20</v>
      </c>
      <c r="M289" s="3"/>
      <c r="N289" s="3"/>
      <c r="O289" s="3"/>
      <c r="P289" s="3"/>
      <c r="Q289" s="3"/>
      <c r="R289" s="3"/>
      <c r="S289" s="3"/>
      <c r="T289" s="5"/>
      <c r="U289" s="5"/>
      <c r="V289" s="5"/>
      <c r="W289" s="5"/>
    </row>
    <row r="290" ht="15.75" customHeight="1">
      <c r="A290" s="3">
        <f>IFERROR(__xludf.DUMMYFUNCTION("""COMPUTED_VALUE"""),290.0)</f>
        <v>290</v>
      </c>
      <c r="B290" s="53">
        <f>IFERROR(__xludf.DUMMYFUNCTION("""COMPUTED_VALUE"""),45405.0)</f>
        <v>45405</v>
      </c>
      <c r="C290" s="3">
        <f>IFERROR(__xludf.DUMMYFUNCTION("""COMPUTED_VALUE"""),125.0)</f>
        <v>125</v>
      </c>
      <c r="D290" s="3" t="str">
        <f>IFERROR(__xludf.DUMMYFUNCTION("""COMPUTED_VALUE"""),"1.199")</f>
        <v>1.199</v>
      </c>
      <c r="E290" s="54">
        <f>IFERROR(__xludf.DUMMYFUNCTION("""COMPUTED_VALUE"""),31000.0)</f>
        <v>31000</v>
      </c>
      <c r="F290" s="3" t="str">
        <f>IFERROR(__xludf.DUMMYFUNCTION("""COMPUTED_VALUE"""),"Malbec")</f>
        <v>Malbec</v>
      </c>
      <c r="G290" s="3"/>
      <c r="H290" s="56">
        <f>IFERROR(__xludf.DUMMYFUNCTION("""COMPUTED_VALUE"""),6.75)</f>
        <v>6.75</v>
      </c>
      <c r="I290" s="57">
        <f>IFERROR(__xludf.DUMMYFUNCTION("""COMPUTED_VALUE"""),0.52)</f>
        <v>0.52</v>
      </c>
      <c r="J290" s="3"/>
      <c r="K290" s="3"/>
      <c r="L290" s="54">
        <f>IFERROR(__xludf.DUMMYFUNCTION("""COMPUTED_VALUE"""),21.0)</f>
        <v>21</v>
      </c>
      <c r="M290" s="3"/>
      <c r="N290" s="3"/>
      <c r="O290" s="3"/>
      <c r="P290" s="3"/>
      <c r="Q290" s="3"/>
      <c r="R290" s="3"/>
      <c r="S290" s="3"/>
      <c r="T290" s="5"/>
      <c r="U290" s="5"/>
      <c r="V290" s="5"/>
      <c r="W290" s="5"/>
    </row>
    <row r="291" ht="15.75" customHeight="1">
      <c r="A291" s="3">
        <f>IFERROR(__xludf.DUMMYFUNCTION("""COMPUTED_VALUE"""),291.0)</f>
        <v>291</v>
      </c>
      <c r="B291" s="53">
        <f>IFERROR(__xludf.DUMMYFUNCTION("""COMPUTED_VALUE"""),45405.0)</f>
        <v>45405</v>
      </c>
      <c r="C291" s="3">
        <f>IFERROR(__xludf.DUMMYFUNCTION("""COMPUTED_VALUE"""),83.0)</f>
        <v>83</v>
      </c>
      <c r="D291" s="3" t="str">
        <f>IFERROR(__xludf.DUMMYFUNCTION("""COMPUTED_VALUE"""),"1.180")</f>
        <v>1.180</v>
      </c>
      <c r="E291" s="54">
        <f>IFERROR(__xludf.DUMMYFUNCTION("""COMPUTED_VALUE"""),20000.0)</f>
        <v>20000</v>
      </c>
      <c r="F291" s="3" t="str">
        <f>IFERROR(__xludf.DUMMYFUNCTION("""COMPUTED_VALUE"""),"Bonarda")</f>
        <v>Bonarda</v>
      </c>
      <c r="G291" s="3"/>
      <c r="H291" s="56">
        <f>IFERROR(__xludf.DUMMYFUNCTION("""COMPUTED_VALUE"""),7.36)</f>
        <v>7.36</v>
      </c>
      <c r="I291" s="57">
        <f>IFERROR(__xludf.DUMMYFUNCTION("""COMPUTED_VALUE"""),0.4)</f>
        <v>0.4</v>
      </c>
      <c r="J291" s="3"/>
      <c r="K291" s="3"/>
      <c r="L291" s="54">
        <f>IFERROR(__xludf.DUMMYFUNCTION("""COMPUTED_VALUE"""),20.0)</f>
        <v>20</v>
      </c>
      <c r="M291" s="3"/>
      <c r="N291" s="3"/>
      <c r="O291" s="3"/>
      <c r="P291" s="3"/>
      <c r="Q291" s="3"/>
      <c r="R291" s="3"/>
      <c r="S291" s="3"/>
      <c r="T291" s="5"/>
      <c r="U291" s="5"/>
      <c r="V291" s="5"/>
      <c r="W291" s="5"/>
    </row>
    <row r="292" ht="15.75" customHeight="1">
      <c r="A292" s="3">
        <f>IFERROR(__xludf.DUMMYFUNCTION("""COMPUTED_VALUE"""),292.0)</f>
        <v>292</v>
      </c>
      <c r="B292" s="53">
        <f>IFERROR(__xludf.DUMMYFUNCTION("""COMPUTED_VALUE"""),45405.0)</f>
        <v>45405</v>
      </c>
      <c r="C292" s="3">
        <f>IFERROR(__xludf.DUMMYFUNCTION("""COMPUTED_VALUE"""),6.0)</f>
        <v>6</v>
      </c>
      <c r="D292" s="3" t="str">
        <f>IFERROR(__xludf.DUMMYFUNCTION("""COMPUTED_VALUE"""),"1.111")</f>
        <v>1.111</v>
      </c>
      <c r="E292" s="54">
        <f>IFERROR(__xludf.DUMMYFUNCTION("""COMPUTED_VALUE"""),32000.0)</f>
        <v>32000</v>
      </c>
      <c r="F292" s="3" t="str">
        <f>IFERROR(__xludf.DUMMYFUNCTION("""COMPUTED_VALUE"""),"Bonarda")</f>
        <v>Bonarda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5"/>
      <c r="U292" s="5"/>
      <c r="V292" s="5"/>
      <c r="W292" s="5"/>
    </row>
    <row r="293" ht="15.75" customHeight="1">
      <c r="A293" s="3">
        <f>IFERROR(__xludf.DUMMYFUNCTION("""COMPUTED_VALUE"""),293.0)</f>
        <v>293</v>
      </c>
      <c r="B293" s="53">
        <f>IFERROR(__xludf.DUMMYFUNCTION("""COMPUTED_VALUE"""),45405.0)</f>
        <v>45405</v>
      </c>
      <c r="C293" s="3">
        <f>IFERROR(__xludf.DUMMYFUNCTION("""COMPUTED_VALUE"""),7.0)</f>
        <v>7</v>
      </c>
      <c r="D293" s="3" t="str">
        <f>IFERROR(__xludf.DUMMYFUNCTION("""COMPUTED_VALUE"""),"1.200")</f>
        <v>1.200</v>
      </c>
      <c r="E293" s="54">
        <f>IFERROR(__xludf.DUMMYFUNCTION("""COMPUTED_VALUE"""),5000.0)</f>
        <v>5000</v>
      </c>
      <c r="F293" s="3" t="str">
        <f>IFERROR(__xludf.DUMMYFUNCTION("""COMPUTED_VALUE"""),"Malbec")</f>
        <v>Malbec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5"/>
      <c r="U293" s="5"/>
      <c r="V293" s="5"/>
      <c r="W293" s="5"/>
    </row>
    <row r="294" ht="15.75" customHeight="1">
      <c r="A294" s="3">
        <f>IFERROR(__xludf.DUMMYFUNCTION("""COMPUTED_VALUE"""),294.0)</f>
        <v>294</v>
      </c>
      <c r="B294" s="53">
        <f>IFERROR(__xludf.DUMMYFUNCTION("""COMPUTED_VALUE"""),45408.0)</f>
        <v>45408</v>
      </c>
      <c r="C294" s="3">
        <f>IFERROR(__xludf.DUMMYFUNCTION("""COMPUTED_VALUE"""),110.0)</f>
        <v>110</v>
      </c>
      <c r="D294" s="3" t="str">
        <f>IFERROR(__xludf.DUMMYFUNCTION("""COMPUTED_VALUE"""),"1.146")</f>
        <v>1.146</v>
      </c>
      <c r="E294" s="54">
        <f>IFERROR(__xludf.DUMMYFUNCTION("""COMPUTED_VALUE"""),15000.0)</f>
        <v>15000</v>
      </c>
      <c r="F294" s="3" t="str">
        <f>IFERROR(__xludf.DUMMYFUNCTION("""COMPUTED_VALUE"""),"Bonarda P")</f>
        <v>Bonarda P</v>
      </c>
      <c r="G294" s="55">
        <f>IFERROR(__xludf.DUMMYFUNCTION("""COMPUTED_VALUE"""),13.0)</f>
        <v>13</v>
      </c>
      <c r="H294" s="56">
        <f>IFERROR(__xludf.DUMMYFUNCTION("""COMPUTED_VALUE"""),15.0)</f>
        <v>15</v>
      </c>
      <c r="I294" s="57">
        <f>IFERROR(__xludf.DUMMYFUNCTION("""COMPUTED_VALUE"""),0.47)</f>
        <v>0.47</v>
      </c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5"/>
      <c r="U294" s="5"/>
      <c r="V294" s="5"/>
      <c r="W294" s="5"/>
    </row>
    <row r="295" ht="15.75" customHeight="1">
      <c r="A295" s="3">
        <f>IFERROR(__xludf.DUMMYFUNCTION("""COMPUTED_VALUE"""),295.0)</f>
        <v>295</v>
      </c>
      <c r="B295" s="53">
        <f>IFERROR(__xludf.DUMMYFUNCTION("""COMPUTED_VALUE"""),45409.0)</f>
        <v>45409</v>
      </c>
      <c r="C295" s="3">
        <f>IFERROR(__xludf.DUMMYFUNCTION("""COMPUTED_VALUE"""),65.0)</f>
        <v>65</v>
      </c>
      <c r="D295" s="3"/>
      <c r="E295" s="3"/>
      <c r="F295" s="3"/>
      <c r="G295" s="55">
        <f>IFERROR(__xludf.DUMMYFUNCTION("""COMPUTED_VALUE"""),13.0)</f>
        <v>13</v>
      </c>
      <c r="H295" s="56">
        <f>IFERROR(__xludf.DUMMYFUNCTION("""COMPUTED_VALUE"""),3.84)</f>
        <v>3.84</v>
      </c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5"/>
      <c r="U295" s="5"/>
      <c r="V295" s="5"/>
      <c r="W295" s="5"/>
    </row>
    <row r="296" ht="15.75" customHeight="1">
      <c r="A296" s="3">
        <f>IFERROR(__xludf.DUMMYFUNCTION("""COMPUTED_VALUE"""),296.0)</f>
        <v>296</v>
      </c>
      <c r="B296" s="53">
        <f>IFERROR(__xludf.DUMMYFUNCTION("""COMPUTED_VALUE"""),45409.0)</f>
        <v>45409</v>
      </c>
      <c r="C296" s="3">
        <f>IFERROR(__xludf.DUMMYFUNCTION("""COMPUTED_VALUE"""),88.0)</f>
        <v>88</v>
      </c>
      <c r="D296" s="3" t="str">
        <f>IFERROR(__xludf.DUMMYFUNCTION("""COMPUTED_VALUE"""),"1.191")</f>
        <v>1.191</v>
      </c>
      <c r="E296" s="54">
        <f>IFERROR(__xludf.DUMMYFUNCTION("""COMPUTED_VALUE"""),38000.0)</f>
        <v>38000</v>
      </c>
      <c r="F296" s="3" t="str">
        <f>IFERROR(__xludf.DUMMYFUNCTION("""COMPUTED_VALUE"""),"Tinto Refermentado")</f>
        <v>Tinto Refermentado</v>
      </c>
      <c r="G296" s="3"/>
      <c r="H296" s="56">
        <f>IFERROR(__xludf.DUMMYFUNCTION("""COMPUTED_VALUE"""),13.0)</f>
        <v>13</v>
      </c>
      <c r="I296" s="57">
        <f>IFERROR(__xludf.DUMMYFUNCTION("""COMPUTED_VALUE"""),0.55)</f>
        <v>0.55</v>
      </c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5"/>
      <c r="U296" s="5"/>
      <c r="V296" s="5"/>
      <c r="W296" s="5"/>
    </row>
    <row r="297" ht="15.75" customHeight="1">
      <c r="A297" s="3">
        <f>IFERROR(__xludf.DUMMYFUNCTION("""COMPUTED_VALUE"""),297.0)</f>
        <v>297</v>
      </c>
      <c r="B297" s="53">
        <f>IFERROR(__xludf.DUMMYFUNCTION("""COMPUTED_VALUE"""),45411.0)</f>
        <v>45411</v>
      </c>
      <c r="C297" s="3">
        <f>IFERROR(__xludf.DUMMYFUNCTION("""COMPUTED_VALUE"""),80.0)</f>
        <v>80</v>
      </c>
      <c r="D297" s="3"/>
      <c r="E297" s="3"/>
      <c r="F297" s="3"/>
      <c r="G297" s="3"/>
      <c r="H297" s="56">
        <f>IFERROR(__xludf.DUMMYFUNCTION("""COMPUTED_VALUE"""),1.5)</f>
        <v>1.5</v>
      </c>
      <c r="I297" s="57">
        <f>IFERROR(__xludf.DUMMYFUNCTION("""COMPUTED_VALUE"""),0.35)</f>
        <v>0.35</v>
      </c>
      <c r="J297" s="3"/>
      <c r="K297" s="3"/>
      <c r="L297" s="54">
        <f>IFERROR(__xludf.DUMMYFUNCTION("""COMPUTED_VALUE"""),12.0)</f>
        <v>12</v>
      </c>
      <c r="M297" s="3"/>
      <c r="N297" s="3"/>
      <c r="O297" s="3"/>
      <c r="P297" s="3"/>
      <c r="Q297" s="3"/>
      <c r="R297" s="3"/>
      <c r="S297" s="3"/>
      <c r="T297" s="5"/>
      <c r="U297" s="5"/>
      <c r="V297" s="5"/>
      <c r="W297" s="5"/>
    </row>
    <row r="298" ht="15.75" customHeight="1">
      <c r="A298" s="3">
        <f>IFERROR(__xludf.DUMMYFUNCTION("""COMPUTED_VALUE"""),298.0)</f>
        <v>298</v>
      </c>
      <c r="B298" s="53">
        <f>IFERROR(__xludf.DUMMYFUNCTION("""COMPUTED_VALUE"""),45411.0)</f>
        <v>45411</v>
      </c>
      <c r="C298" s="3">
        <f>IFERROR(__xludf.DUMMYFUNCTION("""COMPUTED_VALUE"""),81.0)</f>
        <v>81</v>
      </c>
      <c r="D298" s="3"/>
      <c r="E298" s="3"/>
      <c r="F298" s="3"/>
      <c r="G298" s="3"/>
      <c r="H298" s="56">
        <f>IFERROR(__xludf.DUMMYFUNCTION("""COMPUTED_VALUE"""),2.0)</f>
        <v>2</v>
      </c>
      <c r="I298" s="57">
        <f>IFERROR(__xludf.DUMMYFUNCTION("""COMPUTED_VALUE"""),0.33)</f>
        <v>0.33</v>
      </c>
      <c r="J298" s="3"/>
      <c r="K298" s="3"/>
      <c r="L298" s="54">
        <f>IFERROR(__xludf.DUMMYFUNCTION("""COMPUTED_VALUE"""),12.0)</f>
        <v>12</v>
      </c>
      <c r="M298" s="3"/>
      <c r="N298" s="3"/>
      <c r="O298" s="3"/>
      <c r="P298" s="3"/>
      <c r="Q298" s="3"/>
      <c r="R298" s="3"/>
      <c r="S298" s="3"/>
      <c r="T298" s="5"/>
      <c r="U298" s="5"/>
      <c r="V298" s="5"/>
      <c r="W298" s="5"/>
    </row>
    <row r="299" ht="15.75" customHeight="1">
      <c r="A299" s="3">
        <f>IFERROR(__xludf.DUMMYFUNCTION("""COMPUTED_VALUE"""),299.0)</f>
        <v>299</v>
      </c>
      <c r="B299" s="53">
        <f>IFERROR(__xludf.DUMMYFUNCTION("""COMPUTED_VALUE"""),45411.0)</f>
        <v>45411</v>
      </c>
      <c r="C299" s="3">
        <f>IFERROR(__xludf.DUMMYFUNCTION("""COMPUTED_VALUE"""),87.0)</f>
        <v>87</v>
      </c>
      <c r="D299" s="3"/>
      <c r="E299" s="3"/>
      <c r="F299" s="3"/>
      <c r="G299" s="3"/>
      <c r="H299" s="56">
        <f>IFERROR(__xludf.DUMMYFUNCTION("""COMPUTED_VALUE"""),5.8)</f>
        <v>5.8</v>
      </c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5"/>
      <c r="U299" s="5"/>
      <c r="V299" s="5"/>
      <c r="W299" s="5"/>
    </row>
    <row r="300" ht="15.75" customHeight="1">
      <c r="A300" s="3">
        <f>IFERROR(__xludf.DUMMYFUNCTION("""COMPUTED_VALUE"""),300.0)</f>
        <v>300</v>
      </c>
      <c r="B300" s="53">
        <f>IFERROR(__xludf.DUMMYFUNCTION("""COMPUTED_VALUE"""),45411.0)</f>
        <v>45411</v>
      </c>
      <c r="C300" s="3">
        <f>IFERROR(__xludf.DUMMYFUNCTION("""COMPUTED_VALUE"""),106.0)</f>
        <v>106</v>
      </c>
      <c r="D300" s="3"/>
      <c r="E300" s="3"/>
      <c r="F300" s="3"/>
      <c r="G300" s="3"/>
      <c r="H300" s="56">
        <f>IFERROR(__xludf.DUMMYFUNCTION("""COMPUTED_VALUE"""),11.5)</f>
        <v>11.5</v>
      </c>
      <c r="I300" s="57">
        <f>IFERROR(__xludf.DUMMYFUNCTION("""COMPUTED_VALUE"""),0.48)</f>
        <v>0.48</v>
      </c>
      <c r="J300" s="3"/>
      <c r="K300" s="3"/>
      <c r="L300" s="54">
        <f>IFERROR(__xludf.DUMMYFUNCTION("""COMPUTED_VALUE"""),10.0)</f>
        <v>10</v>
      </c>
      <c r="M300" s="3"/>
      <c r="N300" s="3"/>
      <c r="O300" s="3"/>
      <c r="P300" s="3"/>
      <c r="Q300" s="3"/>
      <c r="R300" s="3"/>
      <c r="S300" s="3"/>
      <c r="T300" s="5"/>
      <c r="U300" s="5"/>
      <c r="V300" s="5"/>
      <c r="W300" s="5"/>
    </row>
    <row r="301" ht="15.75" customHeight="1">
      <c r="A301" s="3">
        <f>IFERROR(__xludf.DUMMYFUNCTION("""COMPUTED_VALUE"""),301.0)</f>
        <v>301</v>
      </c>
      <c r="B301" s="53">
        <f>IFERROR(__xludf.DUMMYFUNCTION("""COMPUTED_VALUE"""),45414.0)</f>
        <v>45414</v>
      </c>
      <c r="C301" s="3">
        <f>IFERROR(__xludf.DUMMYFUNCTION("""COMPUTED_VALUE"""),90.0)</f>
        <v>90</v>
      </c>
      <c r="D301" s="3" t="str">
        <f>IFERROR(__xludf.DUMMYFUNCTION("""COMPUTED_VALUE"""),"1.204")</f>
        <v>1.204</v>
      </c>
      <c r="E301" s="54">
        <f>IFERROR(__xludf.DUMMYFUNCTION("""COMPUTED_VALUE"""),97500.0)</f>
        <v>97500</v>
      </c>
      <c r="F301" s="3" t="str">
        <f>IFERROR(__xludf.DUMMYFUNCTION("""COMPUTED_VALUE"""),"Chardonnay")</f>
        <v>Chardonnay</v>
      </c>
      <c r="G301" s="55">
        <f>IFERROR(__xludf.DUMMYFUNCTION("""COMPUTED_VALUE"""),12.3)</f>
        <v>12.3</v>
      </c>
      <c r="H301" s="56">
        <f>IFERROR(__xludf.DUMMYFUNCTION("""COMPUTED_VALUE"""),2.0)</f>
        <v>2</v>
      </c>
      <c r="I301" s="57">
        <f>IFERROR(__xludf.DUMMYFUNCTION("""COMPUTED_VALUE"""),0.3)</f>
        <v>0.3</v>
      </c>
      <c r="J301" s="57">
        <f>IFERROR(__xludf.DUMMYFUNCTION("""COMPUTED_VALUE"""),6.9)</f>
        <v>6.9</v>
      </c>
      <c r="K301" s="3"/>
      <c r="L301" s="54">
        <f>IFERROR(__xludf.DUMMYFUNCTION("""COMPUTED_VALUE"""),40.0)</f>
        <v>40</v>
      </c>
      <c r="M301" s="3"/>
      <c r="N301" s="3"/>
      <c r="O301" s="3"/>
      <c r="P301" s="3"/>
      <c r="Q301" s="3"/>
      <c r="R301" s="3"/>
      <c r="S301" s="3"/>
      <c r="T301" s="5"/>
      <c r="U301" s="5"/>
      <c r="V301" s="5"/>
      <c r="W301" s="5"/>
    </row>
    <row r="302" ht="15.75" customHeight="1">
      <c r="A302" s="3">
        <f>IFERROR(__xludf.DUMMYFUNCTION("""COMPUTED_VALUE"""),302.0)</f>
        <v>302</v>
      </c>
      <c r="B302" s="53">
        <f>IFERROR(__xludf.DUMMYFUNCTION("""COMPUTED_VALUE"""),45414.0)</f>
        <v>45414</v>
      </c>
      <c r="C302" s="3">
        <f>IFERROR(__xludf.DUMMYFUNCTION("""COMPUTED_VALUE"""),8.0)</f>
        <v>8</v>
      </c>
      <c r="D302" s="3" t="str">
        <f>IFERROR(__xludf.DUMMYFUNCTION("""COMPUTED_VALUE"""),"1.207")</f>
        <v>1.207</v>
      </c>
      <c r="E302" s="54">
        <f>IFERROR(__xludf.DUMMYFUNCTION("""COMPUTED_VALUE"""),22000.0)</f>
        <v>22000</v>
      </c>
      <c r="F302" s="3" t="str">
        <f>IFERROR(__xludf.DUMMYFUNCTION("""COMPUTED_VALUE"""),"Chardonnay")</f>
        <v>Chardonnay</v>
      </c>
      <c r="G302" s="3"/>
      <c r="H302" s="3"/>
      <c r="I302" s="3"/>
      <c r="J302" s="3"/>
      <c r="K302" s="3"/>
      <c r="L302" s="54">
        <f>IFERROR(__xludf.DUMMYFUNCTION("""COMPUTED_VALUE"""),25.0)</f>
        <v>25</v>
      </c>
      <c r="M302" s="3">
        <f>IFERROR(__xludf.DUMMYFUNCTION("""COMPUTED_VALUE"""),102.0)</f>
        <v>102</v>
      </c>
      <c r="N302" s="3"/>
      <c r="O302" s="3"/>
      <c r="P302" s="3"/>
      <c r="Q302" s="3"/>
      <c r="R302" s="3"/>
      <c r="S302" s="3"/>
      <c r="T302" s="5"/>
      <c r="U302" s="5"/>
      <c r="V302" s="5"/>
      <c r="W302" s="5"/>
    </row>
    <row r="303" ht="15.75" customHeight="1">
      <c r="A303" s="3">
        <f>IFERROR(__xludf.DUMMYFUNCTION("""COMPUTED_VALUE"""),303.0)</f>
        <v>303</v>
      </c>
      <c r="B303" s="53">
        <f>IFERROR(__xludf.DUMMYFUNCTION("""COMPUTED_VALUE"""),45414.0)</f>
        <v>45414</v>
      </c>
      <c r="C303" s="3">
        <f>IFERROR(__xludf.DUMMYFUNCTION("""COMPUTED_VALUE"""),10.0)</f>
        <v>10</v>
      </c>
      <c r="D303" s="3" t="str">
        <f>IFERROR(__xludf.DUMMYFUNCTION("""COMPUTED_VALUE"""),"1.208")</f>
        <v>1.208</v>
      </c>
      <c r="E303" s="54">
        <f>IFERROR(__xludf.DUMMYFUNCTION("""COMPUTED_VALUE"""),21000.0)</f>
        <v>21000</v>
      </c>
      <c r="F303" s="3" t="str">
        <f>IFERROR(__xludf.DUMMYFUNCTION("""COMPUTED_VALUE"""),"Chardonnay")</f>
        <v>Chardonnay</v>
      </c>
      <c r="G303" s="3"/>
      <c r="H303" s="3"/>
      <c r="I303" s="3"/>
      <c r="J303" s="3"/>
      <c r="K303" s="3"/>
      <c r="L303" s="54">
        <f>IFERROR(__xludf.DUMMYFUNCTION("""COMPUTED_VALUE"""),32.0)</f>
        <v>32</v>
      </c>
      <c r="M303" s="3">
        <f>IFERROR(__xludf.DUMMYFUNCTION("""COMPUTED_VALUE"""),110.0)</f>
        <v>110</v>
      </c>
      <c r="N303" s="3"/>
      <c r="O303" s="3"/>
      <c r="P303" s="3"/>
      <c r="Q303" s="3"/>
      <c r="R303" s="3"/>
      <c r="S303" s="3"/>
      <c r="T303" s="5"/>
      <c r="U303" s="5"/>
      <c r="V303" s="5"/>
      <c r="W303" s="5"/>
    </row>
    <row r="304" ht="15.75" customHeight="1">
      <c r="A304" s="3">
        <f>IFERROR(__xludf.DUMMYFUNCTION("""COMPUTED_VALUE"""),304.0)</f>
        <v>304</v>
      </c>
      <c r="B304" s="53">
        <f>IFERROR(__xludf.DUMMYFUNCTION("""COMPUTED_VALUE"""),45414.0)</f>
        <v>45414</v>
      </c>
      <c r="C304" s="3">
        <f>IFERROR(__xludf.DUMMYFUNCTION("""COMPUTED_VALUE"""),44.0)</f>
        <v>44</v>
      </c>
      <c r="D304" s="3" t="str">
        <f>IFERROR(__xludf.DUMMYFUNCTION("""COMPUTED_VALUE"""),"1.066")</f>
        <v>1.066</v>
      </c>
      <c r="E304" s="54">
        <f>IFERROR(__xludf.DUMMYFUNCTION("""COMPUTED_VALUE"""),19100.0)</f>
        <v>19100</v>
      </c>
      <c r="F304" s="3" t="str">
        <f>IFERROR(__xludf.DUMMYFUNCTION("""COMPUTED_VALUE"""),"Chenin")</f>
        <v>Chenin</v>
      </c>
      <c r="G304" s="3"/>
      <c r="H304" s="3"/>
      <c r="I304" s="3"/>
      <c r="J304" s="3"/>
      <c r="K304" s="3"/>
      <c r="L304" s="54">
        <f>IFERROR(__xludf.DUMMYFUNCTION("""COMPUTED_VALUE"""),25.0)</f>
        <v>25</v>
      </c>
      <c r="M304" s="3">
        <f>IFERROR(__xludf.DUMMYFUNCTION("""COMPUTED_VALUE"""),144.0)</f>
        <v>144</v>
      </c>
      <c r="N304" s="3"/>
      <c r="O304" s="3"/>
      <c r="P304" s="3"/>
      <c r="Q304" s="3"/>
      <c r="R304" s="3"/>
      <c r="S304" s="3"/>
      <c r="T304" s="5"/>
      <c r="U304" s="5"/>
      <c r="V304" s="5"/>
      <c r="W304" s="5"/>
    </row>
    <row r="305" ht="15.75" customHeight="1">
      <c r="A305" s="3">
        <f>IFERROR(__xludf.DUMMYFUNCTION("""COMPUTED_VALUE"""),305.0)</f>
        <v>305</v>
      </c>
      <c r="B305" s="53">
        <f>IFERROR(__xludf.DUMMYFUNCTION("""COMPUTED_VALUE"""),45414.0)</f>
        <v>45414</v>
      </c>
      <c r="C305" s="3">
        <f>IFERROR(__xludf.DUMMYFUNCTION("""COMPUTED_VALUE"""),46.0)</f>
        <v>46</v>
      </c>
      <c r="D305" s="3" t="str">
        <f>IFERROR(__xludf.DUMMYFUNCTION("""COMPUTED_VALUE"""),"1.206")</f>
        <v>1.206</v>
      </c>
      <c r="E305" s="54">
        <f>IFERROR(__xludf.DUMMYFUNCTION("""COMPUTED_VALUE"""),29000.0)</f>
        <v>29000</v>
      </c>
      <c r="F305" s="3" t="str">
        <f>IFERROR(__xludf.DUMMYFUNCTION("""COMPUTED_VALUE"""),"Chardonnay")</f>
        <v>Chardonnay</v>
      </c>
      <c r="G305" s="3"/>
      <c r="H305" s="3"/>
      <c r="I305" s="3"/>
      <c r="J305" s="3"/>
      <c r="K305" s="3"/>
      <c r="L305" s="54">
        <f>IFERROR(__xludf.DUMMYFUNCTION("""COMPUTED_VALUE"""),31.0)</f>
        <v>31</v>
      </c>
      <c r="M305" s="3">
        <f>IFERROR(__xludf.DUMMYFUNCTION("""COMPUTED_VALUE"""),99.0)</f>
        <v>99</v>
      </c>
      <c r="N305" s="3"/>
      <c r="O305" s="3"/>
      <c r="P305" s="3"/>
      <c r="Q305" s="3"/>
      <c r="R305" s="3"/>
      <c r="S305" s="3"/>
      <c r="T305" s="5"/>
      <c r="U305" s="5"/>
      <c r="V305" s="5"/>
      <c r="W305" s="5"/>
    </row>
    <row r="306" ht="15.75" customHeight="1">
      <c r="A306" s="3">
        <f>IFERROR(__xludf.DUMMYFUNCTION("""COMPUTED_VALUE"""),306.0)</f>
        <v>306</v>
      </c>
      <c r="B306" s="53">
        <f>IFERROR(__xludf.DUMMYFUNCTION("""COMPUTED_VALUE"""),45414.0)</f>
        <v>45414</v>
      </c>
      <c r="C306" s="3">
        <f>IFERROR(__xludf.DUMMYFUNCTION("""COMPUTED_VALUE"""),47.0)</f>
        <v>47</v>
      </c>
      <c r="D306" s="3" t="str">
        <f>IFERROR(__xludf.DUMMYFUNCTION("""COMPUTED_VALUE"""),"1.029")</f>
        <v>1.029</v>
      </c>
      <c r="E306" s="54">
        <f>IFERROR(__xludf.DUMMYFUNCTION("""COMPUTED_VALUE"""),20000.0)</f>
        <v>20000</v>
      </c>
      <c r="F306" s="3" t="str">
        <f>IFERROR(__xludf.DUMMYFUNCTION("""COMPUTED_VALUE"""),"Chardonnay")</f>
        <v>Chardonnay</v>
      </c>
      <c r="G306" s="3"/>
      <c r="H306" s="3"/>
      <c r="I306" s="3"/>
      <c r="J306" s="3"/>
      <c r="K306" s="3"/>
      <c r="L306" s="54">
        <f>IFERROR(__xludf.DUMMYFUNCTION("""COMPUTED_VALUE"""),38.0)</f>
        <v>38</v>
      </c>
      <c r="M306" s="3">
        <f>IFERROR(__xludf.DUMMYFUNCTION("""COMPUTED_VALUE"""),108.0)</f>
        <v>108</v>
      </c>
      <c r="N306" s="3"/>
      <c r="O306" s="3"/>
      <c r="P306" s="3"/>
      <c r="Q306" s="3"/>
      <c r="R306" s="3"/>
      <c r="S306" s="3"/>
      <c r="T306" s="5"/>
      <c r="U306" s="5"/>
      <c r="V306" s="5"/>
      <c r="W306" s="5"/>
    </row>
    <row r="307" ht="15.75" customHeight="1">
      <c r="A307" s="3">
        <f>IFERROR(__xludf.DUMMYFUNCTION("""COMPUTED_VALUE"""),307.0)</f>
        <v>307</v>
      </c>
      <c r="B307" s="53">
        <f>IFERROR(__xludf.DUMMYFUNCTION("""COMPUTED_VALUE"""),45414.0)</f>
        <v>45414</v>
      </c>
      <c r="C307" s="3">
        <f>IFERROR(__xludf.DUMMYFUNCTION("""COMPUTED_VALUE"""),52.0)</f>
        <v>52</v>
      </c>
      <c r="D307" s="3" t="str">
        <f>IFERROR(__xludf.DUMMYFUNCTION("""COMPUTED_VALUE"""),"1.205")</f>
        <v>1.205</v>
      </c>
      <c r="E307" s="54">
        <f>IFERROR(__xludf.DUMMYFUNCTION("""COMPUTED_VALUE"""),27000.0)</f>
        <v>27000</v>
      </c>
      <c r="F307" s="3" t="str">
        <f>IFERROR(__xludf.DUMMYFUNCTION("""COMPUTED_VALUE"""),"Chardonnay")</f>
        <v>Chardonnay</v>
      </c>
      <c r="G307" s="3"/>
      <c r="H307" s="3"/>
      <c r="I307" s="3"/>
      <c r="J307" s="3"/>
      <c r="K307" s="3"/>
      <c r="L307" s="54">
        <f>IFERROR(__xludf.DUMMYFUNCTION("""COMPUTED_VALUE"""),27.0)</f>
        <v>27</v>
      </c>
      <c r="M307" s="3">
        <f>IFERROR(__xludf.DUMMYFUNCTION("""COMPUTED_VALUE"""),95.0)</f>
        <v>95</v>
      </c>
      <c r="N307" s="3"/>
      <c r="O307" s="3"/>
      <c r="P307" s="3"/>
      <c r="Q307" s="3"/>
      <c r="R307" s="3"/>
      <c r="S307" s="3"/>
      <c r="T307" s="5"/>
      <c r="U307" s="5"/>
      <c r="V307" s="5"/>
      <c r="W307" s="5"/>
    </row>
    <row r="308" ht="15.75" customHeight="1">
      <c r="A308" s="3">
        <f>IFERROR(__xludf.DUMMYFUNCTION("""COMPUTED_VALUE"""),308.0)</f>
        <v>308</v>
      </c>
      <c r="B308" s="53">
        <f>IFERROR(__xludf.DUMMYFUNCTION("""COMPUTED_VALUE"""),45414.0)</f>
        <v>45414</v>
      </c>
      <c r="C308" s="3">
        <f>IFERROR(__xludf.DUMMYFUNCTION("""COMPUTED_VALUE"""),54.0)</f>
        <v>54</v>
      </c>
      <c r="D308" s="3" t="str">
        <f>IFERROR(__xludf.DUMMYFUNCTION("""COMPUTED_VALUE"""),"1.165")</f>
        <v>1.165</v>
      </c>
      <c r="E308" s="54">
        <f>IFERROR(__xludf.DUMMYFUNCTION("""COMPUTED_VALUE"""),22900.0)</f>
        <v>22900</v>
      </c>
      <c r="F308" s="3" t="str">
        <f>IFERROR(__xludf.DUMMYFUNCTION("""COMPUTED_VALUE"""),"Pedro Gimenez")</f>
        <v>Pedro Gimenez</v>
      </c>
      <c r="G308" s="3"/>
      <c r="H308" s="3"/>
      <c r="I308" s="3"/>
      <c r="J308" s="3"/>
      <c r="K308" s="3"/>
      <c r="L308" s="54">
        <f>IFERROR(__xludf.DUMMYFUNCTION("""COMPUTED_VALUE"""),32.0)</f>
        <v>32</v>
      </c>
      <c r="M308" s="3">
        <f>IFERROR(__xludf.DUMMYFUNCTION("""COMPUTED_VALUE"""),125.0)</f>
        <v>125</v>
      </c>
      <c r="N308" s="3"/>
      <c r="O308" s="3"/>
      <c r="P308" s="3"/>
      <c r="Q308" s="3"/>
      <c r="R308" s="3"/>
      <c r="S308" s="3"/>
      <c r="T308" s="5"/>
      <c r="U308" s="5"/>
      <c r="V308" s="5"/>
      <c r="W308" s="5"/>
    </row>
    <row r="309" ht="15.75" customHeight="1">
      <c r="A309" s="3">
        <f>IFERROR(__xludf.DUMMYFUNCTION("""COMPUTED_VALUE"""),309.0)</f>
        <v>309</v>
      </c>
      <c r="B309" s="53">
        <f>IFERROR(__xludf.DUMMYFUNCTION("""COMPUTED_VALUE"""),45414.0)</f>
        <v>45414</v>
      </c>
      <c r="C309" s="3">
        <f>IFERROR(__xludf.DUMMYFUNCTION("""COMPUTED_VALUE"""),72.0)</f>
        <v>72</v>
      </c>
      <c r="D309" s="3" t="str">
        <f>IFERROR(__xludf.DUMMYFUNCTION("""COMPUTED_VALUE"""),"1.172")</f>
        <v>1.172</v>
      </c>
      <c r="E309" s="54">
        <f>IFERROR(__xludf.DUMMYFUNCTION("""COMPUTED_VALUE"""),10000.0)</f>
        <v>10000</v>
      </c>
      <c r="F309" s="3" t="str">
        <f>IFERROR(__xludf.DUMMYFUNCTION("""COMPUTED_VALUE"""),"Torrontes")</f>
        <v>Torrontes</v>
      </c>
      <c r="G309" s="3"/>
      <c r="H309" s="3"/>
      <c r="I309" s="3"/>
      <c r="J309" s="3"/>
      <c r="K309" s="3"/>
      <c r="L309" s="54">
        <f>IFERROR(__xludf.DUMMYFUNCTION("""COMPUTED_VALUE"""),20.0)</f>
        <v>20</v>
      </c>
      <c r="M309" s="3">
        <f>IFERROR(__xludf.DUMMYFUNCTION("""COMPUTED_VALUE"""),90.0)</f>
        <v>90</v>
      </c>
      <c r="N309" s="3"/>
      <c r="O309" s="3"/>
      <c r="P309" s="3"/>
      <c r="Q309" s="3"/>
      <c r="R309" s="3"/>
      <c r="S309" s="3"/>
      <c r="T309" s="5"/>
      <c r="U309" s="5"/>
      <c r="V309" s="5"/>
      <c r="W309" s="5"/>
    </row>
    <row r="310" ht="15.75" customHeight="1">
      <c r="A310" s="3">
        <f>IFERROR(__xludf.DUMMYFUNCTION("""COMPUTED_VALUE"""),310.0)</f>
        <v>310</v>
      </c>
      <c r="B310" s="53">
        <f>IFERROR(__xludf.DUMMYFUNCTION("""COMPUTED_VALUE"""),45414.0)</f>
        <v>45414</v>
      </c>
      <c r="C310" s="3">
        <f>IFERROR(__xludf.DUMMYFUNCTION("""COMPUTED_VALUE"""),74.0)</f>
        <v>74</v>
      </c>
      <c r="D310" s="3" t="str">
        <f>IFERROR(__xludf.DUMMYFUNCTION("""COMPUTED_VALUE"""),"1.028")</f>
        <v>1.028</v>
      </c>
      <c r="E310" s="54">
        <f>IFERROR(__xludf.DUMMYFUNCTION("""COMPUTED_VALUE"""),13000.0)</f>
        <v>13000</v>
      </c>
      <c r="F310" s="3" t="str">
        <f>IFERROR(__xludf.DUMMYFUNCTION("""COMPUTED_VALUE"""),"Chardonnay")</f>
        <v>Chardonnay</v>
      </c>
      <c r="G310" s="3"/>
      <c r="H310" s="3"/>
      <c r="I310" s="3"/>
      <c r="J310" s="3"/>
      <c r="K310" s="3"/>
      <c r="L310" s="54">
        <f>IFERROR(__xludf.DUMMYFUNCTION("""COMPUTED_VALUE"""),31.0)</f>
        <v>31</v>
      </c>
      <c r="M310" s="3">
        <f>IFERROR(__xludf.DUMMYFUNCTION("""COMPUTED_VALUE"""),115.0)</f>
        <v>115</v>
      </c>
      <c r="N310" s="3"/>
      <c r="O310" s="3"/>
      <c r="P310" s="3"/>
      <c r="Q310" s="3"/>
      <c r="R310" s="3"/>
      <c r="S310" s="3"/>
      <c r="T310" s="5"/>
      <c r="U310" s="5"/>
      <c r="V310" s="5"/>
      <c r="W310" s="5"/>
    </row>
    <row r="311" ht="15.75" customHeight="1">
      <c r="A311" s="3">
        <f>IFERROR(__xludf.DUMMYFUNCTION("""COMPUTED_VALUE"""),311.0)</f>
        <v>311</v>
      </c>
      <c r="B311" s="53">
        <f>IFERROR(__xludf.DUMMYFUNCTION("""COMPUTED_VALUE"""),45414.0)</f>
        <v>45414</v>
      </c>
      <c r="C311" s="3">
        <f>IFERROR(__xludf.DUMMYFUNCTION("""COMPUTED_VALUE"""),75.0)</f>
        <v>75</v>
      </c>
      <c r="D311" s="3" t="str">
        <f>IFERROR(__xludf.DUMMYFUNCTION("""COMPUTED_VALUE"""),"1.209")</f>
        <v>1.209</v>
      </c>
      <c r="E311" s="54">
        <f>IFERROR(__xludf.DUMMYFUNCTION("""COMPUTED_VALUE"""),7000.0)</f>
        <v>7000</v>
      </c>
      <c r="F311" s="3" t="str">
        <f>IFERROR(__xludf.DUMMYFUNCTION("""COMPUTED_VALUE"""),"Chardonnay")</f>
        <v>Chardonnay</v>
      </c>
      <c r="G311" s="3"/>
      <c r="H311" s="3"/>
      <c r="I311" s="3"/>
      <c r="J311" s="3"/>
      <c r="K311" s="3"/>
      <c r="L311" s="54">
        <f>IFERROR(__xludf.DUMMYFUNCTION("""COMPUTED_VALUE"""),29.0)</f>
        <v>29</v>
      </c>
      <c r="M311" s="3">
        <f>IFERROR(__xludf.DUMMYFUNCTION("""COMPUTED_VALUE"""),110.0)</f>
        <v>110</v>
      </c>
      <c r="N311" s="3"/>
      <c r="O311" s="3"/>
      <c r="P311" s="3"/>
      <c r="Q311" s="3"/>
      <c r="R311" s="3"/>
      <c r="S311" s="3"/>
      <c r="T311" s="5"/>
      <c r="U311" s="5"/>
      <c r="V311" s="5"/>
      <c r="W311" s="5"/>
    </row>
    <row r="312" ht="15.75" customHeight="1">
      <c r="A312" s="3">
        <f>IFERROR(__xludf.DUMMYFUNCTION("""COMPUTED_VALUE"""),312.0)</f>
        <v>312</v>
      </c>
      <c r="B312" s="53">
        <f>IFERROR(__xludf.DUMMYFUNCTION("""COMPUTED_VALUE"""),45414.0)</f>
        <v>45414</v>
      </c>
      <c r="C312" s="3">
        <f>IFERROR(__xludf.DUMMYFUNCTION("""COMPUTED_VALUE"""),94.0)</f>
        <v>94</v>
      </c>
      <c r="D312" s="3" t="str">
        <f>IFERROR(__xludf.DUMMYFUNCTION("""COMPUTED_VALUE"""),"1.117")</f>
        <v>1.117</v>
      </c>
      <c r="E312" s="54">
        <f>IFERROR(__xludf.DUMMYFUNCTION("""COMPUTED_VALUE"""),11000.0)</f>
        <v>11000</v>
      </c>
      <c r="F312" s="3" t="str">
        <f>IFERROR(__xludf.DUMMYFUNCTION("""COMPUTED_VALUE"""),"Torrontes")</f>
        <v>Torrontes</v>
      </c>
      <c r="G312" s="3"/>
      <c r="H312" s="3"/>
      <c r="I312" s="3"/>
      <c r="J312" s="3"/>
      <c r="K312" s="3"/>
      <c r="L312" s="54">
        <f>IFERROR(__xludf.DUMMYFUNCTION("""COMPUTED_VALUE"""),25.0)</f>
        <v>25</v>
      </c>
      <c r="M312" s="3">
        <f>IFERROR(__xludf.DUMMYFUNCTION("""COMPUTED_VALUE"""),102.0)</f>
        <v>102</v>
      </c>
      <c r="N312" s="3"/>
      <c r="O312" s="3"/>
      <c r="P312" s="3"/>
      <c r="Q312" s="3"/>
      <c r="R312" s="3"/>
      <c r="S312" s="3"/>
      <c r="T312" s="5"/>
      <c r="U312" s="5"/>
      <c r="V312" s="5"/>
      <c r="W312" s="5"/>
    </row>
    <row r="313" ht="15.75" customHeight="1">
      <c r="A313" s="3">
        <f>IFERROR(__xludf.DUMMYFUNCTION("""COMPUTED_VALUE"""),313.0)</f>
        <v>313</v>
      </c>
      <c r="B313" s="53">
        <f>IFERROR(__xludf.DUMMYFUNCTION("""COMPUTED_VALUE"""),45414.0)</f>
        <v>45414</v>
      </c>
      <c r="C313" s="3">
        <f>IFERROR(__xludf.DUMMYFUNCTION("""COMPUTED_VALUE"""),82.0)</f>
        <v>82</v>
      </c>
      <c r="D313" s="3" t="str">
        <f>IFERROR(__xludf.DUMMYFUNCTION("""COMPUTED_VALUE"""),"1.203")</f>
        <v>1.203</v>
      </c>
      <c r="E313" s="54">
        <f>IFERROR(__xludf.DUMMYFUNCTION("""COMPUTED_VALUE"""),39000.0)</f>
        <v>39000</v>
      </c>
      <c r="F313" s="3" t="str">
        <f>IFERROR(__xludf.DUMMYFUNCTION("""COMPUTED_VALUE"""),"Tinto Recarga")</f>
        <v>Tinto Recarga</v>
      </c>
      <c r="G313" s="55">
        <f>IFERROR(__xludf.DUMMYFUNCTION("""COMPUTED_VALUE"""),13.3)</f>
        <v>13.3</v>
      </c>
      <c r="H313" s="56">
        <f>IFERROR(__xludf.DUMMYFUNCTION("""COMPUTED_VALUE"""),4.0)</f>
        <v>4</v>
      </c>
      <c r="I313" s="57">
        <f>IFERROR(__xludf.DUMMYFUNCTION("""COMPUTED_VALUE"""),0.34)</f>
        <v>0.34</v>
      </c>
      <c r="J313" s="57">
        <f>IFERROR(__xludf.DUMMYFUNCTION("""COMPUTED_VALUE"""),4.6)</f>
        <v>4.6</v>
      </c>
      <c r="K313" s="57">
        <f>IFERROR(__xludf.DUMMYFUNCTION("""COMPUTED_VALUE"""),3.96)</f>
        <v>3.96</v>
      </c>
      <c r="L313" s="54">
        <f>IFERROR(__xludf.DUMMYFUNCTION("""COMPUTED_VALUE"""),12.0)</f>
        <v>12</v>
      </c>
      <c r="M313" s="3">
        <f>IFERROR(__xludf.DUMMYFUNCTION("""COMPUTED_VALUE"""),57.0)</f>
        <v>57</v>
      </c>
      <c r="N313" s="3"/>
      <c r="O313" s="3"/>
      <c r="P313" s="3"/>
      <c r="Q313" s="3"/>
      <c r="R313" s="3"/>
      <c r="S313" s="3"/>
      <c r="T313" s="5"/>
      <c r="U313" s="5"/>
      <c r="V313" s="5"/>
      <c r="W313" s="5"/>
    </row>
    <row r="314" ht="15.75" customHeight="1">
      <c r="A314" s="3">
        <f>IFERROR(__xludf.DUMMYFUNCTION("""COMPUTED_VALUE"""),314.0)</f>
        <v>314</v>
      </c>
      <c r="B314" s="53">
        <f>IFERROR(__xludf.DUMMYFUNCTION("""COMPUTED_VALUE"""),45414.0)</f>
        <v>45414</v>
      </c>
      <c r="C314" s="3">
        <f>IFERROR(__xludf.DUMMYFUNCTION("""COMPUTED_VALUE"""),83.0)</f>
        <v>83</v>
      </c>
      <c r="D314" s="3" t="str">
        <f>IFERROR(__xludf.DUMMYFUNCTION("""COMPUTED_VALUE"""),"1.195")</f>
        <v>1.195</v>
      </c>
      <c r="E314" s="54">
        <f>IFERROR(__xludf.DUMMYFUNCTION("""COMPUTED_VALUE"""),81500.0)</f>
        <v>81500</v>
      </c>
      <c r="F314" s="3" t="str">
        <f>IFERROR(__xludf.DUMMYFUNCTION("""COMPUTED_VALUE"""),"Bonarda")</f>
        <v>Bonarda</v>
      </c>
      <c r="G314" s="55">
        <f>IFERROR(__xludf.DUMMYFUNCTION("""COMPUTED_VALUE"""),13.5)</f>
        <v>13.5</v>
      </c>
      <c r="H314" s="56">
        <f>IFERROR(__xludf.DUMMYFUNCTION("""COMPUTED_VALUE"""),5.5)</f>
        <v>5.5</v>
      </c>
      <c r="I314" s="57">
        <f>IFERROR(__xludf.DUMMYFUNCTION("""COMPUTED_VALUE"""),0.45)</f>
        <v>0.45</v>
      </c>
      <c r="J314" s="57">
        <f>IFERROR(__xludf.DUMMYFUNCTION("""COMPUTED_VALUE"""),5.35)</f>
        <v>5.35</v>
      </c>
      <c r="K314" s="57">
        <f>IFERROR(__xludf.DUMMYFUNCTION("""COMPUTED_VALUE"""),3.88)</f>
        <v>3.88</v>
      </c>
      <c r="L314" s="54">
        <f>IFERROR(__xludf.DUMMYFUNCTION("""COMPUTED_VALUE"""),23.0)</f>
        <v>23</v>
      </c>
      <c r="M314" s="3">
        <f>IFERROR(__xludf.DUMMYFUNCTION("""COMPUTED_VALUE"""),138.0)</f>
        <v>138</v>
      </c>
      <c r="N314" s="3"/>
      <c r="O314" s="3"/>
      <c r="P314" s="3"/>
      <c r="Q314" s="3"/>
      <c r="R314" s="3"/>
      <c r="S314" s="3"/>
      <c r="T314" s="5"/>
      <c r="U314" s="5"/>
      <c r="V314" s="5"/>
      <c r="W314" s="5"/>
    </row>
    <row r="315" ht="15.75" customHeight="1">
      <c r="A315" s="3">
        <f>IFERROR(__xludf.DUMMYFUNCTION("""COMPUTED_VALUE"""),315.0)</f>
        <v>315</v>
      </c>
      <c r="B315" s="53">
        <f>IFERROR(__xludf.DUMMYFUNCTION("""COMPUTED_VALUE"""),45414.0)</f>
        <v>45414</v>
      </c>
      <c r="C315" s="3">
        <f>IFERROR(__xludf.DUMMYFUNCTION("""COMPUTED_VALUE"""),84.0)</f>
        <v>84</v>
      </c>
      <c r="D315" s="3" t="str">
        <f>IFERROR(__xludf.DUMMYFUNCTION("""COMPUTED_VALUE"""),"1.187")</f>
        <v>1.187</v>
      </c>
      <c r="E315" s="54">
        <f>IFERROR(__xludf.DUMMYFUNCTION("""COMPUTED_VALUE"""),83000.0)</f>
        <v>83000</v>
      </c>
      <c r="F315" s="3" t="str">
        <f>IFERROR(__xludf.DUMMYFUNCTION("""COMPUTED_VALUE"""),"Tinto Recarga")</f>
        <v>Tinto Recarga</v>
      </c>
      <c r="G315" s="55">
        <f>IFERROR(__xludf.DUMMYFUNCTION("""COMPUTED_VALUE"""),14.0)</f>
        <v>14</v>
      </c>
      <c r="H315" s="56">
        <f>IFERROR(__xludf.DUMMYFUNCTION("""COMPUTED_VALUE"""),4.0)</f>
        <v>4</v>
      </c>
      <c r="I315" s="57">
        <f>IFERROR(__xludf.DUMMYFUNCTION("""COMPUTED_VALUE"""),0.47)</f>
        <v>0.47</v>
      </c>
      <c r="J315" s="57">
        <f>IFERROR(__xludf.DUMMYFUNCTION("""COMPUTED_VALUE"""),4.6)</f>
        <v>4.6</v>
      </c>
      <c r="K315" s="57">
        <f>IFERROR(__xludf.DUMMYFUNCTION("""COMPUTED_VALUE"""),3.9)</f>
        <v>3.9</v>
      </c>
      <c r="L315" s="54">
        <f>IFERROR(__xludf.DUMMYFUNCTION("""COMPUTED_VALUE"""),18.0)</f>
        <v>18</v>
      </c>
      <c r="M315" s="3">
        <f>IFERROR(__xludf.DUMMYFUNCTION("""COMPUTED_VALUE"""),115.0)</f>
        <v>115</v>
      </c>
      <c r="N315" s="3"/>
      <c r="O315" s="3"/>
      <c r="P315" s="3"/>
      <c r="Q315" s="3"/>
      <c r="R315" s="3"/>
      <c r="S315" s="3"/>
      <c r="T315" s="5"/>
      <c r="U315" s="5"/>
      <c r="V315" s="5"/>
      <c r="W315" s="5"/>
    </row>
    <row r="316" ht="15.75" customHeight="1">
      <c r="A316" s="3">
        <f>IFERROR(__xludf.DUMMYFUNCTION("""COMPUTED_VALUE"""),316.0)</f>
        <v>316</v>
      </c>
      <c r="B316" s="53">
        <f>IFERROR(__xludf.DUMMYFUNCTION("""COMPUTED_VALUE"""),45414.0)</f>
        <v>45414</v>
      </c>
      <c r="C316" s="3">
        <f>IFERROR(__xludf.DUMMYFUNCTION("""COMPUTED_VALUE"""),85.0)</f>
        <v>85</v>
      </c>
      <c r="D316" s="3" t="str">
        <f>IFERROR(__xludf.DUMMYFUNCTION("""COMPUTED_VALUE"""),"1.179")</f>
        <v>1.179</v>
      </c>
      <c r="E316" s="54">
        <f>IFERROR(__xludf.DUMMYFUNCTION("""COMPUTED_VALUE"""),84000.0)</f>
        <v>84000</v>
      </c>
      <c r="F316" s="3" t="str">
        <f>IFERROR(__xludf.DUMMYFUNCTION("""COMPUTED_VALUE"""),"Bonarda")</f>
        <v>Bonarda</v>
      </c>
      <c r="G316" s="55">
        <f>IFERROR(__xludf.DUMMYFUNCTION("""COMPUTED_VALUE"""),14.1)</f>
        <v>14.1</v>
      </c>
      <c r="H316" s="56">
        <f>IFERROR(__xludf.DUMMYFUNCTION("""COMPUTED_VALUE"""),2.4)</f>
        <v>2.4</v>
      </c>
      <c r="I316" s="57">
        <f>IFERROR(__xludf.DUMMYFUNCTION("""COMPUTED_VALUE"""),0.48)</f>
        <v>0.48</v>
      </c>
      <c r="J316" s="57">
        <f>IFERROR(__xludf.DUMMYFUNCTION("""COMPUTED_VALUE"""),6.12)</f>
        <v>6.12</v>
      </c>
      <c r="K316" s="57">
        <f>IFERROR(__xludf.DUMMYFUNCTION("""COMPUTED_VALUE"""),3.9)</f>
        <v>3.9</v>
      </c>
      <c r="L316" s="54">
        <f>IFERROR(__xludf.DUMMYFUNCTION("""COMPUTED_VALUE"""),25.0)</f>
        <v>25</v>
      </c>
      <c r="M316" s="3">
        <f>IFERROR(__xludf.DUMMYFUNCTION("""COMPUTED_VALUE"""),134.0)</f>
        <v>134</v>
      </c>
      <c r="N316" s="3"/>
      <c r="O316" s="3"/>
      <c r="P316" s="3"/>
      <c r="Q316" s="3"/>
      <c r="R316" s="3"/>
      <c r="S316" s="3"/>
      <c r="T316" s="5"/>
      <c r="U316" s="5"/>
      <c r="V316" s="5"/>
      <c r="W316" s="5"/>
    </row>
    <row r="317" ht="15.75" customHeight="1">
      <c r="A317" s="3">
        <f>IFERROR(__xludf.DUMMYFUNCTION("""COMPUTED_VALUE"""),317.0)</f>
        <v>317</v>
      </c>
      <c r="B317" s="53">
        <f>IFERROR(__xludf.DUMMYFUNCTION("""COMPUTED_VALUE"""),45415.0)</f>
        <v>45415</v>
      </c>
      <c r="C317" s="3">
        <f>IFERROR(__xludf.DUMMYFUNCTION("""COMPUTED_VALUE"""),86.0)</f>
        <v>86</v>
      </c>
      <c r="D317" s="3" t="str">
        <f>IFERROR(__xludf.DUMMYFUNCTION("""COMPUTED_VALUE"""),"1.194")</f>
        <v>1.194</v>
      </c>
      <c r="E317" s="54">
        <f>IFERROR(__xludf.DUMMYFUNCTION("""COMPUTED_VALUE"""),82000.0)</f>
        <v>82000</v>
      </c>
      <c r="F317" s="3" t="str">
        <f>IFERROR(__xludf.DUMMYFUNCTION("""COMPUTED_VALUE"""),"Criollo y Bonarda Refer")</f>
        <v>Criollo y Bonarda Refer</v>
      </c>
      <c r="G317" s="55">
        <f>IFERROR(__xludf.DUMMYFUNCTION("""COMPUTED_VALUE"""),13.5)</f>
        <v>13.5</v>
      </c>
      <c r="H317" s="56">
        <f>IFERROR(__xludf.DUMMYFUNCTION("""COMPUTED_VALUE"""),2.0)</f>
        <v>2</v>
      </c>
      <c r="I317" s="57">
        <f>IFERROR(__xludf.DUMMYFUNCTION("""COMPUTED_VALUE"""),0.5)</f>
        <v>0.5</v>
      </c>
      <c r="J317" s="57">
        <f>IFERROR(__xludf.DUMMYFUNCTION("""COMPUTED_VALUE"""),5.3)</f>
        <v>5.3</v>
      </c>
      <c r="K317" s="57">
        <f>IFERROR(__xludf.DUMMYFUNCTION("""COMPUTED_VALUE"""),3.9)</f>
        <v>3.9</v>
      </c>
      <c r="L317" s="54">
        <f>IFERROR(__xludf.DUMMYFUNCTION("""COMPUTED_VALUE"""),25.0)</f>
        <v>25</v>
      </c>
      <c r="M317" s="3">
        <f>IFERROR(__xludf.DUMMYFUNCTION("""COMPUTED_VALUE"""),105.0)</f>
        <v>105</v>
      </c>
      <c r="N317" s="3"/>
      <c r="O317" s="3"/>
      <c r="P317" s="3"/>
      <c r="Q317" s="3"/>
      <c r="R317" s="3"/>
      <c r="S317" s="3"/>
      <c r="T317" s="5"/>
      <c r="U317" s="5"/>
      <c r="V317" s="5"/>
      <c r="W317" s="5"/>
    </row>
    <row r="318" ht="15.75" customHeight="1">
      <c r="A318" s="3">
        <f>IFERROR(__xludf.DUMMYFUNCTION("""COMPUTED_VALUE"""),318.0)</f>
        <v>318</v>
      </c>
      <c r="B318" s="53">
        <f>IFERROR(__xludf.DUMMYFUNCTION("""COMPUTED_VALUE"""),45415.0)</f>
        <v>45415</v>
      </c>
      <c r="C318" s="3">
        <f>IFERROR(__xludf.DUMMYFUNCTION("""COMPUTED_VALUE"""),89.0)</f>
        <v>89</v>
      </c>
      <c r="D318" s="3" t="str">
        <f>IFERROR(__xludf.DUMMYFUNCTION("""COMPUTED_VALUE"""),"1.213")</f>
        <v>1.213</v>
      </c>
      <c r="E318" s="54">
        <f>IFERROR(__xludf.DUMMYFUNCTION("""COMPUTED_VALUE"""),65000.0)</f>
        <v>65000</v>
      </c>
      <c r="F318" s="3" t="str">
        <f>IFERROR(__xludf.DUMMYFUNCTION("""COMPUTED_VALUE"""),"Cabernet")</f>
        <v>Cabernet</v>
      </c>
      <c r="G318" s="55">
        <f>IFERROR(__xludf.DUMMYFUNCTION("""COMPUTED_VALUE"""),12.9)</f>
        <v>12.9</v>
      </c>
      <c r="H318" s="56">
        <f>IFERROR(__xludf.DUMMYFUNCTION("""COMPUTED_VALUE"""),6.0)</f>
        <v>6</v>
      </c>
      <c r="I318" s="57">
        <f>IFERROR(__xludf.DUMMYFUNCTION("""COMPUTED_VALUE"""),0.4)</f>
        <v>0.4</v>
      </c>
      <c r="J318" s="57">
        <f>IFERROR(__xludf.DUMMYFUNCTION("""COMPUTED_VALUE"""),5.7)</f>
        <v>5.7</v>
      </c>
      <c r="K318" s="57">
        <f>IFERROR(__xludf.DUMMYFUNCTION("""COMPUTED_VALUE"""),4.03)</f>
        <v>4.03</v>
      </c>
      <c r="L318" s="54">
        <f>IFERROR(__xludf.DUMMYFUNCTION("""COMPUTED_VALUE"""),20.0)</f>
        <v>20</v>
      </c>
      <c r="M318" s="3">
        <f>IFERROR(__xludf.DUMMYFUNCTION("""COMPUTED_VALUE"""),70.0)</f>
        <v>70</v>
      </c>
      <c r="N318" s="3"/>
      <c r="O318" s="3"/>
      <c r="P318" s="3"/>
      <c r="Q318" s="3"/>
      <c r="R318" s="3"/>
      <c r="S318" s="3"/>
      <c r="T318" s="5"/>
      <c r="U318" s="5"/>
      <c r="V318" s="5"/>
      <c r="W318" s="5"/>
    </row>
    <row r="319" ht="15.75" customHeight="1">
      <c r="A319" s="3">
        <f>IFERROR(__xludf.DUMMYFUNCTION("""COMPUTED_VALUE"""),319.0)</f>
        <v>319</v>
      </c>
      <c r="B319" s="53">
        <f>IFERROR(__xludf.DUMMYFUNCTION("""COMPUTED_VALUE"""),45415.0)</f>
        <v>45415</v>
      </c>
      <c r="C319" s="3">
        <f>IFERROR(__xludf.DUMMYFUNCTION("""COMPUTED_VALUE"""),91.0)</f>
        <v>91</v>
      </c>
      <c r="D319" s="3" t="str">
        <f>IFERROR(__xludf.DUMMYFUNCTION("""COMPUTED_VALUE"""),"1.196")</f>
        <v>1.196</v>
      </c>
      <c r="E319" s="54">
        <f>IFERROR(__xludf.DUMMYFUNCTION("""COMPUTED_VALUE"""),86000.0)</f>
        <v>86000</v>
      </c>
      <c r="F319" s="3" t="str">
        <f>IFERROR(__xludf.DUMMYFUNCTION("""COMPUTED_VALUE"""),"Criollo")</f>
        <v>Criollo</v>
      </c>
      <c r="G319" s="55">
        <f>IFERROR(__xludf.DUMMYFUNCTION("""COMPUTED_VALUE"""),13.5)</f>
        <v>13.5</v>
      </c>
      <c r="H319" s="56">
        <f>IFERROR(__xludf.DUMMYFUNCTION("""COMPUTED_VALUE"""),5.7)</f>
        <v>5.7</v>
      </c>
      <c r="I319" s="57">
        <f>IFERROR(__xludf.DUMMYFUNCTION("""COMPUTED_VALUE"""),0.55)</f>
        <v>0.55</v>
      </c>
      <c r="J319" s="57">
        <f>IFERROR(__xludf.DUMMYFUNCTION("""COMPUTED_VALUE"""),5.0)</f>
        <v>5</v>
      </c>
      <c r="K319" s="57">
        <f>IFERROR(__xludf.DUMMYFUNCTION("""COMPUTED_VALUE"""),3.94)</f>
        <v>3.94</v>
      </c>
      <c r="L319" s="54">
        <f>IFERROR(__xludf.DUMMYFUNCTION("""COMPUTED_VALUE"""),19.0)</f>
        <v>19</v>
      </c>
      <c r="M319" s="3">
        <f>IFERROR(__xludf.DUMMYFUNCTION("""COMPUTED_VALUE"""),90.0)</f>
        <v>90</v>
      </c>
      <c r="N319" s="3"/>
      <c r="O319" s="3"/>
      <c r="P319" s="3"/>
      <c r="Q319" s="3"/>
      <c r="R319" s="3"/>
      <c r="S319" s="3"/>
      <c r="T319" s="5"/>
      <c r="U319" s="5"/>
      <c r="V319" s="5"/>
      <c r="W319" s="5"/>
    </row>
    <row r="320" ht="15.75" customHeight="1">
      <c r="A320" s="3">
        <f>IFERROR(__xludf.DUMMYFUNCTION("""COMPUTED_VALUE"""),320.0)</f>
        <v>320</v>
      </c>
      <c r="B320" s="53">
        <f>IFERROR(__xludf.DUMMYFUNCTION("""COMPUTED_VALUE"""),45415.0)</f>
        <v>45415</v>
      </c>
      <c r="C320" s="3">
        <f>IFERROR(__xludf.DUMMYFUNCTION("""COMPUTED_VALUE"""),92.0)</f>
        <v>92</v>
      </c>
      <c r="D320" s="3" t="str">
        <f>IFERROR(__xludf.DUMMYFUNCTION("""COMPUTED_VALUE"""),"1.202")</f>
        <v>1.202</v>
      </c>
      <c r="E320" s="54">
        <f>IFERROR(__xludf.DUMMYFUNCTION("""COMPUTED_VALUE"""),40000.0)</f>
        <v>40000</v>
      </c>
      <c r="F320" s="3" t="str">
        <f>IFERROR(__xludf.DUMMYFUNCTION("""COMPUTED_VALUE"""),"Criollo Refermentado")</f>
        <v>Criollo Refermentado</v>
      </c>
      <c r="G320" s="55">
        <f>IFERROR(__xludf.DUMMYFUNCTION("""COMPUTED_VALUE"""),12.8)</f>
        <v>12.8</v>
      </c>
      <c r="H320" s="56">
        <f>IFERROR(__xludf.DUMMYFUNCTION("""COMPUTED_VALUE"""),2.0)</f>
        <v>2</v>
      </c>
      <c r="I320" s="57">
        <f>IFERROR(__xludf.DUMMYFUNCTION("""COMPUTED_VALUE"""),0.56)</f>
        <v>0.56</v>
      </c>
      <c r="J320" s="57">
        <f>IFERROR(__xludf.DUMMYFUNCTION("""COMPUTED_VALUE"""),5.2)</f>
        <v>5.2</v>
      </c>
      <c r="K320" s="57">
        <f>IFERROR(__xludf.DUMMYFUNCTION("""COMPUTED_VALUE"""),3.98)</f>
        <v>3.98</v>
      </c>
      <c r="L320" s="54">
        <f>IFERROR(__xludf.DUMMYFUNCTION("""COMPUTED_VALUE"""),12.0)</f>
        <v>12</v>
      </c>
      <c r="M320" s="3">
        <f>IFERROR(__xludf.DUMMYFUNCTION("""COMPUTED_VALUE"""),106.0)</f>
        <v>106</v>
      </c>
      <c r="N320" s="3"/>
      <c r="O320" s="3"/>
      <c r="P320" s="3"/>
      <c r="Q320" s="3"/>
      <c r="R320" s="3"/>
      <c r="S320" s="3"/>
      <c r="T320" s="5"/>
      <c r="U320" s="5"/>
      <c r="V320" s="5"/>
      <c r="W320" s="5"/>
    </row>
    <row r="321" ht="15.75" customHeight="1">
      <c r="A321" s="3">
        <f>IFERROR(__xludf.DUMMYFUNCTION("""COMPUTED_VALUE"""),321.0)</f>
        <v>321</v>
      </c>
      <c r="B321" s="53">
        <f>IFERROR(__xludf.DUMMYFUNCTION("""COMPUTED_VALUE"""),45415.0)</f>
        <v>45415</v>
      </c>
      <c r="C321" s="3">
        <f>IFERROR(__xludf.DUMMYFUNCTION("""COMPUTED_VALUE"""),11.0)</f>
        <v>11</v>
      </c>
      <c r="D321" s="3" t="str">
        <f>IFERROR(__xludf.DUMMYFUNCTION("""COMPUTED_VALUE"""),"1.214")</f>
        <v>1.214</v>
      </c>
      <c r="E321" s="54">
        <f>IFERROR(__xludf.DUMMYFUNCTION("""COMPUTED_VALUE"""),36000.0)</f>
        <v>36000</v>
      </c>
      <c r="F321" s="3" t="str">
        <f>IFERROR(__xludf.DUMMYFUNCTION("""COMPUTED_VALUE"""),"Tinto")</f>
        <v>Tinto</v>
      </c>
      <c r="G321" s="55">
        <f>IFERROR(__xludf.DUMMYFUNCTION("""COMPUTED_VALUE"""),13.7)</f>
        <v>13.7</v>
      </c>
      <c r="H321" s="56">
        <f>IFERROR(__xludf.DUMMYFUNCTION("""COMPUTED_VALUE"""),8.26)</f>
        <v>8.26</v>
      </c>
      <c r="I321" s="57">
        <f>IFERROR(__xludf.DUMMYFUNCTION("""COMPUTED_VALUE"""),0.8)</f>
        <v>0.8</v>
      </c>
      <c r="J321" s="57">
        <f>IFERROR(__xludf.DUMMYFUNCTION("""COMPUTED_VALUE"""),4.5)</f>
        <v>4.5</v>
      </c>
      <c r="K321" s="57">
        <f>IFERROR(__xludf.DUMMYFUNCTION("""COMPUTED_VALUE"""),4.0)</f>
        <v>4</v>
      </c>
      <c r="L321" s="54">
        <f>IFERROR(__xludf.DUMMYFUNCTION("""COMPUTED_VALUE"""),14.0)</f>
        <v>14</v>
      </c>
      <c r="M321" s="3">
        <f>IFERROR(__xludf.DUMMYFUNCTION("""COMPUTED_VALUE"""),88.0)</f>
        <v>88</v>
      </c>
      <c r="N321" s="3"/>
      <c r="O321" s="3"/>
      <c r="P321" s="3"/>
      <c r="Q321" s="3"/>
      <c r="R321" s="3"/>
      <c r="S321" s="3"/>
      <c r="T321" s="5"/>
      <c r="U321" s="5"/>
      <c r="V321" s="5"/>
      <c r="W321" s="5"/>
    </row>
    <row r="322" ht="15.75" customHeight="1">
      <c r="A322" s="3">
        <f>IFERROR(__xludf.DUMMYFUNCTION("""COMPUTED_VALUE"""),322.0)</f>
        <v>322</v>
      </c>
      <c r="B322" s="53">
        <f>IFERROR(__xludf.DUMMYFUNCTION("""COMPUTED_VALUE"""),45419.0)</f>
        <v>45419</v>
      </c>
      <c r="C322" s="3">
        <f>IFERROR(__xludf.DUMMYFUNCTION("""COMPUTED_VALUE"""),935.0)</f>
        <v>935</v>
      </c>
      <c r="D322" s="3" t="str">
        <f>IFERROR(__xludf.DUMMYFUNCTION("""COMPUTED_VALUE"""),"1.155")</f>
        <v>1.155</v>
      </c>
      <c r="E322" s="54">
        <f>IFERROR(__xludf.DUMMYFUNCTION("""COMPUTED_VALUE"""),11200.0)</f>
        <v>11200</v>
      </c>
      <c r="F322" s="3" t="str">
        <f>IFERROR(__xludf.DUMMYFUNCTION("""COMPUTED_VALUE"""),"Tinto Recarga")</f>
        <v>Tinto Recarga</v>
      </c>
      <c r="G322" s="55">
        <f>IFERROR(__xludf.DUMMYFUNCTION("""COMPUTED_VALUE"""),13.5)</f>
        <v>13.5</v>
      </c>
      <c r="H322" s="56">
        <f>IFERROR(__xludf.DUMMYFUNCTION("""COMPUTED_VALUE"""),1.7)</f>
        <v>1.7</v>
      </c>
      <c r="I322" s="57">
        <f>IFERROR(__xludf.DUMMYFUNCTION("""COMPUTED_VALUE"""),0.61)</f>
        <v>0.61</v>
      </c>
      <c r="J322" s="57">
        <f>IFERROR(__xludf.DUMMYFUNCTION("""COMPUTED_VALUE"""),4.8)</f>
        <v>4.8</v>
      </c>
      <c r="K322" s="3"/>
      <c r="L322" s="54">
        <f>IFERROR(__xludf.DUMMYFUNCTION("""COMPUTED_VALUE"""),57.0)</f>
        <v>57</v>
      </c>
      <c r="M322" s="3">
        <f>IFERROR(__xludf.DUMMYFUNCTION("""COMPUTED_VALUE"""),190.0)</f>
        <v>190</v>
      </c>
      <c r="N322" s="3"/>
      <c r="O322" s="3"/>
      <c r="P322" s="3"/>
      <c r="Q322" s="3"/>
      <c r="R322" s="3"/>
      <c r="S322" s="3"/>
      <c r="T322" s="5"/>
      <c r="U322" s="5"/>
      <c r="V322" s="5"/>
      <c r="W322" s="5"/>
    </row>
    <row r="323" ht="15.75" customHeight="1">
      <c r="A323" s="3">
        <f>IFERROR(__xludf.DUMMYFUNCTION("""COMPUTED_VALUE"""),323.0)</f>
        <v>323</v>
      </c>
      <c r="B323" s="53">
        <f>IFERROR(__xludf.DUMMYFUNCTION("""COMPUTED_VALUE"""),45419.0)</f>
        <v>45419</v>
      </c>
      <c r="C323" s="3">
        <f>IFERROR(__xludf.DUMMYFUNCTION("""COMPUTED_VALUE"""),931.0)</f>
        <v>931</v>
      </c>
      <c r="D323" s="3" t="str">
        <f>IFERROR(__xludf.DUMMYFUNCTION("""COMPUTED_VALUE"""),"1.154")</f>
        <v>1.154</v>
      </c>
      <c r="E323" s="54">
        <f>IFERROR(__xludf.DUMMYFUNCTION("""COMPUTED_VALUE"""),11200.0)</f>
        <v>11200</v>
      </c>
      <c r="F323" s="3" t="str">
        <f>IFERROR(__xludf.DUMMYFUNCTION("""COMPUTED_VALUE"""),"Tinto Recarga")</f>
        <v>Tinto Recarga</v>
      </c>
      <c r="G323" s="55">
        <f>IFERROR(__xludf.DUMMYFUNCTION("""COMPUTED_VALUE"""),13.8)</f>
        <v>13.8</v>
      </c>
      <c r="H323" s="56">
        <f>IFERROR(__xludf.DUMMYFUNCTION("""COMPUTED_VALUE"""),2.8)</f>
        <v>2.8</v>
      </c>
      <c r="I323" s="57">
        <f>IFERROR(__xludf.DUMMYFUNCTION("""COMPUTED_VALUE"""),0.6)</f>
        <v>0.6</v>
      </c>
      <c r="J323" s="57">
        <f>IFERROR(__xludf.DUMMYFUNCTION("""COMPUTED_VALUE"""),4.7)</f>
        <v>4.7</v>
      </c>
      <c r="K323" s="3"/>
      <c r="L323" s="54">
        <f>IFERROR(__xludf.DUMMYFUNCTION("""COMPUTED_VALUE"""),28.0)</f>
        <v>28</v>
      </c>
      <c r="M323" s="3">
        <f>IFERROR(__xludf.DUMMYFUNCTION("""COMPUTED_VALUE"""),103.0)</f>
        <v>103</v>
      </c>
      <c r="N323" s="3"/>
      <c r="O323" s="3"/>
      <c r="P323" s="3"/>
      <c r="Q323" s="3"/>
      <c r="R323" s="3"/>
      <c r="S323" s="3"/>
      <c r="T323" s="5"/>
      <c r="U323" s="5"/>
      <c r="V323" s="5"/>
      <c r="W323" s="5"/>
    </row>
    <row r="324" ht="15.75" customHeight="1">
      <c r="A324" s="3">
        <f>IFERROR(__xludf.DUMMYFUNCTION("""COMPUTED_VALUE"""),324.0)</f>
        <v>324</v>
      </c>
      <c r="B324" s="53">
        <f>IFERROR(__xludf.DUMMYFUNCTION("""COMPUTED_VALUE"""),45419.0)</f>
        <v>45419</v>
      </c>
      <c r="C324" s="3">
        <f>IFERROR(__xludf.DUMMYFUNCTION("""COMPUTED_VALUE"""),94.0)</f>
        <v>94</v>
      </c>
      <c r="D324" s="3" t="str">
        <f>IFERROR(__xludf.DUMMYFUNCTION("""COMPUTED_VALUE"""),"1.117")</f>
        <v>1.117</v>
      </c>
      <c r="E324" s="54">
        <f>IFERROR(__xludf.DUMMYFUNCTION("""COMPUTED_VALUE"""),11600.0)</f>
        <v>11600</v>
      </c>
      <c r="F324" s="3" t="str">
        <f>IFERROR(__xludf.DUMMYFUNCTION("""COMPUTED_VALUE"""),"Torrontes")</f>
        <v>Torrontes</v>
      </c>
      <c r="G324" s="55">
        <f>IFERROR(__xludf.DUMMYFUNCTION("""COMPUTED_VALUE"""),14.0)</f>
        <v>14</v>
      </c>
      <c r="H324" s="56">
        <f>IFERROR(__xludf.DUMMYFUNCTION("""COMPUTED_VALUE"""),2.0)</f>
        <v>2</v>
      </c>
      <c r="I324" s="57">
        <f>IFERROR(__xludf.DUMMYFUNCTION("""COMPUTED_VALUE"""),0.4)</f>
        <v>0.4</v>
      </c>
      <c r="J324" s="57">
        <f>IFERROR(__xludf.DUMMYFUNCTION("""COMPUTED_VALUE"""),4.8)</f>
        <v>4.8</v>
      </c>
      <c r="K324" s="3"/>
      <c r="L324" s="54">
        <f>IFERROR(__xludf.DUMMYFUNCTION("""COMPUTED_VALUE"""),29.0)</f>
        <v>29</v>
      </c>
      <c r="M324" s="3">
        <f>IFERROR(__xludf.DUMMYFUNCTION("""COMPUTED_VALUE"""),102.0)</f>
        <v>102</v>
      </c>
      <c r="N324" s="3"/>
      <c r="O324" s="3"/>
      <c r="P324" s="3"/>
      <c r="Q324" s="3"/>
      <c r="R324" s="3"/>
      <c r="S324" s="3"/>
      <c r="T324" s="5"/>
      <c r="U324" s="5"/>
      <c r="V324" s="5"/>
      <c r="W324" s="5"/>
    </row>
    <row r="325" ht="15.75" customHeight="1">
      <c r="A325" s="3">
        <f>IFERROR(__xludf.DUMMYFUNCTION("""COMPUTED_VALUE"""),325.0)</f>
        <v>325</v>
      </c>
      <c r="B325" s="53">
        <f>IFERROR(__xludf.DUMMYFUNCTION("""COMPUTED_VALUE"""),45419.0)</f>
        <v>45419</v>
      </c>
      <c r="C325" s="3">
        <f>IFERROR(__xludf.DUMMYFUNCTION("""COMPUTED_VALUE"""),95.0)</f>
        <v>95</v>
      </c>
      <c r="D325" s="3" t="str">
        <f>IFERROR(__xludf.DUMMYFUNCTION("""COMPUTED_VALUE"""),"1.193")</f>
        <v>1.193</v>
      </c>
      <c r="E325" s="54">
        <f>IFERROR(__xludf.DUMMYFUNCTION("""COMPUTED_VALUE"""),77100.0)</f>
        <v>77100</v>
      </c>
      <c r="F325" s="3" t="str">
        <f>IFERROR(__xludf.DUMMYFUNCTION("""COMPUTED_VALUE"""),"Tinto Recarga")</f>
        <v>Tinto Recarga</v>
      </c>
      <c r="G325" s="55">
        <f>IFERROR(__xludf.DUMMYFUNCTION("""COMPUTED_VALUE"""),13.8)</f>
        <v>13.8</v>
      </c>
      <c r="H325" s="56">
        <f>IFERROR(__xludf.DUMMYFUNCTION("""COMPUTED_VALUE"""),6.8)</f>
        <v>6.8</v>
      </c>
      <c r="I325" s="57">
        <f>IFERROR(__xludf.DUMMYFUNCTION("""COMPUTED_VALUE"""),0.52)</f>
        <v>0.52</v>
      </c>
      <c r="J325" s="57">
        <f>IFERROR(__xludf.DUMMYFUNCTION("""COMPUTED_VALUE"""),4.3)</f>
        <v>4.3</v>
      </c>
      <c r="K325" s="57">
        <f>IFERROR(__xludf.DUMMYFUNCTION("""COMPUTED_VALUE"""),4.0)</f>
        <v>4</v>
      </c>
      <c r="L325" s="54">
        <f>IFERROR(__xludf.DUMMYFUNCTION("""COMPUTED_VALUE"""),13.0)</f>
        <v>13</v>
      </c>
      <c r="M325" s="3">
        <f>IFERROR(__xludf.DUMMYFUNCTION("""COMPUTED_VALUE"""),64.0)</f>
        <v>64</v>
      </c>
      <c r="N325" s="3"/>
      <c r="O325" s="3"/>
      <c r="P325" s="3"/>
      <c r="Q325" s="3"/>
      <c r="R325" s="3"/>
      <c r="S325" s="3"/>
      <c r="T325" s="5"/>
      <c r="U325" s="5"/>
      <c r="V325" s="5"/>
      <c r="W325" s="5"/>
    </row>
    <row r="326" ht="15.75" customHeight="1">
      <c r="A326" s="3">
        <f>IFERROR(__xludf.DUMMYFUNCTION("""COMPUTED_VALUE"""),326.0)</f>
        <v>326</v>
      </c>
      <c r="B326" s="53">
        <f>IFERROR(__xludf.DUMMYFUNCTION("""COMPUTED_VALUE"""),45419.0)</f>
        <v>45419</v>
      </c>
      <c r="C326" s="3">
        <f>IFERROR(__xludf.DUMMYFUNCTION("""COMPUTED_VALUE"""),96.0)</f>
        <v>96</v>
      </c>
      <c r="D326" s="3" t="str">
        <f>IFERROR(__xludf.DUMMYFUNCTION("""COMPUTED_VALUE"""),"1.192")</f>
        <v>1.192</v>
      </c>
      <c r="E326" s="54">
        <f>IFERROR(__xludf.DUMMYFUNCTION("""COMPUTED_VALUE"""),85600.0)</f>
        <v>85600</v>
      </c>
      <c r="F326" s="3" t="str">
        <f>IFERROR(__xludf.DUMMYFUNCTION("""COMPUTED_VALUE"""),"Tinto Recarga")</f>
        <v>Tinto Recarga</v>
      </c>
      <c r="G326" s="55">
        <f>IFERROR(__xludf.DUMMYFUNCTION("""COMPUTED_VALUE"""),14.0)</f>
        <v>14</v>
      </c>
      <c r="H326" s="56">
        <f>IFERROR(__xludf.DUMMYFUNCTION("""COMPUTED_VALUE"""),2.5)</f>
        <v>2.5</v>
      </c>
      <c r="I326" s="57">
        <f>IFERROR(__xludf.DUMMYFUNCTION("""COMPUTED_VALUE"""),0.42)</f>
        <v>0.42</v>
      </c>
      <c r="J326" s="57">
        <f>IFERROR(__xludf.DUMMYFUNCTION("""COMPUTED_VALUE"""),4.6)</f>
        <v>4.6</v>
      </c>
      <c r="K326" s="57">
        <f>IFERROR(__xludf.DUMMYFUNCTION("""COMPUTED_VALUE"""),3.89)</f>
        <v>3.89</v>
      </c>
      <c r="L326" s="54">
        <f>IFERROR(__xludf.DUMMYFUNCTION("""COMPUTED_VALUE"""),10.0)</f>
        <v>10</v>
      </c>
      <c r="M326" s="3">
        <f>IFERROR(__xludf.DUMMYFUNCTION("""COMPUTED_VALUE"""),102.0)</f>
        <v>102</v>
      </c>
      <c r="N326" s="3"/>
      <c r="O326" s="3"/>
      <c r="P326" s="3"/>
      <c r="Q326" s="3"/>
      <c r="R326" s="3"/>
      <c r="S326" s="3"/>
      <c r="T326" s="5"/>
      <c r="U326" s="5"/>
      <c r="V326" s="5"/>
      <c r="W326" s="5"/>
    </row>
    <row r="327" ht="15.75" customHeight="1">
      <c r="A327" s="3">
        <f>IFERROR(__xludf.DUMMYFUNCTION("""COMPUTED_VALUE"""),327.0)</f>
        <v>327</v>
      </c>
      <c r="B327" s="53">
        <f>IFERROR(__xludf.DUMMYFUNCTION("""COMPUTED_VALUE"""),45419.0)</f>
        <v>45419</v>
      </c>
      <c r="C327" s="3">
        <f>IFERROR(__xludf.DUMMYFUNCTION("""COMPUTED_VALUE"""),103.0)</f>
        <v>103</v>
      </c>
      <c r="D327" s="3" t="str">
        <f>IFERROR(__xludf.DUMMYFUNCTION("""COMPUTED_VALUE"""),"1.104")</f>
        <v>1.104</v>
      </c>
      <c r="E327" s="54">
        <f>IFERROR(__xludf.DUMMYFUNCTION("""COMPUTED_VALUE"""),31000.0)</f>
        <v>31000</v>
      </c>
      <c r="F327" s="3" t="str">
        <f>IFERROR(__xludf.DUMMYFUNCTION("""COMPUTED_VALUE"""),"Malbec Gota")</f>
        <v>Malbec Gota</v>
      </c>
      <c r="G327" s="55">
        <f>IFERROR(__xludf.DUMMYFUNCTION("""COMPUTED_VALUE"""),12.6)</f>
        <v>12.6</v>
      </c>
      <c r="H327" s="56">
        <f>IFERROR(__xludf.DUMMYFUNCTION("""COMPUTED_VALUE"""),2.0)</f>
        <v>2</v>
      </c>
      <c r="I327" s="57">
        <f>IFERROR(__xludf.DUMMYFUNCTION("""COMPUTED_VALUE"""),0.4)</f>
        <v>0.4</v>
      </c>
      <c r="J327" s="57">
        <f>IFERROR(__xludf.DUMMYFUNCTION("""COMPUTED_VALUE"""),5.0)</f>
        <v>5</v>
      </c>
      <c r="K327" s="3"/>
      <c r="L327" s="54">
        <f>IFERROR(__xludf.DUMMYFUNCTION("""COMPUTED_VALUE"""),36.0)</f>
        <v>36</v>
      </c>
      <c r="M327" s="3">
        <f>IFERROR(__xludf.DUMMYFUNCTION("""COMPUTED_VALUE"""),134.0)</f>
        <v>134</v>
      </c>
      <c r="N327" s="3"/>
      <c r="O327" s="3"/>
      <c r="P327" s="3"/>
      <c r="Q327" s="3"/>
      <c r="R327" s="3"/>
      <c r="S327" s="3"/>
      <c r="T327" s="5"/>
      <c r="U327" s="5"/>
      <c r="V327" s="5"/>
      <c r="W327" s="5"/>
    </row>
    <row r="328" ht="15.75" customHeight="1">
      <c r="A328" s="3">
        <f>IFERROR(__xludf.DUMMYFUNCTION("""COMPUTED_VALUE"""),328.0)</f>
        <v>328</v>
      </c>
      <c r="B328" s="53">
        <f>IFERROR(__xludf.DUMMYFUNCTION("""COMPUTED_VALUE"""),45419.0)</f>
        <v>45419</v>
      </c>
      <c r="C328" s="3">
        <f>IFERROR(__xludf.DUMMYFUNCTION("""COMPUTED_VALUE"""),104.0)</f>
        <v>104</v>
      </c>
      <c r="D328" s="3" t="str">
        <f>IFERROR(__xludf.DUMMYFUNCTION("""COMPUTED_VALUE"""),"1.143")</f>
        <v>1.143</v>
      </c>
      <c r="E328" s="54">
        <f>IFERROR(__xludf.DUMMYFUNCTION("""COMPUTED_VALUE"""),30000.0)</f>
        <v>30000</v>
      </c>
      <c r="F328" s="3" t="str">
        <f>IFERROR(__xludf.DUMMYFUNCTION("""COMPUTED_VALUE"""),"Tinto Recarga")</f>
        <v>Tinto Recarga</v>
      </c>
      <c r="G328" s="55">
        <f>IFERROR(__xludf.DUMMYFUNCTION("""COMPUTED_VALUE"""),14.0)</f>
        <v>14</v>
      </c>
      <c r="H328" s="56">
        <f>IFERROR(__xludf.DUMMYFUNCTION("""COMPUTED_VALUE"""),8.0)</f>
        <v>8</v>
      </c>
      <c r="I328" s="57">
        <f>IFERROR(__xludf.DUMMYFUNCTION("""COMPUTED_VALUE"""),0.54)</f>
        <v>0.54</v>
      </c>
      <c r="J328" s="57">
        <f>IFERROR(__xludf.DUMMYFUNCTION("""COMPUTED_VALUE"""),4.5)</f>
        <v>4.5</v>
      </c>
      <c r="K328" s="3"/>
      <c r="L328" s="54">
        <f>IFERROR(__xludf.DUMMYFUNCTION("""COMPUTED_VALUE"""),12.0)</f>
        <v>12</v>
      </c>
      <c r="M328" s="3">
        <f>IFERROR(__xludf.DUMMYFUNCTION("""COMPUTED_VALUE"""),96.0)</f>
        <v>96</v>
      </c>
      <c r="N328" s="3"/>
      <c r="O328" s="3"/>
      <c r="P328" s="3"/>
      <c r="Q328" s="3"/>
      <c r="R328" s="3"/>
      <c r="S328" s="3"/>
      <c r="T328" s="5"/>
      <c r="U328" s="5"/>
      <c r="V328" s="5"/>
      <c r="W328" s="5"/>
    </row>
    <row r="329" ht="15.75" customHeight="1">
      <c r="A329" s="3">
        <f>IFERROR(__xludf.DUMMYFUNCTION("""COMPUTED_VALUE"""),329.0)</f>
        <v>329</v>
      </c>
      <c r="B329" s="53">
        <f>IFERROR(__xludf.DUMMYFUNCTION("""COMPUTED_VALUE"""),45420.0)</f>
        <v>45420</v>
      </c>
      <c r="C329" s="3">
        <f>IFERROR(__xludf.DUMMYFUNCTION("""COMPUTED_VALUE"""),107.0)</f>
        <v>107</v>
      </c>
      <c r="D329" s="3" t="str">
        <f>IFERROR(__xludf.DUMMYFUNCTION("""COMPUTED_VALUE"""),"1.122")</f>
        <v>1.122</v>
      </c>
      <c r="E329" s="54">
        <f>IFERROR(__xludf.DUMMYFUNCTION("""COMPUTED_VALUE"""),31000.0)</f>
        <v>31000</v>
      </c>
      <c r="F329" s="3" t="str">
        <f>IFERROR(__xludf.DUMMYFUNCTION("""COMPUTED_VALUE"""),"Malbec G")</f>
        <v>Malbec G</v>
      </c>
      <c r="G329" s="55">
        <f>IFERROR(__xludf.DUMMYFUNCTION("""COMPUTED_VALUE"""),13.5)</f>
        <v>13.5</v>
      </c>
      <c r="H329" s="56">
        <f>IFERROR(__xludf.DUMMYFUNCTION("""COMPUTED_VALUE"""),2.27)</f>
        <v>2.27</v>
      </c>
      <c r="I329" s="57">
        <f>IFERROR(__xludf.DUMMYFUNCTION("""COMPUTED_VALUE"""),0.68)</f>
        <v>0.68</v>
      </c>
      <c r="J329" s="57">
        <f>IFERROR(__xludf.DUMMYFUNCTION("""COMPUTED_VALUE"""),4.4)</f>
        <v>4.4</v>
      </c>
      <c r="K329" s="3"/>
      <c r="L329" s="54">
        <f>IFERROR(__xludf.DUMMYFUNCTION("""COMPUTED_VALUE"""),14.0)</f>
        <v>14</v>
      </c>
      <c r="M329" s="3">
        <f>IFERROR(__xludf.DUMMYFUNCTION("""COMPUTED_VALUE"""),113.0)</f>
        <v>113</v>
      </c>
      <c r="N329" s="3"/>
      <c r="O329" s="3"/>
      <c r="P329" s="3"/>
      <c r="Q329" s="3"/>
      <c r="R329" s="3"/>
      <c r="S329" s="3"/>
      <c r="T329" s="5"/>
      <c r="U329" s="5"/>
      <c r="V329" s="5"/>
      <c r="W329" s="5"/>
    </row>
    <row r="330" ht="15.75" customHeight="1">
      <c r="A330" s="3">
        <f>IFERROR(__xludf.DUMMYFUNCTION("""COMPUTED_VALUE"""),330.0)</f>
        <v>330</v>
      </c>
      <c r="B330" s="53">
        <f>IFERROR(__xludf.DUMMYFUNCTION("""COMPUTED_VALUE"""),45420.0)</f>
        <v>45420</v>
      </c>
      <c r="C330" s="3">
        <f>IFERROR(__xludf.DUMMYFUNCTION("""COMPUTED_VALUE"""),108.0)</f>
        <v>108</v>
      </c>
      <c r="D330" s="3" t="str">
        <f>IFERROR(__xludf.DUMMYFUNCTION("""COMPUTED_VALUE"""),"1.145")</f>
        <v>1.145</v>
      </c>
      <c r="E330" s="54">
        <f>IFERROR(__xludf.DUMMYFUNCTION("""COMPUTED_VALUE"""),31000.0)</f>
        <v>31000</v>
      </c>
      <c r="F330" s="3" t="str">
        <f>IFERROR(__xludf.DUMMYFUNCTION("""COMPUTED_VALUE"""),"Malbec")</f>
        <v>Malbec</v>
      </c>
      <c r="G330" s="55">
        <f>IFERROR(__xludf.DUMMYFUNCTION("""COMPUTED_VALUE"""),13.4)</f>
        <v>13.4</v>
      </c>
      <c r="H330" s="56">
        <f>IFERROR(__xludf.DUMMYFUNCTION("""COMPUTED_VALUE"""),3.4)</f>
        <v>3.4</v>
      </c>
      <c r="I330" s="57">
        <f>IFERROR(__xludf.DUMMYFUNCTION("""COMPUTED_VALUE"""),0.69)</f>
        <v>0.69</v>
      </c>
      <c r="J330" s="57">
        <f>IFERROR(__xludf.DUMMYFUNCTION("""COMPUTED_VALUE"""),4.6)</f>
        <v>4.6</v>
      </c>
      <c r="K330" s="3"/>
      <c r="L330" s="54">
        <f>IFERROR(__xludf.DUMMYFUNCTION("""COMPUTED_VALUE"""),14.0)</f>
        <v>14</v>
      </c>
      <c r="M330" s="3">
        <f>IFERROR(__xludf.DUMMYFUNCTION("""COMPUTED_VALUE"""),111.0)</f>
        <v>111</v>
      </c>
      <c r="N330" s="3"/>
      <c r="O330" s="3"/>
      <c r="P330" s="3"/>
      <c r="Q330" s="3"/>
      <c r="R330" s="3"/>
      <c r="S330" s="3"/>
      <c r="T330" s="5"/>
      <c r="U330" s="5"/>
      <c r="V330" s="5"/>
      <c r="W330" s="5"/>
    </row>
    <row r="331" ht="15.75" customHeight="1">
      <c r="A331" s="3">
        <f>IFERROR(__xludf.DUMMYFUNCTION("""COMPUTED_VALUE"""),331.0)</f>
        <v>331</v>
      </c>
      <c r="B331" s="53">
        <f>IFERROR(__xludf.DUMMYFUNCTION("""COMPUTED_VALUE"""),45420.0)</f>
        <v>45420</v>
      </c>
      <c r="C331" s="3">
        <f>IFERROR(__xludf.DUMMYFUNCTION("""COMPUTED_VALUE"""),109.0)</f>
        <v>109</v>
      </c>
      <c r="D331" s="3" t="str">
        <f>IFERROR(__xludf.DUMMYFUNCTION("""COMPUTED_VALUE"""),"1.198")</f>
        <v>1.198</v>
      </c>
      <c r="E331" s="54">
        <f>IFERROR(__xludf.DUMMYFUNCTION("""COMPUTED_VALUE"""),15600.0)</f>
        <v>15600</v>
      </c>
      <c r="F331" s="3" t="str">
        <f>IFERROR(__xludf.DUMMYFUNCTION("""COMPUTED_VALUE"""),"Malbec P")</f>
        <v>Malbec P</v>
      </c>
      <c r="G331" s="55">
        <f>IFERROR(__xludf.DUMMYFUNCTION("""COMPUTED_VALUE"""),13.2)</f>
        <v>13.2</v>
      </c>
      <c r="H331" s="56">
        <f>IFERROR(__xludf.DUMMYFUNCTION("""COMPUTED_VALUE"""),2.42)</f>
        <v>2.42</v>
      </c>
      <c r="I331" s="57">
        <f>IFERROR(__xludf.DUMMYFUNCTION("""COMPUTED_VALUE"""),0.81)</f>
        <v>0.81</v>
      </c>
      <c r="J331" s="57">
        <f>IFERROR(__xludf.DUMMYFUNCTION("""COMPUTED_VALUE"""),4.7)</f>
        <v>4.7</v>
      </c>
      <c r="K331" s="3"/>
      <c r="L331" s="54">
        <f>IFERROR(__xludf.DUMMYFUNCTION("""COMPUTED_VALUE"""),64.0)</f>
        <v>64</v>
      </c>
      <c r="M331" s="3">
        <f>IFERROR(__xludf.DUMMYFUNCTION("""COMPUTED_VALUE"""),157.0)</f>
        <v>157</v>
      </c>
      <c r="N331" s="3"/>
      <c r="O331" s="3"/>
      <c r="P331" s="3"/>
      <c r="Q331" s="3"/>
      <c r="R331" s="3"/>
      <c r="S331" s="3"/>
      <c r="T331" s="5"/>
      <c r="U331" s="5"/>
      <c r="V331" s="5"/>
      <c r="W331" s="5"/>
    </row>
    <row r="332" ht="15.75" customHeight="1">
      <c r="A332" s="3">
        <f>IFERROR(__xludf.DUMMYFUNCTION("""COMPUTED_VALUE"""),332.0)</f>
        <v>332</v>
      </c>
      <c r="B332" s="53">
        <f>IFERROR(__xludf.DUMMYFUNCTION("""COMPUTED_VALUE"""),45420.0)</f>
        <v>45420</v>
      </c>
      <c r="C332" s="3">
        <f>IFERROR(__xludf.DUMMYFUNCTION("""COMPUTED_VALUE"""),110.0)</f>
        <v>110</v>
      </c>
      <c r="D332" s="3" t="str">
        <f>IFERROR(__xludf.DUMMYFUNCTION("""COMPUTED_VALUE"""),"1.146")</f>
        <v>1.146</v>
      </c>
      <c r="E332" s="54">
        <f>IFERROR(__xludf.DUMMYFUNCTION("""COMPUTED_VALUE"""),15000.0)</f>
        <v>15000</v>
      </c>
      <c r="F332" s="3" t="str">
        <f>IFERROR(__xludf.DUMMYFUNCTION("""COMPUTED_VALUE"""),"Bonarda P")</f>
        <v>Bonarda P</v>
      </c>
      <c r="G332" s="55">
        <f>IFERROR(__xludf.DUMMYFUNCTION("""COMPUTED_VALUE"""),13.8)</f>
        <v>13.8</v>
      </c>
      <c r="H332" s="56">
        <f>IFERROR(__xludf.DUMMYFUNCTION("""COMPUTED_VALUE"""),2.32)</f>
        <v>2.32</v>
      </c>
      <c r="I332" s="57">
        <f>IFERROR(__xludf.DUMMYFUNCTION("""COMPUTED_VALUE"""),0.75)</f>
        <v>0.75</v>
      </c>
      <c r="J332" s="57">
        <f>IFERROR(__xludf.DUMMYFUNCTION("""COMPUTED_VALUE"""),4.8)</f>
        <v>4.8</v>
      </c>
      <c r="K332" s="3"/>
      <c r="L332" s="54">
        <f>IFERROR(__xludf.DUMMYFUNCTION("""COMPUTED_VALUE"""),22.0)</f>
        <v>22</v>
      </c>
      <c r="M332" s="3">
        <f>IFERROR(__xludf.DUMMYFUNCTION("""COMPUTED_VALUE"""),112.0)</f>
        <v>112</v>
      </c>
      <c r="N332" s="3"/>
      <c r="O332" s="3"/>
      <c r="P332" s="3"/>
      <c r="Q332" s="3"/>
      <c r="R332" s="3"/>
      <c r="S332" s="3"/>
      <c r="T332" s="5"/>
      <c r="U332" s="5"/>
      <c r="V332" s="5"/>
      <c r="W332" s="5"/>
    </row>
    <row r="333" ht="15.75" customHeight="1">
      <c r="A333" s="3">
        <f>IFERROR(__xludf.DUMMYFUNCTION("""COMPUTED_VALUE"""),333.0)</f>
        <v>333</v>
      </c>
      <c r="B333" s="53">
        <f>IFERROR(__xludf.DUMMYFUNCTION("""COMPUTED_VALUE"""),45420.0)</f>
        <v>45420</v>
      </c>
      <c r="C333" s="3">
        <f>IFERROR(__xludf.DUMMYFUNCTION("""COMPUTED_VALUE"""),111.0)</f>
        <v>111</v>
      </c>
      <c r="D333" s="3" t="str">
        <f>IFERROR(__xludf.DUMMYFUNCTION("""COMPUTED_VALUE"""),"1.218")</f>
        <v>1.218</v>
      </c>
      <c r="E333" s="54">
        <f>IFERROR(__xludf.DUMMYFUNCTION("""COMPUTED_VALUE"""),4000.0)</f>
        <v>4000</v>
      </c>
      <c r="F333" s="3" t="str">
        <f>IFERROR(__xludf.DUMMYFUNCTION("""COMPUTED_VALUE"""),"Tinto")</f>
        <v>Tinto</v>
      </c>
      <c r="G333" s="55">
        <f>IFERROR(__xludf.DUMMYFUNCTION("""COMPUTED_VALUE"""),11.1)</f>
        <v>11.1</v>
      </c>
      <c r="H333" s="56">
        <f>IFERROR(__xludf.DUMMYFUNCTION("""COMPUTED_VALUE"""),2.92)</f>
        <v>2.92</v>
      </c>
      <c r="I333" s="57">
        <f>IFERROR(__xludf.DUMMYFUNCTION("""COMPUTED_VALUE"""),0.72)</f>
        <v>0.72</v>
      </c>
      <c r="J333" s="57">
        <f>IFERROR(__xludf.DUMMYFUNCTION("""COMPUTED_VALUE"""),4.5)</f>
        <v>4.5</v>
      </c>
      <c r="K333" s="3"/>
      <c r="L333" s="54">
        <f>IFERROR(__xludf.DUMMYFUNCTION("""COMPUTED_VALUE"""),50.0)</f>
        <v>50</v>
      </c>
      <c r="M333" s="3">
        <f>IFERROR(__xludf.DUMMYFUNCTION("""COMPUTED_VALUE"""),211.0)</f>
        <v>211</v>
      </c>
      <c r="N333" s="3"/>
      <c r="O333" s="3"/>
      <c r="P333" s="3"/>
      <c r="Q333" s="3"/>
      <c r="R333" s="3"/>
      <c r="S333" s="3"/>
      <c r="T333" s="5"/>
      <c r="U333" s="5"/>
      <c r="V333" s="5"/>
      <c r="W333" s="5"/>
    </row>
    <row r="334" ht="15.75" customHeight="1">
      <c r="A334" s="3">
        <f>IFERROR(__xludf.DUMMYFUNCTION("""COMPUTED_VALUE"""),334.0)</f>
        <v>334</v>
      </c>
      <c r="B334" s="53">
        <f>IFERROR(__xludf.DUMMYFUNCTION("""COMPUTED_VALUE"""),45420.0)</f>
        <v>45420</v>
      </c>
      <c r="C334" s="3">
        <f>IFERROR(__xludf.DUMMYFUNCTION("""COMPUTED_VALUE"""),114.0)</f>
        <v>114</v>
      </c>
      <c r="D334" s="3" t="str">
        <f>IFERROR(__xludf.DUMMYFUNCTION("""COMPUTED_VALUE"""),"1.090")</f>
        <v>1.090</v>
      </c>
      <c r="E334" s="54">
        <f>IFERROR(__xludf.DUMMYFUNCTION("""COMPUTED_VALUE"""),125300.0)</f>
        <v>125300</v>
      </c>
      <c r="F334" s="3" t="str">
        <f>IFERROR(__xludf.DUMMYFUNCTION("""COMPUTED_VALUE"""),"Aspirant Ancc")</f>
        <v>Aspirant Ancc</v>
      </c>
      <c r="G334" s="55">
        <f>IFERROR(__xludf.DUMMYFUNCTION("""COMPUTED_VALUE"""),11.7)</f>
        <v>11.7</v>
      </c>
      <c r="H334" s="56">
        <f>IFERROR(__xludf.DUMMYFUNCTION("""COMPUTED_VALUE"""),2.0)</f>
        <v>2</v>
      </c>
      <c r="I334" s="57">
        <f>IFERROR(__xludf.DUMMYFUNCTION("""COMPUTED_VALUE"""),0.4)</f>
        <v>0.4</v>
      </c>
      <c r="J334" s="57">
        <f>IFERROR(__xludf.DUMMYFUNCTION("""COMPUTED_VALUE"""),5.0)</f>
        <v>5</v>
      </c>
      <c r="K334" s="57">
        <f>IFERROR(__xludf.DUMMYFUNCTION("""COMPUTED_VALUE"""),3.58)</f>
        <v>3.58</v>
      </c>
      <c r="L334" s="54">
        <f>IFERROR(__xludf.DUMMYFUNCTION("""COMPUTED_VALUE"""),45.0)</f>
        <v>45</v>
      </c>
      <c r="M334" s="3">
        <f>IFERROR(__xludf.DUMMYFUNCTION("""COMPUTED_VALUE"""),83.0)</f>
        <v>83</v>
      </c>
      <c r="N334" s="3"/>
      <c r="O334" s="3"/>
      <c r="P334" s="3"/>
      <c r="Q334" s="3"/>
      <c r="R334" s="3"/>
      <c r="S334" s="3"/>
      <c r="T334" s="5"/>
      <c r="U334" s="5"/>
      <c r="V334" s="5"/>
      <c r="W334" s="5"/>
    </row>
    <row r="335" ht="15.75" customHeight="1">
      <c r="A335" s="3">
        <f>IFERROR(__xludf.DUMMYFUNCTION("""COMPUTED_VALUE"""),335.0)</f>
        <v>335</v>
      </c>
      <c r="B335" s="53">
        <f>IFERROR(__xludf.DUMMYFUNCTION("""COMPUTED_VALUE"""),45420.0)</f>
        <v>45420</v>
      </c>
      <c r="C335" s="3">
        <f>IFERROR(__xludf.DUMMYFUNCTION("""COMPUTED_VALUE"""),115.0)</f>
        <v>115</v>
      </c>
      <c r="D335" s="3" t="str">
        <f>IFERROR(__xludf.DUMMYFUNCTION("""COMPUTED_VALUE"""),"1.091")</f>
        <v>1.091</v>
      </c>
      <c r="E335" s="54">
        <f>IFERROR(__xludf.DUMMYFUNCTION("""COMPUTED_VALUE"""),120200.0)</f>
        <v>120200</v>
      </c>
      <c r="F335" s="3" t="str">
        <f>IFERROR(__xludf.DUMMYFUNCTION("""COMPUTED_VALUE"""),"Tempranillo Merlot s/Asp 1")</f>
        <v>Tempranillo Merlot s/Asp 1</v>
      </c>
      <c r="G335" s="55">
        <f>IFERROR(__xludf.DUMMYFUNCTION("""COMPUTED_VALUE"""),12.3)</f>
        <v>12.3</v>
      </c>
      <c r="H335" s="56">
        <f>IFERROR(__xludf.DUMMYFUNCTION("""COMPUTED_VALUE"""),3.28)</f>
        <v>3.28</v>
      </c>
      <c r="I335" s="57">
        <f>IFERROR(__xludf.DUMMYFUNCTION("""COMPUTED_VALUE"""),0.47)</f>
        <v>0.47</v>
      </c>
      <c r="J335" s="57">
        <f>IFERROR(__xludf.DUMMYFUNCTION("""COMPUTED_VALUE"""),4.8)</f>
        <v>4.8</v>
      </c>
      <c r="K335" s="3"/>
      <c r="L335" s="54">
        <f>IFERROR(__xludf.DUMMYFUNCTION("""COMPUTED_VALUE"""),38.0)</f>
        <v>38</v>
      </c>
      <c r="M335" s="3">
        <f>IFERROR(__xludf.DUMMYFUNCTION("""COMPUTED_VALUE"""),83.0)</f>
        <v>83</v>
      </c>
      <c r="N335" s="3"/>
      <c r="O335" s="3"/>
      <c r="P335" s="3"/>
      <c r="Q335" s="3"/>
      <c r="R335" s="3"/>
      <c r="S335" s="3"/>
      <c r="T335" s="5"/>
      <c r="U335" s="5"/>
      <c r="V335" s="5"/>
      <c r="W335" s="5"/>
    </row>
    <row r="336" ht="15.75" customHeight="1">
      <c r="A336" s="3">
        <f>IFERROR(__xludf.DUMMYFUNCTION("""COMPUTED_VALUE"""),336.0)</f>
        <v>336</v>
      </c>
      <c r="B336" s="53">
        <f>IFERROR(__xludf.DUMMYFUNCTION("""COMPUTED_VALUE"""),45420.0)</f>
        <v>45420</v>
      </c>
      <c r="C336" s="3">
        <f>IFERROR(__xludf.DUMMYFUNCTION("""COMPUTED_VALUE"""),116.0)</f>
        <v>116</v>
      </c>
      <c r="D336" s="3" t="str">
        <f>IFERROR(__xludf.DUMMYFUNCTION("""COMPUTED_VALUE"""),"1.129")</f>
        <v>1.129</v>
      </c>
      <c r="E336" s="54">
        <f>IFERROR(__xludf.DUMMYFUNCTION("""COMPUTED_VALUE"""),99600.0)</f>
        <v>99600</v>
      </c>
      <c r="F336" s="3" t="str">
        <f>IFERROR(__xludf.DUMMYFUNCTION("""COMPUTED_VALUE"""),"Bonarda")</f>
        <v>Bonarda</v>
      </c>
      <c r="G336" s="55">
        <f>IFERROR(__xludf.DUMMYFUNCTION("""COMPUTED_VALUE"""),12.6)</f>
        <v>12.6</v>
      </c>
      <c r="H336" s="56">
        <f>IFERROR(__xludf.DUMMYFUNCTION("""COMPUTED_VALUE"""),3.72)</f>
        <v>3.72</v>
      </c>
      <c r="I336" s="57">
        <f>IFERROR(__xludf.DUMMYFUNCTION("""COMPUTED_VALUE"""),0.45)</f>
        <v>0.45</v>
      </c>
      <c r="J336" s="57">
        <f>IFERROR(__xludf.DUMMYFUNCTION("""COMPUTED_VALUE"""),4.74)</f>
        <v>4.74</v>
      </c>
      <c r="K336" s="3"/>
      <c r="L336" s="54">
        <f>IFERROR(__xludf.DUMMYFUNCTION("""COMPUTED_VALUE"""),24.0)</f>
        <v>24</v>
      </c>
      <c r="M336" s="3">
        <f>IFERROR(__xludf.DUMMYFUNCTION("""COMPUTED_VALUE"""),92.0)</f>
        <v>92</v>
      </c>
      <c r="N336" s="3"/>
      <c r="O336" s="3"/>
      <c r="P336" s="3"/>
      <c r="Q336" s="3"/>
      <c r="R336" s="3"/>
      <c r="S336" s="3"/>
      <c r="T336" s="5"/>
      <c r="U336" s="5"/>
      <c r="V336" s="5"/>
      <c r="W336" s="5"/>
    </row>
    <row r="337" ht="15.75" customHeight="1">
      <c r="A337" s="3">
        <f>IFERROR(__xludf.DUMMYFUNCTION("""COMPUTED_VALUE"""),337.0)</f>
        <v>337</v>
      </c>
      <c r="B337" s="53">
        <f>IFERROR(__xludf.DUMMYFUNCTION("""COMPUTED_VALUE"""),45420.0)</f>
        <v>45420</v>
      </c>
      <c r="C337" s="3">
        <f>IFERROR(__xludf.DUMMYFUNCTION("""COMPUTED_VALUE"""),118.0)</f>
        <v>118</v>
      </c>
      <c r="D337" s="3" t="str">
        <f>IFERROR(__xludf.DUMMYFUNCTION("""COMPUTED_VALUE"""),"1.132")</f>
        <v>1.132</v>
      </c>
      <c r="E337" s="54">
        <f>IFERROR(__xludf.DUMMYFUNCTION("""COMPUTED_VALUE"""),155600.0)</f>
        <v>155600</v>
      </c>
      <c r="F337" s="3" t="str">
        <f>IFERROR(__xludf.DUMMYFUNCTION("""COMPUTED_VALUE"""),"Syrah")</f>
        <v>Syrah</v>
      </c>
      <c r="G337" s="55">
        <f>IFERROR(__xludf.DUMMYFUNCTION("""COMPUTED_VALUE"""),13.6)</f>
        <v>13.6</v>
      </c>
      <c r="H337" s="56">
        <f>IFERROR(__xludf.DUMMYFUNCTION("""COMPUTED_VALUE"""),2.54)</f>
        <v>2.54</v>
      </c>
      <c r="I337" s="57">
        <f>IFERROR(__xludf.DUMMYFUNCTION("""COMPUTED_VALUE"""),0.6)</f>
        <v>0.6</v>
      </c>
      <c r="J337" s="57">
        <f>IFERROR(__xludf.DUMMYFUNCTION("""COMPUTED_VALUE"""),5.0)</f>
        <v>5</v>
      </c>
      <c r="K337" s="57">
        <f>IFERROR(__xludf.DUMMYFUNCTION("""COMPUTED_VALUE"""),3.88)</f>
        <v>3.88</v>
      </c>
      <c r="L337" s="54">
        <f>IFERROR(__xludf.DUMMYFUNCTION("""COMPUTED_VALUE"""),28.0)</f>
        <v>28</v>
      </c>
      <c r="M337" s="3">
        <f>IFERROR(__xludf.DUMMYFUNCTION("""COMPUTED_VALUE"""),83.0)</f>
        <v>83</v>
      </c>
      <c r="N337" s="3"/>
      <c r="O337" s="3"/>
      <c r="P337" s="3"/>
      <c r="Q337" s="3"/>
      <c r="R337" s="3"/>
      <c r="S337" s="3"/>
      <c r="T337" s="5"/>
      <c r="U337" s="5"/>
      <c r="V337" s="5"/>
      <c r="W337" s="5"/>
    </row>
    <row r="338" ht="15.75" customHeight="1">
      <c r="A338" s="3">
        <f>IFERROR(__xludf.DUMMYFUNCTION("""COMPUTED_VALUE"""),338.0)</f>
        <v>338</v>
      </c>
      <c r="B338" s="53">
        <f>IFERROR(__xludf.DUMMYFUNCTION("""COMPUTED_VALUE"""),45420.0)</f>
        <v>45420</v>
      </c>
      <c r="C338" s="3">
        <f>IFERROR(__xludf.DUMMYFUNCTION("""COMPUTED_VALUE"""),120.0)</f>
        <v>120</v>
      </c>
      <c r="D338" s="3" t="str">
        <f>IFERROR(__xludf.DUMMYFUNCTION("""COMPUTED_VALUE"""),"1.135")</f>
        <v>1.135</v>
      </c>
      <c r="E338" s="54">
        <f>IFERROR(__xludf.DUMMYFUNCTION("""COMPUTED_VALUE"""),88800.0)</f>
        <v>88800</v>
      </c>
      <c r="F338" s="3" t="str">
        <f>IFERROR(__xludf.DUMMYFUNCTION("""COMPUTED_VALUE"""),"Cabernet Sau")</f>
        <v>Cabernet Sau</v>
      </c>
      <c r="G338" s="55">
        <f>IFERROR(__xludf.DUMMYFUNCTION("""COMPUTED_VALUE"""),13.3)</f>
        <v>13.3</v>
      </c>
      <c r="H338" s="56">
        <f>IFERROR(__xludf.DUMMYFUNCTION("""COMPUTED_VALUE"""),2.8)</f>
        <v>2.8</v>
      </c>
      <c r="I338" s="57">
        <f>IFERROR(__xludf.DUMMYFUNCTION("""COMPUTED_VALUE"""),0.53)</f>
        <v>0.53</v>
      </c>
      <c r="J338" s="57">
        <f>IFERROR(__xludf.DUMMYFUNCTION("""COMPUTED_VALUE"""),5.2)</f>
        <v>5.2</v>
      </c>
      <c r="K338" s="57">
        <f>IFERROR(__xludf.DUMMYFUNCTION("""COMPUTED_VALUE"""),3.89)</f>
        <v>3.89</v>
      </c>
      <c r="L338" s="54">
        <f>IFERROR(__xludf.DUMMYFUNCTION("""COMPUTED_VALUE"""),15.0)</f>
        <v>15</v>
      </c>
      <c r="M338" s="3">
        <f>IFERROR(__xludf.DUMMYFUNCTION("""COMPUTED_VALUE"""),107.0)</f>
        <v>107</v>
      </c>
      <c r="N338" s="3"/>
      <c r="O338" s="3"/>
      <c r="P338" s="3"/>
      <c r="Q338" s="3"/>
      <c r="R338" s="3"/>
      <c r="S338" s="3"/>
      <c r="T338" s="5"/>
      <c r="U338" s="5"/>
      <c r="V338" s="5"/>
      <c r="W338" s="5"/>
    </row>
    <row r="339" ht="15.75" customHeight="1">
      <c r="A339" s="3">
        <f>IFERROR(__xludf.DUMMYFUNCTION("""COMPUTED_VALUE"""),339.0)</f>
        <v>339</v>
      </c>
      <c r="B339" s="53">
        <f>IFERROR(__xludf.DUMMYFUNCTION("""COMPUTED_VALUE"""),45420.0)</f>
        <v>45420</v>
      </c>
      <c r="C339" s="3">
        <f>IFERROR(__xludf.DUMMYFUNCTION("""COMPUTED_VALUE"""),121.0)</f>
        <v>121</v>
      </c>
      <c r="D339" s="3" t="str">
        <f>IFERROR(__xludf.DUMMYFUNCTION("""COMPUTED_VALUE"""),"1.093")</f>
        <v>1.093</v>
      </c>
      <c r="E339" s="54">
        <f>IFERROR(__xludf.DUMMYFUNCTION("""COMPUTED_VALUE"""),85800.0)</f>
        <v>85800</v>
      </c>
      <c r="F339" s="3" t="str">
        <f>IFERROR(__xludf.DUMMYFUNCTION("""COMPUTED_VALUE"""),"Anccelotta Syrah")</f>
        <v>Anccelotta Syrah</v>
      </c>
      <c r="G339" s="55">
        <f>IFERROR(__xludf.DUMMYFUNCTION("""COMPUTED_VALUE"""),13.2)</f>
        <v>13.2</v>
      </c>
      <c r="H339" s="56">
        <f>IFERROR(__xludf.DUMMYFUNCTION("""COMPUTED_VALUE"""),2.3)</f>
        <v>2.3</v>
      </c>
      <c r="I339" s="3"/>
      <c r="J339" s="57">
        <f>IFERROR(__xludf.DUMMYFUNCTION("""COMPUTED_VALUE"""),5.5)</f>
        <v>5.5</v>
      </c>
      <c r="K339" s="57">
        <f>IFERROR(__xludf.DUMMYFUNCTION("""COMPUTED_VALUE"""),3.88)</f>
        <v>3.88</v>
      </c>
      <c r="L339" s="54">
        <f>IFERROR(__xludf.DUMMYFUNCTION("""COMPUTED_VALUE"""),40.0)</f>
        <v>40</v>
      </c>
      <c r="M339" s="3">
        <f>IFERROR(__xludf.DUMMYFUNCTION("""COMPUTED_VALUE"""),102.0)</f>
        <v>102</v>
      </c>
      <c r="N339" s="3"/>
      <c r="O339" s="3"/>
      <c r="P339" s="3"/>
      <c r="Q339" s="3"/>
      <c r="R339" s="3"/>
      <c r="S339" s="3"/>
      <c r="T339" s="5"/>
      <c r="U339" s="5"/>
      <c r="V339" s="5"/>
      <c r="W339" s="5"/>
    </row>
    <row r="340" ht="15.75" customHeight="1">
      <c r="A340" s="3">
        <f>IFERROR(__xludf.DUMMYFUNCTION("""COMPUTED_VALUE"""),340.0)</f>
        <v>340</v>
      </c>
      <c r="B340" s="53">
        <f>IFERROR(__xludf.DUMMYFUNCTION("""COMPUTED_VALUE"""),45420.0)</f>
        <v>45420</v>
      </c>
      <c r="C340" s="3">
        <f>IFERROR(__xludf.DUMMYFUNCTION("""COMPUTED_VALUE"""),125.0)</f>
        <v>125</v>
      </c>
      <c r="D340" s="3" t="str">
        <f>IFERROR(__xludf.DUMMYFUNCTION("""COMPUTED_VALUE"""),"1.199")</f>
        <v>1.199</v>
      </c>
      <c r="E340" s="54">
        <f>IFERROR(__xludf.DUMMYFUNCTION("""COMPUTED_VALUE"""),31000.0)</f>
        <v>31000</v>
      </c>
      <c r="F340" s="3" t="str">
        <f>IFERROR(__xludf.DUMMYFUNCTION("""COMPUTED_VALUE"""),"Malbec")</f>
        <v>Malbec</v>
      </c>
      <c r="G340" s="55">
        <f>IFERROR(__xludf.DUMMYFUNCTION("""COMPUTED_VALUE"""),14.4)</f>
        <v>14.4</v>
      </c>
      <c r="H340" s="56">
        <f>IFERROR(__xludf.DUMMYFUNCTION("""COMPUTED_VALUE"""),4.0)</f>
        <v>4</v>
      </c>
      <c r="I340" s="57">
        <f>IFERROR(__xludf.DUMMYFUNCTION("""COMPUTED_VALUE"""),0.57)</f>
        <v>0.57</v>
      </c>
      <c r="J340" s="57">
        <f>IFERROR(__xludf.DUMMYFUNCTION("""COMPUTED_VALUE"""),5.0)</f>
        <v>5</v>
      </c>
      <c r="K340" s="3"/>
      <c r="L340" s="54">
        <f>IFERROR(__xludf.DUMMYFUNCTION("""COMPUTED_VALUE"""),14.0)</f>
        <v>14</v>
      </c>
      <c r="M340" s="3">
        <f>IFERROR(__xludf.DUMMYFUNCTION("""COMPUTED_VALUE"""),113.0)</f>
        <v>113</v>
      </c>
      <c r="N340" s="3"/>
      <c r="O340" s="3"/>
      <c r="P340" s="3"/>
      <c r="Q340" s="3"/>
      <c r="R340" s="3"/>
      <c r="S340" s="3"/>
      <c r="T340" s="5"/>
      <c r="U340" s="5"/>
      <c r="V340" s="5"/>
      <c r="W340" s="5"/>
    </row>
    <row r="341" ht="15.75" customHeight="1">
      <c r="A341" s="3">
        <f>IFERROR(__xludf.DUMMYFUNCTION("""COMPUTED_VALUE"""),341.0)</f>
        <v>341</v>
      </c>
      <c r="B341" s="53">
        <f>IFERROR(__xludf.DUMMYFUNCTION("""COMPUTED_VALUE"""),45420.0)</f>
        <v>45420</v>
      </c>
      <c r="C341" s="3">
        <f>IFERROR(__xludf.DUMMYFUNCTION("""COMPUTED_VALUE"""),126.0)</f>
        <v>126</v>
      </c>
      <c r="D341" s="3" t="str">
        <f>IFERROR(__xludf.DUMMYFUNCTION("""COMPUTED_VALUE"""),"1.156")</f>
        <v>1.156</v>
      </c>
      <c r="E341" s="54">
        <f>IFERROR(__xludf.DUMMYFUNCTION("""COMPUTED_VALUE"""),31000.0)</f>
        <v>31000</v>
      </c>
      <c r="F341" s="3" t="str">
        <f>IFERROR(__xludf.DUMMYFUNCTION("""COMPUTED_VALUE"""),"Tinto Recarga")</f>
        <v>Tinto Recarga</v>
      </c>
      <c r="G341" s="55">
        <f>IFERROR(__xludf.DUMMYFUNCTION("""COMPUTED_VALUE"""),13.4)</f>
        <v>13.4</v>
      </c>
      <c r="H341" s="56">
        <f>IFERROR(__xludf.DUMMYFUNCTION("""COMPUTED_VALUE"""),5.5)</f>
        <v>5.5</v>
      </c>
      <c r="I341" s="57">
        <f>IFERROR(__xludf.DUMMYFUNCTION("""COMPUTED_VALUE"""),0.65)</f>
        <v>0.65</v>
      </c>
      <c r="J341" s="57">
        <f>IFERROR(__xludf.DUMMYFUNCTION("""COMPUTED_VALUE"""),4.3)</f>
        <v>4.3</v>
      </c>
      <c r="K341" s="3"/>
      <c r="L341" s="54">
        <f>IFERROR(__xludf.DUMMYFUNCTION("""COMPUTED_VALUE"""),25.0)</f>
        <v>25</v>
      </c>
      <c r="M341" s="3">
        <f>IFERROR(__xludf.DUMMYFUNCTION("""COMPUTED_VALUE"""),112.0)</f>
        <v>112</v>
      </c>
      <c r="N341" s="3"/>
      <c r="O341" s="3"/>
      <c r="P341" s="3"/>
      <c r="Q341" s="3"/>
      <c r="R341" s="3"/>
      <c r="S341" s="3"/>
      <c r="T341" s="5"/>
      <c r="U341" s="5"/>
      <c r="V341" s="5"/>
      <c r="W341" s="5"/>
    </row>
    <row r="342" ht="15.75" customHeight="1">
      <c r="A342" s="3">
        <f>IFERROR(__xludf.DUMMYFUNCTION("""COMPUTED_VALUE"""),342.0)</f>
        <v>342</v>
      </c>
      <c r="B342" s="53">
        <f>IFERROR(__xludf.DUMMYFUNCTION("""COMPUTED_VALUE"""),45420.0)</f>
        <v>45420</v>
      </c>
      <c r="C342" s="3">
        <f>IFERROR(__xludf.DUMMYFUNCTION("""COMPUTED_VALUE"""),127.0)</f>
        <v>127</v>
      </c>
      <c r="D342" s="3" t="str">
        <f>IFERROR(__xludf.DUMMYFUNCTION("""COMPUTED_VALUE"""),"1.107")</f>
        <v>1.107</v>
      </c>
      <c r="E342" s="54">
        <f>IFERROR(__xludf.DUMMYFUNCTION("""COMPUTED_VALUE"""),31000.0)</f>
        <v>31000</v>
      </c>
      <c r="F342" s="3" t="str">
        <f>IFERROR(__xludf.DUMMYFUNCTION("""COMPUTED_VALUE"""),"Bonarda")</f>
        <v>Bonarda</v>
      </c>
      <c r="G342" s="55">
        <f>IFERROR(__xludf.DUMMYFUNCTION("""COMPUTED_VALUE"""),13.5)</f>
        <v>13.5</v>
      </c>
      <c r="H342" s="56">
        <f>IFERROR(__xludf.DUMMYFUNCTION("""COMPUTED_VALUE"""),5.3)</f>
        <v>5.3</v>
      </c>
      <c r="I342" s="57">
        <f>IFERROR(__xludf.DUMMYFUNCTION("""COMPUTED_VALUE"""),0.63)</f>
        <v>0.63</v>
      </c>
      <c r="J342" s="57">
        <f>IFERROR(__xludf.DUMMYFUNCTION("""COMPUTED_VALUE"""),6.0)</f>
        <v>6</v>
      </c>
      <c r="K342" s="3"/>
      <c r="L342" s="54">
        <f>IFERROR(__xludf.DUMMYFUNCTION("""COMPUTED_VALUE"""),24.0)</f>
        <v>24</v>
      </c>
      <c r="M342" s="3">
        <f>IFERROR(__xludf.DUMMYFUNCTION("""COMPUTED_VALUE"""),122.0)</f>
        <v>122</v>
      </c>
      <c r="N342" s="3"/>
      <c r="O342" s="3"/>
      <c r="P342" s="3"/>
      <c r="Q342" s="3"/>
      <c r="R342" s="3"/>
      <c r="S342" s="3"/>
      <c r="T342" s="5"/>
      <c r="U342" s="5"/>
      <c r="V342" s="5"/>
      <c r="W342" s="5"/>
    </row>
    <row r="343" ht="15.75" customHeight="1">
      <c r="A343" s="3">
        <f>IFERROR(__xludf.DUMMYFUNCTION("""COMPUTED_VALUE"""),343.0)</f>
        <v>343</v>
      </c>
      <c r="B343" s="53">
        <f>IFERROR(__xludf.DUMMYFUNCTION("""COMPUTED_VALUE"""),45414.0)</f>
        <v>45414</v>
      </c>
      <c r="C343" s="3">
        <f>IFERROR(__xludf.DUMMYFUNCTION("""COMPUTED_VALUE"""),5.0)</f>
        <v>5</v>
      </c>
      <c r="D343" s="3" t="str">
        <f>IFERROR(__xludf.DUMMYFUNCTION("""COMPUTED_VALUE"""),"1.130")</f>
        <v>1.130</v>
      </c>
      <c r="E343" s="54">
        <f>IFERROR(__xludf.DUMMYFUNCTION("""COMPUTED_VALUE"""),30000.0)</f>
        <v>30000</v>
      </c>
      <c r="F343" s="3" t="str">
        <f>IFERROR(__xludf.DUMMYFUNCTION("""COMPUTED_VALUE"""),"Cabernet Sauvignon Got")</f>
        <v>Cabernet Sauvignon Got</v>
      </c>
      <c r="G343" s="55">
        <f>IFERROR(__xludf.DUMMYFUNCTION("""COMPUTED_VALUE"""),12.8)</f>
        <v>12.8</v>
      </c>
      <c r="H343" s="56">
        <f>IFERROR(__xludf.DUMMYFUNCTION("""COMPUTED_VALUE"""),1.8)</f>
        <v>1.8</v>
      </c>
      <c r="I343" s="57">
        <f>IFERROR(__xludf.DUMMYFUNCTION("""COMPUTED_VALUE"""),0.44)</f>
        <v>0.44</v>
      </c>
      <c r="J343" s="57">
        <f>IFERROR(__xludf.DUMMYFUNCTION("""COMPUTED_VALUE"""),5.25)</f>
        <v>5.25</v>
      </c>
      <c r="K343" s="57">
        <f>IFERROR(__xludf.DUMMYFUNCTION("""COMPUTED_VALUE"""),3.9)</f>
        <v>3.9</v>
      </c>
      <c r="L343" s="54">
        <f>IFERROR(__xludf.DUMMYFUNCTION("""COMPUTED_VALUE"""),25.0)</f>
        <v>25</v>
      </c>
      <c r="M343" s="3">
        <f>IFERROR(__xludf.DUMMYFUNCTION("""COMPUTED_VALUE"""),92.0)</f>
        <v>92</v>
      </c>
      <c r="N343" s="3"/>
      <c r="O343" s="3"/>
      <c r="P343" s="3"/>
      <c r="Q343" s="3"/>
      <c r="R343" s="3"/>
      <c r="S343" s="3"/>
      <c r="T343" s="5"/>
      <c r="U343" s="5"/>
      <c r="V343" s="5"/>
      <c r="W343" s="5" t="str">
        <f>IFERROR(__xludf.DUMMYFUNCTION("""COMPUTED_VALUE"""),"Simon")</f>
        <v>Simon</v>
      </c>
    </row>
    <row r="344" ht="15.75" customHeight="1">
      <c r="A344" s="3">
        <f>IFERROR(__xludf.DUMMYFUNCTION("""COMPUTED_VALUE"""),344.0)</f>
        <v>344</v>
      </c>
      <c r="B344" s="53">
        <f>IFERROR(__xludf.DUMMYFUNCTION("""COMPUTED_VALUE"""),45414.0)</f>
        <v>45414</v>
      </c>
      <c r="C344" s="3">
        <f>IFERROR(__xludf.DUMMYFUNCTION("""COMPUTED_VALUE"""),6.0)</f>
        <v>6</v>
      </c>
      <c r="D344" s="3" t="str">
        <f>IFERROR(__xludf.DUMMYFUNCTION("""COMPUTED_VALUE"""),"1.111")</f>
        <v>1.111</v>
      </c>
      <c r="E344" s="54">
        <f>IFERROR(__xludf.DUMMYFUNCTION("""COMPUTED_VALUE"""),32000.0)</f>
        <v>32000</v>
      </c>
      <c r="F344" s="3" t="str">
        <f>IFERROR(__xludf.DUMMYFUNCTION("""COMPUTED_VALUE"""),"Bonarda")</f>
        <v>Bonarda</v>
      </c>
      <c r="G344" s="55">
        <f>IFERROR(__xludf.DUMMYFUNCTION("""COMPUTED_VALUE"""),12.8)</f>
        <v>12.8</v>
      </c>
      <c r="H344" s="56">
        <f>IFERROR(__xludf.DUMMYFUNCTION("""COMPUTED_VALUE"""),5.78)</f>
        <v>5.78</v>
      </c>
      <c r="I344" s="57">
        <f>IFERROR(__xludf.DUMMYFUNCTION("""COMPUTED_VALUE"""),0.38)</f>
        <v>0.38</v>
      </c>
      <c r="J344" s="57">
        <f>IFERROR(__xludf.DUMMYFUNCTION("""COMPUTED_VALUE"""),5.25)</f>
        <v>5.25</v>
      </c>
      <c r="K344" s="57">
        <f>IFERROR(__xludf.DUMMYFUNCTION("""COMPUTED_VALUE"""),3.88)</f>
        <v>3.88</v>
      </c>
      <c r="L344" s="54">
        <f>IFERROR(__xludf.DUMMYFUNCTION("""COMPUTED_VALUE"""),25.0)</f>
        <v>25</v>
      </c>
      <c r="M344" s="3">
        <f>IFERROR(__xludf.DUMMYFUNCTION("""COMPUTED_VALUE"""),102.0)</f>
        <v>102</v>
      </c>
      <c r="N344" s="3"/>
      <c r="O344" s="3"/>
      <c r="P344" s="3"/>
      <c r="Q344" s="3"/>
      <c r="R344" s="3"/>
      <c r="S344" s="3"/>
      <c r="T344" s="5"/>
      <c r="U344" s="5"/>
      <c r="V344" s="5"/>
      <c r="W344" s="5" t="str">
        <f>IFERROR(__xludf.DUMMYFUNCTION("""COMPUTED_VALUE"""),"Simon")</f>
        <v>Simon</v>
      </c>
    </row>
    <row r="345" ht="15.75" customHeight="1">
      <c r="A345" s="3">
        <f>IFERROR(__xludf.DUMMYFUNCTION("""COMPUTED_VALUE"""),345.0)</f>
        <v>345</v>
      </c>
      <c r="B345" s="53">
        <f>IFERROR(__xludf.DUMMYFUNCTION("""COMPUTED_VALUE"""),45414.0)</f>
        <v>45414</v>
      </c>
      <c r="C345" s="3">
        <f>IFERROR(__xludf.DUMMYFUNCTION("""COMPUTED_VALUE"""),7.0)</f>
        <v>7</v>
      </c>
      <c r="D345" s="3" t="str">
        <f>IFERROR(__xludf.DUMMYFUNCTION("""COMPUTED_VALUE"""),"1.213")</f>
        <v>1.213</v>
      </c>
      <c r="E345" s="54">
        <f>IFERROR(__xludf.DUMMYFUNCTION("""COMPUTED_VALUE"""),30000.0)</f>
        <v>30000</v>
      </c>
      <c r="F345" s="3" t="str">
        <f>IFERROR(__xludf.DUMMYFUNCTION("""COMPUTED_VALUE"""),"Tinto")</f>
        <v>Tinto</v>
      </c>
      <c r="G345" s="55">
        <f>IFERROR(__xludf.DUMMYFUNCTION("""COMPUTED_VALUE"""),12.3)</f>
        <v>12.3</v>
      </c>
      <c r="H345" s="56">
        <f>IFERROR(__xludf.DUMMYFUNCTION("""COMPUTED_VALUE"""),1.8)</f>
        <v>1.8</v>
      </c>
      <c r="I345" s="57">
        <f>IFERROR(__xludf.DUMMYFUNCTION("""COMPUTED_VALUE"""),0.58)</f>
        <v>0.58</v>
      </c>
      <c r="J345" s="57">
        <f>IFERROR(__xludf.DUMMYFUNCTION("""COMPUTED_VALUE"""),5.55)</f>
        <v>5.55</v>
      </c>
      <c r="K345" s="57">
        <f>IFERROR(__xludf.DUMMYFUNCTION("""COMPUTED_VALUE"""),3.62)</f>
        <v>3.62</v>
      </c>
      <c r="L345" s="54">
        <f>IFERROR(__xludf.DUMMYFUNCTION("""COMPUTED_VALUE"""),38.0)</f>
        <v>38</v>
      </c>
      <c r="M345" s="3">
        <f>IFERROR(__xludf.DUMMYFUNCTION("""COMPUTED_VALUE"""),128.0)</f>
        <v>128</v>
      </c>
      <c r="N345" s="3"/>
      <c r="O345" s="3"/>
      <c r="P345" s="3"/>
      <c r="Q345" s="3"/>
      <c r="R345" s="3"/>
      <c r="S345" s="3"/>
      <c r="T345" s="5"/>
      <c r="U345" s="5"/>
      <c r="V345" s="5"/>
      <c r="W345" s="5" t="str">
        <f>IFERROR(__xludf.DUMMYFUNCTION("""COMPUTED_VALUE"""),"Simon")</f>
        <v>Simon</v>
      </c>
    </row>
    <row r="346" ht="15.75" customHeight="1">
      <c r="A346" s="3">
        <f>IFERROR(__xludf.DUMMYFUNCTION("""COMPUTED_VALUE"""),346.0)</f>
        <v>346</v>
      </c>
      <c r="B346" s="53">
        <f>IFERROR(__xludf.DUMMYFUNCTION("""COMPUTED_VALUE"""),45414.0)</f>
        <v>45414</v>
      </c>
      <c r="C346" s="3">
        <f>IFERROR(__xludf.DUMMYFUNCTION("""COMPUTED_VALUE"""),8.0)</f>
        <v>8</v>
      </c>
      <c r="D346" s="3" t="str">
        <f>IFERROR(__xludf.DUMMYFUNCTION("""COMPUTED_VALUE"""),"1.207")</f>
        <v>1.207</v>
      </c>
      <c r="E346" s="54">
        <f>IFERROR(__xludf.DUMMYFUNCTION("""COMPUTED_VALUE"""),22000.0)</f>
        <v>22000</v>
      </c>
      <c r="F346" s="3" t="str">
        <f>IFERROR(__xludf.DUMMYFUNCTION("""COMPUTED_VALUE"""),"Chardonnay")</f>
        <v>Chardonnay</v>
      </c>
      <c r="G346" s="55">
        <f>IFERROR(__xludf.DUMMYFUNCTION("""COMPUTED_VALUE"""),12.4)</f>
        <v>12.4</v>
      </c>
      <c r="H346" s="56">
        <f>IFERROR(__xludf.DUMMYFUNCTION("""COMPUTED_VALUE"""),1.8)</f>
        <v>1.8</v>
      </c>
      <c r="I346" s="57">
        <f>IFERROR(__xludf.DUMMYFUNCTION("""COMPUTED_VALUE"""),0.24)</f>
        <v>0.24</v>
      </c>
      <c r="J346" s="57">
        <f>IFERROR(__xludf.DUMMYFUNCTION("""COMPUTED_VALUE"""),7.05)</f>
        <v>7.05</v>
      </c>
      <c r="K346" s="57">
        <f>IFERROR(__xludf.DUMMYFUNCTION("""COMPUTED_VALUE"""),3.49)</f>
        <v>3.49</v>
      </c>
      <c r="L346" s="54">
        <f>IFERROR(__xludf.DUMMYFUNCTION("""COMPUTED_VALUE"""),28.0)</f>
        <v>28</v>
      </c>
      <c r="M346" s="3">
        <f>IFERROR(__xludf.DUMMYFUNCTION("""COMPUTED_VALUE"""),104.0)</f>
        <v>104</v>
      </c>
      <c r="N346" s="3"/>
      <c r="O346" s="3"/>
      <c r="P346" s="3"/>
      <c r="Q346" s="3"/>
      <c r="R346" s="3"/>
      <c r="S346" s="3"/>
      <c r="T346" s="5"/>
      <c r="U346" s="5"/>
      <c r="V346" s="5"/>
      <c r="W346" s="5" t="str">
        <f>IFERROR(__xludf.DUMMYFUNCTION("""COMPUTED_VALUE"""),"Simon")</f>
        <v>Simon</v>
      </c>
    </row>
    <row r="347" ht="15.75" customHeight="1">
      <c r="A347" s="3">
        <f>IFERROR(__xludf.DUMMYFUNCTION("""COMPUTED_VALUE"""),347.0)</f>
        <v>347</v>
      </c>
      <c r="B347" s="53">
        <f>IFERROR(__xludf.DUMMYFUNCTION("""COMPUTED_VALUE"""),45414.0)</f>
        <v>45414</v>
      </c>
      <c r="C347" s="3">
        <f>IFERROR(__xludf.DUMMYFUNCTION("""COMPUTED_VALUE"""),9.0)</f>
        <v>9</v>
      </c>
      <c r="D347" s="3" t="str">
        <f>IFERROR(__xludf.DUMMYFUNCTION("""COMPUTED_VALUE"""),"1.084")</f>
        <v>1.084</v>
      </c>
      <c r="E347" s="54">
        <f>IFERROR(__xludf.DUMMYFUNCTION("""COMPUTED_VALUE"""),30000.0)</f>
        <v>30000</v>
      </c>
      <c r="F347" s="3" t="str">
        <f>IFERROR(__xludf.DUMMYFUNCTION("""COMPUTED_VALUE"""),"Syrah s/Asp 2")</f>
        <v>Syrah s/Asp 2</v>
      </c>
      <c r="G347" s="55">
        <f>IFERROR(__xludf.DUMMYFUNCTION("""COMPUTED_VALUE"""),12.5)</f>
        <v>12.5</v>
      </c>
      <c r="H347" s="56">
        <f>IFERROR(__xludf.DUMMYFUNCTION("""COMPUTED_VALUE"""),1.8)</f>
        <v>1.8</v>
      </c>
      <c r="I347" s="57">
        <f>IFERROR(__xludf.DUMMYFUNCTION("""COMPUTED_VALUE"""),0.59)</f>
        <v>0.59</v>
      </c>
      <c r="J347" s="57">
        <f>IFERROR(__xludf.DUMMYFUNCTION("""COMPUTED_VALUE"""),5.02)</f>
        <v>5.02</v>
      </c>
      <c r="K347" s="57">
        <f>IFERROR(__xludf.DUMMYFUNCTION("""COMPUTED_VALUE"""),3.86)</f>
        <v>3.86</v>
      </c>
      <c r="L347" s="54">
        <f>IFERROR(__xludf.DUMMYFUNCTION("""COMPUTED_VALUE"""),38.0)</f>
        <v>38</v>
      </c>
      <c r="M347" s="3">
        <f>IFERROR(__xludf.DUMMYFUNCTION("""COMPUTED_VALUE"""),112.0)</f>
        <v>112</v>
      </c>
      <c r="N347" s="3"/>
      <c r="O347" s="3"/>
      <c r="P347" s="3"/>
      <c r="Q347" s="3"/>
      <c r="R347" s="3"/>
      <c r="S347" s="3"/>
      <c r="T347" s="5"/>
      <c r="U347" s="5"/>
      <c r="V347" s="5"/>
      <c r="W347" s="5" t="str">
        <f>IFERROR(__xludf.DUMMYFUNCTION("""COMPUTED_VALUE"""),"Simon")</f>
        <v>Simon</v>
      </c>
    </row>
    <row r="348" ht="15.75" customHeight="1">
      <c r="A348" s="3">
        <f>IFERROR(__xludf.DUMMYFUNCTION("""COMPUTED_VALUE"""),348.0)</f>
        <v>348</v>
      </c>
      <c r="B348" s="53">
        <f>IFERROR(__xludf.DUMMYFUNCTION("""COMPUTED_VALUE"""),45414.0)</f>
        <v>45414</v>
      </c>
      <c r="C348" s="3">
        <f>IFERROR(__xludf.DUMMYFUNCTION("""COMPUTED_VALUE"""),10.0)</f>
        <v>10</v>
      </c>
      <c r="D348" s="3" t="str">
        <f>IFERROR(__xludf.DUMMYFUNCTION("""COMPUTED_VALUE"""),"1.208")</f>
        <v>1.208</v>
      </c>
      <c r="E348" s="54">
        <f>IFERROR(__xludf.DUMMYFUNCTION("""COMPUTED_VALUE"""),21000.0)</f>
        <v>21000</v>
      </c>
      <c r="F348" s="3" t="str">
        <f>IFERROR(__xludf.DUMMYFUNCTION("""COMPUTED_VALUE"""),"Chardonnay")</f>
        <v>Chardonnay</v>
      </c>
      <c r="G348" s="55">
        <f>IFERROR(__xludf.DUMMYFUNCTION("""COMPUTED_VALUE"""),12.6)</f>
        <v>12.6</v>
      </c>
      <c r="H348" s="56">
        <f>IFERROR(__xludf.DUMMYFUNCTION("""COMPUTED_VALUE"""),1.8)</f>
        <v>1.8</v>
      </c>
      <c r="I348" s="57">
        <f>IFERROR(__xludf.DUMMYFUNCTION("""COMPUTED_VALUE"""),0.37)</f>
        <v>0.37</v>
      </c>
      <c r="J348" s="57">
        <f>IFERROR(__xludf.DUMMYFUNCTION("""COMPUTED_VALUE"""),7.05)</f>
        <v>7.05</v>
      </c>
      <c r="K348" s="57">
        <f>IFERROR(__xludf.DUMMYFUNCTION("""COMPUTED_VALUE"""),3.52)</f>
        <v>3.52</v>
      </c>
      <c r="L348" s="54">
        <f>IFERROR(__xludf.DUMMYFUNCTION("""COMPUTED_VALUE"""),33.0)</f>
        <v>33</v>
      </c>
      <c r="M348" s="3">
        <f>IFERROR(__xludf.DUMMYFUNCTION("""COMPUTED_VALUE"""),118.0)</f>
        <v>118</v>
      </c>
      <c r="N348" s="3"/>
      <c r="O348" s="3"/>
      <c r="P348" s="3"/>
      <c r="Q348" s="3"/>
      <c r="R348" s="3"/>
      <c r="S348" s="3"/>
      <c r="T348" s="5"/>
      <c r="U348" s="5"/>
      <c r="V348" s="5"/>
      <c r="W348" s="5" t="str">
        <f>IFERROR(__xludf.DUMMYFUNCTION("""COMPUTED_VALUE"""),"Simon")</f>
        <v>Simon</v>
      </c>
    </row>
    <row r="349" ht="15.75" customHeight="1">
      <c r="A349" s="3">
        <f>IFERROR(__xludf.DUMMYFUNCTION("""COMPUTED_VALUE"""),349.0)</f>
        <v>349</v>
      </c>
      <c r="B349" s="53">
        <f>IFERROR(__xludf.DUMMYFUNCTION("""COMPUTED_VALUE"""),45414.0)</f>
        <v>45414</v>
      </c>
      <c r="C349" s="3">
        <f>IFERROR(__xludf.DUMMYFUNCTION("""COMPUTED_VALUE"""),12.0)</f>
        <v>12</v>
      </c>
      <c r="D349" s="3" t="str">
        <f>IFERROR(__xludf.DUMMYFUNCTION("""COMPUTED_VALUE"""),"1.188")</f>
        <v>1.188</v>
      </c>
      <c r="E349" s="54">
        <f>IFERROR(__xludf.DUMMYFUNCTION("""COMPUTED_VALUE"""),35300.0)</f>
        <v>35300</v>
      </c>
      <c r="F349" s="3" t="str">
        <f>IFERROR(__xludf.DUMMYFUNCTION("""COMPUTED_VALUE"""),"Cabernet")</f>
        <v>Cabernet</v>
      </c>
      <c r="G349" s="55">
        <f>IFERROR(__xludf.DUMMYFUNCTION("""COMPUTED_VALUE"""),13.7)</f>
        <v>13.7</v>
      </c>
      <c r="H349" s="56">
        <f>IFERROR(__xludf.DUMMYFUNCTION("""COMPUTED_VALUE"""),1.9)</f>
        <v>1.9</v>
      </c>
      <c r="I349" s="57">
        <f>IFERROR(__xludf.DUMMYFUNCTION("""COMPUTED_VALUE"""),0.4)</f>
        <v>0.4</v>
      </c>
      <c r="J349" s="57">
        <f>IFERROR(__xludf.DUMMYFUNCTION("""COMPUTED_VALUE"""),6.15)</f>
        <v>6.15</v>
      </c>
      <c r="K349" s="57">
        <f>IFERROR(__xludf.DUMMYFUNCTION("""COMPUTED_VALUE"""),3.8)</f>
        <v>3.8</v>
      </c>
      <c r="L349" s="54">
        <f>IFERROR(__xludf.DUMMYFUNCTION("""COMPUTED_VALUE"""),20.0)</f>
        <v>20</v>
      </c>
      <c r="M349" s="3">
        <f>IFERROR(__xludf.DUMMYFUNCTION("""COMPUTED_VALUE"""),141.0)</f>
        <v>141</v>
      </c>
      <c r="N349" s="3"/>
      <c r="O349" s="3"/>
      <c r="P349" s="3"/>
      <c r="Q349" s="3"/>
      <c r="R349" s="3"/>
      <c r="S349" s="3"/>
      <c r="T349" s="5"/>
      <c r="U349" s="5"/>
      <c r="V349" s="5"/>
      <c r="W349" s="5" t="str">
        <f>IFERROR(__xludf.DUMMYFUNCTION("""COMPUTED_VALUE"""),"Simon")</f>
        <v>Simon</v>
      </c>
    </row>
    <row r="350" ht="15.75" customHeight="1">
      <c r="A350" s="3">
        <f>IFERROR(__xludf.DUMMYFUNCTION("""COMPUTED_VALUE"""),350.0)</f>
        <v>350</v>
      </c>
      <c r="B350" s="53">
        <f>IFERROR(__xludf.DUMMYFUNCTION("""COMPUTED_VALUE"""),45414.0)</f>
        <v>45414</v>
      </c>
      <c r="C350" s="3">
        <f>IFERROR(__xludf.DUMMYFUNCTION("""COMPUTED_VALUE"""),14.0)</f>
        <v>14</v>
      </c>
      <c r="D350" s="3" t="str">
        <f>IFERROR(__xludf.DUMMYFUNCTION("""COMPUTED_VALUE"""),"1.157")</f>
        <v>1.157</v>
      </c>
      <c r="E350" s="54">
        <f>IFERROR(__xludf.DUMMYFUNCTION("""COMPUTED_VALUE"""),23000.0)</f>
        <v>23000</v>
      </c>
      <c r="F350" s="3" t="str">
        <f>IFERROR(__xludf.DUMMYFUNCTION("""COMPUTED_VALUE"""),"Tinto Recarga")</f>
        <v>Tinto Recarga</v>
      </c>
      <c r="G350" s="55">
        <f>IFERROR(__xludf.DUMMYFUNCTION("""COMPUTED_VALUE"""),13.1)</f>
        <v>13.1</v>
      </c>
      <c r="H350" s="56">
        <f>IFERROR(__xludf.DUMMYFUNCTION("""COMPUTED_VALUE"""),4.51)</f>
        <v>4.51</v>
      </c>
      <c r="I350" s="57">
        <f>IFERROR(__xludf.DUMMYFUNCTION("""COMPUTED_VALUE"""),0.62)</f>
        <v>0.62</v>
      </c>
      <c r="J350" s="57">
        <f>IFERROR(__xludf.DUMMYFUNCTION("""COMPUTED_VALUE"""),5.02)</f>
        <v>5.02</v>
      </c>
      <c r="K350" s="57">
        <f>IFERROR(__xludf.DUMMYFUNCTION("""COMPUTED_VALUE"""),3.94)</f>
        <v>3.94</v>
      </c>
      <c r="L350" s="54">
        <f>IFERROR(__xludf.DUMMYFUNCTION("""COMPUTED_VALUE"""),54.0)</f>
        <v>54</v>
      </c>
      <c r="M350" s="3">
        <f>IFERROR(__xludf.DUMMYFUNCTION("""COMPUTED_VALUE"""),128.0)</f>
        <v>128</v>
      </c>
      <c r="N350" s="3"/>
      <c r="O350" s="3"/>
      <c r="P350" s="3"/>
      <c r="Q350" s="3"/>
      <c r="R350" s="3"/>
      <c r="S350" s="3"/>
      <c r="T350" s="5"/>
      <c r="U350" s="5"/>
      <c r="V350" s="5"/>
      <c r="W350" s="5" t="str">
        <f>IFERROR(__xludf.DUMMYFUNCTION("""COMPUTED_VALUE"""),"Simon")</f>
        <v>Simon</v>
      </c>
    </row>
    <row r="351" ht="15.75" customHeight="1">
      <c r="A351" s="3">
        <f>IFERROR(__xludf.DUMMYFUNCTION("""COMPUTED_VALUE"""),351.0)</f>
        <v>351</v>
      </c>
      <c r="B351" s="53">
        <f>IFERROR(__xludf.DUMMYFUNCTION("""COMPUTED_VALUE"""),45414.0)</f>
        <v>45414</v>
      </c>
      <c r="C351" s="3">
        <f>IFERROR(__xludf.DUMMYFUNCTION("""COMPUTED_VALUE"""),15.0)</f>
        <v>15</v>
      </c>
      <c r="D351" s="3" t="str">
        <f>IFERROR(__xludf.DUMMYFUNCTION("""COMPUTED_VALUE"""),"1.167")</f>
        <v>1.167</v>
      </c>
      <c r="E351" s="54">
        <f>IFERROR(__xludf.DUMMYFUNCTION("""COMPUTED_VALUE"""),36500.0)</f>
        <v>36500</v>
      </c>
      <c r="F351" s="3" t="str">
        <f>IFERROR(__xludf.DUMMYFUNCTION("""COMPUTED_VALUE"""),"Cabernet")</f>
        <v>Cabernet</v>
      </c>
      <c r="G351" s="55">
        <f>IFERROR(__xludf.DUMMYFUNCTION("""COMPUTED_VALUE"""),12.9)</f>
        <v>12.9</v>
      </c>
      <c r="H351" s="56">
        <f>IFERROR(__xludf.DUMMYFUNCTION("""COMPUTED_VALUE"""),1.95)</f>
        <v>1.95</v>
      </c>
      <c r="I351" s="57">
        <f>IFERROR(__xludf.DUMMYFUNCTION("""COMPUTED_VALUE"""),0.59)</f>
        <v>0.59</v>
      </c>
      <c r="J351" s="57">
        <f>IFERROR(__xludf.DUMMYFUNCTION("""COMPUTED_VALUE"""),4.42)</f>
        <v>4.42</v>
      </c>
      <c r="K351" s="57">
        <f>IFERROR(__xludf.DUMMYFUNCTION("""COMPUTED_VALUE"""),4.05)</f>
        <v>4.05</v>
      </c>
      <c r="L351" s="54">
        <f>IFERROR(__xludf.DUMMYFUNCTION("""COMPUTED_VALUE"""),20.0)</f>
        <v>20</v>
      </c>
      <c r="M351" s="3">
        <f>IFERROR(__xludf.DUMMYFUNCTION("""COMPUTED_VALUE"""),100.0)</f>
        <v>100</v>
      </c>
      <c r="N351" s="3"/>
      <c r="O351" s="3"/>
      <c r="P351" s="3"/>
      <c r="Q351" s="3"/>
      <c r="R351" s="3"/>
      <c r="S351" s="3"/>
      <c r="T351" s="5"/>
      <c r="U351" s="5"/>
      <c r="V351" s="5"/>
      <c r="W351" s="5" t="str">
        <f>IFERROR(__xludf.DUMMYFUNCTION("""COMPUTED_VALUE"""),"Simon")</f>
        <v>Simon</v>
      </c>
    </row>
    <row r="352" ht="15.75" customHeight="1">
      <c r="A352" s="3">
        <f>IFERROR(__xludf.DUMMYFUNCTION("""COMPUTED_VALUE"""),352.0)</f>
        <v>352</v>
      </c>
      <c r="B352" s="53">
        <f>IFERROR(__xludf.DUMMYFUNCTION("""COMPUTED_VALUE"""),45414.0)</f>
        <v>45414</v>
      </c>
      <c r="C352" s="3">
        <f>IFERROR(__xludf.DUMMYFUNCTION("""COMPUTED_VALUE"""),16.0)</f>
        <v>16</v>
      </c>
      <c r="D352" s="3" t="str">
        <f>IFERROR(__xludf.DUMMYFUNCTION("""COMPUTED_VALUE"""),"1.210")</f>
        <v>1.210</v>
      </c>
      <c r="E352" s="54">
        <f>IFERROR(__xludf.DUMMYFUNCTION("""COMPUTED_VALUE"""),19500.0)</f>
        <v>19500</v>
      </c>
      <c r="F352" s="3" t="str">
        <f>IFERROR(__xludf.DUMMYFUNCTION("""COMPUTED_VALUE"""),"Cabernet Bonarda")</f>
        <v>Cabernet Bonarda</v>
      </c>
      <c r="G352" s="55">
        <f>IFERROR(__xludf.DUMMYFUNCTION("""COMPUTED_VALUE"""),13.0)</f>
        <v>13</v>
      </c>
      <c r="H352" s="56">
        <f>IFERROR(__xludf.DUMMYFUNCTION("""COMPUTED_VALUE"""),1.8)</f>
        <v>1.8</v>
      </c>
      <c r="I352" s="57">
        <f>IFERROR(__xludf.DUMMYFUNCTION("""COMPUTED_VALUE"""),0.54)</f>
        <v>0.54</v>
      </c>
      <c r="J352" s="57">
        <f>IFERROR(__xludf.DUMMYFUNCTION("""COMPUTED_VALUE"""),4.8)</f>
        <v>4.8</v>
      </c>
      <c r="K352" s="57">
        <f>IFERROR(__xludf.DUMMYFUNCTION("""COMPUTED_VALUE"""),3.99)</f>
        <v>3.99</v>
      </c>
      <c r="L352" s="54">
        <f>IFERROR(__xludf.DUMMYFUNCTION("""COMPUTED_VALUE"""),43.0)</f>
        <v>43</v>
      </c>
      <c r="M352" s="3">
        <f>IFERROR(__xludf.DUMMYFUNCTION("""COMPUTED_VALUE"""),105.0)</f>
        <v>105</v>
      </c>
      <c r="N352" s="3"/>
      <c r="O352" s="3"/>
      <c r="P352" s="3"/>
      <c r="Q352" s="3"/>
      <c r="R352" s="3"/>
      <c r="S352" s="3"/>
      <c r="T352" s="5"/>
      <c r="U352" s="5"/>
      <c r="V352" s="5"/>
      <c r="W352" s="5" t="str">
        <f>IFERROR(__xludf.DUMMYFUNCTION("""COMPUTED_VALUE"""),"Simon")</f>
        <v>Simon</v>
      </c>
    </row>
    <row r="353" ht="15.75" customHeight="1">
      <c r="A353" s="3">
        <f>IFERROR(__xludf.DUMMYFUNCTION("""COMPUTED_VALUE"""),353.0)</f>
        <v>353</v>
      </c>
      <c r="B353" s="53">
        <f>IFERROR(__xludf.DUMMYFUNCTION("""COMPUTED_VALUE"""),45414.0)</f>
        <v>45414</v>
      </c>
      <c r="C353" s="3">
        <f>IFERROR(__xludf.DUMMYFUNCTION("""COMPUTED_VALUE"""),25.0)</f>
        <v>25</v>
      </c>
      <c r="D353" s="3" t="str">
        <f>IFERROR(__xludf.DUMMYFUNCTION("""COMPUTED_VALUE"""),"1.133")</f>
        <v>1.133</v>
      </c>
      <c r="E353" s="54">
        <f>IFERROR(__xludf.DUMMYFUNCTION("""COMPUTED_VALUE"""),194300.0)</f>
        <v>194300</v>
      </c>
      <c r="F353" s="3" t="str">
        <f>IFERROR(__xludf.DUMMYFUNCTION("""COMPUTED_VALUE"""),"Syrah")</f>
        <v>Syrah</v>
      </c>
      <c r="G353" s="55">
        <f>IFERROR(__xludf.DUMMYFUNCTION("""COMPUTED_VALUE"""),13.6)</f>
        <v>13.6</v>
      </c>
      <c r="H353" s="56">
        <f>IFERROR(__xludf.DUMMYFUNCTION("""COMPUTED_VALUE"""),1.95)</f>
        <v>1.95</v>
      </c>
      <c r="I353" s="57">
        <f>IFERROR(__xludf.DUMMYFUNCTION("""COMPUTED_VALUE"""),0.47)</f>
        <v>0.47</v>
      </c>
      <c r="J353" s="57">
        <f>IFERROR(__xludf.DUMMYFUNCTION("""COMPUTED_VALUE"""),5.32)</f>
        <v>5.32</v>
      </c>
      <c r="K353" s="57">
        <f>IFERROR(__xludf.DUMMYFUNCTION("""COMPUTED_VALUE"""),3.81)</f>
        <v>3.81</v>
      </c>
      <c r="L353" s="54">
        <f>IFERROR(__xludf.DUMMYFUNCTION("""COMPUTED_VALUE"""),25.0)</f>
        <v>25</v>
      </c>
      <c r="M353" s="3">
        <f>IFERROR(__xludf.DUMMYFUNCTION("""COMPUTED_VALUE"""),128.0)</f>
        <v>128</v>
      </c>
      <c r="N353" s="3"/>
      <c r="O353" s="3"/>
      <c r="P353" s="3"/>
      <c r="Q353" s="3"/>
      <c r="R353" s="3"/>
      <c r="S353" s="3"/>
      <c r="T353" s="5"/>
      <c r="U353" s="5"/>
      <c r="V353" s="5"/>
      <c r="W353" s="5" t="str">
        <f>IFERROR(__xludf.DUMMYFUNCTION("""COMPUTED_VALUE"""),"Simon")</f>
        <v>Simon</v>
      </c>
    </row>
    <row r="354" ht="15.75" customHeight="1">
      <c r="A354" s="3">
        <f>IFERROR(__xludf.DUMMYFUNCTION("""COMPUTED_VALUE"""),354.0)</f>
        <v>354</v>
      </c>
      <c r="B354" s="53">
        <f>IFERROR(__xludf.DUMMYFUNCTION("""COMPUTED_VALUE"""),45414.0)</f>
        <v>45414</v>
      </c>
      <c r="C354" s="3">
        <f>IFERROR(__xludf.DUMMYFUNCTION("""COMPUTED_VALUE"""),26.0)</f>
        <v>26</v>
      </c>
      <c r="D354" s="3" t="str">
        <f>IFERROR(__xludf.DUMMYFUNCTION("""COMPUTED_VALUE"""),"1.197")</f>
        <v>1.197</v>
      </c>
      <c r="E354" s="54">
        <f>IFERROR(__xludf.DUMMYFUNCTION("""COMPUTED_VALUE"""),186600.0)</f>
        <v>186600</v>
      </c>
      <c r="F354" s="3" t="str">
        <f>IFERROR(__xludf.DUMMYFUNCTION("""COMPUTED_VALUE"""),"Malbec")</f>
        <v>Malbec</v>
      </c>
      <c r="G354" s="55">
        <f>IFERROR(__xludf.DUMMYFUNCTION("""COMPUTED_VALUE"""),13.8)</f>
        <v>13.8</v>
      </c>
      <c r="H354" s="56">
        <f>IFERROR(__xludf.DUMMYFUNCTION("""COMPUTED_VALUE"""),1.8)</f>
        <v>1.8</v>
      </c>
      <c r="I354" s="57">
        <f>IFERROR(__xludf.DUMMYFUNCTION("""COMPUTED_VALUE"""),0.72)</f>
        <v>0.72</v>
      </c>
      <c r="J354" s="57">
        <f>IFERROR(__xludf.DUMMYFUNCTION("""COMPUTED_VALUE"""),5.1)</f>
        <v>5.1</v>
      </c>
      <c r="K354" s="57">
        <f>IFERROR(__xludf.DUMMYFUNCTION("""COMPUTED_VALUE"""),4.06)</f>
        <v>4.06</v>
      </c>
      <c r="L354" s="54">
        <f>IFERROR(__xludf.DUMMYFUNCTION("""COMPUTED_VALUE"""),38.0)</f>
        <v>38</v>
      </c>
      <c r="M354" s="3">
        <f>IFERROR(__xludf.DUMMYFUNCTION("""COMPUTED_VALUE"""),123.0)</f>
        <v>123</v>
      </c>
      <c r="N354" s="3"/>
      <c r="O354" s="3"/>
      <c r="P354" s="3"/>
      <c r="Q354" s="3"/>
      <c r="R354" s="3"/>
      <c r="S354" s="3"/>
      <c r="T354" s="5"/>
      <c r="U354" s="5"/>
      <c r="V354" s="5"/>
      <c r="W354" s="5"/>
    </row>
    <row r="355" ht="15.75" customHeight="1">
      <c r="A355" s="3">
        <f>IFERROR(__xludf.DUMMYFUNCTION("""COMPUTED_VALUE"""),355.0)</f>
        <v>355</v>
      </c>
      <c r="B355" s="53">
        <f>IFERROR(__xludf.DUMMYFUNCTION("""COMPUTED_VALUE"""),45414.0)</f>
        <v>45414</v>
      </c>
      <c r="C355" s="3">
        <f>IFERROR(__xludf.DUMMYFUNCTION("""COMPUTED_VALUE"""),31.0)</f>
        <v>31</v>
      </c>
      <c r="D355" s="3" t="str">
        <f>IFERROR(__xludf.DUMMYFUNCTION("""COMPUTED_VALUE"""),"1.175")</f>
        <v>1.175</v>
      </c>
      <c r="E355" s="54">
        <f>IFERROR(__xludf.DUMMYFUNCTION("""COMPUTED_VALUE"""),25700.0)</f>
        <v>25700</v>
      </c>
      <c r="F355" s="3" t="str">
        <f>IFERROR(__xludf.DUMMYFUNCTION("""COMPUTED_VALUE"""),"Bonarda")</f>
        <v>Bonarda</v>
      </c>
      <c r="G355" s="55">
        <f>IFERROR(__xludf.DUMMYFUNCTION("""COMPUTED_VALUE"""),13.1)</f>
        <v>13.1</v>
      </c>
      <c r="H355" s="56">
        <f>IFERROR(__xludf.DUMMYFUNCTION("""COMPUTED_VALUE"""),1.85)</f>
        <v>1.85</v>
      </c>
      <c r="I355" s="57">
        <f>IFERROR(__xludf.DUMMYFUNCTION("""COMPUTED_VALUE"""),0.53)</f>
        <v>0.53</v>
      </c>
      <c r="J355" s="57">
        <f>IFERROR(__xludf.DUMMYFUNCTION("""COMPUTED_VALUE"""),5.77)</f>
        <v>5.77</v>
      </c>
      <c r="K355" s="57">
        <f>IFERROR(__xludf.DUMMYFUNCTION("""COMPUTED_VALUE"""),3.82)</f>
        <v>3.82</v>
      </c>
      <c r="L355" s="54">
        <f>IFERROR(__xludf.DUMMYFUNCTION("""COMPUTED_VALUE"""),25.0)</f>
        <v>25</v>
      </c>
      <c r="M355" s="3">
        <f>IFERROR(__xludf.DUMMYFUNCTION("""COMPUTED_VALUE"""),77.0)</f>
        <v>77</v>
      </c>
      <c r="N355" s="3"/>
      <c r="O355" s="3"/>
      <c r="P355" s="3"/>
      <c r="Q355" s="3"/>
      <c r="R355" s="3"/>
      <c r="S355" s="3"/>
      <c r="T355" s="5"/>
      <c r="U355" s="5"/>
      <c r="V355" s="5"/>
      <c r="W355" s="5"/>
    </row>
    <row r="356" ht="15.75" customHeight="1">
      <c r="A356" s="3">
        <f>IFERROR(__xludf.DUMMYFUNCTION("""COMPUTED_VALUE"""),356.0)</f>
        <v>356</v>
      </c>
      <c r="B356" s="53">
        <f>IFERROR(__xludf.DUMMYFUNCTION("""COMPUTED_VALUE"""),45475.0)</f>
        <v>45475</v>
      </c>
      <c r="C356" s="3">
        <f>IFERROR(__xludf.DUMMYFUNCTION("""COMPUTED_VALUE"""),30.0)</f>
        <v>30</v>
      </c>
      <c r="D356" s="3" t="str">
        <f>IFERROR(__xludf.DUMMYFUNCTION("""COMPUTED_VALUE"""),"1.080")</f>
        <v>1.080</v>
      </c>
      <c r="E356" s="54">
        <f>IFERROR(__xludf.DUMMYFUNCTION("""COMPUTED_VALUE"""),36300.0)</f>
        <v>36300</v>
      </c>
      <c r="F356" s="3" t="str">
        <f>IFERROR(__xludf.DUMMYFUNCTION("""COMPUTED_VALUE"""),"Cabernet Sauvignon Got")</f>
        <v>Cabernet Sauvignon Got</v>
      </c>
      <c r="G356" s="55">
        <f>IFERROR(__xludf.DUMMYFUNCTION("""COMPUTED_VALUE"""),13.2)</f>
        <v>13.2</v>
      </c>
      <c r="H356" s="56">
        <f>IFERROR(__xludf.DUMMYFUNCTION("""COMPUTED_VALUE"""),1.8)</f>
        <v>1.8</v>
      </c>
      <c r="I356" s="57">
        <f>IFERROR(__xludf.DUMMYFUNCTION("""COMPUTED_VALUE"""),0.58)</f>
        <v>0.58</v>
      </c>
      <c r="J356" s="57">
        <f>IFERROR(__xludf.DUMMYFUNCTION("""COMPUTED_VALUE"""),4.87)</f>
        <v>4.87</v>
      </c>
      <c r="K356" s="57">
        <f>IFERROR(__xludf.DUMMYFUNCTION("""COMPUTED_VALUE"""),3.76)</f>
        <v>3.76</v>
      </c>
      <c r="L356" s="54">
        <f>IFERROR(__xludf.DUMMYFUNCTION("""COMPUTED_VALUE"""),31.0)</f>
        <v>31</v>
      </c>
      <c r="M356" s="3">
        <f>IFERROR(__xludf.DUMMYFUNCTION("""COMPUTED_VALUE"""),110.0)</f>
        <v>110</v>
      </c>
      <c r="N356" s="3"/>
      <c r="O356" s="3"/>
      <c r="P356" s="3"/>
      <c r="Q356" s="3"/>
      <c r="R356" s="3"/>
      <c r="S356" s="3"/>
      <c r="T356" s="5"/>
      <c r="U356" s="5"/>
      <c r="V356" s="5"/>
      <c r="W356" s="5"/>
    </row>
    <row r="357" ht="15.75" customHeight="1">
      <c r="A357" s="3">
        <f>IFERROR(__xludf.DUMMYFUNCTION("""COMPUTED_VALUE"""),357.0)</f>
        <v>357</v>
      </c>
      <c r="B357" s="53">
        <f>IFERROR(__xludf.DUMMYFUNCTION("""COMPUTED_VALUE"""),45414.0)</f>
        <v>45414</v>
      </c>
      <c r="C357" s="3">
        <f>IFERROR(__xludf.DUMMYFUNCTION("""COMPUTED_VALUE"""),33.0)</f>
        <v>33</v>
      </c>
      <c r="D357" s="3" t="str">
        <f>IFERROR(__xludf.DUMMYFUNCTION("""COMPUTED_VALUE"""),"1.176")</f>
        <v>1.176</v>
      </c>
      <c r="E357" s="54">
        <f>IFERROR(__xludf.DUMMYFUNCTION("""COMPUTED_VALUE"""),25300.0)</f>
        <v>25300</v>
      </c>
      <c r="F357" s="3" t="str">
        <f>IFERROR(__xludf.DUMMYFUNCTION("""COMPUTED_VALUE"""),"Bonarda")</f>
        <v>Bonarda</v>
      </c>
      <c r="G357" s="55">
        <f>IFERROR(__xludf.DUMMYFUNCTION("""COMPUTED_VALUE"""),13.2)</f>
        <v>13.2</v>
      </c>
      <c r="H357" s="56">
        <f>IFERROR(__xludf.DUMMYFUNCTION("""COMPUTED_VALUE"""),1.83)</f>
        <v>1.83</v>
      </c>
      <c r="I357" s="57">
        <f>IFERROR(__xludf.DUMMYFUNCTION("""COMPUTED_VALUE"""),0.37)</f>
        <v>0.37</v>
      </c>
      <c r="J357" s="57">
        <f>IFERROR(__xludf.DUMMYFUNCTION("""COMPUTED_VALUE"""),5.85)</f>
        <v>5.85</v>
      </c>
      <c r="K357" s="57">
        <f>IFERROR(__xludf.DUMMYFUNCTION("""COMPUTED_VALUE"""),3.79)</f>
        <v>3.79</v>
      </c>
      <c r="L357" s="54">
        <f>IFERROR(__xludf.DUMMYFUNCTION("""COMPUTED_VALUE"""),20.0)</f>
        <v>20</v>
      </c>
      <c r="M357" s="3">
        <f>IFERROR(__xludf.DUMMYFUNCTION("""COMPUTED_VALUE"""),110.0)</f>
        <v>110</v>
      </c>
      <c r="N357" s="3"/>
      <c r="O357" s="3"/>
      <c r="P357" s="3"/>
      <c r="Q357" s="3"/>
      <c r="R357" s="3"/>
      <c r="S357" s="3"/>
      <c r="T357" s="5"/>
      <c r="U357" s="5"/>
      <c r="V357" s="5"/>
      <c r="W357" s="5"/>
    </row>
    <row r="358" ht="15.75" customHeight="1">
      <c r="A358" s="3">
        <f>IFERROR(__xludf.DUMMYFUNCTION("""COMPUTED_VALUE"""),358.0)</f>
        <v>358</v>
      </c>
      <c r="B358" s="53">
        <f>IFERROR(__xludf.DUMMYFUNCTION("""COMPUTED_VALUE"""),45414.0)</f>
        <v>45414</v>
      </c>
      <c r="C358" s="3">
        <f>IFERROR(__xludf.DUMMYFUNCTION("""COMPUTED_VALUE"""),36.0)</f>
        <v>36</v>
      </c>
      <c r="D358" s="3" t="str">
        <f>IFERROR(__xludf.DUMMYFUNCTION("""COMPUTED_VALUE"""),"1.190")</f>
        <v>1.190</v>
      </c>
      <c r="E358" s="54">
        <f>IFERROR(__xludf.DUMMYFUNCTION("""COMPUTED_VALUE"""),19700.0)</f>
        <v>19700</v>
      </c>
      <c r="F358" s="3" t="str">
        <f>IFERROR(__xludf.DUMMYFUNCTION("""COMPUTED_VALUE"""),"Tinto Recarga")</f>
        <v>Tinto Recarga</v>
      </c>
      <c r="G358" s="55">
        <f>IFERROR(__xludf.DUMMYFUNCTION("""COMPUTED_VALUE"""),13.0)</f>
        <v>13</v>
      </c>
      <c r="H358" s="56">
        <f>IFERROR(__xludf.DUMMYFUNCTION("""COMPUTED_VALUE"""),7.51)</f>
        <v>7.51</v>
      </c>
      <c r="I358" s="57">
        <f>IFERROR(__xludf.DUMMYFUNCTION("""COMPUTED_VALUE"""),0.77)</f>
        <v>0.77</v>
      </c>
      <c r="J358" s="57">
        <f>IFERROR(__xludf.DUMMYFUNCTION("""COMPUTED_VALUE"""),5.02)</f>
        <v>5.02</v>
      </c>
      <c r="K358" s="57">
        <f>IFERROR(__xludf.DUMMYFUNCTION("""COMPUTED_VALUE"""),4.01)</f>
        <v>4.01</v>
      </c>
      <c r="L358" s="54">
        <f>IFERROR(__xludf.DUMMYFUNCTION("""COMPUTED_VALUE"""),33.0)</f>
        <v>33</v>
      </c>
      <c r="M358" s="3">
        <f>IFERROR(__xludf.DUMMYFUNCTION("""COMPUTED_VALUE"""),82.0)</f>
        <v>82</v>
      </c>
      <c r="N358" s="3"/>
      <c r="O358" s="3"/>
      <c r="P358" s="3"/>
      <c r="Q358" s="3"/>
      <c r="R358" s="3"/>
      <c r="S358" s="3"/>
      <c r="T358" s="5"/>
      <c r="U358" s="5"/>
      <c r="V358" s="5"/>
      <c r="W358" s="5"/>
    </row>
    <row r="359" ht="15.75" customHeight="1">
      <c r="A359" s="3">
        <f>IFERROR(__xludf.DUMMYFUNCTION("""COMPUTED_VALUE"""),359.0)</f>
        <v>359</v>
      </c>
      <c r="B359" s="53">
        <f>IFERROR(__xludf.DUMMYFUNCTION("""COMPUTED_VALUE"""),45414.0)</f>
        <v>45414</v>
      </c>
      <c r="C359" s="3">
        <f>IFERROR(__xludf.DUMMYFUNCTION("""COMPUTED_VALUE"""),40.0)</f>
        <v>40</v>
      </c>
      <c r="D359" s="3" t="str">
        <f>IFERROR(__xludf.DUMMYFUNCTION("""COMPUTED_VALUE"""),"1.139")</f>
        <v>1.139</v>
      </c>
      <c r="E359" s="54">
        <f>IFERROR(__xludf.DUMMYFUNCTION("""COMPUTED_VALUE"""),24000.0)</f>
        <v>24000</v>
      </c>
      <c r="F359" s="3" t="str">
        <f>IFERROR(__xludf.DUMMYFUNCTION("""COMPUTED_VALUE"""),"Bonarda")</f>
        <v>Bonarda</v>
      </c>
      <c r="G359" s="55">
        <f>IFERROR(__xludf.DUMMYFUNCTION("""COMPUTED_VALUE"""),13.3)</f>
        <v>13.3</v>
      </c>
      <c r="H359" s="56">
        <f>IFERROR(__xludf.DUMMYFUNCTION("""COMPUTED_VALUE"""),4.34)</f>
        <v>4.34</v>
      </c>
      <c r="I359" s="57">
        <f>IFERROR(__xludf.DUMMYFUNCTION("""COMPUTED_VALUE"""),0.43)</f>
        <v>0.43</v>
      </c>
      <c r="J359" s="57">
        <f>IFERROR(__xludf.DUMMYFUNCTION("""COMPUTED_VALUE"""),5.17)</f>
        <v>5.17</v>
      </c>
      <c r="K359" s="57">
        <f>IFERROR(__xludf.DUMMYFUNCTION("""COMPUTED_VALUE"""),4.08)</f>
        <v>4.08</v>
      </c>
      <c r="L359" s="54">
        <f>IFERROR(__xludf.DUMMYFUNCTION("""COMPUTED_VALUE"""),25.0)</f>
        <v>25</v>
      </c>
      <c r="M359" s="3">
        <f>IFERROR(__xludf.DUMMYFUNCTION("""COMPUTED_VALUE"""),102.0)</f>
        <v>102</v>
      </c>
      <c r="N359" s="3"/>
      <c r="O359" s="3"/>
      <c r="P359" s="3"/>
      <c r="Q359" s="3"/>
      <c r="R359" s="3"/>
      <c r="S359" s="3"/>
      <c r="T359" s="5"/>
      <c r="U359" s="5"/>
      <c r="V359" s="5"/>
      <c r="W359" s="5"/>
    </row>
    <row r="360" ht="15.75" customHeight="1">
      <c r="A360" s="3">
        <f>IFERROR(__xludf.DUMMYFUNCTION("""COMPUTED_VALUE"""),360.0)</f>
        <v>360</v>
      </c>
      <c r="B360" s="53">
        <f>IFERROR(__xludf.DUMMYFUNCTION("""COMPUTED_VALUE"""),45414.0)</f>
        <v>45414</v>
      </c>
      <c r="C360" s="3">
        <f>IFERROR(__xludf.DUMMYFUNCTION("""COMPUTED_VALUE"""),41.0)</f>
        <v>41</v>
      </c>
      <c r="D360" s="3" t="str">
        <f>IFERROR(__xludf.DUMMYFUNCTION("""COMPUTED_VALUE"""),"1.105")</f>
        <v>1.105</v>
      </c>
      <c r="E360" s="54">
        <f>IFERROR(__xludf.DUMMYFUNCTION("""COMPUTED_VALUE"""),35100.0)</f>
        <v>35100</v>
      </c>
      <c r="F360" s="3" t="str">
        <f>IFERROR(__xludf.DUMMYFUNCTION("""COMPUTED_VALUE"""),"Syrah G")</f>
        <v>Syrah G</v>
      </c>
      <c r="G360" s="55">
        <f>IFERROR(__xludf.DUMMYFUNCTION("""COMPUTED_VALUE"""),13.2)</f>
        <v>13.2</v>
      </c>
      <c r="H360" s="56">
        <f>IFERROR(__xludf.DUMMYFUNCTION("""COMPUTED_VALUE"""),1.8)</f>
        <v>1.8</v>
      </c>
      <c r="I360" s="57">
        <f>IFERROR(__xludf.DUMMYFUNCTION("""COMPUTED_VALUE"""),0.47)</f>
        <v>0.47</v>
      </c>
      <c r="J360" s="57">
        <f>IFERROR(__xludf.DUMMYFUNCTION("""COMPUTED_VALUE"""),5.25)</f>
        <v>5.25</v>
      </c>
      <c r="K360" s="57">
        <f>IFERROR(__xludf.DUMMYFUNCTION("""COMPUTED_VALUE"""),3.95)</f>
        <v>3.95</v>
      </c>
      <c r="L360" s="54">
        <f>IFERROR(__xludf.DUMMYFUNCTION("""COMPUTED_VALUE"""),33.0)</f>
        <v>33</v>
      </c>
      <c r="M360" s="3">
        <f>IFERROR(__xludf.DUMMYFUNCTION("""COMPUTED_VALUE"""),95.0)</f>
        <v>95</v>
      </c>
      <c r="N360" s="3"/>
      <c r="O360" s="3"/>
      <c r="P360" s="3"/>
      <c r="Q360" s="3"/>
      <c r="R360" s="3"/>
      <c r="S360" s="3"/>
      <c r="T360" s="5"/>
      <c r="U360" s="5"/>
      <c r="V360" s="5"/>
      <c r="W360" s="5"/>
    </row>
    <row r="361" ht="15.75" customHeight="1">
      <c r="A361" s="3">
        <f>IFERROR(__xludf.DUMMYFUNCTION("""COMPUTED_VALUE"""),361.0)</f>
        <v>361</v>
      </c>
      <c r="B361" s="53">
        <f>IFERROR(__xludf.DUMMYFUNCTION("""COMPUTED_VALUE"""),45414.0)</f>
        <v>45414</v>
      </c>
      <c r="C361" s="3">
        <f>IFERROR(__xludf.DUMMYFUNCTION("""COMPUTED_VALUE"""),44.0)</f>
        <v>44</v>
      </c>
      <c r="D361" s="3" t="str">
        <f>IFERROR(__xludf.DUMMYFUNCTION("""COMPUTED_VALUE"""),"1.066")</f>
        <v>1.066</v>
      </c>
      <c r="E361" s="54">
        <f>IFERROR(__xludf.DUMMYFUNCTION("""COMPUTED_VALUE"""),19100.0)</f>
        <v>19100</v>
      </c>
      <c r="F361" s="3" t="str">
        <f>IFERROR(__xludf.DUMMYFUNCTION("""COMPUTED_VALUE"""),"Chenin")</f>
        <v>Chenin</v>
      </c>
      <c r="G361" s="55">
        <f>IFERROR(__xludf.DUMMYFUNCTION("""COMPUTED_VALUE"""),11.4)</f>
        <v>11.4</v>
      </c>
      <c r="H361" s="56">
        <f>IFERROR(__xludf.DUMMYFUNCTION("""COMPUTED_VALUE"""),1.8)</f>
        <v>1.8</v>
      </c>
      <c r="I361" s="57">
        <f>IFERROR(__xludf.DUMMYFUNCTION("""COMPUTED_VALUE"""),0.33)</f>
        <v>0.33</v>
      </c>
      <c r="J361" s="57">
        <f>IFERROR(__xludf.DUMMYFUNCTION("""COMPUTED_VALUE"""),8.4)</f>
        <v>8.4</v>
      </c>
      <c r="K361" s="57">
        <f>IFERROR(__xludf.DUMMYFUNCTION("""COMPUTED_VALUE"""),3.37)</f>
        <v>3.37</v>
      </c>
      <c r="L361" s="54">
        <f>IFERROR(__xludf.DUMMYFUNCTION("""COMPUTED_VALUE"""),33.0)</f>
        <v>33</v>
      </c>
      <c r="M361" s="3">
        <f>IFERROR(__xludf.DUMMYFUNCTION("""COMPUTED_VALUE"""),151.0)</f>
        <v>151</v>
      </c>
      <c r="N361" s="3"/>
      <c r="O361" s="3"/>
      <c r="P361" s="3"/>
      <c r="Q361" s="3"/>
      <c r="R361" s="3"/>
      <c r="S361" s="3"/>
      <c r="T361" s="5"/>
      <c r="U361" s="5"/>
      <c r="V361" s="5"/>
      <c r="W361" s="5"/>
    </row>
    <row r="362" ht="15.75" customHeight="1">
      <c r="A362" s="3">
        <f>IFERROR(__xludf.DUMMYFUNCTION("""COMPUTED_VALUE"""),362.0)</f>
        <v>362</v>
      </c>
      <c r="B362" s="53">
        <f>IFERROR(__xludf.DUMMYFUNCTION("""COMPUTED_VALUE"""),45414.0)</f>
        <v>45414</v>
      </c>
      <c r="C362" s="3">
        <f>IFERROR(__xludf.DUMMYFUNCTION("""COMPUTED_VALUE"""),45.0)</f>
        <v>45</v>
      </c>
      <c r="D362" s="3" t="str">
        <f>IFERROR(__xludf.DUMMYFUNCTION("""COMPUTED_VALUE"""),"1.121")</f>
        <v>1.121</v>
      </c>
      <c r="E362" s="54">
        <f>IFERROR(__xludf.DUMMYFUNCTION("""COMPUTED_VALUE"""),30000.0)</f>
        <v>30000</v>
      </c>
      <c r="F362" s="3" t="str">
        <f>IFERROR(__xludf.DUMMYFUNCTION("""COMPUTED_VALUE"""),"Syrah s/Asp 2")</f>
        <v>Syrah s/Asp 2</v>
      </c>
      <c r="G362" s="55">
        <f>IFERROR(__xludf.DUMMYFUNCTION("""COMPUTED_VALUE"""),12.5)</f>
        <v>12.5</v>
      </c>
      <c r="H362" s="56">
        <f>IFERROR(__xludf.DUMMYFUNCTION("""COMPUTED_VALUE"""),1.8)</f>
        <v>1.8</v>
      </c>
      <c r="I362" s="57">
        <f>IFERROR(__xludf.DUMMYFUNCTION("""COMPUTED_VALUE"""),0.52)</f>
        <v>0.52</v>
      </c>
      <c r="J362" s="57">
        <f>IFERROR(__xludf.DUMMYFUNCTION("""COMPUTED_VALUE"""),5.25)</f>
        <v>5.25</v>
      </c>
      <c r="K362" s="57">
        <f>IFERROR(__xludf.DUMMYFUNCTION("""COMPUTED_VALUE"""),3.8)</f>
        <v>3.8</v>
      </c>
      <c r="L362" s="54">
        <f>IFERROR(__xludf.DUMMYFUNCTION("""COMPUTED_VALUE"""),49.0)</f>
        <v>49</v>
      </c>
      <c r="M362" s="3">
        <f>IFERROR(__xludf.DUMMYFUNCTION("""COMPUTED_VALUE"""),141.0)</f>
        <v>141</v>
      </c>
      <c r="N362" s="3"/>
      <c r="O362" s="3"/>
      <c r="P362" s="3"/>
      <c r="Q362" s="3"/>
      <c r="R362" s="3"/>
      <c r="S362" s="3"/>
      <c r="T362" s="5"/>
      <c r="U362" s="5"/>
      <c r="V362" s="5"/>
      <c r="W362" s="5"/>
    </row>
    <row r="363" ht="15.75" customHeight="1">
      <c r="A363" s="3">
        <f>IFERROR(__xludf.DUMMYFUNCTION("""COMPUTED_VALUE"""),363.0)</f>
        <v>363</v>
      </c>
      <c r="B363" s="53">
        <f>IFERROR(__xludf.DUMMYFUNCTION("""COMPUTED_VALUE"""),45414.0)</f>
        <v>45414</v>
      </c>
      <c r="C363" s="3">
        <f>IFERROR(__xludf.DUMMYFUNCTION("""COMPUTED_VALUE"""),46.0)</f>
        <v>46</v>
      </c>
      <c r="D363" s="3" t="str">
        <f>IFERROR(__xludf.DUMMYFUNCTION("""COMPUTED_VALUE"""),"1.206")</f>
        <v>1.206</v>
      </c>
      <c r="E363" s="54">
        <f>IFERROR(__xludf.DUMMYFUNCTION("""COMPUTED_VALUE"""),29000.0)</f>
        <v>29000</v>
      </c>
      <c r="F363" s="3" t="str">
        <f>IFERROR(__xludf.DUMMYFUNCTION("""COMPUTED_VALUE"""),"Chardonnay")</f>
        <v>Chardonnay</v>
      </c>
      <c r="G363" s="55">
        <f>IFERROR(__xludf.DUMMYFUNCTION("""COMPUTED_VALUE"""),12.6)</f>
        <v>12.6</v>
      </c>
      <c r="H363" s="56">
        <f>IFERROR(__xludf.DUMMYFUNCTION("""COMPUTED_VALUE"""),1.9)</f>
        <v>1.9</v>
      </c>
      <c r="I363" s="57">
        <f>IFERROR(__xludf.DUMMYFUNCTION("""COMPUTED_VALUE"""),0.3)</f>
        <v>0.3</v>
      </c>
      <c r="J363" s="57">
        <f>IFERROR(__xludf.DUMMYFUNCTION("""COMPUTED_VALUE"""),6.67)</f>
        <v>6.67</v>
      </c>
      <c r="K363" s="57">
        <f>IFERROR(__xludf.DUMMYFUNCTION("""COMPUTED_VALUE"""),3.51)</f>
        <v>3.51</v>
      </c>
      <c r="L363" s="54">
        <f>IFERROR(__xludf.DUMMYFUNCTION("""COMPUTED_VALUE"""),36.0)</f>
        <v>36</v>
      </c>
      <c r="M363" s="3">
        <f>IFERROR(__xludf.DUMMYFUNCTION("""COMPUTED_VALUE"""),102.0)</f>
        <v>102</v>
      </c>
      <c r="N363" s="3"/>
      <c r="O363" s="3"/>
      <c r="P363" s="3"/>
      <c r="Q363" s="3"/>
      <c r="R363" s="3"/>
      <c r="S363" s="3"/>
      <c r="T363" s="5"/>
      <c r="U363" s="5"/>
      <c r="V363" s="5"/>
      <c r="W363" s="5"/>
    </row>
    <row r="364" ht="15.75" customHeight="1">
      <c r="A364" s="3">
        <f>IFERROR(__xludf.DUMMYFUNCTION("""COMPUTED_VALUE"""),364.0)</f>
        <v>364</v>
      </c>
      <c r="B364" s="53">
        <f>IFERROR(__xludf.DUMMYFUNCTION("""COMPUTED_VALUE"""),45414.0)</f>
        <v>45414</v>
      </c>
      <c r="C364" s="3">
        <f>IFERROR(__xludf.DUMMYFUNCTION("""COMPUTED_VALUE"""),47.0)</f>
        <v>47</v>
      </c>
      <c r="D364" s="3" t="str">
        <f>IFERROR(__xludf.DUMMYFUNCTION("""COMPUTED_VALUE"""),"1.029")</f>
        <v>1.029</v>
      </c>
      <c r="E364" s="54">
        <f>IFERROR(__xludf.DUMMYFUNCTION("""COMPUTED_VALUE"""),20000.0)</f>
        <v>20000</v>
      </c>
      <c r="F364" s="3" t="str">
        <f>IFERROR(__xludf.DUMMYFUNCTION("""COMPUTED_VALUE"""),"Chardonnay")</f>
        <v>Chardonnay</v>
      </c>
      <c r="G364" s="55">
        <f>IFERROR(__xludf.DUMMYFUNCTION("""COMPUTED_VALUE"""),12.7)</f>
        <v>12.7</v>
      </c>
      <c r="H364" s="56">
        <f>IFERROR(__xludf.DUMMYFUNCTION("""COMPUTED_VALUE"""),1.8)</f>
        <v>1.8</v>
      </c>
      <c r="I364" s="57">
        <f>IFERROR(__xludf.DUMMYFUNCTION("""COMPUTED_VALUE"""),0.29)</f>
        <v>0.29</v>
      </c>
      <c r="J364" s="57">
        <f>IFERROR(__xludf.DUMMYFUNCTION("""COMPUTED_VALUE"""),6.37)</f>
        <v>6.37</v>
      </c>
      <c r="K364" s="57">
        <f>IFERROR(__xludf.DUMMYFUNCTION("""COMPUTED_VALUE"""),3.61)</f>
        <v>3.61</v>
      </c>
      <c r="L364" s="54">
        <f>IFERROR(__xludf.DUMMYFUNCTION("""COMPUTED_VALUE"""),38.0)</f>
        <v>38</v>
      </c>
      <c r="M364" s="3">
        <f>IFERROR(__xludf.DUMMYFUNCTION("""COMPUTED_VALUE"""),110.0)</f>
        <v>110</v>
      </c>
      <c r="N364" s="3"/>
      <c r="O364" s="3"/>
      <c r="P364" s="3"/>
      <c r="Q364" s="3"/>
      <c r="R364" s="3"/>
      <c r="S364" s="3"/>
      <c r="T364" s="5"/>
      <c r="U364" s="5"/>
      <c r="V364" s="5"/>
      <c r="W364" s="5"/>
    </row>
    <row r="365" ht="15.75" customHeight="1">
      <c r="A365" s="3">
        <f>IFERROR(__xludf.DUMMYFUNCTION("""COMPUTED_VALUE"""),365.0)</f>
        <v>365</v>
      </c>
      <c r="B365" s="53">
        <f>IFERROR(__xludf.DUMMYFUNCTION("""COMPUTED_VALUE"""),45414.0)</f>
        <v>45414</v>
      </c>
      <c r="C365" s="3">
        <f>IFERROR(__xludf.DUMMYFUNCTION("""COMPUTED_VALUE"""),50.0)</f>
        <v>50</v>
      </c>
      <c r="D365" s="3" t="str">
        <f>IFERROR(__xludf.DUMMYFUNCTION("""COMPUTED_VALUE"""),"1.215")</f>
        <v>1.215</v>
      </c>
      <c r="E365" s="54">
        <f>IFERROR(__xludf.DUMMYFUNCTION("""COMPUTED_VALUE"""),5100.0)</f>
        <v>5100</v>
      </c>
      <c r="F365" s="3" t="str">
        <f>IFERROR(__xludf.DUMMYFUNCTION("""COMPUTED_VALUE"""),"Chardonnay")</f>
        <v>Chardonnay</v>
      </c>
      <c r="G365" s="55">
        <f>IFERROR(__xludf.DUMMYFUNCTION("""COMPUTED_VALUE"""),12.6)</f>
        <v>12.6</v>
      </c>
      <c r="H365" s="56">
        <f>IFERROR(__xludf.DUMMYFUNCTION("""COMPUTED_VALUE"""),1.8)</f>
        <v>1.8</v>
      </c>
      <c r="I365" s="57">
        <f>IFERROR(__xludf.DUMMYFUNCTION("""COMPUTED_VALUE"""),0.75)</f>
        <v>0.75</v>
      </c>
      <c r="J365" s="57">
        <f>IFERROR(__xludf.DUMMYFUNCTION("""COMPUTED_VALUE"""),5.4)</f>
        <v>5.4</v>
      </c>
      <c r="K365" s="57">
        <f>IFERROR(__xludf.DUMMYFUNCTION("""COMPUTED_VALUE"""),3.64)</f>
        <v>3.64</v>
      </c>
      <c r="L365" s="54">
        <f>IFERROR(__xludf.DUMMYFUNCTION("""COMPUTED_VALUE"""),18.0)</f>
        <v>18</v>
      </c>
      <c r="M365" s="3">
        <f>IFERROR(__xludf.DUMMYFUNCTION("""COMPUTED_VALUE"""),107.0)</f>
        <v>107</v>
      </c>
      <c r="N365" s="3"/>
      <c r="O365" s="3"/>
      <c r="P365" s="3"/>
      <c r="Q365" s="3"/>
      <c r="R365" s="3"/>
      <c r="S365" s="3"/>
      <c r="T365" s="5"/>
      <c r="U365" s="5"/>
      <c r="V365" s="5"/>
      <c r="W365" s="5"/>
    </row>
    <row r="366" ht="15.75" customHeight="1">
      <c r="A366" s="3">
        <f>IFERROR(__xludf.DUMMYFUNCTION("""COMPUTED_VALUE"""),366.0)</f>
        <v>366</v>
      </c>
      <c r="B366" s="53">
        <f>IFERROR(__xludf.DUMMYFUNCTION("""COMPUTED_VALUE"""),45414.0)</f>
        <v>45414</v>
      </c>
      <c r="C366" s="3">
        <f>IFERROR(__xludf.DUMMYFUNCTION("""COMPUTED_VALUE"""),51.0)</f>
        <v>51</v>
      </c>
      <c r="D366" s="3" t="str">
        <f>IFERROR(__xludf.DUMMYFUNCTION("""COMPUTED_VALUE"""),"1.118")</f>
        <v>1.118</v>
      </c>
      <c r="E366" s="54">
        <f>IFERROR(__xludf.DUMMYFUNCTION("""COMPUTED_VALUE"""),3900.0)</f>
        <v>3900</v>
      </c>
      <c r="F366" s="3" t="str">
        <f>IFERROR(__xludf.DUMMYFUNCTION("""COMPUTED_VALUE"""),"Syrah Rosado")</f>
        <v>Syrah Rosado</v>
      </c>
      <c r="G366" s="55">
        <f>IFERROR(__xludf.DUMMYFUNCTION("""COMPUTED_VALUE"""),13.6)</f>
        <v>13.6</v>
      </c>
      <c r="H366" s="56">
        <f>IFERROR(__xludf.DUMMYFUNCTION("""COMPUTED_VALUE"""),1.8)</f>
        <v>1.8</v>
      </c>
      <c r="I366" s="57">
        <f>IFERROR(__xludf.DUMMYFUNCTION("""COMPUTED_VALUE"""),0.23)</f>
        <v>0.23</v>
      </c>
      <c r="J366" s="57">
        <f>IFERROR(__xludf.DUMMYFUNCTION("""COMPUTED_VALUE"""),5.7)</f>
        <v>5.7</v>
      </c>
      <c r="K366" s="57">
        <f>IFERROR(__xludf.DUMMYFUNCTION("""COMPUTED_VALUE"""),3.68)</f>
        <v>3.68</v>
      </c>
      <c r="L366" s="54">
        <f>IFERROR(__xludf.DUMMYFUNCTION("""COMPUTED_VALUE"""),18.0)</f>
        <v>18</v>
      </c>
      <c r="M366" s="3">
        <f>IFERROR(__xludf.DUMMYFUNCTION("""COMPUTED_VALUE"""),90.0)</f>
        <v>90</v>
      </c>
      <c r="N366" s="3"/>
      <c r="O366" s="3"/>
      <c r="P366" s="3"/>
      <c r="Q366" s="3"/>
      <c r="R366" s="3"/>
      <c r="S366" s="3"/>
      <c r="T366" s="5"/>
      <c r="U366" s="5"/>
      <c r="V366" s="5"/>
      <c r="W366" s="5"/>
    </row>
    <row r="367" ht="15.75" customHeight="1">
      <c r="A367" s="3">
        <f>IFERROR(__xludf.DUMMYFUNCTION("""COMPUTED_VALUE"""),367.0)</f>
        <v>367</v>
      </c>
      <c r="B367" s="53">
        <f>IFERROR(__xludf.DUMMYFUNCTION("""COMPUTED_VALUE"""),45414.0)</f>
        <v>45414</v>
      </c>
      <c r="C367" s="3">
        <f>IFERROR(__xludf.DUMMYFUNCTION("""COMPUTED_VALUE"""),52.0)</f>
        <v>52</v>
      </c>
      <c r="D367" s="3" t="str">
        <f>IFERROR(__xludf.DUMMYFUNCTION("""COMPUTED_VALUE"""),"1.205")</f>
        <v>1.205</v>
      </c>
      <c r="E367" s="54">
        <f>IFERROR(__xludf.DUMMYFUNCTION("""COMPUTED_VALUE"""),27000.0)</f>
        <v>27000</v>
      </c>
      <c r="F367" s="3" t="str">
        <f>IFERROR(__xludf.DUMMYFUNCTION("""COMPUTED_VALUE"""),"Chardonnay")</f>
        <v>Chardonnay</v>
      </c>
      <c r="G367" s="55">
        <f>IFERROR(__xludf.DUMMYFUNCTION("""COMPUTED_VALUE"""),11.9)</f>
        <v>11.9</v>
      </c>
      <c r="H367" s="56">
        <f>IFERROR(__xludf.DUMMYFUNCTION("""COMPUTED_VALUE"""),1.8)</f>
        <v>1.8</v>
      </c>
      <c r="I367" s="57">
        <f>IFERROR(__xludf.DUMMYFUNCTION("""COMPUTED_VALUE"""),0.25)</f>
        <v>0.25</v>
      </c>
      <c r="J367" s="57">
        <f>IFERROR(__xludf.DUMMYFUNCTION("""COMPUTED_VALUE"""),7.42)</f>
        <v>7.42</v>
      </c>
      <c r="K367" s="57">
        <f>IFERROR(__xludf.DUMMYFUNCTION("""COMPUTED_VALUE"""),3.38)</f>
        <v>3.38</v>
      </c>
      <c r="L367" s="54">
        <f>IFERROR(__xludf.DUMMYFUNCTION("""COMPUTED_VALUE"""),25.0)</f>
        <v>25</v>
      </c>
      <c r="M367" s="3">
        <f>IFERROR(__xludf.DUMMYFUNCTION("""COMPUTED_VALUE"""),110.0)</f>
        <v>110</v>
      </c>
      <c r="N367" s="3"/>
      <c r="O367" s="3"/>
      <c r="P367" s="3"/>
      <c r="Q367" s="3"/>
      <c r="R367" s="3"/>
      <c r="S367" s="3"/>
      <c r="T367" s="5"/>
      <c r="U367" s="5"/>
      <c r="V367" s="5"/>
      <c r="W367" s="5"/>
    </row>
    <row r="368" ht="15.75" customHeight="1">
      <c r="A368" s="3">
        <f>IFERROR(__xludf.DUMMYFUNCTION("""COMPUTED_VALUE"""),368.0)</f>
        <v>368</v>
      </c>
      <c r="B368" s="53">
        <f>IFERROR(__xludf.DUMMYFUNCTION("""COMPUTED_VALUE"""),45414.0)</f>
        <v>45414</v>
      </c>
      <c r="C368" s="3">
        <f>IFERROR(__xludf.DUMMYFUNCTION("""COMPUTED_VALUE"""),54.0)</f>
        <v>54</v>
      </c>
      <c r="D368" s="3" t="str">
        <f>IFERROR(__xludf.DUMMYFUNCTION("""COMPUTED_VALUE"""),"1.165")</f>
        <v>1.165</v>
      </c>
      <c r="E368" s="54">
        <f>IFERROR(__xludf.DUMMYFUNCTION("""COMPUTED_VALUE"""),22900.0)</f>
        <v>22900</v>
      </c>
      <c r="F368" s="3" t="str">
        <f>IFERROR(__xludf.DUMMYFUNCTION("""COMPUTED_VALUE"""),"Pedro Gimenez")</f>
        <v>Pedro Gimenez</v>
      </c>
      <c r="G368" s="55">
        <f>IFERROR(__xludf.DUMMYFUNCTION("""COMPUTED_VALUE"""),13.2)</f>
        <v>13.2</v>
      </c>
      <c r="H368" s="56">
        <f>IFERROR(__xludf.DUMMYFUNCTION("""COMPUTED_VALUE"""),1.8)</f>
        <v>1.8</v>
      </c>
      <c r="I368" s="57">
        <f>IFERROR(__xludf.DUMMYFUNCTION("""COMPUTED_VALUE"""),0.26)</f>
        <v>0.26</v>
      </c>
      <c r="J368" s="57">
        <f>IFERROR(__xludf.DUMMYFUNCTION("""COMPUTED_VALUE"""),6.0)</f>
        <v>6</v>
      </c>
      <c r="K368" s="57">
        <f>IFERROR(__xludf.DUMMYFUNCTION("""COMPUTED_VALUE"""),3.58)</f>
        <v>3.58</v>
      </c>
      <c r="L368" s="54">
        <f>IFERROR(__xludf.DUMMYFUNCTION("""COMPUTED_VALUE"""),25.0)</f>
        <v>25</v>
      </c>
      <c r="M368" s="3">
        <f>IFERROR(__xludf.DUMMYFUNCTION("""COMPUTED_VALUE"""),135.0)</f>
        <v>135</v>
      </c>
      <c r="N368" s="3"/>
      <c r="O368" s="3"/>
      <c r="P368" s="3"/>
      <c r="Q368" s="3"/>
      <c r="R368" s="3"/>
      <c r="S368" s="3"/>
      <c r="T368" s="5"/>
      <c r="U368" s="5"/>
      <c r="V368" s="5"/>
      <c r="W368" s="5"/>
    </row>
    <row r="369" ht="15.75" customHeight="1">
      <c r="A369" s="3">
        <f>IFERROR(__xludf.DUMMYFUNCTION("""COMPUTED_VALUE"""),369.0)</f>
        <v>369</v>
      </c>
      <c r="B369" s="53">
        <f>IFERROR(__xludf.DUMMYFUNCTION("""COMPUTED_VALUE"""),45414.0)</f>
        <v>45414</v>
      </c>
      <c r="C369" s="3">
        <f>IFERROR(__xludf.DUMMYFUNCTION("""COMPUTED_VALUE"""),55.0)</f>
        <v>55</v>
      </c>
      <c r="D369" s="3" t="str">
        <f>IFERROR(__xludf.DUMMYFUNCTION("""COMPUTED_VALUE"""),"1.119")</f>
        <v>1.119</v>
      </c>
      <c r="E369" s="54">
        <f>IFERROR(__xludf.DUMMYFUNCTION("""COMPUTED_VALUE"""),3000.0)</f>
        <v>3000</v>
      </c>
      <c r="F369" s="3" t="str">
        <f>IFERROR(__xludf.DUMMYFUNCTION("""COMPUTED_VALUE"""),"Syrah Rosado")</f>
        <v>Syrah Rosado</v>
      </c>
      <c r="G369" s="55">
        <f>IFERROR(__xludf.DUMMYFUNCTION("""COMPUTED_VALUE"""),13.9)</f>
        <v>13.9</v>
      </c>
      <c r="H369" s="56">
        <f>IFERROR(__xludf.DUMMYFUNCTION("""COMPUTED_VALUE"""),1.8)</f>
        <v>1.8</v>
      </c>
      <c r="I369" s="57">
        <f>IFERROR(__xludf.DUMMYFUNCTION("""COMPUTED_VALUE"""),0.23)</f>
        <v>0.23</v>
      </c>
      <c r="J369" s="57">
        <f>IFERROR(__xludf.DUMMYFUNCTION("""COMPUTED_VALUE"""),6.0)</f>
        <v>6</v>
      </c>
      <c r="K369" s="57">
        <f>IFERROR(__xludf.DUMMYFUNCTION("""COMPUTED_VALUE"""),3.69)</f>
        <v>3.69</v>
      </c>
      <c r="L369" s="54">
        <f>IFERROR(__xludf.DUMMYFUNCTION("""COMPUTED_VALUE"""),20.0)</f>
        <v>20</v>
      </c>
      <c r="M369" s="3">
        <f>IFERROR(__xludf.DUMMYFUNCTION("""COMPUTED_VALUE"""),102.0)</f>
        <v>102</v>
      </c>
      <c r="N369" s="3"/>
      <c r="O369" s="3"/>
      <c r="P369" s="3"/>
      <c r="Q369" s="3"/>
      <c r="R369" s="3"/>
      <c r="S369" s="3"/>
      <c r="T369" s="5"/>
      <c r="U369" s="5"/>
      <c r="V369" s="5"/>
      <c r="W369" s="5"/>
    </row>
    <row r="370" ht="15.75" customHeight="1">
      <c r="A370" s="3">
        <f>IFERROR(__xludf.DUMMYFUNCTION("""COMPUTED_VALUE"""),370.0)</f>
        <v>370</v>
      </c>
      <c r="B370" s="53">
        <f>IFERROR(__xludf.DUMMYFUNCTION("""COMPUTED_VALUE"""),45414.0)</f>
        <v>45414</v>
      </c>
      <c r="C370" s="3">
        <f>IFERROR(__xludf.DUMMYFUNCTION("""COMPUTED_VALUE"""),65.0)</f>
        <v>65</v>
      </c>
      <c r="D370" s="3" t="str">
        <f>IFERROR(__xludf.DUMMYFUNCTION("""COMPUTED_VALUE"""),"1.211")</f>
        <v>1.211</v>
      </c>
      <c r="E370" s="54">
        <f>IFERROR(__xludf.DUMMYFUNCTION("""COMPUTED_VALUE"""),31000.0)</f>
        <v>31000</v>
      </c>
      <c r="F370" s="3" t="str">
        <f>IFERROR(__xludf.DUMMYFUNCTION("""COMPUTED_VALUE"""),"Blanco Escurrido")</f>
        <v>Blanco Escurrido</v>
      </c>
      <c r="G370" s="55">
        <f>IFERROR(__xludf.DUMMYFUNCTION("""COMPUTED_VALUE"""),13.1)</f>
        <v>13.1</v>
      </c>
      <c r="H370" s="56">
        <f>IFERROR(__xludf.DUMMYFUNCTION("""COMPUTED_VALUE"""),1.8)</f>
        <v>1.8</v>
      </c>
      <c r="I370" s="57">
        <f>IFERROR(__xludf.DUMMYFUNCTION("""COMPUTED_VALUE"""),0.42)</f>
        <v>0.42</v>
      </c>
      <c r="J370" s="57">
        <f>IFERROR(__xludf.DUMMYFUNCTION("""COMPUTED_VALUE"""),3.9)</f>
        <v>3.9</v>
      </c>
      <c r="K370" s="57">
        <f>IFERROR(__xludf.DUMMYFUNCTION("""COMPUTED_VALUE"""),3.89)</f>
        <v>3.89</v>
      </c>
      <c r="L370" s="54">
        <f>IFERROR(__xludf.DUMMYFUNCTION("""COMPUTED_VALUE"""),17.0)</f>
        <v>17</v>
      </c>
      <c r="M370" s="3">
        <f>IFERROR(__xludf.DUMMYFUNCTION("""COMPUTED_VALUE"""),64.0)</f>
        <v>64</v>
      </c>
      <c r="N370" s="3"/>
      <c r="O370" s="3"/>
      <c r="P370" s="3"/>
      <c r="Q370" s="3"/>
      <c r="R370" s="3"/>
      <c r="S370" s="3"/>
      <c r="T370" s="5"/>
      <c r="U370" s="5"/>
      <c r="V370" s="5"/>
      <c r="W370" s="5"/>
    </row>
    <row r="371" ht="15.75" customHeight="1">
      <c r="A371" s="3">
        <f>IFERROR(__xludf.DUMMYFUNCTION("""COMPUTED_VALUE"""),371.0)</f>
        <v>371</v>
      </c>
      <c r="B371" s="53">
        <f>IFERROR(__xludf.DUMMYFUNCTION("""COMPUTED_VALUE"""),45414.0)</f>
        <v>45414</v>
      </c>
      <c r="C371" s="3">
        <f>IFERROR(__xludf.DUMMYFUNCTION("""COMPUTED_VALUE"""),68.0)</f>
        <v>68</v>
      </c>
      <c r="D371" s="3" t="str">
        <f>IFERROR(__xludf.DUMMYFUNCTION("""COMPUTED_VALUE"""),"1.217")</f>
        <v>1.217</v>
      </c>
      <c r="E371" s="54">
        <f>IFERROR(__xludf.DUMMYFUNCTION("""COMPUTED_VALUE"""),13000.0)</f>
        <v>13000</v>
      </c>
      <c r="F371" s="3" t="str">
        <f>IFERROR(__xludf.DUMMYFUNCTION("""COMPUTED_VALUE"""),"Malbec")</f>
        <v>Malbec</v>
      </c>
      <c r="G371" s="55">
        <f>IFERROR(__xludf.DUMMYFUNCTION("""COMPUTED_VALUE"""),13.2)</f>
        <v>13.2</v>
      </c>
      <c r="H371" s="56">
        <f>IFERROR(__xludf.DUMMYFUNCTION("""COMPUTED_VALUE"""),7.04)</f>
        <v>7.04</v>
      </c>
      <c r="I371" s="57">
        <f>IFERROR(__xludf.DUMMYFUNCTION("""COMPUTED_VALUE"""),0.62)</f>
        <v>0.62</v>
      </c>
      <c r="J371" s="57">
        <f>IFERROR(__xludf.DUMMYFUNCTION("""COMPUTED_VALUE"""),4.57)</f>
        <v>4.57</v>
      </c>
      <c r="K371" s="57">
        <f>IFERROR(__xludf.DUMMYFUNCTION("""COMPUTED_VALUE"""),4.2)</f>
        <v>4.2</v>
      </c>
      <c r="L371" s="54">
        <f>IFERROR(__xludf.DUMMYFUNCTION("""COMPUTED_VALUE"""),20.0)</f>
        <v>20</v>
      </c>
      <c r="M371" s="3">
        <f>IFERROR(__xludf.DUMMYFUNCTION("""COMPUTED_VALUE"""),59.0)</f>
        <v>59</v>
      </c>
      <c r="N371" s="3"/>
      <c r="O371" s="3"/>
      <c r="P371" s="3"/>
      <c r="Q371" s="3"/>
      <c r="R371" s="3"/>
      <c r="S371" s="3"/>
      <c r="T371" s="5"/>
      <c r="U371" s="5"/>
      <c r="V371" s="5"/>
      <c r="W371" s="5"/>
    </row>
    <row r="372" ht="15.75" customHeight="1">
      <c r="A372" s="3">
        <f>IFERROR(__xludf.DUMMYFUNCTION("""COMPUTED_VALUE"""),372.0)</f>
        <v>372</v>
      </c>
      <c r="B372" s="53">
        <f>IFERROR(__xludf.DUMMYFUNCTION("""COMPUTED_VALUE"""),45414.0)</f>
        <v>45414</v>
      </c>
      <c r="C372" s="3">
        <f>IFERROR(__xludf.DUMMYFUNCTION("""COMPUTED_VALUE"""),69.0)</f>
        <v>69</v>
      </c>
      <c r="D372" s="3" t="str">
        <f>IFERROR(__xludf.DUMMYFUNCTION("""COMPUTED_VALUE"""),"1.212")</f>
        <v>1.212</v>
      </c>
      <c r="E372" s="54">
        <f>IFERROR(__xludf.DUMMYFUNCTION("""COMPUTED_VALUE"""),13000.0)</f>
        <v>13000</v>
      </c>
      <c r="F372" s="3" t="str">
        <f>IFERROR(__xludf.DUMMYFUNCTION("""COMPUTED_VALUE"""),"Malbec")</f>
        <v>Malbec</v>
      </c>
      <c r="G372" s="55">
        <f>IFERROR(__xludf.DUMMYFUNCTION("""COMPUTED_VALUE"""),12.9)</f>
        <v>12.9</v>
      </c>
      <c r="H372" s="56">
        <f>IFERROR(__xludf.DUMMYFUNCTION("""COMPUTED_VALUE"""),5.5)</f>
        <v>5.5</v>
      </c>
      <c r="I372" s="57">
        <f>IFERROR(__xludf.DUMMYFUNCTION("""COMPUTED_VALUE"""),0.43)</f>
        <v>0.43</v>
      </c>
      <c r="J372" s="57">
        <f>IFERROR(__xludf.DUMMYFUNCTION("""COMPUTED_VALUE"""),4.65)</f>
        <v>4.65</v>
      </c>
      <c r="K372" s="57">
        <f>IFERROR(__xludf.DUMMYFUNCTION("""COMPUTED_VALUE"""),4.06)</f>
        <v>4.06</v>
      </c>
      <c r="L372" s="54">
        <f>IFERROR(__xludf.DUMMYFUNCTION("""COMPUTED_VALUE"""),20.0)</f>
        <v>20</v>
      </c>
      <c r="M372" s="3">
        <f>IFERROR(__xludf.DUMMYFUNCTION("""COMPUTED_VALUE"""),82.0)</f>
        <v>82</v>
      </c>
      <c r="N372" s="3"/>
      <c r="O372" s="3"/>
      <c r="P372" s="3"/>
      <c r="Q372" s="3"/>
      <c r="R372" s="3"/>
      <c r="S372" s="3"/>
      <c r="T372" s="5"/>
      <c r="U372" s="5"/>
      <c r="V372" s="5"/>
      <c r="W372" s="5"/>
    </row>
    <row r="373" ht="15.75" customHeight="1">
      <c r="A373" s="3">
        <f>IFERROR(__xludf.DUMMYFUNCTION("""COMPUTED_VALUE"""),373.0)</f>
        <v>373</v>
      </c>
      <c r="B373" s="53">
        <f>IFERROR(__xludf.DUMMYFUNCTION("""COMPUTED_VALUE"""),45414.0)</f>
        <v>45414</v>
      </c>
      <c r="C373" s="3">
        <f>IFERROR(__xludf.DUMMYFUNCTION("""COMPUTED_VALUE"""),71.0)</f>
        <v>71</v>
      </c>
      <c r="D373" s="3" t="str">
        <f>IFERROR(__xludf.DUMMYFUNCTION("""COMPUTED_VALUE"""),"1.134")</f>
        <v>1.134</v>
      </c>
      <c r="E373" s="54">
        <f>IFERROR(__xludf.DUMMYFUNCTION("""COMPUTED_VALUE"""),13000.0)</f>
        <v>13000</v>
      </c>
      <c r="F373" s="3" t="str">
        <f>IFERROR(__xludf.DUMMYFUNCTION("""COMPUTED_VALUE"""),"Borra")</f>
        <v>Borra</v>
      </c>
      <c r="G373" s="55">
        <f>IFERROR(__xludf.DUMMYFUNCTION("""COMPUTED_VALUE"""),12.7)</f>
        <v>12.7</v>
      </c>
      <c r="H373" s="56">
        <f>IFERROR(__xludf.DUMMYFUNCTION("""COMPUTED_VALUE"""),1.95)</f>
        <v>1.95</v>
      </c>
      <c r="I373" s="57">
        <f>IFERROR(__xludf.DUMMYFUNCTION("""COMPUTED_VALUE"""),0.5)</f>
        <v>0.5</v>
      </c>
      <c r="J373" s="57">
        <f>IFERROR(__xludf.DUMMYFUNCTION("""COMPUTED_VALUE"""),5.77)</f>
        <v>5.77</v>
      </c>
      <c r="K373" s="57">
        <f>IFERROR(__xludf.DUMMYFUNCTION("""COMPUTED_VALUE"""),3.7)</f>
        <v>3.7</v>
      </c>
      <c r="L373" s="54">
        <f>IFERROR(__xludf.DUMMYFUNCTION("""COMPUTED_VALUE"""),402.0)</f>
        <v>402</v>
      </c>
      <c r="M373" s="3">
        <f>IFERROR(__xludf.DUMMYFUNCTION("""COMPUTED_VALUE"""),630.0)</f>
        <v>630</v>
      </c>
      <c r="N373" s="3"/>
      <c r="O373" s="3"/>
      <c r="P373" s="3"/>
      <c r="Q373" s="3"/>
      <c r="R373" s="3"/>
      <c r="S373" s="3"/>
      <c r="T373" s="5"/>
      <c r="U373" s="5"/>
      <c r="V373" s="5"/>
      <c r="W373" s="5"/>
    </row>
    <row r="374" ht="15.75" customHeight="1">
      <c r="A374" s="3">
        <f>IFERROR(__xludf.DUMMYFUNCTION("""COMPUTED_VALUE"""),374.0)</f>
        <v>374</v>
      </c>
      <c r="B374" s="53">
        <f>IFERROR(__xludf.DUMMYFUNCTION("""COMPUTED_VALUE"""),45414.0)</f>
        <v>45414</v>
      </c>
      <c r="C374" s="3">
        <f>IFERROR(__xludf.DUMMYFUNCTION("""COMPUTED_VALUE"""),72.0)</f>
        <v>72</v>
      </c>
      <c r="D374" s="3" t="str">
        <f>IFERROR(__xludf.DUMMYFUNCTION("""COMPUTED_VALUE"""),"1.172")</f>
        <v>1.172</v>
      </c>
      <c r="E374" s="54">
        <f>IFERROR(__xludf.DUMMYFUNCTION("""COMPUTED_VALUE"""),13000.0)</f>
        <v>13000</v>
      </c>
      <c r="F374" s="3" t="str">
        <f>IFERROR(__xludf.DUMMYFUNCTION("""COMPUTED_VALUE"""),"Torrontes")</f>
        <v>Torrontes</v>
      </c>
      <c r="G374" s="55">
        <f>IFERROR(__xludf.DUMMYFUNCTION("""COMPUTED_VALUE"""),14.0)</f>
        <v>14</v>
      </c>
      <c r="H374" s="56">
        <f>IFERROR(__xludf.DUMMYFUNCTION("""COMPUTED_VALUE"""),2.78)</f>
        <v>2.78</v>
      </c>
      <c r="I374" s="57">
        <f>IFERROR(__xludf.DUMMYFUNCTION("""COMPUTED_VALUE"""),0.42)</f>
        <v>0.42</v>
      </c>
      <c r="J374" s="57">
        <f>IFERROR(__xludf.DUMMYFUNCTION("""COMPUTED_VALUE"""),5.25)</f>
        <v>5.25</v>
      </c>
      <c r="K374" s="57">
        <f>IFERROR(__xludf.DUMMYFUNCTION("""COMPUTED_VALUE"""),3.72)</f>
        <v>3.72</v>
      </c>
      <c r="L374" s="54">
        <f>IFERROR(__xludf.DUMMYFUNCTION("""COMPUTED_VALUE"""),25.0)</f>
        <v>25</v>
      </c>
      <c r="M374" s="3">
        <f>IFERROR(__xludf.DUMMYFUNCTION("""COMPUTED_VALUE"""),103.0)</f>
        <v>103</v>
      </c>
      <c r="N374" s="3"/>
      <c r="O374" s="3"/>
      <c r="P374" s="3"/>
      <c r="Q374" s="3"/>
      <c r="R374" s="3"/>
      <c r="S374" s="3"/>
      <c r="T374" s="5"/>
      <c r="U374" s="5"/>
      <c r="V374" s="5"/>
      <c r="W374" s="5"/>
    </row>
    <row r="375" ht="15.75" customHeight="1">
      <c r="A375" s="3">
        <f>IFERROR(__xludf.DUMMYFUNCTION("""COMPUTED_VALUE"""),375.0)</f>
        <v>375</v>
      </c>
      <c r="B375" s="53">
        <f>IFERROR(__xludf.DUMMYFUNCTION("""COMPUTED_VALUE"""),45414.0)</f>
        <v>45414</v>
      </c>
      <c r="C375" s="3">
        <f>IFERROR(__xludf.DUMMYFUNCTION("""COMPUTED_VALUE"""),70.0)</f>
        <v>70</v>
      </c>
      <c r="D375" s="3" t="str">
        <f>IFERROR(__xludf.DUMMYFUNCTION("""COMPUTED_VALUE"""),"999")</f>
        <v>999</v>
      </c>
      <c r="E375" s="54">
        <f>IFERROR(__xludf.DUMMYFUNCTION("""COMPUTED_VALUE"""),13000.0)</f>
        <v>13000</v>
      </c>
      <c r="F375" s="3" t="str">
        <f>IFERROR(__xludf.DUMMYFUNCTION("""COMPUTED_VALUE"""),"Aspirant")</f>
        <v>Aspirant</v>
      </c>
      <c r="G375" s="55">
        <f>IFERROR(__xludf.DUMMYFUNCTION("""COMPUTED_VALUE"""),12.1)</f>
        <v>12.1</v>
      </c>
      <c r="H375" s="56">
        <f>IFERROR(__xludf.DUMMYFUNCTION("""COMPUTED_VALUE"""),1.95)</f>
        <v>1.95</v>
      </c>
      <c r="I375" s="57">
        <f>IFERROR(__xludf.DUMMYFUNCTION("""COMPUTED_VALUE"""),0.41)</f>
        <v>0.41</v>
      </c>
      <c r="J375" s="57">
        <f>IFERROR(__xludf.DUMMYFUNCTION("""COMPUTED_VALUE"""),5.47)</f>
        <v>5.47</v>
      </c>
      <c r="K375" s="57">
        <f>IFERROR(__xludf.DUMMYFUNCTION("""COMPUTED_VALUE"""),3.77)</f>
        <v>3.77</v>
      </c>
      <c r="L375" s="54">
        <f>IFERROR(__xludf.DUMMYFUNCTION("""COMPUTED_VALUE"""),46.0)</f>
        <v>46</v>
      </c>
      <c r="M375" s="3">
        <f>IFERROR(__xludf.DUMMYFUNCTION("""COMPUTED_VALUE"""),92.0)</f>
        <v>92</v>
      </c>
      <c r="N375" s="3"/>
      <c r="O375" s="3"/>
      <c r="P375" s="3"/>
      <c r="Q375" s="3"/>
      <c r="R375" s="3"/>
      <c r="S375" s="3"/>
      <c r="T375" s="5"/>
      <c r="U375" s="5"/>
      <c r="V375" s="5"/>
      <c r="W375" s="5"/>
    </row>
    <row r="376" ht="15.75" customHeight="1">
      <c r="A376" s="3">
        <f>IFERROR(__xludf.DUMMYFUNCTION("""COMPUTED_VALUE"""),376.0)</f>
        <v>376</v>
      </c>
      <c r="B376" s="53">
        <f>IFERROR(__xludf.DUMMYFUNCTION("""COMPUTED_VALUE"""),45414.0)</f>
        <v>45414</v>
      </c>
      <c r="C376" s="3">
        <f>IFERROR(__xludf.DUMMYFUNCTION("""COMPUTED_VALUE"""),73.0)</f>
        <v>73</v>
      </c>
      <c r="D376" s="3" t="str">
        <f>IFERROR(__xludf.DUMMYFUNCTION("""COMPUTED_VALUE"""),"1.065")</f>
        <v>1.065</v>
      </c>
      <c r="E376" s="54">
        <f>IFERROR(__xludf.DUMMYFUNCTION("""COMPUTED_VALUE"""),13000.0)</f>
        <v>13000</v>
      </c>
      <c r="F376" s="3" t="str">
        <f>IFERROR(__xludf.DUMMYFUNCTION("""COMPUTED_VALUE"""),"Tinto Rectificado")</f>
        <v>Tinto Rectificado</v>
      </c>
      <c r="G376" s="55">
        <f>IFERROR(__xludf.DUMMYFUNCTION("""COMPUTED_VALUE"""),12.5)</f>
        <v>12.5</v>
      </c>
      <c r="H376" s="56">
        <f>IFERROR(__xludf.DUMMYFUNCTION("""COMPUTED_VALUE"""),1.95)</f>
        <v>1.95</v>
      </c>
      <c r="I376" s="57">
        <f>IFERROR(__xludf.DUMMYFUNCTION("""COMPUTED_VALUE"""),0.77)</f>
        <v>0.77</v>
      </c>
      <c r="J376" s="57">
        <f>IFERROR(__xludf.DUMMYFUNCTION("""COMPUTED_VALUE"""),5.4)</f>
        <v>5.4</v>
      </c>
      <c r="K376" s="57">
        <f>IFERROR(__xludf.DUMMYFUNCTION("""COMPUTED_VALUE"""),3.92)</f>
        <v>3.92</v>
      </c>
      <c r="L376" s="54">
        <f>IFERROR(__xludf.DUMMYFUNCTION("""COMPUTED_VALUE"""),51.0)</f>
        <v>51</v>
      </c>
      <c r="M376" s="3">
        <f>IFERROR(__xludf.DUMMYFUNCTION("""COMPUTED_VALUE"""),148.0)</f>
        <v>148</v>
      </c>
      <c r="N376" s="3"/>
      <c r="O376" s="3"/>
      <c r="P376" s="3"/>
      <c r="Q376" s="3"/>
      <c r="R376" s="3"/>
      <c r="S376" s="3"/>
      <c r="T376" s="5"/>
      <c r="U376" s="5"/>
      <c r="V376" s="5"/>
      <c r="W376" s="5"/>
    </row>
    <row r="377" ht="15.75" customHeight="1">
      <c r="A377" s="3">
        <f>IFERROR(__xludf.DUMMYFUNCTION("""COMPUTED_VALUE"""),377.0)</f>
        <v>377</v>
      </c>
      <c r="B377" s="53">
        <f>IFERROR(__xludf.DUMMYFUNCTION("""COMPUTED_VALUE"""),45414.0)</f>
        <v>45414</v>
      </c>
      <c r="C377" s="3">
        <f>IFERROR(__xludf.DUMMYFUNCTION("""COMPUTED_VALUE"""),74.0)</f>
        <v>74</v>
      </c>
      <c r="D377" s="3"/>
      <c r="E377" s="3"/>
      <c r="F377" s="3" t="str">
        <f>IFERROR(__xludf.DUMMYFUNCTION("""COMPUTED_VALUE"""),"Chardonnay")</f>
        <v>Chardonnay</v>
      </c>
      <c r="G377" s="55">
        <f>IFERROR(__xludf.DUMMYFUNCTION("""COMPUTED_VALUE"""),12.1)</f>
        <v>12.1</v>
      </c>
      <c r="H377" s="56">
        <f>IFERROR(__xludf.DUMMYFUNCTION("""COMPUTED_VALUE"""),1.8)</f>
        <v>1.8</v>
      </c>
      <c r="I377" s="57">
        <f>IFERROR(__xludf.DUMMYFUNCTION("""COMPUTED_VALUE"""),0.34)</f>
        <v>0.34</v>
      </c>
      <c r="J377" s="57">
        <f>IFERROR(__xludf.DUMMYFUNCTION("""COMPUTED_VALUE"""),7.57)</f>
        <v>7.57</v>
      </c>
      <c r="K377" s="57">
        <f>IFERROR(__xludf.DUMMYFUNCTION("""COMPUTED_VALUE"""),3.46)</f>
        <v>3.46</v>
      </c>
      <c r="L377" s="54">
        <f>IFERROR(__xludf.DUMMYFUNCTION("""COMPUTED_VALUE"""),26.0)</f>
        <v>26</v>
      </c>
      <c r="M377" s="3">
        <f>IFERROR(__xludf.DUMMYFUNCTION("""COMPUTED_VALUE"""),113.0)</f>
        <v>113</v>
      </c>
      <c r="N377" s="3"/>
      <c r="O377" s="3"/>
      <c r="P377" s="3"/>
      <c r="Q377" s="3"/>
      <c r="R377" s="3"/>
      <c r="S377" s="3"/>
      <c r="T377" s="5"/>
      <c r="U377" s="5"/>
      <c r="V377" s="5"/>
      <c r="W377" s="5"/>
    </row>
    <row r="378" ht="15.75" customHeight="1">
      <c r="A378" s="3">
        <f>IFERROR(__xludf.DUMMYFUNCTION("""COMPUTED_VALUE"""),378.0)</f>
        <v>378</v>
      </c>
      <c r="B378" s="53">
        <f>IFERROR(__xludf.DUMMYFUNCTION("""COMPUTED_VALUE"""),45414.0)</f>
        <v>45414</v>
      </c>
      <c r="C378" s="3">
        <f>IFERROR(__xludf.DUMMYFUNCTION("""COMPUTED_VALUE"""),75.0)</f>
        <v>75</v>
      </c>
      <c r="D378" s="3"/>
      <c r="E378" s="3"/>
      <c r="F378" s="3" t="str">
        <f>IFERROR(__xludf.DUMMYFUNCTION("""COMPUTED_VALUE"""),"Chardonnay")</f>
        <v>Chardonnay</v>
      </c>
      <c r="G378" s="55">
        <f>IFERROR(__xludf.DUMMYFUNCTION("""COMPUTED_VALUE"""),12.1)</f>
        <v>12.1</v>
      </c>
      <c r="H378" s="56">
        <f>IFERROR(__xludf.DUMMYFUNCTION("""COMPUTED_VALUE"""),1.8)</f>
        <v>1.8</v>
      </c>
      <c r="I378" s="57">
        <f>IFERROR(__xludf.DUMMYFUNCTION("""COMPUTED_VALUE"""),0.4)</f>
        <v>0.4</v>
      </c>
      <c r="J378" s="57">
        <f>IFERROR(__xludf.DUMMYFUNCTION("""COMPUTED_VALUE"""),7.35)</f>
        <v>7.35</v>
      </c>
      <c r="K378" s="57">
        <f>IFERROR(__xludf.DUMMYFUNCTION("""COMPUTED_VALUE"""),3.46)</f>
        <v>3.46</v>
      </c>
      <c r="L378" s="54">
        <f>IFERROR(__xludf.DUMMYFUNCTION("""COMPUTED_VALUE"""),38.0)</f>
        <v>38</v>
      </c>
      <c r="M378" s="3">
        <f>IFERROR(__xludf.DUMMYFUNCTION("""COMPUTED_VALUE"""),110.0)</f>
        <v>110</v>
      </c>
      <c r="N378" s="3"/>
      <c r="O378" s="3"/>
      <c r="P378" s="3"/>
      <c r="Q378" s="3"/>
      <c r="R378" s="3"/>
      <c r="S378" s="3"/>
      <c r="T378" s="5"/>
      <c r="U378" s="5"/>
      <c r="V378" s="5"/>
      <c r="W378" s="5"/>
    </row>
    <row r="379" ht="15.75" customHeight="1">
      <c r="A379" s="3">
        <f>IFERROR(__xludf.DUMMYFUNCTION("""COMPUTED_VALUE"""),379.0)</f>
        <v>379</v>
      </c>
      <c r="B379" s="53">
        <f>IFERROR(__xludf.DUMMYFUNCTION("""COMPUTED_VALUE"""),45422.0)</f>
        <v>45422</v>
      </c>
      <c r="C379" s="3">
        <f>IFERROR(__xludf.DUMMYFUNCTION("""COMPUTED_VALUE"""),66.0)</f>
        <v>66</v>
      </c>
      <c r="D379" s="3" t="str">
        <f>IFERROR(__xludf.DUMMYFUNCTION("""COMPUTED_VALUE"""),"1.216")</f>
        <v>1.216</v>
      </c>
      <c r="E379" s="54">
        <f>IFERROR(__xludf.DUMMYFUNCTION("""COMPUTED_VALUE"""),23000.0)</f>
        <v>23000</v>
      </c>
      <c r="F379" s="3" t="str">
        <f>IFERROR(__xludf.DUMMYFUNCTION("""COMPUTED_VALUE"""),"Chardonnay")</f>
        <v>Chardonnay</v>
      </c>
      <c r="G379" s="55">
        <f>IFERROR(__xludf.DUMMYFUNCTION("""COMPUTED_VALUE"""),12.3)</f>
        <v>12.3</v>
      </c>
      <c r="H379" s="56">
        <f>IFERROR(__xludf.DUMMYFUNCTION("""COMPUTED_VALUE"""),2.0)</f>
        <v>2</v>
      </c>
      <c r="I379" s="57">
        <f>IFERROR(__xludf.DUMMYFUNCTION("""COMPUTED_VALUE"""),0.3)</f>
        <v>0.3</v>
      </c>
      <c r="J379" s="57">
        <f>IFERROR(__xludf.DUMMYFUNCTION("""COMPUTED_VALUE"""),6.9)</f>
        <v>6.9</v>
      </c>
      <c r="K379" s="57">
        <f>IFERROR(__xludf.DUMMYFUNCTION("""COMPUTED_VALUE"""),3.46)</f>
        <v>3.46</v>
      </c>
      <c r="L379" s="54">
        <f>IFERROR(__xludf.DUMMYFUNCTION("""COMPUTED_VALUE"""),30.0)</f>
        <v>30</v>
      </c>
      <c r="M379" s="3">
        <f>IFERROR(__xludf.DUMMYFUNCTION("""COMPUTED_VALUE"""),105.0)</f>
        <v>105</v>
      </c>
      <c r="N379" s="3"/>
      <c r="O379" s="3"/>
      <c r="P379" s="3"/>
      <c r="Q379" s="3"/>
      <c r="R379" s="3"/>
      <c r="S379" s="3"/>
      <c r="T379" s="5"/>
      <c r="U379" s="5"/>
      <c r="V379" s="5"/>
      <c r="W379" s="5"/>
    </row>
    <row r="380" ht="15.75" customHeight="1">
      <c r="A380" s="3">
        <f>IFERROR(__xludf.DUMMYFUNCTION("""COMPUTED_VALUE"""),380.0)</f>
        <v>380</v>
      </c>
      <c r="B380" s="53">
        <f>IFERROR(__xludf.DUMMYFUNCTION("""COMPUTED_VALUE"""),45422.0)</f>
        <v>45422</v>
      </c>
      <c r="C380" s="3">
        <f>IFERROR(__xludf.DUMMYFUNCTION("""COMPUTED_VALUE"""),50.0)</f>
        <v>50</v>
      </c>
      <c r="D380" s="3" t="str">
        <f>IFERROR(__xludf.DUMMYFUNCTION("""COMPUTED_VALUE"""),"1.255")</f>
        <v>1.255</v>
      </c>
      <c r="E380" s="54">
        <f>IFERROR(__xludf.DUMMYFUNCTION("""COMPUTED_VALUE"""),5100.0)</f>
        <v>5100</v>
      </c>
      <c r="F380" s="3" t="str">
        <f>IFERROR(__xludf.DUMMYFUNCTION("""COMPUTED_VALUE"""),"Chardonnay")</f>
        <v>Chardonnay</v>
      </c>
      <c r="G380" s="55">
        <f>IFERROR(__xludf.DUMMYFUNCTION("""COMPUTED_VALUE"""),12.3)</f>
        <v>12.3</v>
      </c>
      <c r="H380" s="56">
        <f>IFERROR(__xludf.DUMMYFUNCTION("""COMPUTED_VALUE"""),2.0)</f>
        <v>2</v>
      </c>
      <c r="I380" s="57">
        <f>IFERROR(__xludf.DUMMYFUNCTION("""COMPUTED_VALUE"""),0.3)</f>
        <v>0.3</v>
      </c>
      <c r="J380" s="57">
        <f>IFERROR(__xludf.DUMMYFUNCTION("""COMPUTED_VALUE"""),6.9)</f>
        <v>6.9</v>
      </c>
      <c r="K380" s="57">
        <f>IFERROR(__xludf.DUMMYFUNCTION("""COMPUTED_VALUE"""),3.46)</f>
        <v>3.46</v>
      </c>
      <c r="L380" s="54">
        <f>IFERROR(__xludf.DUMMYFUNCTION("""COMPUTED_VALUE"""),30.0)</f>
        <v>30</v>
      </c>
      <c r="M380" s="3">
        <f>IFERROR(__xludf.DUMMYFUNCTION("""COMPUTED_VALUE"""),105.0)</f>
        <v>105</v>
      </c>
      <c r="N380" s="3"/>
      <c r="O380" s="3"/>
      <c r="P380" s="3"/>
      <c r="Q380" s="3"/>
      <c r="R380" s="3"/>
      <c r="S380" s="3"/>
      <c r="T380" s="5"/>
      <c r="U380" s="5"/>
      <c r="V380" s="5"/>
      <c r="W380" s="5"/>
    </row>
    <row r="381" ht="15.75" customHeight="1">
      <c r="A381" s="3">
        <f>IFERROR(__xludf.DUMMYFUNCTION("""COMPUTED_VALUE"""),381.0)</f>
        <v>381</v>
      </c>
      <c r="B381" s="53">
        <f>IFERROR(__xludf.DUMMYFUNCTION("""COMPUTED_VALUE"""),45425.0)</f>
        <v>45425</v>
      </c>
      <c r="C381" s="3">
        <f>IFERROR(__xludf.DUMMYFUNCTION("""COMPUTED_VALUE"""),90.0)</f>
        <v>90</v>
      </c>
      <c r="D381" s="3" t="str">
        <f>IFERROR(__xludf.DUMMYFUNCTION("""COMPUTED_VALUE"""),"1.265")</f>
        <v>1.265</v>
      </c>
      <c r="E381" s="54">
        <f>IFERROR(__xludf.DUMMYFUNCTION("""COMPUTED_VALUE"""),97500.0)</f>
        <v>97500</v>
      </c>
      <c r="F381" s="3" t="str">
        <f>IFERROR(__xludf.DUMMYFUNCTION("""COMPUTED_VALUE"""),"Tinto Montereal")</f>
        <v>Tinto Montereal</v>
      </c>
      <c r="G381" s="55">
        <f>IFERROR(__xludf.DUMMYFUNCTION("""COMPUTED_VALUE"""),13.8)</f>
        <v>13.8</v>
      </c>
      <c r="H381" s="56">
        <f>IFERROR(__xludf.DUMMYFUNCTION("""COMPUTED_VALUE"""),2.0)</f>
        <v>2</v>
      </c>
      <c r="I381" s="57">
        <f>IFERROR(__xludf.DUMMYFUNCTION("""COMPUTED_VALUE"""),0.7)</f>
        <v>0.7</v>
      </c>
      <c r="J381" s="57">
        <f>IFERROR(__xludf.DUMMYFUNCTION("""COMPUTED_VALUE"""),4.0)</f>
        <v>4</v>
      </c>
      <c r="K381" s="3"/>
      <c r="L381" s="54">
        <f>IFERROR(__xludf.DUMMYFUNCTION("""COMPUTED_VALUE"""),38.0)</f>
        <v>38</v>
      </c>
      <c r="M381" s="3">
        <f>IFERROR(__xludf.DUMMYFUNCTION("""COMPUTED_VALUE"""),130.0)</f>
        <v>130</v>
      </c>
      <c r="N381" s="3"/>
      <c r="O381" s="3"/>
      <c r="P381" s="3"/>
      <c r="Q381" s="3"/>
      <c r="R381" s="3"/>
      <c r="S381" s="3"/>
      <c r="T381" s="5"/>
      <c r="U381" s="5"/>
      <c r="V381" s="5"/>
      <c r="W381" s="5"/>
    </row>
    <row r="382" ht="15.75" customHeight="1">
      <c r="A382" s="3">
        <f>IFERROR(__xludf.DUMMYFUNCTION("""COMPUTED_VALUE"""),382.0)</f>
        <v>382</v>
      </c>
      <c r="B382" s="53">
        <f>IFERROR(__xludf.DUMMYFUNCTION("""COMPUTED_VALUE"""),45426.0)</f>
        <v>45426</v>
      </c>
      <c r="C382" s="3">
        <f>IFERROR(__xludf.DUMMYFUNCTION("""COMPUTED_VALUE"""),88.0)</f>
        <v>88</v>
      </c>
      <c r="D382" s="3" t="str">
        <f>IFERROR(__xludf.DUMMYFUNCTION("""COMPUTED_VALUE"""),"1.264")</f>
        <v>1.264</v>
      </c>
      <c r="E382" s="54">
        <f>IFERROR(__xludf.DUMMYFUNCTION("""COMPUTED_VALUE"""),78900.0)</f>
        <v>78900</v>
      </c>
      <c r="F382" s="3" t="str">
        <f>IFERROR(__xludf.DUMMYFUNCTION("""COMPUTED_VALUE"""),"Tinto Montereal")</f>
        <v>Tinto Montereal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5"/>
      <c r="U382" s="5"/>
      <c r="V382" s="5"/>
      <c r="W382" s="5"/>
    </row>
    <row r="383" ht="15.75" customHeight="1">
      <c r="A383" s="3">
        <f>IFERROR(__xludf.DUMMYFUNCTION("""COMPUTED_VALUE"""),383.0)</f>
        <v>383</v>
      </c>
      <c r="B383" s="53">
        <f>IFERROR(__xludf.DUMMYFUNCTION("""COMPUTED_VALUE"""),45426.0)</f>
        <v>45426</v>
      </c>
      <c r="C383" s="3">
        <f>IFERROR(__xludf.DUMMYFUNCTION("""COMPUTED_VALUE"""),76.0)</f>
        <v>76</v>
      </c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5"/>
      <c r="U383" s="5"/>
      <c r="V383" s="5"/>
      <c r="W383" s="5"/>
    </row>
    <row r="384" ht="15.75" customHeight="1">
      <c r="A384" s="3">
        <f>IFERROR(__xludf.DUMMYFUNCTION("""COMPUTED_VALUE"""),384.0)</f>
        <v>384</v>
      </c>
      <c r="B384" s="53">
        <f>IFERROR(__xludf.DUMMYFUNCTION("""COMPUTED_VALUE"""),45426.0)</f>
        <v>45426</v>
      </c>
      <c r="C384" s="3">
        <f>IFERROR(__xludf.DUMMYFUNCTION("""COMPUTED_VALUE"""),84.0)</f>
        <v>84</v>
      </c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5"/>
      <c r="U384" s="5"/>
      <c r="V384" s="5"/>
      <c r="W384" s="5"/>
    </row>
    <row r="385" ht="15.75" customHeight="1">
      <c r="A385" s="3">
        <f>IFERROR(__xludf.DUMMYFUNCTION("""COMPUTED_VALUE"""),385.0)</f>
        <v>385</v>
      </c>
      <c r="B385" s="53">
        <f>IFERROR(__xludf.DUMMYFUNCTION("""COMPUTED_VALUE"""),45426.0)</f>
        <v>45426</v>
      </c>
      <c r="C385" s="3">
        <f>IFERROR(__xludf.DUMMYFUNCTION("""COMPUTED_VALUE"""),8.0)</f>
        <v>8</v>
      </c>
      <c r="D385" s="3" t="str">
        <f>IFERROR(__xludf.DUMMYFUNCTION("""COMPUTED_VALUE"""),"1.207")</f>
        <v>1.207</v>
      </c>
      <c r="E385" s="54">
        <f>IFERROR(__xludf.DUMMYFUNCTION("""COMPUTED_VALUE"""),22000.0)</f>
        <v>22000</v>
      </c>
      <c r="F385" s="3" t="str">
        <f>IFERROR(__xludf.DUMMYFUNCTION("""COMPUTED_VALUE"""),"Chardonnay")</f>
        <v>Chardonnay</v>
      </c>
      <c r="G385" s="3"/>
      <c r="H385" s="3"/>
      <c r="I385" s="3"/>
      <c r="J385" s="3"/>
      <c r="K385" s="3"/>
      <c r="L385" s="54">
        <f>IFERROR(__xludf.DUMMYFUNCTION("""COMPUTED_VALUE"""),28.0)</f>
        <v>28</v>
      </c>
      <c r="M385" s="3"/>
      <c r="N385" s="3"/>
      <c r="O385" s="3"/>
      <c r="P385" s="3"/>
      <c r="Q385" s="3"/>
      <c r="R385" s="3"/>
      <c r="S385" s="3"/>
      <c r="T385" s="5"/>
      <c r="U385" s="5"/>
      <c r="V385" s="5"/>
      <c r="W385" s="5"/>
    </row>
    <row r="386" ht="15.75" customHeight="1">
      <c r="A386" s="3">
        <f>IFERROR(__xludf.DUMMYFUNCTION("""COMPUTED_VALUE"""),386.0)</f>
        <v>386</v>
      </c>
      <c r="B386" s="53">
        <f>IFERROR(__xludf.DUMMYFUNCTION("""COMPUTED_VALUE"""),45426.0)</f>
        <v>45426</v>
      </c>
      <c r="C386" s="3">
        <f>IFERROR(__xludf.DUMMYFUNCTION("""COMPUTED_VALUE"""),10.0)</f>
        <v>10</v>
      </c>
      <c r="D386" s="3" t="str">
        <f>IFERROR(__xludf.DUMMYFUNCTION("""COMPUTED_VALUE"""),"1.208")</f>
        <v>1.208</v>
      </c>
      <c r="E386" s="54">
        <f>IFERROR(__xludf.DUMMYFUNCTION("""COMPUTED_VALUE"""),21000.0)</f>
        <v>21000</v>
      </c>
      <c r="F386" s="3" t="str">
        <f>IFERROR(__xludf.DUMMYFUNCTION("""COMPUTED_VALUE"""),"Chardonnay")</f>
        <v>Chardonnay</v>
      </c>
      <c r="G386" s="3"/>
      <c r="H386" s="3"/>
      <c r="I386" s="3"/>
      <c r="J386" s="3"/>
      <c r="K386" s="3"/>
      <c r="L386" s="54">
        <f>IFERROR(__xludf.DUMMYFUNCTION("""COMPUTED_VALUE"""),23.0)</f>
        <v>23</v>
      </c>
      <c r="M386" s="3"/>
      <c r="N386" s="3"/>
      <c r="O386" s="3"/>
      <c r="P386" s="3"/>
      <c r="Q386" s="3"/>
      <c r="R386" s="3"/>
      <c r="S386" s="3"/>
      <c r="T386" s="5"/>
      <c r="U386" s="5"/>
      <c r="V386" s="5"/>
      <c r="W386" s="5"/>
    </row>
    <row r="387" ht="15.75" customHeight="1">
      <c r="A387" s="3">
        <f>IFERROR(__xludf.DUMMYFUNCTION("""COMPUTED_VALUE"""),387.0)</f>
        <v>387</v>
      </c>
      <c r="B387" s="53">
        <f>IFERROR(__xludf.DUMMYFUNCTION("""COMPUTED_VALUE"""),45426.0)</f>
        <v>45426</v>
      </c>
      <c r="C387" s="3">
        <f>IFERROR(__xludf.DUMMYFUNCTION("""COMPUTED_VALUE"""),44.0)</f>
        <v>44</v>
      </c>
      <c r="D387" s="3" t="str">
        <f>IFERROR(__xludf.DUMMYFUNCTION("""COMPUTED_VALUE"""),"1.252")</f>
        <v>1.252</v>
      </c>
      <c r="E387" s="54">
        <f>IFERROR(__xludf.DUMMYFUNCTION("""COMPUTED_VALUE"""),19100.0)</f>
        <v>19100</v>
      </c>
      <c r="F387" s="3" t="str">
        <f>IFERROR(__xludf.DUMMYFUNCTION("""COMPUTED_VALUE"""),"Bonarda")</f>
        <v>Bonarda</v>
      </c>
      <c r="G387" s="3"/>
      <c r="H387" s="3"/>
      <c r="I387" s="3"/>
      <c r="J387" s="3"/>
      <c r="K387" s="3"/>
      <c r="L387" s="54">
        <f>IFERROR(__xludf.DUMMYFUNCTION("""COMPUTED_VALUE"""),40.0)</f>
        <v>40</v>
      </c>
      <c r="M387" s="3"/>
      <c r="N387" s="3"/>
      <c r="O387" s="3"/>
      <c r="P387" s="3"/>
      <c r="Q387" s="3"/>
      <c r="R387" s="3"/>
      <c r="S387" s="3"/>
      <c r="T387" s="5"/>
      <c r="U387" s="5"/>
      <c r="V387" s="5"/>
      <c r="W387" s="5"/>
    </row>
    <row r="388" ht="15.75" customHeight="1">
      <c r="A388" s="3">
        <f>IFERROR(__xludf.DUMMYFUNCTION("""COMPUTED_VALUE"""),388.0)</f>
        <v>388</v>
      </c>
      <c r="B388" s="53">
        <f>IFERROR(__xludf.DUMMYFUNCTION("""COMPUTED_VALUE"""),45426.0)</f>
        <v>45426</v>
      </c>
      <c r="C388" s="3">
        <f>IFERROR(__xludf.DUMMYFUNCTION("""COMPUTED_VALUE"""),46.0)</f>
        <v>46</v>
      </c>
      <c r="D388" s="3" t="str">
        <f>IFERROR(__xludf.DUMMYFUNCTION("""COMPUTED_VALUE"""),"1.206")</f>
        <v>1.206</v>
      </c>
      <c r="E388" s="54">
        <f>IFERROR(__xludf.DUMMYFUNCTION("""COMPUTED_VALUE"""),29000.0)</f>
        <v>29000</v>
      </c>
      <c r="F388" s="3" t="str">
        <f>IFERROR(__xludf.DUMMYFUNCTION("""COMPUTED_VALUE"""),"Chardonnay")</f>
        <v>Chardonnay</v>
      </c>
      <c r="G388" s="3"/>
      <c r="H388" s="3"/>
      <c r="I388" s="3"/>
      <c r="J388" s="3"/>
      <c r="K388" s="3"/>
      <c r="L388" s="54">
        <f>IFERROR(__xludf.DUMMYFUNCTION("""COMPUTED_VALUE"""),26.0)</f>
        <v>26</v>
      </c>
      <c r="M388" s="3"/>
      <c r="N388" s="3"/>
      <c r="O388" s="3"/>
      <c r="P388" s="3"/>
      <c r="Q388" s="3"/>
      <c r="R388" s="3"/>
      <c r="S388" s="3"/>
      <c r="T388" s="5"/>
      <c r="U388" s="5"/>
      <c r="V388" s="5"/>
      <c r="W388" s="5"/>
    </row>
    <row r="389" ht="15.75" customHeight="1">
      <c r="A389" s="3">
        <f>IFERROR(__xludf.DUMMYFUNCTION("""COMPUTED_VALUE"""),389.0)</f>
        <v>389</v>
      </c>
      <c r="B389" s="53">
        <f>IFERROR(__xludf.DUMMYFUNCTION("""COMPUTED_VALUE"""),45426.0)</f>
        <v>45426</v>
      </c>
      <c r="C389" s="3">
        <f>IFERROR(__xludf.DUMMYFUNCTION("""COMPUTED_VALUE"""),47.0)</f>
        <v>47</v>
      </c>
      <c r="D389" s="3"/>
      <c r="E389" s="3"/>
      <c r="F389" s="3"/>
      <c r="G389" s="3"/>
      <c r="H389" s="3"/>
      <c r="I389" s="3"/>
      <c r="J389" s="3"/>
      <c r="K389" s="3"/>
      <c r="L389" s="54">
        <f>IFERROR(__xludf.DUMMYFUNCTION("""COMPUTED_VALUE"""),35.0)</f>
        <v>35</v>
      </c>
      <c r="M389" s="3"/>
      <c r="N389" s="3"/>
      <c r="O389" s="3"/>
      <c r="P389" s="3"/>
      <c r="Q389" s="3"/>
      <c r="R389" s="3"/>
      <c r="S389" s="3"/>
      <c r="T389" s="5"/>
      <c r="U389" s="5"/>
      <c r="V389" s="5"/>
      <c r="W389" s="5"/>
    </row>
    <row r="390" ht="15.75" customHeight="1">
      <c r="A390" s="3">
        <f>IFERROR(__xludf.DUMMYFUNCTION("""COMPUTED_VALUE"""),390.0)</f>
        <v>390</v>
      </c>
      <c r="B390" s="53">
        <f>IFERROR(__xludf.DUMMYFUNCTION("""COMPUTED_VALUE"""),45426.0)</f>
        <v>45426</v>
      </c>
      <c r="C390" s="3">
        <f>IFERROR(__xludf.DUMMYFUNCTION("""COMPUTED_VALUE"""),50.0)</f>
        <v>50</v>
      </c>
      <c r="D390" s="3" t="str">
        <f>IFERROR(__xludf.DUMMYFUNCTION("""COMPUTED_VALUE"""),"1.255")</f>
        <v>1.255</v>
      </c>
      <c r="E390" s="54">
        <f>IFERROR(__xludf.DUMMYFUNCTION("""COMPUTED_VALUE"""),5100.0)</f>
        <v>5100</v>
      </c>
      <c r="F390" s="3" t="str">
        <f>IFERROR(__xludf.DUMMYFUNCTION("""COMPUTED_VALUE"""),"Chardonnay")</f>
        <v>Chardonnay</v>
      </c>
      <c r="G390" s="3"/>
      <c r="H390" s="3"/>
      <c r="I390" s="3"/>
      <c r="J390" s="3"/>
      <c r="K390" s="3"/>
      <c r="L390" s="54">
        <f>IFERROR(__xludf.DUMMYFUNCTION("""COMPUTED_VALUE"""),42.0)</f>
        <v>42</v>
      </c>
      <c r="M390" s="3"/>
      <c r="N390" s="3"/>
      <c r="O390" s="3"/>
      <c r="P390" s="3"/>
      <c r="Q390" s="3"/>
      <c r="R390" s="3"/>
      <c r="S390" s="3"/>
      <c r="T390" s="5"/>
      <c r="U390" s="5"/>
      <c r="V390" s="5"/>
      <c r="W390" s="5"/>
    </row>
    <row r="391" ht="15.75" customHeight="1">
      <c r="A391" s="3">
        <f>IFERROR(__xludf.DUMMYFUNCTION("""COMPUTED_VALUE"""),391.0)</f>
        <v>391</v>
      </c>
      <c r="B391" s="53">
        <f>IFERROR(__xludf.DUMMYFUNCTION("""COMPUTED_VALUE"""),45426.0)</f>
        <v>45426</v>
      </c>
      <c r="C391" s="3">
        <f>IFERROR(__xludf.DUMMYFUNCTION("""COMPUTED_VALUE"""),52.0)</f>
        <v>52</v>
      </c>
      <c r="D391" s="3" t="str">
        <f>IFERROR(__xludf.DUMMYFUNCTION("""COMPUTED_VALUE"""),"1.205")</f>
        <v>1.205</v>
      </c>
      <c r="E391" s="54">
        <f>IFERROR(__xludf.DUMMYFUNCTION("""COMPUTED_VALUE"""),27000.0)</f>
        <v>27000</v>
      </c>
      <c r="F391" s="3" t="str">
        <f>IFERROR(__xludf.DUMMYFUNCTION("""COMPUTED_VALUE"""),"Chardonnay")</f>
        <v>Chardonnay</v>
      </c>
      <c r="G391" s="3"/>
      <c r="H391" s="3"/>
      <c r="I391" s="3"/>
      <c r="J391" s="3"/>
      <c r="K391" s="3"/>
      <c r="L391" s="54">
        <f>IFERROR(__xludf.DUMMYFUNCTION("""COMPUTED_VALUE"""),28.0)</f>
        <v>28</v>
      </c>
      <c r="M391" s="3"/>
      <c r="N391" s="3"/>
      <c r="O391" s="3"/>
      <c r="P391" s="3"/>
      <c r="Q391" s="3"/>
      <c r="R391" s="3"/>
      <c r="S391" s="3"/>
      <c r="T391" s="5"/>
      <c r="U391" s="5"/>
      <c r="V391" s="5"/>
      <c r="W391" s="5"/>
    </row>
    <row r="392" ht="15.75" customHeight="1">
      <c r="A392" s="3">
        <f>IFERROR(__xludf.DUMMYFUNCTION("""COMPUTED_VALUE"""),392.0)</f>
        <v>392</v>
      </c>
      <c r="B392" s="53">
        <f>IFERROR(__xludf.DUMMYFUNCTION("""COMPUTED_VALUE"""),45426.0)</f>
        <v>45426</v>
      </c>
      <c r="C392" s="3">
        <f>IFERROR(__xludf.DUMMYFUNCTION("""COMPUTED_VALUE"""),54.0)</f>
        <v>54</v>
      </c>
      <c r="D392" s="3" t="str">
        <f>IFERROR(__xludf.DUMMYFUNCTION("""COMPUTED_VALUE"""),"1.165")</f>
        <v>1.165</v>
      </c>
      <c r="E392" s="54">
        <f>IFERROR(__xludf.DUMMYFUNCTION("""COMPUTED_VALUE"""),22900.0)</f>
        <v>22900</v>
      </c>
      <c r="F392" s="3" t="str">
        <f>IFERROR(__xludf.DUMMYFUNCTION("""COMPUTED_VALUE"""),"Pedro Gimenez")</f>
        <v>Pedro Gimenez</v>
      </c>
      <c r="G392" s="3"/>
      <c r="H392" s="3"/>
      <c r="I392" s="3"/>
      <c r="J392" s="3"/>
      <c r="K392" s="3"/>
      <c r="L392" s="54">
        <f>IFERROR(__xludf.DUMMYFUNCTION("""COMPUTED_VALUE"""),29.0)</f>
        <v>29</v>
      </c>
      <c r="M392" s="3"/>
      <c r="N392" s="3"/>
      <c r="O392" s="3"/>
      <c r="P392" s="3"/>
      <c r="Q392" s="3"/>
      <c r="R392" s="3"/>
      <c r="S392" s="3"/>
      <c r="T392" s="5"/>
      <c r="U392" s="5"/>
      <c r="V392" s="5"/>
      <c r="W392" s="5"/>
    </row>
    <row r="393" ht="15.75" customHeight="1">
      <c r="A393" s="3">
        <f>IFERROR(__xludf.DUMMYFUNCTION("""COMPUTED_VALUE"""),393.0)</f>
        <v>393</v>
      </c>
      <c r="B393" s="53">
        <f>IFERROR(__xludf.DUMMYFUNCTION("""COMPUTED_VALUE"""),45426.0)</f>
        <v>45426</v>
      </c>
      <c r="C393" s="3">
        <f>IFERROR(__xludf.DUMMYFUNCTION("""COMPUTED_VALUE"""),66.0)</f>
        <v>66</v>
      </c>
      <c r="D393" s="3" t="str">
        <f>IFERROR(__xludf.DUMMYFUNCTION("""COMPUTED_VALUE"""),"1.216")</f>
        <v>1.216</v>
      </c>
      <c r="E393" s="54">
        <f>IFERROR(__xludf.DUMMYFUNCTION("""COMPUTED_VALUE"""),23000.0)</f>
        <v>23000</v>
      </c>
      <c r="F393" s="3" t="str">
        <f>IFERROR(__xludf.DUMMYFUNCTION("""COMPUTED_VALUE"""),"Chardonnay")</f>
        <v>Chardonnay</v>
      </c>
      <c r="G393" s="3"/>
      <c r="H393" s="3"/>
      <c r="I393" s="3"/>
      <c r="J393" s="3"/>
      <c r="K393" s="3"/>
      <c r="L393" s="54">
        <f>IFERROR(__xludf.DUMMYFUNCTION("""COMPUTED_VALUE"""),29.0)</f>
        <v>29</v>
      </c>
      <c r="M393" s="3"/>
      <c r="N393" s="3"/>
      <c r="O393" s="3"/>
      <c r="P393" s="3"/>
      <c r="Q393" s="3"/>
      <c r="R393" s="3"/>
      <c r="S393" s="3"/>
      <c r="T393" s="5"/>
      <c r="U393" s="5"/>
      <c r="V393" s="5"/>
      <c r="W393" s="5"/>
    </row>
    <row r="394" ht="15.75" customHeight="1">
      <c r="A394" s="3">
        <f>IFERROR(__xludf.DUMMYFUNCTION("""COMPUTED_VALUE"""),394.0)</f>
        <v>394</v>
      </c>
      <c r="B394" s="3"/>
      <c r="C394" s="3">
        <f>IFERROR(__xludf.DUMMYFUNCTION("""COMPUTED_VALUE"""),72.0)</f>
        <v>72</v>
      </c>
      <c r="D394" s="3" t="str">
        <f>IFERROR(__xludf.DUMMYFUNCTION("""COMPUTED_VALUE"""),"1.172")</f>
        <v>1.172</v>
      </c>
      <c r="E394" s="54">
        <f>IFERROR(__xludf.DUMMYFUNCTION("""COMPUTED_VALUE"""),13000.0)</f>
        <v>13000</v>
      </c>
      <c r="F394" s="3" t="str">
        <f>IFERROR(__xludf.DUMMYFUNCTION("""COMPUTED_VALUE"""),"Torrontes")</f>
        <v>Torrontes</v>
      </c>
      <c r="G394" s="3"/>
      <c r="H394" s="3"/>
      <c r="I394" s="3"/>
      <c r="J394" s="3"/>
      <c r="K394" s="3"/>
      <c r="L394" s="54">
        <f>IFERROR(__xludf.DUMMYFUNCTION("""COMPUTED_VALUE"""),24.0)</f>
        <v>24</v>
      </c>
      <c r="M394" s="3"/>
      <c r="N394" s="3"/>
      <c r="O394" s="3"/>
      <c r="P394" s="3"/>
      <c r="Q394" s="3"/>
      <c r="R394" s="3"/>
      <c r="S394" s="3"/>
      <c r="T394" s="5"/>
      <c r="U394" s="5"/>
      <c r="V394" s="5"/>
      <c r="W394" s="5"/>
    </row>
    <row r="395" ht="15.75" customHeight="1">
      <c r="A395" s="3">
        <f>IFERROR(__xludf.DUMMYFUNCTION("""COMPUTED_VALUE"""),395.0)</f>
        <v>395</v>
      </c>
      <c r="B395" s="53">
        <f>IFERROR(__xludf.DUMMYFUNCTION("""COMPUTED_VALUE"""),45426.0)</f>
        <v>45426</v>
      </c>
      <c r="C395" s="3">
        <f>IFERROR(__xludf.DUMMYFUNCTION("""COMPUTED_VALUE"""),94.0)</f>
        <v>94</v>
      </c>
      <c r="D395" s="3"/>
      <c r="E395" s="3"/>
      <c r="F395" s="3"/>
      <c r="G395" s="3"/>
      <c r="H395" s="3"/>
      <c r="I395" s="3"/>
      <c r="J395" s="3"/>
      <c r="K395" s="3"/>
      <c r="L395" s="54">
        <f>IFERROR(__xludf.DUMMYFUNCTION("""COMPUTED_VALUE"""),25.0)</f>
        <v>25</v>
      </c>
      <c r="M395" s="3"/>
      <c r="N395" s="3"/>
      <c r="O395" s="3"/>
      <c r="P395" s="3"/>
      <c r="Q395" s="3"/>
      <c r="R395" s="3"/>
      <c r="S395" s="3"/>
      <c r="T395" s="5"/>
      <c r="U395" s="5"/>
      <c r="V395" s="5"/>
      <c r="W395" s="5"/>
    </row>
    <row r="396" ht="15.75" customHeight="1">
      <c r="A396" s="3">
        <f>IFERROR(__xludf.DUMMYFUNCTION("""COMPUTED_VALUE"""),396.0)</f>
        <v>396</v>
      </c>
      <c r="B396" s="53">
        <f>IFERROR(__xludf.DUMMYFUNCTION("""COMPUTED_VALUE"""),45426.0)</f>
        <v>45426</v>
      </c>
      <c r="C396" s="3">
        <f>IFERROR(__xludf.DUMMYFUNCTION("""COMPUTED_VALUE"""),110.0)</f>
        <v>110</v>
      </c>
      <c r="D396" s="3"/>
      <c r="E396" s="3"/>
      <c r="F396" s="3"/>
      <c r="G396" s="3"/>
      <c r="H396" s="56">
        <f>IFERROR(__xludf.DUMMYFUNCTION("""COMPUTED_VALUE"""),4.0)</f>
        <v>4</v>
      </c>
      <c r="I396" s="57">
        <f>IFERROR(__xludf.DUMMYFUNCTION("""COMPUTED_VALUE"""),0.73)</f>
        <v>0.73</v>
      </c>
      <c r="J396" s="3"/>
      <c r="K396" s="3"/>
      <c r="L396" s="54">
        <f>IFERROR(__xludf.DUMMYFUNCTION("""COMPUTED_VALUE"""),38.0)</f>
        <v>38</v>
      </c>
      <c r="M396" s="3"/>
      <c r="N396" s="3"/>
      <c r="O396" s="3"/>
      <c r="P396" s="3"/>
      <c r="Q396" s="3"/>
      <c r="R396" s="3"/>
      <c r="S396" s="3"/>
      <c r="T396" s="5"/>
      <c r="U396" s="5"/>
      <c r="V396" s="5"/>
      <c r="W396" s="5"/>
    </row>
    <row r="397" ht="15.75" customHeight="1">
      <c r="A397" s="3">
        <f>IFERROR(__xludf.DUMMYFUNCTION("""COMPUTED_VALUE"""),397.0)</f>
        <v>397</v>
      </c>
      <c r="B397" s="53">
        <f>IFERROR(__xludf.DUMMYFUNCTION("""COMPUTED_VALUE"""),45426.0)</f>
        <v>45426</v>
      </c>
      <c r="C397" s="3">
        <f>IFERROR(__xludf.DUMMYFUNCTION("""COMPUTED_VALUE"""),109.0)</f>
        <v>109</v>
      </c>
      <c r="D397" s="3"/>
      <c r="E397" s="3"/>
      <c r="F397" s="3"/>
      <c r="G397" s="3"/>
      <c r="H397" s="56">
        <f>IFERROR(__xludf.DUMMYFUNCTION("""COMPUTED_VALUE"""),4.0)</f>
        <v>4</v>
      </c>
      <c r="I397" s="57">
        <f>IFERROR(__xludf.DUMMYFUNCTION("""COMPUTED_VALUE"""),0.73)</f>
        <v>0.73</v>
      </c>
      <c r="J397" s="3"/>
      <c r="K397" s="3"/>
      <c r="L397" s="54">
        <f>IFERROR(__xludf.DUMMYFUNCTION("""COMPUTED_VALUE"""),38.0)</f>
        <v>38</v>
      </c>
      <c r="M397" s="3"/>
      <c r="N397" s="3"/>
      <c r="O397" s="3"/>
      <c r="P397" s="3"/>
      <c r="Q397" s="3"/>
      <c r="R397" s="3"/>
      <c r="S397" s="3"/>
      <c r="T397" s="5"/>
      <c r="U397" s="5"/>
      <c r="V397" s="5"/>
      <c r="W397" s="5"/>
    </row>
    <row r="398" ht="15.75" customHeight="1">
      <c r="A398" s="3">
        <f>IFERROR(__xludf.DUMMYFUNCTION("""COMPUTED_VALUE"""),398.0)</f>
        <v>398</v>
      </c>
      <c r="B398" s="53">
        <f>IFERROR(__xludf.DUMMYFUNCTION("""COMPUTED_VALUE"""),45426.0)</f>
        <v>45426</v>
      </c>
      <c r="C398" s="3">
        <f>IFERROR(__xludf.DUMMYFUNCTION("""COMPUTED_VALUE"""),104.0)</f>
        <v>104</v>
      </c>
      <c r="D398" s="3"/>
      <c r="E398" s="3"/>
      <c r="F398" s="3"/>
      <c r="G398" s="3"/>
      <c r="H398" s="56">
        <f>IFERROR(__xludf.DUMMYFUNCTION("""COMPUTED_VALUE"""),4.0)</f>
        <v>4</v>
      </c>
      <c r="I398" s="57">
        <f>IFERROR(__xludf.DUMMYFUNCTION("""COMPUTED_VALUE"""),0.73)</f>
        <v>0.73</v>
      </c>
      <c r="J398" s="3"/>
      <c r="K398" s="3"/>
      <c r="L398" s="54">
        <f>IFERROR(__xludf.DUMMYFUNCTION("""COMPUTED_VALUE"""),38.0)</f>
        <v>38</v>
      </c>
      <c r="M398" s="3"/>
      <c r="N398" s="3"/>
      <c r="O398" s="3"/>
      <c r="P398" s="3"/>
      <c r="Q398" s="3"/>
      <c r="R398" s="3"/>
      <c r="S398" s="3"/>
      <c r="T398" s="5"/>
      <c r="U398" s="5"/>
      <c r="V398" s="5"/>
      <c r="W398" s="5"/>
    </row>
    <row r="399" ht="15.75" customHeight="1">
      <c r="A399" s="3">
        <f>IFERROR(__xludf.DUMMYFUNCTION("""COMPUTED_VALUE"""),399.0)</f>
        <v>399</v>
      </c>
      <c r="B399" s="53">
        <f>IFERROR(__xludf.DUMMYFUNCTION("""COMPUTED_VALUE"""),45426.0)</f>
        <v>45426</v>
      </c>
      <c r="C399" s="3">
        <f>IFERROR(__xludf.DUMMYFUNCTION("""COMPUTED_VALUE"""),931.0)</f>
        <v>931</v>
      </c>
      <c r="D399" s="3"/>
      <c r="E399" s="3"/>
      <c r="F399" s="3"/>
      <c r="G399" s="3"/>
      <c r="H399" s="56">
        <f>IFERROR(__xludf.DUMMYFUNCTION("""COMPUTED_VALUE"""),4.0)</f>
        <v>4</v>
      </c>
      <c r="I399" s="57">
        <f>IFERROR(__xludf.DUMMYFUNCTION("""COMPUTED_VALUE"""),0.73)</f>
        <v>0.73</v>
      </c>
      <c r="J399" s="3"/>
      <c r="K399" s="3"/>
      <c r="L399" s="54">
        <f>IFERROR(__xludf.DUMMYFUNCTION("""COMPUTED_VALUE"""),38.0)</f>
        <v>38</v>
      </c>
      <c r="M399" s="3"/>
      <c r="N399" s="3"/>
      <c r="O399" s="3"/>
      <c r="P399" s="3"/>
      <c r="Q399" s="3"/>
      <c r="R399" s="3"/>
      <c r="S399" s="3"/>
      <c r="T399" s="5"/>
      <c r="U399" s="5"/>
      <c r="V399" s="5"/>
      <c r="W399" s="5"/>
    </row>
    <row r="400" ht="15.75" customHeight="1">
      <c r="A400" s="3">
        <f>IFERROR(__xludf.DUMMYFUNCTION("""COMPUTED_VALUE"""),400.0)</f>
        <v>400</v>
      </c>
      <c r="B400" s="53">
        <f>IFERROR(__xludf.DUMMYFUNCTION("""COMPUTED_VALUE"""),45426.0)</f>
        <v>45426</v>
      </c>
      <c r="C400" s="3">
        <f>IFERROR(__xludf.DUMMYFUNCTION("""COMPUTED_VALUE"""),935.0)</f>
        <v>935</v>
      </c>
      <c r="D400" s="3"/>
      <c r="E400" s="3"/>
      <c r="F400" s="3"/>
      <c r="G400" s="3"/>
      <c r="H400" s="56">
        <f>IFERROR(__xludf.DUMMYFUNCTION("""COMPUTED_VALUE"""),4.0)</f>
        <v>4</v>
      </c>
      <c r="I400" s="57">
        <f>IFERROR(__xludf.DUMMYFUNCTION("""COMPUTED_VALUE"""),0.73)</f>
        <v>0.73</v>
      </c>
      <c r="J400" s="3"/>
      <c r="K400" s="3"/>
      <c r="L400" s="54">
        <f>IFERROR(__xludf.DUMMYFUNCTION("""COMPUTED_VALUE"""),38.0)</f>
        <v>38</v>
      </c>
      <c r="M400" s="3"/>
      <c r="N400" s="3"/>
      <c r="O400" s="3"/>
      <c r="P400" s="3"/>
      <c r="Q400" s="3"/>
      <c r="R400" s="3"/>
      <c r="S400" s="3"/>
      <c r="T400" s="5"/>
      <c r="U400" s="5"/>
      <c r="V400" s="5"/>
      <c r="W400" s="5"/>
    </row>
    <row r="401" ht="15.75" customHeight="1">
      <c r="A401" s="3">
        <f>IFERROR(__xludf.DUMMYFUNCTION("""COMPUTED_VALUE"""),401.0)</f>
        <v>401</v>
      </c>
      <c r="B401" s="53">
        <f>IFERROR(__xludf.DUMMYFUNCTION("""COMPUTED_VALUE"""),45426.0)</f>
        <v>45426</v>
      </c>
      <c r="C401" s="3">
        <f>IFERROR(__xludf.DUMMYFUNCTION("""COMPUTED_VALUE"""),25.0)</f>
        <v>25</v>
      </c>
      <c r="D401" s="3" t="str">
        <f>IFERROR(__xludf.DUMMYFUNCTION("""COMPUTED_VALUE"""),"1.231")</f>
        <v>1.231</v>
      </c>
      <c r="E401" s="54">
        <f>IFERROR(__xludf.DUMMYFUNCTION("""COMPUTED_VALUE"""),194300.0)</f>
        <v>194300</v>
      </c>
      <c r="F401" s="3" t="str">
        <f>IFERROR(__xludf.DUMMYFUNCTION("""COMPUTED_VALUE"""),"Syrah")</f>
        <v>Syrah</v>
      </c>
      <c r="G401" s="55">
        <f>IFERROR(__xludf.DUMMYFUNCTION("""COMPUTED_VALUE"""),13.3)</f>
        <v>13.3</v>
      </c>
      <c r="H401" s="56">
        <f>IFERROR(__xludf.DUMMYFUNCTION("""COMPUTED_VALUE"""),2.0)</f>
        <v>2</v>
      </c>
      <c r="I401" s="57">
        <f>IFERROR(__xludf.DUMMYFUNCTION("""COMPUTED_VALUE"""),0.5)</f>
        <v>0.5</v>
      </c>
      <c r="J401" s="57">
        <f>IFERROR(__xludf.DUMMYFUNCTION("""COMPUTED_VALUE"""),5.0)</f>
        <v>5</v>
      </c>
      <c r="K401" s="3"/>
      <c r="L401" s="3"/>
      <c r="M401" s="3"/>
      <c r="N401" s="3">
        <f>IFERROR(__xludf.DUMMYFUNCTION("""COMPUTED_VALUE"""),31.8)</f>
        <v>31.8</v>
      </c>
      <c r="O401" s="3"/>
      <c r="P401" s="3"/>
      <c r="Q401" s="3"/>
      <c r="R401" s="3"/>
      <c r="S401" s="3"/>
      <c r="T401" s="5"/>
      <c r="U401" s="5"/>
      <c r="V401" s="5"/>
      <c r="W401" s="5"/>
    </row>
    <row r="402" ht="15.75" customHeight="1">
      <c r="A402" s="3">
        <f>IFERROR(__xludf.DUMMYFUNCTION("""COMPUTED_VALUE"""),402.0)</f>
        <v>402</v>
      </c>
      <c r="B402" s="53">
        <f>IFERROR(__xludf.DUMMYFUNCTION("""COMPUTED_VALUE"""),45426.0)</f>
        <v>45426</v>
      </c>
      <c r="C402" s="3">
        <f>IFERROR(__xludf.DUMMYFUNCTION("""COMPUTED_VALUE"""),110.0)</f>
        <v>110</v>
      </c>
      <c r="D402" s="3"/>
      <c r="E402" s="3"/>
      <c r="F402" s="3"/>
      <c r="G402" s="3"/>
      <c r="H402" s="3"/>
      <c r="I402" s="57">
        <f>IFERROR(__xludf.DUMMYFUNCTION("""COMPUTED_VALUE"""),0.85)</f>
        <v>0.85</v>
      </c>
      <c r="J402" s="3"/>
      <c r="K402" s="3"/>
      <c r="L402" s="54">
        <f>IFERROR(__xludf.DUMMYFUNCTION("""COMPUTED_VALUE"""),85.0)</f>
        <v>85</v>
      </c>
      <c r="M402" s="3"/>
      <c r="N402" s="3"/>
      <c r="O402" s="3"/>
      <c r="P402" s="3"/>
      <c r="Q402" s="3"/>
      <c r="R402" s="3"/>
      <c r="S402" s="3"/>
      <c r="T402" s="5"/>
      <c r="U402" s="5"/>
      <c r="V402" s="5"/>
      <c r="W402" s="5"/>
    </row>
    <row r="403" ht="15.75" customHeight="1">
      <c r="A403" s="3">
        <f>IFERROR(__xludf.DUMMYFUNCTION("""COMPUTED_VALUE"""),403.0)</f>
        <v>403</v>
      </c>
      <c r="B403" s="53">
        <f>IFERROR(__xludf.DUMMYFUNCTION("""COMPUTED_VALUE"""),45426.0)</f>
        <v>45426</v>
      </c>
      <c r="C403" s="3">
        <f>IFERROR(__xludf.DUMMYFUNCTION("""COMPUTED_VALUE"""),109.0)</f>
        <v>109</v>
      </c>
      <c r="D403" s="3"/>
      <c r="E403" s="3"/>
      <c r="F403" s="3"/>
      <c r="G403" s="3"/>
      <c r="H403" s="3"/>
      <c r="I403" s="57">
        <f>IFERROR(__xludf.DUMMYFUNCTION("""COMPUTED_VALUE"""),0.85)</f>
        <v>0.85</v>
      </c>
      <c r="J403" s="3"/>
      <c r="K403" s="3"/>
      <c r="L403" s="54">
        <f>IFERROR(__xludf.DUMMYFUNCTION("""COMPUTED_VALUE"""),85.0)</f>
        <v>85</v>
      </c>
      <c r="M403" s="3"/>
      <c r="N403" s="3"/>
      <c r="O403" s="3"/>
      <c r="P403" s="3"/>
      <c r="Q403" s="3"/>
      <c r="R403" s="3"/>
      <c r="S403" s="3"/>
      <c r="T403" s="5"/>
      <c r="U403" s="5"/>
      <c r="V403" s="5"/>
      <c r="W403" s="5"/>
    </row>
    <row r="404" ht="15.75" customHeight="1">
      <c r="A404" s="3">
        <f>IFERROR(__xludf.DUMMYFUNCTION("""COMPUTED_VALUE"""),404.0)</f>
        <v>404</v>
      </c>
      <c r="B404" s="53">
        <f>IFERROR(__xludf.DUMMYFUNCTION("""COMPUTED_VALUE"""),45428.0)</f>
        <v>45428</v>
      </c>
      <c r="C404" s="3">
        <f>IFERROR(__xludf.DUMMYFUNCTION("""COMPUTED_VALUE"""),88.0)</f>
        <v>88</v>
      </c>
      <c r="D404" s="3" t="str">
        <f>IFERROR(__xludf.DUMMYFUNCTION("""COMPUTED_VALUE"""),"1.264")</f>
        <v>1.264</v>
      </c>
      <c r="E404" s="54">
        <f>IFERROR(__xludf.DUMMYFUNCTION("""COMPUTED_VALUE"""),78900.0)</f>
        <v>78900</v>
      </c>
      <c r="F404" s="3" t="str">
        <f>IFERROR(__xludf.DUMMYFUNCTION("""COMPUTED_VALUE"""),"Tinto Montereal")</f>
        <v>Tinto Montereal</v>
      </c>
      <c r="G404" s="55">
        <f>IFERROR(__xludf.DUMMYFUNCTION("""COMPUTED_VALUE"""),13.7)</f>
        <v>13.7</v>
      </c>
      <c r="H404" s="56">
        <f>IFERROR(__xludf.DUMMYFUNCTION("""COMPUTED_VALUE"""),2.0)</f>
        <v>2</v>
      </c>
      <c r="I404" s="57">
        <f>IFERROR(__xludf.DUMMYFUNCTION("""COMPUTED_VALUE"""),0.68)</f>
        <v>0.68</v>
      </c>
      <c r="J404" s="57">
        <f>IFERROR(__xludf.DUMMYFUNCTION("""COMPUTED_VALUE"""),4.5)</f>
        <v>4.5</v>
      </c>
      <c r="K404" s="57">
        <f>IFERROR(__xludf.DUMMYFUNCTION("""COMPUTED_VALUE"""),3.7)</f>
        <v>3.7</v>
      </c>
      <c r="L404" s="54">
        <f>IFERROR(__xludf.DUMMYFUNCTION("""COMPUTED_VALUE"""),40.0)</f>
        <v>40</v>
      </c>
      <c r="M404" s="3">
        <f>IFERROR(__xludf.DUMMYFUNCTION("""COMPUTED_VALUE"""),111.0)</f>
        <v>111</v>
      </c>
      <c r="N404" s="3"/>
      <c r="O404" s="3"/>
      <c r="P404" s="3"/>
      <c r="Q404" s="3"/>
      <c r="R404" s="3"/>
      <c r="S404" s="3"/>
      <c r="T404" s="5"/>
      <c r="U404" s="5"/>
      <c r="V404" s="5"/>
      <c r="W404" s="5"/>
    </row>
    <row r="405" ht="15.75" customHeight="1">
      <c r="A405" s="3">
        <f>IFERROR(__xludf.DUMMYFUNCTION("""COMPUTED_VALUE"""),405.0)</f>
        <v>405</v>
      </c>
      <c r="B405" s="53">
        <f>IFERROR(__xludf.DUMMYFUNCTION("""COMPUTED_VALUE"""),45428.0)</f>
        <v>45428</v>
      </c>
      <c r="C405" s="3">
        <f>IFERROR(__xludf.DUMMYFUNCTION("""COMPUTED_VALUE"""),24.0)</f>
        <v>24</v>
      </c>
      <c r="D405" s="3" t="str">
        <f>IFERROR(__xludf.DUMMYFUNCTION("""COMPUTED_VALUE"""),"1.273")</f>
        <v>1.273</v>
      </c>
      <c r="E405" s="54">
        <f>IFERROR(__xludf.DUMMYFUNCTION("""COMPUTED_VALUE"""),186600.0)</f>
        <v>186600</v>
      </c>
      <c r="F405" s="3" t="str">
        <f>IFERROR(__xludf.DUMMYFUNCTION("""COMPUTED_VALUE"""),"Tinto")</f>
        <v>Tinto</v>
      </c>
      <c r="G405" s="55">
        <f>IFERROR(__xludf.DUMMYFUNCTION("""COMPUTED_VALUE"""),12.5)</f>
        <v>12.5</v>
      </c>
      <c r="H405" s="56">
        <f>IFERROR(__xludf.DUMMYFUNCTION("""COMPUTED_VALUE"""),2.0)</f>
        <v>2</v>
      </c>
      <c r="I405" s="57">
        <f>IFERROR(__xludf.DUMMYFUNCTION("""COMPUTED_VALUE"""),0.56)</f>
        <v>0.56</v>
      </c>
      <c r="J405" s="57">
        <f>IFERROR(__xludf.DUMMYFUNCTION("""COMPUTED_VALUE"""),5.0)</f>
        <v>5</v>
      </c>
      <c r="K405" s="3"/>
      <c r="L405" s="54">
        <f>IFERROR(__xludf.DUMMYFUNCTION("""COMPUTED_VALUE"""),21.0)</f>
        <v>21</v>
      </c>
      <c r="M405" s="3">
        <f>IFERROR(__xludf.DUMMYFUNCTION("""COMPUTED_VALUE"""),120.0)</f>
        <v>120</v>
      </c>
      <c r="N405" s="3"/>
      <c r="O405" s="3"/>
      <c r="P405" s="3"/>
      <c r="Q405" s="3"/>
      <c r="R405" s="3"/>
      <c r="S405" s="3"/>
      <c r="T405" s="5"/>
      <c r="U405" s="5"/>
      <c r="V405" s="5"/>
      <c r="W405" s="5"/>
    </row>
    <row r="406" ht="15.75" customHeight="1">
      <c r="A406" s="3">
        <f>IFERROR(__xludf.DUMMYFUNCTION("""COMPUTED_VALUE"""),406.0)</f>
        <v>406</v>
      </c>
      <c r="B406" s="53">
        <f>IFERROR(__xludf.DUMMYFUNCTION("""COMPUTED_VALUE"""),45428.0)</f>
        <v>45428</v>
      </c>
      <c r="C406" s="3">
        <f>IFERROR(__xludf.DUMMYFUNCTION("""COMPUTED_VALUE"""),89.0)</f>
        <v>89</v>
      </c>
      <c r="D406" s="3" t="str">
        <f>IFERROR(__xludf.DUMMYFUNCTION("""COMPUTED_VALUE"""),"1.241")</f>
        <v>1.241</v>
      </c>
      <c r="E406" s="54">
        <f>IFERROR(__xludf.DUMMYFUNCTION("""COMPUTED_VALUE"""),83500.0)</f>
        <v>83500</v>
      </c>
      <c r="F406" s="3" t="str">
        <f>IFERROR(__xludf.DUMMYFUNCTION("""COMPUTED_VALUE"""),"Malbec T")</f>
        <v>Malbec T</v>
      </c>
      <c r="G406" s="3"/>
      <c r="H406" s="3"/>
      <c r="I406" s="57">
        <f>IFERROR(__xludf.DUMMYFUNCTION("""COMPUTED_VALUE"""),0.6)</f>
        <v>0.6</v>
      </c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5"/>
      <c r="U406" s="5"/>
      <c r="V406" s="5"/>
      <c r="W406" s="5"/>
    </row>
    <row r="407" ht="15.75" customHeight="1">
      <c r="A407" s="3">
        <f>IFERROR(__xludf.DUMMYFUNCTION("""COMPUTED_VALUE"""),407.0)</f>
        <v>407</v>
      </c>
      <c r="B407" s="53">
        <f>IFERROR(__xludf.DUMMYFUNCTION("""COMPUTED_VALUE"""),45428.0)</f>
        <v>45428</v>
      </c>
      <c r="C407" s="3">
        <f>IFERROR(__xludf.DUMMYFUNCTION("""COMPUTED_VALUE"""),95.0)</f>
        <v>95</v>
      </c>
      <c r="D407" s="3" t="str">
        <f>IFERROR(__xludf.DUMMYFUNCTION("""COMPUTED_VALUE"""),"1.237")</f>
        <v>1.237</v>
      </c>
      <c r="E407" s="54">
        <f>IFERROR(__xludf.DUMMYFUNCTION("""COMPUTED_VALUE"""),77100.0)</f>
        <v>77100</v>
      </c>
      <c r="F407" s="3" t="str">
        <f>IFERROR(__xludf.DUMMYFUNCTION("""COMPUTED_VALUE"""),"Bonarda")</f>
        <v>Bonarda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5"/>
      <c r="U407" s="5"/>
      <c r="V407" s="5"/>
      <c r="W407" s="5"/>
    </row>
    <row r="408" ht="15.75" customHeight="1">
      <c r="A408" s="3">
        <f>IFERROR(__xludf.DUMMYFUNCTION("""COMPUTED_VALUE"""),408.0)</f>
        <v>408</v>
      </c>
      <c r="B408" s="53">
        <f>IFERROR(__xludf.DUMMYFUNCTION("""COMPUTED_VALUE"""),45428.0)</f>
        <v>45428</v>
      </c>
      <c r="C408" s="3">
        <f>IFERROR(__xludf.DUMMYFUNCTION("""COMPUTED_VALUE"""),36.0)</f>
        <v>36</v>
      </c>
      <c r="D408" s="3" t="str">
        <f>IFERROR(__xludf.DUMMYFUNCTION("""COMPUTED_VALUE"""),"1.247")</f>
        <v>1.247</v>
      </c>
      <c r="E408" s="54">
        <f>IFERROR(__xludf.DUMMYFUNCTION("""COMPUTED_VALUE"""),19700.0)</f>
        <v>19700</v>
      </c>
      <c r="F408" s="3" t="str">
        <f>IFERROR(__xludf.DUMMYFUNCTION("""COMPUTED_VALUE"""),"Syrah s/Asp")</f>
        <v>Syrah s/Asp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5"/>
      <c r="U408" s="5"/>
      <c r="V408" s="5"/>
      <c r="W408" s="5"/>
    </row>
    <row r="409" ht="15.75" customHeight="1">
      <c r="A409" s="3">
        <f>IFERROR(__xludf.DUMMYFUNCTION("""COMPUTED_VALUE"""),409.0)</f>
        <v>409</v>
      </c>
      <c r="B409" s="53">
        <f>IFERROR(__xludf.DUMMYFUNCTION("""COMPUTED_VALUE"""),45428.0)</f>
        <v>45428</v>
      </c>
      <c r="C409" s="3">
        <f>IFERROR(__xludf.DUMMYFUNCTION("""COMPUTED_VALUE"""),6.0)</f>
        <v>6</v>
      </c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5"/>
      <c r="U409" s="5"/>
      <c r="V409" s="5"/>
      <c r="W409" s="5"/>
    </row>
    <row r="410" ht="15.75" customHeight="1">
      <c r="A410" s="3">
        <f>IFERROR(__xludf.DUMMYFUNCTION("""COMPUTED_VALUE"""),410.0)</f>
        <v>410</v>
      </c>
      <c r="B410" s="53">
        <f>IFERROR(__xludf.DUMMYFUNCTION("""COMPUTED_VALUE"""),45428.0)</f>
        <v>45428</v>
      </c>
      <c r="C410" s="3">
        <f>IFERROR(__xludf.DUMMYFUNCTION("""COMPUTED_VALUE"""),120.0)</f>
        <v>120</v>
      </c>
      <c r="D410" s="3" t="str">
        <f>IFERROR(__xludf.DUMMYFUNCTION("""COMPUTED_VALUE"""),"1.271")</f>
        <v>1.271</v>
      </c>
      <c r="E410" s="54">
        <f>IFERROR(__xludf.DUMMYFUNCTION("""COMPUTED_VALUE"""),88800.0)</f>
        <v>88800</v>
      </c>
      <c r="F410" s="3" t="str">
        <f>IFERROR(__xludf.DUMMYFUNCTION("""COMPUTED_VALUE"""),"Malbec T")</f>
        <v>Malbec T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5"/>
      <c r="U410" s="5"/>
      <c r="V410" s="5"/>
      <c r="W410" s="5"/>
    </row>
    <row r="411" ht="15.75" customHeight="1">
      <c r="A411" s="3">
        <f>IFERROR(__xludf.DUMMYFUNCTION("""COMPUTED_VALUE"""),411.0)</f>
        <v>411</v>
      </c>
      <c r="B411" s="53">
        <f>IFERROR(__xludf.DUMMYFUNCTION("""COMPUTED_VALUE"""),45432.0)</f>
        <v>45432</v>
      </c>
      <c r="C411" s="3">
        <f>IFERROR(__xludf.DUMMYFUNCTION("""COMPUTED_VALUE"""),25.0)</f>
        <v>25</v>
      </c>
      <c r="D411" s="3" t="str">
        <f>IFERROR(__xludf.DUMMYFUNCTION("""COMPUTED_VALUE"""),"1.133")</f>
        <v>1.133</v>
      </c>
      <c r="E411" s="54">
        <f>IFERROR(__xludf.DUMMYFUNCTION("""COMPUTED_VALUE"""),194300.0)</f>
        <v>194300</v>
      </c>
      <c r="F411" s="3" t="str">
        <f>IFERROR(__xludf.DUMMYFUNCTION("""COMPUTED_VALUE"""),"Syrah - camion control")</f>
        <v>Syrah - camion control</v>
      </c>
      <c r="G411" s="55">
        <f>IFERROR(__xludf.DUMMYFUNCTION("""COMPUTED_VALUE"""),13.5)</f>
        <v>13.5</v>
      </c>
      <c r="H411" s="56">
        <f>IFERROR(__xludf.DUMMYFUNCTION("""COMPUTED_VALUE"""),2.0)</f>
        <v>2</v>
      </c>
      <c r="I411" s="57">
        <f>IFERROR(__xludf.DUMMYFUNCTION("""COMPUTED_VALUE"""),0.5)</f>
        <v>0.5</v>
      </c>
      <c r="J411" s="57">
        <f>IFERROR(__xludf.DUMMYFUNCTION("""COMPUTED_VALUE"""),5.0)</f>
        <v>5</v>
      </c>
      <c r="K411" s="3"/>
      <c r="L411" s="54">
        <f>IFERROR(__xludf.DUMMYFUNCTION("""COMPUTED_VALUE"""),32.0)</f>
        <v>32</v>
      </c>
      <c r="M411" s="3">
        <f>IFERROR(__xludf.DUMMYFUNCTION("""COMPUTED_VALUE"""),115.0)</f>
        <v>115</v>
      </c>
      <c r="N411" s="3"/>
      <c r="O411" s="3">
        <f>IFERROR(__xludf.DUMMYFUNCTION("""COMPUTED_VALUE"""),276.0)</f>
        <v>276</v>
      </c>
      <c r="P411" s="3">
        <f>IFERROR(__xludf.DUMMYFUNCTION("""COMPUTED_VALUE"""),373.0)</f>
        <v>373</v>
      </c>
      <c r="Q411" s="3"/>
      <c r="R411" s="3">
        <f>IFERROR(__xludf.DUMMYFUNCTION("""COMPUTED_VALUE"""),649.0)</f>
        <v>649</v>
      </c>
      <c r="S411" s="54">
        <f>IFERROR(__xludf.DUMMYFUNCTION("""COMPUTED_VALUE"""),889.0)</f>
        <v>889</v>
      </c>
      <c r="T411" s="5"/>
      <c r="U411" s="5"/>
      <c r="V411" s="5"/>
      <c r="W411" s="5"/>
    </row>
    <row r="412" ht="15.75" customHeight="1">
      <c r="A412" s="3">
        <f>IFERROR(__xludf.DUMMYFUNCTION("""COMPUTED_VALUE"""),412.0)</f>
        <v>412</v>
      </c>
      <c r="B412" s="53">
        <f>IFERROR(__xludf.DUMMYFUNCTION("""COMPUTED_VALUE"""),45433.0)</f>
        <v>45433</v>
      </c>
      <c r="C412" s="3">
        <f>IFERROR(__xludf.DUMMYFUNCTION("""COMPUTED_VALUE"""),25.0)</f>
        <v>25</v>
      </c>
      <c r="D412" s="3" t="str">
        <f>IFERROR(__xludf.DUMMYFUNCTION("""COMPUTED_VALUE"""),"1.133")</f>
        <v>1.133</v>
      </c>
      <c r="E412" s="54">
        <f>IFERROR(__xludf.DUMMYFUNCTION("""COMPUTED_VALUE"""),194300.0)</f>
        <v>194300</v>
      </c>
      <c r="F412" s="3" t="str">
        <f>IFERROR(__xludf.DUMMYFUNCTION("""COMPUTED_VALUE"""),"Syrah - pileta ventil")</f>
        <v>Syrah - pileta ventil</v>
      </c>
      <c r="G412" s="55">
        <f>IFERROR(__xludf.DUMMYFUNCTION("""COMPUTED_VALUE"""),13.5)</f>
        <v>13.5</v>
      </c>
      <c r="H412" s="56">
        <f>IFERROR(__xludf.DUMMYFUNCTION("""COMPUTED_VALUE"""),2.0)</f>
        <v>2</v>
      </c>
      <c r="I412" s="57">
        <f>IFERROR(__xludf.DUMMYFUNCTION("""COMPUTED_VALUE"""),0.5)</f>
        <v>0.5</v>
      </c>
      <c r="J412" s="57">
        <f>IFERROR(__xludf.DUMMYFUNCTION("""COMPUTED_VALUE"""),5.0)</f>
        <v>5</v>
      </c>
      <c r="K412" s="3"/>
      <c r="L412" s="54">
        <f>IFERROR(__xludf.DUMMYFUNCTION("""COMPUTED_VALUE"""),36.0)</f>
        <v>36</v>
      </c>
      <c r="M412" s="3">
        <f>IFERROR(__xludf.DUMMYFUNCTION("""COMPUTED_VALUE"""),110.0)</f>
        <v>110</v>
      </c>
      <c r="N412" s="3"/>
      <c r="O412" s="3">
        <f>IFERROR(__xludf.DUMMYFUNCTION("""COMPUTED_VALUE"""),263.0)</f>
        <v>263</v>
      </c>
      <c r="P412" s="3">
        <f>IFERROR(__xludf.DUMMYFUNCTION("""COMPUTED_VALUE"""),384.0)</f>
        <v>384</v>
      </c>
      <c r="Q412" s="3"/>
      <c r="R412" s="3">
        <f>IFERROR(__xludf.DUMMYFUNCTION("""COMPUTED_VALUE"""),647.0)</f>
        <v>647</v>
      </c>
      <c r="S412" s="54">
        <f>IFERROR(__xludf.DUMMYFUNCTION("""COMPUTED_VALUE"""),951.0)</f>
        <v>951</v>
      </c>
      <c r="T412" s="5"/>
      <c r="U412" s="5"/>
      <c r="V412" s="5"/>
      <c r="W412" s="5"/>
    </row>
    <row r="413" ht="15.75" customHeight="1">
      <c r="A413" s="3">
        <f>IFERROR(__xludf.DUMMYFUNCTION("""COMPUTED_VALUE"""),413.0)</f>
        <v>413</v>
      </c>
      <c r="B413" s="53">
        <f>IFERROR(__xludf.DUMMYFUNCTION("""COMPUTED_VALUE"""),45433.0)</f>
        <v>45433</v>
      </c>
      <c r="C413" s="3">
        <f>IFERROR(__xludf.DUMMYFUNCTION("""COMPUTED_VALUE"""),25.0)</f>
        <v>25</v>
      </c>
      <c r="D413" s="3" t="str">
        <f>IFERROR(__xludf.DUMMYFUNCTION("""COMPUTED_VALUE"""),"1.133")</f>
        <v>1.133</v>
      </c>
      <c r="E413" s="54">
        <f>IFERROR(__xludf.DUMMYFUNCTION("""COMPUTED_VALUE"""),194300.0)</f>
        <v>194300</v>
      </c>
      <c r="F413" s="3" t="str">
        <f>IFERROR(__xludf.DUMMYFUNCTION("""COMPUTED_VALUE"""),"Syrah - recien remontada ventil")</f>
        <v>Syrah - recien remontada ventil</v>
      </c>
      <c r="G413" s="3"/>
      <c r="H413" s="3"/>
      <c r="I413" s="57">
        <f>IFERROR(__xludf.DUMMYFUNCTION("""COMPUTED_VALUE"""),0.55)</f>
        <v>0.55</v>
      </c>
      <c r="J413" s="3"/>
      <c r="K413" s="3"/>
      <c r="L413" s="3"/>
      <c r="M413" s="3"/>
      <c r="N413" s="3"/>
      <c r="O413" s="3">
        <f>IFERROR(__xludf.DUMMYFUNCTION("""COMPUTED_VALUE"""),258.0)</f>
        <v>258</v>
      </c>
      <c r="P413" s="3">
        <f>IFERROR(__xludf.DUMMYFUNCTION("""COMPUTED_VALUE"""),386.0)</f>
        <v>386</v>
      </c>
      <c r="Q413" s="3"/>
      <c r="R413" s="3">
        <f>IFERROR(__xludf.DUMMYFUNCTION("""COMPUTED_VALUE"""),644.0)</f>
        <v>644</v>
      </c>
      <c r="S413" s="54">
        <f>IFERROR(__xludf.DUMMYFUNCTION("""COMPUTED_VALUE"""),963.5038759689921)</f>
        <v>963.503876</v>
      </c>
      <c r="T413" s="5"/>
      <c r="U413" s="5"/>
      <c r="V413" s="5"/>
      <c r="W413" s="5"/>
    </row>
    <row r="414" ht="15.75" customHeight="1">
      <c r="A414" s="3">
        <f>IFERROR(__xludf.DUMMYFUNCTION("""COMPUTED_VALUE"""),414.0)</f>
        <v>414</v>
      </c>
      <c r="B414" s="53">
        <f>IFERROR(__xludf.DUMMYFUNCTION("""COMPUTED_VALUE"""),45435.0)</f>
        <v>45435</v>
      </c>
      <c r="C414" s="3">
        <f>IFERROR(__xludf.DUMMYFUNCTION("""COMPUTED_VALUE"""),5.0)</f>
        <v>5</v>
      </c>
      <c r="D414" s="3"/>
      <c r="E414" s="3"/>
      <c r="F414" s="3"/>
      <c r="G414" s="3"/>
      <c r="H414" s="56">
        <f>IFERROR(__xludf.DUMMYFUNCTION("""COMPUTED_VALUE"""),2.0)</f>
        <v>2</v>
      </c>
      <c r="I414" s="57">
        <f>IFERROR(__xludf.DUMMYFUNCTION("""COMPUTED_VALUE"""),0.61)</f>
        <v>0.61</v>
      </c>
      <c r="J414" s="3"/>
      <c r="K414" s="3"/>
      <c r="L414" s="54">
        <f>IFERROR(__xludf.DUMMYFUNCTION("""COMPUTED_VALUE"""),19.0)</f>
        <v>19</v>
      </c>
      <c r="M414" s="3"/>
      <c r="N414" s="3"/>
      <c r="O414" s="3"/>
      <c r="P414" s="3"/>
      <c r="Q414" s="3"/>
      <c r="R414" s="3"/>
      <c r="S414" s="3"/>
      <c r="T414" s="5"/>
      <c r="U414" s="5"/>
      <c r="V414" s="5"/>
      <c r="W414" s="5"/>
    </row>
    <row r="415" ht="15.75" customHeight="1">
      <c r="A415" s="3">
        <f>IFERROR(__xludf.DUMMYFUNCTION("""COMPUTED_VALUE"""),415.0)</f>
        <v>415</v>
      </c>
      <c r="B415" s="53">
        <f>IFERROR(__xludf.DUMMYFUNCTION("""COMPUTED_VALUE"""),45435.0)</f>
        <v>45435</v>
      </c>
      <c r="C415" s="3">
        <f>IFERROR(__xludf.DUMMYFUNCTION("""COMPUTED_VALUE"""),6.0)</f>
        <v>6</v>
      </c>
      <c r="D415" s="3"/>
      <c r="E415" s="3"/>
      <c r="F415" s="3"/>
      <c r="G415" s="3"/>
      <c r="H415" s="56">
        <f>IFERROR(__xludf.DUMMYFUNCTION("""COMPUTED_VALUE"""),3.7)</f>
        <v>3.7</v>
      </c>
      <c r="I415" s="57">
        <f>IFERROR(__xludf.DUMMYFUNCTION("""COMPUTED_VALUE"""),0.55)</f>
        <v>0.55</v>
      </c>
      <c r="J415" s="3"/>
      <c r="K415" s="3"/>
      <c r="L415" s="54">
        <f>IFERROR(__xludf.DUMMYFUNCTION("""COMPUTED_VALUE"""),19.0)</f>
        <v>19</v>
      </c>
      <c r="M415" s="3"/>
      <c r="N415" s="3"/>
      <c r="O415" s="3"/>
      <c r="P415" s="3"/>
      <c r="Q415" s="3"/>
      <c r="R415" s="3"/>
      <c r="S415" s="3"/>
      <c r="T415" s="5"/>
      <c r="U415" s="5"/>
      <c r="V415" s="5"/>
      <c r="W415" s="5"/>
    </row>
    <row r="416" ht="15.75" customHeight="1">
      <c r="A416" s="3">
        <f>IFERROR(__xludf.DUMMYFUNCTION("""COMPUTED_VALUE"""),416.0)</f>
        <v>416</v>
      </c>
      <c r="B416" s="53">
        <f>IFERROR(__xludf.DUMMYFUNCTION("""COMPUTED_VALUE"""),45435.0)</f>
        <v>45435</v>
      </c>
      <c r="C416" s="3">
        <f>IFERROR(__xludf.DUMMYFUNCTION("""COMPUTED_VALUE"""),7.0)</f>
        <v>7</v>
      </c>
      <c r="D416" s="3"/>
      <c r="E416" s="3"/>
      <c r="F416" s="3"/>
      <c r="G416" s="3"/>
      <c r="H416" s="56">
        <f>IFERROR(__xludf.DUMMYFUNCTION("""COMPUTED_VALUE"""),2.0)</f>
        <v>2</v>
      </c>
      <c r="I416" s="57">
        <f>IFERROR(__xludf.DUMMYFUNCTION("""COMPUTED_VALUE"""),0.63)</f>
        <v>0.63</v>
      </c>
      <c r="J416" s="3"/>
      <c r="K416" s="3"/>
      <c r="L416" s="54">
        <f>IFERROR(__xludf.DUMMYFUNCTION("""COMPUTED_VALUE"""),41.0)</f>
        <v>41</v>
      </c>
      <c r="M416" s="3"/>
      <c r="N416" s="3"/>
      <c r="O416" s="3"/>
      <c r="P416" s="3"/>
      <c r="Q416" s="3"/>
      <c r="R416" s="3"/>
      <c r="S416" s="3"/>
      <c r="T416" s="5"/>
      <c r="U416" s="5"/>
      <c r="V416" s="5"/>
      <c r="W416" s="5"/>
    </row>
    <row r="417" ht="15.75" customHeight="1">
      <c r="A417" s="3">
        <f>IFERROR(__xludf.DUMMYFUNCTION("""COMPUTED_VALUE"""),417.0)</f>
        <v>417</v>
      </c>
      <c r="B417" s="53">
        <f>IFERROR(__xludf.DUMMYFUNCTION("""COMPUTED_VALUE"""),45435.0)</f>
        <v>45435</v>
      </c>
      <c r="C417" s="3">
        <f>IFERROR(__xludf.DUMMYFUNCTION("""COMPUTED_VALUE"""),11.0)</f>
        <v>11</v>
      </c>
      <c r="D417" s="3"/>
      <c r="E417" s="3"/>
      <c r="F417" s="3"/>
      <c r="G417" s="3"/>
      <c r="H417" s="56">
        <f>IFERROR(__xludf.DUMMYFUNCTION("""COMPUTED_VALUE"""),2.1)</f>
        <v>2.1</v>
      </c>
      <c r="I417" s="57">
        <f>IFERROR(__xludf.DUMMYFUNCTION("""COMPUTED_VALUE"""),0.76)</f>
        <v>0.76</v>
      </c>
      <c r="J417" s="3"/>
      <c r="K417" s="3"/>
      <c r="L417" s="54">
        <f>IFERROR(__xludf.DUMMYFUNCTION("""COMPUTED_VALUE"""),13.0)</f>
        <v>13</v>
      </c>
      <c r="M417" s="3"/>
      <c r="N417" s="3"/>
      <c r="O417" s="3"/>
      <c r="P417" s="3"/>
      <c r="Q417" s="3"/>
      <c r="R417" s="3"/>
      <c r="S417" s="3"/>
      <c r="T417" s="5"/>
      <c r="U417" s="5"/>
      <c r="V417" s="5"/>
      <c r="W417" s="5"/>
    </row>
    <row r="418" ht="15.75" customHeight="1">
      <c r="A418" s="3">
        <f>IFERROR(__xludf.DUMMYFUNCTION("""COMPUTED_VALUE"""),418.0)</f>
        <v>418</v>
      </c>
      <c r="B418" s="53">
        <f>IFERROR(__xludf.DUMMYFUNCTION("""COMPUTED_VALUE"""),45435.0)</f>
        <v>45435</v>
      </c>
      <c r="C418" s="3">
        <f>IFERROR(__xludf.DUMMYFUNCTION("""COMPUTED_VALUE"""),36.0)</f>
        <v>36</v>
      </c>
      <c r="D418" s="3" t="str">
        <f>IFERROR(__xludf.DUMMYFUNCTION("""COMPUTED_VALUE"""),"1.190")</f>
        <v>1.190</v>
      </c>
      <c r="E418" s="54">
        <f>IFERROR(__xludf.DUMMYFUNCTION("""COMPUTED_VALUE"""),19700.0)</f>
        <v>19700</v>
      </c>
      <c r="F418" s="3" t="str">
        <f>IFERROR(__xludf.DUMMYFUNCTION("""COMPUTED_VALUE"""),"Tinto Recarga")</f>
        <v>Tinto Recarga</v>
      </c>
      <c r="G418" s="3"/>
      <c r="H418" s="56">
        <f>IFERROR(__xludf.DUMMYFUNCTION("""COMPUTED_VALUE"""),5.4)</f>
        <v>5.4</v>
      </c>
      <c r="I418" s="57">
        <f>IFERROR(__xludf.DUMMYFUNCTION("""COMPUTED_VALUE"""),0.81)</f>
        <v>0.81</v>
      </c>
      <c r="J418" s="3"/>
      <c r="K418" s="3"/>
      <c r="L418" s="54">
        <f>IFERROR(__xludf.DUMMYFUNCTION("""COMPUTED_VALUE"""),18.0)</f>
        <v>18</v>
      </c>
      <c r="M418" s="3"/>
      <c r="N418" s="3"/>
      <c r="O418" s="3"/>
      <c r="P418" s="3"/>
      <c r="Q418" s="3"/>
      <c r="R418" s="3"/>
      <c r="S418" s="3"/>
      <c r="T418" s="5"/>
      <c r="U418" s="5"/>
      <c r="V418" s="5"/>
      <c r="W418" s="5"/>
    </row>
    <row r="419" ht="15.75" customHeight="1">
      <c r="A419" s="3">
        <f>IFERROR(__xludf.DUMMYFUNCTION("""COMPUTED_VALUE"""),419.0)</f>
        <v>419</v>
      </c>
      <c r="B419" s="53">
        <f>IFERROR(__xludf.DUMMYFUNCTION("""COMPUTED_VALUE"""),45435.0)</f>
        <v>45435</v>
      </c>
      <c r="C419" s="3">
        <f>IFERROR(__xludf.DUMMYFUNCTION("""COMPUTED_VALUE"""),125.0)</f>
        <v>125</v>
      </c>
      <c r="D419" s="3" t="str">
        <f>IFERROR(__xludf.DUMMYFUNCTION("""COMPUTED_VALUE"""),"1.199")</f>
        <v>1.199</v>
      </c>
      <c r="E419" s="54">
        <f>IFERROR(__xludf.DUMMYFUNCTION("""COMPUTED_VALUE"""),31000.0)</f>
        <v>31000</v>
      </c>
      <c r="F419" s="3" t="str">
        <f>IFERROR(__xludf.DUMMYFUNCTION("""COMPUTED_VALUE"""),"Malbec")</f>
        <v>Malbec</v>
      </c>
      <c r="G419" s="3"/>
      <c r="H419" s="56">
        <f>IFERROR(__xludf.DUMMYFUNCTION("""COMPUTED_VALUE"""),3.0)</f>
        <v>3</v>
      </c>
      <c r="I419" s="57">
        <f>IFERROR(__xludf.DUMMYFUNCTION("""COMPUTED_VALUE"""),0.65)</f>
        <v>0.65</v>
      </c>
      <c r="J419" s="3"/>
      <c r="K419" s="3"/>
      <c r="L419" s="54">
        <f>IFERROR(__xludf.DUMMYFUNCTION("""COMPUTED_VALUE"""),15.0)</f>
        <v>15</v>
      </c>
      <c r="M419" s="3"/>
      <c r="N419" s="3"/>
      <c r="O419" s="3"/>
      <c r="P419" s="3"/>
      <c r="Q419" s="3"/>
      <c r="R419" s="3"/>
      <c r="S419" s="3"/>
      <c r="T419" s="5"/>
      <c r="U419" s="5"/>
      <c r="V419" s="5"/>
      <c r="W419" s="5"/>
    </row>
    <row r="420" ht="15.75" customHeight="1">
      <c r="A420" s="3">
        <f>IFERROR(__xludf.DUMMYFUNCTION("""COMPUTED_VALUE"""),420.0)</f>
        <v>420</v>
      </c>
      <c r="B420" s="53">
        <f>IFERROR(__xludf.DUMMYFUNCTION("""COMPUTED_VALUE"""),45435.0)</f>
        <v>45435</v>
      </c>
      <c r="C420" s="3">
        <f>IFERROR(__xludf.DUMMYFUNCTION("""COMPUTED_VALUE"""),108.0)</f>
        <v>108</v>
      </c>
      <c r="D420" s="3" t="str">
        <f>IFERROR(__xludf.DUMMYFUNCTION("""COMPUTED_VALUE"""),"1.145")</f>
        <v>1.145</v>
      </c>
      <c r="E420" s="54">
        <f>IFERROR(__xludf.DUMMYFUNCTION("""COMPUTED_VALUE"""),31000.0)</f>
        <v>31000</v>
      </c>
      <c r="F420" s="3" t="str">
        <f>IFERROR(__xludf.DUMMYFUNCTION("""COMPUTED_VALUE"""),"Malbec")</f>
        <v>Malbec</v>
      </c>
      <c r="G420" s="3"/>
      <c r="H420" s="56">
        <f>IFERROR(__xludf.DUMMYFUNCTION("""COMPUTED_VALUE"""),2.4)</f>
        <v>2.4</v>
      </c>
      <c r="I420" s="57">
        <f>IFERROR(__xludf.DUMMYFUNCTION("""COMPUTED_VALUE"""),0.74)</f>
        <v>0.74</v>
      </c>
      <c r="J420" s="3"/>
      <c r="K420" s="3"/>
      <c r="L420" s="54">
        <f>IFERROR(__xludf.DUMMYFUNCTION("""COMPUTED_VALUE"""),20.0)</f>
        <v>20</v>
      </c>
      <c r="M420" s="3"/>
      <c r="N420" s="3"/>
      <c r="O420" s="3"/>
      <c r="P420" s="3"/>
      <c r="Q420" s="3"/>
      <c r="R420" s="3"/>
      <c r="S420" s="3"/>
      <c r="T420" s="5"/>
      <c r="U420" s="5"/>
      <c r="V420" s="5"/>
      <c r="W420" s="5"/>
    </row>
    <row r="421" ht="15.75" customHeight="1">
      <c r="A421" s="3">
        <f>IFERROR(__xludf.DUMMYFUNCTION("""COMPUTED_VALUE"""),421.0)</f>
        <v>421</v>
      </c>
      <c r="B421" s="53">
        <f>IFERROR(__xludf.DUMMYFUNCTION("""COMPUTED_VALUE"""),45435.0)</f>
        <v>45435</v>
      </c>
      <c r="C421" s="3">
        <f>IFERROR(__xludf.DUMMYFUNCTION("""COMPUTED_VALUE"""),121.0)</f>
        <v>121</v>
      </c>
      <c r="D421" s="3" t="str">
        <f>IFERROR(__xludf.DUMMYFUNCTION("""COMPUTED_VALUE"""),"1.093")</f>
        <v>1.093</v>
      </c>
      <c r="E421" s="54">
        <f>IFERROR(__xludf.DUMMYFUNCTION("""COMPUTED_VALUE"""),85800.0)</f>
        <v>85800</v>
      </c>
      <c r="F421" s="3" t="str">
        <f>IFERROR(__xludf.DUMMYFUNCTION("""COMPUTED_VALUE"""),"Anccelotta Syrah")</f>
        <v>Anccelotta Syrah</v>
      </c>
      <c r="G421" s="3"/>
      <c r="H421" s="56">
        <f>IFERROR(__xludf.DUMMYFUNCTION("""COMPUTED_VALUE"""),2.05)</f>
        <v>2.05</v>
      </c>
      <c r="I421" s="57">
        <f>IFERROR(__xludf.DUMMYFUNCTION("""COMPUTED_VALUE"""),0.68)</f>
        <v>0.68</v>
      </c>
      <c r="J421" s="3"/>
      <c r="K421" s="3"/>
      <c r="L421" s="54">
        <f>IFERROR(__xludf.DUMMYFUNCTION("""COMPUTED_VALUE"""),34.0)</f>
        <v>34</v>
      </c>
      <c r="M421" s="3"/>
      <c r="N421" s="3"/>
      <c r="O421" s="3"/>
      <c r="P421" s="3"/>
      <c r="Q421" s="3"/>
      <c r="R421" s="3"/>
      <c r="S421" s="3"/>
      <c r="T421" s="5"/>
      <c r="U421" s="5"/>
      <c r="V421" s="5"/>
      <c r="W421" s="5"/>
    </row>
    <row r="422" ht="15.75" customHeight="1">
      <c r="A422" s="3">
        <f>IFERROR(__xludf.DUMMYFUNCTION("""COMPUTED_VALUE"""),422.0)</f>
        <v>422</v>
      </c>
      <c r="B422" s="3"/>
      <c r="C422" s="3">
        <f>IFERROR(__xludf.DUMMYFUNCTION("""COMPUTED_VALUE"""),84.0)</f>
        <v>84</v>
      </c>
      <c r="D422" s="3"/>
      <c r="E422" s="3"/>
      <c r="F422" s="3"/>
      <c r="G422" s="3"/>
      <c r="H422" s="3"/>
      <c r="I422" s="57">
        <f>IFERROR(__xludf.DUMMYFUNCTION("""COMPUTED_VALUE"""),0.64)</f>
        <v>0.64</v>
      </c>
      <c r="J422" s="3"/>
      <c r="K422" s="3"/>
      <c r="L422" s="54">
        <f>IFERROR(__xludf.DUMMYFUNCTION("""COMPUTED_VALUE"""),25.0)</f>
        <v>25</v>
      </c>
      <c r="M422" s="3"/>
      <c r="N422" s="3"/>
      <c r="O422" s="3"/>
      <c r="P422" s="3"/>
      <c r="Q422" s="3"/>
      <c r="R422" s="3"/>
      <c r="S422" s="3"/>
      <c r="T422" s="5"/>
      <c r="U422" s="5"/>
      <c r="V422" s="5"/>
      <c r="W422" s="5"/>
    </row>
    <row r="423" ht="15.75" customHeight="1">
      <c r="A423" s="3">
        <f>IFERROR(__xludf.DUMMYFUNCTION("""COMPUTED_VALUE"""),423.0)</f>
        <v>423</v>
      </c>
      <c r="B423" s="53">
        <f>IFERROR(__xludf.DUMMYFUNCTION("""COMPUTED_VALUE"""),45436.0)</f>
        <v>45436</v>
      </c>
      <c r="C423" s="3">
        <f>IFERROR(__xludf.DUMMYFUNCTION("""COMPUTED_VALUE"""),24.0)</f>
        <v>24</v>
      </c>
      <c r="D423" s="3" t="str">
        <f>IFERROR(__xludf.DUMMYFUNCTION("""COMPUTED_VALUE"""),"1.220")</f>
        <v>1.220</v>
      </c>
      <c r="E423" s="54">
        <f>IFERROR(__xludf.DUMMYFUNCTION("""COMPUTED_VALUE"""),186600.0)</f>
        <v>186600</v>
      </c>
      <c r="F423" s="3" t="str">
        <f>IFERROR(__xludf.DUMMYFUNCTION("""COMPUTED_VALUE"""),"Tinto")</f>
        <v>Tinto</v>
      </c>
      <c r="G423" s="3"/>
      <c r="H423" s="3"/>
      <c r="I423" s="57">
        <f>IFERROR(__xludf.DUMMYFUNCTION("""COMPUTED_VALUE"""),0.65)</f>
        <v>0.65</v>
      </c>
      <c r="J423" s="3"/>
      <c r="K423" s="57">
        <f>IFERROR(__xludf.DUMMYFUNCTION("""COMPUTED_VALUE"""),3.7)</f>
        <v>3.7</v>
      </c>
      <c r="L423" s="54">
        <f>IFERROR(__xludf.DUMMYFUNCTION("""COMPUTED_VALUE"""),25.0)</f>
        <v>25</v>
      </c>
      <c r="M423" s="3"/>
      <c r="N423" s="3"/>
      <c r="O423" s="3"/>
      <c r="P423" s="3"/>
      <c r="Q423" s="3"/>
      <c r="R423" s="3"/>
      <c r="S423" s="3"/>
      <c r="T423" s="5"/>
      <c r="U423" s="5"/>
      <c r="V423" s="5"/>
      <c r="W423" s="5"/>
    </row>
    <row r="424" ht="15.75" customHeight="1">
      <c r="A424" s="3">
        <f>IFERROR(__xludf.DUMMYFUNCTION("""COMPUTED_VALUE"""),424.0)</f>
        <v>424</v>
      </c>
      <c r="B424" s="53">
        <f>IFERROR(__xludf.DUMMYFUNCTION("""COMPUTED_VALUE"""),45436.0)</f>
        <v>45436</v>
      </c>
      <c r="C424" s="3">
        <f>IFERROR(__xludf.DUMMYFUNCTION("""COMPUTED_VALUE"""),118.0)</f>
        <v>118</v>
      </c>
      <c r="D424" s="3" t="str">
        <f>IFERROR(__xludf.DUMMYFUNCTION("""COMPUTED_VALUE"""),"1.132")</f>
        <v>1.132</v>
      </c>
      <c r="E424" s="54">
        <f>IFERROR(__xludf.DUMMYFUNCTION("""COMPUTED_VALUE"""),155600.0)</f>
        <v>155600</v>
      </c>
      <c r="F424" s="3" t="str">
        <f>IFERROR(__xludf.DUMMYFUNCTION("""COMPUTED_VALUE"""),"Syrah")</f>
        <v>Syrah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5"/>
      <c r="U424" s="5"/>
      <c r="V424" s="5"/>
      <c r="W424" s="5"/>
    </row>
    <row r="425" ht="15.75" customHeight="1">
      <c r="A425" s="3">
        <f>IFERROR(__xludf.DUMMYFUNCTION("""COMPUTED_VALUE"""),425.0)</f>
        <v>425</v>
      </c>
      <c r="B425" s="53">
        <f>IFERROR(__xludf.DUMMYFUNCTION("""COMPUTED_VALUE"""),45439.0)</f>
        <v>45439</v>
      </c>
      <c r="C425" s="3">
        <f>IFERROR(__xludf.DUMMYFUNCTION("""COMPUTED_VALUE"""),5.0)</f>
        <v>5</v>
      </c>
      <c r="D425" s="3" t="str">
        <f>IFERROR(__xludf.DUMMYFUNCTION("""COMPUTED_VALUE"""),"1.130")</f>
        <v>1.130</v>
      </c>
      <c r="E425" s="54">
        <f>IFERROR(__xludf.DUMMYFUNCTION("""COMPUTED_VALUE"""),30000.0)</f>
        <v>30000</v>
      </c>
      <c r="F425" s="3" t="str">
        <f>IFERROR(__xludf.DUMMYFUNCTION("""COMPUTED_VALUE"""),"Cabernet Sauvignon Got")</f>
        <v>Cabernet Sauvignon Got</v>
      </c>
      <c r="G425" s="3"/>
      <c r="H425" s="3"/>
      <c r="I425" s="57">
        <f>IFERROR(__xludf.DUMMYFUNCTION("""COMPUTED_VALUE"""),0.57)</f>
        <v>0.57</v>
      </c>
      <c r="J425" s="3"/>
      <c r="K425" s="57">
        <f>IFERROR(__xludf.DUMMYFUNCTION("""COMPUTED_VALUE"""),3.7)</f>
        <v>3.7</v>
      </c>
      <c r="L425" s="54">
        <f>IFERROR(__xludf.DUMMYFUNCTION("""COMPUTED_VALUE"""),25.0)</f>
        <v>25</v>
      </c>
      <c r="M425" s="3"/>
      <c r="N425" s="3"/>
      <c r="O425" s="3"/>
      <c r="P425" s="3"/>
      <c r="Q425" s="3"/>
      <c r="R425" s="3"/>
      <c r="S425" s="3"/>
      <c r="T425" s="5"/>
      <c r="U425" s="5"/>
      <c r="V425" s="5"/>
      <c r="W425" s="5"/>
    </row>
    <row r="426" ht="15.75" customHeight="1">
      <c r="A426" s="3">
        <f>IFERROR(__xludf.DUMMYFUNCTION("""COMPUTED_VALUE"""),426.0)</f>
        <v>426</v>
      </c>
      <c r="B426" s="53">
        <f>IFERROR(__xludf.DUMMYFUNCTION("""COMPUTED_VALUE"""),45442.0)</f>
        <v>45442</v>
      </c>
      <c r="C426" s="3">
        <f>IFERROR(__xludf.DUMMYFUNCTION("""COMPUTED_VALUE"""),121.0)</f>
        <v>121</v>
      </c>
      <c r="D426" s="3" t="str">
        <f>IFERROR(__xludf.DUMMYFUNCTION("""COMPUTED_VALUE"""),"1.093")</f>
        <v>1.093</v>
      </c>
      <c r="E426" s="54">
        <f>IFERROR(__xludf.DUMMYFUNCTION("""COMPUTED_VALUE"""),85800.0)</f>
        <v>85800</v>
      </c>
      <c r="F426" s="3" t="str">
        <f>IFERROR(__xludf.DUMMYFUNCTION("""COMPUTED_VALUE"""),"Anccelotta Syrah")</f>
        <v>Anccelotta Syrah</v>
      </c>
      <c r="G426" s="3"/>
      <c r="H426" s="3"/>
      <c r="I426" s="57">
        <f>IFERROR(__xludf.DUMMYFUNCTION("""COMPUTED_VALUE"""),0.47)</f>
        <v>0.47</v>
      </c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5"/>
      <c r="U426" s="5"/>
      <c r="V426" s="5"/>
      <c r="W426" s="5"/>
    </row>
    <row r="427" ht="15.75" customHeight="1">
      <c r="A427" s="3">
        <f>IFERROR(__xludf.DUMMYFUNCTION("""COMPUTED_VALUE"""),427.0)</f>
        <v>427</v>
      </c>
      <c r="B427" s="53">
        <f>IFERROR(__xludf.DUMMYFUNCTION("""COMPUTED_VALUE"""),45442.0)</f>
        <v>45442</v>
      </c>
      <c r="C427" s="3">
        <f>IFERROR(__xludf.DUMMYFUNCTION("""COMPUTED_VALUE"""),90.0)</f>
        <v>90</v>
      </c>
      <c r="D427" s="3" t="str">
        <f>IFERROR(__xludf.DUMMYFUNCTION("""COMPUTED_VALUE"""),"1.228")</f>
        <v>1.228</v>
      </c>
      <c r="E427" s="54">
        <f>IFERROR(__xludf.DUMMYFUNCTION("""COMPUTED_VALUE"""),97500.0)</f>
        <v>97500</v>
      </c>
      <c r="F427" s="3" t="str">
        <f>IFERROR(__xludf.DUMMYFUNCTION("""COMPUTED_VALUE"""),"Malbec")</f>
        <v>Malbec</v>
      </c>
      <c r="G427" s="55">
        <f>IFERROR(__xludf.DUMMYFUNCTION("""COMPUTED_VALUE"""),13.3)</f>
        <v>13.3</v>
      </c>
      <c r="H427" s="56">
        <f>IFERROR(__xludf.DUMMYFUNCTION("""COMPUTED_VALUE"""),2.0)</f>
        <v>2</v>
      </c>
      <c r="I427" s="57">
        <f>IFERROR(__xludf.DUMMYFUNCTION("""COMPUTED_VALUE"""),0.68)</f>
        <v>0.68</v>
      </c>
      <c r="J427" s="57">
        <f>IFERROR(__xludf.DUMMYFUNCTION("""COMPUTED_VALUE"""),5.2)</f>
        <v>5.2</v>
      </c>
      <c r="K427" s="57">
        <f>IFERROR(__xludf.DUMMYFUNCTION("""COMPUTED_VALUE"""),3.69)</f>
        <v>3.69</v>
      </c>
      <c r="L427" s="54">
        <f>IFERROR(__xludf.DUMMYFUNCTION("""COMPUTED_VALUE"""),43.0)</f>
        <v>43</v>
      </c>
      <c r="M427" s="3">
        <f>IFERROR(__xludf.DUMMYFUNCTION("""COMPUTED_VALUE"""),121.0)</f>
        <v>121</v>
      </c>
      <c r="N427" s="3"/>
      <c r="O427" s="3"/>
      <c r="P427" s="3"/>
      <c r="Q427" s="3"/>
      <c r="R427" s="3"/>
      <c r="S427" s="3"/>
      <c r="T427" s="5"/>
      <c r="U427" s="5"/>
      <c r="V427" s="5"/>
      <c r="W427" s="5"/>
    </row>
    <row r="428" ht="15.75" customHeight="1">
      <c r="A428" s="3">
        <f>IFERROR(__xludf.DUMMYFUNCTION("""COMPUTED_VALUE"""),428.0)</f>
        <v>428</v>
      </c>
      <c r="B428" s="53">
        <f>IFERROR(__xludf.DUMMYFUNCTION("""COMPUTED_VALUE"""),45442.0)</f>
        <v>45442</v>
      </c>
      <c r="C428" s="3">
        <f>IFERROR(__xludf.DUMMYFUNCTION("""COMPUTED_VALUE"""),31.0)</f>
        <v>31</v>
      </c>
      <c r="D428" s="3" t="str">
        <f>IFERROR(__xludf.DUMMYFUNCTION("""COMPUTED_VALUE"""),"1.230")</f>
        <v>1.230</v>
      </c>
      <c r="E428" s="54">
        <f>IFERROR(__xludf.DUMMYFUNCTION("""COMPUTED_VALUE"""),25700.0)</f>
        <v>25700</v>
      </c>
      <c r="F428" s="3" t="str">
        <f>IFERROR(__xludf.DUMMYFUNCTION("""COMPUTED_VALUE"""),"Malbec")</f>
        <v>Malbec</v>
      </c>
      <c r="G428" s="55">
        <f>IFERROR(__xludf.DUMMYFUNCTION("""COMPUTED_VALUE"""),13.2)</f>
        <v>13.2</v>
      </c>
      <c r="H428" s="56">
        <f>IFERROR(__xludf.DUMMYFUNCTION("""COMPUTED_VALUE"""),2.0)</f>
        <v>2</v>
      </c>
      <c r="I428" s="57">
        <f>IFERROR(__xludf.DUMMYFUNCTION("""COMPUTED_VALUE"""),0.68)</f>
        <v>0.68</v>
      </c>
      <c r="J428" s="57">
        <f>IFERROR(__xludf.DUMMYFUNCTION("""COMPUTED_VALUE"""),5.3)</f>
        <v>5.3</v>
      </c>
      <c r="K428" s="57">
        <f>IFERROR(__xludf.DUMMYFUNCTION("""COMPUTED_VALUE"""),3.7)</f>
        <v>3.7</v>
      </c>
      <c r="L428" s="54">
        <f>IFERROR(__xludf.DUMMYFUNCTION("""COMPUTED_VALUE"""),45.0)</f>
        <v>45</v>
      </c>
      <c r="M428" s="3">
        <f>IFERROR(__xludf.DUMMYFUNCTION("""COMPUTED_VALUE"""),130.0)</f>
        <v>130</v>
      </c>
      <c r="N428" s="3"/>
      <c r="O428" s="3"/>
      <c r="P428" s="3"/>
      <c r="Q428" s="3"/>
      <c r="R428" s="3"/>
      <c r="S428" s="3"/>
      <c r="T428" s="5"/>
      <c r="U428" s="5"/>
      <c r="V428" s="5"/>
      <c r="W428" s="5"/>
    </row>
    <row r="429" ht="15.75" customHeight="1">
      <c r="A429" s="3">
        <f>IFERROR(__xludf.DUMMYFUNCTION("""COMPUTED_VALUE"""),429.0)</f>
        <v>429</v>
      </c>
      <c r="B429" s="53">
        <f>IFERROR(__xludf.DUMMYFUNCTION("""COMPUTED_VALUE"""),45442.0)</f>
        <v>45442</v>
      </c>
      <c r="C429" s="3">
        <f>IFERROR(__xludf.DUMMYFUNCTION("""COMPUTED_VALUE"""),84.0)</f>
        <v>84</v>
      </c>
      <c r="D429" s="3" t="str">
        <f>IFERROR(__xludf.DUMMYFUNCTION("""COMPUTED_VALUE"""),"#REF!")</f>
        <v>#REF!</v>
      </c>
      <c r="E429" s="3"/>
      <c r="F429" s="3" t="str">
        <f>IFERROR(__xludf.DUMMYFUNCTION("""COMPUTED_VALUE"""),"Recarga")</f>
        <v>Recarga</v>
      </c>
      <c r="G429" s="55">
        <f>IFERROR(__xludf.DUMMYFUNCTION("""COMPUTED_VALUE"""),13.5)</f>
        <v>13.5</v>
      </c>
      <c r="H429" s="56">
        <f>IFERROR(__xludf.DUMMYFUNCTION("""COMPUTED_VALUE"""),4.0)</f>
        <v>4</v>
      </c>
      <c r="I429" s="57">
        <f>IFERROR(__xludf.DUMMYFUNCTION("""COMPUTED_VALUE"""),0.64)</f>
        <v>0.64</v>
      </c>
      <c r="J429" s="57">
        <f>IFERROR(__xludf.DUMMYFUNCTION("""COMPUTED_VALUE"""),4.2)</f>
        <v>4.2</v>
      </c>
      <c r="K429" s="57">
        <f>IFERROR(__xludf.DUMMYFUNCTION("""COMPUTED_VALUE"""),3.83)</f>
        <v>3.83</v>
      </c>
      <c r="L429" s="54">
        <f>IFERROR(__xludf.DUMMYFUNCTION("""COMPUTED_VALUE"""),12.0)</f>
        <v>12</v>
      </c>
      <c r="M429" s="3">
        <f>IFERROR(__xludf.DUMMYFUNCTION("""COMPUTED_VALUE"""),125.0)</f>
        <v>125</v>
      </c>
      <c r="N429" s="3"/>
      <c r="O429" s="3"/>
      <c r="P429" s="3"/>
      <c r="Q429" s="3"/>
      <c r="R429" s="3"/>
      <c r="S429" s="3"/>
      <c r="T429" s="5"/>
      <c r="U429" s="5"/>
      <c r="V429" s="5"/>
      <c r="W429" s="5"/>
    </row>
    <row r="430" ht="15.75" customHeight="1">
      <c r="A430" s="3">
        <f>IFERROR(__xludf.DUMMYFUNCTION("""COMPUTED_VALUE"""),430.0)</f>
        <v>430</v>
      </c>
      <c r="B430" s="53">
        <f>IFERROR(__xludf.DUMMYFUNCTION("""COMPUTED_VALUE"""),45442.0)</f>
        <v>45442</v>
      </c>
      <c r="C430" s="3">
        <f>IFERROR(__xludf.DUMMYFUNCTION("""COMPUTED_VALUE"""),25.0)</f>
        <v>25</v>
      </c>
      <c r="D430" s="3"/>
      <c r="E430" s="54">
        <f>IFERROR(__xludf.DUMMYFUNCTION("""COMPUTED_VALUE"""),194300.0)</f>
        <v>194300</v>
      </c>
      <c r="F430" s="3" t="str">
        <f>IFERROR(__xludf.DUMMYFUNCTION("""COMPUTED_VALUE"""),"Syrah-Bonarda ")</f>
        <v>Syrah-Bonarda </v>
      </c>
      <c r="G430" s="55">
        <f>IFERROR(__xludf.DUMMYFUNCTION("""COMPUTED_VALUE"""),13.5)</f>
        <v>13.5</v>
      </c>
      <c r="H430" s="56">
        <f>IFERROR(__xludf.DUMMYFUNCTION("""COMPUTED_VALUE"""),2.92)</f>
        <v>2.92</v>
      </c>
      <c r="I430" s="57">
        <f>IFERROR(__xludf.DUMMYFUNCTION("""COMPUTED_VALUE"""),0.65)</f>
        <v>0.65</v>
      </c>
      <c r="J430" s="57">
        <f>IFERROR(__xludf.DUMMYFUNCTION("""COMPUTED_VALUE"""),4.89)</f>
        <v>4.89</v>
      </c>
      <c r="K430" s="57">
        <f>IFERROR(__xludf.DUMMYFUNCTION("""COMPUTED_VALUE"""),3.66)</f>
        <v>3.66</v>
      </c>
      <c r="L430" s="54">
        <f>IFERROR(__xludf.DUMMYFUNCTION("""COMPUTED_VALUE"""),38.0)</f>
        <v>38</v>
      </c>
      <c r="M430" s="3">
        <f>IFERROR(__xludf.DUMMYFUNCTION("""COMPUTED_VALUE"""),102.0)</f>
        <v>102</v>
      </c>
      <c r="N430" s="3"/>
      <c r="O430" s="3"/>
      <c r="P430" s="3"/>
      <c r="Q430" s="3"/>
      <c r="R430" s="3"/>
      <c r="S430" s="3"/>
      <c r="T430" s="5"/>
      <c r="U430" s="5"/>
      <c r="V430" s="5"/>
      <c r="W430" s="5"/>
    </row>
    <row r="431" ht="15.75" customHeight="1">
      <c r="A431" s="3">
        <f>IFERROR(__xludf.DUMMYFUNCTION("""COMPUTED_VALUE"""),431.0)</f>
        <v>431</v>
      </c>
      <c r="B431" s="53">
        <f>IFERROR(__xludf.DUMMYFUNCTION("""COMPUTED_VALUE"""),45442.0)</f>
        <v>45442</v>
      </c>
      <c r="C431" s="3">
        <f>IFERROR(__xludf.DUMMYFUNCTION("""COMPUTED_VALUE"""),103.0)</f>
        <v>103</v>
      </c>
      <c r="D431" s="3" t="str">
        <f>IFERROR(__xludf.DUMMYFUNCTION("""COMPUTED_VALUE"""),"1.104")</f>
        <v>1.104</v>
      </c>
      <c r="E431" s="54">
        <f>IFERROR(__xludf.DUMMYFUNCTION("""COMPUTED_VALUE"""),31000.0)</f>
        <v>31000</v>
      </c>
      <c r="F431" s="3" t="str">
        <f>IFERROR(__xludf.DUMMYFUNCTION("""COMPUTED_VALUE"""),"Malbec Gota")</f>
        <v>Malbec Gota</v>
      </c>
      <c r="G431" s="3"/>
      <c r="H431" s="56">
        <f>IFERROR(__xludf.DUMMYFUNCTION("""COMPUTED_VALUE"""),2.0)</f>
        <v>2</v>
      </c>
      <c r="I431" s="57">
        <f>IFERROR(__xludf.DUMMYFUNCTION("""COMPUTED_VALUE"""),0.59)</f>
        <v>0.59</v>
      </c>
      <c r="J431" s="3"/>
      <c r="K431" s="57">
        <f>IFERROR(__xludf.DUMMYFUNCTION("""COMPUTED_VALUE"""),3.76)</f>
        <v>3.76</v>
      </c>
      <c r="L431" s="54">
        <f>IFERROR(__xludf.DUMMYFUNCTION("""COMPUTED_VALUE"""),36.0)</f>
        <v>36</v>
      </c>
      <c r="M431" s="3">
        <f>IFERROR(__xludf.DUMMYFUNCTION("""COMPUTED_VALUE"""),140.0)</f>
        <v>140</v>
      </c>
      <c r="N431" s="3"/>
      <c r="O431" s="3"/>
      <c r="P431" s="3"/>
      <c r="Q431" s="3"/>
      <c r="R431" s="3"/>
      <c r="S431" s="3"/>
      <c r="T431" s="5"/>
      <c r="U431" s="5"/>
      <c r="V431" s="5"/>
      <c r="W431" s="5"/>
    </row>
    <row r="432" ht="15.75" customHeight="1">
      <c r="A432" s="3">
        <f>IFERROR(__xludf.DUMMYFUNCTION("""COMPUTED_VALUE"""),432.0)</f>
        <v>432</v>
      </c>
      <c r="B432" s="53">
        <f>IFERROR(__xludf.DUMMYFUNCTION("""COMPUTED_VALUE"""),45442.0)</f>
        <v>45442</v>
      </c>
      <c r="C432" s="3">
        <f>IFERROR(__xludf.DUMMYFUNCTION("""COMPUTED_VALUE"""),107.0)</f>
        <v>107</v>
      </c>
      <c r="D432" s="3"/>
      <c r="E432" s="3"/>
      <c r="F432" s="3" t="str">
        <f>IFERROR(__xludf.DUMMYFUNCTION("""COMPUTED_VALUE"""),"Malbec")</f>
        <v>Malbec</v>
      </c>
      <c r="G432" s="3"/>
      <c r="H432" s="56">
        <f>IFERROR(__xludf.DUMMYFUNCTION("""COMPUTED_VALUE"""),2.0)</f>
        <v>2</v>
      </c>
      <c r="I432" s="57">
        <f>IFERROR(__xludf.DUMMYFUNCTION("""COMPUTED_VALUE"""),0.59)</f>
        <v>0.59</v>
      </c>
      <c r="J432" s="3"/>
      <c r="K432" s="57">
        <f>IFERROR(__xludf.DUMMYFUNCTION("""COMPUTED_VALUE"""),3.76)</f>
        <v>3.76</v>
      </c>
      <c r="L432" s="54">
        <f>IFERROR(__xludf.DUMMYFUNCTION("""COMPUTED_VALUE"""),36.0)</f>
        <v>36</v>
      </c>
      <c r="M432" s="3">
        <f>IFERROR(__xludf.DUMMYFUNCTION("""COMPUTED_VALUE"""),140.0)</f>
        <v>140</v>
      </c>
      <c r="N432" s="3"/>
      <c r="O432" s="3"/>
      <c r="P432" s="3"/>
      <c r="Q432" s="3"/>
      <c r="R432" s="3"/>
      <c r="S432" s="3"/>
      <c r="T432" s="5"/>
      <c r="U432" s="5"/>
      <c r="V432" s="5"/>
      <c r="W432" s="5"/>
    </row>
    <row r="433" ht="15.75" customHeight="1">
      <c r="A433" s="3">
        <f>IFERROR(__xludf.DUMMYFUNCTION("""COMPUTED_VALUE"""),433.0)</f>
        <v>433</v>
      </c>
      <c r="B433" s="53">
        <f>IFERROR(__xludf.DUMMYFUNCTION("""COMPUTED_VALUE"""),45442.0)</f>
        <v>45442</v>
      </c>
      <c r="C433" s="3">
        <f>IFERROR(__xludf.DUMMYFUNCTION("""COMPUTED_VALUE"""),108.0)</f>
        <v>108</v>
      </c>
      <c r="D433" s="3" t="str">
        <f>IFERROR(__xludf.DUMMYFUNCTION("""COMPUTED_VALUE"""),"1.145")</f>
        <v>1.145</v>
      </c>
      <c r="E433" s="54">
        <f>IFERROR(__xludf.DUMMYFUNCTION("""COMPUTED_VALUE"""),31000.0)</f>
        <v>31000</v>
      </c>
      <c r="F433" s="3" t="str">
        <f>IFERROR(__xludf.DUMMYFUNCTION("""COMPUTED_VALUE"""),"Malbec")</f>
        <v>Malbec</v>
      </c>
      <c r="G433" s="3"/>
      <c r="H433" s="56">
        <f>IFERROR(__xludf.DUMMYFUNCTION("""COMPUTED_VALUE"""),2.0)</f>
        <v>2</v>
      </c>
      <c r="I433" s="57">
        <f>IFERROR(__xludf.DUMMYFUNCTION("""COMPUTED_VALUE"""),0.59)</f>
        <v>0.59</v>
      </c>
      <c r="J433" s="3"/>
      <c r="K433" s="57">
        <f>IFERROR(__xludf.DUMMYFUNCTION("""COMPUTED_VALUE"""),3.76)</f>
        <v>3.76</v>
      </c>
      <c r="L433" s="54">
        <f>IFERROR(__xludf.DUMMYFUNCTION("""COMPUTED_VALUE"""),36.0)</f>
        <v>36</v>
      </c>
      <c r="M433" s="3">
        <f>IFERROR(__xludf.DUMMYFUNCTION("""COMPUTED_VALUE"""),140.0)</f>
        <v>140</v>
      </c>
      <c r="N433" s="3"/>
      <c r="O433" s="3"/>
      <c r="P433" s="3"/>
      <c r="Q433" s="3"/>
      <c r="R433" s="3"/>
      <c r="S433" s="3"/>
      <c r="T433" s="5"/>
      <c r="U433" s="5"/>
      <c r="V433" s="5"/>
      <c r="W433" s="5"/>
    </row>
    <row r="434" ht="15.75" customHeight="1">
      <c r="A434" s="3">
        <f>IFERROR(__xludf.DUMMYFUNCTION("""COMPUTED_VALUE"""),434.0)</f>
        <v>434</v>
      </c>
      <c r="B434" s="53">
        <f>IFERROR(__xludf.DUMMYFUNCTION("""COMPUTED_VALUE"""),45443.0)</f>
        <v>45443</v>
      </c>
      <c r="C434" s="3">
        <f>IFERROR(__xludf.DUMMYFUNCTION("""COMPUTED_VALUE"""),95.0)</f>
        <v>95</v>
      </c>
      <c r="D434" s="3" t="str">
        <f>IFERROR(__xludf.DUMMYFUNCTION("""COMPUTED_VALUE"""),"1.193")</f>
        <v>1.193</v>
      </c>
      <c r="E434" s="54">
        <f>IFERROR(__xludf.DUMMYFUNCTION("""COMPUTED_VALUE"""),77100.0)</f>
        <v>77100</v>
      </c>
      <c r="F434" s="3" t="str">
        <f>IFERROR(__xludf.DUMMYFUNCTION("""COMPUTED_VALUE"""),"Tinto Recarga")</f>
        <v>Tinto Recarga</v>
      </c>
      <c r="G434" s="3"/>
      <c r="H434" s="3"/>
      <c r="I434" s="57">
        <f>IFERROR(__xludf.DUMMYFUNCTION("""COMPUTED_VALUE"""),0.57)</f>
        <v>0.57</v>
      </c>
      <c r="J434" s="57">
        <f>IFERROR(__xludf.DUMMYFUNCTION("""COMPUTED_VALUE"""),4.2)</f>
        <v>4.2</v>
      </c>
      <c r="K434" s="57">
        <f>IFERROR(__xludf.DUMMYFUNCTION("""COMPUTED_VALUE"""),3.89)</f>
        <v>3.89</v>
      </c>
      <c r="L434" s="54">
        <f>IFERROR(__xludf.DUMMYFUNCTION("""COMPUTED_VALUE"""),20.0)</f>
        <v>20</v>
      </c>
      <c r="M434" s="3">
        <f>IFERROR(__xludf.DUMMYFUNCTION("""COMPUTED_VALUE"""),90.0)</f>
        <v>90</v>
      </c>
      <c r="N434" s="3"/>
      <c r="O434" s="3"/>
      <c r="P434" s="3"/>
      <c r="Q434" s="3"/>
      <c r="R434" s="3"/>
      <c r="S434" s="3"/>
      <c r="T434" s="5"/>
      <c r="U434" s="5"/>
      <c r="V434" s="5"/>
      <c r="W434" s="5"/>
    </row>
    <row r="435" ht="15.75" customHeight="1">
      <c r="A435" s="3">
        <f>IFERROR(__xludf.DUMMYFUNCTION("""COMPUTED_VALUE"""),435.0)</f>
        <v>435</v>
      </c>
      <c r="B435" s="53">
        <f>IFERROR(__xludf.DUMMYFUNCTION("""COMPUTED_VALUE"""),45443.0)</f>
        <v>45443</v>
      </c>
      <c r="C435" s="3">
        <f>IFERROR(__xludf.DUMMYFUNCTION("""COMPUTED_VALUE"""),96.0)</f>
        <v>96</v>
      </c>
      <c r="D435" s="3" t="str">
        <f>IFERROR(__xludf.DUMMYFUNCTION("""COMPUTED_VALUE"""),"1.192")</f>
        <v>1.192</v>
      </c>
      <c r="E435" s="54">
        <f>IFERROR(__xludf.DUMMYFUNCTION("""COMPUTED_VALUE"""),85600.0)</f>
        <v>85600</v>
      </c>
      <c r="F435" s="3" t="str">
        <f>IFERROR(__xludf.DUMMYFUNCTION("""COMPUTED_VALUE"""),"Tinto Recarga")</f>
        <v>Tinto Recarga</v>
      </c>
      <c r="G435" s="3"/>
      <c r="H435" s="3"/>
      <c r="I435" s="57">
        <f>IFERROR(__xludf.DUMMYFUNCTION("""COMPUTED_VALUE"""),0.57)</f>
        <v>0.57</v>
      </c>
      <c r="J435" s="3"/>
      <c r="K435" s="57">
        <f>IFERROR(__xludf.DUMMYFUNCTION("""COMPUTED_VALUE"""),3.89)</f>
        <v>3.89</v>
      </c>
      <c r="L435" s="54">
        <f>IFERROR(__xludf.DUMMYFUNCTION("""COMPUTED_VALUE"""),20.0)</f>
        <v>20</v>
      </c>
      <c r="M435" s="3">
        <f>IFERROR(__xludf.DUMMYFUNCTION("""COMPUTED_VALUE"""),90.0)</f>
        <v>90</v>
      </c>
      <c r="N435" s="3"/>
      <c r="O435" s="3"/>
      <c r="P435" s="3"/>
      <c r="Q435" s="3"/>
      <c r="R435" s="3"/>
      <c r="S435" s="3"/>
      <c r="T435" s="5"/>
      <c r="U435" s="5"/>
      <c r="V435" s="5"/>
      <c r="W435" s="5"/>
    </row>
    <row r="436" ht="15.75" customHeight="1">
      <c r="A436" s="3">
        <f>IFERROR(__xludf.DUMMYFUNCTION("""COMPUTED_VALUE"""),436.0)</f>
        <v>436</v>
      </c>
      <c r="B436" s="53">
        <f>IFERROR(__xludf.DUMMYFUNCTION("""COMPUTED_VALUE"""),45443.0)</f>
        <v>45443</v>
      </c>
      <c r="C436" s="3">
        <f>IFERROR(__xludf.DUMMYFUNCTION("""COMPUTED_VALUE"""),91.0)</f>
        <v>91</v>
      </c>
      <c r="D436" s="3" t="str">
        <f>IFERROR(__xludf.DUMMYFUNCTION("""COMPUTED_VALUE"""),"1.196")</f>
        <v>1.196</v>
      </c>
      <c r="E436" s="54">
        <f>IFERROR(__xludf.DUMMYFUNCTION("""COMPUTED_VALUE"""),86000.0)</f>
        <v>86000</v>
      </c>
      <c r="F436" s="3" t="str">
        <f>IFERROR(__xludf.DUMMYFUNCTION("""COMPUTED_VALUE"""),"Criollo")</f>
        <v>Criollo</v>
      </c>
      <c r="G436" s="3"/>
      <c r="H436" s="3"/>
      <c r="I436" s="57">
        <f>IFERROR(__xludf.DUMMYFUNCTION("""COMPUTED_VALUE"""),0.57)</f>
        <v>0.57</v>
      </c>
      <c r="J436" s="3"/>
      <c r="K436" s="57">
        <f>IFERROR(__xludf.DUMMYFUNCTION("""COMPUTED_VALUE"""),3.89)</f>
        <v>3.89</v>
      </c>
      <c r="L436" s="54">
        <f>IFERROR(__xludf.DUMMYFUNCTION("""COMPUTED_VALUE"""),20.0)</f>
        <v>20</v>
      </c>
      <c r="M436" s="3">
        <f>IFERROR(__xludf.DUMMYFUNCTION("""COMPUTED_VALUE"""),90.0)</f>
        <v>90</v>
      </c>
      <c r="N436" s="3"/>
      <c r="O436" s="3"/>
      <c r="P436" s="3"/>
      <c r="Q436" s="3"/>
      <c r="R436" s="3"/>
      <c r="S436" s="3"/>
      <c r="T436" s="5"/>
      <c r="U436" s="5"/>
      <c r="V436" s="5"/>
      <c r="W436" s="5" t="str">
        <f>IFERROR(__xludf.DUMMYFUNCTION("""COMPUTED_VALUE"""),"van al corte 45000 litros")</f>
        <v>van al corte 45000 litros</v>
      </c>
    </row>
    <row r="437" ht="15.75" customHeight="1">
      <c r="A437" s="3">
        <f>IFERROR(__xludf.DUMMYFUNCTION("""COMPUTED_VALUE"""),437.0)</f>
        <v>437</v>
      </c>
      <c r="B437" s="53">
        <f>IFERROR(__xludf.DUMMYFUNCTION("""COMPUTED_VALUE"""),45447.0)</f>
        <v>45447</v>
      </c>
      <c r="C437" s="3">
        <f>IFERROR(__xludf.DUMMYFUNCTION("""COMPUTED_VALUE"""),44.0)</f>
        <v>44</v>
      </c>
      <c r="D437" s="3" t="str">
        <f>IFERROR(__xludf.DUMMYFUNCTION("""COMPUTED_VALUE"""),"#REF!")</f>
        <v>#REF!</v>
      </c>
      <c r="E437" s="54">
        <f>IFERROR(__xludf.DUMMYFUNCTION("""COMPUTED_VALUE"""),11500.0)</f>
        <v>11500</v>
      </c>
      <c r="F437" s="3" t="str">
        <f>IFERROR(__xludf.DUMMYFUNCTION("""COMPUTED_VALUE"""),"chardonnay")</f>
        <v>chardonnay</v>
      </c>
      <c r="G437" s="55">
        <f>IFERROR(__xludf.DUMMYFUNCTION("""COMPUTED_VALUE"""),11.4)</f>
        <v>11.4</v>
      </c>
      <c r="H437" s="56">
        <f>IFERROR(__xludf.DUMMYFUNCTION("""COMPUTED_VALUE"""),2.0)</f>
        <v>2</v>
      </c>
      <c r="I437" s="57">
        <f>IFERROR(__xludf.DUMMYFUNCTION("""COMPUTED_VALUE"""),0.4)</f>
        <v>0.4</v>
      </c>
      <c r="J437" s="57">
        <f>IFERROR(__xludf.DUMMYFUNCTION("""COMPUTED_VALUE"""),7.8)</f>
        <v>7.8</v>
      </c>
      <c r="K437" s="57">
        <f>IFERROR(__xludf.DUMMYFUNCTION("""COMPUTED_VALUE"""),3.3)</f>
        <v>3.3</v>
      </c>
      <c r="L437" s="54">
        <f>IFERROR(__xludf.DUMMYFUNCTION("""COMPUTED_VALUE"""),24.0)</f>
        <v>24</v>
      </c>
      <c r="M437" s="3">
        <f>IFERROR(__xludf.DUMMYFUNCTION("""COMPUTED_VALUE"""),160.0)</f>
        <v>160</v>
      </c>
      <c r="N437" s="3">
        <f>IFERROR(__xludf.DUMMYFUNCTION("""COMPUTED_VALUE"""),20.1)</f>
        <v>20.1</v>
      </c>
      <c r="O437" s="3"/>
      <c r="P437" s="3"/>
      <c r="Q437" s="3"/>
      <c r="R437" s="3"/>
      <c r="S437" s="3"/>
      <c r="T437" s="5"/>
      <c r="U437" s="5"/>
      <c r="V437" s="5"/>
      <c r="W437" s="5"/>
    </row>
    <row r="438" ht="15.75" customHeight="1">
      <c r="A438" s="3">
        <f>IFERROR(__xludf.DUMMYFUNCTION("""COMPUTED_VALUE"""),438.0)</f>
        <v>438</v>
      </c>
      <c r="B438" s="53">
        <f>IFERROR(__xludf.DUMMYFUNCTION("""COMPUTED_VALUE"""),-619270.0)</f>
        <v>-619270</v>
      </c>
      <c r="C438" s="3">
        <f>IFERROR(__xludf.DUMMYFUNCTION("""COMPUTED_VALUE"""),47.0)</f>
        <v>47</v>
      </c>
      <c r="D438" s="3" t="str">
        <f>IFERROR(__xludf.DUMMYFUNCTION("""COMPUTED_VALUE"""),"#REF!")</f>
        <v>#REF!</v>
      </c>
      <c r="E438" s="54">
        <f>IFERROR(__xludf.DUMMYFUNCTION("""COMPUTED_VALUE"""),13676.0)</f>
        <v>13676</v>
      </c>
      <c r="F438" s="3" t="str">
        <f>IFERROR(__xludf.DUMMYFUNCTION("""COMPUTED_VALUE"""),"Chardonnay")</f>
        <v>Chardonnay</v>
      </c>
      <c r="G438" s="55">
        <f>IFERROR(__xludf.DUMMYFUNCTION("""COMPUTED_VALUE"""),12.7)</f>
        <v>12.7</v>
      </c>
      <c r="H438" s="56">
        <f>IFERROR(__xludf.DUMMYFUNCTION("""COMPUTED_VALUE"""),2.0)</f>
        <v>2</v>
      </c>
      <c r="I438" s="57">
        <f>IFERROR(__xludf.DUMMYFUNCTION("""COMPUTED_VALUE"""),0.38)</f>
        <v>0.38</v>
      </c>
      <c r="J438" s="57">
        <f>IFERROR(__xludf.DUMMYFUNCTION("""COMPUTED_VALUE"""),6.12)</f>
        <v>6.12</v>
      </c>
      <c r="K438" s="57">
        <f>IFERROR(__xludf.DUMMYFUNCTION("""COMPUTED_VALUE"""),3.5)</f>
        <v>3.5</v>
      </c>
      <c r="L438" s="54">
        <f>IFERROR(__xludf.DUMMYFUNCTION("""COMPUTED_VALUE"""),40.0)</f>
        <v>40</v>
      </c>
      <c r="M438" s="3">
        <f>IFERROR(__xludf.DUMMYFUNCTION("""COMPUTED_VALUE"""),115.0)</f>
        <v>115</v>
      </c>
      <c r="N438" s="3">
        <f>IFERROR(__xludf.DUMMYFUNCTION("""COMPUTED_VALUE"""),24.0)</f>
        <v>24</v>
      </c>
      <c r="O438" s="3"/>
      <c r="P438" s="3"/>
      <c r="Q438" s="3"/>
      <c r="R438" s="3"/>
      <c r="S438" s="3"/>
      <c r="T438" s="5"/>
      <c r="U438" s="5"/>
      <c r="V438" s="5"/>
      <c r="W438" s="5"/>
    </row>
    <row r="439" ht="15.75" customHeight="1">
      <c r="A439" s="3">
        <f>IFERROR(__xludf.DUMMYFUNCTION("""COMPUTED_VALUE"""),439.0)</f>
        <v>439</v>
      </c>
      <c r="B439" s="53">
        <f>IFERROR(__xludf.DUMMYFUNCTION("""COMPUTED_VALUE"""),45447.0)</f>
        <v>45447</v>
      </c>
      <c r="C439" s="3">
        <f>IFERROR(__xludf.DUMMYFUNCTION("""COMPUTED_VALUE"""),26.0)</f>
        <v>26</v>
      </c>
      <c r="D439" s="3" t="str">
        <f>IFERROR(__xludf.DUMMYFUNCTION("""COMPUTED_VALUE"""),"#REF!")</f>
        <v>#REF!</v>
      </c>
      <c r="E439" s="54">
        <f>IFERROR(__xludf.DUMMYFUNCTION("""COMPUTED_VALUE"""),207600.0)</f>
        <v>207600</v>
      </c>
      <c r="F439" s="3" t="str">
        <f>IFERROR(__xludf.DUMMYFUNCTION("""COMPUTED_VALUE"""),"Tinto Recarga")</f>
        <v>Tinto Recarga</v>
      </c>
      <c r="G439" s="55">
        <f>IFERROR(__xludf.DUMMYFUNCTION("""COMPUTED_VALUE"""),13.5)</f>
        <v>13.5</v>
      </c>
      <c r="H439" s="56">
        <f>IFERROR(__xludf.DUMMYFUNCTION("""COMPUTED_VALUE"""),3.15)</f>
        <v>3.15</v>
      </c>
      <c r="I439" s="57">
        <f>IFERROR(__xludf.DUMMYFUNCTION("""COMPUTED_VALUE"""),0.62)</f>
        <v>0.62</v>
      </c>
      <c r="J439" s="57">
        <f>IFERROR(__xludf.DUMMYFUNCTION("""COMPUTED_VALUE"""),4.2)</f>
        <v>4.2</v>
      </c>
      <c r="K439" s="57">
        <f>IFERROR(__xludf.DUMMYFUNCTION("""COMPUTED_VALUE"""),3.88)</f>
        <v>3.88</v>
      </c>
      <c r="L439" s="54">
        <f>IFERROR(__xludf.DUMMYFUNCTION("""COMPUTED_VALUE"""),24.0)</f>
        <v>24</v>
      </c>
      <c r="M439" s="3">
        <f>IFERROR(__xludf.DUMMYFUNCTION("""COMPUTED_VALUE"""),125.0)</f>
        <v>125</v>
      </c>
      <c r="N439" s="3"/>
      <c r="O439" s="3"/>
      <c r="P439" s="3"/>
      <c r="Q439" s="3"/>
      <c r="R439" s="3"/>
      <c r="S439" s="3"/>
      <c r="T439" s="5"/>
      <c r="U439" s="5"/>
      <c r="V439" s="5"/>
      <c r="W439" s="5"/>
    </row>
    <row r="440" ht="15.75" customHeight="1">
      <c r="A440" s="3">
        <f>IFERROR(__xludf.DUMMYFUNCTION("""COMPUTED_VALUE"""),440.0)</f>
        <v>440</v>
      </c>
      <c r="B440" s="53">
        <f>IFERROR(__xludf.DUMMYFUNCTION("""COMPUTED_VALUE"""),45447.0)</f>
        <v>45447</v>
      </c>
      <c r="C440" s="3">
        <f>IFERROR(__xludf.DUMMYFUNCTION("""COMPUTED_VALUE"""),68.0)</f>
        <v>68</v>
      </c>
      <c r="D440" s="3" t="str">
        <f>IFERROR(__xludf.DUMMYFUNCTION("""COMPUTED_VALUE"""),"1.217")</f>
        <v>1.217</v>
      </c>
      <c r="E440" s="54">
        <f>IFERROR(__xludf.DUMMYFUNCTION("""COMPUTED_VALUE"""),13000.0)</f>
        <v>13000</v>
      </c>
      <c r="F440" s="3" t="str">
        <f>IFERROR(__xludf.DUMMYFUNCTION("""COMPUTED_VALUE"""),"Malbec")</f>
        <v>Malbec</v>
      </c>
      <c r="G440" s="3"/>
      <c r="H440" s="56">
        <f>IFERROR(__xludf.DUMMYFUNCTION("""COMPUTED_VALUE"""),3.4)</f>
        <v>3.4</v>
      </c>
      <c r="I440" s="57">
        <f>IFERROR(__xludf.DUMMYFUNCTION("""COMPUTED_VALUE"""),0.7)</f>
        <v>0.7</v>
      </c>
      <c r="J440" s="3"/>
      <c r="K440" s="57">
        <f>IFERROR(__xludf.DUMMYFUNCTION("""COMPUTED_VALUE"""),3.89)</f>
        <v>3.89</v>
      </c>
      <c r="L440" s="54">
        <f>IFERROR(__xludf.DUMMYFUNCTION("""COMPUTED_VALUE"""),25.0)</f>
        <v>25</v>
      </c>
      <c r="M440" s="3"/>
      <c r="N440" s="3"/>
      <c r="O440" s="3"/>
      <c r="P440" s="3"/>
      <c r="Q440" s="3"/>
      <c r="R440" s="3"/>
      <c r="S440" s="3"/>
      <c r="T440" s="5"/>
      <c r="U440" s="5"/>
      <c r="V440" s="5"/>
      <c r="W440" s="5"/>
    </row>
    <row r="441" ht="15.75" customHeight="1">
      <c r="A441" s="3">
        <f>IFERROR(__xludf.DUMMYFUNCTION("""COMPUTED_VALUE"""),441.0)</f>
        <v>441</v>
      </c>
      <c r="B441" s="53">
        <f>IFERROR(__xludf.DUMMYFUNCTION("""COMPUTED_VALUE"""),45447.0)</f>
        <v>45447</v>
      </c>
      <c r="C441" s="3">
        <f>IFERROR(__xludf.DUMMYFUNCTION("""COMPUTED_VALUE"""),69.0)</f>
        <v>69</v>
      </c>
      <c r="D441" s="3" t="str">
        <f>IFERROR(__xludf.DUMMYFUNCTION("""COMPUTED_VALUE"""),"1.212")</f>
        <v>1.212</v>
      </c>
      <c r="E441" s="54">
        <f>IFERROR(__xludf.DUMMYFUNCTION("""COMPUTED_VALUE"""),13000.0)</f>
        <v>13000</v>
      </c>
      <c r="F441" s="3" t="str">
        <f>IFERROR(__xludf.DUMMYFUNCTION("""COMPUTED_VALUE"""),"Malbec")</f>
        <v>Malbec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5"/>
      <c r="U441" s="5"/>
      <c r="V441" s="5"/>
      <c r="W441" s="5"/>
    </row>
    <row r="442" ht="15.75" customHeight="1">
      <c r="A442" s="3">
        <f>IFERROR(__xludf.DUMMYFUNCTION("""COMPUTED_VALUE"""),442.0)</f>
        <v>442</v>
      </c>
      <c r="B442" s="3"/>
      <c r="C442" s="3">
        <f>IFERROR(__xludf.DUMMYFUNCTION("""COMPUTED_VALUE"""),125.0)</f>
        <v>125</v>
      </c>
      <c r="D442" s="3" t="str">
        <f>IFERROR(__xludf.DUMMYFUNCTION("""COMPUTED_VALUE"""),"1.199")</f>
        <v>1.199</v>
      </c>
      <c r="E442" s="54">
        <f>IFERROR(__xludf.DUMMYFUNCTION("""COMPUTED_VALUE"""),31000.0)</f>
        <v>31000</v>
      </c>
      <c r="F442" s="3" t="str">
        <f>IFERROR(__xludf.DUMMYFUNCTION("""COMPUTED_VALUE"""),"Malbec")</f>
        <v>Malbec</v>
      </c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5"/>
      <c r="U442" s="5"/>
      <c r="V442" s="5"/>
      <c r="W442" s="5"/>
    </row>
    <row r="443" ht="15.75" customHeight="1">
      <c r="A443" s="3">
        <f>IFERROR(__xludf.DUMMYFUNCTION("""COMPUTED_VALUE"""),443.0)</f>
        <v>443</v>
      </c>
      <c r="B443" s="3"/>
      <c r="C443" s="3">
        <f>IFERROR(__xludf.DUMMYFUNCTION("""COMPUTED_VALUE"""),31.0)</f>
        <v>31</v>
      </c>
      <c r="D443" s="3" t="str">
        <f>IFERROR(__xludf.DUMMYFUNCTION("""COMPUTED_VALUE"""),"1.230")</f>
        <v>1.230</v>
      </c>
      <c r="E443" s="54">
        <f>IFERROR(__xludf.DUMMYFUNCTION("""COMPUTED_VALUE"""),25700.0)</f>
        <v>25700</v>
      </c>
      <c r="F443" s="3" t="str">
        <f>IFERROR(__xludf.DUMMYFUNCTION("""COMPUTED_VALUE"""),"Malbec")</f>
        <v>Malbec</v>
      </c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5"/>
      <c r="U443" s="5"/>
      <c r="V443" s="5"/>
      <c r="W443" s="5"/>
    </row>
    <row r="444" ht="15.75" customHeight="1">
      <c r="A444" s="3">
        <f>IFERROR(__xludf.DUMMYFUNCTION("""COMPUTED_VALUE"""),444.0)</f>
        <v>444</v>
      </c>
      <c r="B444" s="53">
        <f>IFERROR(__xludf.DUMMYFUNCTION("""COMPUTED_VALUE"""),45447.0)</f>
        <v>45447</v>
      </c>
      <c r="C444" s="3">
        <f>IFERROR(__xludf.DUMMYFUNCTION("""COMPUTED_VALUE"""),83.0)</f>
        <v>83</v>
      </c>
      <c r="D444" s="3" t="str">
        <f>IFERROR(__xludf.DUMMYFUNCTION("""COMPUTED_VALUE"""),"1.195")</f>
        <v>1.195</v>
      </c>
      <c r="E444" s="54">
        <f>IFERROR(__xludf.DUMMYFUNCTION("""COMPUTED_VALUE"""),81500.0)</f>
        <v>81500</v>
      </c>
      <c r="F444" s="3" t="str">
        <f>IFERROR(__xludf.DUMMYFUNCTION("""COMPUTED_VALUE"""),"Bonarda")</f>
        <v>Bonarda</v>
      </c>
      <c r="G444" s="3"/>
      <c r="H444" s="56">
        <f>IFERROR(__xludf.DUMMYFUNCTION("""COMPUTED_VALUE"""),3.4)</f>
        <v>3.4</v>
      </c>
      <c r="I444" s="57">
        <f>IFERROR(__xludf.DUMMYFUNCTION("""COMPUTED_VALUE"""),0.51)</f>
        <v>0.51</v>
      </c>
      <c r="J444" s="3"/>
      <c r="K444" s="57">
        <f>IFERROR(__xludf.DUMMYFUNCTION("""COMPUTED_VALUE"""),3.83)</f>
        <v>3.83</v>
      </c>
      <c r="L444" s="54">
        <f>IFERROR(__xludf.DUMMYFUNCTION("""COMPUTED_VALUE"""),15.0)</f>
        <v>15</v>
      </c>
      <c r="M444" s="3">
        <f>IFERROR(__xludf.DUMMYFUNCTION("""COMPUTED_VALUE"""),140.0)</f>
        <v>140</v>
      </c>
      <c r="N444" s="3"/>
      <c r="O444" s="3"/>
      <c r="P444" s="3"/>
      <c r="Q444" s="3"/>
      <c r="R444" s="3"/>
      <c r="S444" s="3"/>
      <c r="T444" s="5"/>
      <c r="U444" s="5"/>
      <c r="V444" s="5"/>
      <c r="W444" s="5"/>
    </row>
    <row r="445" ht="15.75" customHeight="1">
      <c r="A445" s="3">
        <f>IFERROR(__xludf.DUMMYFUNCTION("""COMPUTED_VALUE"""),445.0)</f>
        <v>445</v>
      </c>
      <c r="B445" s="53">
        <f>IFERROR(__xludf.DUMMYFUNCTION("""COMPUTED_VALUE"""),45449.0)</f>
        <v>45449</v>
      </c>
      <c r="C445" s="3">
        <f>IFERROR(__xludf.DUMMYFUNCTION("""COMPUTED_VALUE"""),120.0)</f>
        <v>120</v>
      </c>
      <c r="D445" s="3"/>
      <c r="E445" s="3"/>
      <c r="F445" s="3" t="str">
        <f>IFERROR(__xludf.DUMMYFUNCTION("""COMPUTED_VALUE"""),"Malbec")</f>
        <v>Malbec</v>
      </c>
      <c r="G445" s="55">
        <f>IFERROR(__xludf.DUMMYFUNCTION("""COMPUTED_VALUE"""),13.0)</f>
        <v>13</v>
      </c>
      <c r="H445" s="56">
        <f>IFERROR(__xludf.DUMMYFUNCTION("""COMPUTED_VALUE"""),2.0)</f>
        <v>2</v>
      </c>
      <c r="I445" s="57">
        <f>IFERROR(__xludf.DUMMYFUNCTION("""COMPUTED_VALUE"""),0.65)</f>
        <v>0.65</v>
      </c>
      <c r="J445" s="57">
        <f>IFERROR(__xludf.DUMMYFUNCTION("""COMPUTED_VALUE"""),4.6)</f>
        <v>4.6</v>
      </c>
      <c r="K445" s="57">
        <f>IFERROR(__xludf.DUMMYFUNCTION("""COMPUTED_VALUE"""),3.76)</f>
        <v>3.76</v>
      </c>
      <c r="L445" s="54">
        <f>IFERROR(__xludf.DUMMYFUNCTION("""COMPUTED_VALUE"""),32.0)</f>
        <v>32</v>
      </c>
      <c r="M445" s="3">
        <f>IFERROR(__xludf.DUMMYFUNCTION("""COMPUTED_VALUE"""),150.0)</f>
        <v>150</v>
      </c>
      <c r="N445" s="3"/>
      <c r="O445" s="3"/>
      <c r="P445" s="3"/>
      <c r="Q445" s="3"/>
      <c r="R445" s="3"/>
      <c r="S445" s="3"/>
      <c r="T445" s="5"/>
      <c r="U445" s="5"/>
      <c r="V445" s="5"/>
      <c r="W445" s="5"/>
    </row>
    <row r="446" ht="15.75" customHeight="1">
      <c r="A446" s="3">
        <f>IFERROR(__xludf.DUMMYFUNCTION("""COMPUTED_VALUE"""),446.0)</f>
        <v>446</v>
      </c>
      <c r="B446" s="53">
        <f>IFERROR(__xludf.DUMMYFUNCTION("""COMPUTED_VALUE"""),45449.0)</f>
        <v>45449</v>
      </c>
      <c r="C446" s="3">
        <f>IFERROR(__xludf.DUMMYFUNCTION("""COMPUTED_VALUE"""),118.0)</f>
        <v>118</v>
      </c>
      <c r="D446" s="3" t="str">
        <f>IFERROR(__xludf.DUMMYFUNCTION("""COMPUTED_VALUE"""),"#REF!")</f>
        <v>#REF!</v>
      </c>
      <c r="E446" s="3"/>
      <c r="F446" s="3" t="str">
        <f>IFERROR(__xludf.DUMMYFUNCTION("""COMPUTED_VALUE"""),"Syrah")</f>
        <v>Syrah</v>
      </c>
      <c r="G446" s="55">
        <f>IFERROR(__xludf.DUMMYFUNCTION("""COMPUTED_VALUE"""),13.2)</f>
        <v>13.2</v>
      </c>
      <c r="H446" s="56">
        <f>IFERROR(__xludf.DUMMYFUNCTION("""COMPUTED_VALUE"""),2.82)</f>
        <v>2.82</v>
      </c>
      <c r="I446" s="57">
        <f>IFERROR(__xludf.DUMMYFUNCTION("""COMPUTED_VALUE"""),0.59)</f>
        <v>0.59</v>
      </c>
      <c r="J446" s="57">
        <f>IFERROR(__xludf.DUMMYFUNCTION("""COMPUTED_VALUE"""),5.35)</f>
        <v>5.35</v>
      </c>
      <c r="K446" s="57">
        <f>IFERROR(__xludf.DUMMYFUNCTION("""COMPUTED_VALUE"""),3.6)</f>
        <v>3.6</v>
      </c>
      <c r="L446" s="54">
        <f>IFERROR(__xludf.DUMMYFUNCTION("""COMPUTED_VALUE"""),19.0)</f>
        <v>19</v>
      </c>
      <c r="M446" s="3">
        <f>IFERROR(__xludf.DUMMYFUNCTION("""COMPUTED_VALUE"""),80.0)</f>
        <v>80</v>
      </c>
      <c r="N446" s="3"/>
      <c r="O446" s="3"/>
      <c r="P446" s="3"/>
      <c r="Q446" s="3"/>
      <c r="R446" s="3"/>
      <c r="S446" s="3"/>
      <c r="T446" s="5"/>
      <c r="U446" s="5"/>
      <c r="V446" s="5"/>
      <c r="W446" s="5"/>
    </row>
    <row r="447" ht="15.75" customHeight="1">
      <c r="A447" s="3">
        <f>IFERROR(__xludf.DUMMYFUNCTION("""COMPUTED_VALUE"""),447.0)</f>
        <v>447</v>
      </c>
      <c r="B447" s="53">
        <f>IFERROR(__xludf.DUMMYFUNCTION("""COMPUTED_VALUE"""),45448.0)</f>
        <v>45448</v>
      </c>
      <c r="C447" s="3">
        <f>IFERROR(__xludf.DUMMYFUNCTION("""COMPUTED_VALUE"""),26.0)</f>
        <v>26</v>
      </c>
      <c r="D447" s="3" t="str">
        <f>IFERROR(__xludf.DUMMYFUNCTION("""COMPUTED_VALUE"""),"#REF!")</f>
        <v>#REF!</v>
      </c>
      <c r="E447" s="3"/>
      <c r="F447" s="3" t="str">
        <f>IFERROR(__xludf.DUMMYFUNCTION("""COMPUTED_VALUE"""),"Tinto Recarga")</f>
        <v>Tinto Recarga</v>
      </c>
      <c r="G447" s="55">
        <f>IFERROR(__xludf.DUMMYFUNCTION("""COMPUTED_VALUE"""),13.5)</f>
        <v>13.5</v>
      </c>
      <c r="H447" s="56">
        <f>IFERROR(__xludf.DUMMYFUNCTION("""COMPUTED_VALUE"""),3.46)</f>
        <v>3.46</v>
      </c>
      <c r="I447" s="57">
        <f>IFERROR(__xludf.DUMMYFUNCTION("""COMPUTED_VALUE"""),0.58)</f>
        <v>0.58</v>
      </c>
      <c r="J447" s="57">
        <f>IFERROR(__xludf.DUMMYFUNCTION("""COMPUTED_VALUE"""),4.05)</f>
        <v>4.05</v>
      </c>
      <c r="K447" s="57">
        <f>IFERROR(__xludf.DUMMYFUNCTION("""COMPUTED_VALUE"""),3.9)</f>
        <v>3.9</v>
      </c>
      <c r="L447" s="54">
        <f>IFERROR(__xludf.DUMMYFUNCTION("""COMPUTED_VALUE"""),20.0)</f>
        <v>20</v>
      </c>
      <c r="M447" s="3">
        <f>IFERROR(__xludf.DUMMYFUNCTION("""COMPUTED_VALUE"""),130.0)</f>
        <v>130</v>
      </c>
      <c r="N447" s="3"/>
      <c r="O447" s="3"/>
      <c r="P447" s="3"/>
      <c r="Q447" s="3"/>
      <c r="R447" s="3"/>
      <c r="S447" s="3"/>
      <c r="T447" s="5"/>
      <c r="U447" s="5"/>
      <c r="V447" s="5"/>
      <c r="W447" s="5"/>
    </row>
    <row r="448" ht="15.75" customHeight="1">
      <c r="A448" s="3">
        <f>IFERROR(__xludf.DUMMYFUNCTION("""COMPUTED_VALUE"""),448.0)</f>
        <v>448</v>
      </c>
      <c r="B448" s="53">
        <f>IFERROR(__xludf.DUMMYFUNCTION("""COMPUTED_VALUE"""),45449.0)</f>
        <v>45449</v>
      </c>
      <c r="C448" s="3">
        <f>IFERROR(__xludf.DUMMYFUNCTION("""COMPUTED_VALUE"""),96.0)</f>
        <v>96</v>
      </c>
      <c r="D448" s="3"/>
      <c r="E448" s="54">
        <f>IFERROR(__xludf.DUMMYFUNCTION("""COMPUTED_VALUE"""),85600.0)</f>
        <v>85600</v>
      </c>
      <c r="F448" s="3" t="str">
        <f>IFERROR(__xludf.DUMMYFUNCTION("""COMPUTED_VALUE"""),"Cabernet Sauvignon Got")</f>
        <v>Cabernet Sauvignon Got</v>
      </c>
      <c r="G448" s="55">
        <f>IFERROR(__xludf.DUMMYFUNCTION("""COMPUTED_VALUE"""),13.5)</f>
        <v>13.5</v>
      </c>
      <c r="H448" s="56">
        <f>IFERROR(__xludf.DUMMYFUNCTION("""COMPUTED_VALUE"""),2.6)</f>
        <v>2.6</v>
      </c>
      <c r="I448" s="57">
        <f>IFERROR(__xludf.DUMMYFUNCTION("""COMPUTED_VALUE"""),0.57)</f>
        <v>0.57</v>
      </c>
      <c r="J448" s="57">
        <f>IFERROR(__xludf.DUMMYFUNCTION("""COMPUTED_VALUE"""),5.3)</f>
        <v>5.3</v>
      </c>
      <c r="K448" s="57">
        <f>IFERROR(__xludf.DUMMYFUNCTION("""COMPUTED_VALUE"""),3.6)</f>
        <v>3.6</v>
      </c>
      <c r="L448" s="54">
        <f>IFERROR(__xludf.DUMMYFUNCTION("""COMPUTED_VALUE"""),32.0)</f>
        <v>32</v>
      </c>
      <c r="M448" s="3">
        <f>IFERROR(__xludf.DUMMYFUNCTION("""COMPUTED_VALUE"""),181.0)</f>
        <v>181</v>
      </c>
      <c r="N448" s="3"/>
      <c r="O448" s="3"/>
      <c r="P448" s="3"/>
      <c r="Q448" s="3"/>
      <c r="R448" s="3"/>
      <c r="S448" s="3"/>
      <c r="T448" s="5"/>
      <c r="U448" s="5"/>
      <c r="V448" s="5"/>
      <c r="W448" s="5"/>
    </row>
    <row r="449" ht="15.75" customHeight="1">
      <c r="A449" s="3">
        <f>IFERROR(__xludf.DUMMYFUNCTION("""COMPUTED_VALUE"""),449.0)</f>
        <v>449</v>
      </c>
      <c r="B449" s="53">
        <f>IFERROR(__xludf.DUMMYFUNCTION("""COMPUTED_VALUE"""),45455.0)</f>
        <v>45455</v>
      </c>
      <c r="C449" s="3">
        <f>IFERROR(__xludf.DUMMYFUNCTION("""COMPUTED_VALUE"""),95.0)</f>
        <v>95</v>
      </c>
      <c r="D449" s="3"/>
      <c r="E449" s="3"/>
      <c r="F449" s="3" t="str">
        <f>IFERROR(__xludf.DUMMYFUNCTION("""COMPUTED_VALUE"""),"Bonarda")</f>
        <v>Bonarda</v>
      </c>
      <c r="G449" s="55">
        <f>IFERROR(__xludf.DUMMYFUNCTION("""COMPUTED_VALUE"""),13.3)</f>
        <v>13.3</v>
      </c>
      <c r="H449" s="56">
        <f>IFERROR(__xludf.DUMMYFUNCTION("""COMPUTED_VALUE"""),2.0)</f>
        <v>2</v>
      </c>
      <c r="I449" s="57">
        <f>IFERROR(__xludf.DUMMYFUNCTION("""COMPUTED_VALUE"""),0.55)</f>
        <v>0.55</v>
      </c>
      <c r="J449" s="57">
        <f>IFERROR(__xludf.DUMMYFUNCTION("""COMPUTED_VALUE"""),5.35)</f>
        <v>5.35</v>
      </c>
      <c r="K449" s="57">
        <f>IFERROR(__xludf.DUMMYFUNCTION("""COMPUTED_VALUE"""),3.61)</f>
        <v>3.61</v>
      </c>
      <c r="L449" s="54">
        <f>IFERROR(__xludf.DUMMYFUNCTION("""COMPUTED_VALUE"""),25.0)</f>
        <v>25</v>
      </c>
      <c r="M449" s="3">
        <f>IFERROR(__xludf.DUMMYFUNCTION("""COMPUTED_VALUE"""),153.0)</f>
        <v>153</v>
      </c>
      <c r="N449" s="3"/>
      <c r="O449" s="3"/>
      <c r="P449" s="3"/>
      <c r="Q449" s="3"/>
      <c r="R449" s="3"/>
      <c r="S449" s="3"/>
      <c r="T449" s="5"/>
      <c r="U449" s="5"/>
      <c r="V449" s="5"/>
      <c r="W449" s="5"/>
    </row>
    <row r="450" ht="15.75" customHeight="1">
      <c r="A450" s="3">
        <f>IFERROR(__xludf.DUMMYFUNCTION("""COMPUTED_VALUE"""),450.0)</f>
        <v>450</v>
      </c>
      <c r="B450" s="53">
        <f>IFERROR(__xludf.DUMMYFUNCTION("""COMPUTED_VALUE"""),45449.0)</f>
        <v>45449</v>
      </c>
      <c r="C450" s="3">
        <f>IFERROR(__xludf.DUMMYFUNCTION("""COMPUTED_VALUE"""),121.0)</f>
        <v>121</v>
      </c>
      <c r="D450" s="3" t="str">
        <f>IFERROR(__xludf.DUMMYFUNCTION("""COMPUTED_VALUE"""),"#REF!")</f>
        <v>#REF!</v>
      </c>
      <c r="E450" s="3"/>
      <c r="F450" s="3" t="str">
        <f>IFERROR(__xludf.DUMMYFUNCTION("""COMPUTED_VALUE"""),"Malbec")</f>
        <v>Malbec</v>
      </c>
      <c r="G450" s="55">
        <f>IFERROR(__xludf.DUMMYFUNCTION("""COMPUTED_VALUE"""),13.0)</f>
        <v>13</v>
      </c>
      <c r="H450" s="56">
        <f>IFERROR(__xludf.DUMMYFUNCTION("""COMPUTED_VALUE"""),3.4)</f>
        <v>3.4</v>
      </c>
      <c r="I450" s="57">
        <f>IFERROR(__xludf.DUMMYFUNCTION("""COMPUTED_VALUE"""),0.7)</f>
        <v>0.7</v>
      </c>
      <c r="J450" s="57">
        <f>IFERROR(__xludf.DUMMYFUNCTION("""COMPUTED_VALUE"""),5.0)</f>
        <v>5</v>
      </c>
      <c r="K450" s="57">
        <f>IFERROR(__xludf.DUMMYFUNCTION("""COMPUTED_VALUE"""),3.81)</f>
        <v>3.81</v>
      </c>
      <c r="L450" s="54">
        <f>IFERROR(__xludf.DUMMYFUNCTION("""COMPUTED_VALUE"""),26.0)</f>
        <v>26</v>
      </c>
      <c r="M450" s="3">
        <f>IFERROR(__xludf.DUMMYFUNCTION("""COMPUTED_VALUE"""),128.0)</f>
        <v>128</v>
      </c>
      <c r="N450" s="3"/>
      <c r="O450" s="3"/>
      <c r="P450" s="3"/>
      <c r="Q450" s="3"/>
      <c r="R450" s="3"/>
      <c r="S450" s="3"/>
      <c r="T450" s="5"/>
      <c r="U450" s="5"/>
      <c r="V450" s="5"/>
      <c r="W450" s="5"/>
    </row>
    <row r="451" ht="15.75" customHeight="1">
      <c r="A451" s="3">
        <f>IFERROR(__xludf.DUMMYFUNCTION("""COMPUTED_VALUE"""),451.0)</f>
        <v>451</v>
      </c>
      <c r="B451" s="3"/>
      <c r="C451" s="3">
        <f>IFERROR(__xludf.DUMMYFUNCTION("""COMPUTED_VALUE"""),85.0)</f>
        <v>85</v>
      </c>
      <c r="D451" s="3"/>
      <c r="E451" s="3"/>
      <c r="F451" s="3" t="str">
        <f>IFERROR(__xludf.DUMMYFUNCTION("""COMPUTED_VALUE"""),"Cabernet posible corte peñaflor")</f>
        <v>Cabernet posible corte peñaflor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5"/>
      <c r="U451" s="5"/>
      <c r="V451" s="5"/>
      <c r="W451" s="5"/>
    </row>
    <row r="452" ht="15.75" customHeight="1">
      <c r="A452" s="3">
        <f>IFERROR(__xludf.DUMMYFUNCTION("""COMPUTED_VALUE"""),452.0)</f>
        <v>452</v>
      </c>
      <c r="B452" s="53">
        <f>IFERROR(__xludf.DUMMYFUNCTION("""COMPUTED_VALUE"""),45450.0)</f>
        <v>45450</v>
      </c>
      <c r="C452" s="3">
        <f>IFERROR(__xludf.DUMMYFUNCTION("""COMPUTED_VALUE"""),11.0)</f>
        <v>11</v>
      </c>
      <c r="D452" s="3"/>
      <c r="E452" s="3"/>
      <c r="F452" s="3"/>
      <c r="G452" s="3"/>
      <c r="H452" s="3"/>
      <c r="I452" s="57">
        <f>IFERROR(__xludf.DUMMYFUNCTION("""COMPUTED_VALUE"""),0.7)</f>
        <v>0.7</v>
      </c>
      <c r="J452" s="3"/>
      <c r="K452" s="3"/>
      <c r="L452" s="54">
        <f>IFERROR(__xludf.DUMMYFUNCTION("""COMPUTED_VALUE"""),25.0)</f>
        <v>25</v>
      </c>
      <c r="M452" s="3">
        <f>IFERROR(__xludf.DUMMYFUNCTION("""COMPUTED_VALUE"""),200.0)</f>
        <v>200</v>
      </c>
      <c r="N452" s="3"/>
      <c r="O452" s="3"/>
      <c r="P452" s="3"/>
      <c r="Q452" s="3"/>
      <c r="R452" s="3"/>
      <c r="S452" s="3"/>
      <c r="T452" s="5"/>
      <c r="U452" s="5"/>
      <c r="V452" s="5"/>
      <c r="W452" s="5"/>
    </row>
    <row r="453" ht="15.75" customHeight="1">
      <c r="A453" s="3">
        <f>IFERROR(__xludf.DUMMYFUNCTION("""COMPUTED_VALUE"""),453.0)</f>
        <v>453</v>
      </c>
      <c r="B453" s="53">
        <f>IFERROR(__xludf.DUMMYFUNCTION("""COMPUTED_VALUE"""),45450.0)</f>
        <v>45450</v>
      </c>
      <c r="C453" s="3">
        <f>IFERROR(__xludf.DUMMYFUNCTION("""COMPUTED_VALUE"""),36.0)</f>
        <v>36</v>
      </c>
      <c r="D453" s="3" t="str">
        <f>IFERROR(__xludf.DUMMYFUNCTION("""COMPUTED_VALUE"""),"1.247")</f>
        <v>1.247</v>
      </c>
      <c r="E453" s="54">
        <f>IFERROR(__xludf.DUMMYFUNCTION("""COMPUTED_VALUE"""),19700.0)</f>
        <v>19700</v>
      </c>
      <c r="F453" s="3" t="str">
        <f>IFERROR(__xludf.DUMMYFUNCTION("""COMPUTED_VALUE"""),"Syrah s/Asp")</f>
        <v>Syrah s/Asp</v>
      </c>
      <c r="G453" s="3"/>
      <c r="H453" s="3"/>
      <c r="I453" s="57">
        <f>IFERROR(__xludf.DUMMYFUNCTION("""COMPUTED_VALUE"""),0.89)</f>
        <v>0.89</v>
      </c>
      <c r="J453" s="3"/>
      <c r="K453" s="3"/>
      <c r="L453" s="54">
        <f>IFERROR(__xludf.DUMMYFUNCTION("""COMPUTED_VALUE"""),25.0)</f>
        <v>25</v>
      </c>
      <c r="M453" s="3"/>
      <c r="N453" s="3"/>
      <c r="O453" s="3"/>
      <c r="P453" s="3"/>
      <c r="Q453" s="3"/>
      <c r="R453" s="3"/>
      <c r="S453" s="3"/>
      <c r="T453" s="5"/>
      <c r="U453" s="5"/>
      <c r="V453" s="5"/>
      <c r="W453" s="5"/>
    </row>
    <row r="454" ht="15.75" customHeight="1">
      <c r="A454" s="3">
        <f>IFERROR(__xludf.DUMMYFUNCTION("""COMPUTED_VALUE"""),454.0)</f>
        <v>454</v>
      </c>
      <c r="B454" s="53">
        <f>IFERROR(__xludf.DUMMYFUNCTION("""COMPUTED_VALUE"""),45454.0)</f>
        <v>45454</v>
      </c>
      <c r="C454" s="3">
        <f>IFERROR(__xludf.DUMMYFUNCTION("""COMPUTED_VALUE"""),83.0)</f>
        <v>83</v>
      </c>
      <c r="D454" s="3" t="str">
        <f>IFERROR(__xludf.DUMMYFUNCTION("""COMPUTED_VALUE"""),"1.246")</f>
        <v>1.246</v>
      </c>
      <c r="E454" s="54">
        <f>IFERROR(__xludf.DUMMYFUNCTION("""COMPUTED_VALUE"""),81500.0)</f>
        <v>81500</v>
      </c>
      <c r="F454" s="3" t="str">
        <f>IFERROR(__xludf.DUMMYFUNCTION("""COMPUTED_VALUE"""),"Bonarda")</f>
        <v>Bonarda</v>
      </c>
      <c r="G454" s="55">
        <f>IFERROR(__xludf.DUMMYFUNCTION("""COMPUTED_VALUE"""),12.8)</f>
        <v>12.8</v>
      </c>
      <c r="H454" s="56">
        <f>IFERROR(__xludf.DUMMYFUNCTION("""COMPUTED_VALUE"""),2.5)</f>
        <v>2.5</v>
      </c>
      <c r="I454" s="57">
        <f>IFERROR(__xludf.DUMMYFUNCTION("""COMPUTED_VALUE"""),0.47)</f>
        <v>0.47</v>
      </c>
      <c r="J454" s="57">
        <f>IFERROR(__xludf.DUMMYFUNCTION("""COMPUTED_VALUE"""),5.0)</f>
        <v>5</v>
      </c>
      <c r="K454" s="57">
        <f>IFERROR(__xludf.DUMMYFUNCTION("""COMPUTED_VALUE"""),3.76)</f>
        <v>3.76</v>
      </c>
      <c r="L454" s="54">
        <f>IFERROR(__xludf.DUMMYFUNCTION("""COMPUTED_VALUE"""),25.0)</f>
        <v>25</v>
      </c>
      <c r="M454" s="3">
        <f>IFERROR(__xludf.DUMMYFUNCTION("""COMPUTED_VALUE"""),110.0)</f>
        <v>110</v>
      </c>
      <c r="N454" s="3"/>
      <c r="O454" s="3"/>
      <c r="P454" s="3"/>
      <c r="Q454" s="3"/>
      <c r="R454" s="3"/>
      <c r="S454" s="3"/>
      <c r="T454" s="5"/>
      <c r="U454" s="5"/>
      <c r="V454" s="5"/>
      <c r="W454" s="5"/>
    </row>
    <row r="455" ht="15.75" customHeight="1">
      <c r="A455" s="3">
        <f>IFERROR(__xludf.DUMMYFUNCTION("""COMPUTED_VALUE"""),455.0)</f>
        <v>455</v>
      </c>
      <c r="B455" s="53">
        <f>IFERROR(__xludf.DUMMYFUNCTION("""COMPUTED_VALUE"""),45456.0)</f>
        <v>45456</v>
      </c>
      <c r="C455" s="3">
        <f>IFERROR(__xludf.DUMMYFUNCTION("""COMPUTED_VALUE"""),9.0)</f>
        <v>9</v>
      </c>
      <c r="D455" s="3" t="str">
        <f>IFERROR(__xludf.DUMMYFUNCTION("""COMPUTED_VALUE"""),"#REF!")</f>
        <v>#REF!</v>
      </c>
      <c r="E455" s="3"/>
      <c r="F455" s="3" t="str">
        <f>IFERROR(__xludf.DUMMYFUNCTION("""COMPUTED_VALUE"""),"Re tangencial")</f>
        <v>Re tangencial</v>
      </c>
      <c r="G455" s="55">
        <f>IFERROR(__xludf.DUMMYFUNCTION("""COMPUTED_VALUE"""),13.5)</f>
        <v>13.5</v>
      </c>
      <c r="H455" s="56">
        <f>IFERROR(__xludf.DUMMYFUNCTION("""COMPUTED_VALUE"""),2.0)</f>
        <v>2</v>
      </c>
      <c r="I455" s="57">
        <f>IFERROR(__xludf.DUMMYFUNCTION("""COMPUTED_VALUE"""),0.76)</f>
        <v>0.76</v>
      </c>
      <c r="J455" s="57">
        <f>IFERROR(__xludf.DUMMYFUNCTION("""COMPUTED_VALUE"""),4.4)</f>
        <v>4.4</v>
      </c>
      <c r="K455" s="57">
        <f>IFERROR(__xludf.DUMMYFUNCTION("""COMPUTED_VALUE"""),3.92)</f>
        <v>3.92</v>
      </c>
      <c r="L455" s="54">
        <f>IFERROR(__xludf.DUMMYFUNCTION("""COMPUTED_VALUE"""),25.0)</f>
        <v>25</v>
      </c>
      <c r="M455" s="3">
        <f>IFERROR(__xludf.DUMMYFUNCTION("""COMPUTED_VALUE"""),200.0)</f>
        <v>200</v>
      </c>
      <c r="N455" s="3"/>
      <c r="O455" s="3"/>
      <c r="P455" s="3"/>
      <c r="Q455" s="3"/>
      <c r="R455" s="3"/>
      <c r="S455" s="3"/>
      <c r="T455" s="5"/>
      <c r="U455" s="5"/>
      <c r="V455" s="5"/>
      <c r="W455" s="5"/>
    </row>
    <row r="456" ht="15.75" customHeight="1">
      <c r="A456" s="3">
        <f>IFERROR(__xludf.DUMMYFUNCTION("""COMPUTED_VALUE"""),456.0)</f>
        <v>456</v>
      </c>
      <c r="B456" s="53">
        <f>IFERROR(__xludf.DUMMYFUNCTION("""COMPUTED_VALUE"""),45456.0)</f>
        <v>45456</v>
      </c>
      <c r="C456" s="3">
        <f>IFERROR(__xludf.DUMMYFUNCTION("""COMPUTED_VALUE"""),31.0)</f>
        <v>31</v>
      </c>
      <c r="D456" s="3" t="str">
        <f>IFERROR(__xludf.DUMMYFUNCTION("""COMPUTED_VALUE"""),"#REF!")</f>
        <v>#REF!</v>
      </c>
      <c r="E456" s="3"/>
      <c r="F456" s="3" t="str">
        <f>IFERROR(__xludf.DUMMYFUNCTION("""COMPUTED_VALUE"""),"Re tangencial")</f>
        <v>Re tangencial</v>
      </c>
      <c r="G456" s="55">
        <f>IFERROR(__xludf.DUMMYFUNCTION("""COMPUTED_VALUE"""),12.9)</f>
        <v>12.9</v>
      </c>
      <c r="H456" s="56">
        <f>IFERROR(__xludf.DUMMYFUNCTION("""COMPUTED_VALUE"""),2.64)</f>
        <v>2.64</v>
      </c>
      <c r="I456" s="57">
        <f>IFERROR(__xludf.DUMMYFUNCTION("""COMPUTED_VALUE"""),0.82)</f>
        <v>0.82</v>
      </c>
      <c r="J456" s="57">
        <f>IFERROR(__xludf.DUMMYFUNCTION("""COMPUTED_VALUE"""),4.81)</f>
        <v>4.81</v>
      </c>
      <c r="K456" s="57">
        <f>IFERROR(__xludf.DUMMYFUNCTION("""COMPUTED_VALUE"""),3.72)</f>
        <v>3.72</v>
      </c>
      <c r="L456" s="54">
        <f>IFERROR(__xludf.DUMMYFUNCTION("""COMPUTED_VALUE"""),19.0)</f>
        <v>19</v>
      </c>
      <c r="M456" s="3">
        <f>IFERROR(__xludf.DUMMYFUNCTION("""COMPUTED_VALUE"""),180.0)</f>
        <v>180</v>
      </c>
      <c r="N456" s="3"/>
      <c r="O456" s="3"/>
      <c r="P456" s="3"/>
      <c r="Q456" s="3"/>
      <c r="R456" s="3"/>
      <c r="S456" s="3"/>
      <c r="T456" s="5"/>
      <c r="U456" s="5"/>
      <c r="V456" s="5"/>
      <c r="W456" s="5"/>
    </row>
    <row r="457" ht="15.75" customHeight="1">
      <c r="A457" s="3">
        <f>IFERROR(__xludf.DUMMYFUNCTION("""COMPUTED_VALUE"""),457.0)</f>
        <v>457</v>
      </c>
      <c r="B457" s="53">
        <f>IFERROR(__xludf.DUMMYFUNCTION("""COMPUTED_VALUE"""),45461.0)</f>
        <v>45461</v>
      </c>
      <c r="C457" s="3">
        <f>IFERROR(__xludf.DUMMYFUNCTION("""COMPUTED_VALUE"""),8.0)</f>
        <v>8</v>
      </c>
      <c r="D457" s="3" t="str">
        <f>IFERROR(__xludf.DUMMYFUNCTION("""COMPUTED_VALUE"""),"1.207")</f>
        <v>1.207</v>
      </c>
      <c r="E457" s="54">
        <f>IFERROR(__xludf.DUMMYFUNCTION("""COMPUTED_VALUE"""),22000.0)</f>
        <v>22000</v>
      </c>
      <c r="F457" s="3" t="str">
        <f>IFERROR(__xludf.DUMMYFUNCTION("""COMPUTED_VALUE"""),"Chardonnay")</f>
        <v>Chardonnay</v>
      </c>
      <c r="G457" s="3"/>
      <c r="H457" s="3"/>
      <c r="I457" s="3"/>
      <c r="J457" s="3"/>
      <c r="K457" s="57">
        <f>IFERROR(__xludf.DUMMYFUNCTION("""COMPUTED_VALUE"""),3.36)</f>
        <v>3.36</v>
      </c>
      <c r="L457" s="54">
        <f>IFERROR(__xludf.DUMMYFUNCTION("""COMPUTED_VALUE"""),33.0)</f>
        <v>33</v>
      </c>
      <c r="M457" s="3">
        <f>IFERROR(__xludf.DUMMYFUNCTION("""COMPUTED_VALUE"""),110.0)</f>
        <v>110</v>
      </c>
      <c r="N457" s="3"/>
      <c r="O457" s="3"/>
      <c r="P457" s="3"/>
      <c r="Q457" s="3"/>
      <c r="R457" s="3"/>
      <c r="S457" s="3"/>
      <c r="T457" s="5"/>
      <c r="U457" s="5"/>
      <c r="V457" s="5"/>
      <c r="W457" s="5"/>
    </row>
    <row r="458" ht="15.75" customHeight="1">
      <c r="A458" s="3">
        <f>IFERROR(__xludf.DUMMYFUNCTION("""COMPUTED_VALUE"""),458.0)</f>
        <v>458</v>
      </c>
      <c r="B458" s="53">
        <f>IFERROR(__xludf.DUMMYFUNCTION("""COMPUTED_VALUE"""),45461.0)</f>
        <v>45461</v>
      </c>
      <c r="C458" s="3">
        <f>IFERROR(__xludf.DUMMYFUNCTION("""COMPUTED_VALUE"""),10.0)</f>
        <v>10</v>
      </c>
      <c r="D458" s="3" t="str">
        <f>IFERROR(__xludf.DUMMYFUNCTION("""COMPUTED_VALUE"""),"1.208")</f>
        <v>1.208</v>
      </c>
      <c r="E458" s="54">
        <f>IFERROR(__xludf.DUMMYFUNCTION("""COMPUTED_VALUE"""),21000.0)</f>
        <v>21000</v>
      </c>
      <c r="F458" s="3" t="str">
        <f>IFERROR(__xludf.DUMMYFUNCTION("""COMPUTED_VALUE"""),"Chardonnay")</f>
        <v>Chardonnay</v>
      </c>
      <c r="G458" s="3"/>
      <c r="H458" s="3"/>
      <c r="I458" s="3"/>
      <c r="J458" s="3"/>
      <c r="K458" s="57">
        <f>IFERROR(__xludf.DUMMYFUNCTION("""COMPUTED_VALUE"""),3.37)</f>
        <v>3.37</v>
      </c>
      <c r="L458" s="54">
        <f>IFERROR(__xludf.DUMMYFUNCTION("""COMPUTED_VALUE"""),32.0)</f>
        <v>32</v>
      </c>
      <c r="M458" s="3">
        <f>IFERROR(__xludf.DUMMYFUNCTION("""COMPUTED_VALUE"""),121.0)</f>
        <v>121</v>
      </c>
      <c r="N458" s="3"/>
      <c r="O458" s="3"/>
      <c r="P458" s="3"/>
      <c r="Q458" s="3"/>
      <c r="R458" s="3"/>
      <c r="S458" s="3"/>
      <c r="T458" s="5"/>
      <c r="U458" s="5"/>
      <c r="V458" s="5"/>
      <c r="W458" s="5"/>
    </row>
    <row r="459" ht="15.75" customHeight="1">
      <c r="A459" s="3">
        <f>IFERROR(__xludf.DUMMYFUNCTION("""COMPUTED_VALUE"""),459.0)</f>
        <v>459</v>
      </c>
      <c r="B459" s="53">
        <f>IFERROR(__xludf.DUMMYFUNCTION("""COMPUTED_VALUE"""),45461.0)</f>
        <v>45461</v>
      </c>
      <c r="C459" s="3">
        <f>IFERROR(__xludf.DUMMYFUNCTION("""COMPUTED_VALUE"""),46.0)</f>
        <v>46</v>
      </c>
      <c r="D459" s="3" t="str">
        <f>IFERROR(__xludf.DUMMYFUNCTION("""COMPUTED_VALUE"""),"1.206")</f>
        <v>1.206</v>
      </c>
      <c r="E459" s="54">
        <f>IFERROR(__xludf.DUMMYFUNCTION("""COMPUTED_VALUE"""),29000.0)</f>
        <v>29000</v>
      </c>
      <c r="F459" s="3" t="str">
        <f>IFERROR(__xludf.DUMMYFUNCTION("""COMPUTED_VALUE"""),"Chardonnay")</f>
        <v>Chardonnay</v>
      </c>
      <c r="G459" s="3"/>
      <c r="H459" s="3"/>
      <c r="I459" s="3"/>
      <c r="J459" s="3"/>
      <c r="K459" s="57">
        <f>IFERROR(__xludf.DUMMYFUNCTION("""COMPUTED_VALUE"""),3.39)</f>
        <v>3.39</v>
      </c>
      <c r="L459" s="54">
        <f>IFERROR(__xludf.DUMMYFUNCTION("""COMPUTED_VALUE"""),33.0)</f>
        <v>33</v>
      </c>
      <c r="M459" s="3">
        <f>IFERROR(__xludf.DUMMYFUNCTION("""COMPUTED_VALUE"""),113.0)</f>
        <v>113</v>
      </c>
      <c r="N459" s="3"/>
      <c r="O459" s="3"/>
      <c r="P459" s="3"/>
      <c r="Q459" s="3"/>
      <c r="R459" s="3"/>
      <c r="S459" s="3"/>
      <c r="T459" s="5"/>
      <c r="U459" s="5"/>
      <c r="V459" s="5"/>
      <c r="W459" s="5"/>
    </row>
    <row r="460" ht="15.75" customHeight="1">
      <c r="A460" s="3">
        <f>IFERROR(__xludf.DUMMYFUNCTION("""COMPUTED_VALUE"""),460.0)</f>
        <v>460</v>
      </c>
      <c r="B460" s="53">
        <f>IFERROR(__xludf.DUMMYFUNCTION("""COMPUTED_VALUE"""),45461.0)</f>
        <v>45461</v>
      </c>
      <c r="C460" s="3">
        <f>IFERROR(__xludf.DUMMYFUNCTION("""COMPUTED_VALUE"""),52.0)</f>
        <v>52</v>
      </c>
      <c r="D460" s="3" t="str">
        <f>IFERROR(__xludf.DUMMYFUNCTION("""COMPUTED_VALUE"""),"1.205")</f>
        <v>1.205</v>
      </c>
      <c r="E460" s="54">
        <f>IFERROR(__xludf.DUMMYFUNCTION("""COMPUTED_VALUE"""),27000.0)</f>
        <v>27000</v>
      </c>
      <c r="F460" s="3" t="str">
        <f>IFERROR(__xludf.DUMMYFUNCTION("""COMPUTED_VALUE"""),"Chardonnay")</f>
        <v>Chardonnay</v>
      </c>
      <c r="G460" s="3"/>
      <c r="H460" s="3"/>
      <c r="I460" s="3"/>
      <c r="J460" s="3"/>
      <c r="K460" s="57">
        <f>IFERROR(__xludf.DUMMYFUNCTION("""COMPUTED_VALUE"""),3.32)</f>
        <v>3.32</v>
      </c>
      <c r="L460" s="54">
        <f>IFERROR(__xludf.DUMMYFUNCTION("""COMPUTED_VALUE"""),36.0)</f>
        <v>36</v>
      </c>
      <c r="M460" s="3">
        <f>IFERROR(__xludf.DUMMYFUNCTION("""COMPUTED_VALUE"""),111.0)</f>
        <v>111</v>
      </c>
      <c r="N460" s="3"/>
      <c r="O460" s="3"/>
      <c r="P460" s="3"/>
      <c r="Q460" s="3"/>
      <c r="R460" s="3"/>
      <c r="S460" s="3"/>
      <c r="T460" s="5"/>
      <c r="U460" s="5"/>
      <c r="V460" s="5"/>
      <c r="W460" s="5"/>
    </row>
    <row r="461" ht="15.75" customHeight="1">
      <c r="A461" s="3">
        <f>IFERROR(__xludf.DUMMYFUNCTION("""COMPUTED_VALUE"""),461.0)</f>
        <v>461</v>
      </c>
      <c r="B461" s="53">
        <f>IFERROR(__xludf.DUMMYFUNCTION("""COMPUTED_VALUE"""),45461.0)</f>
        <v>45461</v>
      </c>
      <c r="C461" s="3">
        <f>IFERROR(__xludf.DUMMYFUNCTION("""COMPUTED_VALUE"""),54.0)</f>
        <v>54</v>
      </c>
      <c r="D461" s="3" t="str">
        <f>IFERROR(__xludf.DUMMYFUNCTION("""COMPUTED_VALUE"""),"1.165")</f>
        <v>1.165</v>
      </c>
      <c r="E461" s="54">
        <f>IFERROR(__xludf.DUMMYFUNCTION("""COMPUTED_VALUE"""),22900.0)</f>
        <v>22900</v>
      </c>
      <c r="F461" s="3" t="str">
        <f>IFERROR(__xludf.DUMMYFUNCTION("""COMPUTED_VALUE"""),"Pedro Gimenez")</f>
        <v>Pedro Gimenez</v>
      </c>
      <c r="G461" s="3"/>
      <c r="H461" s="3"/>
      <c r="I461" s="3"/>
      <c r="J461" s="3"/>
      <c r="K461" s="57">
        <f>IFERROR(__xludf.DUMMYFUNCTION("""COMPUTED_VALUE"""),3.39)</f>
        <v>3.39</v>
      </c>
      <c r="L461" s="54">
        <f>IFERROR(__xludf.DUMMYFUNCTION("""COMPUTED_VALUE"""),37.0)</f>
        <v>37</v>
      </c>
      <c r="M461" s="3">
        <f>IFERROR(__xludf.DUMMYFUNCTION("""COMPUTED_VALUE"""),140.0)</f>
        <v>140</v>
      </c>
      <c r="N461" s="3"/>
      <c r="O461" s="3"/>
      <c r="P461" s="3"/>
      <c r="Q461" s="3"/>
      <c r="R461" s="3"/>
      <c r="S461" s="3"/>
      <c r="T461" s="5"/>
      <c r="U461" s="5"/>
      <c r="V461" s="5"/>
      <c r="W461" s="5"/>
    </row>
    <row r="462" ht="15.75" customHeight="1">
      <c r="A462" s="3">
        <f>IFERROR(__xludf.DUMMYFUNCTION("""COMPUTED_VALUE"""),462.0)</f>
        <v>462</v>
      </c>
      <c r="B462" s="53">
        <f>IFERROR(__xludf.DUMMYFUNCTION("""COMPUTED_VALUE"""),45461.0)</f>
        <v>45461</v>
      </c>
      <c r="C462" s="3">
        <f>IFERROR(__xludf.DUMMYFUNCTION("""COMPUTED_VALUE"""),66.0)</f>
        <v>66</v>
      </c>
      <c r="D462" s="3" t="str">
        <f>IFERROR(__xludf.DUMMYFUNCTION("""COMPUTED_VALUE"""),"1.216")</f>
        <v>1.216</v>
      </c>
      <c r="E462" s="54">
        <f>IFERROR(__xludf.DUMMYFUNCTION("""COMPUTED_VALUE"""),23000.0)</f>
        <v>23000</v>
      </c>
      <c r="F462" s="3" t="str">
        <f>IFERROR(__xludf.DUMMYFUNCTION("""COMPUTED_VALUE"""),"Chardonnay")</f>
        <v>Chardonnay</v>
      </c>
      <c r="G462" s="3"/>
      <c r="H462" s="3"/>
      <c r="I462" s="3"/>
      <c r="J462" s="3"/>
      <c r="K462" s="57">
        <f>IFERROR(__xludf.DUMMYFUNCTION("""COMPUTED_VALUE"""),3.3)</f>
        <v>3.3</v>
      </c>
      <c r="L462" s="54">
        <f>IFERROR(__xludf.DUMMYFUNCTION("""COMPUTED_VALUE"""),36.0)</f>
        <v>36</v>
      </c>
      <c r="M462" s="3">
        <f>IFERROR(__xludf.DUMMYFUNCTION("""COMPUTED_VALUE"""),121.0)</f>
        <v>121</v>
      </c>
      <c r="N462" s="3"/>
      <c r="O462" s="3"/>
      <c r="P462" s="3"/>
      <c r="Q462" s="3"/>
      <c r="R462" s="3"/>
      <c r="S462" s="3"/>
      <c r="T462" s="5"/>
      <c r="U462" s="5"/>
      <c r="V462" s="5"/>
      <c r="W462" s="5"/>
    </row>
    <row r="463" ht="15.75" customHeight="1">
      <c r="A463" s="3">
        <f>IFERROR(__xludf.DUMMYFUNCTION("""COMPUTED_VALUE"""),463.0)</f>
        <v>463</v>
      </c>
      <c r="B463" s="53">
        <f>IFERROR(__xludf.DUMMYFUNCTION("""COMPUTED_VALUE"""),45461.0)</f>
        <v>45461</v>
      </c>
      <c r="C463" s="3">
        <f>IFERROR(__xludf.DUMMYFUNCTION("""COMPUTED_VALUE"""),16.0)</f>
        <v>16</v>
      </c>
      <c r="D463" s="3" t="str">
        <f>IFERROR(__xludf.DUMMYFUNCTION("""COMPUTED_VALUE"""),"1.210")</f>
        <v>1.210</v>
      </c>
      <c r="E463" s="54">
        <f>IFERROR(__xludf.DUMMYFUNCTION("""COMPUTED_VALUE"""),19500.0)</f>
        <v>19500</v>
      </c>
      <c r="F463" s="3" t="str">
        <f>IFERROR(__xludf.DUMMYFUNCTION("""COMPUTED_VALUE"""),"Cabernet Bonarda")</f>
        <v>Cabernet Bonarda</v>
      </c>
      <c r="G463" s="55">
        <f>IFERROR(__xludf.DUMMYFUNCTION("""COMPUTED_VALUE"""),13.0)</f>
        <v>13</v>
      </c>
      <c r="H463" s="56">
        <f>IFERROR(__xludf.DUMMYFUNCTION("""COMPUTED_VALUE"""),2.9)</f>
        <v>2.9</v>
      </c>
      <c r="I463" s="57">
        <f>IFERROR(__xludf.DUMMYFUNCTION("""COMPUTED_VALUE"""),0.59)</f>
        <v>0.59</v>
      </c>
      <c r="J463" s="3"/>
      <c r="K463" s="57">
        <f>IFERROR(__xludf.DUMMYFUNCTION("""COMPUTED_VALUE"""),3.89)</f>
        <v>3.89</v>
      </c>
      <c r="L463" s="54">
        <f>IFERROR(__xludf.DUMMYFUNCTION("""COMPUTED_VALUE"""),26.0)</f>
        <v>26</v>
      </c>
      <c r="M463" s="3"/>
      <c r="N463" s="3"/>
      <c r="O463" s="3"/>
      <c r="P463" s="3"/>
      <c r="Q463" s="3"/>
      <c r="R463" s="3"/>
      <c r="S463" s="3"/>
      <c r="T463" s="5"/>
      <c r="U463" s="5"/>
      <c r="V463" s="5"/>
      <c r="W463" s="5"/>
    </row>
    <row r="464" ht="15.75" customHeight="1">
      <c r="A464" s="3">
        <f>IFERROR(__xludf.DUMMYFUNCTION("""COMPUTED_VALUE"""),464.0)</f>
        <v>464</v>
      </c>
      <c r="B464" s="3"/>
      <c r="C464" s="3">
        <f>IFERROR(__xludf.DUMMYFUNCTION("""COMPUTED_VALUE"""),12.0)</f>
        <v>12</v>
      </c>
      <c r="D464" s="3"/>
      <c r="E464" s="3"/>
      <c r="F464" s="3"/>
      <c r="G464" s="55">
        <f>IFERROR(__xludf.DUMMYFUNCTION("""COMPUTED_VALUE"""),13.0)</f>
        <v>13</v>
      </c>
      <c r="H464" s="56">
        <f>IFERROR(__xludf.DUMMYFUNCTION("""COMPUTED_VALUE"""),2.9)</f>
        <v>2.9</v>
      </c>
      <c r="I464" s="57">
        <f>IFERROR(__xludf.DUMMYFUNCTION("""COMPUTED_VALUE"""),0.59)</f>
        <v>0.59</v>
      </c>
      <c r="J464" s="3"/>
      <c r="K464" s="57">
        <f>IFERROR(__xludf.DUMMYFUNCTION("""COMPUTED_VALUE"""),3.89)</f>
        <v>3.89</v>
      </c>
      <c r="L464" s="54">
        <f>IFERROR(__xludf.DUMMYFUNCTION("""COMPUTED_VALUE"""),26.0)</f>
        <v>26</v>
      </c>
      <c r="M464" s="3"/>
      <c r="N464" s="3"/>
      <c r="O464" s="3"/>
      <c r="P464" s="3"/>
      <c r="Q464" s="3"/>
      <c r="R464" s="3"/>
      <c r="S464" s="3"/>
      <c r="T464" s="5"/>
      <c r="U464" s="5"/>
      <c r="V464" s="5"/>
      <c r="W464" s="5"/>
    </row>
    <row r="465" ht="15.75" customHeight="1">
      <c r="A465" s="3">
        <f>IFERROR(__xludf.DUMMYFUNCTION("""COMPUTED_VALUE"""),465.0)</f>
        <v>465</v>
      </c>
      <c r="B465" s="3"/>
      <c r="C465" s="3">
        <f>IFERROR(__xludf.DUMMYFUNCTION("""COMPUTED_VALUE"""),15.0)</f>
        <v>15</v>
      </c>
      <c r="D465" s="3" t="str">
        <f>IFERROR(__xludf.DUMMYFUNCTION("""COMPUTED_VALUE"""),"1.167")</f>
        <v>1.167</v>
      </c>
      <c r="E465" s="54">
        <f>IFERROR(__xludf.DUMMYFUNCTION("""COMPUTED_VALUE"""),36500.0)</f>
        <v>36500</v>
      </c>
      <c r="F465" s="3" t="str">
        <f>IFERROR(__xludf.DUMMYFUNCTION("""COMPUTED_VALUE"""),"Cabernet")</f>
        <v>Cabernet</v>
      </c>
      <c r="G465" s="55">
        <f>IFERROR(__xludf.DUMMYFUNCTION("""COMPUTED_VALUE"""),13.0)</f>
        <v>13</v>
      </c>
      <c r="H465" s="56">
        <f>IFERROR(__xludf.DUMMYFUNCTION("""COMPUTED_VALUE"""),2.9)</f>
        <v>2.9</v>
      </c>
      <c r="I465" s="57">
        <f>IFERROR(__xludf.DUMMYFUNCTION("""COMPUTED_VALUE"""),0.59)</f>
        <v>0.59</v>
      </c>
      <c r="J465" s="3"/>
      <c r="K465" s="57">
        <f>IFERROR(__xludf.DUMMYFUNCTION("""COMPUTED_VALUE"""),3.89)</f>
        <v>3.89</v>
      </c>
      <c r="L465" s="54">
        <f>IFERROR(__xludf.DUMMYFUNCTION("""COMPUTED_VALUE"""),26.0)</f>
        <v>26</v>
      </c>
      <c r="M465" s="3"/>
      <c r="N465" s="3"/>
      <c r="O465" s="3"/>
      <c r="P465" s="3"/>
      <c r="Q465" s="3"/>
      <c r="R465" s="3"/>
      <c r="S465" s="3"/>
      <c r="T465" s="5"/>
      <c r="U465" s="5"/>
      <c r="V465" s="5"/>
      <c r="W465" s="5"/>
    </row>
    <row r="466" ht="15.75" customHeight="1">
      <c r="A466" s="3">
        <f>IFERROR(__xludf.DUMMYFUNCTION("""COMPUTED_VALUE"""),466.0)</f>
        <v>466</v>
      </c>
      <c r="B466" s="53">
        <f>IFERROR(__xludf.DUMMYFUNCTION("""COMPUTED_VALUE"""),45461.0)</f>
        <v>45461</v>
      </c>
      <c r="C466" s="3">
        <f>IFERROR(__xludf.DUMMYFUNCTION("""COMPUTED_VALUE"""),72.0)</f>
        <v>72</v>
      </c>
      <c r="D466" s="3" t="str">
        <f>IFERROR(__xludf.DUMMYFUNCTION("""COMPUTED_VALUE"""),"1.172")</f>
        <v>1.172</v>
      </c>
      <c r="E466" s="54">
        <f>IFERROR(__xludf.DUMMYFUNCTION("""COMPUTED_VALUE"""),13000.0)</f>
        <v>13000</v>
      </c>
      <c r="F466" s="3" t="str">
        <f>IFERROR(__xludf.DUMMYFUNCTION("""COMPUTED_VALUE"""),"Torrontes")</f>
        <v>Torrontes</v>
      </c>
      <c r="G466" s="3"/>
      <c r="H466" s="3"/>
      <c r="I466" s="3"/>
      <c r="J466" s="3"/>
      <c r="K466" s="57">
        <f>IFERROR(__xludf.DUMMYFUNCTION("""COMPUTED_VALUE"""),3.66)</f>
        <v>3.66</v>
      </c>
      <c r="L466" s="54">
        <f>IFERROR(__xludf.DUMMYFUNCTION("""COMPUTED_VALUE"""),33.0)</f>
        <v>33</v>
      </c>
      <c r="M466" s="3">
        <f>IFERROR(__xludf.DUMMYFUNCTION("""COMPUTED_VALUE"""),113.0)</f>
        <v>113</v>
      </c>
      <c r="N466" s="3"/>
      <c r="O466" s="3"/>
      <c r="P466" s="3"/>
      <c r="Q466" s="3"/>
      <c r="R466" s="3"/>
      <c r="S466" s="3"/>
      <c r="T466" s="5"/>
      <c r="U466" s="5"/>
      <c r="V466" s="5"/>
      <c r="W466" s="5"/>
    </row>
    <row r="467" ht="15.75" customHeight="1">
      <c r="A467" s="3">
        <f>IFERROR(__xludf.DUMMYFUNCTION("""COMPUTED_VALUE"""),467.0)</f>
        <v>467</v>
      </c>
      <c r="B467" s="53">
        <f>IFERROR(__xludf.DUMMYFUNCTION("""COMPUTED_VALUE"""),45461.0)</f>
        <v>45461</v>
      </c>
      <c r="C467" s="3">
        <f>IFERROR(__xludf.DUMMYFUNCTION("""COMPUTED_VALUE"""),75.0)</f>
        <v>75</v>
      </c>
      <c r="D467" s="3" t="str">
        <f>IFERROR(__xludf.DUMMYFUNCTION("""COMPUTED_VALUE"""),"1.066")</f>
        <v>1.066</v>
      </c>
      <c r="E467" s="54">
        <f>IFERROR(__xludf.DUMMYFUNCTION("""COMPUTED_VALUE"""),7000.0)</f>
        <v>7000</v>
      </c>
      <c r="F467" s="3" t="str">
        <f>IFERROR(__xludf.DUMMYFUNCTION("""COMPUTED_VALUE"""),"Chenin")</f>
        <v>Chenin</v>
      </c>
      <c r="G467" s="3"/>
      <c r="H467" s="3"/>
      <c r="I467" s="3"/>
      <c r="J467" s="3"/>
      <c r="K467" s="57">
        <f>IFERROR(__xludf.DUMMYFUNCTION("""COMPUTED_VALUE"""),3.16)</f>
        <v>3.16</v>
      </c>
      <c r="L467" s="54">
        <f>IFERROR(__xludf.DUMMYFUNCTION("""COMPUTED_VALUE"""),25.0)</f>
        <v>25</v>
      </c>
      <c r="M467" s="3">
        <f>IFERROR(__xludf.DUMMYFUNCTION("""COMPUTED_VALUE"""),147.0)</f>
        <v>147</v>
      </c>
      <c r="N467" s="3"/>
      <c r="O467" s="3"/>
      <c r="P467" s="3"/>
      <c r="Q467" s="3"/>
      <c r="R467" s="3"/>
      <c r="S467" s="3"/>
      <c r="T467" s="5"/>
      <c r="U467" s="5"/>
      <c r="V467" s="5"/>
      <c r="W467" s="5"/>
    </row>
    <row r="468" ht="15.75" customHeight="1">
      <c r="A468" s="3">
        <f>IFERROR(__xludf.DUMMYFUNCTION("""COMPUTED_VALUE"""),468.0)</f>
        <v>468</v>
      </c>
      <c r="B468" s="53">
        <f>IFERROR(__xludf.DUMMYFUNCTION("""COMPUTED_VALUE"""),45461.0)</f>
        <v>45461</v>
      </c>
      <c r="C468" s="3">
        <f>IFERROR(__xludf.DUMMYFUNCTION("""COMPUTED_VALUE"""),94.0)</f>
        <v>94</v>
      </c>
      <c r="D468" s="3" t="str">
        <f>IFERROR(__xludf.DUMMYFUNCTION("""COMPUTED_VALUE"""),"1.117")</f>
        <v>1.117</v>
      </c>
      <c r="E468" s="54">
        <f>IFERROR(__xludf.DUMMYFUNCTION("""COMPUTED_VALUE"""),11600.0)</f>
        <v>11600</v>
      </c>
      <c r="F468" s="3" t="str">
        <f>IFERROR(__xludf.DUMMYFUNCTION("""COMPUTED_VALUE"""),"Torrontes")</f>
        <v>Torrontes</v>
      </c>
      <c r="G468" s="3"/>
      <c r="H468" s="3"/>
      <c r="I468" s="3"/>
      <c r="J468" s="3"/>
      <c r="K468" s="57">
        <f>IFERROR(__xludf.DUMMYFUNCTION("""COMPUTED_VALUE"""),3.62)</f>
        <v>3.62</v>
      </c>
      <c r="L468" s="54">
        <f>IFERROR(__xludf.DUMMYFUNCTION("""COMPUTED_VALUE"""),20.0)</f>
        <v>20</v>
      </c>
      <c r="M468" s="3">
        <f>IFERROR(__xludf.DUMMYFUNCTION("""COMPUTED_VALUE"""),119.0)</f>
        <v>119</v>
      </c>
      <c r="N468" s="3"/>
      <c r="O468" s="3"/>
      <c r="P468" s="3"/>
      <c r="Q468" s="3"/>
      <c r="R468" s="3"/>
      <c r="S468" s="3"/>
      <c r="T468" s="5"/>
      <c r="U468" s="5"/>
      <c r="V468" s="5"/>
      <c r="W468" s="5"/>
    </row>
    <row r="469" ht="15.75" customHeight="1">
      <c r="A469" s="3">
        <f>IFERROR(__xludf.DUMMYFUNCTION("""COMPUTED_VALUE"""),469.0)</f>
        <v>469</v>
      </c>
      <c r="B469" s="53">
        <f>IFERROR(__xludf.DUMMYFUNCTION("""COMPUTED_VALUE"""),45462.0)</f>
        <v>45462</v>
      </c>
      <c r="C469" s="3">
        <f>IFERROR(__xludf.DUMMYFUNCTION("""COMPUTED_VALUE"""),106.0)</f>
        <v>106</v>
      </c>
      <c r="D469" s="3" t="str">
        <f>IFERROR(__xludf.DUMMYFUNCTION("""COMPUTED_VALUE"""),"#REF!")</f>
        <v>#REF!</v>
      </c>
      <c r="E469" s="3"/>
      <c r="F469" s="3" t="str">
        <f>IFERROR(__xludf.DUMMYFUNCTION("""COMPUTED_VALUE"""),"Chardonnay")</f>
        <v>Chardonnay</v>
      </c>
      <c r="G469" s="3"/>
      <c r="H469" s="3"/>
      <c r="I469" s="3"/>
      <c r="J469" s="3"/>
      <c r="K469" s="57">
        <f>IFERROR(__xludf.DUMMYFUNCTION("""COMPUTED_VALUE"""),3.4)</f>
        <v>3.4</v>
      </c>
      <c r="L469" s="54">
        <f>IFERROR(__xludf.DUMMYFUNCTION("""COMPUTED_VALUE"""),45.0)</f>
        <v>45</v>
      </c>
      <c r="M469" s="3">
        <f>IFERROR(__xludf.DUMMYFUNCTION("""COMPUTED_VALUE"""),133.0)</f>
        <v>133</v>
      </c>
      <c r="N469" s="3"/>
      <c r="O469" s="3"/>
      <c r="P469" s="3"/>
      <c r="Q469" s="3"/>
      <c r="R469" s="3"/>
      <c r="S469" s="3"/>
      <c r="T469" s="5"/>
      <c r="U469" s="5"/>
      <c r="V469" s="5"/>
      <c r="W469" s="5"/>
    </row>
    <row r="470" ht="15.75" customHeight="1">
      <c r="A470" s="3">
        <f>IFERROR(__xludf.DUMMYFUNCTION("""COMPUTED_VALUE"""),470.0)</f>
        <v>470</v>
      </c>
      <c r="B470" s="53">
        <f>IFERROR(__xludf.DUMMYFUNCTION("""COMPUTED_VALUE"""),45462.0)</f>
        <v>45462</v>
      </c>
      <c r="C470" s="3">
        <f>IFERROR(__xludf.DUMMYFUNCTION("""COMPUTED_VALUE"""),89.0)</f>
        <v>89</v>
      </c>
      <c r="D470" s="3" t="str">
        <f>IFERROR(__xludf.DUMMYFUNCTION("""COMPUTED_VALUE"""),"#REF!")</f>
        <v>#REF!</v>
      </c>
      <c r="E470" s="54">
        <f>IFERROR(__xludf.DUMMYFUNCTION("""COMPUTED_VALUE"""),83500.0)</f>
        <v>83500</v>
      </c>
      <c r="F470" s="3" t="str">
        <f>IFERROR(__xludf.DUMMYFUNCTION("""COMPUTED_VALUE"""),"Malbec Tangencial")</f>
        <v>Malbec Tangencial</v>
      </c>
      <c r="G470" s="55">
        <f>IFERROR(__xludf.DUMMYFUNCTION("""COMPUTED_VALUE"""),13.0)</f>
        <v>13</v>
      </c>
      <c r="H470" s="56">
        <f>IFERROR(__xludf.DUMMYFUNCTION("""COMPUTED_VALUE"""),2.97)</f>
        <v>2.97</v>
      </c>
      <c r="I470" s="57">
        <f>IFERROR(__xludf.DUMMYFUNCTION("""COMPUTED_VALUE"""),0.71)</f>
        <v>0.71</v>
      </c>
      <c r="J470" s="57">
        <f>IFERROR(__xludf.DUMMYFUNCTION("""COMPUTED_VALUE"""),4.74)</f>
        <v>4.74</v>
      </c>
      <c r="K470" s="57">
        <f>IFERROR(__xludf.DUMMYFUNCTION("""COMPUTED_VALUE"""),3.89)</f>
        <v>3.89</v>
      </c>
      <c r="L470" s="54">
        <f>IFERROR(__xludf.DUMMYFUNCTION("""COMPUTED_VALUE"""),32.0)</f>
        <v>32</v>
      </c>
      <c r="M470" s="3">
        <f>IFERROR(__xludf.DUMMYFUNCTION("""COMPUTED_VALUE"""),150.0)</f>
        <v>150</v>
      </c>
      <c r="N470" s="3"/>
      <c r="O470" s="3"/>
      <c r="P470" s="3"/>
      <c r="Q470" s="3"/>
      <c r="R470" s="3"/>
      <c r="S470" s="3"/>
      <c r="T470" s="5"/>
      <c r="U470" s="5"/>
      <c r="V470" s="5"/>
      <c r="W470" s="5"/>
    </row>
    <row r="471" ht="15.75" customHeight="1">
      <c r="A471" s="3">
        <f>IFERROR(__xludf.DUMMYFUNCTION("""COMPUTED_VALUE"""),471.0)</f>
        <v>471</v>
      </c>
      <c r="B471" s="53">
        <f>IFERROR(__xludf.DUMMYFUNCTION("""COMPUTED_VALUE"""),45462.0)</f>
        <v>45462</v>
      </c>
      <c r="C471" s="3">
        <f>IFERROR(__xludf.DUMMYFUNCTION("""COMPUTED_VALUE"""),92.0)</f>
        <v>92</v>
      </c>
      <c r="D471" s="3" t="str">
        <f>IFERROR(__xludf.DUMMYFUNCTION("""COMPUTED_VALUE"""),"#REF!")</f>
        <v>#REF!</v>
      </c>
      <c r="E471" s="3"/>
      <c r="F471" s="3" t="str">
        <f>IFERROR(__xludf.DUMMYFUNCTION("""COMPUTED_VALUE"""),"Bonarda")</f>
        <v>Bonarda</v>
      </c>
      <c r="G471" s="55">
        <f>IFERROR(__xludf.DUMMYFUNCTION("""COMPUTED_VALUE"""),13.0)</f>
        <v>13</v>
      </c>
      <c r="H471" s="56">
        <f>IFERROR(__xludf.DUMMYFUNCTION("""COMPUTED_VALUE"""),2.9)</f>
        <v>2.9</v>
      </c>
      <c r="I471" s="57">
        <f>IFERROR(__xludf.DUMMYFUNCTION("""COMPUTED_VALUE"""),0.5)</f>
        <v>0.5</v>
      </c>
      <c r="J471" s="57">
        <f>IFERROR(__xludf.DUMMYFUNCTION("""COMPUTED_VALUE"""),5.35)</f>
        <v>5.35</v>
      </c>
      <c r="K471" s="57">
        <f>IFERROR(__xludf.DUMMYFUNCTION("""COMPUTED_VALUE"""),3.67)</f>
        <v>3.67</v>
      </c>
      <c r="L471" s="54">
        <f>IFERROR(__xludf.DUMMYFUNCTION("""COMPUTED_VALUE"""),19.0)</f>
        <v>19</v>
      </c>
      <c r="M471" s="3">
        <f>IFERROR(__xludf.DUMMYFUNCTION("""COMPUTED_VALUE"""),130.0)</f>
        <v>130</v>
      </c>
      <c r="N471" s="3"/>
      <c r="O471" s="3"/>
      <c r="P471" s="3"/>
      <c r="Q471" s="3"/>
      <c r="R471" s="3"/>
      <c r="S471" s="3"/>
      <c r="T471" s="5"/>
      <c r="U471" s="5"/>
      <c r="V471" s="5"/>
      <c r="W471" s="5"/>
    </row>
    <row r="472" ht="15.75" customHeight="1">
      <c r="A472" s="3">
        <f>IFERROR(__xludf.DUMMYFUNCTION("""COMPUTED_VALUE"""),472.0)</f>
        <v>472</v>
      </c>
      <c r="B472" s="53">
        <f>IFERROR(__xludf.DUMMYFUNCTION("""COMPUTED_VALUE"""),45467.0)</f>
        <v>45467</v>
      </c>
      <c r="C472" s="3">
        <f>IFERROR(__xludf.DUMMYFUNCTION("""COMPUTED_VALUE"""),11.0)</f>
        <v>11</v>
      </c>
      <c r="D472" s="3" t="str">
        <f>IFERROR(__xludf.DUMMYFUNCTION("""COMPUTED_VALUE"""),"#REF!")</f>
        <v>#REF!</v>
      </c>
      <c r="E472" s="3"/>
      <c r="F472" s="3" t="str">
        <f>IFERROR(__xludf.DUMMYFUNCTION("""COMPUTED_VALUE"""),"claro filtro")</f>
        <v>claro filtro</v>
      </c>
      <c r="G472" s="3"/>
      <c r="H472" s="3"/>
      <c r="I472" s="57">
        <f>IFERROR(__xludf.DUMMYFUNCTION("""COMPUTED_VALUE"""),0.7)</f>
        <v>0.7</v>
      </c>
      <c r="J472" s="3"/>
      <c r="K472" s="3"/>
      <c r="L472" s="54">
        <f>IFERROR(__xludf.DUMMYFUNCTION("""COMPUTED_VALUE"""),250.0)</f>
        <v>250</v>
      </c>
      <c r="M472" s="3"/>
      <c r="N472" s="3"/>
      <c r="O472" s="3"/>
      <c r="P472" s="3"/>
      <c r="Q472" s="3"/>
      <c r="R472" s="3"/>
      <c r="S472" s="3"/>
      <c r="T472" s="5"/>
      <c r="U472" s="5"/>
      <c r="V472" s="5"/>
      <c r="W472" s="5"/>
    </row>
    <row r="473" ht="15.75" customHeight="1">
      <c r="A473" s="3">
        <f>IFERROR(__xludf.DUMMYFUNCTION("""COMPUTED_VALUE"""),473.0)</f>
        <v>473</v>
      </c>
      <c r="B473" s="53">
        <f>IFERROR(__xludf.DUMMYFUNCTION("""COMPUTED_VALUE"""),45474.0)</f>
        <v>45474</v>
      </c>
      <c r="C473" s="3">
        <f>IFERROR(__xludf.DUMMYFUNCTION("""COMPUTED_VALUE"""),116.0)</f>
        <v>116</v>
      </c>
      <c r="D473" s="3" t="str">
        <f>IFERROR(__xludf.DUMMYFUNCTION("""COMPUTED_VALUE"""),"#REF!")</f>
        <v>#REF!</v>
      </c>
      <c r="E473" s="3"/>
      <c r="F473" s="3" t="str">
        <f>IFERROR(__xludf.DUMMYFUNCTION("""COMPUTED_VALUE"""),"Cabernet")</f>
        <v>Cabernet</v>
      </c>
      <c r="G473" s="55">
        <f>IFERROR(__xludf.DUMMYFUNCTION("""COMPUTED_VALUE"""),13.0)</f>
        <v>13</v>
      </c>
      <c r="H473" s="56">
        <f>IFERROR(__xludf.DUMMYFUNCTION("""COMPUTED_VALUE"""),2.56)</f>
        <v>2.56</v>
      </c>
      <c r="I473" s="57">
        <f>IFERROR(__xludf.DUMMYFUNCTION("""COMPUTED_VALUE"""),0.67)</f>
        <v>0.67</v>
      </c>
      <c r="J473" s="57">
        <f>IFERROR(__xludf.DUMMYFUNCTION("""COMPUTED_VALUE"""),5.0)</f>
        <v>5</v>
      </c>
      <c r="K473" s="57">
        <f>IFERROR(__xludf.DUMMYFUNCTION("""COMPUTED_VALUE"""),3.68)</f>
        <v>3.68</v>
      </c>
      <c r="L473" s="54">
        <f>IFERROR(__xludf.DUMMYFUNCTION("""COMPUTED_VALUE"""),25.0)</f>
        <v>25</v>
      </c>
      <c r="M473" s="3">
        <f>IFERROR(__xludf.DUMMYFUNCTION("""COMPUTED_VALUE"""),115.0)</f>
        <v>115</v>
      </c>
      <c r="N473" s="3"/>
      <c r="O473" s="3"/>
      <c r="P473" s="3"/>
      <c r="Q473" s="3"/>
      <c r="R473" s="3"/>
      <c r="S473" s="3"/>
      <c r="T473" s="5"/>
      <c r="U473" s="5"/>
      <c r="V473" s="5"/>
      <c r="W473" s="5"/>
    </row>
    <row r="474" ht="15.75" customHeight="1">
      <c r="A474" s="3">
        <f>IFERROR(__xludf.DUMMYFUNCTION("""COMPUTED_VALUE"""),474.0)</f>
        <v>474</v>
      </c>
      <c r="B474" s="53">
        <f>IFERROR(__xludf.DUMMYFUNCTION("""COMPUTED_VALUE"""),45471.0)</f>
        <v>45471</v>
      </c>
      <c r="C474" s="3">
        <f>IFERROR(__xludf.DUMMYFUNCTION("""COMPUTED_VALUE"""),16.0)</f>
        <v>16</v>
      </c>
      <c r="D474" s="3" t="str">
        <f>IFERROR(__xludf.DUMMYFUNCTION("""COMPUTED_VALUE"""),"19.500")</f>
        <v>19.500</v>
      </c>
      <c r="E474" s="54">
        <f>IFERROR(__xludf.DUMMYFUNCTION("""COMPUTED_VALUE"""),19500.0)</f>
        <v>19500</v>
      </c>
      <c r="F474" s="3" t="str">
        <f>IFERROR(__xludf.DUMMYFUNCTION("""COMPUTED_VALUE"""),"Claro de filtro Tangencial")</f>
        <v>Claro de filtro Tangencial</v>
      </c>
      <c r="G474" s="55">
        <f>IFERROR(__xludf.DUMMYFUNCTION("""COMPUTED_VALUE"""),12.7)</f>
        <v>12.7</v>
      </c>
      <c r="H474" s="56">
        <f>IFERROR(__xludf.DUMMYFUNCTION("""COMPUTED_VALUE"""),2.2)</f>
        <v>2.2</v>
      </c>
      <c r="I474" s="57">
        <f>IFERROR(__xludf.DUMMYFUNCTION("""COMPUTED_VALUE"""),0.75)</f>
        <v>0.75</v>
      </c>
      <c r="J474" s="57">
        <f>IFERROR(__xludf.DUMMYFUNCTION("""COMPUTED_VALUE"""),4.43)</f>
        <v>4.43</v>
      </c>
      <c r="K474" s="57">
        <f>IFERROR(__xludf.DUMMYFUNCTION("""COMPUTED_VALUE"""),3.78)</f>
        <v>3.78</v>
      </c>
      <c r="L474" s="54">
        <f>IFERROR(__xludf.DUMMYFUNCTION("""COMPUTED_VALUE"""),90.0)</f>
        <v>90</v>
      </c>
      <c r="M474" s="3">
        <f>IFERROR(__xludf.DUMMYFUNCTION("""COMPUTED_VALUE"""),217.0)</f>
        <v>217</v>
      </c>
      <c r="N474" s="3"/>
      <c r="O474" s="3"/>
      <c r="P474" s="3"/>
      <c r="Q474" s="3"/>
      <c r="R474" s="3"/>
      <c r="S474" s="3"/>
      <c r="T474" s="5"/>
      <c r="U474" s="5"/>
      <c r="V474" s="5"/>
      <c r="W474" s="5"/>
    </row>
    <row r="475" ht="15.75" customHeight="1">
      <c r="A475" s="3">
        <f>IFERROR(__xludf.DUMMYFUNCTION("""COMPUTED_VALUE"""),475.0)</f>
        <v>475</v>
      </c>
      <c r="B475" s="3"/>
      <c r="C475" s="3">
        <f>IFERROR(__xludf.DUMMYFUNCTION("""COMPUTED_VALUE"""),86.0)</f>
        <v>86</v>
      </c>
      <c r="D475" s="3" t="str">
        <f>IFERROR(__xludf.DUMMYFUNCTION("""COMPUTED_VALUE"""),"88.000")</f>
        <v>88.000</v>
      </c>
      <c r="E475" s="3"/>
      <c r="F475" s="3" t="str">
        <f>IFERROR(__xludf.DUMMYFUNCTION("""COMPUTED_VALUE"""),"Malbec Tangencial")</f>
        <v>Malbec Tangencial</v>
      </c>
      <c r="G475" s="55">
        <f>IFERROR(__xludf.DUMMYFUNCTION("""COMPUTED_VALUE"""),13.0)</f>
        <v>13</v>
      </c>
      <c r="H475" s="56">
        <f>IFERROR(__xludf.DUMMYFUNCTION("""COMPUTED_VALUE"""),2.0)</f>
        <v>2</v>
      </c>
      <c r="I475" s="57">
        <f>IFERROR(__xludf.DUMMYFUNCTION("""COMPUTED_VALUE"""),0.66)</f>
        <v>0.66</v>
      </c>
      <c r="J475" s="57">
        <f>IFERROR(__xludf.DUMMYFUNCTION("""COMPUTED_VALUE"""),4.9)</f>
        <v>4.9</v>
      </c>
      <c r="K475" s="57">
        <f>IFERROR(__xludf.DUMMYFUNCTION("""COMPUTED_VALUE"""),3.7)</f>
        <v>3.7</v>
      </c>
      <c r="L475" s="54">
        <f>IFERROR(__xludf.DUMMYFUNCTION("""COMPUTED_VALUE"""),32.0)</f>
        <v>32</v>
      </c>
      <c r="M475" s="3">
        <f>IFERROR(__xludf.DUMMYFUNCTION("""COMPUTED_VALUE"""),140.0)</f>
        <v>140</v>
      </c>
      <c r="N475" s="3"/>
      <c r="O475" s="3"/>
      <c r="P475" s="3"/>
      <c r="Q475" s="3"/>
      <c r="R475" s="3"/>
      <c r="S475" s="3"/>
      <c r="T475" s="5"/>
      <c r="U475" s="5"/>
      <c r="V475" s="5"/>
      <c r="W475" s="5"/>
    </row>
    <row r="476" ht="15.75" customHeight="1">
      <c r="A476" s="3">
        <f>IFERROR(__xludf.DUMMYFUNCTION("""COMPUTED_VALUE"""),476.0)</f>
        <v>476</v>
      </c>
      <c r="B476" s="53">
        <f>IFERROR(__xludf.DUMMYFUNCTION("""COMPUTED_VALUE"""),45475.0)</f>
        <v>45475</v>
      </c>
      <c r="C476" s="3">
        <f>IFERROR(__xludf.DUMMYFUNCTION("""COMPUTED_VALUE"""),7.0)</f>
        <v>7</v>
      </c>
      <c r="D476" s="3" t="str">
        <f>IFERROR(__xludf.DUMMYFUNCTION("""COMPUTED_VALUE"""),"1.213")</f>
        <v>1.213</v>
      </c>
      <c r="E476" s="54">
        <f>IFERROR(__xludf.DUMMYFUNCTION("""COMPUTED_VALUE"""),30000.0)</f>
        <v>30000</v>
      </c>
      <c r="F476" s="3" t="str">
        <f>IFERROR(__xludf.DUMMYFUNCTION("""COMPUTED_VALUE"""),"Tinto")</f>
        <v>Tinto</v>
      </c>
      <c r="G476" s="3"/>
      <c r="H476" s="3"/>
      <c r="I476" s="3"/>
      <c r="J476" s="3"/>
      <c r="K476" s="57">
        <f>IFERROR(__xludf.DUMMYFUNCTION("""COMPUTED_VALUE"""),3.44)</f>
        <v>3.44</v>
      </c>
      <c r="L476" s="54">
        <f>IFERROR(__xludf.DUMMYFUNCTION("""COMPUTED_VALUE"""),51.0)</f>
        <v>51</v>
      </c>
      <c r="M476" s="3">
        <f>IFERROR(__xludf.DUMMYFUNCTION("""COMPUTED_VALUE"""),162.0)</f>
        <v>162</v>
      </c>
      <c r="N476" s="3"/>
      <c r="O476" s="3"/>
      <c r="P476" s="3"/>
      <c r="Q476" s="3"/>
      <c r="R476" s="3"/>
      <c r="S476" s="3"/>
      <c r="T476" s="5"/>
      <c r="U476" s="5"/>
      <c r="V476" s="5"/>
      <c r="W476" s="5"/>
    </row>
    <row r="477" ht="15.75" customHeight="1">
      <c r="A477" s="3">
        <f>IFERROR(__xludf.DUMMYFUNCTION("""COMPUTED_VALUE"""),477.0)</f>
        <v>477</v>
      </c>
      <c r="B477" s="53">
        <f>IFERROR(__xludf.DUMMYFUNCTION("""COMPUTED_VALUE"""),45475.0)</f>
        <v>45475</v>
      </c>
      <c r="C477" s="3">
        <f>IFERROR(__xludf.DUMMYFUNCTION("""COMPUTED_VALUE"""),9.0)</f>
        <v>9</v>
      </c>
      <c r="D477" s="3" t="str">
        <f>IFERROR(__xludf.DUMMYFUNCTION("""COMPUTED_VALUE"""),"1.242")</f>
        <v>1.242</v>
      </c>
      <c r="E477" s="54">
        <f>IFERROR(__xludf.DUMMYFUNCTION("""COMPUTED_VALUE"""),30000.0)</f>
        <v>30000</v>
      </c>
      <c r="F477" s="3" t="str">
        <f>IFERROR(__xludf.DUMMYFUNCTION("""COMPUTED_VALUE"""),"Tinto T")</f>
        <v>Tinto T</v>
      </c>
      <c r="G477" s="3"/>
      <c r="H477" s="3"/>
      <c r="I477" s="3"/>
      <c r="J477" s="3"/>
      <c r="K477" s="57">
        <f>IFERROR(__xludf.DUMMYFUNCTION("""COMPUTED_VALUE"""),3.73)</f>
        <v>3.73</v>
      </c>
      <c r="L477" s="54">
        <f>IFERROR(__xludf.DUMMYFUNCTION("""COMPUTED_VALUE"""),38.0)</f>
        <v>38</v>
      </c>
      <c r="M477" s="3">
        <f>IFERROR(__xludf.DUMMYFUNCTION("""COMPUTED_VALUE"""),211.0)</f>
        <v>211</v>
      </c>
      <c r="N477" s="3"/>
      <c r="O477" s="3"/>
      <c r="P477" s="3"/>
      <c r="Q477" s="3"/>
      <c r="R477" s="3"/>
      <c r="S477" s="3"/>
      <c r="T477" s="5"/>
      <c r="U477" s="5"/>
      <c r="V477" s="5"/>
      <c r="W477" s="5"/>
    </row>
    <row r="478" ht="15.75" customHeight="1">
      <c r="A478" s="3">
        <f>IFERROR(__xludf.DUMMYFUNCTION("""COMPUTED_VALUE"""),478.0)</f>
        <v>478</v>
      </c>
      <c r="B478" s="53">
        <f>IFERROR(__xludf.DUMMYFUNCTION("""COMPUTED_VALUE"""),45475.0)</f>
        <v>45475</v>
      </c>
      <c r="C478" s="3">
        <f>IFERROR(__xludf.DUMMYFUNCTION("""COMPUTED_VALUE"""),24.0)</f>
        <v>24</v>
      </c>
      <c r="D478" s="3" t="str">
        <f>IFERROR(__xludf.DUMMYFUNCTION("""COMPUTED_VALUE"""),"1.220")</f>
        <v>1.220</v>
      </c>
      <c r="E478" s="54">
        <f>IFERROR(__xludf.DUMMYFUNCTION("""COMPUTED_VALUE"""),186600.0)</f>
        <v>186600</v>
      </c>
      <c r="F478" s="3" t="str">
        <f>IFERROR(__xludf.DUMMYFUNCTION("""COMPUTED_VALUE"""),"Tinto")</f>
        <v>Tinto</v>
      </c>
      <c r="G478" s="3"/>
      <c r="H478" s="3"/>
      <c r="I478" s="3"/>
      <c r="J478" s="3"/>
      <c r="K478" s="57">
        <f>IFERROR(__xludf.DUMMYFUNCTION("""COMPUTED_VALUE"""),3.67)</f>
        <v>3.67</v>
      </c>
      <c r="L478" s="54">
        <f>IFERROR(__xludf.DUMMYFUNCTION("""COMPUTED_VALUE"""),20.0)</f>
        <v>20</v>
      </c>
      <c r="M478" s="3">
        <f>IFERROR(__xludf.DUMMYFUNCTION("""COMPUTED_VALUE"""),145.0)</f>
        <v>145</v>
      </c>
      <c r="N478" s="3"/>
      <c r="O478" s="3"/>
      <c r="P478" s="3"/>
      <c r="Q478" s="3"/>
      <c r="R478" s="3"/>
      <c r="S478" s="3"/>
      <c r="T478" s="5"/>
      <c r="U478" s="5"/>
      <c r="V478" s="5"/>
      <c r="W478" s="5"/>
    </row>
    <row r="479" ht="15.75" customHeight="1">
      <c r="A479" s="3">
        <f>IFERROR(__xludf.DUMMYFUNCTION("""COMPUTED_VALUE"""),479.0)</f>
        <v>479</v>
      </c>
      <c r="B479" s="53">
        <f>IFERROR(__xludf.DUMMYFUNCTION("""COMPUTED_VALUE"""),45475.0)</f>
        <v>45475</v>
      </c>
      <c r="C479" s="3">
        <f>IFERROR(__xludf.DUMMYFUNCTION("""COMPUTED_VALUE"""),25.0)</f>
        <v>25</v>
      </c>
      <c r="D479" s="3" t="str">
        <f>IFERROR(__xludf.DUMMYFUNCTION("""COMPUTED_VALUE"""),"1.231")</f>
        <v>1.231</v>
      </c>
      <c r="E479" s="54">
        <f>IFERROR(__xludf.DUMMYFUNCTION("""COMPUTED_VALUE"""),194300.0)</f>
        <v>194300</v>
      </c>
      <c r="F479" s="3" t="str">
        <f>IFERROR(__xludf.DUMMYFUNCTION("""COMPUTED_VALUE"""),"Syrah")</f>
        <v>Syrah</v>
      </c>
      <c r="G479" s="3"/>
      <c r="H479" s="3"/>
      <c r="I479" s="3"/>
      <c r="J479" s="3"/>
      <c r="K479" s="57">
        <f>IFERROR(__xludf.DUMMYFUNCTION("""COMPUTED_VALUE"""),3.67)</f>
        <v>3.67</v>
      </c>
      <c r="L479" s="54">
        <f>IFERROR(__xludf.DUMMYFUNCTION("""COMPUTED_VALUE"""),32.0)</f>
        <v>32</v>
      </c>
      <c r="M479" s="3">
        <f>IFERROR(__xludf.DUMMYFUNCTION("""COMPUTED_VALUE"""),102.0)</f>
        <v>102</v>
      </c>
      <c r="N479" s="3"/>
      <c r="O479" s="3"/>
      <c r="P479" s="3"/>
      <c r="Q479" s="3"/>
      <c r="R479" s="3"/>
      <c r="S479" s="3"/>
      <c r="T479" s="5"/>
      <c r="U479" s="5"/>
      <c r="V479" s="5"/>
      <c r="W479" s="5"/>
    </row>
    <row r="480" ht="15.75" customHeight="1">
      <c r="A480" s="3">
        <f>IFERROR(__xludf.DUMMYFUNCTION("""COMPUTED_VALUE"""),480.0)</f>
        <v>480</v>
      </c>
      <c r="B480" s="53">
        <f>IFERROR(__xludf.DUMMYFUNCTION("""COMPUTED_VALUE"""),45475.0)</f>
        <v>45475</v>
      </c>
      <c r="C480" s="3">
        <f>IFERROR(__xludf.DUMMYFUNCTION("""COMPUTED_VALUE"""),26.0)</f>
        <v>26</v>
      </c>
      <c r="D480" s="3" t="str">
        <f>IFERROR(__xludf.DUMMYFUNCTION("""COMPUTED_VALUE"""),"1.233")</f>
        <v>1.233</v>
      </c>
      <c r="E480" s="54">
        <f>IFERROR(__xludf.DUMMYFUNCTION("""COMPUTED_VALUE"""),207600.0)</f>
        <v>207600</v>
      </c>
      <c r="F480" s="3" t="str">
        <f>IFERROR(__xludf.DUMMYFUNCTION("""COMPUTED_VALUE"""),"Tinto Recarga")</f>
        <v>Tinto Recarga</v>
      </c>
      <c r="G480" s="3"/>
      <c r="H480" s="3"/>
      <c r="I480" s="3"/>
      <c r="J480" s="3"/>
      <c r="K480" s="57">
        <f>IFERROR(__xludf.DUMMYFUNCTION("""COMPUTED_VALUE"""),3.62)</f>
        <v>3.62</v>
      </c>
      <c r="L480" s="54">
        <f>IFERROR(__xludf.DUMMYFUNCTION("""COMPUTED_VALUE"""),20.0)</f>
        <v>20</v>
      </c>
      <c r="M480" s="3">
        <f>IFERROR(__xludf.DUMMYFUNCTION("""COMPUTED_VALUE"""),130.0)</f>
        <v>130</v>
      </c>
      <c r="N480" s="3"/>
      <c r="O480" s="3"/>
      <c r="P480" s="3"/>
      <c r="Q480" s="3"/>
      <c r="R480" s="3"/>
      <c r="S480" s="3"/>
      <c r="T480" s="5"/>
      <c r="U480" s="5"/>
      <c r="V480" s="5"/>
      <c r="W480" s="5"/>
    </row>
    <row r="481" ht="15.75" customHeight="1">
      <c r="A481" s="3">
        <f>IFERROR(__xludf.DUMMYFUNCTION("""COMPUTED_VALUE"""),481.0)</f>
        <v>481</v>
      </c>
      <c r="B481" s="53">
        <f>IFERROR(__xludf.DUMMYFUNCTION("""COMPUTED_VALUE"""),45475.0)</f>
        <v>45475</v>
      </c>
      <c r="C481" s="3">
        <f>IFERROR(__xludf.DUMMYFUNCTION("""COMPUTED_VALUE"""),30.0)</f>
        <v>30</v>
      </c>
      <c r="D481" s="3" t="str">
        <f>IFERROR(__xludf.DUMMYFUNCTION("""COMPUTED_VALUE"""),"#REF!")</f>
        <v>#REF!</v>
      </c>
      <c r="E481" s="3"/>
      <c r="F481" s="3" t="str">
        <f>IFERROR(__xludf.DUMMYFUNCTION("""COMPUTED_VALUE"""),"Merlot 2023")</f>
        <v>Merlot 2023</v>
      </c>
      <c r="G481" s="3"/>
      <c r="H481" s="3"/>
      <c r="I481" s="3"/>
      <c r="J481" s="3"/>
      <c r="K481" s="57">
        <f>IFERROR(__xludf.DUMMYFUNCTION("""COMPUTED_VALUE"""),3.6)</f>
        <v>3.6</v>
      </c>
      <c r="L481" s="54">
        <f>IFERROR(__xludf.DUMMYFUNCTION("""COMPUTED_VALUE"""),28.0)</f>
        <v>28</v>
      </c>
      <c r="M481" s="3">
        <f>IFERROR(__xludf.DUMMYFUNCTION("""COMPUTED_VALUE"""),80.0)</f>
        <v>80</v>
      </c>
      <c r="N481" s="3"/>
      <c r="O481" s="3"/>
      <c r="P481" s="3"/>
      <c r="Q481" s="3"/>
      <c r="R481" s="3"/>
      <c r="S481" s="3"/>
      <c r="T481" s="5"/>
      <c r="U481" s="5"/>
      <c r="V481" s="5"/>
      <c r="W481" s="5"/>
    </row>
    <row r="482" ht="15.75" customHeight="1">
      <c r="A482" s="3">
        <f>IFERROR(__xludf.DUMMYFUNCTION("""COMPUTED_VALUE"""),482.0)</f>
        <v>482</v>
      </c>
      <c r="B482" s="53">
        <f>IFERROR(__xludf.DUMMYFUNCTION("""COMPUTED_VALUE"""),45475.0)</f>
        <v>45475</v>
      </c>
      <c r="C482" s="3">
        <f>IFERROR(__xludf.DUMMYFUNCTION("""COMPUTED_VALUE"""),31.0)</f>
        <v>31</v>
      </c>
      <c r="D482" s="3" t="str">
        <f>IFERROR(__xludf.DUMMYFUNCTION("""COMPUTED_VALUE"""),"1.243")</f>
        <v>1.243</v>
      </c>
      <c r="E482" s="54">
        <f>IFERROR(__xludf.DUMMYFUNCTION("""COMPUTED_VALUE"""),25700.0)</f>
        <v>25700</v>
      </c>
      <c r="F482" s="3" t="str">
        <f>IFERROR(__xludf.DUMMYFUNCTION("""COMPUTED_VALUE"""),"Tinto T")</f>
        <v>Tinto T</v>
      </c>
      <c r="G482" s="3"/>
      <c r="H482" s="3"/>
      <c r="I482" s="3"/>
      <c r="J482" s="3"/>
      <c r="K482" s="57">
        <f>IFERROR(__xludf.DUMMYFUNCTION("""COMPUTED_VALUE"""),3.75)</f>
        <v>3.75</v>
      </c>
      <c r="L482" s="54">
        <f>IFERROR(__xludf.DUMMYFUNCTION("""COMPUTED_VALUE"""),25.0)</f>
        <v>25</v>
      </c>
      <c r="M482" s="3">
        <f>IFERROR(__xludf.DUMMYFUNCTION("""COMPUTED_VALUE"""),156.0)</f>
        <v>156</v>
      </c>
      <c r="N482" s="3"/>
      <c r="O482" s="3"/>
      <c r="P482" s="3"/>
      <c r="Q482" s="3"/>
      <c r="R482" s="3"/>
      <c r="S482" s="3"/>
      <c r="T482" s="5"/>
      <c r="U482" s="5"/>
      <c r="V482" s="5"/>
      <c r="W482" s="5"/>
    </row>
    <row r="483" ht="15.75" customHeight="1">
      <c r="A483" s="3">
        <f>IFERROR(__xludf.DUMMYFUNCTION("""COMPUTED_VALUE"""),483.0)</f>
        <v>483</v>
      </c>
      <c r="B483" s="53">
        <f>IFERROR(__xludf.DUMMYFUNCTION("""COMPUTED_VALUE"""),45475.0)</f>
        <v>45475</v>
      </c>
      <c r="C483" s="3">
        <f>IFERROR(__xludf.DUMMYFUNCTION("""COMPUTED_VALUE"""),36.0)</f>
        <v>36</v>
      </c>
      <c r="D483" s="3" t="str">
        <f>IFERROR(__xludf.DUMMYFUNCTION("""COMPUTED_VALUE"""),"1.247")</f>
        <v>1.247</v>
      </c>
      <c r="E483" s="54">
        <f>IFERROR(__xludf.DUMMYFUNCTION("""COMPUTED_VALUE"""),19700.0)</f>
        <v>19700</v>
      </c>
      <c r="F483" s="3" t="str">
        <f>IFERROR(__xludf.DUMMYFUNCTION("""COMPUTED_VALUE"""),"Syrah s/Asp")</f>
        <v>Syrah s/Asp</v>
      </c>
      <c r="G483" s="3"/>
      <c r="H483" s="3"/>
      <c r="I483" s="3"/>
      <c r="J483" s="3"/>
      <c r="K483" s="57">
        <f>IFERROR(__xludf.DUMMYFUNCTION("""COMPUTED_VALUE"""),3.68)</f>
        <v>3.68</v>
      </c>
      <c r="L483" s="54">
        <f>IFERROR(__xludf.DUMMYFUNCTION("""COMPUTED_VALUE"""),38.0)</f>
        <v>38</v>
      </c>
      <c r="M483" s="3">
        <f>IFERROR(__xludf.DUMMYFUNCTION("""COMPUTED_VALUE"""),115.0)</f>
        <v>115</v>
      </c>
      <c r="N483" s="3"/>
      <c r="O483" s="3"/>
      <c r="P483" s="3"/>
      <c r="Q483" s="3"/>
      <c r="R483" s="3"/>
      <c r="S483" s="3"/>
      <c r="T483" s="5"/>
      <c r="U483" s="5"/>
      <c r="V483" s="5"/>
      <c r="W483" s="5"/>
    </row>
    <row r="484" ht="15.75" customHeight="1">
      <c r="A484" s="3">
        <f>IFERROR(__xludf.DUMMYFUNCTION("""COMPUTED_VALUE"""),484.0)</f>
        <v>484</v>
      </c>
      <c r="B484" s="53">
        <f>IFERROR(__xludf.DUMMYFUNCTION("""COMPUTED_VALUE"""),45475.0)</f>
        <v>45475</v>
      </c>
      <c r="C484" s="3">
        <f>IFERROR(__xludf.DUMMYFUNCTION("""COMPUTED_VALUE"""),45.0)</f>
        <v>45</v>
      </c>
      <c r="D484" s="3" t="str">
        <f>IFERROR(__xludf.DUMMYFUNCTION("""COMPUTED_VALUE"""),"1.234")</f>
        <v>1.234</v>
      </c>
      <c r="E484" s="54">
        <f>IFERROR(__xludf.DUMMYFUNCTION("""COMPUTED_VALUE"""),30000.0)</f>
        <v>30000</v>
      </c>
      <c r="F484" s="3" t="str">
        <f>IFERROR(__xludf.DUMMYFUNCTION("""COMPUTED_VALUE"""),"Criollo Rectificado")</f>
        <v>Criollo Rectificado</v>
      </c>
      <c r="G484" s="3"/>
      <c r="H484" s="3"/>
      <c r="I484" s="3"/>
      <c r="J484" s="3"/>
      <c r="K484" s="57">
        <f>IFERROR(__xludf.DUMMYFUNCTION("""COMPUTED_VALUE"""),3.64)</f>
        <v>3.64</v>
      </c>
      <c r="L484" s="54">
        <f>IFERROR(__xludf.DUMMYFUNCTION("""COMPUTED_VALUE"""),20.0)</f>
        <v>20</v>
      </c>
      <c r="M484" s="3">
        <f>IFERROR(__xludf.DUMMYFUNCTION("""COMPUTED_VALUE"""),87.0)</f>
        <v>87</v>
      </c>
      <c r="N484" s="3"/>
      <c r="O484" s="3"/>
      <c r="P484" s="3"/>
      <c r="Q484" s="3"/>
      <c r="R484" s="3"/>
      <c r="S484" s="3"/>
      <c r="T484" s="5"/>
      <c r="U484" s="5"/>
      <c r="V484" s="5"/>
      <c r="W484" s="5"/>
    </row>
    <row r="485" ht="15.75" customHeight="1">
      <c r="A485" s="3">
        <f>IFERROR(__xludf.DUMMYFUNCTION("""COMPUTED_VALUE"""),485.0)</f>
        <v>485</v>
      </c>
      <c r="B485" s="53">
        <f>IFERROR(__xludf.DUMMYFUNCTION("""COMPUTED_VALUE"""),45475.0)</f>
        <v>45475</v>
      </c>
      <c r="C485" s="3">
        <f>IFERROR(__xludf.DUMMYFUNCTION("""COMPUTED_VALUE"""),51.0)</f>
        <v>51</v>
      </c>
      <c r="D485" s="3" t="str">
        <f>IFERROR(__xludf.DUMMYFUNCTION("""COMPUTED_VALUE"""),"1.118")</f>
        <v>1.118</v>
      </c>
      <c r="E485" s="54">
        <f>IFERROR(__xludf.DUMMYFUNCTION("""COMPUTED_VALUE"""),3900.0)</f>
        <v>3900</v>
      </c>
      <c r="F485" s="3" t="str">
        <f>IFERROR(__xludf.DUMMYFUNCTION("""COMPUTED_VALUE"""),"Syrah Rosado")</f>
        <v>Syrah Rosado</v>
      </c>
      <c r="G485" s="3"/>
      <c r="H485" s="3"/>
      <c r="I485" s="3"/>
      <c r="J485" s="3"/>
      <c r="K485" s="57">
        <f>IFERROR(__xludf.DUMMYFUNCTION("""COMPUTED_VALUE"""),3.45)</f>
        <v>3.45</v>
      </c>
      <c r="L485" s="54">
        <f>IFERROR(__xludf.DUMMYFUNCTION("""COMPUTED_VALUE"""),18.0)</f>
        <v>18</v>
      </c>
      <c r="M485" s="3">
        <f>IFERROR(__xludf.DUMMYFUNCTION("""COMPUTED_VALUE"""),96.0)</f>
        <v>96</v>
      </c>
      <c r="N485" s="3"/>
      <c r="O485" s="3"/>
      <c r="P485" s="3"/>
      <c r="Q485" s="3"/>
      <c r="R485" s="3"/>
      <c r="S485" s="3"/>
      <c r="T485" s="5"/>
      <c r="U485" s="5"/>
      <c r="V485" s="5"/>
      <c r="W485" s="5"/>
    </row>
    <row r="486" ht="15.75" customHeight="1">
      <c r="A486" s="3">
        <f>IFERROR(__xludf.DUMMYFUNCTION("""COMPUTED_VALUE"""),486.0)</f>
        <v>486</v>
      </c>
      <c r="B486" s="53">
        <f>IFERROR(__xludf.DUMMYFUNCTION("""COMPUTED_VALUE"""),45475.0)</f>
        <v>45475</v>
      </c>
      <c r="C486" s="3">
        <f>IFERROR(__xludf.DUMMYFUNCTION("""COMPUTED_VALUE"""),55.0)</f>
        <v>55</v>
      </c>
      <c r="D486" s="3" t="str">
        <f>IFERROR(__xludf.DUMMYFUNCTION("""COMPUTED_VALUE"""),"1.119")</f>
        <v>1.119</v>
      </c>
      <c r="E486" s="54">
        <f>IFERROR(__xludf.DUMMYFUNCTION("""COMPUTED_VALUE"""),3000.0)</f>
        <v>3000</v>
      </c>
      <c r="F486" s="3" t="str">
        <f>IFERROR(__xludf.DUMMYFUNCTION("""COMPUTED_VALUE"""),"Syrah Rosado")</f>
        <v>Syrah Rosado</v>
      </c>
      <c r="G486" s="3"/>
      <c r="H486" s="3"/>
      <c r="I486" s="3"/>
      <c r="J486" s="3"/>
      <c r="K486" s="57">
        <f>IFERROR(__xludf.DUMMYFUNCTION("""COMPUTED_VALUE"""),3.5)</f>
        <v>3.5</v>
      </c>
      <c r="L486" s="54">
        <f>IFERROR(__xludf.DUMMYFUNCTION("""COMPUTED_VALUE"""),20.0)</f>
        <v>20</v>
      </c>
      <c r="M486" s="3">
        <f>IFERROR(__xludf.DUMMYFUNCTION("""COMPUTED_VALUE"""),90.0)</f>
        <v>90</v>
      </c>
      <c r="N486" s="3"/>
      <c r="O486" s="3"/>
      <c r="P486" s="3"/>
      <c r="Q486" s="3"/>
      <c r="R486" s="3"/>
      <c r="S486" s="3"/>
      <c r="T486" s="5"/>
      <c r="U486" s="5"/>
      <c r="V486" s="5"/>
      <c r="W486" s="5"/>
    </row>
    <row r="487" ht="15.75" customHeight="1">
      <c r="A487" s="3">
        <f>IFERROR(__xludf.DUMMYFUNCTION("""COMPUTED_VALUE"""),487.0)</f>
        <v>487</v>
      </c>
      <c r="B487" s="53">
        <f>IFERROR(__xludf.DUMMYFUNCTION("""COMPUTED_VALUE"""),45475.0)</f>
        <v>45475</v>
      </c>
      <c r="C487" s="3">
        <f>IFERROR(__xludf.DUMMYFUNCTION("""COMPUTED_VALUE"""),68.0)</f>
        <v>68</v>
      </c>
      <c r="D487" s="3"/>
      <c r="E487" s="3"/>
      <c r="F487" s="3"/>
      <c r="G487" s="3"/>
      <c r="H487" s="3"/>
      <c r="I487" s="3"/>
      <c r="J487" s="3"/>
      <c r="K487" s="57">
        <f>IFERROR(__xludf.DUMMYFUNCTION("""COMPUTED_VALUE"""),3.77)</f>
        <v>3.77</v>
      </c>
      <c r="L487" s="54">
        <f>IFERROR(__xludf.DUMMYFUNCTION("""COMPUTED_VALUE"""),25.0)</f>
        <v>25</v>
      </c>
      <c r="M487" s="3">
        <f>IFERROR(__xludf.DUMMYFUNCTION("""COMPUTED_VALUE"""),101.0)</f>
        <v>101</v>
      </c>
      <c r="N487" s="3"/>
      <c r="O487" s="3"/>
      <c r="P487" s="3"/>
      <c r="Q487" s="3"/>
      <c r="R487" s="3"/>
      <c r="S487" s="3"/>
      <c r="T487" s="5"/>
      <c r="U487" s="5"/>
      <c r="V487" s="5"/>
      <c r="W487" s="5"/>
    </row>
    <row r="488" ht="15.75" customHeight="1">
      <c r="A488" s="3">
        <f>IFERROR(__xludf.DUMMYFUNCTION("""COMPUTED_VALUE"""),488.0)</f>
        <v>488</v>
      </c>
      <c r="B488" s="53">
        <f>IFERROR(__xludf.DUMMYFUNCTION("""COMPUTED_VALUE"""),45475.0)</f>
        <v>45475</v>
      </c>
      <c r="C488" s="3">
        <f>IFERROR(__xludf.DUMMYFUNCTION("""COMPUTED_VALUE"""),69.0)</f>
        <v>69</v>
      </c>
      <c r="D488" s="3" t="str">
        <f>IFERROR(__xludf.DUMMYFUNCTION("""COMPUTED_VALUE"""),"#REF!")</f>
        <v>#REF!</v>
      </c>
      <c r="E488" s="54">
        <f>IFERROR(__xludf.DUMMYFUNCTION("""COMPUTED_VALUE"""),13000.0)</f>
        <v>13000</v>
      </c>
      <c r="F488" s="3" t="str">
        <f>IFERROR(__xludf.DUMMYFUNCTION("""COMPUTED_VALUE"""),"cabernet rectificado")</f>
        <v>cabernet rectificado</v>
      </c>
      <c r="G488" s="55">
        <f>IFERROR(__xludf.DUMMYFUNCTION("""COMPUTED_VALUE"""),12.9)</f>
        <v>12.9</v>
      </c>
      <c r="H488" s="56">
        <f>IFERROR(__xludf.DUMMYFUNCTION("""COMPUTED_VALUE"""),2.0)</f>
        <v>2</v>
      </c>
      <c r="I488" s="57">
        <f>IFERROR(__xludf.DUMMYFUNCTION("""COMPUTED_VALUE"""),0.55)</f>
        <v>0.55</v>
      </c>
      <c r="J488" s="57">
        <f>IFERROR(__xludf.DUMMYFUNCTION("""COMPUTED_VALUE"""),6.0)</f>
        <v>6</v>
      </c>
      <c r="K488" s="57">
        <f>IFERROR(__xludf.DUMMYFUNCTION("""COMPUTED_VALUE"""),2.48)</f>
        <v>2.48</v>
      </c>
      <c r="L488" s="54">
        <f>IFERROR(__xludf.DUMMYFUNCTION("""COMPUTED_VALUE"""),30.0)</f>
        <v>30</v>
      </c>
      <c r="M488" s="3">
        <f>IFERROR(__xludf.DUMMYFUNCTION("""COMPUTED_VALUE"""),120.0)</f>
        <v>120</v>
      </c>
      <c r="N488" s="3"/>
      <c r="O488" s="3"/>
      <c r="P488" s="3"/>
      <c r="Q488" s="3"/>
      <c r="R488" s="3"/>
      <c r="S488" s="3"/>
      <c r="T488" s="5"/>
      <c r="U488" s="5"/>
      <c r="V488" s="5"/>
      <c r="W488" s="5"/>
    </row>
    <row r="489" ht="15.75" customHeight="1">
      <c r="A489" s="3">
        <f>IFERROR(__xludf.DUMMYFUNCTION("""COMPUTED_VALUE"""),489.0)</f>
        <v>489</v>
      </c>
      <c r="B489" s="53">
        <f>IFERROR(__xludf.DUMMYFUNCTION("""COMPUTED_VALUE"""),45475.0)</f>
        <v>45475</v>
      </c>
      <c r="C489" s="3">
        <f>IFERROR(__xludf.DUMMYFUNCTION("""COMPUTED_VALUE"""),73.0)</f>
        <v>73</v>
      </c>
      <c r="D489" s="3" t="str">
        <f>IFERROR(__xludf.DUMMYFUNCTION("""COMPUTED_VALUE"""),"1.065")</f>
        <v>1.065</v>
      </c>
      <c r="E489" s="54">
        <f>IFERROR(__xludf.DUMMYFUNCTION("""COMPUTED_VALUE"""),13000.0)</f>
        <v>13000</v>
      </c>
      <c r="F489" s="3" t="str">
        <f>IFERROR(__xludf.DUMMYFUNCTION("""COMPUTED_VALUE"""),"Tinto Rectificado")</f>
        <v>Tinto Rectificado</v>
      </c>
      <c r="G489" s="3"/>
      <c r="H489" s="3"/>
      <c r="I489" s="3"/>
      <c r="J489" s="3"/>
      <c r="K489" s="57">
        <f>IFERROR(__xludf.DUMMYFUNCTION("""COMPUTED_VALUE"""),3.62)</f>
        <v>3.62</v>
      </c>
      <c r="L489" s="54">
        <f>IFERROR(__xludf.DUMMYFUNCTION("""COMPUTED_VALUE"""),42.0)</f>
        <v>42</v>
      </c>
      <c r="M489" s="3">
        <f>IFERROR(__xludf.DUMMYFUNCTION("""COMPUTED_VALUE"""),135.0)</f>
        <v>135</v>
      </c>
      <c r="N489" s="3"/>
      <c r="O489" s="3"/>
      <c r="P489" s="3"/>
      <c r="Q489" s="3"/>
      <c r="R489" s="3"/>
      <c r="S489" s="3"/>
      <c r="T489" s="5"/>
      <c r="U489" s="5"/>
      <c r="V489" s="5"/>
      <c r="W489" s="5"/>
    </row>
    <row r="490" ht="15.75" customHeight="1">
      <c r="A490" s="3">
        <f>IFERROR(__xludf.DUMMYFUNCTION("""COMPUTED_VALUE"""),490.0)</f>
        <v>490</v>
      </c>
      <c r="B490" s="53">
        <f>IFERROR(__xludf.DUMMYFUNCTION("""COMPUTED_VALUE"""),45475.0)</f>
        <v>45475</v>
      </c>
      <c r="C490" s="3">
        <f>IFERROR(__xludf.DUMMYFUNCTION("""COMPUTED_VALUE"""),82.0)</f>
        <v>82</v>
      </c>
      <c r="D490" s="3"/>
      <c r="E490" s="3"/>
      <c r="F490" s="3"/>
      <c r="G490" s="3"/>
      <c r="H490" s="3"/>
      <c r="I490" s="3"/>
      <c r="J490" s="3"/>
      <c r="K490" s="57">
        <f>IFERROR(__xludf.DUMMYFUNCTION("""COMPUTED_VALUE"""),3.55)</f>
        <v>3.55</v>
      </c>
      <c r="L490" s="54">
        <f>IFERROR(__xludf.DUMMYFUNCTION("""COMPUTED_VALUE"""),18.0)</f>
        <v>18</v>
      </c>
      <c r="M490" s="3">
        <f>IFERROR(__xludf.DUMMYFUNCTION("""COMPUTED_VALUE"""),113.0)</f>
        <v>113</v>
      </c>
      <c r="N490" s="3"/>
      <c r="O490" s="3"/>
      <c r="P490" s="3"/>
      <c r="Q490" s="3"/>
      <c r="R490" s="3"/>
      <c r="S490" s="3"/>
      <c r="T490" s="5"/>
      <c r="U490" s="5"/>
      <c r="V490" s="5"/>
      <c r="W490" s="5"/>
    </row>
    <row r="491" ht="15.75" customHeight="1">
      <c r="A491" s="3">
        <f>IFERROR(__xludf.DUMMYFUNCTION("""COMPUTED_VALUE"""),491.0)</f>
        <v>491</v>
      </c>
      <c r="B491" s="53">
        <f>IFERROR(__xludf.DUMMYFUNCTION("""COMPUTED_VALUE"""),45475.0)</f>
        <v>45475</v>
      </c>
      <c r="C491" s="3">
        <f>IFERROR(__xludf.DUMMYFUNCTION("""COMPUTED_VALUE"""),83.0)</f>
        <v>83</v>
      </c>
      <c r="D491" s="3" t="str">
        <f>IFERROR(__xludf.DUMMYFUNCTION("""COMPUTED_VALUE"""),"1.246")</f>
        <v>1.246</v>
      </c>
      <c r="E491" s="54">
        <f>IFERROR(__xludf.DUMMYFUNCTION("""COMPUTED_VALUE"""),81500.0)</f>
        <v>81500</v>
      </c>
      <c r="F491" s="3" t="str">
        <f>IFERROR(__xludf.DUMMYFUNCTION("""COMPUTED_VALUE"""),"Bonarda")</f>
        <v>Bonarda</v>
      </c>
      <c r="G491" s="3"/>
      <c r="H491" s="3"/>
      <c r="I491" s="3"/>
      <c r="J491" s="3"/>
      <c r="K491" s="57">
        <f>IFERROR(__xludf.DUMMYFUNCTION("""COMPUTED_VALUE"""),3.49)</f>
        <v>3.49</v>
      </c>
      <c r="L491" s="54">
        <f>IFERROR(__xludf.DUMMYFUNCTION("""COMPUTED_VALUE"""),22.0)</f>
        <v>22</v>
      </c>
      <c r="M491" s="3">
        <f>IFERROR(__xludf.DUMMYFUNCTION("""COMPUTED_VALUE"""),115.0)</f>
        <v>115</v>
      </c>
      <c r="N491" s="3"/>
      <c r="O491" s="3"/>
      <c r="P491" s="3"/>
      <c r="Q491" s="3"/>
      <c r="R491" s="3"/>
      <c r="S491" s="3"/>
      <c r="T491" s="5"/>
      <c r="U491" s="5"/>
      <c r="V491" s="5"/>
      <c r="W491" s="5"/>
    </row>
    <row r="492" ht="15.75" customHeight="1">
      <c r="A492" s="3">
        <f>IFERROR(__xludf.DUMMYFUNCTION("""COMPUTED_VALUE"""),492.0)</f>
        <v>492</v>
      </c>
      <c r="B492" s="53">
        <f>IFERROR(__xludf.DUMMYFUNCTION("""COMPUTED_VALUE"""),45475.0)</f>
        <v>45475</v>
      </c>
      <c r="C492" s="3">
        <f>IFERROR(__xludf.DUMMYFUNCTION("""COMPUTED_VALUE"""),84.0)</f>
        <v>84</v>
      </c>
      <c r="D492" s="3"/>
      <c r="E492" s="3"/>
      <c r="F492" s="3"/>
      <c r="G492" s="3"/>
      <c r="H492" s="3"/>
      <c r="I492" s="3"/>
      <c r="J492" s="3"/>
      <c r="K492" s="57">
        <f>IFERROR(__xludf.DUMMYFUNCTION("""COMPUTED_VALUE"""),3.74)</f>
        <v>3.74</v>
      </c>
      <c r="L492" s="54">
        <f>IFERROR(__xludf.DUMMYFUNCTION("""COMPUTED_VALUE"""),19.0)</f>
        <v>19</v>
      </c>
      <c r="M492" s="3">
        <f>IFERROR(__xludf.DUMMYFUNCTION("""COMPUTED_VALUE"""),153.0)</f>
        <v>153</v>
      </c>
      <c r="N492" s="3"/>
      <c r="O492" s="3"/>
      <c r="P492" s="3"/>
      <c r="Q492" s="3"/>
      <c r="R492" s="3"/>
      <c r="S492" s="3"/>
      <c r="T492" s="5"/>
      <c r="U492" s="5"/>
      <c r="V492" s="5"/>
      <c r="W492" s="5"/>
    </row>
    <row r="493" ht="15.75" customHeight="1">
      <c r="A493" s="3">
        <f>IFERROR(__xludf.DUMMYFUNCTION("""COMPUTED_VALUE"""),493.0)</f>
        <v>493</v>
      </c>
      <c r="B493" s="53">
        <f>IFERROR(__xludf.DUMMYFUNCTION("""COMPUTED_VALUE"""),45475.0)</f>
        <v>45475</v>
      </c>
      <c r="C493" s="3">
        <f>IFERROR(__xludf.DUMMYFUNCTION("""COMPUTED_VALUE"""),85.0)</f>
        <v>85</v>
      </c>
      <c r="D493" s="3" t="str">
        <f>IFERROR(__xludf.DUMMYFUNCTION("""COMPUTED_VALUE"""),"1.213")</f>
        <v>1.213</v>
      </c>
      <c r="E493" s="54">
        <f>IFERROR(__xludf.DUMMYFUNCTION("""COMPUTED_VALUE"""),82000.0)</f>
        <v>82000</v>
      </c>
      <c r="F493" s="3" t="str">
        <f>IFERROR(__xludf.DUMMYFUNCTION("""COMPUTED_VALUE"""),"Cabernet")</f>
        <v>Cabernet</v>
      </c>
      <c r="G493" s="3"/>
      <c r="H493" s="3"/>
      <c r="I493" s="3"/>
      <c r="J493" s="3"/>
      <c r="K493" s="57">
        <f>IFERROR(__xludf.DUMMYFUNCTION("""COMPUTED_VALUE"""),3.89)</f>
        <v>3.89</v>
      </c>
      <c r="L493" s="54">
        <f>IFERROR(__xludf.DUMMYFUNCTION("""COMPUTED_VALUE"""),32.0)</f>
        <v>32</v>
      </c>
      <c r="M493" s="3">
        <f>IFERROR(__xludf.DUMMYFUNCTION("""COMPUTED_VALUE"""),115.0)</f>
        <v>115</v>
      </c>
      <c r="N493" s="3"/>
      <c r="O493" s="3"/>
      <c r="P493" s="3"/>
      <c r="Q493" s="3"/>
      <c r="R493" s="3"/>
      <c r="S493" s="3"/>
      <c r="T493" s="5"/>
      <c r="U493" s="5"/>
      <c r="V493" s="5"/>
      <c r="W493" s="5"/>
    </row>
    <row r="494" ht="15.75" customHeight="1">
      <c r="A494" s="3">
        <f>IFERROR(__xludf.DUMMYFUNCTION("""COMPUTED_VALUE"""),494.0)</f>
        <v>494</v>
      </c>
      <c r="B494" s="53">
        <f>IFERROR(__xludf.DUMMYFUNCTION("""COMPUTED_VALUE"""),45475.0)</f>
        <v>45475</v>
      </c>
      <c r="C494" s="3">
        <f>IFERROR(__xludf.DUMMYFUNCTION("""COMPUTED_VALUE"""),86.0)</f>
        <v>86</v>
      </c>
      <c r="D494" s="3" t="str">
        <f>IFERROR(__xludf.DUMMYFUNCTION("""COMPUTED_VALUE"""),"1.235")</f>
        <v>1.235</v>
      </c>
      <c r="E494" s="54">
        <f>IFERROR(__xludf.DUMMYFUNCTION("""COMPUTED_VALUE"""),88000.0)</f>
        <v>88000</v>
      </c>
      <c r="F494" s="3" t="str">
        <f>IFERROR(__xludf.DUMMYFUNCTION("""COMPUTED_VALUE"""),"Malbec")</f>
        <v>Malbec</v>
      </c>
      <c r="G494" s="3"/>
      <c r="H494" s="3"/>
      <c r="I494" s="3"/>
      <c r="J494" s="3"/>
      <c r="K494" s="57">
        <f>IFERROR(__xludf.DUMMYFUNCTION("""COMPUTED_VALUE"""),3.41)</f>
        <v>3.41</v>
      </c>
      <c r="L494" s="54">
        <f>IFERROR(__xludf.DUMMYFUNCTION("""COMPUTED_VALUE"""),33.0)</f>
        <v>33</v>
      </c>
      <c r="M494" s="3">
        <f>IFERROR(__xludf.DUMMYFUNCTION("""COMPUTED_VALUE"""),160.0)</f>
        <v>160</v>
      </c>
      <c r="N494" s="3"/>
      <c r="O494" s="3"/>
      <c r="P494" s="3"/>
      <c r="Q494" s="3"/>
      <c r="R494" s="3"/>
      <c r="S494" s="3"/>
      <c r="T494" s="5"/>
      <c r="U494" s="5"/>
      <c r="V494" s="5"/>
      <c r="W494" s="5"/>
    </row>
    <row r="495" ht="15.75" customHeight="1">
      <c r="A495" s="3">
        <f>IFERROR(__xludf.DUMMYFUNCTION("""COMPUTED_VALUE"""),495.0)</f>
        <v>495</v>
      </c>
      <c r="B495" s="53">
        <f>IFERROR(__xludf.DUMMYFUNCTION("""COMPUTED_VALUE"""),45475.0)</f>
        <v>45475</v>
      </c>
      <c r="C495" s="3">
        <f>IFERROR(__xludf.DUMMYFUNCTION("""COMPUTED_VALUE"""),88.0)</f>
        <v>88</v>
      </c>
      <c r="D495" s="3" t="str">
        <f>IFERROR(__xludf.DUMMYFUNCTION("""COMPUTED_VALUE"""),"1.229")</f>
        <v>1.229</v>
      </c>
      <c r="E495" s="54">
        <f>IFERROR(__xludf.DUMMYFUNCTION("""COMPUTED_VALUE"""),78900.0)</f>
        <v>78900</v>
      </c>
      <c r="F495" s="3" t="str">
        <f>IFERROR(__xludf.DUMMYFUNCTION("""COMPUTED_VALUE"""),"Malbec")</f>
        <v>Malbec</v>
      </c>
      <c r="G495" s="3"/>
      <c r="H495" s="3"/>
      <c r="I495" s="3"/>
      <c r="J495" s="3"/>
      <c r="K495" s="57">
        <f>IFERROR(__xludf.DUMMYFUNCTION("""COMPUTED_VALUE"""),3.7)</f>
        <v>3.7</v>
      </c>
      <c r="L495" s="54">
        <f>IFERROR(__xludf.DUMMYFUNCTION("""COMPUTED_VALUE"""),40.0)</f>
        <v>40</v>
      </c>
      <c r="M495" s="3">
        <f>IFERROR(__xludf.DUMMYFUNCTION("""COMPUTED_VALUE"""),115.0)</f>
        <v>115</v>
      </c>
      <c r="N495" s="3"/>
      <c r="O495" s="3"/>
      <c r="P495" s="3"/>
      <c r="Q495" s="3"/>
      <c r="R495" s="3"/>
      <c r="S495" s="3"/>
      <c r="T495" s="5"/>
      <c r="U495" s="5"/>
      <c r="V495" s="5"/>
      <c r="W495" s="5"/>
    </row>
    <row r="496" ht="15.75" customHeight="1">
      <c r="A496" s="3">
        <f>IFERROR(__xludf.DUMMYFUNCTION("""COMPUTED_VALUE"""),496.0)</f>
        <v>496</v>
      </c>
      <c r="B496" s="53">
        <f>IFERROR(__xludf.DUMMYFUNCTION("""COMPUTED_VALUE"""),45475.0)</f>
        <v>45475</v>
      </c>
      <c r="C496" s="3">
        <f>IFERROR(__xludf.DUMMYFUNCTION("""COMPUTED_VALUE"""),89.0)</f>
        <v>89</v>
      </c>
      <c r="D496" s="3" t="str">
        <f>IFERROR(__xludf.DUMMYFUNCTION("""COMPUTED_VALUE"""),"1.241")</f>
        <v>1.241</v>
      </c>
      <c r="E496" s="54">
        <f>IFERROR(__xludf.DUMMYFUNCTION("""COMPUTED_VALUE"""),83500.0)</f>
        <v>83500</v>
      </c>
      <c r="F496" s="3" t="str">
        <f>IFERROR(__xludf.DUMMYFUNCTION("""COMPUTED_VALUE"""),"Malbec T")</f>
        <v>Malbec T</v>
      </c>
      <c r="G496" s="3"/>
      <c r="H496" s="3"/>
      <c r="I496" s="3"/>
      <c r="J496" s="3"/>
      <c r="K496" s="57">
        <f>IFERROR(__xludf.DUMMYFUNCTION("""COMPUTED_VALUE"""),3.5)</f>
        <v>3.5</v>
      </c>
      <c r="L496" s="54">
        <f>IFERROR(__xludf.DUMMYFUNCTION("""COMPUTED_VALUE"""),26.0)</f>
        <v>26</v>
      </c>
      <c r="M496" s="3">
        <f>IFERROR(__xludf.DUMMYFUNCTION("""COMPUTED_VALUE"""),143.0)</f>
        <v>143</v>
      </c>
      <c r="N496" s="3"/>
      <c r="O496" s="3"/>
      <c r="P496" s="3"/>
      <c r="Q496" s="3"/>
      <c r="R496" s="3"/>
      <c r="S496" s="3"/>
      <c r="T496" s="5"/>
      <c r="U496" s="5"/>
      <c r="V496" s="5"/>
      <c r="W496" s="5"/>
    </row>
    <row r="497" ht="15.75" customHeight="1">
      <c r="A497" s="3">
        <f>IFERROR(__xludf.DUMMYFUNCTION("""COMPUTED_VALUE"""),497.0)</f>
        <v>497</v>
      </c>
      <c r="B497" s="53">
        <f>IFERROR(__xludf.DUMMYFUNCTION("""COMPUTED_VALUE"""),45475.0)</f>
        <v>45475</v>
      </c>
      <c r="C497" s="3">
        <f>IFERROR(__xludf.DUMMYFUNCTION("""COMPUTED_VALUE"""),90.0)</f>
        <v>90</v>
      </c>
      <c r="D497" s="3" t="str">
        <f>IFERROR(__xludf.DUMMYFUNCTION("""COMPUTED_VALUE"""),"1.228")</f>
        <v>1.228</v>
      </c>
      <c r="E497" s="54">
        <f>IFERROR(__xludf.DUMMYFUNCTION("""COMPUTED_VALUE"""),97500.0)</f>
        <v>97500</v>
      </c>
      <c r="F497" s="3" t="str">
        <f>IFERROR(__xludf.DUMMYFUNCTION("""COMPUTED_VALUE"""),"Malbec")</f>
        <v>Malbec</v>
      </c>
      <c r="G497" s="3"/>
      <c r="H497" s="3"/>
      <c r="I497" s="3"/>
      <c r="J497" s="3"/>
      <c r="K497" s="57">
        <f>IFERROR(__xludf.DUMMYFUNCTION("""COMPUTED_VALUE"""),3.65)</f>
        <v>3.65</v>
      </c>
      <c r="L497" s="54">
        <f>IFERROR(__xludf.DUMMYFUNCTION("""COMPUTED_VALUE"""),39.0)</f>
        <v>39</v>
      </c>
      <c r="M497" s="3">
        <f>IFERROR(__xludf.DUMMYFUNCTION("""COMPUTED_VALUE"""),130.0)</f>
        <v>130</v>
      </c>
      <c r="N497" s="3"/>
      <c r="O497" s="3"/>
      <c r="P497" s="3"/>
      <c r="Q497" s="3"/>
      <c r="R497" s="3"/>
      <c r="S497" s="3"/>
      <c r="T497" s="5"/>
      <c r="U497" s="5"/>
      <c r="V497" s="5"/>
      <c r="W497" s="5"/>
    </row>
    <row r="498" ht="15.75" customHeight="1">
      <c r="A498" s="3">
        <f>IFERROR(__xludf.DUMMYFUNCTION("""COMPUTED_VALUE"""),498.0)</f>
        <v>498</v>
      </c>
      <c r="B498" s="53">
        <f>IFERROR(__xludf.DUMMYFUNCTION("""COMPUTED_VALUE"""),45475.0)</f>
        <v>45475</v>
      </c>
      <c r="C498" s="3">
        <f>IFERROR(__xludf.DUMMYFUNCTION("""COMPUTED_VALUE"""),92.0)</f>
        <v>92</v>
      </c>
      <c r="D498" s="3" t="str">
        <f>IFERROR(__xludf.DUMMYFUNCTION("""COMPUTED_VALUE"""),"1.245")</f>
        <v>1.245</v>
      </c>
      <c r="E498" s="54">
        <f>IFERROR(__xludf.DUMMYFUNCTION("""COMPUTED_VALUE"""),76000.0)</f>
        <v>76000</v>
      </c>
      <c r="F498" s="3" t="str">
        <f>IFERROR(__xludf.DUMMYFUNCTION("""COMPUTED_VALUE"""),"Bonarda")</f>
        <v>Bonarda</v>
      </c>
      <c r="G498" s="3"/>
      <c r="H498" s="3"/>
      <c r="I498" s="3"/>
      <c r="J498" s="3"/>
      <c r="K498" s="57">
        <f>IFERROR(__xludf.DUMMYFUNCTION("""COMPUTED_VALUE"""),3.67)</f>
        <v>3.67</v>
      </c>
      <c r="L498" s="54">
        <f>IFERROR(__xludf.DUMMYFUNCTION("""COMPUTED_VALUE"""),40.0)</f>
        <v>40</v>
      </c>
      <c r="M498" s="3">
        <f>IFERROR(__xludf.DUMMYFUNCTION("""COMPUTED_VALUE"""),140.0)</f>
        <v>140</v>
      </c>
      <c r="N498" s="3"/>
      <c r="O498" s="3"/>
      <c r="P498" s="3"/>
      <c r="Q498" s="3"/>
      <c r="R498" s="3"/>
      <c r="S498" s="3"/>
      <c r="T498" s="5"/>
      <c r="U498" s="5"/>
      <c r="V498" s="5"/>
      <c r="W498" s="5"/>
    </row>
    <row r="499" ht="15.75" customHeight="1">
      <c r="A499" s="3">
        <f>IFERROR(__xludf.DUMMYFUNCTION("""COMPUTED_VALUE"""),499.0)</f>
        <v>499</v>
      </c>
      <c r="B499" s="53">
        <f>IFERROR(__xludf.DUMMYFUNCTION("""COMPUTED_VALUE"""),45475.0)</f>
        <v>45475</v>
      </c>
      <c r="C499" s="3">
        <f>IFERROR(__xludf.DUMMYFUNCTION("""COMPUTED_VALUE"""),95.0)</f>
        <v>95</v>
      </c>
      <c r="D499" s="3" t="str">
        <f>IFERROR(__xludf.DUMMYFUNCTION("""COMPUTED_VALUE"""),"1.237")</f>
        <v>1.237</v>
      </c>
      <c r="E499" s="54">
        <f>IFERROR(__xludf.DUMMYFUNCTION("""COMPUTED_VALUE"""),77100.0)</f>
        <v>77100</v>
      </c>
      <c r="F499" s="3" t="str">
        <f>IFERROR(__xludf.DUMMYFUNCTION("""COMPUTED_VALUE"""),"Bonarda")</f>
        <v>Bonarda</v>
      </c>
      <c r="G499" s="3"/>
      <c r="H499" s="3"/>
      <c r="I499" s="3"/>
      <c r="J499" s="3"/>
      <c r="K499" s="57">
        <f>IFERROR(__xludf.DUMMYFUNCTION("""COMPUTED_VALUE"""),3.59)</f>
        <v>3.59</v>
      </c>
      <c r="L499" s="54">
        <f>IFERROR(__xludf.DUMMYFUNCTION("""COMPUTED_VALUE"""),27.0)</f>
        <v>27</v>
      </c>
      <c r="M499" s="3">
        <f>IFERROR(__xludf.DUMMYFUNCTION("""COMPUTED_VALUE"""),172.0)</f>
        <v>172</v>
      </c>
      <c r="N499" s="3"/>
      <c r="O499" s="3"/>
      <c r="P499" s="3"/>
      <c r="Q499" s="3"/>
      <c r="R499" s="3"/>
      <c r="S499" s="3"/>
      <c r="T499" s="5"/>
      <c r="U499" s="5"/>
      <c r="V499" s="5"/>
      <c r="W499" s="5"/>
    </row>
    <row r="500" ht="15.75" customHeight="1">
      <c r="A500" s="3">
        <f>IFERROR(__xludf.DUMMYFUNCTION("""COMPUTED_VALUE"""),500.0)</f>
        <v>500</v>
      </c>
      <c r="B500" s="53">
        <f>IFERROR(__xludf.DUMMYFUNCTION("""COMPUTED_VALUE"""),45475.0)</f>
        <v>45475</v>
      </c>
      <c r="C500" s="3">
        <f>IFERROR(__xludf.DUMMYFUNCTION("""COMPUTED_VALUE"""),96.0)</f>
        <v>96</v>
      </c>
      <c r="D500" s="3" t="str">
        <f>IFERROR(__xludf.DUMMYFUNCTION("""COMPUTED_VALUE"""),"1.238")</f>
        <v>1.238</v>
      </c>
      <c r="E500" s="54">
        <f>IFERROR(__xludf.DUMMYFUNCTION("""COMPUTED_VALUE"""),78400.0)</f>
        <v>78400</v>
      </c>
      <c r="F500" s="3" t="str">
        <f>IFERROR(__xludf.DUMMYFUNCTION("""COMPUTED_VALUE"""),"Bonarda")</f>
        <v>Bonarda</v>
      </c>
      <c r="G500" s="3"/>
      <c r="H500" s="3"/>
      <c r="I500" s="3"/>
      <c r="J500" s="3"/>
      <c r="K500" s="57">
        <f>IFERROR(__xludf.DUMMYFUNCTION("""COMPUTED_VALUE"""),3.58)</f>
        <v>3.58</v>
      </c>
      <c r="L500" s="54">
        <f>IFERROR(__xludf.DUMMYFUNCTION("""COMPUTED_VALUE"""),26.0)</f>
        <v>26</v>
      </c>
      <c r="M500" s="3">
        <f>IFERROR(__xludf.DUMMYFUNCTION("""COMPUTED_VALUE"""),166.0)</f>
        <v>166</v>
      </c>
      <c r="N500" s="3"/>
      <c r="O500" s="3"/>
      <c r="P500" s="3"/>
      <c r="Q500" s="3"/>
      <c r="R500" s="3"/>
      <c r="S500" s="3"/>
      <c r="T500" s="5"/>
      <c r="U500" s="5"/>
      <c r="V500" s="5"/>
      <c r="W500" s="5"/>
    </row>
    <row r="501" ht="15.75" customHeight="1">
      <c r="A501" s="3">
        <f>IFERROR(__xludf.DUMMYFUNCTION("""COMPUTED_VALUE"""),501.0)</f>
        <v>501</v>
      </c>
      <c r="B501" s="53">
        <f>IFERROR(__xludf.DUMMYFUNCTION("""COMPUTED_VALUE"""),45475.0)</f>
        <v>45475</v>
      </c>
      <c r="C501" s="3">
        <f>IFERROR(__xludf.DUMMYFUNCTION("""COMPUTED_VALUE"""),111.0)</f>
        <v>111</v>
      </c>
      <c r="D501" s="3" t="str">
        <f>IFERROR(__xludf.DUMMYFUNCTION("""COMPUTED_VALUE"""),"1.218")</f>
        <v>1.218</v>
      </c>
      <c r="E501" s="54">
        <f>IFERROR(__xludf.DUMMYFUNCTION("""COMPUTED_VALUE"""),4000.0)</f>
        <v>4000</v>
      </c>
      <c r="F501" s="3" t="str">
        <f>IFERROR(__xludf.DUMMYFUNCTION("""COMPUTED_VALUE"""),"Tinto")</f>
        <v>Tinto</v>
      </c>
      <c r="G501" s="3"/>
      <c r="H501" s="3"/>
      <c r="I501" s="3"/>
      <c r="J501" s="3"/>
      <c r="K501" s="57">
        <f>IFERROR(__xludf.DUMMYFUNCTION("""COMPUTED_VALUE"""),3.47)</f>
        <v>3.47</v>
      </c>
      <c r="L501" s="54">
        <f>IFERROR(__xludf.DUMMYFUNCTION("""COMPUTED_VALUE"""),20.0)</f>
        <v>20</v>
      </c>
      <c r="M501" s="3">
        <f>IFERROR(__xludf.DUMMYFUNCTION("""COMPUTED_VALUE"""),80.0)</f>
        <v>80</v>
      </c>
      <c r="N501" s="3"/>
      <c r="O501" s="3"/>
      <c r="P501" s="3"/>
      <c r="Q501" s="3"/>
      <c r="R501" s="3"/>
      <c r="S501" s="3"/>
      <c r="T501" s="5"/>
      <c r="U501" s="5"/>
      <c r="V501" s="5"/>
      <c r="W501" s="5"/>
    </row>
    <row r="502" ht="15.75" customHeight="1">
      <c r="A502" s="3">
        <f>IFERROR(__xludf.DUMMYFUNCTION("""COMPUTED_VALUE"""),502.0)</f>
        <v>502</v>
      </c>
      <c r="B502" s="53">
        <f>IFERROR(__xludf.DUMMYFUNCTION("""COMPUTED_VALUE"""),45475.0)</f>
        <v>45475</v>
      </c>
      <c r="C502" s="3">
        <f>IFERROR(__xludf.DUMMYFUNCTION("""COMPUTED_VALUE"""),114.0)</f>
        <v>114</v>
      </c>
      <c r="D502" s="3" t="str">
        <f>IFERROR(__xludf.DUMMYFUNCTION("""COMPUTED_VALUE"""),"1.090")</f>
        <v>1.090</v>
      </c>
      <c r="E502" s="54">
        <f>IFERROR(__xludf.DUMMYFUNCTION("""COMPUTED_VALUE"""),125300.0)</f>
        <v>125300</v>
      </c>
      <c r="F502" s="3" t="str">
        <f>IFERROR(__xludf.DUMMYFUNCTION("""COMPUTED_VALUE"""),"Aspirant Ancc")</f>
        <v>Aspirant Ancc</v>
      </c>
      <c r="G502" s="3"/>
      <c r="H502" s="3"/>
      <c r="I502" s="3"/>
      <c r="J502" s="3"/>
      <c r="K502" s="57">
        <f>IFERROR(__xludf.DUMMYFUNCTION("""COMPUTED_VALUE"""),3.66)</f>
        <v>3.66</v>
      </c>
      <c r="L502" s="54">
        <f>IFERROR(__xludf.DUMMYFUNCTION("""COMPUTED_VALUE"""),45.0)</f>
        <v>45</v>
      </c>
      <c r="M502" s="3">
        <f>IFERROR(__xludf.DUMMYFUNCTION("""COMPUTED_VALUE"""),90.0)</f>
        <v>90</v>
      </c>
      <c r="N502" s="3"/>
      <c r="O502" s="3"/>
      <c r="P502" s="3"/>
      <c r="Q502" s="3"/>
      <c r="R502" s="3"/>
      <c r="S502" s="3"/>
      <c r="T502" s="5"/>
      <c r="U502" s="5"/>
      <c r="V502" s="5"/>
      <c r="W502" s="5"/>
    </row>
    <row r="503" ht="15.75" customHeight="1">
      <c r="A503" s="3">
        <f>IFERROR(__xludf.DUMMYFUNCTION("""COMPUTED_VALUE"""),503.0)</f>
        <v>503</v>
      </c>
      <c r="B503" s="53">
        <f>IFERROR(__xludf.DUMMYFUNCTION("""COMPUTED_VALUE"""),45475.0)</f>
        <v>45475</v>
      </c>
      <c r="C503" s="3">
        <f>IFERROR(__xludf.DUMMYFUNCTION("""COMPUTED_VALUE"""),115.0)</f>
        <v>115</v>
      </c>
      <c r="D503" s="3" t="str">
        <f>IFERROR(__xludf.DUMMYFUNCTION("""COMPUTED_VALUE"""),"1.091")</f>
        <v>1.091</v>
      </c>
      <c r="E503" s="54">
        <f>IFERROR(__xludf.DUMMYFUNCTION("""COMPUTED_VALUE"""),120200.0)</f>
        <v>120200</v>
      </c>
      <c r="F503" s="3" t="str">
        <f>IFERROR(__xludf.DUMMYFUNCTION("""COMPUTED_VALUE"""),"Tempranillo Merlot s/Asp 1")</f>
        <v>Tempranillo Merlot s/Asp 1</v>
      </c>
      <c r="G503" s="3"/>
      <c r="H503" s="3"/>
      <c r="I503" s="3"/>
      <c r="J503" s="3"/>
      <c r="K503" s="57">
        <f>IFERROR(__xludf.DUMMYFUNCTION("""COMPUTED_VALUE"""),3.62)</f>
        <v>3.62</v>
      </c>
      <c r="L503" s="54">
        <f>IFERROR(__xludf.DUMMYFUNCTION("""COMPUTED_VALUE"""),26.0)</f>
        <v>26</v>
      </c>
      <c r="M503" s="3">
        <f>IFERROR(__xludf.DUMMYFUNCTION("""COMPUTED_VALUE"""),83.0)</f>
        <v>83</v>
      </c>
      <c r="N503" s="3"/>
      <c r="O503" s="3"/>
      <c r="P503" s="3"/>
      <c r="Q503" s="3"/>
      <c r="R503" s="3"/>
      <c r="S503" s="3"/>
      <c r="T503" s="5"/>
      <c r="U503" s="5"/>
      <c r="V503" s="5"/>
      <c r="W503" s="5"/>
    </row>
    <row r="504" ht="15.75" customHeight="1">
      <c r="A504" s="3">
        <f>IFERROR(__xludf.DUMMYFUNCTION("""COMPUTED_VALUE"""),504.0)</f>
        <v>504</v>
      </c>
      <c r="B504" s="53">
        <f>IFERROR(__xludf.DUMMYFUNCTION("""COMPUTED_VALUE"""),45475.0)</f>
        <v>45475</v>
      </c>
      <c r="C504" s="3">
        <f>IFERROR(__xludf.DUMMYFUNCTION("""COMPUTED_VALUE"""),116.0)</f>
        <v>116</v>
      </c>
      <c r="D504" s="3" t="str">
        <f>IFERROR(__xludf.DUMMYFUNCTION("""COMPUTED_VALUE"""),"1.249")</f>
        <v>1.249</v>
      </c>
      <c r="E504" s="54">
        <f>IFERROR(__xludf.DUMMYFUNCTION("""COMPUTED_VALUE"""),50900.0)</f>
        <v>50900</v>
      </c>
      <c r="F504" s="3" t="str">
        <f>IFERROR(__xludf.DUMMYFUNCTION("""COMPUTED_VALUE"""),"Cabernet Sauvignon Got")</f>
        <v>Cabernet Sauvignon Got</v>
      </c>
      <c r="G504" s="3"/>
      <c r="H504" s="3"/>
      <c r="I504" s="3"/>
      <c r="J504" s="3"/>
      <c r="K504" s="57">
        <f>IFERROR(__xludf.DUMMYFUNCTION("""COMPUTED_VALUE"""),3.66)</f>
        <v>3.66</v>
      </c>
      <c r="L504" s="54">
        <f>IFERROR(__xludf.DUMMYFUNCTION("""COMPUTED_VALUE"""),25.0)</f>
        <v>25</v>
      </c>
      <c r="M504" s="3">
        <f>IFERROR(__xludf.DUMMYFUNCTION("""COMPUTED_VALUE"""),110.0)</f>
        <v>110</v>
      </c>
      <c r="N504" s="3"/>
      <c r="O504" s="3"/>
      <c r="P504" s="3"/>
      <c r="Q504" s="3"/>
      <c r="R504" s="3"/>
      <c r="S504" s="3"/>
      <c r="T504" s="5"/>
      <c r="U504" s="5"/>
      <c r="V504" s="5"/>
      <c r="W504" s="5"/>
    </row>
    <row r="505" ht="15.75" customHeight="1">
      <c r="A505" s="3">
        <f>IFERROR(__xludf.DUMMYFUNCTION("""COMPUTED_VALUE"""),505.0)</f>
        <v>505</v>
      </c>
      <c r="B505" s="53">
        <f>IFERROR(__xludf.DUMMYFUNCTION("""COMPUTED_VALUE"""),45475.0)</f>
        <v>45475</v>
      </c>
      <c r="C505" s="3">
        <f>IFERROR(__xludf.DUMMYFUNCTION("""COMPUTED_VALUE"""),118.0)</f>
        <v>118</v>
      </c>
      <c r="D505" s="3" t="str">
        <f>IFERROR(__xludf.DUMMYFUNCTION("""COMPUTED_VALUE"""),"1.232")</f>
        <v>1.232</v>
      </c>
      <c r="E505" s="54">
        <f>IFERROR(__xludf.DUMMYFUNCTION("""COMPUTED_VALUE"""),155600.0)</f>
        <v>155600</v>
      </c>
      <c r="F505" s="3" t="str">
        <f>IFERROR(__xludf.DUMMYFUNCTION("""COMPUTED_VALUE"""),"Anccelotta Syrah")</f>
        <v>Anccelotta Syrah</v>
      </c>
      <c r="G505" s="3"/>
      <c r="H505" s="3"/>
      <c r="I505" s="3"/>
      <c r="J505" s="3"/>
      <c r="K505" s="57">
        <f>IFERROR(__xludf.DUMMYFUNCTION("""COMPUTED_VALUE"""),3.54)</f>
        <v>3.54</v>
      </c>
      <c r="L505" s="54">
        <f>IFERROR(__xludf.DUMMYFUNCTION("""COMPUTED_VALUE"""),25.0)</f>
        <v>25</v>
      </c>
      <c r="M505" s="3">
        <f>IFERROR(__xludf.DUMMYFUNCTION("""COMPUTED_VALUE"""),135.0)</f>
        <v>135</v>
      </c>
      <c r="N505" s="3"/>
      <c r="O505" s="3"/>
      <c r="P505" s="3"/>
      <c r="Q505" s="3"/>
      <c r="R505" s="3"/>
      <c r="S505" s="3"/>
      <c r="T505" s="5"/>
      <c r="U505" s="5"/>
      <c r="V505" s="5"/>
      <c r="W505" s="5"/>
    </row>
    <row r="506" ht="15.75" customHeight="1">
      <c r="A506" s="3">
        <f>IFERROR(__xludf.DUMMYFUNCTION("""COMPUTED_VALUE"""),506.0)</f>
        <v>506</v>
      </c>
      <c r="B506" s="53">
        <f>IFERROR(__xludf.DUMMYFUNCTION("""COMPUTED_VALUE"""),45476.0)</f>
        <v>45476</v>
      </c>
      <c r="C506" s="3">
        <f>IFERROR(__xludf.DUMMYFUNCTION("""COMPUTED_VALUE"""),11.0)</f>
        <v>11</v>
      </c>
      <c r="D506" s="3" t="str">
        <f>IFERROR(__xludf.DUMMYFUNCTION("""COMPUTED_VALUE"""),"#REF!")</f>
        <v>#REF!</v>
      </c>
      <c r="E506" s="3"/>
      <c r="F506" s="3" t="str">
        <f>IFERROR(__xludf.DUMMYFUNCTION("""COMPUTED_VALUE"""),"claro de borra")</f>
        <v>claro de borra</v>
      </c>
      <c r="G506" s="3"/>
      <c r="H506" s="3"/>
      <c r="I506" s="57">
        <f>IFERROR(__xludf.DUMMYFUNCTION("""COMPUTED_VALUE"""),0.6)</f>
        <v>0.6</v>
      </c>
      <c r="J506" s="3"/>
      <c r="K506" s="3"/>
      <c r="L506" s="54">
        <f>IFERROR(__xludf.DUMMYFUNCTION("""COMPUTED_VALUE"""),32.0)</f>
        <v>32</v>
      </c>
      <c r="M506" s="3">
        <f>IFERROR(__xludf.DUMMYFUNCTION("""COMPUTED_VALUE"""),100.0)</f>
        <v>100</v>
      </c>
      <c r="N506" s="3"/>
      <c r="O506" s="3"/>
      <c r="P506" s="3"/>
      <c r="Q506" s="3"/>
      <c r="R506" s="3"/>
      <c r="S506" s="3"/>
      <c r="T506" s="5"/>
      <c r="U506" s="5"/>
      <c r="V506" s="5"/>
      <c r="W506" s="5"/>
    </row>
    <row r="507" ht="15.75" customHeight="1">
      <c r="A507" s="3">
        <f>IFERROR(__xludf.DUMMYFUNCTION("""COMPUTED_VALUE"""),507.0)</f>
        <v>507</v>
      </c>
      <c r="B507" s="53">
        <f>IFERROR(__xludf.DUMMYFUNCTION("""COMPUTED_VALUE"""),45476.0)</f>
        <v>45476</v>
      </c>
      <c r="C507" s="3">
        <f>IFERROR(__xludf.DUMMYFUNCTION("""COMPUTED_VALUE"""),45.0)</f>
        <v>45</v>
      </c>
      <c r="D507" s="3"/>
      <c r="E507" s="3"/>
      <c r="F507" s="3"/>
      <c r="G507" s="55">
        <f>IFERROR(__xludf.DUMMYFUNCTION("""COMPUTED_VALUE"""),13.0)</f>
        <v>13</v>
      </c>
      <c r="H507" s="56">
        <f>IFERROR(__xludf.DUMMYFUNCTION("""COMPUTED_VALUE"""),2.64)</f>
        <v>2.64</v>
      </c>
      <c r="I507" s="57">
        <f>IFERROR(__xludf.DUMMYFUNCTION("""COMPUTED_VALUE"""),0.55)</f>
        <v>0.55</v>
      </c>
      <c r="J507" s="57">
        <f>IFERROR(__xludf.DUMMYFUNCTION("""COMPUTED_VALUE"""),5.35)</f>
        <v>5.35</v>
      </c>
      <c r="K507" s="57">
        <f>IFERROR(__xludf.DUMMYFUNCTION("""COMPUTED_VALUE"""),3.68)</f>
        <v>3.68</v>
      </c>
      <c r="L507" s="54">
        <f>IFERROR(__xludf.DUMMYFUNCTION("""COMPUTED_VALUE"""),20.0)</f>
        <v>20</v>
      </c>
      <c r="M507" s="3">
        <f>IFERROR(__xludf.DUMMYFUNCTION("""COMPUTED_VALUE"""),96.0)</f>
        <v>96</v>
      </c>
      <c r="N507" s="3"/>
      <c r="O507" s="3"/>
      <c r="P507" s="3"/>
      <c r="Q507" s="3"/>
      <c r="R507" s="3"/>
      <c r="S507" s="3"/>
      <c r="T507" s="5"/>
      <c r="U507" s="5"/>
      <c r="V507" s="5"/>
      <c r="W507" s="5"/>
    </row>
    <row r="508" ht="15.75" customHeight="1">
      <c r="A508" s="3">
        <f>IFERROR(__xludf.DUMMYFUNCTION("""COMPUTED_VALUE"""),508.0)</f>
        <v>508</v>
      </c>
      <c r="B508" s="53">
        <f>IFERROR(__xludf.DUMMYFUNCTION("""COMPUTED_VALUE"""),45477.0)</f>
        <v>45477</v>
      </c>
      <c r="C508" s="3">
        <f>IFERROR(__xludf.DUMMYFUNCTION("""COMPUTED_VALUE"""),11.0)</f>
        <v>11</v>
      </c>
      <c r="D508" s="3" t="str">
        <f>IFERROR(__xludf.DUMMYFUNCTION("""COMPUTED_VALUE"""),"#REF!")</f>
        <v>#REF!</v>
      </c>
      <c r="E508" s="54">
        <f>IFERROR(__xludf.DUMMYFUNCTION("""COMPUTED_VALUE"""),36000.0)</f>
        <v>36000</v>
      </c>
      <c r="F508" s="3" t="str">
        <f>IFERROR(__xludf.DUMMYFUNCTION("""COMPUTED_VALUE"""),"claro borra tangencial")</f>
        <v>claro borra tangencial</v>
      </c>
      <c r="G508" s="55">
        <f>IFERROR(__xludf.DUMMYFUNCTION("""COMPUTED_VALUE"""),12.8)</f>
        <v>12.8</v>
      </c>
      <c r="H508" s="56">
        <f>IFERROR(__xludf.DUMMYFUNCTION("""COMPUTED_VALUE"""),2.0)</f>
        <v>2</v>
      </c>
      <c r="I508" s="57">
        <f>IFERROR(__xludf.DUMMYFUNCTION("""COMPUTED_VALUE"""),0.8)</f>
        <v>0.8</v>
      </c>
      <c r="J508" s="57">
        <f>IFERROR(__xludf.DUMMYFUNCTION("""COMPUTED_VALUE"""),5.0)</f>
        <v>5</v>
      </c>
      <c r="K508" s="57">
        <f>IFERROR(__xludf.DUMMYFUNCTION("""COMPUTED_VALUE"""),3.72)</f>
        <v>3.72</v>
      </c>
      <c r="L508" s="54">
        <f>IFERROR(__xludf.DUMMYFUNCTION("""COMPUTED_VALUE"""),48.0)</f>
        <v>48</v>
      </c>
      <c r="M508" s="3">
        <f>IFERROR(__xludf.DUMMYFUNCTION("""COMPUTED_VALUE"""),140.0)</f>
        <v>140</v>
      </c>
      <c r="N508" s="3"/>
      <c r="O508" s="3"/>
      <c r="P508" s="3"/>
      <c r="Q508" s="3"/>
      <c r="R508" s="3"/>
      <c r="S508" s="3"/>
      <c r="T508" s="5"/>
      <c r="U508" s="5"/>
      <c r="V508" s="5"/>
      <c r="W508" s="5"/>
    </row>
    <row r="509" ht="15.75" customHeight="1">
      <c r="A509" s="3">
        <f>IFERROR(__xludf.DUMMYFUNCTION("""COMPUTED_VALUE"""),509.0)</f>
        <v>509</v>
      </c>
      <c r="B509" s="53">
        <f>IFERROR(__xludf.DUMMYFUNCTION("""COMPUTED_VALUE"""),45481.0)</f>
        <v>45481</v>
      </c>
      <c r="C509" s="3">
        <f>IFERROR(__xludf.DUMMYFUNCTION("""COMPUTED_VALUE"""),70.0)</f>
        <v>70</v>
      </c>
      <c r="D509" s="3" t="str">
        <f>IFERROR(__xludf.DUMMYFUNCTION("""COMPUTED_VALUE"""),"#REF!")</f>
        <v>#REF!</v>
      </c>
      <c r="E509" s="54">
        <f>IFERROR(__xludf.DUMMYFUNCTION("""COMPUTED_VALUE"""),13000.0)</f>
        <v>13000</v>
      </c>
      <c r="F509" s="3" t="str">
        <f>IFERROR(__xludf.DUMMYFUNCTION("""COMPUTED_VALUE"""),"claro borra tangencial")</f>
        <v>claro borra tangencial</v>
      </c>
      <c r="G509" s="55">
        <f>IFERROR(__xludf.DUMMYFUNCTION("""COMPUTED_VALUE"""),12.5)</f>
        <v>12.5</v>
      </c>
      <c r="H509" s="56">
        <f>IFERROR(__xludf.DUMMYFUNCTION("""COMPUTED_VALUE"""),2.0)</f>
        <v>2</v>
      </c>
      <c r="I509" s="57">
        <f>IFERROR(__xludf.DUMMYFUNCTION("""COMPUTED_VALUE"""),0.75)</f>
        <v>0.75</v>
      </c>
      <c r="J509" s="57">
        <f>IFERROR(__xludf.DUMMYFUNCTION("""COMPUTED_VALUE"""),5.7)</f>
        <v>5.7</v>
      </c>
      <c r="K509" s="57">
        <f>IFERROR(__xludf.DUMMYFUNCTION("""COMPUTED_VALUE"""),3.5)</f>
        <v>3.5</v>
      </c>
      <c r="L509" s="54">
        <f>IFERROR(__xludf.DUMMYFUNCTION("""COMPUTED_VALUE"""),43.0)</f>
        <v>43</v>
      </c>
      <c r="M509" s="3">
        <f>IFERROR(__xludf.DUMMYFUNCTION("""COMPUTED_VALUE"""),130.0)</f>
        <v>130</v>
      </c>
      <c r="N509" s="3"/>
      <c r="O509" s="3"/>
      <c r="P509" s="3"/>
      <c r="Q509" s="3"/>
      <c r="R509" s="3"/>
      <c r="S509" s="3"/>
      <c r="T509" s="5"/>
      <c r="U509" s="5"/>
      <c r="V509" s="5"/>
      <c r="W509" s="5"/>
    </row>
    <row r="510" ht="15.75" customHeight="1">
      <c r="A510" s="3">
        <f>IFERROR(__xludf.DUMMYFUNCTION("""COMPUTED_VALUE"""),510.0)</f>
        <v>510</v>
      </c>
      <c r="B510" s="53">
        <f>IFERROR(__xludf.DUMMYFUNCTION("""COMPUTED_VALUE"""),45478.0)</f>
        <v>45478</v>
      </c>
      <c r="C510" s="3">
        <f>IFERROR(__xludf.DUMMYFUNCTION("""COMPUTED_VALUE"""),106.0)</f>
        <v>106</v>
      </c>
      <c r="D510" s="3" t="str">
        <f>IFERROR(__xludf.DUMMYFUNCTION("""COMPUTED_VALUE"""),"#REF!")</f>
        <v>#REF!</v>
      </c>
      <c r="E510" s="54">
        <f>IFERROR(__xludf.DUMMYFUNCTION("""COMPUTED_VALUE"""),3700.0)</f>
        <v>3700</v>
      </c>
      <c r="F510" s="3"/>
      <c r="G510" s="55">
        <f>IFERROR(__xludf.DUMMYFUNCTION("""COMPUTED_VALUE"""),12.4)</f>
        <v>12.4</v>
      </c>
      <c r="H510" s="56">
        <f>IFERROR(__xludf.DUMMYFUNCTION("""COMPUTED_VALUE"""),2.0)</f>
        <v>2</v>
      </c>
      <c r="I510" s="57">
        <f>IFERROR(__xludf.DUMMYFUNCTION("""COMPUTED_VALUE"""),0.35)</f>
        <v>0.35</v>
      </c>
      <c r="J510" s="57">
        <f>IFERROR(__xludf.DUMMYFUNCTION("""COMPUTED_VALUE"""),6.4)</f>
        <v>6.4</v>
      </c>
      <c r="K510" s="57">
        <f>IFERROR(__xludf.DUMMYFUNCTION("""COMPUTED_VALUE"""),3.44)</f>
        <v>3.44</v>
      </c>
      <c r="L510" s="54">
        <f>IFERROR(__xludf.DUMMYFUNCTION("""COMPUTED_VALUE"""),40.0)</f>
        <v>40</v>
      </c>
      <c r="M510" s="3">
        <f>IFERROR(__xludf.DUMMYFUNCTION("""COMPUTED_VALUE"""),120.0)</f>
        <v>120</v>
      </c>
      <c r="N510" s="3">
        <f>IFERROR(__xludf.DUMMYFUNCTION("""COMPUTED_VALUE"""),24.5)</f>
        <v>24.5</v>
      </c>
      <c r="O510" s="3"/>
      <c r="P510" s="3"/>
      <c r="Q510" s="3"/>
      <c r="R510" s="3"/>
      <c r="S510" s="3"/>
      <c r="T510" s="5"/>
      <c r="U510" s="5"/>
      <c r="V510" s="5"/>
      <c r="W510" s="5"/>
    </row>
    <row r="511" ht="15.75" customHeight="1">
      <c r="A511" s="3">
        <f>IFERROR(__xludf.DUMMYFUNCTION("""COMPUTED_VALUE"""),511.0)</f>
        <v>511</v>
      </c>
      <c r="B511" s="53">
        <f>IFERROR(__xludf.DUMMYFUNCTION("""COMPUTED_VALUE"""),45484.0)</f>
        <v>45484</v>
      </c>
      <c r="C511" s="3">
        <f>IFERROR(__xludf.DUMMYFUNCTION("""COMPUTED_VALUE"""),48.0)</f>
        <v>48</v>
      </c>
      <c r="D511" s="3" t="str">
        <f>IFERROR(__xludf.DUMMYFUNCTION("""COMPUTED_VALUE"""),"1.248")</f>
        <v>1.248</v>
      </c>
      <c r="E511" s="54">
        <f>IFERROR(__xludf.DUMMYFUNCTION("""COMPUTED_VALUE"""),23000.0)</f>
        <v>23000</v>
      </c>
      <c r="F511" s="3" t="str">
        <f>IFERROR(__xludf.DUMMYFUNCTION("""COMPUTED_VALUE"""),"Tinto rectificado")</f>
        <v>Tinto rectificado</v>
      </c>
      <c r="G511" s="55">
        <f>IFERROR(__xludf.DUMMYFUNCTION("""COMPUTED_VALUE"""),12.3)</f>
        <v>12.3</v>
      </c>
      <c r="H511" s="56">
        <f>IFERROR(__xludf.DUMMYFUNCTION("""COMPUTED_VALUE"""),2.0)</f>
        <v>2</v>
      </c>
      <c r="I511" s="57">
        <f>IFERROR(__xludf.DUMMYFUNCTION("""COMPUTED_VALUE"""),0.7)</f>
        <v>0.7</v>
      </c>
      <c r="J511" s="57">
        <f>IFERROR(__xludf.DUMMYFUNCTION("""COMPUTED_VALUE"""),5.7)</f>
        <v>5.7</v>
      </c>
      <c r="K511" s="57">
        <f>IFERROR(__xludf.DUMMYFUNCTION("""COMPUTED_VALUE"""),3.51)</f>
        <v>3.51</v>
      </c>
      <c r="L511" s="54">
        <f>IFERROR(__xludf.DUMMYFUNCTION("""COMPUTED_VALUE"""),50.0)</f>
        <v>50</v>
      </c>
      <c r="M511" s="3">
        <f>IFERROR(__xludf.DUMMYFUNCTION("""COMPUTED_VALUE"""),166.0)</f>
        <v>166</v>
      </c>
      <c r="N511" s="3"/>
      <c r="O511" s="3"/>
      <c r="P511" s="3"/>
      <c r="Q511" s="3"/>
      <c r="R511" s="3"/>
      <c r="S511" s="3"/>
      <c r="T511" s="5"/>
      <c r="U511" s="5"/>
      <c r="V511" s="5"/>
      <c r="W511" s="5"/>
    </row>
    <row r="512" ht="15.75" customHeight="1">
      <c r="A512" s="3">
        <f>IFERROR(__xludf.DUMMYFUNCTION("""COMPUTED_VALUE"""),512.0)</f>
        <v>512</v>
      </c>
      <c r="B512" s="53">
        <f>IFERROR(__xludf.DUMMYFUNCTION("""COMPUTED_VALUE"""),45490.0)</f>
        <v>45490</v>
      </c>
      <c r="C512" s="3">
        <f>IFERROR(__xludf.DUMMYFUNCTION("""COMPUTED_VALUE"""),120.0)</f>
        <v>120</v>
      </c>
      <c r="D512" s="3" t="str">
        <f>IFERROR(__xludf.DUMMYFUNCTION("""COMPUTED_VALUE"""),"#REF!")</f>
        <v>#REF!</v>
      </c>
      <c r="E512" s="3"/>
      <c r="F512" s="3" t="str">
        <f>IFERROR(__xludf.DUMMYFUNCTION("""COMPUTED_VALUE"""),"Malbec tangencial")</f>
        <v>Malbec tangencial</v>
      </c>
      <c r="G512" s="55">
        <f>IFERROR(__xludf.DUMMYFUNCTION("""COMPUTED_VALUE"""),13.5)</f>
        <v>13.5</v>
      </c>
      <c r="H512" s="56">
        <f>IFERROR(__xludf.DUMMYFUNCTION("""COMPUTED_VALUE"""),2.0)</f>
        <v>2</v>
      </c>
      <c r="I512" s="57">
        <f>IFERROR(__xludf.DUMMYFUNCTION("""COMPUTED_VALUE"""),0.71)</f>
        <v>0.71</v>
      </c>
      <c r="J512" s="57">
        <f>IFERROR(__xludf.DUMMYFUNCTION("""COMPUTED_VALUE"""),4.7)</f>
        <v>4.7</v>
      </c>
      <c r="K512" s="57">
        <f>IFERROR(__xludf.DUMMYFUNCTION("""COMPUTED_VALUE"""),3.75)</f>
        <v>3.75</v>
      </c>
      <c r="L512" s="54">
        <f>IFERROR(__xludf.DUMMYFUNCTION("""COMPUTED_VALUE"""),45.0)</f>
        <v>45</v>
      </c>
      <c r="M512" s="3">
        <f>IFERROR(__xludf.DUMMYFUNCTION("""COMPUTED_VALUE"""),133.0)</f>
        <v>133</v>
      </c>
      <c r="N512" s="3"/>
      <c r="O512" s="3"/>
      <c r="P512" s="3"/>
      <c r="Q512" s="3"/>
      <c r="R512" s="3"/>
      <c r="S512" s="3"/>
      <c r="T512" s="5"/>
      <c r="U512" s="5"/>
      <c r="V512" s="5"/>
      <c r="W512" s="5"/>
    </row>
    <row r="513" ht="15.75" customHeight="1">
      <c r="A513" s="3">
        <f>IFERROR(__xludf.DUMMYFUNCTION("""COMPUTED_VALUE"""),513.0)</f>
        <v>513</v>
      </c>
      <c r="B513" s="53">
        <f>IFERROR(__xludf.DUMMYFUNCTION("""COMPUTED_VALUE"""),45490.0)</f>
        <v>45490</v>
      </c>
      <c r="C513" s="3">
        <f>IFERROR(__xludf.DUMMYFUNCTION("""COMPUTED_VALUE"""),121.0)</f>
        <v>121</v>
      </c>
      <c r="D513" s="3" t="str">
        <f>IFERROR(__xludf.DUMMYFUNCTION("""COMPUTED_VALUE"""),"#REF!")</f>
        <v>#REF!</v>
      </c>
      <c r="E513" s="3"/>
      <c r="F513" s="3" t="str">
        <f>IFERROR(__xludf.DUMMYFUNCTION("""COMPUTED_VALUE"""),"Malbec tangencial")</f>
        <v>Malbec tangencial</v>
      </c>
      <c r="G513" s="55">
        <f>IFERROR(__xludf.DUMMYFUNCTION("""COMPUTED_VALUE"""),13.4)</f>
        <v>13.4</v>
      </c>
      <c r="H513" s="3"/>
      <c r="I513" s="57">
        <f>IFERROR(__xludf.DUMMYFUNCTION("""COMPUTED_VALUE"""),0.75)</f>
        <v>0.75</v>
      </c>
      <c r="J513" s="3"/>
      <c r="K513" s="3"/>
      <c r="L513" s="54">
        <f>IFERROR(__xludf.DUMMYFUNCTION("""COMPUTED_VALUE"""),45.0)</f>
        <v>45</v>
      </c>
      <c r="M513" s="3"/>
      <c r="N513" s="3"/>
      <c r="O513" s="3"/>
      <c r="P513" s="3"/>
      <c r="Q513" s="3"/>
      <c r="R513" s="3"/>
      <c r="S513" s="3"/>
      <c r="T513" s="5"/>
      <c r="U513" s="5"/>
      <c r="V513" s="5"/>
      <c r="W513" s="5"/>
    </row>
    <row r="514" ht="15.75" customHeight="1">
      <c r="A514" s="3">
        <f>IFERROR(__xludf.DUMMYFUNCTION("""COMPUTED_VALUE"""),514.0)</f>
        <v>514</v>
      </c>
      <c r="B514" s="53">
        <f>IFERROR(__xludf.DUMMYFUNCTION("""COMPUTED_VALUE"""),45491.0)</f>
        <v>45491</v>
      </c>
      <c r="C514" s="3">
        <f>IFERROR(__xludf.DUMMYFUNCTION("""COMPUTED_VALUE"""),9.0)</f>
        <v>9</v>
      </c>
      <c r="D514" s="3" t="str">
        <f>IFERROR(__xludf.DUMMYFUNCTION("""COMPUTED_VALUE"""),"1.242")</f>
        <v>1.242</v>
      </c>
      <c r="E514" s="54">
        <f>IFERROR(__xludf.DUMMYFUNCTION("""COMPUTED_VALUE"""),30000.0)</f>
        <v>30000</v>
      </c>
      <c r="F514" s="3" t="str">
        <f>IFERROR(__xludf.DUMMYFUNCTION("""COMPUTED_VALUE"""),"Tinto T")</f>
        <v>Tinto T</v>
      </c>
      <c r="G514" s="3"/>
      <c r="H514" s="3"/>
      <c r="I514" s="3"/>
      <c r="J514" s="3"/>
      <c r="K514" s="3"/>
      <c r="L514" s="54">
        <f>IFERROR(__xludf.DUMMYFUNCTION("""COMPUTED_VALUE"""),32.0)</f>
        <v>32</v>
      </c>
      <c r="M514" s="3"/>
      <c r="N514" s="3"/>
      <c r="O514" s="3"/>
      <c r="P514" s="3"/>
      <c r="Q514" s="3"/>
      <c r="R514" s="3"/>
      <c r="S514" s="3"/>
      <c r="T514" s="5"/>
      <c r="U514" s="5"/>
      <c r="V514" s="5"/>
      <c r="W514" s="5"/>
    </row>
    <row r="515" ht="15.75" customHeight="1">
      <c r="A515" s="3">
        <f>IFERROR(__xludf.DUMMYFUNCTION("""COMPUTED_VALUE"""),515.0)</f>
        <v>515</v>
      </c>
      <c r="B515" s="53">
        <f>IFERROR(__xludf.DUMMYFUNCTION("""COMPUTED_VALUE"""),45491.0)</f>
        <v>45491</v>
      </c>
      <c r="C515" s="3">
        <f>IFERROR(__xludf.DUMMYFUNCTION("""COMPUTED_VALUE"""),11.0)</f>
        <v>11</v>
      </c>
      <c r="D515" s="3"/>
      <c r="E515" s="3"/>
      <c r="F515" s="3"/>
      <c r="G515" s="3"/>
      <c r="H515" s="3"/>
      <c r="I515" s="3"/>
      <c r="J515" s="3"/>
      <c r="K515" s="3"/>
      <c r="L515" s="54">
        <f>IFERROR(__xludf.DUMMYFUNCTION("""COMPUTED_VALUE"""),70.0)</f>
        <v>70</v>
      </c>
      <c r="M515" s="3"/>
      <c r="N515" s="3"/>
      <c r="O515" s="3"/>
      <c r="P515" s="3"/>
      <c r="Q515" s="3"/>
      <c r="R515" s="3"/>
      <c r="S515" s="3"/>
      <c r="T515" s="5"/>
      <c r="U515" s="5"/>
      <c r="V515" s="5"/>
      <c r="W515" s="5"/>
    </row>
    <row r="516" ht="15.75" customHeight="1">
      <c r="A516" s="3">
        <f>IFERROR(__xludf.DUMMYFUNCTION("""COMPUTED_VALUE"""),516.0)</f>
        <v>516</v>
      </c>
      <c r="B516" s="53">
        <f>IFERROR(__xludf.DUMMYFUNCTION("""COMPUTED_VALUE"""),45491.0)</f>
        <v>45491</v>
      </c>
      <c r="C516" s="3">
        <f>IFERROR(__xludf.DUMMYFUNCTION("""COMPUTED_VALUE"""),16.0)</f>
        <v>16</v>
      </c>
      <c r="D516" s="3"/>
      <c r="E516" s="3"/>
      <c r="F516" s="3"/>
      <c r="G516" s="3"/>
      <c r="H516" s="3"/>
      <c r="I516" s="3"/>
      <c r="J516" s="3"/>
      <c r="K516" s="3"/>
      <c r="L516" s="54">
        <f>IFERROR(__xludf.DUMMYFUNCTION("""COMPUTED_VALUE"""),38.0)</f>
        <v>38</v>
      </c>
      <c r="M516" s="3"/>
      <c r="N516" s="3"/>
      <c r="O516" s="3"/>
      <c r="P516" s="3"/>
      <c r="Q516" s="3"/>
      <c r="R516" s="3"/>
      <c r="S516" s="3"/>
      <c r="T516" s="5"/>
      <c r="U516" s="5"/>
      <c r="V516" s="5"/>
      <c r="W516" s="5"/>
    </row>
    <row r="517" ht="15.75" customHeight="1">
      <c r="A517" s="3">
        <f>IFERROR(__xludf.DUMMYFUNCTION("""COMPUTED_VALUE"""),517.0)</f>
        <v>517</v>
      </c>
      <c r="B517" s="53">
        <f>IFERROR(__xludf.DUMMYFUNCTION("""COMPUTED_VALUE"""),45491.0)</f>
        <v>45491</v>
      </c>
      <c r="C517" s="3">
        <f>IFERROR(__xludf.DUMMYFUNCTION("""COMPUTED_VALUE"""),24.0)</f>
        <v>24</v>
      </c>
      <c r="D517" s="3" t="str">
        <f>IFERROR(__xludf.DUMMYFUNCTION("""COMPUTED_VALUE"""),"1.220")</f>
        <v>1.220</v>
      </c>
      <c r="E517" s="54">
        <f>IFERROR(__xludf.DUMMYFUNCTION("""COMPUTED_VALUE"""),186600.0)</f>
        <v>186600</v>
      </c>
      <c r="F517" s="3" t="str">
        <f>IFERROR(__xludf.DUMMYFUNCTION("""COMPUTED_VALUE"""),"Tinto")</f>
        <v>Tinto</v>
      </c>
      <c r="G517" s="3"/>
      <c r="H517" s="3"/>
      <c r="I517" s="3"/>
      <c r="J517" s="3"/>
      <c r="K517" s="3"/>
      <c r="L517" s="54">
        <f>IFERROR(__xludf.DUMMYFUNCTION("""COMPUTED_VALUE"""),30.0)</f>
        <v>30</v>
      </c>
      <c r="M517" s="3"/>
      <c r="N517" s="3"/>
      <c r="O517" s="3"/>
      <c r="P517" s="3"/>
      <c r="Q517" s="3"/>
      <c r="R517" s="3"/>
      <c r="S517" s="3"/>
      <c r="T517" s="5"/>
      <c r="U517" s="5"/>
      <c r="V517" s="5"/>
      <c r="W517" s="5"/>
    </row>
    <row r="518" ht="15.75" customHeight="1">
      <c r="A518" s="3">
        <f>IFERROR(__xludf.DUMMYFUNCTION("""COMPUTED_VALUE"""),518.0)</f>
        <v>518</v>
      </c>
      <c r="B518" s="53">
        <f>IFERROR(__xludf.DUMMYFUNCTION("""COMPUTED_VALUE"""),45491.0)</f>
        <v>45491</v>
      </c>
      <c r="C518" s="3">
        <f>IFERROR(__xludf.DUMMYFUNCTION("""COMPUTED_VALUE"""),25.0)</f>
        <v>25</v>
      </c>
      <c r="D518" s="3" t="str">
        <f>IFERROR(__xludf.DUMMYFUNCTION("""COMPUTED_VALUE"""),"1.231")</f>
        <v>1.231</v>
      </c>
      <c r="E518" s="54">
        <f>IFERROR(__xludf.DUMMYFUNCTION("""COMPUTED_VALUE"""),194300.0)</f>
        <v>194300</v>
      </c>
      <c r="F518" s="3" t="str">
        <f>IFERROR(__xludf.DUMMYFUNCTION("""COMPUTED_VALUE"""),"Syrah")</f>
        <v>Syrah</v>
      </c>
      <c r="G518" s="3"/>
      <c r="H518" s="3"/>
      <c r="I518" s="3"/>
      <c r="J518" s="3"/>
      <c r="K518" s="3"/>
      <c r="L518" s="54">
        <f>IFERROR(__xludf.DUMMYFUNCTION("""COMPUTED_VALUE"""),38.0)</f>
        <v>38</v>
      </c>
      <c r="M518" s="3"/>
      <c r="N518" s="3"/>
      <c r="O518" s="3"/>
      <c r="P518" s="3"/>
      <c r="Q518" s="3"/>
      <c r="R518" s="3"/>
      <c r="S518" s="3"/>
      <c r="T518" s="5"/>
      <c r="U518" s="5"/>
      <c r="V518" s="5"/>
      <c r="W518" s="5"/>
    </row>
    <row r="519" ht="15.75" customHeight="1">
      <c r="A519" s="3">
        <f>IFERROR(__xludf.DUMMYFUNCTION("""COMPUTED_VALUE"""),519.0)</f>
        <v>519</v>
      </c>
      <c r="B519" s="53">
        <f>IFERROR(__xludf.DUMMYFUNCTION("""COMPUTED_VALUE"""),45491.0)</f>
        <v>45491</v>
      </c>
      <c r="C519" s="3">
        <f>IFERROR(__xludf.DUMMYFUNCTION("""COMPUTED_VALUE"""),26.0)</f>
        <v>26</v>
      </c>
      <c r="D519" s="3" t="str">
        <f>IFERROR(__xludf.DUMMYFUNCTION("""COMPUTED_VALUE"""),"1.233")</f>
        <v>1.233</v>
      </c>
      <c r="E519" s="54">
        <f>IFERROR(__xludf.DUMMYFUNCTION("""COMPUTED_VALUE"""),207600.0)</f>
        <v>207600</v>
      </c>
      <c r="F519" s="3" t="str">
        <f>IFERROR(__xludf.DUMMYFUNCTION("""COMPUTED_VALUE"""),"Tinto Recarga")</f>
        <v>Tinto Recarga</v>
      </c>
      <c r="G519" s="3"/>
      <c r="H519" s="3"/>
      <c r="I519" s="3"/>
      <c r="J519" s="3"/>
      <c r="K519" s="3"/>
      <c r="L519" s="54">
        <f>IFERROR(__xludf.DUMMYFUNCTION("""COMPUTED_VALUE"""),25.0)</f>
        <v>25</v>
      </c>
      <c r="M519" s="3"/>
      <c r="N519" s="3"/>
      <c r="O519" s="3"/>
      <c r="P519" s="3"/>
      <c r="Q519" s="3"/>
      <c r="R519" s="3"/>
      <c r="S519" s="3"/>
      <c r="T519" s="5"/>
      <c r="U519" s="5"/>
      <c r="V519" s="5"/>
      <c r="W519" s="5"/>
    </row>
    <row r="520" ht="15.75" customHeight="1">
      <c r="A520" s="3">
        <f>IFERROR(__xludf.DUMMYFUNCTION("""COMPUTED_VALUE"""),520.0)</f>
        <v>520</v>
      </c>
      <c r="B520" s="53">
        <f>IFERROR(__xludf.DUMMYFUNCTION("""COMPUTED_VALUE"""),45491.0)</f>
        <v>45491</v>
      </c>
      <c r="C520" s="3">
        <f>IFERROR(__xludf.DUMMYFUNCTION("""COMPUTED_VALUE"""),30.0)</f>
        <v>30</v>
      </c>
      <c r="D520" s="3"/>
      <c r="E520" s="3"/>
      <c r="F520" s="3"/>
      <c r="G520" s="3"/>
      <c r="H520" s="3"/>
      <c r="I520" s="3"/>
      <c r="J520" s="3"/>
      <c r="K520" s="3"/>
      <c r="L520" s="54">
        <f>IFERROR(__xludf.DUMMYFUNCTION("""COMPUTED_VALUE"""),33.0)</f>
        <v>33</v>
      </c>
      <c r="M520" s="3"/>
      <c r="N520" s="3"/>
      <c r="O520" s="3"/>
      <c r="P520" s="3"/>
      <c r="Q520" s="3"/>
      <c r="R520" s="3"/>
      <c r="S520" s="3"/>
      <c r="T520" s="5"/>
      <c r="U520" s="5"/>
      <c r="V520" s="5"/>
      <c r="W520" s="5"/>
    </row>
    <row r="521" ht="15.75" customHeight="1">
      <c r="A521" s="3">
        <f>IFERROR(__xludf.DUMMYFUNCTION("""COMPUTED_VALUE"""),521.0)</f>
        <v>521</v>
      </c>
      <c r="B521" s="53">
        <f>IFERROR(__xludf.DUMMYFUNCTION("""COMPUTED_VALUE"""),45491.0)</f>
        <v>45491</v>
      </c>
      <c r="C521" s="3">
        <f>IFERROR(__xludf.DUMMYFUNCTION("""COMPUTED_VALUE"""),31.0)</f>
        <v>31</v>
      </c>
      <c r="D521" s="3" t="str">
        <f>IFERROR(__xludf.DUMMYFUNCTION("""COMPUTED_VALUE"""),"1.243")</f>
        <v>1.243</v>
      </c>
      <c r="E521" s="54">
        <f>IFERROR(__xludf.DUMMYFUNCTION("""COMPUTED_VALUE"""),25700.0)</f>
        <v>25700</v>
      </c>
      <c r="F521" s="3" t="str">
        <f>IFERROR(__xludf.DUMMYFUNCTION("""COMPUTED_VALUE"""),"Tinto T")</f>
        <v>Tinto T</v>
      </c>
      <c r="G521" s="3"/>
      <c r="H521" s="3"/>
      <c r="I521" s="3"/>
      <c r="J521" s="3"/>
      <c r="K521" s="3"/>
      <c r="L521" s="54">
        <f>IFERROR(__xludf.DUMMYFUNCTION("""COMPUTED_VALUE"""),32.0)</f>
        <v>32</v>
      </c>
      <c r="M521" s="3"/>
      <c r="N521" s="3"/>
      <c r="O521" s="3"/>
      <c r="P521" s="3"/>
      <c r="Q521" s="3"/>
      <c r="R521" s="3"/>
      <c r="S521" s="3"/>
      <c r="T521" s="5"/>
      <c r="U521" s="5"/>
      <c r="V521" s="5"/>
      <c r="W521" s="5"/>
    </row>
    <row r="522" ht="15.75" customHeight="1">
      <c r="A522" s="3">
        <f>IFERROR(__xludf.DUMMYFUNCTION("""COMPUTED_VALUE"""),522.0)</f>
        <v>522</v>
      </c>
      <c r="B522" s="53">
        <f>IFERROR(__xludf.DUMMYFUNCTION("""COMPUTED_VALUE"""),45491.0)</f>
        <v>45491</v>
      </c>
      <c r="C522" s="3">
        <f>IFERROR(__xludf.DUMMYFUNCTION("""COMPUTED_VALUE"""),36.0)</f>
        <v>36</v>
      </c>
      <c r="D522" s="3" t="str">
        <f>IFERROR(__xludf.DUMMYFUNCTION("""COMPUTED_VALUE"""),"1.247")</f>
        <v>1.247</v>
      </c>
      <c r="E522" s="54">
        <f>IFERROR(__xludf.DUMMYFUNCTION("""COMPUTED_VALUE"""),19700.0)</f>
        <v>19700</v>
      </c>
      <c r="F522" s="3" t="str">
        <f>IFERROR(__xludf.DUMMYFUNCTION("""COMPUTED_VALUE"""),"Syrah s/Asp")</f>
        <v>Syrah s/Asp</v>
      </c>
      <c r="G522" s="3"/>
      <c r="H522" s="3"/>
      <c r="I522" s="3"/>
      <c r="J522" s="3"/>
      <c r="K522" s="3"/>
      <c r="L522" s="54">
        <f>IFERROR(__xludf.DUMMYFUNCTION("""COMPUTED_VALUE"""),38.0)</f>
        <v>38</v>
      </c>
      <c r="M522" s="3"/>
      <c r="N522" s="3"/>
      <c r="O522" s="3"/>
      <c r="P522" s="3"/>
      <c r="Q522" s="3"/>
      <c r="R522" s="3"/>
      <c r="S522" s="3"/>
      <c r="T522" s="5"/>
      <c r="U522" s="5"/>
      <c r="V522" s="5"/>
      <c r="W522" s="5"/>
    </row>
    <row r="523" ht="15.75" customHeight="1">
      <c r="A523" s="3">
        <f>IFERROR(__xludf.DUMMYFUNCTION("""COMPUTED_VALUE"""),523.0)</f>
        <v>523</v>
      </c>
      <c r="B523" s="53">
        <f>IFERROR(__xludf.DUMMYFUNCTION("""COMPUTED_VALUE"""),45491.0)</f>
        <v>45491</v>
      </c>
      <c r="C523" s="3">
        <f>IFERROR(__xludf.DUMMYFUNCTION("""COMPUTED_VALUE"""),45.0)</f>
        <v>45</v>
      </c>
      <c r="D523" s="3" t="str">
        <f>IFERROR(__xludf.DUMMYFUNCTION("""COMPUTED_VALUE"""),"1.234")</f>
        <v>1.234</v>
      </c>
      <c r="E523" s="54">
        <f>IFERROR(__xludf.DUMMYFUNCTION("""COMPUTED_VALUE"""),30000.0)</f>
        <v>30000</v>
      </c>
      <c r="F523" s="3" t="str">
        <f>IFERROR(__xludf.DUMMYFUNCTION("""COMPUTED_VALUE"""),"Criollo Rectificado")</f>
        <v>Criollo Rectificado</v>
      </c>
      <c r="G523" s="3"/>
      <c r="H523" s="3"/>
      <c r="I523" s="3"/>
      <c r="J523" s="3"/>
      <c r="K523" s="3"/>
      <c r="L523" s="54">
        <f>IFERROR(__xludf.DUMMYFUNCTION("""COMPUTED_VALUE"""),30.0)</f>
        <v>30</v>
      </c>
      <c r="M523" s="3"/>
      <c r="N523" s="3"/>
      <c r="O523" s="3"/>
      <c r="P523" s="3"/>
      <c r="Q523" s="3"/>
      <c r="R523" s="3"/>
      <c r="S523" s="3"/>
      <c r="T523" s="5"/>
      <c r="U523" s="5"/>
      <c r="V523" s="5"/>
      <c r="W523" s="5"/>
    </row>
    <row r="524" ht="15.75" customHeight="1">
      <c r="A524" s="3">
        <f>IFERROR(__xludf.DUMMYFUNCTION("""COMPUTED_VALUE"""),524.0)</f>
        <v>524</v>
      </c>
      <c r="B524" s="53">
        <f>IFERROR(__xludf.DUMMYFUNCTION("""COMPUTED_VALUE"""),45491.0)</f>
        <v>45491</v>
      </c>
      <c r="C524" s="3">
        <f>IFERROR(__xludf.DUMMYFUNCTION("""COMPUTED_VALUE"""),48.0)</f>
        <v>48</v>
      </c>
      <c r="D524" s="3" t="str">
        <f>IFERROR(__xludf.DUMMYFUNCTION("""COMPUTED_VALUE"""),"1.248")</f>
        <v>1.248</v>
      </c>
      <c r="E524" s="54">
        <f>IFERROR(__xludf.DUMMYFUNCTION("""COMPUTED_VALUE"""),23000.0)</f>
        <v>23000</v>
      </c>
      <c r="F524" s="3" t="str">
        <f>IFERROR(__xludf.DUMMYFUNCTION("""COMPUTED_VALUE"""),"Tinto rectificado")</f>
        <v>Tinto rectificado</v>
      </c>
      <c r="G524" s="3"/>
      <c r="H524" s="3"/>
      <c r="I524" s="3"/>
      <c r="J524" s="3"/>
      <c r="K524" s="3"/>
      <c r="L524" s="54">
        <f>IFERROR(__xludf.DUMMYFUNCTION("""COMPUTED_VALUE"""),50.0)</f>
        <v>50</v>
      </c>
      <c r="M524" s="3"/>
      <c r="N524" s="3"/>
      <c r="O524" s="3"/>
      <c r="P524" s="3"/>
      <c r="Q524" s="3"/>
      <c r="R524" s="3"/>
      <c r="S524" s="3"/>
      <c r="T524" s="5"/>
      <c r="U524" s="5"/>
      <c r="V524" s="5"/>
      <c r="W524" s="5"/>
    </row>
    <row r="525" ht="15.75" customHeight="1">
      <c r="A525" s="3">
        <f>IFERROR(__xludf.DUMMYFUNCTION("""COMPUTED_VALUE"""),525.0)</f>
        <v>525</v>
      </c>
      <c r="B525" s="53">
        <f>IFERROR(__xludf.DUMMYFUNCTION("""COMPUTED_VALUE"""),45491.0)</f>
        <v>45491</v>
      </c>
      <c r="C525" s="3">
        <f>IFERROR(__xludf.DUMMYFUNCTION("""COMPUTED_VALUE"""),51.0)</f>
        <v>51</v>
      </c>
      <c r="D525" s="3" t="str">
        <f>IFERROR(__xludf.DUMMYFUNCTION("""COMPUTED_VALUE"""),"1.118")</f>
        <v>1.118</v>
      </c>
      <c r="E525" s="54">
        <f>IFERROR(__xludf.DUMMYFUNCTION("""COMPUTED_VALUE"""),3900.0)</f>
        <v>3900</v>
      </c>
      <c r="F525" s="3" t="str">
        <f>IFERROR(__xludf.DUMMYFUNCTION("""COMPUTED_VALUE"""),"Syrah Rosado")</f>
        <v>Syrah Rosado</v>
      </c>
      <c r="G525" s="3"/>
      <c r="H525" s="3"/>
      <c r="I525" s="3"/>
      <c r="J525" s="3"/>
      <c r="K525" s="3"/>
      <c r="L525" s="54">
        <f>IFERROR(__xludf.DUMMYFUNCTION("""COMPUTED_VALUE"""),30.0)</f>
        <v>30</v>
      </c>
      <c r="M525" s="3"/>
      <c r="N525" s="3"/>
      <c r="O525" s="3"/>
      <c r="P525" s="3"/>
      <c r="Q525" s="3"/>
      <c r="R525" s="3"/>
      <c r="S525" s="3"/>
      <c r="T525" s="5"/>
      <c r="U525" s="5"/>
      <c r="V525" s="5"/>
      <c r="W525" s="5"/>
    </row>
    <row r="526" ht="15.75" customHeight="1">
      <c r="A526" s="3">
        <f>IFERROR(__xludf.DUMMYFUNCTION("""COMPUTED_VALUE"""),526.0)</f>
        <v>526</v>
      </c>
      <c r="B526" s="53">
        <f>IFERROR(__xludf.DUMMYFUNCTION("""COMPUTED_VALUE"""),45491.0)</f>
        <v>45491</v>
      </c>
      <c r="C526" s="3">
        <f>IFERROR(__xludf.DUMMYFUNCTION("""COMPUTED_VALUE"""),55.0)</f>
        <v>55</v>
      </c>
      <c r="D526" s="3" t="str">
        <f>IFERROR(__xludf.DUMMYFUNCTION("""COMPUTED_VALUE"""),"1.119")</f>
        <v>1.119</v>
      </c>
      <c r="E526" s="54">
        <f>IFERROR(__xludf.DUMMYFUNCTION("""COMPUTED_VALUE"""),3000.0)</f>
        <v>3000</v>
      </c>
      <c r="F526" s="3" t="str">
        <f>IFERROR(__xludf.DUMMYFUNCTION("""COMPUTED_VALUE"""),"Syrah Rosado")</f>
        <v>Syrah Rosado</v>
      </c>
      <c r="G526" s="3"/>
      <c r="H526" s="3"/>
      <c r="I526" s="3"/>
      <c r="J526" s="3"/>
      <c r="K526" s="3"/>
      <c r="L526" s="54">
        <f>IFERROR(__xludf.DUMMYFUNCTION("""COMPUTED_VALUE"""),25.0)</f>
        <v>25</v>
      </c>
      <c r="M526" s="3"/>
      <c r="N526" s="3"/>
      <c r="O526" s="3"/>
      <c r="P526" s="3"/>
      <c r="Q526" s="3"/>
      <c r="R526" s="3"/>
      <c r="S526" s="3"/>
      <c r="T526" s="5"/>
      <c r="U526" s="5"/>
      <c r="V526" s="5"/>
      <c r="W526" s="5"/>
    </row>
    <row r="527" ht="15.75" customHeight="1">
      <c r="A527" s="3">
        <f>IFERROR(__xludf.DUMMYFUNCTION("""COMPUTED_VALUE"""),527.0)</f>
        <v>527</v>
      </c>
      <c r="B527" s="53">
        <f>IFERROR(__xludf.DUMMYFUNCTION("""COMPUTED_VALUE"""),45491.0)</f>
        <v>45491</v>
      </c>
      <c r="C527" s="3">
        <f>IFERROR(__xludf.DUMMYFUNCTION("""COMPUTED_VALUE"""),69.0)</f>
        <v>69</v>
      </c>
      <c r="D527" s="3" t="str">
        <f>IFERROR(__xludf.DUMMYFUNCTION("""COMPUTED_VALUE"""),"1.130")</f>
        <v>1.130</v>
      </c>
      <c r="E527" s="54">
        <f>IFERROR(__xludf.DUMMYFUNCTION("""COMPUTED_VALUE"""),13000.0)</f>
        <v>13000</v>
      </c>
      <c r="F527" s="3" t="str">
        <f>IFERROR(__xludf.DUMMYFUNCTION("""COMPUTED_VALUE"""),"Cabernet Sauvignon Got")</f>
        <v>Cabernet Sauvignon Got</v>
      </c>
      <c r="G527" s="3"/>
      <c r="H527" s="3"/>
      <c r="I527" s="3"/>
      <c r="J527" s="3"/>
      <c r="K527" s="3"/>
      <c r="L527" s="54">
        <f>IFERROR(__xludf.DUMMYFUNCTION("""COMPUTED_VALUE"""),20.0)</f>
        <v>20</v>
      </c>
      <c r="M527" s="3"/>
      <c r="N527" s="3"/>
      <c r="O527" s="3"/>
      <c r="P527" s="3"/>
      <c r="Q527" s="3"/>
      <c r="R527" s="3"/>
      <c r="S527" s="3"/>
      <c r="T527" s="5"/>
      <c r="U527" s="5"/>
      <c r="V527" s="5"/>
      <c r="W527" s="5"/>
    </row>
    <row r="528" ht="15.75" customHeight="1">
      <c r="A528" s="3">
        <f>IFERROR(__xludf.DUMMYFUNCTION("""COMPUTED_VALUE"""),528.0)</f>
        <v>528</v>
      </c>
      <c r="B528" s="53">
        <f>IFERROR(__xludf.DUMMYFUNCTION("""COMPUTED_VALUE"""),45491.0)</f>
        <v>45491</v>
      </c>
      <c r="C528" s="3">
        <f>IFERROR(__xludf.DUMMYFUNCTION("""COMPUTED_VALUE"""),70.0)</f>
        <v>70</v>
      </c>
      <c r="D528" s="3" t="str">
        <f>IFERROR(__xludf.DUMMYFUNCTION("""COMPUTED_VALUE"""),"1.259")</f>
        <v>1.259</v>
      </c>
      <c r="E528" s="54">
        <f>IFERROR(__xludf.DUMMYFUNCTION("""COMPUTED_VALUE"""),13000.0)</f>
        <v>13000</v>
      </c>
      <c r="F528" s="3" t="str">
        <f>IFERROR(__xludf.DUMMYFUNCTION("""COMPUTED_VALUE"""),"Tinto criollo")</f>
        <v>Tinto criollo</v>
      </c>
      <c r="G528" s="3"/>
      <c r="H528" s="3"/>
      <c r="I528" s="3"/>
      <c r="J528" s="3"/>
      <c r="K528" s="3"/>
      <c r="L528" s="54">
        <f>IFERROR(__xludf.DUMMYFUNCTION("""COMPUTED_VALUE"""),13.0)</f>
        <v>13</v>
      </c>
      <c r="M528" s="3"/>
      <c r="N528" s="3"/>
      <c r="O528" s="3"/>
      <c r="P528" s="3"/>
      <c r="Q528" s="3"/>
      <c r="R528" s="3"/>
      <c r="S528" s="3"/>
      <c r="T528" s="5"/>
      <c r="U528" s="5"/>
      <c r="V528" s="5"/>
      <c r="W528" s="5"/>
    </row>
    <row r="529" ht="15.75" customHeight="1">
      <c r="A529" s="3">
        <f>IFERROR(__xludf.DUMMYFUNCTION("""COMPUTED_VALUE"""),529.0)</f>
        <v>529</v>
      </c>
      <c r="B529" s="53">
        <f>IFERROR(__xludf.DUMMYFUNCTION("""COMPUTED_VALUE"""),45491.0)</f>
        <v>45491</v>
      </c>
      <c r="C529" s="3">
        <f>IFERROR(__xludf.DUMMYFUNCTION("""COMPUTED_VALUE"""),73.0)</f>
        <v>73</v>
      </c>
      <c r="D529" s="3" t="str">
        <f>IFERROR(__xludf.DUMMYFUNCTION("""COMPUTED_VALUE"""),"1.065")</f>
        <v>1.065</v>
      </c>
      <c r="E529" s="54">
        <f>IFERROR(__xludf.DUMMYFUNCTION("""COMPUTED_VALUE"""),13000.0)</f>
        <v>13000</v>
      </c>
      <c r="F529" s="3" t="str">
        <f>IFERROR(__xludf.DUMMYFUNCTION("""COMPUTED_VALUE"""),"Tinto Rectificado")</f>
        <v>Tinto Rectificado</v>
      </c>
      <c r="G529" s="3"/>
      <c r="H529" s="3"/>
      <c r="I529" s="3"/>
      <c r="J529" s="3"/>
      <c r="K529" s="3"/>
      <c r="L529" s="54">
        <f>IFERROR(__xludf.DUMMYFUNCTION("""COMPUTED_VALUE"""),57.0)</f>
        <v>57</v>
      </c>
      <c r="M529" s="3"/>
      <c r="N529" s="3"/>
      <c r="O529" s="3"/>
      <c r="P529" s="3"/>
      <c r="Q529" s="3"/>
      <c r="R529" s="3"/>
      <c r="S529" s="3"/>
      <c r="T529" s="5"/>
      <c r="U529" s="5"/>
      <c r="V529" s="5"/>
      <c r="W529" s="5"/>
    </row>
    <row r="530" ht="15.75" customHeight="1">
      <c r="A530" s="3">
        <f>IFERROR(__xludf.DUMMYFUNCTION("""COMPUTED_VALUE"""),530.0)</f>
        <v>530</v>
      </c>
      <c r="B530" s="53">
        <f>IFERROR(__xludf.DUMMYFUNCTION("""COMPUTED_VALUE"""),45491.0)</f>
        <v>45491</v>
      </c>
      <c r="C530" s="3">
        <f>IFERROR(__xludf.DUMMYFUNCTION("""COMPUTED_VALUE"""),82.0)</f>
        <v>82</v>
      </c>
      <c r="D530" s="3"/>
      <c r="E530" s="3"/>
      <c r="F530" s="3"/>
      <c r="G530" s="3"/>
      <c r="H530" s="3"/>
      <c r="I530" s="3"/>
      <c r="J530" s="3"/>
      <c r="K530" s="3"/>
      <c r="L530" s="54">
        <f>IFERROR(__xludf.DUMMYFUNCTION("""COMPUTED_VALUE"""),25.0)</f>
        <v>25</v>
      </c>
      <c r="M530" s="3"/>
      <c r="N530" s="3"/>
      <c r="O530" s="3"/>
      <c r="P530" s="3"/>
      <c r="Q530" s="3"/>
      <c r="R530" s="3"/>
      <c r="S530" s="3"/>
      <c r="T530" s="5"/>
      <c r="U530" s="5"/>
      <c r="V530" s="5"/>
      <c r="W530" s="5"/>
    </row>
    <row r="531" ht="15.75" customHeight="1">
      <c r="A531" s="3">
        <f>IFERROR(__xludf.DUMMYFUNCTION("""COMPUTED_VALUE"""),531.0)</f>
        <v>531</v>
      </c>
      <c r="B531" s="53">
        <f>IFERROR(__xludf.DUMMYFUNCTION("""COMPUTED_VALUE"""),45491.0)</f>
        <v>45491</v>
      </c>
      <c r="C531" s="3">
        <f>IFERROR(__xludf.DUMMYFUNCTION("""COMPUTED_VALUE"""),83.0)</f>
        <v>83</v>
      </c>
      <c r="D531" s="3" t="str">
        <f>IFERROR(__xludf.DUMMYFUNCTION("""COMPUTED_VALUE"""),"1.246")</f>
        <v>1.246</v>
      </c>
      <c r="E531" s="54">
        <f>IFERROR(__xludf.DUMMYFUNCTION("""COMPUTED_VALUE"""),81500.0)</f>
        <v>81500</v>
      </c>
      <c r="F531" s="3" t="str">
        <f>IFERROR(__xludf.DUMMYFUNCTION("""COMPUTED_VALUE"""),"Bonarda")</f>
        <v>Bonarda</v>
      </c>
      <c r="G531" s="3"/>
      <c r="H531" s="3"/>
      <c r="I531" s="3"/>
      <c r="J531" s="3"/>
      <c r="K531" s="3"/>
      <c r="L531" s="54">
        <f>IFERROR(__xludf.DUMMYFUNCTION("""COMPUTED_VALUE"""),36.0)</f>
        <v>36</v>
      </c>
      <c r="M531" s="3"/>
      <c r="N531" s="3"/>
      <c r="O531" s="3"/>
      <c r="P531" s="3"/>
      <c r="Q531" s="3"/>
      <c r="R531" s="3"/>
      <c r="S531" s="3"/>
      <c r="T531" s="5"/>
      <c r="U531" s="5"/>
      <c r="V531" s="5"/>
      <c r="W531" s="5"/>
    </row>
    <row r="532" ht="15.75" customHeight="1">
      <c r="A532" s="3">
        <f>IFERROR(__xludf.DUMMYFUNCTION("""COMPUTED_VALUE"""),532.0)</f>
        <v>532</v>
      </c>
      <c r="B532" s="53">
        <f>IFERROR(__xludf.DUMMYFUNCTION("""COMPUTED_VALUE"""),45491.0)</f>
        <v>45491</v>
      </c>
      <c r="C532" s="3">
        <f>IFERROR(__xludf.DUMMYFUNCTION("""COMPUTED_VALUE"""),84.0)</f>
        <v>84</v>
      </c>
      <c r="D532" s="3"/>
      <c r="E532" s="3"/>
      <c r="F532" s="3"/>
      <c r="G532" s="3"/>
      <c r="H532" s="3"/>
      <c r="I532" s="3"/>
      <c r="J532" s="3"/>
      <c r="K532" s="3"/>
      <c r="L532" s="54">
        <f>IFERROR(__xludf.DUMMYFUNCTION("""COMPUTED_VALUE"""),29.0)</f>
        <v>29</v>
      </c>
      <c r="M532" s="3"/>
      <c r="N532" s="3"/>
      <c r="O532" s="3"/>
      <c r="P532" s="3"/>
      <c r="Q532" s="3"/>
      <c r="R532" s="3"/>
      <c r="S532" s="3"/>
      <c r="T532" s="5"/>
      <c r="U532" s="5"/>
      <c r="V532" s="5"/>
      <c r="W532" s="5"/>
    </row>
    <row r="533" ht="15.75" customHeight="1">
      <c r="A533" s="3">
        <f>IFERROR(__xludf.DUMMYFUNCTION("""COMPUTED_VALUE"""),533.0)</f>
        <v>533</v>
      </c>
      <c r="B533" s="53">
        <f>IFERROR(__xludf.DUMMYFUNCTION("""COMPUTED_VALUE"""),45491.0)</f>
        <v>45491</v>
      </c>
      <c r="C533" s="3">
        <f>IFERROR(__xludf.DUMMYFUNCTION("""COMPUTED_VALUE"""),85.0)</f>
        <v>85</v>
      </c>
      <c r="D533" s="3" t="str">
        <f>IFERROR(__xludf.DUMMYFUNCTION("""COMPUTED_VALUE"""),"1.213")</f>
        <v>1.213</v>
      </c>
      <c r="E533" s="54">
        <f>IFERROR(__xludf.DUMMYFUNCTION("""COMPUTED_VALUE"""),82000.0)</f>
        <v>82000</v>
      </c>
      <c r="F533" s="3" t="str">
        <f>IFERROR(__xludf.DUMMYFUNCTION("""COMPUTED_VALUE"""),"Cabernet")</f>
        <v>Cabernet</v>
      </c>
      <c r="G533" s="3"/>
      <c r="H533" s="3"/>
      <c r="I533" s="3"/>
      <c r="J533" s="3"/>
      <c r="K533" s="3"/>
      <c r="L533" s="54">
        <f>IFERROR(__xludf.DUMMYFUNCTION("""COMPUTED_VALUE"""),38.0)</f>
        <v>38</v>
      </c>
      <c r="M533" s="3"/>
      <c r="N533" s="3"/>
      <c r="O533" s="3"/>
      <c r="P533" s="3"/>
      <c r="Q533" s="3"/>
      <c r="R533" s="3"/>
      <c r="S533" s="3"/>
      <c r="T533" s="5"/>
      <c r="U533" s="5"/>
      <c r="V533" s="5"/>
      <c r="W533" s="5"/>
    </row>
    <row r="534" ht="15.75" customHeight="1">
      <c r="A534" s="3">
        <f>IFERROR(__xludf.DUMMYFUNCTION("""COMPUTED_VALUE"""),534.0)</f>
        <v>534</v>
      </c>
      <c r="B534" s="53">
        <f>IFERROR(__xludf.DUMMYFUNCTION("""COMPUTED_VALUE"""),45491.0)</f>
        <v>45491</v>
      </c>
      <c r="C534" s="3">
        <f>IFERROR(__xludf.DUMMYFUNCTION("""COMPUTED_VALUE"""),86.0)</f>
        <v>86</v>
      </c>
      <c r="D534" s="3" t="str">
        <f>IFERROR(__xludf.DUMMYFUNCTION("""COMPUTED_VALUE"""),"1.235")</f>
        <v>1.235</v>
      </c>
      <c r="E534" s="54">
        <f>IFERROR(__xludf.DUMMYFUNCTION("""COMPUTED_VALUE"""),88000.0)</f>
        <v>88000</v>
      </c>
      <c r="F534" s="3" t="str">
        <f>IFERROR(__xludf.DUMMYFUNCTION("""COMPUTED_VALUE"""),"Malbec")</f>
        <v>Malbec</v>
      </c>
      <c r="G534" s="3"/>
      <c r="H534" s="3"/>
      <c r="I534" s="3"/>
      <c r="J534" s="3"/>
      <c r="K534" s="3"/>
      <c r="L534" s="54">
        <f>IFERROR(__xludf.DUMMYFUNCTION("""COMPUTED_VALUE"""),39.0)</f>
        <v>39</v>
      </c>
      <c r="M534" s="3"/>
      <c r="N534" s="3"/>
      <c r="O534" s="3"/>
      <c r="P534" s="3"/>
      <c r="Q534" s="3"/>
      <c r="R534" s="3"/>
      <c r="S534" s="3"/>
      <c r="T534" s="5"/>
      <c r="U534" s="5"/>
      <c r="V534" s="5"/>
      <c r="W534" s="5"/>
    </row>
    <row r="535" ht="15.75" customHeight="1">
      <c r="A535" s="3">
        <f>IFERROR(__xludf.DUMMYFUNCTION("""COMPUTED_VALUE"""),535.0)</f>
        <v>535</v>
      </c>
      <c r="B535" s="53">
        <f>IFERROR(__xludf.DUMMYFUNCTION("""COMPUTED_VALUE"""),45491.0)</f>
        <v>45491</v>
      </c>
      <c r="C535" s="3">
        <f>IFERROR(__xludf.DUMMYFUNCTION("""COMPUTED_VALUE"""),89.0)</f>
        <v>89</v>
      </c>
      <c r="D535" s="3" t="str">
        <f>IFERROR(__xludf.DUMMYFUNCTION("""COMPUTED_VALUE"""),"1.241")</f>
        <v>1.241</v>
      </c>
      <c r="E535" s="54">
        <f>IFERROR(__xludf.DUMMYFUNCTION("""COMPUTED_VALUE"""),83500.0)</f>
        <v>83500</v>
      </c>
      <c r="F535" s="3" t="str">
        <f>IFERROR(__xludf.DUMMYFUNCTION("""COMPUTED_VALUE"""),"Malbec T")</f>
        <v>Malbec T</v>
      </c>
      <c r="G535" s="3"/>
      <c r="H535" s="3"/>
      <c r="I535" s="3"/>
      <c r="J535" s="3"/>
      <c r="K535" s="3"/>
      <c r="L535" s="54">
        <f>IFERROR(__xludf.DUMMYFUNCTION("""COMPUTED_VALUE"""),28.0)</f>
        <v>28</v>
      </c>
      <c r="M535" s="3"/>
      <c r="N535" s="3"/>
      <c r="O535" s="3"/>
      <c r="P535" s="3"/>
      <c r="Q535" s="3"/>
      <c r="R535" s="3"/>
      <c r="S535" s="3"/>
      <c r="T535" s="5"/>
      <c r="U535" s="5"/>
      <c r="V535" s="5"/>
      <c r="W535" s="5"/>
    </row>
    <row r="536" ht="15.75" customHeight="1">
      <c r="A536" s="3">
        <f>IFERROR(__xludf.DUMMYFUNCTION("""COMPUTED_VALUE"""),536.0)</f>
        <v>536</v>
      </c>
      <c r="B536" s="53">
        <f>IFERROR(__xludf.DUMMYFUNCTION("""COMPUTED_VALUE"""),45491.0)</f>
        <v>45491</v>
      </c>
      <c r="C536" s="3">
        <f>IFERROR(__xludf.DUMMYFUNCTION("""COMPUTED_VALUE"""),90.0)</f>
        <v>90</v>
      </c>
      <c r="D536" s="3" t="str">
        <f>IFERROR(__xludf.DUMMYFUNCTION("""COMPUTED_VALUE"""),"1.228")</f>
        <v>1.228</v>
      </c>
      <c r="E536" s="54">
        <f>IFERROR(__xludf.DUMMYFUNCTION("""COMPUTED_VALUE"""),97500.0)</f>
        <v>97500</v>
      </c>
      <c r="F536" s="3" t="str">
        <f>IFERROR(__xludf.DUMMYFUNCTION("""COMPUTED_VALUE"""),"Malbec")</f>
        <v>Malbec</v>
      </c>
      <c r="G536" s="3"/>
      <c r="H536" s="3"/>
      <c r="I536" s="3"/>
      <c r="J536" s="3"/>
      <c r="K536" s="3"/>
      <c r="L536" s="54">
        <f>IFERROR(__xludf.DUMMYFUNCTION("""COMPUTED_VALUE"""),40.0)</f>
        <v>40</v>
      </c>
      <c r="M536" s="3"/>
      <c r="N536" s="3"/>
      <c r="O536" s="3"/>
      <c r="P536" s="3"/>
      <c r="Q536" s="3"/>
      <c r="R536" s="3"/>
      <c r="S536" s="3"/>
      <c r="T536" s="5"/>
      <c r="U536" s="5"/>
      <c r="V536" s="5"/>
      <c r="W536" s="5"/>
    </row>
    <row r="537" ht="15.75" customHeight="1">
      <c r="A537" s="3">
        <f>IFERROR(__xludf.DUMMYFUNCTION("""COMPUTED_VALUE"""),537.0)</f>
        <v>537</v>
      </c>
      <c r="B537" s="53">
        <f>IFERROR(__xludf.DUMMYFUNCTION("""COMPUTED_VALUE"""),45491.0)</f>
        <v>45491</v>
      </c>
      <c r="C537" s="3">
        <f>IFERROR(__xludf.DUMMYFUNCTION("""COMPUTED_VALUE"""),95.0)</f>
        <v>95</v>
      </c>
      <c r="D537" s="3" t="str">
        <f>IFERROR(__xludf.DUMMYFUNCTION("""COMPUTED_VALUE"""),"1.237")</f>
        <v>1.237</v>
      </c>
      <c r="E537" s="54">
        <f>IFERROR(__xludf.DUMMYFUNCTION("""COMPUTED_VALUE"""),77100.0)</f>
        <v>77100</v>
      </c>
      <c r="F537" s="3" t="str">
        <f>IFERROR(__xludf.DUMMYFUNCTION("""COMPUTED_VALUE"""),"Bonarda")</f>
        <v>Bonarda</v>
      </c>
      <c r="G537" s="3"/>
      <c r="H537" s="3"/>
      <c r="I537" s="3"/>
      <c r="J537" s="3"/>
      <c r="K537" s="3"/>
      <c r="L537" s="54">
        <f>IFERROR(__xludf.DUMMYFUNCTION("""COMPUTED_VALUE"""),32.0)</f>
        <v>32</v>
      </c>
      <c r="M537" s="3"/>
      <c r="N537" s="3"/>
      <c r="O537" s="3"/>
      <c r="P537" s="3"/>
      <c r="Q537" s="3"/>
      <c r="R537" s="3"/>
      <c r="S537" s="3"/>
      <c r="T537" s="5"/>
      <c r="U537" s="5"/>
      <c r="V537" s="5"/>
      <c r="W537" s="5"/>
    </row>
    <row r="538" ht="15.75" customHeight="1">
      <c r="A538" s="3">
        <f>IFERROR(__xludf.DUMMYFUNCTION("""COMPUTED_VALUE"""),538.0)</f>
        <v>538</v>
      </c>
      <c r="B538" s="53">
        <f>IFERROR(__xludf.DUMMYFUNCTION("""COMPUTED_VALUE"""),45491.0)</f>
        <v>45491</v>
      </c>
      <c r="C538" s="3">
        <f>IFERROR(__xludf.DUMMYFUNCTION("""COMPUTED_VALUE"""),96.0)</f>
        <v>96</v>
      </c>
      <c r="D538" s="3" t="str">
        <f>IFERROR(__xludf.DUMMYFUNCTION("""COMPUTED_VALUE"""),"1.238")</f>
        <v>1.238</v>
      </c>
      <c r="E538" s="54">
        <f>IFERROR(__xludf.DUMMYFUNCTION("""COMPUTED_VALUE"""),78400.0)</f>
        <v>78400</v>
      </c>
      <c r="F538" s="3" t="str">
        <f>IFERROR(__xludf.DUMMYFUNCTION("""COMPUTED_VALUE"""),"Bonarda")</f>
        <v>Bonarda</v>
      </c>
      <c r="G538" s="3"/>
      <c r="H538" s="3"/>
      <c r="I538" s="3"/>
      <c r="J538" s="3"/>
      <c r="K538" s="3"/>
      <c r="L538" s="54">
        <f>IFERROR(__xludf.DUMMYFUNCTION("""COMPUTED_VALUE"""),32.0)</f>
        <v>32</v>
      </c>
      <c r="M538" s="3"/>
      <c r="N538" s="3"/>
      <c r="O538" s="3"/>
      <c r="P538" s="3"/>
      <c r="Q538" s="3"/>
      <c r="R538" s="3"/>
      <c r="S538" s="3"/>
      <c r="T538" s="5"/>
      <c r="U538" s="5"/>
      <c r="V538" s="5"/>
      <c r="W538" s="5"/>
    </row>
    <row r="539" ht="15.75" customHeight="1">
      <c r="A539" s="3">
        <f>IFERROR(__xludf.DUMMYFUNCTION("""COMPUTED_VALUE"""),539.0)</f>
        <v>539</v>
      </c>
      <c r="B539" s="53">
        <f>IFERROR(__xludf.DUMMYFUNCTION("""COMPUTED_VALUE"""),45491.0)</f>
        <v>45491</v>
      </c>
      <c r="C539" s="3">
        <f>IFERROR(__xludf.DUMMYFUNCTION("""COMPUTED_VALUE"""),111.0)</f>
        <v>111</v>
      </c>
      <c r="D539" s="3" t="str">
        <f>IFERROR(__xludf.DUMMYFUNCTION("""COMPUTED_VALUE"""),"1.218")</f>
        <v>1.218</v>
      </c>
      <c r="E539" s="54">
        <f>IFERROR(__xludf.DUMMYFUNCTION("""COMPUTED_VALUE"""),4000.0)</f>
        <v>4000</v>
      </c>
      <c r="F539" s="3" t="str">
        <f>IFERROR(__xludf.DUMMYFUNCTION("""COMPUTED_VALUE"""),"Tinto")</f>
        <v>Tinto</v>
      </c>
      <c r="G539" s="3"/>
      <c r="H539" s="3"/>
      <c r="I539" s="3"/>
      <c r="J539" s="3"/>
      <c r="K539" s="3"/>
      <c r="L539" s="54">
        <f>IFERROR(__xludf.DUMMYFUNCTION("""COMPUTED_VALUE"""),70.0)</f>
        <v>70</v>
      </c>
      <c r="M539" s="3"/>
      <c r="N539" s="3"/>
      <c r="O539" s="3"/>
      <c r="P539" s="3"/>
      <c r="Q539" s="3"/>
      <c r="R539" s="3"/>
      <c r="S539" s="3"/>
      <c r="T539" s="5"/>
      <c r="U539" s="5"/>
      <c r="V539" s="5"/>
      <c r="W539" s="5"/>
    </row>
    <row r="540" ht="15.75" customHeight="1">
      <c r="A540" s="3">
        <f>IFERROR(__xludf.DUMMYFUNCTION("""COMPUTED_VALUE"""),540.0)</f>
        <v>540</v>
      </c>
      <c r="B540" s="53">
        <f>IFERROR(__xludf.DUMMYFUNCTION("""COMPUTED_VALUE"""),45491.0)</f>
        <v>45491</v>
      </c>
      <c r="C540" s="3">
        <f>IFERROR(__xludf.DUMMYFUNCTION("""COMPUTED_VALUE"""),114.0)</f>
        <v>114</v>
      </c>
      <c r="D540" s="3" t="str">
        <f>IFERROR(__xludf.DUMMYFUNCTION("""COMPUTED_VALUE"""),"1.090")</f>
        <v>1.090</v>
      </c>
      <c r="E540" s="54">
        <f>IFERROR(__xludf.DUMMYFUNCTION("""COMPUTED_VALUE"""),125300.0)</f>
        <v>125300</v>
      </c>
      <c r="F540" s="3" t="str">
        <f>IFERROR(__xludf.DUMMYFUNCTION("""COMPUTED_VALUE"""),"Aspirant Ancc")</f>
        <v>Aspirant Ancc</v>
      </c>
      <c r="G540" s="3"/>
      <c r="H540" s="3"/>
      <c r="I540" s="3"/>
      <c r="J540" s="3"/>
      <c r="K540" s="3"/>
      <c r="L540" s="54">
        <f>IFERROR(__xludf.DUMMYFUNCTION("""COMPUTED_VALUE"""),45.0)</f>
        <v>45</v>
      </c>
      <c r="M540" s="3"/>
      <c r="N540" s="3"/>
      <c r="O540" s="3"/>
      <c r="P540" s="3"/>
      <c r="Q540" s="3"/>
      <c r="R540" s="3"/>
      <c r="S540" s="3"/>
      <c r="T540" s="5"/>
      <c r="U540" s="5"/>
      <c r="V540" s="5"/>
      <c r="W540" s="5"/>
    </row>
    <row r="541" ht="15.75" customHeight="1">
      <c r="A541" s="3">
        <f>IFERROR(__xludf.DUMMYFUNCTION("""COMPUTED_VALUE"""),541.0)</f>
        <v>541</v>
      </c>
      <c r="B541" s="53">
        <f>IFERROR(__xludf.DUMMYFUNCTION("""COMPUTED_VALUE"""),45491.0)</f>
        <v>45491</v>
      </c>
      <c r="C541" s="3">
        <f>IFERROR(__xludf.DUMMYFUNCTION("""COMPUTED_VALUE"""),115.0)</f>
        <v>115</v>
      </c>
      <c r="D541" s="3" t="str">
        <f>IFERROR(__xludf.DUMMYFUNCTION("""COMPUTED_VALUE"""),"1.091")</f>
        <v>1.091</v>
      </c>
      <c r="E541" s="54">
        <f>IFERROR(__xludf.DUMMYFUNCTION("""COMPUTED_VALUE"""),120200.0)</f>
        <v>120200</v>
      </c>
      <c r="F541" s="3" t="str">
        <f>IFERROR(__xludf.DUMMYFUNCTION("""COMPUTED_VALUE"""),"Tempranillo Merlot s/Asp 1")</f>
        <v>Tempranillo Merlot s/Asp 1</v>
      </c>
      <c r="G541" s="3"/>
      <c r="H541" s="3"/>
      <c r="I541" s="3"/>
      <c r="J541" s="3"/>
      <c r="K541" s="3"/>
      <c r="L541" s="54">
        <f>IFERROR(__xludf.DUMMYFUNCTION("""COMPUTED_VALUE"""),38.0)</f>
        <v>38</v>
      </c>
      <c r="M541" s="3"/>
      <c r="N541" s="3"/>
      <c r="O541" s="3"/>
      <c r="P541" s="3"/>
      <c r="Q541" s="3"/>
      <c r="R541" s="3"/>
      <c r="S541" s="3"/>
      <c r="T541" s="5"/>
      <c r="U541" s="5"/>
      <c r="V541" s="5"/>
      <c r="W541" s="5"/>
    </row>
    <row r="542" ht="15.75" customHeight="1">
      <c r="A542" s="3">
        <f>IFERROR(__xludf.DUMMYFUNCTION("""COMPUTED_VALUE"""),542.0)</f>
        <v>542</v>
      </c>
      <c r="B542" s="53">
        <f>IFERROR(__xludf.DUMMYFUNCTION("""COMPUTED_VALUE"""),45491.0)</f>
        <v>45491</v>
      </c>
      <c r="C542" s="3">
        <f>IFERROR(__xludf.DUMMYFUNCTION("""COMPUTED_VALUE"""),116.0)</f>
        <v>116</v>
      </c>
      <c r="D542" s="3" t="str">
        <f>IFERROR(__xludf.DUMMYFUNCTION("""COMPUTED_VALUE"""),"1.249")</f>
        <v>1.249</v>
      </c>
      <c r="E542" s="54">
        <f>IFERROR(__xludf.DUMMYFUNCTION("""COMPUTED_VALUE"""),99600.0)</f>
        <v>99600</v>
      </c>
      <c r="F542" s="3" t="str">
        <f>IFERROR(__xludf.DUMMYFUNCTION("""COMPUTED_VALUE"""),"Cabernet Sauvignon")</f>
        <v>Cabernet Sauvignon</v>
      </c>
      <c r="G542" s="3"/>
      <c r="H542" s="3"/>
      <c r="I542" s="3"/>
      <c r="J542" s="3"/>
      <c r="K542" s="3"/>
      <c r="L542" s="54">
        <f>IFERROR(__xludf.DUMMYFUNCTION("""COMPUTED_VALUE"""),33.0)</f>
        <v>33</v>
      </c>
      <c r="M542" s="3"/>
      <c r="N542" s="3"/>
      <c r="O542" s="3"/>
      <c r="P542" s="3"/>
      <c r="Q542" s="3"/>
      <c r="R542" s="3"/>
      <c r="S542" s="3"/>
      <c r="T542" s="5"/>
      <c r="U542" s="5"/>
      <c r="V542" s="5"/>
      <c r="W542" s="5"/>
    </row>
    <row r="543" ht="15.75" customHeight="1">
      <c r="A543" s="3">
        <f>IFERROR(__xludf.DUMMYFUNCTION("""COMPUTED_VALUE"""),543.0)</f>
        <v>543</v>
      </c>
      <c r="B543" s="53">
        <f>IFERROR(__xludf.DUMMYFUNCTION("""COMPUTED_VALUE"""),45491.0)</f>
        <v>45491</v>
      </c>
      <c r="C543" s="3">
        <f>IFERROR(__xludf.DUMMYFUNCTION("""COMPUTED_VALUE"""),118.0)</f>
        <v>118</v>
      </c>
      <c r="D543" s="3" t="str">
        <f>IFERROR(__xludf.DUMMYFUNCTION("""COMPUTED_VALUE"""),"1.232")</f>
        <v>1.232</v>
      </c>
      <c r="E543" s="54">
        <f>IFERROR(__xludf.DUMMYFUNCTION("""COMPUTED_VALUE"""),155600.0)</f>
        <v>155600</v>
      </c>
      <c r="F543" s="3" t="str">
        <f>IFERROR(__xludf.DUMMYFUNCTION("""COMPUTED_VALUE"""),"Anccelotta Syrah")</f>
        <v>Anccelotta Syrah</v>
      </c>
      <c r="G543" s="3"/>
      <c r="H543" s="3"/>
      <c r="I543" s="3"/>
      <c r="J543" s="3"/>
      <c r="K543" s="3"/>
      <c r="L543" s="54">
        <f>IFERROR(__xludf.DUMMYFUNCTION("""COMPUTED_VALUE"""),50.0)</f>
        <v>50</v>
      </c>
      <c r="M543" s="3"/>
      <c r="N543" s="3"/>
      <c r="O543" s="3"/>
      <c r="P543" s="3"/>
      <c r="Q543" s="3"/>
      <c r="R543" s="3"/>
      <c r="S543" s="3"/>
      <c r="T543" s="5"/>
      <c r="U543" s="5"/>
      <c r="V543" s="5"/>
      <c r="W543" s="5"/>
    </row>
    <row r="544" ht="15.75" customHeight="1">
      <c r="A544" s="3">
        <f>IFERROR(__xludf.DUMMYFUNCTION("""COMPUTED_VALUE"""),544.0)</f>
        <v>544</v>
      </c>
      <c r="B544" s="53">
        <f>IFERROR(__xludf.DUMMYFUNCTION("""COMPUTED_VALUE"""),45491.0)</f>
        <v>45491</v>
      </c>
      <c r="C544" s="3">
        <f>IFERROR(__xludf.DUMMYFUNCTION("""COMPUTED_VALUE"""),120.0)</f>
        <v>120</v>
      </c>
      <c r="D544" s="3"/>
      <c r="E544" s="3"/>
      <c r="F544" s="3"/>
      <c r="G544" s="3"/>
      <c r="H544" s="3"/>
      <c r="I544" s="3"/>
      <c r="J544" s="3"/>
      <c r="K544" s="3"/>
      <c r="L544" s="54">
        <f>IFERROR(__xludf.DUMMYFUNCTION("""COMPUTED_VALUE"""),52.0)</f>
        <v>52</v>
      </c>
      <c r="M544" s="3"/>
      <c r="N544" s="3"/>
      <c r="O544" s="3"/>
      <c r="P544" s="3"/>
      <c r="Q544" s="3"/>
      <c r="R544" s="3"/>
      <c r="S544" s="3"/>
      <c r="T544" s="5"/>
      <c r="U544" s="5"/>
      <c r="V544" s="5"/>
      <c r="W544" s="5"/>
    </row>
    <row r="545" ht="15.75" customHeight="1">
      <c r="A545" s="3">
        <f>IFERROR(__xludf.DUMMYFUNCTION("""COMPUTED_VALUE"""),545.0)</f>
        <v>545</v>
      </c>
      <c r="B545" s="53">
        <f>IFERROR(__xludf.DUMMYFUNCTION("""COMPUTED_VALUE"""),45492.0)</f>
        <v>45492</v>
      </c>
      <c r="C545" s="3">
        <f>IFERROR(__xludf.DUMMYFUNCTION("""COMPUTED_VALUE"""),92.0)</f>
        <v>92</v>
      </c>
      <c r="D545" s="3" t="str">
        <f>IFERROR(__xludf.DUMMYFUNCTION("""COMPUTED_VALUE"""),"1.245")</f>
        <v>1.245</v>
      </c>
      <c r="E545" s="54">
        <f>IFERROR(__xludf.DUMMYFUNCTION("""COMPUTED_VALUE"""),76000.0)</f>
        <v>76000</v>
      </c>
      <c r="F545" s="3" t="str">
        <f>IFERROR(__xludf.DUMMYFUNCTION("""COMPUTED_VALUE"""),"Bonarda")</f>
        <v>Bonarda</v>
      </c>
      <c r="G545" s="3"/>
      <c r="H545" s="3"/>
      <c r="I545" s="3"/>
      <c r="J545" s="3"/>
      <c r="K545" s="3"/>
      <c r="L545" s="54">
        <f>IFERROR(__xludf.DUMMYFUNCTION("""COMPUTED_VALUE"""),50.0)</f>
        <v>50</v>
      </c>
      <c r="M545" s="3"/>
      <c r="N545" s="3"/>
      <c r="O545" s="3"/>
      <c r="P545" s="3"/>
      <c r="Q545" s="3"/>
      <c r="R545" s="3"/>
      <c r="S545" s="3"/>
      <c r="T545" s="5"/>
      <c r="U545" s="5"/>
      <c r="V545" s="5"/>
      <c r="W545" s="5"/>
    </row>
    <row r="546" ht="15.75" customHeight="1">
      <c r="A546" s="3">
        <f>IFERROR(__xludf.DUMMYFUNCTION("""COMPUTED_VALUE"""),546.0)</f>
        <v>546</v>
      </c>
      <c r="B546" s="53">
        <f>IFERROR(__xludf.DUMMYFUNCTION("""COMPUTED_VALUE"""),45502.0)</f>
        <v>45502</v>
      </c>
      <c r="C546" s="3">
        <f>IFERROR(__xludf.DUMMYFUNCTION("""COMPUTED_VALUE"""),127.0)</f>
        <v>127</v>
      </c>
      <c r="D546" s="3" t="str">
        <f>IFERROR(__xludf.DUMMYFUNCTION("""COMPUTED_VALUE"""),"#REF!")</f>
        <v>#REF!</v>
      </c>
      <c r="E546" s="54">
        <f>IFERROR(__xludf.DUMMYFUNCTION("""COMPUTED_VALUE"""),29000.0)</f>
        <v>29000</v>
      </c>
      <c r="F546" s="3" t="str">
        <f>IFERROR(__xludf.DUMMYFUNCTION("""COMPUTED_VALUE"""),"Cabernet La Vendimia")</f>
        <v>Cabernet La Vendimia</v>
      </c>
      <c r="G546" s="55">
        <f>IFERROR(__xludf.DUMMYFUNCTION("""COMPUTED_VALUE"""),13.6)</f>
        <v>13.6</v>
      </c>
      <c r="H546" s="56">
        <f>IFERROR(__xludf.DUMMYFUNCTION("""COMPUTED_VALUE"""),2.0)</f>
        <v>2</v>
      </c>
      <c r="I546" s="57">
        <f>IFERROR(__xludf.DUMMYFUNCTION("""COMPUTED_VALUE"""),0.58)</f>
        <v>0.58</v>
      </c>
      <c r="J546" s="57">
        <f>IFERROR(__xludf.DUMMYFUNCTION("""COMPUTED_VALUE"""),5.81)</f>
        <v>5.81</v>
      </c>
      <c r="K546" s="57">
        <f>IFERROR(__xludf.DUMMYFUNCTION("""COMPUTED_VALUE"""),3.51)</f>
        <v>3.51</v>
      </c>
      <c r="L546" s="54">
        <f>IFERROR(__xludf.DUMMYFUNCTION("""COMPUTED_VALUE"""),32.0)</f>
        <v>32</v>
      </c>
      <c r="M546" s="3">
        <f>IFERROR(__xludf.DUMMYFUNCTION("""COMPUTED_VALUE"""),160.0)</f>
        <v>160</v>
      </c>
      <c r="N546" s="3"/>
      <c r="O546" s="3">
        <f>IFERROR(__xludf.DUMMYFUNCTION("""COMPUTED_VALUE"""),350.0)</f>
        <v>350</v>
      </c>
      <c r="P546" s="3">
        <f>IFERROR(__xludf.DUMMYFUNCTION("""COMPUTED_VALUE"""),550.0)</f>
        <v>550</v>
      </c>
      <c r="Q546" s="3"/>
      <c r="R546" s="3">
        <f>IFERROR(__xludf.DUMMYFUNCTION("""COMPUTED_VALUE"""),900.0)</f>
        <v>900</v>
      </c>
      <c r="S546" s="54">
        <f>IFERROR(__xludf.DUMMYFUNCTION("""COMPUTED_VALUE"""),1414.2857142857142)</f>
        <v>1414.285714</v>
      </c>
      <c r="T546" s="5"/>
      <c r="U546" s="5"/>
      <c r="V546" s="5"/>
      <c r="W546" s="5"/>
    </row>
    <row r="547" ht="15.75" customHeight="1">
      <c r="A547" s="3">
        <f>IFERROR(__xludf.DUMMYFUNCTION("""COMPUTED_VALUE"""),547.0)</f>
        <v>547</v>
      </c>
      <c r="B547" s="53">
        <f>IFERROR(__xludf.DUMMYFUNCTION("""COMPUTED_VALUE"""),45503.0)</f>
        <v>45503</v>
      </c>
      <c r="C547" s="3">
        <f>IFERROR(__xludf.DUMMYFUNCTION("""COMPUTED_VALUE"""),102.0)</f>
        <v>102</v>
      </c>
      <c r="D547" s="3" t="str">
        <f>IFERROR(__xludf.DUMMYFUNCTION("""COMPUTED_VALUE"""),"#REF!")</f>
        <v>#REF!</v>
      </c>
      <c r="E547" s="3"/>
      <c r="F547" s="3" t="str">
        <f>IFERROR(__xludf.DUMMYFUNCTION("""COMPUTED_VALUE"""),"syrah /aspirant 1")</f>
        <v>syrah /aspirant 1</v>
      </c>
      <c r="G547" s="55">
        <f>IFERROR(__xludf.DUMMYFUNCTION("""COMPUTED_VALUE"""),12.5)</f>
        <v>12.5</v>
      </c>
      <c r="H547" s="56">
        <f>IFERROR(__xludf.DUMMYFUNCTION("""COMPUTED_VALUE"""),2.0)</f>
        <v>2</v>
      </c>
      <c r="I547" s="57">
        <f>IFERROR(__xludf.DUMMYFUNCTION("""COMPUTED_VALUE"""),0.6)</f>
        <v>0.6</v>
      </c>
      <c r="J547" s="57">
        <f>IFERROR(__xludf.DUMMYFUNCTION("""COMPUTED_VALUE"""),4.8)</f>
        <v>4.8</v>
      </c>
      <c r="K547" s="57">
        <f>IFERROR(__xludf.DUMMYFUNCTION("""COMPUTED_VALUE"""),3.69)</f>
        <v>3.69</v>
      </c>
      <c r="L547" s="54">
        <f>IFERROR(__xludf.DUMMYFUNCTION("""COMPUTED_VALUE"""),45.0)</f>
        <v>45</v>
      </c>
      <c r="M547" s="3">
        <f>IFERROR(__xludf.DUMMYFUNCTION("""COMPUTED_VALUE"""),110.0)</f>
        <v>110</v>
      </c>
      <c r="N547" s="3"/>
      <c r="O547" s="3"/>
      <c r="P547" s="3"/>
      <c r="Q547" s="3"/>
      <c r="R547" s="3"/>
      <c r="S547" s="3"/>
      <c r="T547" s="5"/>
      <c r="U547" s="5"/>
      <c r="V547" s="5"/>
      <c r="W547" s="5"/>
    </row>
    <row r="548" ht="15.75" customHeight="1">
      <c r="A548" s="3">
        <f>IFERROR(__xludf.DUMMYFUNCTION("""COMPUTED_VALUE"""),548.0)</f>
        <v>548</v>
      </c>
      <c r="B548" s="53">
        <f>IFERROR(__xludf.DUMMYFUNCTION("""COMPUTED_VALUE"""),45503.0)</f>
        <v>45503</v>
      </c>
      <c r="C548" s="3">
        <f>IFERROR(__xludf.DUMMYFUNCTION("""COMPUTED_VALUE"""),9.0)</f>
        <v>9</v>
      </c>
      <c r="D548" s="3" t="str">
        <f>IFERROR(__xludf.DUMMYFUNCTION("""COMPUTED_VALUE"""),"1.242")</f>
        <v>1.242</v>
      </c>
      <c r="E548" s="54">
        <f>IFERROR(__xludf.DUMMYFUNCTION("""COMPUTED_VALUE"""),30000.0)</f>
        <v>30000</v>
      </c>
      <c r="F548" s="3" t="str">
        <f>IFERROR(__xludf.DUMMYFUNCTION("""COMPUTED_VALUE"""),"Tinto T")</f>
        <v>Tinto T</v>
      </c>
      <c r="G548" s="3"/>
      <c r="H548" s="3"/>
      <c r="I548" s="3"/>
      <c r="J548" s="3"/>
      <c r="K548" s="3"/>
      <c r="L548" s="54">
        <f>IFERROR(__xludf.DUMMYFUNCTION("""COMPUTED_VALUE"""),38.0)</f>
        <v>38</v>
      </c>
      <c r="M548" s="3"/>
      <c r="N548" s="3"/>
      <c r="O548" s="3"/>
      <c r="P548" s="3"/>
      <c r="Q548" s="3"/>
      <c r="R548" s="3"/>
      <c r="S548" s="3"/>
      <c r="T548" s="5"/>
      <c r="U548" s="5"/>
      <c r="V548" s="5"/>
      <c r="W548" s="5"/>
    </row>
    <row r="549" ht="15.75" customHeight="1">
      <c r="A549" s="3">
        <f>IFERROR(__xludf.DUMMYFUNCTION("""COMPUTED_VALUE"""),549.0)</f>
        <v>549</v>
      </c>
      <c r="B549" s="53">
        <f>IFERROR(__xludf.DUMMYFUNCTION("""COMPUTED_VALUE"""),45503.0)</f>
        <v>45503</v>
      </c>
      <c r="C549" s="3">
        <f>IFERROR(__xludf.DUMMYFUNCTION("""COMPUTED_VALUE"""),25.0)</f>
        <v>25</v>
      </c>
      <c r="D549" s="3" t="str">
        <f>IFERROR(__xludf.DUMMYFUNCTION("""COMPUTED_VALUE"""),"1.231")</f>
        <v>1.231</v>
      </c>
      <c r="E549" s="54">
        <f>IFERROR(__xludf.DUMMYFUNCTION("""COMPUTED_VALUE"""),194300.0)</f>
        <v>194300</v>
      </c>
      <c r="F549" s="3" t="str">
        <f>IFERROR(__xludf.DUMMYFUNCTION("""COMPUTED_VALUE"""),"Syrah")</f>
        <v>Syrah</v>
      </c>
      <c r="G549" s="3"/>
      <c r="H549" s="3"/>
      <c r="I549" s="3"/>
      <c r="J549" s="3"/>
      <c r="K549" s="3"/>
      <c r="L549" s="54">
        <f>IFERROR(__xludf.DUMMYFUNCTION("""COMPUTED_VALUE"""),30.0)</f>
        <v>30</v>
      </c>
      <c r="M549" s="3"/>
      <c r="N549" s="3"/>
      <c r="O549" s="3"/>
      <c r="P549" s="3"/>
      <c r="Q549" s="3"/>
      <c r="R549" s="3"/>
      <c r="S549" s="3"/>
      <c r="T549" s="5"/>
      <c r="U549" s="5"/>
      <c r="V549" s="5"/>
      <c r="W549" s="5"/>
    </row>
    <row r="550" ht="15.75" customHeight="1">
      <c r="A550" s="3">
        <f>IFERROR(__xludf.DUMMYFUNCTION("""COMPUTED_VALUE"""),550.0)</f>
        <v>550</v>
      </c>
      <c r="B550" s="53">
        <f>IFERROR(__xludf.DUMMYFUNCTION("""COMPUTED_VALUE"""),45503.0)</f>
        <v>45503</v>
      </c>
      <c r="C550" s="3">
        <f>IFERROR(__xludf.DUMMYFUNCTION("""COMPUTED_VALUE"""),31.0)</f>
        <v>31</v>
      </c>
      <c r="D550" s="3" t="str">
        <f>IFERROR(__xludf.DUMMYFUNCTION("""COMPUTED_VALUE"""),"1.243")</f>
        <v>1.243</v>
      </c>
      <c r="E550" s="54">
        <f>IFERROR(__xludf.DUMMYFUNCTION("""COMPUTED_VALUE"""),25700.0)</f>
        <v>25700</v>
      </c>
      <c r="F550" s="3" t="str">
        <f>IFERROR(__xludf.DUMMYFUNCTION("""COMPUTED_VALUE"""),"Tinto T")</f>
        <v>Tinto T</v>
      </c>
      <c r="G550" s="3"/>
      <c r="H550" s="3"/>
      <c r="I550" s="3"/>
      <c r="J550" s="3"/>
      <c r="K550" s="3"/>
      <c r="L550" s="54">
        <f>IFERROR(__xludf.DUMMYFUNCTION("""COMPUTED_VALUE"""),38.0)</f>
        <v>38</v>
      </c>
      <c r="M550" s="3"/>
      <c r="N550" s="3"/>
      <c r="O550" s="3"/>
      <c r="P550" s="3"/>
      <c r="Q550" s="3"/>
      <c r="R550" s="3"/>
      <c r="S550" s="3"/>
      <c r="T550" s="5"/>
      <c r="U550" s="5"/>
      <c r="V550" s="5"/>
      <c r="W550" s="5"/>
    </row>
    <row r="551" ht="15.75" customHeight="1">
      <c r="A551" s="3">
        <f>IFERROR(__xludf.DUMMYFUNCTION("""COMPUTED_VALUE"""),551.0)</f>
        <v>551</v>
      </c>
      <c r="B551" s="53">
        <f>IFERROR(__xludf.DUMMYFUNCTION("""COMPUTED_VALUE"""),45503.0)</f>
        <v>45503</v>
      </c>
      <c r="C551" s="3">
        <f>IFERROR(__xludf.DUMMYFUNCTION("""COMPUTED_VALUE"""),36.0)</f>
        <v>36</v>
      </c>
      <c r="D551" s="3" t="str">
        <f>IFERROR(__xludf.DUMMYFUNCTION("""COMPUTED_VALUE"""),"1.247")</f>
        <v>1.247</v>
      </c>
      <c r="E551" s="54">
        <f>IFERROR(__xludf.DUMMYFUNCTION("""COMPUTED_VALUE"""),19700.0)</f>
        <v>19700</v>
      </c>
      <c r="F551" s="3" t="str">
        <f>IFERROR(__xludf.DUMMYFUNCTION("""COMPUTED_VALUE"""),"Syrah s/Asp")</f>
        <v>Syrah s/Asp</v>
      </c>
      <c r="G551" s="3"/>
      <c r="H551" s="3"/>
      <c r="I551" s="3"/>
      <c r="J551" s="3"/>
      <c r="K551" s="3"/>
      <c r="L551" s="54">
        <f>IFERROR(__xludf.DUMMYFUNCTION("""COMPUTED_VALUE"""),34.0)</f>
        <v>34</v>
      </c>
      <c r="M551" s="3"/>
      <c r="N551" s="3"/>
      <c r="O551" s="3"/>
      <c r="P551" s="3"/>
      <c r="Q551" s="3"/>
      <c r="R551" s="3"/>
      <c r="S551" s="3"/>
      <c r="T551" s="5"/>
      <c r="U551" s="5"/>
      <c r="V551" s="5"/>
      <c r="W551" s="5"/>
    </row>
    <row r="552" ht="15.75" customHeight="1">
      <c r="A552" s="3">
        <f>IFERROR(__xludf.DUMMYFUNCTION("""COMPUTED_VALUE"""),552.0)</f>
        <v>552</v>
      </c>
      <c r="B552" s="53">
        <f>IFERROR(__xludf.DUMMYFUNCTION("""COMPUTED_VALUE"""),45503.0)</f>
        <v>45503</v>
      </c>
      <c r="C552" s="3">
        <f>IFERROR(__xludf.DUMMYFUNCTION("""COMPUTED_VALUE"""),45.0)</f>
        <v>45</v>
      </c>
      <c r="D552" s="3" t="str">
        <f>IFERROR(__xludf.DUMMYFUNCTION("""COMPUTED_VALUE"""),"1.234")</f>
        <v>1.234</v>
      </c>
      <c r="E552" s="54">
        <f>IFERROR(__xludf.DUMMYFUNCTION("""COMPUTED_VALUE"""),30000.0)</f>
        <v>30000</v>
      </c>
      <c r="F552" s="3" t="str">
        <f>IFERROR(__xludf.DUMMYFUNCTION("""COMPUTED_VALUE"""),"Criollo Rectificado")</f>
        <v>Criollo Rectificado</v>
      </c>
      <c r="G552" s="3"/>
      <c r="H552" s="3"/>
      <c r="I552" s="3"/>
      <c r="J552" s="3"/>
      <c r="K552" s="3"/>
      <c r="L552" s="54">
        <f>IFERROR(__xludf.DUMMYFUNCTION("""COMPUTED_VALUE"""),50.0)</f>
        <v>50</v>
      </c>
      <c r="M552" s="3"/>
      <c r="N552" s="3"/>
      <c r="O552" s="3"/>
      <c r="P552" s="3"/>
      <c r="Q552" s="3"/>
      <c r="R552" s="3"/>
      <c r="S552" s="3"/>
      <c r="T552" s="5"/>
      <c r="U552" s="5"/>
      <c r="V552" s="5"/>
      <c r="W552" s="5"/>
    </row>
    <row r="553" ht="15.75" customHeight="1">
      <c r="A553" s="3">
        <f>IFERROR(__xludf.DUMMYFUNCTION("""COMPUTED_VALUE"""),553.0)</f>
        <v>553</v>
      </c>
      <c r="B553" s="53">
        <f>IFERROR(__xludf.DUMMYFUNCTION("""COMPUTED_VALUE"""),45503.0)</f>
        <v>45503</v>
      </c>
      <c r="C553" s="3">
        <f>IFERROR(__xludf.DUMMYFUNCTION("""COMPUTED_VALUE"""),48.0)</f>
        <v>48</v>
      </c>
      <c r="D553" s="3" t="str">
        <f>IFERROR(__xludf.DUMMYFUNCTION("""COMPUTED_VALUE"""),"1.248")</f>
        <v>1.248</v>
      </c>
      <c r="E553" s="54">
        <f>IFERROR(__xludf.DUMMYFUNCTION("""COMPUTED_VALUE"""),23000.0)</f>
        <v>23000</v>
      </c>
      <c r="F553" s="3" t="str">
        <f>IFERROR(__xludf.DUMMYFUNCTION("""COMPUTED_VALUE"""),"Tinto rectificado")</f>
        <v>Tinto rectificado</v>
      </c>
      <c r="G553" s="3"/>
      <c r="H553" s="3"/>
      <c r="I553" s="3"/>
      <c r="J553" s="3"/>
      <c r="K553" s="3"/>
      <c r="L553" s="54">
        <f>IFERROR(__xludf.DUMMYFUNCTION("""COMPUTED_VALUE"""),32.0)</f>
        <v>32</v>
      </c>
      <c r="M553" s="3"/>
      <c r="N553" s="3"/>
      <c r="O553" s="3"/>
      <c r="P553" s="3"/>
      <c r="Q553" s="3"/>
      <c r="R553" s="3"/>
      <c r="S553" s="3"/>
      <c r="T553" s="5"/>
      <c r="U553" s="5"/>
      <c r="V553" s="5"/>
      <c r="W553" s="5"/>
    </row>
    <row r="554" ht="15.75" customHeight="1">
      <c r="A554" s="3">
        <f>IFERROR(__xludf.DUMMYFUNCTION("""COMPUTED_VALUE"""),554.0)</f>
        <v>554</v>
      </c>
      <c r="B554" s="53">
        <f>IFERROR(__xludf.DUMMYFUNCTION("""COMPUTED_VALUE"""),45503.0)</f>
        <v>45503</v>
      </c>
      <c r="C554" s="3">
        <f>IFERROR(__xludf.DUMMYFUNCTION("""COMPUTED_VALUE"""),51.0)</f>
        <v>51</v>
      </c>
      <c r="D554" s="3" t="str">
        <f>IFERROR(__xludf.DUMMYFUNCTION("""COMPUTED_VALUE"""),"1.118")</f>
        <v>1.118</v>
      </c>
      <c r="E554" s="54">
        <f>IFERROR(__xludf.DUMMYFUNCTION("""COMPUTED_VALUE"""),3900.0)</f>
        <v>3900</v>
      </c>
      <c r="F554" s="3" t="str">
        <f>IFERROR(__xludf.DUMMYFUNCTION("""COMPUTED_VALUE"""),"Syrah Rosado")</f>
        <v>Syrah Rosado</v>
      </c>
      <c r="G554" s="3"/>
      <c r="H554" s="3"/>
      <c r="I554" s="3"/>
      <c r="J554" s="3"/>
      <c r="K554" s="3"/>
      <c r="L554" s="54">
        <f>IFERROR(__xludf.DUMMYFUNCTION("""COMPUTED_VALUE"""),35.0)</f>
        <v>35</v>
      </c>
      <c r="M554" s="3"/>
      <c r="N554" s="3"/>
      <c r="O554" s="3"/>
      <c r="P554" s="3"/>
      <c r="Q554" s="3"/>
      <c r="R554" s="3"/>
      <c r="S554" s="3"/>
      <c r="T554" s="5"/>
      <c r="U554" s="5"/>
      <c r="V554" s="5"/>
      <c r="W554" s="5"/>
    </row>
    <row r="555" ht="15.75" customHeight="1">
      <c r="A555" s="3">
        <f>IFERROR(__xludf.DUMMYFUNCTION("""COMPUTED_VALUE"""),555.0)</f>
        <v>555</v>
      </c>
      <c r="B555" s="53">
        <f>IFERROR(__xludf.DUMMYFUNCTION("""COMPUTED_VALUE"""),45503.0)</f>
        <v>45503</v>
      </c>
      <c r="C555" s="3">
        <f>IFERROR(__xludf.DUMMYFUNCTION("""COMPUTED_VALUE"""),55.0)</f>
        <v>55</v>
      </c>
      <c r="D555" s="3" t="str">
        <f>IFERROR(__xludf.DUMMYFUNCTION("""COMPUTED_VALUE"""),"1.119")</f>
        <v>1.119</v>
      </c>
      <c r="E555" s="54">
        <f>IFERROR(__xludf.DUMMYFUNCTION("""COMPUTED_VALUE"""),3000.0)</f>
        <v>3000</v>
      </c>
      <c r="F555" s="3" t="str">
        <f>IFERROR(__xludf.DUMMYFUNCTION("""COMPUTED_VALUE"""),"Syrah Rosado")</f>
        <v>Syrah Rosado</v>
      </c>
      <c r="G555" s="3"/>
      <c r="H555" s="3"/>
      <c r="I555" s="3"/>
      <c r="J555" s="3"/>
      <c r="K555" s="3"/>
      <c r="L555" s="54">
        <f>IFERROR(__xludf.DUMMYFUNCTION("""COMPUTED_VALUE"""),30.0)</f>
        <v>30</v>
      </c>
      <c r="M555" s="3"/>
      <c r="N555" s="3"/>
      <c r="O555" s="3"/>
      <c r="P555" s="3"/>
      <c r="Q555" s="3"/>
      <c r="R555" s="3"/>
      <c r="S555" s="3"/>
      <c r="T555" s="5"/>
      <c r="U555" s="5"/>
      <c r="V555" s="5"/>
      <c r="W555" s="5"/>
    </row>
    <row r="556" ht="15.75" customHeight="1">
      <c r="A556" s="3">
        <f>IFERROR(__xludf.DUMMYFUNCTION("""COMPUTED_VALUE"""),556.0)</f>
        <v>556</v>
      </c>
      <c r="B556" s="53">
        <f>IFERROR(__xludf.DUMMYFUNCTION("""COMPUTED_VALUE"""),45503.0)</f>
        <v>45503</v>
      </c>
      <c r="C556" s="3">
        <f>IFERROR(__xludf.DUMMYFUNCTION("""COMPUTED_VALUE"""),65.0)</f>
        <v>65</v>
      </c>
      <c r="D556" s="3" t="str">
        <f>IFERROR(__xludf.DUMMYFUNCTION("""COMPUTED_VALUE"""),"#REF!")</f>
        <v>#REF!</v>
      </c>
      <c r="E556" s="3"/>
      <c r="F556" s="3" t="str">
        <f>IFERROR(__xludf.DUMMYFUNCTION("""COMPUTED_VALUE"""),"tinto monte real")</f>
        <v>tinto monte real</v>
      </c>
      <c r="G556" s="3"/>
      <c r="H556" s="3"/>
      <c r="I556" s="3"/>
      <c r="J556" s="3"/>
      <c r="K556" s="3"/>
      <c r="L556" s="54">
        <f>IFERROR(__xludf.DUMMYFUNCTION("""COMPUTED_VALUE"""),50.0)</f>
        <v>50</v>
      </c>
      <c r="M556" s="3"/>
      <c r="N556" s="3"/>
      <c r="O556" s="3"/>
      <c r="P556" s="3"/>
      <c r="Q556" s="3"/>
      <c r="R556" s="3"/>
      <c r="S556" s="3"/>
      <c r="T556" s="5"/>
      <c r="U556" s="5"/>
      <c r="V556" s="5"/>
      <c r="W556" s="5"/>
    </row>
    <row r="557" ht="15.75" customHeight="1">
      <c r="A557" s="3">
        <f>IFERROR(__xludf.DUMMYFUNCTION("""COMPUTED_VALUE"""),557.0)</f>
        <v>557</v>
      </c>
      <c r="B557" s="53">
        <f>IFERROR(__xludf.DUMMYFUNCTION("""COMPUTED_VALUE"""),45503.0)</f>
        <v>45503</v>
      </c>
      <c r="C557" s="3">
        <f>IFERROR(__xludf.DUMMYFUNCTION("""COMPUTED_VALUE"""),70.0)</f>
        <v>70</v>
      </c>
      <c r="D557" s="3" t="str">
        <f>IFERROR(__xludf.DUMMYFUNCTION("""COMPUTED_VALUE"""),"1.259")</f>
        <v>1.259</v>
      </c>
      <c r="E557" s="54">
        <f>IFERROR(__xludf.DUMMYFUNCTION("""COMPUTED_VALUE"""),13000.0)</f>
        <v>13000</v>
      </c>
      <c r="F557" s="3" t="str">
        <f>IFERROR(__xludf.DUMMYFUNCTION("""COMPUTED_VALUE"""),"Tinto criollo")</f>
        <v>Tinto criollo</v>
      </c>
      <c r="G557" s="3"/>
      <c r="H557" s="3"/>
      <c r="I557" s="3"/>
      <c r="J557" s="3"/>
      <c r="K557" s="3"/>
      <c r="L557" s="54">
        <f>IFERROR(__xludf.DUMMYFUNCTION("""COMPUTED_VALUE"""),51.0)</f>
        <v>51</v>
      </c>
      <c r="M557" s="3"/>
      <c r="N557" s="3"/>
      <c r="O557" s="3"/>
      <c r="P557" s="3"/>
      <c r="Q557" s="3"/>
      <c r="R557" s="3"/>
      <c r="S557" s="3"/>
      <c r="T557" s="5"/>
      <c r="U557" s="5"/>
      <c r="V557" s="5"/>
      <c r="W557" s="5"/>
    </row>
    <row r="558" ht="15.75" customHeight="1">
      <c r="A558" s="3">
        <f>IFERROR(__xludf.DUMMYFUNCTION("""COMPUTED_VALUE"""),558.0)</f>
        <v>558</v>
      </c>
      <c r="B558" s="53">
        <f>IFERROR(__xludf.DUMMYFUNCTION("""COMPUTED_VALUE"""),45503.0)</f>
        <v>45503</v>
      </c>
      <c r="C558" s="3">
        <f>IFERROR(__xludf.DUMMYFUNCTION("""COMPUTED_VALUE"""),73.0)</f>
        <v>73</v>
      </c>
      <c r="D558" s="3" t="str">
        <f>IFERROR(__xludf.DUMMYFUNCTION("""COMPUTED_VALUE"""),"1.065")</f>
        <v>1.065</v>
      </c>
      <c r="E558" s="54">
        <f>IFERROR(__xludf.DUMMYFUNCTION("""COMPUTED_VALUE"""),13000.0)</f>
        <v>13000</v>
      </c>
      <c r="F558" s="3" t="str">
        <f>IFERROR(__xludf.DUMMYFUNCTION("""COMPUTED_VALUE"""),"Tinto Rectificado")</f>
        <v>Tinto Rectificado</v>
      </c>
      <c r="G558" s="3"/>
      <c r="H558" s="3"/>
      <c r="I558" s="3"/>
      <c r="J558" s="3"/>
      <c r="K558" s="3"/>
      <c r="L558" s="54">
        <f>IFERROR(__xludf.DUMMYFUNCTION("""COMPUTED_VALUE"""),33.0)</f>
        <v>33</v>
      </c>
      <c r="M558" s="3"/>
      <c r="N558" s="3"/>
      <c r="O558" s="3"/>
      <c r="P558" s="3"/>
      <c r="Q558" s="3"/>
      <c r="R558" s="3"/>
      <c r="S558" s="3"/>
      <c r="T558" s="5"/>
      <c r="U558" s="5"/>
      <c r="V558" s="5"/>
      <c r="W558" s="5"/>
    </row>
    <row r="559" ht="15.75" customHeight="1">
      <c r="A559" s="3">
        <f>IFERROR(__xludf.DUMMYFUNCTION("""COMPUTED_VALUE"""),559.0)</f>
        <v>559</v>
      </c>
      <c r="B559" s="53">
        <f>IFERROR(__xludf.DUMMYFUNCTION("""COMPUTED_VALUE"""),45503.0)</f>
        <v>45503</v>
      </c>
      <c r="C559" s="3">
        <f>IFERROR(__xludf.DUMMYFUNCTION("""COMPUTED_VALUE"""),80.0)</f>
        <v>80</v>
      </c>
      <c r="D559" s="3" t="str">
        <f>IFERROR(__xludf.DUMMYFUNCTION("""COMPUTED_VALUE"""),"#REF!")</f>
        <v>#REF!</v>
      </c>
      <c r="E559" s="3"/>
      <c r="F559" s="3" t="str">
        <f>IFERROR(__xludf.DUMMYFUNCTION("""COMPUTED_VALUE"""),"tinto monte real")</f>
        <v>tinto monte real</v>
      </c>
      <c r="G559" s="3"/>
      <c r="H559" s="3"/>
      <c r="I559" s="3"/>
      <c r="J559" s="3"/>
      <c r="K559" s="3"/>
      <c r="L559" s="54">
        <f>IFERROR(__xludf.DUMMYFUNCTION("""COMPUTED_VALUE"""),30.0)</f>
        <v>30</v>
      </c>
      <c r="M559" s="3"/>
      <c r="N559" s="3"/>
      <c r="O559" s="3"/>
      <c r="P559" s="3"/>
      <c r="Q559" s="3"/>
      <c r="R559" s="3"/>
      <c r="S559" s="3"/>
      <c r="T559" s="5"/>
      <c r="U559" s="5"/>
      <c r="V559" s="5"/>
      <c r="W559" s="5"/>
    </row>
    <row r="560" ht="15.75" customHeight="1">
      <c r="A560" s="3">
        <f>IFERROR(__xludf.DUMMYFUNCTION("""COMPUTED_VALUE"""),560.0)</f>
        <v>560</v>
      </c>
      <c r="B560" s="53">
        <f>IFERROR(__xludf.DUMMYFUNCTION("""COMPUTED_VALUE"""),45503.0)</f>
        <v>45503</v>
      </c>
      <c r="C560" s="3">
        <f>IFERROR(__xludf.DUMMYFUNCTION("""COMPUTED_VALUE"""),81.0)</f>
        <v>81</v>
      </c>
      <c r="D560" s="3" t="str">
        <f>IFERROR(__xludf.DUMMYFUNCTION("""COMPUTED_VALUE"""),"#REF!")</f>
        <v>#REF!</v>
      </c>
      <c r="E560" s="3"/>
      <c r="F560" s="3" t="str">
        <f>IFERROR(__xludf.DUMMYFUNCTION("""COMPUTED_VALUE"""),"tinto monte real")</f>
        <v>tinto monte real</v>
      </c>
      <c r="G560" s="3"/>
      <c r="H560" s="3"/>
      <c r="I560" s="3"/>
      <c r="J560" s="3"/>
      <c r="K560" s="3"/>
      <c r="L560" s="54">
        <f>IFERROR(__xludf.DUMMYFUNCTION("""COMPUTED_VALUE"""),30.0)</f>
        <v>30</v>
      </c>
      <c r="M560" s="3"/>
      <c r="N560" s="3"/>
      <c r="O560" s="3"/>
      <c r="P560" s="3"/>
      <c r="Q560" s="3"/>
      <c r="R560" s="3"/>
      <c r="S560" s="3"/>
      <c r="T560" s="5"/>
      <c r="U560" s="5"/>
      <c r="V560" s="5"/>
      <c r="W560" s="5"/>
    </row>
    <row r="561" ht="15.75" customHeight="1">
      <c r="A561" s="3">
        <f>IFERROR(__xludf.DUMMYFUNCTION("""COMPUTED_VALUE"""),561.0)</f>
        <v>561</v>
      </c>
      <c r="B561" s="53">
        <f>IFERROR(__xludf.DUMMYFUNCTION("""COMPUTED_VALUE"""),45503.0)</f>
        <v>45503</v>
      </c>
      <c r="C561" s="3">
        <f>IFERROR(__xludf.DUMMYFUNCTION("""COMPUTED_VALUE"""),82.0)</f>
        <v>82</v>
      </c>
      <c r="D561" s="3"/>
      <c r="E561" s="3"/>
      <c r="F561" s="3"/>
      <c r="G561" s="3"/>
      <c r="H561" s="3"/>
      <c r="I561" s="3"/>
      <c r="J561" s="3"/>
      <c r="K561" s="3"/>
      <c r="L561" s="54">
        <f>IFERROR(__xludf.DUMMYFUNCTION("""COMPUTED_VALUE"""),33.0)</f>
        <v>33</v>
      </c>
      <c r="M561" s="3"/>
      <c r="N561" s="3"/>
      <c r="O561" s="3"/>
      <c r="P561" s="3"/>
      <c r="Q561" s="3"/>
      <c r="R561" s="3"/>
      <c r="S561" s="3"/>
      <c r="T561" s="5"/>
      <c r="U561" s="5"/>
      <c r="V561" s="5"/>
      <c r="W561" s="5"/>
    </row>
    <row r="562" ht="15.75" customHeight="1">
      <c r="A562" s="3">
        <f>IFERROR(__xludf.DUMMYFUNCTION("""COMPUTED_VALUE"""),562.0)</f>
        <v>562</v>
      </c>
      <c r="B562" s="53">
        <f>IFERROR(__xludf.DUMMYFUNCTION("""COMPUTED_VALUE"""),45503.0)</f>
        <v>45503</v>
      </c>
      <c r="C562" s="3">
        <f>IFERROR(__xludf.DUMMYFUNCTION("""COMPUTED_VALUE"""),84.0)</f>
        <v>84</v>
      </c>
      <c r="D562" s="3" t="str">
        <f>IFERROR(__xludf.DUMMYFUNCTION("""COMPUTED_VALUE"""),"#REF!")</f>
        <v>#REF!</v>
      </c>
      <c r="E562" s="3"/>
      <c r="F562" s="3" t="str">
        <f>IFERROR(__xludf.DUMMYFUNCTION("""COMPUTED_VALUE"""),"recarga")</f>
        <v>recarga</v>
      </c>
      <c r="G562" s="3"/>
      <c r="H562" s="3"/>
      <c r="I562" s="3"/>
      <c r="J562" s="3"/>
      <c r="K562" s="3"/>
      <c r="L562" s="54">
        <f>IFERROR(__xludf.DUMMYFUNCTION("""COMPUTED_VALUE"""),30.0)</f>
        <v>30</v>
      </c>
      <c r="M562" s="3"/>
      <c r="N562" s="3"/>
      <c r="O562" s="3"/>
      <c r="P562" s="3"/>
      <c r="Q562" s="3"/>
      <c r="R562" s="3"/>
      <c r="S562" s="3"/>
      <c r="T562" s="5"/>
      <c r="U562" s="5"/>
      <c r="V562" s="5"/>
      <c r="W562" s="5"/>
    </row>
    <row r="563" ht="15.75" customHeight="1">
      <c r="A563" s="3">
        <f>IFERROR(__xludf.DUMMYFUNCTION("""COMPUTED_VALUE"""),563.0)</f>
        <v>563</v>
      </c>
      <c r="B563" s="53">
        <f>IFERROR(__xludf.DUMMYFUNCTION("""COMPUTED_VALUE"""),45503.0)</f>
        <v>45503</v>
      </c>
      <c r="C563" s="3">
        <f>IFERROR(__xludf.DUMMYFUNCTION("""COMPUTED_VALUE"""),85.0)</f>
        <v>85</v>
      </c>
      <c r="D563" s="3" t="str">
        <f>IFERROR(__xludf.DUMMYFUNCTION("""COMPUTED_VALUE"""),"1.213")</f>
        <v>1.213</v>
      </c>
      <c r="E563" s="54">
        <f>IFERROR(__xludf.DUMMYFUNCTION("""COMPUTED_VALUE"""),82000.0)</f>
        <v>82000</v>
      </c>
      <c r="F563" s="3" t="str">
        <f>IFERROR(__xludf.DUMMYFUNCTION("""COMPUTED_VALUE"""),"Cabernet")</f>
        <v>Cabernet</v>
      </c>
      <c r="G563" s="3"/>
      <c r="H563" s="3"/>
      <c r="I563" s="3"/>
      <c r="J563" s="3"/>
      <c r="K563" s="3"/>
      <c r="L563" s="54">
        <f>IFERROR(__xludf.DUMMYFUNCTION("""COMPUTED_VALUE"""),39.0)</f>
        <v>39</v>
      </c>
      <c r="M563" s="3"/>
      <c r="N563" s="3"/>
      <c r="O563" s="3"/>
      <c r="P563" s="3"/>
      <c r="Q563" s="3"/>
      <c r="R563" s="3"/>
      <c r="S563" s="3"/>
      <c r="T563" s="5"/>
      <c r="U563" s="5"/>
      <c r="V563" s="5"/>
      <c r="W563" s="5"/>
    </row>
    <row r="564" ht="15.75" customHeight="1">
      <c r="A564" s="3">
        <f>IFERROR(__xludf.DUMMYFUNCTION("""COMPUTED_VALUE"""),564.0)</f>
        <v>564</v>
      </c>
      <c r="B564" s="53">
        <f>IFERROR(__xludf.DUMMYFUNCTION("""COMPUTED_VALUE"""),45503.0)</f>
        <v>45503</v>
      </c>
      <c r="C564" s="3">
        <f>IFERROR(__xludf.DUMMYFUNCTION("""COMPUTED_VALUE"""),86.0)</f>
        <v>86</v>
      </c>
      <c r="D564" s="3" t="str">
        <f>IFERROR(__xludf.DUMMYFUNCTION("""COMPUTED_VALUE"""),"1.235")</f>
        <v>1.235</v>
      </c>
      <c r="E564" s="54">
        <f>IFERROR(__xludf.DUMMYFUNCTION("""COMPUTED_VALUE"""),88000.0)</f>
        <v>88000</v>
      </c>
      <c r="F564" s="3" t="str">
        <f>IFERROR(__xludf.DUMMYFUNCTION("""COMPUTED_VALUE"""),"Malbec")</f>
        <v>Malbec</v>
      </c>
      <c r="G564" s="3"/>
      <c r="H564" s="3"/>
      <c r="I564" s="3"/>
      <c r="J564" s="3"/>
      <c r="K564" s="3"/>
      <c r="L564" s="54">
        <f>IFERROR(__xludf.DUMMYFUNCTION("""COMPUTED_VALUE"""),35.0)</f>
        <v>35</v>
      </c>
      <c r="M564" s="3"/>
      <c r="N564" s="3"/>
      <c r="O564" s="3"/>
      <c r="P564" s="3"/>
      <c r="Q564" s="3"/>
      <c r="R564" s="3"/>
      <c r="S564" s="3"/>
      <c r="T564" s="5"/>
      <c r="U564" s="5"/>
      <c r="V564" s="5"/>
      <c r="W564" s="5"/>
    </row>
    <row r="565" ht="15.75" customHeight="1">
      <c r="A565" s="3">
        <f>IFERROR(__xludf.DUMMYFUNCTION("""COMPUTED_VALUE"""),565.0)</f>
        <v>565</v>
      </c>
      <c r="B565" s="53">
        <f>IFERROR(__xludf.DUMMYFUNCTION("""COMPUTED_VALUE"""),45503.0)</f>
        <v>45503</v>
      </c>
      <c r="C565" s="3">
        <f>IFERROR(__xludf.DUMMYFUNCTION("""COMPUTED_VALUE"""),87.0)</f>
        <v>87</v>
      </c>
      <c r="D565" s="3" t="str">
        <f>IFERROR(__xludf.DUMMYFUNCTION("""COMPUTED_VALUE"""),"1.225")</f>
        <v>1.225</v>
      </c>
      <c r="E565" s="54">
        <f>IFERROR(__xludf.DUMMYFUNCTION("""COMPUTED_VALUE"""),88000.0)</f>
        <v>88000</v>
      </c>
      <c r="F565" s="3" t="str">
        <f>IFERROR(__xludf.DUMMYFUNCTION("""COMPUTED_VALUE"""),"Tinto")</f>
        <v>Tinto</v>
      </c>
      <c r="G565" s="3"/>
      <c r="H565" s="3"/>
      <c r="I565" s="3"/>
      <c r="J565" s="3"/>
      <c r="K565" s="3"/>
      <c r="L565" s="54">
        <f>IFERROR(__xludf.DUMMYFUNCTION("""COMPUTED_VALUE"""),36.0)</f>
        <v>36</v>
      </c>
      <c r="M565" s="3"/>
      <c r="N565" s="3"/>
      <c r="O565" s="3"/>
      <c r="P565" s="3"/>
      <c r="Q565" s="3"/>
      <c r="R565" s="3"/>
      <c r="S565" s="3"/>
      <c r="T565" s="5"/>
      <c r="U565" s="5"/>
      <c r="V565" s="5"/>
      <c r="W565" s="5"/>
    </row>
    <row r="566" ht="15.75" customHeight="1">
      <c r="A566" s="3">
        <f>IFERROR(__xludf.DUMMYFUNCTION("""COMPUTED_VALUE"""),566.0)</f>
        <v>566</v>
      </c>
      <c r="B566" s="53">
        <f>IFERROR(__xludf.DUMMYFUNCTION("""COMPUTED_VALUE"""),45503.0)</f>
        <v>45503</v>
      </c>
      <c r="C566" s="3">
        <f>IFERROR(__xludf.DUMMYFUNCTION("""COMPUTED_VALUE"""),88.0)</f>
        <v>88</v>
      </c>
      <c r="D566" s="3" t="str">
        <f>IFERROR(__xludf.DUMMYFUNCTION("""COMPUTED_VALUE"""),"1.229")</f>
        <v>1.229</v>
      </c>
      <c r="E566" s="54">
        <f>IFERROR(__xludf.DUMMYFUNCTION("""COMPUTED_VALUE"""),78900.0)</f>
        <v>78900</v>
      </c>
      <c r="F566" s="3" t="str">
        <f>IFERROR(__xludf.DUMMYFUNCTION("""COMPUTED_VALUE"""),"Malbec")</f>
        <v>Malbec</v>
      </c>
      <c r="G566" s="3"/>
      <c r="H566" s="3"/>
      <c r="I566" s="3"/>
      <c r="J566" s="3"/>
      <c r="K566" s="3"/>
      <c r="L566" s="54">
        <f>IFERROR(__xludf.DUMMYFUNCTION("""COMPUTED_VALUE"""),27.0)</f>
        <v>27</v>
      </c>
      <c r="M566" s="3"/>
      <c r="N566" s="3"/>
      <c r="O566" s="3"/>
      <c r="P566" s="3"/>
      <c r="Q566" s="3"/>
      <c r="R566" s="3"/>
      <c r="S566" s="3"/>
      <c r="T566" s="5"/>
      <c r="U566" s="5"/>
      <c r="V566" s="5"/>
      <c r="W566" s="5"/>
    </row>
    <row r="567" ht="15.75" customHeight="1">
      <c r="A567" s="3">
        <f>IFERROR(__xludf.DUMMYFUNCTION("""COMPUTED_VALUE"""),567.0)</f>
        <v>567</v>
      </c>
      <c r="B567" s="53">
        <f>IFERROR(__xludf.DUMMYFUNCTION("""COMPUTED_VALUE"""),45503.0)</f>
        <v>45503</v>
      </c>
      <c r="C567" s="3">
        <f>IFERROR(__xludf.DUMMYFUNCTION("""COMPUTED_VALUE"""),89.0)</f>
        <v>89</v>
      </c>
      <c r="D567" s="3" t="str">
        <f>IFERROR(__xludf.DUMMYFUNCTION("""COMPUTED_VALUE"""),"1.241")</f>
        <v>1.241</v>
      </c>
      <c r="E567" s="54">
        <f>IFERROR(__xludf.DUMMYFUNCTION("""COMPUTED_VALUE"""),83500.0)</f>
        <v>83500</v>
      </c>
      <c r="F567" s="3" t="str">
        <f>IFERROR(__xludf.DUMMYFUNCTION("""COMPUTED_VALUE"""),"Malbec T")</f>
        <v>Malbec T</v>
      </c>
      <c r="G567" s="3"/>
      <c r="H567" s="3"/>
      <c r="I567" s="3"/>
      <c r="J567" s="3"/>
      <c r="K567" s="3"/>
      <c r="L567" s="54">
        <f>IFERROR(__xludf.DUMMYFUNCTION("""COMPUTED_VALUE"""),32.0)</f>
        <v>32</v>
      </c>
      <c r="M567" s="3"/>
      <c r="N567" s="3"/>
      <c r="O567" s="3"/>
      <c r="P567" s="3"/>
      <c r="Q567" s="3"/>
      <c r="R567" s="3"/>
      <c r="S567" s="3"/>
      <c r="T567" s="5"/>
      <c r="U567" s="5"/>
      <c r="V567" s="5"/>
      <c r="W567" s="5"/>
    </row>
    <row r="568" ht="15.75" customHeight="1">
      <c r="A568" s="3">
        <f>IFERROR(__xludf.DUMMYFUNCTION("""COMPUTED_VALUE"""),568.0)</f>
        <v>568</v>
      </c>
      <c r="B568" s="53">
        <f>IFERROR(__xludf.DUMMYFUNCTION("""COMPUTED_VALUE"""),45503.0)</f>
        <v>45503</v>
      </c>
      <c r="C568" s="3">
        <f>IFERROR(__xludf.DUMMYFUNCTION("""COMPUTED_VALUE"""),90.0)</f>
        <v>90</v>
      </c>
      <c r="D568" s="3" t="str">
        <f>IFERROR(__xludf.DUMMYFUNCTION("""COMPUTED_VALUE"""),"1.228")</f>
        <v>1.228</v>
      </c>
      <c r="E568" s="54">
        <f>IFERROR(__xludf.DUMMYFUNCTION("""COMPUTED_VALUE"""),97500.0)</f>
        <v>97500</v>
      </c>
      <c r="F568" s="3" t="str">
        <f>IFERROR(__xludf.DUMMYFUNCTION("""COMPUTED_VALUE"""),"Malbec")</f>
        <v>Malbec</v>
      </c>
      <c r="G568" s="3"/>
      <c r="H568" s="3"/>
      <c r="I568" s="3"/>
      <c r="J568" s="3"/>
      <c r="K568" s="3"/>
      <c r="L568" s="54">
        <f>IFERROR(__xludf.DUMMYFUNCTION("""COMPUTED_VALUE"""),30.0)</f>
        <v>30</v>
      </c>
      <c r="M568" s="3"/>
      <c r="N568" s="3"/>
      <c r="O568" s="3"/>
      <c r="P568" s="3"/>
      <c r="Q568" s="3"/>
      <c r="R568" s="3"/>
      <c r="S568" s="3"/>
      <c r="T568" s="5"/>
      <c r="U568" s="5"/>
      <c r="V568" s="5"/>
      <c r="W568" s="5"/>
    </row>
    <row r="569" ht="15.75" customHeight="1">
      <c r="A569" s="3">
        <f>IFERROR(__xludf.DUMMYFUNCTION("""COMPUTED_VALUE"""),569.0)</f>
        <v>569</v>
      </c>
      <c r="B569" s="53">
        <f>IFERROR(__xludf.DUMMYFUNCTION("""COMPUTED_VALUE"""),45503.0)</f>
        <v>45503</v>
      </c>
      <c r="C569" s="3">
        <f>IFERROR(__xludf.DUMMYFUNCTION("""COMPUTED_VALUE"""),91.0)</f>
        <v>91</v>
      </c>
      <c r="D569" s="3" t="str">
        <f>IFERROR(__xludf.DUMMYFUNCTION("""COMPUTED_VALUE"""),"#REF!")</f>
        <v>#REF!</v>
      </c>
      <c r="E569" s="3"/>
      <c r="F569" s="3" t="str">
        <f>IFERROR(__xludf.DUMMYFUNCTION("""COMPUTED_VALUE"""),"tinto monte real")</f>
        <v>tinto monte real</v>
      </c>
      <c r="G569" s="3"/>
      <c r="H569" s="3"/>
      <c r="I569" s="3"/>
      <c r="J569" s="3"/>
      <c r="K569" s="3"/>
      <c r="L569" s="54">
        <f>IFERROR(__xludf.DUMMYFUNCTION("""COMPUTED_VALUE"""),30.0)</f>
        <v>30</v>
      </c>
      <c r="M569" s="3"/>
      <c r="N569" s="3"/>
      <c r="O569" s="3"/>
      <c r="P569" s="3"/>
      <c r="Q569" s="3"/>
      <c r="R569" s="3"/>
      <c r="S569" s="3"/>
      <c r="T569" s="5"/>
      <c r="U569" s="5"/>
      <c r="V569" s="5"/>
      <c r="W569" s="5"/>
    </row>
    <row r="570" ht="15.75" customHeight="1">
      <c r="A570" s="3">
        <f>IFERROR(__xludf.DUMMYFUNCTION("""COMPUTED_VALUE"""),570.0)</f>
        <v>570</v>
      </c>
      <c r="B570" s="53">
        <f>IFERROR(__xludf.DUMMYFUNCTION("""COMPUTED_VALUE"""),45503.0)</f>
        <v>45503</v>
      </c>
      <c r="C570" s="3">
        <f>IFERROR(__xludf.DUMMYFUNCTION("""COMPUTED_VALUE"""),95.0)</f>
        <v>95</v>
      </c>
      <c r="D570" s="3" t="str">
        <f>IFERROR(__xludf.DUMMYFUNCTION("""COMPUTED_VALUE"""),"1.237")</f>
        <v>1.237</v>
      </c>
      <c r="E570" s="54">
        <f>IFERROR(__xludf.DUMMYFUNCTION("""COMPUTED_VALUE"""),77100.0)</f>
        <v>77100</v>
      </c>
      <c r="F570" s="3" t="str">
        <f>IFERROR(__xludf.DUMMYFUNCTION("""COMPUTED_VALUE"""),"Bonarda")</f>
        <v>Bonarda</v>
      </c>
      <c r="G570" s="3"/>
      <c r="H570" s="3"/>
      <c r="I570" s="3"/>
      <c r="J570" s="3"/>
      <c r="K570" s="3"/>
      <c r="L570" s="54">
        <f>IFERROR(__xludf.DUMMYFUNCTION("""COMPUTED_VALUE"""),33.0)</f>
        <v>33</v>
      </c>
      <c r="M570" s="3"/>
      <c r="N570" s="3"/>
      <c r="O570" s="3"/>
      <c r="P570" s="3"/>
      <c r="Q570" s="3"/>
      <c r="R570" s="3"/>
      <c r="S570" s="3"/>
      <c r="T570" s="5"/>
      <c r="U570" s="5"/>
      <c r="V570" s="5"/>
      <c r="W570" s="5"/>
    </row>
    <row r="571" ht="15.75" customHeight="1">
      <c r="A571" s="3">
        <f>IFERROR(__xludf.DUMMYFUNCTION("""COMPUTED_VALUE"""),571.0)</f>
        <v>571</v>
      </c>
      <c r="B571" s="53">
        <f>IFERROR(__xludf.DUMMYFUNCTION("""COMPUTED_VALUE"""),45503.0)</f>
        <v>45503</v>
      </c>
      <c r="C571" s="3">
        <f>IFERROR(__xludf.DUMMYFUNCTION("""COMPUTED_VALUE"""),96.0)</f>
        <v>96</v>
      </c>
      <c r="D571" s="3" t="str">
        <f>IFERROR(__xludf.DUMMYFUNCTION("""COMPUTED_VALUE"""),"1.238")</f>
        <v>1.238</v>
      </c>
      <c r="E571" s="54">
        <f>IFERROR(__xludf.DUMMYFUNCTION("""COMPUTED_VALUE"""),78400.0)</f>
        <v>78400</v>
      </c>
      <c r="F571" s="3" t="str">
        <f>IFERROR(__xludf.DUMMYFUNCTION("""COMPUTED_VALUE"""),"Bonarda")</f>
        <v>Bonarda</v>
      </c>
      <c r="G571" s="3"/>
      <c r="H571" s="3"/>
      <c r="I571" s="3"/>
      <c r="J571" s="3"/>
      <c r="K571" s="3"/>
      <c r="L571" s="54">
        <f>IFERROR(__xludf.DUMMYFUNCTION("""COMPUTED_VALUE"""),35.0)</f>
        <v>35</v>
      </c>
      <c r="M571" s="3"/>
      <c r="N571" s="3"/>
      <c r="O571" s="3"/>
      <c r="P571" s="3"/>
      <c r="Q571" s="3"/>
      <c r="R571" s="3"/>
      <c r="S571" s="3"/>
      <c r="T571" s="5"/>
      <c r="U571" s="5"/>
      <c r="V571" s="5"/>
      <c r="W571" s="5"/>
    </row>
    <row r="572" ht="15.75" customHeight="1">
      <c r="A572" s="3">
        <f>IFERROR(__xludf.DUMMYFUNCTION("""COMPUTED_VALUE"""),572.0)</f>
        <v>572</v>
      </c>
      <c r="B572" s="53">
        <f>IFERROR(__xludf.DUMMYFUNCTION("""COMPUTED_VALUE"""),45503.0)</f>
        <v>45503</v>
      </c>
      <c r="C572" s="3">
        <f>IFERROR(__xludf.DUMMYFUNCTION("""COMPUTED_VALUE"""),116.0)</f>
        <v>116</v>
      </c>
      <c r="D572" s="3" t="str">
        <f>IFERROR(__xludf.DUMMYFUNCTION("""COMPUTED_VALUE"""),"1.249")</f>
        <v>1.249</v>
      </c>
      <c r="E572" s="54">
        <f>IFERROR(__xludf.DUMMYFUNCTION("""COMPUTED_VALUE"""),99600.0)</f>
        <v>99600</v>
      </c>
      <c r="F572" s="3" t="str">
        <f>IFERROR(__xludf.DUMMYFUNCTION("""COMPUTED_VALUE"""),"Cabernet Sauvignon")</f>
        <v>Cabernet Sauvignon</v>
      </c>
      <c r="G572" s="3"/>
      <c r="H572" s="3"/>
      <c r="I572" s="3"/>
      <c r="J572" s="3"/>
      <c r="K572" s="57">
        <f>IFERROR(__xludf.DUMMYFUNCTION("""COMPUTED_VALUE"""),3.66)</f>
        <v>3.66</v>
      </c>
      <c r="L572" s="54">
        <f>IFERROR(__xludf.DUMMYFUNCTION("""COMPUTED_VALUE"""),30.0)</f>
        <v>30</v>
      </c>
      <c r="M572" s="3"/>
      <c r="N572" s="3"/>
      <c r="O572" s="3"/>
      <c r="P572" s="3"/>
      <c r="Q572" s="3"/>
      <c r="R572" s="3"/>
      <c r="S572" s="3"/>
      <c r="T572" s="5"/>
      <c r="U572" s="5"/>
      <c r="V572" s="5"/>
      <c r="W572" s="5"/>
    </row>
    <row r="573" ht="15.75" customHeight="1">
      <c r="A573" s="3">
        <f>IFERROR(__xludf.DUMMYFUNCTION("""COMPUTED_VALUE"""),573.0)</f>
        <v>573</v>
      </c>
      <c r="B573" s="53">
        <f>IFERROR(__xludf.DUMMYFUNCTION("""COMPUTED_VALUE"""),45503.0)</f>
        <v>45503</v>
      </c>
      <c r="C573" s="3">
        <f>IFERROR(__xludf.DUMMYFUNCTION("""COMPUTED_VALUE"""),118.0)</f>
        <v>118</v>
      </c>
      <c r="D573" s="3" t="str">
        <f>IFERROR(__xludf.DUMMYFUNCTION("""COMPUTED_VALUE"""),"1.232")</f>
        <v>1.232</v>
      </c>
      <c r="E573" s="54">
        <f>IFERROR(__xludf.DUMMYFUNCTION("""COMPUTED_VALUE"""),155600.0)</f>
        <v>155600</v>
      </c>
      <c r="F573" s="3" t="str">
        <f>IFERROR(__xludf.DUMMYFUNCTION("""COMPUTED_VALUE"""),"Anccelotta Syrah")</f>
        <v>Anccelotta Syrah</v>
      </c>
      <c r="G573" s="3"/>
      <c r="H573" s="3"/>
      <c r="I573" s="3"/>
      <c r="J573" s="3"/>
      <c r="K573" s="3"/>
      <c r="L573" s="54">
        <f>IFERROR(__xludf.DUMMYFUNCTION("""COMPUTED_VALUE"""),33.0)</f>
        <v>33</v>
      </c>
      <c r="M573" s="3"/>
      <c r="N573" s="3"/>
      <c r="O573" s="3"/>
      <c r="P573" s="3"/>
      <c r="Q573" s="3"/>
      <c r="R573" s="3"/>
      <c r="S573" s="3"/>
      <c r="T573" s="5"/>
      <c r="U573" s="5"/>
      <c r="V573" s="5"/>
      <c r="W573" s="5"/>
    </row>
    <row r="574" ht="15.75" customHeight="1">
      <c r="A574" s="3">
        <f>IFERROR(__xludf.DUMMYFUNCTION("""COMPUTED_VALUE"""),574.0)</f>
        <v>574</v>
      </c>
      <c r="B574" s="53">
        <f>IFERROR(__xludf.DUMMYFUNCTION("""COMPUTED_VALUE"""),45503.0)</f>
        <v>45503</v>
      </c>
      <c r="C574" s="3">
        <f>IFERROR(__xludf.DUMMYFUNCTION("""COMPUTED_VALUE"""),120.0)</f>
        <v>120</v>
      </c>
      <c r="D574" s="3" t="str">
        <f>IFERROR(__xludf.DUMMYFUNCTION("""COMPUTED_VALUE"""),"1.271")</f>
        <v>1.271</v>
      </c>
      <c r="E574" s="54">
        <f>IFERROR(__xludf.DUMMYFUNCTION("""COMPUTED_VALUE"""),88800.0)</f>
        <v>88800</v>
      </c>
      <c r="F574" s="3" t="str">
        <f>IFERROR(__xludf.DUMMYFUNCTION("""COMPUTED_VALUE"""),"Malbec T")</f>
        <v>Malbec T</v>
      </c>
      <c r="G574" s="3"/>
      <c r="H574" s="3"/>
      <c r="I574" s="3"/>
      <c r="J574" s="3"/>
      <c r="K574" s="3"/>
      <c r="L574" s="54">
        <f>IFERROR(__xludf.DUMMYFUNCTION("""COMPUTED_VALUE"""),45.0)</f>
        <v>45</v>
      </c>
      <c r="M574" s="3"/>
      <c r="N574" s="3"/>
      <c r="O574" s="3"/>
      <c r="P574" s="3"/>
      <c r="Q574" s="3"/>
      <c r="R574" s="3"/>
      <c r="S574" s="3"/>
      <c r="T574" s="5"/>
      <c r="U574" s="5"/>
      <c r="V574" s="5"/>
      <c r="W574" s="5"/>
    </row>
    <row r="575" ht="15.75" customHeight="1">
      <c r="A575" s="3">
        <f>IFERROR(__xludf.DUMMYFUNCTION("""COMPUTED_VALUE"""),575.0)</f>
        <v>575</v>
      </c>
      <c r="B575" s="53">
        <f>IFERROR(__xludf.DUMMYFUNCTION("""COMPUTED_VALUE"""),45505.0)</f>
        <v>45505</v>
      </c>
      <c r="C575" s="3">
        <f>IFERROR(__xludf.DUMMYFUNCTION("""COMPUTED_VALUE"""),121.0)</f>
        <v>121</v>
      </c>
      <c r="D575" s="3" t="str">
        <f>IFERROR(__xludf.DUMMYFUNCTION("""COMPUTED_VALUE"""),"1.272")</f>
        <v>1.272</v>
      </c>
      <c r="E575" s="54">
        <f>IFERROR(__xludf.DUMMYFUNCTION("""COMPUTED_VALUE"""),85800.0)</f>
        <v>85800</v>
      </c>
      <c r="F575" s="3" t="str">
        <f>IFERROR(__xludf.DUMMYFUNCTION("""COMPUTED_VALUE"""),"Malbec T")</f>
        <v>Malbec T</v>
      </c>
      <c r="G575" s="3"/>
      <c r="H575" s="3"/>
      <c r="I575" s="3"/>
      <c r="J575" s="3"/>
      <c r="K575" s="3"/>
      <c r="L575" s="54">
        <f>IFERROR(__xludf.DUMMYFUNCTION("""COMPUTED_VALUE"""),40.0)</f>
        <v>40</v>
      </c>
      <c r="M575" s="3"/>
      <c r="N575" s="3"/>
      <c r="O575" s="3"/>
      <c r="P575" s="3"/>
      <c r="Q575" s="3"/>
      <c r="R575" s="3"/>
      <c r="S575" s="3"/>
      <c r="T575" s="5"/>
      <c r="U575" s="5"/>
      <c r="V575" s="5"/>
      <c r="W575" s="5"/>
    </row>
    <row r="576" ht="15.75" customHeight="1">
      <c r="A576" s="3">
        <f>IFERROR(__xludf.DUMMYFUNCTION("""COMPUTED_VALUE"""),576.0)</f>
        <v>576</v>
      </c>
      <c r="B576" s="53">
        <f>IFERROR(__xludf.DUMMYFUNCTION("""COMPUTED_VALUE"""),45505.0)</f>
        <v>45505</v>
      </c>
      <c r="C576" s="3">
        <f>IFERROR(__xludf.DUMMYFUNCTION("""COMPUTED_VALUE"""),103.0)</f>
        <v>103</v>
      </c>
      <c r="D576" s="3" t="str">
        <f>IFERROR(__xludf.DUMMYFUNCTION("""COMPUTED_VALUE"""),"1.266")</f>
        <v>1.266</v>
      </c>
      <c r="E576" s="54">
        <f>IFERROR(__xludf.DUMMYFUNCTION("""COMPUTED_VALUE"""),31000.0)</f>
        <v>31000</v>
      </c>
      <c r="F576" s="3" t="str">
        <f>IFERROR(__xludf.DUMMYFUNCTION("""COMPUTED_VALUE"""),"Syrah T")</f>
        <v>Syrah T</v>
      </c>
      <c r="G576" s="55">
        <f>IFERROR(__xludf.DUMMYFUNCTION("""COMPUTED_VALUE"""),12.4)</f>
        <v>12.4</v>
      </c>
      <c r="H576" s="56">
        <f>IFERROR(__xludf.DUMMYFUNCTION("""COMPUTED_VALUE"""),2.0)</f>
        <v>2</v>
      </c>
      <c r="I576" s="57">
        <f>IFERROR(__xludf.DUMMYFUNCTION("""COMPUTED_VALUE"""),0.65)</f>
        <v>0.65</v>
      </c>
      <c r="J576" s="57">
        <f>IFERROR(__xludf.DUMMYFUNCTION("""COMPUTED_VALUE"""),4.6)</f>
        <v>4.6</v>
      </c>
      <c r="K576" s="57">
        <f>IFERROR(__xludf.DUMMYFUNCTION("""COMPUTED_VALUE"""),3.69)</f>
        <v>3.69</v>
      </c>
      <c r="L576" s="54">
        <f>IFERROR(__xludf.DUMMYFUNCTION("""COMPUTED_VALUE"""),45.0)</f>
        <v>45</v>
      </c>
      <c r="M576" s="3">
        <f>IFERROR(__xludf.DUMMYFUNCTION("""COMPUTED_VALUE"""),115.0)</f>
        <v>115</v>
      </c>
      <c r="N576" s="3"/>
      <c r="O576" s="3"/>
      <c r="P576" s="3"/>
      <c r="Q576" s="3"/>
      <c r="R576" s="3"/>
      <c r="S576" s="3"/>
      <c r="T576" s="5"/>
      <c r="U576" s="5"/>
      <c r="V576" s="5"/>
      <c r="W576" s="5"/>
    </row>
    <row r="577" ht="15.75" customHeight="1">
      <c r="A577" s="3">
        <f>IFERROR(__xludf.DUMMYFUNCTION("""COMPUTED_VALUE"""),577.0)</f>
        <v>577</v>
      </c>
      <c r="B577" s="53">
        <f>IFERROR(__xludf.DUMMYFUNCTION("""COMPUTED_VALUE"""),45506.0)</f>
        <v>45506</v>
      </c>
      <c r="C577" s="3">
        <f>IFERROR(__xludf.DUMMYFUNCTION("""COMPUTED_VALUE"""),30.0)</f>
        <v>30</v>
      </c>
      <c r="D577" s="3" t="str">
        <f>IFERROR(__xludf.DUMMYFUNCTION("""COMPUTED_VALUE"""),"1.090")</f>
        <v>1.090</v>
      </c>
      <c r="E577" s="54">
        <f>IFERROR(__xludf.DUMMYFUNCTION("""COMPUTED_VALUE"""),38800.0)</f>
        <v>38800</v>
      </c>
      <c r="F577" s="3" t="str">
        <f>IFERROR(__xludf.DUMMYFUNCTION("""COMPUTED_VALUE"""),"Aspirant")</f>
        <v>Aspirant</v>
      </c>
      <c r="G577" s="55">
        <f>IFERROR(__xludf.DUMMYFUNCTION("""COMPUTED_VALUE"""),11.9)</f>
        <v>11.9</v>
      </c>
      <c r="H577" s="56">
        <f>IFERROR(__xludf.DUMMYFUNCTION("""COMPUTED_VALUE"""),2.0)</f>
        <v>2</v>
      </c>
      <c r="I577" s="57">
        <f>IFERROR(__xludf.DUMMYFUNCTION("""COMPUTED_VALUE"""),0.5)</f>
        <v>0.5</v>
      </c>
      <c r="J577" s="3"/>
      <c r="K577" s="57">
        <f>IFERROR(__xludf.DUMMYFUNCTION("""COMPUTED_VALUE"""),3.52)</f>
        <v>3.52</v>
      </c>
      <c r="L577" s="54">
        <f>IFERROR(__xludf.DUMMYFUNCTION("""COMPUTED_VALUE"""),50.0)</f>
        <v>50</v>
      </c>
      <c r="M577" s="3">
        <f>IFERROR(__xludf.DUMMYFUNCTION("""COMPUTED_VALUE"""),100.0)</f>
        <v>100</v>
      </c>
      <c r="N577" s="3"/>
      <c r="O577" s="3"/>
      <c r="P577" s="3"/>
      <c r="Q577" s="3"/>
      <c r="R577" s="3"/>
      <c r="S577" s="3"/>
      <c r="T577" s="5"/>
      <c r="U577" s="5"/>
      <c r="V577" s="5"/>
      <c r="W577" s="5"/>
    </row>
    <row r="578" ht="15.75" customHeight="1">
      <c r="A578" s="3">
        <f>IFERROR(__xludf.DUMMYFUNCTION("""COMPUTED_VALUE"""),578.0)</f>
        <v>578</v>
      </c>
      <c r="B578" s="53">
        <f>IFERROR(__xludf.DUMMYFUNCTION("""COMPUTED_VALUE"""),45506.0)</f>
        <v>45506</v>
      </c>
      <c r="C578" s="3">
        <f>IFERROR(__xludf.DUMMYFUNCTION("""COMPUTED_VALUE"""),35.0)</f>
        <v>35</v>
      </c>
      <c r="D578" s="3" t="str">
        <f>IFERROR(__xludf.DUMMYFUNCTION("""COMPUTED_VALUE"""),"1.090")</f>
        <v>1.090</v>
      </c>
      <c r="E578" s="54">
        <f>IFERROR(__xludf.DUMMYFUNCTION("""COMPUTED_VALUE"""),39300.0)</f>
        <v>39300</v>
      </c>
      <c r="F578" s="3" t="str">
        <f>IFERROR(__xludf.DUMMYFUNCTION("""COMPUTED_VALUE"""),"Aspirant")</f>
        <v>Aspirant</v>
      </c>
      <c r="G578" s="55">
        <f>IFERROR(__xludf.DUMMYFUNCTION("""COMPUTED_VALUE"""),11.8)</f>
        <v>11.8</v>
      </c>
      <c r="H578" s="56">
        <f>IFERROR(__xludf.DUMMYFUNCTION("""COMPUTED_VALUE"""),2.0)</f>
        <v>2</v>
      </c>
      <c r="I578" s="57">
        <f>IFERROR(__xludf.DUMMYFUNCTION("""COMPUTED_VALUE"""),0.48)</f>
        <v>0.48</v>
      </c>
      <c r="J578" s="3"/>
      <c r="K578" s="57">
        <f>IFERROR(__xludf.DUMMYFUNCTION("""COMPUTED_VALUE"""),3.49)</f>
        <v>3.49</v>
      </c>
      <c r="L578" s="54">
        <f>IFERROR(__xludf.DUMMYFUNCTION("""COMPUTED_VALUE"""),52.0)</f>
        <v>52</v>
      </c>
      <c r="M578" s="3">
        <f>IFERROR(__xludf.DUMMYFUNCTION("""COMPUTED_VALUE"""),110.0)</f>
        <v>110</v>
      </c>
      <c r="N578" s="3"/>
      <c r="O578" s="3"/>
      <c r="P578" s="3"/>
      <c r="Q578" s="3"/>
      <c r="R578" s="3"/>
      <c r="S578" s="3"/>
      <c r="T578" s="5"/>
      <c r="U578" s="5"/>
      <c r="V578" s="5"/>
      <c r="W578" s="5"/>
    </row>
    <row r="579" ht="15.75" customHeight="1">
      <c r="A579" s="3">
        <f>IFERROR(__xludf.DUMMYFUNCTION("""COMPUTED_VALUE"""),579.0)</f>
        <v>579</v>
      </c>
      <c r="B579" s="53">
        <f>IFERROR(__xludf.DUMMYFUNCTION("""COMPUTED_VALUE"""),45510.0)</f>
        <v>45510</v>
      </c>
      <c r="C579" s="3">
        <f>IFERROR(__xludf.DUMMYFUNCTION("""COMPUTED_VALUE"""),104.0)</f>
        <v>104</v>
      </c>
      <c r="D579" s="3" t="str">
        <f>IFERROR(__xludf.DUMMYFUNCTION("""COMPUTED_VALUE"""),"1.267")</f>
        <v>1.267</v>
      </c>
      <c r="E579" s="54">
        <f>IFERROR(__xludf.DUMMYFUNCTION("""COMPUTED_VALUE"""),31000.0)</f>
        <v>31000</v>
      </c>
      <c r="F579" s="3" t="str">
        <f>IFERROR(__xludf.DUMMYFUNCTION("""COMPUTED_VALUE"""),"Syrah T")</f>
        <v>Syrah T</v>
      </c>
      <c r="G579" s="55">
        <f>IFERROR(__xludf.DUMMYFUNCTION("""COMPUTED_VALUE"""),12.5)</f>
        <v>12.5</v>
      </c>
      <c r="H579" s="56">
        <f>IFERROR(__xludf.DUMMYFUNCTION("""COMPUTED_VALUE"""),2.0)</f>
        <v>2</v>
      </c>
      <c r="I579" s="57">
        <f>IFERROR(__xludf.DUMMYFUNCTION("""COMPUTED_VALUE"""),0.4)</f>
        <v>0.4</v>
      </c>
      <c r="J579" s="57">
        <f>IFERROR(__xludf.DUMMYFUNCTION("""COMPUTED_VALUE"""),5.2)</f>
        <v>5.2</v>
      </c>
      <c r="K579" s="57">
        <f>IFERROR(__xludf.DUMMYFUNCTION("""COMPUTED_VALUE"""),3.69)</f>
        <v>3.69</v>
      </c>
      <c r="L579" s="54">
        <f>IFERROR(__xludf.DUMMYFUNCTION("""COMPUTED_VALUE"""),50.0)</f>
        <v>50</v>
      </c>
      <c r="M579" s="3">
        <f>IFERROR(__xludf.DUMMYFUNCTION("""COMPUTED_VALUE"""),120.0)</f>
        <v>120</v>
      </c>
      <c r="N579" s="3"/>
      <c r="O579" s="3"/>
      <c r="P579" s="3"/>
      <c r="Q579" s="3"/>
      <c r="R579" s="3"/>
      <c r="S579" s="3"/>
      <c r="T579" s="5"/>
      <c r="U579" s="5"/>
      <c r="V579" s="5"/>
      <c r="W579" s="5"/>
    </row>
    <row r="580" ht="15.75" customHeight="1">
      <c r="A580" s="3">
        <f>IFERROR(__xludf.DUMMYFUNCTION("""COMPUTED_VALUE"""),580.0)</f>
        <v>580</v>
      </c>
      <c r="B580" s="53">
        <f>IFERROR(__xludf.DUMMYFUNCTION("""COMPUTED_VALUE"""),45511.0)</f>
        <v>45511</v>
      </c>
      <c r="C580" s="3">
        <f>IFERROR(__xludf.DUMMYFUNCTION("""COMPUTED_VALUE"""),8.0)</f>
        <v>8</v>
      </c>
      <c r="D580" s="3" t="str">
        <f>IFERROR(__xludf.DUMMYFUNCTION("""COMPUTED_VALUE"""),"1.207")</f>
        <v>1.207</v>
      </c>
      <c r="E580" s="54">
        <f>IFERROR(__xludf.DUMMYFUNCTION("""COMPUTED_VALUE"""),22000.0)</f>
        <v>22000</v>
      </c>
      <c r="F580" s="3" t="str">
        <f>IFERROR(__xludf.DUMMYFUNCTION("""COMPUTED_VALUE"""),"Chardonnay")</f>
        <v>Chardonnay</v>
      </c>
      <c r="G580" s="3"/>
      <c r="H580" s="3"/>
      <c r="I580" s="3"/>
      <c r="J580" s="3"/>
      <c r="K580" s="3"/>
      <c r="L580" s="54">
        <f>IFERROR(__xludf.DUMMYFUNCTION("""COMPUTED_VALUE"""),36.0)</f>
        <v>36</v>
      </c>
      <c r="M580" s="3"/>
      <c r="N580" s="3"/>
      <c r="O580" s="3"/>
      <c r="P580" s="3"/>
      <c r="Q580" s="3"/>
      <c r="R580" s="3"/>
      <c r="S580" s="3"/>
      <c r="T580" s="5"/>
      <c r="U580" s="5"/>
      <c r="V580" s="5"/>
      <c r="W580" s="5"/>
    </row>
    <row r="581" ht="15.75" customHeight="1">
      <c r="A581" s="3">
        <f>IFERROR(__xludf.DUMMYFUNCTION("""COMPUTED_VALUE"""),581.0)</f>
        <v>581</v>
      </c>
      <c r="B581" s="53">
        <f>IFERROR(__xludf.DUMMYFUNCTION("""COMPUTED_VALUE"""),45511.0)</f>
        <v>45511</v>
      </c>
      <c r="C581" s="3">
        <f>IFERROR(__xludf.DUMMYFUNCTION("""COMPUTED_VALUE"""),10.0)</f>
        <v>10</v>
      </c>
      <c r="D581" s="3" t="str">
        <f>IFERROR(__xludf.DUMMYFUNCTION("""COMPUTED_VALUE"""),"1.208")</f>
        <v>1.208</v>
      </c>
      <c r="E581" s="54">
        <f>IFERROR(__xludf.DUMMYFUNCTION("""COMPUTED_VALUE"""),21000.0)</f>
        <v>21000</v>
      </c>
      <c r="F581" s="3" t="str">
        <f>IFERROR(__xludf.DUMMYFUNCTION("""COMPUTED_VALUE"""),"Chardonnay")</f>
        <v>Chardonnay</v>
      </c>
      <c r="G581" s="3"/>
      <c r="H581" s="3"/>
      <c r="I581" s="3"/>
      <c r="J581" s="3"/>
      <c r="K581" s="3"/>
      <c r="L581" s="54">
        <f>IFERROR(__xludf.DUMMYFUNCTION("""COMPUTED_VALUE"""),33.0)</f>
        <v>33</v>
      </c>
      <c r="M581" s="3"/>
      <c r="N581" s="3"/>
      <c r="O581" s="3"/>
      <c r="P581" s="3"/>
      <c r="Q581" s="3"/>
      <c r="R581" s="3"/>
      <c r="S581" s="3"/>
      <c r="T581" s="5"/>
      <c r="U581" s="5"/>
      <c r="V581" s="5"/>
      <c r="W581" s="5"/>
    </row>
    <row r="582" ht="15.75" customHeight="1">
      <c r="A582" s="3">
        <f>IFERROR(__xludf.DUMMYFUNCTION("""COMPUTED_VALUE"""),582.0)</f>
        <v>582</v>
      </c>
      <c r="B582" s="53">
        <f>IFERROR(__xludf.DUMMYFUNCTION("""COMPUTED_VALUE"""),45511.0)</f>
        <v>45511</v>
      </c>
      <c r="C582" s="3">
        <f>IFERROR(__xludf.DUMMYFUNCTION("""COMPUTED_VALUE"""),46.0)</f>
        <v>46</v>
      </c>
      <c r="D582" s="3" t="str">
        <f>IFERROR(__xludf.DUMMYFUNCTION("""COMPUTED_VALUE"""),"1.206")</f>
        <v>1.206</v>
      </c>
      <c r="E582" s="54">
        <f>IFERROR(__xludf.DUMMYFUNCTION("""COMPUTED_VALUE"""),29000.0)</f>
        <v>29000</v>
      </c>
      <c r="F582" s="3" t="str">
        <f>IFERROR(__xludf.DUMMYFUNCTION("""COMPUTED_VALUE"""),"Chardonnay")</f>
        <v>Chardonnay</v>
      </c>
      <c r="G582" s="3"/>
      <c r="H582" s="3"/>
      <c r="I582" s="3"/>
      <c r="J582" s="3"/>
      <c r="K582" s="3"/>
      <c r="L582" s="54">
        <f>IFERROR(__xludf.DUMMYFUNCTION("""COMPUTED_VALUE"""),38.0)</f>
        <v>38</v>
      </c>
      <c r="M582" s="3"/>
      <c r="N582" s="3"/>
      <c r="O582" s="3"/>
      <c r="P582" s="3"/>
      <c r="Q582" s="3"/>
      <c r="R582" s="3"/>
      <c r="S582" s="3"/>
      <c r="T582" s="5"/>
      <c r="U582" s="5"/>
      <c r="V582" s="5"/>
      <c r="W582" s="5"/>
    </row>
    <row r="583" ht="15.75" customHeight="1">
      <c r="A583" s="3">
        <f>IFERROR(__xludf.DUMMYFUNCTION("""COMPUTED_VALUE"""),583.0)</f>
        <v>583</v>
      </c>
      <c r="B583" s="53">
        <f>IFERROR(__xludf.DUMMYFUNCTION("""COMPUTED_VALUE"""),45511.0)</f>
        <v>45511</v>
      </c>
      <c r="C583" s="3">
        <f>IFERROR(__xludf.DUMMYFUNCTION("""COMPUTED_VALUE"""),50.0)</f>
        <v>50</v>
      </c>
      <c r="D583" s="3"/>
      <c r="E583" s="3"/>
      <c r="F583" s="3"/>
      <c r="G583" s="3"/>
      <c r="H583" s="3"/>
      <c r="I583" s="3"/>
      <c r="J583" s="3"/>
      <c r="K583" s="3"/>
      <c r="L583" s="54">
        <f>IFERROR(__xludf.DUMMYFUNCTION("""COMPUTED_VALUE"""),40.0)</f>
        <v>40</v>
      </c>
      <c r="M583" s="3"/>
      <c r="N583" s="3"/>
      <c r="O583" s="3"/>
      <c r="P583" s="3"/>
      <c r="Q583" s="3"/>
      <c r="R583" s="3"/>
      <c r="S583" s="3"/>
      <c r="T583" s="5"/>
      <c r="U583" s="5"/>
      <c r="V583" s="5"/>
      <c r="W583" s="5"/>
    </row>
    <row r="584" ht="15.75" customHeight="1">
      <c r="A584" s="3">
        <f>IFERROR(__xludf.DUMMYFUNCTION("""COMPUTED_VALUE"""),584.0)</f>
        <v>584</v>
      </c>
      <c r="B584" s="53">
        <f>IFERROR(__xludf.DUMMYFUNCTION("""COMPUTED_VALUE"""),45511.0)</f>
        <v>45511</v>
      </c>
      <c r="C584" s="3">
        <f>IFERROR(__xludf.DUMMYFUNCTION("""COMPUTED_VALUE"""),52.0)</f>
        <v>52</v>
      </c>
      <c r="D584" s="3" t="str">
        <f>IFERROR(__xludf.DUMMYFUNCTION("""COMPUTED_VALUE"""),"1.205")</f>
        <v>1.205</v>
      </c>
      <c r="E584" s="54">
        <f>IFERROR(__xludf.DUMMYFUNCTION("""COMPUTED_VALUE"""),27000.0)</f>
        <v>27000</v>
      </c>
      <c r="F584" s="3" t="str">
        <f>IFERROR(__xludf.DUMMYFUNCTION("""COMPUTED_VALUE"""),"Chardonnay")</f>
        <v>Chardonnay</v>
      </c>
      <c r="G584" s="3"/>
      <c r="H584" s="3"/>
      <c r="I584" s="3"/>
      <c r="J584" s="3"/>
      <c r="K584" s="3"/>
      <c r="L584" s="54">
        <f>IFERROR(__xludf.DUMMYFUNCTION("""COMPUTED_VALUE"""),37.0)</f>
        <v>37</v>
      </c>
      <c r="M584" s="3"/>
      <c r="N584" s="3"/>
      <c r="O584" s="3"/>
      <c r="P584" s="3"/>
      <c r="Q584" s="3"/>
      <c r="R584" s="3"/>
      <c r="S584" s="3"/>
      <c r="T584" s="5"/>
      <c r="U584" s="5"/>
      <c r="V584" s="5"/>
      <c r="W584" s="5"/>
    </row>
    <row r="585" ht="15.75" customHeight="1">
      <c r="A585" s="3">
        <f>IFERROR(__xludf.DUMMYFUNCTION("""COMPUTED_VALUE"""),585.0)</f>
        <v>585</v>
      </c>
      <c r="B585" s="53">
        <f>IFERROR(__xludf.DUMMYFUNCTION("""COMPUTED_VALUE"""),45511.0)</f>
        <v>45511</v>
      </c>
      <c r="C585" s="3">
        <f>IFERROR(__xludf.DUMMYFUNCTION("""COMPUTED_VALUE"""),54.0)</f>
        <v>54</v>
      </c>
      <c r="D585" s="3" t="str">
        <f>IFERROR(__xludf.DUMMYFUNCTION("""COMPUTED_VALUE"""),"1.165")</f>
        <v>1.165</v>
      </c>
      <c r="E585" s="54">
        <f>IFERROR(__xludf.DUMMYFUNCTION("""COMPUTED_VALUE"""),22900.0)</f>
        <v>22900</v>
      </c>
      <c r="F585" s="3" t="str">
        <f>IFERROR(__xludf.DUMMYFUNCTION("""COMPUTED_VALUE"""),"Pedro Gimenez")</f>
        <v>Pedro Gimenez</v>
      </c>
      <c r="G585" s="3"/>
      <c r="H585" s="3"/>
      <c r="I585" s="3"/>
      <c r="J585" s="3"/>
      <c r="K585" s="3"/>
      <c r="L585" s="54">
        <f>IFERROR(__xludf.DUMMYFUNCTION("""COMPUTED_VALUE"""),38.0)</f>
        <v>38</v>
      </c>
      <c r="M585" s="3"/>
      <c r="N585" s="3"/>
      <c r="O585" s="3"/>
      <c r="P585" s="3"/>
      <c r="Q585" s="3"/>
      <c r="R585" s="3"/>
      <c r="S585" s="3"/>
      <c r="T585" s="5"/>
      <c r="U585" s="5"/>
      <c r="V585" s="5"/>
      <c r="W585" s="5"/>
    </row>
    <row r="586" ht="15.75" customHeight="1">
      <c r="A586" s="3">
        <f>IFERROR(__xludf.DUMMYFUNCTION("""COMPUTED_VALUE"""),586.0)</f>
        <v>586</v>
      </c>
      <c r="B586" s="53">
        <f>IFERROR(__xludf.DUMMYFUNCTION("""COMPUTED_VALUE"""),45511.0)</f>
        <v>45511</v>
      </c>
      <c r="C586" s="3">
        <f>IFERROR(__xludf.DUMMYFUNCTION("""COMPUTED_VALUE"""),66.0)</f>
        <v>66</v>
      </c>
      <c r="D586" s="3" t="str">
        <f>IFERROR(__xludf.DUMMYFUNCTION("""COMPUTED_VALUE"""),"1.216")</f>
        <v>1.216</v>
      </c>
      <c r="E586" s="54">
        <f>IFERROR(__xludf.DUMMYFUNCTION("""COMPUTED_VALUE"""),23000.0)</f>
        <v>23000</v>
      </c>
      <c r="F586" s="3" t="str">
        <f>IFERROR(__xludf.DUMMYFUNCTION("""COMPUTED_VALUE"""),"Chardonnay")</f>
        <v>Chardonnay</v>
      </c>
      <c r="G586" s="55">
        <f>IFERROR(__xludf.DUMMYFUNCTION("""COMPUTED_VALUE"""),12.3)</f>
        <v>12.3</v>
      </c>
      <c r="H586" s="3"/>
      <c r="I586" s="3"/>
      <c r="J586" s="3"/>
      <c r="K586" s="3"/>
      <c r="L586" s="54">
        <f>IFERROR(__xludf.DUMMYFUNCTION("""COMPUTED_VALUE"""),38.0)</f>
        <v>38</v>
      </c>
      <c r="M586" s="3"/>
      <c r="N586" s="3"/>
      <c r="O586" s="3"/>
      <c r="P586" s="3"/>
      <c r="Q586" s="3"/>
      <c r="R586" s="3"/>
      <c r="S586" s="3"/>
      <c r="T586" s="5"/>
      <c r="U586" s="5"/>
      <c r="V586" s="5"/>
      <c r="W586" s="5"/>
    </row>
    <row r="587" ht="15.75" customHeight="1">
      <c r="A587" s="3">
        <f>IFERROR(__xludf.DUMMYFUNCTION("""COMPUTED_VALUE"""),587.0)</f>
        <v>587</v>
      </c>
      <c r="B587" s="53">
        <f>IFERROR(__xludf.DUMMYFUNCTION("""COMPUTED_VALUE"""),45511.0)</f>
        <v>45511</v>
      </c>
      <c r="C587" s="3">
        <f>IFERROR(__xludf.DUMMYFUNCTION("""COMPUTED_VALUE"""),72.0)</f>
        <v>72</v>
      </c>
      <c r="D587" s="3" t="str">
        <f>IFERROR(__xludf.DUMMYFUNCTION("""COMPUTED_VALUE"""),"1.172")</f>
        <v>1.172</v>
      </c>
      <c r="E587" s="54">
        <f>IFERROR(__xludf.DUMMYFUNCTION("""COMPUTED_VALUE"""),13000.0)</f>
        <v>13000</v>
      </c>
      <c r="F587" s="3" t="str">
        <f>IFERROR(__xludf.DUMMYFUNCTION("""COMPUTED_VALUE"""),"Torrontes")</f>
        <v>Torrontes</v>
      </c>
      <c r="G587" s="3"/>
      <c r="H587" s="3"/>
      <c r="I587" s="3"/>
      <c r="J587" s="3"/>
      <c r="K587" s="3"/>
      <c r="L587" s="54">
        <f>IFERROR(__xludf.DUMMYFUNCTION("""COMPUTED_VALUE"""),36.0)</f>
        <v>36</v>
      </c>
      <c r="M587" s="3"/>
      <c r="N587" s="3"/>
      <c r="O587" s="3"/>
      <c r="P587" s="3"/>
      <c r="Q587" s="3"/>
      <c r="R587" s="3"/>
      <c r="S587" s="3"/>
      <c r="T587" s="5"/>
      <c r="U587" s="5"/>
      <c r="V587" s="5"/>
      <c r="W587" s="5"/>
    </row>
    <row r="588" ht="15.75" customHeight="1">
      <c r="A588" s="3">
        <f>IFERROR(__xludf.DUMMYFUNCTION("""COMPUTED_VALUE"""),588.0)</f>
        <v>588</v>
      </c>
      <c r="B588" s="53">
        <f>IFERROR(__xludf.DUMMYFUNCTION("""COMPUTED_VALUE"""),45511.0)</f>
        <v>45511</v>
      </c>
      <c r="C588" s="3">
        <f>IFERROR(__xludf.DUMMYFUNCTION("""COMPUTED_VALUE"""),33.0)</f>
        <v>33</v>
      </c>
      <c r="D588" s="3" t="str">
        <f>IFERROR(__xludf.DUMMYFUNCTION("""COMPUTED_VALUE"""),"1.176")</f>
        <v>1.176</v>
      </c>
      <c r="E588" s="54">
        <f>IFERROR(__xludf.DUMMYFUNCTION("""COMPUTED_VALUE"""),25300.0)</f>
        <v>25300</v>
      </c>
      <c r="F588" s="3" t="str">
        <f>IFERROR(__xludf.DUMMYFUNCTION("""COMPUTED_VALUE"""),"Bonarda")</f>
        <v>Bonarda</v>
      </c>
      <c r="G588" s="3"/>
      <c r="H588" s="3"/>
      <c r="I588" s="3"/>
      <c r="J588" s="3"/>
      <c r="K588" s="3"/>
      <c r="L588" s="54">
        <f>IFERROR(__xludf.DUMMYFUNCTION("""COMPUTED_VALUE"""),45.0)</f>
        <v>45</v>
      </c>
      <c r="M588" s="3"/>
      <c r="N588" s="3"/>
      <c r="O588" s="3"/>
      <c r="P588" s="3"/>
      <c r="Q588" s="3"/>
      <c r="R588" s="3"/>
      <c r="S588" s="3"/>
      <c r="T588" s="5"/>
      <c r="U588" s="5"/>
      <c r="V588" s="5"/>
      <c r="W588" s="5"/>
    </row>
    <row r="589" ht="15.75" customHeight="1">
      <c r="A589" s="3">
        <f>IFERROR(__xludf.DUMMYFUNCTION("""COMPUTED_VALUE"""),589.0)</f>
        <v>589</v>
      </c>
      <c r="B589" s="53">
        <f>IFERROR(__xludf.DUMMYFUNCTION("""COMPUTED_VALUE"""),45511.0)</f>
        <v>45511</v>
      </c>
      <c r="C589" s="3">
        <f>IFERROR(__xludf.DUMMYFUNCTION("""COMPUTED_VALUE"""),34.0)</f>
        <v>34</v>
      </c>
      <c r="D589" s="3" t="str">
        <f>IFERROR(__xludf.DUMMYFUNCTION("""COMPUTED_VALUE"""),"1.250")</f>
        <v>1.250</v>
      </c>
      <c r="E589" s="54">
        <f>IFERROR(__xludf.DUMMYFUNCTION("""COMPUTED_VALUE"""),39500.0)</f>
        <v>39500</v>
      </c>
      <c r="F589" s="3" t="str">
        <f>IFERROR(__xludf.DUMMYFUNCTION("""COMPUTED_VALUE"""),"Bonarda")</f>
        <v>Bonarda</v>
      </c>
      <c r="G589" s="3"/>
      <c r="H589" s="3"/>
      <c r="I589" s="3"/>
      <c r="J589" s="3"/>
      <c r="K589" s="3"/>
      <c r="L589" s="54">
        <f>IFERROR(__xludf.DUMMYFUNCTION("""COMPUTED_VALUE"""),38.0)</f>
        <v>38</v>
      </c>
      <c r="M589" s="3"/>
      <c r="N589" s="3"/>
      <c r="O589" s="3"/>
      <c r="P589" s="3"/>
      <c r="Q589" s="3"/>
      <c r="R589" s="3"/>
      <c r="S589" s="3"/>
      <c r="T589" s="5"/>
      <c r="U589" s="5"/>
      <c r="V589" s="5"/>
      <c r="W589" s="5"/>
    </row>
    <row r="590" ht="15.75" customHeight="1">
      <c r="A590" s="3">
        <f>IFERROR(__xludf.DUMMYFUNCTION("""COMPUTED_VALUE"""),590.0)</f>
        <v>590</v>
      </c>
      <c r="B590" s="53">
        <f>IFERROR(__xludf.DUMMYFUNCTION("""COMPUTED_VALUE"""),45511.0)</f>
        <v>45511</v>
      </c>
      <c r="C590" s="3">
        <f>IFERROR(__xludf.DUMMYFUNCTION("""COMPUTED_VALUE"""),36.0)</f>
        <v>36</v>
      </c>
      <c r="D590" s="3" t="str">
        <f>IFERROR(__xludf.DUMMYFUNCTION("""COMPUTED_VALUE"""),"1.247")</f>
        <v>1.247</v>
      </c>
      <c r="E590" s="54">
        <f>IFERROR(__xludf.DUMMYFUNCTION("""COMPUTED_VALUE"""),19700.0)</f>
        <v>19700</v>
      </c>
      <c r="F590" s="3" t="str">
        <f>IFERROR(__xludf.DUMMYFUNCTION("""COMPUTED_VALUE"""),"Syrah s/Asp")</f>
        <v>Syrah s/Asp</v>
      </c>
      <c r="G590" s="3"/>
      <c r="H590" s="3"/>
      <c r="I590" s="3"/>
      <c r="J590" s="3"/>
      <c r="K590" s="3"/>
      <c r="L590" s="54">
        <f>IFERROR(__xludf.DUMMYFUNCTION("""COMPUTED_VALUE"""),50.0)</f>
        <v>50</v>
      </c>
      <c r="M590" s="3"/>
      <c r="N590" s="3"/>
      <c r="O590" s="3"/>
      <c r="P590" s="3"/>
      <c r="Q590" s="3"/>
      <c r="R590" s="3"/>
      <c r="S590" s="3"/>
      <c r="T590" s="5"/>
      <c r="U590" s="5"/>
      <c r="V590" s="5"/>
      <c r="W590" s="5"/>
    </row>
    <row r="591" ht="15.75" customHeight="1">
      <c r="A591" s="3">
        <f>IFERROR(__xludf.DUMMYFUNCTION("""COMPUTED_VALUE"""),591.0)</f>
        <v>591</v>
      </c>
      <c r="B591" s="53">
        <f>IFERROR(__xludf.DUMMYFUNCTION("""COMPUTED_VALUE"""),45511.0)</f>
        <v>45511</v>
      </c>
      <c r="C591" s="3">
        <f>IFERROR(__xludf.DUMMYFUNCTION("""COMPUTED_VALUE"""),44.0)</f>
        <v>44</v>
      </c>
      <c r="D591" s="3" t="str">
        <f>IFERROR(__xludf.DUMMYFUNCTION("""COMPUTED_VALUE"""),"1.252")</f>
        <v>1.252</v>
      </c>
      <c r="E591" s="54">
        <f>IFERROR(__xludf.DUMMYFUNCTION("""COMPUTED_VALUE"""),19100.0)</f>
        <v>19100</v>
      </c>
      <c r="F591" s="3" t="str">
        <f>IFERROR(__xludf.DUMMYFUNCTION("""COMPUTED_VALUE"""),"Bonarda")</f>
        <v>Bonarda</v>
      </c>
      <c r="G591" s="3"/>
      <c r="H591" s="3"/>
      <c r="I591" s="3"/>
      <c r="J591" s="3"/>
      <c r="K591" s="3"/>
      <c r="L591" s="54">
        <f>IFERROR(__xludf.DUMMYFUNCTION("""COMPUTED_VALUE"""),39.0)</f>
        <v>39</v>
      </c>
      <c r="M591" s="3"/>
      <c r="N591" s="3"/>
      <c r="O591" s="3"/>
      <c r="P591" s="3"/>
      <c r="Q591" s="3"/>
      <c r="R591" s="3"/>
      <c r="S591" s="3"/>
      <c r="T591" s="5"/>
      <c r="U591" s="5"/>
      <c r="V591" s="5"/>
      <c r="W591" s="5"/>
    </row>
    <row r="592" ht="15.75" customHeight="1">
      <c r="A592" s="3">
        <f>IFERROR(__xludf.DUMMYFUNCTION("""COMPUTED_VALUE"""),592.0)</f>
        <v>592</v>
      </c>
      <c r="B592" s="53">
        <f>IFERROR(__xludf.DUMMYFUNCTION("""COMPUTED_VALUE"""),45511.0)</f>
        <v>45511</v>
      </c>
      <c r="C592" s="3">
        <f>IFERROR(__xludf.DUMMYFUNCTION("""COMPUTED_VALUE"""),73.0)</f>
        <v>73</v>
      </c>
      <c r="D592" s="3" t="str">
        <f>IFERROR(__xludf.DUMMYFUNCTION("""COMPUTED_VALUE"""),"1.065")</f>
        <v>1.065</v>
      </c>
      <c r="E592" s="54">
        <f>IFERROR(__xludf.DUMMYFUNCTION("""COMPUTED_VALUE"""),13000.0)</f>
        <v>13000</v>
      </c>
      <c r="F592" s="3" t="str">
        <f>IFERROR(__xludf.DUMMYFUNCTION("""COMPUTED_VALUE"""),"Tinto Rectificado")</f>
        <v>Tinto Rectificado</v>
      </c>
      <c r="G592" s="3"/>
      <c r="H592" s="3"/>
      <c r="I592" s="3"/>
      <c r="J592" s="3"/>
      <c r="K592" s="3"/>
      <c r="L592" s="54">
        <f>IFERROR(__xludf.DUMMYFUNCTION("""COMPUTED_VALUE"""),55.0)</f>
        <v>55</v>
      </c>
      <c r="M592" s="3"/>
      <c r="N592" s="3"/>
      <c r="O592" s="3"/>
      <c r="P592" s="3"/>
      <c r="Q592" s="3"/>
      <c r="R592" s="3"/>
      <c r="S592" s="3"/>
      <c r="T592" s="5"/>
      <c r="U592" s="5"/>
      <c r="V592" s="5"/>
      <c r="W592" s="5"/>
    </row>
    <row r="593" ht="15.75" customHeight="1">
      <c r="A593" s="3">
        <f>IFERROR(__xludf.DUMMYFUNCTION("""COMPUTED_VALUE"""),593.0)</f>
        <v>593</v>
      </c>
      <c r="B593" s="53">
        <f>IFERROR(__xludf.DUMMYFUNCTION("""COMPUTED_VALUE"""),45511.0)</f>
        <v>45511</v>
      </c>
      <c r="C593" s="3">
        <f>IFERROR(__xludf.DUMMYFUNCTION("""COMPUTED_VALUE"""),83.0)</f>
        <v>83</v>
      </c>
      <c r="D593" s="3" t="str">
        <f>IFERROR(__xludf.DUMMYFUNCTION("""COMPUTED_VALUE"""),"1.246")</f>
        <v>1.246</v>
      </c>
      <c r="E593" s="54">
        <f>IFERROR(__xludf.DUMMYFUNCTION("""COMPUTED_VALUE"""),81500.0)</f>
        <v>81500</v>
      </c>
      <c r="F593" s="3" t="str">
        <f>IFERROR(__xludf.DUMMYFUNCTION("""COMPUTED_VALUE"""),"Bonarda")</f>
        <v>Bonarda</v>
      </c>
      <c r="G593" s="3"/>
      <c r="H593" s="3"/>
      <c r="I593" s="3"/>
      <c r="J593" s="3"/>
      <c r="K593" s="57">
        <f>IFERROR(__xludf.DUMMYFUNCTION("""COMPUTED_VALUE"""),3.58)</f>
        <v>3.58</v>
      </c>
      <c r="L593" s="54">
        <f>IFERROR(__xludf.DUMMYFUNCTION("""COMPUTED_VALUE"""),40.0)</f>
        <v>40</v>
      </c>
      <c r="M593" s="3"/>
      <c r="N593" s="3"/>
      <c r="O593" s="3"/>
      <c r="P593" s="3"/>
      <c r="Q593" s="3"/>
      <c r="R593" s="3"/>
      <c r="S593" s="3"/>
      <c r="T593" s="5"/>
      <c r="U593" s="5"/>
      <c r="V593" s="5"/>
      <c r="W593" s="5"/>
    </row>
    <row r="594" ht="15.75" customHeight="1">
      <c r="A594" s="3">
        <f>IFERROR(__xludf.DUMMYFUNCTION("""COMPUTED_VALUE"""),594.0)</f>
        <v>594</v>
      </c>
      <c r="B594" s="53">
        <f>IFERROR(__xludf.DUMMYFUNCTION("""COMPUTED_VALUE"""),45511.0)</f>
        <v>45511</v>
      </c>
      <c r="C594" s="3">
        <f>IFERROR(__xludf.DUMMYFUNCTION("""COMPUTED_VALUE"""),86.0)</f>
        <v>86</v>
      </c>
      <c r="D594" s="3" t="str">
        <f>IFERROR(__xludf.DUMMYFUNCTION("""COMPUTED_VALUE"""),"1.235")</f>
        <v>1.235</v>
      </c>
      <c r="E594" s="54">
        <f>IFERROR(__xludf.DUMMYFUNCTION("""COMPUTED_VALUE"""),88000.0)</f>
        <v>88000</v>
      </c>
      <c r="F594" s="3" t="str">
        <f>IFERROR(__xludf.DUMMYFUNCTION("""COMPUTED_VALUE"""),"Malbec")</f>
        <v>Malbec</v>
      </c>
      <c r="G594" s="3"/>
      <c r="H594" s="3"/>
      <c r="I594" s="3"/>
      <c r="J594" s="3"/>
      <c r="K594" s="57">
        <f>IFERROR(__xludf.DUMMYFUNCTION("""COMPUTED_VALUE"""),3.48)</f>
        <v>3.48</v>
      </c>
      <c r="L594" s="54">
        <f>IFERROR(__xludf.DUMMYFUNCTION("""COMPUTED_VALUE"""),45.0)</f>
        <v>45</v>
      </c>
      <c r="M594" s="3"/>
      <c r="N594" s="3"/>
      <c r="O594" s="3"/>
      <c r="P594" s="3"/>
      <c r="Q594" s="3"/>
      <c r="R594" s="3"/>
      <c r="S594" s="3"/>
      <c r="T594" s="5"/>
      <c r="U594" s="5"/>
      <c r="V594" s="5"/>
      <c r="W594" s="5"/>
    </row>
    <row r="595" ht="15.75" customHeight="1">
      <c r="A595" s="3">
        <f>IFERROR(__xludf.DUMMYFUNCTION("""COMPUTED_VALUE"""),595.0)</f>
        <v>595</v>
      </c>
      <c r="B595" s="53">
        <f>IFERROR(__xludf.DUMMYFUNCTION("""COMPUTED_VALUE"""),45511.0)</f>
        <v>45511</v>
      </c>
      <c r="C595" s="3">
        <f>IFERROR(__xludf.DUMMYFUNCTION("""COMPUTED_VALUE"""),89.0)</f>
        <v>89</v>
      </c>
      <c r="D595" s="3" t="str">
        <f>IFERROR(__xludf.DUMMYFUNCTION("""COMPUTED_VALUE"""),"1.241")</f>
        <v>1.241</v>
      </c>
      <c r="E595" s="54">
        <f>IFERROR(__xludf.DUMMYFUNCTION("""COMPUTED_VALUE"""),83500.0)</f>
        <v>83500</v>
      </c>
      <c r="F595" s="3" t="str">
        <f>IFERROR(__xludf.DUMMYFUNCTION("""COMPUTED_VALUE"""),"Malbec T")</f>
        <v>Malbec T</v>
      </c>
      <c r="G595" s="3"/>
      <c r="H595" s="3"/>
      <c r="I595" s="3"/>
      <c r="J595" s="3"/>
      <c r="K595" s="57">
        <f>IFERROR(__xludf.DUMMYFUNCTION("""COMPUTED_VALUE"""),3.52)</f>
        <v>3.52</v>
      </c>
      <c r="L595" s="54">
        <f>IFERROR(__xludf.DUMMYFUNCTION("""COMPUTED_VALUE"""),40.0)</f>
        <v>40</v>
      </c>
      <c r="M595" s="3"/>
      <c r="N595" s="3"/>
      <c r="O595" s="3"/>
      <c r="P595" s="3"/>
      <c r="Q595" s="3"/>
      <c r="R595" s="3"/>
      <c r="S595" s="3"/>
      <c r="T595" s="5"/>
      <c r="U595" s="5"/>
      <c r="V595" s="5"/>
      <c r="W595" s="5"/>
    </row>
    <row r="596" ht="15.75" customHeight="1">
      <c r="A596" s="3">
        <f>IFERROR(__xludf.DUMMYFUNCTION("""COMPUTED_VALUE"""),596.0)</f>
        <v>596</v>
      </c>
      <c r="B596" s="53">
        <f>IFERROR(__xludf.DUMMYFUNCTION("""COMPUTED_VALUE"""),45511.0)</f>
        <v>45511</v>
      </c>
      <c r="C596" s="3">
        <f>IFERROR(__xludf.DUMMYFUNCTION("""COMPUTED_VALUE"""),95.0)</f>
        <v>95</v>
      </c>
      <c r="D596" s="3" t="str">
        <f>IFERROR(__xludf.DUMMYFUNCTION("""COMPUTED_VALUE"""),"1.237")</f>
        <v>1.237</v>
      </c>
      <c r="E596" s="54">
        <f>IFERROR(__xludf.DUMMYFUNCTION("""COMPUTED_VALUE"""),77100.0)</f>
        <v>77100</v>
      </c>
      <c r="F596" s="3" t="str">
        <f>IFERROR(__xludf.DUMMYFUNCTION("""COMPUTED_VALUE"""),"Bonarda")</f>
        <v>Bonarda</v>
      </c>
      <c r="G596" s="3"/>
      <c r="H596" s="3"/>
      <c r="I596" s="3"/>
      <c r="J596" s="3"/>
      <c r="K596" s="57">
        <f>IFERROR(__xludf.DUMMYFUNCTION("""COMPUTED_VALUE"""),3.61)</f>
        <v>3.61</v>
      </c>
      <c r="L596" s="54">
        <f>IFERROR(__xludf.DUMMYFUNCTION("""COMPUTED_VALUE"""),41.0)</f>
        <v>41</v>
      </c>
      <c r="M596" s="3"/>
      <c r="N596" s="3"/>
      <c r="O596" s="3"/>
      <c r="P596" s="3"/>
      <c r="Q596" s="3"/>
      <c r="R596" s="3"/>
      <c r="S596" s="3"/>
      <c r="T596" s="5"/>
      <c r="U596" s="5"/>
      <c r="V596" s="5"/>
      <c r="W596" s="5"/>
    </row>
    <row r="597" ht="15.75" customHeight="1">
      <c r="A597" s="3">
        <f>IFERROR(__xludf.DUMMYFUNCTION("""COMPUTED_VALUE"""),597.0)</f>
        <v>597</v>
      </c>
      <c r="B597" s="53">
        <f>IFERROR(__xludf.DUMMYFUNCTION("""COMPUTED_VALUE"""),45511.0)</f>
        <v>45511</v>
      </c>
      <c r="C597" s="3">
        <f>IFERROR(__xludf.DUMMYFUNCTION("""COMPUTED_VALUE"""),116.0)</f>
        <v>116</v>
      </c>
      <c r="D597" s="3" t="str">
        <f>IFERROR(__xludf.DUMMYFUNCTION("""COMPUTED_VALUE"""),"1.249")</f>
        <v>1.249</v>
      </c>
      <c r="E597" s="54">
        <f>IFERROR(__xludf.DUMMYFUNCTION("""COMPUTED_VALUE"""),99600.0)</f>
        <v>99600</v>
      </c>
      <c r="F597" s="3" t="str">
        <f>IFERROR(__xludf.DUMMYFUNCTION("""COMPUTED_VALUE"""),"Cabernet Sauvignon")</f>
        <v>Cabernet Sauvignon</v>
      </c>
      <c r="G597" s="3"/>
      <c r="H597" s="3"/>
      <c r="I597" s="3"/>
      <c r="J597" s="3"/>
      <c r="K597" s="57">
        <f>IFERROR(__xludf.DUMMYFUNCTION("""COMPUTED_VALUE"""),3.66)</f>
        <v>3.66</v>
      </c>
      <c r="L597" s="54">
        <f>IFERROR(__xludf.DUMMYFUNCTION("""COMPUTED_VALUE"""),35.0)</f>
        <v>35</v>
      </c>
      <c r="M597" s="3"/>
      <c r="N597" s="3"/>
      <c r="O597" s="3"/>
      <c r="P597" s="3"/>
      <c r="Q597" s="3"/>
      <c r="R597" s="3"/>
      <c r="S597" s="3"/>
      <c r="T597" s="5"/>
      <c r="U597" s="5"/>
      <c r="V597" s="5"/>
      <c r="W597" s="5"/>
    </row>
    <row r="598" ht="15.75" customHeight="1">
      <c r="A598" s="3">
        <f>IFERROR(__xludf.DUMMYFUNCTION("""COMPUTED_VALUE"""),598.0)</f>
        <v>598</v>
      </c>
      <c r="B598" s="53">
        <f>IFERROR(__xludf.DUMMYFUNCTION("""COMPUTED_VALUE"""),45511.0)</f>
        <v>45511</v>
      </c>
      <c r="C598" s="3">
        <f>IFERROR(__xludf.DUMMYFUNCTION("""COMPUTED_VALUE"""),24.0)</f>
        <v>24</v>
      </c>
      <c r="D598" s="3"/>
      <c r="E598" s="54">
        <f>IFERROR(__xludf.DUMMYFUNCTION("""COMPUTED_VALUE"""),130000.0)</f>
        <v>130000</v>
      </c>
      <c r="F598" s="3" t="str">
        <f>IFERROR(__xludf.DUMMYFUNCTION("""COMPUTED_VALUE"""),"corte tinto Garbin")</f>
        <v>corte tinto Garbin</v>
      </c>
      <c r="G598" s="55">
        <f>IFERROR(__xludf.DUMMYFUNCTION("""COMPUTED_VALUE"""),13.0)</f>
        <v>13</v>
      </c>
      <c r="H598" s="56">
        <f>IFERROR(__xludf.DUMMYFUNCTION("""COMPUTED_VALUE"""),2.0)</f>
        <v>2</v>
      </c>
      <c r="I598" s="57">
        <f>IFERROR(__xludf.DUMMYFUNCTION("""COMPUTED_VALUE"""),0.65)</f>
        <v>0.65</v>
      </c>
      <c r="J598" s="57">
        <f>IFERROR(__xludf.DUMMYFUNCTION("""COMPUTED_VALUE"""),4.6)</f>
        <v>4.6</v>
      </c>
      <c r="K598" s="57">
        <f>IFERROR(__xludf.DUMMYFUNCTION("""COMPUTED_VALUE"""),3.72)</f>
        <v>3.72</v>
      </c>
      <c r="L598" s="54">
        <f>IFERROR(__xludf.DUMMYFUNCTION("""COMPUTED_VALUE"""),30.0)</f>
        <v>30</v>
      </c>
      <c r="M598" s="3">
        <f>IFERROR(__xludf.DUMMYFUNCTION("""COMPUTED_VALUE"""),153.0)</f>
        <v>153</v>
      </c>
      <c r="N598" s="3"/>
      <c r="O598" s="3">
        <f>IFERROR(__xludf.DUMMYFUNCTION("""COMPUTED_VALUE"""),228.0)</f>
        <v>228</v>
      </c>
      <c r="P598" s="3">
        <f>IFERROR(__xludf.DUMMYFUNCTION("""COMPUTED_VALUE"""),335.0)</f>
        <v>335</v>
      </c>
      <c r="Q598" s="3"/>
      <c r="R598" s="3">
        <f>IFERROR(__xludf.DUMMYFUNCTION("""COMPUTED_VALUE"""),563.0)</f>
        <v>563</v>
      </c>
      <c r="S598" s="54">
        <f>IFERROR(__xludf.DUMMYFUNCTION("""COMPUTED_VALUE"""),827.2149122807017)</f>
        <v>827.2149123</v>
      </c>
      <c r="T598" s="5"/>
      <c r="U598" s="5"/>
      <c r="V598" s="5"/>
      <c r="W598" s="5"/>
    </row>
    <row r="599" ht="15.75" customHeight="1">
      <c r="A599" s="3">
        <f>IFERROR(__xludf.DUMMYFUNCTION("""COMPUTED_VALUE"""),599.0)</f>
        <v>599</v>
      </c>
      <c r="B599" s="53">
        <f>IFERROR(__xludf.DUMMYFUNCTION("""COMPUTED_VALUE"""),45513.0)</f>
        <v>45513</v>
      </c>
      <c r="C599" s="3">
        <f>IFERROR(__xludf.DUMMYFUNCTION("""COMPUTED_VALUE"""),105.0)</f>
        <v>105</v>
      </c>
      <c r="D599" s="3" t="str">
        <f>IFERROR(__xludf.DUMMYFUNCTION("""COMPUTED_VALUE"""),"1.268")</f>
        <v>1.268</v>
      </c>
      <c r="E599" s="54">
        <f>IFERROR(__xludf.DUMMYFUNCTION("""COMPUTED_VALUE"""),31000.0)</f>
        <v>31000</v>
      </c>
      <c r="F599" s="3" t="str">
        <f>IFERROR(__xludf.DUMMYFUNCTION("""COMPUTED_VALUE"""),"Syrah T")</f>
        <v>Syrah T</v>
      </c>
      <c r="G599" s="55">
        <f>IFERROR(__xludf.DUMMYFUNCTION("""COMPUTED_VALUE"""),12.5)</f>
        <v>12.5</v>
      </c>
      <c r="H599" s="56">
        <f>IFERROR(__xludf.DUMMYFUNCTION("""COMPUTED_VALUE"""),2.0)</f>
        <v>2</v>
      </c>
      <c r="I599" s="57">
        <f>IFERROR(__xludf.DUMMYFUNCTION("""COMPUTED_VALUE"""),0.61)</f>
        <v>0.61</v>
      </c>
      <c r="J599" s="57">
        <f>IFERROR(__xludf.DUMMYFUNCTION("""COMPUTED_VALUE"""),5.0)</f>
        <v>5</v>
      </c>
      <c r="K599" s="57">
        <f>IFERROR(__xludf.DUMMYFUNCTION("""COMPUTED_VALUE"""),3.71)</f>
        <v>3.71</v>
      </c>
      <c r="L599" s="54">
        <f>IFERROR(__xludf.DUMMYFUNCTION("""COMPUTED_VALUE"""),40.0)</f>
        <v>40</v>
      </c>
      <c r="M599" s="3">
        <f>IFERROR(__xludf.DUMMYFUNCTION("""COMPUTED_VALUE"""),115.0)</f>
        <v>115</v>
      </c>
      <c r="N599" s="3"/>
      <c r="O599" s="3"/>
      <c r="P599" s="3"/>
      <c r="Q599" s="3"/>
      <c r="R599" s="3"/>
      <c r="S599" s="3"/>
      <c r="T599" s="5"/>
      <c r="U599" s="5"/>
      <c r="V599" s="5"/>
      <c r="W599" s="5"/>
    </row>
    <row r="600" ht="15.75" customHeight="1">
      <c r="A600" s="3">
        <f>IFERROR(__xludf.DUMMYFUNCTION("""COMPUTED_VALUE"""),600.0)</f>
        <v>600</v>
      </c>
      <c r="B600" s="53">
        <f>IFERROR(__xludf.DUMMYFUNCTION("""COMPUTED_VALUE"""),45513.0)</f>
        <v>45513</v>
      </c>
      <c r="C600" s="3">
        <f>IFERROR(__xludf.DUMMYFUNCTION("""COMPUTED_VALUE"""),107.0)</f>
        <v>107</v>
      </c>
      <c r="D600" s="3" t="str">
        <f>IFERROR(__xludf.DUMMYFUNCTION("""COMPUTED_VALUE"""),"1.269")</f>
        <v>1.269</v>
      </c>
      <c r="E600" s="54">
        <f>IFERROR(__xludf.DUMMYFUNCTION("""COMPUTED_VALUE"""),31000.0)</f>
        <v>31000</v>
      </c>
      <c r="F600" s="3" t="str">
        <f>IFERROR(__xludf.DUMMYFUNCTION("""COMPUTED_VALUE"""),"Tinto Criollo")</f>
        <v>Tinto Criollo</v>
      </c>
      <c r="G600" s="55">
        <f>IFERROR(__xludf.DUMMYFUNCTION("""COMPUTED_VALUE"""),13.3)</f>
        <v>13.3</v>
      </c>
      <c r="H600" s="56">
        <f>IFERROR(__xludf.DUMMYFUNCTION("""COMPUTED_VALUE"""),2.0)</f>
        <v>2</v>
      </c>
      <c r="I600" s="57">
        <f>IFERROR(__xludf.DUMMYFUNCTION("""COMPUTED_VALUE"""),0.65)</f>
        <v>0.65</v>
      </c>
      <c r="J600" s="57">
        <f>IFERROR(__xludf.DUMMYFUNCTION("""COMPUTED_VALUE"""),4.43)</f>
        <v>4.43</v>
      </c>
      <c r="K600" s="57">
        <f>IFERROR(__xludf.DUMMYFUNCTION("""COMPUTED_VALUE"""),3.71)</f>
        <v>3.71</v>
      </c>
      <c r="L600" s="54">
        <f>IFERROR(__xludf.DUMMYFUNCTION("""COMPUTED_VALUE"""),25.0)</f>
        <v>25</v>
      </c>
      <c r="M600" s="3">
        <f>IFERROR(__xludf.DUMMYFUNCTION("""COMPUTED_VALUE"""),150.0)</f>
        <v>150</v>
      </c>
      <c r="N600" s="3"/>
      <c r="O600" s="3"/>
      <c r="P600" s="3"/>
      <c r="Q600" s="3"/>
      <c r="R600" s="3"/>
      <c r="S600" s="3"/>
      <c r="T600" s="5"/>
      <c r="U600" s="5"/>
      <c r="V600" s="5"/>
      <c r="W600" s="5"/>
    </row>
    <row r="601" ht="15.75" customHeight="1">
      <c r="A601" s="3">
        <f>IFERROR(__xludf.DUMMYFUNCTION("""COMPUTED_VALUE"""),601.0)</f>
        <v>601</v>
      </c>
      <c r="B601" s="53">
        <f>IFERROR(__xludf.DUMMYFUNCTION("""COMPUTED_VALUE"""),45513.0)</f>
        <v>45513</v>
      </c>
      <c r="C601" s="3">
        <f>IFERROR(__xludf.DUMMYFUNCTION("""COMPUTED_VALUE"""),108.0)</f>
        <v>108</v>
      </c>
      <c r="D601" s="3" t="str">
        <f>IFERROR(__xludf.DUMMYFUNCTION("""COMPUTED_VALUE"""),"1.270")</f>
        <v>1.270</v>
      </c>
      <c r="E601" s="54">
        <f>IFERROR(__xludf.DUMMYFUNCTION("""COMPUTED_VALUE"""),31000.0)</f>
        <v>31000</v>
      </c>
      <c r="F601" s="3" t="str">
        <f>IFERROR(__xludf.DUMMYFUNCTION("""COMPUTED_VALUE"""),"Tinto Criollo")</f>
        <v>Tinto Criollo</v>
      </c>
      <c r="G601" s="55">
        <f>IFERROR(__xludf.DUMMYFUNCTION("""COMPUTED_VALUE"""),13.2)</f>
        <v>13.2</v>
      </c>
      <c r="H601" s="56">
        <f>IFERROR(__xludf.DUMMYFUNCTION("""COMPUTED_VALUE"""),2.0)</f>
        <v>2</v>
      </c>
      <c r="I601" s="3"/>
      <c r="J601" s="57">
        <f>IFERROR(__xludf.DUMMYFUNCTION("""COMPUTED_VALUE"""),4.5)</f>
        <v>4.5</v>
      </c>
      <c r="K601" s="3"/>
      <c r="L601" s="54">
        <f>IFERROR(__xludf.DUMMYFUNCTION("""COMPUTED_VALUE"""),24.0)</f>
        <v>24</v>
      </c>
      <c r="M601" s="3">
        <f>IFERROR(__xludf.DUMMYFUNCTION("""COMPUTED_VALUE"""),155.0)</f>
        <v>155</v>
      </c>
      <c r="N601" s="3"/>
      <c r="O601" s="3"/>
      <c r="P601" s="3"/>
      <c r="Q601" s="3"/>
      <c r="R601" s="3"/>
      <c r="S601" s="3"/>
      <c r="T601" s="5"/>
      <c r="U601" s="5"/>
      <c r="V601" s="5"/>
      <c r="W601" s="5"/>
    </row>
    <row r="602" ht="15.75" customHeight="1">
      <c r="A602" s="3">
        <f>IFERROR(__xludf.DUMMYFUNCTION("""COMPUTED_VALUE"""),602.0)</f>
        <v>602</v>
      </c>
      <c r="B602" s="53">
        <f>IFERROR(__xludf.DUMMYFUNCTION("""COMPUTED_VALUE"""),45516.0)</f>
        <v>45516</v>
      </c>
      <c r="C602" s="3">
        <f>IFERROR(__xludf.DUMMYFUNCTION("""COMPUTED_VALUE"""),8.0)</f>
        <v>8</v>
      </c>
      <c r="D602" s="3" t="str">
        <f>IFERROR(__xludf.DUMMYFUNCTION("""COMPUTED_VALUE"""),"1.207")</f>
        <v>1.207</v>
      </c>
      <c r="E602" s="54">
        <f>IFERROR(__xludf.DUMMYFUNCTION("""COMPUTED_VALUE"""),22000.0)</f>
        <v>22000</v>
      </c>
      <c r="F602" s="3" t="str">
        <f>IFERROR(__xludf.DUMMYFUNCTION("""COMPUTED_VALUE"""),"Chardonnay")</f>
        <v>Chardonnay</v>
      </c>
      <c r="G602" s="55">
        <f>IFERROR(__xludf.DUMMYFUNCTION("""COMPUTED_VALUE"""),12.3)</f>
        <v>12.3</v>
      </c>
      <c r="H602" s="56">
        <f>IFERROR(__xludf.DUMMYFUNCTION("""COMPUTED_VALUE"""),2.0)</f>
        <v>2</v>
      </c>
      <c r="I602" s="57">
        <f>IFERROR(__xludf.DUMMYFUNCTION("""COMPUTED_VALUE"""),0.35)</f>
        <v>0.35</v>
      </c>
      <c r="J602" s="57">
        <f>IFERROR(__xludf.DUMMYFUNCTION("""COMPUTED_VALUE"""),6.9)</f>
        <v>6.9</v>
      </c>
      <c r="K602" s="57">
        <f>IFERROR(__xludf.DUMMYFUNCTION("""COMPUTED_VALUE"""),3.32)</f>
        <v>3.32</v>
      </c>
      <c r="L602" s="54">
        <f>IFERROR(__xludf.DUMMYFUNCTION("""COMPUTED_VALUE"""),38.0)</f>
        <v>38</v>
      </c>
      <c r="M602" s="3">
        <f>IFERROR(__xludf.DUMMYFUNCTION("""COMPUTED_VALUE"""),120.0)</f>
        <v>120</v>
      </c>
      <c r="N602" s="3"/>
      <c r="O602" s="3"/>
      <c r="P602" s="3"/>
      <c r="Q602" s="3"/>
      <c r="R602" s="3"/>
      <c r="S602" s="3"/>
      <c r="T602" s="5"/>
      <c r="U602" s="5"/>
      <c r="V602" s="5"/>
      <c r="W602" s="5"/>
    </row>
    <row r="603" ht="15.75" customHeight="1">
      <c r="A603" s="3">
        <f>IFERROR(__xludf.DUMMYFUNCTION("""COMPUTED_VALUE"""),603.0)</f>
        <v>603</v>
      </c>
      <c r="B603" s="53">
        <f>IFERROR(__xludf.DUMMYFUNCTION("""COMPUTED_VALUE"""),45516.0)</f>
        <v>45516</v>
      </c>
      <c r="C603" s="3">
        <f>IFERROR(__xludf.DUMMYFUNCTION("""COMPUTED_VALUE"""),10.0)</f>
        <v>10</v>
      </c>
      <c r="D603" s="3" t="str">
        <f>IFERROR(__xludf.DUMMYFUNCTION("""COMPUTED_VALUE"""),"1.208")</f>
        <v>1.208</v>
      </c>
      <c r="E603" s="54">
        <f>IFERROR(__xludf.DUMMYFUNCTION("""COMPUTED_VALUE"""),21000.0)</f>
        <v>21000</v>
      </c>
      <c r="F603" s="3" t="str">
        <f>IFERROR(__xludf.DUMMYFUNCTION("""COMPUTED_VALUE"""),"Chardonnay")</f>
        <v>Chardonnay</v>
      </c>
      <c r="G603" s="55">
        <f>IFERROR(__xludf.DUMMYFUNCTION("""COMPUTED_VALUE"""),12.5)</f>
        <v>12.5</v>
      </c>
      <c r="H603" s="56">
        <f>IFERROR(__xludf.DUMMYFUNCTION("""COMPUTED_VALUE"""),2.0)</f>
        <v>2</v>
      </c>
      <c r="I603" s="57">
        <f>IFERROR(__xludf.DUMMYFUNCTION("""COMPUTED_VALUE"""),0.4)</f>
        <v>0.4</v>
      </c>
      <c r="J603" s="57">
        <f>IFERROR(__xludf.DUMMYFUNCTION("""COMPUTED_VALUE"""),6.95)</f>
        <v>6.95</v>
      </c>
      <c r="K603" s="57">
        <f>IFERROR(__xludf.DUMMYFUNCTION("""COMPUTED_VALUE"""),3.33)</f>
        <v>3.33</v>
      </c>
      <c r="L603" s="54">
        <f>IFERROR(__xludf.DUMMYFUNCTION("""COMPUTED_VALUE"""),37.0)</f>
        <v>37</v>
      </c>
      <c r="M603" s="3">
        <f>IFERROR(__xludf.DUMMYFUNCTION("""COMPUTED_VALUE"""),135.0)</f>
        <v>135</v>
      </c>
      <c r="N603" s="3"/>
      <c r="O603" s="3"/>
      <c r="P603" s="3"/>
      <c r="Q603" s="3"/>
      <c r="R603" s="3"/>
      <c r="S603" s="3"/>
      <c r="T603" s="5"/>
      <c r="U603" s="5"/>
      <c r="V603" s="5"/>
      <c r="W603" s="5"/>
    </row>
    <row r="604" ht="15.75" customHeight="1">
      <c r="A604" s="3">
        <f>IFERROR(__xludf.DUMMYFUNCTION("""COMPUTED_VALUE"""),604.0)</f>
        <v>604</v>
      </c>
      <c r="B604" s="53">
        <f>IFERROR(__xludf.DUMMYFUNCTION("""COMPUTED_VALUE"""),45516.0)</f>
        <v>45516</v>
      </c>
      <c r="C604" s="3">
        <f>IFERROR(__xludf.DUMMYFUNCTION("""COMPUTED_VALUE"""),30.0)</f>
        <v>30</v>
      </c>
      <c r="D604" s="3" t="str">
        <f>IFERROR(__xludf.DUMMYFUNCTION("""COMPUTED_VALUE"""),"eec28962")</f>
        <v>eec28962</v>
      </c>
      <c r="E604" s="54">
        <f>IFERROR(__xludf.DUMMYFUNCTION("""COMPUTED_VALUE"""),38800.0)</f>
        <v>38800</v>
      </c>
      <c r="F604" s="3" t="str">
        <f>IFERROR(__xludf.DUMMYFUNCTION("""COMPUTED_VALUE"""),"Aspirant")</f>
        <v>Aspirant</v>
      </c>
      <c r="G604" s="3"/>
      <c r="H604" s="3"/>
      <c r="I604" s="3"/>
      <c r="J604" s="57">
        <f>IFERROR(__xludf.DUMMYFUNCTION("""COMPUTED_VALUE"""),6.12)</f>
        <v>6.12</v>
      </c>
      <c r="K604" s="57">
        <f>IFERROR(__xludf.DUMMYFUNCTION("""COMPUTED_VALUE"""),3.49)</f>
        <v>3.49</v>
      </c>
      <c r="L604" s="54">
        <f>IFERROR(__xludf.DUMMYFUNCTION("""COMPUTED_VALUE"""),51.0)</f>
        <v>51</v>
      </c>
      <c r="M604" s="3">
        <f>IFERROR(__xludf.DUMMYFUNCTION("""COMPUTED_VALUE"""),83.0)</f>
        <v>83</v>
      </c>
      <c r="N604" s="3"/>
      <c r="O604" s="3"/>
      <c r="P604" s="3"/>
      <c r="Q604" s="3"/>
      <c r="R604" s="3"/>
      <c r="S604" s="3"/>
      <c r="T604" s="5"/>
      <c r="U604" s="5"/>
      <c r="V604" s="5"/>
      <c r="W604" s="5"/>
    </row>
    <row r="605" ht="15.75" customHeight="1">
      <c r="A605" s="3">
        <f>IFERROR(__xludf.DUMMYFUNCTION("""COMPUTED_VALUE"""),605.0)</f>
        <v>605</v>
      </c>
      <c r="B605" s="53">
        <f>IFERROR(__xludf.DUMMYFUNCTION("""COMPUTED_VALUE"""),45516.0)</f>
        <v>45516</v>
      </c>
      <c r="C605" s="3">
        <f>IFERROR(__xludf.DUMMYFUNCTION("""COMPUTED_VALUE"""),25.0)</f>
        <v>25</v>
      </c>
      <c r="D605" s="3" t="str">
        <f>IFERROR(__xludf.DUMMYFUNCTION("""COMPUTED_VALUE"""),"1.231")</f>
        <v>1.231</v>
      </c>
      <c r="E605" s="54">
        <f>IFERROR(__xludf.DUMMYFUNCTION("""COMPUTED_VALUE"""),194300.0)</f>
        <v>194300</v>
      </c>
      <c r="F605" s="3" t="str">
        <f>IFERROR(__xludf.DUMMYFUNCTION("""COMPUTED_VALUE"""),"Syrah")</f>
        <v>Syrah</v>
      </c>
      <c r="G605" s="55">
        <f>IFERROR(__xludf.DUMMYFUNCTION("""COMPUTED_VALUE"""),13.4)</f>
        <v>13.4</v>
      </c>
      <c r="H605" s="56">
        <f>IFERROR(__xludf.DUMMYFUNCTION("""COMPUTED_VALUE"""),2.5)</f>
        <v>2.5</v>
      </c>
      <c r="I605" s="57">
        <f>IFERROR(__xludf.DUMMYFUNCTION("""COMPUTED_VALUE"""),0.63)</f>
        <v>0.63</v>
      </c>
      <c r="J605" s="57">
        <f>IFERROR(__xludf.DUMMYFUNCTION("""COMPUTED_VALUE"""),4.9)</f>
        <v>4.9</v>
      </c>
      <c r="K605" s="57">
        <f>IFERROR(__xludf.DUMMYFUNCTION("""COMPUTED_VALUE"""),3.68)</f>
        <v>3.68</v>
      </c>
      <c r="L605" s="54">
        <f>IFERROR(__xludf.DUMMYFUNCTION("""COMPUTED_VALUE"""),38.0)</f>
        <v>38</v>
      </c>
      <c r="M605" s="3">
        <f>IFERROR(__xludf.DUMMYFUNCTION("""COMPUTED_VALUE"""),116.0)</f>
        <v>116</v>
      </c>
      <c r="N605" s="3"/>
      <c r="O605" s="3"/>
      <c r="P605" s="3"/>
      <c r="Q605" s="3"/>
      <c r="R605" s="3"/>
      <c r="S605" s="3"/>
      <c r="T605" s="5"/>
      <c r="U605" s="5"/>
      <c r="V605" s="5"/>
      <c r="W605" s="5"/>
    </row>
    <row r="606" ht="15.75" customHeight="1">
      <c r="A606" s="3">
        <f>IFERROR(__xludf.DUMMYFUNCTION("""COMPUTED_VALUE"""),606.0)</f>
        <v>606</v>
      </c>
      <c r="B606" s="53">
        <f>IFERROR(__xludf.DUMMYFUNCTION("""COMPUTED_VALUE"""),45517.0)</f>
        <v>45517</v>
      </c>
      <c r="C606" s="3">
        <f>IFERROR(__xludf.DUMMYFUNCTION("""COMPUTED_VALUE"""),31.0)</f>
        <v>31</v>
      </c>
      <c r="D606" s="3" t="str">
        <f>IFERROR(__xludf.DUMMYFUNCTION("""COMPUTED_VALUE"""),"1.243")</f>
        <v>1.243</v>
      </c>
      <c r="E606" s="54">
        <f>IFERROR(__xludf.DUMMYFUNCTION("""COMPUTED_VALUE"""),25700.0)</f>
        <v>25700</v>
      </c>
      <c r="F606" s="3" t="str">
        <f>IFERROR(__xludf.DUMMYFUNCTION("""COMPUTED_VALUE"""),"Tinto T")</f>
        <v>Tinto T</v>
      </c>
      <c r="G606" s="55">
        <f>IFERROR(__xludf.DUMMYFUNCTION("""COMPUTED_VALUE"""),12.7)</f>
        <v>12.7</v>
      </c>
      <c r="H606" s="56">
        <f>IFERROR(__xludf.DUMMYFUNCTION("""COMPUTED_VALUE"""),2.0)</f>
        <v>2</v>
      </c>
      <c r="I606" s="57">
        <f>IFERROR(__xludf.DUMMYFUNCTION("""COMPUTED_VALUE"""),0.8)</f>
        <v>0.8</v>
      </c>
      <c r="J606" s="57">
        <f>IFERROR(__xludf.DUMMYFUNCTION("""COMPUTED_VALUE"""),5.35)</f>
        <v>5.35</v>
      </c>
      <c r="K606" s="57">
        <f>IFERROR(__xludf.DUMMYFUNCTION("""COMPUTED_VALUE"""),3.8)</f>
        <v>3.8</v>
      </c>
      <c r="L606" s="54">
        <f>IFERROR(__xludf.DUMMYFUNCTION("""COMPUTED_VALUE"""),37.0)</f>
        <v>37</v>
      </c>
      <c r="M606" s="3">
        <f>IFERROR(__xludf.DUMMYFUNCTION("""COMPUTED_VALUE"""),182.0)</f>
        <v>182</v>
      </c>
      <c r="N606" s="3"/>
      <c r="O606" s="3"/>
      <c r="P606" s="3"/>
      <c r="Q606" s="3"/>
      <c r="R606" s="3"/>
      <c r="S606" s="3"/>
      <c r="T606" s="5"/>
      <c r="U606" s="5"/>
      <c r="V606" s="5"/>
      <c r="W606" s="5"/>
    </row>
    <row r="607" ht="15.75" customHeight="1">
      <c r="A607" s="3">
        <f>IFERROR(__xludf.DUMMYFUNCTION("""COMPUTED_VALUE"""),607.0)</f>
        <v>607</v>
      </c>
      <c r="B607" s="53">
        <f>IFERROR(__xludf.DUMMYFUNCTION("""COMPUTED_VALUE"""),45517.0)</f>
        <v>45517</v>
      </c>
      <c r="C607" s="3">
        <f>IFERROR(__xludf.DUMMYFUNCTION("""COMPUTED_VALUE"""),33.0)</f>
        <v>33</v>
      </c>
      <c r="D607" s="3" t="str">
        <f>IFERROR(__xludf.DUMMYFUNCTION("""COMPUTED_VALUE"""),"1.176")</f>
        <v>1.176</v>
      </c>
      <c r="E607" s="54">
        <f>IFERROR(__xludf.DUMMYFUNCTION("""COMPUTED_VALUE"""),25300.0)</f>
        <v>25300</v>
      </c>
      <c r="F607" s="3" t="str">
        <f>IFERROR(__xludf.DUMMYFUNCTION("""COMPUTED_VALUE"""),"Merlot 23")</f>
        <v>Merlot 23</v>
      </c>
      <c r="G607" s="55">
        <f>IFERROR(__xludf.DUMMYFUNCTION("""COMPUTED_VALUE"""),13.5)</f>
        <v>13.5</v>
      </c>
      <c r="H607" s="56">
        <f>IFERROR(__xludf.DUMMYFUNCTION("""COMPUTED_VALUE"""),2.0)</f>
        <v>2</v>
      </c>
      <c r="I607" s="57">
        <f>IFERROR(__xludf.DUMMYFUNCTION("""COMPUTED_VALUE"""),0.54)</f>
        <v>0.54</v>
      </c>
      <c r="J607" s="57">
        <f>IFERROR(__xludf.DUMMYFUNCTION("""COMPUTED_VALUE"""),5.4)</f>
        <v>5.4</v>
      </c>
      <c r="K607" s="57">
        <f>IFERROR(__xludf.DUMMYFUNCTION("""COMPUTED_VALUE"""),3.63)</f>
        <v>3.63</v>
      </c>
      <c r="L607" s="54">
        <f>IFERROR(__xludf.DUMMYFUNCTION("""COMPUTED_VALUE"""),40.0)</f>
        <v>40</v>
      </c>
      <c r="M607" s="3">
        <f>IFERROR(__xludf.DUMMYFUNCTION("""COMPUTED_VALUE"""),115.0)</f>
        <v>115</v>
      </c>
      <c r="N607" s="3"/>
      <c r="O607" s="3"/>
      <c r="P607" s="3"/>
      <c r="Q607" s="3"/>
      <c r="R607" s="3"/>
      <c r="S607" s="3"/>
      <c r="T607" s="5"/>
      <c r="U607" s="5"/>
      <c r="V607" s="5"/>
      <c r="W607" s="5"/>
    </row>
    <row r="608" ht="15.75" customHeight="1">
      <c r="A608" s="3">
        <f>IFERROR(__xludf.DUMMYFUNCTION("""COMPUTED_VALUE"""),608.0)</f>
        <v>608</v>
      </c>
      <c r="B608" s="53">
        <f>IFERROR(__xludf.DUMMYFUNCTION("""COMPUTED_VALUE"""),45517.0)</f>
        <v>45517</v>
      </c>
      <c r="C608" s="3">
        <f>IFERROR(__xludf.DUMMYFUNCTION("""COMPUTED_VALUE"""),35.0)</f>
        <v>35</v>
      </c>
      <c r="D608" s="3" t="str">
        <f>IFERROR(__xludf.DUMMYFUNCTION("""COMPUTED_VALUE"""),"1.090")</f>
        <v>1.090</v>
      </c>
      <c r="E608" s="54">
        <f>IFERROR(__xludf.DUMMYFUNCTION("""COMPUTED_VALUE"""),39300.0)</f>
        <v>39300</v>
      </c>
      <c r="F608" s="3" t="str">
        <f>IFERROR(__xludf.DUMMYFUNCTION("""COMPUTED_VALUE"""),"Aspirant")</f>
        <v>Aspirant</v>
      </c>
      <c r="G608" s="3"/>
      <c r="H608" s="56">
        <f>IFERROR(__xludf.DUMMYFUNCTION("""COMPUTED_VALUE"""),2.0)</f>
        <v>2</v>
      </c>
      <c r="I608" s="57">
        <f>IFERROR(__xludf.DUMMYFUNCTION("""COMPUTED_VALUE"""),0.56)</f>
        <v>0.56</v>
      </c>
      <c r="J608" s="57">
        <f>IFERROR(__xludf.DUMMYFUNCTION("""COMPUTED_VALUE"""),6.12)</f>
        <v>6.12</v>
      </c>
      <c r="K608" s="57">
        <f>IFERROR(__xludf.DUMMYFUNCTION("""COMPUTED_VALUE"""),3.55)</f>
        <v>3.55</v>
      </c>
      <c r="L608" s="54">
        <f>IFERROR(__xludf.DUMMYFUNCTION("""COMPUTED_VALUE"""),45.0)</f>
        <v>45</v>
      </c>
      <c r="M608" s="3">
        <f>IFERROR(__xludf.DUMMYFUNCTION("""COMPUTED_VALUE"""),100.0)</f>
        <v>100</v>
      </c>
      <c r="N608" s="3"/>
      <c r="O608" s="3"/>
      <c r="P608" s="3"/>
      <c r="Q608" s="3"/>
      <c r="R608" s="3"/>
      <c r="S608" s="3"/>
      <c r="T608" s="5"/>
      <c r="U608" s="5"/>
      <c r="V608" s="5"/>
      <c r="W608" s="5"/>
    </row>
    <row r="609" ht="15.75" customHeight="1">
      <c r="A609" s="3">
        <f>IFERROR(__xludf.DUMMYFUNCTION("""COMPUTED_VALUE"""),609.0)</f>
        <v>609</v>
      </c>
      <c r="B609" s="53">
        <f>IFERROR(__xludf.DUMMYFUNCTION("""COMPUTED_VALUE"""),45517.0)</f>
        <v>45517</v>
      </c>
      <c r="C609" s="3">
        <f>IFERROR(__xludf.DUMMYFUNCTION("""COMPUTED_VALUE"""),45.0)</f>
        <v>45</v>
      </c>
      <c r="D609" s="3" t="str">
        <f>IFERROR(__xludf.DUMMYFUNCTION("""COMPUTED_VALUE"""),"1.253")</f>
        <v>1.253</v>
      </c>
      <c r="E609" s="54">
        <f>IFERROR(__xludf.DUMMYFUNCTION("""COMPUTED_VALUE"""),30000.0)</f>
        <v>30000</v>
      </c>
      <c r="F609" s="3" t="str">
        <f>IFERROR(__xludf.DUMMYFUNCTION("""COMPUTED_VALUE"""),"Syrah")</f>
        <v>Syrah</v>
      </c>
      <c r="G609" s="55">
        <f>IFERROR(__xludf.DUMMYFUNCTION("""COMPUTED_VALUE"""),12.8)</f>
        <v>12.8</v>
      </c>
      <c r="H609" s="56">
        <f>IFERROR(__xludf.DUMMYFUNCTION("""COMPUTED_VALUE"""),2.2)</f>
        <v>2.2</v>
      </c>
      <c r="I609" s="57">
        <f>IFERROR(__xludf.DUMMYFUNCTION("""COMPUTED_VALUE"""),0.61)</f>
        <v>0.61</v>
      </c>
      <c r="J609" s="57">
        <f>IFERROR(__xludf.DUMMYFUNCTION("""COMPUTED_VALUE"""),5.3)</f>
        <v>5.3</v>
      </c>
      <c r="K609" s="57">
        <f>IFERROR(__xludf.DUMMYFUNCTION("""COMPUTED_VALUE"""),3.63)</f>
        <v>3.63</v>
      </c>
      <c r="L609" s="54">
        <f>IFERROR(__xludf.DUMMYFUNCTION("""COMPUTED_VALUE"""),30.0)</f>
        <v>30</v>
      </c>
      <c r="M609" s="3">
        <f>IFERROR(__xludf.DUMMYFUNCTION("""COMPUTED_VALUE"""),120.0)</f>
        <v>120</v>
      </c>
      <c r="N609" s="3"/>
      <c r="O609" s="3"/>
      <c r="P609" s="3"/>
      <c r="Q609" s="3"/>
      <c r="R609" s="3"/>
      <c r="S609" s="3"/>
      <c r="T609" s="5"/>
      <c r="U609" s="5"/>
      <c r="V609" s="5"/>
      <c r="W609" s="5"/>
    </row>
    <row r="610" ht="15.75" customHeight="1">
      <c r="A610" s="3">
        <f>IFERROR(__xludf.DUMMYFUNCTION("""COMPUTED_VALUE"""),610.0)</f>
        <v>610</v>
      </c>
      <c r="B610" s="53">
        <f>IFERROR(__xludf.DUMMYFUNCTION("""COMPUTED_VALUE"""),45517.0)</f>
        <v>45517</v>
      </c>
      <c r="C610" s="3">
        <f>IFERROR(__xludf.DUMMYFUNCTION("""COMPUTED_VALUE"""),46.0)</f>
        <v>46</v>
      </c>
      <c r="D610" s="3" t="str">
        <f>IFERROR(__xludf.DUMMYFUNCTION("""COMPUTED_VALUE"""),"1.206")</f>
        <v>1.206</v>
      </c>
      <c r="E610" s="54">
        <f>IFERROR(__xludf.DUMMYFUNCTION("""COMPUTED_VALUE"""),29000.0)</f>
        <v>29000</v>
      </c>
      <c r="F610" s="3" t="str">
        <f>IFERROR(__xludf.DUMMYFUNCTION("""COMPUTED_VALUE"""),"Chardonnay")</f>
        <v>Chardonnay</v>
      </c>
      <c r="G610" s="55">
        <f>IFERROR(__xludf.DUMMYFUNCTION("""COMPUTED_VALUE"""),12.5)</f>
        <v>12.5</v>
      </c>
      <c r="H610" s="56">
        <f>IFERROR(__xludf.DUMMYFUNCTION("""COMPUTED_VALUE"""),2.0)</f>
        <v>2</v>
      </c>
      <c r="I610" s="57">
        <f>IFERROR(__xludf.DUMMYFUNCTION("""COMPUTED_VALUE"""),0.4)</f>
        <v>0.4</v>
      </c>
      <c r="J610" s="57">
        <f>IFERROR(__xludf.DUMMYFUNCTION("""COMPUTED_VALUE"""),6.5)</f>
        <v>6.5</v>
      </c>
      <c r="K610" s="57">
        <f>IFERROR(__xludf.DUMMYFUNCTION("""COMPUTED_VALUE"""),3.41)</f>
        <v>3.41</v>
      </c>
      <c r="L610" s="54">
        <f>IFERROR(__xludf.DUMMYFUNCTION("""COMPUTED_VALUE"""),38.0)</f>
        <v>38</v>
      </c>
      <c r="M610" s="3">
        <f>IFERROR(__xludf.DUMMYFUNCTION("""COMPUTED_VALUE"""),121.0)</f>
        <v>121</v>
      </c>
      <c r="N610" s="3"/>
      <c r="O610" s="3"/>
      <c r="P610" s="3"/>
      <c r="Q610" s="3"/>
      <c r="R610" s="3"/>
      <c r="S610" s="3"/>
      <c r="T610" s="5"/>
      <c r="U610" s="5"/>
      <c r="V610" s="5"/>
      <c r="W610" s="5"/>
    </row>
    <row r="611" ht="15.75" customHeight="1">
      <c r="A611" s="3">
        <f>IFERROR(__xludf.DUMMYFUNCTION("""COMPUTED_VALUE"""),611.0)</f>
        <v>611</v>
      </c>
      <c r="B611" s="53">
        <f>IFERROR(__xludf.DUMMYFUNCTION("""COMPUTED_VALUE"""),45517.0)</f>
        <v>45517</v>
      </c>
      <c r="C611" s="3">
        <f>IFERROR(__xludf.DUMMYFUNCTION("""COMPUTED_VALUE"""),47.0)</f>
        <v>47</v>
      </c>
      <c r="D611" s="3" t="str">
        <f>IFERROR(__xludf.DUMMYFUNCTION("""COMPUTED_VALUE"""),"1.254")</f>
        <v>1.254</v>
      </c>
      <c r="E611" s="54">
        <f>IFERROR(__xludf.DUMMYFUNCTION("""COMPUTED_VALUE"""),20000.0)</f>
        <v>20000</v>
      </c>
      <c r="F611" s="3" t="str">
        <f>IFERROR(__xludf.DUMMYFUNCTION("""COMPUTED_VALUE"""),"Tinto criollo")</f>
        <v>Tinto criollo</v>
      </c>
      <c r="G611" s="55">
        <f>IFERROR(__xludf.DUMMYFUNCTION("""COMPUTED_VALUE"""),13.7)</f>
        <v>13.7</v>
      </c>
      <c r="H611" s="56">
        <f>IFERROR(__xludf.DUMMYFUNCTION("""COMPUTED_VALUE"""),2.0)</f>
        <v>2</v>
      </c>
      <c r="I611" s="57">
        <f>IFERROR(__xludf.DUMMYFUNCTION("""COMPUTED_VALUE"""),0.7)</f>
        <v>0.7</v>
      </c>
      <c r="J611" s="57">
        <f>IFERROR(__xludf.DUMMYFUNCTION("""COMPUTED_VALUE"""),4.2)</f>
        <v>4.2</v>
      </c>
      <c r="K611" s="57">
        <f>IFERROR(__xludf.DUMMYFUNCTION("""COMPUTED_VALUE"""),3.84)</f>
        <v>3.84</v>
      </c>
      <c r="L611" s="54">
        <f>IFERROR(__xludf.DUMMYFUNCTION("""COMPUTED_VALUE"""),25.0)</f>
        <v>25</v>
      </c>
      <c r="M611" s="3">
        <f>IFERROR(__xludf.DUMMYFUNCTION("""COMPUTED_VALUE"""),180.0)</f>
        <v>180</v>
      </c>
      <c r="N611" s="3"/>
      <c r="O611" s="3"/>
      <c r="P611" s="3"/>
      <c r="Q611" s="3"/>
      <c r="R611" s="3"/>
      <c r="S611" s="3"/>
      <c r="T611" s="5"/>
      <c r="U611" s="5"/>
      <c r="V611" s="5"/>
      <c r="W611" s="5"/>
    </row>
    <row r="612" ht="15.75" customHeight="1">
      <c r="A612" s="3">
        <f>IFERROR(__xludf.DUMMYFUNCTION("""COMPUTED_VALUE"""),612.0)</f>
        <v>612</v>
      </c>
      <c r="B612" s="53">
        <f>IFERROR(__xludf.DUMMYFUNCTION("""COMPUTED_VALUE"""),45517.0)</f>
        <v>45517</v>
      </c>
      <c r="C612" s="3">
        <f>IFERROR(__xludf.DUMMYFUNCTION("""COMPUTED_VALUE"""),48.0)</f>
        <v>48</v>
      </c>
      <c r="D612" s="3" t="str">
        <f>IFERROR(__xludf.DUMMYFUNCTION("""COMPUTED_VALUE"""),"1.248")</f>
        <v>1.248</v>
      </c>
      <c r="E612" s="54">
        <f>IFERROR(__xludf.DUMMYFUNCTION("""COMPUTED_VALUE"""),26000.0)</f>
        <v>26000</v>
      </c>
      <c r="F612" s="3" t="str">
        <f>IFERROR(__xludf.DUMMYFUNCTION("""COMPUTED_VALUE"""),"Tinto criollo")</f>
        <v>Tinto criollo</v>
      </c>
      <c r="G612" s="55">
        <f>IFERROR(__xludf.DUMMYFUNCTION("""COMPUTED_VALUE"""),12.3)</f>
        <v>12.3</v>
      </c>
      <c r="H612" s="56">
        <f>IFERROR(__xludf.DUMMYFUNCTION("""COMPUTED_VALUE"""),2.0)</f>
        <v>2</v>
      </c>
      <c r="I612" s="57">
        <f>IFERROR(__xludf.DUMMYFUNCTION("""COMPUTED_VALUE"""),0.82)</f>
        <v>0.82</v>
      </c>
      <c r="J612" s="57">
        <f>IFERROR(__xludf.DUMMYFUNCTION("""COMPUTED_VALUE"""),5.35)</f>
        <v>5.35</v>
      </c>
      <c r="K612" s="57">
        <f>IFERROR(__xludf.DUMMYFUNCTION("""COMPUTED_VALUE"""),3.59)</f>
        <v>3.59</v>
      </c>
      <c r="L612" s="54">
        <f>IFERROR(__xludf.DUMMYFUNCTION("""COMPUTED_VALUE"""),45.0)</f>
        <v>45</v>
      </c>
      <c r="M612" s="3">
        <f>IFERROR(__xludf.DUMMYFUNCTION("""COMPUTED_VALUE"""),173.0)</f>
        <v>173</v>
      </c>
      <c r="N612" s="3"/>
      <c r="O612" s="3"/>
      <c r="P612" s="3"/>
      <c r="Q612" s="3"/>
      <c r="R612" s="3"/>
      <c r="S612" s="3"/>
      <c r="T612" s="5"/>
      <c r="U612" s="5"/>
      <c r="V612" s="5"/>
      <c r="W612" s="5"/>
    </row>
    <row r="613" ht="15.75" customHeight="1">
      <c r="A613" s="3">
        <f>IFERROR(__xludf.DUMMYFUNCTION("""COMPUTED_VALUE"""),613.0)</f>
        <v>613</v>
      </c>
      <c r="B613" s="53">
        <f>IFERROR(__xludf.DUMMYFUNCTION("""COMPUTED_VALUE"""),45517.0)</f>
        <v>45517</v>
      </c>
      <c r="C613" s="3">
        <f>IFERROR(__xludf.DUMMYFUNCTION("""COMPUTED_VALUE"""),50.0)</f>
        <v>50</v>
      </c>
      <c r="D613" s="3" t="str">
        <f>IFERROR(__xludf.DUMMYFUNCTION("""COMPUTED_VALUE"""),"1.255")</f>
        <v>1.255</v>
      </c>
      <c r="E613" s="54">
        <f>IFERROR(__xludf.DUMMYFUNCTION("""COMPUTED_VALUE"""),5100.0)</f>
        <v>5100</v>
      </c>
      <c r="F613" s="3" t="str">
        <f>IFERROR(__xludf.DUMMYFUNCTION("""COMPUTED_VALUE"""),"Chardonnay")</f>
        <v>Chardonnay</v>
      </c>
      <c r="G613" s="55">
        <f>IFERROR(__xludf.DUMMYFUNCTION("""COMPUTED_VALUE"""),12.4)</f>
        <v>12.4</v>
      </c>
      <c r="H613" s="56">
        <f>IFERROR(__xludf.DUMMYFUNCTION("""COMPUTED_VALUE"""),2.0)</f>
        <v>2</v>
      </c>
      <c r="I613" s="57">
        <f>IFERROR(__xludf.DUMMYFUNCTION("""COMPUTED_VALUE"""),0.4)</f>
        <v>0.4</v>
      </c>
      <c r="J613" s="57">
        <f>IFERROR(__xludf.DUMMYFUNCTION("""COMPUTED_VALUE"""),6.5)</f>
        <v>6.5</v>
      </c>
      <c r="K613" s="57">
        <f>IFERROR(__xludf.DUMMYFUNCTION("""COMPUTED_VALUE"""),3.41)</f>
        <v>3.41</v>
      </c>
      <c r="L613" s="54">
        <f>IFERROR(__xludf.DUMMYFUNCTION("""COMPUTED_VALUE"""),38.0)</f>
        <v>38</v>
      </c>
      <c r="M613" s="3">
        <f>IFERROR(__xludf.DUMMYFUNCTION("""COMPUTED_VALUE"""),130.0)</f>
        <v>130</v>
      </c>
      <c r="N613" s="3"/>
      <c r="O613" s="3"/>
      <c r="P613" s="3"/>
      <c r="Q613" s="3"/>
      <c r="R613" s="3"/>
      <c r="S613" s="3"/>
      <c r="T613" s="5"/>
      <c r="U613" s="5"/>
      <c r="V613" s="5"/>
      <c r="W613" s="5"/>
    </row>
    <row r="614" ht="15.75" customHeight="1">
      <c r="A614" s="3">
        <f>IFERROR(__xludf.DUMMYFUNCTION("""COMPUTED_VALUE"""),614.0)</f>
        <v>614</v>
      </c>
      <c r="B614" s="53">
        <f>IFERROR(__xludf.DUMMYFUNCTION("""COMPUTED_VALUE"""),45517.0)</f>
        <v>45517</v>
      </c>
      <c r="C614" s="3">
        <f>IFERROR(__xludf.DUMMYFUNCTION("""COMPUTED_VALUE"""),51.0)</f>
        <v>51</v>
      </c>
      <c r="D614" s="3" t="str">
        <f>IFERROR(__xludf.DUMMYFUNCTION("""COMPUTED_VALUE"""),"1.118")</f>
        <v>1.118</v>
      </c>
      <c r="E614" s="54">
        <f>IFERROR(__xludf.DUMMYFUNCTION("""COMPUTED_VALUE"""),3900.0)</f>
        <v>3900</v>
      </c>
      <c r="F614" s="3" t="str">
        <f>IFERROR(__xludf.DUMMYFUNCTION("""COMPUTED_VALUE"""),"Syrah Rosado")</f>
        <v>Syrah Rosado</v>
      </c>
      <c r="G614" s="55">
        <f>IFERROR(__xludf.DUMMYFUNCTION("""COMPUTED_VALUE"""),13.5)</f>
        <v>13.5</v>
      </c>
      <c r="H614" s="56">
        <f>IFERROR(__xludf.DUMMYFUNCTION("""COMPUTED_VALUE"""),2.0)</f>
        <v>2</v>
      </c>
      <c r="I614" s="57">
        <f>IFERROR(__xludf.DUMMYFUNCTION("""COMPUTED_VALUE"""),0.4)</f>
        <v>0.4</v>
      </c>
      <c r="J614" s="57">
        <f>IFERROR(__xludf.DUMMYFUNCTION("""COMPUTED_VALUE"""),5.5)</f>
        <v>5.5</v>
      </c>
      <c r="K614" s="57">
        <f>IFERROR(__xludf.DUMMYFUNCTION("""COMPUTED_VALUE"""),3.49)</f>
        <v>3.49</v>
      </c>
      <c r="L614" s="54">
        <f>IFERROR(__xludf.DUMMYFUNCTION("""COMPUTED_VALUE"""),31.0)</f>
        <v>31</v>
      </c>
      <c r="M614" s="3">
        <f>IFERROR(__xludf.DUMMYFUNCTION("""COMPUTED_VALUE"""),121.0)</f>
        <v>121</v>
      </c>
      <c r="N614" s="3"/>
      <c r="O614" s="3"/>
      <c r="P614" s="3"/>
      <c r="Q614" s="3"/>
      <c r="R614" s="3"/>
      <c r="S614" s="3"/>
      <c r="T614" s="5"/>
      <c r="U614" s="5"/>
      <c r="V614" s="5"/>
      <c r="W614" s="5"/>
    </row>
    <row r="615" ht="15.75" customHeight="1">
      <c r="A615" s="3">
        <f>IFERROR(__xludf.DUMMYFUNCTION("""COMPUTED_VALUE"""),615.0)</f>
        <v>615</v>
      </c>
      <c r="B615" s="53">
        <f>IFERROR(__xludf.DUMMYFUNCTION("""COMPUTED_VALUE"""),45517.0)</f>
        <v>45517</v>
      </c>
      <c r="C615" s="3">
        <f>IFERROR(__xludf.DUMMYFUNCTION("""COMPUTED_VALUE"""),52.0)</f>
        <v>52</v>
      </c>
      <c r="D615" s="3" t="str">
        <f>IFERROR(__xludf.DUMMYFUNCTION("""COMPUTED_VALUE"""),"1.205")</f>
        <v>1.205</v>
      </c>
      <c r="E615" s="54">
        <f>IFERROR(__xludf.DUMMYFUNCTION("""COMPUTED_VALUE"""),27000.0)</f>
        <v>27000</v>
      </c>
      <c r="F615" s="3" t="str">
        <f>IFERROR(__xludf.DUMMYFUNCTION("""COMPUTED_VALUE"""),"Chardonnay")</f>
        <v>Chardonnay</v>
      </c>
      <c r="G615" s="55">
        <f>IFERROR(__xludf.DUMMYFUNCTION("""COMPUTED_VALUE"""),12.0)</f>
        <v>12</v>
      </c>
      <c r="H615" s="56">
        <f>IFERROR(__xludf.DUMMYFUNCTION("""COMPUTED_VALUE"""),2.0)</f>
        <v>2</v>
      </c>
      <c r="I615" s="57">
        <f>IFERROR(__xludf.DUMMYFUNCTION("""COMPUTED_VALUE"""),0.44)</f>
        <v>0.44</v>
      </c>
      <c r="J615" s="57">
        <f>IFERROR(__xludf.DUMMYFUNCTION("""COMPUTED_VALUE"""),6.9)</f>
        <v>6.9</v>
      </c>
      <c r="K615" s="57">
        <f>IFERROR(__xludf.DUMMYFUNCTION("""COMPUTED_VALUE"""),3.31)</f>
        <v>3.31</v>
      </c>
      <c r="L615" s="54">
        <f>IFERROR(__xludf.DUMMYFUNCTION("""COMPUTED_VALUE"""),36.0)</f>
        <v>36</v>
      </c>
      <c r="M615" s="3">
        <f>IFERROR(__xludf.DUMMYFUNCTION("""COMPUTED_VALUE"""),115.0)</f>
        <v>115</v>
      </c>
      <c r="N615" s="3"/>
      <c r="O615" s="3"/>
      <c r="P615" s="3"/>
      <c r="Q615" s="3"/>
      <c r="R615" s="3"/>
      <c r="S615" s="3"/>
      <c r="T615" s="5"/>
      <c r="U615" s="5"/>
      <c r="V615" s="5"/>
      <c r="W615" s="5"/>
    </row>
    <row r="616" ht="15.75" customHeight="1">
      <c r="A616" s="3">
        <f>IFERROR(__xludf.DUMMYFUNCTION("""COMPUTED_VALUE"""),616.0)</f>
        <v>616</v>
      </c>
      <c r="B616" s="53">
        <f>IFERROR(__xludf.DUMMYFUNCTION("""COMPUTED_VALUE"""),45517.0)</f>
        <v>45517</v>
      </c>
      <c r="C616" s="3">
        <f>IFERROR(__xludf.DUMMYFUNCTION("""COMPUTED_VALUE"""),54.0)</f>
        <v>54</v>
      </c>
      <c r="D616" s="3" t="str">
        <f>IFERROR(__xludf.DUMMYFUNCTION("""COMPUTED_VALUE"""),"1.165")</f>
        <v>1.165</v>
      </c>
      <c r="E616" s="54">
        <f>IFERROR(__xludf.DUMMYFUNCTION("""COMPUTED_VALUE"""),22900.0)</f>
        <v>22900</v>
      </c>
      <c r="F616" s="3" t="str">
        <f>IFERROR(__xludf.DUMMYFUNCTION("""COMPUTED_VALUE"""),"Pedro Gimenez")</f>
        <v>Pedro Gimenez</v>
      </c>
      <c r="G616" s="55">
        <f>IFERROR(__xludf.DUMMYFUNCTION("""COMPUTED_VALUE"""),13.0)</f>
        <v>13</v>
      </c>
      <c r="H616" s="56">
        <f>IFERROR(__xludf.DUMMYFUNCTION("""COMPUTED_VALUE"""),2.0)</f>
        <v>2</v>
      </c>
      <c r="I616" s="57">
        <f>IFERROR(__xludf.DUMMYFUNCTION("""COMPUTED_VALUE"""),0.47)</f>
        <v>0.47</v>
      </c>
      <c r="J616" s="57">
        <f>IFERROR(__xludf.DUMMYFUNCTION("""COMPUTED_VALUE"""),5.35)</f>
        <v>5.35</v>
      </c>
      <c r="K616" s="57">
        <f>IFERROR(__xludf.DUMMYFUNCTION("""COMPUTED_VALUE"""),3.36)</f>
        <v>3.36</v>
      </c>
      <c r="L616" s="54">
        <f>IFERROR(__xludf.DUMMYFUNCTION("""COMPUTED_VALUE"""),37.0)</f>
        <v>37</v>
      </c>
      <c r="M616" s="3">
        <f>IFERROR(__xludf.DUMMYFUNCTION("""COMPUTED_VALUE"""),140.0)</f>
        <v>140</v>
      </c>
      <c r="N616" s="3"/>
      <c r="O616" s="3"/>
      <c r="P616" s="3"/>
      <c r="Q616" s="3"/>
      <c r="R616" s="3"/>
      <c r="S616" s="3"/>
      <c r="T616" s="5"/>
      <c r="U616" s="5"/>
      <c r="V616" s="5"/>
      <c r="W616" s="5"/>
    </row>
    <row r="617" ht="15.75" customHeight="1">
      <c r="A617" s="3">
        <f>IFERROR(__xludf.DUMMYFUNCTION("""COMPUTED_VALUE"""),617.0)</f>
        <v>617</v>
      </c>
      <c r="B617" s="53">
        <f>IFERROR(__xludf.DUMMYFUNCTION("""COMPUTED_VALUE"""),45517.0)</f>
        <v>45517</v>
      </c>
      <c r="C617" s="3">
        <f>IFERROR(__xludf.DUMMYFUNCTION("""COMPUTED_VALUE"""),55.0)</f>
        <v>55</v>
      </c>
      <c r="D617" s="3" t="str">
        <f>IFERROR(__xludf.DUMMYFUNCTION("""COMPUTED_VALUE"""),"1.119")</f>
        <v>1.119</v>
      </c>
      <c r="E617" s="54">
        <f>IFERROR(__xludf.DUMMYFUNCTION("""COMPUTED_VALUE"""),3000.0)</f>
        <v>3000</v>
      </c>
      <c r="F617" s="3" t="str">
        <f>IFERROR(__xludf.DUMMYFUNCTION("""COMPUTED_VALUE"""),"Syrah Rosado")</f>
        <v>Syrah Rosado</v>
      </c>
      <c r="G617" s="55">
        <f>IFERROR(__xludf.DUMMYFUNCTION("""COMPUTED_VALUE"""),13.6)</f>
        <v>13.6</v>
      </c>
      <c r="H617" s="56">
        <f>IFERROR(__xludf.DUMMYFUNCTION("""COMPUTED_VALUE"""),2.0)</f>
        <v>2</v>
      </c>
      <c r="I617" s="57">
        <f>IFERROR(__xludf.DUMMYFUNCTION("""COMPUTED_VALUE"""),0.4)</f>
        <v>0.4</v>
      </c>
      <c r="J617" s="57">
        <f>IFERROR(__xludf.DUMMYFUNCTION("""COMPUTED_VALUE"""),5.35)</f>
        <v>5.35</v>
      </c>
      <c r="K617" s="57">
        <f>IFERROR(__xludf.DUMMYFUNCTION("""COMPUTED_VALUE"""),3.55)</f>
        <v>3.55</v>
      </c>
      <c r="L617" s="54">
        <f>IFERROR(__xludf.DUMMYFUNCTION("""COMPUTED_VALUE"""),25.0)</f>
        <v>25</v>
      </c>
      <c r="M617" s="3">
        <f>IFERROR(__xludf.DUMMYFUNCTION("""COMPUTED_VALUE"""),130.0)</f>
        <v>130</v>
      </c>
      <c r="N617" s="3"/>
      <c r="O617" s="3"/>
      <c r="P617" s="3"/>
      <c r="Q617" s="3"/>
      <c r="R617" s="3"/>
      <c r="S617" s="3"/>
      <c r="T617" s="5"/>
      <c r="U617" s="5"/>
      <c r="V617" s="5"/>
      <c r="W617" s="5"/>
    </row>
    <row r="618" ht="15.75" customHeight="1">
      <c r="A618" s="3">
        <f>IFERROR(__xludf.DUMMYFUNCTION("""COMPUTED_VALUE"""),618.0)</f>
        <v>618</v>
      </c>
      <c r="B618" s="53">
        <f>IFERROR(__xludf.DUMMYFUNCTION("""COMPUTED_VALUE"""),45518.0)</f>
        <v>45518</v>
      </c>
      <c r="C618" s="3">
        <f>IFERROR(__xludf.DUMMYFUNCTION("""COMPUTED_VALUE"""),66.0)</f>
        <v>66</v>
      </c>
      <c r="D618" s="3" t="str">
        <f>IFERROR(__xludf.DUMMYFUNCTION("""COMPUTED_VALUE"""),"1.216")</f>
        <v>1.216</v>
      </c>
      <c r="E618" s="54">
        <f>IFERROR(__xludf.DUMMYFUNCTION("""COMPUTED_VALUE"""),23000.0)</f>
        <v>23000</v>
      </c>
      <c r="F618" s="3" t="str">
        <f>IFERROR(__xludf.DUMMYFUNCTION("""COMPUTED_VALUE"""),"Chardonnay")</f>
        <v>Chardonnay</v>
      </c>
      <c r="G618" s="55">
        <f>IFERROR(__xludf.DUMMYFUNCTION("""COMPUTED_VALUE"""),12.3)</f>
        <v>12.3</v>
      </c>
      <c r="H618" s="56">
        <f>IFERROR(__xludf.DUMMYFUNCTION("""COMPUTED_VALUE"""),2.0)</f>
        <v>2</v>
      </c>
      <c r="I618" s="57">
        <f>IFERROR(__xludf.DUMMYFUNCTION("""COMPUTED_VALUE"""),0.34)</f>
        <v>0.34</v>
      </c>
      <c r="J618" s="57">
        <f>IFERROR(__xludf.DUMMYFUNCTION("""COMPUTED_VALUE"""),6.12)</f>
        <v>6.12</v>
      </c>
      <c r="K618" s="57">
        <f>IFERROR(__xludf.DUMMYFUNCTION("""COMPUTED_VALUE"""),3.29)</f>
        <v>3.29</v>
      </c>
      <c r="L618" s="54">
        <f>IFERROR(__xludf.DUMMYFUNCTION("""COMPUTED_VALUE"""),39.0)</f>
        <v>39</v>
      </c>
      <c r="M618" s="3">
        <f>IFERROR(__xludf.DUMMYFUNCTION("""COMPUTED_VALUE"""),120.0)</f>
        <v>120</v>
      </c>
      <c r="N618" s="3"/>
      <c r="O618" s="3"/>
      <c r="P618" s="3"/>
      <c r="Q618" s="3"/>
      <c r="R618" s="3"/>
      <c r="S618" s="3"/>
      <c r="T618" s="5"/>
      <c r="U618" s="5"/>
      <c r="V618" s="5"/>
      <c r="W618" s="5"/>
    </row>
    <row r="619" ht="15.75" customHeight="1">
      <c r="A619" s="3">
        <f>IFERROR(__xludf.DUMMYFUNCTION("""COMPUTED_VALUE"""),619.0)</f>
        <v>619</v>
      </c>
      <c r="B619" s="53">
        <f>IFERROR(__xludf.DUMMYFUNCTION("""COMPUTED_VALUE"""),45518.0)</f>
        <v>45518</v>
      </c>
      <c r="C619" s="3">
        <f>IFERROR(__xludf.DUMMYFUNCTION("""COMPUTED_VALUE"""),68.0)</f>
        <v>68</v>
      </c>
      <c r="D619" s="3" t="str">
        <f>IFERROR(__xludf.DUMMYFUNCTION("""COMPUTED_VALUE"""),"1.257")</f>
        <v>1.257</v>
      </c>
      <c r="E619" s="54">
        <f>IFERROR(__xludf.DUMMYFUNCTION("""COMPUTED_VALUE"""),13000.0)</f>
        <v>13000</v>
      </c>
      <c r="F619" s="3" t="str">
        <f>IFERROR(__xludf.DUMMYFUNCTION("""COMPUTED_VALUE"""),"Tinto criollo")</f>
        <v>Tinto criollo</v>
      </c>
      <c r="G619" s="55">
        <f>IFERROR(__xludf.DUMMYFUNCTION("""COMPUTED_VALUE"""),13.0)</f>
        <v>13</v>
      </c>
      <c r="H619" s="56">
        <f>IFERROR(__xludf.DUMMYFUNCTION("""COMPUTED_VALUE"""),2.0)</f>
        <v>2</v>
      </c>
      <c r="I619" s="57">
        <f>IFERROR(__xludf.DUMMYFUNCTION("""COMPUTED_VALUE"""),0.65)</f>
        <v>0.65</v>
      </c>
      <c r="J619" s="57">
        <f>IFERROR(__xludf.DUMMYFUNCTION("""COMPUTED_VALUE"""),4.74)</f>
        <v>4.74</v>
      </c>
      <c r="K619" s="57">
        <f>IFERROR(__xludf.DUMMYFUNCTION("""COMPUTED_VALUE"""),3.68)</f>
        <v>3.68</v>
      </c>
      <c r="L619" s="54">
        <f>IFERROR(__xludf.DUMMYFUNCTION("""COMPUTED_VALUE"""),37.0)</f>
        <v>37</v>
      </c>
      <c r="M619" s="3">
        <f>IFERROR(__xludf.DUMMYFUNCTION("""COMPUTED_VALUE"""),215.0)</f>
        <v>215</v>
      </c>
      <c r="N619" s="3"/>
      <c r="O619" s="3"/>
      <c r="P619" s="3"/>
      <c r="Q619" s="3"/>
      <c r="R619" s="3"/>
      <c r="S619" s="3"/>
      <c r="T619" s="5"/>
      <c r="U619" s="5"/>
      <c r="V619" s="5"/>
      <c r="W619" s="5"/>
    </row>
    <row r="620" ht="15.75" customHeight="1">
      <c r="A620" s="3">
        <f>IFERROR(__xludf.DUMMYFUNCTION("""COMPUTED_VALUE"""),620.0)</f>
        <v>620</v>
      </c>
      <c r="B620" s="53">
        <f>IFERROR(__xludf.DUMMYFUNCTION("""COMPUTED_VALUE"""),45518.0)</f>
        <v>45518</v>
      </c>
      <c r="C620" s="3">
        <f>IFERROR(__xludf.DUMMYFUNCTION("""COMPUTED_VALUE"""),70.0)</f>
        <v>70</v>
      </c>
      <c r="D620" s="3" t="str">
        <f>IFERROR(__xludf.DUMMYFUNCTION("""COMPUTED_VALUE"""),"1.259")</f>
        <v>1.259</v>
      </c>
      <c r="E620" s="54">
        <f>IFERROR(__xludf.DUMMYFUNCTION("""COMPUTED_VALUE"""),13000.0)</f>
        <v>13000</v>
      </c>
      <c r="F620" s="3" t="str">
        <f>IFERROR(__xludf.DUMMYFUNCTION("""COMPUTED_VALUE"""),"Tinto criollo")</f>
        <v>Tinto criollo</v>
      </c>
      <c r="G620" s="55">
        <f>IFERROR(__xludf.DUMMYFUNCTION("""COMPUTED_VALUE"""),12.7)</f>
        <v>12.7</v>
      </c>
      <c r="H620" s="56">
        <f>IFERROR(__xludf.DUMMYFUNCTION("""COMPUTED_VALUE"""),2.0)</f>
        <v>2</v>
      </c>
      <c r="I620" s="57">
        <f>IFERROR(__xludf.DUMMYFUNCTION("""COMPUTED_VALUE"""),0.65)</f>
        <v>0.65</v>
      </c>
      <c r="J620" s="57">
        <f>IFERROR(__xludf.DUMMYFUNCTION("""COMPUTED_VALUE"""),5.3)</f>
        <v>5.3</v>
      </c>
      <c r="K620" s="57">
        <f>IFERROR(__xludf.DUMMYFUNCTION("""COMPUTED_VALUE"""),3.6)</f>
        <v>3.6</v>
      </c>
      <c r="L620" s="54">
        <f>IFERROR(__xludf.DUMMYFUNCTION("""COMPUTED_VALUE"""),43.0)</f>
        <v>43</v>
      </c>
      <c r="M620" s="3">
        <f>IFERROR(__xludf.DUMMYFUNCTION("""COMPUTED_VALUE"""),173.0)</f>
        <v>173</v>
      </c>
      <c r="N620" s="3"/>
      <c r="O620" s="3"/>
      <c r="P620" s="3"/>
      <c r="Q620" s="3"/>
      <c r="R620" s="3"/>
      <c r="S620" s="3"/>
      <c r="T620" s="5"/>
      <c r="U620" s="5"/>
      <c r="V620" s="5"/>
      <c r="W620" s="5"/>
    </row>
    <row r="621" ht="15.75" customHeight="1">
      <c r="A621" s="3">
        <f>IFERROR(__xludf.DUMMYFUNCTION("""COMPUTED_VALUE"""),621.0)</f>
        <v>621</v>
      </c>
      <c r="B621" s="53">
        <f>IFERROR(__xludf.DUMMYFUNCTION("""COMPUTED_VALUE"""),45518.0)</f>
        <v>45518</v>
      </c>
      <c r="C621" s="3">
        <f>IFERROR(__xludf.DUMMYFUNCTION("""COMPUTED_VALUE"""),72.0)</f>
        <v>72</v>
      </c>
      <c r="D621" s="3" t="str">
        <f>IFERROR(__xludf.DUMMYFUNCTION("""COMPUTED_VALUE"""),"1.172")</f>
        <v>1.172</v>
      </c>
      <c r="E621" s="54">
        <f>IFERROR(__xludf.DUMMYFUNCTION("""COMPUTED_VALUE"""),13000.0)</f>
        <v>13000</v>
      </c>
      <c r="F621" s="3" t="str">
        <f>IFERROR(__xludf.DUMMYFUNCTION("""COMPUTED_VALUE"""),"Torrontes")</f>
        <v>Torrontes</v>
      </c>
      <c r="G621" s="55">
        <f>IFERROR(__xludf.DUMMYFUNCTION("""COMPUTED_VALUE"""),14.0)</f>
        <v>14</v>
      </c>
      <c r="H621" s="56">
        <f>IFERROR(__xludf.DUMMYFUNCTION("""COMPUTED_VALUE"""),2.0)</f>
        <v>2</v>
      </c>
      <c r="I621" s="57">
        <f>IFERROR(__xludf.DUMMYFUNCTION("""COMPUTED_VALUE"""),0.4)</f>
        <v>0.4</v>
      </c>
      <c r="J621" s="57">
        <f>IFERROR(__xludf.DUMMYFUNCTION("""COMPUTED_VALUE"""),5.12)</f>
        <v>5.12</v>
      </c>
      <c r="K621" s="57">
        <f>IFERROR(__xludf.DUMMYFUNCTION("""COMPUTED_VALUE"""),3.64)</f>
        <v>3.64</v>
      </c>
      <c r="L621" s="54">
        <f>IFERROR(__xludf.DUMMYFUNCTION("""COMPUTED_VALUE"""),40.0)</f>
        <v>40</v>
      </c>
      <c r="M621" s="3">
        <f>IFERROR(__xludf.DUMMYFUNCTION("""COMPUTED_VALUE"""),121.0)</f>
        <v>121</v>
      </c>
      <c r="N621" s="3"/>
      <c r="O621" s="3"/>
      <c r="P621" s="3"/>
      <c r="Q621" s="3"/>
      <c r="R621" s="3"/>
      <c r="S621" s="3"/>
      <c r="T621" s="5"/>
      <c r="U621" s="5"/>
      <c r="V621" s="5"/>
      <c r="W621" s="5"/>
    </row>
    <row r="622" ht="15.75" customHeight="1">
      <c r="A622" s="3">
        <f>IFERROR(__xludf.DUMMYFUNCTION("""COMPUTED_VALUE"""),622.0)</f>
        <v>622</v>
      </c>
      <c r="B622" s="53">
        <f>IFERROR(__xludf.DUMMYFUNCTION("""COMPUTED_VALUE"""),45519.0)</f>
        <v>45519</v>
      </c>
      <c r="C622" s="3">
        <f>IFERROR(__xludf.DUMMYFUNCTION("""COMPUTED_VALUE"""),75.0)</f>
        <v>75</v>
      </c>
      <c r="D622" s="3" t="str">
        <f>IFERROR(__xludf.DUMMYFUNCTION("""COMPUTED_VALUE"""),"1.260")</f>
        <v>1.260</v>
      </c>
      <c r="E622" s="54">
        <f>IFERROR(__xludf.DUMMYFUNCTION("""COMPUTED_VALUE"""),7000.0)</f>
        <v>7000</v>
      </c>
      <c r="F622" s="3" t="str">
        <f>IFERROR(__xludf.DUMMYFUNCTION("""COMPUTED_VALUE"""),"Tinto Criollo")</f>
        <v>Tinto Criollo</v>
      </c>
      <c r="G622" s="55">
        <f>IFERROR(__xludf.DUMMYFUNCTION("""COMPUTED_VALUE"""),12.6)</f>
        <v>12.6</v>
      </c>
      <c r="H622" s="56">
        <f>IFERROR(__xludf.DUMMYFUNCTION("""COMPUTED_VALUE"""),2.0)</f>
        <v>2</v>
      </c>
      <c r="I622" s="57">
        <f>IFERROR(__xludf.DUMMYFUNCTION("""COMPUTED_VALUE"""),0.54)</f>
        <v>0.54</v>
      </c>
      <c r="J622" s="57">
        <f>IFERROR(__xludf.DUMMYFUNCTION("""COMPUTED_VALUE"""),4.74)</f>
        <v>4.74</v>
      </c>
      <c r="K622" s="57">
        <f>IFERROR(__xludf.DUMMYFUNCTION("""COMPUTED_VALUE"""),3.64)</f>
        <v>3.64</v>
      </c>
      <c r="L622" s="54">
        <f>IFERROR(__xludf.DUMMYFUNCTION("""COMPUTED_VALUE"""),32.0)</f>
        <v>32</v>
      </c>
      <c r="M622" s="3">
        <f>IFERROR(__xludf.DUMMYFUNCTION("""COMPUTED_VALUE"""),135.0)</f>
        <v>135</v>
      </c>
      <c r="N622" s="3"/>
      <c r="O622" s="3"/>
      <c r="P622" s="3"/>
      <c r="Q622" s="3"/>
      <c r="R622" s="3"/>
      <c r="S622" s="3"/>
      <c r="T622" s="5"/>
      <c r="U622" s="5"/>
      <c r="V622" s="5"/>
      <c r="W622" s="5"/>
    </row>
    <row r="623" ht="15.75" customHeight="1">
      <c r="A623" s="3">
        <f>IFERROR(__xludf.DUMMYFUNCTION("""COMPUTED_VALUE"""),623.0)</f>
        <v>623</v>
      </c>
      <c r="B623" s="53">
        <f>IFERROR(__xludf.DUMMYFUNCTION("""COMPUTED_VALUE"""),45519.0)</f>
        <v>45519</v>
      </c>
      <c r="C623" s="3">
        <f>IFERROR(__xludf.DUMMYFUNCTION("""COMPUTED_VALUE"""),82.0)</f>
        <v>82</v>
      </c>
      <c r="D623" s="3" t="str">
        <f>IFERROR(__xludf.DUMMYFUNCTION("""COMPUTED_VALUE"""),"1.263")</f>
        <v>1.263</v>
      </c>
      <c r="E623" s="54">
        <f>IFERROR(__xludf.DUMMYFUNCTION("""COMPUTED_VALUE"""),42600.0)</f>
        <v>42600</v>
      </c>
      <c r="F623" s="3" t="str">
        <f>IFERROR(__xludf.DUMMYFUNCTION("""COMPUTED_VALUE"""),"Tinto Criollo")</f>
        <v>Tinto Criollo</v>
      </c>
      <c r="G623" s="55">
        <f>IFERROR(__xludf.DUMMYFUNCTION("""COMPUTED_VALUE"""),13.1)</f>
        <v>13.1</v>
      </c>
      <c r="H623" s="56">
        <f>IFERROR(__xludf.DUMMYFUNCTION("""COMPUTED_VALUE"""),2.0)</f>
        <v>2</v>
      </c>
      <c r="I623" s="57">
        <f>IFERROR(__xludf.DUMMYFUNCTION("""COMPUTED_VALUE"""),0.68)</f>
        <v>0.68</v>
      </c>
      <c r="J623" s="57">
        <f>IFERROR(__xludf.DUMMYFUNCTION("""COMPUTED_VALUE"""),4.6)</f>
        <v>4.6</v>
      </c>
      <c r="K623" s="57">
        <f>IFERROR(__xludf.DUMMYFUNCTION("""COMPUTED_VALUE"""),3.68)</f>
        <v>3.68</v>
      </c>
      <c r="L623" s="54">
        <f>IFERROR(__xludf.DUMMYFUNCTION("""COMPUTED_VALUE"""),25.0)</f>
        <v>25</v>
      </c>
      <c r="M623" s="3">
        <f>IFERROR(__xludf.DUMMYFUNCTION("""COMPUTED_VALUE"""),145.0)</f>
        <v>145</v>
      </c>
      <c r="N623" s="3"/>
      <c r="O623" s="3"/>
      <c r="P623" s="3"/>
      <c r="Q623" s="3"/>
      <c r="R623" s="3"/>
      <c r="S623" s="3"/>
      <c r="T623" s="5"/>
      <c r="U623" s="5"/>
      <c r="V623" s="5"/>
      <c r="W623" s="5"/>
    </row>
    <row r="624" ht="15.75" customHeight="1">
      <c r="A624" s="3">
        <f>IFERROR(__xludf.DUMMYFUNCTION("""COMPUTED_VALUE"""),624.0)</f>
        <v>624</v>
      </c>
      <c r="B624" s="53">
        <f>IFERROR(__xludf.DUMMYFUNCTION("""COMPUTED_VALUE"""),45519.0)</f>
        <v>45519</v>
      </c>
      <c r="C624" s="3">
        <f>IFERROR(__xludf.DUMMYFUNCTION("""COMPUTED_VALUE"""),86.0)</f>
        <v>86</v>
      </c>
      <c r="D624" s="3" t="str">
        <f>IFERROR(__xludf.DUMMYFUNCTION("""COMPUTED_VALUE"""),"1.235")</f>
        <v>1.235</v>
      </c>
      <c r="E624" s="54">
        <f>IFERROR(__xludf.DUMMYFUNCTION("""COMPUTED_VALUE"""),88000.0)</f>
        <v>88000</v>
      </c>
      <c r="F624" s="3" t="str">
        <f>IFERROR(__xludf.DUMMYFUNCTION("""COMPUTED_VALUE"""),"Malbec")</f>
        <v>Malbec</v>
      </c>
      <c r="G624" s="55">
        <f>IFERROR(__xludf.DUMMYFUNCTION("""COMPUTED_VALUE"""),12.9)</f>
        <v>12.9</v>
      </c>
      <c r="H624" s="56">
        <f>IFERROR(__xludf.DUMMYFUNCTION("""COMPUTED_VALUE"""),2.0)</f>
        <v>2</v>
      </c>
      <c r="I624" s="57">
        <f>IFERROR(__xludf.DUMMYFUNCTION("""COMPUTED_VALUE"""),0.7)</f>
        <v>0.7</v>
      </c>
      <c r="J624" s="57">
        <f>IFERROR(__xludf.DUMMYFUNCTION("""COMPUTED_VALUE"""),5.2)</f>
        <v>5.2</v>
      </c>
      <c r="K624" s="57">
        <f>IFERROR(__xludf.DUMMYFUNCTION("""COMPUTED_VALUE"""),3.44)</f>
        <v>3.44</v>
      </c>
      <c r="L624" s="54">
        <f>IFERROR(__xludf.DUMMYFUNCTION("""COMPUTED_VALUE"""),38.0)</f>
        <v>38</v>
      </c>
      <c r="M624" s="3">
        <f>IFERROR(__xludf.DUMMYFUNCTION("""COMPUTED_VALUE"""),166.0)</f>
        <v>166</v>
      </c>
      <c r="N624" s="3"/>
      <c r="O624" s="3"/>
      <c r="P624" s="3"/>
      <c r="Q624" s="3"/>
      <c r="R624" s="3"/>
      <c r="S624" s="3"/>
      <c r="T624" s="5"/>
      <c r="U624" s="5"/>
      <c r="V624" s="5"/>
      <c r="W624" s="5"/>
    </row>
    <row r="625" ht="15.75" customHeight="1">
      <c r="A625" s="3">
        <f>IFERROR(__xludf.DUMMYFUNCTION("""COMPUTED_VALUE"""),625.0)</f>
        <v>625</v>
      </c>
      <c r="B625" s="53">
        <f>IFERROR(__xludf.DUMMYFUNCTION("""COMPUTED_VALUE"""),45519.0)</f>
        <v>45519</v>
      </c>
      <c r="C625" s="3">
        <f>IFERROR(__xludf.DUMMYFUNCTION("""COMPUTED_VALUE"""),89.0)</f>
        <v>89</v>
      </c>
      <c r="D625" s="3" t="str">
        <f>IFERROR(__xludf.DUMMYFUNCTION("""COMPUTED_VALUE"""),"1.241")</f>
        <v>1.241</v>
      </c>
      <c r="E625" s="54">
        <f>IFERROR(__xludf.DUMMYFUNCTION("""COMPUTED_VALUE"""),83500.0)</f>
        <v>83500</v>
      </c>
      <c r="F625" s="3" t="str">
        <f>IFERROR(__xludf.DUMMYFUNCTION("""COMPUTED_VALUE"""),"Malbec T")</f>
        <v>Malbec T</v>
      </c>
      <c r="G625" s="55">
        <f>IFERROR(__xludf.DUMMYFUNCTION("""COMPUTED_VALUE"""),13.0)</f>
        <v>13</v>
      </c>
      <c r="H625" s="56">
        <f>IFERROR(__xludf.DUMMYFUNCTION("""COMPUTED_VALUE"""),2.0)</f>
        <v>2</v>
      </c>
      <c r="I625" s="57">
        <f>IFERROR(__xludf.DUMMYFUNCTION("""COMPUTED_VALUE"""),0.6)</f>
        <v>0.6</v>
      </c>
      <c r="J625" s="57">
        <f>IFERROR(__xludf.DUMMYFUNCTION("""COMPUTED_VALUE"""),5.35)</f>
        <v>5.35</v>
      </c>
      <c r="K625" s="57">
        <f>IFERROR(__xludf.DUMMYFUNCTION("""COMPUTED_VALUE"""),3.49)</f>
        <v>3.49</v>
      </c>
      <c r="L625" s="54">
        <f>IFERROR(__xludf.DUMMYFUNCTION("""COMPUTED_VALUE"""),51.0)</f>
        <v>51</v>
      </c>
      <c r="M625" s="3">
        <f>IFERROR(__xludf.DUMMYFUNCTION("""COMPUTED_VALUE"""),180.0)</f>
        <v>180</v>
      </c>
      <c r="N625" s="3"/>
      <c r="O625" s="3"/>
      <c r="P625" s="3"/>
      <c r="Q625" s="3"/>
      <c r="R625" s="3"/>
      <c r="S625" s="3"/>
      <c r="T625" s="5"/>
      <c r="U625" s="5"/>
      <c r="V625" s="5"/>
      <c r="W625" s="5"/>
    </row>
    <row r="626" ht="15.75" customHeight="1">
      <c r="A626" s="3">
        <f>IFERROR(__xludf.DUMMYFUNCTION("""COMPUTED_VALUE"""),626.0)</f>
        <v>626</v>
      </c>
      <c r="B626" s="53">
        <f>IFERROR(__xludf.DUMMYFUNCTION("""COMPUTED_VALUE"""),45519.0)</f>
        <v>45519</v>
      </c>
      <c r="C626" s="3">
        <f>IFERROR(__xludf.DUMMYFUNCTION("""COMPUTED_VALUE"""),83.0)</f>
        <v>83</v>
      </c>
      <c r="D626" s="3" t="str">
        <f>IFERROR(__xludf.DUMMYFUNCTION("""COMPUTED_VALUE"""),"1.246")</f>
        <v>1.246</v>
      </c>
      <c r="E626" s="54">
        <f>IFERROR(__xludf.DUMMYFUNCTION("""COMPUTED_VALUE"""),81500.0)</f>
        <v>81500</v>
      </c>
      <c r="F626" s="3" t="str">
        <f>IFERROR(__xludf.DUMMYFUNCTION("""COMPUTED_VALUE"""),"Bonarda")</f>
        <v>Bonarda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5"/>
      <c r="U626" s="5"/>
      <c r="V626" s="5"/>
      <c r="W626" s="5"/>
    </row>
    <row r="627" ht="15.75" customHeight="1">
      <c r="A627" s="3">
        <f>IFERROR(__xludf.DUMMYFUNCTION("""COMPUTED_VALUE"""),627.0)</f>
        <v>627</v>
      </c>
      <c r="B627" s="53">
        <f>IFERROR(__xludf.DUMMYFUNCTION("""COMPUTED_VALUE"""),45519.0)</f>
        <v>45519</v>
      </c>
      <c r="C627" s="3">
        <f>IFERROR(__xludf.DUMMYFUNCTION("""COMPUTED_VALUE"""),95.0)</f>
        <v>95</v>
      </c>
      <c r="D627" s="3" t="str">
        <f>IFERROR(__xludf.DUMMYFUNCTION("""COMPUTED_VALUE"""),"1.237")</f>
        <v>1.237</v>
      </c>
      <c r="E627" s="54">
        <f>IFERROR(__xludf.DUMMYFUNCTION("""COMPUTED_VALUE"""),77100.0)</f>
        <v>77100</v>
      </c>
      <c r="F627" s="3" t="str">
        <f>IFERROR(__xludf.DUMMYFUNCTION("""COMPUTED_VALUE"""),"Bonarda")</f>
        <v>Bonarda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5"/>
      <c r="U627" s="5"/>
      <c r="V627" s="5"/>
      <c r="W627" s="5"/>
    </row>
    <row r="628" ht="15.75" customHeight="1">
      <c r="A628" s="3">
        <f>IFERROR(__xludf.DUMMYFUNCTION("""COMPUTED_VALUE"""),628.0)</f>
        <v>628</v>
      </c>
      <c r="B628" s="53">
        <f>IFERROR(__xludf.DUMMYFUNCTION("""COMPUTED_VALUE"""),45519.0)</f>
        <v>45519</v>
      </c>
      <c r="C628" s="3">
        <f>IFERROR(__xludf.DUMMYFUNCTION("""COMPUTED_VALUE"""),96.0)</f>
        <v>96</v>
      </c>
      <c r="D628" s="3" t="str">
        <f>IFERROR(__xludf.DUMMYFUNCTION("""COMPUTED_VALUE"""),"1.258")</f>
        <v>1.258</v>
      </c>
      <c r="E628" s="54">
        <f>IFERROR(__xludf.DUMMYFUNCTION("""COMPUTED_VALUE"""),80000.0)</f>
        <v>80000</v>
      </c>
      <c r="F628" s="3" t="str">
        <f>IFERROR(__xludf.DUMMYFUNCTION("""COMPUTED_VALUE"""),"Cabernet Sauvignon T")</f>
        <v>Cabernet Sauvignon T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5"/>
      <c r="U628" s="5"/>
      <c r="V628" s="5"/>
      <c r="W628" s="5"/>
    </row>
    <row r="629" ht="15.75" customHeight="1">
      <c r="A629" s="3">
        <f>IFERROR(__xludf.DUMMYFUNCTION("""COMPUTED_VALUE"""),629.0)</f>
        <v>629</v>
      </c>
      <c r="B629" s="53">
        <f>IFERROR(__xludf.DUMMYFUNCTION("""COMPUTED_VALUE"""),45519.0)</f>
        <v>45519</v>
      </c>
      <c r="C629" s="3">
        <f>IFERROR(__xludf.DUMMYFUNCTION("""COMPUTED_VALUE"""),103.0)</f>
        <v>103</v>
      </c>
      <c r="D629" s="3" t="str">
        <f>IFERROR(__xludf.DUMMYFUNCTION("""COMPUTED_VALUE"""),"1.266")</f>
        <v>1.266</v>
      </c>
      <c r="E629" s="54">
        <f>IFERROR(__xludf.DUMMYFUNCTION("""COMPUTED_VALUE"""),31000.0)</f>
        <v>31000</v>
      </c>
      <c r="F629" s="3" t="str">
        <f>IFERROR(__xludf.DUMMYFUNCTION("""COMPUTED_VALUE"""),"Syrah T")</f>
        <v>Syrah T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5"/>
      <c r="U629" s="5"/>
      <c r="V629" s="5"/>
      <c r="W629" s="5"/>
    </row>
    <row r="630" ht="15.75" customHeight="1">
      <c r="A630" s="3">
        <f>IFERROR(__xludf.DUMMYFUNCTION("""COMPUTED_VALUE"""),630.0)</f>
        <v>630</v>
      </c>
      <c r="B630" s="53">
        <f>IFERROR(__xludf.DUMMYFUNCTION("""COMPUTED_VALUE"""),45519.0)</f>
        <v>45519</v>
      </c>
      <c r="C630" s="3">
        <f>IFERROR(__xludf.DUMMYFUNCTION("""COMPUTED_VALUE"""),104.0)</f>
        <v>104</v>
      </c>
      <c r="D630" s="3" t="str">
        <f>IFERROR(__xludf.DUMMYFUNCTION("""COMPUTED_VALUE"""),"1.267")</f>
        <v>1.267</v>
      </c>
      <c r="E630" s="54">
        <f>IFERROR(__xludf.DUMMYFUNCTION("""COMPUTED_VALUE"""),31000.0)</f>
        <v>31000</v>
      </c>
      <c r="F630" s="3" t="str">
        <f>IFERROR(__xludf.DUMMYFUNCTION("""COMPUTED_VALUE"""),"Syrah T")</f>
        <v>Syrah T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5"/>
      <c r="U630" s="5"/>
      <c r="V630" s="5"/>
      <c r="W630" s="5"/>
    </row>
    <row r="631" ht="15.75" customHeight="1">
      <c r="A631" s="3">
        <f>IFERROR(__xludf.DUMMYFUNCTION("""COMPUTED_VALUE"""),631.0)</f>
        <v>631</v>
      </c>
      <c r="B631" s="53">
        <f>IFERROR(__xludf.DUMMYFUNCTION("""COMPUTED_VALUE"""),45519.0)</f>
        <v>45519</v>
      </c>
      <c r="C631" s="3">
        <f>IFERROR(__xludf.DUMMYFUNCTION("""COMPUTED_VALUE"""),105.0)</f>
        <v>105</v>
      </c>
      <c r="D631" s="3" t="str">
        <f>IFERROR(__xludf.DUMMYFUNCTION("""COMPUTED_VALUE"""),"1.268")</f>
        <v>1.268</v>
      </c>
      <c r="E631" s="54">
        <f>IFERROR(__xludf.DUMMYFUNCTION("""COMPUTED_VALUE"""),31000.0)</f>
        <v>31000</v>
      </c>
      <c r="F631" s="3" t="str">
        <f>IFERROR(__xludf.DUMMYFUNCTION("""COMPUTED_VALUE"""),"Syrah T")</f>
        <v>Syrah T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5"/>
      <c r="U631" s="5"/>
      <c r="V631" s="5"/>
      <c r="W631" s="5"/>
    </row>
    <row r="632" ht="15.75" customHeight="1">
      <c r="A632" s="3">
        <f>IFERROR(__xludf.DUMMYFUNCTION("""COMPUTED_VALUE"""),632.0)</f>
        <v>632</v>
      </c>
      <c r="B632" s="53">
        <f>IFERROR(__xludf.DUMMYFUNCTION("""COMPUTED_VALUE"""),45519.0)</f>
        <v>45519</v>
      </c>
      <c r="C632" s="3">
        <f>IFERROR(__xludf.DUMMYFUNCTION("""COMPUTED_VALUE"""),107.0)</f>
        <v>107</v>
      </c>
      <c r="D632" s="3" t="str">
        <f>IFERROR(__xludf.DUMMYFUNCTION("""COMPUTED_VALUE"""),"1.269")</f>
        <v>1.269</v>
      </c>
      <c r="E632" s="54">
        <f>IFERROR(__xludf.DUMMYFUNCTION("""COMPUTED_VALUE"""),31000.0)</f>
        <v>31000</v>
      </c>
      <c r="F632" s="3" t="str">
        <f>IFERROR(__xludf.DUMMYFUNCTION("""COMPUTED_VALUE"""),"Tinto Criollo")</f>
        <v>Tinto Criollo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5"/>
      <c r="U632" s="5"/>
      <c r="V632" s="5"/>
      <c r="W632" s="5"/>
    </row>
    <row r="633" ht="15.75" customHeight="1">
      <c r="A633" s="3">
        <f>IFERROR(__xludf.DUMMYFUNCTION("""COMPUTED_VALUE"""),633.0)</f>
        <v>633</v>
      </c>
      <c r="B633" s="53">
        <f>IFERROR(__xludf.DUMMYFUNCTION("""COMPUTED_VALUE"""),45519.0)</f>
        <v>45519</v>
      </c>
      <c r="C633" s="3">
        <f>IFERROR(__xludf.DUMMYFUNCTION("""COMPUTED_VALUE"""),108.0)</f>
        <v>108</v>
      </c>
      <c r="D633" s="3" t="str">
        <f>IFERROR(__xludf.DUMMYFUNCTION("""COMPUTED_VALUE"""),"1.270")</f>
        <v>1.270</v>
      </c>
      <c r="E633" s="54">
        <f>IFERROR(__xludf.DUMMYFUNCTION("""COMPUTED_VALUE"""),31000.0)</f>
        <v>31000</v>
      </c>
      <c r="F633" s="3" t="str">
        <f>IFERROR(__xludf.DUMMYFUNCTION("""COMPUTED_VALUE"""),"Tinto Criollo")</f>
        <v>Tinto Criollo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5"/>
      <c r="U633" s="5"/>
      <c r="V633" s="5"/>
      <c r="W633" s="5"/>
    </row>
    <row r="634" ht="15.75" customHeight="1">
      <c r="A634" s="3">
        <f>IFERROR(__xludf.DUMMYFUNCTION("""COMPUTED_VALUE"""),634.0)</f>
        <v>634</v>
      </c>
      <c r="B634" s="53">
        <f>IFERROR(__xludf.DUMMYFUNCTION("""COMPUTED_VALUE"""),45519.0)</f>
        <v>45519</v>
      </c>
      <c r="C634" s="3">
        <f>IFERROR(__xludf.DUMMYFUNCTION("""COMPUTED_VALUE"""),116.0)</f>
        <v>116</v>
      </c>
      <c r="D634" s="3" t="str">
        <f>IFERROR(__xludf.DUMMYFUNCTION("""COMPUTED_VALUE"""),"1.249")</f>
        <v>1.249</v>
      </c>
      <c r="E634" s="54">
        <f>IFERROR(__xludf.DUMMYFUNCTION("""COMPUTED_VALUE"""),99600.0)</f>
        <v>99600</v>
      </c>
      <c r="F634" s="3" t="str">
        <f>IFERROR(__xludf.DUMMYFUNCTION("""COMPUTED_VALUE"""),"Cabernet Sauvignon")</f>
        <v>Cabernet Sauvignon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5"/>
      <c r="U634" s="5"/>
      <c r="V634" s="5"/>
      <c r="W634" s="5"/>
    </row>
    <row r="635" ht="15.75" customHeight="1">
      <c r="A635" s="3">
        <f>IFERROR(__xludf.DUMMYFUNCTION("""COMPUTED_VALUE"""),635.0)</f>
        <v>635</v>
      </c>
      <c r="B635" s="53">
        <f>IFERROR(__xludf.DUMMYFUNCTION("""COMPUTED_VALUE"""),45519.0)</f>
        <v>45519</v>
      </c>
      <c r="C635" s="3">
        <f>IFERROR(__xludf.DUMMYFUNCTION("""COMPUTED_VALUE"""),118.0)</f>
        <v>118</v>
      </c>
      <c r="D635" s="3" t="str">
        <f>IFERROR(__xludf.DUMMYFUNCTION("""COMPUTED_VALUE"""),"1.232")</f>
        <v>1.232</v>
      </c>
      <c r="E635" s="54">
        <f>IFERROR(__xludf.DUMMYFUNCTION("""COMPUTED_VALUE"""),155600.0)</f>
        <v>155600</v>
      </c>
      <c r="F635" s="3" t="str">
        <f>IFERROR(__xludf.DUMMYFUNCTION("""COMPUTED_VALUE"""),"Anccelotta Syrah")</f>
        <v>Anccelotta Syrah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5"/>
      <c r="U635" s="5"/>
      <c r="V635" s="5"/>
      <c r="W635" s="5"/>
    </row>
    <row r="636" ht="15.75" customHeight="1">
      <c r="A636" s="3">
        <f>IFERROR(__xludf.DUMMYFUNCTION("""COMPUTED_VALUE"""),636.0)</f>
        <v>636</v>
      </c>
      <c r="B636" s="53">
        <f>IFERROR(__xludf.DUMMYFUNCTION("""COMPUTED_VALUE"""),45519.0)</f>
        <v>45519</v>
      </c>
      <c r="C636" s="3">
        <f>IFERROR(__xludf.DUMMYFUNCTION("""COMPUTED_VALUE"""),120.0)</f>
        <v>120</v>
      </c>
      <c r="D636" s="3" t="str">
        <f>IFERROR(__xludf.DUMMYFUNCTION("""COMPUTED_VALUE"""),"1.271")</f>
        <v>1.271</v>
      </c>
      <c r="E636" s="54">
        <f>IFERROR(__xludf.DUMMYFUNCTION("""COMPUTED_VALUE"""),88800.0)</f>
        <v>88800</v>
      </c>
      <c r="F636" s="3" t="str">
        <f>IFERROR(__xludf.DUMMYFUNCTION("""COMPUTED_VALUE"""),"Malbec T")</f>
        <v>Malbec T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5"/>
      <c r="U636" s="5"/>
      <c r="V636" s="5"/>
      <c r="W636" s="5"/>
    </row>
    <row r="637" ht="15.75" customHeight="1">
      <c r="A637" s="3">
        <f>IFERROR(__xludf.DUMMYFUNCTION("""COMPUTED_VALUE"""),637.0)</f>
        <v>637</v>
      </c>
      <c r="B637" s="53">
        <f>IFERROR(__xludf.DUMMYFUNCTION("""COMPUTED_VALUE"""),45519.0)</f>
        <v>45519</v>
      </c>
      <c r="C637" s="3">
        <f>IFERROR(__xludf.DUMMYFUNCTION("""COMPUTED_VALUE"""),121.0)</f>
        <v>121</v>
      </c>
      <c r="D637" s="3" t="str">
        <f>IFERROR(__xludf.DUMMYFUNCTION("""COMPUTED_VALUE"""),"1.272")</f>
        <v>1.272</v>
      </c>
      <c r="E637" s="54">
        <f>IFERROR(__xludf.DUMMYFUNCTION("""COMPUTED_VALUE"""),85800.0)</f>
        <v>85800</v>
      </c>
      <c r="F637" s="3" t="str">
        <f>IFERROR(__xludf.DUMMYFUNCTION("""COMPUTED_VALUE"""),"Malbec T")</f>
        <v>Malbec T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5"/>
      <c r="U637" s="5"/>
      <c r="V637" s="5"/>
      <c r="W637" s="5"/>
    </row>
    <row r="638" ht="15.75" customHeight="1">
      <c r="A638" s="3">
        <f>IFERROR(__xludf.DUMMYFUNCTION("""COMPUTED_VALUE"""),638.0)</f>
        <v>638</v>
      </c>
      <c r="B638" s="53">
        <f>IFERROR(__xludf.DUMMYFUNCTION("""COMPUTED_VALUE"""),45513.0)</f>
        <v>45513</v>
      </c>
      <c r="C638" s="3">
        <f>IFERROR(__xludf.DUMMYFUNCTION("""COMPUTED_VALUE"""),34.0)</f>
        <v>34</v>
      </c>
      <c r="D638" s="3" t="str">
        <f>IFERROR(__xludf.DUMMYFUNCTION("""COMPUTED_VALUE"""),"1.250")</f>
        <v>1.250</v>
      </c>
      <c r="E638" s="54">
        <f>IFERROR(__xludf.DUMMYFUNCTION("""COMPUTED_VALUE"""),39500.0)</f>
        <v>39500</v>
      </c>
      <c r="F638" s="3" t="str">
        <f>IFERROR(__xludf.DUMMYFUNCTION("""COMPUTED_VALUE"""),"Bonarda")</f>
        <v>Bonarda</v>
      </c>
      <c r="G638" s="55">
        <f>IFERROR(__xludf.DUMMYFUNCTION("""COMPUTED_VALUE"""),13.7)</f>
        <v>13.7</v>
      </c>
      <c r="H638" s="3"/>
      <c r="I638" s="57">
        <f>IFERROR(__xludf.DUMMYFUNCTION("""COMPUTED_VALUE"""),0.56)</f>
        <v>0.56</v>
      </c>
      <c r="J638" s="57">
        <f>IFERROR(__xludf.DUMMYFUNCTION("""COMPUTED_VALUE"""),6.0)</f>
        <v>6</v>
      </c>
      <c r="K638" s="3"/>
      <c r="L638" s="54">
        <f>IFERROR(__xludf.DUMMYFUNCTION("""COMPUTED_VALUE"""),36.0)</f>
        <v>36</v>
      </c>
      <c r="M638" s="3">
        <f>IFERROR(__xludf.DUMMYFUNCTION("""COMPUTED_VALUE"""),192.0)</f>
        <v>192</v>
      </c>
      <c r="N638" s="3"/>
      <c r="O638" s="3"/>
      <c r="P638" s="3"/>
      <c r="Q638" s="3"/>
      <c r="R638" s="3"/>
      <c r="S638" s="3"/>
      <c r="T638" s="5"/>
      <c r="U638" s="5"/>
      <c r="V638" s="5"/>
      <c r="W638" s="5" t="str">
        <f>IFERROR(__xludf.DUMMYFUNCTION("""COMPUTED_VALUE"""),"Roberto Simon")</f>
        <v>Roberto Simon</v>
      </c>
    </row>
    <row r="639" ht="15.75" customHeight="1">
      <c r="A639" s="3">
        <f>IFERROR(__xludf.DUMMYFUNCTION("""COMPUTED_VALUE"""),639.0)</f>
        <v>639</v>
      </c>
      <c r="B639" s="53">
        <f>IFERROR(__xludf.DUMMYFUNCTION("""COMPUTED_VALUE"""),45513.0)</f>
        <v>45513</v>
      </c>
      <c r="C639" s="3">
        <f>IFERROR(__xludf.DUMMYFUNCTION("""COMPUTED_VALUE"""),36.0)</f>
        <v>36</v>
      </c>
      <c r="D639" s="3" t="str">
        <f>IFERROR(__xludf.DUMMYFUNCTION("""COMPUTED_VALUE"""),"1.247")</f>
        <v>1.247</v>
      </c>
      <c r="E639" s="54">
        <f>IFERROR(__xludf.DUMMYFUNCTION("""COMPUTED_VALUE"""),19700.0)</f>
        <v>19700</v>
      </c>
      <c r="F639" s="3" t="str">
        <f>IFERROR(__xludf.DUMMYFUNCTION("""COMPUTED_VALUE"""),"Syrah s/Asp")</f>
        <v>Syrah s/Asp</v>
      </c>
      <c r="G639" s="55">
        <f>IFERROR(__xludf.DUMMYFUNCTION("""COMPUTED_VALUE"""),12.5)</f>
        <v>12.5</v>
      </c>
      <c r="H639" s="3"/>
      <c r="I639" s="57">
        <f>IFERROR(__xludf.DUMMYFUNCTION("""COMPUTED_VALUE"""),0.53)</f>
        <v>0.53</v>
      </c>
      <c r="J639" s="57">
        <f>IFERROR(__xludf.DUMMYFUNCTION("""COMPUTED_VALUE"""),4.72)</f>
        <v>4.72</v>
      </c>
      <c r="K639" s="3"/>
      <c r="L639" s="54">
        <f>IFERROR(__xludf.DUMMYFUNCTION("""COMPUTED_VALUE"""),38.0)</f>
        <v>38</v>
      </c>
      <c r="M639" s="3">
        <f>IFERROR(__xludf.DUMMYFUNCTION("""COMPUTED_VALUE"""),141.0)</f>
        <v>141</v>
      </c>
      <c r="N639" s="3"/>
      <c r="O639" s="3"/>
      <c r="P639" s="3"/>
      <c r="Q639" s="3"/>
      <c r="R639" s="3"/>
      <c r="S639" s="3"/>
      <c r="T639" s="5"/>
      <c r="U639" s="5"/>
      <c r="V639" s="5"/>
      <c r="W639" s="5" t="str">
        <f>IFERROR(__xludf.DUMMYFUNCTION("""COMPUTED_VALUE"""),"Roberto Simon")</f>
        <v>Roberto Simon</v>
      </c>
    </row>
    <row r="640" ht="15.75" customHeight="1">
      <c r="A640" s="3">
        <f>IFERROR(__xludf.DUMMYFUNCTION("""COMPUTED_VALUE"""),640.0)</f>
        <v>640</v>
      </c>
      <c r="B640" s="53">
        <f>IFERROR(__xludf.DUMMYFUNCTION("""COMPUTED_VALUE"""),45513.0)</f>
        <v>45513</v>
      </c>
      <c r="C640" s="3">
        <f>IFERROR(__xludf.DUMMYFUNCTION("""COMPUTED_VALUE"""),44.0)</f>
        <v>44</v>
      </c>
      <c r="D640" s="3" t="str">
        <f>IFERROR(__xludf.DUMMYFUNCTION("""COMPUTED_VALUE"""),"1.252")</f>
        <v>1.252</v>
      </c>
      <c r="E640" s="54">
        <f>IFERROR(__xludf.DUMMYFUNCTION("""COMPUTED_VALUE"""),19100.0)</f>
        <v>19100</v>
      </c>
      <c r="F640" s="3" t="str">
        <f>IFERROR(__xludf.DUMMYFUNCTION("""COMPUTED_VALUE"""),"Bonarda")</f>
        <v>Bonarda</v>
      </c>
      <c r="G640" s="55">
        <f>IFERROR(__xludf.DUMMYFUNCTION("""COMPUTED_VALUE"""),13.2)</f>
        <v>13.2</v>
      </c>
      <c r="H640" s="3"/>
      <c r="I640" s="57">
        <f>IFERROR(__xludf.DUMMYFUNCTION("""COMPUTED_VALUE"""),0.68)</f>
        <v>0.68</v>
      </c>
      <c r="J640" s="57">
        <f>IFERROR(__xludf.DUMMYFUNCTION("""COMPUTED_VALUE"""),5.25)</f>
        <v>5.25</v>
      </c>
      <c r="K640" s="3"/>
      <c r="L640" s="54">
        <f>IFERROR(__xludf.DUMMYFUNCTION("""COMPUTED_VALUE"""),41.0)</f>
        <v>41</v>
      </c>
      <c r="M640" s="3">
        <f>IFERROR(__xludf.DUMMYFUNCTION("""COMPUTED_VALUE"""),169.0)</f>
        <v>169</v>
      </c>
      <c r="N640" s="3"/>
      <c r="O640" s="3"/>
      <c r="P640" s="3"/>
      <c r="Q640" s="3"/>
      <c r="R640" s="3"/>
      <c r="S640" s="3"/>
      <c r="T640" s="5"/>
      <c r="U640" s="5"/>
      <c r="V640" s="5"/>
      <c r="W640" s="5" t="str">
        <f>IFERROR(__xludf.DUMMYFUNCTION("""COMPUTED_VALUE"""),"Roberto Simon")</f>
        <v>Roberto Simon</v>
      </c>
    </row>
    <row r="641" ht="15.75" customHeight="1">
      <c r="A641" s="3">
        <f>IFERROR(__xludf.DUMMYFUNCTION("""COMPUTED_VALUE"""),641.0)</f>
        <v>641</v>
      </c>
      <c r="B641" s="53">
        <f>IFERROR(__xludf.DUMMYFUNCTION("""COMPUTED_VALUE"""),45513.0)</f>
        <v>45513</v>
      </c>
      <c r="C641" s="3">
        <f>IFERROR(__xludf.DUMMYFUNCTION("""COMPUTED_VALUE"""),73.0)</f>
        <v>73</v>
      </c>
      <c r="D641" s="3"/>
      <c r="E641" s="3"/>
      <c r="F641" s="3" t="str">
        <f>IFERROR(__xludf.DUMMYFUNCTION("""COMPUTED_VALUE"""),"Cabernet Sauvignon")</f>
        <v>Cabernet Sauvignon</v>
      </c>
      <c r="G641" s="55">
        <f>IFERROR(__xludf.DUMMYFUNCTION("""COMPUTED_VALUE"""),12.4)</f>
        <v>12.4</v>
      </c>
      <c r="H641" s="3"/>
      <c r="I641" s="57">
        <f>IFERROR(__xludf.DUMMYFUNCTION("""COMPUTED_VALUE"""),0.88)</f>
        <v>0.88</v>
      </c>
      <c r="J641" s="57">
        <f>IFERROR(__xludf.DUMMYFUNCTION("""COMPUTED_VALUE"""),4.5)</f>
        <v>4.5</v>
      </c>
      <c r="K641" s="3"/>
      <c r="L641" s="54">
        <f>IFERROR(__xludf.DUMMYFUNCTION("""COMPUTED_VALUE"""),59.0)</f>
        <v>59</v>
      </c>
      <c r="M641" s="3">
        <f>IFERROR(__xludf.DUMMYFUNCTION("""COMPUTED_VALUE"""),166.0)</f>
        <v>166</v>
      </c>
      <c r="N641" s="3"/>
      <c r="O641" s="3"/>
      <c r="P641" s="3"/>
      <c r="Q641" s="3"/>
      <c r="R641" s="3"/>
      <c r="S641" s="3"/>
      <c r="T641" s="5"/>
      <c r="U641" s="5"/>
      <c r="V641" s="5"/>
      <c r="W641" s="5" t="str">
        <f>IFERROR(__xludf.DUMMYFUNCTION("""COMPUTED_VALUE"""),"Roberto Simon")</f>
        <v>Roberto Simon</v>
      </c>
    </row>
    <row r="642" ht="15.75" customHeight="1">
      <c r="A642" s="3">
        <f>IFERROR(__xludf.DUMMYFUNCTION("""COMPUTED_VALUE"""),642.0)</f>
        <v>642</v>
      </c>
      <c r="B642" s="53">
        <f>IFERROR(__xludf.DUMMYFUNCTION("""COMPUTED_VALUE"""),45513.0)</f>
        <v>45513</v>
      </c>
      <c r="C642" s="3">
        <f>IFERROR(__xludf.DUMMYFUNCTION("""COMPUTED_VALUE"""),86.0)</f>
        <v>86</v>
      </c>
      <c r="D642" s="3" t="str">
        <f>IFERROR(__xludf.DUMMYFUNCTION("""COMPUTED_VALUE"""),"1.235")</f>
        <v>1.235</v>
      </c>
      <c r="E642" s="54">
        <f>IFERROR(__xludf.DUMMYFUNCTION("""COMPUTED_VALUE"""),88000.0)</f>
        <v>88000</v>
      </c>
      <c r="F642" s="3" t="str">
        <f>IFERROR(__xludf.DUMMYFUNCTION("""COMPUTED_VALUE"""),"Malbec")</f>
        <v>Malbec</v>
      </c>
      <c r="G642" s="55">
        <f>IFERROR(__xludf.DUMMYFUNCTION("""COMPUTED_VALUE"""),12.9)</f>
        <v>12.9</v>
      </c>
      <c r="H642" s="3"/>
      <c r="I642" s="57">
        <f>IFERROR(__xludf.DUMMYFUNCTION("""COMPUTED_VALUE"""),0.62)</f>
        <v>0.62</v>
      </c>
      <c r="J642" s="57">
        <f>IFERROR(__xludf.DUMMYFUNCTION("""COMPUTED_VALUE"""),5.4)</f>
        <v>5.4</v>
      </c>
      <c r="K642" s="3"/>
      <c r="L642" s="54">
        <f>IFERROR(__xludf.DUMMYFUNCTION("""COMPUTED_VALUE"""),43.0)</f>
        <v>43</v>
      </c>
      <c r="M642" s="3">
        <f>IFERROR(__xludf.DUMMYFUNCTION("""COMPUTED_VALUE"""),171.0)</f>
        <v>171</v>
      </c>
      <c r="N642" s="3"/>
      <c r="O642" s="3"/>
      <c r="P642" s="3"/>
      <c r="Q642" s="3"/>
      <c r="R642" s="3"/>
      <c r="S642" s="3"/>
      <c r="T642" s="5"/>
      <c r="U642" s="5"/>
      <c r="V642" s="5"/>
      <c r="W642" s="5" t="str">
        <f>IFERROR(__xludf.DUMMYFUNCTION("""COMPUTED_VALUE"""),"Roberto Simon")</f>
        <v>Roberto Simon</v>
      </c>
    </row>
    <row r="643" ht="15.75" customHeight="1">
      <c r="A643" s="3">
        <f>IFERROR(__xludf.DUMMYFUNCTION("""COMPUTED_VALUE"""),643.0)</f>
        <v>643</v>
      </c>
      <c r="B643" s="53">
        <f>IFERROR(__xludf.DUMMYFUNCTION("""COMPUTED_VALUE"""),45527.0)</f>
        <v>45527</v>
      </c>
      <c r="C643" s="3">
        <f>IFERROR(__xludf.DUMMYFUNCTION("""COMPUTED_VALUE"""),24.0)</f>
        <v>24</v>
      </c>
      <c r="D643" s="3" t="str">
        <f>IFERROR(__xludf.DUMMYFUNCTION("""COMPUTED_VALUE"""),"1.273")</f>
        <v>1.273</v>
      </c>
      <c r="E643" s="54">
        <f>IFERROR(__xludf.DUMMYFUNCTION("""COMPUTED_VALUE"""),186600.0)</f>
        <v>186600</v>
      </c>
      <c r="F643" s="3" t="str">
        <f>IFERROR(__xludf.DUMMYFUNCTION("""COMPUTED_VALUE"""),"Tinto")</f>
        <v>Tinto</v>
      </c>
      <c r="G643" s="55">
        <f>IFERROR(__xludf.DUMMYFUNCTION("""COMPUTED_VALUE"""),12.9)</f>
        <v>12.9</v>
      </c>
      <c r="H643" s="3"/>
      <c r="I643" s="57">
        <f>IFERROR(__xludf.DUMMYFUNCTION("""COMPUTED_VALUE"""),0.62)</f>
        <v>0.62</v>
      </c>
      <c r="J643" s="57">
        <f>IFERROR(__xludf.DUMMYFUNCTION("""COMPUTED_VALUE"""),4.87)</f>
        <v>4.87</v>
      </c>
      <c r="K643" s="57">
        <f>IFERROR(__xludf.DUMMYFUNCTION("""COMPUTED_VALUE"""),3.7)</f>
        <v>3.7</v>
      </c>
      <c r="L643" s="54">
        <f>IFERROR(__xludf.DUMMYFUNCTION("""COMPUTED_VALUE"""),28.0)</f>
        <v>28</v>
      </c>
      <c r="M643" s="3">
        <f>IFERROR(__xludf.DUMMYFUNCTION("""COMPUTED_VALUE"""),154.0)</f>
        <v>154</v>
      </c>
      <c r="N643" s="3"/>
      <c r="O643" s="3"/>
      <c r="P643" s="3"/>
      <c r="Q643" s="3"/>
      <c r="R643" s="3"/>
      <c r="S643" s="3"/>
      <c r="T643" s="5"/>
      <c r="U643" s="5"/>
      <c r="V643" s="5"/>
      <c r="W643" s="5"/>
    </row>
    <row r="644" ht="15.75" customHeight="1">
      <c r="A644" s="3">
        <f>IFERROR(__xludf.DUMMYFUNCTION("""COMPUTED_VALUE"""),644.0)</f>
        <v>644</v>
      </c>
      <c r="B644" s="53">
        <f>IFERROR(__xludf.DUMMYFUNCTION("""COMPUTED_VALUE"""),45527.0)</f>
        <v>45527</v>
      </c>
      <c r="C644" s="3">
        <f>IFERROR(__xludf.DUMMYFUNCTION("""COMPUTED_VALUE"""),115.0)</f>
        <v>115</v>
      </c>
      <c r="D644" s="3" t="str">
        <f>IFERROR(__xludf.DUMMYFUNCTION("""COMPUTED_VALUE"""),"1.274")</f>
        <v>1.274</v>
      </c>
      <c r="E644" s="54">
        <f>IFERROR(__xludf.DUMMYFUNCTION("""COMPUTED_VALUE"""),120200.0)</f>
        <v>120200</v>
      </c>
      <c r="F644" s="3" t="str">
        <f>IFERROR(__xludf.DUMMYFUNCTION("""COMPUTED_VALUE"""),"Tinto")</f>
        <v>Tinto</v>
      </c>
      <c r="G644" s="55">
        <f>IFERROR(__xludf.DUMMYFUNCTION("""COMPUTED_VALUE"""),13.6)</f>
        <v>13.6</v>
      </c>
      <c r="H644" s="3"/>
      <c r="I644" s="57">
        <f>IFERROR(__xludf.DUMMYFUNCTION("""COMPUTED_VALUE"""),0.56)</f>
        <v>0.56</v>
      </c>
      <c r="J644" s="57">
        <f>IFERROR(__xludf.DUMMYFUNCTION("""COMPUTED_VALUE"""),4.65)</f>
        <v>4.65</v>
      </c>
      <c r="K644" s="57">
        <f>IFERROR(__xludf.DUMMYFUNCTION("""COMPUTED_VALUE"""),3.7)</f>
        <v>3.7</v>
      </c>
      <c r="L644" s="54">
        <f>IFERROR(__xludf.DUMMYFUNCTION("""COMPUTED_VALUE"""),20.0)</f>
        <v>20</v>
      </c>
      <c r="M644" s="3">
        <f>IFERROR(__xludf.DUMMYFUNCTION("""COMPUTED_VALUE"""),133.0)</f>
        <v>133</v>
      </c>
      <c r="N644" s="3"/>
      <c r="O644" s="3"/>
      <c r="P644" s="3"/>
      <c r="Q644" s="3"/>
      <c r="R644" s="3"/>
      <c r="S644" s="3"/>
      <c r="T644" s="5"/>
      <c r="U644" s="5"/>
      <c r="V644" s="5"/>
      <c r="W644" s="5"/>
    </row>
    <row r="645" ht="15.75" customHeight="1">
      <c r="A645" s="3">
        <f>IFERROR(__xludf.DUMMYFUNCTION("""COMPUTED_VALUE"""),645.0)</f>
        <v>645</v>
      </c>
      <c r="B645" s="53">
        <f>IFERROR(__xludf.DUMMYFUNCTION("""COMPUTED_VALUE"""),45530.0)</f>
        <v>45530</v>
      </c>
      <c r="C645" s="3">
        <f>IFERROR(__xludf.DUMMYFUNCTION("""COMPUTED_VALUE"""),24.0)</f>
        <v>24</v>
      </c>
      <c r="D645" s="3" t="str">
        <f>IFERROR(__xludf.DUMMYFUNCTION("""COMPUTED_VALUE"""),"1.273")</f>
        <v>1.273</v>
      </c>
      <c r="E645" s="54">
        <f>IFERROR(__xludf.DUMMYFUNCTION("""COMPUTED_VALUE"""),186600.0)</f>
        <v>186600</v>
      </c>
      <c r="F645" s="3" t="str">
        <f>IFERROR(__xludf.DUMMYFUNCTION("""COMPUTED_VALUE"""),"Tinto")</f>
        <v>Tinto</v>
      </c>
      <c r="G645" s="3"/>
      <c r="H645" s="3"/>
      <c r="I645" s="3"/>
      <c r="J645" s="3"/>
      <c r="K645" s="57">
        <f>IFERROR(__xludf.DUMMYFUNCTION("""COMPUTED_VALUE"""),3.69)</f>
        <v>3.69</v>
      </c>
      <c r="L645" s="54">
        <f>IFERROR(__xludf.DUMMYFUNCTION("""COMPUTED_VALUE"""),33.0)</f>
        <v>33</v>
      </c>
      <c r="M645" s="3">
        <f>IFERROR(__xludf.DUMMYFUNCTION("""COMPUTED_VALUE"""),150.0)</f>
        <v>150</v>
      </c>
      <c r="N645" s="3"/>
      <c r="O645" s="3"/>
      <c r="P645" s="3"/>
      <c r="Q645" s="3"/>
      <c r="R645" s="3"/>
      <c r="S645" s="3"/>
      <c r="T645" s="5"/>
      <c r="U645" s="5"/>
      <c r="V645" s="5"/>
      <c r="W645" s="5"/>
    </row>
    <row r="646" ht="15.75" customHeight="1">
      <c r="A646" s="3">
        <f>IFERROR(__xludf.DUMMYFUNCTION("""COMPUTED_VALUE"""),646.0)</f>
        <v>646</v>
      </c>
      <c r="B646" s="53">
        <f>IFERROR(__xludf.DUMMYFUNCTION("""COMPUTED_VALUE"""),45530.0)</f>
        <v>45530</v>
      </c>
      <c r="C646" s="3">
        <f>IFERROR(__xludf.DUMMYFUNCTION("""COMPUTED_VALUE"""),115.0)</f>
        <v>115</v>
      </c>
      <c r="D646" s="3" t="str">
        <f>IFERROR(__xludf.DUMMYFUNCTION("""COMPUTED_VALUE"""),"1.274")</f>
        <v>1.274</v>
      </c>
      <c r="E646" s="54">
        <f>IFERROR(__xludf.DUMMYFUNCTION("""COMPUTED_VALUE"""),120200.0)</f>
        <v>120200</v>
      </c>
      <c r="F646" s="3" t="str">
        <f>IFERROR(__xludf.DUMMYFUNCTION("""COMPUTED_VALUE"""),"Tinto")</f>
        <v>Tinto</v>
      </c>
      <c r="G646" s="3"/>
      <c r="H646" s="3"/>
      <c r="I646" s="3"/>
      <c r="J646" s="3"/>
      <c r="K646" s="57">
        <f>IFERROR(__xludf.DUMMYFUNCTION("""COMPUTED_VALUE"""),3.68)</f>
        <v>3.68</v>
      </c>
      <c r="L646" s="54">
        <f>IFERROR(__xludf.DUMMYFUNCTION("""COMPUTED_VALUE"""),18.0)</f>
        <v>18</v>
      </c>
      <c r="M646" s="3">
        <f>IFERROR(__xludf.DUMMYFUNCTION("""COMPUTED_VALUE"""),145.0)</f>
        <v>145</v>
      </c>
      <c r="N646" s="3"/>
      <c r="O646" s="3"/>
      <c r="P646" s="3"/>
      <c r="Q646" s="3"/>
      <c r="R646" s="3"/>
      <c r="S646" s="3"/>
      <c r="T646" s="5"/>
      <c r="U646" s="5"/>
      <c r="V646" s="5"/>
      <c r="W646" s="5"/>
    </row>
    <row r="647" ht="15.75" customHeight="1">
      <c r="A647" s="3">
        <f>IFERROR(__xludf.DUMMYFUNCTION("""COMPUTED_VALUE"""),647.0)</f>
        <v>647</v>
      </c>
      <c r="B647" s="53">
        <f>IFERROR(__xludf.DUMMYFUNCTION("""COMPUTED_VALUE"""),45534.0)</f>
        <v>45534</v>
      </c>
      <c r="C647" s="3">
        <f>IFERROR(__xludf.DUMMYFUNCTION("""COMPUTED_VALUE"""),115.0)</f>
        <v>115</v>
      </c>
      <c r="D647" s="3" t="str">
        <f>IFERROR(__xludf.DUMMYFUNCTION("""COMPUTED_VALUE"""),"1.274")</f>
        <v>1.274</v>
      </c>
      <c r="E647" s="54">
        <f>IFERROR(__xludf.DUMMYFUNCTION("""COMPUTED_VALUE"""),120200.0)</f>
        <v>120200</v>
      </c>
      <c r="F647" s="3" t="str">
        <f>IFERROR(__xludf.DUMMYFUNCTION("""COMPUTED_VALUE"""),"Tinto")</f>
        <v>Tinto</v>
      </c>
      <c r="G647" s="3"/>
      <c r="H647" s="3"/>
      <c r="I647" s="3"/>
      <c r="J647" s="3"/>
      <c r="K647" s="57">
        <f>IFERROR(__xludf.DUMMYFUNCTION("""COMPUTED_VALUE"""),3.68)</f>
        <v>3.68</v>
      </c>
      <c r="L647" s="54">
        <f>IFERROR(__xludf.DUMMYFUNCTION("""COMPUTED_VALUE"""),40.0)</f>
        <v>40</v>
      </c>
      <c r="M647" s="3"/>
      <c r="N647" s="3"/>
      <c r="O647" s="3"/>
      <c r="P647" s="3"/>
      <c r="Q647" s="3"/>
      <c r="R647" s="3"/>
      <c r="S647" s="3"/>
      <c r="T647" s="5"/>
      <c r="U647" s="5"/>
      <c r="V647" s="5"/>
      <c r="W647" s="5"/>
    </row>
    <row r="648" ht="15.75" customHeight="1">
      <c r="A648" s="3">
        <f>IFERROR(__xludf.DUMMYFUNCTION("""COMPUTED_VALUE"""),648.0)</f>
        <v>648</v>
      </c>
      <c r="B648" s="53">
        <f>IFERROR(__xludf.DUMMYFUNCTION("""COMPUTED_VALUE"""),45534.0)</f>
        <v>45534</v>
      </c>
      <c r="C648" s="3">
        <f>IFERROR(__xludf.DUMMYFUNCTION("""COMPUTED_VALUE"""),24.0)</f>
        <v>24</v>
      </c>
      <c r="D648" s="3" t="str">
        <f>IFERROR(__xludf.DUMMYFUNCTION("""COMPUTED_VALUE"""),"1.273")</f>
        <v>1.273</v>
      </c>
      <c r="E648" s="54">
        <f>IFERROR(__xludf.DUMMYFUNCTION("""COMPUTED_VALUE"""),186600.0)</f>
        <v>186600</v>
      </c>
      <c r="F648" s="3" t="str">
        <f>IFERROR(__xludf.DUMMYFUNCTION("""COMPUTED_VALUE"""),"Tinto")</f>
        <v>Tinto</v>
      </c>
      <c r="G648" s="3"/>
      <c r="H648" s="3"/>
      <c r="I648" s="3"/>
      <c r="J648" s="3"/>
      <c r="K648" s="57">
        <f>IFERROR(__xludf.DUMMYFUNCTION("""COMPUTED_VALUE"""),3.69)</f>
        <v>3.69</v>
      </c>
      <c r="L648" s="54">
        <f>IFERROR(__xludf.DUMMYFUNCTION("""COMPUTED_VALUE"""),35.0)</f>
        <v>35</v>
      </c>
      <c r="M648" s="3"/>
      <c r="N648" s="3"/>
      <c r="O648" s="3"/>
      <c r="P648" s="3"/>
      <c r="Q648" s="3"/>
      <c r="R648" s="3"/>
      <c r="S648" s="3"/>
      <c r="T648" s="5"/>
      <c r="U648" s="5"/>
      <c r="V648" s="5"/>
      <c r="W648" s="5"/>
    </row>
    <row r="649" ht="15.75" customHeight="1">
      <c r="A649" s="3">
        <f>IFERROR(__xludf.DUMMYFUNCTION("""COMPUTED_VALUE"""),649.0)</f>
        <v>649</v>
      </c>
      <c r="B649" s="53">
        <f>IFERROR(__xludf.DUMMYFUNCTION("""COMPUTED_VALUE"""),45534.0)</f>
        <v>45534</v>
      </c>
      <c r="C649" s="3">
        <f>IFERROR(__xludf.DUMMYFUNCTION("""COMPUTED_VALUE"""),44.0)</f>
        <v>44</v>
      </c>
      <c r="D649" s="3" t="str">
        <f>IFERROR(__xludf.DUMMYFUNCTION("""COMPUTED_VALUE"""),"1.252")</f>
        <v>1.252</v>
      </c>
      <c r="E649" s="54">
        <f>IFERROR(__xludf.DUMMYFUNCTION("""COMPUTED_VALUE"""),19100.0)</f>
        <v>19100</v>
      </c>
      <c r="F649" s="3" t="str">
        <f>IFERROR(__xludf.DUMMYFUNCTION("""COMPUTED_VALUE"""),"Bonarda")</f>
        <v>Bonarda</v>
      </c>
      <c r="G649" s="3"/>
      <c r="H649" s="3"/>
      <c r="I649" s="3"/>
      <c r="J649" s="3"/>
      <c r="K649" s="57">
        <f>IFERROR(__xludf.DUMMYFUNCTION("""COMPUTED_VALUE"""),3.79)</f>
        <v>3.79</v>
      </c>
      <c r="L649" s="3"/>
      <c r="M649" s="3"/>
      <c r="N649" s="3"/>
      <c r="O649" s="3"/>
      <c r="P649" s="3"/>
      <c r="Q649" s="3"/>
      <c r="R649" s="3"/>
      <c r="S649" s="3"/>
      <c r="T649" s="5"/>
      <c r="U649" s="5"/>
      <c r="V649" s="5"/>
      <c r="W649" s="5"/>
    </row>
    <row r="650" ht="15.75" customHeight="1">
      <c r="A650" s="3">
        <f>IFERROR(__xludf.DUMMYFUNCTION("""COMPUTED_VALUE"""),650.0)</f>
        <v>650</v>
      </c>
      <c r="B650" s="53">
        <f>IFERROR(__xludf.DUMMYFUNCTION("""COMPUTED_VALUE"""),45534.0)</f>
        <v>45534</v>
      </c>
      <c r="C650" s="3">
        <f>IFERROR(__xludf.DUMMYFUNCTION("""COMPUTED_VALUE"""),116.0)</f>
        <v>116</v>
      </c>
      <c r="D650" s="3" t="str">
        <f>IFERROR(__xludf.DUMMYFUNCTION("""COMPUTED_VALUE"""),"1.249")</f>
        <v>1.249</v>
      </c>
      <c r="E650" s="54">
        <f>IFERROR(__xludf.DUMMYFUNCTION("""COMPUTED_VALUE"""),99600.0)</f>
        <v>99600</v>
      </c>
      <c r="F650" s="3" t="str">
        <f>IFERROR(__xludf.DUMMYFUNCTION("""COMPUTED_VALUE"""),"Cabernet Sauvignon")</f>
        <v>Cabernet Sauvignon</v>
      </c>
      <c r="G650" s="3"/>
      <c r="H650" s="3"/>
      <c r="I650" s="3"/>
      <c r="J650" s="3"/>
      <c r="K650" s="3"/>
      <c r="L650" s="54">
        <f>IFERROR(__xludf.DUMMYFUNCTION("""COMPUTED_VALUE"""),38.0)</f>
        <v>38</v>
      </c>
      <c r="M650" s="3">
        <f>IFERROR(__xludf.DUMMYFUNCTION("""COMPUTED_VALUE"""),130.0)</f>
        <v>130</v>
      </c>
      <c r="N650" s="3"/>
      <c r="O650" s="3"/>
      <c r="P650" s="3"/>
      <c r="Q650" s="3"/>
      <c r="R650" s="3"/>
      <c r="S650" s="3"/>
      <c r="T650" s="5"/>
      <c r="U650" s="5"/>
      <c r="V650" s="5"/>
      <c r="W650" s="5"/>
    </row>
    <row r="651" ht="15.75" customHeight="1">
      <c r="A651" s="3">
        <f>IFERROR(__xludf.DUMMYFUNCTION("""COMPUTED_VALUE"""),651.0)</f>
        <v>651</v>
      </c>
      <c r="B651" s="53">
        <f>IFERROR(__xludf.DUMMYFUNCTION("""COMPUTED_VALUE"""),45551.0)</f>
        <v>45551</v>
      </c>
      <c r="C651" s="3">
        <f>IFERROR(__xludf.DUMMYFUNCTION("""COMPUTED_VALUE"""),24.0)</f>
        <v>24</v>
      </c>
      <c r="D651" s="3" t="str">
        <f>IFERROR(__xludf.DUMMYFUNCTION("""COMPUTED_VALUE"""),"1.273")</f>
        <v>1.273</v>
      </c>
      <c r="E651" s="54">
        <f>IFERROR(__xludf.DUMMYFUNCTION("""COMPUTED_VALUE"""),186600.0)</f>
        <v>186600</v>
      </c>
      <c r="F651" s="3" t="str">
        <f>IFERROR(__xludf.DUMMYFUNCTION("""COMPUTED_VALUE"""),"Tinto")</f>
        <v>Tinto</v>
      </c>
      <c r="G651" s="3"/>
      <c r="H651" s="3"/>
      <c r="I651" s="3"/>
      <c r="J651" s="3"/>
      <c r="K651" s="3"/>
      <c r="L651" s="3"/>
      <c r="M651" s="3"/>
      <c r="N651" s="3"/>
      <c r="O651" s="3">
        <f>IFERROR(__xludf.DUMMYFUNCTION("""COMPUTED_VALUE"""),327.0)</f>
        <v>327</v>
      </c>
      <c r="P651" s="3">
        <f>IFERROR(__xludf.DUMMYFUNCTION("""COMPUTED_VALUE"""),501.0)</f>
        <v>501</v>
      </c>
      <c r="Q651" s="3"/>
      <c r="R651" s="3">
        <f>IFERROR(__xludf.DUMMYFUNCTION("""COMPUTED_VALUE"""),828.0)</f>
        <v>828</v>
      </c>
      <c r="S651" s="54">
        <f>IFERROR(__xludf.DUMMYFUNCTION("""COMPUTED_VALUE"""),1268.5871559633026)</f>
        <v>1268.587156</v>
      </c>
      <c r="T651" s="5"/>
      <c r="U651" s="5"/>
      <c r="V651" s="5"/>
      <c r="W651" s="5"/>
    </row>
    <row r="652" ht="15.75" customHeight="1">
      <c r="A652" s="3">
        <f>IFERROR(__xludf.DUMMYFUNCTION("""COMPUTED_VALUE"""),652.0)</f>
        <v>652</v>
      </c>
      <c r="B652" s="53">
        <f>IFERROR(__xludf.DUMMYFUNCTION("""COMPUTED_VALUE"""),45551.0)</f>
        <v>45551</v>
      </c>
      <c r="C652" s="3">
        <f>IFERROR(__xludf.DUMMYFUNCTION("""COMPUTED_VALUE"""),115.0)</f>
        <v>115</v>
      </c>
      <c r="D652" s="3" t="str">
        <f>IFERROR(__xludf.DUMMYFUNCTION("""COMPUTED_VALUE"""),"1.274")</f>
        <v>1.274</v>
      </c>
      <c r="E652" s="54">
        <f>IFERROR(__xludf.DUMMYFUNCTION("""COMPUTED_VALUE"""),120200.0)</f>
        <v>120200</v>
      </c>
      <c r="F652" s="3" t="str">
        <f>IFERROR(__xludf.DUMMYFUNCTION("""COMPUTED_VALUE"""),"Tinto")</f>
        <v>Tinto</v>
      </c>
      <c r="G652" s="3"/>
      <c r="H652" s="3"/>
      <c r="I652" s="3"/>
      <c r="J652" s="3"/>
      <c r="K652" s="3"/>
      <c r="L652" s="3"/>
      <c r="M652" s="3"/>
      <c r="N652" s="3"/>
      <c r="O652" s="3">
        <f>IFERROR(__xludf.DUMMYFUNCTION("""COMPUTED_VALUE"""),136.0)</f>
        <v>136</v>
      </c>
      <c r="P652" s="3">
        <f>IFERROR(__xludf.DUMMYFUNCTION("""COMPUTED_VALUE"""),159.0)</f>
        <v>159</v>
      </c>
      <c r="Q652" s="3"/>
      <c r="R652" s="3">
        <f>IFERROR(__xludf.DUMMYFUNCTION("""COMPUTED_VALUE"""),295.0)</f>
        <v>295</v>
      </c>
      <c r="S652" s="54">
        <f>IFERROR(__xludf.DUMMYFUNCTION("""COMPUTED_VALUE"""),344.8897058823529)</f>
        <v>344.8897059</v>
      </c>
      <c r="T652" s="5"/>
      <c r="U652" s="5"/>
      <c r="V652" s="5"/>
      <c r="W652" s="5"/>
    </row>
    <row r="653" ht="15.75" customHeight="1">
      <c r="A653" s="3">
        <f>IFERROR(__xludf.DUMMYFUNCTION("""COMPUTED_VALUE"""),653.0)</f>
        <v>653</v>
      </c>
      <c r="B653" s="3"/>
      <c r="C653" s="3">
        <f>IFERROR(__xludf.DUMMYFUNCTION("""COMPUTED_VALUE"""),103.0)</f>
        <v>103</v>
      </c>
      <c r="D653" s="3" t="str">
        <f>IFERROR(__xludf.DUMMYFUNCTION("""COMPUTED_VALUE"""),"#REF!")</f>
        <v>#REF!</v>
      </c>
      <c r="E653" s="3"/>
      <c r="F653" s="3" t="str">
        <f>IFERROR(__xludf.DUMMYFUNCTION("""COMPUTED_VALUE"""),"syrah")</f>
        <v>syrah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5"/>
      <c r="U653" s="5"/>
      <c r="V653" s="5"/>
      <c r="W653" s="5"/>
    </row>
    <row r="654" ht="15.75" customHeight="1">
      <c r="A654" s="3">
        <f>IFERROR(__xludf.DUMMYFUNCTION("""COMPUTED_VALUE"""),654.0)</f>
        <v>654</v>
      </c>
      <c r="B654" s="53">
        <f>IFERROR(__xludf.DUMMYFUNCTION("""COMPUTED_VALUE"""),45553.0)</f>
        <v>45553</v>
      </c>
      <c r="C654" s="3">
        <f>IFERROR(__xludf.DUMMYFUNCTION("""COMPUTED_VALUE"""),85.0)</f>
        <v>85</v>
      </c>
      <c r="D654" s="3" t="str">
        <f>IFERROR(__xludf.DUMMYFUNCTION("""COMPUTED_VALUE"""),"#REF!")</f>
        <v>#REF!</v>
      </c>
      <c r="E654" s="54">
        <f>IFERROR(__xludf.DUMMYFUNCTION("""COMPUTED_VALUE"""),84000.0)</f>
        <v>84000</v>
      </c>
      <c r="F654" s="3" t="str">
        <f>IFERROR(__xludf.DUMMYFUNCTION("""COMPUTED_VALUE"""),"Bonarda")</f>
        <v>Bonarda</v>
      </c>
      <c r="G654" s="55">
        <f>IFERROR(__xludf.DUMMYFUNCTION("""COMPUTED_VALUE"""),12.5)</f>
        <v>12.5</v>
      </c>
      <c r="H654" s="56">
        <f>IFERROR(__xludf.DUMMYFUNCTION("""COMPUTED_VALUE"""),2.0)</f>
        <v>2</v>
      </c>
      <c r="I654" s="57">
        <f>IFERROR(__xludf.DUMMYFUNCTION("""COMPUTED_VALUE"""),0.6)</f>
        <v>0.6</v>
      </c>
      <c r="J654" s="57">
        <f>IFERROR(__xludf.DUMMYFUNCTION("""COMPUTED_VALUE"""),5.35)</f>
        <v>5.35</v>
      </c>
      <c r="K654" s="57">
        <f>IFERROR(__xludf.DUMMYFUNCTION("""COMPUTED_VALUE"""),3.57)</f>
        <v>3.57</v>
      </c>
      <c r="L654" s="54">
        <f>IFERROR(__xludf.DUMMYFUNCTION("""COMPUTED_VALUE"""),45.0)</f>
        <v>45</v>
      </c>
      <c r="M654" s="3">
        <f>IFERROR(__xludf.DUMMYFUNCTION("""COMPUTED_VALUE"""),153.0)</f>
        <v>153</v>
      </c>
      <c r="N654" s="3"/>
      <c r="O654" s="3"/>
      <c r="P654" s="3"/>
      <c r="Q654" s="3"/>
      <c r="R654" s="3"/>
      <c r="S654" s="3"/>
      <c r="T654" s="5"/>
      <c r="U654" s="5"/>
      <c r="V654" s="5"/>
      <c r="W654" s="5"/>
    </row>
    <row r="655" ht="15.75" customHeight="1">
      <c r="A655" s="3">
        <f>IFERROR(__xludf.DUMMYFUNCTION("""COMPUTED_VALUE"""),655.0)</f>
        <v>655</v>
      </c>
      <c r="B655" s="53">
        <f>IFERROR(__xludf.DUMMYFUNCTION("""COMPUTED_VALUE"""),45541.0)</f>
        <v>45541</v>
      </c>
      <c r="C655" s="3">
        <f>IFERROR(__xludf.DUMMYFUNCTION("""COMPUTED_VALUE"""),115.0)</f>
        <v>115</v>
      </c>
      <c r="D655" s="3" t="str">
        <f>IFERROR(__xludf.DUMMYFUNCTION("""COMPUTED_VALUE"""),"1.274")</f>
        <v>1.274</v>
      </c>
      <c r="E655" s="54">
        <f>IFERROR(__xludf.DUMMYFUNCTION("""COMPUTED_VALUE"""),120200.0)</f>
        <v>120200</v>
      </c>
      <c r="F655" s="3" t="str">
        <f>IFERROR(__xludf.DUMMYFUNCTION("""COMPUTED_VALUE"""),"Tinto")</f>
        <v>Tinto</v>
      </c>
      <c r="G655" s="3"/>
      <c r="H655" s="3"/>
      <c r="I655" s="3"/>
      <c r="J655" s="3"/>
      <c r="K655" s="3"/>
      <c r="L655" s="54">
        <f>IFERROR(__xludf.DUMMYFUNCTION("""COMPUTED_VALUE"""),39.0)</f>
        <v>39</v>
      </c>
      <c r="M655" s="3">
        <f>IFERROR(__xludf.DUMMYFUNCTION("""COMPUTED_VALUE"""),180.0)</f>
        <v>180</v>
      </c>
      <c r="N655" s="3"/>
      <c r="O655" s="3"/>
      <c r="P655" s="3"/>
      <c r="Q655" s="3"/>
      <c r="R655" s="3"/>
      <c r="S655" s="3"/>
      <c r="T655" s="5"/>
      <c r="U655" s="5"/>
      <c r="V655" s="5"/>
      <c r="W655" s="5"/>
    </row>
    <row r="656" ht="15.75" customHeight="1">
      <c r="A656" s="3">
        <f>IFERROR(__xludf.DUMMYFUNCTION("""COMPUTED_VALUE"""),656.0)</f>
        <v>656</v>
      </c>
      <c r="B656" s="53">
        <f>IFERROR(__xludf.DUMMYFUNCTION("""COMPUTED_VALUE"""),45541.0)</f>
        <v>45541</v>
      </c>
      <c r="C656" s="3">
        <f>IFERROR(__xludf.DUMMYFUNCTION("""COMPUTED_VALUE"""),24.0)</f>
        <v>24</v>
      </c>
      <c r="D656" s="3" t="str">
        <f>IFERROR(__xludf.DUMMYFUNCTION("""COMPUTED_VALUE"""),"1.273")</f>
        <v>1.273</v>
      </c>
      <c r="E656" s="54">
        <f>IFERROR(__xludf.DUMMYFUNCTION("""COMPUTED_VALUE"""),186600.0)</f>
        <v>186600</v>
      </c>
      <c r="F656" s="3" t="str">
        <f>IFERROR(__xludf.DUMMYFUNCTION("""COMPUTED_VALUE"""),"Tinto")</f>
        <v>Tinto</v>
      </c>
      <c r="G656" s="3"/>
      <c r="H656" s="3"/>
      <c r="I656" s="3"/>
      <c r="J656" s="3"/>
      <c r="K656" s="3"/>
      <c r="L656" s="54">
        <f>IFERROR(__xludf.DUMMYFUNCTION("""COMPUTED_VALUE"""),40.0)</f>
        <v>40</v>
      </c>
      <c r="M656" s="3">
        <f>IFERROR(__xludf.DUMMYFUNCTION("""COMPUTED_VALUE"""),140.0)</f>
        <v>140</v>
      </c>
      <c r="N656" s="3"/>
      <c r="O656" s="3"/>
      <c r="P656" s="3"/>
      <c r="Q656" s="3"/>
      <c r="R656" s="3"/>
      <c r="S656" s="3"/>
      <c r="T656" s="5"/>
      <c r="U656" s="5"/>
      <c r="V656" s="5"/>
      <c r="W656" s="5"/>
    </row>
    <row r="657" ht="15.75" customHeight="1">
      <c r="A657" s="3">
        <f>IFERROR(__xludf.DUMMYFUNCTION("""COMPUTED_VALUE"""),657.0)</f>
        <v>657</v>
      </c>
      <c r="B657" s="53">
        <f>IFERROR(__xludf.DUMMYFUNCTION("""COMPUTED_VALUE"""),45560.0)</f>
        <v>45560</v>
      </c>
      <c r="C657" s="3">
        <f>IFERROR(__xludf.DUMMYFUNCTION("""COMPUTED_VALUE"""),102.0)</f>
        <v>102</v>
      </c>
      <c r="D657" s="3" t="str">
        <f>IFERROR(__xludf.DUMMYFUNCTION("""COMPUTED_VALUE"""),"#REF!")</f>
        <v>#REF!</v>
      </c>
      <c r="E657" s="54">
        <f>IFERROR(__xludf.DUMMYFUNCTION("""COMPUTED_VALUE"""),31000.0)</f>
        <v>31000</v>
      </c>
      <c r="F657" s="3" t="str">
        <f>IFERROR(__xludf.DUMMYFUNCTION("""COMPUTED_VALUE"""),"Syrah Tangencial")</f>
        <v>Syrah Tangencial</v>
      </c>
      <c r="G657" s="55">
        <f>IFERROR(__xludf.DUMMYFUNCTION("""COMPUTED_VALUE"""),13.2)</f>
        <v>13.2</v>
      </c>
      <c r="H657" s="56">
        <f>IFERROR(__xludf.DUMMYFUNCTION("""COMPUTED_VALUE"""),2.0)</f>
        <v>2</v>
      </c>
      <c r="I657" s="57">
        <f>IFERROR(__xludf.DUMMYFUNCTION("""COMPUTED_VALUE"""),0.6)</f>
        <v>0.6</v>
      </c>
      <c r="J657" s="57">
        <f>IFERROR(__xludf.DUMMYFUNCTION("""COMPUTED_VALUE"""),4.8)</f>
        <v>4.8</v>
      </c>
      <c r="K657" s="57">
        <f>IFERROR(__xludf.DUMMYFUNCTION("""COMPUTED_VALUE"""),3.5)</f>
        <v>3.5</v>
      </c>
      <c r="L657" s="54">
        <f>IFERROR(__xludf.DUMMYFUNCTION("""COMPUTED_VALUE"""),38.0)</f>
        <v>38</v>
      </c>
      <c r="M657" s="3">
        <f>IFERROR(__xludf.DUMMYFUNCTION("""COMPUTED_VALUE"""),160.0)</f>
        <v>160</v>
      </c>
      <c r="N657" s="3"/>
      <c r="O657" s="3"/>
      <c r="P657" s="3"/>
      <c r="Q657" s="3"/>
      <c r="R657" s="3"/>
      <c r="S657" s="3"/>
      <c r="T657" s="5"/>
      <c r="U657" s="5"/>
      <c r="V657" s="5"/>
      <c r="W657" s="5"/>
    </row>
    <row r="658" ht="15.75" customHeight="1">
      <c r="A658" s="3">
        <f>IFERROR(__xludf.DUMMYFUNCTION("""COMPUTED_VALUE"""),658.0)</f>
        <v>658</v>
      </c>
      <c r="B658" s="53">
        <f>IFERROR(__xludf.DUMMYFUNCTION("""COMPUTED_VALUE"""),45560.0)</f>
        <v>45560</v>
      </c>
      <c r="C658" s="3">
        <f>IFERROR(__xludf.DUMMYFUNCTION("""COMPUTED_VALUE"""),103.0)</f>
        <v>103</v>
      </c>
      <c r="D658" s="3" t="str">
        <f>IFERROR(__xludf.DUMMYFUNCTION("""COMPUTED_VALUE"""),"#REF!")</f>
        <v>#REF!</v>
      </c>
      <c r="E658" s="54">
        <f>IFERROR(__xludf.DUMMYFUNCTION("""COMPUTED_VALUE"""),31000.0)</f>
        <v>31000</v>
      </c>
      <c r="F658" s="3" t="str">
        <f>IFERROR(__xludf.DUMMYFUNCTION("""COMPUTED_VALUE"""),"Syrah Tangencial")</f>
        <v>Syrah Tangencial</v>
      </c>
      <c r="G658" s="55">
        <f>IFERROR(__xludf.DUMMYFUNCTION("""COMPUTED_VALUE"""),13.4)</f>
        <v>13.4</v>
      </c>
      <c r="H658" s="56">
        <f>IFERROR(__xludf.DUMMYFUNCTION("""COMPUTED_VALUE"""),2.0)</f>
        <v>2</v>
      </c>
      <c r="I658" s="57">
        <f>IFERROR(__xludf.DUMMYFUNCTION("""COMPUTED_VALUE"""),0.6)</f>
        <v>0.6</v>
      </c>
      <c r="J658" s="57">
        <f>IFERROR(__xludf.DUMMYFUNCTION("""COMPUTED_VALUE"""),4.9)</f>
        <v>4.9</v>
      </c>
      <c r="K658" s="57">
        <f>IFERROR(__xludf.DUMMYFUNCTION("""COMPUTED_VALUE"""),3.6)</f>
        <v>3.6</v>
      </c>
      <c r="L658" s="54">
        <f>IFERROR(__xludf.DUMMYFUNCTION("""COMPUTED_VALUE"""),45.0)</f>
        <v>45</v>
      </c>
      <c r="M658" s="3">
        <f>IFERROR(__xludf.DUMMYFUNCTION("""COMPUTED_VALUE"""),124.0)</f>
        <v>124</v>
      </c>
      <c r="N658" s="3"/>
      <c r="O658" s="3"/>
      <c r="P658" s="3"/>
      <c r="Q658" s="3"/>
      <c r="R658" s="3"/>
      <c r="S658" s="3"/>
      <c r="T658" s="5"/>
      <c r="U658" s="5"/>
      <c r="V658" s="5"/>
      <c r="W658" s="5"/>
    </row>
    <row r="659" ht="15.75" customHeight="1">
      <c r="A659" s="3">
        <f>IFERROR(__xludf.DUMMYFUNCTION("""COMPUTED_VALUE"""),659.0)</f>
        <v>659</v>
      </c>
      <c r="B659" s="53">
        <f>IFERROR(__xludf.DUMMYFUNCTION("""COMPUTED_VALUE"""),45560.0)</f>
        <v>45560</v>
      </c>
      <c r="C659" s="3">
        <f>IFERROR(__xludf.DUMMYFUNCTION("""COMPUTED_VALUE"""),104.0)</f>
        <v>104</v>
      </c>
      <c r="D659" s="3" t="str">
        <f>IFERROR(__xludf.DUMMYFUNCTION("""COMPUTED_VALUE"""),"#REF!")</f>
        <v>#REF!</v>
      </c>
      <c r="E659" s="54">
        <f>IFERROR(__xludf.DUMMYFUNCTION("""COMPUTED_VALUE"""),31000.0)</f>
        <v>31000</v>
      </c>
      <c r="F659" s="3" t="str">
        <f>IFERROR(__xludf.DUMMYFUNCTION("""COMPUTED_VALUE"""),"Syrah Tangencial")</f>
        <v>Syrah Tangencial</v>
      </c>
      <c r="G659" s="55">
        <f>IFERROR(__xludf.DUMMYFUNCTION("""COMPUTED_VALUE"""),13.4)</f>
        <v>13.4</v>
      </c>
      <c r="H659" s="56">
        <f>IFERROR(__xludf.DUMMYFUNCTION("""COMPUTED_VALUE"""),2.0)</f>
        <v>2</v>
      </c>
      <c r="I659" s="57">
        <f>IFERROR(__xludf.DUMMYFUNCTION("""COMPUTED_VALUE"""),0.59)</f>
        <v>0.59</v>
      </c>
      <c r="J659" s="57">
        <f>IFERROR(__xludf.DUMMYFUNCTION("""COMPUTED_VALUE"""),4.8)</f>
        <v>4.8</v>
      </c>
      <c r="K659" s="57">
        <f>IFERROR(__xludf.DUMMYFUNCTION("""COMPUTED_VALUE"""),3.6)</f>
        <v>3.6</v>
      </c>
      <c r="L659" s="54">
        <f>IFERROR(__xludf.DUMMYFUNCTION("""COMPUTED_VALUE"""),44.0)</f>
        <v>44</v>
      </c>
      <c r="M659" s="3">
        <f>IFERROR(__xludf.DUMMYFUNCTION("""COMPUTED_VALUE"""),110.0)</f>
        <v>110</v>
      </c>
      <c r="N659" s="3"/>
      <c r="O659" s="3"/>
      <c r="P659" s="3"/>
      <c r="Q659" s="3"/>
      <c r="R659" s="3"/>
      <c r="S659" s="3"/>
      <c r="T659" s="5"/>
      <c r="U659" s="5"/>
      <c r="V659" s="5"/>
      <c r="W659" s="5"/>
    </row>
    <row r="660" ht="15.75" customHeight="1">
      <c r="A660" s="3">
        <f>IFERROR(__xludf.DUMMYFUNCTION("""COMPUTED_VALUE"""),660.0)</f>
        <v>660</v>
      </c>
      <c r="B660" s="53">
        <f>IFERROR(__xludf.DUMMYFUNCTION("""COMPUTED_VALUE"""),45560.0)</f>
        <v>45560</v>
      </c>
      <c r="C660" s="3">
        <f>IFERROR(__xludf.DUMMYFUNCTION("""COMPUTED_VALUE"""),105.0)</f>
        <v>105</v>
      </c>
      <c r="D660" s="3" t="str">
        <f>IFERROR(__xludf.DUMMYFUNCTION("""COMPUTED_VALUE"""),"#REF!")</f>
        <v>#REF!</v>
      </c>
      <c r="E660" s="54">
        <f>IFERROR(__xludf.DUMMYFUNCTION("""COMPUTED_VALUE"""),31000.0)</f>
        <v>31000</v>
      </c>
      <c r="F660" s="3" t="str">
        <f>IFERROR(__xludf.DUMMYFUNCTION("""COMPUTED_VALUE"""),"Syrah Tangencial")</f>
        <v>Syrah Tangencial</v>
      </c>
      <c r="G660" s="55">
        <f>IFERROR(__xludf.DUMMYFUNCTION("""COMPUTED_VALUE"""),13.3)</f>
        <v>13.3</v>
      </c>
      <c r="H660" s="56">
        <f>IFERROR(__xludf.DUMMYFUNCTION("""COMPUTED_VALUE"""),2.0)</f>
        <v>2</v>
      </c>
      <c r="I660" s="57">
        <f>IFERROR(__xludf.DUMMYFUNCTION("""COMPUTED_VALUE"""),0.58)</f>
        <v>0.58</v>
      </c>
      <c r="J660" s="57">
        <f>IFERROR(__xludf.DUMMYFUNCTION("""COMPUTED_VALUE"""),4.85)</f>
        <v>4.85</v>
      </c>
      <c r="K660" s="57">
        <f>IFERROR(__xludf.DUMMYFUNCTION("""COMPUTED_VALUE"""),3.6)</f>
        <v>3.6</v>
      </c>
      <c r="L660" s="54">
        <f>IFERROR(__xludf.DUMMYFUNCTION("""COMPUTED_VALUE"""),44.0)</f>
        <v>44</v>
      </c>
      <c r="M660" s="3">
        <f>IFERROR(__xludf.DUMMYFUNCTION("""COMPUTED_VALUE"""),117.0)</f>
        <v>117</v>
      </c>
      <c r="N660" s="3"/>
      <c r="O660" s="3"/>
      <c r="P660" s="3"/>
      <c r="Q660" s="3"/>
      <c r="R660" s="3"/>
      <c r="S660" s="3"/>
      <c r="T660" s="5"/>
      <c r="U660" s="5"/>
      <c r="V660" s="5"/>
      <c r="W660" s="5"/>
    </row>
    <row r="661" ht="15.75" customHeight="1">
      <c r="A661" s="3">
        <f>IFERROR(__xludf.DUMMYFUNCTION("""COMPUTED_VALUE"""),661.0)</f>
        <v>661</v>
      </c>
      <c r="B661" s="53">
        <f>IFERROR(__xludf.DUMMYFUNCTION("""COMPUTED_VALUE"""),45560.0)</f>
        <v>45560</v>
      </c>
      <c r="C661" s="3">
        <f>IFERROR(__xludf.DUMMYFUNCTION("""COMPUTED_VALUE"""),83.0)</f>
        <v>83</v>
      </c>
      <c r="D661" s="3" t="str">
        <f>IFERROR(__xludf.DUMMYFUNCTION("""COMPUTED_VALUE"""),"#REF!")</f>
        <v>#REF!</v>
      </c>
      <c r="E661" s="54">
        <f>IFERROR(__xludf.DUMMYFUNCTION("""COMPUTED_VALUE"""),81500.0)</f>
        <v>81500</v>
      </c>
      <c r="F661" s="3" t="str">
        <f>IFERROR(__xludf.DUMMYFUNCTION("""COMPUTED_VALUE"""),"Bonarda Tangencial")</f>
        <v>Bonarda Tangencial</v>
      </c>
      <c r="G661" s="55">
        <f>IFERROR(__xludf.DUMMYFUNCTION("""COMPUTED_VALUE"""),13.4)</f>
        <v>13.4</v>
      </c>
      <c r="H661" s="56">
        <f>IFERROR(__xludf.DUMMYFUNCTION("""COMPUTED_VALUE"""),2.0)</f>
        <v>2</v>
      </c>
      <c r="I661" s="57">
        <f>IFERROR(__xludf.DUMMYFUNCTION("""COMPUTED_VALUE"""),0.66)</f>
        <v>0.66</v>
      </c>
      <c r="J661" s="57">
        <f>IFERROR(__xludf.DUMMYFUNCTION("""COMPUTED_VALUE"""),4.9)</f>
        <v>4.9</v>
      </c>
      <c r="K661" s="57">
        <f>IFERROR(__xludf.DUMMYFUNCTION("""COMPUTED_VALUE"""),3.55)</f>
        <v>3.55</v>
      </c>
      <c r="L661" s="54">
        <f>IFERROR(__xludf.DUMMYFUNCTION("""COMPUTED_VALUE"""),42.0)</f>
        <v>42</v>
      </c>
      <c r="M661" s="3">
        <f>IFERROR(__xludf.DUMMYFUNCTION("""COMPUTED_VALUE"""),200.0)</f>
        <v>200</v>
      </c>
      <c r="N661" s="3"/>
      <c r="O661" s="3"/>
      <c r="P661" s="3"/>
      <c r="Q661" s="3"/>
      <c r="R661" s="3"/>
      <c r="S661" s="3"/>
      <c r="T661" s="5"/>
      <c r="U661" s="5"/>
      <c r="V661" s="5"/>
      <c r="W661" s="5"/>
    </row>
    <row r="662" ht="15.75" customHeight="1">
      <c r="A662" s="3">
        <f>IFERROR(__xludf.DUMMYFUNCTION("""COMPUTED_VALUE"""),662.0)</f>
        <v>662</v>
      </c>
      <c r="B662" s="53">
        <f>IFERROR(__xludf.DUMMYFUNCTION("""COMPUTED_VALUE"""),45560.0)</f>
        <v>45560</v>
      </c>
      <c r="C662" s="3">
        <f>IFERROR(__xludf.DUMMYFUNCTION("""COMPUTED_VALUE"""),114.0)</f>
        <v>114</v>
      </c>
      <c r="D662" s="3" t="str">
        <f>IFERROR(__xludf.DUMMYFUNCTION("""COMPUTED_VALUE"""),"#REF!")</f>
        <v>#REF!</v>
      </c>
      <c r="E662" s="54">
        <f>IFERROR(__xludf.DUMMYFUNCTION("""COMPUTED_VALUE"""),125300.0)</f>
        <v>125300</v>
      </c>
      <c r="F662" s="3" t="str">
        <f>IFERROR(__xludf.DUMMYFUNCTION("""COMPUTED_VALUE"""),"Syrah-Aspirant")</f>
        <v>Syrah-Aspirant</v>
      </c>
      <c r="G662" s="55">
        <f>IFERROR(__xludf.DUMMYFUNCTION("""COMPUTED_VALUE"""),13.4)</f>
        <v>13.4</v>
      </c>
      <c r="H662" s="56">
        <f>IFERROR(__xludf.DUMMYFUNCTION("""COMPUTED_VALUE"""),2.0)</f>
        <v>2</v>
      </c>
      <c r="I662" s="57">
        <f>IFERROR(__xludf.DUMMYFUNCTION("""COMPUTED_VALUE"""),0.56)</f>
        <v>0.56</v>
      </c>
      <c r="J662" s="57">
        <f>IFERROR(__xludf.DUMMYFUNCTION("""COMPUTED_VALUE"""),5.35)</f>
        <v>5.35</v>
      </c>
      <c r="K662" s="57">
        <f>IFERROR(__xludf.DUMMYFUNCTION("""COMPUTED_VALUE"""),3.53)</f>
        <v>3.53</v>
      </c>
      <c r="L662" s="54">
        <f>IFERROR(__xludf.DUMMYFUNCTION("""COMPUTED_VALUE"""),38.0)</f>
        <v>38</v>
      </c>
      <c r="M662" s="3">
        <f>IFERROR(__xludf.DUMMYFUNCTION("""COMPUTED_VALUE"""),150.0)</f>
        <v>150</v>
      </c>
      <c r="N662" s="3"/>
      <c r="O662" s="3"/>
      <c r="P662" s="3"/>
      <c r="Q662" s="3"/>
      <c r="R662" s="3"/>
      <c r="S662" s="3"/>
      <c r="T662" s="5"/>
      <c r="U662" s="5"/>
      <c r="V662" s="5"/>
      <c r="W662" s="5"/>
    </row>
    <row r="663" ht="15.75" customHeight="1">
      <c r="A663" s="3">
        <f>IFERROR(__xludf.DUMMYFUNCTION("""COMPUTED_VALUE"""),663.0)</f>
        <v>663</v>
      </c>
      <c r="B663" s="53">
        <f>IFERROR(__xludf.DUMMYFUNCTION("""COMPUTED_VALUE"""),45561.0)</f>
        <v>45561</v>
      </c>
      <c r="C663" s="3">
        <f>IFERROR(__xludf.DUMMYFUNCTION("""COMPUTED_VALUE"""),107.0)</f>
        <v>107</v>
      </c>
      <c r="D663" s="3" t="str">
        <f>IFERROR(__xludf.DUMMYFUNCTION("""COMPUTED_VALUE"""),"#REF!")</f>
        <v>#REF!</v>
      </c>
      <c r="E663" s="54">
        <f>IFERROR(__xludf.DUMMYFUNCTION("""COMPUTED_VALUE"""),31000.0)</f>
        <v>31000</v>
      </c>
      <c r="F663" s="3" t="str">
        <f>IFERROR(__xludf.DUMMYFUNCTION("""COMPUTED_VALUE"""),"Syrah Tangencial")</f>
        <v>Syrah Tangencial</v>
      </c>
      <c r="G663" s="55">
        <f>IFERROR(__xludf.DUMMYFUNCTION("""COMPUTED_VALUE"""),13.3)</f>
        <v>13.3</v>
      </c>
      <c r="H663" s="56">
        <f>IFERROR(__xludf.DUMMYFUNCTION("""COMPUTED_VALUE"""),2.0)</f>
        <v>2</v>
      </c>
      <c r="I663" s="57">
        <f>IFERROR(__xludf.DUMMYFUNCTION("""COMPUTED_VALUE"""),0.58)</f>
        <v>0.58</v>
      </c>
      <c r="J663" s="57">
        <f>IFERROR(__xludf.DUMMYFUNCTION("""COMPUTED_VALUE"""),4.78)</f>
        <v>4.78</v>
      </c>
      <c r="K663" s="57">
        <f>IFERROR(__xludf.DUMMYFUNCTION("""COMPUTED_VALUE"""),3.59)</f>
        <v>3.59</v>
      </c>
      <c r="L663" s="54">
        <f>IFERROR(__xludf.DUMMYFUNCTION("""COMPUTED_VALUE"""),43.0)</f>
        <v>43</v>
      </c>
      <c r="M663" s="3">
        <f>IFERROR(__xludf.DUMMYFUNCTION("""COMPUTED_VALUE"""),120.0)</f>
        <v>120</v>
      </c>
      <c r="N663" s="3"/>
      <c r="O663" s="3"/>
      <c r="P663" s="3"/>
      <c r="Q663" s="3"/>
      <c r="R663" s="3"/>
      <c r="S663" s="3"/>
      <c r="T663" s="5"/>
      <c r="U663" s="5"/>
      <c r="V663" s="5"/>
      <c r="W663" s="5"/>
    </row>
    <row r="664" ht="15.75" customHeight="1">
      <c r="A664" s="3">
        <f>IFERROR(__xludf.DUMMYFUNCTION("""COMPUTED_VALUE"""),664.0)</f>
        <v>664</v>
      </c>
      <c r="B664" s="53">
        <f>IFERROR(__xludf.DUMMYFUNCTION("""COMPUTED_VALUE"""),45561.0)</f>
        <v>45561</v>
      </c>
      <c r="C664" s="3">
        <f>IFERROR(__xludf.DUMMYFUNCTION("""COMPUTED_VALUE"""),108.0)</f>
        <v>108</v>
      </c>
      <c r="D664" s="3" t="str">
        <f>IFERROR(__xludf.DUMMYFUNCTION("""COMPUTED_VALUE"""),"#REF!")</f>
        <v>#REF!</v>
      </c>
      <c r="E664" s="54">
        <f>IFERROR(__xludf.DUMMYFUNCTION("""COMPUTED_VALUE"""),31000.0)</f>
        <v>31000</v>
      </c>
      <c r="F664" s="3" t="str">
        <f>IFERROR(__xludf.DUMMYFUNCTION("""COMPUTED_VALUE"""),"Syrah Tangencial")</f>
        <v>Syrah Tangencial</v>
      </c>
      <c r="G664" s="55">
        <f>IFERROR(__xludf.DUMMYFUNCTION("""COMPUTED_VALUE"""),13.5)</f>
        <v>13.5</v>
      </c>
      <c r="H664" s="56">
        <f>IFERROR(__xludf.DUMMYFUNCTION("""COMPUTED_VALUE"""),2.0)</f>
        <v>2</v>
      </c>
      <c r="I664" s="57">
        <f>IFERROR(__xludf.DUMMYFUNCTION("""COMPUTED_VALUE"""),0.58)</f>
        <v>0.58</v>
      </c>
      <c r="J664" s="57">
        <f>IFERROR(__xludf.DUMMYFUNCTION("""COMPUTED_VALUE"""),4.7)</f>
        <v>4.7</v>
      </c>
      <c r="K664" s="57">
        <f>IFERROR(__xludf.DUMMYFUNCTION("""COMPUTED_VALUE"""),3.58)</f>
        <v>3.58</v>
      </c>
      <c r="L664" s="54">
        <f>IFERROR(__xludf.DUMMYFUNCTION("""COMPUTED_VALUE"""),40.0)</f>
        <v>40</v>
      </c>
      <c r="M664" s="3">
        <f>IFERROR(__xludf.DUMMYFUNCTION("""COMPUTED_VALUE"""),115.0)</f>
        <v>115</v>
      </c>
      <c r="N664" s="3"/>
      <c r="O664" s="3"/>
      <c r="P664" s="3"/>
      <c r="Q664" s="3"/>
      <c r="R664" s="3"/>
      <c r="S664" s="3"/>
      <c r="T664" s="5"/>
      <c r="U664" s="5"/>
      <c r="V664" s="5"/>
      <c r="W664" s="5"/>
    </row>
    <row r="665" ht="15.75" customHeight="1">
      <c r="A665" s="3">
        <f>IFERROR(__xludf.DUMMYFUNCTION("""COMPUTED_VALUE"""),665.0)</f>
        <v>665</v>
      </c>
      <c r="B665" s="53">
        <f>IFERROR(__xludf.DUMMYFUNCTION("""COMPUTED_VALUE"""),45565.0)</f>
        <v>45565</v>
      </c>
      <c r="C665" s="3">
        <f>IFERROR(__xludf.DUMMYFUNCTION("""COMPUTED_VALUE"""),109.0)</f>
        <v>109</v>
      </c>
      <c r="D665" s="3" t="str">
        <f>IFERROR(__xludf.DUMMYFUNCTION("""COMPUTED_VALUE"""),"#REF!")</f>
        <v>#REF!</v>
      </c>
      <c r="E665" s="54">
        <f>IFERROR(__xludf.DUMMYFUNCTION("""COMPUTED_VALUE"""),15600.0)</f>
        <v>15600</v>
      </c>
      <c r="F665" s="3" t="str">
        <f>IFERROR(__xludf.DUMMYFUNCTION("""COMPUTED_VALUE"""),"Syrah Tangencial")</f>
        <v>Syrah Tangencial</v>
      </c>
      <c r="G665" s="55">
        <f>IFERROR(__xludf.DUMMYFUNCTION("""COMPUTED_VALUE"""),13.4)</f>
        <v>13.4</v>
      </c>
      <c r="H665" s="56">
        <f>IFERROR(__xludf.DUMMYFUNCTION("""COMPUTED_VALUE"""),2.0)</f>
        <v>2</v>
      </c>
      <c r="I665" s="57">
        <f>IFERROR(__xludf.DUMMYFUNCTION("""COMPUTED_VALUE"""),0.55)</f>
        <v>0.55</v>
      </c>
      <c r="J665" s="57">
        <f>IFERROR(__xludf.DUMMYFUNCTION("""COMPUTED_VALUE"""),4.8)</f>
        <v>4.8</v>
      </c>
      <c r="K665" s="57">
        <f>IFERROR(__xludf.DUMMYFUNCTION("""COMPUTED_VALUE"""),3.57)</f>
        <v>3.57</v>
      </c>
      <c r="L665" s="54">
        <f>IFERROR(__xludf.DUMMYFUNCTION("""COMPUTED_VALUE"""),42.0)</f>
        <v>42</v>
      </c>
      <c r="M665" s="3">
        <f>IFERROR(__xludf.DUMMYFUNCTION("""COMPUTED_VALUE"""),120.0)</f>
        <v>120</v>
      </c>
      <c r="N665" s="3"/>
      <c r="O665" s="3"/>
      <c r="P665" s="3"/>
      <c r="Q665" s="3"/>
      <c r="R665" s="3"/>
      <c r="S665" s="3"/>
      <c r="T665" s="5"/>
      <c r="U665" s="5"/>
      <c r="V665" s="5"/>
      <c r="W665" s="5"/>
    </row>
    <row r="666" ht="15.75" customHeight="1">
      <c r="A666" s="3">
        <f>IFERROR(__xludf.DUMMYFUNCTION("""COMPUTED_VALUE"""),666.0)</f>
        <v>666</v>
      </c>
      <c r="B666" s="53">
        <f>IFERROR(__xludf.DUMMYFUNCTION("""COMPUTED_VALUE"""),45565.0)</f>
        <v>45565</v>
      </c>
      <c r="C666" s="3">
        <f>IFERROR(__xludf.DUMMYFUNCTION("""COMPUTED_VALUE"""),110.0)</f>
        <v>110</v>
      </c>
      <c r="D666" s="3" t="str">
        <f>IFERROR(__xludf.DUMMYFUNCTION("""COMPUTED_VALUE"""),"#REF!")</f>
        <v>#REF!</v>
      </c>
      <c r="E666" s="54">
        <f>IFERROR(__xludf.DUMMYFUNCTION("""COMPUTED_VALUE"""),15600.0)</f>
        <v>15600</v>
      </c>
      <c r="F666" s="3" t="str">
        <f>IFERROR(__xludf.DUMMYFUNCTION("""COMPUTED_VALUE"""),"Syrah Tangencial")</f>
        <v>Syrah Tangencial</v>
      </c>
      <c r="G666" s="55">
        <f>IFERROR(__xludf.DUMMYFUNCTION("""COMPUTED_VALUE"""),13.5)</f>
        <v>13.5</v>
      </c>
      <c r="H666" s="56">
        <f>IFERROR(__xludf.DUMMYFUNCTION("""COMPUTED_VALUE"""),2.0)</f>
        <v>2</v>
      </c>
      <c r="I666" s="57">
        <f>IFERROR(__xludf.DUMMYFUNCTION("""COMPUTED_VALUE"""),0.57)</f>
        <v>0.57</v>
      </c>
      <c r="J666" s="57">
        <f>IFERROR(__xludf.DUMMYFUNCTION("""COMPUTED_VALUE"""),4.9)</f>
        <v>4.9</v>
      </c>
      <c r="K666" s="57">
        <f>IFERROR(__xludf.DUMMYFUNCTION("""COMPUTED_VALUE"""),3.55)</f>
        <v>3.55</v>
      </c>
      <c r="L666" s="54">
        <f>IFERROR(__xludf.DUMMYFUNCTION("""COMPUTED_VALUE"""),41.0)</f>
        <v>41</v>
      </c>
      <c r="M666" s="3">
        <f>IFERROR(__xludf.DUMMYFUNCTION("""COMPUTED_VALUE"""),125.0)</f>
        <v>125</v>
      </c>
      <c r="N666" s="3"/>
      <c r="O666" s="3"/>
      <c r="P666" s="3"/>
      <c r="Q666" s="3"/>
      <c r="R666" s="3"/>
      <c r="S666" s="3"/>
      <c r="T666" s="5"/>
      <c r="U666" s="5"/>
      <c r="V666" s="5"/>
      <c r="W666" s="5"/>
    </row>
    <row r="667" ht="15.75" customHeight="1">
      <c r="A667" s="3">
        <f>IFERROR(__xludf.DUMMYFUNCTION("""COMPUTED_VALUE"""),667.0)</f>
        <v>667</v>
      </c>
      <c r="B667" s="53">
        <f>IFERROR(__xludf.DUMMYFUNCTION("""COMPUTED_VALUE"""),45561.0)</f>
        <v>45561</v>
      </c>
      <c r="C667" s="3">
        <f>IFERROR(__xludf.DUMMYFUNCTION("""COMPUTED_VALUE"""),41.0)</f>
        <v>41</v>
      </c>
      <c r="D667" s="3" t="str">
        <f>IFERROR(__xludf.DUMMYFUNCTION("""COMPUTED_VALUE"""),"#REF!")</f>
        <v>#REF!</v>
      </c>
      <c r="E667" s="54">
        <f>IFERROR(__xludf.DUMMYFUNCTION("""COMPUTED_VALUE"""),35100.0)</f>
        <v>35100</v>
      </c>
      <c r="F667" s="3" t="str">
        <f>IFERROR(__xludf.DUMMYFUNCTION("""COMPUTED_VALUE"""),"Aspirant Tangencial")</f>
        <v>Aspirant Tangencial</v>
      </c>
      <c r="G667" s="55">
        <f>IFERROR(__xludf.DUMMYFUNCTION("""COMPUTED_VALUE"""),11.9)</f>
        <v>11.9</v>
      </c>
      <c r="H667" s="56">
        <f>IFERROR(__xludf.DUMMYFUNCTION("""COMPUTED_VALUE"""),2.0)</f>
        <v>2</v>
      </c>
      <c r="I667" s="57">
        <f>IFERROR(__xludf.DUMMYFUNCTION("""COMPUTED_VALUE"""),0.4)</f>
        <v>0.4</v>
      </c>
      <c r="J667" s="57">
        <f>IFERROR(__xludf.DUMMYFUNCTION("""COMPUTED_VALUE"""),5.43)</f>
        <v>5.43</v>
      </c>
      <c r="K667" s="57">
        <f>IFERROR(__xludf.DUMMYFUNCTION("""COMPUTED_VALUE"""),3.38)</f>
        <v>3.38</v>
      </c>
      <c r="L667" s="54">
        <f>IFERROR(__xludf.DUMMYFUNCTION("""COMPUTED_VALUE"""),38.0)</f>
        <v>38</v>
      </c>
      <c r="M667" s="3">
        <f>IFERROR(__xludf.DUMMYFUNCTION("""COMPUTED_VALUE"""),77.0)</f>
        <v>77</v>
      </c>
      <c r="N667" s="3"/>
      <c r="O667" s="3"/>
      <c r="P667" s="3"/>
      <c r="Q667" s="3"/>
      <c r="R667" s="3"/>
      <c r="S667" s="3"/>
      <c r="T667" s="5"/>
      <c r="U667" s="5"/>
      <c r="V667" s="5"/>
      <c r="W667" s="5"/>
    </row>
    <row r="668" ht="15.75" customHeight="1">
      <c r="A668" s="3">
        <f>IFERROR(__xludf.DUMMYFUNCTION("""COMPUTED_VALUE"""),668.0)</f>
        <v>668</v>
      </c>
      <c r="B668" s="53">
        <f>IFERROR(__xludf.DUMMYFUNCTION("""COMPUTED_VALUE"""),-611852.0)</f>
        <v>-611852</v>
      </c>
      <c r="C668" s="3">
        <f>IFERROR(__xludf.DUMMYFUNCTION("""COMPUTED_VALUE"""),30.0)</f>
        <v>30</v>
      </c>
      <c r="D668" s="3" t="str">
        <f>IFERROR(__xludf.DUMMYFUNCTION("""COMPUTED_VALUE"""),"#REF!")</f>
        <v>#REF!</v>
      </c>
      <c r="E668" s="3"/>
      <c r="F668" s="3" t="str">
        <f>IFERROR(__xludf.DUMMYFUNCTION("""COMPUTED_VALUE"""),"Aspirant Tangencial")</f>
        <v>Aspirant Tangencial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5"/>
      <c r="U668" s="5"/>
      <c r="V668" s="5"/>
      <c r="W668" s="5"/>
    </row>
    <row r="669" ht="15.75" customHeight="1">
      <c r="A669" s="3">
        <f>IFERROR(__xludf.DUMMYFUNCTION("""COMPUTED_VALUE"""),669.0)</f>
        <v>669</v>
      </c>
      <c r="B669" s="53">
        <f>IFERROR(__xludf.DUMMYFUNCTION("""COMPUTED_VALUE"""),45567.0)</f>
        <v>45567</v>
      </c>
      <c r="C669" s="3">
        <f>IFERROR(__xludf.DUMMYFUNCTION("""COMPUTED_VALUE"""),8.0)</f>
        <v>8</v>
      </c>
      <c r="D669" s="3" t="str">
        <f>IFERROR(__xludf.DUMMYFUNCTION("""COMPUTED_VALUE"""),"1.207")</f>
        <v>1.207</v>
      </c>
      <c r="E669" s="54">
        <f>IFERROR(__xludf.DUMMYFUNCTION("""COMPUTED_VALUE"""),22000.0)</f>
        <v>22000</v>
      </c>
      <c r="F669" s="3" t="str">
        <f>IFERROR(__xludf.DUMMYFUNCTION("""COMPUTED_VALUE"""),"Chardonnay")</f>
        <v>Chardonnay</v>
      </c>
      <c r="G669" s="3"/>
      <c r="H669" s="3"/>
      <c r="I669" s="3"/>
      <c r="J669" s="3"/>
      <c r="K669" s="3"/>
      <c r="L669" s="54">
        <f>IFERROR(__xludf.DUMMYFUNCTION("""COMPUTED_VALUE"""),35.0)</f>
        <v>35</v>
      </c>
      <c r="M669" s="3">
        <f>IFERROR(__xludf.DUMMYFUNCTION("""COMPUTED_VALUE"""),121.0)</f>
        <v>121</v>
      </c>
      <c r="N669" s="3"/>
      <c r="O669" s="3"/>
      <c r="P669" s="3"/>
      <c r="Q669" s="3"/>
      <c r="R669" s="3"/>
      <c r="S669" s="3"/>
      <c r="T669" s="5"/>
      <c r="U669" s="5"/>
      <c r="V669" s="5"/>
      <c r="W669" s="5"/>
    </row>
    <row r="670" ht="15.75" customHeight="1">
      <c r="A670" s="3">
        <f>IFERROR(__xludf.DUMMYFUNCTION("""COMPUTED_VALUE"""),670.0)</f>
        <v>670</v>
      </c>
      <c r="B670" s="53">
        <f>IFERROR(__xludf.DUMMYFUNCTION("""COMPUTED_VALUE"""),45567.0)</f>
        <v>45567</v>
      </c>
      <c r="C670" s="3">
        <f>IFERROR(__xludf.DUMMYFUNCTION("""COMPUTED_VALUE"""),10.0)</f>
        <v>10</v>
      </c>
      <c r="D670" s="3" t="str">
        <f>IFERROR(__xludf.DUMMYFUNCTION("""COMPUTED_VALUE"""),"1.208")</f>
        <v>1.208</v>
      </c>
      <c r="E670" s="54">
        <f>IFERROR(__xludf.DUMMYFUNCTION("""COMPUTED_VALUE"""),21000.0)</f>
        <v>21000</v>
      </c>
      <c r="F670" s="3" t="str">
        <f>IFERROR(__xludf.DUMMYFUNCTION("""COMPUTED_VALUE"""),"Chardonnay")</f>
        <v>Chardonnay</v>
      </c>
      <c r="G670" s="3"/>
      <c r="H670" s="3"/>
      <c r="I670" s="3"/>
      <c r="J670" s="3"/>
      <c r="K670" s="3"/>
      <c r="L670" s="54">
        <f>IFERROR(__xludf.DUMMYFUNCTION("""COMPUTED_VALUE"""),38.0)</f>
        <v>38</v>
      </c>
      <c r="M670" s="3">
        <f>IFERROR(__xludf.DUMMYFUNCTION("""COMPUTED_VALUE"""),130.0)</f>
        <v>130</v>
      </c>
      <c r="N670" s="3"/>
      <c r="O670" s="3"/>
      <c r="P670" s="3"/>
      <c r="Q670" s="3"/>
      <c r="R670" s="3"/>
      <c r="S670" s="3"/>
      <c r="T670" s="5"/>
      <c r="U670" s="5"/>
      <c r="V670" s="5"/>
      <c r="W670" s="5"/>
    </row>
    <row r="671" ht="15.75" customHeight="1">
      <c r="A671" s="3">
        <f>IFERROR(__xludf.DUMMYFUNCTION("""COMPUTED_VALUE"""),671.0)</f>
        <v>671</v>
      </c>
      <c r="B671" s="53">
        <f>IFERROR(__xludf.DUMMYFUNCTION("""COMPUTED_VALUE"""),45567.0)</f>
        <v>45567</v>
      </c>
      <c r="C671" s="3">
        <f>IFERROR(__xludf.DUMMYFUNCTION("""COMPUTED_VALUE"""),46.0)</f>
        <v>46</v>
      </c>
      <c r="D671" s="3" t="str">
        <f>IFERROR(__xludf.DUMMYFUNCTION("""COMPUTED_VALUE"""),"1.206")</f>
        <v>1.206</v>
      </c>
      <c r="E671" s="54">
        <f>IFERROR(__xludf.DUMMYFUNCTION("""COMPUTED_VALUE"""),29000.0)</f>
        <v>29000</v>
      </c>
      <c r="F671" s="3" t="str">
        <f>IFERROR(__xludf.DUMMYFUNCTION("""COMPUTED_VALUE"""),"Chardonnay")</f>
        <v>Chardonnay</v>
      </c>
      <c r="G671" s="3"/>
      <c r="H671" s="3"/>
      <c r="I671" s="3"/>
      <c r="J671" s="3"/>
      <c r="K671" s="3"/>
      <c r="L671" s="54">
        <f>IFERROR(__xludf.DUMMYFUNCTION("""COMPUTED_VALUE"""),36.0)</f>
        <v>36</v>
      </c>
      <c r="M671" s="3">
        <f>IFERROR(__xludf.DUMMYFUNCTION("""COMPUTED_VALUE"""),120.0)</f>
        <v>120</v>
      </c>
      <c r="N671" s="3"/>
      <c r="O671" s="3"/>
      <c r="P671" s="3"/>
      <c r="Q671" s="3"/>
      <c r="R671" s="3"/>
      <c r="S671" s="3"/>
      <c r="T671" s="5"/>
      <c r="U671" s="5"/>
      <c r="V671" s="5"/>
      <c r="W671" s="5"/>
    </row>
    <row r="672" ht="15.75" customHeight="1">
      <c r="A672" s="3">
        <f>IFERROR(__xludf.DUMMYFUNCTION("""COMPUTED_VALUE"""),672.0)</f>
        <v>672</v>
      </c>
      <c r="B672" s="53">
        <f>IFERROR(__xludf.DUMMYFUNCTION("""COMPUTED_VALUE"""),45567.0)</f>
        <v>45567</v>
      </c>
      <c r="C672" s="3">
        <f>IFERROR(__xludf.DUMMYFUNCTION("""COMPUTED_VALUE"""),52.0)</f>
        <v>52</v>
      </c>
      <c r="D672" s="3" t="str">
        <f>IFERROR(__xludf.DUMMYFUNCTION("""COMPUTED_VALUE"""),"1.205")</f>
        <v>1.205</v>
      </c>
      <c r="E672" s="54">
        <f>IFERROR(__xludf.DUMMYFUNCTION("""COMPUTED_VALUE"""),27000.0)</f>
        <v>27000</v>
      </c>
      <c r="F672" s="3" t="str">
        <f>IFERROR(__xludf.DUMMYFUNCTION("""COMPUTED_VALUE"""),"Chardonnay")</f>
        <v>Chardonnay</v>
      </c>
      <c r="G672" s="3"/>
      <c r="H672" s="3"/>
      <c r="I672" s="3"/>
      <c r="J672" s="3"/>
      <c r="K672" s="3"/>
      <c r="L672" s="54">
        <f>IFERROR(__xludf.DUMMYFUNCTION("""COMPUTED_VALUE"""),33.0)</f>
        <v>33</v>
      </c>
      <c r="M672" s="3">
        <f>IFERROR(__xludf.DUMMYFUNCTION("""COMPUTED_VALUE"""),115.0)</f>
        <v>115</v>
      </c>
      <c r="N672" s="3"/>
      <c r="O672" s="3"/>
      <c r="P672" s="3"/>
      <c r="Q672" s="3"/>
      <c r="R672" s="3"/>
      <c r="S672" s="3"/>
      <c r="T672" s="5"/>
      <c r="U672" s="5"/>
      <c r="V672" s="5"/>
      <c r="W672" s="5"/>
    </row>
    <row r="673" ht="15.75" customHeight="1">
      <c r="A673" s="3">
        <f>IFERROR(__xludf.DUMMYFUNCTION("""COMPUTED_VALUE"""),673.0)</f>
        <v>673</v>
      </c>
      <c r="B673" s="53">
        <f>IFERROR(__xludf.DUMMYFUNCTION("""COMPUTED_VALUE"""),45567.0)</f>
        <v>45567</v>
      </c>
      <c r="C673" s="3">
        <f>IFERROR(__xludf.DUMMYFUNCTION("""COMPUTED_VALUE"""),54.0)</f>
        <v>54</v>
      </c>
      <c r="D673" s="3" t="str">
        <f>IFERROR(__xludf.DUMMYFUNCTION("""COMPUTED_VALUE"""),"1.165")</f>
        <v>1.165</v>
      </c>
      <c r="E673" s="54">
        <f>IFERROR(__xludf.DUMMYFUNCTION("""COMPUTED_VALUE"""),22900.0)</f>
        <v>22900</v>
      </c>
      <c r="F673" s="3" t="str">
        <f>IFERROR(__xludf.DUMMYFUNCTION("""COMPUTED_VALUE"""),"Pedro Gimenez")</f>
        <v>Pedro Gimenez</v>
      </c>
      <c r="G673" s="3"/>
      <c r="H673" s="3"/>
      <c r="I673" s="3"/>
      <c r="J673" s="3"/>
      <c r="K673" s="3"/>
      <c r="L673" s="54">
        <f>IFERROR(__xludf.DUMMYFUNCTION("""COMPUTED_VALUE"""),37.0)</f>
        <v>37</v>
      </c>
      <c r="M673" s="3">
        <f>IFERROR(__xludf.DUMMYFUNCTION("""COMPUTED_VALUE"""),147.0)</f>
        <v>147</v>
      </c>
      <c r="N673" s="3"/>
      <c r="O673" s="3"/>
      <c r="P673" s="3"/>
      <c r="Q673" s="3"/>
      <c r="R673" s="3"/>
      <c r="S673" s="3"/>
      <c r="T673" s="5"/>
      <c r="U673" s="5"/>
      <c r="V673" s="5"/>
      <c r="W673" s="5"/>
    </row>
    <row r="674" ht="15.75" customHeight="1">
      <c r="A674" s="3">
        <f>IFERROR(__xludf.DUMMYFUNCTION("""COMPUTED_VALUE"""),674.0)</f>
        <v>674</v>
      </c>
      <c r="B674" s="53">
        <f>IFERROR(__xludf.DUMMYFUNCTION("""COMPUTED_VALUE"""),45567.0)</f>
        <v>45567</v>
      </c>
      <c r="C674" s="3">
        <f>IFERROR(__xludf.DUMMYFUNCTION("""COMPUTED_VALUE"""),51.0)</f>
        <v>51</v>
      </c>
      <c r="D674" s="3" t="str">
        <f>IFERROR(__xludf.DUMMYFUNCTION("""COMPUTED_VALUE"""),"1.118")</f>
        <v>1.118</v>
      </c>
      <c r="E674" s="54">
        <f>IFERROR(__xludf.DUMMYFUNCTION("""COMPUTED_VALUE"""),3900.0)</f>
        <v>3900</v>
      </c>
      <c r="F674" s="3" t="str">
        <f>IFERROR(__xludf.DUMMYFUNCTION("""COMPUTED_VALUE"""),"Syrah Rosado")</f>
        <v>Syrah Rosado</v>
      </c>
      <c r="G674" s="3"/>
      <c r="H674" s="3"/>
      <c r="I674" s="3"/>
      <c r="J674" s="3"/>
      <c r="K674" s="3"/>
      <c r="L674" s="54">
        <f>IFERROR(__xludf.DUMMYFUNCTION("""COMPUTED_VALUE"""),33.0)</f>
        <v>33</v>
      </c>
      <c r="M674" s="3">
        <f>IFERROR(__xludf.DUMMYFUNCTION("""COMPUTED_VALUE"""),140.0)</f>
        <v>140</v>
      </c>
      <c r="N674" s="3"/>
      <c r="O674" s="3"/>
      <c r="P674" s="3"/>
      <c r="Q674" s="3"/>
      <c r="R674" s="3"/>
      <c r="S674" s="3"/>
      <c r="T674" s="5"/>
      <c r="U674" s="5"/>
      <c r="V674" s="5"/>
      <c r="W674" s="5"/>
    </row>
    <row r="675" ht="15.75" customHeight="1">
      <c r="A675" s="3">
        <f>IFERROR(__xludf.DUMMYFUNCTION("""COMPUTED_VALUE"""),675.0)</f>
        <v>675</v>
      </c>
      <c r="B675" s="53">
        <f>IFERROR(__xludf.DUMMYFUNCTION("""COMPUTED_VALUE"""),45567.0)</f>
        <v>45567</v>
      </c>
      <c r="C675" s="3">
        <f>IFERROR(__xludf.DUMMYFUNCTION("""COMPUTED_VALUE"""),50.0)</f>
        <v>50</v>
      </c>
      <c r="D675" s="3" t="str">
        <f>IFERROR(__xludf.DUMMYFUNCTION("""COMPUTED_VALUE"""),"1.255")</f>
        <v>1.255</v>
      </c>
      <c r="E675" s="54">
        <f>IFERROR(__xludf.DUMMYFUNCTION("""COMPUTED_VALUE"""),5100.0)</f>
        <v>5100</v>
      </c>
      <c r="F675" s="3" t="str">
        <f>IFERROR(__xludf.DUMMYFUNCTION("""COMPUTED_VALUE"""),"Chardonnay")</f>
        <v>Chardonnay</v>
      </c>
      <c r="G675" s="3"/>
      <c r="H675" s="3"/>
      <c r="I675" s="3"/>
      <c r="J675" s="3"/>
      <c r="K675" s="3"/>
      <c r="L675" s="54">
        <f>IFERROR(__xludf.DUMMYFUNCTION("""COMPUTED_VALUE"""),44.0)</f>
        <v>44</v>
      </c>
      <c r="M675" s="3"/>
      <c r="N675" s="3"/>
      <c r="O675" s="3"/>
      <c r="P675" s="3"/>
      <c r="Q675" s="3"/>
      <c r="R675" s="3"/>
      <c r="S675" s="3"/>
      <c r="T675" s="5"/>
      <c r="U675" s="5"/>
      <c r="V675" s="5"/>
      <c r="W675" s="5"/>
    </row>
    <row r="676" ht="15.75" customHeight="1">
      <c r="A676" s="3">
        <f>IFERROR(__xludf.DUMMYFUNCTION("""COMPUTED_VALUE"""),676.0)</f>
        <v>676</v>
      </c>
      <c r="B676" s="53">
        <f>IFERROR(__xludf.DUMMYFUNCTION("""COMPUTED_VALUE"""),45567.0)</f>
        <v>45567</v>
      </c>
      <c r="C676" s="3">
        <f>IFERROR(__xludf.DUMMYFUNCTION("""COMPUTED_VALUE"""),66.0)</f>
        <v>66</v>
      </c>
      <c r="D676" s="3" t="str">
        <f>IFERROR(__xludf.DUMMYFUNCTION("""COMPUTED_VALUE"""),"1.216")</f>
        <v>1.216</v>
      </c>
      <c r="E676" s="54">
        <f>IFERROR(__xludf.DUMMYFUNCTION("""COMPUTED_VALUE"""),23000.0)</f>
        <v>23000</v>
      </c>
      <c r="F676" s="3" t="str">
        <f>IFERROR(__xludf.DUMMYFUNCTION("""COMPUTED_VALUE"""),"Chardonnay")</f>
        <v>Chardonnay</v>
      </c>
      <c r="G676" s="3"/>
      <c r="H676" s="3"/>
      <c r="I676" s="3"/>
      <c r="J676" s="3"/>
      <c r="K676" s="3"/>
      <c r="L676" s="54">
        <f>IFERROR(__xludf.DUMMYFUNCTION("""COMPUTED_VALUE"""),36.0)</f>
        <v>36</v>
      </c>
      <c r="M676" s="3"/>
      <c r="N676" s="3"/>
      <c r="O676" s="3"/>
      <c r="P676" s="3"/>
      <c r="Q676" s="3"/>
      <c r="R676" s="3"/>
      <c r="S676" s="3"/>
      <c r="T676" s="5"/>
      <c r="U676" s="5"/>
      <c r="V676" s="5"/>
      <c r="W676" s="5"/>
    </row>
    <row r="677" ht="15.75" customHeight="1">
      <c r="A677" s="3">
        <f>IFERROR(__xludf.DUMMYFUNCTION("""COMPUTED_VALUE"""),677.0)</f>
        <v>677</v>
      </c>
      <c r="B677" s="53">
        <f>IFERROR(__xludf.DUMMYFUNCTION("""COMPUTED_VALUE"""),45567.0)</f>
        <v>45567</v>
      </c>
      <c r="C677" s="3">
        <f>IFERROR(__xludf.DUMMYFUNCTION("""COMPUTED_VALUE"""),90.0)</f>
        <v>90</v>
      </c>
      <c r="D677" s="3" t="str">
        <f>IFERROR(__xludf.DUMMYFUNCTION("""COMPUTED_VALUE"""),"#REF!")</f>
        <v>#REF!</v>
      </c>
      <c r="E677" s="54">
        <f>IFERROR(__xludf.DUMMYFUNCTION("""COMPUTED_VALUE"""),97500.0)</f>
        <v>97500</v>
      </c>
      <c r="F677" s="3" t="str">
        <f>IFERROR(__xludf.DUMMYFUNCTION("""COMPUTED_VALUE"""),"Syrah")</f>
        <v>Syrah</v>
      </c>
      <c r="G677" s="55">
        <f>IFERROR(__xludf.DUMMYFUNCTION("""COMPUTED_VALUE"""),13.4)</f>
        <v>13.4</v>
      </c>
      <c r="H677" s="56">
        <f>IFERROR(__xludf.DUMMYFUNCTION("""COMPUTED_VALUE"""),2.0)</f>
        <v>2</v>
      </c>
      <c r="I677" s="57">
        <f>IFERROR(__xludf.DUMMYFUNCTION("""COMPUTED_VALUE"""),0.57)</f>
        <v>0.57</v>
      </c>
      <c r="J677" s="57">
        <f>IFERROR(__xludf.DUMMYFUNCTION("""COMPUTED_VALUE"""),4.8)</f>
        <v>4.8</v>
      </c>
      <c r="K677" s="57">
        <f>IFERROR(__xludf.DUMMYFUNCTION("""COMPUTED_VALUE"""),3.5)</f>
        <v>3.5</v>
      </c>
      <c r="L677" s="54">
        <f>IFERROR(__xludf.DUMMYFUNCTION("""COMPUTED_VALUE"""),40.0)</f>
        <v>40</v>
      </c>
      <c r="M677" s="3">
        <f>IFERROR(__xludf.DUMMYFUNCTION("""COMPUTED_VALUE"""),120.0)</f>
        <v>120</v>
      </c>
      <c r="N677" s="3"/>
      <c r="O677" s="3"/>
      <c r="P677" s="3"/>
      <c r="Q677" s="3"/>
      <c r="R677" s="3"/>
      <c r="S677" s="3"/>
      <c r="T677" s="5"/>
      <c r="U677" s="5"/>
      <c r="V677" s="5"/>
      <c r="W677" s="5"/>
    </row>
    <row r="678" ht="15.75" customHeight="1">
      <c r="A678" s="3">
        <f>IFERROR(__xludf.DUMMYFUNCTION("""COMPUTED_VALUE"""),678.0)</f>
        <v>678</v>
      </c>
      <c r="B678" s="53">
        <f>IFERROR(__xludf.DUMMYFUNCTION("""COMPUTED_VALUE"""),45567.0)</f>
        <v>45567</v>
      </c>
      <c r="C678" s="3">
        <f>IFERROR(__xludf.DUMMYFUNCTION("""COMPUTED_VALUE"""),91.0)</f>
        <v>91</v>
      </c>
      <c r="D678" s="3" t="str">
        <f>IFERROR(__xludf.DUMMYFUNCTION("""COMPUTED_VALUE"""),"#REF!")</f>
        <v>#REF!</v>
      </c>
      <c r="E678" s="54">
        <f>IFERROR(__xludf.DUMMYFUNCTION("""COMPUTED_VALUE"""),86000.0)</f>
        <v>86000</v>
      </c>
      <c r="F678" s="3" t="str">
        <f>IFERROR(__xludf.DUMMYFUNCTION("""COMPUTED_VALUE"""),"Syrah")</f>
        <v>Syrah</v>
      </c>
      <c r="G678" s="55">
        <f>IFERROR(__xludf.DUMMYFUNCTION("""COMPUTED_VALUE"""),13.5)</f>
        <v>13.5</v>
      </c>
      <c r="H678" s="56">
        <f>IFERROR(__xludf.DUMMYFUNCTION("""COMPUTED_VALUE"""),2.0)</f>
        <v>2</v>
      </c>
      <c r="I678" s="57">
        <f>IFERROR(__xludf.DUMMYFUNCTION("""COMPUTED_VALUE"""),0.58)</f>
        <v>0.58</v>
      </c>
      <c r="J678" s="57">
        <f>IFERROR(__xludf.DUMMYFUNCTION("""COMPUTED_VALUE"""),4.9)</f>
        <v>4.9</v>
      </c>
      <c r="K678" s="57">
        <f>IFERROR(__xludf.DUMMYFUNCTION("""COMPUTED_VALUE"""),3.55)</f>
        <v>3.55</v>
      </c>
      <c r="L678" s="54">
        <f>IFERROR(__xludf.DUMMYFUNCTION("""COMPUTED_VALUE"""),38.0)</f>
        <v>38</v>
      </c>
      <c r="M678" s="3">
        <f>IFERROR(__xludf.DUMMYFUNCTION("""COMPUTED_VALUE"""),115.0)</f>
        <v>115</v>
      </c>
      <c r="N678" s="3"/>
      <c r="O678" s="3"/>
      <c r="P678" s="3"/>
      <c r="Q678" s="3"/>
      <c r="R678" s="3"/>
      <c r="S678" s="3"/>
      <c r="T678" s="5"/>
      <c r="U678" s="5"/>
      <c r="V678" s="5"/>
      <c r="W678" s="5"/>
    </row>
    <row r="679" ht="15.75" customHeight="1">
      <c r="A679" s="3">
        <f>IFERROR(__xludf.DUMMYFUNCTION("""COMPUTED_VALUE"""),679.0)</f>
        <v>679</v>
      </c>
      <c r="B679" s="53">
        <f>IFERROR(__xludf.DUMMYFUNCTION("""COMPUTED_VALUE"""),45568.0)</f>
        <v>45568</v>
      </c>
      <c r="C679" s="3">
        <f>IFERROR(__xludf.DUMMYFUNCTION("""COMPUTED_VALUE"""),42.0)</f>
        <v>42</v>
      </c>
      <c r="D679" s="3" t="str">
        <f>IFERROR(__xludf.DUMMYFUNCTION("""COMPUTED_VALUE"""),"#REF!")</f>
        <v>#REF!</v>
      </c>
      <c r="E679" s="54">
        <f>IFERROR(__xludf.DUMMYFUNCTION("""COMPUTED_VALUE"""),35900.0)</f>
        <v>35900</v>
      </c>
      <c r="F679" s="3" t="str">
        <f>IFERROR(__xludf.DUMMYFUNCTION("""COMPUTED_VALUE"""),"Syrah/Aspirant")</f>
        <v>Syrah/Aspirant</v>
      </c>
      <c r="G679" s="3"/>
      <c r="H679" s="56">
        <f>IFERROR(__xludf.DUMMYFUNCTION("""COMPUTED_VALUE"""),2.0)</f>
        <v>2</v>
      </c>
      <c r="I679" s="3"/>
      <c r="J679" s="3"/>
      <c r="K679" s="3"/>
      <c r="L679" s="54">
        <f>IFERROR(__xludf.DUMMYFUNCTION("""COMPUTED_VALUE"""),36.0)</f>
        <v>36</v>
      </c>
      <c r="M679" s="3">
        <f>IFERROR(__xludf.DUMMYFUNCTION("""COMPUTED_VALUE"""),137.0)</f>
        <v>137</v>
      </c>
      <c r="N679" s="3"/>
      <c r="O679" s="3"/>
      <c r="P679" s="3"/>
      <c r="Q679" s="3"/>
      <c r="R679" s="3"/>
      <c r="S679" s="3"/>
      <c r="T679" s="5"/>
      <c r="U679" s="5"/>
      <c r="V679" s="5"/>
      <c r="W679" s="5"/>
    </row>
    <row r="680" ht="15.75" customHeight="1">
      <c r="A680" s="3">
        <f>IFERROR(__xludf.DUMMYFUNCTION("""COMPUTED_VALUE"""),680.0)</f>
        <v>680</v>
      </c>
      <c r="B680" s="53">
        <f>IFERROR(__xludf.DUMMYFUNCTION("""COMPUTED_VALUE"""),45569.0)</f>
        <v>45569</v>
      </c>
      <c r="C680" s="3">
        <f>IFERROR(__xludf.DUMMYFUNCTION("""COMPUTED_VALUE"""),42.0)</f>
        <v>42</v>
      </c>
      <c r="D680" s="3" t="str">
        <f>IFERROR(__xludf.DUMMYFUNCTION("""COMPUTED_VALUE"""),"359")</f>
        <v>359</v>
      </c>
      <c r="E680" s="3"/>
      <c r="F680" s="3" t="str">
        <f>IFERROR(__xludf.DUMMYFUNCTION("""COMPUTED_VALUE"""),"Corte Posible Malbec Garbin cubeta nueva")</f>
        <v>Corte Posible Malbec Garbin cubeta nueva</v>
      </c>
      <c r="G680" s="3"/>
      <c r="H680" s="3"/>
      <c r="I680" s="3"/>
      <c r="J680" s="3"/>
      <c r="K680" s="3"/>
      <c r="L680" s="3"/>
      <c r="M680" s="3"/>
      <c r="N680" s="3"/>
      <c r="O680" s="3">
        <f>IFERROR(__xludf.DUMMYFUNCTION("""COMPUTED_VALUE"""),370.0)</f>
        <v>370</v>
      </c>
      <c r="P680" s="3">
        <f>IFERROR(__xludf.DUMMYFUNCTION("""COMPUTED_VALUE"""),537.0)</f>
        <v>537</v>
      </c>
      <c r="Q680" s="3"/>
      <c r="R680" s="3">
        <f>IFERROR(__xludf.DUMMYFUNCTION("""COMPUTED_VALUE"""),907.0)</f>
        <v>907</v>
      </c>
      <c r="S680" s="54">
        <f>IFERROR(__xludf.DUMMYFUNCTION("""COMPUTED_VALUE"""),1316.3756756756757)</f>
        <v>1316.375676</v>
      </c>
      <c r="T680" s="5"/>
      <c r="U680" s="5"/>
      <c r="V680" s="5"/>
      <c r="W680" s="5"/>
    </row>
    <row r="681" ht="15.75" customHeight="1">
      <c r="A681" s="3">
        <f>IFERROR(__xludf.DUMMYFUNCTION("""COMPUTED_VALUE"""),681.0)</f>
        <v>681</v>
      </c>
      <c r="B681" s="53">
        <f>IFERROR(__xludf.DUMMYFUNCTION("""COMPUTED_VALUE"""),45569.0)</f>
        <v>45569</v>
      </c>
      <c r="C681" s="3">
        <f>IFERROR(__xludf.DUMMYFUNCTION("""COMPUTED_VALUE"""),114.0)</f>
        <v>114</v>
      </c>
      <c r="D681" s="3" t="str">
        <f>IFERROR(__xludf.DUMMYFUNCTION("""COMPUTED_VALUE"""),"353")</f>
        <v>353</v>
      </c>
      <c r="E681" s="3"/>
      <c r="F681" s="3" t="str">
        <f>IFERROR(__xludf.DUMMYFUNCTION("""COMPUTED_VALUE"""),"Corte Posible Malbec Garbin cubeta rota")</f>
        <v>Corte Posible Malbec Garbin cubeta rota</v>
      </c>
      <c r="G681" s="3"/>
      <c r="H681" s="3"/>
      <c r="I681" s="3"/>
      <c r="J681" s="3"/>
      <c r="K681" s="3"/>
      <c r="L681" s="3"/>
      <c r="M681" s="3"/>
      <c r="N681" s="3"/>
      <c r="O681" s="3">
        <f>IFERROR(__xludf.DUMMYFUNCTION("""COMPUTED_VALUE"""),340.0)</f>
        <v>340</v>
      </c>
      <c r="P681" s="3">
        <f>IFERROR(__xludf.DUMMYFUNCTION("""COMPUTED_VALUE"""),518.0)</f>
        <v>518</v>
      </c>
      <c r="Q681" s="3"/>
      <c r="R681" s="3">
        <f>IFERROR(__xludf.DUMMYFUNCTION("""COMPUTED_VALUE"""),858.0)</f>
        <v>858</v>
      </c>
      <c r="S681" s="54">
        <f>IFERROR(__xludf.DUMMYFUNCTION("""COMPUTED_VALUE"""),1307.1882352941177)</f>
        <v>1307.188235</v>
      </c>
      <c r="T681" s="5"/>
      <c r="U681" s="5"/>
      <c r="V681" s="5"/>
      <c r="W681" s="5"/>
    </row>
    <row r="682" ht="15.75" customHeight="1">
      <c r="A682" s="3">
        <f>IFERROR(__xludf.DUMMYFUNCTION("""COMPUTED_VALUE"""),682.0)</f>
        <v>682</v>
      </c>
      <c r="B682" s="53">
        <f>IFERROR(__xludf.DUMMYFUNCTION("""COMPUTED_VALUE"""),45588.0)</f>
        <v>45588</v>
      </c>
      <c r="C682" s="3">
        <f>IFERROR(__xludf.DUMMYFUNCTION("""COMPUTED_VALUE"""),74.0)</f>
        <v>74</v>
      </c>
      <c r="D682" s="3" t="str">
        <f>IFERROR(__xludf.DUMMYFUNCTION("""COMPUTED_VALUE"""),"c4f0d9b2")</f>
        <v>c4f0d9b2</v>
      </c>
      <c r="E682" s="54">
        <f>IFERROR(__xludf.DUMMYFUNCTION("""COMPUTED_VALUE"""),13000.0)</f>
        <v>13000</v>
      </c>
      <c r="F682" s="3" t="str">
        <f>IFERROR(__xludf.DUMMYFUNCTION("""COMPUTED_VALUE"""),"Malbec a fraccionar")</f>
        <v>Malbec a fraccionar</v>
      </c>
      <c r="G682" s="55">
        <f>IFERROR(__xludf.DUMMYFUNCTION("""COMPUTED_VALUE"""),13.1)</f>
        <v>13.1</v>
      </c>
      <c r="H682" s="56">
        <f>IFERROR(__xludf.DUMMYFUNCTION("""COMPUTED_VALUE"""),2.0)</f>
        <v>2</v>
      </c>
      <c r="I682" s="57">
        <f>IFERROR(__xludf.DUMMYFUNCTION("""COMPUTED_VALUE"""),0.65)</f>
        <v>0.65</v>
      </c>
      <c r="J682" s="57">
        <f>IFERROR(__xludf.DUMMYFUNCTION("""COMPUTED_VALUE"""),5.0)</f>
        <v>5</v>
      </c>
      <c r="K682" s="57">
        <f>IFERROR(__xludf.DUMMYFUNCTION("""COMPUTED_VALUE"""),3.55)</f>
        <v>3.55</v>
      </c>
      <c r="L682" s="54">
        <f>IFERROR(__xludf.DUMMYFUNCTION("""COMPUTED_VALUE"""),38.0)</f>
        <v>38</v>
      </c>
      <c r="M682" s="3">
        <f>IFERROR(__xludf.DUMMYFUNCTION("""COMPUTED_VALUE"""),150.0)</f>
        <v>150</v>
      </c>
      <c r="N682" s="3"/>
      <c r="O682" s="3"/>
      <c r="P682" s="3"/>
      <c r="Q682" s="3"/>
      <c r="R682" s="3"/>
      <c r="S682" s="3"/>
      <c r="T682" s="5"/>
      <c r="U682" s="5"/>
      <c r="V682" s="5"/>
      <c r="W682" s="5"/>
    </row>
    <row r="683" ht="15.75" customHeight="1">
      <c r="A683" s="3">
        <f>IFERROR(__xludf.DUMMYFUNCTION("""COMPUTED_VALUE"""),683.0)</f>
        <v>683</v>
      </c>
      <c r="B683" s="53">
        <f>IFERROR(__xludf.DUMMYFUNCTION("""COMPUTED_VALUE"""),45588.0)</f>
        <v>45588</v>
      </c>
      <c r="C683" s="3">
        <f>IFERROR(__xludf.DUMMYFUNCTION("""COMPUTED_VALUE"""),111.0)</f>
        <v>111</v>
      </c>
      <c r="D683" s="3" t="str">
        <f>IFERROR(__xludf.DUMMYFUNCTION("""COMPUTED_VALUE"""),"#REF!")</f>
        <v>#REF!</v>
      </c>
      <c r="E683" s="54">
        <f>IFERROR(__xludf.DUMMYFUNCTION("""COMPUTED_VALUE"""),4000.0)</f>
        <v>4000</v>
      </c>
      <c r="F683" s="3" t="str">
        <f>IFERROR(__xludf.DUMMYFUNCTION("""COMPUTED_VALUE"""),"Malbec a fraccionar")</f>
        <v>Malbec a fraccionar</v>
      </c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5"/>
      <c r="U683" s="5"/>
      <c r="V683" s="5"/>
      <c r="W683" s="5"/>
    </row>
    <row r="684" ht="15.75" customHeight="1">
      <c r="A684" s="3">
        <f>IFERROR(__xludf.DUMMYFUNCTION("""COMPUTED_VALUE"""),684.0)</f>
        <v>684</v>
      </c>
      <c r="B684" s="53">
        <f>IFERROR(__xludf.DUMMYFUNCTION("""COMPUTED_VALUE"""),45593.0)</f>
        <v>45593</v>
      </c>
      <c r="C684" s="3">
        <f>IFERROR(__xludf.DUMMYFUNCTION("""COMPUTED_VALUE"""),25.0)</f>
        <v>25</v>
      </c>
      <c r="D684" s="3" t="str">
        <f>IFERROR(__xludf.DUMMYFUNCTION("""COMPUTED_VALUE"""),"#REF!")</f>
        <v>#REF!</v>
      </c>
      <c r="E684" s="54">
        <f>IFERROR(__xludf.DUMMYFUNCTION("""COMPUTED_VALUE"""),194300.0)</f>
        <v>194300</v>
      </c>
      <c r="F684" s="3" t="str">
        <f>IFERROR(__xludf.DUMMYFUNCTION("""COMPUTED_VALUE"""),"Cabernet Sauvignon 2024")</f>
        <v>Cabernet Sauvignon 2024</v>
      </c>
      <c r="G684" s="55">
        <f>IFERROR(__xludf.DUMMYFUNCTION("""COMPUTED_VALUE"""),12.7)</f>
        <v>12.7</v>
      </c>
      <c r="H684" s="56">
        <f>IFERROR(__xludf.DUMMYFUNCTION("""COMPUTED_VALUE"""),2.0)</f>
        <v>2</v>
      </c>
      <c r="I684" s="57">
        <f>IFERROR(__xludf.DUMMYFUNCTION("""COMPUTED_VALUE"""),0.68)</f>
        <v>0.68</v>
      </c>
      <c r="J684" s="57">
        <f>IFERROR(__xludf.DUMMYFUNCTION("""COMPUTED_VALUE"""),5.3)</f>
        <v>5.3</v>
      </c>
      <c r="K684" s="57">
        <f>IFERROR(__xludf.DUMMYFUNCTION("""COMPUTED_VALUE"""),3.55)</f>
        <v>3.55</v>
      </c>
      <c r="L684" s="54">
        <f>IFERROR(__xludf.DUMMYFUNCTION("""COMPUTED_VALUE"""),40.0)</f>
        <v>40</v>
      </c>
      <c r="M684" s="3">
        <f>IFERROR(__xludf.DUMMYFUNCTION("""COMPUTED_VALUE"""),166.0)</f>
        <v>166</v>
      </c>
      <c r="N684" s="3"/>
      <c r="O684" s="3"/>
      <c r="P684" s="3"/>
      <c r="Q684" s="3"/>
      <c r="R684" s="3"/>
      <c r="S684" s="3"/>
      <c r="T684" s="5"/>
      <c r="U684" s="5"/>
      <c r="V684" s="5"/>
      <c r="W684" s="5"/>
    </row>
    <row r="685" ht="15.75" customHeight="1">
      <c r="A685" s="3">
        <f>IFERROR(__xludf.DUMMYFUNCTION("""COMPUTED_VALUE"""),685.0)</f>
        <v>685</v>
      </c>
      <c r="B685" s="53">
        <f>IFERROR(__xludf.DUMMYFUNCTION("""COMPUTED_VALUE"""),45594.0)</f>
        <v>45594</v>
      </c>
      <c r="C685" s="3">
        <f>IFERROR(__xludf.DUMMYFUNCTION("""COMPUTED_VALUE"""),70.0)</f>
        <v>70</v>
      </c>
      <c r="D685" s="3" t="str">
        <f>IFERROR(__xludf.DUMMYFUNCTION("""COMPUTED_VALUE"""),"#REF!")</f>
        <v>#REF!</v>
      </c>
      <c r="E685" s="54">
        <f>IFERROR(__xludf.DUMMYFUNCTION("""COMPUTED_VALUE"""),13000.0)</f>
        <v>13000</v>
      </c>
      <c r="F685" s="3" t="str">
        <f>IFERROR(__xludf.DUMMYFUNCTION("""COMPUTED_VALUE"""),"Cabernet Sauvignon 2024")</f>
        <v>Cabernet Sauvignon 2024</v>
      </c>
      <c r="G685" s="55">
        <f>IFERROR(__xludf.DUMMYFUNCTION("""COMPUTED_VALUE"""),12.8)</f>
        <v>12.8</v>
      </c>
      <c r="H685" s="56">
        <f>IFERROR(__xludf.DUMMYFUNCTION("""COMPUTED_VALUE"""),2.0)</f>
        <v>2</v>
      </c>
      <c r="I685" s="57">
        <f>IFERROR(__xludf.DUMMYFUNCTION("""COMPUTED_VALUE"""),0.72)</f>
        <v>0.72</v>
      </c>
      <c r="J685" s="57">
        <f>IFERROR(__xludf.DUMMYFUNCTION("""COMPUTED_VALUE"""),5.12)</f>
        <v>5.12</v>
      </c>
      <c r="K685" s="57">
        <f>IFERROR(__xludf.DUMMYFUNCTION("""COMPUTED_VALUE"""),3.61)</f>
        <v>3.61</v>
      </c>
      <c r="L685" s="54">
        <f>IFERROR(__xludf.DUMMYFUNCTION("""COMPUTED_VALUE"""),32.0)</f>
        <v>32</v>
      </c>
      <c r="M685" s="3">
        <f>IFERROR(__xludf.DUMMYFUNCTION("""COMPUTED_VALUE"""),140.0)</f>
        <v>140</v>
      </c>
      <c r="N685" s="3"/>
      <c r="O685" s="3"/>
      <c r="P685" s="3"/>
      <c r="Q685" s="3"/>
      <c r="R685" s="3"/>
      <c r="S685" s="3"/>
      <c r="T685" s="5"/>
      <c r="U685" s="5"/>
      <c r="V685" s="5"/>
      <c r="W685" s="5"/>
    </row>
    <row r="686" ht="15.75" customHeight="1">
      <c r="A686" s="3">
        <f>IFERROR(__xludf.DUMMYFUNCTION("""COMPUTED_VALUE"""),686.0)</f>
        <v>686</v>
      </c>
      <c r="B686" s="53">
        <f>IFERROR(__xludf.DUMMYFUNCTION("""COMPUTED_VALUE"""),45593.0)</f>
        <v>45593</v>
      </c>
      <c r="C686" s="3">
        <f>IFERROR(__xludf.DUMMYFUNCTION("""COMPUTED_VALUE"""),50.0)</f>
        <v>50</v>
      </c>
      <c r="D686" s="3" t="str">
        <f>IFERROR(__xludf.DUMMYFUNCTION("""COMPUTED_VALUE"""),"#REF!")</f>
        <v>#REF!</v>
      </c>
      <c r="E686" s="3"/>
      <c r="F686" s="3" t="str">
        <f>IFERROR(__xludf.DUMMYFUNCTION("""COMPUTED_VALUE"""),"Cabernet Sauvignon 2024")</f>
        <v>Cabernet Sauvignon 2024</v>
      </c>
      <c r="G686" s="3"/>
      <c r="H686" s="3"/>
      <c r="I686" s="57">
        <f>IFERROR(__xludf.DUMMYFUNCTION("""COMPUTED_VALUE"""),0.68)</f>
        <v>0.68</v>
      </c>
      <c r="J686" s="3"/>
      <c r="K686" s="3"/>
      <c r="L686" s="54">
        <f>IFERROR(__xludf.DUMMYFUNCTION("""COMPUTED_VALUE"""),10.0)</f>
        <v>10</v>
      </c>
      <c r="M686" s="3"/>
      <c r="N686" s="3"/>
      <c r="O686" s="3"/>
      <c r="P686" s="3"/>
      <c r="Q686" s="3"/>
      <c r="R686" s="3"/>
      <c r="S686" s="3"/>
      <c r="T686" s="5"/>
      <c r="U686" s="5"/>
      <c r="V686" s="5"/>
      <c r="W686" s="5"/>
    </row>
    <row r="687" ht="15.75" customHeight="1">
      <c r="A687" s="3">
        <f>IFERROR(__xludf.DUMMYFUNCTION("""COMPUTED_VALUE"""),687.0)</f>
        <v>687</v>
      </c>
      <c r="B687" s="53">
        <f>IFERROR(__xludf.DUMMYFUNCTION("""COMPUTED_VALUE"""),45601.0)</f>
        <v>45601</v>
      </c>
      <c r="C687" s="3">
        <f>IFERROR(__xludf.DUMMYFUNCTION("""COMPUTED_VALUE"""),8.0)</f>
        <v>8</v>
      </c>
      <c r="D687" s="3" t="str">
        <f>IFERROR(__xludf.DUMMYFUNCTION("""COMPUTED_VALUE"""),"1.207")</f>
        <v>1.207</v>
      </c>
      <c r="E687" s="54">
        <f>IFERROR(__xludf.DUMMYFUNCTION("""COMPUTED_VALUE"""),22000.0)</f>
        <v>22000</v>
      </c>
      <c r="F687" s="3" t="str">
        <f>IFERROR(__xludf.DUMMYFUNCTION("""COMPUTED_VALUE"""),"Chardonnay")</f>
        <v>Chardonnay</v>
      </c>
      <c r="G687" s="3"/>
      <c r="H687" s="3"/>
      <c r="I687" s="3"/>
      <c r="J687" s="3"/>
      <c r="K687" s="57">
        <f>IFERROR(__xludf.DUMMYFUNCTION("""COMPUTED_VALUE"""),3.3)</f>
        <v>3.3</v>
      </c>
      <c r="L687" s="54">
        <f>IFERROR(__xludf.DUMMYFUNCTION("""COMPUTED_VALUE"""),37.0)</f>
        <v>37</v>
      </c>
      <c r="M687" s="3">
        <f>IFERROR(__xludf.DUMMYFUNCTION("""COMPUTED_VALUE"""),150.0)</f>
        <v>150</v>
      </c>
      <c r="N687" s="3"/>
      <c r="O687" s="3"/>
      <c r="P687" s="3"/>
      <c r="Q687" s="3"/>
      <c r="R687" s="3"/>
      <c r="S687" s="3"/>
      <c r="T687" s="5"/>
      <c r="U687" s="5"/>
      <c r="V687" s="5"/>
      <c r="W687" s="5"/>
    </row>
    <row r="688" ht="15.75" customHeight="1">
      <c r="A688" s="3">
        <f>IFERROR(__xludf.DUMMYFUNCTION("""COMPUTED_VALUE"""),688.0)</f>
        <v>688</v>
      </c>
      <c r="B688" s="53">
        <f>IFERROR(__xludf.DUMMYFUNCTION("""COMPUTED_VALUE"""),45601.0)</f>
        <v>45601</v>
      </c>
      <c r="C688" s="3">
        <f>IFERROR(__xludf.DUMMYFUNCTION("""COMPUTED_VALUE"""),10.0)</f>
        <v>10</v>
      </c>
      <c r="D688" s="3" t="str">
        <f>IFERROR(__xludf.DUMMYFUNCTION("""COMPUTED_VALUE"""),"1.208")</f>
        <v>1.208</v>
      </c>
      <c r="E688" s="54">
        <f>IFERROR(__xludf.DUMMYFUNCTION("""COMPUTED_VALUE"""),21000.0)</f>
        <v>21000</v>
      </c>
      <c r="F688" s="3" t="str">
        <f>IFERROR(__xludf.DUMMYFUNCTION("""COMPUTED_VALUE"""),"Chardonnay")</f>
        <v>Chardonnay</v>
      </c>
      <c r="G688" s="3"/>
      <c r="H688" s="3"/>
      <c r="I688" s="3"/>
      <c r="J688" s="3"/>
      <c r="K688" s="57">
        <f>IFERROR(__xludf.DUMMYFUNCTION("""COMPUTED_VALUE"""),3.28)</f>
        <v>3.28</v>
      </c>
      <c r="L688" s="54">
        <f>IFERROR(__xludf.DUMMYFUNCTION("""COMPUTED_VALUE"""),42.0)</f>
        <v>42</v>
      </c>
      <c r="M688" s="3">
        <f>IFERROR(__xludf.DUMMYFUNCTION("""COMPUTED_VALUE"""),165.0)</f>
        <v>165</v>
      </c>
      <c r="N688" s="3"/>
      <c r="O688" s="3"/>
      <c r="P688" s="3"/>
      <c r="Q688" s="3"/>
      <c r="R688" s="3"/>
      <c r="S688" s="3"/>
      <c r="T688" s="5"/>
      <c r="U688" s="5"/>
      <c r="V688" s="5"/>
      <c r="W688" s="5"/>
    </row>
    <row r="689" ht="15.75" customHeight="1">
      <c r="A689" s="3">
        <f>IFERROR(__xludf.DUMMYFUNCTION("""COMPUTED_VALUE"""),689.0)</f>
        <v>689</v>
      </c>
      <c r="B689" s="53">
        <f>IFERROR(__xludf.DUMMYFUNCTION("""COMPUTED_VALUE"""),45601.0)</f>
        <v>45601</v>
      </c>
      <c r="C689" s="3">
        <f>IFERROR(__xludf.DUMMYFUNCTION("""COMPUTED_VALUE"""),24.0)</f>
        <v>24</v>
      </c>
      <c r="D689" s="3" t="str">
        <f>IFERROR(__xludf.DUMMYFUNCTION("""COMPUTED_VALUE"""),"1.273")</f>
        <v>1.273</v>
      </c>
      <c r="E689" s="54">
        <f>IFERROR(__xludf.DUMMYFUNCTION("""COMPUTED_VALUE"""),186600.0)</f>
        <v>186600</v>
      </c>
      <c r="F689" s="3" t="str">
        <f>IFERROR(__xludf.DUMMYFUNCTION("""COMPUTED_VALUE"""),"Tinto")</f>
        <v>Tinto</v>
      </c>
      <c r="G689" s="3"/>
      <c r="H689" s="3"/>
      <c r="I689" s="3"/>
      <c r="J689" s="3"/>
      <c r="K689" s="57">
        <f>IFERROR(__xludf.DUMMYFUNCTION("""COMPUTED_VALUE"""),3.56)</f>
        <v>3.56</v>
      </c>
      <c r="L689" s="54">
        <f>IFERROR(__xludf.DUMMYFUNCTION("""COMPUTED_VALUE"""),45.0)</f>
        <v>45</v>
      </c>
      <c r="M689" s="3">
        <f>IFERROR(__xludf.DUMMYFUNCTION("""COMPUTED_VALUE"""),200.0)</f>
        <v>200</v>
      </c>
      <c r="N689" s="3"/>
      <c r="O689" s="3"/>
      <c r="P689" s="3"/>
      <c r="Q689" s="3"/>
      <c r="R689" s="3"/>
      <c r="S689" s="3"/>
      <c r="T689" s="5"/>
      <c r="U689" s="5"/>
      <c r="V689" s="5"/>
      <c r="W689" s="5"/>
    </row>
    <row r="690" ht="15.75" customHeight="1">
      <c r="A690" s="3">
        <f>IFERROR(__xludf.DUMMYFUNCTION("""COMPUTED_VALUE"""),690.0)</f>
        <v>690</v>
      </c>
      <c r="B690" s="53">
        <f>IFERROR(__xludf.DUMMYFUNCTION("""COMPUTED_VALUE"""),45601.0)</f>
        <v>45601</v>
      </c>
      <c r="C690" s="3">
        <f>IFERROR(__xludf.DUMMYFUNCTION("""COMPUTED_VALUE"""),25.0)</f>
        <v>25</v>
      </c>
      <c r="D690" s="3" t="str">
        <f>IFERROR(__xludf.DUMMYFUNCTION("""COMPUTED_VALUE"""),"1.231")</f>
        <v>1.231</v>
      </c>
      <c r="E690" s="54">
        <f>IFERROR(__xludf.DUMMYFUNCTION("""COMPUTED_VALUE"""),194300.0)</f>
        <v>194300</v>
      </c>
      <c r="F690" s="3" t="str">
        <f>IFERROR(__xludf.DUMMYFUNCTION("""COMPUTED_VALUE"""),"Syrah")</f>
        <v>Syrah</v>
      </c>
      <c r="G690" s="3"/>
      <c r="H690" s="3"/>
      <c r="I690" s="3"/>
      <c r="J690" s="3"/>
      <c r="K690" s="57">
        <f>IFERROR(__xludf.DUMMYFUNCTION("""COMPUTED_VALUE"""),3.57)</f>
        <v>3.57</v>
      </c>
      <c r="L690" s="54">
        <f>IFERROR(__xludf.DUMMYFUNCTION("""COMPUTED_VALUE"""),43.0)</f>
        <v>43</v>
      </c>
      <c r="M690" s="3">
        <f>IFERROR(__xludf.DUMMYFUNCTION("""COMPUTED_VALUE"""),140.0)</f>
        <v>140</v>
      </c>
      <c r="N690" s="3"/>
      <c r="O690" s="3"/>
      <c r="P690" s="3"/>
      <c r="Q690" s="3"/>
      <c r="R690" s="3"/>
      <c r="S690" s="3"/>
      <c r="T690" s="5"/>
      <c r="U690" s="5"/>
      <c r="V690" s="5"/>
      <c r="W690" s="5"/>
    </row>
    <row r="691" ht="15.75" customHeight="1">
      <c r="A691" s="3">
        <f>IFERROR(__xludf.DUMMYFUNCTION("""COMPUTED_VALUE"""),691.0)</f>
        <v>691</v>
      </c>
      <c r="B691" s="53">
        <f>IFERROR(__xludf.DUMMYFUNCTION("""COMPUTED_VALUE"""),45601.0)</f>
        <v>45601</v>
      </c>
      <c r="C691" s="3">
        <f>IFERROR(__xludf.DUMMYFUNCTION("""COMPUTED_VALUE"""),30.0)</f>
        <v>30</v>
      </c>
      <c r="D691" s="3" t="str">
        <f>IFERROR(__xludf.DUMMYFUNCTION("""COMPUTED_VALUE"""),"eec28962")</f>
        <v>eec28962</v>
      </c>
      <c r="E691" s="54">
        <f>IFERROR(__xludf.DUMMYFUNCTION("""COMPUTED_VALUE"""),38800.0)</f>
        <v>38800</v>
      </c>
      <c r="F691" s="3" t="str">
        <f>IFERROR(__xludf.DUMMYFUNCTION("""COMPUTED_VALUE"""),"Aspirant")</f>
        <v>Aspirant</v>
      </c>
      <c r="G691" s="3"/>
      <c r="H691" s="3"/>
      <c r="I691" s="3"/>
      <c r="J691" s="3"/>
      <c r="K691" s="57">
        <f>IFERROR(__xludf.DUMMYFUNCTION("""COMPUTED_VALUE"""),3.41)</f>
        <v>3.41</v>
      </c>
      <c r="L691" s="54">
        <f>IFERROR(__xludf.DUMMYFUNCTION("""COMPUTED_VALUE"""),38.0)</f>
        <v>38</v>
      </c>
      <c r="M691" s="3">
        <f>IFERROR(__xludf.DUMMYFUNCTION("""COMPUTED_VALUE"""),90.0)</f>
        <v>90</v>
      </c>
      <c r="N691" s="3"/>
      <c r="O691" s="3"/>
      <c r="P691" s="3"/>
      <c r="Q691" s="3"/>
      <c r="R691" s="3"/>
      <c r="S691" s="3"/>
      <c r="T691" s="5"/>
      <c r="U691" s="5"/>
      <c r="V691" s="5"/>
      <c r="W691" s="5"/>
    </row>
    <row r="692" ht="15.75" customHeight="1">
      <c r="A692" s="3">
        <f>IFERROR(__xludf.DUMMYFUNCTION("""COMPUTED_VALUE"""),692.0)</f>
        <v>692</v>
      </c>
      <c r="B692" s="53">
        <f>IFERROR(__xludf.DUMMYFUNCTION("""COMPUTED_VALUE"""),45601.0)</f>
        <v>45601</v>
      </c>
      <c r="C692" s="3">
        <f>IFERROR(__xludf.DUMMYFUNCTION("""COMPUTED_VALUE"""),46.0)</f>
        <v>46</v>
      </c>
      <c r="D692" s="3" t="str">
        <f>IFERROR(__xludf.DUMMYFUNCTION("""COMPUTED_VALUE"""),"1.206")</f>
        <v>1.206</v>
      </c>
      <c r="E692" s="54">
        <f>IFERROR(__xludf.DUMMYFUNCTION("""COMPUTED_VALUE"""),29000.0)</f>
        <v>29000</v>
      </c>
      <c r="F692" s="3" t="str">
        <f>IFERROR(__xludf.DUMMYFUNCTION("""COMPUTED_VALUE"""),"Chardonnay")</f>
        <v>Chardonnay</v>
      </c>
      <c r="G692" s="3"/>
      <c r="H692" s="3"/>
      <c r="I692" s="3"/>
      <c r="J692" s="3"/>
      <c r="K692" s="57">
        <f>IFERROR(__xludf.DUMMYFUNCTION("""COMPUTED_VALUE"""),3.3)</f>
        <v>3.3</v>
      </c>
      <c r="L692" s="54">
        <f>IFERROR(__xludf.DUMMYFUNCTION("""COMPUTED_VALUE"""),45.0)</f>
        <v>45</v>
      </c>
      <c r="M692" s="3">
        <f>IFERROR(__xludf.DUMMYFUNCTION("""COMPUTED_VALUE"""),140.0)</f>
        <v>140</v>
      </c>
      <c r="N692" s="3"/>
      <c r="O692" s="3"/>
      <c r="P692" s="3"/>
      <c r="Q692" s="3"/>
      <c r="R692" s="3"/>
      <c r="S692" s="3"/>
      <c r="T692" s="5"/>
      <c r="U692" s="5"/>
      <c r="V692" s="5"/>
      <c r="W692" s="5"/>
    </row>
    <row r="693" ht="15.75" customHeight="1">
      <c r="A693" s="3">
        <f>IFERROR(__xludf.DUMMYFUNCTION("""COMPUTED_VALUE"""),693.0)</f>
        <v>693</v>
      </c>
      <c r="B693" s="53">
        <f>IFERROR(__xludf.DUMMYFUNCTION("""COMPUTED_VALUE"""),45601.0)</f>
        <v>45601</v>
      </c>
      <c r="C693" s="3">
        <f>IFERROR(__xludf.DUMMYFUNCTION("""COMPUTED_VALUE"""),50.0)</f>
        <v>50</v>
      </c>
      <c r="D693" s="3" t="str">
        <f>IFERROR(__xludf.DUMMYFUNCTION("""COMPUTED_VALUE"""),"#REF!")</f>
        <v>#REF!</v>
      </c>
      <c r="E693" s="3"/>
      <c r="F693" s="3" t="str">
        <f>IFERROR(__xludf.DUMMYFUNCTION("""COMPUTED_VALUE"""),"tinto despacho")</f>
        <v>tinto despacho</v>
      </c>
      <c r="G693" s="3"/>
      <c r="H693" s="3"/>
      <c r="I693" s="3"/>
      <c r="J693" s="3"/>
      <c r="K693" s="57">
        <f>IFERROR(__xludf.DUMMYFUNCTION("""COMPUTED_VALUE"""),3.46)</f>
        <v>3.46</v>
      </c>
      <c r="L693" s="54">
        <f>IFERROR(__xludf.DUMMYFUNCTION("""COMPUTED_VALUE"""),25.0)</f>
        <v>25</v>
      </c>
      <c r="M693" s="3">
        <f>IFERROR(__xludf.DUMMYFUNCTION("""COMPUTED_VALUE"""),153.0)</f>
        <v>153</v>
      </c>
      <c r="N693" s="3"/>
      <c r="O693" s="3"/>
      <c r="P693" s="3"/>
      <c r="Q693" s="3"/>
      <c r="R693" s="3"/>
      <c r="S693" s="3"/>
      <c r="T693" s="5"/>
      <c r="U693" s="5"/>
      <c r="V693" s="5"/>
      <c r="W693" s="5"/>
    </row>
    <row r="694" ht="15.75" customHeight="1">
      <c r="A694" s="3">
        <f>IFERROR(__xludf.DUMMYFUNCTION("""COMPUTED_VALUE"""),694.0)</f>
        <v>694</v>
      </c>
      <c r="B694" s="53">
        <f>IFERROR(__xludf.DUMMYFUNCTION("""COMPUTED_VALUE"""),45601.0)</f>
        <v>45601</v>
      </c>
      <c r="C694" s="3">
        <f>IFERROR(__xludf.DUMMYFUNCTION("""COMPUTED_VALUE"""),51.0)</f>
        <v>51</v>
      </c>
      <c r="D694" s="3" t="str">
        <f>IFERROR(__xludf.DUMMYFUNCTION("""COMPUTED_VALUE"""),"1.118")</f>
        <v>1.118</v>
      </c>
      <c r="E694" s="54">
        <f>IFERROR(__xludf.DUMMYFUNCTION("""COMPUTED_VALUE"""),3900.0)</f>
        <v>3900</v>
      </c>
      <c r="F694" s="3" t="str">
        <f>IFERROR(__xludf.DUMMYFUNCTION("""COMPUTED_VALUE"""),"Syrah Rosado")</f>
        <v>Syrah Rosado</v>
      </c>
      <c r="G694" s="3"/>
      <c r="H694" s="3"/>
      <c r="I694" s="3"/>
      <c r="J694" s="3"/>
      <c r="K694" s="57">
        <f>IFERROR(__xludf.DUMMYFUNCTION("""COMPUTED_VALUE"""),3.43)</f>
        <v>3.43</v>
      </c>
      <c r="L694" s="54">
        <f>IFERROR(__xludf.DUMMYFUNCTION("""COMPUTED_VALUE"""),51.0)</f>
        <v>51</v>
      </c>
      <c r="M694" s="3">
        <f>IFERROR(__xludf.DUMMYFUNCTION("""COMPUTED_VALUE"""),180.0)</f>
        <v>180</v>
      </c>
      <c r="N694" s="3"/>
      <c r="O694" s="3"/>
      <c r="P694" s="3"/>
      <c r="Q694" s="3"/>
      <c r="R694" s="3"/>
      <c r="S694" s="3"/>
      <c r="T694" s="5"/>
      <c r="U694" s="5"/>
      <c r="V694" s="5"/>
      <c r="W694" s="5"/>
    </row>
    <row r="695" ht="15.75" customHeight="1">
      <c r="A695" s="3">
        <f>IFERROR(__xludf.DUMMYFUNCTION("""COMPUTED_VALUE"""),695.0)</f>
        <v>695</v>
      </c>
      <c r="B695" s="53">
        <f>IFERROR(__xludf.DUMMYFUNCTION("""COMPUTED_VALUE"""),45601.0)</f>
        <v>45601</v>
      </c>
      <c r="C695" s="3">
        <f>IFERROR(__xludf.DUMMYFUNCTION("""COMPUTED_VALUE"""),52.0)</f>
        <v>52</v>
      </c>
      <c r="D695" s="3" t="str">
        <f>IFERROR(__xludf.DUMMYFUNCTION("""COMPUTED_VALUE"""),"1.205")</f>
        <v>1.205</v>
      </c>
      <c r="E695" s="54">
        <f>IFERROR(__xludf.DUMMYFUNCTION("""COMPUTED_VALUE"""),27000.0)</f>
        <v>27000</v>
      </c>
      <c r="F695" s="3" t="str">
        <f>IFERROR(__xludf.DUMMYFUNCTION("""COMPUTED_VALUE"""),"Chardonnay")</f>
        <v>Chardonnay</v>
      </c>
      <c r="G695" s="3"/>
      <c r="H695" s="3"/>
      <c r="I695" s="3"/>
      <c r="J695" s="3"/>
      <c r="K695" s="57">
        <f>IFERROR(__xludf.DUMMYFUNCTION("""COMPUTED_VALUE"""),3.24)</f>
        <v>3.24</v>
      </c>
      <c r="L695" s="54">
        <f>IFERROR(__xludf.DUMMYFUNCTION("""COMPUTED_VALUE"""),43.0)</f>
        <v>43</v>
      </c>
      <c r="M695" s="3">
        <f>IFERROR(__xludf.DUMMYFUNCTION("""COMPUTED_VALUE"""),135.0)</f>
        <v>135</v>
      </c>
      <c r="N695" s="3"/>
      <c r="O695" s="3"/>
      <c r="P695" s="3"/>
      <c r="Q695" s="3"/>
      <c r="R695" s="3"/>
      <c r="S695" s="3"/>
      <c r="T695" s="5"/>
      <c r="U695" s="5"/>
      <c r="V695" s="5"/>
      <c r="W695" s="5"/>
    </row>
    <row r="696" ht="15.75" customHeight="1">
      <c r="A696" s="3">
        <f>IFERROR(__xludf.DUMMYFUNCTION("""COMPUTED_VALUE"""),696.0)</f>
        <v>696</v>
      </c>
      <c r="B696" s="53">
        <f>IFERROR(__xludf.DUMMYFUNCTION("""COMPUTED_VALUE"""),45601.0)</f>
        <v>45601</v>
      </c>
      <c r="C696" s="3">
        <f>IFERROR(__xludf.DUMMYFUNCTION("""COMPUTED_VALUE"""),54.0)</f>
        <v>54</v>
      </c>
      <c r="D696" s="3" t="str">
        <f>IFERROR(__xludf.DUMMYFUNCTION("""COMPUTED_VALUE"""),"1.165")</f>
        <v>1.165</v>
      </c>
      <c r="E696" s="54">
        <f>IFERROR(__xludf.DUMMYFUNCTION("""COMPUTED_VALUE"""),22900.0)</f>
        <v>22900</v>
      </c>
      <c r="F696" s="3" t="str">
        <f>IFERROR(__xludf.DUMMYFUNCTION("""COMPUTED_VALUE"""),"Pedro Gimenez")</f>
        <v>Pedro Gimenez</v>
      </c>
      <c r="G696" s="3"/>
      <c r="H696" s="3"/>
      <c r="I696" s="3"/>
      <c r="J696" s="3"/>
      <c r="K696" s="57">
        <f>IFERROR(__xludf.DUMMYFUNCTION("""COMPUTED_VALUE"""),3.34)</f>
        <v>3.34</v>
      </c>
      <c r="L696" s="54">
        <f>IFERROR(__xludf.DUMMYFUNCTION("""COMPUTED_VALUE"""),42.0)</f>
        <v>42</v>
      </c>
      <c r="M696" s="3">
        <f>IFERROR(__xludf.DUMMYFUNCTION("""COMPUTED_VALUE"""),180.0)</f>
        <v>180</v>
      </c>
      <c r="N696" s="3"/>
      <c r="O696" s="3"/>
      <c r="P696" s="3"/>
      <c r="Q696" s="3"/>
      <c r="R696" s="3"/>
      <c r="S696" s="3"/>
      <c r="T696" s="5"/>
      <c r="U696" s="5"/>
      <c r="V696" s="5"/>
      <c r="W696" s="5"/>
    </row>
    <row r="697" ht="15.75" customHeight="1">
      <c r="A697" s="3">
        <f>IFERROR(__xludf.DUMMYFUNCTION("""COMPUTED_VALUE"""),697.0)</f>
        <v>697</v>
      </c>
      <c r="B697" s="53">
        <f>IFERROR(__xludf.DUMMYFUNCTION("""COMPUTED_VALUE"""),45601.0)</f>
        <v>45601</v>
      </c>
      <c r="C697" s="3">
        <f>IFERROR(__xludf.DUMMYFUNCTION("""COMPUTED_VALUE"""),55.0)</f>
        <v>55</v>
      </c>
      <c r="D697" s="3" t="str">
        <f>IFERROR(__xludf.DUMMYFUNCTION("""COMPUTED_VALUE"""),"1.119")</f>
        <v>1.119</v>
      </c>
      <c r="E697" s="54">
        <f>IFERROR(__xludf.DUMMYFUNCTION("""COMPUTED_VALUE"""),3000.0)</f>
        <v>3000</v>
      </c>
      <c r="F697" s="3" t="str">
        <f>IFERROR(__xludf.DUMMYFUNCTION("""COMPUTED_VALUE"""),"Syrah Rosado")</f>
        <v>Syrah Rosado</v>
      </c>
      <c r="G697" s="3"/>
      <c r="H697" s="3"/>
      <c r="I697" s="3"/>
      <c r="J697" s="3"/>
      <c r="K697" s="57">
        <f>IFERROR(__xludf.DUMMYFUNCTION("""COMPUTED_VALUE"""),3.55)</f>
        <v>3.55</v>
      </c>
      <c r="L697" s="54">
        <f>IFERROR(__xludf.DUMMYFUNCTION("""COMPUTED_VALUE"""),40.0)</f>
        <v>40</v>
      </c>
      <c r="M697" s="3">
        <f>IFERROR(__xludf.DUMMYFUNCTION("""COMPUTED_VALUE"""),150.0)</f>
        <v>150</v>
      </c>
      <c r="N697" s="3"/>
      <c r="O697" s="3"/>
      <c r="P697" s="3"/>
      <c r="Q697" s="3"/>
      <c r="R697" s="3"/>
      <c r="S697" s="3"/>
      <c r="T697" s="5"/>
      <c r="U697" s="5"/>
      <c r="V697" s="5"/>
      <c r="W697" s="5"/>
    </row>
    <row r="698" ht="15.75" customHeight="1">
      <c r="A698" s="3">
        <f>IFERROR(__xludf.DUMMYFUNCTION("""COMPUTED_VALUE"""),698.0)</f>
        <v>698</v>
      </c>
      <c r="B698" s="53">
        <f>IFERROR(__xludf.DUMMYFUNCTION("""COMPUTED_VALUE"""),45601.0)</f>
        <v>45601</v>
      </c>
      <c r="C698" s="3">
        <f>IFERROR(__xludf.DUMMYFUNCTION("""COMPUTED_VALUE"""),68.0)</f>
        <v>68</v>
      </c>
      <c r="D698" s="3" t="str">
        <f>IFERROR(__xludf.DUMMYFUNCTION("""COMPUTED_VALUE"""),"#REF!")</f>
        <v>#REF!</v>
      </c>
      <c r="E698" s="3"/>
      <c r="F698" s="3" t="str">
        <f>IFERROR(__xludf.DUMMYFUNCTION("""COMPUTED_VALUE"""),"Bonarda")</f>
        <v>Bonarda</v>
      </c>
      <c r="G698" s="3"/>
      <c r="H698" s="3"/>
      <c r="I698" s="3"/>
      <c r="J698" s="3"/>
      <c r="K698" s="57">
        <f>IFERROR(__xludf.DUMMYFUNCTION("""COMPUTED_VALUE"""),3.57)</f>
        <v>3.57</v>
      </c>
      <c r="L698" s="54">
        <f>IFERROR(__xludf.DUMMYFUNCTION("""COMPUTED_VALUE"""),43.0)</f>
        <v>43</v>
      </c>
      <c r="M698" s="3">
        <f>IFERROR(__xludf.DUMMYFUNCTION("""COMPUTED_VALUE"""),180.0)</f>
        <v>180</v>
      </c>
      <c r="N698" s="3"/>
      <c r="O698" s="3"/>
      <c r="P698" s="3"/>
      <c r="Q698" s="3"/>
      <c r="R698" s="3"/>
      <c r="S698" s="3"/>
      <c r="T698" s="5"/>
      <c r="U698" s="5"/>
      <c r="V698" s="5"/>
      <c r="W698" s="5"/>
    </row>
    <row r="699" ht="15.75" customHeight="1">
      <c r="A699" s="3">
        <f>IFERROR(__xludf.DUMMYFUNCTION("""COMPUTED_VALUE"""),699.0)</f>
        <v>699</v>
      </c>
      <c r="B699" s="53">
        <f>IFERROR(__xludf.DUMMYFUNCTION("""COMPUTED_VALUE"""),45601.0)</f>
        <v>45601</v>
      </c>
      <c r="C699" s="3">
        <f>IFERROR(__xludf.DUMMYFUNCTION("""COMPUTED_VALUE"""),69.0)</f>
        <v>69</v>
      </c>
      <c r="D699" s="3" t="str">
        <f>IFERROR(__xludf.DUMMYFUNCTION("""COMPUTED_VALUE"""),"#REF!")</f>
        <v>#REF!</v>
      </c>
      <c r="E699" s="3"/>
      <c r="F699" s="3" t="str">
        <f>IFERROR(__xludf.DUMMYFUNCTION("""COMPUTED_VALUE"""),"Aspirant")</f>
        <v>Aspirant</v>
      </c>
      <c r="G699" s="3"/>
      <c r="H699" s="3"/>
      <c r="I699" s="3"/>
      <c r="J699" s="3"/>
      <c r="K699" s="57">
        <f>IFERROR(__xludf.DUMMYFUNCTION("""COMPUTED_VALUE"""),3.45)</f>
        <v>3.45</v>
      </c>
      <c r="L699" s="54">
        <f>IFERROR(__xludf.DUMMYFUNCTION("""COMPUTED_VALUE"""),40.0)</f>
        <v>40</v>
      </c>
      <c r="M699" s="3">
        <f>IFERROR(__xludf.DUMMYFUNCTION("""COMPUTED_VALUE"""),90.0)</f>
        <v>90</v>
      </c>
      <c r="N699" s="3"/>
      <c r="O699" s="3"/>
      <c r="P699" s="3"/>
      <c r="Q699" s="3"/>
      <c r="R699" s="3"/>
      <c r="S699" s="3"/>
      <c r="T699" s="5"/>
      <c r="U699" s="5"/>
      <c r="V699" s="5"/>
      <c r="W699" s="5"/>
    </row>
    <row r="700" ht="15.75" customHeight="1">
      <c r="A700" s="3">
        <f>IFERROR(__xludf.DUMMYFUNCTION("""COMPUTED_VALUE"""),700.0)</f>
        <v>700</v>
      </c>
      <c r="B700" s="53">
        <f>IFERROR(__xludf.DUMMYFUNCTION("""COMPUTED_VALUE"""),45601.0)</f>
        <v>45601</v>
      </c>
      <c r="C700" s="3">
        <f>IFERROR(__xludf.DUMMYFUNCTION("""COMPUTED_VALUE"""),70.0)</f>
        <v>70</v>
      </c>
      <c r="D700" s="3" t="str">
        <f>IFERROR(__xludf.DUMMYFUNCTION("""COMPUTED_VALUE"""),"#REF!")</f>
        <v>#REF!</v>
      </c>
      <c r="E700" s="3"/>
      <c r="F700" s="3" t="str">
        <f>IFERROR(__xludf.DUMMYFUNCTION("""COMPUTED_VALUE"""),"Cabernet Sauvignon 2024")</f>
        <v>Cabernet Sauvignon 2024</v>
      </c>
      <c r="G700" s="3"/>
      <c r="H700" s="3"/>
      <c r="I700" s="3"/>
      <c r="J700" s="3"/>
      <c r="K700" s="57">
        <f>IFERROR(__xludf.DUMMYFUNCTION("""COMPUTED_VALUE"""),3.59)</f>
        <v>3.59</v>
      </c>
      <c r="L700" s="54">
        <f>IFERROR(__xludf.DUMMYFUNCTION("""COMPUTED_VALUE"""),32.0)</f>
        <v>32</v>
      </c>
      <c r="M700" s="3">
        <f>IFERROR(__xludf.DUMMYFUNCTION("""COMPUTED_VALUE"""),130.0)</f>
        <v>130</v>
      </c>
      <c r="N700" s="3"/>
      <c r="O700" s="3"/>
      <c r="P700" s="3"/>
      <c r="Q700" s="3"/>
      <c r="R700" s="3"/>
      <c r="S700" s="3"/>
      <c r="T700" s="5"/>
      <c r="U700" s="5"/>
      <c r="V700" s="5"/>
      <c r="W700" s="5"/>
    </row>
    <row r="701" ht="15.75" customHeight="1">
      <c r="A701" s="3">
        <f>IFERROR(__xludf.DUMMYFUNCTION("""COMPUTED_VALUE"""),701.0)</f>
        <v>701</v>
      </c>
      <c r="B701" s="53">
        <f>IFERROR(__xludf.DUMMYFUNCTION("""COMPUTED_VALUE"""),45601.0)</f>
        <v>45601</v>
      </c>
      <c r="C701" s="3">
        <f>IFERROR(__xludf.DUMMYFUNCTION("""COMPUTED_VALUE"""),72.0)</f>
        <v>72</v>
      </c>
      <c r="D701" s="3" t="str">
        <f>IFERROR(__xludf.DUMMYFUNCTION("""COMPUTED_VALUE"""),"1.172")</f>
        <v>1.172</v>
      </c>
      <c r="E701" s="54">
        <f>IFERROR(__xludf.DUMMYFUNCTION("""COMPUTED_VALUE"""),13000.0)</f>
        <v>13000</v>
      </c>
      <c r="F701" s="3" t="str">
        <f>IFERROR(__xludf.DUMMYFUNCTION("""COMPUTED_VALUE"""),"Torrontes")</f>
        <v>Torrontes</v>
      </c>
      <c r="G701" s="3"/>
      <c r="H701" s="3"/>
      <c r="I701" s="3"/>
      <c r="J701" s="3"/>
      <c r="K701" s="57">
        <f>IFERROR(__xludf.DUMMYFUNCTION("""COMPUTED_VALUE"""),3.63)</f>
        <v>3.63</v>
      </c>
      <c r="L701" s="54">
        <f>IFERROR(__xludf.DUMMYFUNCTION("""COMPUTED_VALUE"""),48.0)</f>
        <v>48</v>
      </c>
      <c r="M701" s="3">
        <f>IFERROR(__xludf.DUMMYFUNCTION("""COMPUTED_VALUE"""),130.0)</f>
        <v>130</v>
      </c>
      <c r="N701" s="3"/>
      <c r="O701" s="3"/>
      <c r="P701" s="3"/>
      <c r="Q701" s="3"/>
      <c r="R701" s="3"/>
      <c r="S701" s="3"/>
      <c r="T701" s="5"/>
      <c r="U701" s="5"/>
      <c r="V701" s="5"/>
      <c r="W701" s="5"/>
    </row>
    <row r="702" ht="15.75" customHeight="1">
      <c r="A702" s="3">
        <f>IFERROR(__xludf.DUMMYFUNCTION("""COMPUTED_VALUE"""),702.0)</f>
        <v>702</v>
      </c>
      <c r="B702" s="53">
        <f>IFERROR(__xludf.DUMMYFUNCTION("""COMPUTED_VALUE"""),45601.0)</f>
        <v>45601</v>
      </c>
      <c r="C702" s="3">
        <f>IFERROR(__xludf.DUMMYFUNCTION("""COMPUTED_VALUE"""),74.0)</f>
        <v>74</v>
      </c>
      <c r="D702" s="3" t="str">
        <f>IFERROR(__xludf.DUMMYFUNCTION("""COMPUTED_VALUE"""),"#REF!")</f>
        <v>#REF!</v>
      </c>
      <c r="E702" s="3"/>
      <c r="F702" s="3" t="str">
        <f>IFERROR(__xludf.DUMMYFUNCTION("""COMPUTED_VALUE"""),"Malbec")</f>
        <v>Malbec</v>
      </c>
      <c r="G702" s="3"/>
      <c r="H702" s="3"/>
      <c r="I702" s="3"/>
      <c r="J702" s="3"/>
      <c r="K702" s="57">
        <f>IFERROR(__xludf.DUMMYFUNCTION("""COMPUTED_VALUE"""),3.57)</f>
        <v>3.57</v>
      </c>
      <c r="L702" s="54">
        <f>IFERROR(__xludf.DUMMYFUNCTION("""COMPUTED_VALUE"""),41.0)</f>
        <v>41</v>
      </c>
      <c r="M702" s="3">
        <f>IFERROR(__xludf.DUMMYFUNCTION("""COMPUTED_VALUE"""),132.0)</f>
        <v>132</v>
      </c>
      <c r="N702" s="3"/>
      <c r="O702" s="3"/>
      <c r="P702" s="3"/>
      <c r="Q702" s="3"/>
      <c r="R702" s="3"/>
      <c r="S702" s="3"/>
      <c r="T702" s="5"/>
      <c r="U702" s="5"/>
      <c r="V702" s="5"/>
      <c r="W702" s="5"/>
    </row>
    <row r="703" ht="15.75" customHeight="1">
      <c r="A703" s="3">
        <f>IFERROR(__xludf.DUMMYFUNCTION("""COMPUTED_VALUE"""),703.0)</f>
        <v>703</v>
      </c>
      <c r="B703" s="53">
        <f>IFERROR(__xludf.DUMMYFUNCTION("""COMPUTED_VALUE"""),45601.0)</f>
        <v>45601</v>
      </c>
      <c r="C703" s="3">
        <f>IFERROR(__xludf.DUMMYFUNCTION("""COMPUTED_VALUE"""),80.0)</f>
        <v>80</v>
      </c>
      <c r="D703" s="3" t="str">
        <f>IFERROR(__xludf.DUMMYFUNCTION("""COMPUTED_VALUE"""),"#REF!")</f>
        <v>#REF!</v>
      </c>
      <c r="E703" s="3"/>
      <c r="F703" s="3" t="str">
        <f>IFERROR(__xludf.DUMMYFUNCTION("""COMPUTED_VALUE"""),"Bonarda")</f>
        <v>Bonarda</v>
      </c>
      <c r="G703" s="3"/>
      <c r="H703" s="3"/>
      <c r="I703" s="3"/>
      <c r="J703" s="3"/>
      <c r="K703" s="57">
        <f>IFERROR(__xludf.DUMMYFUNCTION("""COMPUTED_VALUE"""),3.63)</f>
        <v>3.63</v>
      </c>
      <c r="L703" s="54">
        <f>IFERROR(__xludf.DUMMYFUNCTION("""COMPUTED_VALUE"""),45.0)</f>
        <v>45</v>
      </c>
      <c r="M703" s="3">
        <f>IFERROR(__xludf.DUMMYFUNCTION("""COMPUTED_VALUE"""),185.0)</f>
        <v>185</v>
      </c>
      <c r="N703" s="3"/>
      <c r="O703" s="3"/>
      <c r="P703" s="3"/>
      <c r="Q703" s="3"/>
      <c r="R703" s="3"/>
      <c r="S703" s="3"/>
      <c r="T703" s="5"/>
      <c r="U703" s="5"/>
      <c r="V703" s="5"/>
      <c r="W703" s="5"/>
    </row>
    <row r="704" ht="15.75" customHeight="1">
      <c r="A704" s="3">
        <f>IFERROR(__xludf.DUMMYFUNCTION("""COMPUTED_VALUE"""),704.0)</f>
        <v>704</v>
      </c>
      <c r="B704" s="53">
        <f>IFERROR(__xludf.DUMMYFUNCTION("""COMPUTED_VALUE"""),45601.0)</f>
        <v>45601</v>
      </c>
      <c r="C704" s="3">
        <f>IFERROR(__xludf.DUMMYFUNCTION("""COMPUTED_VALUE"""),83.0)</f>
        <v>83</v>
      </c>
      <c r="D704" s="3" t="str">
        <f>IFERROR(__xludf.DUMMYFUNCTION("""COMPUTED_VALUE"""),"1.246")</f>
        <v>1.246</v>
      </c>
      <c r="E704" s="54">
        <f>IFERROR(__xludf.DUMMYFUNCTION("""COMPUTED_VALUE"""),81500.0)</f>
        <v>81500</v>
      </c>
      <c r="F704" s="3" t="str">
        <f>IFERROR(__xludf.DUMMYFUNCTION("""COMPUTED_VALUE"""),"Bonarda")</f>
        <v>Bonarda</v>
      </c>
      <c r="G704" s="3"/>
      <c r="H704" s="3"/>
      <c r="I704" s="3"/>
      <c r="J704" s="3"/>
      <c r="K704" s="57">
        <f>IFERROR(__xludf.DUMMYFUNCTION("""COMPUTED_VALUE"""),3.58)</f>
        <v>3.58</v>
      </c>
      <c r="L704" s="54">
        <f>IFERROR(__xludf.DUMMYFUNCTION("""COMPUTED_VALUE"""),43.0)</f>
        <v>43</v>
      </c>
      <c r="M704" s="3">
        <f>IFERROR(__xludf.DUMMYFUNCTION("""COMPUTED_VALUE"""),200.0)</f>
        <v>200</v>
      </c>
      <c r="N704" s="3"/>
      <c r="O704" s="3"/>
      <c r="P704" s="3"/>
      <c r="Q704" s="3"/>
      <c r="R704" s="3"/>
      <c r="S704" s="3"/>
      <c r="T704" s="5"/>
      <c r="U704" s="5"/>
      <c r="V704" s="5"/>
      <c r="W704" s="5"/>
    </row>
    <row r="705" ht="15.75" customHeight="1">
      <c r="A705" s="3">
        <f>IFERROR(__xludf.DUMMYFUNCTION("""COMPUTED_VALUE"""),705.0)</f>
        <v>705</v>
      </c>
      <c r="B705" s="53">
        <f>IFERROR(__xludf.DUMMYFUNCTION("""COMPUTED_VALUE"""),45601.0)</f>
        <v>45601</v>
      </c>
      <c r="C705" s="3">
        <f>IFERROR(__xludf.DUMMYFUNCTION("""COMPUTED_VALUE"""),85.0)</f>
        <v>85</v>
      </c>
      <c r="D705" s="3" t="str">
        <f>IFERROR(__xludf.DUMMYFUNCTION("""COMPUTED_VALUE"""),"#REF!")</f>
        <v>#REF!</v>
      </c>
      <c r="E705" s="3"/>
      <c r="F705" s="3" t="str">
        <f>IFERROR(__xludf.DUMMYFUNCTION("""COMPUTED_VALUE"""),"Bonarda")</f>
        <v>Bonarda</v>
      </c>
      <c r="G705" s="3"/>
      <c r="H705" s="3"/>
      <c r="I705" s="3"/>
      <c r="J705" s="3"/>
      <c r="K705" s="57">
        <f>IFERROR(__xludf.DUMMYFUNCTION("""COMPUTED_VALUE"""),3.52)</f>
        <v>3.52</v>
      </c>
      <c r="L705" s="54">
        <f>IFERROR(__xludf.DUMMYFUNCTION("""COMPUTED_VALUE"""),46.0)</f>
        <v>46</v>
      </c>
      <c r="M705" s="3">
        <f>IFERROR(__xludf.DUMMYFUNCTION("""COMPUTED_VALUE"""),153.0)</f>
        <v>153</v>
      </c>
      <c r="N705" s="3"/>
      <c r="O705" s="3"/>
      <c r="P705" s="3"/>
      <c r="Q705" s="3"/>
      <c r="R705" s="3"/>
      <c r="S705" s="3"/>
      <c r="T705" s="5"/>
      <c r="U705" s="5"/>
      <c r="V705" s="5"/>
      <c r="W705" s="5"/>
    </row>
    <row r="706" ht="15.75" customHeight="1">
      <c r="A706" s="3">
        <f>IFERROR(__xludf.DUMMYFUNCTION("""COMPUTED_VALUE"""),706.0)</f>
        <v>706</v>
      </c>
      <c r="B706" s="53">
        <f>IFERROR(__xludf.DUMMYFUNCTION("""COMPUTED_VALUE"""),45601.0)</f>
        <v>45601</v>
      </c>
      <c r="C706" s="3">
        <f>IFERROR(__xludf.DUMMYFUNCTION("""COMPUTED_VALUE"""),90.0)</f>
        <v>90</v>
      </c>
      <c r="D706" s="3" t="str">
        <f>IFERROR(__xludf.DUMMYFUNCTION("""COMPUTED_VALUE"""),"1.265")</f>
        <v>1.265</v>
      </c>
      <c r="E706" s="54">
        <f>IFERROR(__xludf.DUMMYFUNCTION("""COMPUTED_VALUE"""),97500.0)</f>
        <v>97500</v>
      </c>
      <c r="F706" s="3" t="str">
        <f>IFERROR(__xludf.DUMMYFUNCTION("""COMPUTED_VALUE"""),"Syrah")</f>
        <v>Syrah</v>
      </c>
      <c r="G706" s="3"/>
      <c r="H706" s="3"/>
      <c r="I706" s="3"/>
      <c r="J706" s="3"/>
      <c r="K706" s="57">
        <f>IFERROR(__xludf.DUMMYFUNCTION("""COMPUTED_VALUE"""),3.63)</f>
        <v>3.63</v>
      </c>
      <c r="L706" s="54">
        <f>IFERROR(__xludf.DUMMYFUNCTION("""COMPUTED_VALUE"""),43.0)</f>
        <v>43</v>
      </c>
      <c r="M706" s="3">
        <f>IFERROR(__xludf.DUMMYFUNCTION("""COMPUTED_VALUE"""),125.0)</f>
        <v>125</v>
      </c>
      <c r="N706" s="3"/>
      <c r="O706" s="3"/>
      <c r="P706" s="3"/>
      <c r="Q706" s="3"/>
      <c r="R706" s="3"/>
      <c r="S706" s="3"/>
      <c r="T706" s="5"/>
      <c r="U706" s="5"/>
      <c r="V706" s="5"/>
      <c r="W706" s="5"/>
    </row>
    <row r="707" ht="15.75" customHeight="1">
      <c r="A707" s="3">
        <f>IFERROR(__xludf.DUMMYFUNCTION("""COMPUTED_VALUE"""),707.0)</f>
        <v>707</v>
      </c>
      <c r="B707" s="53">
        <f>IFERROR(__xludf.DUMMYFUNCTION("""COMPUTED_VALUE"""),45601.0)</f>
        <v>45601</v>
      </c>
      <c r="C707" s="3">
        <f>IFERROR(__xludf.DUMMYFUNCTION("""COMPUTED_VALUE"""),91.0)</f>
        <v>91</v>
      </c>
      <c r="D707" s="3" t="str">
        <f>IFERROR(__xludf.DUMMYFUNCTION("""COMPUTED_VALUE"""),"1.265")</f>
        <v>1.265</v>
      </c>
      <c r="E707" s="54">
        <f>IFERROR(__xludf.DUMMYFUNCTION("""COMPUTED_VALUE"""),86000.0)</f>
        <v>86000</v>
      </c>
      <c r="F707" s="3" t="str">
        <f>IFERROR(__xludf.DUMMYFUNCTION("""COMPUTED_VALUE"""),"Syrah")</f>
        <v>Syrah</v>
      </c>
      <c r="G707" s="3"/>
      <c r="H707" s="3"/>
      <c r="I707" s="3"/>
      <c r="J707" s="3"/>
      <c r="K707" s="57">
        <f>IFERROR(__xludf.DUMMYFUNCTION("""COMPUTED_VALUE"""),3.66)</f>
        <v>3.66</v>
      </c>
      <c r="L707" s="54">
        <f>IFERROR(__xludf.DUMMYFUNCTION("""COMPUTED_VALUE"""),40.0)</f>
        <v>40</v>
      </c>
      <c r="M707" s="3">
        <f>IFERROR(__xludf.DUMMYFUNCTION("""COMPUTED_VALUE"""),120.0)</f>
        <v>120</v>
      </c>
      <c r="N707" s="3"/>
      <c r="O707" s="3"/>
      <c r="P707" s="3"/>
      <c r="Q707" s="3"/>
      <c r="R707" s="3"/>
      <c r="S707" s="3"/>
      <c r="T707" s="5"/>
      <c r="U707" s="5"/>
      <c r="V707" s="5"/>
      <c r="W707" s="5"/>
    </row>
    <row r="708" ht="15.75" customHeight="1">
      <c r="A708" s="3">
        <f>IFERROR(__xludf.DUMMYFUNCTION("""COMPUTED_VALUE"""),708.0)</f>
        <v>708</v>
      </c>
      <c r="B708" s="53">
        <f>IFERROR(__xludf.DUMMYFUNCTION("""COMPUTED_VALUE"""),45601.0)</f>
        <v>45601</v>
      </c>
      <c r="C708" s="3">
        <f>IFERROR(__xludf.DUMMYFUNCTION("""COMPUTED_VALUE"""),111.0)</f>
        <v>111</v>
      </c>
      <c r="D708" s="3" t="str">
        <f>IFERROR(__xludf.DUMMYFUNCTION("""COMPUTED_VALUE"""),"1.218")</f>
        <v>1.218</v>
      </c>
      <c r="E708" s="54">
        <f>IFERROR(__xludf.DUMMYFUNCTION("""COMPUTED_VALUE"""),4000.0)</f>
        <v>4000</v>
      </c>
      <c r="F708" s="3" t="str">
        <f>IFERROR(__xludf.DUMMYFUNCTION("""COMPUTED_VALUE"""),"Malbec")</f>
        <v>Malbec</v>
      </c>
      <c r="G708" s="55">
        <f>IFERROR(__xludf.DUMMYFUNCTION("""COMPUTED_VALUE"""),13.2)</f>
        <v>13.2</v>
      </c>
      <c r="H708" s="56">
        <f>IFERROR(__xludf.DUMMYFUNCTION("""COMPUTED_VALUE"""),2.0)</f>
        <v>2</v>
      </c>
      <c r="I708" s="57">
        <f>IFERROR(__xludf.DUMMYFUNCTION("""COMPUTED_VALUE"""),0.55)</f>
        <v>0.55</v>
      </c>
      <c r="J708" s="57">
        <f>IFERROR(__xludf.DUMMYFUNCTION("""COMPUTED_VALUE"""),5.0)</f>
        <v>5</v>
      </c>
      <c r="K708" s="57">
        <f>IFERROR(__xludf.DUMMYFUNCTION("""COMPUTED_VALUE"""),3.57)</f>
        <v>3.57</v>
      </c>
      <c r="L708" s="54">
        <f>IFERROR(__xludf.DUMMYFUNCTION("""COMPUTED_VALUE"""),44.0)</f>
        <v>44</v>
      </c>
      <c r="M708" s="3">
        <f>IFERROR(__xludf.DUMMYFUNCTION("""COMPUTED_VALUE"""),115.0)</f>
        <v>115</v>
      </c>
      <c r="N708" s="3"/>
      <c r="O708" s="3"/>
      <c r="P708" s="3"/>
      <c r="Q708" s="3"/>
      <c r="R708" s="3"/>
      <c r="S708" s="3"/>
      <c r="T708" s="5"/>
      <c r="U708" s="5"/>
      <c r="V708" s="5"/>
      <c r="W708" s="5"/>
    </row>
    <row r="709" ht="15.75" customHeight="1">
      <c r="A709" s="3">
        <f>IFERROR(__xludf.DUMMYFUNCTION("""COMPUTED_VALUE"""),709.0)</f>
        <v>709</v>
      </c>
      <c r="B709" s="53">
        <f>IFERROR(__xludf.DUMMYFUNCTION("""COMPUTED_VALUE"""),45601.0)</f>
        <v>45601</v>
      </c>
      <c r="C709" s="3">
        <f>IFERROR(__xludf.DUMMYFUNCTION("""COMPUTED_VALUE"""),115.0)</f>
        <v>115</v>
      </c>
      <c r="D709" s="3" t="str">
        <f>IFERROR(__xludf.DUMMYFUNCTION("""COMPUTED_VALUE"""),"1.274")</f>
        <v>1.274</v>
      </c>
      <c r="E709" s="54">
        <f>IFERROR(__xludf.DUMMYFUNCTION("""COMPUTED_VALUE"""),120200.0)</f>
        <v>120200</v>
      </c>
      <c r="F709" s="3" t="str">
        <f>IFERROR(__xludf.DUMMYFUNCTION("""COMPUTED_VALUE"""),"Tinto")</f>
        <v>Tinto</v>
      </c>
      <c r="G709" s="55">
        <f>IFERROR(__xludf.DUMMYFUNCTION("""COMPUTED_VALUE"""),13.5)</f>
        <v>13.5</v>
      </c>
      <c r="H709" s="56">
        <f>IFERROR(__xludf.DUMMYFUNCTION("""COMPUTED_VALUE"""),2.0)</f>
        <v>2</v>
      </c>
      <c r="I709" s="57">
        <f>IFERROR(__xludf.DUMMYFUNCTION("""COMPUTED_VALUE"""),0.52)</f>
        <v>0.52</v>
      </c>
      <c r="J709" s="57">
        <f>IFERROR(__xludf.DUMMYFUNCTION("""COMPUTED_VALUE"""),4.8)</f>
        <v>4.8</v>
      </c>
      <c r="K709" s="57">
        <f>IFERROR(__xludf.DUMMYFUNCTION("""COMPUTED_VALUE"""),3.65)</f>
        <v>3.65</v>
      </c>
      <c r="L709" s="54">
        <f>IFERROR(__xludf.DUMMYFUNCTION("""COMPUTED_VALUE"""),46.0)</f>
        <v>46</v>
      </c>
      <c r="M709" s="3">
        <f>IFERROR(__xludf.DUMMYFUNCTION("""COMPUTED_VALUE"""),180.0)</f>
        <v>180</v>
      </c>
      <c r="N709" s="3"/>
      <c r="O709" s="3"/>
      <c r="P709" s="3"/>
      <c r="Q709" s="3"/>
      <c r="R709" s="3"/>
      <c r="S709" s="3"/>
      <c r="T709" s="5"/>
      <c r="U709" s="5"/>
      <c r="V709" s="5"/>
      <c r="W709" s="5"/>
    </row>
    <row r="710" ht="15.75" customHeight="1">
      <c r="A710" s="3">
        <f>IFERROR(__xludf.DUMMYFUNCTION("""COMPUTED_VALUE"""),710.0)</f>
        <v>710</v>
      </c>
      <c r="B710" s="53">
        <f>IFERROR(__xludf.DUMMYFUNCTION("""COMPUTED_VALUE"""),45601.0)</f>
        <v>45601</v>
      </c>
      <c r="C710" s="3">
        <f>IFERROR(__xludf.DUMMYFUNCTION("""COMPUTED_VALUE"""),116.0)</f>
        <v>116</v>
      </c>
      <c r="D710" s="3" t="str">
        <f>IFERROR(__xludf.DUMMYFUNCTION("""COMPUTED_VALUE"""),"1.249")</f>
        <v>1.249</v>
      </c>
      <c r="E710" s="54">
        <f>IFERROR(__xludf.DUMMYFUNCTION("""COMPUTED_VALUE"""),99600.0)</f>
        <v>99600</v>
      </c>
      <c r="F710" s="3" t="str">
        <f>IFERROR(__xludf.DUMMYFUNCTION("""COMPUTED_VALUE"""),"Cabernet Sauvignon")</f>
        <v>Cabernet Sauvignon</v>
      </c>
      <c r="G710" s="55">
        <f>IFERROR(__xludf.DUMMYFUNCTION("""COMPUTED_VALUE"""),13.0)</f>
        <v>13</v>
      </c>
      <c r="H710" s="56">
        <f>IFERROR(__xludf.DUMMYFUNCTION("""COMPUTED_VALUE"""),2.0)</f>
        <v>2</v>
      </c>
      <c r="I710" s="57">
        <f>IFERROR(__xludf.DUMMYFUNCTION("""COMPUTED_VALUE"""),0.73)</f>
        <v>0.73</v>
      </c>
      <c r="J710" s="57">
        <f>IFERROR(__xludf.DUMMYFUNCTION("""COMPUTED_VALUE"""),5.04)</f>
        <v>5.04</v>
      </c>
      <c r="K710" s="57">
        <f>IFERROR(__xludf.DUMMYFUNCTION("""COMPUTED_VALUE"""),3.56)</f>
        <v>3.56</v>
      </c>
      <c r="L710" s="54">
        <f>IFERROR(__xludf.DUMMYFUNCTION("""COMPUTED_VALUE"""),43.0)</f>
        <v>43</v>
      </c>
      <c r="M710" s="3">
        <f>IFERROR(__xludf.DUMMYFUNCTION("""COMPUTED_VALUE"""),140.0)</f>
        <v>140</v>
      </c>
      <c r="N710" s="3"/>
      <c r="O710" s="3"/>
      <c r="P710" s="3"/>
      <c r="Q710" s="3"/>
      <c r="R710" s="3"/>
      <c r="S710" s="3"/>
      <c r="T710" s="5"/>
      <c r="U710" s="5"/>
      <c r="V710" s="5"/>
      <c r="W710" s="5"/>
    </row>
    <row r="711" ht="15.75" customHeight="1">
      <c r="A711" s="3">
        <f>IFERROR(__xludf.DUMMYFUNCTION("""COMPUTED_VALUE"""),711.0)</f>
        <v>711</v>
      </c>
      <c r="B711" s="53">
        <f>IFERROR(__xludf.DUMMYFUNCTION("""COMPUTED_VALUE"""),45601.0)</f>
        <v>45601</v>
      </c>
      <c r="C711" s="3">
        <f>IFERROR(__xludf.DUMMYFUNCTION("""COMPUTED_VALUE"""),118.0)</f>
        <v>118</v>
      </c>
      <c r="D711" s="3" t="str">
        <f>IFERROR(__xludf.DUMMYFUNCTION("""COMPUTED_VALUE"""),"1.232")</f>
        <v>1.232</v>
      </c>
      <c r="E711" s="54">
        <f>IFERROR(__xludf.DUMMYFUNCTION("""COMPUTED_VALUE"""),155600.0)</f>
        <v>155600</v>
      </c>
      <c r="F711" s="3" t="str">
        <f>IFERROR(__xludf.DUMMYFUNCTION("""COMPUTED_VALUE"""),"Malbec")</f>
        <v>Malbec</v>
      </c>
      <c r="G711" s="55">
        <f>IFERROR(__xludf.DUMMYFUNCTION("""COMPUTED_VALUE"""),13.1)</f>
        <v>13.1</v>
      </c>
      <c r="H711" s="56">
        <f>IFERROR(__xludf.DUMMYFUNCTION("""COMPUTED_VALUE"""),2.0)</f>
        <v>2</v>
      </c>
      <c r="I711" s="57">
        <f>IFERROR(__xludf.DUMMYFUNCTION("""COMPUTED_VALUE"""),0.73)</f>
        <v>0.73</v>
      </c>
      <c r="J711" s="57">
        <f>IFERROR(__xludf.DUMMYFUNCTION("""COMPUTED_VALUE"""),5.04)</f>
        <v>5.04</v>
      </c>
      <c r="K711" s="57">
        <f>IFERROR(__xludf.DUMMYFUNCTION("""COMPUTED_VALUE"""),3.58)</f>
        <v>3.58</v>
      </c>
      <c r="L711" s="54">
        <f>IFERROR(__xludf.DUMMYFUNCTION("""COMPUTED_VALUE"""),47.0)</f>
        <v>47</v>
      </c>
      <c r="M711" s="3">
        <f>IFERROR(__xludf.DUMMYFUNCTION("""COMPUTED_VALUE"""),141.0)</f>
        <v>141</v>
      </c>
      <c r="N711" s="3"/>
      <c r="O711" s="3"/>
      <c r="P711" s="3"/>
      <c r="Q711" s="3"/>
      <c r="R711" s="3"/>
      <c r="S711" s="3"/>
      <c r="T711" s="5"/>
      <c r="U711" s="5"/>
      <c r="V711" s="5"/>
      <c r="W711" s="5"/>
    </row>
    <row r="712" ht="15.75" customHeight="1">
      <c r="A712" s="3">
        <f>IFERROR(__xludf.DUMMYFUNCTION("""COMPUTED_VALUE"""),712.0)</f>
        <v>712</v>
      </c>
      <c r="B712" s="53">
        <f>IFERROR(__xludf.DUMMYFUNCTION("""COMPUTED_VALUE"""),45601.0)</f>
        <v>45601</v>
      </c>
      <c r="C712" s="3">
        <f>IFERROR(__xludf.DUMMYFUNCTION("""COMPUTED_VALUE"""),126.0)</f>
        <v>126</v>
      </c>
      <c r="D712" s="3" t="str">
        <f>IFERROR(__xludf.DUMMYFUNCTION("""COMPUTED_VALUE"""),"#REF!")</f>
        <v>#REF!</v>
      </c>
      <c r="E712" s="54">
        <f>IFERROR(__xludf.DUMMYFUNCTION("""COMPUTED_VALUE"""),31000.0)</f>
        <v>31000</v>
      </c>
      <c r="F712" s="3" t="str">
        <f>IFERROR(__xludf.DUMMYFUNCTION("""COMPUTED_VALUE"""),"Tinto")</f>
        <v>Tinto</v>
      </c>
      <c r="G712" s="55">
        <f>IFERROR(__xludf.DUMMYFUNCTION("""COMPUTED_VALUE"""),13.5)</f>
        <v>13.5</v>
      </c>
      <c r="H712" s="56">
        <f>IFERROR(__xludf.DUMMYFUNCTION("""COMPUTED_VALUE"""),2.0)</f>
        <v>2</v>
      </c>
      <c r="I712" s="57">
        <f>IFERROR(__xludf.DUMMYFUNCTION("""COMPUTED_VALUE"""),0.65)</f>
        <v>0.65</v>
      </c>
      <c r="J712" s="57">
        <f>IFERROR(__xludf.DUMMYFUNCTION("""COMPUTED_VALUE"""),4.8)</f>
        <v>4.8</v>
      </c>
      <c r="K712" s="57">
        <f>IFERROR(__xludf.DUMMYFUNCTION("""COMPUTED_VALUE"""),3.62)</f>
        <v>3.62</v>
      </c>
      <c r="L712" s="54">
        <f>IFERROR(__xludf.DUMMYFUNCTION("""COMPUTED_VALUE"""),26.0)</f>
        <v>26</v>
      </c>
      <c r="M712" s="3">
        <f>IFERROR(__xludf.DUMMYFUNCTION("""COMPUTED_VALUE"""),115.0)</f>
        <v>115</v>
      </c>
      <c r="N712" s="3"/>
      <c r="O712" s="3"/>
      <c r="P712" s="3"/>
      <c r="Q712" s="3"/>
      <c r="R712" s="3"/>
      <c r="S712" s="3"/>
      <c r="T712" s="5"/>
      <c r="U712" s="5"/>
      <c r="V712" s="5"/>
      <c r="W712" s="5"/>
    </row>
    <row r="713" ht="15.75" customHeight="1">
      <c r="A713" s="3">
        <f>IFERROR(__xludf.DUMMYFUNCTION("""COMPUTED_VALUE"""),713.0)</f>
        <v>713</v>
      </c>
      <c r="B713" s="53">
        <f>IFERROR(__xludf.DUMMYFUNCTION("""COMPUTED_VALUE"""),45573.0)</f>
        <v>45573</v>
      </c>
      <c r="C713" s="3">
        <f>IFERROR(__xludf.DUMMYFUNCTION("""COMPUTED_VALUE"""),80.0)</f>
        <v>80</v>
      </c>
      <c r="D713" s="3" t="str">
        <f>IFERROR(__xludf.DUMMYFUNCTION("""COMPUTED_VALUE"""),"#REF!")</f>
        <v>#REF!</v>
      </c>
      <c r="E713" s="54">
        <f>IFERROR(__xludf.DUMMYFUNCTION("""COMPUTED_VALUE"""),26100.0)</f>
        <v>26100</v>
      </c>
      <c r="F713" s="3" t="str">
        <f>IFERROR(__xludf.DUMMYFUNCTION("""COMPUTED_VALUE"""),"Bonarda")</f>
        <v>Bonarda</v>
      </c>
      <c r="G713" s="55">
        <f>IFERROR(__xludf.DUMMYFUNCTION("""COMPUTED_VALUE"""),13.4)</f>
        <v>13.4</v>
      </c>
      <c r="H713" s="56">
        <f>IFERROR(__xludf.DUMMYFUNCTION("""COMPUTED_VALUE"""),2.5)</f>
        <v>2.5</v>
      </c>
      <c r="I713" s="57">
        <f>IFERROR(__xludf.DUMMYFUNCTION("""COMPUTED_VALUE"""),0.62)</f>
        <v>0.62</v>
      </c>
      <c r="J713" s="57">
        <f>IFERROR(__xludf.DUMMYFUNCTION("""COMPUTED_VALUE"""),4.6)</f>
        <v>4.6</v>
      </c>
      <c r="K713" s="57">
        <f>IFERROR(__xludf.DUMMYFUNCTION("""COMPUTED_VALUE"""),3.55)</f>
        <v>3.55</v>
      </c>
      <c r="L713" s="54">
        <f>IFERROR(__xludf.DUMMYFUNCTION("""COMPUTED_VALUE"""),42.0)</f>
        <v>42</v>
      </c>
      <c r="M713" s="3">
        <f>IFERROR(__xludf.DUMMYFUNCTION("""COMPUTED_VALUE"""),170.0)</f>
        <v>170</v>
      </c>
      <c r="N713" s="3"/>
      <c r="O713" s="3"/>
      <c r="P713" s="3"/>
      <c r="Q713" s="3"/>
      <c r="R713" s="3"/>
      <c r="S713" s="3"/>
      <c r="T713" s="5"/>
      <c r="U713" s="5"/>
      <c r="V713" s="5"/>
      <c r="W713" s="5"/>
    </row>
    <row r="714" ht="15.75" customHeight="1">
      <c r="A714" s="3">
        <f>IFERROR(__xludf.DUMMYFUNCTION("""COMPUTED_VALUE"""),714.0)</f>
        <v>714</v>
      </c>
      <c r="B714" s="53">
        <f>IFERROR(__xludf.DUMMYFUNCTION("""COMPUTED_VALUE"""),45573.0)</f>
        <v>45573</v>
      </c>
      <c r="C714" s="3">
        <f>IFERROR(__xludf.DUMMYFUNCTION("""COMPUTED_VALUE"""),68.0)</f>
        <v>68</v>
      </c>
      <c r="D714" s="3" t="str">
        <f>IFERROR(__xludf.DUMMYFUNCTION("""COMPUTED_VALUE"""),"#REF!")</f>
        <v>#REF!</v>
      </c>
      <c r="E714" s="54">
        <f>IFERROR(__xludf.DUMMYFUNCTION("""COMPUTED_VALUE"""),130000.0)</f>
        <v>130000</v>
      </c>
      <c r="F714" s="3" t="str">
        <f>IFERROR(__xludf.DUMMYFUNCTION("""COMPUTED_VALUE"""),"Bonarda")</f>
        <v>Bonarda</v>
      </c>
      <c r="G714" s="55">
        <f>IFERROR(__xludf.DUMMYFUNCTION("""COMPUTED_VALUE"""),13.5)</f>
        <v>13.5</v>
      </c>
      <c r="H714" s="56">
        <f>IFERROR(__xludf.DUMMYFUNCTION("""COMPUTED_VALUE"""),2.0)</f>
        <v>2</v>
      </c>
      <c r="I714" s="57">
        <f>IFERROR(__xludf.DUMMYFUNCTION("""COMPUTED_VALUE"""),0.65)</f>
        <v>0.65</v>
      </c>
      <c r="J714" s="57">
        <f>IFERROR(__xludf.DUMMYFUNCTION("""COMPUTED_VALUE"""),4.8)</f>
        <v>4.8</v>
      </c>
      <c r="K714" s="3"/>
      <c r="L714" s="3"/>
      <c r="M714" s="3"/>
      <c r="N714" s="3"/>
      <c r="O714" s="3"/>
      <c r="P714" s="3"/>
      <c r="Q714" s="3"/>
      <c r="R714" s="3"/>
      <c r="S714" s="3"/>
      <c r="T714" s="5"/>
      <c r="U714" s="5"/>
      <c r="V714" s="5"/>
      <c r="W714" s="5"/>
    </row>
    <row r="715" ht="15.75" customHeight="1">
      <c r="A715" s="3">
        <f>IFERROR(__xludf.DUMMYFUNCTION("""COMPUTED_VALUE"""),715.0)</f>
        <v>715</v>
      </c>
      <c r="B715" s="53">
        <f>IFERROR(__xludf.DUMMYFUNCTION("""COMPUTED_VALUE"""),45604.0)</f>
        <v>45604</v>
      </c>
      <c r="C715" s="3">
        <f>IFERROR(__xludf.DUMMYFUNCTION("""COMPUTED_VALUE"""),50.0)</f>
        <v>50</v>
      </c>
      <c r="D715" s="3" t="str">
        <f>IFERROR(__xludf.DUMMYFUNCTION("""COMPUTED_VALUE"""),"#REF!")</f>
        <v>#REF!</v>
      </c>
      <c r="E715" s="3"/>
      <c r="F715" s="3" t="str">
        <f>IFERROR(__xludf.DUMMYFUNCTION("""COMPUTED_VALUE"""),"Tinto despacho")</f>
        <v>Tinto despacho</v>
      </c>
      <c r="G715" s="3"/>
      <c r="H715" s="3"/>
      <c r="I715" s="3"/>
      <c r="J715" s="3"/>
      <c r="K715" s="3"/>
      <c r="L715" s="54">
        <f>IFERROR(__xludf.DUMMYFUNCTION("""COMPUTED_VALUE"""),40.0)</f>
        <v>40</v>
      </c>
      <c r="M715" s="3"/>
      <c r="N715" s="3"/>
      <c r="O715" s="3"/>
      <c r="P715" s="3"/>
      <c r="Q715" s="3"/>
      <c r="R715" s="3"/>
      <c r="S715" s="3"/>
      <c r="T715" s="5"/>
      <c r="U715" s="5"/>
      <c r="V715" s="5"/>
      <c r="W715" s="5"/>
    </row>
    <row r="716" ht="15.75" customHeight="1">
      <c r="A716" s="3">
        <f>IFERROR(__xludf.DUMMYFUNCTION("""COMPUTED_VALUE"""),716.0)</f>
        <v>716</v>
      </c>
      <c r="B716" s="53">
        <f>IFERROR(__xludf.DUMMYFUNCTION("""COMPUTED_VALUE"""),45616.0)</f>
        <v>45616</v>
      </c>
      <c r="C716" s="3">
        <f>IFERROR(__xludf.DUMMYFUNCTION("""COMPUTED_VALUE"""),114.0)</f>
        <v>114</v>
      </c>
      <c r="D716" s="3" t="str">
        <f>IFERROR(__xludf.DUMMYFUNCTION("""COMPUTED_VALUE"""),"#REF!")</f>
        <v>#REF!</v>
      </c>
      <c r="E716" s="54">
        <f>IFERROR(__xludf.DUMMYFUNCTION("""COMPUTED_VALUE"""),125300.0)</f>
        <v>125300</v>
      </c>
      <c r="F716" s="3" t="str">
        <f>IFERROR(__xludf.DUMMYFUNCTION("""COMPUTED_VALUE"""),"Corte Monte Real generico")</f>
        <v>Corte Monte Real generico</v>
      </c>
      <c r="G716" s="55">
        <f>IFERROR(__xludf.DUMMYFUNCTION("""COMPUTED_VALUE"""),13.0)</f>
        <v>13</v>
      </c>
      <c r="H716" s="56">
        <f>IFERROR(__xludf.DUMMYFUNCTION("""COMPUTED_VALUE"""),2.0)</f>
        <v>2</v>
      </c>
      <c r="I716" s="57">
        <f>IFERROR(__xludf.DUMMYFUNCTION("""COMPUTED_VALUE"""),0.64)</f>
        <v>0.64</v>
      </c>
      <c r="J716" s="57">
        <f>IFERROR(__xludf.DUMMYFUNCTION("""COMPUTED_VALUE"""),4.6)</f>
        <v>4.6</v>
      </c>
      <c r="K716" s="57">
        <f>IFERROR(__xludf.DUMMYFUNCTION("""COMPUTED_VALUE"""),3.59)</f>
        <v>3.59</v>
      </c>
      <c r="L716" s="54">
        <f>IFERROR(__xludf.DUMMYFUNCTION("""COMPUTED_VALUE"""),38.0)</f>
        <v>38</v>
      </c>
      <c r="M716" s="3"/>
      <c r="N716" s="3"/>
      <c r="O716" s="3">
        <f>IFERROR(__xludf.DUMMYFUNCTION("""COMPUTED_VALUE"""),282.0)</f>
        <v>282</v>
      </c>
      <c r="P716" s="3">
        <f>IFERROR(__xludf.DUMMYFUNCTION("""COMPUTED_VALUE"""),386.0)</f>
        <v>386</v>
      </c>
      <c r="Q716" s="3"/>
      <c r="R716" s="3">
        <f>IFERROR(__xludf.DUMMYFUNCTION("""COMPUTED_VALUE"""),668.0)</f>
        <v>668</v>
      </c>
      <c r="S716" s="54">
        <f>IFERROR(__xludf.DUMMYFUNCTION("""COMPUTED_VALUE"""),914.3546099290779)</f>
        <v>914.3546099</v>
      </c>
      <c r="T716" s="5"/>
      <c r="U716" s="5"/>
      <c r="V716" s="5"/>
      <c r="W716" s="5"/>
    </row>
    <row r="717" ht="15.75" customHeight="1">
      <c r="A717" s="3">
        <f>IFERROR(__xludf.DUMMYFUNCTION("""COMPUTED_VALUE"""),717.0)</f>
        <v>717</v>
      </c>
      <c r="B717" s="53">
        <f>IFERROR(__xludf.DUMMYFUNCTION("""COMPUTED_VALUE"""),45617.0)</f>
        <v>45617</v>
      </c>
      <c r="C717" s="3">
        <f>IFERROR(__xludf.DUMMYFUNCTION("""COMPUTED_VALUE"""),82.0)</f>
        <v>82</v>
      </c>
      <c r="D717" s="3" t="str">
        <f>IFERROR(__xludf.DUMMYFUNCTION("""COMPUTED_VALUE"""),"#REF!")</f>
        <v>#REF!</v>
      </c>
      <c r="E717" s="3"/>
      <c r="F717" s="3" t="str">
        <f>IFERROR(__xludf.DUMMYFUNCTION("""COMPUTED_VALUE"""),"Corte tinto Monte Real")</f>
        <v>Corte tinto Monte Real</v>
      </c>
      <c r="G717" s="3"/>
      <c r="H717" s="3"/>
      <c r="I717" s="3"/>
      <c r="J717" s="3"/>
      <c r="K717" s="3"/>
      <c r="L717" s="3"/>
      <c r="M717" s="3"/>
      <c r="N717" s="3"/>
      <c r="O717" s="3">
        <f>IFERROR(__xludf.DUMMYFUNCTION("""COMPUTED_VALUE"""),265.0)</f>
        <v>265</v>
      </c>
      <c r="P717" s="3">
        <f>IFERROR(__xludf.DUMMYFUNCTION("""COMPUTED_VALUE"""),359.0)</f>
        <v>359</v>
      </c>
      <c r="Q717" s="3"/>
      <c r="R717" s="3">
        <f>IFERROR(__xludf.DUMMYFUNCTION("""COMPUTED_VALUE"""),624.0)</f>
        <v>624</v>
      </c>
      <c r="S717" s="54">
        <f>IFERROR(__xludf.DUMMYFUNCTION("""COMPUTED_VALUE"""),845.3433962264152)</f>
        <v>845.3433962</v>
      </c>
      <c r="T717" s="5"/>
      <c r="U717" s="5"/>
      <c r="V717" s="5"/>
      <c r="W717" s="5"/>
    </row>
    <row r="718" ht="15.75" customHeight="1">
      <c r="A718" s="3">
        <f>IFERROR(__xludf.DUMMYFUNCTION("""COMPUTED_VALUE"""),718.0)</f>
        <v>718</v>
      </c>
      <c r="B718" s="53">
        <f>IFERROR(__xludf.DUMMYFUNCTION("""COMPUTED_VALUE"""),45617.0)</f>
        <v>45617</v>
      </c>
      <c r="C718" s="3">
        <f>IFERROR(__xludf.DUMMYFUNCTION("""COMPUTED_VALUE"""),24.0)</f>
        <v>24</v>
      </c>
      <c r="D718" s="3" t="str">
        <f>IFERROR(__xludf.DUMMYFUNCTION("""COMPUTED_VALUE"""),"#REF!")</f>
        <v>#REF!</v>
      </c>
      <c r="E718" s="3"/>
      <c r="F718" s="3" t="str">
        <f>IFERROR(__xludf.DUMMYFUNCTION("""COMPUTED_VALUE"""),"Corte tinto Monte Real")</f>
        <v>Corte tinto Monte Real</v>
      </c>
      <c r="G718" s="3"/>
      <c r="H718" s="3"/>
      <c r="I718" s="3"/>
      <c r="J718" s="3"/>
      <c r="K718" s="3"/>
      <c r="L718" s="3"/>
      <c r="M718" s="3"/>
      <c r="N718" s="3"/>
      <c r="O718" s="3">
        <f>IFERROR(__xludf.DUMMYFUNCTION("""COMPUTED_VALUE"""),284.0)</f>
        <v>284</v>
      </c>
      <c r="P718" s="3">
        <f>IFERROR(__xludf.DUMMYFUNCTION("""COMPUTED_VALUE"""),392.0)</f>
        <v>392</v>
      </c>
      <c r="Q718" s="3"/>
      <c r="R718" s="3">
        <f>IFERROR(__xludf.DUMMYFUNCTION("""COMPUTED_VALUE"""),676.0)</f>
        <v>676</v>
      </c>
      <c r="S718" s="3"/>
      <c r="T718" s="5"/>
      <c r="U718" s="5"/>
      <c r="V718" s="5"/>
      <c r="W718" s="5"/>
    </row>
    <row r="719" ht="15.75" customHeight="1">
      <c r="A719" s="3">
        <f>IFERROR(__xludf.DUMMYFUNCTION("""COMPUTED_VALUE"""),719.0)</f>
        <v>719</v>
      </c>
      <c r="B719" s="53">
        <f>IFERROR(__xludf.DUMMYFUNCTION("""COMPUTED_VALUE"""),45629.0)</f>
        <v>45629</v>
      </c>
      <c r="C719" s="3">
        <f>IFERROR(__xludf.DUMMYFUNCTION("""COMPUTED_VALUE"""),71.0)</f>
        <v>71</v>
      </c>
      <c r="D719" s="3" t="str">
        <f>IFERROR(__xludf.DUMMYFUNCTION("""COMPUTED_VALUE"""),"#REF!")</f>
        <v>#REF!</v>
      </c>
      <c r="E719" s="3"/>
      <c r="F719" s="3" t="str">
        <f>IFERROR(__xludf.DUMMYFUNCTION("""COMPUTED_VALUE"""),"Malbec Mermo")</f>
        <v>Malbec Mermo</v>
      </c>
      <c r="G719" s="3"/>
      <c r="H719" s="3"/>
      <c r="I719" s="57">
        <f>IFERROR(__xludf.DUMMYFUNCTION("""COMPUTED_VALUE"""),0.64)</f>
        <v>0.64</v>
      </c>
      <c r="J719" s="3"/>
      <c r="K719" s="3"/>
      <c r="L719" s="54">
        <f>IFERROR(__xludf.DUMMYFUNCTION("""COMPUTED_VALUE"""),47.0)</f>
        <v>47</v>
      </c>
      <c r="M719" s="3"/>
      <c r="N719" s="3"/>
      <c r="O719" s="3"/>
      <c r="P719" s="3"/>
      <c r="Q719" s="3"/>
      <c r="R719" s="3"/>
      <c r="S719" s="3"/>
      <c r="T719" s="5"/>
      <c r="U719" s="5"/>
      <c r="V719" s="5"/>
      <c r="W719" s="5"/>
    </row>
    <row r="720" ht="15.75" customHeight="1">
      <c r="A720" s="3">
        <f>IFERROR(__xludf.DUMMYFUNCTION("""COMPUTED_VALUE"""),720.0)</f>
        <v>720</v>
      </c>
      <c r="B720" s="53">
        <f>IFERROR(__xludf.DUMMYFUNCTION("""COMPUTED_VALUE"""),45629.0)</f>
        <v>45629</v>
      </c>
      <c r="C720" s="3">
        <f>IFERROR(__xludf.DUMMYFUNCTION("""COMPUTED_VALUE"""),8.0)</f>
        <v>8</v>
      </c>
      <c r="D720" s="3" t="str">
        <f>IFERROR(__xludf.DUMMYFUNCTION("""COMPUTED_VALUE"""),"1.207")</f>
        <v>1.207</v>
      </c>
      <c r="E720" s="54">
        <f>IFERROR(__xludf.DUMMYFUNCTION("""COMPUTED_VALUE"""),22000.0)</f>
        <v>22000</v>
      </c>
      <c r="F720" s="3" t="str">
        <f>IFERROR(__xludf.DUMMYFUNCTION("""COMPUTED_VALUE"""),"Chardonnay")</f>
        <v>Chardonnay</v>
      </c>
      <c r="G720" s="3"/>
      <c r="H720" s="3"/>
      <c r="I720" s="3"/>
      <c r="J720" s="3"/>
      <c r="K720" s="57">
        <f>IFERROR(__xludf.DUMMYFUNCTION("""COMPUTED_VALUE"""),3.34)</f>
        <v>3.34</v>
      </c>
      <c r="L720" s="54">
        <f>IFERROR(__xludf.DUMMYFUNCTION("""COMPUTED_VALUE"""),38.0)</f>
        <v>38</v>
      </c>
      <c r="M720" s="3">
        <f>IFERROR(__xludf.DUMMYFUNCTION("""COMPUTED_VALUE"""),130.0)</f>
        <v>130</v>
      </c>
      <c r="N720" s="3"/>
      <c r="O720" s="3"/>
      <c r="P720" s="3"/>
      <c r="Q720" s="3"/>
      <c r="R720" s="3"/>
      <c r="S720" s="3"/>
      <c r="T720" s="5"/>
      <c r="U720" s="5"/>
      <c r="V720" s="5"/>
      <c r="W720" s="5"/>
    </row>
    <row r="721" ht="15.75" customHeight="1">
      <c r="A721" s="3">
        <f>IFERROR(__xludf.DUMMYFUNCTION("""COMPUTED_VALUE"""),721.0)</f>
        <v>721</v>
      </c>
      <c r="B721" s="53">
        <f>IFERROR(__xludf.DUMMYFUNCTION("""COMPUTED_VALUE"""),45629.0)</f>
        <v>45629</v>
      </c>
      <c r="C721" s="3">
        <f>IFERROR(__xludf.DUMMYFUNCTION("""COMPUTED_VALUE"""),10.0)</f>
        <v>10</v>
      </c>
      <c r="D721" s="3" t="str">
        <f>IFERROR(__xludf.DUMMYFUNCTION("""COMPUTED_VALUE"""),"1.208")</f>
        <v>1.208</v>
      </c>
      <c r="E721" s="54">
        <f>IFERROR(__xludf.DUMMYFUNCTION("""COMPUTED_VALUE"""),21000.0)</f>
        <v>21000</v>
      </c>
      <c r="F721" s="3" t="str">
        <f>IFERROR(__xludf.DUMMYFUNCTION("""COMPUTED_VALUE"""),"Chardonnay")</f>
        <v>Chardonnay</v>
      </c>
      <c r="G721" s="3"/>
      <c r="H721" s="3"/>
      <c r="I721" s="3"/>
      <c r="J721" s="3"/>
      <c r="K721" s="57">
        <f>IFERROR(__xludf.DUMMYFUNCTION("""COMPUTED_VALUE"""),3.29)</f>
        <v>3.29</v>
      </c>
      <c r="L721" s="54">
        <f>IFERROR(__xludf.DUMMYFUNCTION("""COMPUTED_VALUE"""),45.0)</f>
        <v>45</v>
      </c>
      <c r="M721" s="3">
        <f>IFERROR(__xludf.DUMMYFUNCTION("""COMPUTED_VALUE"""),138.0)</f>
        <v>138</v>
      </c>
      <c r="N721" s="3"/>
      <c r="O721" s="3"/>
      <c r="P721" s="3"/>
      <c r="Q721" s="3"/>
      <c r="R721" s="3"/>
      <c r="S721" s="3"/>
      <c r="T721" s="5"/>
      <c r="U721" s="5"/>
      <c r="V721" s="5"/>
      <c r="W721" s="5"/>
    </row>
    <row r="722" ht="15.75" customHeight="1">
      <c r="A722" s="3">
        <f>IFERROR(__xludf.DUMMYFUNCTION("""COMPUTED_VALUE"""),722.0)</f>
        <v>722</v>
      </c>
      <c r="B722" s="53">
        <f>IFERROR(__xludf.DUMMYFUNCTION("""COMPUTED_VALUE"""),45629.0)</f>
        <v>45629</v>
      </c>
      <c r="C722" s="3">
        <f>IFERROR(__xludf.DUMMYFUNCTION("""COMPUTED_VALUE"""),40.0)</f>
        <v>40</v>
      </c>
      <c r="D722" s="3" t="str">
        <f>IFERROR(__xludf.DUMMYFUNCTION("""COMPUTED_VALUE"""),"#REF!")</f>
        <v>#REF!</v>
      </c>
      <c r="E722" s="3"/>
      <c r="F722" s="3" t="str">
        <f>IFERROR(__xludf.DUMMYFUNCTION("""COMPUTED_VALUE"""),"Chardonnay")</f>
        <v>Chardonnay</v>
      </c>
      <c r="G722" s="55">
        <f>IFERROR(__xludf.DUMMYFUNCTION("""COMPUTED_VALUE"""),11.9)</f>
        <v>11.9</v>
      </c>
      <c r="H722" s="56">
        <f>IFERROR(__xludf.DUMMYFUNCTION("""COMPUTED_VALUE"""),2.0)</f>
        <v>2</v>
      </c>
      <c r="I722" s="57">
        <f>IFERROR(__xludf.DUMMYFUNCTION("""COMPUTED_VALUE"""),0.34)</f>
        <v>0.34</v>
      </c>
      <c r="J722" s="57">
        <f>IFERROR(__xludf.DUMMYFUNCTION("""COMPUTED_VALUE"""),6.73)</f>
        <v>6.73</v>
      </c>
      <c r="K722" s="57">
        <f>IFERROR(__xludf.DUMMYFUNCTION("""COMPUTED_VALUE"""),3.26)</f>
        <v>3.26</v>
      </c>
      <c r="L722" s="54">
        <f>IFERROR(__xludf.DUMMYFUNCTION("""COMPUTED_VALUE"""),43.0)</f>
        <v>43</v>
      </c>
      <c r="M722" s="3">
        <f>IFERROR(__xludf.DUMMYFUNCTION("""COMPUTED_VALUE"""),145.0)</f>
        <v>145</v>
      </c>
      <c r="N722" s="3"/>
      <c r="O722" s="3"/>
      <c r="P722" s="3"/>
      <c r="Q722" s="3"/>
      <c r="R722" s="3"/>
      <c r="S722" s="3"/>
      <c r="T722" s="5"/>
      <c r="U722" s="5"/>
      <c r="V722" s="5"/>
      <c r="W722" s="5"/>
    </row>
    <row r="723" ht="15.75" customHeight="1">
      <c r="A723" s="3">
        <f>IFERROR(__xludf.DUMMYFUNCTION("""COMPUTED_VALUE"""),723.0)</f>
        <v>723</v>
      </c>
      <c r="B723" s="53">
        <f>IFERROR(__xludf.DUMMYFUNCTION("""COMPUTED_VALUE"""),45629.0)</f>
        <v>45629</v>
      </c>
      <c r="C723" s="3">
        <f>IFERROR(__xludf.DUMMYFUNCTION("""COMPUTED_VALUE"""),46.0)</f>
        <v>46</v>
      </c>
      <c r="D723" s="3" t="str">
        <f>IFERROR(__xludf.DUMMYFUNCTION("""COMPUTED_VALUE"""),"1.206")</f>
        <v>1.206</v>
      </c>
      <c r="E723" s="54">
        <f>IFERROR(__xludf.DUMMYFUNCTION("""COMPUTED_VALUE"""),29000.0)</f>
        <v>29000</v>
      </c>
      <c r="F723" s="3" t="str">
        <f>IFERROR(__xludf.DUMMYFUNCTION("""COMPUTED_VALUE"""),"Chardonnay")</f>
        <v>Chardonnay</v>
      </c>
      <c r="G723" s="3"/>
      <c r="H723" s="3"/>
      <c r="I723" s="3"/>
      <c r="J723" s="3"/>
      <c r="K723" s="57">
        <f>IFERROR(__xludf.DUMMYFUNCTION("""COMPUTED_VALUE"""),3.36)</f>
        <v>3.36</v>
      </c>
      <c r="L723" s="54">
        <f>IFERROR(__xludf.DUMMYFUNCTION("""COMPUTED_VALUE"""),46.0)</f>
        <v>46</v>
      </c>
      <c r="M723" s="3">
        <f>IFERROR(__xludf.DUMMYFUNCTION("""COMPUTED_VALUE"""),150.0)</f>
        <v>150</v>
      </c>
      <c r="N723" s="3"/>
      <c r="O723" s="3"/>
      <c r="P723" s="3"/>
      <c r="Q723" s="3"/>
      <c r="R723" s="3"/>
      <c r="S723" s="3"/>
      <c r="T723" s="5"/>
      <c r="U723" s="5"/>
      <c r="V723" s="5"/>
      <c r="W723" s="5"/>
    </row>
    <row r="724" ht="15.75" customHeight="1">
      <c r="A724" s="3">
        <f>IFERROR(__xludf.DUMMYFUNCTION("""COMPUTED_VALUE"""),724.0)</f>
        <v>724</v>
      </c>
      <c r="B724" s="53">
        <f>IFERROR(__xludf.DUMMYFUNCTION("""COMPUTED_VALUE"""),45630.0)</f>
        <v>45630</v>
      </c>
      <c r="C724" s="3">
        <f>IFERROR(__xludf.DUMMYFUNCTION("""COMPUTED_VALUE"""),54.0)</f>
        <v>54</v>
      </c>
      <c r="D724" s="3" t="str">
        <f>IFERROR(__xludf.DUMMYFUNCTION("""COMPUTED_VALUE"""),"1.165")</f>
        <v>1.165</v>
      </c>
      <c r="E724" s="54">
        <f>IFERROR(__xludf.DUMMYFUNCTION("""COMPUTED_VALUE"""),22900.0)</f>
        <v>22900</v>
      </c>
      <c r="F724" s="3" t="str">
        <f>IFERROR(__xludf.DUMMYFUNCTION("""COMPUTED_VALUE"""),"Pedro Gimenez")</f>
        <v>Pedro Gimenez</v>
      </c>
      <c r="G724" s="3"/>
      <c r="H724" s="3"/>
      <c r="I724" s="3"/>
      <c r="J724" s="3"/>
      <c r="K724" s="57">
        <f>IFERROR(__xludf.DUMMYFUNCTION("""COMPUTED_VALUE"""),3.37)</f>
        <v>3.37</v>
      </c>
      <c r="L724" s="54">
        <f>IFERROR(__xludf.DUMMYFUNCTION("""COMPUTED_VALUE"""),43.0)</f>
        <v>43</v>
      </c>
      <c r="M724" s="3">
        <f>IFERROR(__xludf.DUMMYFUNCTION("""COMPUTED_VALUE"""),155.0)</f>
        <v>155</v>
      </c>
      <c r="N724" s="3"/>
      <c r="O724" s="3"/>
      <c r="P724" s="3"/>
      <c r="Q724" s="3"/>
      <c r="R724" s="3"/>
      <c r="S724" s="3"/>
      <c r="T724" s="5"/>
      <c r="U724" s="5"/>
      <c r="V724" s="5"/>
      <c r="W724" s="5"/>
    </row>
    <row r="725" ht="15.75" customHeight="1">
      <c r="A725" s="3">
        <f>IFERROR(__xludf.DUMMYFUNCTION("""COMPUTED_VALUE"""),725.0)</f>
        <v>725</v>
      </c>
      <c r="B725" s="53">
        <f>IFERROR(__xludf.DUMMYFUNCTION("""COMPUTED_VALUE"""),45630.0)</f>
        <v>45630</v>
      </c>
      <c r="C725" s="3">
        <f>IFERROR(__xludf.DUMMYFUNCTION("""COMPUTED_VALUE"""),25.0)</f>
        <v>25</v>
      </c>
      <c r="D725" s="3" t="str">
        <f>IFERROR(__xludf.DUMMYFUNCTION("""COMPUTED_VALUE"""),"#REF!")</f>
        <v>#REF!</v>
      </c>
      <c r="E725" s="54">
        <f>IFERROR(__xludf.DUMMYFUNCTION("""COMPUTED_VALUE"""),194300.0)</f>
        <v>194300</v>
      </c>
      <c r="F725" s="3" t="str">
        <f>IFERROR(__xludf.DUMMYFUNCTION("""COMPUTED_VALUE"""),"Cabernet Sauvignon")</f>
        <v>Cabernet Sauvignon</v>
      </c>
      <c r="G725" s="3"/>
      <c r="H725" s="3"/>
      <c r="I725" s="3"/>
      <c r="J725" s="3"/>
      <c r="K725" s="57">
        <f>IFERROR(__xludf.DUMMYFUNCTION("""COMPUTED_VALUE"""),3.54)</f>
        <v>3.54</v>
      </c>
      <c r="L725" s="54">
        <f>IFERROR(__xludf.DUMMYFUNCTION("""COMPUTED_VALUE"""),42.0)</f>
        <v>42</v>
      </c>
      <c r="M725" s="3">
        <f>IFERROR(__xludf.DUMMYFUNCTION("""COMPUTED_VALUE"""),110.0)</f>
        <v>110</v>
      </c>
      <c r="N725" s="3"/>
      <c r="O725" s="3"/>
      <c r="P725" s="3"/>
      <c r="Q725" s="3"/>
      <c r="R725" s="3"/>
      <c r="S725" s="3"/>
      <c r="T725" s="5"/>
      <c r="U725" s="5"/>
      <c r="V725" s="5"/>
      <c r="W725" s="5"/>
    </row>
    <row r="726" ht="15.75" customHeight="1">
      <c r="A726" s="3">
        <f>IFERROR(__xludf.DUMMYFUNCTION("""COMPUTED_VALUE"""),726.0)</f>
        <v>726</v>
      </c>
      <c r="B726" s="53">
        <f>IFERROR(__xludf.DUMMYFUNCTION("""COMPUTED_VALUE"""),45630.0)</f>
        <v>45630</v>
      </c>
      <c r="C726" s="3">
        <f>IFERROR(__xludf.DUMMYFUNCTION("""COMPUTED_VALUE"""),30.0)</f>
        <v>30</v>
      </c>
      <c r="D726" s="3" t="str">
        <f>IFERROR(__xludf.DUMMYFUNCTION("""COMPUTED_VALUE"""),"1.090")</f>
        <v>1.090</v>
      </c>
      <c r="E726" s="54">
        <f>IFERROR(__xludf.DUMMYFUNCTION("""COMPUTED_VALUE"""),38800.0)</f>
        <v>38800</v>
      </c>
      <c r="F726" s="3" t="str">
        <f>IFERROR(__xludf.DUMMYFUNCTION("""COMPUTED_VALUE"""),"Aspirant")</f>
        <v>Aspirant</v>
      </c>
      <c r="G726" s="3"/>
      <c r="H726" s="3"/>
      <c r="I726" s="3"/>
      <c r="J726" s="3"/>
      <c r="K726" s="57">
        <f>IFERROR(__xludf.DUMMYFUNCTION("""COMPUTED_VALUE"""),3.43)</f>
        <v>3.43</v>
      </c>
      <c r="L726" s="54">
        <f>IFERROR(__xludf.DUMMYFUNCTION("""COMPUTED_VALUE"""),40.0)</f>
        <v>40</v>
      </c>
      <c r="M726" s="3">
        <f>IFERROR(__xludf.DUMMYFUNCTION("""COMPUTED_VALUE"""),110.0)</f>
        <v>110</v>
      </c>
      <c r="N726" s="3"/>
      <c r="O726" s="3"/>
      <c r="P726" s="3"/>
      <c r="Q726" s="3"/>
      <c r="R726" s="3"/>
      <c r="S726" s="3"/>
      <c r="T726" s="5"/>
      <c r="U726" s="5"/>
      <c r="V726" s="5"/>
      <c r="W726" s="5"/>
    </row>
    <row r="727" ht="15.75" customHeight="1">
      <c r="A727" s="3">
        <f>IFERROR(__xludf.DUMMYFUNCTION("""COMPUTED_VALUE"""),727.0)</f>
        <v>727</v>
      </c>
      <c r="B727" s="53">
        <f>IFERROR(__xludf.DUMMYFUNCTION("""COMPUTED_VALUE"""),45630.0)</f>
        <v>45630</v>
      </c>
      <c r="C727" s="3">
        <f>IFERROR(__xludf.DUMMYFUNCTION("""COMPUTED_VALUE"""),42.0)</f>
        <v>42</v>
      </c>
      <c r="D727" s="3" t="str">
        <f>IFERROR(__xludf.DUMMYFUNCTION("""COMPUTED_VALUE"""),"#REF!")</f>
        <v>#REF!</v>
      </c>
      <c r="E727" s="3"/>
      <c r="F727" s="3" t="str">
        <f>IFERROR(__xludf.DUMMYFUNCTION("""COMPUTED_VALUE"""),"Malbec corte")</f>
        <v>Malbec corte</v>
      </c>
      <c r="G727" s="55">
        <f>IFERROR(__xludf.DUMMYFUNCTION("""COMPUTED_VALUE"""),13.0)</f>
        <v>13</v>
      </c>
      <c r="H727" s="56">
        <f>IFERROR(__xludf.DUMMYFUNCTION("""COMPUTED_VALUE"""),2.0)</f>
        <v>2</v>
      </c>
      <c r="I727" s="57">
        <f>IFERROR(__xludf.DUMMYFUNCTION("""COMPUTED_VALUE"""),0.74)</f>
        <v>0.74</v>
      </c>
      <c r="J727" s="57">
        <f>IFERROR(__xludf.DUMMYFUNCTION("""COMPUTED_VALUE"""),5.0)</f>
        <v>5</v>
      </c>
      <c r="K727" s="57">
        <f>IFERROR(__xludf.DUMMYFUNCTION("""COMPUTED_VALUE"""),3.55)</f>
        <v>3.55</v>
      </c>
      <c r="L727" s="54">
        <f>IFERROR(__xludf.DUMMYFUNCTION("""COMPUTED_VALUE"""),47.0)</f>
        <v>47</v>
      </c>
      <c r="M727" s="3">
        <f>IFERROR(__xludf.DUMMYFUNCTION("""COMPUTED_VALUE"""),150.0)</f>
        <v>150</v>
      </c>
      <c r="N727" s="3"/>
      <c r="O727" s="3"/>
      <c r="P727" s="3"/>
      <c r="Q727" s="3"/>
      <c r="R727" s="3"/>
      <c r="S727" s="3"/>
      <c r="T727" s="5"/>
      <c r="U727" s="5"/>
      <c r="V727" s="5"/>
      <c r="W727" s="5"/>
    </row>
    <row r="728" ht="15.75" customHeight="1">
      <c r="A728" s="3">
        <f>IFERROR(__xludf.DUMMYFUNCTION("""COMPUTED_VALUE"""),728.0)</f>
        <v>728</v>
      </c>
      <c r="B728" s="53">
        <f>IFERROR(__xludf.DUMMYFUNCTION("""COMPUTED_VALUE"""),45631.0)</f>
        <v>45631</v>
      </c>
      <c r="C728" s="3">
        <f>IFERROR(__xludf.DUMMYFUNCTION("""COMPUTED_VALUE"""),50.0)</f>
        <v>50</v>
      </c>
      <c r="D728" s="3" t="str">
        <f>IFERROR(__xludf.DUMMYFUNCTION("""COMPUTED_VALUE"""),"#REF!")</f>
        <v>#REF!</v>
      </c>
      <c r="E728" s="3"/>
      <c r="F728" s="3" t="str">
        <f>IFERROR(__xludf.DUMMYFUNCTION("""COMPUTED_VALUE"""),"Tinto rectificado")</f>
        <v>Tinto rectificado</v>
      </c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5"/>
      <c r="U728" s="5"/>
      <c r="V728" s="5"/>
      <c r="W728" s="5"/>
    </row>
    <row r="729" ht="15.75" customHeight="1">
      <c r="A729" s="3">
        <f>IFERROR(__xludf.DUMMYFUNCTION("""COMPUTED_VALUE"""),729.0)</f>
        <v>729</v>
      </c>
      <c r="B729" s="53">
        <f>IFERROR(__xludf.DUMMYFUNCTION("""COMPUTED_VALUE"""),45631.0)</f>
        <v>45631</v>
      </c>
      <c r="C729" s="3">
        <f>IFERROR(__xludf.DUMMYFUNCTION("""COMPUTED_VALUE"""),51.0)</f>
        <v>51</v>
      </c>
      <c r="D729" s="3" t="str">
        <f>IFERROR(__xludf.DUMMYFUNCTION("""COMPUTED_VALUE"""),"1.118")</f>
        <v>1.118</v>
      </c>
      <c r="E729" s="54">
        <f>IFERROR(__xludf.DUMMYFUNCTION("""COMPUTED_VALUE"""),3900.0)</f>
        <v>3900</v>
      </c>
      <c r="F729" s="3" t="str">
        <f>IFERROR(__xludf.DUMMYFUNCTION("""COMPUTED_VALUE"""),"Syrah Rosado")</f>
        <v>Syrah Rosado</v>
      </c>
      <c r="G729" s="3"/>
      <c r="H729" s="3"/>
      <c r="I729" s="3"/>
      <c r="J729" s="3"/>
      <c r="K729" s="3"/>
      <c r="L729" s="54">
        <f>IFERROR(__xludf.DUMMYFUNCTION("""COMPUTED_VALUE"""),45.0)</f>
        <v>45</v>
      </c>
      <c r="M729" s="3">
        <f>IFERROR(__xludf.DUMMYFUNCTION("""COMPUTED_VALUE"""),170.0)</f>
        <v>170</v>
      </c>
      <c r="N729" s="3"/>
      <c r="O729" s="3"/>
      <c r="P729" s="3"/>
      <c r="Q729" s="3"/>
      <c r="R729" s="3"/>
      <c r="S729" s="3"/>
      <c r="T729" s="5"/>
      <c r="U729" s="5"/>
      <c r="V729" s="5"/>
      <c r="W729" s="5"/>
    </row>
    <row r="730" ht="15.75" customHeight="1">
      <c r="A730" s="3">
        <f>IFERROR(__xludf.DUMMYFUNCTION("""COMPUTED_VALUE"""),730.0)</f>
        <v>730</v>
      </c>
      <c r="B730" s="53">
        <f>IFERROR(__xludf.DUMMYFUNCTION("""COMPUTED_VALUE"""),45631.0)</f>
        <v>45631</v>
      </c>
      <c r="C730" s="3">
        <f>IFERROR(__xludf.DUMMYFUNCTION("""COMPUTED_VALUE"""),55.0)</f>
        <v>55</v>
      </c>
      <c r="D730" s="3" t="str">
        <f>IFERROR(__xludf.DUMMYFUNCTION("""COMPUTED_VALUE"""),"1.119")</f>
        <v>1.119</v>
      </c>
      <c r="E730" s="54">
        <f>IFERROR(__xludf.DUMMYFUNCTION("""COMPUTED_VALUE"""),3000.0)</f>
        <v>3000</v>
      </c>
      <c r="F730" s="3" t="str">
        <f>IFERROR(__xludf.DUMMYFUNCTION("""COMPUTED_VALUE"""),"Syrah Rosado")</f>
        <v>Syrah Rosado</v>
      </c>
      <c r="G730" s="3"/>
      <c r="H730" s="3"/>
      <c r="I730" s="3"/>
      <c r="J730" s="3"/>
      <c r="K730" s="3"/>
      <c r="L730" s="54">
        <f>IFERROR(__xludf.DUMMYFUNCTION("""COMPUTED_VALUE"""),43.0)</f>
        <v>43</v>
      </c>
      <c r="M730" s="3">
        <f>IFERROR(__xludf.DUMMYFUNCTION("""COMPUTED_VALUE"""),160.0)</f>
        <v>160</v>
      </c>
      <c r="N730" s="3"/>
      <c r="O730" s="3"/>
      <c r="P730" s="3"/>
      <c r="Q730" s="3"/>
      <c r="R730" s="3"/>
      <c r="S730" s="3"/>
      <c r="T730" s="5"/>
      <c r="U730" s="5"/>
      <c r="V730" s="5"/>
      <c r="W730" s="5"/>
    </row>
    <row r="731" ht="15.75" customHeight="1">
      <c r="A731" s="3">
        <f>IFERROR(__xludf.DUMMYFUNCTION("""COMPUTED_VALUE"""),731.0)</f>
        <v>731</v>
      </c>
      <c r="B731" s="53">
        <f>IFERROR(__xludf.DUMMYFUNCTION("""COMPUTED_VALUE"""),45632.0)</f>
        <v>45632</v>
      </c>
      <c r="C731" s="3">
        <f>IFERROR(__xludf.DUMMYFUNCTION("""COMPUTED_VALUE"""),68.0)</f>
        <v>68</v>
      </c>
      <c r="D731" s="3" t="str">
        <f>IFERROR(__xludf.DUMMYFUNCTION("""COMPUTED_VALUE"""),"#REF!")</f>
        <v>#REF!</v>
      </c>
      <c r="E731" s="54">
        <f>IFERROR(__xludf.DUMMYFUNCTION("""COMPUTED_VALUE"""),13000.0)</f>
        <v>13000</v>
      </c>
      <c r="F731" s="3" t="str">
        <f>IFERROR(__xludf.DUMMYFUNCTION("""COMPUTED_VALUE"""),"Bonarda")</f>
        <v>Bonarda</v>
      </c>
      <c r="G731" s="3"/>
      <c r="H731" s="3"/>
      <c r="I731" s="3"/>
      <c r="J731" s="3"/>
      <c r="K731" s="57">
        <f>IFERROR(__xludf.DUMMYFUNCTION("""COMPUTED_VALUE"""),3.6)</f>
        <v>3.6</v>
      </c>
      <c r="L731" s="54">
        <f>IFERROR(__xludf.DUMMYFUNCTION("""COMPUTED_VALUE"""),40.0)</f>
        <v>40</v>
      </c>
      <c r="M731" s="3">
        <f>IFERROR(__xludf.DUMMYFUNCTION("""COMPUTED_VALUE"""),150.0)</f>
        <v>150</v>
      </c>
      <c r="N731" s="3"/>
      <c r="O731" s="3"/>
      <c r="P731" s="3"/>
      <c r="Q731" s="3"/>
      <c r="R731" s="3"/>
      <c r="S731" s="3"/>
      <c r="T731" s="5"/>
      <c r="U731" s="5"/>
      <c r="V731" s="5"/>
      <c r="W731" s="5"/>
    </row>
    <row r="732" ht="15.75" customHeight="1">
      <c r="A732" s="3">
        <f>IFERROR(__xludf.DUMMYFUNCTION("""COMPUTED_VALUE"""),732.0)</f>
        <v>732</v>
      </c>
      <c r="B732" s="53">
        <f>IFERROR(__xludf.DUMMYFUNCTION("""COMPUTED_VALUE"""),45632.0)</f>
        <v>45632</v>
      </c>
      <c r="C732" s="3">
        <f>IFERROR(__xludf.DUMMYFUNCTION("""COMPUTED_VALUE"""),44.0)</f>
        <v>44</v>
      </c>
      <c r="D732" s="3" t="str">
        <f>IFERROR(__xludf.DUMMYFUNCTION("""COMPUTED_VALUE"""),"#REF!")</f>
        <v>#REF!</v>
      </c>
      <c r="E732" s="54">
        <f>IFERROR(__xludf.DUMMYFUNCTION("""COMPUTED_VALUE"""),5500.0)</f>
        <v>5500</v>
      </c>
      <c r="F732" s="3" t="str">
        <f>IFERROR(__xludf.DUMMYFUNCTION("""COMPUTED_VALUE"""),"Aspirant rectificado")</f>
        <v>Aspirant rectificado</v>
      </c>
      <c r="G732" s="3"/>
      <c r="H732" s="3"/>
      <c r="I732" s="3"/>
      <c r="J732" s="3"/>
      <c r="K732" s="57">
        <f>IFERROR(__xludf.DUMMYFUNCTION("""COMPUTED_VALUE"""),2.35)</f>
        <v>2.35</v>
      </c>
      <c r="L732" s="54">
        <f>IFERROR(__xludf.DUMMYFUNCTION("""COMPUTED_VALUE"""),25.0)</f>
        <v>25</v>
      </c>
      <c r="M732" s="3">
        <f>IFERROR(__xludf.DUMMYFUNCTION("""COMPUTED_VALUE"""),100.0)</f>
        <v>100</v>
      </c>
      <c r="N732" s="3"/>
      <c r="O732" s="3"/>
      <c r="P732" s="3"/>
      <c r="Q732" s="3"/>
      <c r="R732" s="3"/>
      <c r="S732" s="3"/>
      <c r="T732" s="5"/>
      <c r="U732" s="5"/>
      <c r="V732" s="5"/>
      <c r="W732" s="5"/>
    </row>
    <row r="733" ht="15.75" customHeight="1">
      <c r="A733" s="3">
        <f>IFERROR(__xludf.DUMMYFUNCTION("""COMPUTED_VALUE"""),733.0)</f>
        <v>733</v>
      </c>
      <c r="B733" s="53">
        <f>IFERROR(__xludf.DUMMYFUNCTION("""COMPUTED_VALUE"""),45632.0)</f>
        <v>45632</v>
      </c>
      <c r="C733" s="3">
        <f>IFERROR(__xludf.DUMMYFUNCTION("""COMPUTED_VALUE"""),70.0)</f>
        <v>70</v>
      </c>
      <c r="D733" s="3" t="str">
        <f>IFERROR(__xludf.DUMMYFUNCTION("""COMPUTED_VALUE"""),"#REF!")</f>
        <v>#REF!</v>
      </c>
      <c r="E733" s="54">
        <f>IFERROR(__xludf.DUMMYFUNCTION("""COMPUTED_VALUE"""),13000.0)</f>
        <v>13000</v>
      </c>
      <c r="F733" s="3" t="str">
        <f>IFERROR(__xludf.DUMMYFUNCTION("""COMPUTED_VALUE"""),"Cabernet sauvignon")</f>
        <v>Cabernet sauvignon</v>
      </c>
      <c r="G733" s="3"/>
      <c r="H733" s="3"/>
      <c r="I733" s="3"/>
      <c r="J733" s="3"/>
      <c r="K733" s="57">
        <f>IFERROR(__xludf.DUMMYFUNCTION("""COMPUTED_VALUE"""),3.57)</f>
        <v>3.57</v>
      </c>
      <c r="L733" s="54">
        <f>IFERROR(__xludf.DUMMYFUNCTION("""COMPUTED_VALUE"""),38.0)</f>
        <v>38</v>
      </c>
      <c r="M733" s="3">
        <f>IFERROR(__xludf.DUMMYFUNCTION("""COMPUTED_VALUE"""),120.0)</f>
        <v>120</v>
      </c>
      <c r="N733" s="3"/>
      <c r="O733" s="3"/>
      <c r="P733" s="3"/>
      <c r="Q733" s="3"/>
      <c r="R733" s="3"/>
      <c r="S733" s="3"/>
      <c r="T733" s="5"/>
      <c r="U733" s="5"/>
      <c r="V733" s="5"/>
      <c r="W733" s="5"/>
    </row>
    <row r="734" ht="15.75" customHeight="1">
      <c r="A734" s="3">
        <f>IFERROR(__xludf.DUMMYFUNCTION("""COMPUTED_VALUE"""),734.0)</f>
        <v>734</v>
      </c>
      <c r="B734" s="53">
        <f>IFERROR(__xludf.DUMMYFUNCTION("""COMPUTED_VALUE"""),45632.0)</f>
        <v>45632</v>
      </c>
      <c r="C734" s="3">
        <f>IFERROR(__xludf.DUMMYFUNCTION("""COMPUTED_VALUE"""),67.0)</f>
        <v>67</v>
      </c>
      <c r="D734" s="3" t="str">
        <f>IFERROR(__xludf.DUMMYFUNCTION("""COMPUTED_VALUE"""),"#REF!")</f>
        <v>#REF!</v>
      </c>
      <c r="E734" s="3"/>
      <c r="F734" s="3" t="str">
        <f>IFERROR(__xludf.DUMMYFUNCTION("""COMPUTED_VALUE"""),"Malbec corte")</f>
        <v>Malbec corte</v>
      </c>
      <c r="G734" s="55">
        <f>IFERROR(__xludf.DUMMYFUNCTION("""COMPUTED_VALUE"""),13.1)</f>
        <v>13.1</v>
      </c>
      <c r="H734" s="56">
        <f>IFERROR(__xludf.DUMMYFUNCTION("""COMPUTED_VALUE"""),2.0)</f>
        <v>2</v>
      </c>
      <c r="I734" s="57">
        <f>IFERROR(__xludf.DUMMYFUNCTION("""COMPUTED_VALUE"""),0.75)</f>
        <v>0.75</v>
      </c>
      <c r="J734" s="57">
        <f>IFERROR(__xludf.DUMMYFUNCTION("""COMPUTED_VALUE"""),5.0)</f>
        <v>5</v>
      </c>
      <c r="K734" s="57">
        <f>IFERROR(__xludf.DUMMYFUNCTION("""COMPUTED_VALUE"""),3.55)</f>
        <v>3.55</v>
      </c>
      <c r="L734" s="54">
        <f>IFERROR(__xludf.DUMMYFUNCTION("""COMPUTED_VALUE"""),40.0)</f>
        <v>40</v>
      </c>
      <c r="M734" s="3">
        <f>IFERROR(__xludf.DUMMYFUNCTION("""COMPUTED_VALUE"""),130.0)</f>
        <v>130</v>
      </c>
      <c r="N734" s="3"/>
      <c r="O734" s="3"/>
      <c r="P734" s="3"/>
      <c r="Q734" s="3"/>
      <c r="R734" s="3"/>
      <c r="S734" s="3"/>
      <c r="T734" s="5"/>
      <c r="U734" s="5"/>
      <c r="V734" s="5"/>
      <c r="W734" s="5"/>
    </row>
    <row r="735" ht="15.75" customHeight="1">
      <c r="A735" s="3">
        <f>IFERROR(__xludf.DUMMYFUNCTION("""COMPUTED_VALUE"""),735.0)</f>
        <v>735</v>
      </c>
      <c r="B735" s="53">
        <f>IFERROR(__xludf.DUMMYFUNCTION("""COMPUTED_VALUE"""),45636.0)</f>
        <v>45636</v>
      </c>
      <c r="C735" s="3">
        <f>IFERROR(__xludf.DUMMYFUNCTION("""COMPUTED_VALUE"""),74.0)</f>
        <v>74</v>
      </c>
      <c r="D735" s="3" t="str">
        <f>IFERROR(__xludf.DUMMYFUNCTION("""COMPUTED_VALUE"""),"#REF!")</f>
        <v>#REF!</v>
      </c>
      <c r="E735" s="3"/>
      <c r="F735" s="3" t="str">
        <f>IFERROR(__xludf.DUMMYFUNCTION("""COMPUTED_VALUE"""),"Malbec corte Montecepas")</f>
        <v>Malbec corte Montecepas</v>
      </c>
      <c r="G735" s="3"/>
      <c r="H735" s="3"/>
      <c r="I735" s="3"/>
      <c r="J735" s="3"/>
      <c r="K735" s="57">
        <f>IFERROR(__xludf.DUMMYFUNCTION("""COMPUTED_VALUE"""),3.57)</f>
        <v>3.57</v>
      </c>
      <c r="L735" s="54">
        <f>IFERROR(__xludf.DUMMYFUNCTION("""COMPUTED_VALUE"""),38.0)</f>
        <v>38</v>
      </c>
      <c r="M735" s="3">
        <f>IFERROR(__xludf.DUMMYFUNCTION("""COMPUTED_VALUE"""),135.0)</f>
        <v>135</v>
      </c>
      <c r="N735" s="3"/>
      <c r="O735" s="3"/>
      <c r="P735" s="3"/>
      <c r="Q735" s="3"/>
      <c r="R735" s="3"/>
      <c r="S735" s="3"/>
      <c r="T735" s="5"/>
      <c r="U735" s="5"/>
      <c r="V735" s="5"/>
      <c r="W735" s="5"/>
    </row>
    <row r="736" ht="15.75" customHeight="1">
      <c r="A736" s="3">
        <f>IFERROR(__xludf.DUMMYFUNCTION("""COMPUTED_VALUE"""),736.0)</f>
        <v>736</v>
      </c>
      <c r="B736" s="53">
        <f>IFERROR(__xludf.DUMMYFUNCTION("""COMPUTED_VALUE"""),45636.0)</f>
        <v>45636</v>
      </c>
      <c r="C736" s="3">
        <f>IFERROR(__xludf.DUMMYFUNCTION("""COMPUTED_VALUE"""),80.0)</f>
        <v>80</v>
      </c>
      <c r="D736" s="3" t="str">
        <f>IFERROR(__xludf.DUMMYFUNCTION("""COMPUTED_VALUE"""),"#REF!")</f>
        <v>#REF!</v>
      </c>
      <c r="E736" s="3"/>
      <c r="F736" s="3" t="str">
        <f>IFERROR(__xludf.DUMMYFUNCTION("""COMPUTED_VALUE"""),"Bonarda")</f>
        <v>Bonarda</v>
      </c>
      <c r="G736" s="3"/>
      <c r="H736" s="3"/>
      <c r="I736" s="3"/>
      <c r="J736" s="3"/>
      <c r="K736" s="57">
        <f>IFERROR(__xludf.DUMMYFUNCTION("""COMPUTED_VALUE"""),3.63)</f>
        <v>3.63</v>
      </c>
      <c r="L736" s="54">
        <f>IFERROR(__xludf.DUMMYFUNCTION("""COMPUTED_VALUE"""),41.0)</f>
        <v>41</v>
      </c>
      <c r="M736" s="3">
        <f>IFERROR(__xludf.DUMMYFUNCTION("""COMPUTED_VALUE"""),180.0)</f>
        <v>180</v>
      </c>
      <c r="N736" s="3"/>
      <c r="O736" s="3"/>
      <c r="P736" s="3"/>
      <c r="Q736" s="3"/>
      <c r="R736" s="3"/>
      <c r="S736" s="3"/>
      <c r="T736" s="5"/>
      <c r="U736" s="5"/>
      <c r="V736" s="5"/>
      <c r="W736" s="5"/>
    </row>
    <row r="737" ht="15.75" customHeight="1">
      <c r="A737" s="3">
        <f>IFERROR(__xludf.DUMMYFUNCTION("""COMPUTED_VALUE"""),737.0)</f>
        <v>737</v>
      </c>
      <c r="B737" s="53">
        <f>IFERROR(__xludf.DUMMYFUNCTION("""COMPUTED_VALUE"""),45636.0)</f>
        <v>45636</v>
      </c>
      <c r="C737" s="3">
        <f>IFERROR(__xludf.DUMMYFUNCTION("""COMPUTED_VALUE"""),83.0)</f>
        <v>83</v>
      </c>
      <c r="D737" s="3" t="str">
        <f>IFERROR(__xludf.DUMMYFUNCTION("""COMPUTED_VALUE"""),"1.246")</f>
        <v>1.246</v>
      </c>
      <c r="E737" s="54">
        <f>IFERROR(__xludf.DUMMYFUNCTION("""COMPUTED_VALUE"""),81500.0)</f>
        <v>81500</v>
      </c>
      <c r="F737" s="3" t="str">
        <f>IFERROR(__xludf.DUMMYFUNCTION("""COMPUTED_VALUE"""),"Bonarda")</f>
        <v>Bonarda</v>
      </c>
      <c r="G737" s="3"/>
      <c r="H737" s="3"/>
      <c r="I737" s="3"/>
      <c r="J737" s="3"/>
      <c r="K737" s="57">
        <f>IFERROR(__xludf.DUMMYFUNCTION("""COMPUTED_VALUE"""),3.58)</f>
        <v>3.58</v>
      </c>
      <c r="L737" s="54">
        <f>IFERROR(__xludf.DUMMYFUNCTION("""COMPUTED_VALUE"""),42.0)</f>
        <v>42</v>
      </c>
      <c r="M737" s="3">
        <f>IFERROR(__xludf.DUMMYFUNCTION("""COMPUTED_VALUE"""),204.0)</f>
        <v>204</v>
      </c>
      <c r="N737" s="3"/>
      <c r="O737" s="3"/>
      <c r="P737" s="3"/>
      <c r="Q737" s="3"/>
      <c r="R737" s="3"/>
      <c r="S737" s="3"/>
      <c r="T737" s="5"/>
      <c r="U737" s="5"/>
      <c r="V737" s="5"/>
      <c r="W737" s="5"/>
    </row>
    <row r="738" ht="15.75" customHeight="1">
      <c r="A738" s="3">
        <f>IFERROR(__xludf.DUMMYFUNCTION("""COMPUTED_VALUE"""),738.0)</f>
        <v>738</v>
      </c>
      <c r="B738" s="53">
        <f>IFERROR(__xludf.DUMMYFUNCTION("""COMPUTED_VALUE"""),45636.0)</f>
        <v>45636</v>
      </c>
      <c r="C738" s="3">
        <f>IFERROR(__xludf.DUMMYFUNCTION("""COMPUTED_VALUE"""),90.0)</f>
        <v>90</v>
      </c>
      <c r="D738" s="3" t="str">
        <f>IFERROR(__xludf.DUMMYFUNCTION("""COMPUTED_VALUE"""),"#REF!")</f>
        <v>#REF!</v>
      </c>
      <c r="E738" s="3"/>
      <c r="F738" s="3" t="str">
        <f>IFERROR(__xludf.DUMMYFUNCTION("""COMPUTED_VALUE"""),"Syrah corte")</f>
        <v>Syrah corte</v>
      </c>
      <c r="G738" s="3"/>
      <c r="H738" s="3"/>
      <c r="I738" s="3"/>
      <c r="J738" s="3"/>
      <c r="K738" s="57">
        <f>IFERROR(__xludf.DUMMYFUNCTION("""COMPUTED_VALUE"""),3.63)</f>
        <v>3.63</v>
      </c>
      <c r="L738" s="54">
        <f>IFERROR(__xludf.DUMMYFUNCTION("""COMPUTED_VALUE"""),41.0)</f>
        <v>41</v>
      </c>
      <c r="M738" s="3">
        <f>IFERROR(__xludf.DUMMYFUNCTION("""COMPUTED_VALUE"""),130.0)</f>
        <v>130</v>
      </c>
      <c r="N738" s="3"/>
      <c r="O738" s="3"/>
      <c r="P738" s="3"/>
      <c r="Q738" s="3"/>
      <c r="R738" s="3"/>
      <c r="S738" s="3"/>
      <c r="T738" s="5"/>
      <c r="U738" s="5"/>
      <c r="V738" s="5"/>
      <c r="W738" s="5"/>
    </row>
    <row r="739" ht="15.75" customHeight="1">
      <c r="A739" s="3">
        <f>IFERROR(__xludf.DUMMYFUNCTION("""COMPUTED_VALUE"""),739.0)</f>
        <v>739</v>
      </c>
      <c r="B739" s="53">
        <f>IFERROR(__xludf.DUMMYFUNCTION("""COMPUTED_VALUE"""),45637.0)</f>
        <v>45637</v>
      </c>
      <c r="C739" s="3">
        <f>IFERROR(__xludf.DUMMYFUNCTION("""COMPUTED_VALUE"""),91.0)</f>
        <v>91</v>
      </c>
      <c r="D739" s="3" t="str">
        <f>IFERROR(__xludf.DUMMYFUNCTION("""COMPUTED_VALUE"""),"#REF!")</f>
        <v>#REF!</v>
      </c>
      <c r="E739" s="3"/>
      <c r="F739" s="3" t="str">
        <f>IFERROR(__xludf.DUMMYFUNCTION("""COMPUTED_VALUE"""),"Syrah corte")</f>
        <v>Syrah corte</v>
      </c>
      <c r="G739" s="3"/>
      <c r="H739" s="3"/>
      <c r="I739" s="3"/>
      <c r="J739" s="3"/>
      <c r="K739" s="57">
        <f>IFERROR(__xludf.DUMMYFUNCTION("""COMPUTED_VALUE"""),3.69)</f>
        <v>3.69</v>
      </c>
      <c r="L739" s="54">
        <f>IFERROR(__xludf.DUMMYFUNCTION("""COMPUTED_VALUE"""),33.0)</f>
        <v>33</v>
      </c>
      <c r="M739" s="3">
        <f>IFERROR(__xludf.DUMMYFUNCTION("""COMPUTED_VALUE"""),132.0)</f>
        <v>132</v>
      </c>
      <c r="N739" s="3"/>
      <c r="O739" s="3"/>
      <c r="P739" s="3"/>
      <c r="Q739" s="3"/>
      <c r="R739" s="3"/>
      <c r="S739" s="3"/>
      <c r="T739" s="5"/>
      <c r="U739" s="5"/>
      <c r="V739" s="5"/>
      <c r="W739" s="5"/>
    </row>
    <row r="740" ht="15.75" customHeight="1">
      <c r="A740" s="3">
        <f>IFERROR(__xludf.DUMMYFUNCTION("""COMPUTED_VALUE"""),740.0)</f>
        <v>740</v>
      </c>
      <c r="B740" s="53">
        <f>IFERROR(__xludf.DUMMYFUNCTION("""COMPUTED_VALUE"""),45637.0)</f>
        <v>45637</v>
      </c>
      <c r="C740" s="3">
        <f>IFERROR(__xludf.DUMMYFUNCTION("""COMPUTED_VALUE"""),111.0)</f>
        <v>111</v>
      </c>
      <c r="D740" s="3" t="str">
        <f>IFERROR(__xludf.DUMMYFUNCTION("""COMPUTED_VALUE"""),"
6a04e7d6")</f>
        <v>
6a04e7d6</v>
      </c>
      <c r="E740" s="3"/>
      <c r="F740" s="3" t="str">
        <f>IFERROR(__xludf.DUMMYFUNCTION("""COMPUTED_VALUE"""),"Malbec corte Magneta")</f>
        <v>Malbec corte Magneta</v>
      </c>
      <c r="G740" s="3"/>
      <c r="H740" s="3"/>
      <c r="I740" s="3"/>
      <c r="J740" s="3"/>
      <c r="K740" s="57">
        <f>IFERROR(__xludf.DUMMYFUNCTION("""COMPUTED_VALUE"""),3.59)</f>
        <v>3.59</v>
      </c>
      <c r="L740" s="54">
        <f>IFERROR(__xludf.DUMMYFUNCTION("""COMPUTED_VALUE"""),38.0)</f>
        <v>38</v>
      </c>
      <c r="M740" s="3">
        <f>IFERROR(__xludf.DUMMYFUNCTION("""COMPUTED_VALUE"""),135.0)</f>
        <v>135</v>
      </c>
      <c r="N740" s="3"/>
      <c r="O740" s="3"/>
      <c r="P740" s="3"/>
      <c r="Q740" s="3"/>
      <c r="R740" s="3"/>
      <c r="S740" s="3"/>
      <c r="T740" s="5"/>
      <c r="U740" s="5"/>
      <c r="V740" s="5"/>
      <c r="W740" s="5"/>
    </row>
    <row r="741" ht="15.75" customHeight="1">
      <c r="A741" s="3">
        <f>IFERROR(__xludf.DUMMYFUNCTION("""COMPUTED_VALUE"""),741.0)</f>
        <v>741</v>
      </c>
      <c r="B741" s="53">
        <f>IFERROR(__xludf.DUMMYFUNCTION("""COMPUTED_VALUE"""),45637.0)</f>
        <v>45637</v>
      </c>
      <c r="C741" s="3">
        <f>IFERROR(__xludf.DUMMYFUNCTION("""COMPUTED_VALUE"""),118.0)</f>
        <v>118</v>
      </c>
      <c r="D741" s="3" t="str">
        <f>IFERROR(__xludf.DUMMYFUNCTION("""COMPUTED_VALUE"""),"#REF!")</f>
        <v>#REF!</v>
      </c>
      <c r="E741" s="3"/>
      <c r="F741" s="3" t="str">
        <f>IFERROR(__xludf.DUMMYFUNCTION("""COMPUTED_VALUE"""),"Malbec corte")</f>
        <v>Malbec corte</v>
      </c>
      <c r="G741" s="3"/>
      <c r="H741" s="3"/>
      <c r="I741" s="3"/>
      <c r="J741" s="3"/>
      <c r="K741" s="57">
        <f>IFERROR(__xludf.DUMMYFUNCTION("""COMPUTED_VALUE"""),3.58)</f>
        <v>3.58</v>
      </c>
      <c r="L741" s="54">
        <f>IFERROR(__xludf.DUMMYFUNCTION("""COMPUTED_VALUE"""),38.0)</f>
        <v>38</v>
      </c>
      <c r="M741" s="3">
        <f>IFERROR(__xludf.DUMMYFUNCTION("""COMPUTED_VALUE"""),153.0)</f>
        <v>153</v>
      </c>
      <c r="N741" s="3"/>
      <c r="O741" s="3"/>
      <c r="P741" s="3"/>
      <c r="Q741" s="3"/>
      <c r="R741" s="3"/>
      <c r="S741" s="3"/>
      <c r="T741" s="5"/>
      <c r="U741" s="5"/>
      <c r="V741" s="5"/>
      <c r="W741" s="5"/>
    </row>
    <row r="742" ht="15.75" customHeight="1">
      <c r="A742" s="3">
        <f>IFERROR(__xludf.DUMMYFUNCTION("""COMPUTED_VALUE"""),742.0)</f>
        <v>742</v>
      </c>
      <c r="B742" s="53">
        <f>IFERROR(__xludf.DUMMYFUNCTION("""COMPUTED_VALUE"""),45631.0)</f>
        <v>45631</v>
      </c>
      <c r="C742" s="3">
        <f>IFERROR(__xludf.DUMMYFUNCTION("""COMPUTED_VALUE"""),45.0)</f>
        <v>45</v>
      </c>
      <c r="D742" s="3" t="str">
        <f>IFERROR(__xludf.DUMMYFUNCTION("""COMPUTED_VALUE"""),"#REF!")</f>
        <v>#REF!</v>
      </c>
      <c r="E742" s="3"/>
      <c r="F742" s="3" t="str">
        <f>IFERROR(__xludf.DUMMYFUNCTION("""COMPUTED_VALUE"""),"Bonarda rectificado")</f>
        <v>Bonarda rectificado</v>
      </c>
      <c r="G742" s="55">
        <f>IFERROR(__xludf.DUMMYFUNCTION("""COMPUTED_VALUE"""),12.3)</f>
        <v>12.3</v>
      </c>
      <c r="H742" s="56">
        <f>IFERROR(__xludf.DUMMYFUNCTION("""COMPUTED_VALUE"""),2.0)</f>
        <v>2</v>
      </c>
      <c r="I742" s="57">
        <f>IFERROR(__xludf.DUMMYFUNCTION("""COMPUTED_VALUE"""),0.54)</f>
        <v>0.54</v>
      </c>
      <c r="J742" s="57">
        <f>IFERROR(__xludf.DUMMYFUNCTION("""COMPUTED_VALUE"""),7.0)</f>
        <v>7</v>
      </c>
      <c r="K742" s="57">
        <f>IFERROR(__xludf.DUMMYFUNCTION("""COMPUTED_VALUE"""),2.33)</f>
        <v>2.33</v>
      </c>
      <c r="L742" s="54">
        <f>IFERROR(__xludf.DUMMYFUNCTION("""COMPUTED_VALUE"""),35.0)</f>
        <v>35</v>
      </c>
      <c r="M742" s="3">
        <f>IFERROR(__xludf.DUMMYFUNCTION("""COMPUTED_VALUE"""),160.0)</f>
        <v>160</v>
      </c>
      <c r="N742" s="3"/>
      <c r="O742" s="3"/>
      <c r="P742" s="3"/>
      <c r="Q742" s="3"/>
      <c r="R742" s="3"/>
      <c r="S742" s="3"/>
      <c r="T742" s="5"/>
      <c r="U742" s="5"/>
      <c r="V742" s="5"/>
      <c r="W742" s="5"/>
    </row>
    <row r="743" ht="15.75" customHeight="1">
      <c r="A743" s="3">
        <f>IFERROR(__xludf.DUMMYFUNCTION("""COMPUTED_VALUE"""),743.0)</f>
        <v>743</v>
      </c>
      <c r="B743" s="53">
        <f>IFERROR(__xludf.DUMMYFUNCTION("""COMPUTED_VALUE"""),45637.0)</f>
        <v>45637</v>
      </c>
      <c r="C743" s="3">
        <f>IFERROR(__xludf.DUMMYFUNCTION("""COMPUTED_VALUE"""),49.0)</f>
        <v>49</v>
      </c>
      <c r="D743" s="3" t="str">
        <f>IFERROR(__xludf.DUMMYFUNCTION("""COMPUTED_VALUE"""),"#REF!")</f>
        <v>#REF!</v>
      </c>
      <c r="E743" s="3"/>
      <c r="F743" s="3" t="str">
        <f>IFERROR(__xludf.DUMMYFUNCTION("""COMPUTED_VALUE"""),"Bonarda rectificado")</f>
        <v>Bonarda rectificado</v>
      </c>
      <c r="G743" s="55">
        <f>IFERROR(__xludf.DUMMYFUNCTION("""COMPUTED_VALUE"""),12.4)</f>
        <v>12.4</v>
      </c>
      <c r="H743" s="56">
        <f>IFERROR(__xludf.DUMMYFUNCTION("""COMPUTED_VALUE"""),2.0)</f>
        <v>2</v>
      </c>
      <c r="I743" s="57">
        <f>IFERROR(__xludf.DUMMYFUNCTION("""COMPUTED_VALUE"""),0.6)</f>
        <v>0.6</v>
      </c>
      <c r="J743" s="57">
        <f>IFERROR(__xludf.DUMMYFUNCTION("""COMPUTED_VALUE"""),6.8)</f>
        <v>6.8</v>
      </c>
      <c r="K743" s="57">
        <f>IFERROR(__xludf.DUMMYFUNCTION("""COMPUTED_VALUE"""),2.4)</f>
        <v>2.4</v>
      </c>
      <c r="L743" s="54">
        <f>IFERROR(__xludf.DUMMYFUNCTION("""COMPUTED_VALUE"""),33.0)</f>
        <v>33</v>
      </c>
      <c r="M743" s="3">
        <f>IFERROR(__xludf.DUMMYFUNCTION("""COMPUTED_VALUE"""),180.0)</f>
        <v>180</v>
      </c>
      <c r="N743" s="3"/>
      <c r="O743" s="3"/>
      <c r="P743" s="3"/>
      <c r="Q743" s="3"/>
      <c r="R743" s="3"/>
      <c r="S743" s="3"/>
      <c r="T743" s="5"/>
      <c r="U743" s="5"/>
      <c r="V743" s="5"/>
      <c r="W743" s="5"/>
    </row>
    <row r="744" ht="15.75" customHeight="1">
      <c r="A744" s="3">
        <f>IFERROR(__xludf.DUMMYFUNCTION("""COMPUTED_VALUE"""),744.0)</f>
        <v>744</v>
      </c>
      <c r="B744" s="53">
        <f>IFERROR(__xludf.DUMMYFUNCTION("""COMPUTED_VALUE"""),45637.0)</f>
        <v>45637</v>
      </c>
      <c r="C744" s="3">
        <f>IFERROR(__xludf.DUMMYFUNCTION("""COMPUTED_VALUE"""),47.0)</f>
        <v>47</v>
      </c>
      <c r="D744" s="3" t="str">
        <f>IFERROR(__xludf.DUMMYFUNCTION("""COMPUTED_VALUE"""),"#REF!")</f>
        <v>#REF!</v>
      </c>
      <c r="E744" s="3"/>
      <c r="F744" s="3" t="str">
        <f>IFERROR(__xludf.DUMMYFUNCTION("""COMPUTED_VALUE"""),"Cabernet rectificado")</f>
        <v>Cabernet rectificado</v>
      </c>
      <c r="G744" s="3"/>
      <c r="H744" s="3"/>
      <c r="I744" s="3"/>
      <c r="J744" s="3"/>
      <c r="K744" s="57">
        <f>IFERROR(__xludf.DUMMYFUNCTION("""COMPUTED_VALUE"""),2.45)</f>
        <v>2.45</v>
      </c>
      <c r="L744" s="54">
        <f>IFERROR(__xludf.DUMMYFUNCTION("""COMPUTED_VALUE"""),35.0)</f>
        <v>35</v>
      </c>
      <c r="M744" s="3">
        <f>IFERROR(__xludf.DUMMYFUNCTION("""COMPUTED_VALUE"""),150.0)</f>
        <v>150</v>
      </c>
      <c r="N744" s="3"/>
      <c r="O744" s="3"/>
      <c r="P744" s="3"/>
      <c r="Q744" s="3"/>
      <c r="R744" s="3"/>
      <c r="S744" s="3"/>
      <c r="T744" s="5"/>
      <c r="U744" s="5"/>
      <c r="V744" s="5"/>
      <c r="W744" s="5"/>
    </row>
    <row r="745" ht="15.75" customHeight="1">
      <c r="A745" s="3">
        <f>IFERROR(__xludf.DUMMYFUNCTION("""COMPUTED_VALUE"""),745.0)</f>
        <v>745</v>
      </c>
      <c r="B745" s="53">
        <f>IFERROR(__xludf.DUMMYFUNCTION("""COMPUTED_VALUE"""),45638.0)</f>
        <v>45638</v>
      </c>
      <c r="C745" s="3">
        <f>IFERROR(__xludf.DUMMYFUNCTION("""COMPUTED_VALUE"""),75.0)</f>
        <v>75</v>
      </c>
      <c r="D745" s="3" t="str">
        <f>IFERROR(__xludf.DUMMYFUNCTION("""COMPUTED_VALUE"""),"#REF!")</f>
        <v>#REF!</v>
      </c>
      <c r="E745" s="54">
        <f>IFERROR(__xludf.DUMMYFUNCTION("""COMPUTED_VALUE"""),7000.0)</f>
        <v>7000</v>
      </c>
      <c r="F745" s="3" t="str">
        <f>IFERROR(__xludf.DUMMYFUNCTION("""COMPUTED_VALUE"""),"Aspirant rectificado")</f>
        <v>Aspirant rectificado</v>
      </c>
      <c r="G745" s="55">
        <f>IFERROR(__xludf.DUMMYFUNCTION("""COMPUTED_VALUE"""),11.0)</f>
        <v>11</v>
      </c>
      <c r="H745" s="56">
        <f>IFERROR(__xludf.DUMMYFUNCTION("""COMPUTED_VALUE"""),2.0)</f>
        <v>2</v>
      </c>
      <c r="I745" s="57">
        <f>IFERROR(__xludf.DUMMYFUNCTION("""COMPUTED_VALUE"""),0.48)</f>
        <v>0.48</v>
      </c>
      <c r="J745" s="57">
        <f>IFERROR(__xludf.DUMMYFUNCTION("""COMPUTED_VALUE"""),7.5)</f>
        <v>7.5</v>
      </c>
      <c r="K745" s="57">
        <f>IFERROR(__xludf.DUMMYFUNCTION("""COMPUTED_VALUE"""),2.2)</f>
        <v>2.2</v>
      </c>
      <c r="L745" s="54">
        <f>IFERROR(__xludf.DUMMYFUNCTION("""COMPUTED_VALUE"""),39.0)</f>
        <v>39</v>
      </c>
      <c r="M745" s="3">
        <f>IFERROR(__xludf.DUMMYFUNCTION("""COMPUTED_VALUE"""),130.0)</f>
        <v>130</v>
      </c>
      <c r="N745" s="3"/>
      <c r="O745" s="3"/>
      <c r="P745" s="3"/>
      <c r="Q745" s="3"/>
      <c r="R745" s="3"/>
      <c r="S745" s="3"/>
      <c r="T745" s="5"/>
      <c r="U745" s="5"/>
      <c r="V745" s="5"/>
      <c r="W745" s="5"/>
    </row>
    <row r="746" ht="15.75" customHeight="1">
      <c r="A746" s="3">
        <f>IFERROR(__xludf.DUMMYFUNCTION("""COMPUTED_VALUE"""),746.0)</f>
        <v>746</v>
      </c>
      <c r="B746" s="53">
        <f>IFERROR(__xludf.DUMMYFUNCTION("""COMPUTED_VALUE"""),45664.0)</f>
        <v>45664</v>
      </c>
      <c r="C746" s="3">
        <f>IFERROR(__xludf.DUMMYFUNCTION("""COMPUTED_VALUE"""),8.0)</f>
        <v>8</v>
      </c>
      <c r="D746" s="3" t="str">
        <f>IFERROR(__xludf.DUMMYFUNCTION("""COMPUTED_VALUE"""),"#REF!")</f>
        <v>#REF!</v>
      </c>
      <c r="E746" s="54">
        <f>IFERROR(__xludf.DUMMYFUNCTION("""COMPUTED_VALUE"""),22000.0)</f>
        <v>22000</v>
      </c>
      <c r="F746" s="3" t="str">
        <f>IFERROR(__xludf.DUMMYFUNCTION("""COMPUTED_VALUE"""),"chardonnay")</f>
        <v>chardonnay</v>
      </c>
      <c r="G746" s="3"/>
      <c r="H746" s="3"/>
      <c r="I746" s="57">
        <f>IFERROR(__xludf.DUMMYFUNCTION("""COMPUTED_VALUE"""),0.4)</f>
        <v>0.4</v>
      </c>
      <c r="J746" s="3"/>
      <c r="K746" s="57">
        <f>IFERROR(__xludf.DUMMYFUNCTION("""COMPUTED_VALUE"""),3.32)</f>
        <v>3.32</v>
      </c>
      <c r="L746" s="54">
        <f>IFERROR(__xludf.DUMMYFUNCTION("""COMPUTED_VALUE"""),48.0)</f>
        <v>48</v>
      </c>
      <c r="M746" s="3"/>
      <c r="N746" s="3"/>
      <c r="O746" s="3"/>
      <c r="P746" s="3"/>
      <c r="Q746" s="3"/>
      <c r="R746" s="3"/>
      <c r="S746" s="3"/>
      <c r="T746" s="5"/>
      <c r="U746" s="5"/>
      <c r="V746" s="5"/>
      <c r="W746" s="5"/>
    </row>
    <row r="747" ht="15.75" customHeight="1">
      <c r="A747" s="3">
        <f>IFERROR(__xludf.DUMMYFUNCTION("""COMPUTED_VALUE"""),747.0)</f>
        <v>747</v>
      </c>
      <c r="B747" s="53">
        <f>IFERROR(__xludf.DUMMYFUNCTION("""COMPUTED_VALUE"""),45664.0)</f>
        <v>45664</v>
      </c>
      <c r="C747" s="3">
        <f>IFERROR(__xludf.DUMMYFUNCTION("""COMPUTED_VALUE"""),10.0)</f>
        <v>10</v>
      </c>
      <c r="D747" s="3" t="str">
        <f>IFERROR(__xludf.DUMMYFUNCTION("""COMPUTED_VALUE"""),"#REF!")</f>
        <v>#REF!</v>
      </c>
      <c r="E747" s="54">
        <f>IFERROR(__xludf.DUMMYFUNCTION("""COMPUTED_VALUE"""),21000.0)</f>
        <v>21000</v>
      </c>
      <c r="F747" s="3" t="str">
        <f>IFERROR(__xludf.DUMMYFUNCTION("""COMPUTED_VALUE"""),"chardonnay")</f>
        <v>chardonnay</v>
      </c>
      <c r="G747" s="3"/>
      <c r="H747" s="3"/>
      <c r="I747" s="57">
        <f>IFERROR(__xludf.DUMMYFUNCTION("""COMPUTED_VALUE"""),0.44)</f>
        <v>0.44</v>
      </c>
      <c r="J747" s="3"/>
      <c r="K747" s="57">
        <f>IFERROR(__xludf.DUMMYFUNCTION("""COMPUTED_VALUE"""),3.29)</f>
        <v>3.29</v>
      </c>
      <c r="L747" s="54">
        <f>IFERROR(__xludf.DUMMYFUNCTION("""COMPUTED_VALUE"""),57.0)</f>
        <v>57</v>
      </c>
      <c r="M747" s="3"/>
      <c r="N747" s="3"/>
      <c r="O747" s="3"/>
      <c r="P747" s="3"/>
      <c r="Q747" s="3"/>
      <c r="R747" s="3"/>
      <c r="S747" s="3"/>
      <c r="T747" s="5"/>
      <c r="U747" s="5"/>
      <c r="V747" s="5"/>
      <c r="W747" s="5"/>
    </row>
    <row r="748" ht="15.75" customHeight="1">
      <c r="A748" s="3">
        <f>IFERROR(__xludf.DUMMYFUNCTION("""COMPUTED_VALUE"""),748.0)</f>
        <v>748</v>
      </c>
      <c r="B748" s="53">
        <f>IFERROR(__xludf.DUMMYFUNCTION("""COMPUTED_VALUE"""),45664.0)</f>
        <v>45664</v>
      </c>
      <c r="C748" s="3">
        <f>IFERROR(__xludf.DUMMYFUNCTION("""COMPUTED_VALUE"""),11.0)</f>
        <v>11</v>
      </c>
      <c r="D748" s="3" t="str">
        <f>IFERROR(__xludf.DUMMYFUNCTION("""COMPUTED_VALUE"""),"#REF!")</f>
        <v>#REF!</v>
      </c>
      <c r="E748" s="54">
        <f>IFERROR(__xludf.DUMMYFUNCTION("""COMPUTED_VALUE"""),36000.0)</f>
        <v>36000</v>
      </c>
      <c r="F748" s="3" t="str">
        <f>IFERROR(__xludf.DUMMYFUNCTION("""COMPUTED_VALUE"""),"Cabernet rectificado")</f>
        <v>Cabernet rectificado</v>
      </c>
      <c r="G748" s="3"/>
      <c r="H748" s="3"/>
      <c r="I748" s="57">
        <f>IFERROR(__xludf.DUMMYFUNCTION("""COMPUTED_VALUE"""),0.66)</f>
        <v>0.66</v>
      </c>
      <c r="J748" s="3"/>
      <c r="K748" s="57">
        <f>IFERROR(__xludf.DUMMYFUNCTION("""COMPUTED_VALUE"""),2.42)</f>
        <v>2.42</v>
      </c>
      <c r="L748" s="54">
        <f>IFERROR(__xludf.DUMMYFUNCTION("""COMPUTED_VALUE"""),25.0)</f>
        <v>25</v>
      </c>
      <c r="M748" s="3"/>
      <c r="N748" s="3"/>
      <c r="O748" s="3"/>
      <c r="P748" s="3"/>
      <c r="Q748" s="3"/>
      <c r="R748" s="3"/>
      <c r="S748" s="3"/>
      <c r="T748" s="5"/>
      <c r="U748" s="5"/>
      <c r="V748" s="5"/>
      <c r="W748" s="5"/>
    </row>
    <row r="749" ht="15.75" customHeight="1">
      <c r="A749" s="3">
        <f>IFERROR(__xludf.DUMMYFUNCTION("""COMPUTED_VALUE"""),749.0)</f>
        <v>749</v>
      </c>
      <c r="B749" s="53">
        <f>IFERROR(__xludf.DUMMYFUNCTION("""COMPUTED_VALUE"""),45664.0)</f>
        <v>45664</v>
      </c>
      <c r="C749" s="3">
        <f>IFERROR(__xludf.DUMMYFUNCTION("""COMPUTED_VALUE"""),30.0)</f>
        <v>30</v>
      </c>
      <c r="D749" s="3" t="str">
        <f>IFERROR(__xludf.DUMMYFUNCTION("""COMPUTED_VALUE"""),"#REF!")</f>
        <v>#REF!</v>
      </c>
      <c r="E749" s="54">
        <f>IFERROR(__xludf.DUMMYFUNCTION("""COMPUTED_VALUE"""),38800.0)</f>
        <v>38800</v>
      </c>
      <c r="F749" s="3" t="str">
        <f>IFERROR(__xludf.DUMMYFUNCTION("""COMPUTED_VALUE"""),"aspirant")</f>
        <v>aspirant</v>
      </c>
      <c r="G749" s="3"/>
      <c r="H749" s="3"/>
      <c r="I749" s="57">
        <f>IFERROR(__xludf.DUMMYFUNCTION("""COMPUTED_VALUE"""),0.4)</f>
        <v>0.4</v>
      </c>
      <c r="J749" s="3"/>
      <c r="K749" s="57">
        <f>IFERROR(__xludf.DUMMYFUNCTION("""COMPUTED_VALUE"""),3.36)</f>
        <v>3.36</v>
      </c>
      <c r="L749" s="54">
        <f>IFERROR(__xludf.DUMMYFUNCTION("""COMPUTED_VALUE"""),40.0)</f>
        <v>40</v>
      </c>
      <c r="M749" s="3"/>
      <c r="N749" s="3"/>
      <c r="O749" s="3"/>
      <c r="P749" s="3"/>
      <c r="Q749" s="3"/>
      <c r="R749" s="3"/>
      <c r="S749" s="3"/>
      <c r="T749" s="5"/>
      <c r="U749" s="5"/>
      <c r="V749" s="5"/>
      <c r="W749" s="5"/>
    </row>
    <row r="750" ht="15.75" customHeight="1">
      <c r="A750" s="3">
        <f>IFERROR(__xludf.DUMMYFUNCTION("""COMPUTED_VALUE"""),750.0)</f>
        <v>750</v>
      </c>
      <c r="B750" s="53">
        <f>IFERROR(__xludf.DUMMYFUNCTION("""COMPUTED_VALUE"""),45665.0)</f>
        <v>45665</v>
      </c>
      <c r="C750" s="3">
        <f>IFERROR(__xludf.DUMMYFUNCTION("""COMPUTED_VALUE"""),40.0)</f>
        <v>40</v>
      </c>
      <c r="D750" s="3" t="str">
        <f>IFERROR(__xludf.DUMMYFUNCTION("""COMPUTED_VALUE"""),"#REF!")</f>
        <v>#REF!</v>
      </c>
      <c r="E750" s="54">
        <f>IFERROR(__xludf.DUMMYFUNCTION("""COMPUTED_VALUE"""),24000.0)</f>
        <v>24000</v>
      </c>
      <c r="F750" s="3" t="str">
        <f>IFERROR(__xludf.DUMMYFUNCTION("""COMPUTED_VALUE"""),"chardonnay")</f>
        <v>chardonnay</v>
      </c>
      <c r="G750" s="3"/>
      <c r="H750" s="3"/>
      <c r="I750" s="57">
        <f>IFERROR(__xludf.DUMMYFUNCTION("""COMPUTED_VALUE"""),0.44)</f>
        <v>0.44</v>
      </c>
      <c r="J750" s="3"/>
      <c r="K750" s="57">
        <f>IFERROR(__xludf.DUMMYFUNCTION("""COMPUTED_VALUE"""),3.27)</f>
        <v>3.27</v>
      </c>
      <c r="L750" s="54">
        <f>IFERROR(__xludf.DUMMYFUNCTION("""COMPUTED_VALUE"""),47.0)</f>
        <v>47</v>
      </c>
      <c r="M750" s="3"/>
      <c r="N750" s="3"/>
      <c r="O750" s="3"/>
      <c r="P750" s="3"/>
      <c r="Q750" s="3"/>
      <c r="R750" s="3"/>
      <c r="S750" s="3"/>
      <c r="T750" s="5"/>
      <c r="U750" s="5"/>
      <c r="V750" s="5"/>
      <c r="W750" s="5"/>
    </row>
    <row r="751" ht="15.75" customHeight="1">
      <c r="A751" s="3">
        <f>IFERROR(__xludf.DUMMYFUNCTION("""COMPUTED_VALUE"""),751.0)</f>
        <v>751</v>
      </c>
      <c r="B751" s="53">
        <f>IFERROR(__xludf.DUMMYFUNCTION("""COMPUTED_VALUE"""),45665.0)</f>
        <v>45665</v>
      </c>
      <c r="C751" s="3">
        <f>IFERROR(__xludf.DUMMYFUNCTION("""COMPUTED_VALUE"""),41.0)</f>
        <v>41</v>
      </c>
      <c r="D751" s="3" t="str">
        <f>IFERROR(__xludf.DUMMYFUNCTION("""COMPUTED_VALUE"""),"#REF!")</f>
        <v>#REF!</v>
      </c>
      <c r="E751" s="54">
        <f>IFERROR(__xludf.DUMMYFUNCTION("""COMPUTED_VALUE"""),35100.0)</f>
        <v>35100</v>
      </c>
      <c r="F751" s="3" t="str">
        <f>IFERROR(__xludf.DUMMYFUNCTION("""COMPUTED_VALUE"""),"Cabernet rectificado")</f>
        <v>Cabernet rectificado</v>
      </c>
      <c r="G751" s="3"/>
      <c r="H751" s="3"/>
      <c r="I751" s="57">
        <f>IFERROR(__xludf.DUMMYFUNCTION("""COMPUTED_VALUE"""),0.61)</f>
        <v>0.61</v>
      </c>
      <c r="J751" s="3"/>
      <c r="K751" s="57">
        <f>IFERROR(__xludf.DUMMYFUNCTION("""COMPUTED_VALUE"""),2.25)</f>
        <v>2.25</v>
      </c>
      <c r="L751" s="54">
        <f>IFERROR(__xludf.DUMMYFUNCTION("""COMPUTED_VALUE"""),25.0)</f>
        <v>25</v>
      </c>
      <c r="M751" s="3"/>
      <c r="N751" s="3"/>
      <c r="O751" s="3"/>
      <c r="P751" s="3"/>
      <c r="Q751" s="3"/>
      <c r="R751" s="3"/>
      <c r="S751" s="3"/>
      <c r="T751" s="5"/>
      <c r="U751" s="5"/>
      <c r="V751" s="5"/>
      <c r="W751" s="5"/>
    </row>
    <row r="752" ht="15.75" customHeight="1">
      <c r="A752" s="3">
        <f>IFERROR(__xludf.DUMMYFUNCTION("""COMPUTED_VALUE"""),752.0)</f>
        <v>752</v>
      </c>
      <c r="B752" s="53">
        <f>IFERROR(__xludf.DUMMYFUNCTION("""COMPUTED_VALUE"""),45665.0)</f>
        <v>45665</v>
      </c>
      <c r="C752" s="3">
        <f>IFERROR(__xludf.DUMMYFUNCTION("""COMPUTED_VALUE"""),42.0)</f>
        <v>42</v>
      </c>
      <c r="D752" s="3" t="str">
        <f>IFERROR(__xludf.DUMMYFUNCTION("""COMPUTED_VALUE"""),"#REF!")</f>
        <v>#REF!</v>
      </c>
      <c r="E752" s="54">
        <f>IFERROR(__xludf.DUMMYFUNCTION("""COMPUTED_VALUE"""),35900.0)</f>
        <v>35900</v>
      </c>
      <c r="F752" s="3" t="str">
        <f>IFERROR(__xludf.DUMMYFUNCTION("""COMPUTED_VALUE"""),"Malbec 2024")</f>
        <v>Malbec 2024</v>
      </c>
      <c r="G752" s="3"/>
      <c r="H752" s="3"/>
      <c r="I752" s="57">
        <f>IFERROR(__xludf.DUMMYFUNCTION("""COMPUTED_VALUE"""),0.75)</f>
        <v>0.75</v>
      </c>
      <c r="J752" s="3"/>
      <c r="K752" s="57">
        <f>IFERROR(__xludf.DUMMYFUNCTION("""COMPUTED_VALUE"""),3.56)</f>
        <v>3.56</v>
      </c>
      <c r="L752" s="54">
        <f>IFERROR(__xludf.DUMMYFUNCTION("""COMPUTED_VALUE"""),39.0)</f>
        <v>39</v>
      </c>
      <c r="M752" s="3"/>
      <c r="N752" s="3"/>
      <c r="O752" s="3"/>
      <c r="P752" s="3"/>
      <c r="Q752" s="3"/>
      <c r="R752" s="3"/>
      <c r="S752" s="3"/>
      <c r="T752" s="5"/>
      <c r="U752" s="5"/>
      <c r="V752" s="5"/>
      <c r="W752" s="5"/>
    </row>
    <row r="753" ht="15.75" customHeight="1">
      <c r="A753" s="3">
        <f>IFERROR(__xludf.DUMMYFUNCTION("""COMPUTED_VALUE"""),753.0)</f>
        <v>753</v>
      </c>
      <c r="B753" s="53">
        <f>IFERROR(__xludf.DUMMYFUNCTION("""COMPUTED_VALUE"""),45665.0)</f>
        <v>45665</v>
      </c>
      <c r="C753" s="3">
        <f>IFERROR(__xludf.DUMMYFUNCTION("""COMPUTED_VALUE"""),44.0)</f>
        <v>44</v>
      </c>
      <c r="D753" s="3" t="str">
        <f>IFERROR(__xludf.DUMMYFUNCTION("""COMPUTED_VALUE"""),"#REF!")</f>
        <v>#REF!</v>
      </c>
      <c r="E753" s="54">
        <f>IFERROR(__xludf.DUMMYFUNCTION("""COMPUTED_VALUE"""),19100.0)</f>
        <v>19100</v>
      </c>
      <c r="F753" s="3" t="str">
        <f>IFERROR(__xludf.DUMMYFUNCTION("""COMPUTED_VALUE"""),"Cabernet rectificado")</f>
        <v>Cabernet rectificado</v>
      </c>
      <c r="G753" s="3"/>
      <c r="H753" s="3"/>
      <c r="I753" s="57">
        <f>IFERROR(__xludf.DUMMYFUNCTION("""COMPUTED_VALUE"""),0.6)</f>
        <v>0.6</v>
      </c>
      <c r="J753" s="3"/>
      <c r="K753" s="57">
        <f>IFERROR(__xludf.DUMMYFUNCTION("""COMPUTED_VALUE"""),2.31)</f>
        <v>2.31</v>
      </c>
      <c r="L753" s="54">
        <f>IFERROR(__xludf.DUMMYFUNCTION("""COMPUTED_VALUE"""),23.0)</f>
        <v>23</v>
      </c>
      <c r="M753" s="3"/>
      <c r="N753" s="3"/>
      <c r="O753" s="3"/>
      <c r="P753" s="3"/>
      <c r="Q753" s="3"/>
      <c r="R753" s="3"/>
      <c r="S753" s="3"/>
      <c r="T753" s="5"/>
      <c r="U753" s="5"/>
      <c r="V753" s="5"/>
      <c r="W753" s="5"/>
    </row>
    <row r="754" ht="15.75" customHeight="1">
      <c r="A754" s="3">
        <f>IFERROR(__xludf.DUMMYFUNCTION("""COMPUTED_VALUE"""),754.0)</f>
        <v>754</v>
      </c>
      <c r="B754" s="53">
        <f>IFERROR(__xludf.DUMMYFUNCTION("""COMPUTED_VALUE"""),45665.0)</f>
        <v>45665</v>
      </c>
      <c r="C754" s="3">
        <f>IFERROR(__xludf.DUMMYFUNCTION("""COMPUTED_VALUE"""),45.0)</f>
        <v>45</v>
      </c>
      <c r="D754" s="3" t="str">
        <f>IFERROR(__xludf.DUMMYFUNCTION("""COMPUTED_VALUE"""),"#REF!")</f>
        <v>#REF!</v>
      </c>
      <c r="E754" s="54">
        <f>IFERROR(__xludf.DUMMYFUNCTION("""COMPUTED_VALUE"""),30000.0)</f>
        <v>30000</v>
      </c>
      <c r="F754" s="3" t="str">
        <f>IFERROR(__xludf.DUMMYFUNCTION("""COMPUTED_VALUE"""),"Bonarda rectificado")</f>
        <v>Bonarda rectificado</v>
      </c>
      <c r="G754" s="3"/>
      <c r="H754" s="3"/>
      <c r="I754" s="57">
        <f>IFERROR(__xludf.DUMMYFUNCTION("""COMPUTED_VALUE"""),0.47)</f>
        <v>0.47</v>
      </c>
      <c r="J754" s="3"/>
      <c r="K754" s="57">
        <f>IFERROR(__xludf.DUMMYFUNCTION("""COMPUTED_VALUE"""),2.31)</f>
        <v>2.31</v>
      </c>
      <c r="L754" s="54">
        <f>IFERROR(__xludf.DUMMYFUNCTION("""COMPUTED_VALUE"""),25.0)</f>
        <v>25</v>
      </c>
      <c r="M754" s="3"/>
      <c r="N754" s="3"/>
      <c r="O754" s="3"/>
      <c r="P754" s="3"/>
      <c r="Q754" s="3"/>
      <c r="R754" s="3"/>
      <c r="S754" s="3"/>
      <c r="T754" s="5"/>
      <c r="U754" s="5"/>
      <c r="V754" s="5"/>
      <c r="W754" s="5"/>
    </row>
    <row r="755" ht="15.75" customHeight="1">
      <c r="A755" s="3">
        <f>IFERROR(__xludf.DUMMYFUNCTION("""COMPUTED_VALUE"""),755.0)</f>
        <v>755</v>
      </c>
      <c r="B755" s="53">
        <f>IFERROR(__xludf.DUMMYFUNCTION("""COMPUTED_VALUE"""),45665.0)</f>
        <v>45665</v>
      </c>
      <c r="C755" s="3">
        <f>IFERROR(__xludf.DUMMYFUNCTION("""COMPUTED_VALUE"""),46.0)</f>
        <v>46</v>
      </c>
      <c r="D755" s="3" t="str">
        <f>IFERROR(__xludf.DUMMYFUNCTION("""COMPUTED_VALUE"""),"#REF!")</f>
        <v>#REF!</v>
      </c>
      <c r="E755" s="54">
        <f>IFERROR(__xludf.DUMMYFUNCTION("""COMPUTED_VALUE"""),29000.0)</f>
        <v>29000</v>
      </c>
      <c r="F755" s="3" t="str">
        <f>IFERROR(__xludf.DUMMYFUNCTION("""COMPUTED_VALUE"""),"chardonnay")</f>
        <v>chardonnay</v>
      </c>
      <c r="G755" s="3"/>
      <c r="H755" s="3"/>
      <c r="I755" s="57">
        <f>IFERROR(__xludf.DUMMYFUNCTION("""COMPUTED_VALUE"""),0.45)</f>
        <v>0.45</v>
      </c>
      <c r="J755" s="3"/>
      <c r="K755" s="57">
        <f>IFERROR(__xludf.DUMMYFUNCTION("""COMPUTED_VALUE"""),3.36)</f>
        <v>3.36</v>
      </c>
      <c r="L755" s="54">
        <f>IFERROR(__xludf.DUMMYFUNCTION("""COMPUTED_VALUE"""),45.0)</f>
        <v>45</v>
      </c>
      <c r="M755" s="3"/>
      <c r="N755" s="3"/>
      <c r="O755" s="3"/>
      <c r="P755" s="3"/>
      <c r="Q755" s="3"/>
      <c r="R755" s="3"/>
      <c r="S755" s="3"/>
      <c r="T755" s="5"/>
      <c r="U755" s="5"/>
      <c r="V755" s="5"/>
      <c r="W755" s="5"/>
    </row>
    <row r="756" ht="15.75" customHeight="1">
      <c r="A756" s="3">
        <f>IFERROR(__xludf.DUMMYFUNCTION("""COMPUTED_VALUE"""),756.0)</f>
        <v>756</v>
      </c>
      <c r="B756" s="53">
        <f>IFERROR(__xludf.DUMMYFUNCTION("""COMPUTED_VALUE"""),45665.0)</f>
        <v>45665</v>
      </c>
      <c r="C756" s="3">
        <f>IFERROR(__xludf.DUMMYFUNCTION("""COMPUTED_VALUE"""),47.0)</f>
        <v>47</v>
      </c>
      <c r="D756" s="3" t="str">
        <f>IFERROR(__xludf.DUMMYFUNCTION("""COMPUTED_VALUE"""),"#REF!")</f>
        <v>#REF!</v>
      </c>
      <c r="E756" s="54">
        <f>IFERROR(__xludf.DUMMYFUNCTION("""COMPUTED_VALUE"""),20000.0)</f>
        <v>20000</v>
      </c>
      <c r="F756" s="3" t="str">
        <f>IFERROR(__xludf.DUMMYFUNCTION("""COMPUTED_VALUE"""),"Cabernet rectificado")</f>
        <v>Cabernet rectificado</v>
      </c>
      <c r="G756" s="3"/>
      <c r="H756" s="3"/>
      <c r="I756" s="57">
        <f>IFERROR(__xludf.DUMMYFUNCTION("""COMPUTED_VALUE"""),0.61)</f>
        <v>0.61</v>
      </c>
      <c r="J756" s="3"/>
      <c r="K756" s="57">
        <f>IFERROR(__xludf.DUMMYFUNCTION("""COMPUTED_VALUE"""),2.21)</f>
        <v>2.21</v>
      </c>
      <c r="L756" s="54">
        <f>IFERROR(__xludf.DUMMYFUNCTION("""COMPUTED_VALUE"""),36.0)</f>
        <v>36</v>
      </c>
      <c r="M756" s="3"/>
      <c r="N756" s="3"/>
      <c r="O756" s="3"/>
      <c r="P756" s="3"/>
      <c r="Q756" s="3"/>
      <c r="R756" s="3"/>
      <c r="S756" s="3"/>
      <c r="T756" s="5"/>
      <c r="U756" s="5"/>
      <c r="V756" s="5"/>
      <c r="W756" s="5"/>
    </row>
    <row r="757" ht="15.75" customHeight="1">
      <c r="A757" s="3">
        <f>IFERROR(__xludf.DUMMYFUNCTION("""COMPUTED_VALUE"""),757.0)</f>
        <v>757</v>
      </c>
      <c r="B757" s="53">
        <f>IFERROR(__xludf.DUMMYFUNCTION("""COMPUTED_VALUE"""),45665.0)</f>
        <v>45665</v>
      </c>
      <c r="C757" s="3">
        <f>IFERROR(__xludf.DUMMYFUNCTION("""COMPUTED_VALUE"""),48.0)</f>
        <v>48</v>
      </c>
      <c r="D757" s="3" t="str">
        <f>IFERROR(__xludf.DUMMYFUNCTION("""COMPUTED_VALUE"""),"#REF!")</f>
        <v>#REF!</v>
      </c>
      <c r="E757" s="54">
        <f>IFERROR(__xludf.DUMMYFUNCTION("""COMPUTED_VALUE"""),26000.0)</f>
        <v>26000</v>
      </c>
      <c r="F757" s="3" t="str">
        <f>IFERROR(__xludf.DUMMYFUNCTION("""COMPUTED_VALUE"""),"Bonarda rectificado")</f>
        <v>Bonarda rectificado</v>
      </c>
      <c r="G757" s="3"/>
      <c r="H757" s="3"/>
      <c r="I757" s="57">
        <f>IFERROR(__xludf.DUMMYFUNCTION("""COMPUTED_VALUE"""),0.55)</f>
        <v>0.55</v>
      </c>
      <c r="J757" s="3"/>
      <c r="K757" s="57">
        <f>IFERROR(__xludf.DUMMYFUNCTION("""COMPUTED_VALUE"""),2.16)</f>
        <v>2.16</v>
      </c>
      <c r="L757" s="54">
        <f>IFERROR(__xludf.DUMMYFUNCTION("""COMPUTED_VALUE"""),34.0)</f>
        <v>34</v>
      </c>
      <c r="M757" s="3"/>
      <c r="N757" s="3"/>
      <c r="O757" s="3"/>
      <c r="P757" s="3"/>
      <c r="Q757" s="3"/>
      <c r="R757" s="3"/>
      <c r="S757" s="3"/>
      <c r="T757" s="5"/>
      <c r="U757" s="5"/>
      <c r="V757" s="5"/>
      <c r="W757" s="5"/>
    </row>
    <row r="758" ht="15.75" customHeight="1">
      <c r="A758" s="3">
        <f>IFERROR(__xludf.DUMMYFUNCTION("""COMPUTED_VALUE"""),758.0)</f>
        <v>758</v>
      </c>
      <c r="B758" s="53">
        <f>IFERROR(__xludf.DUMMYFUNCTION("""COMPUTED_VALUE"""),45666.0)</f>
        <v>45666</v>
      </c>
      <c r="C758" s="3">
        <f>IFERROR(__xludf.DUMMYFUNCTION("""COMPUTED_VALUE"""),50.0)</f>
        <v>50</v>
      </c>
      <c r="D758" s="3" t="str">
        <f>IFERROR(__xludf.DUMMYFUNCTION("""COMPUTED_VALUE"""),"#REF!")</f>
        <v>#REF!</v>
      </c>
      <c r="E758" s="54">
        <f>IFERROR(__xludf.DUMMYFUNCTION("""COMPUTED_VALUE"""),5100.0)</f>
        <v>5100</v>
      </c>
      <c r="F758" s="3" t="str">
        <f>IFERROR(__xludf.DUMMYFUNCTION("""COMPUTED_VALUE"""),"Tinto rectificado")</f>
        <v>Tinto rectificado</v>
      </c>
      <c r="G758" s="3"/>
      <c r="H758" s="3"/>
      <c r="I758" s="57">
        <f>IFERROR(__xludf.DUMMYFUNCTION("""COMPUTED_VALUE"""),0.54)</f>
        <v>0.54</v>
      </c>
      <c r="J758" s="3"/>
      <c r="K758" s="57">
        <f>IFERROR(__xludf.DUMMYFUNCTION("""COMPUTED_VALUE"""),2.74)</f>
        <v>2.74</v>
      </c>
      <c r="L758" s="54">
        <f>IFERROR(__xludf.DUMMYFUNCTION("""COMPUTED_VALUE"""),38.0)</f>
        <v>38</v>
      </c>
      <c r="M758" s="3"/>
      <c r="N758" s="3"/>
      <c r="O758" s="3"/>
      <c r="P758" s="3"/>
      <c r="Q758" s="3"/>
      <c r="R758" s="3"/>
      <c r="S758" s="3"/>
      <c r="T758" s="5"/>
      <c r="U758" s="5"/>
      <c r="V758" s="5"/>
      <c r="W758" s="5"/>
    </row>
    <row r="759" ht="15.75" customHeight="1">
      <c r="A759" s="3">
        <f>IFERROR(__xludf.DUMMYFUNCTION("""COMPUTED_VALUE"""),759.0)</f>
        <v>759</v>
      </c>
      <c r="B759" s="53">
        <f>IFERROR(__xludf.DUMMYFUNCTION("""COMPUTED_VALUE"""),45666.0)</f>
        <v>45666</v>
      </c>
      <c r="C759" s="3">
        <f>IFERROR(__xludf.DUMMYFUNCTION("""COMPUTED_VALUE"""),51.0)</f>
        <v>51</v>
      </c>
      <c r="D759" s="3" t="str">
        <f>IFERROR(__xludf.DUMMYFUNCTION("""COMPUTED_VALUE"""),"#REF!")</f>
        <v>#REF!</v>
      </c>
      <c r="E759" s="54">
        <f>IFERROR(__xludf.DUMMYFUNCTION("""COMPUTED_VALUE"""),3900.0)</f>
        <v>3900</v>
      </c>
      <c r="F759" s="3" t="str">
        <f>IFERROR(__xludf.DUMMYFUNCTION("""COMPUTED_VALUE"""),"rosado")</f>
        <v>rosado</v>
      </c>
      <c r="G759" s="3"/>
      <c r="H759" s="3"/>
      <c r="I759" s="57">
        <f>IFERROR(__xludf.DUMMYFUNCTION("""COMPUTED_VALUE"""),0.4)</f>
        <v>0.4</v>
      </c>
      <c r="J759" s="3"/>
      <c r="K759" s="57">
        <f>IFERROR(__xludf.DUMMYFUNCTION("""COMPUTED_VALUE"""),3.41)</f>
        <v>3.41</v>
      </c>
      <c r="L759" s="54">
        <f>IFERROR(__xludf.DUMMYFUNCTION("""COMPUTED_VALUE"""),51.0)</f>
        <v>51</v>
      </c>
      <c r="M759" s="3"/>
      <c r="N759" s="3"/>
      <c r="O759" s="3"/>
      <c r="P759" s="3"/>
      <c r="Q759" s="3"/>
      <c r="R759" s="3"/>
      <c r="S759" s="3"/>
      <c r="T759" s="5"/>
      <c r="U759" s="5"/>
      <c r="V759" s="5"/>
      <c r="W759" s="5"/>
    </row>
    <row r="760" ht="15.75" customHeight="1">
      <c r="A760" s="3">
        <f>IFERROR(__xludf.DUMMYFUNCTION("""COMPUTED_VALUE"""),760.0)</f>
        <v>760</v>
      </c>
      <c r="B760" s="53">
        <f>IFERROR(__xludf.DUMMYFUNCTION("""COMPUTED_VALUE"""),45666.0)</f>
        <v>45666</v>
      </c>
      <c r="C760" s="3">
        <f>IFERROR(__xludf.DUMMYFUNCTION("""COMPUTED_VALUE"""),54.0)</f>
        <v>54</v>
      </c>
      <c r="D760" s="3" t="str">
        <f>IFERROR(__xludf.DUMMYFUNCTION("""COMPUTED_VALUE"""),"#REF!")</f>
        <v>#REF!</v>
      </c>
      <c r="E760" s="54">
        <f>IFERROR(__xludf.DUMMYFUNCTION("""COMPUTED_VALUE"""),22900.0)</f>
        <v>22900</v>
      </c>
      <c r="F760" s="3" t="str">
        <f>IFERROR(__xludf.DUMMYFUNCTION("""COMPUTED_VALUE"""),"Pedro Gimenez")</f>
        <v>Pedro Gimenez</v>
      </c>
      <c r="G760" s="3"/>
      <c r="H760" s="3"/>
      <c r="I760" s="57">
        <f>IFERROR(__xludf.DUMMYFUNCTION("""COMPUTED_VALUE"""),0.47)</f>
        <v>0.47</v>
      </c>
      <c r="J760" s="3"/>
      <c r="K760" s="57">
        <f>IFERROR(__xludf.DUMMYFUNCTION("""COMPUTED_VALUE"""),3.36)</f>
        <v>3.36</v>
      </c>
      <c r="L760" s="54">
        <f>IFERROR(__xludf.DUMMYFUNCTION("""COMPUTED_VALUE"""),48.0)</f>
        <v>48</v>
      </c>
      <c r="M760" s="3"/>
      <c r="N760" s="3"/>
      <c r="O760" s="3"/>
      <c r="P760" s="3"/>
      <c r="Q760" s="3"/>
      <c r="R760" s="3"/>
      <c r="S760" s="3"/>
      <c r="T760" s="5"/>
      <c r="U760" s="5"/>
      <c r="V760" s="5"/>
      <c r="W760" s="5"/>
    </row>
    <row r="761" ht="15.75" customHeight="1">
      <c r="A761" s="3">
        <f>IFERROR(__xludf.DUMMYFUNCTION("""COMPUTED_VALUE"""),761.0)</f>
        <v>761</v>
      </c>
      <c r="B761" s="53">
        <f>IFERROR(__xludf.DUMMYFUNCTION("""COMPUTED_VALUE"""),45666.0)</f>
        <v>45666</v>
      </c>
      <c r="C761" s="3">
        <f>IFERROR(__xludf.DUMMYFUNCTION("""COMPUTED_VALUE"""),55.0)</f>
        <v>55</v>
      </c>
      <c r="D761" s="3" t="str">
        <f>IFERROR(__xludf.DUMMYFUNCTION("""COMPUTED_VALUE"""),"#REF!")</f>
        <v>#REF!</v>
      </c>
      <c r="E761" s="54">
        <f>IFERROR(__xludf.DUMMYFUNCTION("""COMPUTED_VALUE"""),3000.0)</f>
        <v>3000</v>
      </c>
      <c r="F761" s="3" t="str">
        <f>IFERROR(__xludf.DUMMYFUNCTION("""COMPUTED_VALUE"""),"rosado")</f>
        <v>rosado</v>
      </c>
      <c r="G761" s="3"/>
      <c r="H761" s="3"/>
      <c r="I761" s="57">
        <f>IFERROR(__xludf.DUMMYFUNCTION("""COMPUTED_VALUE"""),0.4)</f>
        <v>0.4</v>
      </c>
      <c r="J761" s="3"/>
      <c r="K761" s="57">
        <f>IFERROR(__xludf.DUMMYFUNCTION("""COMPUTED_VALUE"""),3.6)</f>
        <v>3.6</v>
      </c>
      <c r="L761" s="54">
        <f>IFERROR(__xludf.DUMMYFUNCTION("""COMPUTED_VALUE"""),48.0)</f>
        <v>48</v>
      </c>
      <c r="M761" s="3"/>
      <c r="N761" s="3"/>
      <c r="O761" s="3"/>
      <c r="P761" s="3"/>
      <c r="Q761" s="3"/>
      <c r="R761" s="3"/>
      <c r="S761" s="3"/>
      <c r="T761" s="5"/>
      <c r="U761" s="5"/>
      <c r="V761" s="5"/>
      <c r="W761" s="5"/>
    </row>
    <row r="762" ht="15.75" customHeight="1">
      <c r="A762" s="3">
        <f>IFERROR(__xludf.DUMMYFUNCTION("""COMPUTED_VALUE"""),762.0)</f>
        <v>762</v>
      </c>
      <c r="B762" s="53">
        <f>IFERROR(__xludf.DUMMYFUNCTION("""COMPUTED_VALUE"""),45667.0)</f>
        <v>45667</v>
      </c>
      <c r="C762" s="3">
        <f>IFERROR(__xludf.DUMMYFUNCTION("""COMPUTED_VALUE"""),49.0)</f>
        <v>49</v>
      </c>
      <c r="D762" s="3" t="str">
        <f>IFERROR(__xludf.DUMMYFUNCTION("""COMPUTED_VALUE"""),"#REF!")</f>
        <v>#REF!</v>
      </c>
      <c r="E762" s="54">
        <f>IFERROR(__xludf.DUMMYFUNCTION("""COMPUTED_VALUE"""),26000.0)</f>
        <v>26000</v>
      </c>
      <c r="F762" s="3" t="str">
        <f>IFERROR(__xludf.DUMMYFUNCTION("""COMPUTED_VALUE"""),"Bonarda rectificado")</f>
        <v>Bonarda rectificado</v>
      </c>
      <c r="G762" s="3"/>
      <c r="H762" s="3"/>
      <c r="I762" s="57">
        <f>IFERROR(__xludf.DUMMYFUNCTION("""COMPUTED_VALUE"""),0.51)</f>
        <v>0.51</v>
      </c>
      <c r="J762" s="3"/>
      <c r="K762" s="57">
        <f>IFERROR(__xludf.DUMMYFUNCTION("""COMPUTED_VALUE"""),2.23)</f>
        <v>2.23</v>
      </c>
      <c r="L762" s="54">
        <f>IFERROR(__xludf.DUMMYFUNCTION("""COMPUTED_VALUE"""),25.0)</f>
        <v>25</v>
      </c>
      <c r="M762" s="3"/>
      <c r="N762" s="3"/>
      <c r="O762" s="3"/>
      <c r="P762" s="3"/>
      <c r="Q762" s="3"/>
      <c r="R762" s="3"/>
      <c r="S762" s="3"/>
      <c r="T762" s="5"/>
      <c r="U762" s="5"/>
      <c r="V762" s="5"/>
      <c r="W762" s="5"/>
    </row>
    <row r="763" ht="15.75" customHeight="1">
      <c r="A763" s="3">
        <f>IFERROR(__xludf.DUMMYFUNCTION("""COMPUTED_VALUE"""),763.0)</f>
        <v>763</v>
      </c>
      <c r="B763" s="53">
        <f>IFERROR(__xludf.DUMMYFUNCTION("""COMPUTED_VALUE"""),45667.0)</f>
        <v>45667</v>
      </c>
      <c r="C763" s="3">
        <f>IFERROR(__xludf.DUMMYFUNCTION("""COMPUTED_VALUE"""),67.0)</f>
        <v>67</v>
      </c>
      <c r="D763" s="3" t="str">
        <f>IFERROR(__xludf.DUMMYFUNCTION("""COMPUTED_VALUE"""),"#REF!")</f>
        <v>#REF!</v>
      </c>
      <c r="E763" s="54">
        <f>IFERROR(__xludf.DUMMYFUNCTION("""COMPUTED_VALUE"""),23000.0)</f>
        <v>23000</v>
      </c>
      <c r="F763" s="3" t="str">
        <f>IFERROR(__xludf.DUMMYFUNCTION("""COMPUTED_VALUE"""),"malbec")</f>
        <v>malbec</v>
      </c>
      <c r="G763" s="3"/>
      <c r="H763" s="3"/>
      <c r="I763" s="57">
        <f>IFERROR(__xludf.DUMMYFUNCTION("""COMPUTED_VALUE"""),0.75)</f>
        <v>0.75</v>
      </c>
      <c r="J763" s="3"/>
      <c r="K763" s="57">
        <f>IFERROR(__xludf.DUMMYFUNCTION("""COMPUTED_VALUE"""),3.45)</f>
        <v>3.45</v>
      </c>
      <c r="L763" s="54">
        <f>IFERROR(__xludf.DUMMYFUNCTION("""COMPUTED_VALUE"""),32.0)</f>
        <v>32</v>
      </c>
      <c r="M763" s="3"/>
      <c r="N763" s="3"/>
      <c r="O763" s="3"/>
      <c r="P763" s="3"/>
      <c r="Q763" s="3"/>
      <c r="R763" s="3"/>
      <c r="S763" s="3"/>
      <c r="T763" s="5"/>
      <c r="U763" s="5"/>
      <c r="V763" s="5"/>
      <c r="W763" s="5"/>
    </row>
    <row r="764" ht="15.75" customHeight="1">
      <c r="A764" s="3">
        <f>IFERROR(__xludf.DUMMYFUNCTION("""COMPUTED_VALUE"""),764.0)</f>
        <v>764</v>
      </c>
      <c r="B764" s="53">
        <f>IFERROR(__xludf.DUMMYFUNCTION("""COMPUTED_VALUE"""),45667.0)</f>
        <v>45667</v>
      </c>
      <c r="C764" s="3">
        <f>IFERROR(__xludf.DUMMYFUNCTION("""COMPUTED_VALUE"""),68.0)</f>
        <v>68</v>
      </c>
      <c r="D764" s="3" t="str">
        <f>IFERROR(__xludf.DUMMYFUNCTION("""COMPUTED_VALUE"""),"#REF!")</f>
        <v>#REF!</v>
      </c>
      <c r="E764" s="54">
        <f>IFERROR(__xludf.DUMMYFUNCTION("""COMPUTED_VALUE"""),13000.0)</f>
        <v>13000</v>
      </c>
      <c r="F764" s="3" t="str">
        <f>IFERROR(__xludf.DUMMYFUNCTION("""COMPUTED_VALUE"""),"bonarda")</f>
        <v>bonarda</v>
      </c>
      <c r="G764" s="3"/>
      <c r="H764" s="3"/>
      <c r="I764" s="57">
        <f>IFERROR(__xludf.DUMMYFUNCTION("""COMPUTED_VALUE"""),0.62)</f>
        <v>0.62</v>
      </c>
      <c r="J764" s="3"/>
      <c r="K764" s="57">
        <f>IFERROR(__xludf.DUMMYFUNCTION("""COMPUTED_VALUE"""),3.52)</f>
        <v>3.52</v>
      </c>
      <c r="L764" s="54">
        <f>IFERROR(__xludf.DUMMYFUNCTION("""COMPUTED_VALUE"""),40.0)</f>
        <v>40</v>
      </c>
      <c r="M764" s="3"/>
      <c r="N764" s="3"/>
      <c r="O764" s="3"/>
      <c r="P764" s="3"/>
      <c r="Q764" s="3"/>
      <c r="R764" s="3"/>
      <c r="S764" s="3"/>
      <c r="T764" s="5"/>
      <c r="U764" s="5"/>
      <c r="V764" s="5"/>
      <c r="W764" s="5"/>
    </row>
    <row r="765" ht="15.75" customHeight="1">
      <c r="A765" s="3">
        <f>IFERROR(__xludf.DUMMYFUNCTION("""COMPUTED_VALUE"""),765.0)</f>
        <v>765</v>
      </c>
      <c r="B765" s="53">
        <f>IFERROR(__xludf.DUMMYFUNCTION("""COMPUTED_VALUE"""),45667.0)</f>
        <v>45667</v>
      </c>
      <c r="C765" s="3">
        <f>IFERROR(__xludf.DUMMYFUNCTION("""COMPUTED_VALUE"""),70.0)</f>
        <v>70</v>
      </c>
      <c r="D765" s="3" t="str">
        <f>IFERROR(__xludf.DUMMYFUNCTION("""COMPUTED_VALUE"""),"#REF!")</f>
        <v>#REF!</v>
      </c>
      <c r="E765" s="54">
        <f>IFERROR(__xludf.DUMMYFUNCTION("""COMPUTED_VALUE"""),13000.0)</f>
        <v>13000</v>
      </c>
      <c r="F765" s="3" t="str">
        <f>IFERROR(__xludf.DUMMYFUNCTION("""COMPUTED_VALUE"""),"cabernet sauvignon")</f>
        <v>cabernet sauvignon</v>
      </c>
      <c r="G765" s="3"/>
      <c r="H765" s="3"/>
      <c r="I765" s="57">
        <f>IFERROR(__xludf.DUMMYFUNCTION("""COMPUTED_VALUE"""),0.603)</f>
        <v>0.603</v>
      </c>
      <c r="J765" s="3"/>
      <c r="K765" s="57">
        <f>IFERROR(__xludf.DUMMYFUNCTION("""COMPUTED_VALUE"""),3.6)</f>
        <v>3.6</v>
      </c>
      <c r="L765" s="54">
        <f>IFERROR(__xludf.DUMMYFUNCTION("""COMPUTED_VALUE"""),41.0)</f>
        <v>41</v>
      </c>
      <c r="M765" s="3"/>
      <c r="N765" s="3"/>
      <c r="O765" s="3"/>
      <c r="P765" s="3"/>
      <c r="Q765" s="3"/>
      <c r="R765" s="3"/>
      <c r="S765" s="3"/>
      <c r="T765" s="5"/>
      <c r="U765" s="5"/>
      <c r="V765" s="5"/>
      <c r="W765" s="5"/>
    </row>
    <row r="766" ht="15.75" customHeight="1">
      <c r="A766" s="3">
        <f>IFERROR(__xludf.DUMMYFUNCTION("""COMPUTED_VALUE"""),766.0)</f>
        <v>766</v>
      </c>
      <c r="B766" s="53">
        <f>IFERROR(__xludf.DUMMYFUNCTION("""COMPUTED_VALUE"""),45667.0)</f>
        <v>45667</v>
      </c>
      <c r="C766" s="3">
        <f>IFERROR(__xludf.DUMMYFUNCTION("""COMPUTED_VALUE"""),74.0)</f>
        <v>74</v>
      </c>
      <c r="D766" s="3" t="str">
        <f>IFERROR(__xludf.DUMMYFUNCTION("""COMPUTED_VALUE"""),"c4f0d9b2")</f>
        <v>c4f0d9b2</v>
      </c>
      <c r="E766" s="54">
        <f>IFERROR(__xludf.DUMMYFUNCTION("""COMPUTED_VALUE"""),13000.0)</f>
        <v>13000</v>
      </c>
      <c r="F766" s="3" t="str">
        <f>IFERROR(__xludf.DUMMYFUNCTION("""COMPUTED_VALUE"""),"Malbec ")</f>
        <v>Malbec </v>
      </c>
      <c r="G766" s="3"/>
      <c r="H766" s="3"/>
      <c r="I766" s="57">
        <f>IFERROR(__xludf.DUMMYFUNCTION("""COMPUTED_VALUE"""),0.45)</f>
        <v>0.45</v>
      </c>
      <c r="J766" s="3"/>
      <c r="K766" s="57">
        <f>IFERROR(__xludf.DUMMYFUNCTION("""COMPUTED_VALUE"""),3.57)</f>
        <v>3.57</v>
      </c>
      <c r="L766" s="54">
        <f>IFERROR(__xludf.DUMMYFUNCTION("""COMPUTED_VALUE"""),38.0)</f>
        <v>38</v>
      </c>
      <c r="M766" s="3"/>
      <c r="N766" s="3"/>
      <c r="O766" s="3"/>
      <c r="P766" s="3"/>
      <c r="Q766" s="3"/>
      <c r="R766" s="3"/>
      <c r="S766" s="3"/>
      <c r="T766" s="5"/>
      <c r="U766" s="5"/>
      <c r="V766" s="5"/>
      <c r="W766" s="5"/>
    </row>
    <row r="767" ht="15.75" customHeight="1">
      <c r="A767" s="3">
        <f>IFERROR(__xludf.DUMMYFUNCTION("""COMPUTED_VALUE"""),767.0)</f>
        <v>767</v>
      </c>
      <c r="B767" s="53">
        <f>IFERROR(__xludf.DUMMYFUNCTION("""COMPUTED_VALUE"""),45667.0)</f>
        <v>45667</v>
      </c>
      <c r="C767" s="3">
        <f>IFERROR(__xludf.DUMMYFUNCTION("""COMPUTED_VALUE"""),75.0)</f>
        <v>75</v>
      </c>
      <c r="D767" s="3" t="str">
        <f>IFERROR(__xludf.DUMMYFUNCTION("""COMPUTED_VALUE"""),"#REF!")</f>
        <v>#REF!</v>
      </c>
      <c r="E767" s="54">
        <f>IFERROR(__xludf.DUMMYFUNCTION("""COMPUTED_VALUE"""),7000.0)</f>
        <v>7000</v>
      </c>
      <c r="F767" s="3" t="str">
        <f>IFERROR(__xludf.DUMMYFUNCTION("""COMPUTED_VALUE"""),"Aspirant rectificado")</f>
        <v>Aspirant rectificado</v>
      </c>
      <c r="G767" s="3"/>
      <c r="H767" s="3"/>
      <c r="I767" s="57">
        <f>IFERROR(__xludf.DUMMYFUNCTION("""COMPUTED_VALUE"""),0.5)</f>
        <v>0.5</v>
      </c>
      <c r="J767" s="3"/>
      <c r="K767" s="57">
        <f>IFERROR(__xludf.DUMMYFUNCTION("""COMPUTED_VALUE"""),2.3)</f>
        <v>2.3</v>
      </c>
      <c r="L767" s="54">
        <f>IFERROR(__xludf.DUMMYFUNCTION("""COMPUTED_VALUE"""),50.0)</f>
        <v>50</v>
      </c>
      <c r="M767" s="3"/>
      <c r="N767" s="3"/>
      <c r="O767" s="3"/>
      <c r="P767" s="3"/>
      <c r="Q767" s="3"/>
      <c r="R767" s="3"/>
      <c r="S767" s="3"/>
      <c r="T767" s="5"/>
      <c r="U767" s="5"/>
      <c r="V767" s="5"/>
      <c r="W767" s="5"/>
    </row>
    <row r="768" ht="15.75" customHeight="1">
      <c r="A768" s="3">
        <f>IFERROR(__xludf.DUMMYFUNCTION("""COMPUTED_VALUE"""),768.0)</f>
        <v>768</v>
      </c>
      <c r="B768" s="53">
        <f>IFERROR(__xludf.DUMMYFUNCTION("""COMPUTED_VALUE"""),45667.0)</f>
        <v>45667</v>
      </c>
      <c r="C768" s="3">
        <f>IFERROR(__xludf.DUMMYFUNCTION("""COMPUTED_VALUE"""),80.0)</f>
        <v>80</v>
      </c>
      <c r="D768" s="3" t="str">
        <f>IFERROR(__xludf.DUMMYFUNCTION("""COMPUTED_VALUE"""),"#REF!")</f>
        <v>#REF!</v>
      </c>
      <c r="E768" s="54">
        <f>IFERROR(__xludf.DUMMYFUNCTION("""COMPUTED_VALUE"""),26100.0)</f>
        <v>26100</v>
      </c>
      <c r="F768" s="3" t="str">
        <f>IFERROR(__xludf.DUMMYFUNCTION("""COMPUTED_VALUE"""),"bonarda")</f>
        <v>bonarda</v>
      </c>
      <c r="G768" s="3"/>
      <c r="H768" s="3"/>
      <c r="I768" s="57">
        <f>IFERROR(__xludf.DUMMYFUNCTION("""COMPUTED_VALUE"""),0.61)</f>
        <v>0.61</v>
      </c>
      <c r="J768" s="3"/>
      <c r="K768" s="57">
        <f>IFERROR(__xludf.DUMMYFUNCTION("""COMPUTED_VALUE"""),3.44)</f>
        <v>3.44</v>
      </c>
      <c r="L768" s="54">
        <f>IFERROR(__xludf.DUMMYFUNCTION("""COMPUTED_VALUE"""),38.0)</f>
        <v>38</v>
      </c>
      <c r="M768" s="3"/>
      <c r="N768" s="3"/>
      <c r="O768" s="3"/>
      <c r="P768" s="3"/>
      <c r="Q768" s="3"/>
      <c r="R768" s="3"/>
      <c r="S768" s="3"/>
      <c r="T768" s="5"/>
      <c r="U768" s="5"/>
      <c r="V768" s="5"/>
      <c r="W768" s="5"/>
    </row>
    <row r="769" ht="15.75" customHeight="1">
      <c r="A769" s="3">
        <f>IFERROR(__xludf.DUMMYFUNCTION("""COMPUTED_VALUE"""),769.0)</f>
        <v>769</v>
      </c>
      <c r="B769" s="53">
        <f>IFERROR(__xludf.DUMMYFUNCTION("""COMPUTED_VALUE"""),45667.0)</f>
        <v>45667</v>
      </c>
      <c r="C769" s="3">
        <f>IFERROR(__xludf.DUMMYFUNCTION("""COMPUTED_VALUE"""),83.0)</f>
        <v>83</v>
      </c>
      <c r="D769" s="3" t="str">
        <f>IFERROR(__xludf.DUMMYFUNCTION("""COMPUTED_VALUE"""),"1.246")</f>
        <v>1.246</v>
      </c>
      <c r="E769" s="54">
        <f>IFERROR(__xludf.DUMMYFUNCTION("""COMPUTED_VALUE"""),81500.0)</f>
        <v>81500</v>
      </c>
      <c r="F769" s="3" t="str">
        <f>IFERROR(__xludf.DUMMYFUNCTION("""COMPUTED_VALUE"""),"Bonarda")</f>
        <v>Bonarda</v>
      </c>
      <c r="G769" s="3"/>
      <c r="H769" s="3"/>
      <c r="I769" s="57">
        <f>IFERROR(__xludf.DUMMYFUNCTION("""COMPUTED_VALUE"""),0.62)</f>
        <v>0.62</v>
      </c>
      <c r="J769" s="3"/>
      <c r="K769" s="57">
        <f>IFERROR(__xludf.DUMMYFUNCTION("""COMPUTED_VALUE"""),3.6)</f>
        <v>3.6</v>
      </c>
      <c r="L769" s="54">
        <f>IFERROR(__xludf.DUMMYFUNCTION("""COMPUTED_VALUE"""),40.0)</f>
        <v>40</v>
      </c>
      <c r="M769" s="3"/>
      <c r="N769" s="3"/>
      <c r="O769" s="3"/>
      <c r="P769" s="3"/>
      <c r="Q769" s="3"/>
      <c r="R769" s="3"/>
      <c r="S769" s="3"/>
      <c r="T769" s="5"/>
      <c r="U769" s="5"/>
      <c r="V769" s="5"/>
      <c r="W769" s="5"/>
    </row>
    <row r="770" ht="15.75" customHeight="1">
      <c r="A770" s="3">
        <f>IFERROR(__xludf.DUMMYFUNCTION("""COMPUTED_VALUE"""),770.0)</f>
        <v>770</v>
      </c>
      <c r="B770" s="53">
        <f>IFERROR(__xludf.DUMMYFUNCTION("""COMPUTED_VALUE"""),45670.0)</f>
        <v>45670</v>
      </c>
      <c r="C770" s="3">
        <f>IFERROR(__xludf.DUMMYFUNCTION("""COMPUTED_VALUE"""),90.0)</f>
        <v>90</v>
      </c>
      <c r="D770" s="3" t="str">
        <f>IFERROR(__xludf.DUMMYFUNCTION("""COMPUTED_VALUE"""),"#REF!")</f>
        <v>#REF!</v>
      </c>
      <c r="E770" s="54">
        <f>IFERROR(__xludf.DUMMYFUNCTION("""COMPUTED_VALUE"""),97500.0)</f>
        <v>97500</v>
      </c>
      <c r="F770" s="3" t="str">
        <f>IFERROR(__xludf.DUMMYFUNCTION("""COMPUTED_VALUE"""),"syrah")</f>
        <v>syrah</v>
      </c>
      <c r="G770" s="3"/>
      <c r="H770" s="3"/>
      <c r="I770" s="57">
        <f>IFERROR(__xludf.DUMMYFUNCTION("""COMPUTED_VALUE"""),0.61)</f>
        <v>0.61</v>
      </c>
      <c r="J770" s="3"/>
      <c r="K770" s="57">
        <f>IFERROR(__xludf.DUMMYFUNCTION("""COMPUTED_VALUE"""),3.66)</f>
        <v>3.66</v>
      </c>
      <c r="L770" s="54">
        <f>IFERROR(__xludf.DUMMYFUNCTION("""COMPUTED_VALUE"""),42.0)</f>
        <v>42</v>
      </c>
      <c r="M770" s="3"/>
      <c r="N770" s="3"/>
      <c r="O770" s="3"/>
      <c r="P770" s="3"/>
      <c r="Q770" s="3"/>
      <c r="R770" s="3"/>
      <c r="S770" s="3"/>
      <c r="T770" s="5"/>
      <c r="U770" s="5"/>
      <c r="V770" s="5"/>
      <c r="W770" s="5"/>
    </row>
    <row r="771" ht="15.75" customHeight="1">
      <c r="A771" s="3">
        <f>IFERROR(__xludf.DUMMYFUNCTION("""COMPUTED_VALUE"""),771.0)</f>
        <v>771</v>
      </c>
      <c r="B771" s="53">
        <f>IFERROR(__xludf.DUMMYFUNCTION("""COMPUTED_VALUE"""),45670.0)</f>
        <v>45670</v>
      </c>
      <c r="C771" s="3">
        <f>IFERROR(__xludf.DUMMYFUNCTION("""COMPUTED_VALUE"""),91.0)</f>
        <v>91</v>
      </c>
      <c r="D771" s="3" t="str">
        <f>IFERROR(__xludf.DUMMYFUNCTION("""COMPUTED_VALUE"""),"#REF!")</f>
        <v>#REF!</v>
      </c>
      <c r="E771" s="54">
        <f>IFERROR(__xludf.DUMMYFUNCTION("""COMPUTED_VALUE"""),86000.0)</f>
        <v>86000</v>
      </c>
      <c r="F771" s="3" t="str">
        <f>IFERROR(__xludf.DUMMYFUNCTION("""COMPUTED_VALUE"""),"Syrah")</f>
        <v>Syrah</v>
      </c>
      <c r="G771" s="3"/>
      <c r="H771" s="3"/>
      <c r="I771" s="57">
        <f>IFERROR(__xludf.DUMMYFUNCTION("""COMPUTED_VALUE"""),0.54)</f>
        <v>0.54</v>
      </c>
      <c r="J771" s="3"/>
      <c r="K771" s="57">
        <f>IFERROR(__xludf.DUMMYFUNCTION("""COMPUTED_VALUE"""),3.65)</f>
        <v>3.65</v>
      </c>
      <c r="L771" s="54">
        <f>IFERROR(__xludf.DUMMYFUNCTION("""COMPUTED_VALUE"""),45.0)</f>
        <v>45</v>
      </c>
      <c r="M771" s="3"/>
      <c r="N771" s="3"/>
      <c r="O771" s="3"/>
      <c r="P771" s="3"/>
      <c r="Q771" s="3"/>
      <c r="R771" s="3"/>
      <c r="S771" s="3"/>
      <c r="T771" s="5"/>
      <c r="U771" s="5"/>
      <c r="V771" s="5"/>
      <c r="W771" s="5"/>
    </row>
    <row r="772" ht="15.75" customHeight="1">
      <c r="A772" s="3">
        <f>IFERROR(__xludf.DUMMYFUNCTION("""COMPUTED_VALUE"""),772.0)</f>
        <v>772</v>
      </c>
      <c r="B772" s="53">
        <f>IFERROR(__xludf.DUMMYFUNCTION("""COMPUTED_VALUE"""),45670.0)</f>
        <v>45670</v>
      </c>
      <c r="C772" s="3">
        <f>IFERROR(__xludf.DUMMYFUNCTION("""COMPUTED_VALUE"""),111.0)</f>
        <v>111</v>
      </c>
      <c r="D772" s="3" t="str">
        <f>IFERROR(__xludf.DUMMYFUNCTION("""COMPUTED_VALUE"""),"
6a04e7d6")</f>
        <v>
6a04e7d6</v>
      </c>
      <c r="E772" s="54">
        <f>IFERROR(__xludf.DUMMYFUNCTION("""COMPUTED_VALUE"""),4000.0)</f>
        <v>4000</v>
      </c>
      <c r="F772" s="3" t="str">
        <f>IFERROR(__xludf.DUMMYFUNCTION("""COMPUTED_VALUE"""),"Malbec Magnetia")</f>
        <v>Malbec Magnetia</v>
      </c>
      <c r="G772" s="3"/>
      <c r="H772" s="3"/>
      <c r="I772" s="57">
        <f>IFERROR(__xludf.DUMMYFUNCTION("""COMPUTED_VALUE"""),0.57)</f>
        <v>0.57</v>
      </c>
      <c r="J772" s="3"/>
      <c r="K772" s="57">
        <f>IFERROR(__xludf.DUMMYFUNCTION("""COMPUTED_VALUE"""),3.58)</f>
        <v>3.58</v>
      </c>
      <c r="L772" s="54">
        <f>IFERROR(__xludf.DUMMYFUNCTION("""COMPUTED_VALUE"""),40.0)</f>
        <v>40</v>
      </c>
      <c r="M772" s="3"/>
      <c r="N772" s="3"/>
      <c r="O772" s="3"/>
      <c r="P772" s="3"/>
      <c r="Q772" s="3"/>
      <c r="R772" s="3"/>
      <c r="S772" s="3"/>
      <c r="T772" s="5"/>
      <c r="U772" s="5"/>
      <c r="V772" s="5"/>
      <c r="W772" s="5"/>
    </row>
    <row r="773" ht="15.75" customHeight="1">
      <c r="A773" s="3">
        <f>IFERROR(__xludf.DUMMYFUNCTION("""COMPUTED_VALUE"""),773.0)</f>
        <v>773</v>
      </c>
      <c r="B773" s="53">
        <f>IFERROR(__xludf.DUMMYFUNCTION("""COMPUTED_VALUE"""),45670.0)</f>
        <v>45670</v>
      </c>
      <c r="C773" s="3">
        <f>IFERROR(__xludf.DUMMYFUNCTION("""COMPUTED_VALUE"""),118.0)</f>
        <v>118</v>
      </c>
      <c r="D773" s="3" t="str">
        <f>IFERROR(__xludf.DUMMYFUNCTION("""COMPUTED_VALUE"""),"#REF!")</f>
        <v>#REF!</v>
      </c>
      <c r="E773" s="54">
        <f>IFERROR(__xludf.DUMMYFUNCTION("""COMPUTED_VALUE"""),155600.0)</f>
        <v>155600</v>
      </c>
      <c r="F773" s="3" t="str">
        <f>IFERROR(__xludf.DUMMYFUNCTION("""COMPUTED_VALUE"""),"Malbec")</f>
        <v>Malbec</v>
      </c>
      <c r="G773" s="3"/>
      <c r="H773" s="3"/>
      <c r="I773" s="57">
        <f>IFERROR(__xludf.DUMMYFUNCTION("""COMPUTED_VALUE"""),0.68)</f>
        <v>0.68</v>
      </c>
      <c r="J773" s="3"/>
      <c r="K773" s="57">
        <f>IFERROR(__xludf.DUMMYFUNCTION("""COMPUTED_VALUE"""),3.57)</f>
        <v>3.57</v>
      </c>
      <c r="L773" s="54">
        <f>IFERROR(__xludf.DUMMYFUNCTION("""COMPUTED_VALUE"""),39.0)</f>
        <v>39</v>
      </c>
      <c r="M773" s="3"/>
      <c r="N773" s="3"/>
      <c r="O773" s="3"/>
      <c r="P773" s="3"/>
      <c r="Q773" s="3"/>
      <c r="R773" s="3"/>
      <c r="S773" s="3"/>
      <c r="T773" s="5"/>
      <c r="U773" s="5"/>
      <c r="V773" s="5"/>
      <c r="W773" s="5"/>
    </row>
    <row r="774" ht="15.75" customHeight="1">
      <c r="A774" s="3">
        <f>IFERROR(__xludf.DUMMYFUNCTION("""COMPUTED_VALUE"""),774.0)</f>
        <v>774</v>
      </c>
      <c r="B774" s="53">
        <f>IFERROR(__xludf.DUMMYFUNCTION("""COMPUTED_VALUE"""),45672.0)</f>
        <v>45672</v>
      </c>
      <c r="C774" s="3">
        <f>IFERROR(__xludf.DUMMYFUNCTION("""COMPUTED_VALUE"""),125.0)</f>
        <v>125</v>
      </c>
      <c r="D774" s="3" t="str">
        <f>IFERROR(__xludf.DUMMYFUNCTION("""COMPUTED_VALUE"""),"#REF!")</f>
        <v>#REF!</v>
      </c>
      <c r="E774" s="54">
        <f>IFERROR(__xludf.DUMMYFUNCTION("""COMPUTED_VALUE"""),31000.0)</f>
        <v>31000</v>
      </c>
      <c r="F774" s="3" t="str">
        <f>IFERROR(__xludf.DUMMYFUNCTION("""COMPUTED_VALUE"""),"Cabernet a rectificar")</f>
        <v>Cabernet a rectificar</v>
      </c>
      <c r="G774" s="3"/>
      <c r="H774" s="3"/>
      <c r="I774" s="57">
        <f>IFERROR(__xludf.DUMMYFUNCTION("""COMPUTED_VALUE"""),0.75)</f>
        <v>0.75</v>
      </c>
      <c r="J774" s="3"/>
      <c r="K774" s="57">
        <f>IFERROR(__xludf.DUMMYFUNCTION("""COMPUTED_VALUE"""),3.56)</f>
        <v>3.56</v>
      </c>
      <c r="L774" s="54">
        <f>IFERROR(__xludf.DUMMYFUNCTION("""COMPUTED_VALUE"""),34.0)</f>
        <v>34</v>
      </c>
      <c r="M774" s="3"/>
      <c r="N774" s="3"/>
      <c r="O774" s="3"/>
      <c r="P774" s="3"/>
      <c r="Q774" s="3"/>
      <c r="R774" s="3"/>
      <c r="S774" s="3"/>
      <c r="T774" s="5"/>
      <c r="U774" s="5"/>
      <c r="V774" s="5"/>
      <c r="W774" s="5"/>
    </row>
    <row r="775" ht="15.75" customHeight="1">
      <c r="A775" s="3">
        <f>IFERROR(__xludf.DUMMYFUNCTION("""COMPUTED_VALUE"""),775.0)</f>
        <v>775</v>
      </c>
      <c r="B775" s="53">
        <f>IFERROR(__xludf.DUMMYFUNCTION("""COMPUTED_VALUE"""),45672.0)</f>
        <v>45672</v>
      </c>
      <c r="C775" s="3">
        <f>IFERROR(__xludf.DUMMYFUNCTION("""COMPUTED_VALUE"""),126.0)</f>
        <v>126</v>
      </c>
      <c r="D775" s="3" t="str">
        <f>IFERROR(__xludf.DUMMYFUNCTION("""COMPUTED_VALUE"""),"#REF!")</f>
        <v>#REF!</v>
      </c>
      <c r="E775" s="54">
        <f>IFERROR(__xludf.DUMMYFUNCTION("""COMPUTED_VALUE"""),31000.0)</f>
        <v>31000</v>
      </c>
      <c r="F775" s="3" t="str">
        <f>IFERROR(__xludf.DUMMYFUNCTION("""COMPUTED_VALUE"""),"Cabernet a rectificar")</f>
        <v>Cabernet a rectificar</v>
      </c>
      <c r="G775" s="3"/>
      <c r="H775" s="3"/>
      <c r="I775" s="57">
        <f>IFERROR(__xludf.DUMMYFUNCTION("""COMPUTED_VALUE"""),0.7)</f>
        <v>0.7</v>
      </c>
      <c r="J775" s="3"/>
      <c r="K775" s="57">
        <f>IFERROR(__xludf.DUMMYFUNCTION("""COMPUTED_VALUE"""),3.55)</f>
        <v>3.55</v>
      </c>
      <c r="L775" s="54">
        <f>IFERROR(__xludf.DUMMYFUNCTION("""COMPUTED_VALUE"""),35.0)</f>
        <v>35</v>
      </c>
      <c r="M775" s="3"/>
      <c r="N775" s="3"/>
      <c r="O775" s="3"/>
      <c r="P775" s="3"/>
      <c r="Q775" s="3"/>
      <c r="R775" s="3"/>
      <c r="S775" s="3"/>
      <c r="T775" s="5"/>
      <c r="U775" s="5"/>
      <c r="V775" s="5"/>
      <c r="W775" s="5"/>
    </row>
    <row r="776" ht="15.75" customHeight="1">
      <c r="A776" s="3">
        <f>IFERROR(__xludf.DUMMYFUNCTION("""COMPUTED_VALUE"""),776.0)</f>
        <v>776</v>
      </c>
      <c r="B776" s="53">
        <f>IFERROR(__xludf.DUMMYFUNCTION("""COMPUTED_VALUE"""),45699.0)</f>
        <v>45699</v>
      </c>
      <c r="C776" s="3">
        <f>IFERROR(__xludf.DUMMYFUNCTION("""COMPUTED_VALUE"""),86.0)</f>
        <v>86</v>
      </c>
      <c r="D776" s="3"/>
      <c r="E776" s="3"/>
      <c r="F776" s="3" t="str">
        <f>IFERROR(__xludf.DUMMYFUNCTION("""COMPUTED_VALUE"""),"Aspirant 2025")</f>
        <v>Aspirant 2025</v>
      </c>
      <c r="G776" s="55">
        <f>IFERROR(__xludf.DUMMYFUNCTION("""COMPUTED_VALUE"""),11.3)</f>
        <v>11.3</v>
      </c>
      <c r="H776" s="56">
        <f>IFERROR(__xludf.DUMMYFUNCTION("""COMPUTED_VALUE"""),4.0)</f>
        <v>4</v>
      </c>
      <c r="I776" s="3"/>
      <c r="J776" s="3"/>
      <c r="K776" s="57">
        <f>IFERROR(__xludf.DUMMYFUNCTION("""COMPUTED_VALUE"""),3.39)</f>
        <v>3.39</v>
      </c>
      <c r="L776" s="54">
        <f>IFERROR(__xludf.DUMMYFUNCTION("""COMPUTED_VALUE"""),25.0)</f>
        <v>25</v>
      </c>
      <c r="M776" s="3">
        <f>IFERROR(__xludf.DUMMYFUNCTION("""COMPUTED_VALUE"""),60.0)</f>
        <v>60</v>
      </c>
      <c r="N776" s="3"/>
      <c r="O776" s="3"/>
      <c r="P776" s="3"/>
      <c r="Q776" s="3"/>
      <c r="R776" s="3"/>
      <c r="S776" s="3"/>
      <c r="T776" s="5"/>
      <c r="U776" s="5"/>
      <c r="V776" s="5"/>
      <c r="W776" s="5"/>
    </row>
    <row r="777" ht="15.75" customHeight="1">
      <c r="A777" s="3">
        <f>IFERROR(__xludf.DUMMYFUNCTION("""COMPUTED_VALUE"""),777.0)</f>
        <v>777</v>
      </c>
      <c r="B777" s="53">
        <f>IFERROR(__xludf.DUMMYFUNCTION("""COMPUTED_VALUE"""),45699.0)</f>
        <v>45699</v>
      </c>
      <c r="C777" s="3">
        <f>IFERROR(__xludf.DUMMYFUNCTION("""COMPUTED_VALUE"""),84.0)</f>
        <v>84</v>
      </c>
      <c r="D777" s="3"/>
      <c r="E777" s="3"/>
      <c r="F777" s="3" t="str">
        <f>IFERROR(__xludf.DUMMYFUNCTION("""COMPUTED_VALUE"""),"Aspirant")</f>
        <v>Aspirant</v>
      </c>
      <c r="G777" s="55">
        <f>IFERROR(__xludf.DUMMYFUNCTION("""COMPUTED_VALUE"""),11.4)</f>
        <v>11.4</v>
      </c>
      <c r="H777" s="56">
        <f>IFERROR(__xludf.DUMMYFUNCTION("""COMPUTED_VALUE"""),2.5)</f>
        <v>2.5</v>
      </c>
      <c r="I777" s="3"/>
      <c r="J777" s="3"/>
      <c r="K777" s="57">
        <f>IFERROR(__xludf.DUMMYFUNCTION("""COMPUTED_VALUE"""),3.4)</f>
        <v>3.4</v>
      </c>
      <c r="L777" s="54">
        <f>IFERROR(__xludf.DUMMYFUNCTION("""COMPUTED_VALUE"""),24.0)</f>
        <v>24</v>
      </c>
      <c r="M777" s="3">
        <f>IFERROR(__xludf.DUMMYFUNCTION("""COMPUTED_VALUE"""),58.0)</f>
        <v>58</v>
      </c>
      <c r="N777" s="3"/>
      <c r="O777" s="3"/>
      <c r="P777" s="3"/>
      <c r="Q777" s="3"/>
      <c r="R777" s="3"/>
      <c r="S777" s="3"/>
      <c r="T777" s="5"/>
      <c r="U777" s="5"/>
      <c r="V777" s="5"/>
      <c r="W777" s="5"/>
    </row>
    <row r="778" ht="15.75" customHeight="1">
      <c r="A778" s="3">
        <f>IFERROR(__xludf.DUMMYFUNCTION("""COMPUTED_VALUE"""),778.0)</f>
        <v>778</v>
      </c>
      <c r="B778" s="53">
        <f>IFERROR(__xludf.DUMMYFUNCTION("""COMPUTED_VALUE"""),45699.0)</f>
        <v>45699</v>
      </c>
      <c r="C778" s="3">
        <f>IFERROR(__xludf.DUMMYFUNCTION("""COMPUTED_VALUE"""),83.0)</f>
        <v>83</v>
      </c>
      <c r="D778" s="3"/>
      <c r="E778" s="3"/>
      <c r="F778" s="3" t="str">
        <f>IFERROR(__xludf.DUMMYFUNCTION("""COMPUTED_VALUE"""),"Aspirant")</f>
        <v>Aspirant</v>
      </c>
      <c r="G778" s="3"/>
      <c r="H778" s="56">
        <f>IFERROR(__xludf.DUMMYFUNCTION("""COMPUTED_VALUE"""),225.0)</f>
        <v>225</v>
      </c>
      <c r="I778" s="3"/>
      <c r="J778" s="3"/>
      <c r="K778" s="57">
        <f>IFERROR(__xludf.DUMMYFUNCTION("""COMPUTED_VALUE"""),3.48)</f>
        <v>3.48</v>
      </c>
      <c r="L778" s="54">
        <f>IFERROR(__xludf.DUMMYFUNCTION("""COMPUTED_VALUE"""),20.0)</f>
        <v>20</v>
      </c>
      <c r="M778" s="3">
        <f>IFERROR(__xludf.DUMMYFUNCTION("""COMPUTED_VALUE"""),55.0)</f>
        <v>55</v>
      </c>
      <c r="N778" s="3"/>
      <c r="O778" s="3"/>
      <c r="P778" s="3"/>
      <c r="Q778" s="3"/>
      <c r="R778" s="3"/>
      <c r="S778" s="3"/>
      <c r="T778" s="5"/>
      <c r="U778" s="5"/>
      <c r="V778" s="5"/>
      <c r="W778" s="5"/>
    </row>
    <row r="779" ht="15.75" customHeight="1">
      <c r="A779" s="3">
        <f>IFERROR(__xludf.DUMMYFUNCTION("""COMPUTED_VALUE"""),779.0)</f>
        <v>779</v>
      </c>
      <c r="B779" s="53">
        <f>IFERROR(__xludf.DUMMYFUNCTION("""COMPUTED_VALUE"""),45699.0)</f>
        <v>45699</v>
      </c>
      <c r="C779" s="3">
        <f>IFERROR(__xludf.DUMMYFUNCTION("""COMPUTED_VALUE"""),80.0)</f>
        <v>80</v>
      </c>
      <c r="D779" s="3"/>
      <c r="E779" s="3"/>
      <c r="F779" s="3" t="str">
        <f>IFERROR(__xludf.DUMMYFUNCTION("""COMPUTED_VALUE"""),"Aspirant")</f>
        <v>Aspirant</v>
      </c>
      <c r="G779" s="3"/>
      <c r="H779" s="56">
        <f>IFERROR(__xludf.DUMMYFUNCTION("""COMPUTED_VALUE"""),3.11)</f>
        <v>3.11</v>
      </c>
      <c r="I779" s="3"/>
      <c r="J779" s="3"/>
      <c r="K779" s="57">
        <f>IFERROR(__xludf.DUMMYFUNCTION("""COMPUTED_VALUE"""),3.35)</f>
        <v>3.35</v>
      </c>
      <c r="L779" s="54">
        <f>IFERROR(__xludf.DUMMYFUNCTION("""COMPUTED_VALUE"""),23.0)</f>
        <v>23</v>
      </c>
      <c r="M779" s="3">
        <f>IFERROR(__xludf.DUMMYFUNCTION("""COMPUTED_VALUE"""),65.0)</f>
        <v>65</v>
      </c>
      <c r="N779" s="3"/>
      <c r="O779" s="3"/>
      <c r="P779" s="3"/>
      <c r="Q779" s="3"/>
      <c r="R779" s="3"/>
      <c r="S779" s="3"/>
      <c r="T779" s="5"/>
      <c r="U779" s="5"/>
      <c r="V779" s="5"/>
      <c r="W779" s="5"/>
    </row>
    <row r="780" ht="15.75" customHeight="1">
      <c r="A780" s="3">
        <f>IFERROR(__xludf.DUMMYFUNCTION("""COMPUTED_VALUE"""),780.0)</f>
        <v>780</v>
      </c>
      <c r="B780" s="53">
        <f>IFERROR(__xludf.DUMMYFUNCTION("""COMPUTED_VALUE"""),45700.0)</f>
        <v>45700</v>
      </c>
      <c r="C780" s="3">
        <f>IFERROR(__xludf.DUMMYFUNCTION("""COMPUTED_VALUE"""),114.0)</f>
        <v>114</v>
      </c>
      <c r="D780" s="3" t="str">
        <f>IFERROR(__xludf.DUMMYFUNCTION("""COMPUTED_VALUE"""),"#REF!")</f>
        <v>#REF!</v>
      </c>
      <c r="E780" s="54">
        <f>IFERROR(__xludf.DUMMYFUNCTION("""COMPUTED_VALUE"""),125300.0)</f>
        <v>125300</v>
      </c>
      <c r="F780" s="3" t="str">
        <f>IFERROR(__xludf.DUMMYFUNCTION("""COMPUTED_VALUE"""),"Bonarda 2024")</f>
        <v>Bonarda 2024</v>
      </c>
      <c r="G780" s="55">
        <f>IFERROR(__xludf.DUMMYFUNCTION("""COMPUTED_VALUE"""),12.8)</f>
        <v>12.8</v>
      </c>
      <c r="H780" s="56">
        <f>IFERROR(__xludf.DUMMYFUNCTION("""COMPUTED_VALUE"""),2.0)</f>
        <v>2</v>
      </c>
      <c r="I780" s="57">
        <f>IFERROR(__xludf.DUMMYFUNCTION("""COMPUTED_VALUE"""),0.6)</f>
        <v>0.6</v>
      </c>
      <c r="J780" s="57">
        <f>IFERROR(__xludf.DUMMYFUNCTION("""COMPUTED_VALUE"""),5.0)</f>
        <v>5</v>
      </c>
      <c r="K780" s="57">
        <f>IFERROR(__xludf.DUMMYFUNCTION("""COMPUTED_VALUE"""),3.6)</f>
        <v>3.6</v>
      </c>
      <c r="L780" s="54">
        <f>IFERROR(__xludf.DUMMYFUNCTION("""COMPUTED_VALUE"""),30.0)</f>
        <v>30</v>
      </c>
      <c r="M780" s="3">
        <f>IFERROR(__xludf.DUMMYFUNCTION("""COMPUTED_VALUE"""),170.0)</f>
        <v>170</v>
      </c>
      <c r="N780" s="3"/>
      <c r="O780" s="3"/>
      <c r="P780" s="3"/>
      <c r="Q780" s="3"/>
      <c r="R780" s="3"/>
      <c r="S780" s="3"/>
      <c r="T780" s="5"/>
      <c r="U780" s="5"/>
      <c r="V780" s="5"/>
      <c r="W780" s="5"/>
    </row>
    <row r="781" ht="15.75" customHeight="1">
      <c r="A781" s="3">
        <f>IFERROR(__xludf.DUMMYFUNCTION("""COMPUTED_VALUE"""),781.0)</f>
        <v>781</v>
      </c>
      <c r="B781" s="53">
        <f>IFERROR(__xludf.DUMMYFUNCTION("""COMPUTED_VALUE"""),45701.0)</f>
        <v>45701</v>
      </c>
      <c r="C781" s="3">
        <f>IFERROR(__xludf.DUMMYFUNCTION("""COMPUTED_VALUE"""),31.0)</f>
        <v>31</v>
      </c>
      <c r="D781" s="3" t="str">
        <f>IFERROR(__xludf.DUMMYFUNCTION("""COMPUTED_VALUE"""),"#REF!")</f>
        <v>#REF!</v>
      </c>
      <c r="E781" s="54">
        <f>IFERROR(__xludf.DUMMYFUNCTION("""COMPUTED_VALUE"""),25700.0)</f>
        <v>25700</v>
      </c>
      <c r="F781" s="3" t="str">
        <f>IFERROR(__xludf.DUMMYFUNCTION("""COMPUTED_VALUE"""),"Chardonnay 2025")</f>
        <v>Chardonnay 2025</v>
      </c>
      <c r="G781" s="55">
        <f>IFERROR(__xludf.DUMMYFUNCTION("""COMPUTED_VALUE"""),11.5)</f>
        <v>11.5</v>
      </c>
      <c r="H781" s="56">
        <f>IFERROR(__xludf.DUMMYFUNCTION("""COMPUTED_VALUE"""),2.0)</f>
        <v>2</v>
      </c>
      <c r="I781" s="57">
        <f>IFERROR(__xludf.DUMMYFUNCTION("""COMPUTED_VALUE"""),0.2)</f>
        <v>0.2</v>
      </c>
      <c r="J781" s="57">
        <f>IFERROR(__xludf.DUMMYFUNCTION("""COMPUTED_VALUE"""),6.9)</f>
        <v>6.9</v>
      </c>
      <c r="K781" s="57">
        <f>IFERROR(__xludf.DUMMYFUNCTION("""COMPUTED_VALUE"""),3.24)</f>
        <v>3.24</v>
      </c>
      <c r="L781" s="54">
        <f>IFERROR(__xludf.DUMMYFUNCTION("""COMPUTED_VALUE"""),19.0)</f>
        <v>19</v>
      </c>
      <c r="M781" s="3">
        <f>IFERROR(__xludf.DUMMYFUNCTION("""COMPUTED_VALUE"""),72.0)</f>
        <v>72</v>
      </c>
      <c r="N781" s="3"/>
      <c r="O781" s="3"/>
      <c r="P781" s="3"/>
      <c r="Q781" s="3"/>
      <c r="R781" s="3"/>
      <c r="S781" s="3"/>
      <c r="T781" s="5"/>
      <c r="U781" s="5"/>
      <c r="V781" s="5"/>
      <c r="W781" s="5"/>
    </row>
    <row r="782" ht="15.75" customHeight="1">
      <c r="A782" s="3">
        <f>IFERROR(__xludf.DUMMYFUNCTION("""COMPUTED_VALUE"""),782.0)</f>
        <v>782</v>
      </c>
      <c r="B782" s="53">
        <f>IFERROR(__xludf.DUMMYFUNCTION("""COMPUTED_VALUE"""),45702.0)</f>
        <v>45702</v>
      </c>
      <c r="C782" s="3">
        <f>IFERROR(__xludf.DUMMYFUNCTION("""COMPUTED_VALUE"""),33.0)</f>
        <v>33</v>
      </c>
      <c r="D782" s="3" t="str">
        <f>IFERROR(__xludf.DUMMYFUNCTION("""COMPUTED_VALUE"""),"#REF!")</f>
        <v>#REF!</v>
      </c>
      <c r="E782" s="54">
        <f>IFERROR(__xludf.DUMMYFUNCTION("""COMPUTED_VALUE"""),25300.0)</f>
        <v>25300</v>
      </c>
      <c r="F782" s="3" t="str">
        <f>IFERROR(__xludf.DUMMYFUNCTION("""COMPUTED_VALUE"""),"Chardonnay 2025")</f>
        <v>Chardonnay 2025</v>
      </c>
      <c r="G782" s="3"/>
      <c r="H782" s="56">
        <f>IFERROR(__xludf.DUMMYFUNCTION("""COMPUTED_VALUE"""),2.0)</f>
        <v>2</v>
      </c>
      <c r="I782" s="57">
        <f>IFERROR(__xludf.DUMMYFUNCTION("""COMPUTED_VALUE"""),0.25)</f>
        <v>0.25</v>
      </c>
      <c r="J782" s="57">
        <f>IFERROR(__xludf.DUMMYFUNCTION("""COMPUTED_VALUE"""),7.26)</f>
        <v>7.26</v>
      </c>
      <c r="K782" s="57">
        <f>IFERROR(__xludf.DUMMYFUNCTION("""COMPUTED_VALUE"""),3.18)</f>
        <v>3.18</v>
      </c>
      <c r="L782" s="54">
        <f>IFERROR(__xludf.DUMMYFUNCTION("""COMPUTED_VALUE"""),20.0)</f>
        <v>20</v>
      </c>
      <c r="M782" s="3">
        <f>IFERROR(__xludf.DUMMYFUNCTION("""COMPUTED_VALUE"""),67.0)</f>
        <v>67</v>
      </c>
      <c r="N782" s="3"/>
      <c r="O782" s="3"/>
      <c r="P782" s="3"/>
      <c r="Q782" s="3"/>
      <c r="R782" s="3"/>
      <c r="S782" s="3"/>
      <c r="T782" s="5"/>
      <c r="U782" s="5"/>
      <c r="V782" s="5"/>
      <c r="W782" s="5"/>
    </row>
    <row r="783" ht="15.75" customHeight="1">
      <c r="A783" s="3">
        <f>IFERROR(__xludf.DUMMYFUNCTION("""COMPUTED_VALUE"""),783.0)</f>
        <v>783</v>
      </c>
      <c r="B783" s="53">
        <f>IFERROR(__xludf.DUMMYFUNCTION("""COMPUTED_VALUE"""),45702.0)</f>
        <v>45702</v>
      </c>
      <c r="C783" s="3">
        <f>IFERROR(__xludf.DUMMYFUNCTION("""COMPUTED_VALUE"""),40.0)</f>
        <v>40</v>
      </c>
      <c r="D783" s="3" t="str">
        <f>IFERROR(__xludf.DUMMYFUNCTION("""COMPUTED_VALUE"""),"#REF!")</f>
        <v>#REF!</v>
      </c>
      <c r="E783" s="54">
        <f>IFERROR(__xludf.DUMMYFUNCTION("""COMPUTED_VALUE"""),24000.0)</f>
        <v>24000</v>
      </c>
      <c r="F783" s="3" t="str">
        <f>IFERROR(__xludf.DUMMYFUNCTION("""COMPUTED_VALUE"""),"Chardonnay 2025")</f>
        <v>Chardonnay 2025</v>
      </c>
      <c r="G783" s="3"/>
      <c r="H783" s="56">
        <f>IFERROR(__xludf.DUMMYFUNCTION("""COMPUTED_VALUE"""),2.0)</f>
        <v>2</v>
      </c>
      <c r="I783" s="57">
        <f>IFERROR(__xludf.DUMMYFUNCTION("""COMPUTED_VALUE"""),0.27)</f>
        <v>0.27</v>
      </c>
      <c r="J783" s="57">
        <f>IFERROR(__xludf.DUMMYFUNCTION("""COMPUTED_VALUE"""),6.9)</f>
        <v>6.9</v>
      </c>
      <c r="K783" s="57">
        <f>IFERROR(__xludf.DUMMYFUNCTION("""COMPUTED_VALUE"""),3.19)</f>
        <v>3.19</v>
      </c>
      <c r="L783" s="54">
        <f>IFERROR(__xludf.DUMMYFUNCTION("""COMPUTED_VALUE"""),19.0)</f>
        <v>19</v>
      </c>
      <c r="M783" s="3">
        <f>IFERROR(__xludf.DUMMYFUNCTION("""COMPUTED_VALUE"""),65.0)</f>
        <v>65</v>
      </c>
      <c r="N783" s="3"/>
      <c r="O783" s="3"/>
      <c r="P783" s="3"/>
      <c r="Q783" s="3"/>
      <c r="R783" s="3"/>
      <c r="S783" s="3"/>
      <c r="T783" s="5"/>
      <c r="U783" s="5"/>
      <c r="V783" s="5"/>
      <c r="W783" s="5"/>
    </row>
    <row r="784" ht="15.75" customHeight="1">
      <c r="A784" s="3">
        <f>IFERROR(__xludf.DUMMYFUNCTION("""COMPUTED_VALUE"""),784.0)</f>
        <v>784</v>
      </c>
      <c r="B784" s="53">
        <f>IFERROR(__xludf.DUMMYFUNCTION("""COMPUTED_VALUE"""),45702.0)</f>
        <v>45702</v>
      </c>
      <c r="C784" s="3">
        <f>IFERROR(__xludf.DUMMYFUNCTION("""COMPUTED_VALUE"""),32.0)</f>
        <v>32</v>
      </c>
      <c r="D784" s="3"/>
      <c r="E784" s="54">
        <f>IFERROR(__xludf.DUMMYFUNCTION("""COMPUTED_VALUE"""),36300.0)</f>
        <v>36300</v>
      </c>
      <c r="F784" s="3" t="str">
        <f>IFERROR(__xludf.DUMMYFUNCTION("""COMPUTED_VALUE"""),"Chardonnay filtro")</f>
        <v>Chardonnay filtro</v>
      </c>
      <c r="G784" s="3"/>
      <c r="H784" s="56">
        <f>IFERROR(__xludf.DUMMYFUNCTION("""COMPUTED_VALUE"""),2.0)</f>
        <v>2</v>
      </c>
      <c r="I784" s="57">
        <f>IFERROR(__xludf.DUMMYFUNCTION("""COMPUTED_VALUE"""),0.35)</f>
        <v>0.35</v>
      </c>
      <c r="J784" s="57">
        <f>IFERROR(__xludf.DUMMYFUNCTION("""COMPUTED_VALUE"""),6.5)</f>
        <v>6.5</v>
      </c>
      <c r="K784" s="57">
        <f>IFERROR(__xludf.DUMMYFUNCTION("""COMPUTED_VALUE"""),3.24)</f>
        <v>3.24</v>
      </c>
      <c r="L784" s="54">
        <f>IFERROR(__xludf.DUMMYFUNCTION("""COMPUTED_VALUE"""),21.0)</f>
        <v>21</v>
      </c>
      <c r="M784" s="3">
        <f>IFERROR(__xludf.DUMMYFUNCTION("""COMPUTED_VALUE"""),75.0)</f>
        <v>75</v>
      </c>
      <c r="N784" s="3"/>
      <c r="O784" s="3"/>
      <c r="P784" s="3"/>
      <c r="Q784" s="3"/>
      <c r="R784" s="3"/>
      <c r="S784" s="3"/>
      <c r="T784" s="5"/>
      <c r="U784" s="5"/>
      <c r="V784" s="5"/>
      <c r="W784" s="5"/>
    </row>
    <row r="785" ht="15.75" customHeight="1">
      <c r="A785" s="3">
        <f>IFERROR(__xludf.DUMMYFUNCTION("""COMPUTED_VALUE"""),785.0)</f>
        <v>785</v>
      </c>
      <c r="B785" s="53">
        <f>IFERROR(__xludf.DUMMYFUNCTION("""COMPUTED_VALUE"""),45705.0)</f>
        <v>45705</v>
      </c>
      <c r="C785" s="3">
        <f>IFERROR(__xludf.DUMMYFUNCTION("""COMPUTED_VALUE"""),86.0)</f>
        <v>86</v>
      </c>
      <c r="D785" s="3"/>
      <c r="E785" s="54">
        <f>IFERROR(__xludf.DUMMYFUNCTION("""COMPUTED_VALUE"""),30000.0)</f>
        <v>30000</v>
      </c>
      <c r="F785" s="3" t="str">
        <f>IFERROR(__xludf.DUMMYFUNCTION("""COMPUTED_VALUE"""),"aspirant")</f>
        <v>aspirant</v>
      </c>
      <c r="G785" s="3"/>
      <c r="H785" s="56">
        <f>IFERROR(__xludf.DUMMYFUNCTION("""COMPUTED_VALUE"""),2.0)</f>
        <v>2</v>
      </c>
      <c r="I785" s="57">
        <f>IFERROR(__xludf.DUMMYFUNCTION("""COMPUTED_VALUE"""),0.35)</f>
        <v>0.35</v>
      </c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5"/>
      <c r="U785" s="5"/>
      <c r="V785" s="5"/>
      <c r="W785" s="5"/>
    </row>
    <row r="786" ht="15.75" customHeight="1">
      <c r="A786" s="3">
        <f>IFERROR(__xludf.DUMMYFUNCTION("""COMPUTED_VALUE"""),786.0)</f>
        <v>786</v>
      </c>
      <c r="B786" s="53">
        <f>IFERROR(__xludf.DUMMYFUNCTION("""COMPUTED_VALUE"""),45705.0)</f>
        <v>45705</v>
      </c>
      <c r="C786" s="3">
        <f>IFERROR(__xludf.DUMMYFUNCTION("""COMPUTED_VALUE"""),84.0)</f>
        <v>84</v>
      </c>
      <c r="D786" s="3" t="str">
        <f>IFERROR(__xludf.DUMMYFUNCTION("""COMPUTED_VALUE"""),"#REF!")</f>
        <v>#REF!</v>
      </c>
      <c r="E786" s="54">
        <f>IFERROR(__xludf.DUMMYFUNCTION("""COMPUTED_VALUE"""),30000.0)</f>
        <v>30000</v>
      </c>
      <c r="F786" s="3" t="str">
        <f>IFERROR(__xludf.DUMMYFUNCTION("""COMPUTED_VALUE"""),"aspirant")</f>
        <v>aspirant</v>
      </c>
      <c r="G786" s="3"/>
      <c r="H786" s="56">
        <f>IFERROR(__xludf.DUMMYFUNCTION("""COMPUTED_VALUE"""),2.0)</f>
        <v>2</v>
      </c>
      <c r="I786" s="57">
        <f>IFERROR(__xludf.DUMMYFUNCTION("""COMPUTED_VALUE"""),0.36)</f>
        <v>0.36</v>
      </c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5"/>
      <c r="U786" s="5"/>
      <c r="V786" s="5"/>
      <c r="W786" s="5"/>
    </row>
    <row r="787" ht="15.75" customHeight="1">
      <c r="A787" s="3">
        <f>IFERROR(__xludf.DUMMYFUNCTION("""COMPUTED_VALUE"""),787.0)</f>
        <v>787</v>
      </c>
      <c r="B787" s="53">
        <f>IFERROR(__xludf.DUMMYFUNCTION("""COMPUTED_VALUE"""),45705.0)</f>
        <v>45705</v>
      </c>
      <c r="C787" s="3">
        <f>IFERROR(__xludf.DUMMYFUNCTION("""COMPUTED_VALUE"""),80.0)</f>
        <v>80</v>
      </c>
      <c r="D787" s="3"/>
      <c r="E787" s="54">
        <f>IFERROR(__xludf.DUMMYFUNCTION("""COMPUTED_VALUE"""),10000.0)</f>
        <v>10000</v>
      </c>
      <c r="F787" s="3" t="str">
        <f>IFERROR(__xludf.DUMMYFUNCTION("""COMPUTED_VALUE"""),"aspirant")</f>
        <v>aspirant</v>
      </c>
      <c r="G787" s="3"/>
      <c r="H787" s="56">
        <f>IFERROR(__xludf.DUMMYFUNCTION("""COMPUTED_VALUE"""),15.0)</f>
        <v>15</v>
      </c>
      <c r="I787" s="57">
        <f>IFERROR(__xludf.DUMMYFUNCTION("""COMPUTED_VALUE"""),0.5)</f>
        <v>0.5</v>
      </c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5"/>
      <c r="U787" s="5"/>
      <c r="V787" s="5"/>
      <c r="W787" s="5"/>
    </row>
    <row r="788" ht="15.75" customHeight="1">
      <c r="A788" s="3">
        <f>IFERROR(__xludf.DUMMYFUNCTION("""COMPUTED_VALUE"""),788.0)</f>
        <v>788</v>
      </c>
      <c r="B788" s="53">
        <f>IFERROR(__xludf.DUMMYFUNCTION("""COMPUTED_VALUE"""),45705.0)</f>
        <v>45705</v>
      </c>
      <c r="C788" s="3">
        <f>IFERROR(__xludf.DUMMYFUNCTION("""COMPUTED_VALUE"""),85.0)</f>
        <v>85</v>
      </c>
      <c r="D788" s="3" t="str">
        <f>IFERROR(__xludf.DUMMYFUNCTION("""COMPUTED_VALUE"""),"#REF!")</f>
        <v>#REF!</v>
      </c>
      <c r="E788" s="54">
        <f>IFERROR(__xludf.DUMMYFUNCTION("""COMPUTED_VALUE"""),30000.0)</f>
        <v>30000</v>
      </c>
      <c r="F788" s="3" t="str">
        <f>IFERROR(__xludf.DUMMYFUNCTION("""COMPUTED_VALUE"""),"aspirant")</f>
        <v>aspirant</v>
      </c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5"/>
      <c r="U788" s="5"/>
      <c r="V788" s="5"/>
      <c r="W788" s="5"/>
    </row>
    <row r="789" ht="15.75" customHeight="1">
      <c r="A789" s="3">
        <f>IFERROR(__xludf.DUMMYFUNCTION("""COMPUTED_VALUE"""),789.0)</f>
        <v>789</v>
      </c>
      <c r="B789" s="53">
        <f>IFERROR(__xludf.DUMMYFUNCTION("""COMPUTED_VALUE"""),45708.0)</f>
        <v>45708</v>
      </c>
      <c r="C789" s="3">
        <f>IFERROR(__xludf.DUMMYFUNCTION("""COMPUTED_VALUE"""),89.0)</f>
        <v>89</v>
      </c>
      <c r="D789" s="3" t="str">
        <f>IFERROR(__xludf.DUMMYFUNCTION("""COMPUTED_VALUE"""),"e3903041")</f>
        <v>e3903041</v>
      </c>
      <c r="E789" s="54">
        <f>IFERROR(__xludf.DUMMYFUNCTION("""COMPUTED_VALUE"""),36000.0)</f>
        <v>36000</v>
      </c>
      <c r="F789" s="3" t="str">
        <f>IFERROR(__xludf.DUMMYFUNCTION("""COMPUTED_VALUE"""),"Syrah Colombo")</f>
        <v>Syrah Colombo</v>
      </c>
      <c r="G789" s="3"/>
      <c r="H789" s="56">
        <f>IFERROR(__xludf.DUMMYFUNCTION("""COMPUTED_VALUE"""),278.0)</f>
        <v>278</v>
      </c>
      <c r="I789" s="3"/>
      <c r="J789" s="3"/>
      <c r="K789" s="57">
        <f>IFERROR(__xludf.DUMMYFUNCTION("""COMPUTED_VALUE"""),3.41)</f>
        <v>3.41</v>
      </c>
      <c r="L789" s="54">
        <f>IFERROR(__xludf.DUMMYFUNCTION("""COMPUTED_VALUE"""),25.0)</f>
        <v>25</v>
      </c>
      <c r="M789" s="3">
        <f>IFERROR(__xludf.DUMMYFUNCTION("""COMPUTED_VALUE"""),50.0)</f>
        <v>50</v>
      </c>
      <c r="N789" s="3"/>
      <c r="O789" s="3"/>
      <c r="P789" s="3"/>
      <c r="Q789" s="3"/>
      <c r="R789" s="3"/>
      <c r="S789" s="3"/>
      <c r="T789" s="5"/>
      <c r="U789" s="5">
        <f>IFERROR(__xludf.DUMMYFUNCTION("""COMPUTED_VALUE"""),29.0)</f>
        <v>29</v>
      </c>
      <c r="V789" s="5"/>
      <c r="W789" s="5"/>
    </row>
    <row r="790" ht="15.75" customHeight="1">
      <c r="A790" s="3">
        <f>IFERROR(__xludf.DUMMYFUNCTION("""COMPUTED_VALUE"""),790.0)</f>
        <v>790</v>
      </c>
      <c r="B790" s="53">
        <f>IFERROR(__xludf.DUMMYFUNCTION("""COMPUTED_VALUE"""),45708.0)</f>
        <v>45708</v>
      </c>
      <c r="C790" s="3">
        <f>IFERROR(__xludf.DUMMYFUNCTION("""COMPUTED_VALUE"""),92.0)</f>
        <v>92</v>
      </c>
      <c r="D790" s="3" t="str">
        <f>IFERROR(__xludf.DUMMYFUNCTION("""COMPUTED_VALUE"""),"977cb5a1")</f>
        <v>977cb5a1</v>
      </c>
      <c r="E790" s="54">
        <f>IFERROR(__xludf.DUMMYFUNCTION("""COMPUTED_VALUE"""),39700.0)</f>
        <v>39700</v>
      </c>
      <c r="F790" s="3" t="str">
        <f>IFERROR(__xludf.DUMMYFUNCTION("""COMPUTED_VALUE"""),"Syrah Tempranillo")</f>
        <v>Syrah Tempranillo</v>
      </c>
      <c r="G790" s="3"/>
      <c r="H790" s="56">
        <f>IFERROR(__xludf.DUMMYFUNCTION("""COMPUTED_VALUE"""),368.0)</f>
        <v>368</v>
      </c>
      <c r="I790" s="3"/>
      <c r="J790" s="3"/>
      <c r="K790" s="3"/>
      <c r="L790" s="54">
        <f>IFERROR(__xludf.DUMMYFUNCTION("""COMPUTED_VALUE"""),30.0)</f>
        <v>30</v>
      </c>
      <c r="M790" s="3">
        <f>IFERROR(__xludf.DUMMYFUNCTION("""COMPUTED_VALUE"""),60.0)</f>
        <v>60</v>
      </c>
      <c r="N790" s="3"/>
      <c r="O790" s="3"/>
      <c r="P790" s="3"/>
      <c r="Q790" s="3"/>
      <c r="R790" s="3"/>
      <c r="S790" s="3"/>
      <c r="T790" s="5"/>
      <c r="U790" s="5">
        <f>IFERROR(__xludf.DUMMYFUNCTION("""COMPUTED_VALUE"""),25.0)</f>
        <v>25</v>
      </c>
      <c r="V790" s="5"/>
      <c r="W790" s="5"/>
    </row>
    <row r="791" ht="15.75" customHeight="1">
      <c r="A791" s="3">
        <f>IFERROR(__xludf.DUMMYFUNCTION("""COMPUTED_VALUE"""),791.0)</f>
        <v>791</v>
      </c>
      <c r="B791" s="53">
        <f>IFERROR(__xludf.DUMMYFUNCTION("""COMPUTED_VALUE"""),45708.0)</f>
        <v>45708</v>
      </c>
      <c r="C791" s="3">
        <f>IFERROR(__xludf.DUMMYFUNCTION("""COMPUTED_VALUE"""),104.0)</f>
        <v>104</v>
      </c>
      <c r="D791" s="3" t="str">
        <f>IFERROR(__xludf.DUMMYFUNCTION("""COMPUTED_VALUE"""),"d7af693c")</f>
        <v>d7af693c</v>
      </c>
      <c r="E791" s="54">
        <f>IFERROR(__xludf.DUMMYFUNCTION("""COMPUTED_VALUE"""),29000.0)</f>
        <v>29000</v>
      </c>
      <c r="F791" s="3" t="str">
        <f>IFERROR(__xludf.DUMMYFUNCTION("""COMPUTED_VALUE"""),"Malbec Gota")</f>
        <v>Malbec Gota</v>
      </c>
      <c r="G791" s="55">
        <f>IFERROR(__xludf.DUMMYFUNCTION("""COMPUTED_VALUE"""),12.0)</f>
        <v>12</v>
      </c>
      <c r="H791" s="56">
        <f>IFERROR(__xludf.DUMMYFUNCTION("""COMPUTED_VALUE"""),2.0)</f>
        <v>2</v>
      </c>
      <c r="I791" s="57">
        <f>IFERROR(__xludf.DUMMYFUNCTION("""COMPUTED_VALUE"""),0.55)</f>
        <v>0.55</v>
      </c>
      <c r="J791" s="57">
        <f>IFERROR(__xludf.DUMMYFUNCTION("""COMPUTED_VALUE"""),8.3)</f>
        <v>8.3</v>
      </c>
      <c r="K791" s="57">
        <f>IFERROR(__xludf.DUMMYFUNCTION("""COMPUTED_VALUE"""),3.41)</f>
        <v>3.41</v>
      </c>
      <c r="L791" s="54">
        <f>IFERROR(__xludf.DUMMYFUNCTION("""COMPUTED_VALUE"""),15.0)</f>
        <v>15</v>
      </c>
      <c r="M791" s="3">
        <f>IFERROR(__xludf.DUMMYFUNCTION("""COMPUTED_VALUE"""),90.0)</f>
        <v>90</v>
      </c>
      <c r="N791" s="3"/>
      <c r="O791" s="3"/>
      <c r="P791" s="3"/>
      <c r="Q791" s="3"/>
      <c r="R791" s="3"/>
      <c r="S791" s="3"/>
      <c r="T791" s="5"/>
      <c r="U791" s="5"/>
      <c r="V791" s="5"/>
      <c r="W791" s="5"/>
    </row>
    <row r="792" ht="15.75" customHeight="1">
      <c r="A792" s="3">
        <f>IFERROR(__xludf.DUMMYFUNCTION("""COMPUTED_VALUE"""),792.0)</f>
        <v>792</v>
      </c>
      <c r="B792" s="53">
        <f>IFERROR(__xludf.DUMMYFUNCTION("""COMPUTED_VALUE"""),45707.0)</f>
        <v>45707</v>
      </c>
      <c r="C792" s="3">
        <f>IFERROR(__xludf.DUMMYFUNCTION("""COMPUTED_VALUE"""),103.0)</f>
        <v>103</v>
      </c>
      <c r="D792" s="3" t="str">
        <f>IFERROR(__xludf.DUMMYFUNCTION("""COMPUTED_VALUE"""),"903e1ab8")</f>
        <v>903e1ab8</v>
      </c>
      <c r="E792" s="54">
        <f>IFERROR(__xludf.DUMMYFUNCTION("""COMPUTED_VALUE"""),15000.0)</f>
        <v>15000</v>
      </c>
      <c r="F792" s="3" t="str">
        <f>IFERROR(__xludf.DUMMYFUNCTION("""COMPUTED_VALUE"""),"Aspirant")</f>
        <v>Aspirant</v>
      </c>
      <c r="G792" s="55">
        <f>IFERROR(__xludf.DUMMYFUNCTION("""COMPUTED_VALUE"""),11.3)</f>
        <v>11.3</v>
      </c>
      <c r="H792" s="56">
        <f>IFERROR(__xludf.DUMMYFUNCTION("""COMPUTED_VALUE"""),2.0)</f>
        <v>2</v>
      </c>
      <c r="I792" s="57">
        <f>IFERROR(__xludf.DUMMYFUNCTION("""COMPUTED_VALUE"""),0.4)</f>
        <v>0.4</v>
      </c>
      <c r="J792" s="57">
        <f>IFERROR(__xludf.DUMMYFUNCTION("""COMPUTED_VALUE"""),8.4)</f>
        <v>8.4</v>
      </c>
      <c r="K792" s="57">
        <f>IFERROR(__xludf.DUMMYFUNCTION("""COMPUTED_VALUE"""),3.39)</f>
        <v>3.39</v>
      </c>
      <c r="L792" s="54">
        <f>IFERROR(__xludf.DUMMYFUNCTION("""COMPUTED_VALUE"""),30.0)</f>
        <v>30</v>
      </c>
      <c r="M792" s="3">
        <f>IFERROR(__xludf.DUMMYFUNCTION("""COMPUTED_VALUE"""),56.0)</f>
        <v>56</v>
      </c>
      <c r="N792" s="3"/>
      <c r="O792" s="3"/>
      <c r="P792" s="3"/>
      <c r="Q792" s="3"/>
      <c r="R792" s="3"/>
      <c r="S792" s="3"/>
      <c r="T792" s="5"/>
      <c r="U792" s="5"/>
      <c r="V792" s="5"/>
      <c r="W792" s="5"/>
    </row>
    <row r="793" ht="15.75" customHeight="1">
      <c r="A793" s="3">
        <f>IFERROR(__xludf.DUMMYFUNCTION("""COMPUTED_VALUE"""),793.0)</f>
        <v>793</v>
      </c>
      <c r="B793" s="53">
        <f>IFERROR(__xludf.DUMMYFUNCTION("""COMPUTED_VALUE"""),45707.0)</f>
        <v>45707</v>
      </c>
      <c r="C793" s="3">
        <f>IFERROR(__xludf.DUMMYFUNCTION("""COMPUTED_VALUE"""),102.0)</f>
        <v>102</v>
      </c>
      <c r="D793" s="3" t="str">
        <f>IFERROR(__xludf.DUMMYFUNCTION("""COMPUTED_VALUE"""),"0835b42b")</f>
        <v>0835b42b</v>
      </c>
      <c r="E793" s="54">
        <f>IFERROR(__xludf.DUMMYFUNCTION("""COMPUTED_VALUE"""),30000.0)</f>
        <v>30000</v>
      </c>
      <c r="F793" s="3" t="str">
        <f>IFERROR(__xludf.DUMMYFUNCTION("""COMPUTED_VALUE"""),"Aspirant")</f>
        <v>Aspirant</v>
      </c>
      <c r="G793" s="55">
        <f>IFERROR(__xludf.DUMMYFUNCTION("""COMPUTED_VALUE"""),11.4)</f>
        <v>11.4</v>
      </c>
      <c r="H793" s="56">
        <f>IFERROR(__xludf.DUMMYFUNCTION("""COMPUTED_VALUE"""),2.0)</f>
        <v>2</v>
      </c>
      <c r="I793" s="57">
        <f>IFERROR(__xludf.DUMMYFUNCTION("""COMPUTED_VALUE"""),0.45)</f>
        <v>0.45</v>
      </c>
      <c r="J793" s="57">
        <f>IFERROR(__xludf.DUMMYFUNCTION("""COMPUTED_VALUE"""),8.4)</f>
        <v>8.4</v>
      </c>
      <c r="K793" s="57">
        <f>IFERROR(__xludf.DUMMYFUNCTION("""COMPUTED_VALUE"""),3.37)</f>
        <v>3.37</v>
      </c>
      <c r="L793" s="54">
        <f>IFERROR(__xludf.DUMMYFUNCTION("""COMPUTED_VALUE"""),25.0)</f>
        <v>25</v>
      </c>
      <c r="M793" s="3">
        <f>IFERROR(__xludf.DUMMYFUNCTION("""COMPUTED_VALUE"""),50.0)</f>
        <v>50</v>
      </c>
      <c r="N793" s="3"/>
      <c r="O793" s="3"/>
      <c r="P793" s="3"/>
      <c r="Q793" s="3"/>
      <c r="R793" s="3"/>
      <c r="S793" s="3"/>
      <c r="T793" s="5"/>
      <c r="U793" s="5"/>
      <c r="V793" s="5"/>
      <c r="W793" s="5"/>
    </row>
    <row r="794" ht="15.75" customHeight="1">
      <c r="A794" s="3">
        <f>IFERROR(__xludf.DUMMYFUNCTION("""COMPUTED_VALUE"""),794.0)</f>
        <v>794</v>
      </c>
      <c r="B794" s="53">
        <f>IFERROR(__xludf.DUMMYFUNCTION("""COMPUTED_VALUE"""),45707.0)</f>
        <v>45707</v>
      </c>
      <c r="C794" s="3">
        <f>IFERROR(__xludf.DUMMYFUNCTION("""COMPUTED_VALUE"""),88.0)</f>
        <v>88</v>
      </c>
      <c r="D794" s="3"/>
      <c r="E794" s="3"/>
      <c r="F794" s="3"/>
      <c r="G794" s="3"/>
      <c r="H794" s="3"/>
      <c r="I794" s="3"/>
      <c r="J794" s="3"/>
      <c r="K794" s="57">
        <f>IFERROR(__xludf.DUMMYFUNCTION("""COMPUTED_VALUE"""),3.49)</f>
        <v>3.49</v>
      </c>
      <c r="L794" s="54">
        <f>IFERROR(__xludf.DUMMYFUNCTION("""COMPUTED_VALUE"""),30.0)</f>
        <v>30</v>
      </c>
      <c r="M794" s="3">
        <f>IFERROR(__xludf.DUMMYFUNCTION("""COMPUTED_VALUE"""),72.0)</f>
        <v>72</v>
      </c>
      <c r="N794" s="3"/>
      <c r="O794" s="3"/>
      <c r="P794" s="3"/>
      <c r="Q794" s="3"/>
      <c r="R794" s="3"/>
      <c r="S794" s="3"/>
      <c r="T794" s="5"/>
      <c r="U794" s="5">
        <f>IFERROR(__xludf.DUMMYFUNCTION("""COMPUTED_VALUE"""),24.2)</f>
        <v>24.2</v>
      </c>
      <c r="V794" s="5"/>
      <c r="W794" s="5"/>
    </row>
    <row r="795" ht="15.75" customHeight="1">
      <c r="A795" s="3">
        <f>IFERROR(__xludf.DUMMYFUNCTION("""COMPUTED_VALUE"""),795.0)</f>
        <v>795</v>
      </c>
      <c r="B795" s="53">
        <f>IFERROR(__xludf.DUMMYFUNCTION("""COMPUTED_VALUE"""),45707.0)</f>
        <v>45707</v>
      </c>
      <c r="C795" s="3">
        <f>IFERROR(__xludf.DUMMYFUNCTION("""COMPUTED_VALUE"""),32.0)</f>
        <v>32</v>
      </c>
      <c r="D795" s="3" t="str">
        <f>IFERROR(__xludf.DUMMYFUNCTION("""COMPUTED_VALUE"""),"a1e13111")</f>
        <v>a1e13111</v>
      </c>
      <c r="E795" s="54">
        <f>IFERROR(__xludf.DUMMYFUNCTION("""COMPUTED_VALUE"""),36300.0)</f>
        <v>36300</v>
      </c>
      <c r="F795" s="3" t="str">
        <f>IFERROR(__xludf.DUMMYFUNCTION("""COMPUTED_VALUE"""),"Chardonnay (Filt)")</f>
        <v>Chardonnay (Filt)</v>
      </c>
      <c r="G795" s="3"/>
      <c r="H795" s="3"/>
      <c r="I795" s="3"/>
      <c r="J795" s="57">
        <f>IFERROR(__xludf.DUMMYFUNCTION("""COMPUTED_VALUE"""),6.5)</f>
        <v>6.5</v>
      </c>
      <c r="K795" s="3"/>
      <c r="L795" s="54">
        <f>IFERROR(__xludf.DUMMYFUNCTION("""COMPUTED_VALUE"""),45.0)</f>
        <v>45</v>
      </c>
      <c r="M795" s="3">
        <f>IFERROR(__xludf.DUMMYFUNCTION("""COMPUTED_VALUE"""),115.0)</f>
        <v>115</v>
      </c>
      <c r="N795" s="3"/>
      <c r="O795" s="3"/>
      <c r="P795" s="3"/>
      <c r="Q795" s="3"/>
      <c r="R795" s="3"/>
      <c r="S795" s="3"/>
      <c r="T795" s="5"/>
      <c r="U795" s="5"/>
      <c r="V795" s="5"/>
      <c r="W795" s="5"/>
    </row>
    <row r="796" ht="15.75" customHeight="1">
      <c r="A796" s="3">
        <f>IFERROR(__xludf.DUMMYFUNCTION("""COMPUTED_VALUE"""),796.0)</f>
        <v>796</v>
      </c>
      <c r="B796" s="53">
        <f>IFERROR(__xludf.DUMMYFUNCTION("""COMPUTED_VALUE"""),45707.0)</f>
        <v>45707</v>
      </c>
      <c r="C796" s="3">
        <f>IFERROR(__xludf.DUMMYFUNCTION("""COMPUTED_VALUE"""),33.0)</f>
        <v>33</v>
      </c>
      <c r="D796" s="3" t="str">
        <f>IFERROR(__xludf.DUMMYFUNCTION("""COMPUTED_VALUE"""),"7def2139")</f>
        <v>7def2139</v>
      </c>
      <c r="E796" s="54">
        <f>IFERROR(__xludf.DUMMYFUNCTION("""COMPUTED_VALUE"""),25300.0)</f>
        <v>25300</v>
      </c>
      <c r="F796" s="3" t="str">
        <f>IFERROR(__xludf.DUMMYFUNCTION("""COMPUTED_VALUE"""),"Chardonnay")</f>
        <v>Chardonnay</v>
      </c>
      <c r="G796" s="3"/>
      <c r="H796" s="3"/>
      <c r="I796" s="3"/>
      <c r="J796" s="57">
        <f>IFERROR(__xludf.DUMMYFUNCTION("""COMPUTED_VALUE"""),7.2)</f>
        <v>7.2</v>
      </c>
      <c r="K796" s="3"/>
      <c r="L796" s="54">
        <f>IFERROR(__xludf.DUMMYFUNCTION("""COMPUTED_VALUE"""),29.0)</f>
        <v>29</v>
      </c>
      <c r="M796" s="3">
        <f>IFERROR(__xludf.DUMMYFUNCTION("""COMPUTED_VALUE"""),82.0)</f>
        <v>82</v>
      </c>
      <c r="N796" s="3"/>
      <c r="O796" s="3"/>
      <c r="P796" s="3"/>
      <c r="Q796" s="3"/>
      <c r="R796" s="3"/>
      <c r="S796" s="3"/>
      <c r="T796" s="5"/>
      <c r="U796" s="5"/>
      <c r="V796" s="5"/>
      <c r="W796" s="5"/>
    </row>
    <row r="797" ht="15.75" customHeight="1">
      <c r="A797" s="3">
        <f>IFERROR(__xludf.DUMMYFUNCTION("""COMPUTED_VALUE"""),797.0)</f>
        <v>797</v>
      </c>
      <c r="B797" s="53">
        <f>IFERROR(__xludf.DUMMYFUNCTION("""COMPUTED_VALUE"""),45707.0)</f>
        <v>45707</v>
      </c>
      <c r="C797" s="3">
        <f>IFERROR(__xludf.DUMMYFUNCTION("""COMPUTED_VALUE"""),31.0)</f>
        <v>31</v>
      </c>
      <c r="D797" s="3" t="str">
        <f>IFERROR(__xludf.DUMMYFUNCTION("""COMPUTED_VALUE"""),"8a7074cf")</f>
        <v>8a7074cf</v>
      </c>
      <c r="E797" s="54">
        <f>IFERROR(__xludf.DUMMYFUNCTION("""COMPUTED_VALUE"""),25700.0)</f>
        <v>25700</v>
      </c>
      <c r="F797" s="3" t="str">
        <f>IFERROR(__xludf.DUMMYFUNCTION("""COMPUTED_VALUE"""),"Chardonnay")</f>
        <v>Chardonnay</v>
      </c>
      <c r="G797" s="3"/>
      <c r="H797" s="3"/>
      <c r="I797" s="3"/>
      <c r="J797" s="57">
        <f>IFERROR(__xludf.DUMMYFUNCTION("""COMPUTED_VALUE"""),7.3)</f>
        <v>7.3</v>
      </c>
      <c r="K797" s="3"/>
      <c r="L797" s="54">
        <f>IFERROR(__xludf.DUMMYFUNCTION("""COMPUTED_VALUE"""),28.0)</f>
        <v>28</v>
      </c>
      <c r="M797" s="3">
        <f>IFERROR(__xludf.DUMMYFUNCTION("""COMPUTED_VALUE"""),90.0)</f>
        <v>90</v>
      </c>
      <c r="N797" s="3"/>
      <c r="O797" s="3"/>
      <c r="P797" s="3"/>
      <c r="Q797" s="3"/>
      <c r="R797" s="3"/>
      <c r="S797" s="3"/>
      <c r="T797" s="5"/>
      <c r="U797" s="5"/>
      <c r="V797" s="5"/>
      <c r="W797" s="5"/>
    </row>
    <row r="798" ht="15.75" customHeight="1">
      <c r="A798" s="3">
        <f>IFERROR(__xludf.DUMMYFUNCTION("""COMPUTED_VALUE"""),798.0)</f>
        <v>798</v>
      </c>
      <c r="B798" s="53">
        <f>IFERROR(__xludf.DUMMYFUNCTION("""COMPUTED_VALUE"""),45707.0)</f>
        <v>45707</v>
      </c>
      <c r="C798" s="3">
        <f>IFERROR(__xludf.DUMMYFUNCTION("""COMPUTED_VALUE"""),40.0)</f>
        <v>40</v>
      </c>
      <c r="D798" s="3" t="str">
        <f>IFERROR(__xludf.DUMMYFUNCTION("""COMPUTED_VALUE"""),"7c5390c8")</f>
        <v>7c5390c8</v>
      </c>
      <c r="E798" s="54">
        <f>IFERROR(__xludf.DUMMYFUNCTION("""COMPUTED_VALUE"""),24000.0)</f>
        <v>24000</v>
      </c>
      <c r="F798" s="3" t="str">
        <f>IFERROR(__xludf.DUMMYFUNCTION("""COMPUTED_VALUE"""),"Chardonnay")</f>
        <v>Chardonnay</v>
      </c>
      <c r="G798" s="3"/>
      <c r="H798" s="3"/>
      <c r="I798" s="3"/>
      <c r="J798" s="57">
        <f>IFERROR(__xludf.DUMMYFUNCTION("""COMPUTED_VALUE"""),7.5)</f>
        <v>7.5</v>
      </c>
      <c r="K798" s="3"/>
      <c r="L798" s="54">
        <f>IFERROR(__xludf.DUMMYFUNCTION("""COMPUTED_VALUE"""),28.0)</f>
        <v>28</v>
      </c>
      <c r="M798" s="3">
        <f>IFERROR(__xludf.DUMMYFUNCTION("""COMPUTED_VALUE"""),89.0)</f>
        <v>89</v>
      </c>
      <c r="N798" s="3"/>
      <c r="O798" s="3"/>
      <c r="P798" s="3"/>
      <c r="Q798" s="3"/>
      <c r="R798" s="3"/>
      <c r="S798" s="3"/>
      <c r="T798" s="5"/>
      <c r="U798" s="5"/>
      <c r="V798" s="5"/>
      <c r="W798" s="5"/>
    </row>
    <row r="799" ht="15.75" customHeight="1">
      <c r="A799" s="3">
        <f>IFERROR(__xludf.DUMMYFUNCTION("""COMPUTED_VALUE"""),799.0)</f>
        <v>799</v>
      </c>
      <c r="B799" s="53">
        <f>IFERROR(__xludf.DUMMYFUNCTION("""COMPUTED_VALUE"""),45707.0)</f>
        <v>45707</v>
      </c>
      <c r="C799" s="3">
        <f>IFERROR(__xludf.DUMMYFUNCTION("""COMPUTED_VALUE"""),77.0)</f>
        <v>77</v>
      </c>
      <c r="D799" s="3" t="str">
        <f>IFERROR(__xludf.DUMMYFUNCTION("""COMPUTED_VALUE"""),"cedc0dc0")</f>
        <v>cedc0dc0</v>
      </c>
      <c r="E799" s="54">
        <f>IFERROR(__xludf.DUMMYFUNCTION("""COMPUTED_VALUE"""),25000.0)</f>
        <v>25000</v>
      </c>
      <c r="F799" s="3" t="str">
        <f>IFERROR(__xludf.DUMMYFUNCTION("""COMPUTED_VALUE"""),"Chardonnay")</f>
        <v>Chardonnay</v>
      </c>
      <c r="G799" s="3"/>
      <c r="H799" s="56">
        <f>IFERROR(__xludf.DUMMYFUNCTION("""COMPUTED_VALUE"""),2.0)</f>
        <v>2</v>
      </c>
      <c r="I799" s="3"/>
      <c r="J799" s="57">
        <f>IFERROR(__xludf.DUMMYFUNCTION("""COMPUTED_VALUE"""),8.0)</f>
        <v>8</v>
      </c>
      <c r="K799" s="57">
        <f>IFERROR(__xludf.DUMMYFUNCTION("""COMPUTED_VALUE"""),3.2)</f>
        <v>3.2</v>
      </c>
      <c r="L799" s="3"/>
      <c r="M799" s="3"/>
      <c r="N799" s="3"/>
      <c r="O799" s="3"/>
      <c r="P799" s="3"/>
      <c r="Q799" s="3"/>
      <c r="R799" s="3"/>
      <c r="S799" s="3"/>
      <c r="T799" s="5"/>
      <c r="U799" s="5"/>
      <c r="V799" s="5"/>
      <c r="W799" s="5"/>
    </row>
    <row r="800" ht="15.75" customHeight="1">
      <c r="A800" s="3">
        <f>IFERROR(__xludf.DUMMYFUNCTION("""COMPUTED_VALUE"""),800.0)</f>
        <v>800</v>
      </c>
      <c r="B800" s="53">
        <f>IFERROR(__xludf.DUMMYFUNCTION("""COMPUTED_VALUE"""),45707.0)</f>
        <v>45707</v>
      </c>
      <c r="C800" s="3">
        <f>IFERROR(__xludf.DUMMYFUNCTION("""COMPUTED_VALUE"""),78.0)</f>
        <v>78</v>
      </c>
      <c r="D800" s="3" t="str">
        <f>IFERROR(__xludf.DUMMYFUNCTION("""COMPUTED_VALUE"""),"7e515c96")</f>
        <v>7e515c96</v>
      </c>
      <c r="E800" s="54">
        <f>IFERROR(__xludf.DUMMYFUNCTION("""COMPUTED_VALUE"""),24000.0)</f>
        <v>24000</v>
      </c>
      <c r="F800" s="3" t="str">
        <f>IFERROR(__xludf.DUMMYFUNCTION("""COMPUTED_VALUE"""),"Chardonnay")</f>
        <v>Chardonnay</v>
      </c>
      <c r="G800" s="3"/>
      <c r="H800" s="3"/>
      <c r="I800" s="3"/>
      <c r="J800" s="57">
        <f>IFERROR(__xludf.DUMMYFUNCTION("""COMPUTED_VALUE"""),6.5)</f>
        <v>6.5</v>
      </c>
      <c r="K800" s="57">
        <f>IFERROR(__xludf.DUMMYFUNCTION("""COMPUTED_VALUE"""),3.1)</f>
        <v>3.1</v>
      </c>
      <c r="L800" s="3"/>
      <c r="M800" s="3"/>
      <c r="N800" s="3"/>
      <c r="O800" s="3"/>
      <c r="P800" s="3"/>
      <c r="Q800" s="3"/>
      <c r="R800" s="3"/>
      <c r="S800" s="3"/>
      <c r="T800" s="5"/>
      <c r="U800" s="5"/>
      <c r="V800" s="5"/>
      <c r="W800" s="5"/>
    </row>
    <row r="801" ht="15.75" customHeight="1">
      <c r="A801" s="3">
        <f>IFERROR(__xludf.DUMMYFUNCTION("""COMPUTED_VALUE"""),801.0)</f>
        <v>801</v>
      </c>
      <c r="B801" s="53">
        <f>IFERROR(__xludf.DUMMYFUNCTION("""COMPUTED_VALUE"""),45707.0)</f>
        <v>45707</v>
      </c>
      <c r="C801" s="3">
        <f>IFERROR(__xludf.DUMMYFUNCTION("""COMPUTED_VALUE"""),79.0)</f>
        <v>79</v>
      </c>
      <c r="D801" s="3" t="str">
        <f>IFERROR(__xludf.DUMMYFUNCTION("""COMPUTED_VALUE"""),"dae2c109")</f>
        <v>dae2c109</v>
      </c>
      <c r="E801" s="54">
        <f>IFERROR(__xludf.DUMMYFUNCTION("""COMPUTED_VALUE"""),24000.0)</f>
        <v>24000</v>
      </c>
      <c r="F801" s="3" t="str">
        <f>IFERROR(__xludf.DUMMYFUNCTION("""COMPUTED_VALUE"""),"Chardonnay")</f>
        <v>Chardonnay</v>
      </c>
      <c r="G801" s="3"/>
      <c r="H801" s="3"/>
      <c r="I801" s="3"/>
      <c r="J801" s="57">
        <f>IFERROR(__xludf.DUMMYFUNCTION("""COMPUTED_VALUE"""),7.05)</f>
        <v>7.05</v>
      </c>
      <c r="K801" s="57">
        <f>IFERROR(__xludf.DUMMYFUNCTION("""COMPUTED_VALUE"""),3.05)</f>
        <v>3.05</v>
      </c>
      <c r="L801" s="3"/>
      <c r="M801" s="3"/>
      <c r="N801" s="3"/>
      <c r="O801" s="3"/>
      <c r="P801" s="3"/>
      <c r="Q801" s="3"/>
      <c r="R801" s="3"/>
      <c r="S801" s="3"/>
      <c r="T801" s="5"/>
      <c r="U801" s="5"/>
      <c r="V801" s="5"/>
      <c r="W801" s="5"/>
    </row>
    <row r="802" ht="15.75" customHeight="1">
      <c r="A802" s="3">
        <f>IFERROR(__xludf.DUMMYFUNCTION("""COMPUTED_VALUE"""),802.0)</f>
        <v>802</v>
      </c>
      <c r="B802" s="53">
        <f>IFERROR(__xludf.DUMMYFUNCTION("""COMPUTED_VALUE"""),45707.0)</f>
        <v>45707</v>
      </c>
      <c r="C802" s="3">
        <f>IFERROR(__xludf.DUMMYFUNCTION("""COMPUTED_VALUE"""),81.0)</f>
        <v>81</v>
      </c>
      <c r="D802" s="3" t="str">
        <f>IFERROR(__xludf.DUMMYFUNCTION("""COMPUTED_VALUE"""),"861200f5")</f>
        <v>861200f5</v>
      </c>
      <c r="E802" s="54">
        <f>IFERROR(__xludf.DUMMYFUNCTION("""COMPUTED_VALUE"""),24000.0)</f>
        <v>24000</v>
      </c>
      <c r="F802" s="3" t="str">
        <f>IFERROR(__xludf.DUMMYFUNCTION("""COMPUTED_VALUE"""),"Chardonnay")</f>
        <v>Chardonnay</v>
      </c>
      <c r="G802" s="3"/>
      <c r="H802" s="3"/>
      <c r="I802" s="3"/>
      <c r="J802" s="57">
        <f>IFERROR(__xludf.DUMMYFUNCTION("""COMPUTED_VALUE"""),6.9)</f>
        <v>6.9</v>
      </c>
      <c r="K802" s="57">
        <f>IFERROR(__xludf.DUMMYFUNCTION("""COMPUTED_VALUE"""),3.07)</f>
        <v>3.07</v>
      </c>
      <c r="L802" s="3"/>
      <c r="M802" s="3"/>
      <c r="N802" s="3"/>
      <c r="O802" s="3"/>
      <c r="P802" s="3"/>
      <c r="Q802" s="3"/>
      <c r="R802" s="3"/>
      <c r="S802" s="3"/>
      <c r="T802" s="5"/>
      <c r="U802" s="5"/>
      <c r="V802" s="5"/>
      <c r="W802" s="5"/>
    </row>
    <row r="803" ht="15.75" customHeight="1">
      <c r="A803" s="3">
        <f>IFERROR(__xludf.DUMMYFUNCTION("""COMPUTED_VALUE"""),803.0)</f>
        <v>803</v>
      </c>
      <c r="B803" s="53">
        <f>IFERROR(__xludf.DUMMYFUNCTION("""COMPUTED_VALUE"""),45707.0)</f>
        <v>45707</v>
      </c>
      <c r="C803" s="3">
        <f>IFERROR(__xludf.DUMMYFUNCTION("""COMPUTED_VALUE"""),82.0)</f>
        <v>82</v>
      </c>
      <c r="D803" s="3" t="str">
        <f>IFERROR(__xludf.DUMMYFUNCTION("""COMPUTED_VALUE"""),"c3f4cae7")</f>
        <v>c3f4cae7</v>
      </c>
      <c r="E803" s="54">
        <f>IFERROR(__xludf.DUMMYFUNCTION("""COMPUTED_VALUE"""),28000.0)</f>
        <v>28000</v>
      </c>
      <c r="F803" s="3" t="str">
        <f>IFERROR(__xludf.DUMMYFUNCTION("""COMPUTED_VALUE"""),"Chardonnay")</f>
        <v>Chardonnay</v>
      </c>
      <c r="G803" s="3"/>
      <c r="H803" s="3"/>
      <c r="I803" s="3"/>
      <c r="J803" s="57">
        <f>IFERROR(__xludf.DUMMYFUNCTION("""COMPUTED_VALUE"""),6.7)</f>
        <v>6.7</v>
      </c>
      <c r="K803" s="57">
        <f>IFERROR(__xludf.DUMMYFUNCTION("""COMPUTED_VALUE"""),3.01)</f>
        <v>3.01</v>
      </c>
      <c r="L803" s="3"/>
      <c r="M803" s="3"/>
      <c r="N803" s="3"/>
      <c r="O803" s="3"/>
      <c r="P803" s="3"/>
      <c r="Q803" s="3"/>
      <c r="R803" s="3"/>
      <c r="S803" s="3"/>
      <c r="T803" s="5"/>
      <c r="U803" s="5"/>
      <c r="V803" s="5"/>
      <c r="W803" s="5"/>
    </row>
    <row r="804" ht="15.75" customHeight="1">
      <c r="A804" s="3">
        <f>IFERROR(__xludf.DUMMYFUNCTION("""COMPUTED_VALUE"""),804.0)</f>
        <v>804</v>
      </c>
      <c r="B804" s="53">
        <f>IFERROR(__xludf.DUMMYFUNCTION("""COMPUTED_VALUE"""),45707.0)</f>
        <v>45707</v>
      </c>
      <c r="C804" s="3">
        <f>IFERROR(__xludf.DUMMYFUNCTION("""COMPUTED_VALUE"""),86.0)</f>
        <v>86</v>
      </c>
      <c r="D804" s="3" t="str">
        <f>IFERROR(__xludf.DUMMYFUNCTION("""COMPUTED_VALUE"""),"3b2a1e70")</f>
        <v>3b2a1e70</v>
      </c>
      <c r="E804" s="54">
        <f>IFERROR(__xludf.DUMMYFUNCTION("""COMPUTED_VALUE"""),47200.0)</f>
        <v>47200</v>
      </c>
      <c r="F804" s="3" t="str">
        <f>IFERROR(__xludf.DUMMYFUNCTION("""COMPUTED_VALUE"""),"Syrah Tempranillo s/Asp 2da")</f>
        <v>Syrah Tempranillo s/Asp 2da</v>
      </c>
      <c r="G804" s="3"/>
      <c r="H804" s="56">
        <f>IFERROR(__xludf.DUMMYFUNCTION("""COMPUTED_VALUE"""),2.0)</f>
        <v>2</v>
      </c>
      <c r="I804" s="57">
        <f>IFERROR(__xludf.DUMMYFUNCTION("""COMPUTED_VALUE"""),0.51)</f>
        <v>0.51</v>
      </c>
      <c r="J804" s="57">
        <f>IFERROR(__xludf.DUMMYFUNCTION("""COMPUTED_VALUE"""),7.0)</f>
        <v>7</v>
      </c>
      <c r="K804" s="57">
        <f>IFERROR(__xludf.DUMMYFUNCTION("""COMPUTED_VALUE"""),3.57)</f>
        <v>3.57</v>
      </c>
      <c r="L804" s="3"/>
      <c r="M804" s="3"/>
      <c r="N804" s="3"/>
      <c r="O804" s="3"/>
      <c r="P804" s="3"/>
      <c r="Q804" s="3"/>
      <c r="R804" s="3"/>
      <c r="S804" s="3"/>
      <c r="T804" s="5"/>
      <c r="U804" s="5"/>
      <c r="V804" s="5"/>
      <c r="W804" s="5"/>
    </row>
    <row r="805" ht="15.75" customHeight="1">
      <c r="A805" s="3">
        <f>IFERROR(__xludf.DUMMYFUNCTION("""COMPUTED_VALUE"""),805.0)</f>
        <v>805</v>
      </c>
      <c r="B805" s="53">
        <f>IFERROR(__xludf.DUMMYFUNCTION("""COMPUTED_VALUE"""),45707.0)</f>
        <v>45707</v>
      </c>
      <c r="C805" s="3">
        <f>IFERROR(__xludf.DUMMYFUNCTION("""COMPUTED_VALUE"""),84.0)</f>
        <v>84</v>
      </c>
      <c r="D805" s="3" t="str">
        <f>IFERROR(__xludf.DUMMYFUNCTION("""COMPUTED_VALUE"""),"7082548e")</f>
        <v>7082548e</v>
      </c>
      <c r="E805" s="54">
        <f>IFERROR(__xludf.DUMMYFUNCTION("""COMPUTED_VALUE"""),30000.0)</f>
        <v>30000</v>
      </c>
      <c r="F805" s="3" t="str">
        <f>IFERROR(__xludf.DUMMYFUNCTION("""COMPUTED_VALUE"""),"Merlot s/Asp")</f>
        <v>Merlot s/Asp</v>
      </c>
      <c r="G805" s="3"/>
      <c r="H805" s="56">
        <f>IFERROR(__xludf.DUMMYFUNCTION("""COMPUTED_VALUE"""),2.0)</f>
        <v>2</v>
      </c>
      <c r="I805" s="57">
        <f>IFERROR(__xludf.DUMMYFUNCTION("""COMPUTED_VALUE"""),0.45)</f>
        <v>0.45</v>
      </c>
      <c r="J805" s="57">
        <f>IFERROR(__xludf.DUMMYFUNCTION("""COMPUTED_VALUE"""),7.2)</f>
        <v>7.2</v>
      </c>
      <c r="K805" s="57">
        <f>IFERROR(__xludf.DUMMYFUNCTION("""COMPUTED_VALUE"""),3.45)</f>
        <v>3.45</v>
      </c>
      <c r="L805" s="3"/>
      <c r="M805" s="3"/>
      <c r="N805" s="3"/>
      <c r="O805" s="3"/>
      <c r="P805" s="3"/>
      <c r="Q805" s="3"/>
      <c r="R805" s="3"/>
      <c r="S805" s="3"/>
      <c r="T805" s="5"/>
      <c r="U805" s="5"/>
      <c r="V805" s="5"/>
      <c r="W805" s="5"/>
    </row>
    <row r="806" ht="15.75" customHeight="1">
      <c r="A806" s="3">
        <f>IFERROR(__xludf.DUMMYFUNCTION("""COMPUTED_VALUE"""),806.0)</f>
        <v>806</v>
      </c>
      <c r="B806" s="53">
        <f>IFERROR(__xludf.DUMMYFUNCTION("""COMPUTED_VALUE"""),45707.0)</f>
        <v>45707</v>
      </c>
      <c r="C806" s="3">
        <f>IFERROR(__xludf.DUMMYFUNCTION("""COMPUTED_VALUE"""),80.0)</f>
        <v>80</v>
      </c>
      <c r="D806" s="3" t="str">
        <f>IFERROR(__xludf.DUMMYFUNCTION("""COMPUTED_VALUE"""),"d6272af5")</f>
        <v>d6272af5</v>
      </c>
      <c r="E806" s="54">
        <f>IFERROR(__xludf.DUMMYFUNCTION("""COMPUTED_VALUE"""),22000.0)</f>
        <v>22000</v>
      </c>
      <c r="F806" s="3" t="str">
        <f>IFERROR(__xludf.DUMMYFUNCTION("""COMPUTED_VALUE"""),"Merlot s/ Asp")</f>
        <v>Merlot s/ Asp</v>
      </c>
      <c r="G806" s="3"/>
      <c r="H806" s="56">
        <f>IFERROR(__xludf.DUMMYFUNCTION("""COMPUTED_VALUE"""),15.0)</f>
        <v>15</v>
      </c>
      <c r="I806" s="57">
        <f>IFERROR(__xludf.DUMMYFUNCTION("""COMPUTED_VALUE"""),0.52)</f>
        <v>0.52</v>
      </c>
      <c r="J806" s="57">
        <f>IFERROR(__xludf.DUMMYFUNCTION("""COMPUTED_VALUE"""),6.9)</f>
        <v>6.9</v>
      </c>
      <c r="K806" s="3"/>
      <c r="L806" s="3"/>
      <c r="M806" s="3"/>
      <c r="N806" s="3"/>
      <c r="O806" s="3"/>
      <c r="P806" s="3"/>
      <c r="Q806" s="3"/>
      <c r="R806" s="3"/>
      <c r="S806" s="3"/>
      <c r="T806" s="5"/>
      <c r="U806" s="5"/>
      <c r="V806" s="5"/>
      <c r="W806" s="5"/>
    </row>
    <row r="807" ht="15.75" customHeight="1">
      <c r="A807" s="3">
        <f>IFERROR(__xludf.DUMMYFUNCTION("""COMPUTED_VALUE"""),807.0)</f>
        <v>807</v>
      </c>
      <c r="B807" s="53">
        <f>IFERROR(__xludf.DUMMYFUNCTION("""COMPUTED_VALUE"""),45707.0)</f>
        <v>45707</v>
      </c>
      <c r="C807" s="3">
        <f>IFERROR(__xludf.DUMMYFUNCTION("""COMPUTED_VALUE"""),85.0)</f>
        <v>85</v>
      </c>
      <c r="D807" s="3" t="str">
        <f>IFERROR(__xludf.DUMMYFUNCTION("""COMPUTED_VALUE"""),"f8624f14")</f>
        <v>f8624f14</v>
      </c>
      <c r="E807" s="54">
        <f>IFERROR(__xludf.DUMMYFUNCTION("""COMPUTED_VALUE"""),28000.0)</f>
        <v>28000</v>
      </c>
      <c r="F807" s="3" t="str">
        <f>IFERROR(__xludf.DUMMYFUNCTION("""COMPUTED_VALUE"""),"Merlot s/Asp")</f>
        <v>Merlot s/Asp</v>
      </c>
      <c r="G807" s="3"/>
      <c r="H807" s="3"/>
      <c r="I807" s="57">
        <f>IFERROR(__xludf.DUMMYFUNCTION("""COMPUTED_VALUE"""),0.48)</f>
        <v>0.48</v>
      </c>
      <c r="J807" s="57">
        <f>IFERROR(__xludf.DUMMYFUNCTION("""COMPUTED_VALUE"""),7.5)</f>
        <v>7.5</v>
      </c>
      <c r="K807" s="57">
        <f>IFERROR(__xludf.DUMMYFUNCTION("""COMPUTED_VALUE"""),3.43)</f>
        <v>3.43</v>
      </c>
      <c r="L807" s="3"/>
      <c r="M807" s="3"/>
      <c r="N807" s="3"/>
      <c r="O807" s="3"/>
      <c r="P807" s="3"/>
      <c r="Q807" s="3"/>
      <c r="R807" s="3"/>
      <c r="S807" s="3"/>
      <c r="T807" s="5"/>
      <c r="U807" s="5"/>
      <c r="V807" s="5"/>
      <c r="W807" s="5"/>
    </row>
    <row r="808" ht="15.75" customHeight="1">
      <c r="A808" s="3">
        <f>IFERROR(__xludf.DUMMYFUNCTION("""COMPUTED_VALUE"""),808.0)</f>
        <v>808</v>
      </c>
      <c r="B808" s="53">
        <f>IFERROR(__xludf.DUMMYFUNCTION("""COMPUTED_VALUE"""),45707.0)</f>
        <v>45707</v>
      </c>
      <c r="C808" s="3">
        <f>IFERROR(__xludf.DUMMYFUNCTION("""COMPUTED_VALUE"""),89.0)</f>
        <v>89</v>
      </c>
      <c r="D808" s="3" t="str">
        <f>IFERROR(__xludf.DUMMYFUNCTION("""COMPUTED_VALUE"""),"e3903041")</f>
        <v>e3903041</v>
      </c>
      <c r="E808" s="54">
        <f>IFERROR(__xludf.DUMMYFUNCTION("""COMPUTED_VALUE"""),36000.0)</f>
        <v>36000</v>
      </c>
      <c r="F808" s="3" t="str">
        <f>IFERROR(__xludf.DUMMYFUNCTION("""COMPUTED_VALUE"""),"Syrah Colombo")</f>
        <v>Syrah Colombo</v>
      </c>
      <c r="G808" s="55">
        <f>IFERROR(__xludf.DUMMYFUNCTION("""COMPUTED_VALUE"""),12.0)</f>
        <v>12</v>
      </c>
      <c r="H808" s="56">
        <f>IFERROR(__xludf.DUMMYFUNCTION("""COMPUTED_VALUE"""),42.0)</f>
        <v>42</v>
      </c>
      <c r="I808" s="3"/>
      <c r="J808" s="3"/>
      <c r="K808" s="57">
        <f>IFERROR(__xludf.DUMMYFUNCTION("""COMPUTED_VALUE"""),3.45)</f>
        <v>3.45</v>
      </c>
      <c r="L808" s="3"/>
      <c r="M808" s="3"/>
      <c r="N808" s="3"/>
      <c r="O808" s="3"/>
      <c r="P808" s="3"/>
      <c r="Q808" s="3"/>
      <c r="R808" s="3"/>
      <c r="S808" s="3"/>
      <c r="T808" s="5"/>
      <c r="U808" s="5"/>
      <c r="V808" s="5"/>
      <c r="W808" s="5"/>
    </row>
    <row r="809" ht="15.75" customHeight="1">
      <c r="A809" s="3">
        <f>IFERROR(__xludf.DUMMYFUNCTION("""COMPUTED_VALUE"""),809.0)</f>
        <v>809</v>
      </c>
      <c r="B809" s="53">
        <f>IFERROR(__xludf.DUMMYFUNCTION("""COMPUTED_VALUE"""),45707.0)</f>
        <v>45707</v>
      </c>
      <c r="C809" s="3">
        <f>IFERROR(__xludf.DUMMYFUNCTION("""COMPUTED_VALUE"""),92.0)</f>
        <v>92</v>
      </c>
      <c r="D809" s="3" t="str">
        <f>IFERROR(__xludf.DUMMYFUNCTION("""COMPUTED_VALUE"""),"977cb5a1")</f>
        <v>977cb5a1</v>
      </c>
      <c r="E809" s="54">
        <f>IFERROR(__xludf.DUMMYFUNCTION("""COMPUTED_VALUE"""),39700.0)</f>
        <v>39700</v>
      </c>
      <c r="F809" s="3" t="str">
        <f>IFERROR(__xludf.DUMMYFUNCTION("""COMPUTED_VALUE"""),"Syrah Tempranillo")</f>
        <v>Syrah Tempranillo</v>
      </c>
      <c r="G809" s="3"/>
      <c r="H809" s="3"/>
      <c r="I809" s="3"/>
      <c r="J809" s="3"/>
      <c r="K809" s="57">
        <f>IFERROR(__xludf.DUMMYFUNCTION("""COMPUTED_VALUE"""),3.44)</f>
        <v>3.44</v>
      </c>
      <c r="L809" s="3"/>
      <c r="M809" s="3"/>
      <c r="N809" s="3"/>
      <c r="O809" s="3"/>
      <c r="P809" s="3"/>
      <c r="Q809" s="3"/>
      <c r="R809" s="3"/>
      <c r="S809" s="3"/>
      <c r="T809" s="5"/>
      <c r="U809" s="5"/>
      <c r="V809" s="5"/>
      <c r="W809" s="5"/>
    </row>
    <row r="810" ht="15.75" customHeight="1">
      <c r="A810" s="3">
        <f>IFERROR(__xludf.DUMMYFUNCTION("""COMPUTED_VALUE"""),810.0)</f>
        <v>810</v>
      </c>
      <c r="B810" s="53">
        <f>IFERROR(__xludf.DUMMYFUNCTION("""COMPUTED_VALUE"""),45707.0)</f>
        <v>45707</v>
      </c>
      <c r="C810" s="3">
        <f>IFERROR(__xludf.DUMMYFUNCTION("""COMPUTED_VALUE"""),83.0)</f>
        <v>83</v>
      </c>
      <c r="D810" s="3" t="str">
        <f>IFERROR(__xludf.DUMMYFUNCTION("""COMPUTED_VALUE"""),"d177809a")</f>
        <v>d177809a</v>
      </c>
      <c r="E810" s="54">
        <f>IFERROR(__xludf.DUMMYFUNCTION("""COMPUTED_VALUE"""),35800.0)</f>
        <v>35800</v>
      </c>
      <c r="F810" s="3" t="str">
        <f>IFERROR(__xludf.DUMMYFUNCTION("""COMPUTED_VALUE"""),"Syrah")</f>
        <v>Syrah</v>
      </c>
      <c r="G810" s="3"/>
      <c r="H810" s="3"/>
      <c r="I810" s="3"/>
      <c r="J810" s="3"/>
      <c r="K810" s="57">
        <f>IFERROR(__xludf.DUMMYFUNCTION("""COMPUTED_VALUE"""),3.33)</f>
        <v>3.33</v>
      </c>
      <c r="L810" s="3"/>
      <c r="M810" s="3"/>
      <c r="N810" s="3"/>
      <c r="O810" s="3"/>
      <c r="P810" s="3"/>
      <c r="Q810" s="3"/>
      <c r="R810" s="3"/>
      <c r="S810" s="3"/>
      <c r="T810" s="5"/>
      <c r="U810" s="5"/>
      <c r="V810" s="5"/>
      <c r="W810" s="5"/>
    </row>
    <row r="811" ht="15.75" customHeight="1">
      <c r="A811" s="3">
        <f>IFERROR(__xludf.DUMMYFUNCTION("""COMPUTED_VALUE"""),811.0)</f>
        <v>811</v>
      </c>
      <c r="B811" s="53">
        <f>IFERROR(__xludf.DUMMYFUNCTION("""COMPUTED_VALUE"""),45713.0)</f>
        <v>45713</v>
      </c>
      <c r="C811" s="3">
        <f>IFERROR(__xludf.DUMMYFUNCTION("""COMPUTED_VALUE"""),104.0)</f>
        <v>104</v>
      </c>
      <c r="D811" s="3" t="str">
        <f>IFERROR(__xludf.DUMMYFUNCTION("""COMPUTED_VALUE"""),"d7af693c")</f>
        <v>d7af693c</v>
      </c>
      <c r="E811" s="54">
        <f>IFERROR(__xludf.DUMMYFUNCTION("""COMPUTED_VALUE"""),29000.0)</f>
        <v>29000</v>
      </c>
      <c r="F811" s="3" t="str">
        <f>IFERROR(__xludf.DUMMYFUNCTION("""COMPUTED_VALUE"""),"Malbec Gota")</f>
        <v>Malbec Gota</v>
      </c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5"/>
      <c r="U811" s="5"/>
      <c r="V811" s="5"/>
      <c r="W811" s="5"/>
    </row>
    <row r="812" ht="15.75" customHeight="1">
      <c r="A812" s="3">
        <f>IFERROR(__xludf.DUMMYFUNCTION("""COMPUTED_VALUE"""),812.0)</f>
        <v>812</v>
      </c>
      <c r="B812" s="53">
        <f>IFERROR(__xludf.DUMMYFUNCTION("""COMPUTED_VALUE"""),45713.0)</f>
        <v>45713</v>
      </c>
      <c r="C812" s="3">
        <f>IFERROR(__xludf.DUMMYFUNCTION("""COMPUTED_VALUE"""),105.0)</f>
        <v>105</v>
      </c>
      <c r="D812" s="3" t="str">
        <f>IFERROR(__xludf.DUMMYFUNCTION("""COMPUTED_VALUE"""),"a43178d5")</f>
        <v>a43178d5</v>
      </c>
      <c r="E812" s="54">
        <f>IFERROR(__xludf.DUMMYFUNCTION("""COMPUTED_VALUE"""),30000.0)</f>
        <v>30000</v>
      </c>
      <c r="F812" s="3" t="str">
        <f>IFERROR(__xludf.DUMMYFUNCTION("""COMPUTED_VALUE"""),"Syrah Merlot s/Asp gota")</f>
        <v>Syrah Merlot s/Asp gota</v>
      </c>
      <c r="G812" s="3"/>
      <c r="H812" s="3"/>
      <c r="I812" s="57">
        <f>IFERROR(__xludf.DUMMYFUNCTION("""COMPUTED_VALUE"""),0.4)</f>
        <v>0.4</v>
      </c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5"/>
      <c r="U812" s="5"/>
      <c r="V812" s="5"/>
      <c r="W812" s="5"/>
    </row>
    <row r="813" ht="15.75" customHeight="1">
      <c r="A813" s="3">
        <f>IFERROR(__xludf.DUMMYFUNCTION("""COMPUTED_VALUE"""),813.0)</f>
        <v>813</v>
      </c>
      <c r="B813" s="53">
        <f>IFERROR(__xludf.DUMMYFUNCTION("""COMPUTED_VALUE"""),45713.0)</f>
        <v>45713</v>
      </c>
      <c r="C813" s="3">
        <f>IFERROR(__xludf.DUMMYFUNCTION("""COMPUTED_VALUE"""),102.0)</f>
        <v>102</v>
      </c>
      <c r="D813" s="3" t="str">
        <f>IFERROR(__xludf.DUMMYFUNCTION("""COMPUTED_VALUE"""),"0835b42b")</f>
        <v>0835b42b</v>
      </c>
      <c r="E813" s="54">
        <f>IFERROR(__xludf.DUMMYFUNCTION("""COMPUTED_VALUE"""),30000.0)</f>
        <v>30000</v>
      </c>
      <c r="F813" s="3" t="str">
        <f>IFERROR(__xludf.DUMMYFUNCTION("""COMPUTED_VALUE"""),"Aspirant")</f>
        <v>Aspirant</v>
      </c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5"/>
      <c r="U813" s="5"/>
      <c r="V813" s="5"/>
      <c r="W813" s="5"/>
    </row>
    <row r="814" ht="15.75" customHeight="1">
      <c r="A814" s="3">
        <f>IFERROR(__xludf.DUMMYFUNCTION("""COMPUTED_VALUE"""),814.0)</f>
        <v>814</v>
      </c>
      <c r="B814" s="53">
        <f>IFERROR(__xludf.DUMMYFUNCTION("""COMPUTED_VALUE"""),45713.0)</f>
        <v>45713</v>
      </c>
      <c r="C814" s="3">
        <f>IFERROR(__xludf.DUMMYFUNCTION("""COMPUTED_VALUE"""),103.0)</f>
        <v>103</v>
      </c>
      <c r="D814" s="3" t="str">
        <f>IFERROR(__xludf.DUMMYFUNCTION("""COMPUTED_VALUE"""),"903e1ab8")</f>
        <v>903e1ab8</v>
      </c>
      <c r="E814" s="54">
        <f>IFERROR(__xludf.DUMMYFUNCTION("""COMPUTED_VALUE"""),15000.0)</f>
        <v>15000</v>
      </c>
      <c r="F814" s="3" t="str">
        <f>IFERROR(__xludf.DUMMYFUNCTION("""COMPUTED_VALUE"""),"Aspirant")</f>
        <v>Aspirant</v>
      </c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5"/>
      <c r="U814" s="5"/>
      <c r="V814" s="5"/>
      <c r="W814" s="5"/>
    </row>
    <row r="815" ht="15.75" customHeight="1">
      <c r="A815" s="3">
        <f>IFERROR(__xludf.DUMMYFUNCTION("""COMPUTED_VALUE"""),815.0)</f>
        <v>815</v>
      </c>
      <c r="B815" s="53">
        <f>IFERROR(__xludf.DUMMYFUNCTION("""COMPUTED_VALUE"""),45713.0)</f>
        <v>45713</v>
      </c>
      <c r="C815" s="3">
        <f>IFERROR(__xludf.DUMMYFUNCTION("""COMPUTED_VALUE"""),107.0)</f>
        <v>107</v>
      </c>
      <c r="D815" s="3" t="str">
        <f>IFERROR(__xludf.DUMMYFUNCTION("""COMPUTED_VALUE"""),"0aa8c362")</f>
        <v>0aa8c362</v>
      </c>
      <c r="E815" s="54">
        <f>IFERROR(__xludf.DUMMYFUNCTION("""COMPUTED_VALUE"""),30000.0)</f>
        <v>30000</v>
      </c>
      <c r="F815" s="3" t="str">
        <f>IFERROR(__xludf.DUMMYFUNCTION("""COMPUTED_VALUE"""),"Aspirant Anccelota Gota")</f>
        <v>Aspirant Anccelota Gota</v>
      </c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5"/>
      <c r="U815" s="5"/>
      <c r="V815" s="5"/>
      <c r="W815" s="5"/>
    </row>
    <row r="816" ht="15.75" customHeight="1">
      <c r="A816" s="3">
        <f>IFERROR(__xludf.DUMMYFUNCTION("""COMPUTED_VALUE"""),816.0)</f>
        <v>816</v>
      </c>
      <c r="B816" s="53">
        <f>IFERROR(__xludf.DUMMYFUNCTION("""COMPUTED_VALUE"""),45713.0)</f>
        <v>45713</v>
      </c>
      <c r="C816" s="3">
        <f>IFERROR(__xludf.DUMMYFUNCTION("""COMPUTED_VALUE"""),51.0)</f>
        <v>51</v>
      </c>
      <c r="D816" s="3" t="str">
        <f>IFERROR(__xludf.DUMMYFUNCTION("""COMPUTED_VALUE"""),"b9edcc33")</f>
        <v>b9edcc33</v>
      </c>
      <c r="E816" s="54">
        <f>IFERROR(__xludf.DUMMYFUNCTION("""COMPUTED_VALUE"""),2500.0)</f>
        <v>2500</v>
      </c>
      <c r="F816" s="3" t="str">
        <f>IFERROR(__xludf.DUMMYFUNCTION("""COMPUTED_VALUE"""),"Cabernet Sauv Despacho Bodega")</f>
        <v>Cabernet Sauv Despacho Bodega</v>
      </c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5"/>
      <c r="U816" s="5"/>
      <c r="V816" s="5"/>
      <c r="W816" s="5"/>
    </row>
    <row r="817" ht="15.75" customHeight="1">
      <c r="A817" s="3">
        <f>IFERROR(__xludf.DUMMYFUNCTION("""COMPUTED_VALUE"""),817.0)</f>
        <v>817</v>
      </c>
      <c r="B817" s="53">
        <f>IFERROR(__xludf.DUMMYFUNCTION("""COMPUTED_VALUE"""),45714.0)</f>
        <v>45714</v>
      </c>
      <c r="C817" s="3">
        <f>IFERROR(__xludf.DUMMYFUNCTION("""COMPUTED_VALUE"""),80.0)</f>
        <v>80</v>
      </c>
      <c r="D817" s="3" t="str">
        <f>IFERROR(__xludf.DUMMYFUNCTION("""COMPUTED_VALUE"""),"d6272af5")</f>
        <v>d6272af5</v>
      </c>
      <c r="E817" s="54">
        <f>IFERROR(__xludf.DUMMYFUNCTION("""COMPUTED_VALUE"""),22000.0)</f>
        <v>22000</v>
      </c>
      <c r="F817" s="3" t="str">
        <f>IFERROR(__xludf.DUMMYFUNCTION("""COMPUTED_VALUE"""),"Merlot s/ Asp")</f>
        <v>Merlot s/ Asp</v>
      </c>
      <c r="G817" s="55">
        <f>IFERROR(__xludf.DUMMYFUNCTION("""COMPUTED_VALUE"""),12.9)</f>
        <v>12.9</v>
      </c>
      <c r="H817" s="56">
        <f>IFERROR(__xludf.DUMMYFUNCTION("""COMPUTED_VALUE"""),2.0)</f>
        <v>2</v>
      </c>
      <c r="I817" s="57">
        <f>IFERROR(__xludf.DUMMYFUNCTION("""COMPUTED_VALUE"""),0.51)</f>
        <v>0.51</v>
      </c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5"/>
      <c r="U817" s="5"/>
      <c r="V817" s="5"/>
      <c r="W817" s="5"/>
    </row>
    <row r="818" ht="15.75" customHeight="1">
      <c r="A818" s="3">
        <f>IFERROR(__xludf.DUMMYFUNCTION("""COMPUTED_VALUE"""),818.0)</f>
        <v>818</v>
      </c>
      <c r="B818" s="53">
        <f>IFERROR(__xludf.DUMMYFUNCTION("""COMPUTED_VALUE"""),45714.0)</f>
        <v>45714</v>
      </c>
      <c r="C818" s="3">
        <f>IFERROR(__xludf.DUMMYFUNCTION("""COMPUTED_VALUE"""),85.0)</f>
        <v>85</v>
      </c>
      <c r="D818" s="3" t="str">
        <f>IFERROR(__xludf.DUMMYFUNCTION("""COMPUTED_VALUE"""),"f8624f14")</f>
        <v>f8624f14</v>
      </c>
      <c r="E818" s="54">
        <f>IFERROR(__xludf.DUMMYFUNCTION("""COMPUTED_VALUE"""),28000.0)</f>
        <v>28000</v>
      </c>
      <c r="F818" s="3" t="str">
        <f>IFERROR(__xludf.DUMMYFUNCTION("""COMPUTED_VALUE"""),"Merlot s/Asp")</f>
        <v>Merlot s/Asp</v>
      </c>
      <c r="G818" s="55">
        <f>IFERROR(__xludf.DUMMYFUNCTION("""COMPUTED_VALUE"""),13.0)</f>
        <v>13</v>
      </c>
      <c r="H818" s="56">
        <f>IFERROR(__xludf.DUMMYFUNCTION("""COMPUTED_VALUE"""),5.0)</f>
        <v>5</v>
      </c>
      <c r="I818" s="57">
        <f>IFERROR(__xludf.DUMMYFUNCTION("""COMPUTED_VALUE"""),0.4)</f>
        <v>0.4</v>
      </c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5"/>
      <c r="U818" s="5"/>
      <c r="V818" s="5"/>
      <c r="W818" s="5"/>
    </row>
    <row r="819" ht="15.75" customHeight="1">
      <c r="A819" s="3">
        <f>IFERROR(__xludf.DUMMYFUNCTION("""COMPUTED_VALUE"""),819.0)</f>
        <v>819</v>
      </c>
      <c r="B819" s="53">
        <f>IFERROR(__xludf.DUMMYFUNCTION("""COMPUTED_VALUE"""),45714.0)</f>
        <v>45714</v>
      </c>
      <c r="C819" s="3">
        <f>IFERROR(__xludf.DUMMYFUNCTION("""COMPUTED_VALUE"""),86.0)</f>
        <v>86</v>
      </c>
      <c r="D819" s="3" t="str">
        <f>IFERROR(__xludf.DUMMYFUNCTION("""COMPUTED_VALUE"""),"3b2a1e70")</f>
        <v>3b2a1e70</v>
      </c>
      <c r="E819" s="54">
        <f>IFERROR(__xludf.DUMMYFUNCTION("""COMPUTED_VALUE"""),47200.0)</f>
        <v>47200</v>
      </c>
      <c r="F819" s="3" t="str">
        <f>IFERROR(__xludf.DUMMYFUNCTION("""COMPUTED_VALUE"""),"Syrah Tempranillo s/Asp 2da")</f>
        <v>Syrah Tempranillo s/Asp 2da</v>
      </c>
      <c r="G819" s="3"/>
      <c r="H819" s="56">
        <f>IFERROR(__xludf.DUMMYFUNCTION("""COMPUTED_VALUE"""),25.0)</f>
        <v>25</v>
      </c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5"/>
      <c r="U819" s="5"/>
      <c r="V819" s="5"/>
      <c r="W819" s="5"/>
    </row>
    <row r="820" ht="15.75" customHeight="1">
      <c r="A820" s="3">
        <f>IFERROR(__xludf.DUMMYFUNCTION("""COMPUTED_VALUE"""),820.0)</f>
        <v>820</v>
      </c>
      <c r="B820" s="53">
        <f>IFERROR(__xludf.DUMMYFUNCTION("""COMPUTED_VALUE"""),45714.0)</f>
        <v>45714</v>
      </c>
      <c r="C820" s="3">
        <f>IFERROR(__xludf.DUMMYFUNCTION("""COMPUTED_VALUE"""),92.0)</f>
        <v>92</v>
      </c>
      <c r="D820" s="3" t="str">
        <f>IFERROR(__xludf.DUMMYFUNCTION("""COMPUTED_VALUE"""),"3e5c0749")</f>
        <v>3e5c0749</v>
      </c>
      <c r="E820" s="54">
        <f>IFERROR(__xludf.DUMMYFUNCTION("""COMPUTED_VALUE"""),35900.0)</f>
        <v>35900</v>
      </c>
      <c r="F820" s="3" t="str">
        <f>IFERROR(__xludf.DUMMYFUNCTION("""COMPUTED_VALUE"""),"Syrah Ferm")</f>
        <v>Syrah Ferm</v>
      </c>
      <c r="G820" s="3"/>
      <c r="H820" s="3"/>
      <c r="I820" s="3"/>
      <c r="J820" s="3"/>
      <c r="K820" s="57">
        <f>IFERROR(__xludf.DUMMYFUNCTION("""COMPUTED_VALUE"""),3.7)</f>
        <v>3.7</v>
      </c>
      <c r="L820" s="54">
        <f>IFERROR(__xludf.DUMMYFUNCTION("""COMPUTED_VALUE"""),15.0)</f>
        <v>15</v>
      </c>
      <c r="M820" s="3">
        <f>IFERROR(__xludf.DUMMYFUNCTION("""COMPUTED_VALUE"""),55.0)</f>
        <v>55</v>
      </c>
      <c r="N820" s="3"/>
      <c r="O820" s="3"/>
      <c r="P820" s="3"/>
      <c r="Q820" s="3"/>
      <c r="R820" s="3"/>
      <c r="S820" s="3"/>
      <c r="T820" s="5"/>
      <c r="U820" s="5">
        <f>IFERROR(__xludf.DUMMYFUNCTION("""COMPUTED_VALUE"""),24.0)</f>
        <v>24</v>
      </c>
      <c r="V820" s="5"/>
      <c r="W820" s="5"/>
    </row>
    <row r="821" ht="15.75" customHeight="1">
      <c r="A821" s="3">
        <f>IFERROR(__xludf.DUMMYFUNCTION("""COMPUTED_VALUE"""),821.0)</f>
        <v>821</v>
      </c>
      <c r="B821" s="53">
        <f>IFERROR(__xludf.DUMMYFUNCTION("""COMPUTED_VALUE"""),45715.0)</f>
        <v>45715</v>
      </c>
      <c r="C821" s="3">
        <f>IFERROR(__xludf.DUMMYFUNCTION("""COMPUTED_VALUE"""),102.0)</f>
        <v>102</v>
      </c>
      <c r="D821" s="3" t="str">
        <f>IFERROR(__xludf.DUMMYFUNCTION("""COMPUTED_VALUE"""),"0835b42b")</f>
        <v>0835b42b</v>
      </c>
      <c r="E821" s="54">
        <f>IFERROR(__xludf.DUMMYFUNCTION("""COMPUTED_VALUE"""),30000.0)</f>
        <v>30000</v>
      </c>
      <c r="F821" s="3" t="str">
        <f>IFERROR(__xludf.DUMMYFUNCTION("""COMPUTED_VALUE"""),"Aspirant")</f>
        <v>Aspirant</v>
      </c>
      <c r="G821" s="3"/>
      <c r="H821" s="56">
        <f>IFERROR(__xludf.DUMMYFUNCTION("""COMPUTED_VALUE"""),2.0)</f>
        <v>2</v>
      </c>
      <c r="I821" s="57">
        <f>IFERROR(__xludf.DUMMYFUNCTION("""COMPUTED_VALUE"""),0.3)</f>
        <v>0.3</v>
      </c>
      <c r="J821" s="57">
        <f>IFERROR(__xludf.DUMMYFUNCTION("""COMPUTED_VALUE"""),6.1964999999999995)</f>
        <v>6.1965</v>
      </c>
      <c r="K821" s="57">
        <f>IFERROR(__xludf.DUMMYFUNCTION("""COMPUTED_VALUE"""),3.37)</f>
        <v>3.37</v>
      </c>
      <c r="L821" s="54">
        <f>IFERROR(__xludf.DUMMYFUNCTION("""COMPUTED_VALUE"""),34.56)</f>
        <v>34.56</v>
      </c>
      <c r="M821" s="3">
        <f>IFERROR(__xludf.DUMMYFUNCTION("""COMPUTED_VALUE"""),60.0)</f>
        <v>60</v>
      </c>
      <c r="N821" s="3"/>
      <c r="O821" s="3"/>
      <c r="P821" s="3"/>
      <c r="Q821" s="3"/>
      <c r="R821" s="3"/>
      <c r="S821" s="3"/>
      <c r="T821" s="5"/>
      <c r="U821" s="5"/>
      <c r="V821" s="5"/>
      <c r="W821" s="5"/>
    </row>
    <row r="822" ht="15.75" customHeight="1">
      <c r="A822" s="3">
        <f>IFERROR(__xludf.DUMMYFUNCTION("""COMPUTED_VALUE"""),822.0)</f>
        <v>822</v>
      </c>
      <c r="B822" s="53">
        <f>IFERROR(__xludf.DUMMYFUNCTION("""COMPUTED_VALUE"""),45715.0)</f>
        <v>45715</v>
      </c>
      <c r="C822" s="3">
        <f>IFERROR(__xludf.DUMMYFUNCTION("""COMPUTED_VALUE"""),103.0)</f>
        <v>103</v>
      </c>
      <c r="D822" s="3" t="str">
        <f>IFERROR(__xludf.DUMMYFUNCTION("""COMPUTED_VALUE"""),"a22cb4a2")</f>
        <v>a22cb4a2</v>
      </c>
      <c r="E822" s="54">
        <f>IFERROR(__xludf.DUMMYFUNCTION("""COMPUTED_VALUE"""),30000.0)</f>
        <v>30000</v>
      </c>
      <c r="F822" s="3" t="str">
        <f>IFERROR(__xludf.DUMMYFUNCTION("""COMPUTED_VALUE"""),"Aspirat")</f>
        <v>Aspirat</v>
      </c>
      <c r="G822" s="3"/>
      <c r="H822" s="56">
        <f>IFERROR(__xludf.DUMMYFUNCTION("""COMPUTED_VALUE"""),2.0)</f>
        <v>2</v>
      </c>
      <c r="I822" s="57">
        <f>IFERROR(__xludf.DUMMYFUNCTION("""COMPUTED_VALUE"""),0.35)</f>
        <v>0.35</v>
      </c>
      <c r="J822" s="57">
        <f>IFERROR(__xludf.DUMMYFUNCTION("""COMPUTED_VALUE"""),7.9)</f>
        <v>7.9</v>
      </c>
      <c r="K822" s="57">
        <f>IFERROR(__xludf.DUMMYFUNCTION("""COMPUTED_VALUE"""),3.38)</f>
        <v>3.38</v>
      </c>
      <c r="L822" s="54">
        <f>IFERROR(__xludf.DUMMYFUNCTION("""COMPUTED_VALUE"""),42.24)</f>
        <v>42.24</v>
      </c>
      <c r="M822" s="3">
        <f>IFERROR(__xludf.DUMMYFUNCTION("""COMPUTED_VALUE"""),58.0)</f>
        <v>58</v>
      </c>
      <c r="N822" s="3"/>
      <c r="O822" s="3"/>
      <c r="P822" s="3"/>
      <c r="Q822" s="3"/>
      <c r="R822" s="3"/>
      <c r="S822" s="3"/>
      <c r="T822" s="5"/>
      <c r="U822" s="5"/>
      <c r="V822" s="5"/>
      <c r="W822" s="5"/>
    </row>
    <row r="823" ht="15.75" customHeight="1">
      <c r="A823" s="3">
        <f>IFERROR(__xludf.DUMMYFUNCTION("""COMPUTED_VALUE"""),823.0)</f>
        <v>823</v>
      </c>
      <c r="B823" s="53">
        <f>IFERROR(__xludf.DUMMYFUNCTION("""COMPUTED_VALUE"""),45715.0)</f>
        <v>45715</v>
      </c>
      <c r="C823" s="3">
        <f>IFERROR(__xludf.DUMMYFUNCTION("""COMPUTED_VALUE"""),104.0)</f>
        <v>104</v>
      </c>
      <c r="D823" s="3" t="str">
        <f>IFERROR(__xludf.DUMMYFUNCTION("""COMPUTED_VALUE"""),"d7af693c")</f>
        <v>d7af693c</v>
      </c>
      <c r="E823" s="54">
        <f>IFERROR(__xludf.DUMMYFUNCTION("""COMPUTED_VALUE"""),29000.0)</f>
        <v>29000</v>
      </c>
      <c r="F823" s="3" t="str">
        <f>IFERROR(__xludf.DUMMYFUNCTION("""COMPUTED_VALUE"""),"Malbec Gota")</f>
        <v>Malbec Gota</v>
      </c>
      <c r="G823" s="3"/>
      <c r="H823" s="56">
        <f>IFERROR(__xludf.DUMMYFUNCTION("""COMPUTED_VALUE"""),2.0)</f>
        <v>2</v>
      </c>
      <c r="I823" s="57">
        <f>IFERROR(__xludf.DUMMYFUNCTION("""COMPUTED_VALUE"""),0.38)</f>
        <v>0.38</v>
      </c>
      <c r="J823" s="57">
        <f>IFERROR(__xludf.DUMMYFUNCTION("""COMPUTED_VALUE"""),7.27)</f>
        <v>7.27</v>
      </c>
      <c r="K823" s="57">
        <f>IFERROR(__xludf.DUMMYFUNCTION("""COMPUTED_VALUE"""),3.43)</f>
        <v>3.43</v>
      </c>
      <c r="L823" s="54">
        <f>IFERROR(__xludf.DUMMYFUNCTION("""COMPUTED_VALUE"""),25.6)</f>
        <v>25.6</v>
      </c>
      <c r="M823" s="3">
        <f>IFERROR(__xludf.DUMMYFUNCTION("""COMPUTED_VALUE"""),50.0)</f>
        <v>50</v>
      </c>
      <c r="N823" s="3"/>
      <c r="O823" s="3"/>
      <c r="P823" s="3"/>
      <c r="Q823" s="3"/>
      <c r="R823" s="3"/>
      <c r="S823" s="3"/>
      <c r="T823" s="5"/>
      <c r="U823" s="5"/>
      <c r="V823" s="5"/>
      <c r="W823" s="5"/>
    </row>
    <row r="824" ht="15.75" customHeight="1">
      <c r="A824" s="3">
        <f>IFERROR(__xludf.DUMMYFUNCTION("""COMPUTED_VALUE"""),824.0)</f>
        <v>824</v>
      </c>
      <c r="B824" s="53">
        <f>IFERROR(__xludf.DUMMYFUNCTION("""COMPUTED_VALUE"""),45715.0)</f>
        <v>45715</v>
      </c>
      <c r="C824" s="3">
        <f>IFERROR(__xludf.DUMMYFUNCTION("""COMPUTED_VALUE"""),105.0)</f>
        <v>105</v>
      </c>
      <c r="D824" s="3" t="str">
        <f>IFERROR(__xludf.DUMMYFUNCTION("""COMPUTED_VALUE"""),"7ad5b1b2")</f>
        <v>7ad5b1b2</v>
      </c>
      <c r="E824" s="54">
        <f>IFERROR(__xludf.DUMMYFUNCTION("""COMPUTED_VALUE"""),30000.0)</f>
        <v>30000</v>
      </c>
      <c r="F824" s="3" t="str">
        <f>IFERROR(__xludf.DUMMYFUNCTION("""COMPUTED_VALUE"""),"Malbec con Merlot s/Asp")</f>
        <v>Malbec con Merlot s/Asp</v>
      </c>
      <c r="G824" s="3"/>
      <c r="H824" s="56">
        <f>IFERROR(__xludf.DUMMYFUNCTION("""COMPUTED_VALUE"""),2.0)</f>
        <v>2</v>
      </c>
      <c r="I824" s="57">
        <f>IFERROR(__xludf.DUMMYFUNCTION("""COMPUTED_VALUE"""),0.4)</f>
        <v>0.4</v>
      </c>
      <c r="J824" s="57">
        <f>IFERROR(__xludf.DUMMYFUNCTION("""COMPUTED_VALUE"""),6.66)</f>
        <v>6.66</v>
      </c>
      <c r="K824" s="57">
        <f>IFERROR(__xludf.DUMMYFUNCTION("""COMPUTED_VALUE"""),3.45)</f>
        <v>3.45</v>
      </c>
      <c r="L824" s="54">
        <f>IFERROR(__xludf.DUMMYFUNCTION("""COMPUTED_VALUE"""),28.160000000000004)</f>
        <v>28.16</v>
      </c>
      <c r="M824" s="3">
        <f>IFERROR(__xludf.DUMMYFUNCTION("""COMPUTED_VALUE"""),55.0)</f>
        <v>55</v>
      </c>
      <c r="N824" s="3"/>
      <c r="O824" s="3"/>
      <c r="P824" s="3"/>
      <c r="Q824" s="3"/>
      <c r="R824" s="3"/>
      <c r="S824" s="3"/>
      <c r="T824" s="5"/>
      <c r="U824" s="5"/>
      <c r="V824" s="5"/>
      <c r="W824" s="5"/>
    </row>
    <row r="825" ht="15.75" customHeight="1">
      <c r="A825" s="3">
        <f>IFERROR(__xludf.DUMMYFUNCTION("""COMPUTED_VALUE"""),825.0)</f>
        <v>825</v>
      </c>
      <c r="B825" s="53">
        <f>IFERROR(__xludf.DUMMYFUNCTION("""COMPUTED_VALUE"""),45715.0)</f>
        <v>45715</v>
      </c>
      <c r="C825" s="3">
        <f>IFERROR(__xludf.DUMMYFUNCTION("""COMPUTED_VALUE"""),106.0)</f>
        <v>106</v>
      </c>
      <c r="D825" s="3" t="str">
        <f>IFERROR(__xludf.DUMMYFUNCTION("""COMPUTED_VALUE"""),"00bdd4ad")</f>
        <v>00bdd4ad</v>
      </c>
      <c r="E825" s="54">
        <f>IFERROR(__xludf.DUMMYFUNCTION("""COMPUTED_VALUE"""),11000.0)</f>
        <v>11000</v>
      </c>
      <c r="F825" s="3" t="str">
        <f>IFERROR(__xludf.DUMMYFUNCTION("""COMPUTED_VALUE"""),"Merlot s/Asp")</f>
        <v>Merlot s/Asp</v>
      </c>
      <c r="G825" s="3"/>
      <c r="H825" s="3"/>
      <c r="I825" s="3"/>
      <c r="J825" s="3"/>
      <c r="K825" s="57">
        <f>IFERROR(__xludf.DUMMYFUNCTION("""COMPUTED_VALUE"""),3.39)</f>
        <v>3.39</v>
      </c>
      <c r="L825" s="54">
        <f>IFERROR(__xludf.DUMMYFUNCTION("""COMPUTED_VALUE"""),29.439999999999998)</f>
        <v>29.44</v>
      </c>
      <c r="M825" s="3"/>
      <c r="N825" s="3"/>
      <c r="O825" s="3"/>
      <c r="P825" s="3"/>
      <c r="Q825" s="3"/>
      <c r="R825" s="3"/>
      <c r="S825" s="3"/>
      <c r="T825" s="5"/>
      <c r="U825" s="5"/>
      <c r="V825" s="5"/>
      <c r="W825" s="5"/>
    </row>
    <row r="826" ht="15.75" customHeight="1">
      <c r="A826" s="3">
        <f>IFERROR(__xludf.DUMMYFUNCTION("""COMPUTED_VALUE"""),826.0)</f>
        <v>826</v>
      </c>
      <c r="B826" s="53">
        <f>IFERROR(__xludf.DUMMYFUNCTION("""COMPUTED_VALUE"""),45715.0)</f>
        <v>45715</v>
      </c>
      <c r="C826" s="3">
        <f>IFERROR(__xludf.DUMMYFUNCTION("""COMPUTED_VALUE"""),107.0)</f>
        <v>107</v>
      </c>
      <c r="D826" s="3" t="str">
        <f>IFERROR(__xludf.DUMMYFUNCTION("""COMPUTED_VALUE"""),"0aa8c362")</f>
        <v>0aa8c362</v>
      </c>
      <c r="E826" s="54">
        <f>IFERROR(__xludf.DUMMYFUNCTION("""COMPUTED_VALUE"""),30000.0)</f>
        <v>30000</v>
      </c>
      <c r="F826" s="3" t="str">
        <f>IFERROR(__xludf.DUMMYFUNCTION("""COMPUTED_VALUE"""),"Aspirant Anccelota Gota")</f>
        <v>Aspirant Anccelota Gota</v>
      </c>
      <c r="G826" s="3"/>
      <c r="H826" s="3"/>
      <c r="I826" s="3"/>
      <c r="J826" s="3"/>
      <c r="K826" s="57">
        <f>IFERROR(__xludf.DUMMYFUNCTION("""COMPUTED_VALUE"""),3.48)</f>
        <v>3.48</v>
      </c>
      <c r="L826" s="54">
        <f>IFERROR(__xludf.DUMMYFUNCTION("""COMPUTED_VALUE"""),38.400000000000006)</f>
        <v>38.4</v>
      </c>
      <c r="M826" s="3"/>
      <c r="N826" s="3"/>
      <c r="O826" s="3"/>
      <c r="P826" s="3"/>
      <c r="Q826" s="3"/>
      <c r="R826" s="3"/>
      <c r="S826" s="3"/>
      <c r="T826" s="5"/>
      <c r="U826" s="5"/>
      <c r="V826" s="5"/>
      <c r="W826" s="5"/>
    </row>
    <row r="827" ht="15.75" customHeight="1">
      <c r="A827" s="3">
        <f>IFERROR(__xludf.DUMMYFUNCTION("""COMPUTED_VALUE"""),827.0)</f>
        <v>827</v>
      </c>
      <c r="B827" s="53">
        <f>IFERROR(__xludf.DUMMYFUNCTION("""COMPUTED_VALUE"""),45715.0)</f>
        <v>45715</v>
      </c>
      <c r="C827" s="3">
        <f>IFERROR(__xludf.DUMMYFUNCTION("""COMPUTED_VALUE"""),108.0)</f>
        <v>108</v>
      </c>
      <c r="D827" s="3" t="str">
        <f>IFERROR(__xludf.DUMMYFUNCTION("""COMPUTED_VALUE"""),"a1ad6cb4")</f>
        <v>a1ad6cb4</v>
      </c>
      <c r="E827" s="54">
        <f>IFERROR(__xludf.DUMMYFUNCTION("""COMPUTED_VALUE"""),7500.0)</f>
        <v>7500</v>
      </c>
      <c r="F827" s="3" t="str">
        <f>IFERROR(__xludf.DUMMYFUNCTION("""COMPUTED_VALUE"""),"Syrah Merlot s/Asp Gota")</f>
        <v>Syrah Merlot s/Asp Gota</v>
      </c>
      <c r="G827" s="3"/>
      <c r="H827" s="3"/>
      <c r="I827" s="3"/>
      <c r="J827" s="3"/>
      <c r="K827" s="57">
        <f>IFERROR(__xludf.DUMMYFUNCTION("""COMPUTED_VALUE"""),3.41)</f>
        <v>3.41</v>
      </c>
      <c r="L827" s="54">
        <f>IFERROR(__xludf.DUMMYFUNCTION("""COMPUTED_VALUE"""),25.6)</f>
        <v>25.6</v>
      </c>
      <c r="M827" s="3"/>
      <c r="N827" s="3"/>
      <c r="O827" s="3"/>
      <c r="P827" s="3"/>
      <c r="Q827" s="3"/>
      <c r="R827" s="3"/>
      <c r="S827" s="3"/>
      <c r="T827" s="5"/>
      <c r="U827" s="5"/>
      <c r="V827" s="5"/>
      <c r="W827" s="5"/>
    </row>
    <row r="828" ht="15.75" customHeight="1">
      <c r="A828" s="3">
        <f>IFERROR(__xludf.DUMMYFUNCTION("""COMPUTED_VALUE"""),828.0)</f>
        <v>828</v>
      </c>
      <c r="B828" s="53">
        <f>IFERROR(__xludf.DUMMYFUNCTION("""COMPUTED_VALUE"""),45715.0)</f>
        <v>45715</v>
      </c>
      <c r="C828" s="3">
        <f>IFERROR(__xludf.DUMMYFUNCTION("""COMPUTED_VALUE"""),109.0)</f>
        <v>109</v>
      </c>
      <c r="D828" s="3" t="str">
        <f>IFERROR(__xludf.DUMMYFUNCTION("""COMPUTED_VALUE"""),"d6ff9a07")</f>
        <v>d6ff9a07</v>
      </c>
      <c r="E828" s="54">
        <f>IFERROR(__xludf.DUMMYFUNCTION("""COMPUTED_VALUE"""),24000.0)</f>
        <v>24000</v>
      </c>
      <c r="F828" s="3" t="str">
        <f>IFERROR(__xludf.DUMMYFUNCTION("""COMPUTED_VALUE"""),"Merlot s/Asp descube")</f>
        <v>Merlot s/Asp descube</v>
      </c>
      <c r="G828" s="3"/>
      <c r="H828" s="3"/>
      <c r="I828" s="3"/>
      <c r="J828" s="3"/>
      <c r="K828" s="57">
        <f>IFERROR(__xludf.DUMMYFUNCTION("""COMPUTED_VALUE"""),3.39)</f>
        <v>3.39</v>
      </c>
      <c r="L828" s="54">
        <f>IFERROR(__xludf.DUMMYFUNCTION("""COMPUTED_VALUE"""),25.6)</f>
        <v>25.6</v>
      </c>
      <c r="M828" s="3"/>
      <c r="N828" s="3"/>
      <c r="O828" s="3"/>
      <c r="P828" s="3"/>
      <c r="Q828" s="3"/>
      <c r="R828" s="3"/>
      <c r="S828" s="3"/>
      <c r="T828" s="5"/>
      <c r="U828" s="5"/>
      <c r="V828" s="5"/>
      <c r="W828" s="5"/>
    </row>
    <row r="829" ht="15.75" customHeight="1">
      <c r="A829" s="3">
        <f>IFERROR(__xludf.DUMMYFUNCTION("""COMPUTED_VALUE"""),829.0)</f>
        <v>829</v>
      </c>
      <c r="B829" s="53">
        <f>IFERROR(__xludf.DUMMYFUNCTION("""COMPUTED_VALUE"""),45715.0)</f>
        <v>45715</v>
      </c>
      <c r="C829" s="3">
        <f>IFERROR(__xludf.DUMMYFUNCTION("""COMPUTED_VALUE"""),110.0)</f>
        <v>110</v>
      </c>
      <c r="D829" s="3" t="str">
        <f>IFERROR(__xludf.DUMMYFUNCTION("""COMPUTED_VALUE"""),"13d1574d")</f>
        <v>13d1574d</v>
      </c>
      <c r="E829" s="54">
        <f>IFERROR(__xludf.DUMMYFUNCTION("""COMPUTED_VALUE"""),13000.0)</f>
        <v>13000</v>
      </c>
      <c r="F829" s="3" t="str">
        <f>IFERROR(__xludf.DUMMYFUNCTION("""COMPUTED_VALUE"""),"Merlot s/Asp descube")</f>
        <v>Merlot s/Asp descube</v>
      </c>
      <c r="G829" s="3"/>
      <c r="H829" s="3"/>
      <c r="I829" s="3"/>
      <c r="J829" s="3"/>
      <c r="K829" s="57">
        <f>IFERROR(__xludf.DUMMYFUNCTION("""COMPUTED_VALUE"""),3.42)</f>
        <v>3.42</v>
      </c>
      <c r="L829" s="54">
        <f>IFERROR(__xludf.DUMMYFUNCTION("""COMPUTED_VALUE"""),25.6)</f>
        <v>25.6</v>
      </c>
      <c r="M829" s="3"/>
      <c r="N829" s="3"/>
      <c r="O829" s="3"/>
      <c r="P829" s="3"/>
      <c r="Q829" s="3"/>
      <c r="R829" s="3"/>
      <c r="S829" s="3"/>
      <c r="T829" s="5"/>
      <c r="U829" s="5"/>
      <c r="V829" s="5"/>
      <c r="W829" s="5"/>
    </row>
    <row r="830" ht="15.75" customHeight="1">
      <c r="A830" s="3">
        <f>IFERROR(__xludf.DUMMYFUNCTION("""COMPUTED_VALUE"""),830.0)</f>
        <v>830</v>
      </c>
      <c r="B830" s="53">
        <f>IFERROR(__xludf.DUMMYFUNCTION("""COMPUTED_VALUE"""),45715.0)</f>
        <v>45715</v>
      </c>
      <c r="C830" s="3">
        <f>IFERROR(__xludf.DUMMYFUNCTION("""COMPUTED_VALUE"""),31.0)</f>
        <v>31</v>
      </c>
      <c r="D830" s="3" t="str">
        <f>IFERROR(__xludf.DUMMYFUNCTION("""COMPUTED_VALUE"""),"8a7074cf")</f>
        <v>8a7074cf</v>
      </c>
      <c r="E830" s="54">
        <f>IFERROR(__xludf.DUMMYFUNCTION("""COMPUTED_VALUE"""),25700.0)</f>
        <v>25700</v>
      </c>
      <c r="F830" s="3" t="str">
        <f>IFERROR(__xludf.DUMMYFUNCTION("""COMPUTED_VALUE"""),"Chardonnay")</f>
        <v>Chardonnay</v>
      </c>
      <c r="G830" s="3"/>
      <c r="H830" s="3"/>
      <c r="I830" s="3"/>
      <c r="J830" s="3"/>
      <c r="K830" s="57">
        <f>IFERROR(__xludf.DUMMYFUNCTION("""COMPUTED_VALUE"""),3.19)</f>
        <v>3.19</v>
      </c>
      <c r="L830" s="54">
        <f>IFERROR(__xludf.DUMMYFUNCTION("""COMPUTED_VALUE"""),32.0)</f>
        <v>32</v>
      </c>
      <c r="M830" s="3"/>
      <c r="N830" s="3"/>
      <c r="O830" s="3"/>
      <c r="P830" s="3"/>
      <c r="Q830" s="3"/>
      <c r="R830" s="3"/>
      <c r="S830" s="3"/>
      <c r="T830" s="5"/>
      <c r="U830" s="5"/>
      <c r="V830" s="5"/>
      <c r="W830" s="5"/>
    </row>
    <row r="831" ht="15.75" customHeight="1">
      <c r="A831" s="3">
        <f>IFERROR(__xludf.DUMMYFUNCTION("""COMPUTED_VALUE"""),831.0)</f>
        <v>831</v>
      </c>
      <c r="B831" s="53">
        <f>IFERROR(__xludf.DUMMYFUNCTION("""COMPUTED_VALUE"""),45715.0)</f>
        <v>45715</v>
      </c>
      <c r="C831" s="3">
        <f>IFERROR(__xludf.DUMMYFUNCTION("""COMPUTED_VALUE"""),32.0)</f>
        <v>32</v>
      </c>
      <c r="D831" s="3" t="str">
        <f>IFERROR(__xludf.DUMMYFUNCTION("""COMPUTED_VALUE"""),"a1e13111")</f>
        <v>a1e13111</v>
      </c>
      <c r="E831" s="54">
        <f>IFERROR(__xludf.DUMMYFUNCTION("""COMPUTED_VALUE"""),36300.0)</f>
        <v>36300</v>
      </c>
      <c r="F831" s="3" t="str">
        <f>IFERROR(__xludf.DUMMYFUNCTION("""COMPUTED_VALUE"""),"Chardonnay (Filt)")</f>
        <v>Chardonnay (Filt)</v>
      </c>
      <c r="G831" s="3"/>
      <c r="H831" s="3"/>
      <c r="I831" s="3"/>
      <c r="J831" s="3"/>
      <c r="K831" s="57">
        <f>IFERROR(__xludf.DUMMYFUNCTION("""COMPUTED_VALUE"""),3.23)</f>
        <v>3.23</v>
      </c>
      <c r="L831" s="54">
        <f>IFERROR(__xludf.DUMMYFUNCTION("""COMPUTED_VALUE"""),38.400000000000006)</f>
        <v>38.4</v>
      </c>
      <c r="M831" s="3"/>
      <c r="N831" s="3"/>
      <c r="O831" s="3"/>
      <c r="P831" s="3"/>
      <c r="Q831" s="3"/>
      <c r="R831" s="3"/>
      <c r="S831" s="3"/>
      <c r="T831" s="5"/>
      <c r="U831" s="5"/>
      <c r="V831" s="5"/>
      <c r="W831" s="5"/>
    </row>
    <row r="832" ht="15.75" customHeight="1">
      <c r="A832" s="3">
        <f>IFERROR(__xludf.DUMMYFUNCTION("""COMPUTED_VALUE"""),832.0)</f>
        <v>832</v>
      </c>
      <c r="B832" s="53">
        <f>IFERROR(__xludf.DUMMYFUNCTION("""COMPUTED_VALUE"""),45715.0)</f>
        <v>45715</v>
      </c>
      <c r="C832" s="3">
        <f>IFERROR(__xludf.DUMMYFUNCTION("""COMPUTED_VALUE"""),33.0)</f>
        <v>33</v>
      </c>
      <c r="D832" s="3" t="str">
        <f>IFERROR(__xludf.DUMMYFUNCTION("""COMPUTED_VALUE"""),"7def2139")</f>
        <v>7def2139</v>
      </c>
      <c r="E832" s="54">
        <f>IFERROR(__xludf.DUMMYFUNCTION("""COMPUTED_VALUE"""),25300.0)</f>
        <v>25300</v>
      </c>
      <c r="F832" s="3" t="str">
        <f>IFERROR(__xludf.DUMMYFUNCTION("""COMPUTED_VALUE"""),"Chardonnay")</f>
        <v>Chardonnay</v>
      </c>
      <c r="G832" s="3"/>
      <c r="H832" s="3"/>
      <c r="I832" s="3"/>
      <c r="J832" s="3"/>
      <c r="K832" s="57">
        <f>IFERROR(__xludf.DUMMYFUNCTION("""COMPUTED_VALUE"""),3.16)</f>
        <v>3.16</v>
      </c>
      <c r="L832" s="54">
        <f>IFERROR(__xludf.DUMMYFUNCTION("""COMPUTED_VALUE"""),26.880000000000003)</f>
        <v>26.88</v>
      </c>
      <c r="M832" s="3"/>
      <c r="N832" s="3"/>
      <c r="O832" s="3"/>
      <c r="P832" s="3"/>
      <c r="Q832" s="3"/>
      <c r="R832" s="3"/>
      <c r="S832" s="3"/>
      <c r="T832" s="5"/>
      <c r="U832" s="5"/>
      <c r="V832" s="5"/>
      <c r="W832" s="5"/>
    </row>
    <row r="833" ht="15.75" customHeight="1">
      <c r="A833" s="3">
        <f>IFERROR(__xludf.DUMMYFUNCTION("""COMPUTED_VALUE"""),833.0)</f>
        <v>833</v>
      </c>
      <c r="B833" s="53">
        <f>IFERROR(__xludf.DUMMYFUNCTION("""COMPUTED_VALUE"""),45715.0)</f>
        <v>45715</v>
      </c>
      <c r="C833" s="3">
        <f>IFERROR(__xludf.DUMMYFUNCTION("""COMPUTED_VALUE"""),40.0)</f>
        <v>40</v>
      </c>
      <c r="D833" s="3" t="str">
        <f>IFERROR(__xludf.DUMMYFUNCTION("""COMPUTED_VALUE"""),"7c5390c8")</f>
        <v>7c5390c8</v>
      </c>
      <c r="E833" s="54">
        <f>IFERROR(__xludf.DUMMYFUNCTION("""COMPUTED_VALUE"""),24000.0)</f>
        <v>24000</v>
      </c>
      <c r="F833" s="3" t="str">
        <f>IFERROR(__xludf.DUMMYFUNCTION("""COMPUTED_VALUE"""),"Chardonnay")</f>
        <v>Chardonnay</v>
      </c>
      <c r="G833" s="3"/>
      <c r="H833" s="3"/>
      <c r="I833" s="3"/>
      <c r="J833" s="3"/>
      <c r="K833" s="57">
        <f>IFERROR(__xludf.DUMMYFUNCTION("""COMPUTED_VALUE"""),3.17)</f>
        <v>3.17</v>
      </c>
      <c r="L833" s="54">
        <f>IFERROR(__xludf.DUMMYFUNCTION("""COMPUTED_VALUE"""),28.160000000000004)</f>
        <v>28.16</v>
      </c>
      <c r="M833" s="3"/>
      <c r="N833" s="3"/>
      <c r="O833" s="3"/>
      <c r="P833" s="3"/>
      <c r="Q833" s="3"/>
      <c r="R833" s="3"/>
      <c r="S833" s="3"/>
      <c r="T833" s="5"/>
      <c r="U833" s="5"/>
      <c r="V833" s="5"/>
      <c r="W833" s="5"/>
    </row>
    <row r="834" ht="15.75" customHeight="1">
      <c r="A834" s="3">
        <f>IFERROR(__xludf.DUMMYFUNCTION("""COMPUTED_VALUE"""),834.0)</f>
        <v>834</v>
      </c>
      <c r="B834" s="53">
        <f>IFERROR(__xludf.DUMMYFUNCTION("""COMPUTED_VALUE"""),45714.0)</f>
        <v>45714</v>
      </c>
      <c r="C834" s="3">
        <f>IFERROR(__xludf.DUMMYFUNCTION("""COMPUTED_VALUE"""),87.0)</f>
        <v>87</v>
      </c>
      <c r="D834" s="3" t="str">
        <f>IFERROR(__xludf.DUMMYFUNCTION("""COMPUTED_VALUE"""),"f3ebcf34")</f>
        <v>f3ebcf34</v>
      </c>
      <c r="E834" s="54">
        <f>IFERROR(__xludf.DUMMYFUNCTION("""COMPUTED_VALUE"""),38200.0)</f>
        <v>38200</v>
      </c>
      <c r="F834" s="3" t="str">
        <f>IFERROR(__xludf.DUMMYFUNCTION("""COMPUTED_VALUE"""),"Merlot Fer")</f>
        <v>Merlot Fer</v>
      </c>
      <c r="G834" s="3"/>
      <c r="H834" s="3"/>
      <c r="I834" s="3"/>
      <c r="J834" s="3"/>
      <c r="K834" s="57">
        <f>IFERROR(__xludf.DUMMYFUNCTION("""COMPUTED_VALUE"""),3.7)</f>
        <v>3.7</v>
      </c>
      <c r="L834" s="54">
        <f>IFERROR(__xludf.DUMMYFUNCTION("""COMPUTED_VALUE"""),23.0)</f>
        <v>23</v>
      </c>
      <c r="M834" s="3">
        <f>IFERROR(__xludf.DUMMYFUNCTION("""COMPUTED_VALUE"""),60.0)</f>
        <v>60</v>
      </c>
      <c r="N834" s="3"/>
      <c r="O834" s="3"/>
      <c r="P834" s="3"/>
      <c r="Q834" s="3"/>
      <c r="R834" s="3"/>
      <c r="S834" s="3"/>
      <c r="T834" s="5"/>
      <c r="U834" s="5">
        <f>IFERROR(__xludf.DUMMYFUNCTION("""COMPUTED_VALUE"""),24.0)</f>
        <v>24</v>
      </c>
      <c r="V834" s="5"/>
      <c r="W834" s="5"/>
    </row>
    <row r="835" ht="15.75" customHeight="1">
      <c r="A835" s="3">
        <f>IFERROR(__xludf.DUMMYFUNCTION("""COMPUTED_VALUE"""),835.0)</f>
        <v>835</v>
      </c>
      <c r="B835" s="53">
        <f>IFERROR(__xludf.DUMMYFUNCTION("""COMPUTED_VALUE"""),45712.0)</f>
        <v>45712</v>
      </c>
      <c r="C835" s="3">
        <f>IFERROR(__xludf.DUMMYFUNCTION("""COMPUTED_VALUE"""),88.0)</f>
        <v>88</v>
      </c>
      <c r="D835" s="3" t="str">
        <f>IFERROR(__xludf.DUMMYFUNCTION("""COMPUTED_VALUE"""),"9adbf19e")</f>
        <v>9adbf19e</v>
      </c>
      <c r="E835" s="54">
        <f>IFERROR(__xludf.DUMMYFUNCTION("""COMPUTED_VALUE"""),42100.0)</f>
        <v>42100</v>
      </c>
      <c r="F835" s="3" t="str">
        <f>IFERROR(__xludf.DUMMYFUNCTION("""COMPUTED_VALUE"""),"Syrah")</f>
        <v>Syrah</v>
      </c>
      <c r="G835" s="3"/>
      <c r="H835" s="3"/>
      <c r="I835" s="3"/>
      <c r="J835" s="3"/>
      <c r="K835" s="57">
        <f>IFERROR(__xludf.DUMMYFUNCTION("""COMPUTED_VALUE"""),3.57)</f>
        <v>3.57</v>
      </c>
      <c r="L835" s="54">
        <f>IFERROR(__xludf.DUMMYFUNCTION("""COMPUTED_VALUE"""),50.0)</f>
        <v>50</v>
      </c>
      <c r="M835" s="3">
        <f>IFERROR(__xludf.DUMMYFUNCTION("""COMPUTED_VALUE"""),79.0)</f>
        <v>79</v>
      </c>
      <c r="N835" s="3"/>
      <c r="O835" s="3"/>
      <c r="P835" s="3"/>
      <c r="Q835" s="3"/>
      <c r="R835" s="3"/>
      <c r="S835" s="3"/>
      <c r="T835" s="5"/>
      <c r="U835" s="5">
        <f>IFERROR(__xludf.DUMMYFUNCTION("""COMPUTED_VALUE"""),24.0)</f>
        <v>24</v>
      </c>
      <c r="V835" s="5"/>
      <c r="W835" s="5"/>
    </row>
    <row r="836" ht="15.75" customHeight="1">
      <c r="A836" s="3">
        <f>IFERROR(__xludf.DUMMYFUNCTION("""COMPUTED_VALUE"""),836.0)</f>
        <v>836</v>
      </c>
      <c r="B836" s="53">
        <f>IFERROR(__xludf.DUMMYFUNCTION("""COMPUTED_VALUE"""),45716.0)</f>
        <v>45716</v>
      </c>
      <c r="C836" s="3">
        <f>IFERROR(__xludf.DUMMYFUNCTION("""COMPUTED_VALUE"""),65.0)</f>
        <v>65</v>
      </c>
      <c r="D836" s="3" t="str">
        <f>IFERROR(__xludf.DUMMYFUNCTION("""COMPUTED_VALUE"""),"e95eaf53")</f>
        <v>e95eaf53</v>
      </c>
      <c r="E836" s="54">
        <f>IFERROR(__xludf.DUMMYFUNCTION("""COMPUTED_VALUE"""),13000.0)</f>
        <v>13000</v>
      </c>
      <c r="F836" s="3" t="str">
        <f>IFERROR(__xludf.DUMMYFUNCTION("""COMPUTED_VALUE"""),"Anccelotta")</f>
        <v>Anccelotta</v>
      </c>
      <c r="G836" s="3"/>
      <c r="H836" s="56">
        <f>IFERROR(__xludf.DUMMYFUNCTION("""COMPUTED_VALUE"""),235.0)</f>
        <v>235</v>
      </c>
      <c r="I836" s="3"/>
      <c r="J836" s="3"/>
      <c r="K836" s="57">
        <f>IFERROR(__xludf.DUMMYFUNCTION("""COMPUTED_VALUE"""),3.56)</f>
        <v>3.56</v>
      </c>
      <c r="L836" s="54">
        <f>IFERROR(__xludf.DUMMYFUNCTION("""COMPUTED_VALUE"""),70.0)</f>
        <v>70</v>
      </c>
      <c r="M836" s="3">
        <f>IFERROR(__xludf.DUMMYFUNCTION("""COMPUTED_VALUE"""),140.0)</f>
        <v>140</v>
      </c>
      <c r="N836" s="3"/>
      <c r="O836" s="3"/>
      <c r="P836" s="3"/>
      <c r="Q836" s="3"/>
      <c r="R836" s="3"/>
      <c r="S836" s="3"/>
      <c r="T836" s="5"/>
      <c r="U836" s="5"/>
      <c r="V836" s="5"/>
      <c r="W836" s="5"/>
    </row>
    <row r="837" ht="15.75" customHeight="1">
      <c r="A837" s="3">
        <f>IFERROR(__xludf.DUMMYFUNCTION("""COMPUTED_VALUE"""),837.0)</f>
        <v>837</v>
      </c>
      <c r="B837" s="53">
        <f>IFERROR(__xludf.DUMMYFUNCTION("""COMPUTED_VALUE"""),45716.0)</f>
        <v>45716</v>
      </c>
      <c r="C837" s="3">
        <f>IFERROR(__xludf.DUMMYFUNCTION("""COMPUTED_VALUE"""),83.0)</f>
        <v>83</v>
      </c>
      <c r="D837" s="3" t="str">
        <f>IFERROR(__xludf.DUMMYFUNCTION("""COMPUTED_VALUE"""),"b45049fe")</f>
        <v>b45049fe</v>
      </c>
      <c r="E837" s="54">
        <f>IFERROR(__xludf.DUMMYFUNCTION("""COMPUTED_VALUE"""),18500.0)</f>
        <v>18500</v>
      </c>
      <c r="F837" s="3" t="str">
        <f>IFERROR(__xludf.DUMMYFUNCTION("""COMPUTED_VALUE"""),"Syrah")</f>
        <v>Syrah</v>
      </c>
      <c r="G837" s="3"/>
      <c r="H837" s="3"/>
      <c r="I837" s="3"/>
      <c r="J837" s="3"/>
      <c r="K837" s="57">
        <f>IFERROR(__xludf.DUMMYFUNCTION("""COMPUTED_VALUE"""),3.46)</f>
        <v>3.46</v>
      </c>
      <c r="L837" s="54">
        <f>IFERROR(__xludf.DUMMYFUNCTION("""COMPUTED_VALUE"""),15.0)</f>
        <v>15</v>
      </c>
      <c r="M837" s="3">
        <f>IFERROR(__xludf.DUMMYFUNCTION("""COMPUTED_VALUE"""),40.0)</f>
        <v>40</v>
      </c>
      <c r="N837" s="3"/>
      <c r="O837" s="3"/>
      <c r="P837" s="3"/>
      <c r="Q837" s="3"/>
      <c r="R837" s="3"/>
      <c r="S837" s="3"/>
      <c r="T837" s="5"/>
      <c r="U837" s="5">
        <f>IFERROR(__xludf.DUMMYFUNCTION("""COMPUTED_VALUE"""),28.0)</f>
        <v>28</v>
      </c>
      <c r="V837" s="5"/>
      <c r="W837" s="5"/>
    </row>
    <row r="838" ht="15.75" customHeight="1">
      <c r="A838" s="3">
        <f>IFERROR(__xludf.DUMMYFUNCTION("""COMPUTED_VALUE"""),838.0)</f>
        <v>838</v>
      </c>
      <c r="B838" s="53">
        <f>IFERROR(__xludf.DUMMYFUNCTION("""COMPUTED_VALUE"""),45716.0)</f>
        <v>45716</v>
      </c>
      <c r="C838" s="3">
        <f>IFERROR(__xludf.DUMMYFUNCTION("""COMPUTED_VALUE"""),86.0)</f>
        <v>86</v>
      </c>
      <c r="D838" s="3" t="str">
        <f>IFERROR(__xludf.DUMMYFUNCTION("""COMPUTED_VALUE"""),"3b2a1e70")</f>
        <v>3b2a1e70</v>
      </c>
      <c r="E838" s="54">
        <f>IFERROR(__xludf.DUMMYFUNCTION("""COMPUTED_VALUE"""),47200.0)</f>
        <v>47200</v>
      </c>
      <c r="F838" s="3" t="str">
        <f>IFERROR(__xludf.DUMMYFUNCTION("""COMPUTED_VALUE"""),"Syrah Tempranillo s/Asp 2da")</f>
        <v>Syrah Tempranillo s/Asp 2da</v>
      </c>
      <c r="G838" s="3"/>
      <c r="H838" s="56">
        <f>IFERROR(__xludf.DUMMYFUNCTION("""COMPUTED_VALUE"""),2.9)</f>
        <v>2.9</v>
      </c>
      <c r="I838" s="57">
        <f>IFERROR(__xludf.DUMMYFUNCTION("""COMPUTED_VALUE"""),0.55)</f>
        <v>0.55</v>
      </c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5"/>
      <c r="U838" s="5"/>
      <c r="V838" s="5"/>
      <c r="W838" s="5"/>
    </row>
    <row r="839" ht="15.75" customHeight="1">
      <c r="A839" s="3">
        <f>IFERROR(__xludf.DUMMYFUNCTION("""COMPUTED_VALUE"""),839.0)</f>
        <v>839</v>
      </c>
      <c r="B839" s="53">
        <f>IFERROR(__xludf.DUMMYFUNCTION("""COMPUTED_VALUE"""),45716.0)</f>
        <v>45716</v>
      </c>
      <c r="C839" s="3">
        <f>IFERROR(__xludf.DUMMYFUNCTION("""COMPUTED_VALUE"""),85.0)</f>
        <v>85</v>
      </c>
      <c r="D839" s="3" t="str">
        <f>IFERROR(__xludf.DUMMYFUNCTION("""COMPUTED_VALUE"""),"245cd9d6")</f>
        <v>245cd9d6</v>
      </c>
      <c r="E839" s="54">
        <f>IFERROR(__xludf.DUMMYFUNCTION("""COMPUTED_VALUE"""),30800.0)</f>
        <v>30800</v>
      </c>
      <c r="F839" s="3" t="str">
        <f>IFERROR(__xludf.DUMMYFUNCTION("""COMPUTED_VALUE"""),"Syrah s/Asp 2da")</f>
        <v>Syrah s/Asp 2da</v>
      </c>
      <c r="G839" s="3"/>
      <c r="H839" s="56">
        <f>IFERROR(__xludf.DUMMYFUNCTION("""COMPUTED_VALUE"""),2.5)</f>
        <v>2.5</v>
      </c>
      <c r="I839" s="57">
        <f>IFERROR(__xludf.DUMMYFUNCTION("""COMPUTED_VALUE"""),0.52)</f>
        <v>0.52</v>
      </c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5"/>
      <c r="U839" s="5"/>
      <c r="V839" s="5"/>
      <c r="W839" s="5"/>
    </row>
    <row r="840" ht="15.75" customHeight="1">
      <c r="A840" s="3">
        <f>IFERROR(__xludf.DUMMYFUNCTION("""COMPUTED_VALUE"""),840.0)</f>
        <v>840</v>
      </c>
      <c r="B840" s="53">
        <f>IFERROR(__xludf.DUMMYFUNCTION("""COMPUTED_VALUE"""),45716.0)</f>
        <v>45716</v>
      </c>
      <c r="C840" s="3">
        <f>IFERROR(__xludf.DUMMYFUNCTION("""COMPUTED_VALUE"""),84.0)</f>
        <v>84</v>
      </c>
      <c r="D840" s="3" t="str">
        <f>IFERROR(__xludf.DUMMYFUNCTION("""COMPUTED_VALUE"""),"7082548e")</f>
        <v>7082548e</v>
      </c>
      <c r="E840" s="54">
        <f>IFERROR(__xludf.DUMMYFUNCTION("""COMPUTED_VALUE"""),39000.0)</f>
        <v>39000</v>
      </c>
      <c r="F840" s="3" t="str">
        <f>IFERROR(__xludf.DUMMYFUNCTION("""COMPUTED_VALUE"""),"Syrah Colom s/Asp 2")</f>
        <v>Syrah Colom s/Asp 2</v>
      </c>
      <c r="G840" s="3"/>
      <c r="H840" s="56">
        <f>IFERROR(__xludf.DUMMYFUNCTION("""COMPUTED_VALUE"""),5.0)</f>
        <v>5</v>
      </c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5"/>
      <c r="U840" s="5"/>
      <c r="V840" s="5"/>
      <c r="W840" s="5"/>
    </row>
    <row r="841" ht="15.75" customHeight="1">
      <c r="A841" s="3">
        <f>IFERROR(__xludf.DUMMYFUNCTION("""COMPUTED_VALUE"""),841.0)</f>
        <v>841</v>
      </c>
      <c r="B841" s="53">
        <f>IFERROR(__xludf.DUMMYFUNCTION("""COMPUTED_VALUE"""),45716.0)</f>
        <v>45716</v>
      </c>
      <c r="C841" s="3">
        <f>IFERROR(__xludf.DUMMYFUNCTION("""COMPUTED_VALUE"""),80.0)</f>
        <v>80</v>
      </c>
      <c r="D841" s="3" t="str">
        <f>IFERROR(__xludf.DUMMYFUNCTION("""COMPUTED_VALUE"""),"7525cd32")</f>
        <v>7525cd32</v>
      </c>
      <c r="E841" s="54">
        <f>IFERROR(__xludf.DUMMYFUNCTION("""COMPUTED_VALUE"""),13000.0)</f>
        <v>13000</v>
      </c>
      <c r="F841" s="3" t="str">
        <f>IFERROR(__xludf.DUMMYFUNCTION("""COMPUTED_VALUE"""),"Syrah s/Asp 2da")</f>
        <v>Syrah s/Asp 2da</v>
      </c>
      <c r="G841" s="3"/>
      <c r="H841" s="56">
        <f>IFERROR(__xludf.DUMMYFUNCTION("""COMPUTED_VALUE"""),4.5)</f>
        <v>4.5</v>
      </c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5"/>
      <c r="U841" s="5"/>
      <c r="V841" s="5"/>
      <c r="W841" s="5"/>
    </row>
    <row r="842" ht="15.75" customHeight="1">
      <c r="A842" s="3">
        <f>IFERROR(__xludf.DUMMYFUNCTION("""COMPUTED_VALUE"""),842.0)</f>
        <v>842</v>
      </c>
      <c r="B842" s="53">
        <f>IFERROR(__xludf.DUMMYFUNCTION("""COMPUTED_VALUE"""),45717.0)</f>
        <v>45717</v>
      </c>
      <c r="C842" s="3">
        <f>IFERROR(__xludf.DUMMYFUNCTION("""COMPUTED_VALUE"""),68.0)</f>
        <v>68</v>
      </c>
      <c r="D842" s="3" t="str">
        <f>IFERROR(__xludf.DUMMYFUNCTION("""COMPUTED_VALUE"""),"4adbcbaf")</f>
        <v>4adbcbaf</v>
      </c>
      <c r="E842" s="54">
        <f>IFERROR(__xludf.DUMMYFUNCTION("""COMPUTED_VALUE"""),8000.0)</f>
        <v>8000</v>
      </c>
      <c r="F842" s="3" t="str">
        <f>IFERROR(__xludf.DUMMYFUNCTION("""COMPUTED_VALUE"""),"Syrah")</f>
        <v>Syrah</v>
      </c>
      <c r="G842" s="3"/>
      <c r="H842" s="56">
        <f>IFERROR(__xludf.DUMMYFUNCTION("""COMPUTED_VALUE"""),250.0)</f>
        <v>250</v>
      </c>
      <c r="I842" s="3"/>
      <c r="J842" s="3"/>
      <c r="K842" s="57">
        <f>IFERROR(__xludf.DUMMYFUNCTION("""COMPUTED_VALUE"""),3.62)</f>
        <v>3.62</v>
      </c>
      <c r="L842" s="54">
        <f>IFERROR(__xludf.DUMMYFUNCTION("""COMPUTED_VALUE"""),20.0)</f>
        <v>20</v>
      </c>
      <c r="M842" s="3"/>
      <c r="N842" s="3"/>
      <c r="O842" s="3"/>
      <c r="P842" s="3"/>
      <c r="Q842" s="3"/>
      <c r="R842" s="3"/>
      <c r="S842" s="3"/>
      <c r="T842" s="5"/>
      <c r="U842" s="5"/>
      <c r="V842" s="5"/>
      <c r="W842" s="5"/>
    </row>
    <row r="843" ht="15.75" customHeight="1">
      <c r="A843" s="3">
        <f>IFERROR(__xludf.DUMMYFUNCTION("""COMPUTED_VALUE"""),843.0)</f>
        <v>843</v>
      </c>
      <c r="B843" s="53">
        <f>IFERROR(__xludf.DUMMYFUNCTION("""COMPUTED_VALUE"""),45717.0)</f>
        <v>45717</v>
      </c>
      <c r="C843" s="3">
        <f>IFERROR(__xludf.DUMMYFUNCTION("""COMPUTED_VALUE"""),65.0)</f>
        <v>65</v>
      </c>
      <c r="D843" s="3" t="str">
        <f>IFERROR(__xludf.DUMMYFUNCTION("""COMPUTED_VALUE"""),"15e7b86f")</f>
        <v>15e7b86f</v>
      </c>
      <c r="E843" s="54">
        <f>IFERROR(__xludf.DUMMYFUNCTION("""COMPUTED_VALUE"""),24500.0)</f>
        <v>24500</v>
      </c>
      <c r="F843" s="3" t="str">
        <f>IFERROR(__xludf.DUMMYFUNCTION("""COMPUTED_VALUE"""),"Anccelotta")</f>
        <v>Anccelotta</v>
      </c>
      <c r="G843" s="3"/>
      <c r="H843" s="56">
        <f>IFERROR(__xludf.DUMMYFUNCTION("""COMPUTED_VALUE"""),220.0)</f>
        <v>220</v>
      </c>
      <c r="I843" s="3"/>
      <c r="J843" s="3"/>
      <c r="K843" s="57">
        <f>IFERROR(__xludf.DUMMYFUNCTION("""COMPUTED_VALUE"""),3.51)</f>
        <v>3.51</v>
      </c>
      <c r="L843" s="54">
        <f>IFERROR(__xludf.DUMMYFUNCTION("""COMPUTED_VALUE"""),15.0)</f>
        <v>15</v>
      </c>
      <c r="M843" s="3"/>
      <c r="N843" s="3"/>
      <c r="O843" s="3"/>
      <c r="P843" s="3"/>
      <c r="Q843" s="3"/>
      <c r="R843" s="3"/>
      <c r="S843" s="3"/>
      <c r="T843" s="5"/>
      <c r="U843" s="5"/>
      <c r="V843" s="5"/>
      <c r="W843" s="5"/>
    </row>
    <row r="844" ht="15.75" customHeight="1">
      <c r="A844" s="3">
        <f>IFERROR(__xludf.DUMMYFUNCTION("""COMPUTED_VALUE"""),844.0)</f>
        <v>844</v>
      </c>
      <c r="B844" s="53">
        <f>IFERROR(__xludf.DUMMYFUNCTION("""COMPUTED_VALUE"""),45719.0)</f>
        <v>45719</v>
      </c>
      <c r="C844" s="3">
        <f>IFERROR(__xludf.DUMMYFUNCTION("""COMPUTED_VALUE"""),103.0)</f>
        <v>103</v>
      </c>
      <c r="D844" s="3" t="str">
        <f>IFERROR(__xludf.DUMMYFUNCTION("""COMPUTED_VALUE"""),"a22cb4a2")</f>
        <v>a22cb4a2</v>
      </c>
      <c r="E844" s="54">
        <f>IFERROR(__xludf.DUMMYFUNCTION("""COMPUTED_VALUE"""),30000.0)</f>
        <v>30000</v>
      </c>
      <c r="F844" s="3" t="str">
        <f>IFERROR(__xludf.DUMMYFUNCTION("""COMPUTED_VALUE"""),"Aspirat")</f>
        <v>Aspirat</v>
      </c>
      <c r="G844" s="3"/>
      <c r="H844" s="3"/>
      <c r="I844" s="3"/>
      <c r="J844" s="3"/>
      <c r="K844" s="3"/>
      <c r="L844" s="54">
        <f>IFERROR(__xludf.DUMMYFUNCTION("""COMPUTED_VALUE"""),38.0)</f>
        <v>38</v>
      </c>
      <c r="M844" s="3"/>
      <c r="N844" s="3"/>
      <c r="O844" s="3"/>
      <c r="P844" s="3"/>
      <c r="Q844" s="3"/>
      <c r="R844" s="3"/>
      <c r="S844" s="3"/>
      <c r="T844" s="5"/>
      <c r="U844" s="5"/>
      <c r="V844" s="5"/>
      <c r="W844" s="5"/>
    </row>
    <row r="845" ht="15.75" customHeight="1">
      <c r="A845" s="3">
        <f>IFERROR(__xludf.DUMMYFUNCTION("""COMPUTED_VALUE"""),845.0)</f>
        <v>845</v>
      </c>
      <c r="B845" s="53">
        <f>IFERROR(__xludf.DUMMYFUNCTION("""COMPUTED_VALUE"""),45719.0)</f>
        <v>45719</v>
      </c>
      <c r="C845" s="3">
        <f>IFERROR(__xludf.DUMMYFUNCTION("""COMPUTED_VALUE"""),104.0)</f>
        <v>104</v>
      </c>
      <c r="D845" s="3" t="str">
        <f>IFERROR(__xludf.DUMMYFUNCTION("""COMPUTED_VALUE"""),"d7af693c")</f>
        <v>d7af693c</v>
      </c>
      <c r="E845" s="54">
        <f>IFERROR(__xludf.DUMMYFUNCTION("""COMPUTED_VALUE"""),29000.0)</f>
        <v>29000</v>
      </c>
      <c r="F845" s="3" t="str">
        <f>IFERROR(__xludf.DUMMYFUNCTION("""COMPUTED_VALUE"""),"Malbec Gota")</f>
        <v>Malbec Gota</v>
      </c>
      <c r="G845" s="3"/>
      <c r="H845" s="3"/>
      <c r="I845" s="3"/>
      <c r="J845" s="3"/>
      <c r="K845" s="57">
        <f>IFERROR(__xludf.DUMMYFUNCTION("""COMPUTED_VALUE"""),3.45)</f>
        <v>3.45</v>
      </c>
      <c r="L845" s="54">
        <f>IFERROR(__xludf.DUMMYFUNCTION("""COMPUTED_VALUE"""),25.0)</f>
        <v>25</v>
      </c>
      <c r="M845" s="3">
        <f>IFERROR(__xludf.DUMMYFUNCTION("""COMPUTED_VALUE"""),102.0)</f>
        <v>102</v>
      </c>
      <c r="N845" s="3"/>
      <c r="O845" s="3"/>
      <c r="P845" s="3"/>
      <c r="Q845" s="3"/>
      <c r="R845" s="3"/>
      <c r="S845" s="3"/>
      <c r="T845" s="5"/>
      <c r="U845" s="5"/>
      <c r="V845" s="5"/>
      <c r="W845" s="5"/>
    </row>
    <row r="846" ht="15.75" customHeight="1">
      <c r="A846" s="3">
        <f>IFERROR(__xludf.DUMMYFUNCTION("""COMPUTED_VALUE"""),846.0)</f>
        <v>846</v>
      </c>
      <c r="B846" s="53">
        <f>IFERROR(__xludf.DUMMYFUNCTION("""COMPUTED_VALUE"""),45719.0)</f>
        <v>45719</v>
      </c>
      <c r="C846" s="3">
        <f>IFERROR(__xludf.DUMMYFUNCTION("""COMPUTED_VALUE"""),105.0)</f>
        <v>105</v>
      </c>
      <c r="D846" s="3" t="str">
        <f>IFERROR(__xludf.DUMMYFUNCTION("""COMPUTED_VALUE"""),"7ad5b1b2")</f>
        <v>7ad5b1b2</v>
      </c>
      <c r="E846" s="54">
        <f>IFERROR(__xludf.DUMMYFUNCTION("""COMPUTED_VALUE"""),30000.0)</f>
        <v>30000</v>
      </c>
      <c r="F846" s="3" t="str">
        <f>IFERROR(__xludf.DUMMYFUNCTION("""COMPUTED_VALUE"""),"Malbec con Merlot s/Asp")</f>
        <v>Malbec con Merlot s/Asp</v>
      </c>
      <c r="G846" s="3"/>
      <c r="H846" s="3"/>
      <c r="I846" s="3"/>
      <c r="J846" s="3"/>
      <c r="K846" s="57">
        <f>IFERROR(__xludf.DUMMYFUNCTION("""COMPUTED_VALUE"""),3.44)</f>
        <v>3.44</v>
      </c>
      <c r="L846" s="54">
        <f>IFERROR(__xludf.DUMMYFUNCTION("""COMPUTED_VALUE"""),39.0)</f>
        <v>39</v>
      </c>
      <c r="M846" s="3">
        <f>IFERROR(__xludf.DUMMYFUNCTION("""COMPUTED_VALUE"""),96.0)</f>
        <v>96</v>
      </c>
      <c r="N846" s="3"/>
      <c r="O846" s="3"/>
      <c r="P846" s="3"/>
      <c r="Q846" s="3"/>
      <c r="R846" s="3"/>
      <c r="S846" s="3"/>
      <c r="T846" s="5"/>
      <c r="U846" s="5"/>
      <c r="V846" s="5"/>
      <c r="W846" s="5"/>
    </row>
    <row r="847" ht="15.75" customHeight="1">
      <c r="A847" s="3">
        <f>IFERROR(__xludf.DUMMYFUNCTION("""COMPUTED_VALUE"""),847.0)</f>
        <v>847</v>
      </c>
      <c r="B847" s="53">
        <f>IFERROR(__xludf.DUMMYFUNCTION("""COMPUTED_VALUE"""),45719.0)</f>
        <v>45719</v>
      </c>
      <c r="C847" s="3">
        <f>IFERROR(__xludf.DUMMYFUNCTION("""COMPUTED_VALUE"""),106.0)</f>
        <v>106</v>
      </c>
      <c r="D847" s="3" t="str">
        <f>IFERROR(__xludf.DUMMYFUNCTION("""COMPUTED_VALUE"""),"00bdd4ad")</f>
        <v>00bdd4ad</v>
      </c>
      <c r="E847" s="54">
        <f>IFERROR(__xludf.DUMMYFUNCTION("""COMPUTED_VALUE"""),11000.0)</f>
        <v>11000</v>
      </c>
      <c r="F847" s="3" t="str">
        <f>IFERROR(__xludf.DUMMYFUNCTION("""COMPUTED_VALUE"""),"Merlot s/Asp")</f>
        <v>Merlot s/Asp</v>
      </c>
      <c r="G847" s="3"/>
      <c r="H847" s="3"/>
      <c r="I847" s="3"/>
      <c r="J847" s="3"/>
      <c r="K847" s="57">
        <f>IFERROR(__xludf.DUMMYFUNCTION("""COMPUTED_VALUE"""),3.4)</f>
        <v>3.4</v>
      </c>
      <c r="L847" s="54">
        <f>IFERROR(__xludf.DUMMYFUNCTION("""COMPUTED_VALUE"""),33.0)</f>
        <v>33</v>
      </c>
      <c r="M847" s="3">
        <f>IFERROR(__xludf.DUMMYFUNCTION("""COMPUTED_VALUE"""),94.0)</f>
        <v>94</v>
      </c>
      <c r="N847" s="3"/>
      <c r="O847" s="3"/>
      <c r="P847" s="3"/>
      <c r="Q847" s="3"/>
      <c r="R847" s="3"/>
      <c r="S847" s="3"/>
      <c r="T847" s="5"/>
      <c r="U847" s="5"/>
      <c r="V847" s="5"/>
      <c r="W847" s="5"/>
    </row>
    <row r="848" ht="15.75" customHeight="1">
      <c r="A848" s="3">
        <f>IFERROR(__xludf.DUMMYFUNCTION("""COMPUTED_VALUE"""),848.0)</f>
        <v>848</v>
      </c>
      <c r="B848" s="53">
        <f>IFERROR(__xludf.DUMMYFUNCTION("""COMPUTED_VALUE"""),45719.0)</f>
        <v>45719</v>
      </c>
      <c r="C848" s="3">
        <f>IFERROR(__xludf.DUMMYFUNCTION("""COMPUTED_VALUE"""),108.0)</f>
        <v>108</v>
      </c>
      <c r="D848" s="3" t="str">
        <f>IFERROR(__xludf.DUMMYFUNCTION("""COMPUTED_VALUE"""),"a1ad6cb4")</f>
        <v>a1ad6cb4</v>
      </c>
      <c r="E848" s="54">
        <f>IFERROR(__xludf.DUMMYFUNCTION("""COMPUTED_VALUE"""),7500.0)</f>
        <v>7500</v>
      </c>
      <c r="F848" s="3" t="str">
        <f>IFERROR(__xludf.DUMMYFUNCTION("""COMPUTED_VALUE"""),"Syrah Merlot s/Asp Gota")</f>
        <v>Syrah Merlot s/Asp Gota</v>
      </c>
      <c r="G848" s="3"/>
      <c r="H848" s="3"/>
      <c r="I848" s="3"/>
      <c r="J848" s="3"/>
      <c r="K848" s="57">
        <f>IFERROR(__xludf.DUMMYFUNCTION("""COMPUTED_VALUE"""),3.41)</f>
        <v>3.41</v>
      </c>
      <c r="L848" s="54">
        <f>IFERROR(__xludf.DUMMYFUNCTION("""COMPUTED_VALUE"""),31.0)</f>
        <v>31</v>
      </c>
      <c r="M848" s="3">
        <f>IFERROR(__xludf.DUMMYFUNCTION("""COMPUTED_VALUE"""),88.0)</f>
        <v>88</v>
      </c>
      <c r="N848" s="3"/>
      <c r="O848" s="3"/>
      <c r="P848" s="3"/>
      <c r="Q848" s="3"/>
      <c r="R848" s="3"/>
      <c r="S848" s="3"/>
      <c r="T848" s="5"/>
      <c r="U848" s="5"/>
      <c r="V848" s="5"/>
      <c r="W848" s="5"/>
    </row>
    <row r="849" ht="15.75" customHeight="1">
      <c r="A849" s="3">
        <f>IFERROR(__xludf.DUMMYFUNCTION("""COMPUTED_VALUE"""),849.0)</f>
        <v>849</v>
      </c>
      <c r="B849" s="53">
        <f>IFERROR(__xludf.DUMMYFUNCTION("""COMPUTED_VALUE"""),45719.0)</f>
        <v>45719</v>
      </c>
      <c r="C849" s="3">
        <f>IFERROR(__xludf.DUMMYFUNCTION("""COMPUTED_VALUE"""),109.0)</f>
        <v>109</v>
      </c>
      <c r="D849" s="3" t="str">
        <f>IFERROR(__xludf.DUMMYFUNCTION("""COMPUTED_VALUE"""),"d6ff9a07")</f>
        <v>d6ff9a07</v>
      </c>
      <c r="E849" s="54">
        <f>IFERROR(__xludf.DUMMYFUNCTION("""COMPUTED_VALUE"""),24000.0)</f>
        <v>24000</v>
      </c>
      <c r="F849" s="3" t="str">
        <f>IFERROR(__xludf.DUMMYFUNCTION("""COMPUTED_VALUE"""),"Merlot s/Asp descube")</f>
        <v>Merlot s/Asp descube</v>
      </c>
      <c r="G849" s="3"/>
      <c r="H849" s="3"/>
      <c r="I849" s="3"/>
      <c r="J849" s="3"/>
      <c r="K849" s="57">
        <f>IFERROR(__xludf.DUMMYFUNCTION("""COMPUTED_VALUE"""),3.4)</f>
        <v>3.4</v>
      </c>
      <c r="L849" s="54">
        <f>IFERROR(__xludf.DUMMYFUNCTION("""COMPUTED_VALUE"""),34.0)</f>
        <v>34</v>
      </c>
      <c r="M849" s="3">
        <f>IFERROR(__xludf.DUMMYFUNCTION("""COMPUTED_VALUE"""),100.0)</f>
        <v>100</v>
      </c>
      <c r="N849" s="3"/>
      <c r="O849" s="3"/>
      <c r="P849" s="3"/>
      <c r="Q849" s="3"/>
      <c r="R849" s="3"/>
      <c r="S849" s="3"/>
      <c r="T849" s="5"/>
      <c r="U849" s="5"/>
      <c r="V849" s="5"/>
      <c r="W849" s="5"/>
    </row>
    <row r="850" ht="15.75" customHeight="1">
      <c r="A850" s="3">
        <f>IFERROR(__xludf.DUMMYFUNCTION("""COMPUTED_VALUE"""),850.0)</f>
        <v>850</v>
      </c>
      <c r="B850" s="53">
        <f>IFERROR(__xludf.DUMMYFUNCTION("""COMPUTED_VALUE"""),45719.0)</f>
        <v>45719</v>
      </c>
      <c r="C850" s="3">
        <f>IFERROR(__xludf.DUMMYFUNCTION("""COMPUTED_VALUE"""),110.0)</f>
        <v>110</v>
      </c>
      <c r="D850" s="3" t="str">
        <f>IFERROR(__xludf.DUMMYFUNCTION("""COMPUTED_VALUE"""),"13d1574d")</f>
        <v>13d1574d</v>
      </c>
      <c r="E850" s="54">
        <f>IFERROR(__xludf.DUMMYFUNCTION("""COMPUTED_VALUE"""),13000.0)</f>
        <v>13000</v>
      </c>
      <c r="F850" s="3" t="str">
        <f>IFERROR(__xludf.DUMMYFUNCTION("""COMPUTED_VALUE"""),"Merlot s/Asp descube")</f>
        <v>Merlot s/Asp descube</v>
      </c>
      <c r="G850" s="3"/>
      <c r="H850" s="3"/>
      <c r="I850" s="3"/>
      <c r="J850" s="3"/>
      <c r="K850" s="57">
        <f>IFERROR(__xludf.DUMMYFUNCTION("""COMPUTED_VALUE"""),3.41)</f>
        <v>3.41</v>
      </c>
      <c r="L850" s="54">
        <f>IFERROR(__xludf.DUMMYFUNCTION("""COMPUTED_VALUE"""),41.0)</f>
        <v>41</v>
      </c>
      <c r="M850" s="3">
        <f>IFERROR(__xludf.DUMMYFUNCTION("""COMPUTED_VALUE"""),120.0)</f>
        <v>120</v>
      </c>
      <c r="N850" s="3"/>
      <c r="O850" s="3"/>
      <c r="P850" s="3"/>
      <c r="Q850" s="3"/>
      <c r="R850" s="3"/>
      <c r="S850" s="3"/>
      <c r="T850" s="5"/>
      <c r="U850" s="5"/>
      <c r="V850" s="5"/>
      <c r="W850" s="5"/>
    </row>
    <row r="851" ht="15.75" customHeight="1">
      <c r="A851" s="3">
        <f>IFERROR(__xludf.DUMMYFUNCTION("""COMPUTED_VALUE"""),851.0)</f>
        <v>851</v>
      </c>
      <c r="B851" s="53">
        <f>IFERROR(__xludf.DUMMYFUNCTION("""COMPUTED_VALUE"""),45719.0)</f>
        <v>45719</v>
      </c>
      <c r="C851" s="3">
        <f>IFERROR(__xludf.DUMMYFUNCTION("""COMPUTED_VALUE"""),77.0)</f>
        <v>77</v>
      </c>
      <c r="D851" s="3" t="str">
        <f>IFERROR(__xludf.DUMMYFUNCTION("""COMPUTED_VALUE"""),"cedc0dc0")</f>
        <v>cedc0dc0</v>
      </c>
      <c r="E851" s="54">
        <f>IFERROR(__xludf.DUMMYFUNCTION("""COMPUTED_VALUE"""),25000.0)</f>
        <v>25000</v>
      </c>
      <c r="F851" s="3" t="str">
        <f>IFERROR(__xludf.DUMMYFUNCTION("""COMPUTED_VALUE"""),"Chardonnay")</f>
        <v>Chardonnay</v>
      </c>
      <c r="G851" s="3"/>
      <c r="H851" s="56">
        <f>IFERROR(__xludf.DUMMYFUNCTION("""COMPUTED_VALUE"""),2.0)</f>
        <v>2</v>
      </c>
      <c r="I851" s="3"/>
      <c r="J851" s="57">
        <f>IFERROR(__xludf.DUMMYFUNCTION("""COMPUTED_VALUE"""),5.7375)</f>
        <v>5.7375</v>
      </c>
      <c r="K851" s="57">
        <f>IFERROR(__xludf.DUMMYFUNCTION("""COMPUTED_VALUE"""),3.34)</f>
        <v>3.34</v>
      </c>
      <c r="L851" s="54">
        <f>IFERROR(__xludf.DUMMYFUNCTION("""COMPUTED_VALUE"""),18.0)</f>
        <v>18</v>
      </c>
      <c r="M851" s="3"/>
      <c r="N851" s="3"/>
      <c r="O851" s="3"/>
      <c r="P851" s="3"/>
      <c r="Q851" s="3"/>
      <c r="R851" s="3"/>
      <c r="S851" s="3"/>
      <c r="T851" s="5"/>
      <c r="U851" s="5"/>
      <c r="V851" s="5"/>
      <c r="W851" s="5"/>
    </row>
    <row r="852" ht="15.75" customHeight="1">
      <c r="A852" s="3">
        <f>IFERROR(__xludf.DUMMYFUNCTION("""COMPUTED_VALUE"""),852.0)</f>
        <v>852</v>
      </c>
      <c r="B852" s="53">
        <f>IFERROR(__xludf.DUMMYFUNCTION("""COMPUTED_VALUE"""),45719.0)</f>
        <v>45719</v>
      </c>
      <c r="C852" s="3">
        <f>IFERROR(__xludf.DUMMYFUNCTION("""COMPUTED_VALUE"""),78.0)</f>
        <v>78</v>
      </c>
      <c r="D852" s="3" t="str">
        <f>IFERROR(__xludf.DUMMYFUNCTION("""COMPUTED_VALUE"""),"7e515c96")</f>
        <v>7e515c96</v>
      </c>
      <c r="E852" s="54">
        <f>IFERROR(__xludf.DUMMYFUNCTION("""COMPUTED_VALUE"""),24000.0)</f>
        <v>24000</v>
      </c>
      <c r="F852" s="3" t="str">
        <f>IFERROR(__xludf.DUMMYFUNCTION("""COMPUTED_VALUE"""),"Chardonnay")</f>
        <v>Chardonnay</v>
      </c>
      <c r="G852" s="3"/>
      <c r="H852" s="56">
        <f>IFERROR(__xludf.DUMMYFUNCTION("""COMPUTED_VALUE"""),2.0)</f>
        <v>2</v>
      </c>
      <c r="I852" s="3"/>
      <c r="J852" s="57">
        <f>IFERROR(__xludf.DUMMYFUNCTION("""COMPUTED_VALUE"""),6.5025)</f>
        <v>6.5025</v>
      </c>
      <c r="K852" s="57">
        <f>IFERROR(__xludf.DUMMYFUNCTION("""COMPUTED_VALUE"""),3.15)</f>
        <v>3.15</v>
      </c>
      <c r="L852" s="54">
        <f>IFERROR(__xludf.DUMMYFUNCTION("""COMPUTED_VALUE"""),13.0)</f>
        <v>13</v>
      </c>
      <c r="M852" s="3"/>
      <c r="N852" s="3"/>
      <c r="O852" s="3"/>
      <c r="P852" s="3"/>
      <c r="Q852" s="3"/>
      <c r="R852" s="3"/>
      <c r="S852" s="3"/>
      <c r="T852" s="5"/>
      <c r="U852" s="5"/>
      <c r="V852" s="5"/>
      <c r="W852" s="5"/>
    </row>
    <row r="853" ht="15.75" customHeight="1">
      <c r="A853" s="3">
        <f>IFERROR(__xludf.DUMMYFUNCTION("""COMPUTED_VALUE"""),853.0)</f>
        <v>853</v>
      </c>
      <c r="B853" s="53">
        <f>IFERROR(__xludf.DUMMYFUNCTION("""COMPUTED_VALUE"""),45719.0)</f>
        <v>45719</v>
      </c>
      <c r="C853" s="3">
        <f>IFERROR(__xludf.DUMMYFUNCTION("""COMPUTED_VALUE"""),79.0)</f>
        <v>79</v>
      </c>
      <c r="D853" s="3" t="str">
        <f>IFERROR(__xludf.DUMMYFUNCTION("""COMPUTED_VALUE"""),"dae2c109")</f>
        <v>dae2c109</v>
      </c>
      <c r="E853" s="54">
        <f>IFERROR(__xludf.DUMMYFUNCTION("""COMPUTED_VALUE"""),24000.0)</f>
        <v>24000</v>
      </c>
      <c r="F853" s="3" t="str">
        <f>IFERROR(__xludf.DUMMYFUNCTION("""COMPUTED_VALUE"""),"Chardonnay")</f>
        <v>Chardonnay</v>
      </c>
      <c r="G853" s="3"/>
      <c r="H853" s="56">
        <f>IFERROR(__xludf.DUMMYFUNCTION("""COMPUTED_VALUE"""),2.0)</f>
        <v>2</v>
      </c>
      <c r="I853" s="3"/>
      <c r="J853" s="57">
        <f>IFERROR(__xludf.DUMMYFUNCTION("""COMPUTED_VALUE"""),6.273)</f>
        <v>6.273</v>
      </c>
      <c r="K853" s="57">
        <f>IFERROR(__xludf.DUMMYFUNCTION("""COMPUTED_VALUE"""),3.18)</f>
        <v>3.18</v>
      </c>
      <c r="L853" s="54">
        <f>IFERROR(__xludf.DUMMYFUNCTION("""COMPUTED_VALUE"""),13.0)</f>
        <v>13</v>
      </c>
      <c r="M853" s="3"/>
      <c r="N853" s="3"/>
      <c r="O853" s="3"/>
      <c r="P853" s="3"/>
      <c r="Q853" s="3"/>
      <c r="R853" s="3"/>
      <c r="S853" s="3"/>
      <c r="T853" s="5"/>
      <c r="U853" s="5"/>
      <c r="V853" s="5"/>
      <c r="W853" s="5"/>
    </row>
    <row r="854" ht="15.75" customHeight="1">
      <c r="A854" s="3">
        <f>IFERROR(__xludf.DUMMYFUNCTION("""COMPUTED_VALUE"""),854.0)</f>
        <v>854</v>
      </c>
      <c r="B854" s="53">
        <f>IFERROR(__xludf.DUMMYFUNCTION("""COMPUTED_VALUE"""),45719.0)</f>
        <v>45719</v>
      </c>
      <c r="C854" s="3">
        <f>IFERROR(__xludf.DUMMYFUNCTION("""COMPUTED_VALUE"""),81.0)</f>
        <v>81</v>
      </c>
      <c r="D854" s="3" t="str">
        <f>IFERROR(__xludf.DUMMYFUNCTION("""COMPUTED_VALUE"""),"861200f5")</f>
        <v>861200f5</v>
      </c>
      <c r="E854" s="54">
        <f>IFERROR(__xludf.DUMMYFUNCTION("""COMPUTED_VALUE"""),24000.0)</f>
        <v>24000</v>
      </c>
      <c r="F854" s="3" t="str">
        <f>IFERROR(__xludf.DUMMYFUNCTION("""COMPUTED_VALUE"""),"Chardonnay")</f>
        <v>Chardonnay</v>
      </c>
      <c r="G854" s="3"/>
      <c r="H854" s="56">
        <f>IFERROR(__xludf.DUMMYFUNCTION("""COMPUTED_VALUE"""),2.0)</f>
        <v>2</v>
      </c>
      <c r="I854" s="3"/>
      <c r="J854" s="57">
        <f>IFERROR(__xludf.DUMMYFUNCTION("""COMPUTED_VALUE"""),6.885)</f>
        <v>6.885</v>
      </c>
      <c r="K854" s="57">
        <f>IFERROR(__xludf.DUMMYFUNCTION("""COMPUTED_VALUE"""),3.12)</f>
        <v>3.12</v>
      </c>
      <c r="L854" s="54">
        <f>IFERROR(__xludf.DUMMYFUNCTION("""COMPUTED_VALUE"""),9.0)</f>
        <v>9</v>
      </c>
      <c r="M854" s="3"/>
      <c r="N854" s="3"/>
      <c r="O854" s="3"/>
      <c r="P854" s="3"/>
      <c r="Q854" s="3"/>
      <c r="R854" s="3"/>
      <c r="S854" s="3"/>
      <c r="T854" s="5"/>
      <c r="U854" s="5"/>
      <c r="V854" s="5"/>
      <c r="W854" s="5"/>
    </row>
    <row r="855" ht="15.75" customHeight="1">
      <c r="A855" s="3">
        <f>IFERROR(__xludf.DUMMYFUNCTION("""COMPUTED_VALUE"""),855.0)</f>
        <v>855</v>
      </c>
      <c r="B855" s="53">
        <f>IFERROR(__xludf.DUMMYFUNCTION("""COMPUTED_VALUE"""),45719.0)</f>
        <v>45719</v>
      </c>
      <c r="C855" s="3">
        <f>IFERROR(__xludf.DUMMYFUNCTION("""COMPUTED_VALUE"""),82.0)</f>
        <v>82</v>
      </c>
      <c r="D855" s="3" t="str">
        <f>IFERROR(__xludf.DUMMYFUNCTION("""COMPUTED_VALUE"""),"c3f4cae7")</f>
        <v>c3f4cae7</v>
      </c>
      <c r="E855" s="54">
        <f>IFERROR(__xludf.DUMMYFUNCTION("""COMPUTED_VALUE"""),28000.0)</f>
        <v>28000</v>
      </c>
      <c r="F855" s="3" t="str">
        <f>IFERROR(__xludf.DUMMYFUNCTION("""COMPUTED_VALUE"""),"Chardonnay")</f>
        <v>Chardonnay</v>
      </c>
      <c r="G855" s="3"/>
      <c r="H855" s="56">
        <f>IFERROR(__xludf.DUMMYFUNCTION("""COMPUTED_VALUE"""),2.0)</f>
        <v>2</v>
      </c>
      <c r="I855" s="3"/>
      <c r="J855" s="57">
        <f>IFERROR(__xludf.DUMMYFUNCTION("""COMPUTED_VALUE"""),6.885)</f>
        <v>6.885</v>
      </c>
      <c r="K855" s="57">
        <f>IFERROR(__xludf.DUMMYFUNCTION("""COMPUTED_VALUE"""),3.11)</f>
        <v>3.11</v>
      </c>
      <c r="L855" s="54">
        <f>IFERROR(__xludf.DUMMYFUNCTION("""COMPUTED_VALUE"""),12.0)</f>
        <v>12</v>
      </c>
      <c r="M855" s="3"/>
      <c r="N855" s="3"/>
      <c r="O855" s="3"/>
      <c r="P855" s="3"/>
      <c r="Q855" s="3"/>
      <c r="R855" s="3"/>
      <c r="S855" s="3"/>
      <c r="T855" s="5"/>
      <c r="U855" s="5"/>
      <c r="V855" s="5"/>
      <c r="W855" s="5"/>
    </row>
    <row r="856" ht="15.75" customHeight="1">
      <c r="A856" s="3">
        <f>IFERROR(__xludf.DUMMYFUNCTION("""COMPUTED_VALUE"""),856.0)</f>
        <v>856</v>
      </c>
      <c r="B856" s="53">
        <f>IFERROR(__xludf.DUMMYFUNCTION("""COMPUTED_VALUE"""),45720.0)</f>
        <v>45720</v>
      </c>
      <c r="C856" s="3">
        <f>IFERROR(__xludf.DUMMYFUNCTION("""COMPUTED_VALUE"""),32.0)</f>
        <v>32</v>
      </c>
      <c r="D856" s="3" t="str">
        <f>IFERROR(__xludf.DUMMYFUNCTION("""COMPUTED_VALUE"""),"a1e13111")</f>
        <v>a1e13111</v>
      </c>
      <c r="E856" s="54">
        <f>IFERROR(__xludf.DUMMYFUNCTION("""COMPUTED_VALUE"""),36300.0)</f>
        <v>36300</v>
      </c>
      <c r="F856" s="3" t="str">
        <f>IFERROR(__xludf.DUMMYFUNCTION("""COMPUTED_VALUE"""),"Chardonnay (Filt)")</f>
        <v>Chardonnay (Filt)</v>
      </c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5"/>
      <c r="U856" s="5"/>
      <c r="V856" s="5"/>
      <c r="W856" s="5"/>
    </row>
    <row r="857" ht="15.75" customHeight="1">
      <c r="A857" s="3">
        <f>IFERROR(__xludf.DUMMYFUNCTION("""COMPUTED_VALUE"""),857.0)</f>
        <v>857</v>
      </c>
      <c r="B857" s="53">
        <f>IFERROR(__xludf.DUMMYFUNCTION("""COMPUTED_VALUE"""),45720.0)</f>
        <v>45720</v>
      </c>
      <c r="C857" s="3">
        <f>IFERROR(__xludf.DUMMYFUNCTION("""COMPUTED_VALUE"""),33.0)</f>
        <v>33</v>
      </c>
      <c r="D857" s="3" t="str">
        <f>IFERROR(__xludf.DUMMYFUNCTION("""COMPUTED_VALUE"""),"7def2139")</f>
        <v>7def2139</v>
      </c>
      <c r="E857" s="54">
        <f>IFERROR(__xludf.DUMMYFUNCTION("""COMPUTED_VALUE"""),25300.0)</f>
        <v>25300</v>
      </c>
      <c r="F857" s="3" t="str">
        <f>IFERROR(__xludf.DUMMYFUNCTION("""COMPUTED_VALUE"""),"Chardonnay")</f>
        <v>Chardonnay</v>
      </c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5"/>
      <c r="U857" s="5"/>
      <c r="V857" s="5"/>
      <c r="W857" s="5"/>
    </row>
    <row r="858" ht="15.75" customHeight="1">
      <c r="A858" s="3">
        <f>IFERROR(__xludf.DUMMYFUNCTION("""COMPUTED_VALUE"""),858.0)</f>
        <v>858</v>
      </c>
      <c r="B858" s="53">
        <f>IFERROR(__xludf.DUMMYFUNCTION("""COMPUTED_VALUE"""),45720.0)</f>
        <v>45720</v>
      </c>
      <c r="C858" s="3">
        <f>IFERROR(__xludf.DUMMYFUNCTION("""COMPUTED_VALUE"""),31.0)</f>
        <v>31</v>
      </c>
      <c r="D858" s="3" t="str">
        <f>IFERROR(__xludf.DUMMYFUNCTION("""COMPUTED_VALUE"""),"8a7074cf")</f>
        <v>8a7074cf</v>
      </c>
      <c r="E858" s="54">
        <f>IFERROR(__xludf.DUMMYFUNCTION("""COMPUTED_VALUE"""),25700.0)</f>
        <v>25700</v>
      </c>
      <c r="F858" s="3" t="str">
        <f>IFERROR(__xludf.DUMMYFUNCTION("""COMPUTED_VALUE"""),"Chardonnay")</f>
        <v>Chardonnay</v>
      </c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5"/>
      <c r="U858" s="5"/>
      <c r="V858" s="5"/>
      <c r="W858" s="5"/>
    </row>
    <row r="859" ht="15.75" customHeight="1">
      <c r="A859" s="3">
        <f>IFERROR(__xludf.DUMMYFUNCTION("""COMPUTED_VALUE"""),859.0)</f>
        <v>859</v>
      </c>
      <c r="B859" s="53">
        <f>IFERROR(__xludf.DUMMYFUNCTION("""COMPUTED_VALUE"""),45720.0)</f>
        <v>45720</v>
      </c>
      <c r="C859" s="3">
        <f>IFERROR(__xludf.DUMMYFUNCTION("""COMPUTED_VALUE"""),40.0)</f>
        <v>40</v>
      </c>
      <c r="D859" s="3" t="str">
        <f>IFERROR(__xludf.DUMMYFUNCTION("""COMPUTED_VALUE"""),"7c5390c8")</f>
        <v>7c5390c8</v>
      </c>
      <c r="E859" s="54">
        <f>IFERROR(__xludf.DUMMYFUNCTION("""COMPUTED_VALUE"""),24000.0)</f>
        <v>24000</v>
      </c>
      <c r="F859" s="3" t="str">
        <f>IFERROR(__xludf.DUMMYFUNCTION("""COMPUTED_VALUE"""),"Chardonnay")</f>
        <v>Chardonnay</v>
      </c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5"/>
      <c r="U859" s="5"/>
      <c r="V859" s="5"/>
      <c r="W859" s="5"/>
    </row>
    <row r="860" ht="15.75" customHeight="1">
      <c r="A860" s="3">
        <f>IFERROR(__xludf.DUMMYFUNCTION("""COMPUTED_VALUE"""),860.0)</f>
        <v>860</v>
      </c>
      <c r="B860" s="53">
        <f>IFERROR(__xludf.DUMMYFUNCTION("""COMPUTED_VALUE"""),45720.0)</f>
        <v>45720</v>
      </c>
      <c r="C860" s="3">
        <f>IFERROR(__xludf.DUMMYFUNCTION("""COMPUTED_VALUE"""),85.0)</f>
        <v>85</v>
      </c>
      <c r="D860" s="3" t="str">
        <f>IFERROR(__xludf.DUMMYFUNCTION("""COMPUTED_VALUE"""),"5f87c3d5")</f>
        <v>5f87c3d5</v>
      </c>
      <c r="E860" s="54">
        <f>IFERROR(__xludf.DUMMYFUNCTION("""COMPUTED_VALUE"""),41700.0)</f>
        <v>41700</v>
      </c>
      <c r="F860" s="3" t="str">
        <f>IFERROR(__xludf.DUMMYFUNCTION("""COMPUTED_VALUE"""),"Syrah s/Asp 3ra")</f>
        <v>Syrah s/Asp 3ra</v>
      </c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5"/>
      <c r="U860" s="5"/>
      <c r="V860" s="5"/>
      <c r="W860" s="5"/>
    </row>
    <row r="861" ht="15.75" customHeight="1">
      <c r="A861" s="3">
        <f>IFERROR(__xludf.DUMMYFUNCTION("""COMPUTED_VALUE"""),861.0)</f>
        <v>861</v>
      </c>
      <c r="B861" s="53">
        <f>IFERROR(__xludf.DUMMYFUNCTION("""COMPUTED_VALUE"""),45720.0)</f>
        <v>45720</v>
      </c>
      <c r="C861" s="3">
        <f>IFERROR(__xludf.DUMMYFUNCTION("""COMPUTED_VALUE"""),80.0)</f>
        <v>80</v>
      </c>
      <c r="D861" s="3" t="str">
        <f>IFERROR(__xludf.DUMMYFUNCTION("""COMPUTED_VALUE"""),"7525cd32")</f>
        <v>7525cd32</v>
      </c>
      <c r="E861" s="54">
        <f>IFERROR(__xludf.DUMMYFUNCTION("""COMPUTED_VALUE"""),13000.0)</f>
        <v>13000</v>
      </c>
      <c r="F861" s="3" t="str">
        <f>IFERROR(__xludf.DUMMYFUNCTION("""COMPUTED_VALUE"""),"Syrah s/Asp 2da")</f>
        <v>Syrah s/Asp 2da</v>
      </c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5"/>
      <c r="U861" s="5"/>
      <c r="V861" s="5"/>
      <c r="W861" s="5"/>
    </row>
    <row r="862" ht="15.75" customHeight="1">
      <c r="A862" s="3">
        <f>IFERROR(__xludf.DUMMYFUNCTION("""COMPUTED_VALUE"""),862.0)</f>
        <v>862</v>
      </c>
      <c r="B862" s="53">
        <f>IFERROR(__xludf.DUMMYFUNCTION("""COMPUTED_VALUE"""),45720.0)</f>
        <v>45720</v>
      </c>
      <c r="C862" s="3">
        <f>IFERROR(__xludf.DUMMYFUNCTION("""COMPUTED_VALUE"""),84.0)</f>
        <v>84</v>
      </c>
      <c r="D862" s="3" t="str">
        <f>IFERROR(__xludf.DUMMYFUNCTION("""COMPUTED_VALUE"""),"994b8afe")</f>
        <v>994b8afe</v>
      </c>
      <c r="E862" s="54">
        <f>IFERROR(__xludf.DUMMYFUNCTION("""COMPUTED_VALUE"""),41000.0)</f>
        <v>41000</v>
      </c>
      <c r="F862" s="3" t="str">
        <f>IFERROR(__xludf.DUMMYFUNCTION("""COMPUTED_VALUE"""),"Syrah Colom s/Asp 2")</f>
        <v>Syrah Colom s/Asp 2</v>
      </c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5"/>
      <c r="U862" s="5"/>
      <c r="V862" s="5"/>
      <c r="W862" s="5"/>
    </row>
    <row r="863" ht="15.75" customHeight="1">
      <c r="A863" s="3">
        <f>IFERROR(__xludf.DUMMYFUNCTION("""COMPUTED_VALUE"""),863.0)</f>
        <v>863</v>
      </c>
      <c r="B863" s="53">
        <f>IFERROR(__xludf.DUMMYFUNCTION("""COMPUTED_VALUE"""),45720.0)</f>
        <v>45720</v>
      </c>
      <c r="C863" s="3">
        <f>IFERROR(__xludf.DUMMYFUNCTION("""COMPUTED_VALUE"""),86.0)</f>
        <v>86</v>
      </c>
      <c r="D863" s="3" t="str">
        <f>IFERROR(__xludf.DUMMYFUNCTION("""COMPUTED_VALUE"""),"ce659e77")</f>
        <v>ce659e77</v>
      </c>
      <c r="E863" s="54">
        <f>IFERROR(__xludf.DUMMYFUNCTION("""COMPUTED_VALUE"""),48300.0)</f>
        <v>48300</v>
      </c>
      <c r="F863" s="3" t="str">
        <f>IFERROR(__xludf.DUMMYFUNCTION("""COMPUTED_VALUE"""),"Syrah s/Asp 3ra")</f>
        <v>Syrah s/Asp 3ra</v>
      </c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5"/>
      <c r="U863" s="5"/>
      <c r="V863" s="5"/>
      <c r="W863" s="5"/>
    </row>
    <row r="864" ht="15.75" customHeight="1">
      <c r="A864" s="3">
        <f>IFERROR(__xludf.DUMMYFUNCTION("""COMPUTED_VALUE"""),864.0)</f>
        <v>864</v>
      </c>
      <c r="B864" s="53">
        <f>IFERROR(__xludf.DUMMYFUNCTION("""COMPUTED_VALUE"""),45720.0)</f>
        <v>45720</v>
      </c>
      <c r="C864" s="3">
        <f>IFERROR(__xludf.DUMMYFUNCTION("""COMPUTED_VALUE"""),74.0)</f>
        <v>74</v>
      </c>
      <c r="D864" s="3" t="str">
        <f>IFERROR(__xludf.DUMMYFUNCTION("""COMPUTED_VALUE"""),"c4f0d9b2")</f>
        <v>c4f0d9b2</v>
      </c>
      <c r="E864" s="54">
        <f>IFERROR(__xludf.DUMMYFUNCTION("""COMPUTED_VALUE"""),13000.0)</f>
        <v>13000</v>
      </c>
      <c r="F864" s="3" t="str">
        <f>IFERROR(__xludf.DUMMYFUNCTION("""COMPUTED_VALUE"""),"Malbec 24")</f>
        <v>Malbec 24</v>
      </c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5"/>
      <c r="U864" s="5"/>
      <c r="V864" s="5"/>
      <c r="W864" s="5"/>
    </row>
    <row r="865" ht="15.75" customHeight="1">
      <c r="A865" s="3">
        <f>IFERROR(__xludf.DUMMYFUNCTION("""COMPUTED_VALUE"""),865.0)</f>
        <v>865</v>
      </c>
      <c r="B865" s="53">
        <f>IFERROR(__xludf.DUMMYFUNCTION("""COMPUTED_VALUE"""),45720.0)</f>
        <v>45720</v>
      </c>
      <c r="C865" s="3">
        <f>IFERROR(__xludf.DUMMYFUNCTION("""COMPUTED_VALUE"""),111.0)</f>
        <v>111</v>
      </c>
      <c r="D865" s="3" t="str">
        <f>IFERROR(__xludf.DUMMYFUNCTION("""COMPUTED_VALUE"""),"6a04e7d6")</f>
        <v>6a04e7d6</v>
      </c>
      <c r="E865" s="54">
        <f>IFERROR(__xludf.DUMMYFUNCTION("""COMPUTED_VALUE"""),4000.0)</f>
        <v>4000</v>
      </c>
      <c r="F865" s="3" t="str">
        <f>IFERROR(__xludf.DUMMYFUNCTION("""COMPUTED_VALUE"""),"Malbec Magneta")</f>
        <v>Malbec Magneta</v>
      </c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5"/>
      <c r="U865" s="5"/>
      <c r="V865" s="5"/>
      <c r="W865" s="5"/>
    </row>
    <row r="866" ht="15.75" customHeight="1">
      <c r="A866" s="3">
        <f>IFERROR(__xludf.DUMMYFUNCTION("""COMPUTED_VALUE"""),866.0)</f>
        <v>866</v>
      </c>
      <c r="B866" s="53">
        <f>IFERROR(__xludf.DUMMYFUNCTION("""COMPUTED_VALUE"""),45720.0)</f>
        <v>45720</v>
      </c>
      <c r="C866" s="3">
        <f>IFERROR(__xludf.DUMMYFUNCTION("""COMPUTED_VALUE"""),85.0)</f>
        <v>85</v>
      </c>
      <c r="D866" s="3" t="str">
        <f>IFERROR(__xludf.DUMMYFUNCTION("""COMPUTED_VALUE"""),"5f87c3d5")</f>
        <v>5f87c3d5</v>
      </c>
      <c r="E866" s="54">
        <f>IFERROR(__xludf.DUMMYFUNCTION("""COMPUTED_VALUE"""),41700.0)</f>
        <v>41700</v>
      </c>
      <c r="F866" s="3" t="str">
        <f>IFERROR(__xludf.DUMMYFUNCTION("""COMPUTED_VALUE"""),"Syrah s/Asp 3ra corte 85 y 86")</f>
        <v>Syrah s/Asp 3ra corte 85 y 86</v>
      </c>
      <c r="G866" s="55">
        <f>IFERROR(__xludf.DUMMYFUNCTION("""COMPUTED_VALUE"""),14.0)</f>
        <v>14</v>
      </c>
      <c r="H866" s="56">
        <f>IFERROR(__xludf.DUMMYFUNCTION("""COMPUTED_VALUE"""),4.68)</f>
        <v>4.68</v>
      </c>
      <c r="I866" s="57">
        <f>IFERROR(__xludf.DUMMYFUNCTION("""COMPUTED_VALUE"""),0.44)</f>
        <v>0.44</v>
      </c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5"/>
      <c r="U866" s="5"/>
      <c r="V866" s="5"/>
      <c r="W866" s="5"/>
    </row>
    <row r="867" ht="15.75" customHeight="1">
      <c r="A867" s="3">
        <f>IFERROR(__xludf.DUMMYFUNCTION("""COMPUTED_VALUE"""),867.0)</f>
        <v>867</v>
      </c>
      <c r="B867" s="53">
        <f>IFERROR(__xludf.DUMMYFUNCTION("""COMPUTED_VALUE"""),45720.0)</f>
        <v>45720</v>
      </c>
      <c r="C867" s="3">
        <f>IFERROR(__xludf.DUMMYFUNCTION("""COMPUTED_VALUE"""),86.0)</f>
        <v>86</v>
      </c>
      <c r="D867" s="3" t="str">
        <f>IFERROR(__xludf.DUMMYFUNCTION("""COMPUTED_VALUE"""),"ce659e77")</f>
        <v>ce659e77</v>
      </c>
      <c r="E867" s="54">
        <f>IFERROR(__xludf.DUMMYFUNCTION("""COMPUTED_VALUE"""),48300.0)</f>
        <v>48300</v>
      </c>
      <c r="F867" s="3" t="str">
        <f>IFERROR(__xludf.DUMMYFUNCTION("""COMPUTED_VALUE"""),"Syrah s/Asp 3ra corte 85 y 86")</f>
        <v>Syrah s/Asp 3ra corte 85 y 86</v>
      </c>
      <c r="G867" s="55">
        <f>IFERROR(__xludf.DUMMYFUNCTION("""COMPUTED_VALUE"""),14.0)</f>
        <v>14</v>
      </c>
      <c r="H867" s="56">
        <f>IFERROR(__xludf.DUMMYFUNCTION("""COMPUTED_VALUE"""),4.68)</f>
        <v>4.68</v>
      </c>
      <c r="I867" s="57">
        <f>IFERROR(__xludf.DUMMYFUNCTION("""COMPUTED_VALUE"""),0.44)</f>
        <v>0.44</v>
      </c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5"/>
      <c r="U867" s="5"/>
      <c r="V867" s="5"/>
      <c r="W867" s="5"/>
    </row>
    <row r="868" ht="15.75" customHeight="1">
      <c r="A868" s="3">
        <f>IFERROR(__xludf.DUMMYFUNCTION("""COMPUTED_VALUE"""),868.0)</f>
        <v>868</v>
      </c>
      <c r="B868" s="53">
        <f>IFERROR(__xludf.DUMMYFUNCTION("""COMPUTED_VALUE"""),45720.0)</f>
        <v>45720</v>
      </c>
      <c r="C868" s="3">
        <f>IFERROR(__xludf.DUMMYFUNCTION("""COMPUTED_VALUE"""),87.0)</f>
        <v>87</v>
      </c>
      <c r="D868" s="3" t="str">
        <f>IFERROR(__xludf.DUMMYFUNCTION("""COMPUTED_VALUE"""),"6c3c93fd")</f>
        <v>6c3c93fd</v>
      </c>
      <c r="E868" s="54">
        <f>IFERROR(__xludf.DUMMYFUNCTION("""COMPUTED_VALUE"""),44200.0)</f>
        <v>44200</v>
      </c>
      <c r="F868" s="3" t="str">
        <f>IFERROR(__xludf.DUMMYFUNCTION("""COMPUTED_VALUE"""),"Merlot")</f>
        <v>Merlot</v>
      </c>
      <c r="G868" s="55">
        <f>IFERROR(__xludf.DUMMYFUNCTION("""COMPUTED_VALUE"""),14.0)</f>
        <v>14</v>
      </c>
      <c r="H868" s="56">
        <f>IFERROR(__xludf.DUMMYFUNCTION("""COMPUTED_VALUE"""),14.0)</f>
        <v>14</v>
      </c>
      <c r="I868" s="57">
        <f>IFERROR(__xludf.DUMMYFUNCTION("""COMPUTED_VALUE"""),0.45)</f>
        <v>0.45</v>
      </c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5"/>
      <c r="U868" s="5"/>
      <c r="V868" s="5"/>
      <c r="W868" s="5"/>
    </row>
    <row r="869" ht="15.75" customHeight="1">
      <c r="A869" s="3">
        <f>IFERROR(__xludf.DUMMYFUNCTION("""COMPUTED_VALUE"""),869.0)</f>
        <v>869</v>
      </c>
      <c r="B869" s="53">
        <f>IFERROR(__xludf.DUMMYFUNCTION("""COMPUTED_VALUE"""),45721.0)</f>
        <v>45721</v>
      </c>
      <c r="C869" s="3">
        <f>IFERROR(__xludf.DUMMYFUNCTION("""COMPUTED_VALUE"""),66.0)</f>
        <v>66</v>
      </c>
      <c r="D869" s="3" t="str">
        <f>IFERROR(__xludf.DUMMYFUNCTION("""COMPUTED_VALUE"""),"9c95c706")</f>
        <v>9c95c706</v>
      </c>
      <c r="E869" s="54">
        <f>IFERROR(__xludf.DUMMYFUNCTION("""COMPUTED_VALUE"""),8000.0)</f>
        <v>8000</v>
      </c>
      <c r="F869" s="3" t="str">
        <f>IFERROR(__xludf.DUMMYFUNCTION("""COMPUTED_VALUE"""),"Anccelotta")</f>
        <v>Anccelotta</v>
      </c>
      <c r="G869" s="3"/>
      <c r="H869" s="3"/>
      <c r="I869" s="3"/>
      <c r="J869" s="3"/>
      <c r="K869" s="57">
        <f>IFERROR(__xludf.DUMMYFUNCTION("""COMPUTED_VALUE"""),3.62)</f>
        <v>3.62</v>
      </c>
      <c r="L869" s="54">
        <f>IFERROR(__xludf.DUMMYFUNCTION("""COMPUTED_VALUE"""),25.0)</f>
        <v>25</v>
      </c>
      <c r="M869" s="3">
        <f>IFERROR(__xludf.DUMMYFUNCTION("""COMPUTED_VALUE"""),62.0)</f>
        <v>62</v>
      </c>
      <c r="N869" s="3"/>
      <c r="O869" s="3"/>
      <c r="P869" s="3"/>
      <c r="Q869" s="3"/>
      <c r="R869" s="3"/>
      <c r="S869" s="3"/>
      <c r="T869" s="5"/>
      <c r="U869" s="5"/>
      <c r="V869" s="5"/>
      <c r="W869" s="5"/>
    </row>
    <row r="870" ht="15.75" customHeight="1">
      <c r="A870" s="3">
        <f>IFERROR(__xludf.DUMMYFUNCTION("""COMPUTED_VALUE"""),870.0)</f>
        <v>870</v>
      </c>
      <c r="B870" s="53">
        <f>IFERROR(__xludf.DUMMYFUNCTION("""COMPUTED_VALUE"""),45721.0)</f>
        <v>45721</v>
      </c>
      <c r="C870" s="3">
        <f>IFERROR(__xludf.DUMMYFUNCTION("""COMPUTED_VALUE"""),88.0)</f>
        <v>88</v>
      </c>
      <c r="D870" s="3" t="str">
        <f>IFERROR(__xludf.DUMMYFUNCTION("""COMPUTED_VALUE"""),"39ea0cc6")</f>
        <v>39ea0cc6</v>
      </c>
      <c r="E870" s="54">
        <f>IFERROR(__xludf.DUMMYFUNCTION("""COMPUTED_VALUE"""),40000.0)</f>
        <v>40000</v>
      </c>
      <c r="F870" s="3" t="str">
        <f>IFERROR(__xludf.DUMMYFUNCTION("""COMPUTED_VALUE"""),"Syrah Ferm")</f>
        <v>Syrah Ferm</v>
      </c>
      <c r="G870" s="3"/>
      <c r="H870" s="56">
        <f>IFERROR(__xludf.DUMMYFUNCTION("""COMPUTED_VALUE"""),250.0)</f>
        <v>250</v>
      </c>
      <c r="I870" s="3"/>
      <c r="J870" s="3"/>
      <c r="K870" s="57">
        <f>IFERROR(__xludf.DUMMYFUNCTION("""COMPUTED_VALUE"""),3.54)</f>
        <v>3.54</v>
      </c>
      <c r="L870" s="54">
        <f>IFERROR(__xludf.DUMMYFUNCTION("""COMPUTED_VALUE"""),22.0)</f>
        <v>22</v>
      </c>
      <c r="M870" s="3">
        <f>IFERROR(__xludf.DUMMYFUNCTION("""COMPUTED_VALUE"""),60.0)</f>
        <v>60</v>
      </c>
      <c r="N870" s="3"/>
      <c r="O870" s="3"/>
      <c r="P870" s="3"/>
      <c r="Q870" s="3"/>
      <c r="R870" s="3"/>
      <c r="S870" s="3"/>
      <c r="T870" s="5"/>
      <c r="U870" s="5"/>
      <c r="V870" s="5"/>
      <c r="W870" s="5"/>
    </row>
    <row r="871" ht="15.75" customHeight="1">
      <c r="A871" s="3">
        <f>IFERROR(__xludf.DUMMYFUNCTION("""COMPUTED_VALUE"""),871.0)</f>
        <v>871</v>
      </c>
      <c r="B871" s="53">
        <f>IFERROR(__xludf.DUMMYFUNCTION("""COMPUTED_VALUE"""),45721.0)</f>
        <v>45721</v>
      </c>
      <c r="C871" s="3">
        <f>IFERROR(__xludf.DUMMYFUNCTION("""COMPUTED_VALUE"""),84.0)</f>
        <v>84</v>
      </c>
      <c r="D871" s="3" t="str">
        <f>IFERROR(__xludf.DUMMYFUNCTION("""COMPUTED_VALUE"""),"994b8afe")</f>
        <v>994b8afe</v>
      </c>
      <c r="E871" s="3"/>
      <c r="F871" s="3" t="str">
        <f>IFERROR(__xludf.DUMMYFUNCTION("""COMPUTED_VALUE"""),"Syrah Colom s/Asp 2 corte 84 y 80")</f>
        <v>Syrah Colom s/Asp 2 corte 84 y 80</v>
      </c>
      <c r="G871" s="55">
        <f>IFERROR(__xludf.DUMMYFUNCTION("""COMPUTED_VALUE"""),13.8)</f>
        <v>13.8</v>
      </c>
      <c r="H871" s="56">
        <f>IFERROR(__xludf.DUMMYFUNCTION("""COMPUTED_VALUE"""),3.37)</f>
        <v>3.37</v>
      </c>
      <c r="I871" s="57">
        <f>IFERROR(__xludf.DUMMYFUNCTION("""COMPUTED_VALUE"""),0.4)</f>
        <v>0.4</v>
      </c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5"/>
      <c r="U871" s="5"/>
      <c r="V871" s="5"/>
      <c r="W871" s="5"/>
    </row>
    <row r="872" ht="15.75" customHeight="1">
      <c r="A872" s="3">
        <f>IFERROR(__xludf.DUMMYFUNCTION("""COMPUTED_VALUE"""),872.0)</f>
        <v>872</v>
      </c>
      <c r="B872" s="53">
        <f>IFERROR(__xludf.DUMMYFUNCTION("""COMPUTED_VALUE"""),45721.0)</f>
        <v>45721</v>
      </c>
      <c r="C872" s="3">
        <f>IFERROR(__xludf.DUMMYFUNCTION("""COMPUTED_VALUE"""),80.0)</f>
        <v>80</v>
      </c>
      <c r="D872" s="3" t="str">
        <f>IFERROR(__xludf.DUMMYFUNCTION("""COMPUTED_VALUE"""),"5f87c3d5")</f>
        <v>5f87c3d5</v>
      </c>
      <c r="E872" s="3"/>
      <c r="F872" s="3" t="str">
        <f>IFERROR(__xludf.DUMMYFUNCTION("""COMPUTED_VALUE"""),"Syrah s/Asp 2da corte 84 y 80")</f>
        <v>Syrah s/Asp 2da corte 84 y 80</v>
      </c>
      <c r="G872" s="55">
        <f>IFERROR(__xludf.DUMMYFUNCTION("""COMPUTED_VALUE"""),13.8)</f>
        <v>13.8</v>
      </c>
      <c r="H872" s="56">
        <f>IFERROR(__xludf.DUMMYFUNCTION("""COMPUTED_VALUE"""),3.37)</f>
        <v>3.37</v>
      </c>
      <c r="I872" s="57">
        <f>IFERROR(__xludf.DUMMYFUNCTION("""COMPUTED_VALUE"""),0.4)</f>
        <v>0.4</v>
      </c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5"/>
      <c r="U872" s="5"/>
      <c r="V872" s="5"/>
      <c r="W872" s="5"/>
    </row>
    <row r="873" ht="15.75" customHeight="1">
      <c r="A873" s="3">
        <f>IFERROR(__xludf.DUMMYFUNCTION("""COMPUTED_VALUE"""),873.0)</f>
        <v>873</v>
      </c>
      <c r="B873" s="53">
        <f>IFERROR(__xludf.DUMMYFUNCTION("""COMPUTED_VALUE"""),45721.0)</f>
        <v>45721</v>
      </c>
      <c r="C873" s="3">
        <f>IFERROR(__xludf.DUMMYFUNCTION("""COMPUTED_VALUE"""),31.0)</f>
        <v>31</v>
      </c>
      <c r="D873" s="3" t="str">
        <f>IFERROR(__xludf.DUMMYFUNCTION("""COMPUTED_VALUE"""),"8a7074cf")</f>
        <v>8a7074cf</v>
      </c>
      <c r="E873" s="54">
        <f>IFERROR(__xludf.DUMMYFUNCTION("""COMPUTED_VALUE"""),25700.0)</f>
        <v>25700</v>
      </c>
      <c r="F873" s="3" t="str">
        <f>IFERROR(__xludf.DUMMYFUNCTION("""COMPUTED_VALUE"""),"Chardonnay")</f>
        <v>Chardonnay</v>
      </c>
      <c r="G873" s="3"/>
      <c r="H873" s="3"/>
      <c r="I873" s="3"/>
      <c r="J873" s="3"/>
      <c r="K873" s="57">
        <f>IFERROR(__xludf.DUMMYFUNCTION("""COMPUTED_VALUE"""),3.24)</f>
        <v>3.24</v>
      </c>
      <c r="L873" s="54">
        <f>IFERROR(__xludf.DUMMYFUNCTION("""COMPUTED_VALUE"""),22.0)</f>
        <v>22</v>
      </c>
      <c r="M873" s="3">
        <f>IFERROR(__xludf.DUMMYFUNCTION("""COMPUTED_VALUE"""),76.0)</f>
        <v>76</v>
      </c>
      <c r="N873" s="3"/>
      <c r="O873" s="3"/>
      <c r="P873" s="3"/>
      <c r="Q873" s="3"/>
      <c r="R873" s="3"/>
      <c r="S873" s="3"/>
      <c r="T873" s="5"/>
      <c r="U873" s="5"/>
      <c r="V873" s="5"/>
      <c r="W873" s="5"/>
    </row>
    <row r="874" ht="15.75" customHeight="1">
      <c r="A874" s="3">
        <f>IFERROR(__xludf.DUMMYFUNCTION("""COMPUTED_VALUE"""),874.0)</f>
        <v>874</v>
      </c>
      <c r="B874" s="53">
        <f>IFERROR(__xludf.DUMMYFUNCTION("""COMPUTED_VALUE"""),45721.0)</f>
        <v>45721</v>
      </c>
      <c r="C874" s="3">
        <f>IFERROR(__xludf.DUMMYFUNCTION("""COMPUTED_VALUE"""),32.0)</f>
        <v>32</v>
      </c>
      <c r="D874" s="3" t="str">
        <f>IFERROR(__xludf.DUMMYFUNCTION("""COMPUTED_VALUE"""),"a1e13111")</f>
        <v>a1e13111</v>
      </c>
      <c r="E874" s="54">
        <f>IFERROR(__xludf.DUMMYFUNCTION("""COMPUTED_VALUE"""),36300.0)</f>
        <v>36300</v>
      </c>
      <c r="F874" s="3" t="str">
        <f>IFERROR(__xludf.DUMMYFUNCTION("""COMPUTED_VALUE"""),"Chardonnay (Filt)")</f>
        <v>Chardonnay (Filt)</v>
      </c>
      <c r="G874" s="3"/>
      <c r="H874" s="3"/>
      <c r="I874" s="3"/>
      <c r="J874" s="3"/>
      <c r="K874" s="57">
        <f>IFERROR(__xludf.DUMMYFUNCTION("""COMPUTED_VALUE"""),3.25)</f>
        <v>3.25</v>
      </c>
      <c r="L874" s="54">
        <f>IFERROR(__xludf.DUMMYFUNCTION("""COMPUTED_VALUE"""),32.0)</f>
        <v>32</v>
      </c>
      <c r="M874" s="3">
        <f>IFERROR(__xludf.DUMMYFUNCTION("""COMPUTED_VALUE"""),80.0)</f>
        <v>80</v>
      </c>
      <c r="N874" s="3"/>
      <c r="O874" s="3"/>
      <c r="P874" s="3"/>
      <c r="Q874" s="3"/>
      <c r="R874" s="3"/>
      <c r="S874" s="3"/>
      <c r="T874" s="5"/>
      <c r="U874" s="5"/>
      <c r="V874" s="5"/>
      <c r="W874" s="5"/>
    </row>
    <row r="875" ht="15.75" customHeight="1">
      <c r="A875" s="3">
        <f>IFERROR(__xludf.DUMMYFUNCTION("""COMPUTED_VALUE"""),875.0)</f>
        <v>875</v>
      </c>
      <c r="B875" s="53">
        <f>IFERROR(__xludf.DUMMYFUNCTION("""COMPUTED_VALUE"""),45721.0)</f>
        <v>45721</v>
      </c>
      <c r="C875" s="3">
        <f>IFERROR(__xludf.DUMMYFUNCTION("""COMPUTED_VALUE"""),33.0)</f>
        <v>33</v>
      </c>
      <c r="D875" s="3" t="str">
        <f>IFERROR(__xludf.DUMMYFUNCTION("""COMPUTED_VALUE"""),"7def2139")</f>
        <v>7def2139</v>
      </c>
      <c r="E875" s="54">
        <f>IFERROR(__xludf.DUMMYFUNCTION("""COMPUTED_VALUE"""),25300.0)</f>
        <v>25300</v>
      </c>
      <c r="F875" s="3" t="str">
        <f>IFERROR(__xludf.DUMMYFUNCTION("""COMPUTED_VALUE"""),"Chardonnay")</f>
        <v>Chardonnay</v>
      </c>
      <c r="G875" s="3"/>
      <c r="H875" s="3"/>
      <c r="I875" s="3"/>
      <c r="J875" s="3"/>
      <c r="K875" s="57">
        <f>IFERROR(__xludf.DUMMYFUNCTION("""COMPUTED_VALUE"""),3.17)</f>
        <v>3.17</v>
      </c>
      <c r="L875" s="54">
        <f>IFERROR(__xludf.DUMMYFUNCTION("""COMPUTED_VALUE"""),26.0)</f>
        <v>26</v>
      </c>
      <c r="M875" s="3">
        <f>IFERROR(__xludf.DUMMYFUNCTION("""COMPUTED_VALUE"""),66.0)</f>
        <v>66</v>
      </c>
      <c r="N875" s="3"/>
      <c r="O875" s="3"/>
      <c r="P875" s="3"/>
      <c r="Q875" s="3"/>
      <c r="R875" s="3"/>
      <c r="S875" s="3"/>
      <c r="T875" s="5"/>
      <c r="U875" s="5"/>
      <c r="V875" s="5"/>
      <c r="W875" s="5"/>
    </row>
    <row r="876" ht="15.75" customHeight="1">
      <c r="A876" s="3">
        <f>IFERROR(__xludf.DUMMYFUNCTION("""COMPUTED_VALUE"""),876.0)</f>
        <v>876</v>
      </c>
      <c r="B876" s="53">
        <f>IFERROR(__xludf.DUMMYFUNCTION("""COMPUTED_VALUE"""),45721.0)</f>
        <v>45721</v>
      </c>
      <c r="C876" s="3">
        <f>IFERROR(__xludf.DUMMYFUNCTION("""COMPUTED_VALUE"""),40.0)</f>
        <v>40</v>
      </c>
      <c r="D876" s="3" t="str">
        <f>IFERROR(__xludf.DUMMYFUNCTION("""COMPUTED_VALUE"""),"7c5390c8")</f>
        <v>7c5390c8</v>
      </c>
      <c r="E876" s="54">
        <f>IFERROR(__xludf.DUMMYFUNCTION("""COMPUTED_VALUE"""),24000.0)</f>
        <v>24000</v>
      </c>
      <c r="F876" s="3" t="str">
        <f>IFERROR(__xludf.DUMMYFUNCTION("""COMPUTED_VALUE"""),"Chardonnay")</f>
        <v>Chardonnay</v>
      </c>
      <c r="G876" s="3"/>
      <c r="H876" s="3"/>
      <c r="I876" s="3"/>
      <c r="J876" s="3"/>
      <c r="K876" s="57">
        <f>IFERROR(__xludf.DUMMYFUNCTION("""COMPUTED_VALUE"""),3.18)</f>
        <v>3.18</v>
      </c>
      <c r="L876" s="54">
        <f>IFERROR(__xludf.DUMMYFUNCTION("""COMPUTED_VALUE"""),23.0)</f>
        <v>23</v>
      </c>
      <c r="M876" s="3">
        <f>IFERROR(__xludf.DUMMYFUNCTION("""COMPUTED_VALUE"""),70.0)</f>
        <v>70</v>
      </c>
      <c r="N876" s="3"/>
      <c r="O876" s="3"/>
      <c r="P876" s="3"/>
      <c r="Q876" s="3"/>
      <c r="R876" s="3"/>
      <c r="S876" s="3"/>
      <c r="T876" s="5"/>
      <c r="U876" s="5"/>
      <c r="V876" s="5"/>
      <c r="W876" s="5"/>
    </row>
    <row r="877" ht="15.75" customHeight="1">
      <c r="A877" s="3">
        <f>IFERROR(__xludf.DUMMYFUNCTION("""COMPUTED_VALUE"""),877.0)</f>
        <v>877</v>
      </c>
      <c r="B877" s="53">
        <f>IFERROR(__xludf.DUMMYFUNCTION("""COMPUTED_VALUE"""),45721.0)</f>
        <v>45721</v>
      </c>
      <c r="C877" s="3">
        <f>IFERROR(__xludf.DUMMYFUNCTION("""COMPUTED_VALUE"""),104.0)</f>
        <v>104</v>
      </c>
      <c r="D877" s="3" t="str">
        <f>IFERROR(__xludf.DUMMYFUNCTION("""COMPUTED_VALUE"""),"d7af693c")</f>
        <v>d7af693c</v>
      </c>
      <c r="E877" s="54">
        <f>IFERROR(__xludf.DUMMYFUNCTION("""COMPUTED_VALUE"""),29000.0)</f>
        <v>29000</v>
      </c>
      <c r="F877" s="3" t="str">
        <f>IFERROR(__xludf.DUMMYFUNCTION("""COMPUTED_VALUE"""),"Malbec Gota")</f>
        <v>Malbec Gota</v>
      </c>
      <c r="G877" s="3"/>
      <c r="H877" s="3"/>
      <c r="I877" s="3"/>
      <c r="J877" s="3"/>
      <c r="K877" s="57">
        <f>IFERROR(__xludf.DUMMYFUNCTION("""COMPUTED_VALUE"""),3.4)</f>
        <v>3.4</v>
      </c>
      <c r="L877" s="54">
        <f>IFERROR(__xludf.DUMMYFUNCTION("""COMPUTED_VALUE"""),25.0)</f>
        <v>25</v>
      </c>
      <c r="M877" s="3">
        <f>IFERROR(__xludf.DUMMYFUNCTION("""COMPUTED_VALUE"""),83.0)</f>
        <v>83</v>
      </c>
      <c r="N877" s="3"/>
      <c r="O877" s="3"/>
      <c r="P877" s="3"/>
      <c r="Q877" s="3"/>
      <c r="R877" s="3"/>
      <c r="S877" s="3"/>
      <c r="T877" s="5"/>
      <c r="U877" s="5"/>
      <c r="V877" s="5"/>
      <c r="W877" s="5"/>
    </row>
    <row r="878" ht="15.75" customHeight="1">
      <c r="A878" s="3">
        <f>IFERROR(__xludf.DUMMYFUNCTION("""COMPUTED_VALUE"""),878.0)</f>
        <v>878</v>
      </c>
      <c r="B878" s="53">
        <f>IFERROR(__xludf.DUMMYFUNCTION("""COMPUTED_VALUE"""),45721.0)</f>
        <v>45721</v>
      </c>
      <c r="C878" s="3">
        <f>IFERROR(__xludf.DUMMYFUNCTION("""COMPUTED_VALUE"""),105.0)</f>
        <v>105</v>
      </c>
      <c r="D878" s="3" t="str">
        <f>IFERROR(__xludf.DUMMYFUNCTION("""COMPUTED_VALUE"""),"7ad5b1b2")</f>
        <v>7ad5b1b2</v>
      </c>
      <c r="E878" s="54">
        <f>IFERROR(__xludf.DUMMYFUNCTION("""COMPUTED_VALUE"""),30000.0)</f>
        <v>30000</v>
      </c>
      <c r="F878" s="3" t="str">
        <f>IFERROR(__xludf.DUMMYFUNCTION("""COMPUTED_VALUE"""),"Malbec con Merlot s/Asp")</f>
        <v>Malbec con Merlot s/Asp</v>
      </c>
      <c r="G878" s="3"/>
      <c r="H878" s="3"/>
      <c r="I878" s="3"/>
      <c r="J878" s="3"/>
      <c r="K878" s="57">
        <f>IFERROR(__xludf.DUMMYFUNCTION("""COMPUTED_VALUE"""),3.42)</f>
        <v>3.42</v>
      </c>
      <c r="L878" s="54">
        <f>IFERROR(__xludf.DUMMYFUNCTION("""COMPUTED_VALUE"""),38.0)</f>
        <v>38</v>
      </c>
      <c r="M878" s="3">
        <f>IFERROR(__xludf.DUMMYFUNCTION("""COMPUTED_VALUE"""),90.0)</f>
        <v>90</v>
      </c>
      <c r="N878" s="3"/>
      <c r="O878" s="3"/>
      <c r="P878" s="3"/>
      <c r="Q878" s="3"/>
      <c r="R878" s="3"/>
      <c r="S878" s="3"/>
      <c r="T878" s="5"/>
      <c r="U878" s="5"/>
      <c r="V878" s="5"/>
      <c r="W878" s="5"/>
    </row>
    <row r="879" ht="15.75" customHeight="1">
      <c r="A879" s="3">
        <f>IFERROR(__xludf.DUMMYFUNCTION("""COMPUTED_VALUE"""),879.0)</f>
        <v>879</v>
      </c>
      <c r="B879" s="53">
        <f>IFERROR(__xludf.DUMMYFUNCTION("""COMPUTED_VALUE"""),45721.0)</f>
        <v>45721</v>
      </c>
      <c r="C879" s="3">
        <f>IFERROR(__xludf.DUMMYFUNCTION("""COMPUTED_VALUE"""),106.0)</f>
        <v>106</v>
      </c>
      <c r="D879" s="3" t="str">
        <f>IFERROR(__xludf.DUMMYFUNCTION("""COMPUTED_VALUE"""),"00bdd4ad")</f>
        <v>00bdd4ad</v>
      </c>
      <c r="E879" s="54">
        <f>IFERROR(__xludf.DUMMYFUNCTION("""COMPUTED_VALUE"""),11000.0)</f>
        <v>11000</v>
      </c>
      <c r="F879" s="3" t="str">
        <f>IFERROR(__xludf.DUMMYFUNCTION("""COMPUTED_VALUE"""),"Merlot s/Asp")</f>
        <v>Merlot s/Asp</v>
      </c>
      <c r="G879" s="3"/>
      <c r="H879" s="3"/>
      <c r="I879" s="3"/>
      <c r="J879" s="3"/>
      <c r="K879" s="57">
        <f>IFERROR(__xludf.DUMMYFUNCTION("""COMPUTED_VALUE"""),3.38)</f>
        <v>3.38</v>
      </c>
      <c r="L879" s="54">
        <f>IFERROR(__xludf.DUMMYFUNCTION("""COMPUTED_VALUE"""),32.0)</f>
        <v>32</v>
      </c>
      <c r="M879" s="3">
        <f>IFERROR(__xludf.DUMMYFUNCTION("""COMPUTED_VALUE"""),83.0)</f>
        <v>83</v>
      </c>
      <c r="N879" s="3"/>
      <c r="O879" s="3"/>
      <c r="P879" s="3"/>
      <c r="Q879" s="3"/>
      <c r="R879" s="3"/>
      <c r="S879" s="3"/>
      <c r="T879" s="5"/>
      <c r="U879" s="5"/>
      <c r="V879" s="5"/>
      <c r="W879" s="5"/>
    </row>
    <row r="880" ht="15.75" customHeight="1">
      <c r="A880" s="3">
        <f>IFERROR(__xludf.DUMMYFUNCTION("""COMPUTED_VALUE"""),880.0)</f>
        <v>880</v>
      </c>
      <c r="B880" s="53">
        <f>IFERROR(__xludf.DUMMYFUNCTION("""COMPUTED_VALUE"""),45721.0)</f>
        <v>45721</v>
      </c>
      <c r="C880" s="3">
        <f>IFERROR(__xludf.DUMMYFUNCTION("""COMPUTED_VALUE"""),107.0)</f>
        <v>107</v>
      </c>
      <c r="D880" s="3" t="str">
        <f>IFERROR(__xludf.DUMMYFUNCTION("""COMPUTED_VALUE"""),"0aa8c362")</f>
        <v>0aa8c362</v>
      </c>
      <c r="E880" s="54">
        <f>IFERROR(__xludf.DUMMYFUNCTION("""COMPUTED_VALUE"""),30000.0)</f>
        <v>30000</v>
      </c>
      <c r="F880" s="3" t="str">
        <f>IFERROR(__xludf.DUMMYFUNCTION("""COMPUTED_VALUE"""),"Aspirant Anccelota Gota")</f>
        <v>Aspirant Anccelota Gota</v>
      </c>
      <c r="G880" s="3"/>
      <c r="H880" s="3"/>
      <c r="I880" s="3"/>
      <c r="J880" s="3"/>
      <c r="K880" s="57">
        <f>IFERROR(__xludf.DUMMYFUNCTION("""COMPUTED_VALUE"""),3.46)</f>
        <v>3.46</v>
      </c>
      <c r="L880" s="54">
        <f>IFERROR(__xludf.DUMMYFUNCTION("""COMPUTED_VALUE"""),29.0)</f>
        <v>29</v>
      </c>
      <c r="M880" s="3">
        <f>IFERROR(__xludf.DUMMYFUNCTION("""COMPUTED_VALUE"""),51.0)</f>
        <v>51</v>
      </c>
      <c r="N880" s="3"/>
      <c r="O880" s="3"/>
      <c r="P880" s="3"/>
      <c r="Q880" s="3"/>
      <c r="R880" s="3"/>
      <c r="S880" s="3"/>
      <c r="T880" s="5"/>
      <c r="U880" s="5"/>
      <c r="V880" s="5"/>
      <c r="W880" s="5"/>
    </row>
    <row r="881" ht="15.75" customHeight="1">
      <c r="A881" s="3">
        <f>IFERROR(__xludf.DUMMYFUNCTION("""COMPUTED_VALUE"""),881.0)</f>
        <v>881</v>
      </c>
      <c r="B881" s="53">
        <f>IFERROR(__xludf.DUMMYFUNCTION("""COMPUTED_VALUE"""),45721.0)</f>
        <v>45721</v>
      </c>
      <c r="C881" s="3">
        <f>IFERROR(__xludf.DUMMYFUNCTION("""COMPUTED_VALUE"""),108.0)</f>
        <v>108</v>
      </c>
      <c r="D881" s="3" t="str">
        <f>IFERROR(__xludf.DUMMYFUNCTION("""COMPUTED_VALUE"""),"a1ad6cb4")</f>
        <v>a1ad6cb4</v>
      </c>
      <c r="E881" s="54">
        <f>IFERROR(__xludf.DUMMYFUNCTION("""COMPUTED_VALUE"""),7500.0)</f>
        <v>7500</v>
      </c>
      <c r="F881" s="3" t="str">
        <f>IFERROR(__xludf.DUMMYFUNCTION("""COMPUTED_VALUE"""),"Syrah Merlot s/Asp Gota")</f>
        <v>Syrah Merlot s/Asp Gota</v>
      </c>
      <c r="G881" s="3"/>
      <c r="H881" s="3"/>
      <c r="I881" s="3"/>
      <c r="J881" s="3"/>
      <c r="K881" s="57">
        <f>IFERROR(__xludf.DUMMYFUNCTION("""COMPUTED_VALUE"""),3.4)</f>
        <v>3.4</v>
      </c>
      <c r="L881" s="54">
        <f>IFERROR(__xludf.DUMMYFUNCTION("""COMPUTED_VALUE"""),28.0)</f>
        <v>28</v>
      </c>
      <c r="M881" s="3">
        <f>IFERROR(__xludf.DUMMYFUNCTION("""COMPUTED_VALUE"""),77.0)</f>
        <v>77</v>
      </c>
      <c r="N881" s="3"/>
      <c r="O881" s="3"/>
      <c r="P881" s="3"/>
      <c r="Q881" s="3"/>
      <c r="R881" s="3"/>
      <c r="S881" s="3"/>
      <c r="T881" s="5"/>
      <c r="U881" s="5"/>
      <c r="V881" s="5"/>
      <c r="W881" s="5"/>
    </row>
    <row r="882" ht="15.75" customHeight="1">
      <c r="A882" s="3">
        <f>IFERROR(__xludf.DUMMYFUNCTION("""COMPUTED_VALUE"""),882.0)</f>
        <v>882</v>
      </c>
      <c r="B882" s="53">
        <f>IFERROR(__xludf.DUMMYFUNCTION("""COMPUTED_VALUE"""),45721.0)</f>
        <v>45721</v>
      </c>
      <c r="C882" s="3">
        <f>IFERROR(__xludf.DUMMYFUNCTION("""COMPUTED_VALUE"""),109.0)</f>
        <v>109</v>
      </c>
      <c r="D882" s="3" t="str">
        <f>IFERROR(__xludf.DUMMYFUNCTION("""COMPUTED_VALUE"""),"d6ff9a07")</f>
        <v>d6ff9a07</v>
      </c>
      <c r="E882" s="54">
        <f>IFERROR(__xludf.DUMMYFUNCTION("""COMPUTED_VALUE"""),24000.0)</f>
        <v>24000</v>
      </c>
      <c r="F882" s="3" t="str">
        <f>IFERROR(__xludf.DUMMYFUNCTION("""COMPUTED_VALUE"""),"Merlot s/Asp descube")</f>
        <v>Merlot s/Asp descube</v>
      </c>
      <c r="G882" s="3"/>
      <c r="H882" s="3"/>
      <c r="I882" s="3"/>
      <c r="J882" s="3"/>
      <c r="K882" s="57">
        <f>IFERROR(__xludf.DUMMYFUNCTION("""COMPUTED_VALUE"""),3.38)</f>
        <v>3.38</v>
      </c>
      <c r="L882" s="54">
        <f>IFERROR(__xludf.DUMMYFUNCTION("""COMPUTED_VALUE"""),36.0)</f>
        <v>36</v>
      </c>
      <c r="M882" s="3">
        <f>IFERROR(__xludf.DUMMYFUNCTION("""COMPUTED_VALUE"""),77.0)</f>
        <v>77</v>
      </c>
      <c r="N882" s="3"/>
      <c r="O882" s="3"/>
      <c r="P882" s="3"/>
      <c r="Q882" s="3"/>
      <c r="R882" s="3"/>
      <c r="S882" s="3"/>
      <c r="T882" s="5"/>
      <c r="U882" s="5"/>
      <c r="V882" s="5"/>
      <c r="W882" s="5"/>
    </row>
    <row r="883" ht="15.75" customHeight="1">
      <c r="A883" s="3">
        <f>IFERROR(__xludf.DUMMYFUNCTION("""COMPUTED_VALUE"""),883.0)</f>
        <v>883</v>
      </c>
      <c r="B883" s="53">
        <f>IFERROR(__xludf.DUMMYFUNCTION("""COMPUTED_VALUE"""),45721.0)</f>
        <v>45721</v>
      </c>
      <c r="C883" s="3">
        <f>IFERROR(__xludf.DUMMYFUNCTION("""COMPUTED_VALUE"""),110.0)</f>
        <v>110</v>
      </c>
      <c r="D883" s="3" t="str">
        <f>IFERROR(__xludf.DUMMYFUNCTION("""COMPUTED_VALUE"""),"13d1574d")</f>
        <v>13d1574d</v>
      </c>
      <c r="E883" s="54">
        <f>IFERROR(__xludf.DUMMYFUNCTION("""COMPUTED_VALUE"""),13000.0)</f>
        <v>13000</v>
      </c>
      <c r="F883" s="3" t="str">
        <f>IFERROR(__xludf.DUMMYFUNCTION("""COMPUTED_VALUE"""),"Merlot s/Asp descube")</f>
        <v>Merlot s/Asp descube</v>
      </c>
      <c r="G883" s="3"/>
      <c r="H883" s="3"/>
      <c r="I883" s="3"/>
      <c r="J883" s="3"/>
      <c r="K883" s="57">
        <f>IFERROR(__xludf.DUMMYFUNCTION("""COMPUTED_VALUE"""),3.4)</f>
        <v>3.4</v>
      </c>
      <c r="L883" s="54">
        <f>IFERROR(__xludf.DUMMYFUNCTION("""COMPUTED_VALUE"""),39.0)</f>
        <v>39</v>
      </c>
      <c r="M883" s="3">
        <f>IFERROR(__xludf.DUMMYFUNCTION("""COMPUTED_VALUE"""),92.0)</f>
        <v>92</v>
      </c>
      <c r="N883" s="3"/>
      <c r="O883" s="3"/>
      <c r="P883" s="3"/>
      <c r="Q883" s="3"/>
      <c r="R883" s="3"/>
      <c r="S883" s="3"/>
      <c r="T883" s="5"/>
      <c r="U883" s="5"/>
      <c r="V883" s="5"/>
      <c r="W883" s="5"/>
    </row>
    <row r="884" ht="15.75" customHeight="1">
      <c r="A884" s="3">
        <f>IFERROR(__xludf.DUMMYFUNCTION("""COMPUTED_VALUE"""),884.0)</f>
        <v>884</v>
      </c>
      <c r="B884" s="53">
        <f>IFERROR(__xludf.DUMMYFUNCTION("""COMPUTED_VALUE"""),45721.0)</f>
        <v>45721</v>
      </c>
      <c r="C884" s="3">
        <f>IFERROR(__xludf.DUMMYFUNCTION("""COMPUTED_VALUE"""),87.0)</f>
        <v>87</v>
      </c>
      <c r="D884" s="3" t="str">
        <f>IFERROR(__xludf.DUMMYFUNCTION("""COMPUTED_VALUE"""),"a62e4289")</f>
        <v>a62e4289</v>
      </c>
      <c r="E884" s="54">
        <f>IFERROR(__xludf.DUMMYFUNCTION("""COMPUTED_VALUE"""),47200.0)</f>
        <v>47200</v>
      </c>
      <c r="F884" s="3" t="str">
        <f>IFERROR(__xludf.DUMMYFUNCTION("""COMPUTED_VALUE"""),"Correccion")</f>
        <v>Correccion</v>
      </c>
      <c r="G884" s="55">
        <f>IFERROR(__xludf.DUMMYFUNCTION("""COMPUTED_VALUE"""),13.2)</f>
        <v>13.2</v>
      </c>
      <c r="H884" s="56">
        <f>IFERROR(__xludf.DUMMYFUNCTION("""COMPUTED_VALUE"""),8.0)</f>
        <v>8</v>
      </c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5"/>
      <c r="U884" s="5"/>
      <c r="V884" s="5"/>
      <c r="W884" s="5"/>
    </row>
    <row r="885" ht="15.75" customHeight="1">
      <c r="A885" s="3">
        <f>IFERROR(__xludf.DUMMYFUNCTION("""COMPUTED_VALUE"""),885.0)</f>
        <v>885</v>
      </c>
      <c r="B885" s="53">
        <f>IFERROR(__xludf.DUMMYFUNCTION("""COMPUTED_VALUE"""),45722.0)</f>
        <v>45722</v>
      </c>
      <c r="C885" s="3">
        <f>IFERROR(__xludf.DUMMYFUNCTION("""COMPUTED_VALUE"""),69.0)</f>
        <v>69</v>
      </c>
      <c r="D885" s="3" t="str">
        <f>IFERROR(__xludf.DUMMYFUNCTION("""COMPUTED_VALUE"""),"99fabf46")</f>
        <v>99fabf46</v>
      </c>
      <c r="E885" s="54">
        <f>IFERROR(__xludf.DUMMYFUNCTION("""COMPUTED_VALUE"""),9100.0)</f>
        <v>9100</v>
      </c>
      <c r="F885" s="3" t="str">
        <f>IFERROR(__xludf.DUMMYFUNCTION("""COMPUTED_VALUE"""),"Malbec")</f>
        <v>Malbec</v>
      </c>
      <c r="G885" s="3"/>
      <c r="H885" s="3"/>
      <c r="I885" s="3"/>
      <c r="J885" s="3"/>
      <c r="K885" s="57">
        <f>IFERROR(__xludf.DUMMYFUNCTION("""COMPUTED_VALUE"""),3.75)</f>
        <v>3.75</v>
      </c>
      <c r="L885" s="54">
        <f>IFERROR(__xludf.DUMMYFUNCTION("""COMPUTED_VALUE"""),25.0)</f>
        <v>25</v>
      </c>
      <c r="M885" s="3">
        <f>IFERROR(__xludf.DUMMYFUNCTION("""COMPUTED_VALUE"""),58.0)</f>
        <v>58</v>
      </c>
      <c r="N885" s="3"/>
      <c r="O885" s="3"/>
      <c r="P885" s="3"/>
      <c r="Q885" s="3"/>
      <c r="R885" s="3"/>
      <c r="S885" s="3"/>
      <c r="T885" s="5"/>
      <c r="U885" s="5">
        <f>IFERROR(__xludf.DUMMYFUNCTION("""COMPUTED_VALUE"""),19.8)</f>
        <v>19.8</v>
      </c>
      <c r="V885" s="5"/>
      <c r="W885" s="5"/>
    </row>
    <row r="886" ht="15.75" customHeight="1">
      <c r="A886" s="3">
        <f>IFERROR(__xludf.DUMMYFUNCTION("""COMPUTED_VALUE"""),886.0)</f>
        <v>886</v>
      </c>
      <c r="B886" s="53">
        <f>IFERROR(__xludf.DUMMYFUNCTION("""COMPUTED_VALUE"""),45722.0)</f>
        <v>45722</v>
      </c>
      <c r="C886" s="3">
        <f>IFERROR(__xludf.DUMMYFUNCTION("""COMPUTED_VALUE"""),92.0)</f>
        <v>92</v>
      </c>
      <c r="D886" s="3" t="str">
        <f>IFERROR(__xludf.DUMMYFUNCTION("""COMPUTED_VALUE"""),"3c90bae8")</f>
        <v>3c90bae8</v>
      </c>
      <c r="E886" s="54">
        <f>IFERROR(__xludf.DUMMYFUNCTION("""COMPUTED_VALUE"""),40700.0)</f>
        <v>40700</v>
      </c>
      <c r="F886" s="3" t="str">
        <f>IFERROR(__xludf.DUMMYFUNCTION("""COMPUTED_VALUE"""),"Syrah Tempranillo")</f>
        <v>Syrah Tempranillo</v>
      </c>
      <c r="G886" s="3"/>
      <c r="H886" s="3"/>
      <c r="I886" s="3"/>
      <c r="J886" s="3"/>
      <c r="K886" s="57">
        <f>IFERROR(__xludf.DUMMYFUNCTION("""COMPUTED_VALUE"""),3.3)</f>
        <v>3.3</v>
      </c>
      <c r="L886" s="54">
        <f>IFERROR(__xludf.DUMMYFUNCTION("""COMPUTED_VALUE"""),50.0)</f>
        <v>50</v>
      </c>
      <c r="M886" s="3">
        <f>IFERROR(__xludf.DUMMYFUNCTION("""COMPUTED_VALUE"""),80.0)</f>
        <v>80</v>
      </c>
      <c r="N886" s="3"/>
      <c r="O886" s="3"/>
      <c r="P886" s="3"/>
      <c r="Q886" s="3"/>
      <c r="R886" s="3"/>
      <c r="S886" s="3"/>
      <c r="T886" s="5"/>
      <c r="U886" s="5">
        <f>IFERROR(__xludf.DUMMYFUNCTION("""COMPUTED_VALUE"""),22.4)</f>
        <v>22.4</v>
      </c>
      <c r="V886" s="5"/>
      <c r="W886" s="5"/>
    </row>
    <row r="887" ht="15.75" customHeight="1">
      <c r="A887" s="3">
        <f>IFERROR(__xludf.DUMMYFUNCTION("""COMPUTED_VALUE"""),887.0)</f>
        <v>887</v>
      </c>
      <c r="B887" s="53">
        <f>IFERROR(__xludf.DUMMYFUNCTION("""COMPUTED_VALUE"""),45722.0)</f>
        <v>45722</v>
      </c>
      <c r="C887" s="3">
        <f>IFERROR(__xludf.DUMMYFUNCTION("""COMPUTED_VALUE"""),89.0)</f>
        <v>89</v>
      </c>
      <c r="D887" s="3" t="str">
        <f>IFERROR(__xludf.DUMMYFUNCTION("""COMPUTED_VALUE"""),"5d46dc83")</f>
        <v>5d46dc83</v>
      </c>
      <c r="E887" s="54">
        <f>IFERROR(__xludf.DUMMYFUNCTION("""COMPUTED_VALUE"""),40500.0)</f>
        <v>40500</v>
      </c>
      <c r="F887" s="3" t="str">
        <f>IFERROR(__xludf.DUMMYFUNCTION("""COMPUTED_VALUE"""),"Syrah")</f>
        <v>Syrah</v>
      </c>
      <c r="G887" s="3"/>
      <c r="H887" s="3"/>
      <c r="I887" s="3"/>
      <c r="J887" s="3"/>
      <c r="K887" s="57">
        <f>IFERROR(__xludf.DUMMYFUNCTION("""COMPUTED_VALUE"""),3.47)</f>
        <v>3.47</v>
      </c>
      <c r="L887" s="54">
        <f>IFERROR(__xludf.DUMMYFUNCTION("""COMPUTED_VALUE"""),20.0)</f>
        <v>20</v>
      </c>
      <c r="M887" s="3">
        <f>IFERROR(__xludf.DUMMYFUNCTION("""COMPUTED_VALUE"""),60.0)</f>
        <v>60</v>
      </c>
      <c r="N887" s="3"/>
      <c r="O887" s="3"/>
      <c r="P887" s="3"/>
      <c r="Q887" s="3"/>
      <c r="R887" s="3"/>
      <c r="S887" s="3"/>
      <c r="T887" s="5"/>
      <c r="U887" s="5">
        <f>IFERROR(__xludf.DUMMYFUNCTION("""COMPUTED_VALUE"""),19.8)</f>
        <v>19.8</v>
      </c>
      <c r="V887" s="5"/>
      <c r="W887" s="5"/>
    </row>
    <row r="888" ht="15.75" customHeight="1">
      <c r="A888" s="3">
        <f>IFERROR(__xludf.DUMMYFUNCTION("""COMPUTED_VALUE"""),888.0)</f>
        <v>888</v>
      </c>
      <c r="B888" s="53">
        <f>IFERROR(__xludf.DUMMYFUNCTION("""COMPUTED_VALUE"""),45722.0)</f>
        <v>45722</v>
      </c>
      <c r="C888" s="3">
        <f>IFERROR(__xludf.DUMMYFUNCTION("""COMPUTED_VALUE"""),68.0)</f>
        <v>68</v>
      </c>
      <c r="D888" s="3" t="str">
        <f>IFERROR(__xludf.DUMMYFUNCTION("""COMPUTED_VALUE"""),"702b9808")</f>
        <v>702b9808</v>
      </c>
      <c r="E888" s="54">
        <f>IFERROR(__xludf.DUMMYFUNCTION("""COMPUTED_VALUE"""),10000.0)</f>
        <v>10000</v>
      </c>
      <c r="F888" s="3" t="str">
        <f>IFERROR(__xludf.DUMMYFUNCTION("""COMPUTED_VALUE"""),"Syrah")</f>
        <v>Syrah</v>
      </c>
      <c r="G888" s="55">
        <f>IFERROR(__xludf.DUMMYFUNCTION("""COMPUTED_VALUE"""),12.5)</f>
        <v>12.5</v>
      </c>
      <c r="H888" s="56">
        <f>IFERROR(__xludf.DUMMYFUNCTION("""COMPUTED_VALUE"""),56.0)</f>
        <v>56</v>
      </c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5"/>
      <c r="U888" s="5"/>
      <c r="V888" s="5"/>
      <c r="W888" s="5"/>
    </row>
    <row r="889" ht="15.75" customHeight="1">
      <c r="A889" s="3">
        <f>IFERROR(__xludf.DUMMYFUNCTION("""COMPUTED_VALUE"""),889.0)</f>
        <v>889</v>
      </c>
      <c r="B889" s="53">
        <f>IFERROR(__xludf.DUMMYFUNCTION("""COMPUTED_VALUE"""),45722.0)</f>
        <v>45722</v>
      </c>
      <c r="C889" s="3">
        <f>IFERROR(__xludf.DUMMYFUNCTION("""COMPUTED_VALUE"""),83.0)</f>
        <v>83</v>
      </c>
      <c r="D889" s="3" t="str">
        <f>IFERROR(__xludf.DUMMYFUNCTION("""COMPUTED_VALUE"""),"6c349523")</f>
        <v>6c349523</v>
      </c>
      <c r="E889" s="54">
        <f>IFERROR(__xludf.DUMMYFUNCTION("""COMPUTED_VALUE"""),53000.0)</f>
        <v>53000</v>
      </c>
      <c r="F889" s="3" t="str">
        <f>IFERROR(__xludf.DUMMYFUNCTION("""COMPUTED_VALUE"""),"Syrah")</f>
        <v>Syrah</v>
      </c>
      <c r="G889" s="55">
        <f>IFERROR(__xludf.DUMMYFUNCTION("""COMPUTED_VALUE"""),14.0)</f>
        <v>14</v>
      </c>
      <c r="H889" s="56">
        <f>IFERROR(__xludf.DUMMYFUNCTION("""COMPUTED_VALUE"""),6.92)</f>
        <v>6.92</v>
      </c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5"/>
      <c r="U889" s="5"/>
      <c r="V889" s="5"/>
      <c r="W889" s="5"/>
    </row>
    <row r="890" ht="15.75" customHeight="1">
      <c r="A890" s="3">
        <f>IFERROR(__xludf.DUMMYFUNCTION("""COMPUTED_VALUE"""),890.0)</f>
        <v>890</v>
      </c>
      <c r="B890" s="53">
        <f>IFERROR(__xludf.DUMMYFUNCTION("""COMPUTED_VALUE"""),45722.0)</f>
        <v>45722</v>
      </c>
      <c r="C890" s="3">
        <f>IFERROR(__xludf.DUMMYFUNCTION("""COMPUTED_VALUE"""),121.0)</f>
        <v>121</v>
      </c>
      <c r="D890" s="3" t="str">
        <f>IFERROR(__xludf.DUMMYFUNCTION("""COMPUTED_VALUE"""),"f90482a4")</f>
        <v>f90482a4</v>
      </c>
      <c r="E890" s="54">
        <f>IFERROR(__xludf.DUMMYFUNCTION("""COMPUTED_VALUE"""),85800.0)</f>
        <v>85800</v>
      </c>
      <c r="F890" s="3" t="str">
        <f>IFERROR(__xludf.DUMMYFUNCTION("""COMPUTED_VALUE"""),"Syrah s/Asp 3ra")</f>
        <v>Syrah s/Asp 3ra</v>
      </c>
      <c r="G890" s="55">
        <f>IFERROR(__xludf.DUMMYFUNCTION("""COMPUTED_VALUE"""),14.5)</f>
        <v>14.5</v>
      </c>
      <c r="H890" s="56">
        <f>IFERROR(__xludf.DUMMYFUNCTION("""COMPUTED_VALUE"""),2.88)</f>
        <v>2.88</v>
      </c>
      <c r="I890" s="57">
        <f>IFERROR(__xludf.DUMMYFUNCTION("""COMPUTED_VALUE"""),0.5)</f>
        <v>0.5</v>
      </c>
      <c r="J890" s="57">
        <f>IFERROR(__xludf.DUMMYFUNCTION("""COMPUTED_VALUE"""),6.12)</f>
        <v>6.12</v>
      </c>
      <c r="K890" s="57">
        <f>IFERROR(__xludf.DUMMYFUNCTION("""COMPUTED_VALUE"""),3.64)</f>
        <v>3.64</v>
      </c>
      <c r="L890" s="54">
        <f>IFERROR(__xludf.DUMMYFUNCTION("""COMPUTED_VALUE"""),22.0)</f>
        <v>22</v>
      </c>
      <c r="M890" s="3">
        <f>IFERROR(__xludf.DUMMYFUNCTION("""COMPUTED_VALUE"""),91.0)</f>
        <v>91</v>
      </c>
      <c r="N890" s="3"/>
      <c r="O890" s="3"/>
      <c r="P890" s="3"/>
      <c r="Q890" s="3"/>
      <c r="R890" s="3"/>
      <c r="S890" s="3"/>
      <c r="T890" s="5"/>
      <c r="U890" s="5"/>
      <c r="V890" s="5"/>
      <c r="W890" s="5"/>
    </row>
    <row r="891" ht="15.75" customHeight="1">
      <c r="A891" s="3">
        <f>IFERROR(__xludf.DUMMYFUNCTION("""COMPUTED_VALUE"""),891.0)</f>
        <v>891</v>
      </c>
      <c r="B891" s="53">
        <f>IFERROR(__xludf.DUMMYFUNCTION("""COMPUTED_VALUE"""),45723.0)</f>
        <v>45723</v>
      </c>
      <c r="C891" s="3">
        <f>IFERROR(__xludf.DUMMYFUNCTION("""COMPUTED_VALUE"""),15.0)</f>
        <v>15</v>
      </c>
      <c r="D891" s="3" t="str">
        <f>IFERROR(__xludf.DUMMYFUNCTION("""COMPUTED_VALUE"""),"bf5594db")</f>
        <v>bf5594db</v>
      </c>
      <c r="E891" s="54">
        <f>IFERROR(__xludf.DUMMYFUNCTION("""COMPUTED_VALUE"""),36000.0)</f>
        <v>36000</v>
      </c>
      <c r="F891" s="3" t="str">
        <f>IFERROR(__xludf.DUMMYFUNCTION("""COMPUTED_VALUE"""),"Syrah Tempranillo s/Asp 2da")</f>
        <v>Syrah Tempranillo s/Asp 2da</v>
      </c>
      <c r="G891" s="55">
        <f>IFERROR(__xludf.DUMMYFUNCTION("""COMPUTED_VALUE"""),13.8)</f>
        <v>13.8</v>
      </c>
      <c r="H891" s="56">
        <f>IFERROR(__xludf.DUMMYFUNCTION("""COMPUTED_VALUE"""),2.0)</f>
        <v>2</v>
      </c>
      <c r="I891" s="57">
        <f>IFERROR(__xludf.DUMMYFUNCTION("""COMPUTED_VALUE"""),0.52)</f>
        <v>0.52</v>
      </c>
      <c r="J891" s="3"/>
      <c r="K891" s="3"/>
      <c r="L891" s="54">
        <f>IFERROR(__xludf.DUMMYFUNCTION("""COMPUTED_VALUE"""),31.0)</f>
        <v>31</v>
      </c>
      <c r="M891" s="3">
        <f>IFERROR(__xludf.DUMMYFUNCTION("""COMPUTED_VALUE"""),100.0)</f>
        <v>100</v>
      </c>
      <c r="N891" s="3"/>
      <c r="O891" s="3"/>
      <c r="P891" s="3"/>
      <c r="Q891" s="3"/>
      <c r="R891" s="3"/>
      <c r="S891" s="3"/>
      <c r="T891" s="5"/>
      <c r="U891" s="5"/>
      <c r="V891" s="5"/>
      <c r="W891" s="5"/>
    </row>
    <row r="892" ht="15.75" customHeight="1">
      <c r="A892" s="3">
        <f>IFERROR(__xludf.DUMMYFUNCTION("""COMPUTED_VALUE"""),892.0)</f>
        <v>892</v>
      </c>
      <c r="B892" s="53">
        <f>IFERROR(__xludf.DUMMYFUNCTION("""COMPUTED_VALUE"""),45723.0)</f>
        <v>45723</v>
      </c>
      <c r="C892" s="3">
        <f>IFERROR(__xludf.DUMMYFUNCTION("""COMPUTED_VALUE"""),69.0)</f>
        <v>69</v>
      </c>
      <c r="D892" s="3" t="str">
        <f>IFERROR(__xludf.DUMMYFUNCTION("""COMPUTED_VALUE"""),"99fabf46")</f>
        <v>99fabf46</v>
      </c>
      <c r="E892" s="54">
        <f>IFERROR(__xludf.DUMMYFUNCTION("""COMPUTED_VALUE"""),9100.0)</f>
        <v>9100</v>
      </c>
      <c r="F892" s="3" t="str">
        <f>IFERROR(__xludf.DUMMYFUNCTION("""COMPUTED_VALUE"""),"Malbec")</f>
        <v>Malbec</v>
      </c>
      <c r="G892" s="3"/>
      <c r="H892" s="3"/>
      <c r="I892" s="3"/>
      <c r="J892" s="3"/>
      <c r="K892" s="57">
        <f>IFERROR(__xludf.DUMMYFUNCTION("""COMPUTED_VALUE"""),3.68)</f>
        <v>3.68</v>
      </c>
      <c r="L892" s="3"/>
      <c r="M892" s="3"/>
      <c r="N892" s="3"/>
      <c r="O892" s="3"/>
      <c r="P892" s="3"/>
      <c r="Q892" s="3"/>
      <c r="R892" s="3"/>
      <c r="S892" s="3"/>
      <c r="T892" s="5"/>
      <c r="U892" s="5"/>
      <c r="V892" s="5"/>
      <c r="W892" s="5" t="str">
        <f>IFERROR(__xludf.DUMMYFUNCTION("""COMPUTED_VALUE"""),"20  recctificado 3,50")</f>
        <v>20  recctificado 3,50</v>
      </c>
    </row>
    <row r="893" ht="15.75" customHeight="1">
      <c r="A893" s="3">
        <f>IFERROR(__xludf.DUMMYFUNCTION("""COMPUTED_VALUE"""),893.0)</f>
        <v>893</v>
      </c>
      <c r="B893" s="53">
        <f>IFERROR(__xludf.DUMMYFUNCTION("""COMPUTED_VALUE"""),45723.0)</f>
        <v>45723</v>
      </c>
      <c r="C893" s="3">
        <f>IFERROR(__xludf.DUMMYFUNCTION("""COMPUTED_VALUE"""),92.0)</f>
        <v>92</v>
      </c>
      <c r="D893" s="3" t="str">
        <f>IFERROR(__xludf.DUMMYFUNCTION("""COMPUTED_VALUE"""),"3c90bae8")</f>
        <v>3c90bae8</v>
      </c>
      <c r="E893" s="54">
        <f>IFERROR(__xludf.DUMMYFUNCTION("""COMPUTED_VALUE"""),40700.0)</f>
        <v>40700</v>
      </c>
      <c r="F893" s="3" t="str">
        <f>IFERROR(__xludf.DUMMYFUNCTION("""COMPUTED_VALUE"""),"Syrah Tempranillo")</f>
        <v>Syrah Tempranillo</v>
      </c>
      <c r="G893" s="3"/>
      <c r="H893" s="3"/>
      <c r="I893" s="3"/>
      <c r="J893" s="3"/>
      <c r="K893" s="57">
        <f>IFERROR(__xludf.DUMMYFUNCTION("""COMPUTED_VALUE"""),3.63)</f>
        <v>3.63</v>
      </c>
      <c r="L893" s="3"/>
      <c r="M893" s="3"/>
      <c r="N893" s="3"/>
      <c r="O893" s="3"/>
      <c r="P893" s="3"/>
      <c r="Q893" s="3"/>
      <c r="R893" s="3"/>
      <c r="S893" s="3"/>
      <c r="T893" s="5"/>
      <c r="U893" s="5"/>
      <c r="V893" s="5"/>
      <c r="W893" s="5" t="str">
        <f>IFERROR(__xludf.DUMMYFUNCTION("""COMPUTED_VALUE"""),"20 % rectig 3,45")</f>
        <v>20 % rectig 3,45</v>
      </c>
    </row>
    <row r="894" ht="15.75" customHeight="1">
      <c r="A894" s="3">
        <f>IFERROR(__xludf.DUMMYFUNCTION("""COMPUTED_VALUE"""),894.0)</f>
        <v>894</v>
      </c>
      <c r="B894" s="53">
        <f>IFERROR(__xludf.DUMMYFUNCTION("""COMPUTED_VALUE"""),45723.0)</f>
        <v>45723</v>
      </c>
      <c r="C894" s="3">
        <f>IFERROR(__xludf.DUMMYFUNCTION("""COMPUTED_VALUE"""),66.0)</f>
        <v>66</v>
      </c>
      <c r="D894" s="3" t="str">
        <f>IFERROR(__xludf.DUMMYFUNCTION("""COMPUTED_VALUE"""),"9c95c706")</f>
        <v>9c95c706</v>
      </c>
      <c r="E894" s="54">
        <f>IFERROR(__xludf.DUMMYFUNCTION("""COMPUTED_VALUE"""),15000.0)</f>
        <v>15000</v>
      </c>
      <c r="F894" s="3" t="str">
        <f>IFERROR(__xludf.DUMMYFUNCTION("""COMPUTED_VALUE"""),"Anccelotta")</f>
        <v>Anccelotta</v>
      </c>
      <c r="G894" s="3"/>
      <c r="H894" s="3"/>
      <c r="I894" s="3"/>
      <c r="J894" s="3"/>
      <c r="K894" s="57">
        <f>IFERROR(__xludf.DUMMYFUNCTION("""COMPUTED_VALUE"""),3.51)</f>
        <v>3.51</v>
      </c>
      <c r="L894" s="3"/>
      <c r="M894" s="3"/>
      <c r="N894" s="3"/>
      <c r="O894" s="3"/>
      <c r="P894" s="3"/>
      <c r="Q894" s="3"/>
      <c r="R894" s="3"/>
      <c r="S894" s="3"/>
      <c r="T894" s="5"/>
      <c r="U894" s="5"/>
      <c r="V894" s="5"/>
      <c r="W894" s="5" t="str">
        <f>IFERROR(__xludf.DUMMYFUNCTION("""COMPUTED_VALUE"""),"10% rectif 3,45")</f>
        <v>10% rectif 3,45</v>
      </c>
    </row>
    <row r="895" ht="15.75" customHeight="1">
      <c r="A895" s="3">
        <f>IFERROR(__xludf.DUMMYFUNCTION("""COMPUTED_VALUE"""),895.0)</f>
        <v>895</v>
      </c>
      <c r="B895" s="53">
        <f>IFERROR(__xludf.DUMMYFUNCTION("""COMPUTED_VALUE"""),45723.0)</f>
        <v>45723</v>
      </c>
      <c r="C895" s="3">
        <f>IFERROR(__xludf.DUMMYFUNCTION("""COMPUTED_VALUE"""),65.0)</f>
        <v>65</v>
      </c>
      <c r="D895" s="3" t="str">
        <f>IFERROR(__xludf.DUMMYFUNCTION("""COMPUTED_VALUE"""),"15e7b86f")</f>
        <v>15e7b86f</v>
      </c>
      <c r="E895" s="54">
        <f>IFERROR(__xludf.DUMMYFUNCTION("""COMPUTED_VALUE"""),24500.0)</f>
        <v>24500</v>
      </c>
      <c r="F895" s="3" t="str">
        <f>IFERROR(__xludf.DUMMYFUNCTION("""COMPUTED_VALUE"""),"Anccelotta")</f>
        <v>Anccelotta</v>
      </c>
      <c r="G895" s="55">
        <f>IFERROR(__xludf.DUMMYFUNCTION("""COMPUTED_VALUE"""),13.7)</f>
        <v>13.7</v>
      </c>
      <c r="H895" s="56">
        <f>IFERROR(__xludf.DUMMYFUNCTION("""COMPUTED_VALUE"""),11.57)</f>
        <v>11.57</v>
      </c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5"/>
      <c r="U895" s="5"/>
      <c r="V895" s="5"/>
      <c r="W895" s="5"/>
    </row>
    <row r="896" ht="15.75" customHeight="1">
      <c r="A896" s="3">
        <f>IFERROR(__xludf.DUMMYFUNCTION("""COMPUTED_VALUE"""),896.0)</f>
        <v>896</v>
      </c>
      <c r="B896" s="53">
        <f>IFERROR(__xludf.DUMMYFUNCTION("""COMPUTED_VALUE"""),45723.0)</f>
        <v>45723</v>
      </c>
      <c r="C896" s="3">
        <f>IFERROR(__xludf.DUMMYFUNCTION("""COMPUTED_VALUE"""),11.0)</f>
        <v>11</v>
      </c>
      <c r="D896" s="3" t="str">
        <f>IFERROR(__xludf.DUMMYFUNCTION("""COMPUTED_VALUE"""),"9c695ba3")</f>
        <v>9c695ba3</v>
      </c>
      <c r="E896" s="54">
        <f>IFERROR(__xludf.DUMMYFUNCTION("""COMPUTED_VALUE"""),36000.0)</f>
        <v>36000</v>
      </c>
      <c r="F896" s="3" t="str">
        <f>IFERROR(__xludf.DUMMYFUNCTION("""COMPUTED_VALUE"""),"Syrah Colom s/Asp 2")</f>
        <v>Syrah Colom s/Asp 2</v>
      </c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5"/>
      <c r="U896" s="5"/>
      <c r="V896" s="5"/>
      <c r="W896" s="5"/>
    </row>
    <row r="897" ht="15.75" customHeight="1">
      <c r="A897" s="3">
        <f>IFERROR(__xludf.DUMMYFUNCTION("""COMPUTED_VALUE"""),897.0)</f>
        <v>897</v>
      </c>
      <c r="B897" s="53">
        <f>IFERROR(__xludf.DUMMYFUNCTION("""COMPUTED_VALUE"""),45723.0)</f>
        <v>45723</v>
      </c>
      <c r="C897" s="3">
        <f>IFERROR(__xludf.DUMMYFUNCTION("""COMPUTED_VALUE"""),14.0)</f>
        <v>14</v>
      </c>
      <c r="D897" s="3" t="str">
        <f>IFERROR(__xludf.DUMMYFUNCTION("""COMPUTED_VALUE"""),"21a02bb8")</f>
        <v>21a02bb8</v>
      </c>
      <c r="E897" s="54">
        <f>IFERROR(__xludf.DUMMYFUNCTION("""COMPUTED_VALUE"""),37000.0)</f>
        <v>37000</v>
      </c>
      <c r="F897" s="3" t="str">
        <f>IFERROR(__xludf.DUMMYFUNCTION("""COMPUTED_VALUE"""),"Syrah Colom s/Asp 2")</f>
        <v>Syrah Colom s/Asp 2</v>
      </c>
      <c r="G897" s="3"/>
      <c r="H897" s="3"/>
      <c r="I897" s="57">
        <f>IFERROR(__xludf.DUMMYFUNCTION("""COMPUTED_VALUE"""),0.45)</f>
        <v>0.45</v>
      </c>
      <c r="J897" s="3"/>
      <c r="K897" s="3"/>
      <c r="L897" s="54">
        <f>IFERROR(__xludf.DUMMYFUNCTION("""COMPUTED_VALUE"""),25.0)</f>
        <v>25</v>
      </c>
      <c r="M897" s="3">
        <f>IFERROR(__xludf.DUMMYFUNCTION("""COMPUTED_VALUE"""),90.0)</f>
        <v>90</v>
      </c>
      <c r="N897" s="3"/>
      <c r="O897" s="3"/>
      <c r="P897" s="3"/>
      <c r="Q897" s="3"/>
      <c r="R897" s="3"/>
      <c r="S897" s="3"/>
      <c r="T897" s="5"/>
      <c r="U897" s="5"/>
      <c r="V897" s="5"/>
      <c r="W897" s="5"/>
    </row>
    <row r="898" ht="15.75" customHeight="1">
      <c r="A898" s="3">
        <f>IFERROR(__xludf.DUMMYFUNCTION("""COMPUTED_VALUE"""),898.0)</f>
        <v>898</v>
      </c>
      <c r="B898" s="53">
        <f>IFERROR(__xludf.DUMMYFUNCTION("""COMPUTED_VALUE"""),45723.0)</f>
        <v>45723</v>
      </c>
      <c r="C898" s="3">
        <f>IFERROR(__xludf.DUMMYFUNCTION("""COMPUTED_VALUE"""),34.0)</f>
        <v>34</v>
      </c>
      <c r="D898" s="3" t="str">
        <f>IFERROR(__xludf.DUMMYFUNCTION("""COMPUTED_VALUE"""),"f41ecbda")</f>
        <v>f41ecbda</v>
      </c>
      <c r="E898" s="54">
        <f>IFERROR(__xludf.DUMMYFUNCTION("""COMPUTED_VALUE"""),39500.0)</f>
        <v>39500</v>
      </c>
      <c r="F898" s="3" t="str">
        <f>IFERROR(__xludf.DUMMYFUNCTION("""COMPUTED_VALUE"""),"Syrah s/Asp 2da")</f>
        <v>Syrah s/Asp 2da</v>
      </c>
      <c r="G898" s="3"/>
      <c r="H898" s="3"/>
      <c r="I898" s="57">
        <f>IFERROR(__xludf.DUMMYFUNCTION("""COMPUTED_VALUE"""),0.4)</f>
        <v>0.4</v>
      </c>
      <c r="J898" s="3"/>
      <c r="K898" s="3"/>
      <c r="L898" s="54">
        <f>IFERROR(__xludf.DUMMYFUNCTION("""COMPUTED_VALUE"""),25.0)</f>
        <v>25</v>
      </c>
      <c r="M898" s="3">
        <f>IFERROR(__xludf.DUMMYFUNCTION("""COMPUTED_VALUE"""),76.0)</f>
        <v>76</v>
      </c>
      <c r="N898" s="3"/>
      <c r="O898" s="3"/>
      <c r="P898" s="3"/>
      <c r="Q898" s="3"/>
      <c r="R898" s="3"/>
      <c r="S898" s="3"/>
      <c r="T898" s="5"/>
      <c r="U898" s="5"/>
      <c r="V898" s="5"/>
      <c r="W898" s="5"/>
    </row>
    <row r="899" ht="15.75" customHeight="1">
      <c r="A899" s="3">
        <f>IFERROR(__xludf.DUMMYFUNCTION("""COMPUTED_VALUE"""),899.0)</f>
        <v>899</v>
      </c>
      <c r="B899" s="53">
        <f>IFERROR(__xludf.DUMMYFUNCTION("""COMPUTED_VALUE"""),45723.0)</f>
        <v>45723</v>
      </c>
      <c r="C899" s="3">
        <f>IFERROR(__xludf.DUMMYFUNCTION("""COMPUTED_VALUE"""),53.0)</f>
        <v>53</v>
      </c>
      <c r="D899" s="3" t="str">
        <f>IFERROR(__xludf.DUMMYFUNCTION("""COMPUTED_VALUE"""),"577b30d8")</f>
        <v>577b30d8</v>
      </c>
      <c r="E899" s="54">
        <f>IFERROR(__xludf.DUMMYFUNCTION("""COMPUTED_VALUE"""),10000.0)</f>
        <v>10000</v>
      </c>
      <c r="F899" s="3" t="str">
        <f>IFERROR(__xludf.DUMMYFUNCTION("""COMPUTED_VALUE"""),"Syrah s/Asp 2 Prensa")</f>
        <v>Syrah s/Asp 2 Prensa</v>
      </c>
      <c r="G899" s="3"/>
      <c r="H899" s="3"/>
      <c r="I899" s="57">
        <f>IFERROR(__xludf.DUMMYFUNCTION("""COMPUTED_VALUE"""),0.48)</f>
        <v>0.48</v>
      </c>
      <c r="J899" s="3"/>
      <c r="K899" s="3"/>
      <c r="L899" s="54">
        <f>IFERROR(__xludf.DUMMYFUNCTION("""COMPUTED_VALUE"""),20.0)</f>
        <v>20</v>
      </c>
      <c r="M899" s="3">
        <f>IFERROR(__xludf.DUMMYFUNCTION("""COMPUTED_VALUE"""),77.0)</f>
        <v>77</v>
      </c>
      <c r="N899" s="3"/>
      <c r="O899" s="3"/>
      <c r="P899" s="3"/>
      <c r="Q899" s="3"/>
      <c r="R899" s="3"/>
      <c r="S899" s="3"/>
      <c r="T899" s="5"/>
      <c r="U899" s="5"/>
      <c r="V899" s="5"/>
      <c r="W899" s="5"/>
    </row>
    <row r="900" ht="15.75" customHeight="1">
      <c r="A900" s="3">
        <f>IFERROR(__xludf.DUMMYFUNCTION("""COMPUTED_VALUE"""),900.0)</f>
        <v>900</v>
      </c>
      <c r="B900" s="53">
        <f>IFERROR(__xludf.DUMMYFUNCTION("""COMPUTED_VALUE"""),45724.0)</f>
        <v>45724</v>
      </c>
      <c r="C900" s="3">
        <f>IFERROR(__xludf.DUMMYFUNCTION("""COMPUTED_VALUE"""),80.0)</f>
        <v>80</v>
      </c>
      <c r="D900" s="3" t="str">
        <f>IFERROR(__xludf.DUMMYFUNCTION("""COMPUTED_VALUE"""),"ee917088")</f>
        <v>ee917088</v>
      </c>
      <c r="E900" s="54">
        <f>IFERROR(__xludf.DUMMYFUNCTION("""COMPUTED_VALUE"""),13000.0)</f>
        <v>13000</v>
      </c>
      <c r="F900" s="3" t="str">
        <f>IFERROR(__xludf.DUMMYFUNCTION("""COMPUTED_VALUE"""),"Chenin")</f>
        <v>Chenin</v>
      </c>
      <c r="G900" s="3"/>
      <c r="H900" s="56">
        <f>IFERROR(__xludf.DUMMYFUNCTION("""COMPUTED_VALUE"""),190.0)</f>
        <v>190</v>
      </c>
      <c r="I900" s="3"/>
      <c r="J900" s="3"/>
      <c r="K900" s="57">
        <f>IFERROR(__xludf.DUMMYFUNCTION("""COMPUTED_VALUE"""),3.45)</f>
        <v>3.45</v>
      </c>
      <c r="L900" s="54">
        <f>IFERROR(__xludf.DUMMYFUNCTION("""COMPUTED_VALUE"""),12.0)</f>
        <v>12</v>
      </c>
      <c r="M900" s="3">
        <f>IFERROR(__xludf.DUMMYFUNCTION("""COMPUTED_VALUE"""),50.0)</f>
        <v>50</v>
      </c>
      <c r="N900" s="3"/>
      <c r="O900" s="3"/>
      <c r="P900" s="3"/>
      <c r="Q900" s="3"/>
      <c r="R900" s="3"/>
      <c r="S900" s="3"/>
      <c r="T900" s="5"/>
      <c r="U900" s="5"/>
      <c r="V900" s="5"/>
      <c r="W900" s="5"/>
    </row>
    <row r="901" ht="15.75" customHeight="1">
      <c r="A901" s="3">
        <f>IFERROR(__xludf.DUMMYFUNCTION("""COMPUTED_VALUE"""),901.0)</f>
        <v>901</v>
      </c>
      <c r="B901" s="53">
        <f>IFERROR(__xludf.DUMMYFUNCTION("""COMPUTED_VALUE"""),45724.0)</f>
        <v>45724</v>
      </c>
      <c r="C901" s="3">
        <f>IFERROR(__xludf.DUMMYFUNCTION("""COMPUTED_VALUE"""),82.0)</f>
        <v>82</v>
      </c>
      <c r="D901" s="3" t="str">
        <f>IFERROR(__xludf.DUMMYFUNCTION("""COMPUTED_VALUE"""),"6b4f5740")</f>
        <v>6b4f5740</v>
      </c>
      <c r="E901" s="54">
        <f>IFERROR(__xludf.DUMMYFUNCTION("""COMPUTED_VALUE"""),15000.0)</f>
        <v>15000</v>
      </c>
      <c r="F901" s="3" t="str">
        <f>IFERROR(__xludf.DUMMYFUNCTION("""COMPUTED_VALUE"""),"Anccelotta")</f>
        <v>Anccelotta</v>
      </c>
      <c r="G901" s="3"/>
      <c r="H901" s="56">
        <f>IFERROR(__xludf.DUMMYFUNCTION("""COMPUTED_VALUE"""),260.0)</f>
        <v>260</v>
      </c>
      <c r="I901" s="3"/>
      <c r="J901" s="3"/>
      <c r="K901" s="57">
        <f>IFERROR(__xludf.DUMMYFUNCTION("""COMPUTED_VALUE"""),3.65)</f>
        <v>3.65</v>
      </c>
      <c r="L901" s="54">
        <f>IFERROR(__xludf.DUMMYFUNCTION("""COMPUTED_VALUE"""),52.0)</f>
        <v>52</v>
      </c>
      <c r="M901" s="3">
        <f>IFERROR(__xludf.DUMMYFUNCTION("""COMPUTED_VALUE"""),15.0)</f>
        <v>15</v>
      </c>
      <c r="N901" s="3"/>
      <c r="O901" s="3"/>
      <c r="P901" s="3"/>
      <c r="Q901" s="3"/>
      <c r="R901" s="3"/>
      <c r="S901" s="3"/>
      <c r="T901" s="5"/>
      <c r="U901" s="5"/>
      <c r="V901" s="5"/>
      <c r="W901" s="5"/>
    </row>
    <row r="902" ht="15.75" customHeight="1">
      <c r="A902" s="3">
        <f>IFERROR(__xludf.DUMMYFUNCTION("""COMPUTED_VALUE"""),902.0)</f>
        <v>902</v>
      </c>
      <c r="B902" s="53">
        <f>IFERROR(__xludf.DUMMYFUNCTION("""COMPUTED_VALUE"""),45724.0)</f>
        <v>45724</v>
      </c>
      <c r="C902" s="3">
        <f>IFERROR(__xludf.DUMMYFUNCTION("""COMPUTED_VALUE"""),84.0)</f>
        <v>84</v>
      </c>
      <c r="D902" s="3" t="str">
        <f>IFERROR(__xludf.DUMMYFUNCTION("""COMPUTED_VALUE"""),"9089481b")</f>
        <v>9089481b</v>
      </c>
      <c r="E902" s="54">
        <f>IFERROR(__xludf.DUMMYFUNCTION("""COMPUTED_VALUE"""),20000.0)</f>
        <v>20000</v>
      </c>
      <c r="F902" s="3" t="str">
        <f>IFERROR(__xludf.DUMMYFUNCTION("""COMPUTED_VALUE"""),"Syrah")</f>
        <v>Syrah</v>
      </c>
      <c r="G902" s="3"/>
      <c r="H902" s="56">
        <f>IFERROR(__xludf.DUMMYFUNCTION("""COMPUTED_VALUE"""),240.0)</f>
        <v>240</v>
      </c>
      <c r="I902" s="3"/>
      <c r="J902" s="3"/>
      <c r="K902" s="57">
        <f>IFERROR(__xludf.DUMMYFUNCTION("""COMPUTED_VALUE"""),3.55)</f>
        <v>3.55</v>
      </c>
      <c r="L902" s="54">
        <f>IFERROR(__xludf.DUMMYFUNCTION("""COMPUTED_VALUE"""),48.0)</f>
        <v>48</v>
      </c>
      <c r="M902" s="3">
        <f>IFERROR(__xludf.DUMMYFUNCTION("""COMPUTED_VALUE"""),20.0)</f>
        <v>20</v>
      </c>
      <c r="N902" s="3"/>
      <c r="O902" s="3"/>
      <c r="P902" s="3"/>
      <c r="Q902" s="3"/>
      <c r="R902" s="3"/>
      <c r="S902" s="3"/>
      <c r="T902" s="5"/>
      <c r="U902" s="5"/>
      <c r="V902" s="5"/>
      <c r="W902" s="5"/>
    </row>
    <row r="903" ht="15.75" customHeight="1">
      <c r="A903" s="3">
        <f>IFERROR(__xludf.DUMMYFUNCTION("""COMPUTED_VALUE"""),903.0)</f>
        <v>903</v>
      </c>
      <c r="B903" s="53">
        <f>IFERROR(__xludf.DUMMYFUNCTION("""COMPUTED_VALUE"""),45726.0)</f>
        <v>45726</v>
      </c>
      <c r="C903" s="3">
        <f>IFERROR(__xludf.DUMMYFUNCTION("""COMPUTED_VALUE"""),65.0)</f>
        <v>65</v>
      </c>
      <c r="D903" s="3" t="str">
        <f>IFERROR(__xludf.DUMMYFUNCTION("""COMPUTED_VALUE"""),"15e7b86f")</f>
        <v>15e7b86f</v>
      </c>
      <c r="E903" s="54">
        <f>IFERROR(__xludf.DUMMYFUNCTION("""COMPUTED_VALUE"""),24500.0)</f>
        <v>24500</v>
      </c>
      <c r="F903" s="3" t="str">
        <f>IFERROR(__xludf.DUMMYFUNCTION("""COMPUTED_VALUE"""),"Anccelotta")</f>
        <v>Anccelotta</v>
      </c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5"/>
      <c r="U903" s="5"/>
      <c r="V903" s="5"/>
      <c r="W903" s="5"/>
    </row>
    <row r="904" ht="15.75" customHeight="1">
      <c r="A904" s="3">
        <f>IFERROR(__xludf.DUMMYFUNCTION("""COMPUTED_VALUE"""),904.0)</f>
        <v>904</v>
      </c>
      <c r="B904" s="53">
        <f>IFERROR(__xludf.DUMMYFUNCTION("""COMPUTED_VALUE"""),45726.0)</f>
        <v>45726</v>
      </c>
      <c r="C904" s="3">
        <f>IFERROR(__xludf.DUMMYFUNCTION("""COMPUTED_VALUE"""),8.0)</f>
        <v>8</v>
      </c>
      <c r="D904" s="3" t="str">
        <f>IFERROR(__xludf.DUMMYFUNCTION("""COMPUTED_VALUE"""),"376dbee6")</f>
        <v>376dbee6</v>
      </c>
      <c r="E904" s="54">
        <f>IFERROR(__xludf.DUMMYFUNCTION("""COMPUTED_VALUE"""),22000.0)</f>
        <v>22000</v>
      </c>
      <c r="F904" s="3" t="str">
        <f>IFERROR(__xludf.DUMMYFUNCTION("""COMPUTED_VALUE"""),"Chardonnay")</f>
        <v>Chardonnay</v>
      </c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5"/>
      <c r="U904" s="5"/>
      <c r="V904" s="5"/>
      <c r="W904" s="5"/>
    </row>
    <row r="905" ht="15.75" customHeight="1">
      <c r="A905" s="3">
        <f>IFERROR(__xludf.DUMMYFUNCTION("""COMPUTED_VALUE"""),905.0)</f>
        <v>905</v>
      </c>
      <c r="B905" s="53">
        <f>IFERROR(__xludf.DUMMYFUNCTION("""COMPUTED_VALUE"""),45726.0)</f>
        <v>45726</v>
      </c>
      <c r="C905" s="3">
        <f>IFERROR(__xludf.DUMMYFUNCTION("""COMPUTED_VALUE"""),9.0)</f>
        <v>9</v>
      </c>
      <c r="D905" s="3" t="str">
        <f>IFERROR(__xludf.DUMMYFUNCTION("""COMPUTED_VALUE"""),"b73d8cd1")</f>
        <v>b73d8cd1</v>
      </c>
      <c r="E905" s="54">
        <f>IFERROR(__xludf.DUMMYFUNCTION("""COMPUTED_VALUE"""),30000.0)</f>
        <v>30000</v>
      </c>
      <c r="F905" s="3" t="str">
        <f>IFERROR(__xludf.DUMMYFUNCTION("""COMPUTED_VALUE"""),"Chardonnay")</f>
        <v>Chardonnay</v>
      </c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5"/>
      <c r="U905" s="5"/>
      <c r="V905" s="5"/>
      <c r="W905" s="5"/>
    </row>
    <row r="906" ht="15.75" customHeight="1">
      <c r="A906" s="3">
        <f>IFERROR(__xludf.DUMMYFUNCTION("""COMPUTED_VALUE"""),906.0)</f>
        <v>906</v>
      </c>
      <c r="B906" s="53">
        <f>IFERROR(__xludf.DUMMYFUNCTION("""COMPUTED_VALUE"""),45726.0)</f>
        <v>45726</v>
      </c>
      <c r="C906" s="3">
        <f>IFERROR(__xludf.DUMMYFUNCTION("""COMPUTED_VALUE"""),5.0)</f>
        <v>5</v>
      </c>
      <c r="D906" s="3" t="str">
        <f>IFERROR(__xludf.DUMMYFUNCTION("""COMPUTED_VALUE"""),"593f826f")</f>
        <v>593f826f</v>
      </c>
      <c r="E906" s="54">
        <f>IFERROR(__xludf.DUMMYFUNCTION("""COMPUTED_VALUE"""),30000.0)</f>
        <v>30000</v>
      </c>
      <c r="F906" s="3" t="str">
        <f>IFERROR(__xludf.DUMMYFUNCTION("""COMPUTED_VALUE"""),"Chardonnay")</f>
        <v>Chardonnay</v>
      </c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5"/>
      <c r="U906" s="5"/>
      <c r="V906" s="5"/>
      <c r="W906" s="5"/>
    </row>
    <row r="907" ht="15.75" customHeight="1">
      <c r="A907" s="3">
        <f>IFERROR(__xludf.DUMMYFUNCTION("""COMPUTED_VALUE"""),907.0)</f>
        <v>907</v>
      </c>
      <c r="B907" s="53">
        <f>IFERROR(__xludf.DUMMYFUNCTION("""COMPUTED_VALUE"""),45726.0)</f>
        <v>45726</v>
      </c>
      <c r="C907" s="3">
        <f>IFERROR(__xludf.DUMMYFUNCTION("""COMPUTED_VALUE"""),16.0)</f>
        <v>16</v>
      </c>
      <c r="D907" s="3" t="str">
        <f>IFERROR(__xludf.DUMMYFUNCTION("""COMPUTED_VALUE"""),"b5e03e7f")</f>
        <v>b5e03e7f</v>
      </c>
      <c r="E907" s="54">
        <f>IFERROR(__xludf.DUMMYFUNCTION("""COMPUTED_VALUE"""),19500.0)</f>
        <v>19500</v>
      </c>
      <c r="F907" s="3" t="str">
        <f>IFERROR(__xludf.DUMMYFUNCTION("""COMPUTED_VALUE"""),"Chardonnay")</f>
        <v>Chardonnay</v>
      </c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5"/>
      <c r="U907" s="5"/>
      <c r="V907" s="5"/>
      <c r="W907" s="5"/>
    </row>
    <row r="908" ht="15.75" customHeight="1">
      <c r="A908" s="3">
        <f>IFERROR(__xludf.DUMMYFUNCTION("""COMPUTED_VALUE"""),908.0)</f>
        <v>908</v>
      </c>
      <c r="B908" s="53">
        <f>IFERROR(__xludf.DUMMYFUNCTION("""COMPUTED_VALUE"""),45726.0)</f>
        <v>45726</v>
      </c>
      <c r="C908" s="3">
        <f>IFERROR(__xludf.DUMMYFUNCTION("""COMPUTED_VALUE"""),11.0)</f>
        <v>11</v>
      </c>
      <c r="D908" s="3" t="str">
        <f>IFERROR(__xludf.DUMMYFUNCTION("""COMPUTED_VALUE"""),"9c695ba3")</f>
        <v>9c695ba3</v>
      </c>
      <c r="E908" s="54">
        <f>IFERROR(__xludf.DUMMYFUNCTION("""COMPUTED_VALUE"""),36000.0)</f>
        <v>36000</v>
      </c>
      <c r="F908" s="3" t="str">
        <f>IFERROR(__xludf.DUMMYFUNCTION("""COMPUTED_VALUE"""),"Syrah Colom s/Asp 2")</f>
        <v>Syrah Colom s/Asp 2</v>
      </c>
      <c r="G908" s="3"/>
      <c r="H908" s="3"/>
      <c r="I908" s="3"/>
      <c r="J908" s="3"/>
      <c r="K908" s="3"/>
      <c r="L908" s="54">
        <f>IFERROR(__xludf.DUMMYFUNCTION("""COMPUTED_VALUE"""),25.0)</f>
        <v>25</v>
      </c>
      <c r="M908" s="3">
        <f>IFERROR(__xludf.DUMMYFUNCTION("""COMPUTED_VALUE"""),50.0)</f>
        <v>50</v>
      </c>
      <c r="N908" s="3"/>
      <c r="O908" s="3"/>
      <c r="P908" s="3"/>
      <c r="Q908" s="3"/>
      <c r="R908" s="3"/>
      <c r="S908" s="3"/>
      <c r="T908" s="5"/>
      <c r="U908" s="5"/>
      <c r="V908" s="5"/>
      <c r="W908" s="5"/>
    </row>
    <row r="909" ht="15.75" customHeight="1">
      <c r="A909" s="3">
        <f>IFERROR(__xludf.DUMMYFUNCTION("""COMPUTED_VALUE"""),909.0)</f>
        <v>909</v>
      </c>
      <c r="B909" s="53">
        <f>IFERROR(__xludf.DUMMYFUNCTION("""COMPUTED_VALUE"""),45726.0)</f>
        <v>45726</v>
      </c>
      <c r="C909" s="3">
        <f>IFERROR(__xludf.DUMMYFUNCTION("""COMPUTED_VALUE"""),88.0)</f>
        <v>88</v>
      </c>
      <c r="D909" s="3" t="str">
        <f>IFERROR(__xludf.DUMMYFUNCTION("""COMPUTED_VALUE"""),"4bf00cf0")</f>
        <v>4bf00cf0</v>
      </c>
      <c r="E909" s="54">
        <f>IFERROR(__xludf.DUMMYFUNCTION("""COMPUTED_VALUE"""),49500.0)</f>
        <v>49500</v>
      </c>
      <c r="F909" s="3" t="str">
        <f>IFERROR(__xludf.DUMMYFUNCTION("""COMPUTED_VALUE"""),"Syrah Ferm")</f>
        <v>Syrah Ferm</v>
      </c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5"/>
      <c r="U909" s="5"/>
      <c r="V909" s="5"/>
      <c r="W909" s="5"/>
    </row>
    <row r="910" ht="15.75" customHeight="1">
      <c r="A910" s="3">
        <f>IFERROR(__xludf.DUMMYFUNCTION("""COMPUTED_VALUE"""),910.0)</f>
        <v>910</v>
      </c>
      <c r="B910" s="53">
        <f>IFERROR(__xludf.DUMMYFUNCTION("""COMPUTED_VALUE"""),45726.0)</f>
        <v>45726</v>
      </c>
      <c r="C910" s="3">
        <f>IFERROR(__xludf.DUMMYFUNCTION("""COMPUTED_VALUE"""),14.0)</f>
        <v>14</v>
      </c>
      <c r="D910" s="3" t="str">
        <f>IFERROR(__xludf.DUMMYFUNCTION("""COMPUTED_VALUE"""),"21a02bb8")</f>
        <v>21a02bb8</v>
      </c>
      <c r="E910" s="54">
        <f>IFERROR(__xludf.DUMMYFUNCTION("""COMPUTED_VALUE"""),37000.0)</f>
        <v>37000</v>
      </c>
      <c r="F910" s="3" t="str">
        <f>IFERROR(__xludf.DUMMYFUNCTION("""COMPUTED_VALUE"""),"Syrah Colom s/Asp 2")</f>
        <v>Syrah Colom s/Asp 2</v>
      </c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5"/>
      <c r="U910" s="5"/>
      <c r="V910" s="5"/>
      <c r="W910" s="5"/>
    </row>
    <row r="911" ht="15.75" customHeight="1">
      <c r="A911" s="3">
        <f>IFERROR(__xludf.DUMMYFUNCTION("""COMPUTED_VALUE"""),911.0)</f>
        <v>911</v>
      </c>
      <c r="B911" s="53">
        <f>IFERROR(__xludf.DUMMYFUNCTION("""COMPUTED_VALUE"""),45726.0)</f>
        <v>45726</v>
      </c>
      <c r="C911" s="3">
        <f>IFERROR(__xludf.DUMMYFUNCTION("""COMPUTED_VALUE"""),34.0)</f>
        <v>34</v>
      </c>
      <c r="D911" s="3" t="str">
        <f>IFERROR(__xludf.DUMMYFUNCTION("""COMPUTED_VALUE"""),"f41ecbda")</f>
        <v>f41ecbda</v>
      </c>
      <c r="E911" s="54">
        <f>IFERROR(__xludf.DUMMYFUNCTION("""COMPUTED_VALUE"""),39500.0)</f>
        <v>39500</v>
      </c>
      <c r="F911" s="3" t="str">
        <f>IFERROR(__xludf.DUMMYFUNCTION("""COMPUTED_VALUE"""),"Syrah s/Asp 2da")</f>
        <v>Syrah s/Asp 2da</v>
      </c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5"/>
      <c r="U911" s="5"/>
      <c r="V911" s="5"/>
      <c r="W911" s="5"/>
    </row>
    <row r="912" ht="15.75" customHeight="1">
      <c r="A912" s="3">
        <f>IFERROR(__xludf.DUMMYFUNCTION("""COMPUTED_VALUE"""),912.0)</f>
        <v>912</v>
      </c>
      <c r="B912" s="53">
        <f>IFERROR(__xludf.DUMMYFUNCTION("""COMPUTED_VALUE"""),45726.0)</f>
        <v>45726</v>
      </c>
      <c r="C912" s="3">
        <f>IFERROR(__xludf.DUMMYFUNCTION("""COMPUTED_VALUE"""),53.0)</f>
        <v>53</v>
      </c>
      <c r="D912" s="3" t="str">
        <f>IFERROR(__xludf.DUMMYFUNCTION("""COMPUTED_VALUE"""),"577b30d8")</f>
        <v>577b30d8</v>
      </c>
      <c r="E912" s="54">
        <f>IFERROR(__xludf.DUMMYFUNCTION("""COMPUTED_VALUE"""),10000.0)</f>
        <v>10000</v>
      </c>
      <c r="F912" s="3" t="str">
        <f>IFERROR(__xludf.DUMMYFUNCTION("""COMPUTED_VALUE"""),"Syrah s/Asp 2 Prensa")</f>
        <v>Syrah s/Asp 2 Prensa</v>
      </c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5"/>
      <c r="U912" s="5"/>
      <c r="V912" s="5"/>
      <c r="W912" s="5"/>
    </row>
    <row r="913" ht="15.75" customHeight="1">
      <c r="A913" s="3">
        <f>IFERROR(__xludf.DUMMYFUNCTION("""COMPUTED_VALUE"""),913.0)</f>
        <v>913</v>
      </c>
      <c r="B913" s="53">
        <f>IFERROR(__xludf.DUMMYFUNCTION("""COMPUTED_VALUE"""),45726.0)</f>
        <v>45726</v>
      </c>
      <c r="C913" s="3">
        <f>IFERROR(__xludf.DUMMYFUNCTION("""COMPUTED_VALUE"""),15.0)</f>
        <v>15</v>
      </c>
      <c r="D913" s="3" t="str">
        <f>IFERROR(__xludf.DUMMYFUNCTION("""COMPUTED_VALUE"""),"bf5594db")</f>
        <v>bf5594db</v>
      </c>
      <c r="E913" s="54">
        <f>IFERROR(__xludf.DUMMYFUNCTION("""COMPUTED_VALUE"""),36000.0)</f>
        <v>36000</v>
      </c>
      <c r="F913" s="3" t="str">
        <f>IFERROR(__xludf.DUMMYFUNCTION("""COMPUTED_VALUE"""),"Syrah Tempranillo s/Asp 2da")</f>
        <v>Syrah Tempranillo s/Asp 2da</v>
      </c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5"/>
      <c r="U913" s="5"/>
      <c r="V913" s="5"/>
      <c r="W913" s="5"/>
    </row>
    <row r="914" ht="15.75" customHeight="1">
      <c r="A914" s="3">
        <f>IFERROR(__xludf.DUMMYFUNCTION("""COMPUTED_VALUE"""),914.0)</f>
        <v>914</v>
      </c>
      <c r="B914" s="53">
        <f>IFERROR(__xludf.DUMMYFUNCTION("""COMPUTED_VALUE"""),45726.0)</f>
        <v>45726</v>
      </c>
      <c r="C914" s="3">
        <f>IFERROR(__xludf.DUMMYFUNCTION("""COMPUTED_VALUE"""),121.0)</f>
        <v>121</v>
      </c>
      <c r="D914" s="3" t="str">
        <f>IFERROR(__xludf.DUMMYFUNCTION("""COMPUTED_VALUE"""),"f90482a4")</f>
        <v>f90482a4</v>
      </c>
      <c r="E914" s="54">
        <f>IFERROR(__xludf.DUMMYFUNCTION("""COMPUTED_VALUE"""),85800.0)</f>
        <v>85800</v>
      </c>
      <c r="F914" s="3" t="str">
        <f>IFERROR(__xludf.DUMMYFUNCTION("""COMPUTED_VALUE"""),"Syrah s/Asp 3ra")</f>
        <v>Syrah s/Asp 3ra</v>
      </c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5"/>
      <c r="U914" s="5"/>
      <c r="V914" s="5"/>
      <c r="W914" s="5"/>
    </row>
    <row r="915" ht="15.75" customHeight="1">
      <c r="A915" s="3">
        <f>IFERROR(__xludf.DUMMYFUNCTION("""COMPUTED_VALUE"""),915.0)</f>
        <v>915</v>
      </c>
      <c r="B915" s="53">
        <f>IFERROR(__xludf.DUMMYFUNCTION("""COMPUTED_VALUE"""),45726.0)</f>
        <v>45726</v>
      </c>
      <c r="C915" s="3">
        <f>IFERROR(__xludf.DUMMYFUNCTION("""COMPUTED_VALUE"""),35.0)</f>
        <v>35</v>
      </c>
      <c r="D915" s="3" t="str">
        <f>IFERROR(__xludf.DUMMYFUNCTION("""COMPUTED_VALUE"""),"#REF!")</f>
        <v>#REF!</v>
      </c>
      <c r="E915" s="3"/>
      <c r="F915" s="3" t="str">
        <f>IFERROR(__xludf.DUMMYFUNCTION("""COMPUTED_VALUE"""),"muestra sacar")</f>
        <v>muestra sacar</v>
      </c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5"/>
      <c r="U915" s="5"/>
      <c r="V915" s="5"/>
      <c r="W915" s="5"/>
    </row>
    <row r="916" ht="15.75" customHeight="1">
      <c r="A916" s="3">
        <f>IFERROR(__xludf.DUMMYFUNCTION("""COMPUTED_VALUE"""),916.0)</f>
        <v>916</v>
      </c>
      <c r="B916" s="53">
        <f>IFERROR(__xludf.DUMMYFUNCTION("""COMPUTED_VALUE"""),45726.0)</f>
        <v>45726</v>
      </c>
      <c r="C916" s="3">
        <f>IFERROR(__xludf.DUMMYFUNCTION("""COMPUTED_VALUE"""),42.0)</f>
        <v>42</v>
      </c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5"/>
      <c r="U916" s="5"/>
      <c r="V916" s="5"/>
      <c r="W916" s="5"/>
    </row>
    <row r="917" ht="15.75" customHeight="1">
      <c r="A917" s="3">
        <f>IFERROR(__xludf.DUMMYFUNCTION("""COMPUTED_VALUE"""),917.0)</f>
        <v>917</v>
      </c>
      <c r="B917" s="53">
        <f>IFERROR(__xludf.DUMMYFUNCTION("""COMPUTED_VALUE"""),45726.0)</f>
        <v>45726</v>
      </c>
      <c r="C917" s="3">
        <f>IFERROR(__xludf.DUMMYFUNCTION("""COMPUTED_VALUE"""),116.0)</f>
        <v>116</v>
      </c>
      <c r="D917" s="3" t="str">
        <f>IFERROR(__xludf.DUMMYFUNCTION("""COMPUTED_VALUE"""),"#REF!")</f>
        <v>#REF!</v>
      </c>
      <c r="E917" s="3"/>
      <c r="F917" s="3" t="str">
        <f>IFERROR(__xludf.DUMMYFUNCTION("""COMPUTED_VALUE"""),"muestras sacar")</f>
        <v>muestras sacar</v>
      </c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5"/>
      <c r="U917" s="5"/>
      <c r="V917" s="5"/>
      <c r="W917" s="5"/>
    </row>
    <row r="918" ht="15.75" customHeight="1">
      <c r="A918" s="3">
        <f>IFERROR(__xludf.DUMMYFUNCTION("""COMPUTED_VALUE"""),918.0)</f>
        <v>918</v>
      </c>
      <c r="B918" s="53">
        <f>IFERROR(__xludf.DUMMYFUNCTION("""COMPUTED_VALUE"""),45726.0)</f>
        <v>45726</v>
      </c>
      <c r="C918" s="3">
        <f>IFERROR(__xludf.DUMMYFUNCTION("""COMPUTED_VALUE"""),66.0)</f>
        <v>66</v>
      </c>
      <c r="D918" s="3" t="str">
        <f>IFERROR(__xludf.DUMMYFUNCTION("""COMPUTED_VALUE"""),"4d28a747")</f>
        <v>4d28a747</v>
      </c>
      <c r="E918" s="54">
        <f>IFERROR(__xludf.DUMMYFUNCTION("""COMPUTED_VALUE"""),17000.0)</f>
        <v>17000</v>
      </c>
      <c r="F918" s="3" t="str">
        <f>IFERROR(__xludf.DUMMYFUNCTION("""COMPUTED_VALUE"""),"Anccelotta")</f>
        <v>Anccelotta</v>
      </c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5"/>
      <c r="U918" s="5"/>
      <c r="V918" s="5"/>
      <c r="W918" s="5"/>
    </row>
    <row r="919" ht="15.75" customHeight="1">
      <c r="A919" s="3">
        <f>IFERROR(__xludf.DUMMYFUNCTION("""COMPUTED_VALUE"""),919.0)</f>
        <v>919</v>
      </c>
      <c r="B919" s="53">
        <f>IFERROR(__xludf.DUMMYFUNCTION("""COMPUTED_VALUE"""),45726.0)</f>
        <v>45726</v>
      </c>
      <c r="C919" s="3">
        <f>IFERROR(__xludf.DUMMYFUNCTION("""COMPUTED_VALUE"""),82.0)</f>
        <v>82</v>
      </c>
      <c r="D919" s="3" t="str">
        <f>IFERROR(__xludf.DUMMYFUNCTION("""COMPUTED_VALUE"""),"4a9a65d1")</f>
        <v>4a9a65d1</v>
      </c>
      <c r="E919" s="54">
        <f>IFERROR(__xludf.DUMMYFUNCTION("""COMPUTED_VALUE"""),17000.0)</f>
        <v>17000</v>
      </c>
      <c r="F919" s="3" t="str">
        <f>IFERROR(__xludf.DUMMYFUNCTION("""COMPUTED_VALUE"""),"Anccelotta")</f>
        <v>Anccelotta</v>
      </c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5"/>
      <c r="U919" s="5"/>
      <c r="V919" s="5"/>
      <c r="W919" s="5"/>
    </row>
    <row r="920" ht="15.75" customHeight="1">
      <c r="A920" s="3">
        <f>IFERROR(__xludf.DUMMYFUNCTION("""COMPUTED_VALUE"""),920.0)</f>
        <v>920</v>
      </c>
      <c r="B920" s="53">
        <f>IFERROR(__xludf.DUMMYFUNCTION("""COMPUTED_VALUE"""),45727.0)</f>
        <v>45727</v>
      </c>
      <c r="C920" s="3">
        <f>IFERROR(__xludf.DUMMYFUNCTION("""COMPUTED_VALUE"""),85.0)</f>
        <v>85</v>
      </c>
      <c r="D920" s="3" t="str">
        <f>IFERROR(__xludf.DUMMYFUNCTION("""COMPUTED_VALUE"""),"81703b0d")</f>
        <v>81703b0d</v>
      </c>
      <c r="E920" s="54">
        <f>IFERROR(__xludf.DUMMYFUNCTION("""COMPUTED_VALUE"""),29000.0)</f>
        <v>29000</v>
      </c>
      <c r="F920" s="3" t="str">
        <f>IFERROR(__xludf.DUMMYFUNCTION("""COMPUTED_VALUE"""),"Bonarda C2")</f>
        <v>Bonarda C2</v>
      </c>
      <c r="G920" s="3"/>
      <c r="H920" s="56">
        <f>IFERROR(__xludf.DUMMYFUNCTION("""COMPUTED_VALUE"""),230.0)</f>
        <v>230</v>
      </c>
      <c r="I920" s="3"/>
      <c r="J920" s="3"/>
      <c r="K920" s="57">
        <f>IFERROR(__xludf.DUMMYFUNCTION("""COMPUTED_VALUE"""),3.61)</f>
        <v>3.61</v>
      </c>
      <c r="L920" s="54">
        <f>IFERROR(__xludf.DUMMYFUNCTION("""COMPUTED_VALUE"""),13.0)</f>
        <v>13</v>
      </c>
      <c r="M920" s="3"/>
      <c r="N920" s="3"/>
      <c r="O920" s="3"/>
      <c r="P920" s="3"/>
      <c r="Q920" s="3"/>
      <c r="R920" s="3"/>
      <c r="S920" s="3"/>
      <c r="T920" s="5"/>
      <c r="U920" s="5"/>
      <c r="V920" s="5"/>
      <c r="W920" s="5"/>
    </row>
    <row r="921" ht="15.75" customHeight="1">
      <c r="A921" s="3">
        <f>IFERROR(__xludf.DUMMYFUNCTION("""COMPUTED_VALUE"""),921.0)</f>
        <v>921</v>
      </c>
      <c r="B921" s="53">
        <f>IFERROR(__xludf.DUMMYFUNCTION("""COMPUTED_VALUE"""),45727.0)</f>
        <v>45727</v>
      </c>
      <c r="C921" s="3">
        <f>IFERROR(__xludf.DUMMYFUNCTION("""COMPUTED_VALUE"""),78.0)</f>
        <v>78</v>
      </c>
      <c r="D921" s="3" t="str">
        <f>IFERROR(__xludf.DUMMYFUNCTION("""COMPUTED_VALUE"""),"12aaaa1b")</f>
        <v>12aaaa1b</v>
      </c>
      <c r="E921" s="54">
        <f>IFERROR(__xludf.DUMMYFUNCTION("""COMPUTED_VALUE"""),10000.0)</f>
        <v>10000</v>
      </c>
      <c r="F921" s="3" t="str">
        <f>IFERROR(__xludf.DUMMYFUNCTION("""COMPUTED_VALUE"""),"Tanat")</f>
        <v>Tanat</v>
      </c>
      <c r="G921" s="3"/>
      <c r="H921" s="56">
        <f>IFERROR(__xludf.DUMMYFUNCTION("""COMPUTED_VALUE"""),228.0)</f>
        <v>228</v>
      </c>
      <c r="I921" s="3"/>
      <c r="J921" s="3"/>
      <c r="K921" s="57">
        <f>IFERROR(__xludf.DUMMYFUNCTION("""COMPUTED_VALUE"""),3.56)</f>
        <v>3.56</v>
      </c>
      <c r="L921" s="54">
        <f>IFERROR(__xludf.DUMMYFUNCTION("""COMPUTED_VALUE"""),13.0)</f>
        <v>13</v>
      </c>
      <c r="M921" s="3">
        <f>IFERROR(__xludf.DUMMYFUNCTION("""COMPUTED_VALUE"""),50.0)</f>
        <v>50</v>
      </c>
      <c r="N921" s="3"/>
      <c r="O921" s="3"/>
      <c r="P921" s="3"/>
      <c r="Q921" s="3"/>
      <c r="R921" s="3"/>
      <c r="S921" s="3"/>
      <c r="T921" s="5"/>
      <c r="U921" s="5">
        <f>IFERROR(__xludf.DUMMYFUNCTION("""COMPUTED_VALUE"""),22.8)</f>
        <v>22.8</v>
      </c>
      <c r="V921" s="5"/>
      <c r="W921" s="5"/>
    </row>
    <row r="922" ht="15.75" customHeight="1">
      <c r="A922" s="3">
        <f>IFERROR(__xludf.DUMMYFUNCTION("""COMPUTED_VALUE"""),922.0)</f>
        <v>922</v>
      </c>
      <c r="B922" s="53">
        <f>IFERROR(__xludf.DUMMYFUNCTION("""COMPUTED_VALUE"""),-618991.0)</f>
        <v>-618991</v>
      </c>
      <c r="C922" s="3">
        <f>IFERROR(__xludf.DUMMYFUNCTION("""COMPUTED_VALUE"""),86.0)</f>
        <v>86</v>
      </c>
      <c r="D922" s="3" t="str">
        <f>IFERROR(__xludf.DUMMYFUNCTION("""COMPUTED_VALUE"""),"dc7359e0")</f>
        <v>dc7359e0</v>
      </c>
      <c r="E922" s="54">
        <f>IFERROR(__xludf.DUMMYFUNCTION("""COMPUTED_VALUE"""),20000.0)</f>
        <v>20000</v>
      </c>
      <c r="F922" s="3" t="str">
        <f>IFERROR(__xludf.DUMMYFUNCTION("""COMPUTED_VALUE"""),"Syrah")</f>
        <v>Syrah</v>
      </c>
      <c r="G922" s="3"/>
      <c r="H922" s="56">
        <f>IFERROR(__xludf.DUMMYFUNCTION("""COMPUTED_VALUE"""),250.0)</f>
        <v>250</v>
      </c>
      <c r="I922" s="3"/>
      <c r="J922" s="3"/>
      <c r="K922" s="57">
        <f>IFERROR(__xludf.DUMMYFUNCTION("""COMPUTED_VALUE"""),3.68)</f>
        <v>3.68</v>
      </c>
      <c r="L922" s="54">
        <f>IFERROR(__xludf.DUMMYFUNCTION("""COMPUTED_VALUE"""),12.0)</f>
        <v>12</v>
      </c>
      <c r="M922" s="3">
        <f>IFERROR(__xludf.DUMMYFUNCTION("""COMPUTED_VALUE"""),50.0)</f>
        <v>50</v>
      </c>
      <c r="N922" s="3"/>
      <c r="O922" s="3"/>
      <c r="P922" s="3"/>
      <c r="Q922" s="3"/>
      <c r="R922" s="3"/>
      <c r="S922" s="3"/>
      <c r="T922" s="5"/>
      <c r="U922" s="5">
        <f>IFERROR(__xludf.DUMMYFUNCTION("""COMPUTED_VALUE"""),25.0)</f>
        <v>25</v>
      </c>
      <c r="V922" s="5"/>
      <c r="W922" s="5"/>
    </row>
    <row r="923" ht="15.75" customHeight="1">
      <c r="A923" s="3">
        <f>IFERROR(__xludf.DUMMYFUNCTION("""COMPUTED_VALUE"""),923.0)</f>
        <v>923</v>
      </c>
      <c r="B923" s="53">
        <f>IFERROR(__xludf.DUMMYFUNCTION("""COMPUTED_VALUE"""),45727.0)</f>
        <v>45727</v>
      </c>
      <c r="C923" s="3">
        <f>IFERROR(__xludf.DUMMYFUNCTION("""COMPUTED_VALUE"""),90.0)</f>
        <v>90</v>
      </c>
      <c r="D923" s="3" t="str">
        <f>IFERROR(__xludf.DUMMYFUNCTION("""COMPUTED_VALUE"""),"97384f9b")</f>
        <v>97384f9b</v>
      </c>
      <c r="E923" s="54">
        <f>IFERROR(__xludf.DUMMYFUNCTION("""COMPUTED_VALUE"""),23500.0)</f>
        <v>23500</v>
      </c>
      <c r="F923" s="3" t="str">
        <f>IFERROR(__xludf.DUMMYFUNCTION("""COMPUTED_VALUE"""),"Ancellotta")</f>
        <v>Ancellotta</v>
      </c>
      <c r="G923" s="3"/>
      <c r="H923" s="56">
        <f>IFERROR(__xludf.DUMMYFUNCTION("""COMPUTED_VALUE"""),218.0)</f>
        <v>218</v>
      </c>
      <c r="I923" s="3"/>
      <c r="J923" s="3"/>
      <c r="K923" s="57">
        <f>IFERROR(__xludf.DUMMYFUNCTION("""COMPUTED_VALUE"""),3.7)</f>
        <v>3.7</v>
      </c>
      <c r="L923" s="54">
        <f>IFERROR(__xludf.DUMMYFUNCTION("""COMPUTED_VALUE"""),12.0)</f>
        <v>12</v>
      </c>
      <c r="M923" s="3">
        <f>IFERROR(__xludf.DUMMYFUNCTION("""COMPUTED_VALUE"""),20.0)</f>
        <v>20</v>
      </c>
      <c r="N923" s="3"/>
      <c r="O923" s="3"/>
      <c r="P923" s="3"/>
      <c r="Q923" s="3"/>
      <c r="R923" s="3"/>
      <c r="S923" s="3"/>
      <c r="T923" s="5"/>
      <c r="U923" s="5">
        <f>IFERROR(__xludf.DUMMYFUNCTION("""COMPUTED_VALUE"""),21.8)</f>
        <v>21.8</v>
      </c>
      <c r="V923" s="5"/>
      <c r="W923" s="5"/>
    </row>
    <row r="924" ht="15.75" customHeight="1">
      <c r="A924" s="3">
        <f>IFERROR(__xludf.DUMMYFUNCTION("""COMPUTED_VALUE"""),924.0)</f>
        <v>924</v>
      </c>
      <c r="B924" s="53">
        <f>IFERROR(__xludf.DUMMYFUNCTION("""COMPUTED_VALUE"""),45727.0)</f>
        <v>45727</v>
      </c>
      <c r="C924" s="3">
        <f>IFERROR(__xludf.DUMMYFUNCTION("""COMPUTED_VALUE"""),82.0)</f>
        <v>82</v>
      </c>
      <c r="D924" s="3" t="str">
        <f>IFERROR(__xludf.DUMMYFUNCTION("""COMPUTED_VALUE"""),"4a9a65d1")</f>
        <v>4a9a65d1</v>
      </c>
      <c r="E924" s="54">
        <f>IFERROR(__xludf.DUMMYFUNCTION("""COMPUTED_VALUE"""),17000.0)</f>
        <v>17000</v>
      </c>
      <c r="F924" s="3" t="str">
        <f>IFERROR(__xludf.DUMMYFUNCTION("""COMPUTED_VALUE"""),"Anccelotta")</f>
        <v>Anccelotta</v>
      </c>
      <c r="G924" s="55">
        <f>IFERROR(__xludf.DUMMYFUNCTION("""COMPUTED_VALUE"""),11.5)</f>
        <v>11.5</v>
      </c>
      <c r="H924" s="56">
        <f>IFERROR(__xludf.DUMMYFUNCTION("""COMPUTED_VALUE"""),80.0)</f>
        <v>80</v>
      </c>
      <c r="I924" s="57">
        <f>IFERROR(__xludf.DUMMYFUNCTION("""COMPUTED_VALUE"""),16.16)</f>
        <v>16.16</v>
      </c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5"/>
      <c r="U924" s="5"/>
      <c r="V924" s="5"/>
      <c r="W924" s="5"/>
    </row>
    <row r="925" ht="15.75" customHeight="1">
      <c r="A925" s="3">
        <f>IFERROR(__xludf.DUMMYFUNCTION("""COMPUTED_VALUE"""),925.0)</f>
        <v>925</v>
      </c>
      <c r="B925" s="53">
        <f>IFERROR(__xludf.DUMMYFUNCTION("""COMPUTED_VALUE"""),45727.0)</f>
        <v>45727</v>
      </c>
      <c r="C925" s="3">
        <f>IFERROR(__xludf.DUMMYFUNCTION("""COMPUTED_VALUE"""),84.0)</f>
        <v>84</v>
      </c>
      <c r="D925" s="3" t="str">
        <f>IFERROR(__xludf.DUMMYFUNCTION("""COMPUTED_VALUE"""),"76f1abe4")</f>
        <v>76f1abe4</v>
      </c>
      <c r="E925" s="54">
        <f>IFERROR(__xludf.DUMMYFUNCTION("""COMPUTED_VALUE"""),25300.0)</f>
        <v>25300</v>
      </c>
      <c r="F925" s="3" t="str">
        <f>IFERROR(__xludf.DUMMYFUNCTION("""COMPUTED_VALUE"""),"Syrah")</f>
        <v>Syrah</v>
      </c>
      <c r="G925" s="55">
        <f>IFERROR(__xludf.DUMMYFUNCTION("""COMPUTED_VALUE"""),12.0)</f>
        <v>12</v>
      </c>
      <c r="H925" s="56">
        <f>IFERROR(__xludf.DUMMYFUNCTION("""COMPUTED_VALUE"""),42.0)</f>
        <v>42</v>
      </c>
      <c r="I925" s="57">
        <f>IFERROR(__xludf.DUMMYFUNCTION("""COMPUTED_VALUE"""),14.36)</f>
        <v>14.36</v>
      </c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5"/>
      <c r="U925" s="5"/>
      <c r="V925" s="5"/>
      <c r="W925" s="5"/>
    </row>
    <row r="926" ht="15.75" customHeight="1">
      <c r="A926" s="3">
        <f>IFERROR(__xludf.DUMMYFUNCTION("""COMPUTED_VALUE"""),926.0)</f>
        <v>926</v>
      </c>
      <c r="B926" s="53">
        <f>IFERROR(__xludf.DUMMYFUNCTION("""COMPUTED_VALUE"""),45727.0)</f>
        <v>45727</v>
      </c>
      <c r="C926" s="3">
        <f>IFERROR(__xludf.DUMMYFUNCTION("""COMPUTED_VALUE"""),66.0)</f>
        <v>66</v>
      </c>
      <c r="D926" s="3" t="str">
        <f>IFERROR(__xludf.DUMMYFUNCTION("""COMPUTED_VALUE"""),"4d28a747")</f>
        <v>4d28a747</v>
      </c>
      <c r="E926" s="54">
        <f>IFERROR(__xludf.DUMMYFUNCTION("""COMPUTED_VALUE"""),17000.0)</f>
        <v>17000</v>
      </c>
      <c r="F926" s="3" t="str">
        <f>IFERROR(__xludf.DUMMYFUNCTION("""COMPUTED_VALUE"""),"Anccelotta")</f>
        <v>Anccelotta</v>
      </c>
      <c r="G926" s="55">
        <f>IFERROR(__xludf.DUMMYFUNCTION("""COMPUTED_VALUE"""),12.5)</f>
        <v>12.5</v>
      </c>
      <c r="H926" s="56">
        <f>IFERROR(__xludf.DUMMYFUNCTION("""COMPUTED_VALUE"""),73.0)</f>
        <v>73</v>
      </c>
      <c r="I926" s="57">
        <f>IFERROR(__xludf.DUMMYFUNCTION("""COMPUTED_VALUE"""),16.63)</f>
        <v>16.63</v>
      </c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5"/>
      <c r="U926" s="5"/>
      <c r="V926" s="5"/>
      <c r="W926" s="5"/>
    </row>
    <row r="927" ht="15.75" customHeight="1">
      <c r="A927" s="3">
        <f>IFERROR(__xludf.DUMMYFUNCTION("""COMPUTED_VALUE"""),927.0)</f>
        <v>927</v>
      </c>
      <c r="B927" s="53">
        <f>IFERROR(__xludf.DUMMYFUNCTION("""COMPUTED_VALUE"""),45727.0)</f>
        <v>45727</v>
      </c>
      <c r="C927" s="3">
        <f>IFERROR(__xludf.DUMMYFUNCTION("""COMPUTED_VALUE"""),68.0)</f>
        <v>68</v>
      </c>
      <c r="D927" s="3" t="str">
        <f>IFERROR(__xludf.DUMMYFUNCTION("""COMPUTED_VALUE"""),"af88e380")</f>
        <v>af88e380</v>
      </c>
      <c r="E927" s="54">
        <f>IFERROR(__xludf.DUMMYFUNCTION("""COMPUTED_VALUE"""),8000.0)</f>
        <v>8000</v>
      </c>
      <c r="F927" s="3" t="str">
        <f>IFERROR(__xludf.DUMMYFUNCTION("""COMPUTED_VALUE"""),"Syrah")</f>
        <v>Syrah</v>
      </c>
      <c r="G927" s="3"/>
      <c r="H927" s="56">
        <f>IFERROR(__xludf.DUMMYFUNCTION("""COMPUTED_VALUE"""),3.9)</f>
        <v>3.9</v>
      </c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5"/>
      <c r="U927" s="5"/>
      <c r="V927" s="5"/>
      <c r="W927" s="5"/>
    </row>
    <row r="928" ht="15.75" customHeight="1">
      <c r="A928" s="3">
        <f>IFERROR(__xludf.DUMMYFUNCTION("""COMPUTED_VALUE"""),928.0)</f>
        <v>928</v>
      </c>
      <c r="B928" s="53">
        <f>IFERROR(__xludf.DUMMYFUNCTION("""COMPUTED_VALUE"""),45727.0)</f>
        <v>45727</v>
      </c>
      <c r="C928" s="3">
        <f>IFERROR(__xludf.DUMMYFUNCTION("""COMPUTED_VALUE"""),65.0)</f>
        <v>65</v>
      </c>
      <c r="D928" s="3" t="str">
        <f>IFERROR(__xludf.DUMMYFUNCTION("""COMPUTED_VALUE"""),"15e7b86f")</f>
        <v>15e7b86f</v>
      </c>
      <c r="E928" s="54">
        <f>IFERROR(__xludf.DUMMYFUNCTION("""COMPUTED_VALUE"""),24500.0)</f>
        <v>24500</v>
      </c>
      <c r="F928" s="3" t="str">
        <f>IFERROR(__xludf.DUMMYFUNCTION("""COMPUTED_VALUE"""),"Anccelotta")</f>
        <v>Anccelotta</v>
      </c>
      <c r="G928" s="3"/>
      <c r="H928" s="56">
        <f>IFERROR(__xludf.DUMMYFUNCTION("""COMPUTED_VALUE"""),3.37)</f>
        <v>3.37</v>
      </c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5"/>
      <c r="U928" s="5"/>
      <c r="V928" s="5"/>
      <c r="W928" s="5"/>
    </row>
    <row r="929" ht="15.75" customHeight="1">
      <c r="A929" s="3">
        <f>IFERROR(__xludf.DUMMYFUNCTION("""COMPUTED_VALUE"""),929.0)</f>
        <v>929</v>
      </c>
      <c r="B929" s="53">
        <f>IFERROR(__xludf.DUMMYFUNCTION("""COMPUTED_VALUE"""),45727.0)</f>
        <v>45727</v>
      </c>
      <c r="C929" s="3">
        <f>IFERROR(__xludf.DUMMYFUNCTION("""COMPUTED_VALUE"""),42.0)</f>
        <v>42</v>
      </c>
      <c r="D929" s="3" t="str">
        <f>IFERROR(__xludf.DUMMYFUNCTION("""COMPUTED_VALUE"""),"df4789cf")</f>
        <v>df4789cf</v>
      </c>
      <c r="E929" s="54">
        <f>IFERROR(__xludf.DUMMYFUNCTION("""COMPUTED_VALUE"""),33600.0)</f>
        <v>33600</v>
      </c>
      <c r="F929" s="3" t="str">
        <f>IFERROR(__xludf.DUMMYFUNCTION("""COMPUTED_VALUE"""),"Aspirant Anccelota Gota")</f>
        <v>Aspirant Anccelota Gota</v>
      </c>
      <c r="G929" s="3"/>
      <c r="H929" s="3"/>
      <c r="I929" s="3"/>
      <c r="J929" s="3"/>
      <c r="K929" s="3"/>
      <c r="L929" s="54">
        <f>IFERROR(__xludf.DUMMYFUNCTION("""COMPUTED_VALUE"""),32.0)</f>
        <v>32</v>
      </c>
      <c r="M929" s="3">
        <f>IFERROR(__xludf.DUMMYFUNCTION("""COMPUTED_VALUE"""),80.0)</f>
        <v>80</v>
      </c>
      <c r="N929" s="3"/>
      <c r="O929" s="3"/>
      <c r="P929" s="3"/>
      <c r="Q929" s="3"/>
      <c r="R929" s="3"/>
      <c r="S929" s="3"/>
      <c r="T929" s="5"/>
      <c r="U929" s="5"/>
      <c r="V929" s="5"/>
      <c r="W929" s="5"/>
    </row>
    <row r="930" ht="15.75" customHeight="1">
      <c r="A930" s="3">
        <f>IFERROR(__xludf.DUMMYFUNCTION("""COMPUTED_VALUE"""),930.0)</f>
        <v>930</v>
      </c>
      <c r="B930" s="53">
        <f>IFERROR(__xludf.DUMMYFUNCTION("""COMPUTED_VALUE"""),45727.0)</f>
        <v>45727</v>
      </c>
      <c r="C930" s="3">
        <f>IFERROR(__xludf.DUMMYFUNCTION("""COMPUTED_VALUE"""),35.0)</f>
        <v>35</v>
      </c>
      <c r="D930" s="3" t="str">
        <f>IFERROR(__xludf.DUMMYFUNCTION("""COMPUTED_VALUE"""),"e954d719")</f>
        <v>e954d719</v>
      </c>
      <c r="E930" s="54">
        <f>IFERROR(__xludf.DUMMYFUNCTION("""COMPUTED_VALUE"""),39300.0)</f>
        <v>39300</v>
      </c>
      <c r="F930" s="3" t="str">
        <f>IFERROR(__xludf.DUMMYFUNCTION("""COMPUTED_VALUE"""),"Aspirant")</f>
        <v>Aspirant</v>
      </c>
      <c r="G930" s="3"/>
      <c r="H930" s="3"/>
      <c r="I930" s="3"/>
      <c r="J930" s="3"/>
      <c r="K930" s="3"/>
      <c r="L930" s="54">
        <f>IFERROR(__xludf.DUMMYFUNCTION("""COMPUTED_VALUE"""),38.0)</f>
        <v>38</v>
      </c>
      <c r="M930" s="3">
        <f>IFERROR(__xludf.DUMMYFUNCTION("""COMPUTED_VALUE"""),83.0)</f>
        <v>83</v>
      </c>
      <c r="N930" s="3"/>
      <c r="O930" s="3"/>
      <c r="P930" s="3"/>
      <c r="Q930" s="3"/>
      <c r="R930" s="3"/>
      <c r="S930" s="3"/>
      <c r="T930" s="5"/>
      <c r="U930" s="5"/>
      <c r="V930" s="5"/>
      <c r="W930" s="5"/>
    </row>
    <row r="931" ht="15.75" customHeight="1">
      <c r="A931" s="3">
        <f>IFERROR(__xludf.DUMMYFUNCTION("""COMPUTED_VALUE"""),931.0)</f>
        <v>931</v>
      </c>
      <c r="B931" s="53">
        <f>IFERROR(__xludf.DUMMYFUNCTION("""COMPUTED_VALUE"""),45727.0)</f>
        <v>45727</v>
      </c>
      <c r="C931" s="3">
        <f>IFERROR(__xludf.DUMMYFUNCTION("""COMPUTED_VALUE"""),32.0)</f>
        <v>32</v>
      </c>
      <c r="D931" s="3" t="str">
        <f>IFERROR(__xludf.DUMMYFUNCTION("""COMPUTED_VALUE"""),"a1e13111")</f>
        <v>a1e13111</v>
      </c>
      <c r="E931" s="54">
        <f>IFERROR(__xludf.DUMMYFUNCTION("""COMPUTED_VALUE"""),36300.0)</f>
        <v>36300</v>
      </c>
      <c r="F931" s="3" t="str">
        <f>IFERROR(__xludf.DUMMYFUNCTION("""COMPUTED_VALUE"""),"Chardonnay (Filt)")</f>
        <v>Chardonnay (Filt)</v>
      </c>
      <c r="G931" s="3"/>
      <c r="H931" s="3"/>
      <c r="I931" s="3"/>
      <c r="J931" s="3"/>
      <c r="K931" s="3"/>
      <c r="L931" s="54">
        <f>IFERROR(__xludf.DUMMYFUNCTION("""COMPUTED_VALUE"""),44.0)</f>
        <v>44</v>
      </c>
      <c r="M931" s="3">
        <f>IFERROR(__xludf.DUMMYFUNCTION("""COMPUTED_VALUE"""),109.0)</f>
        <v>109</v>
      </c>
      <c r="N931" s="3"/>
      <c r="O931" s="3"/>
      <c r="P931" s="3"/>
      <c r="Q931" s="3"/>
      <c r="R931" s="3"/>
      <c r="S931" s="3"/>
      <c r="T931" s="5"/>
      <c r="U931" s="5"/>
      <c r="V931" s="5"/>
      <c r="W931" s="5"/>
    </row>
    <row r="932" ht="15.75" customHeight="1">
      <c r="A932" s="3">
        <f>IFERROR(__xludf.DUMMYFUNCTION("""COMPUTED_VALUE"""),932.0)</f>
        <v>932</v>
      </c>
      <c r="B932" s="53">
        <f>IFERROR(__xludf.DUMMYFUNCTION("""COMPUTED_VALUE"""),45727.0)</f>
        <v>45727</v>
      </c>
      <c r="C932" s="3">
        <f>IFERROR(__xludf.DUMMYFUNCTION("""COMPUTED_VALUE"""),31.0)</f>
        <v>31</v>
      </c>
      <c r="D932" s="3" t="str">
        <f>IFERROR(__xludf.DUMMYFUNCTION("""COMPUTED_VALUE"""),"8a7074cf")</f>
        <v>8a7074cf</v>
      </c>
      <c r="E932" s="54">
        <f>IFERROR(__xludf.DUMMYFUNCTION("""COMPUTED_VALUE"""),25700.0)</f>
        <v>25700</v>
      </c>
      <c r="F932" s="3" t="str">
        <f>IFERROR(__xludf.DUMMYFUNCTION("""COMPUTED_VALUE"""),"Chardonnay")</f>
        <v>Chardonnay</v>
      </c>
      <c r="G932" s="3"/>
      <c r="H932" s="3"/>
      <c r="I932" s="3"/>
      <c r="J932" s="3"/>
      <c r="K932" s="3"/>
      <c r="L932" s="54">
        <f>IFERROR(__xludf.DUMMYFUNCTION("""COMPUTED_VALUE"""),32.0)</f>
        <v>32</v>
      </c>
      <c r="M932" s="3">
        <f>IFERROR(__xludf.DUMMYFUNCTION("""COMPUTED_VALUE"""),86.0)</f>
        <v>86</v>
      </c>
      <c r="N932" s="3"/>
      <c r="O932" s="3"/>
      <c r="P932" s="3"/>
      <c r="Q932" s="3"/>
      <c r="R932" s="3"/>
      <c r="S932" s="3"/>
      <c r="T932" s="5"/>
      <c r="U932" s="5"/>
      <c r="V932" s="5"/>
      <c r="W932" s="5"/>
    </row>
    <row r="933" ht="15.75" customHeight="1">
      <c r="A933" s="3">
        <f>IFERROR(__xludf.DUMMYFUNCTION("""COMPUTED_VALUE"""),933.0)</f>
        <v>933</v>
      </c>
      <c r="B933" s="53">
        <f>IFERROR(__xludf.DUMMYFUNCTION("""COMPUTED_VALUE"""),45727.0)</f>
        <v>45727</v>
      </c>
      <c r="C933" s="3">
        <f>IFERROR(__xludf.DUMMYFUNCTION("""COMPUTED_VALUE"""),9.0)</f>
        <v>9</v>
      </c>
      <c r="D933" s="3" t="str">
        <f>IFERROR(__xludf.DUMMYFUNCTION("""COMPUTED_VALUE"""),"b73d8cd1")</f>
        <v>b73d8cd1</v>
      </c>
      <c r="E933" s="54">
        <f>IFERROR(__xludf.DUMMYFUNCTION("""COMPUTED_VALUE"""),30000.0)</f>
        <v>30000</v>
      </c>
      <c r="F933" s="3" t="str">
        <f>IFERROR(__xludf.DUMMYFUNCTION("""COMPUTED_VALUE"""),"Chardonnay")</f>
        <v>Chardonnay</v>
      </c>
      <c r="G933" s="3"/>
      <c r="H933" s="3"/>
      <c r="I933" s="3"/>
      <c r="J933" s="3"/>
      <c r="K933" s="3"/>
      <c r="L933" s="54">
        <f>IFERROR(__xludf.DUMMYFUNCTION("""COMPUTED_VALUE"""),15.0)</f>
        <v>15</v>
      </c>
      <c r="M933" s="3">
        <f>IFERROR(__xludf.DUMMYFUNCTION("""COMPUTED_VALUE"""),69.0)</f>
        <v>69</v>
      </c>
      <c r="N933" s="3"/>
      <c r="O933" s="3"/>
      <c r="P933" s="3"/>
      <c r="Q933" s="3"/>
      <c r="R933" s="3"/>
      <c r="S933" s="3"/>
      <c r="T933" s="5"/>
      <c r="U933" s="5"/>
      <c r="V933" s="5"/>
      <c r="W933" s="5"/>
    </row>
    <row r="934" ht="15.75" customHeight="1">
      <c r="A934" s="3">
        <f>IFERROR(__xludf.DUMMYFUNCTION("""COMPUTED_VALUE"""),934.0)</f>
        <v>934</v>
      </c>
      <c r="B934" s="53">
        <f>IFERROR(__xludf.DUMMYFUNCTION("""COMPUTED_VALUE"""),45727.0)</f>
        <v>45727</v>
      </c>
      <c r="C934" s="3">
        <f>IFERROR(__xludf.DUMMYFUNCTION("""COMPUTED_VALUE"""),33.0)</f>
        <v>33</v>
      </c>
      <c r="D934" s="3" t="str">
        <f>IFERROR(__xludf.DUMMYFUNCTION("""COMPUTED_VALUE"""),"7def2139")</f>
        <v>7def2139</v>
      </c>
      <c r="E934" s="54">
        <f>IFERROR(__xludf.DUMMYFUNCTION("""COMPUTED_VALUE"""),25300.0)</f>
        <v>25300</v>
      </c>
      <c r="F934" s="3" t="str">
        <f>IFERROR(__xludf.DUMMYFUNCTION("""COMPUTED_VALUE"""),"Chardonnay")</f>
        <v>Chardonnay</v>
      </c>
      <c r="G934" s="3"/>
      <c r="H934" s="3"/>
      <c r="I934" s="3"/>
      <c r="J934" s="3"/>
      <c r="K934" s="3"/>
      <c r="L934" s="54">
        <f>IFERROR(__xludf.DUMMYFUNCTION("""COMPUTED_VALUE"""),32.0)</f>
        <v>32</v>
      </c>
      <c r="M934" s="3">
        <f>IFERROR(__xludf.DUMMYFUNCTION("""COMPUTED_VALUE"""),93.0)</f>
        <v>93</v>
      </c>
      <c r="N934" s="3"/>
      <c r="O934" s="3"/>
      <c r="P934" s="3"/>
      <c r="Q934" s="3"/>
      <c r="R934" s="3"/>
      <c r="S934" s="3"/>
      <c r="T934" s="5"/>
      <c r="U934" s="5"/>
      <c r="V934" s="5"/>
      <c r="W934" s="5"/>
    </row>
    <row r="935" ht="15.75" customHeight="1">
      <c r="A935" s="3">
        <f>IFERROR(__xludf.DUMMYFUNCTION("""COMPUTED_VALUE"""),935.0)</f>
        <v>935</v>
      </c>
      <c r="B935" s="53">
        <f>IFERROR(__xludf.DUMMYFUNCTION("""COMPUTED_VALUE"""),45727.0)</f>
        <v>45727</v>
      </c>
      <c r="C935" s="3">
        <f>IFERROR(__xludf.DUMMYFUNCTION("""COMPUTED_VALUE"""),10.0)</f>
        <v>10</v>
      </c>
      <c r="D935" s="3" t="str">
        <f>IFERROR(__xludf.DUMMYFUNCTION("""COMPUTED_VALUE"""),"f9bf68a3")</f>
        <v>f9bf68a3</v>
      </c>
      <c r="E935" s="54">
        <f>IFERROR(__xludf.DUMMYFUNCTION("""COMPUTED_VALUE"""),21000.0)</f>
        <v>21000</v>
      </c>
      <c r="F935" s="3" t="str">
        <f>IFERROR(__xludf.DUMMYFUNCTION("""COMPUTED_VALUE"""),"Chardonnay")</f>
        <v>Chardonnay</v>
      </c>
      <c r="G935" s="3"/>
      <c r="H935" s="3"/>
      <c r="I935" s="3"/>
      <c r="J935" s="3"/>
      <c r="K935" s="3"/>
      <c r="L935" s="54">
        <f>IFERROR(__xludf.DUMMYFUNCTION("""COMPUTED_VALUE"""),20.0)</f>
        <v>20</v>
      </c>
      <c r="M935" s="3">
        <f>IFERROR(__xludf.DUMMYFUNCTION("""COMPUTED_VALUE"""),79.0)</f>
        <v>79</v>
      </c>
      <c r="N935" s="3"/>
      <c r="O935" s="3"/>
      <c r="P935" s="3"/>
      <c r="Q935" s="3"/>
      <c r="R935" s="3"/>
      <c r="S935" s="3"/>
      <c r="T935" s="5"/>
      <c r="U935" s="5"/>
      <c r="V935" s="5"/>
      <c r="W935" s="5"/>
    </row>
    <row r="936" ht="15.75" customHeight="1">
      <c r="A936" s="3">
        <f>IFERROR(__xludf.DUMMYFUNCTION("""COMPUTED_VALUE"""),936.0)</f>
        <v>936</v>
      </c>
      <c r="B936" s="53">
        <f>IFERROR(__xludf.DUMMYFUNCTION("""COMPUTED_VALUE"""),45727.0)</f>
        <v>45727</v>
      </c>
      <c r="C936" s="3">
        <f>IFERROR(__xludf.DUMMYFUNCTION("""COMPUTED_VALUE"""),8.0)</f>
        <v>8</v>
      </c>
      <c r="D936" s="3" t="str">
        <f>IFERROR(__xludf.DUMMYFUNCTION("""COMPUTED_VALUE"""),"376dbee6")</f>
        <v>376dbee6</v>
      </c>
      <c r="E936" s="54">
        <f>IFERROR(__xludf.DUMMYFUNCTION("""COMPUTED_VALUE"""),22000.0)</f>
        <v>22000</v>
      </c>
      <c r="F936" s="3" t="str">
        <f>IFERROR(__xludf.DUMMYFUNCTION("""COMPUTED_VALUE"""),"Chardonnay")</f>
        <v>Chardonnay</v>
      </c>
      <c r="G936" s="3"/>
      <c r="H936" s="3"/>
      <c r="I936" s="3"/>
      <c r="J936" s="3"/>
      <c r="K936" s="3"/>
      <c r="L936" s="54">
        <f>IFERROR(__xludf.DUMMYFUNCTION("""COMPUTED_VALUE"""),22.0)</f>
        <v>22</v>
      </c>
      <c r="M936" s="3">
        <f>IFERROR(__xludf.DUMMYFUNCTION("""COMPUTED_VALUE"""),70.0)</f>
        <v>70</v>
      </c>
      <c r="N936" s="3"/>
      <c r="O936" s="3"/>
      <c r="P936" s="3"/>
      <c r="Q936" s="3"/>
      <c r="R936" s="3"/>
      <c r="S936" s="3"/>
      <c r="T936" s="5"/>
      <c r="U936" s="5"/>
      <c r="V936" s="5"/>
      <c r="W936" s="5"/>
    </row>
    <row r="937" ht="15.75" customHeight="1">
      <c r="A937" s="3">
        <f>IFERROR(__xludf.DUMMYFUNCTION("""COMPUTED_VALUE"""),937.0)</f>
        <v>937</v>
      </c>
      <c r="B937" s="53">
        <f>IFERROR(__xludf.DUMMYFUNCTION("""COMPUTED_VALUE"""),45727.0)</f>
        <v>45727</v>
      </c>
      <c r="C937" s="3">
        <f>IFERROR(__xludf.DUMMYFUNCTION("""COMPUTED_VALUE"""),5.0)</f>
        <v>5</v>
      </c>
      <c r="D937" s="3" t="str">
        <f>IFERROR(__xludf.DUMMYFUNCTION("""COMPUTED_VALUE"""),"593f826f")</f>
        <v>593f826f</v>
      </c>
      <c r="E937" s="54">
        <f>IFERROR(__xludf.DUMMYFUNCTION("""COMPUTED_VALUE"""),30000.0)</f>
        <v>30000</v>
      </c>
      <c r="F937" s="3" t="str">
        <f>IFERROR(__xludf.DUMMYFUNCTION("""COMPUTED_VALUE"""),"Chardonnay")</f>
        <v>Chardonnay</v>
      </c>
      <c r="G937" s="3"/>
      <c r="H937" s="3"/>
      <c r="I937" s="3"/>
      <c r="J937" s="3"/>
      <c r="K937" s="3"/>
      <c r="L937" s="54">
        <f>IFERROR(__xludf.DUMMYFUNCTION("""COMPUTED_VALUE"""),15.0)</f>
        <v>15</v>
      </c>
      <c r="M937" s="3">
        <f>IFERROR(__xludf.DUMMYFUNCTION("""COMPUTED_VALUE"""),64.0)</f>
        <v>64</v>
      </c>
      <c r="N937" s="3"/>
      <c r="O937" s="3"/>
      <c r="P937" s="3"/>
      <c r="Q937" s="3"/>
      <c r="R937" s="3"/>
      <c r="S937" s="3"/>
      <c r="T937" s="5"/>
      <c r="U937" s="5"/>
      <c r="V937" s="5"/>
      <c r="W937" s="5"/>
    </row>
    <row r="938" ht="15.75" customHeight="1">
      <c r="A938" s="3">
        <f>IFERROR(__xludf.DUMMYFUNCTION("""COMPUTED_VALUE"""),938.0)</f>
        <v>938</v>
      </c>
      <c r="B938" s="53">
        <f>IFERROR(__xludf.DUMMYFUNCTION("""COMPUTED_VALUE"""),45727.0)</f>
        <v>45727</v>
      </c>
      <c r="C938" s="3">
        <f>IFERROR(__xludf.DUMMYFUNCTION("""COMPUTED_VALUE"""),16.0)</f>
        <v>16</v>
      </c>
      <c r="D938" s="3" t="str">
        <f>IFERROR(__xludf.DUMMYFUNCTION("""COMPUTED_VALUE"""),"b5e03e7f")</f>
        <v>b5e03e7f</v>
      </c>
      <c r="E938" s="54">
        <f>IFERROR(__xludf.DUMMYFUNCTION("""COMPUTED_VALUE"""),19500.0)</f>
        <v>19500</v>
      </c>
      <c r="F938" s="3" t="str">
        <f>IFERROR(__xludf.DUMMYFUNCTION("""COMPUTED_VALUE"""),"Chardonnay")</f>
        <v>Chardonnay</v>
      </c>
      <c r="G938" s="3"/>
      <c r="H938" s="3"/>
      <c r="I938" s="3"/>
      <c r="J938" s="3"/>
      <c r="K938" s="3"/>
      <c r="L938" s="54">
        <f>IFERROR(__xludf.DUMMYFUNCTION("""COMPUTED_VALUE"""),17.0)</f>
        <v>17</v>
      </c>
      <c r="M938" s="3">
        <f>IFERROR(__xludf.DUMMYFUNCTION("""COMPUTED_VALUE"""),61.0)</f>
        <v>61</v>
      </c>
      <c r="N938" s="3"/>
      <c r="O938" s="3"/>
      <c r="P938" s="3"/>
      <c r="Q938" s="3"/>
      <c r="R938" s="3"/>
      <c r="S938" s="3"/>
      <c r="T938" s="5"/>
      <c r="U938" s="5"/>
      <c r="V938" s="5"/>
      <c r="W938" s="5"/>
    </row>
    <row r="939" ht="15.75" customHeight="1">
      <c r="A939" s="3">
        <f>IFERROR(__xludf.DUMMYFUNCTION("""COMPUTED_VALUE"""),939.0)</f>
        <v>939</v>
      </c>
      <c r="B939" s="53">
        <f>IFERROR(__xludf.DUMMYFUNCTION("""COMPUTED_VALUE"""),45727.0)</f>
        <v>45727</v>
      </c>
      <c r="C939" s="3">
        <f>IFERROR(__xludf.DUMMYFUNCTION("""COMPUTED_VALUE"""),40.0)</f>
        <v>40</v>
      </c>
      <c r="D939" s="3" t="str">
        <f>IFERROR(__xludf.DUMMYFUNCTION("""COMPUTED_VALUE"""),"7c5390c8")</f>
        <v>7c5390c8</v>
      </c>
      <c r="E939" s="54">
        <f>IFERROR(__xludf.DUMMYFUNCTION("""COMPUTED_VALUE"""),24000.0)</f>
        <v>24000</v>
      </c>
      <c r="F939" s="3" t="str">
        <f>IFERROR(__xludf.DUMMYFUNCTION("""COMPUTED_VALUE"""),"Chardonnay")</f>
        <v>Chardonnay</v>
      </c>
      <c r="G939" s="3"/>
      <c r="H939" s="3"/>
      <c r="I939" s="3"/>
      <c r="J939" s="3"/>
      <c r="K939" s="3"/>
      <c r="L939" s="54">
        <f>IFERROR(__xludf.DUMMYFUNCTION("""COMPUTED_VALUE"""),27.0)</f>
        <v>27</v>
      </c>
      <c r="M939" s="3">
        <f>IFERROR(__xludf.DUMMYFUNCTION("""COMPUTED_VALUE"""),89.0)</f>
        <v>89</v>
      </c>
      <c r="N939" s="3"/>
      <c r="O939" s="3"/>
      <c r="P939" s="3"/>
      <c r="Q939" s="3"/>
      <c r="R939" s="3"/>
      <c r="S939" s="3"/>
      <c r="T939" s="5"/>
      <c r="U939" s="5"/>
      <c r="V939" s="5"/>
      <c r="W939" s="5"/>
    </row>
    <row r="940" ht="15.75" customHeight="1">
      <c r="A940" s="3">
        <f>IFERROR(__xludf.DUMMYFUNCTION("""COMPUTED_VALUE"""),940.0)</f>
        <v>940</v>
      </c>
      <c r="B940" s="53">
        <f>IFERROR(__xludf.DUMMYFUNCTION("""COMPUTED_VALUE"""),45728.0)</f>
        <v>45728</v>
      </c>
      <c r="C940" s="3">
        <f>IFERROR(__xludf.DUMMYFUNCTION("""COMPUTED_VALUE"""),24.0)</f>
        <v>24</v>
      </c>
      <c r="D940" s="3" t="str">
        <f>IFERROR(__xludf.DUMMYFUNCTION("""COMPUTED_VALUE"""),"8e7dc827")</f>
        <v>8e7dc827</v>
      </c>
      <c r="E940" s="54">
        <f>IFERROR(__xludf.DUMMYFUNCTION("""COMPUTED_VALUE"""),186600.0)</f>
        <v>186600</v>
      </c>
      <c r="F940" s="3" t="str">
        <f>IFERROR(__xludf.DUMMYFUNCTION("""COMPUTED_VALUE"""),"Tinto La Vendimia")</f>
        <v>Tinto La Vendimia</v>
      </c>
      <c r="G940" s="55">
        <f>IFERROR(__xludf.DUMMYFUNCTION("""COMPUTED_VALUE"""),13.0)</f>
        <v>13</v>
      </c>
      <c r="H940" s="56">
        <f>IFERROR(__xludf.DUMMYFUNCTION("""COMPUTED_VALUE"""),2.0)</f>
        <v>2</v>
      </c>
      <c r="I940" s="57">
        <f>IFERROR(__xludf.DUMMYFUNCTION("""COMPUTED_VALUE"""),0.54)</f>
        <v>0.54</v>
      </c>
      <c r="J940" s="3"/>
      <c r="K940" s="3"/>
      <c r="L940" s="3"/>
      <c r="M940" s="3"/>
      <c r="N940" s="3"/>
      <c r="O940" s="3">
        <f>IFERROR(__xludf.DUMMYFUNCTION("""COMPUTED_VALUE"""),351.0)</f>
        <v>351</v>
      </c>
      <c r="P940" s="3">
        <f>IFERROR(__xludf.DUMMYFUNCTION("""COMPUTED_VALUE"""),481.0)</f>
        <v>481</v>
      </c>
      <c r="Q940" s="3"/>
      <c r="R940" s="3">
        <f>IFERROR(__xludf.DUMMYFUNCTION("""COMPUTED_VALUE"""),832.0)</f>
        <v>832</v>
      </c>
      <c r="S940" s="54">
        <f>IFERROR(__xludf.DUMMYFUNCTION("""COMPUTED_VALUE"""),1140.1481481481483)</f>
        <v>1140.148148</v>
      </c>
      <c r="T940" s="5"/>
      <c r="U940" s="5"/>
      <c r="V940" s="5"/>
      <c r="W940" s="5"/>
    </row>
    <row r="941" ht="15.75" customHeight="1">
      <c r="A941" s="3">
        <f>IFERROR(__xludf.DUMMYFUNCTION("""COMPUTED_VALUE"""),941.0)</f>
        <v>941</v>
      </c>
      <c r="B941" s="53">
        <f>IFERROR(__xludf.DUMMYFUNCTION("""COMPUTED_VALUE"""),45728.0)</f>
        <v>45728</v>
      </c>
      <c r="C941" s="3">
        <f>IFERROR(__xludf.DUMMYFUNCTION("""COMPUTED_VALUE"""),25.0)</f>
        <v>25</v>
      </c>
      <c r="D941" s="3" t="str">
        <f>IFERROR(__xludf.DUMMYFUNCTION("""COMPUTED_VALUE"""),"d65723e9")</f>
        <v>d65723e9</v>
      </c>
      <c r="E941" s="54">
        <f>IFERROR(__xludf.DUMMYFUNCTION("""COMPUTED_VALUE"""),194300.0)</f>
        <v>194300</v>
      </c>
      <c r="F941" s="3" t="str">
        <f>IFERROR(__xludf.DUMMYFUNCTION("""COMPUTED_VALUE"""),"Tinto La Vendimia")</f>
        <v>Tinto La Vendimia</v>
      </c>
      <c r="G941" s="55">
        <f>IFERROR(__xludf.DUMMYFUNCTION("""COMPUTED_VALUE"""),13.0)</f>
        <v>13</v>
      </c>
      <c r="H941" s="56">
        <f>IFERROR(__xludf.DUMMYFUNCTION("""COMPUTED_VALUE"""),2.0)</f>
        <v>2</v>
      </c>
      <c r="I941" s="57">
        <f>IFERROR(__xludf.DUMMYFUNCTION("""COMPUTED_VALUE"""),0.54)</f>
        <v>0.54</v>
      </c>
      <c r="J941" s="3"/>
      <c r="K941" s="3"/>
      <c r="L941" s="3"/>
      <c r="M941" s="3"/>
      <c r="N941" s="3"/>
      <c r="O941" s="3">
        <f>IFERROR(__xludf.DUMMYFUNCTION("""COMPUTED_VALUE"""),382.0)</f>
        <v>382</v>
      </c>
      <c r="P941" s="3">
        <f>IFERROR(__xludf.DUMMYFUNCTION("""COMPUTED_VALUE"""),511.0)</f>
        <v>511</v>
      </c>
      <c r="Q941" s="3"/>
      <c r="R941" s="3">
        <f>IFERROR(__xludf.DUMMYFUNCTION("""COMPUTED_VALUE"""),893.0)</f>
        <v>893</v>
      </c>
      <c r="S941" s="54">
        <f>IFERROR(__xludf.DUMMYFUNCTION("""COMPUTED_VALUE"""),1194.562827225131)</f>
        <v>1194.562827</v>
      </c>
      <c r="T941" s="5"/>
      <c r="U941" s="5"/>
      <c r="V941" s="5"/>
      <c r="W941" s="5"/>
    </row>
    <row r="942" ht="15.75" customHeight="1">
      <c r="A942" s="3">
        <f>IFERROR(__xludf.DUMMYFUNCTION("""COMPUTED_VALUE"""),942.0)</f>
        <v>942</v>
      </c>
      <c r="B942" s="53">
        <f>IFERROR(__xludf.DUMMYFUNCTION("""COMPUTED_VALUE"""),45729.0)</f>
        <v>45729</v>
      </c>
      <c r="C942" s="3">
        <f>IFERROR(__xludf.DUMMYFUNCTION("""COMPUTED_VALUE"""),104.0)</f>
        <v>104</v>
      </c>
      <c r="D942" s="3" t="str">
        <f>IFERROR(__xludf.DUMMYFUNCTION("""COMPUTED_VALUE"""),"83599ef4")</f>
        <v>83599ef4</v>
      </c>
      <c r="E942" s="54">
        <f>IFERROR(__xludf.DUMMYFUNCTION("""COMPUTED_VALUE"""),30000.0)</f>
        <v>30000</v>
      </c>
      <c r="F942" s="3" t="str">
        <f>IFERROR(__xludf.DUMMYFUNCTION("""COMPUTED_VALUE"""),"Malbec Gota")</f>
        <v>Malbec Gota</v>
      </c>
      <c r="G942" s="3"/>
      <c r="H942" s="3"/>
      <c r="I942" s="3"/>
      <c r="J942" s="3"/>
      <c r="K942" s="3"/>
      <c r="L942" s="54">
        <f>IFERROR(__xludf.DUMMYFUNCTION("""COMPUTED_VALUE"""),38.0)</f>
        <v>38</v>
      </c>
      <c r="M942" s="3">
        <f>IFERROR(__xludf.DUMMYFUNCTION("""COMPUTED_VALUE"""),130.0)</f>
        <v>130</v>
      </c>
      <c r="N942" s="3"/>
      <c r="O942" s="3"/>
      <c r="P942" s="3"/>
      <c r="Q942" s="3"/>
      <c r="R942" s="3"/>
      <c r="S942" s="3"/>
      <c r="T942" s="5"/>
      <c r="U942" s="5"/>
      <c r="V942" s="5"/>
      <c r="W942" s="5"/>
    </row>
    <row r="943" ht="15.75" customHeight="1">
      <c r="A943" s="3">
        <f>IFERROR(__xludf.DUMMYFUNCTION("""COMPUTED_VALUE"""),943.0)</f>
        <v>943</v>
      </c>
      <c r="B943" s="53">
        <f>IFERROR(__xludf.DUMMYFUNCTION("""COMPUTED_VALUE"""),45729.0)</f>
        <v>45729</v>
      </c>
      <c r="C943" s="3">
        <f>IFERROR(__xludf.DUMMYFUNCTION("""COMPUTED_VALUE"""),105.0)</f>
        <v>105</v>
      </c>
      <c r="D943" s="3" t="str">
        <f>IFERROR(__xludf.DUMMYFUNCTION("""COMPUTED_VALUE"""),"7ad5b1b2")</f>
        <v>7ad5b1b2</v>
      </c>
      <c r="E943" s="54">
        <f>IFERROR(__xludf.DUMMYFUNCTION("""COMPUTED_VALUE"""),30000.0)</f>
        <v>30000</v>
      </c>
      <c r="F943" s="3" t="str">
        <f>IFERROR(__xludf.DUMMYFUNCTION("""COMPUTED_VALUE"""),"Malbec con Merlot s/Asp")</f>
        <v>Malbec con Merlot s/Asp</v>
      </c>
      <c r="G943" s="3"/>
      <c r="H943" s="3"/>
      <c r="I943" s="3"/>
      <c r="J943" s="3"/>
      <c r="K943" s="3"/>
      <c r="L943" s="54">
        <f>IFERROR(__xludf.DUMMYFUNCTION("""COMPUTED_VALUE"""),45.0)</f>
        <v>45</v>
      </c>
      <c r="M943" s="3">
        <f>IFERROR(__xludf.DUMMYFUNCTION("""COMPUTED_VALUE"""),125.0)</f>
        <v>125</v>
      </c>
      <c r="N943" s="3"/>
      <c r="O943" s="3"/>
      <c r="P943" s="3"/>
      <c r="Q943" s="3"/>
      <c r="R943" s="3"/>
      <c r="S943" s="3"/>
      <c r="T943" s="5"/>
      <c r="U943" s="5"/>
      <c r="V943" s="5"/>
      <c r="W943" s="5"/>
    </row>
    <row r="944" ht="15.75" customHeight="1">
      <c r="A944" s="3">
        <f>IFERROR(__xludf.DUMMYFUNCTION("""COMPUTED_VALUE"""),944.0)</f>
        <v>944</v>
      </c>
      <c r="B944" s="53">
        <f>IFERROR(__xludf.DUMMYFUNCTION("""COMPUTED_VALUE"""),45729.0)</f>
        <v>45729</v>
      </c>
      <c r="C944" s="3">
        <f>IFERROR(__xludf.DUMMYFUNCTION("""COMPUTED_VALUE"""),106.0)</f>
        <v>106</v>
      </c>
      <c r="D944" s="3" t="str">
        <f>IFERROR(__xludf.DUMMYFUNCTION("""COMPUTED_VALUE"""),"00bdd4ad")</f>
        <v>00bdd4ad</v>
      </c>
      <c r="E944" s="54">
        <f>IFERROR(__xludf.DUMMYFUNCTION("""COMPUTED_VALUE"""),11000.0)</f>
        <v>11000</v>
      </c>
      <c r="F944" s="3" t="str">
        <f>IFERROR(__xludf.DUMMYFUNCTION("""COMPUTED_VALUE"""),"Merlot s/Asp")</f>
        <v>Merlot s/Asp</v>
      </c>
      <c r="G944" s="3"/>
      <c r="H944" s="3"/>
      <c r="I944" s="3"/>
      <c r="J944" s="3"/>
      <c r="K944" s="3"/>
      <c r="L944" s="54">
        <f>IFERROR(__xludf.DUMMYFUNCTION("""COMPUTED_VALUE"""),39.0)</f>
        <v>39</v>
      </c>
      <c r="M944" s="3">
        <f>IFERROR(__xludf.DUMMYFUNCTION("""COMPUTED_VALUE"""),121.0)</f>
        <v>121</v>
      </c>
      <c r="N944" s="3"/>
      <c r="O944" s="3"/>
      <c r="P944" s="3"/>
      <c r="Q944" s="3"/>
      <c r="R944" s="3"/>
      <c r="S944" s="3"/>
      <c r="T944" s="5"/>
      <c r="U944" s="5"/>
      <c r="V944" s="5"/>
      <c r="W944" s="5"/>
    </row>
    <row r="945" ht="15.75" customHeight="1">
      <c r="A945" s="3">
        <f>IFERROR(__xludf.DUMMYFUNCTION("""COMPUTED_VALUE"""),945.0)</f>
        <v>945</v>
      </c>
      <c r="B945" s="53">
        <f>IFERROR(__xludf.DUMMYFUNCTION("""COMPUTED_VALUE"""),45729.0)</f>
        <v>45729</v>
      </c>
      <c r="C945" s="3">
        <f>IFERROR(__xludf.DUMMYFUNCTION("""COMPUTED_VALUE"""),108.0)</f>
        <v>108</v>
      </c>
      <c r="D945" s="3" t="str">
        <f>IFERROR(__xludf.DUMMYFUNCTION("""COMPUTED_VALUE"""),"ba3f8a31")</f>
        <v>ba3f8a31</v>
      </c>
      <c r="E945" s="54">
        <f>IFERROR(__xludf.DUMMYFUNCTION("""COMPUTED_VALUE"""),30000.0)</f>
        <v>30000</v>
      </c>
      <c r="F945" s="3" t="str">
        <f>IFERROR(__xludf.DUMMYFUNCTION("""COMPUTED_VALUE"""),"Syrah Merlot s/Asp Gota")</f>
        <v>Syrah Merlot s/Asp Gota</v>
      </c>
      <c r="G945" s="3"/>
      <c r="H945" s="3"/>
      <c r="I945" s="3"/>
      <c r="J945" s="3"/>
      <c r="K945" s="3"/>
      <c r="L945" s="54">
        <f>IFERROR(__xludf.DUMMYFUNCTION("""COMPUTED_VALUE"""),45.0)</f>
        <v>45</v>
      </c>
      <c r="M945" s="3">
        <f>IFERROR(__xludf.DUMMYFUNCTION("""COMPUTED_VALUE"""),121.0)</f>
        <v>121</v>
      </c>
      <c r="N945" s="3"/>
      <c r="O945" s="3"/>
      <c r="P945" s="3"/>
      <c r="Q945" s="3"/>
      <c r="R945" s="3"/>
      <c r="S945" s="3"/>
      <c r="T945" s="5"/>
      <c r="U945" s="5"/>
      <c r="V945" s="5"/>
      <c r="W945" s="5"/>
    </row>
    <row r="946" ht="15.75" customHeight="1">
      <c r="A946" s="3">
        <f>IFERROR(__xludf.DUMMYFUNCTION("""COMPUTED_VALUE"""),946.0)</f>
        <v>946</v>
      </c>
      <c r="B946" s="53">
        <f>IFERROR(__xludf.DUMMYFUNCTION("""COMPUTED_VALUE"""),45729.0)</f>
        <v>45729</v>
      </c>
      <c r="C946" s="3">
        <f>IFERROR(__xludf.DUMMYFUNCTION("""COMPUTED_VALUE"""),109.0)</f>
        <v>109</v>
      </c>
      <c r="D946" s="3" t="str">
        <f>IFERROR(__xludf.DUMMYFUNCTION("""COMPUTED_VALUE"""),"d83c9a57")</f>
        <v>d83c9a57</v>
      </c>
      <c r="E946" s="54">
        <f>IFERROR(__xludf.DUMMYFUNCTION("""COMPUTED_VALUE"""),15000.0)</f>
        <v>15000</v>
      </c>
      <c r="F946" s="3" t="str">
        <f>IFERROR(__xludf.DUMMYFUNCTION("""COMPUTED_VALUE"""),"Merlot s/Asp descube")</f>
        <v>Merlot s/Asp descube</v>
      </c>
      <c r="G946" s="3"/>
      <c r="H946" s="3"/>
      <c r="I946" s="3"/>
      <c r="J946" s="3"/>
      <c r="K946" s="3"/>
      <c r="L946" s="54">
        <f>IFERROR(__xludf.DUMMYFUNCTION("""COMPUTED_VALUE"""),38.0)</f>
        <v>38</v>
      </c>
      <c r="M946" s="3">
        <f>IFERROR(__xludf.DUMMYFUNCTION("""COMPUTED_VALUE"""),121.0)</f>
        <v>121</v>
      </c>
      <c r="N946" s="3"/>
      <c r="O946" s="3"/>
      <c r="P946" s="3"/>
      <c r="Q946" s="3"/>
      <c r="R946" s="3"/>
      <c r="S946" s="3"/>
      <c r="T946" s="5"/>
      <c r="U946" s="5"/>
      <c r="V946" s="5"/>
      <c r="W946" s="5"/>
    </row>
    <row r="947" ht="15.75" customHeight="1">
      <c r="A947" s="3">
        <f>IFERROR(__xludf.DUMMYFUNCTION("""COMPUTED_VALUE"""),947.0)</f>
        <v>947</v>
      </c>
      <c r="B947" s="53">
        <f>IFERROR(__xludf.DUMMYFUNCTION("""COMPUTED_VALUE"""),45729.0)</f>
        <v>45729</v>
      </c>
      <c r="C947" s="3">
        <f>IFERROR(__xludf.DUMMYFUNCTION("""COMPUTED_VALUE"""),110.0)</f>
        <v>110</v>
      </c>
      <c r="D947" s="3" t="str">
        <f>IFERROR(__xludf.DUMMYFUNCTION("""COMPUTED_VALUE"""),"d8ebe8ad")</f>
        <v>d8ebe8ad</v>
      </c>
      <c r="E947" s="54">
        <f>IFERROR(__xludf.DUMMYFUNCTION("""COMPUTED_VALUE"""),15600.0)</f>
        <v>15600</v>
      </c>
      <c r="F947" s="3" t="str">
        <f>IFERROR(__xludf.DUMMYFUNCTION("""COMPUTED_VALUE"""),"Syrah s/Asp 2da")</f>
        <v>Syrah s/Asp 2da</v>
      </c>
      <c r="G947" s="3"/>
      <c r="H947" s="3"/>
      <c r="I947" s="3"/>
      <c r="J947" s="3"/>
      <c r="K947" s="3"/>
      <c r="L947" s="54">
        <f>IFERROR(__xludf.DUMMYFUNCTION("""COMPUTED_VALUE"""),30.0)</f>
        <v>30</v>
      </c>
      <c r="M947" s="3">
        <f>IFERROR(__xludf.DUMMYFUNCTION("""COMPUTED_VALUE"""),96.0)</f>
        <v>96</v>
      </c>
      <c r="N947" s="3"/>
      <c r="O947" s="3"/>
      <c r="P947" s="3"/>
      <c r="Q947" s="3"/>
      <c r="R947" s="3"/>
      <c r="S947" s="3"/>
      <c r="T947" s="5"/>
      <c r="U947" s="5"/>
      <c r="V947" s="5"/>
      <c r="W947" s="5"/>
    </row>
    <row r="948" ht="15.75" customHeight="1">
      <c r="A948" s="3">
        <f>IFERROR(__xludf.DUMMYFUNCTION("""COMPUTED_VALUE"""),948.0)</f>
        <v>948</v>
      </c>
      <c r="B948" s="53">
        <f>IFERROR(__xludf.DUMMYFUNCTION("""COMPUTED_VALUE"""),45730.0)</f>
        <v>45730</v>
      </c>
      <c r="C948" s="3">
        <f>IFERROR(__xludf.DUMMYFUNCTION("""COMPUTED_VALUE"""),96.0)</f>
        <v>96</v>
      </c>
      <c r="D948" s="3" t="str">
        <f>IFERROR(__xludf.DUMMYFUNCTION("""COMPUTED_VALUE"""),"34a141e2")</f>
        <v>34a141e2</v>
      </c>
      <c r="E948" s="54">
        <f>IFERROR(__xludf.DUMMYFUNCTION("""COMPUTED_VALUE"""),47600.0)</f>
        <v>47600</v>
      </c>
      <c r="F948" s="3" t="str">
        <f>IFERROR(__xludf.DUMMYFUNCTION("""COMPUTED_VALUE"""),"Tempranillo")</f>
        <v>Tempranillo</v>
      </c>
      <c r="G948" s="3"/>
      <c r="H948" s="56">
        <f>IFERROR(__xludf.DUMMYFUNCTION("""COMPUTED_VALUE"""),230.0)</f>
        <v>230</v>
      </c>
      <c r="I948" s="3"/>
      <c r="J948" s="3"/>
      <c r="K948" s="57">
        <f>IFERROR(__xludf.DUMMYFUNCTION("""COMPUTED_VALUE"""),3.72)</f>
        <v>3.72</v>
      </c>
      <c r="L948" s="54">
        <f>IFERROR(__xludf.DUMMYFUNCTION("""COMPUTED_VALUE"""),51.0)</f>
        <v>51</v>
      </c>
      <c r="M948" s="3">
        <f>IFERROR(__xludf.DUMMYFUNCTION("""COMPUTED_VALUE"""),70.0)</f>
        <v>70</v>
      </c>
      <c r="N948" s="3"/>
      <c r="O948" s="3"/>
      <c r="P948" s="3"/>
      <c r="Q948" s="3"/>
      <c r="R948" s="3"/>
      <c r="S948" s="3"/>
      <c r="T948" s="5"/>
      <c r="U948" s="5"/>
      <c r="V948" s="5"/>
      <c r="W948" s="5"/>
    </row>
    <row r="949" ht="15.75" customHeight="1">
      <c r="A949" s="3">
        <f>IFERROR(__xludf.DUMMYFUNCTION("""COMPUTED_VALUE"""),949.0)</f>
        <v>949</v>
      </c>
      <c r="B949" s="53">
        <f>IFERROR(__xludf.DUMMYFUNCTION("""COMPUTED_VALUE"""),45730.0)</f>
        <v>45730</v>
      </c>
      <c r="C949" s="3">
        <f>IFERROR(__xludf.DUMMYFUNCTION("""COMPUTED_VALUE"""),77.0)</f>
        <v>77</v>
      </c>
      <c r="D949" s="3" t="str">
        <f>IFERROR(__xludf.DUMMYFUNCTION("""COMPUTED_VALUE"""),"ee8f7e01")</f>
        <v>ee8f7e01</v>
      </c>
      <c r="E949" s="54">
        <f>IFERROR(__xludf.DUMMYFUNCTION("""COMPUTED_VALUE"""),11300.0)</f>
        <v>11300</v>
      </c>
      <c r="F949" s="3" t="str">
        <f>IFERROR(__xludf.DUMMYFUNCTION("""COMPUTED_VALUE"""),"Bonarda C2")</f>
        <v>Bonarda C2</v>
      </c>
      <c r="G949" s="3"/>
      <c r="H949" s="56">
        <f>IFERROR(__xludf.DUMMYFUNCTION("""COMPUTED_VALUE"""),220.0)</f>
        <v>220</v>
      </c>
      <c r="I949" s="3"/>
      <c r="J949" s="3"/>
      <c r="K949" s="57">
        <f>IFERROR(__xludf.DUMMYFUNCTION("""COMPUTED_VALUE"""),3.69)</f>
        <v>3.69</v>
      </c>
      <c r="L949" s="54">
        <f>IFERROR(__xludf.DUMMYFUNCTION("""COMPUTED_VALUE"""),20.0)</f>
        <v>20</v>
      </c>
      <c r="M949" s="3">
        <f>IFERROR(__xludf.DUMMYFUNCTION("""COMPUTED_VALUE"""),45.0)</f>
        <v>45</v>
      </c>
      <c r="N949" s="3"/>
      <c r="O949" s="3"/>
      <c r="P949" s="3"/>
      <c r="Q949" s="3"/>
      <c r="R949" s="3"/>
      <c r="S949" s="3"/>
      <c r="T949" s="5"/>
      <c r="U949" s="5"/>
      <c r="V949" s="5"/>
      <c r="W949" s="5"/>
    </row>
    <row r="950" ht="15.75" customHeight="1">
      <c r="A950" s="3">
        <f>IFERROR(__xludf.DUMMYFUNCTION("""COMPUTED_VALUE"""),950.0)</f>
        <v>950</v>
      </c>
      <c r="B950" s="53">
        <f>IFERROR(__xludf.DUMMYFUNCTION("""COMPUTED_VALUE"""),45730.0)</f>
        <v>45730</v>
      </c>
      <c r="C950" s="3">
        <f>IFERROR(__xludf.DUMMYFUNCTION("""COMPUTED_VALUE"""),91.0)</f>
        <v>91</v>
      </c>
      <c r="D950" s="3" t="str">
        <f>IFERROR(__xludf.DUMMYFUNCTION("""COMPUTED_VALUE"""),"1a71b226")</f>
        <v>1a71b226</v>
      </c>
      <c r="E950" s="54">
        <f>IFERROR(__xludf.DUMMYFUNCTION("""COMPUTED_VALUE"""),45700.0)</f>
        <v>45700</v>
      </c>
      <c r="F950" s="3" t="str">
        <f>IFERROR(__xludf.DUMMYFUNCTION("""COMPUTED_VALUE"""),"Bonarda C2")</f>
        <v>Bonarda C2</v>
      </c>
      <c r="G950" s="3"/>
      <c r="H950" s="56">
        <f>IFERROR(__xludf.DUMMYFUNCTION("""COMPUTED_VALUE"""),180.0)</f>
        <v>180</v>
      </c>
      <c r="I950" s="3"/>
      <c r="J950" s="3"/>
      <c r="K950" s="57">
        <f>IFERROR(__xludf.DUMMYFUNCTION("""COMPUTED_VALUE"""),3.51)</f>
        <v>3.51</v>
      </c>
      <c r="L950" s="54">
        <f>IFERROR(__xludf.DUMMYFUNCTION("""COMPUTED_VALUE"""),18.0)</f>
        <v>18</v>
      </c>
      <c r="M950" s="3">
        <f>IFERROR(__xludf.DUMMYFUNCTION("""COMPUTED_VALUE"""),60.0)</f>
        <v>60</v>
      </c>
      <c r="N950" s="3"/>
      <c r="O950" s="3"/>
      <c r="P950" s="3"/>
      <c r="Q950" s="3"/>
      <c r="R950" s="3"/>
      <c r="S950" s="3"/>
      <c r="T950" s="5"/>
      <c r="U950" s="5"/>
      <c r="V950" s="5"/>
      <c r="W950" s="5"/>
    </row>
    <row r="951" ht="15.75" customHeight="1">
      <c r="A951" s="3">
        <f>IFERROR(__xludf.DUMMYFUNCTION("""COMPUTED_VALUE"""),951.0)</f>
        <v>951</v>
      </c>
      <c r="B951" s="53">
        <f>IFERROR(__xludf.DUMMYFUNCTION("""COMPUTED_VALUE"""),45730.0)</f>
        <v>45730</v>
      </c>
      <c r="C951" s="3">
        <f>IFERROR(__xludf.DUMMYFUNCTION("""COMPUTED_VALUE"""),76.0)</f>
        <v>76</v>
      </c>
      <c r="D951" s="3" t="str">
        <f>IFERROR(__xludf.DUMMYFUNCTION("""COMPUTED_VALUE"""),"31a16d29")</f>
        <v>31a16d29</v>
      </c>
      <c r="E951" s="54">
        <f>IFERROR(__xludf.DUMMYFUNCTION("""COMPUTED_VALUE"""),15000.0)</f>
        <v>15000</v>
      </c>
      <c r="F951" s="3" t="str">
        <f>IFERROR(__xludf.DUMMYFUNCTION("""COMPUTED_VALUE"""),"Bonarda C2")</f>
        <v>Bonarda C2</v>
      </c>
      <c r="G951" s="3"/>
      <c r="H951" s="56">
        <f>IFERROR(__xludf.DUMMYFUNCTION("""COMPUTED_VALUE"""),220.0)</f>
        <v>220</v>
      </c>
      <c r="I951" s="3"/>
      <c r="J951" s="3"/>
      <c r="K951" s="57">
        <f>IFERROR(__xludf.DUMMYFUNCTION("""COMPUTED_VALUE"""),3.68)</f>
        <v>3.68</v>
      </c>
      <c r="L951" s="54">
        <f>IFERROR(__xludf.DUMMYFUNCTION("""COMPUTED_VALUE"""),22.0)</f>
        <v>22</v>
      </c>
      <c r="M951" s="3">
        <f>IFERROR(__xludf.DUMMYFUNCTION("""COMPUTED_VALUE"""),55.0)</f>
        <v>55</v>
      </c>
      <c r="N951" s="3"/>
      <c r="O951" s="3"/>
      <c r="P951" s="3"/>
      <c r="Q951" s="3"/>
      <c r="R951" s="3"/>
      <c r="S951" s="3"/>
      <c r="T951" s="5"/>
      <c r="U951" s="5"/>
      <c r="V951" s="5"/>
      <c r="W951" s="5"/>
    </row>
    <row r="952" ht="15.75" customHeight="1">
      <c r="A952" s="3">
        <f>IFERROR(__xludf.DUMMYFUNCTION("""COMPUTED_VALUE"""),952.0)</f>
        <v>952</v>
      </c>
      <c r="B952" s="53">
        <f>IFERROR(__xludf.DUMMYFUNCTION("""COMPUTED_VALUE"""),45730.0)</f>
        <v>45730</v>
      </c>
      <c r="C952" s="3">
        <f>IFERROR(__xludf.DUMMYFUNCTION("""COMPUTED_VALUE"""),79.0)</f>
        <v>79</v>
      </c>
      <c r="D952" s="3" t="str">
        <f>IFERROR(__xludf.DUMMYFUNCTION("""COMPUTED_VALUE"""),"91a1bef0")</f>
        <v>91a1bef0</v>
      </c>
      <c r="E952" s="54">
        <f>IFERROR(__xludf.DUMMYFUNCTION("""COMPUTED_VALUE"""),14500.0)</f>
        <v>14500</v>
      </c>
      <c r="F952" s="3" t="str">
        <f>IFERROR(__xludf.DUMMYFUNCTION("""COMPUTED_VALUE"""),"Torrontes")</f>
        <v>Torrontes</v>
      </c>
      <c r="G952" s="3"/>
      <c r="H952" s="56">
        <f>IFERROR(__xludf.DUMMYFUNCTION("""COMPUTED_VALUE"""),218.0)</f>
        <v>218</v>
      </c>
      <c r="I952" s="3"/>
      <c r="J952" s="3"/>
      <c r="K952" s="57">
        <f>IFERROR(__xludf.DUMMYFUNCTION("""COMPUTED_VALUE"""),3.61)</f>
        <v>3.61</v>
      </c>
      <c r="L952" s="54">
        <f>IFERROR(__xludf.DUMMYFUNCTION("""COMPUTED_VALUE"""),10.0)</f>
        <v>10</v>
      </c>
      <c r="M952" s="3">
        <f>IFERROR(__xludf.DUMMYFUNCTION("""COMPUTED_VALUE"""),62.0)</f>
        <v>62</v>
      </c>
      <c r="N952" s="3"/>
      <c r="O952" s="3"/>
      <c r="P952" s="3"/>
      <c r="Q952" s="3"/>
      <c r="R952" s="3"/>
      <c r="S952" s="3"/>
      <c r="T952" s="5"/>
      <c r="U952" s="5"/>
      <c r="V952" s="5"/>
      <c r="W952" s="5"/>
    </row>
    <row r="953" ht="15.75" customHeight="1">
      <c r="A953" s="3">
        <f>IFERROR(__xludf.DUMMYFUNCTION("""COMPUTED_VALUE"""),953.0)</f>
        <v>953</v>
      </c>
      <c r="B953" s="53">
        <f>IFERROR(__xludf.DUMMYFUNCTION("""COMPUTED_VALUE"""),45730.0)</f>
        <v>45730</v>
      </c>
      <c r="C953" s="3">
        <f>IFERROR(__xludf.DUMMYFUNCTION("""COMPUTED_VALUE"""),88.0)</f>
        <v>88</v>
      </c>
      <c r="D953" s="3" t="str">
        <f>IFERROR(__xludf.DUMMYFUNCTION("""COMPUTED_VALUE"""),"4bf00cf0")</f>
        <v>4bf00cf0</v>
      </c>
      <c r="E953" s="54">
        <f>IFERROR(__xludf.DUMMYFUNCTION("""COMPUTED_VALUE"""),49500.0)</f>
        <v>49500</v>
      </c>
      <c r="F953" s="3" t="str">
        <f>IFERROR(__xludf.DUMMYFUNCTION("""COMPUTED_VALUE"""),"Syrah Ferm")</f>
        <v>Syrah Ferm</v>
      </c>
      <c r="G953" s="55">
        <f>IFERROR(__xludf.DUMMYFUNCTION("""COMPUTED_VALUE"""),14.2)</f>
        <v>14.2</v>
      </c>
      <c r="H953" s="56">
        <f>IFERROR(__xludf.DUMMYFUNCTION("""COMPUTED_VALUE"""),4.0)</f>
        <v>4</v>
      </c>
      <c r="I953" s="57">
        <f>IFERROR(__xludf.DUMMYFUNCTION("""COMPUTED_VALUE"""),0.54)</f>
        <v>0.54</v>
      </c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5"/>
      <c r="U953" s="5"/>
      <c r="V953" s="5"/>
      <c r="W953" s="5"/>
    </row>
    <row r="954" ht="15.75" customHeight="1">
      <c r="A954" s="3">
        <f>IFERROR(__xludf.DUMMYFUNCTION("""COMPUTED_VALUE"""),954.0)</f>
        <v>954</v>
      </c>
      <c r="B954" s="53">
        <f>IFERROR(__xludf.DUMMYFUNCTION("""COMPUTED_VALUE"""),45730.0)</f>
        <v>45730</v>
      </c>
      <c r="C954" s="3">
        <f>IFERROR(__xludf.DUMMYFUNCTION("""COMPUTED_VALUE"""),68.0)</f>
        <v>68</v>
      </c>
      <c r="D954" s="3" t="str">
        <f>IFERROR(__xludf.DUMMYFUNCTION("""COMPUTED_VALUE"""),"af88e380")</f>
        <v>af88e380</v>
      </c>
      <c r="E954" s="54">
        <f>IFERROR(__xludf.DUMMYFUNCTION("""COMPUTED_VALUE"""),8000.0)</f>
        <v>8000</v>
      </c>
      <c r="F954" s="3" t="str">
        <f>IFERROR(__xludf.DUMMYFUNCTION("""COMPUTED_VALUE"""),"Syrah")</f>
        <v>Syrah</v>
      </c>
      <c r="G954" s="55">
        <f>IFERROR(__xludf.DUMMYFUNCTION("""COMPUTED_VALUE"""),14.2)</f>
        <v>14.2</v>
      </c>
      <c r="H954" s="56">
        <f>IFERROR(__xludf.DUMMYFUNCTION("""COMPUTED_VALUE"""),4.0)</f>
        <v>4</v>
      </c>
      <c r="I954" s="57">
        <f>IFERROR(__xludf.DUMMYFUNCTION("""COMPUTED_VALUE"""),0.54)</f>
        <v>0.54</v>
      </c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5"/>
      <c r="U954" s="5"/>
      <c r="V954" s="5"/>
      <c r="W954" s="5"/>
    </row>
    <row r="955" ht="15.75" customHeight="1">
      <c r="A955" s="3">
        <f>IFERROR(__xludf.DUMMYFUNCTION("""COMPUTED_VALUE"""),955.0)</f>
        <v>955</v>
      </c>
      <c r="B955" s="53">
        <f>IFERROR(__xludf.DUMMYFUNCTION("""COMPUTED_VALUE"""),45730.0)</f>
        <v>45730</v>
      </c>
      <c r="C955" s="3">
        <f>IFERROR(__xludf.DUMMYFUNCTION("""COMPUTED_VALUE"""),66.0)</f>
        <v>66</v>
      </c>
      <c r="D955" s="3" t="str">
        <f>IFERROR(__xludf.DUMMYFUNCTION("""COMPUTED_VALUE"""),"87ba9e1b")</f>
        <v>87ba9e1b</v>
      </c>
      <c r="E955" s="54">
        <f>IFERROR(__xludf.DUMMYFUNCTION("""COMPUTED_VALUE"""),19000.0)</f>
        <v>19000</v>
      </c>
      <c r="F955" s="3" t="str">
        <f>IFERROR(__xludf.DUMMYFUNCTION("""COMPUTED_VALUE"""),"Anccelotta")</f>
        <v>Anccelotta</v>
      </c>
      <c r="G955" s="55">
        <f>IFERROR(__xludf.DUMMYFUNCTION("""COMPUTED_VALUE"""),13.5)</f>
        <v>13.5</v>
      </c>
      <c r="H955" s="56">
        <f>IFERROR(__xludf.DUMMYFUNCTION("""COMPUTED_VALUE"""),18.0)</f>
        <v>18</v>
      </c>
      <c r="I955" s="57">
        <f>IFERROR(__xludf.DUMMYFUNCTION("""COMPUTED_VALUE"""),0.65)</f>
        <v>0.65</v>
      </c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5"/>
      <c r="U955" s="5"/>
      <c r="V955" s="5"/>
      <c r="W955" s="5"/>
    </row>
    <row r="956" ht="15.75" customHeight="1">
      <c r="A956" s="3">
        <f>IFERROR(__xludf.DUMMYFUNCTION("""COMPUTED_VALUE"""),956.0)</f>
        <v>956</v>
      </c>
      <c r="B956" s="53">
        <f>IFERROR(__xludf.DUMMYFUNCTION("""COMPUTED_VALUE"""),45730.0)</f>
        <v>45730</v>
      </c>
      <c r="C956" s="3">
        <f>IFERROR(__xludf.DUMMYFUNCTION("""COMPUTED_VALUE"""),82.0)</f>
        <v>82</v>
      </c>
      <c r="D956" s="3" t="str">
        <f>IFERROR(__xludf.DUMMYFUNCTION("""COMPUTED_VALUE"""),"e2c3632b")</f>
        <v>e2c3632b</v>
      </c>
      <c r="E956" s="54">
        <f>IFERROR(__xludf.DUMMYFUNCTION("""COMPUTED_VALUE"""),19000.0)</f>
        <v>19000</v>
      </c>
      <c r="F956" s="3" t="str">
        <f>IFERROR(__xludf.DUMMYFUNCTION("""COMPUTED_VALUE"""),"Anccelotta")</f>
        <v>Anccelotta</v>
      </c>
      <c r="G956" s="55">
        <f>IFERROR(__xludf.DUMMYFUNCTION("""COMPUTED_VALUE"""),13.4)</f>
        <v>13.4</v>
      </c>
      <c r="H956" s="56">
        <f>IFERROR(__xludf.DUMMYFUNCTION("""COMPUTED_VALUE"""),22.0)</f>
        <v>22</v>
      </c>
      <c r="I956" s="57">
        <f>IFERROR(__xludf.DUMMYFUNCTION("""COMPUTED_VALUE"""),0.4)</f>
        <v>0.4</v>
      </c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5"/>
      <c r="U956" s="5"/>
      <c r="V956" s="5"/>
      <c r="W956" s="5"/>
    </row>
    <row r="957" ht="15.75" customHeight="1">
      <c r="A957" s="3">
        <f>IFERROR(__xludf.DUMMYFUNCTION("""COMPUTED_VALUE"""),957.0)</f>
        <v>957</v>
      </c>
      <c r="B957" s="53">
        <f>IFERROR(__xludf.DUMMYFUNCTION("""COMPUTED_VALUE"""),45734.0)</f>
        <v>45734</v>
      </c>
      <c r="C957" s="3">
        <f>IFERROR(__xludf.DUMMYFUNCTION("""COMPUTED_VALUE"""),69.0)</f>
        <v>69</v>
      </c>
      <c r="D957" s="3" t="str">
        <f>IFERROR(__xludf.DUMMYFUNCTION("""COMPUTED_VALUE"""),"9c317849")</f>
        <v>9c317849</v>
      </c>
      <c r="E957" s="54">
        <f>IFERROR(__xludf.DUMMYFUNCTION("""COMPUTED_VALUE"""),8000.0)</f>
        <v>8000</v>
      </c>
      <c r="F957" s="3" t="str">
        <f>IFERROR(__xludf.DUMMYFUNCTION("""COMPUTED_VALUE"""),"Malbec")</f>
        <v>Malbec</v>
      </c>
      <c r="G957" s="3"/>
      <c r="H957" s="56">
        <f>IFERROR(__xludf.DUMMYFUNCTION("""COMPUTED_VALUE"""),2.0)</f>
        <v>2</v>
      </c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5"/>
      <c r="U957" s="5"/>
      <c r="V957" s="5"/>
      <c r="W957" s="5"/>
    </row>
    <row r="958" ht="15.75" customHeight="1">
      <c r="A958" s="3">
        <f>IFERROR(__xludf.DUMMYFUNCTION("""COMPUTED_VALUE"""),958.0)</f>
        <v>958</v>
      </c>
      <c r="B958" s="53">
        <f>IFERROR(__xludf.DUMMYFUNCTION("""COMPUTED_VALUE"""),45734.0)</f>
        <v>45734</v>
      </c>
      <c r="C958" s="3">
        <f>IFERROR(__xludf.DUMMYFUNCTION("""COMPUTED_VALUE"""),84.0)</f>
        <v>84</v>
      </c>
      <c r="D958" s="3" t="str">
        <f>IFERROR(__xludf.DUMMYFUNCTION("""COMPUTED_VALUE"""),"22dd4d8c")</f>
        <v>22dd4d8c</v>
      </c>
      <c r="E958" s="54">
        <f>IFERROR(__xludf.DUMMYFUNCTION("""COMPUTED_VALUE"""),52000.0)</f>
        <v>52000</v>
      </c>
      <c r="F958" s="3" t="str">
        <f>IFERROR(__xludf.DUMMYFUNCTION("""COMPUTED_VALUE"""),"Syrah")</f>
        <v>Syrah</v>
      </c>
      <c r="G958" s="3"/>
      <c r="H958" s="56">
        <f>IFERROR(__xludf.DUMMYFUNCTION("""COMPUTED_VALUE"""),2.0)</f>
        <v>2</v>
      </c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5"/>
      <c r="U958" s="5"/>
      <c r="V958" s="5"/>
      <c r="W958" s="5"/>
    </row>
    <row r="959" ht="15.75" customHeight="1">
      <c r="A959" s="3">
        <f>IFERROR(__xludf.DUMMYFUNCTION("""COMPUTED_VALUE"""),959.0)</f>
        <v>959</v>
      </c>
      <c r="B959" s="53">
        <f>IFERROR(__xludf.DUMMYFUNCTION("""COMPUTED_VALUE"""),45734.0)</f>
        <v>45734</v>
      </c>
      <c r="C959" s="3">
        <f>IFERROR(__xludf.DUMMYFUNCTION("""COMPUTED_VALUE"""),66.0)</f>
        <v>66</v>
      </c>
      <c r="D959" s="3" t="str">
        <f>IFERROR(__xludf.DUMMYFUNCTION("""COMPUTED_VALUE"""),"87ba9e1b")</f>
        <v>87ba9e1b</v>
      </c>
      <c r="E959" s="54">
        <f>IFERROR(__xludf.DUMMYFUNCTION("""COMPUTED_VALUE"""),19000.0)</f>
        <v>19000</v>
      </c>
      <c r="F959" s="3" t="str">
        <f>IFERROR(__xludf.DUMMYFUNCTION("""COMPUTED_VALUE"""),"Anccelotta")</f>
        <v>Anccelotta</v>
      </c>
      <c r="G959" s="3"/>
      <c r="H959" s="56">
        <f>IFERROR(__xludf.DUMMYFUNCTION("""COMPUTED_VALUE"""),2.0)</f>
        <v>2</v>
      </c>
      <c r="I959" s="57">
        <f>IFERROR(__xludf.DUMMYFUNCTION("""COMPUTED_VALUE"""),0.65)</f>
        <v>0.65</v>
      </c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5"/>
      <c r="U959" s="5"/>
      <c r="V959" s="5"/>
      <c r="W959" s="5"/>
    </row>
    <row r="960" ht="15.75" customHeight="1">
      <c r="A960" s="3">
        <f>IFERROR(__xludf.DUMMYFUNCTION("""COMPUTED_VALUE"""),960.0)</f>
        <v>960</v>
      </c>
      <c r="B960" s="53">
        <f>IFERROR(__xludf.DUMMYFUNCTION("""COMPUTED_VALUE"""),45734.0)</f>
        <v>45734</v>
      </c>
      <c r="C960" s="3">
        <f>IFERROR(__xludf.DUMMYFUNCTION("""COMPUTED_VALUE"""),82.0)</f>
        <v>82</v>
      </c>
      <c r="D960" s="3" t="str">
        <f>IFERROR(__xludf.DUMMYFUNCTION("""COMPUTED_VALUE"""),"e2c3632b")</f>
        <v>e2c3632b</v>
      </c>
      <c r="E960" s="54">
        <f>IFERROR(__xludf.DUMMYFUNCTION("""COMPUTED_VALUE"""),19000.0)</f>
        <v>19000</v>
      </c>
      <c r="F960" s="3" t="str">
        <f>IFERROR(__xludf.DUMMYFUNCTION("""COMPUTED_VALUE"""),"Anccelotta")</f>
        <v>Anccelotta</v>
      </c>
      <c r="G960" s="3"/>
      <c r="H960" s="56">
        <f>IFERROR(__xludf.DUMMYFUNCTION("""COMPUTED_VALUE"""),6.5)</f>
        <v>6.5</v>
      </c>
      <c r="I960" s="57">
        <f>IFERROR(__xludf.DUMMYFUNCTION("""COMPUTED_VALUE"""),0.55)</f>
        <v>0.55</v>
      </c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5"/>
      <c r="U960" s="5"/>
      <c r="V960" s="5"/>
      <c r="W960" s="5"/>
    </row>
    <row r="961" ht="15.75" customHeight="1">
      <c r="A961" s="3">
        <f>IFERROR(__xludf.DUMMYFUNCTION("""COMPUTED_VALUE"""),961.0)</f>
        <v>961</v>
      </c>
      <c r="B961" s="53">
        <f>IFERROR(__xludf.DUMMYFUNCTION("""COMPUTED_VALUE"""),45734.0)</f>
        <v>45734</v>
      </c>
      <c r="C961" s="3">
        <f>IFERROR(__xludf.DUMMYFUNCTION("""COMPUTED_VALUE"""),86.0)</f>
        <v>86</v>
      </c>
      <c r="D961" s="3" t="str">
        <f>IFERROR(__xludf.DUMMYFUNCTION("""COMPUTED_VALUE"""),"ea43be80")</f>
        <v>ea43be80</v>
      </c>
      <c r="E961" s="54">
        <f>IFERROR(__xludf.DUMMYFUNCTION("""COMPUTED_VALUE"""),52500.0)</f>
        <v>52500</v>
      </c>
      <c r="F961" s="3" t="str">
        <f>IFERROR(__xludf.DUMMYFUNCTION("""COMPUTED_VALUE"""),"Syrah")</f>
        <v>Syrah</v>
      </c>
      <c r="G961" s="55">
        <f>IFERROR(__xludf.DUMMYFUNCTION("""COMPUTED_VALUE"""),13.8)</f>
        <v>13.8</v>
      </c>
      <c r="H961" s="56">
        <f>IFERROR(__xludf.DUMMYFUNCTION("""COMPUTED_VALUE"""),22.5)</f>
        <v>22.5</v>
      </c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5"/>
      <c r="U961" s="5"/>
      <c r="V961" s="5"/>
      <c r="W961" s="5"/>
    </row>
    <row r="962" ht="15.75" customHeight="1">
      <c r="A962" s="3">
        <f>IFERROR(__xludf.DUMMYFUNCTION("""COMPUTED_VALUE"""),962.0)</f>
        <v>962</v>
      </c>
      <c r="B962" s="53">
        <f>IFERROR(__xludf.DUMMYFUNCTION("""COMPUTED_VALUE"""),45735.0)</f>
        <v>45735</v>
      </c>
      <c r="C962" s="3">
        <f>IFERROR(__xludf.DUMMYFUNCTION("""COMPUTED_VALUE"""),79.0)</f>
        <v>79</v>
      </c>
      <c r="D962" s="3" t="str">
        <f>IFERROR(__xludf.DUMMYFUNCTION("""COMPUTED_VALUE"""),"98f429d0")</f>
        <v>98f429d0</v>
      </c>
      <c r="E962" s="54">
        <f>IFERROR(__xludf.DUMMYFUNCTION("""COMPUTED_VALUE"""),16650.0)</f>
        <v>16650</v>
      </c>
      <c r="F962" s="3" t="str">
        <f>IFERROR(__xludf.DUMMYFUNCTION("""COMPUTED_VALUE"""),"Torrontes")</f>
        <v>Torrontes</v>
      </c>
      <c r="G962" s="3"/>
      <c r="H962" s="3"/>
      <c r="I962" s="3"/>
      <c r="J962" s="57">
        <f>IFERROR(__xludf.DUMMYFUNCTION("""COMPUTED_VALUE"""),6.0)</f>
        <v>6</v>
      </c>
      <c r="K962" s="57">
        <f>IFERROR(__xludf.DUMMYFUNCTION("""COMPUTED_VALUE"""),3.43)</f>
        <v>3.43</v>
      </c>
      <c r="L962" s="3"/>
      <c r="M962" s="3"/>
      <c r="N962" s="3"/>
      <c r="O962" s="3"/>
      <c r="P962" s="3"/>
      <c r="Q962" s="3"/>
      <c r="R962" s="3"/>
      <c r="S962" s="3"/>
      <c r="T962" s="5"/>
      <c r="U962" s="5"/>
      <c r="V962" s="5"/>
      <c r="W962" s="5"/>
    </row>
    <row r="963" ht="15.75" customHeight="1">
      <c r="A963" s="3">
        <f>IFERROR(__xludf.DUMMYFUNCTION("""COMPUTED_VALUE"""),963.0)</f>
        <v>963</v>
      </c>
      <c r="B963" s="53">
        <f>IFERROR(__xludf.DUMMYFUNCTION("""COMPUTED_VALUE"""),45735.0)</f>
        <v>45735</v>
      </c>
      <c r="C963" s="3">
        <f>IFERROR(__xludf.DUMMYFUNCTION("""COMPUTED_VALUE"""),80.0)</f>
        <v>80</v>
      </c>
      <c r="D963" s="3" t="str">
        <f>IFERROR(__xludf.DUMMYFUNCTION("""COMPUTED_VALUE"""),"c210f1aa")</f>
        <v>c210f1aa</v>
      </c>
      <c r="E963" s="54">
        <f>IFERROR(__xludf.DUMMYFUNCTION("""COMPUTED_VALUE"""),21300.0)</f>
        <v>21300</v>
      </c>
      <c r="F963" s="3" t="str">
        <f>IFERROR(__xludf.DUMMYFUNCTION("""COMPUTED_VALUE"""),"Chenin")</f>
        <v>Chenin</v>
      </c>
      <c r="G963" s="3"/>
      <c r="H963" s="56">
        <f>IFERROR(__xludf.DUMMYFUNCTION("""COMPUTED_VALUE"""),2.0)</f>
        <v>2</v>
      </c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5"/>
      <c r="U963" s="5"/>
      <c r="V963" s="5"/>
      <c r="W963" s="5"/>
    </row>
    <row r="964" ht="15.75" customHeight="1">
      <c r="A964" s="3">
        <f>IFERROR(__xludf.DUMMYFUNCTION("""COMPUTED_VALUE"""),964.0)</f>
        <v>964</v>
      </c>
      <c r="B964" s="53">
        <f>IFERROR(__xludf.DUMMYFUNCTION("""COMPUTED_VALUE"""),45735.0)</f>
        <v>45735</v>
      </c>
      <c r="C964" s="3">
        <f>IFERROR(__xludf.DUMMYFUNCTION("""COMPUTED_VALUE"""),114.0)</f>
        <v>114</v>
      </c>
      <c r="D964" s="3" t="str">
        <f>IFERROR(__xludf.DUMMYFUNCTION("""COMPUTED_VALUE"""),"5c199eac")</f>
        <v>5c199eac</v>
      </c>
      <c r="E964" s="54">
        <f>IFERROR(__xludf.DUMMYFUNCTION("""COMPUTED_VALUE"""),101000.0)</f>
        <v>101000</v>
      </c>
      <c r="F964" s="3" t="str">
        <f>IFERROR(__xludf.DUMMYFUNCTION("""COMPUTED_VALUE"""),"Syrah")</f>
        <v>Syrah</v>
      </c>
      <c r="G964" s="55">
        <f>IFERROR(__xludf.DUMMYFUNCTION("""COMPUTED_VALUE"""),13.3)</f>
        <v>13.3</v>
      </c>
      <c r="H964" s="56">
        <f>IFERROR(__xludf.DUMMYFUNCTION("""COMPUTED_VALUE"""),2.0)</f>
        <v>2</v>
      </c>
      <c r="I964" s="57">
        <f>IFERROR(__xludf.DUMMYFUNCTION("""COMPUTED_VALUE"""),0.55)</f>
        <v>0.55</v>
      </c>
      <c r="J964" s="3"/>
      <c r="K964" s="3"/>
      <c r="L964" s="54">
        <f>IFERROR(__xludf.DUMMYFUNCTION("""COMPUTED_VALUE"""),38.0)</f>
        <v>38</v>
      </c>
      <c r="M964" s="3"/>
      <c r="N964" s="3"/>
      <c r="O964" s="3"/>
      <c r="P964" s="3"/>
      <c r="Q964" s="3"/>
      <c r="R964" s="3"/>
      <c r="S964" s="3"/>
      <c r="T964" s="5"/>
      <c r="U964" s="5"/>
      <c r="V964" s="5"/>
      <c r="W964" s="5"/>
    </row>
    <row r="965" ht="15.75" customHeight="1">
      <c r="A965" s="3">
        <f>IFERROR(__xludf.DUMMYFUNCTION("""COMPUTED_VALUE"""),965.0)</f>
        <v>965</v>
      </c>
      <c r="B965" s="53">
        <f>IFERROR(__xludf.DUMMYFUNCTION("""COMPUTED_VALUE"""),45735.0)</f>
        <v>45735</v>
      </c>
      <c r="C965" s="3">
        <f>IFERROR(__xludf.DUMMYFUNCTION("""COMPUTED_VALUE"""),116.0)</f>
        <v>116</v>
      </c>
      <c r="D965" s="3" t="str">
        <f>IFERROR(__xludf.DUMMYFUNCTION("""COMPUTED_VALUE"""),"d3910498")</f>
        <v>d3910498</v>
      </c>
      <c r="E965" s="54">
        <f>IFERROR(__xludf.DUMMYFUNCTION("""COMPUTED_VALUE"""),99600.0)</f>
        <v>99600</v>
      </c>
      <c r="F965" s="3" t="str">
        <f>IFERROR(__xludf.DUMMYFUNCTION("""COMPUTED_VALUE"""),"Syrah")</f>
        <v>Syrah</v>
      </c>
      <c r="G965" s="55">
        <f>IFERROR(__xludf.DUMMYFUNCTION("""COMPUTED_VALUE"""),13.9)</f>
        <v>13.9</v>
      </c>
      <c r="H965" s="56">
        <f>IFERROR(__xludf.DUMMYFUNCTION("""COMPUTED_VALUE"""),4.0)</f>
        <v>4</v>
      </c>
      <c r="I965" s="57">
        <f>IFERROR(__xludf.DUMMYFUNCTION("""COMPUTED_VALUE"""),0.4)</f>
        <v>0.4</v>
      </c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5"/>
      <c r="U965" s="5"/>
      <c r="V965" s="5"/>
      <c r="W965" s="5"/>
    </row>
    <row r="966" ht="15.75" customHeight="1">
      <c r="A966" s="3">
        <f>IFERROR(__xludf.DUMMYFUNCTION("""COMPUTED_VALUE"""),966.0)</f>
        <v>966</v>
      </c>
      <c r="B966" s="53">
        <f>IFERROR(__xludf.DUMMYFUNCTION("""COMPUTED_VALUE"""),45735.0)</f>
        <v>45735</v>
      </c>
      <c r="C966" s="3">
        <f>IFERROR(__xludf.DUMMYFUNCTION("""COMPUTED_VALUE"""),118.0)</f>
        <v>118</v>
      </c>
      <c r="D966" s="3" t="str">
        <f>IFERROR(__xludf.DUMMYFUNCTION("""COMPUTED_VALUE"""),"03ffe0d5")</f>
        <v>03ffe0d5</v>
      </c>
      <c r="E966" s="54">
        <f>IFERROR(__xludf.DUMMYFUNCTION("""COMPUTED_VALUE"""),155600.0)</f>
        <v>155600</v>
      </c>
      <c r="F966" s="3" t="str">
        <f>IFERROR(__xludf.DUMMYFUNCTION("""COMPUTED_VALUE"""),"Syrah")</f>
        <v>Syrah</v>
      </c>
      <c r="G966" s="55">
        <f>IFERROR(__xludf.DUMMYFUNCTION("""COMPUTED_VALUE"""),13.5)</f>
        <v>13.5</v>
      </c>
      <c r="H966" s="56">
        <f>IFERROR(__xludf.DUMMYFUNCTION("""COMPUTED_VALUE"""),2.0)</f>
        <v>2</v>
      </c>
      <c r="I966" s="57">
        <f>IFERROR(__xludf.DUMMYFUNCTION("""COMPUTED_VALUE"""),0.5)</f>
        <v>0.5</v>
      </c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5"/>
      <c r="U966" s="5"/>
      <c r="V966" s="5"/>
      <c r="W966" s="5"/>
    </row>
    <row r="967" ht="15.75" customHeight="1">
      <c r="A967" s="3">
        <f>IFERROR(__xludf.DUMMYFUNCTION("""COMPUTED_VALUE"""),967.0)</f>
        <v>967</v>
      </c>
      <c r="B967" s="53">
        <f>IFERROR(__xludf.DUMMYFUNCTION("""COMPUTED_VALUE"""),45735.0)</f>
        <v>45735</v>
      </c>
      <c r="C967" s="3">
        <f>IFERROR(__xludf.DUMMYFUNCTION("""COMPUTED_VALUE"""),15.0)</f>
        <v>15</v>
      </c>
      <c r="D967" s="3" t="str">
        <f>IFERROR(__xludf.DUMMYFUNCTION("""COMPUTED_VALUE"""),"bf5594db")</f>
        <v>bf5594db</v>
      </c>
      <c r="E967" s="54">
        <f>IFERROR(__xludf.DUMMYFUNCTION("""COMPUTED_VALUE"""),36500.0)</f>
        <v>36500</v>
      </c>
      <c r="F967" s="3" t="str">
        <f>IFERROR(__xludf.DUMMYFUNCTION("""COMPUTED_VALUE"""),"Syrah Tempranillo s/Asp 2da")</f>
        <v>Syrah Tempranillo s/Asp 2da</v>
      </c>
      <c r="G967" s="3"/>
      <c r="H967" s="3"/>
      <c r="I967" s="3"/>
      <c r="J967" s="3"/>
      <c r="K967" s="3"/>
      <c r="L967" s="54">
        <f>IFERROR(__xludf.DUMMYFUNCTION("""COMPUTED_VALUE"""),32.0)</f>
        <v>32</v>
      </c>
      <c r="M967" s="3">
        <f>IFERROR(__xludf.DUMMYFUNCTION("""COMPUTED_VALUE"""),90.0)</f>
        <v>90</v>
      </c>
      <c r="N967" s="3"/>
      <c r="O967" s="3"/>
      <c r="P967" s="3"/>
      <c r="Q967" s="3"/>
      <c r="R967" s="3"/>
      <c r="S967" s="3"/>
      <c r="T967" s="5"/>
      <c r="U967" s="5"/>
      <c r="V967" s="5"/>
      <c r="W967" s="5"/>
    </row>
    <row r="968" ht="15.75" customHeight="1">
      <c r="A968" s="3">
        <f>IFERROR(__xludf.DUMMYFUNCTION("""COMPUTED_VALUE"""),968.0)</f>
        <v>968</v>
      </c>
      <c r="B968" s="53">
        <f>IFERROR(__xludf.DUMMYFUNCTION("""COMPUTED_VALUE"""),45735.0)</f>
        <v>45735</v>
      </c>
      <c r="C968" s="3">
        <f>IFERROR(__xludf.DUMMYFUNCTION("""COMPUTED_VALUE"""),35.0)</f>
        <v>35</v>
      </c>
      <c r="D968" s="3" t="str">
        <f>IFERROR(__xludf.DUMMYFUNCTION("""COMPUTED_VALUE"""),"e954d719")</f>
        <v>e954d719</v>
      </c>
      <c r="E968" s="54">
        <f>IFERROR(__xludf.DUMMYFUNCTION("""COMPUTED_VALUE"""),39300.0)</f>
        <v>39300</v>
      </c>
      <c r="F968" s="3" t="str">
        <f>IFERROR(__xludf.DUMMYFUNCTION("""COMPUTED_VALUE"""),"Aspirant")</f>
        <v>Aspirant</v>
      </c>
      <c r="G968" s="3"/>
      <c r="H968" s="3"/>
      <c r="I968" s="3"/>
      <c r="J968" s="3"/>
      <c r="K968" s="3"/>
      <c r="L968" s="54">
        <f>IFERROR(__xludf.DUMMYFUNCTION("""COMPUTED_VALUE"""),47.0)</f>
        <v>47</v>
      </c>
      <c r="M968" s="3">
        <f>IFERROR(__xludf.DUMMYFUNCTION("""COMPUTED_VALUE"""),96.0)</f>
        <v>96</v>
      </c>
      <c r="N968" s="3"/>
      <c r="O968" s="3"/>
      <c r="P968" s="3"/>
      <c r="Q968" s="3"/>
      <c r="R968" s="3"/>
      <c r="S968" s="3"/>
      <c r="T968" s="5"/>
      <c r="U968" s="5"/>
      <c r="V968" s="5"/>
      <c r="W968" s="5"/>
    </row>
    <row r="969" ht="15.75" customHeight="1">
      <c r="A969" s="3">
        <f>IFERROR(__xludf.DUMMYFUNCTION("""COMPUTED_VALUE"""),969.0)</f>
        <v>969</v>
      </c>
      <c r="B969" s="53">
        <f>IFERROR(__xludf.DUMMYFUNCTION("""COMPUTED_VALUE"""),45735.0)</f>
        <v>45735</v>
      </c>
      <c r="C969" s="3">
        <f>IFERROR(__xludf.DUMMYFUNCTION("""COMPUTED_VALUE"""),42.0)</f>
        <v>42</v>
      </c>
      <c r="D969" s="3" t="str">
        <f>IFERROR(__xludf.DUMMYFUNCTION("""COMPUTED_VALUE"""),"0d46ca84")</f>
        <v>0d46ca84</v>
      </c>
      <c r="E969" s="54">
        <f>IFERROR(__xludf.DUMMYFUNCTION("""COMPUTED_VALUE"""),35900.0)</f>
        <v>35900</v>
      </c>
      <c r="F969" s="3" t="str">
        <f>IFERROR(__xludf.DUMMYFUNCTION("""COMPUTED_VALUE"""),"Aspirant Anccelota Gota")</f>
        <v>Aspirant Anccelota Gota</v>
      </c>
      <c r="G969" s="3"/>
      <c r="H969" s="3"/>
      <c r="I969" s="3"/>
      <c r="J969" s="3"/>
      <c r="K969" s="3"/>
      <c r="L969" s="54">
        <f>IFERROR(__xludf.DUMMYFUNCTION("""COMPUTED_VALUE"""),35.0)</f>
        <v>35</v>
      </c>
      <c r="M969" s="3">
        <f>IFERROR(__xludf.DUMMYFUNCTION("""COMPUTED_VALUE"""),77.0)</f>
        <v>77</v>
      </c>
      <c r="N969" s="3"/>
      <c r="O969" s="3"/>
      <c r="P969" s="3"/>
      <c r="Q969" s="3"/>
      <c r="R969" s="3"/>
      <c r="S969" s="3"/>
      <c r="T969" s="5"/>
      <c r="U969" s="5"/>
      <c r="V969" s="5"/>
      <c r="W969" s="5"/>
    </row>
    <row r="970" ht="15.75" customHeight="1">
      <c r="A970" s="3">
        <f>IFERROR(__xludf.DUMMYFUNCTION("""COMPUTED_VALUE"""),970.0)</f>
        <v>970</v>
      </c>
      <c r="B970" s="53">
        <f>IFERROR(__xludf.DUMMYFUNCTION("""COMPUTED_VALUE"""),45735.0)</f>
        <v>45735</v>
      </c>
      <c r="C970" s="3">
        <f>IFERROR(__xludf.DUMMYFUNCTION("""COMPUTED_VALUE"""),52.0)</f>
        <v>52</v>
      </c>
      <c r="D970" s="3" t="str">
        <f>IFERROR(__xludf.DUMMYFUNCTION("""COMPUTED_VALUE"""),"b01eee66")</f>
        <v>b01eee66</v>
      </c>
      <c r="E970" s="54">
        <f>IFERROR(__xludf.DUMMYFUNCTION("""COMPUTED_VALUE"""),27000.0)</f>
        <v>27000</v>
      </c>
      <c r="F970" s="3" t="str">
        <f>IFERROR(__xludf.DUMMYFUNCTION("""COMPUTED_VALUE"""),"Syrah")</f>
        <v>Syrah</v>
      </c>
      <c r="G970" s="3"/>
      <c r="H970" s="3"/>
      <c r="I970" s="3"/>
      <c r="J970" s="3"/>
      <c r="K970" s="3"/>
      <c r="L970" s="54">
        <f>IFERROR(__xludf.DUMMYFUNCTION("""COMPUTED_VALUE"""),28.0)</f>
        <v>28</v>
      </c>
      <c r="M970" s="3">
        <f>IFERROR(__xludf.DUMMYFUNCTION("""COMPUTED_VALUE"""),83.0)</f>
        <v>83</v>
      </c>
      <c r="N970" s="3"/>
      <c r="O970" s="3"/>
      <c r="P970" s="3"/>
      <c r="Q970" s="3"/>
      <c r="R970" s="3"/>
      <c r="S970" s="3"/>
      <c r="T970" s="5"/>
      <c r="U970" s="5"/>
      <c r="V970" s="5"/>
      <c r="W970" s="5"/>
    </row>
    <row r="971" ht="15.75" customHeight="1">
      <c r="A971" s="3">
        <f>IFERROR(__xludf.DUMMYFUNCTION("""COMPUTED_VALUE"""),971.0)</f>
        <v>971</v>
      </c>
      <c r="B971" s="53">
        <f>IFERROR(__xludf.DUMMYFUNCTION("""COMPUTED_VALUE"""),45735.0)</f>
        <v>45735</v>
      </c>
      <c r="C971" s="3">
        <f>IFERROR(__xludf.DUMMYFUNCTION("""COMPUTED_VALUE"""),53.0)</f>
        <v>53</v>
      </c>
      <c r="D971" s="3" t="str">
        <f>IFERROR(__xludf.DUMMYFUNCTION("""COMPUTED_VALUE"""),"5433281e")</f>
        <v>5433281e</v>
      </c>
      <c r="E971" s="54">
        <f>IFERROR(__xludf.DUMMYFUNCTION("""COMPUTED_VALUE"""),22000.0)</f>
        <v>22000</v>
      </c>
      <c r="F971" s="3" t="str">
        <f>IFERROR(__xludf.DUMMYFUNCTION("""COMPUTED_VALUE"""),"Syrah")</f>
        <v>Syrah</v>
      </c>
      <c r="G971" s="3"/>
      <c r="H971" s="3"/>
      <c r="I971" s="3"/>
      <c r="J971" s="3"/>
      <c r="K971" s="3"/>
      <c r="L971" s="54">
        <f>IFERROR(__xludf.DUMMYFUNCTION("""COMPUTED_VALUE"""),30.0)</f>
        <v>30</v>
      </c>
      <c r="M971" s="3">
        <f>IFERROR(__xludf.DUMMYFUNCTION("""COMPUTED_VALUE"""),83.0)</f>
        <v>83</v>
      </c>
      <c r="N971" s="3"/>
      <c r="O971" s="3"/>
      <c r="P971" s="3"/>
      <c r="Q971" s="3"/>
      <c r="R971" s="3"/>
      <c r="S971" s="3"/>
      <c r="T971" s="5"/>
      <c r="U971" s="5"/>
      <c r="V971" s="5"/>
      <c r="W971" s="5"/>
    </row>
    <row r="972" ht="15.75" customHeight="1">
      <c r="A972" s="3">
        <f>IFERROR(__xludf.DUMMYFUNCTION("""COMPUTED_VALUE"""),972.0)</f>
        <v>972</v>
      </c>
      <c r="B972" s="53">
        <f>IFERROR(__xludf.DUMMYFUNCTION("""COMPUTED_VALUE"""),45735.0)</f>
        <v>45735</v>
      </c>
      <c r="C972" s="3">
        <f>IFERROR(__xludf.DUMMYFUNCTION("""COMPUTED_VALUE"""),121.0)</f>
        <v>121</v>
      </c>
      <c r="D972" s="3" t="str">
        <f>IFERROR(__xludf.DUMMYFUNCTION("""COMPUTED_VALUE"""),"f90482a4")</f>
        <v>f90482a4</v>
      </c>
      <c r="E972" s="54">
        <f>IFERROR(__xludf.DUMMYFUNCTION("""COMPUTED_VALUE"""),85800.0)</f>
        <v>85800</v>
      </c>
      <c r="F972" s="3" t="str">
        <f>IFERROR(__xludf.DUMMYFUNCTION("""COMPUTED_VALUE"""),"Syrah s/Asp 3ra")</f>
        <v>Syrah s/Asp 3ra</v>
      </c>
      <c r="G972" s="3"/>
      <c r="H972" s="3"/>
      <c r="I972" s="3"/>
      <c r="J972" s="3"/>
      <c r="K972" s="3"/>
      <c r="L972" s="54">
        <f>IFERROR(__xludf.DUMMYFUNCTION("""COMPUTED_VALUE"""),50.0)</f>
        <v>50</v>
      </c>
      <c r="M972" s="3">
        <f>IFERROR(__xludf.DUMMYFUNCTION("""COMPUTED_VALUE"""),121.0)</f>
        <v>121</v>
      </c>
      <c r="N972" s="3"/>
      <c r="O972" s="3"/>
      <c r="P972" s="3"/>
      <c r="Q972" s="3"/>
      <c r="R972" s="3"/>
      <c r="S972" s="3"/>
      <c r="T972" s="5"/>
      <c r="U972" s="5"/>
      <c r="V972" s="5"/>
      <c r="W972" s="5"/>
    </row>
    <row r="973" ht="15.75" customHeight="1">
      <c r="A973" s="3">
        <f>IFERROR(__xludf.DUMMYFUNCTION("""COMPUTED_VALUE"""),973.0)</f>
        <v>973</v>
      </c>
      <c r="B973" s="53">
        <f>IFERROR(__xludf.DUMMYFUNCTION("""COMPUTED_VALUE"""),45735.0)</f>
        <v>45735</v>
      </c>
      <c r="C973" s="3">
        <f>IFERROR(__xludf.DUMMYFUNCTION("""COMPUTED_VALUE"""),95.0)</f>
        <v>95</v>
      </c>
      <c r="D973" s="3" t="str">
        <f>IFERROR(__xludf.DUMMYFUNCTION("""COMPUTED_VALUE"""),"7b5d098a")</f>
        <v>7b5d098a</v>
      </c>
      <c r="E973" s="3"/>
      <c r="F973" s="3" t="str">
        <f>IFERROR(__xludf.DUMMYFUNCTION("""COMPUTED_VALUE"""),"Tinto La Vendimia")</f>
        <v>Tinto La Vendimia</v>
      </c>
      <c r="G973" s="3"/>
      <c r="H973" s="3"/>
      <c r="I973" s="3"/>
      <c r="J973" s="3"/>
      <c r="K973" s="3"/>
      <c r="L973" s="3"/>
      <c r="M973" s="3"/>
      <c r="N973" s="3"/>
      <c r="O973" s="3">
        <f>IFERROR(__xludf.DUMMYFUNCTION("""COMPUTED_VALUE"""),381.0)</f>
        <v>381</v>
      </c>
      <c r="P973" s="3">
        <f>IFERROR(__xludf.DUMMYFUNCTION("""COMPUTED_VALUE"""),507.0)</f>
        <v>507</v>
      </c>
      <c r="Q973" s="3"/>
      <c r="R973" s="3">
        <f>IFERROR(__xludf.DUMMYFUNCTION("""COMPUTED_VALUE"""),888.0)</f>
        <v>888</v>
      </c>
      <c r="S973" s="54">
        <f>IFERROR(__xludf.DUMMYFUNCTION("""COMPUTED_VALUE"""),1181.6692913385828)</f>
        <v>1181.669291</v>
      </c>
      <c r="T973" s="5"/>
      <c r="U973" s="5"/>
      <c r="V973" s="5"/>
      <c r="W973" s="5"/>
    </row>
    <row r="974" ht="15.75" customHeight="1">
      <c r="A974" s="3">
        <f>IFERROR(__xludf.DUMMYFUNCTION("""COMPUTED_VALUE"""),974.0)</f>
        <v>974</v>
      </c>
      <c r="B974" s="53">
        <f>IFERROR(__xludf.DUMMYFUNCTION("""COMPUTED_VALUE"""),45735.0)</f>
        <v>45735</v>
      </c>
      <c r="C974" s="3">
        <f>IFERROR(__xludf.DUMMYFUNCTION("""COMPUTED_VALUE"""),102.0)</f>
        <v>102</v>
      </c>
      <c r="D974" s="3" t="str">
        <f>IFERROR(__xludf.DUMMYFUNCTION("""COMPUTED_VALUE"""),"4197a6b3")</f>
        <v>4197a6b3</v>
      </c>
      <c r="E974" s="3"/>
      <c r="F974" s="3" t="str">
        <f>IFERROR(__xludf.DUMMYFUNCTION("""COMPUTED_VALUE"""),"Tinto La Vendimia")</f>
        <v>Tinto La Vendimia</v>
      </c>
      <c r="G974" s="3"/>
      <c r="H974" s="3"/>
      <c r="I974" s="3"/>
      <c r="J974" s="3"/>
      <c r="K974" s="3"/>
      <c r="L974" s="3"/>
      <c r="M974" s="3"/>
      <c r="N974" s="3"/>
      <c r="O974" s="3">
        <f>IFERROR(__xludf.DUMMYFUNCTION("""COMPUTED_VALUE"""),432.0)</f>
        <v>432</v>
      </c>
      <c r="P974" s="3">
        <f>IFERROR(__xludf.DUMMYFUNCTION("""COMPUTED_VALUE"""),581.0)</f>
        <v>581</v>
      </c>
      <c r="Q974" s="3"/>
      <c r="R974" s="3">
        <f>IFERROR(__xludf.DUMMYFUNCTION("""COMPUTED_VALUE"""),1013.0)</f>
        <v>1013</v>
      </c>
      <c r="S974" s="54">
        <f>IFERROR(__xludf.DUMMYFUNCTION("""COMPUTED_VALUE"""),1362.3912037037037)</f>
        <v>1362.391204</v>
      </c>
      <c r="T974" s="5"/>
      <c r="U974" s="5"/>
      <c r="V974" s="5"/>
      <c r="W974" s="5"/>
    </row>
    <row r="975" ht="15.75" customHeight="1">
      <c r="A975" s="3">
        <f>IFERROR(__xludf.DUMMYFUNCTION("""COMPUTED_VALUE"""),975.0)</f>
        <v>975</v>
      </c>
      <c r="B975" s="53">
        <f>IFERROR(__xludf.DUMMYFUNCTION("""COMPUTED_VALUE"""),45736.0)</f>
        <v>45736</v>
      </c>
      <c r="C975" s="3">
        <f>IFERROR(__xludf.DUMMYFUNCTION("""COMPUTED_VALUE"""),96.0)</f>
        <v>96</v>
      </c>
      <c r="D975" s="3" t="str">
        <f>IFERROR(__xludf.DUMMYFUNCTION("""COMPUTED_VALUE"""),"b7799ff9")</f>
        <v>b7799ff9</v>
      </c>
      <c r="E975" s="54">
        <f>IFERROR(__xludf.DUMMYFUNCTION("""COMPUTED_VALUE"""),53100.0)</f>
        <v>53100</v>
      </c>
      <c r="F975" s="3" t="str">
        <f>IFERROR(__xludf.DUMMYFUNCTION("""COMPUTED_VALUE"""),"Tempranillo")</f>
        <v>Tempranillo</v>
      </c>
      <c r="G975" s="3"/>
      <c r="H975" s="56">
        <f>IFERROR(__xludf.DUMMYFUNCTION("""COMPUTED_VALUE"""),2.0)</f>
        <v>2</v>
      </c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5"/>
      <c r="U975" s="5"/>
      <c r="V975" s="5"/>
      <c r="W975" s="5"/>
    </row>
    <row r="976" ht="15.75" customHeight="1">
      <c r="A976" s="3">
        <f>IFERROR(__xludf.DUMMYFUNCTION("""COMPUTED_VALUE"""),976.0)</f>
        <v>976</v>
      </c>
      <c r="B976" s="53">
        <f>IFERROR(__xludf.DUMMYFUNCTION("""COMPUTED_VALUE"""),45736.0)</f>
        <v>45736</v>
      </c>
      <c r="C976" s="3">
        <f>IFERROR(__xludf.DUMMYFUNCTION("""COMPUTED_VALUE"""),76.0)</f>
        <v>76</v>
      </c>
      <c r="D976" s="3" t="str">
        <f>IFERROR(__xludf.DUMMYFUNCTION("""COMPUTED_VALUE"""),"3a308f07")</f>
        <v>3a308f07</v>
      </c>
      <c r="E976" s="54">
        <f>IFERROR(__xludf.DUMMYFUNCTION("""COMPUTED_VALUE"""),16600.0)</f>
        <v>16600</v>
      </c>
      <c r="F976" s="3" t="str">
        <f>IFERROR(__xludf.DUMMYFUNCTION("""COMPUTED_VALUE"""),"Bonarda C2")</f>
        <v>Bonarda C2</v>
      </c>
      <c r="G976" s="3"/>
      <c r="H976" s="56">
        <f>IFERROR(__xludf.DUMMYFUNCTION("""COMPUTED_VALUE"""),3.2)</f>
        <v>3.2</v>
      </c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5"/>
      <c r="U976" s="5"/>
      <c r="V976" s="5"/>
      <c r="W976" s="5"/>
    </row>
    <row r="977" ht="15.75" customHeight="1">
      <c r="A977" s="3">
        <f>IFERROR(__xludf.DUMMYFUNCTION("""COMPUTED_VALUE"""),977.0)</f>
        <v>977</v>
      </c>
      <c r="B977" s="53">
        <f>IFERROR(__xludf.DUMMYFUNCTION("""COMPUTED_VALUE"""),45736.0)</f>
        <v>45736</v>
      </c>
      <c r="C977" s="3">
        <f>IFERROR(__xludf.DUMMYFUNCTION("""COMPUTED_VALUE"""),70.0)</f>
        <v>70</v>
      </c>
      <c r="D977" s="3" t="str">
        <f>IFERROR(__xludf.DUMMYFUNCTION("""COMPUTED_VALUE"""),"87540dbb")</f>
        <v>87540dbb</v>
      </c>
      <c r="E977" s="54">
        <f>IFERROR(__xludf.DUMMYFUNCTION("""COMPUTED_VALUE"""),8000.0)</f>
        <v>8000</v>
      </c>
      <c r="F977" s="3" t="str">
        <f>IFERROR(__xludf.DUMMYFUNCTION("""COMPUTED_VALUE"""),"Tanat")</f>
        <v>Tanat</v>
      </c>
      <c r="G977" s="3"/>
      <c r="H977" s="56">
        <f>IFERROR(__xludf.DUMMYFUNCTION("""COMPUTED_VALUE"""),4.5)</f>
        <v>4.5</v>
      </c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5"/>
      <c r="U977" s="5"/>
      <c r="V977" s="5"/>
      <c r="W977" s="5"/>
    </row>
    <row r="978" ht="15.75" customHeight="1">
      <c r="A978" s="3">
        <f>IFERROR(__xludf.DUMMYFUNCTION("""COMPUTED_VALUE"""),978.0)</f>
        <v>978</v>
      </c>
      <c r="B978" s="53">
        <f>IFERROR(__xludf.DUMMYFUNCTION("""COMPUTED_VALUE"""),45736.0)</f>
        <v>45736</v>
      </c>
      <c r="C978" s="3">
        <f>IFERROR(__xludf.DUMMYFUNCTION("""COMPUTED_VALUE"""),91.0)</f>
        <v>91</v>
      </c>
      <c r="D978" s="3" t="str">
        <f>IFERROR(__xludf.DUMMYFUNCTION("""COMPUTED_VALUE"""),"f3ecd42b")</f>
        <v>f3ecd42b</v>
      </c>
      <c r="E978" s="54">
        <f>IFERROR(__xludf.DUMMYFUNCTION("""COMPUTED_VALUE"""),52200.0)</f>
        <v>52200</v>
      </c>
      <c r="F978" s="3" t="str">
        <f>IFERROR(__xludf.DUMMYFUNCTION("""COMPUTED_VALUE"""),"Bonarda C2")</f>
        <v>Bonarda C2</v>
      </c>
      <c r="G978" s="3"/>
      <c r="H978" s="56">
        <f>IFERROR(__xludf.DUMMYFUNCTION("""COMPUTED_VALUE"""),2.0)</f>
        <v>2</v>
      </c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5"/>
      <c r="U978" s="5"/>
      <c r="V978" s="5"/>
      <c r="W978" s="5"/>
    </row>
    <row r="979" ht="15.75" customHeight="1">
      <c r="A979" s="3">
        <f>IFERROR(__xludf.DUMMYFUNCTION("""COMPUTED_VALUE"""),979.0)</f>
        <v>979</v>
      </c>
      <c r="B979" s="53">
        <f>IFERROR(__xludf.DUMMYFUNCTION("""COMPUTED_VALUE"""),45736.0)</f>
        <v>45736</v>
      </c>
      <c r="C979" s="3">
        <f>IFERROR(__xludf.DUMMYFUNCTION("""COMPUTED_VALUE"""),90.0)</f>
        <v>90</v>
      </c>
      <c r="D979" s="3" t="str">
        <f>IFERROR(__xludf.DUMMYFUNCTION("""COMPUTED_VALUE"""),"de74d539")</f>
        <v>de74d539</v>
      </c>
      <c r="E979" s="54">
        <f>IFERROR(__xludf.DUMMYFUNCTION("""COMPUTED_VALUE"""),74000.0)</f>
        <v>74000</v>
      </c>
      <c r="F979" s="3" t="str">
        <f>IFERROR(__xludf.DUMMYFUNCTION("""COMPUTED_VALUE"""),"Ancellotta Tempranillo")</f>
        <v>Ancellotta Tempranillo</v>
      </c>
      <c r="G979" s="3"/>
      <c r="H979" s="56">
        <f>IFERROR(__xludf.DUMMYFUNCTION("""COMPUTED_VALUE"""),2.0)</f>
        <v>2</v>
      </c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5"/>
      <c r="U979" s="5"/>
      <c r="V979" s="5"/>
      <c r="W979" s="5"/>
    </row>
    <row r="980" ht="15.75" customHeight="1">
      <c r="A980" s="3">
        <f>IFERROR(__xludf.DUMMYFUNCTION("""COMPUTED_VALUE"""),980.0)</f>
        <v>980</v>
      </c>
      <c r="B980" s="53">
        <f>IFERROR(__xludf.DUMMYFUNCTION("""COMPUTED_VALUE"""),45736.0)</f>
        <v>45736</v>
      </c>
      <c r="C980" s="3">
        <f>IFERROR(__xludf.DUMMYFUNCTION("""COMPUTED_VALUE"""),78.0)</f>
        <v>78</v>
      </c>
      <c r="D980" s="3" t="str">
        <f>IFERROR(__xludf.DUMMYFUNCTION("""COMPUTED_VALUE"""),"337ffa98")</f>
        <v>337ffa98</v>
      </c>
      <c r="E980" s="54">
        <f>IFERROR(__xludf.DUMMYFUNCTION("""COMPUTED_VALUE"""),13350.0)</f>
        <v>13350</v>
      </c>
      <c r="F980" s="3" t="str">
        <f>IFERROR(__xludf.DUMMYFUNCTION("""COMPUTED_VALUE"""),"Tanat")</f>
        <v>Tanat</v>
      </c>
      <c r="G980" s="3"/>
      <c r="H980" s="56">
        <f>IFERROR(__xludf.DUMMYFUNCTION("""COMPUTED_VALUE"""),2.0)</f>
        <v>2</v>
      </c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5"/>
      <c r="U980" s="5"/>
      <c r="V980" s="5"/>
      <c r="W980" s="5"/>
    </row>
    <row r="981" ht="15.75" customHeight="1">
      <c r="A981" s="3">
        <f>IFERROR(__xludf.DUMMYFUNCTION("""COMPUTED_VALUE"""),981.0)</f>
        <v>981</v>
      </c>
      <c r="B981" s="53">
        <f>IFERROR(__xludf.DUMMYFUNCTION("""COMPUTED_VALUE"""),45736.0)</f>
        <v>45736</v>
      </c>
      <c r="C981" s="3">
        <f>IFERROR(__xludf.DUMMYFUNCTION("""COMPUTED_VALUE"""),86.0)</f>
        <v>86</v>
      </c>
      <c r="D981" s="3" t="str">
        <f>IFERROR(__xludf.DUMMYFUNCTION("""COMPUTED_VALUE"""),"26cfa504")</f>
        <v>26cfa504</v>
      </c>
      <c r="E981" s="54">
        <f>IFERROR(__xludf.DUMMYFUNCTION("""COMPUTED_VALUE"""),52500.0)</f>
        <v>52500</v>
      </c>
      <c r="F981" s="3" t="str">
        <f>IFERROR(__xludf.DUMMYFUNCTION("""COMPUTED_VALUE"""),"Syrah")</f>
        <v>Syrah</v>
      </c>
      <c r="G981" s="55">
        <f>IFERROR(__xludf.DUMMYFUNCTION("""COMPUTED_VALUE"""),14.0)</f>
        <v>14</v>
      </c>
      <c r="H981" s="56">
        <f>IFERROR(__xludf.DUMMYFUNCTION("""COMPUTED_VALUE"""),13.0)</f>
        <v>13</v>
      </c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5"/>
      <c r="U981" s="5"/>
      <c r="V981" s="5"/>
      <c r="W981" s="5"/>
    </row>
    <row r="982" ht="15.75" customHeight="1">
      <c r="A982" s="3">
        <f>IFERROR(__xludf.DUMMYFUNCTION("""COMPUTED_VALUE"""),982.0)</f>
        <v>982</v>
      </c>
      <c r="B982" s="53">
        <f>IFERROR(__xludf.DUMMYFUNCTION("""COMPUTED_VALUE"""),45736.0)</f>
        <v>45736</v>
      </c>
      <c r="C982" s="3">
        <f>IFERROR(__xludf.DUMMYFUNCTION("""COMPUTED_VALUE"""),85.0)</f>
        <v>85</v>
      </c>
      <c r="D982" s="3" t="str">
        <f>IFERROR(__xludf.DUMMYFUNCTION("""COMPUTED_VALUE"""),"1c0f3ac6")</f>
        <v>1c0f3ac6</v>
      </c>
      <c r="E982" s="54">
        <f>IFERROR(__xludf.DUMMYFUNCTION("""COMPUTED_VALUE"""),54100.0)</f>
        <v>54100</v>
      </c>
      <c r="F982" s="3" t="str">
        <f>IFERROR(__xludf.DUMMYFUNCTION("""COMPUTED_VALUE"""),"Bonarda C2")</f>
        <v>Bonarda C2</v>
      </c>
      <c r="G982" s="3"/>
      <c r="H982" s="56">
        <f>IFERROR(__xludf.DUMMYFUNCTION("""COMPUTED_VALUE"""),2.0)</f>
        <v>2</v>
      </c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5"/>
      <c r="U982" s="5"/>
      <c r="V982" s="5"/>
      <c r="W982" s="5"/>
    </row>
    <row r="983" ht="15.75" customHeight="1">
      <c r="A983" s="3">
        <f>IFERROR(__xludf.DUMMYFUNCTION("""COMPUTED_VALUE"""),983.0)</f>
        <v>983</v>
      </c>
      <c r="B983" s="53">
        <f>IFERROR(__xludf.DUMMYFUNCTION("""COMPUTED_VALUE"""),45736.0)</f>
        <v>45736</v>
      </c>
      <c r="C983" s="3">
        <f>IFERROR(__xludf.DUMMYFUNCTION("""COMPUTED_VALUE"""),114.0)</f>
        <v>114</v>
      </c>
      <c r="D983" s="3" t="str">
        <f>IFERROR(__xludf.DUMMYFUNCTION("""COMPUTED_VALUE"""),"5c199eac")</f>
        <v>5c199eac</v>
      </c>
      <c r="E983" s="54">
        <f>IFERROR(__xludf.DUMMYFUNCTION("""COMPUTED_VALUE"""),101000.0)</f>
        <v>101000</v>
      </c>
      <c r="F983" s="3" t="str">
        <f>IFERROR(__xludf.DUMMYFUNCTION("""COMPUTED_VALUE"""),"Syrah")</f>
        <v>Syrah</v>
      </c>
      <c r="G983" s="3"/>
      <c r="H983" s="3"/>
      <c r="I983" s="3"/>
      <c r="J983" s="3"/>
      <c r="K983" s="3"/>
      <c r="L983" s="54">
        <f>IFERROR(__xludf.DUMMYFUNCTION("""COMPUTED_VALUE"""),37.0)</f>
        <v>37</v>
      </c>
      <c r="M983" s="3">
        <f>IFERROR(__xludf.DUMMYFUNCTION("""COMPUTED_VALUE"""),110.0)</f>
        <v>110</v>
      </c>
      <c r="N983" s="3"/>
      <c r="O983" s="3"/>
      <c r="P983" s="3"/>
      <c r="Q983" s="3"/>
      <c r="R983" s="3"/>
      <c r="S983" s="3"/>
      <c r="T983" s="5"/>
      <c r="U983" s="5"/>
      <c r="V983" s="5"/>
      <c r="W983" s="5"/>
    </row>
    <row r="984" ht="15.75" customHeight="1">
      <c r="A984" s="3">
        <f>IFERROR(__xludf.DUMMYFUNCTION("""COMPUTED_VALUE"""),984.0)</f>
        <v>984</v>
      </c>
      <c r="B984" s="53">
        <f>IFERROR(__xludf.DUMMYFUNCTION("""COMPUTED_VALUE"""),45736.0)</f>
        <v>45736</v>
      </c>
      <c r="C984" s="3">
        <f>IFERROR(__xludf.DUMMYFUNCTION("""COMPUTED_VALUE"""),116.0)</f>
        <v>116</v>
      </c>
      <c r="D984" s="3" t="str">
        <f>IFERROR(__xludf.DUMMYFUNCTION("""COMPUTED_VALUE"""),"d3910498")</f>
        <v>d3910498</v>
      </c>
      <c r="E984" s="54">
        <f>IFERROR(__xludf.DUMMYFUNCTION("""COMPUTED_VALUE"""),99600.0)</f>
        <v>99600</v>
      </c>
      <c r="F984" s="3" t="str">
        <f>IFERROR(__xludf.DUMMYFUNCTION("""COMPUTED_VALUE"""),"Syrah")</f>
        <v>Syrah</v>
      </c>
      <c r="G984" s="3"/>
      <c r="H984" s="3"/>
      <c r="I984" s="3"/>
      <c r="J984" s="3"/>
      <c r="K984" s="3"/>
      <c r="L984" s="54">
        <f>IFERROR(__xludf.DUMMYFUNCTION("""COMPUTED_VALUE"""),34.0)</f>
        <v>34</v>
      </c>
      <c r="M984" s="3">
        <f>IFERROR(__xludf.DUMMYFUNCTION("""COMPUTED_VALUE"""),98.0)</f>
        <v>98</v>
      </c>
      <c r="N984" s="3"/>
      <c r="O984" s="3"/>
      <c r="P984" s="3"/>
      <c r="Q984" s="3"/>
      <c r="R984" s="3"/>
      <c r="S984" s="3"/>
      <c r="T984" s="5"/>
      <c r="U984" s="5"/>
      <c r="V984" s="5"/>
      <c r="W984" s="5"/>
    </row>
    <row r="985" ht="15.75" customHeight="1">
      <c r="A985" s="3">
        <f>IFERROR(__xludf.DUMMYFUNCTION("""COMPUTED_VALUE"""),985.0)</f>
        <v>985</v>
      </c>
      <c r="B985" s="53">
        <f>IFERROR(__xludf.DUMMYFUNCTION("""COMPUTED_VALUE"""),45736.0)</f>
        <v>45736</v>
      </c>
      <c r="C985" s="3">
        <f>IFERROR(__xludf.DUMMYFUNCTION("""COMPUTED_VALUE"""),118.0)</f>
        <v>118</v>
      </c>
      <c r="D985" s="3" t="str">
        <f>IFERROR(__xludf.DUMMYFUNCTION("""COMPUTED_VALUE"""),"03ffe0d5")</f>
        <v>03ffe0d5</v>
      </c>
      <c r="E985" s="54">
        <f>IFERROR(__xludf.DUMMYFUNCTION("""COMPUTED_VALUE"""),155600.0)</f>
        <v>155600</v>
      </c>
      <c r="F985" s="3" t="str">
        <f>IFERROR(__xludf.DUMMYFUNCTION("""COMPUTED_VALUE"""),"Syrah")</f>
        <v>Syrah</v>
      </c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5"/>
      <c r="U985" s="5"/>
      <c r="V985" s="5"/>
      <c r="W985" s="5"/>
    </row>
    <row r="986" ht="15.75" customHeight="1">
      <c r="A986" s="3">
        <f>IFERROR(__xludf.DUMMYFUNCTION("""COMPUTED_VALUE"""),986.0)</f>
        <v>986</v>
      </c>
      <c r="B986" s="53">
        <f>IFERROR(__xludf.DUMMYFUNCTION("""COMPUTED_VALUE"""),45736.0)</f>
        <v>45736</v>
      </c>
      <c r="C986" s="3">
        <f>IFERROR(__xludf.DUMMYFUNCTION("""COMPUTED_VALUE"""),103.0)</f>
        <v>103</v>
      </c>
      <c r="D986" s="3" t="str">
        <f>IFERROR(__xludf.DUMMYFUNCTION("""COMPUTED_VALUE"""),"a2ec7d6d")</f>
        <v>a2ec7d6d</v>
      </c>
      <c r="E986" s="54">
        <f>IFERROR(__xludf.DUMMYFUNCTION("""COMPUTED_VALUE"""),36000.0)</f>
        <v>36000</v>
      </c>
      <c r="F986" s="3" t="str">
        <f>IFERROR(__xludf.DUMMYFUNCTION("""COMPUTED_VALUE"""),"Anccelotta")</f>
        <v>Anccelotta</v>
      </c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5"/>
      <c r="U986" s="5"/>
      <c r="V986" s="5"/>
      <c r="W986" s="5"/>
    </row>
    <row r="987" ht="15.75" customHeight="1">
      <c r="A987" s="3">
        <f>IFERROR(__xludf.DUMMYFUNCTION("""COMPUTED_VALUE"""),987.0)</f>
        <v>987</v>
      </c>
      <c r="B987" s="53">
        <f>IFERROR(__xludf.DUMMYFUNCTION("""COMPUTED_VALUE"""),45728.0)</f>
        <v>45728</v>
      </c>
      <c r="C987" s="3">
        <f>IFERROR(__xludf.DUMMYFUNCTION("""COMPUTED_VALUE"""),81.0)</f>
        <v>81</v>
      </c>
      <c r="D987" s="3" t="str">
        <f>IFERROR(__xludf.DUMMYFUNCTION("""COMPUTED_VALUE"""),"f7f01b85")</f>
        <v>f7f01b85</v>
      </c>
      <c r="E987" s="54">
        <f>IFERROR(__xludf.DUMMYFUNCTION("""COMPUTED_VALUE"""),20600.0)</f>
        <v>20600</v>
      </c>
      <c r="F987" s="3" t="str">
        <f>IFERROR(__xludf.DUMMYFUNCTION("""COMPUTED_VALUE"""),"Torrontes")</f>
        <v>Torrontes</v>
      </c>
      <c r="G987" s="3"/>
      <c r="H987" s="3"/>
      <c r="I987" s="3"/>
      <c r="J987" s="3"/>
      <c r="K987" s="57">
        <f>IFERROR(__xludf.DUMMYFUNCTION("""COMPUTED_VALUE"""),3.25)</f>
        <v>3.25</v>
      </c>
      <c r="L987" s="54">
        <f>IFERROR(__xludf.DUMMYFUNCTION("""COMPUTED_VALUE"""),19.0)</f>
        <v>19</v>
      </c>
      <c r="M987" s="3">
        <f>IFERROR(__xludf.DUMMYFUNCTION("""COMPUTED_VALUE"""),50.0)</f>
        <v>50</v>
      </c>
      <c r="N987" s="3"/>
      <c r="O987" s="3"/>
      <c r="P987" s="3"/>
      <c r="Q987" s="3"/>
      <c r="R987" s="3"/>
      <c r="S987" s="3"/>
      <c r="T987" s="5"/>
      <c r="U987" s="5"/>
      <c r="V987" s="5"/>
      <c r="W987" s="5"/>
    </row>
    <row r="988" ht="15.75" customHeight="1">
      <c r="A988" s="3">
        <f>IFERROR(__xludf.DUMMYFUNCTION("""COMPUTED_VALUE"""),988.0)</f>
        <v>988</v>
      </c>
      <c r="B988" s="53">
        <f>IFERROR(__xludf.DUMMYFUNCTION("""COMPUTED_VALUE"""),45728.0)</f>
        <v>45728</v>
      </c>
      <c r="C988" s="3">
        <f>IFERROR(__xludf.DUMMYFUNCTION("""COMPUTED_VALUE"""),70.0)</f>
        <v>70</v>
      </c>
      <c r="D988" s="3" t="str">
        <f>IFERROR(__xludf.DUMMYFUNCTION("""COMPUTED_VALUE"""),"7c1a7cd6")</f>
        <v>7c1a7cd6</v>
      </c>
      <c r="E988" s="54">
        <f>IFERROR(__xludf.DUMMYFUNCTION("""COMPUTED_VALUE"""),8000.0)</f>
        <v>8000</v>
      </c>
      <c r="F988" s="3" t="str">
        <f>IFERROR(__xludf.DUMMYFUNCTION("""COMPUTED_VALUE"""),"Tanat")</f>
        <v>Tanat</v>
      </c>
      <c r="G988" s="3"/>
      <c r="H988" s="3"/>
      <c r="I988" s="3"/>
      <c r="J988" s="3"/>
      <c r="K988" s="57">
        <f>IFERROR(__xludf.DUMMYFUNCTION("""COMPUTED_VALUE"""),3.62)</f>
        <v>3.62</v>
      </c>
      <c r="L988" s="54">
        <f>IFERROR(__xludf.DUMMYFUNCTION("""COMPUTED_VALUE"""),22.0)</f>
        <v>22</v>
      </c>
      <c r="M988" s="3">
        <f>IFERROR(__xludf.DUMMYFUNCTION("""COMPUTED_VALUE"""),53.0)</f>
        <v>53</v>
      </c>
      <c r="N988" s="3"/>
      <c r="O988" s="3"/>
      <c r="P988" s="3"/>
      <c r="Q988" s="3"/>
      <c r="R988" s="3"/>
      <c r="S988" s="3"/>
      <c r="T988" s="5"/>
      <c r="U988" s="5">
        <f>IFERROR(__xludf.DUMMYFUNCTION("""COMPUTED_VALUE"""),24.0)</f>
        <v>24</v>
      </c>
      <c r="V988" s="5"/>
      <c r="W988" s="5"/>
    </row>
    <row r="989" ht="15.75" customHeight="1">
      <c r="A989" s="3">
        <f>IFERROR(__xludf.DUMMYFUNCTION("""COMPUTED_VALUE"""),989.0)</f>
        <v>989</v>
      </c>
      <c r="B989" s="53">
        <f>IFERROR(__xludf.DUMMYFUNCTION("""COMPUTED_VALUE"""),45734.0)</f>
        <v>45734</v>
      </c>
      <c r="C989" s="3">
        <f>IFERROR(__xludf.DUMMYFUNCTION("""COMPUTED_VALUE"""),65.0)</f>
        <v>65</v>
      </c>
      <c r="D989" s="3" t="str">
        <f>IFERROR(__xludf.DUMMYFUNCTION("""COMPUTED_VALUE"""),"c3e5d902")</f>
        <v>c3e5d902</v>
      </c>
      <c r="E989" s="54">
        <f>IFERROR(__xludf.DUMMYFUNCTION("""COMPUTED_VALUE"""),20800.0)</f>
        <v>20800</v>
      </c>
      <c r="F989" s="3" t="str">
        <f>IFERROR(__xludf.DUMMYFUNCTION("""COMPUTED_VALUE"""),"Pedro Gimenez")</f>
        <v>Pedro Gimenez</v>
      </c>
      <c r="G989" s="3"/>
      <c r="H989" s="3"/>
      <c r="I989" s="3"/>
      <c r="J989" s="3"/>
      <c r="K989" s="57">
        <f>IFERROR(__xludf.DUMMYFUNCTION("""COMPUTED_VALUE"""),3.64)</f>
        <v>3.64</v>
      </c>
      <c r="L989" s="54">
        <f>IFERROR(__xludf.DUMMYFUNCTION("""COMPUTED_VALUE"""),12.0)</f>
        <v>12</v>
      </c>
      <c r="M989" s="3">
        <f>IFERROR(__xludf.DUMMYFUNCTION("""COMPUTED_VALUE"""),50.0)</f>
        <v>50</v>
      </c>
      <c r="N989" s="3"/>
      <c r="O989" s="3"/>
      <c r="P989" s="3"/>
      <c r="Q989" s="3"/>
      <c r="R989" s="3"/>
      <c r="S989" s="3"/>
      <c r="T989" s="5"/>
      <c r="U989" s="5">
        <f>IFERROR(__xludf.DUMMYFUNCTION("""COMPUTED_VALUE"""),21.0)</f>
        <v>21</v>
      </c>
      <c r="V989" s="5"/>
      <c r="W989" s="5"/>
    </row>
    <row r="990" ht="15.75" customHeight="1">
      <c r="A990" s="3">
        <f>IFERROR(__xludf.DUMMYFUNCTION("""COMPUTED_VALUE"""),990.0)</f>
        <v>990</v>
      </c>
      <c r="B990" s="53">
        <f>IFERROR(__xludf.DUMMYFUNCTION("""COMPUTED_VALUE"""),45736.0)</f>
        <v>45736</v>
      </c>
      <c r="C990" s="3">
        <f>IFERROR(__xludf.DUMMYFUNCTION("""COMPUTED_VALUE"""),10.0)</f>
        <v>10</v>
      </c>
      <c r="D990" s="3" t="str">
        <f>IFERROR(__xludf.DUMMYFUNCTION("""COMPUTED_VALUE"""),"f9bf68a3")</f>
        <v>f9bf68a3</v>
      </c>
      <c r="E990" s="54">
        <f>IFERROR(__xludf.DUMMYFUNCTION("""COMPUTED_VALUE"""),21000.0)</f>
        <v>21000</v>
      </c>
      <c r="F990" s="3" t="str">
        <f>IFERROR(__xludf.DUMMYFUNCTION("""COMPUTED_VALUE"""),"Chardonnay")</f>
        <v>Chardonnay</v>
      </c>
      <c r="G990" s="3"/>
      <c r="H990" s="3"/>
      <c r="I990" s="3"/>
      <c r="J990" s="3"/>
      <c r="K990" s="57">
        <f>IFERROR(__xludf.DUMMYFUNCTION("""COMPUTED_VALUE"""),3.19)</f>
        <v>3.19</v>
      </c>
      <c r="L990" s="54">
        <f>IFERROR(__xludf.DUMMYFUNCTION("""COMPUTED_VALUE"""),25.0)</f>
        <v>25</v>
      </c>
      <c r="M990" s="3">
        <f>IFERROR(__xludf.DUMMYFUNCTION("""COMPUTED_VALUE"""),102.0)</f>
        <v>102</v>
      </c>
      <c r="N990" s="3"/>
      <c r="O990" s="3"/>
      <c r="P990" s="3"/>
      <c r="Q990" s="3"/>
      <c r="R990" s="3"/>
      <c r="S990" s="3"/>
      <c r="T990" s="5"/>
      <c r="U990" s="5"/>
      <c r="V990" s="5"/>
      <c r="W990" s="5"/>
    </row>
    <row r="991" ht="15.75" customHeight="1">
      <c r="A991" s="3">
        <f>IFERROR(__xludf.DUMMYFUNCTION("""COMPUTED_VALUE"""),991.0)</f>
        <v>991</v>
      </c>
      <c r="B991" s="53">
        <f>IFERROR(__xludf.DUMMYFUNCTION("""COMPUTED_VALUE"""),45736.0)</f>
        <v>45736</v>
      </c>
      <c r="C991" s="3">
        <f>IFERROR(__xludf.DUMMYFUNCTION("""COMPUTED_VALUE"""),16.0)</f>
        <v>16</v>
      </c>
      <c r="D991" s="3" t="str">
        <f>IFERROR(__xludf.DUMMYFUNCTION("""COMPUTED_VALUE"""),"b5e03e7f")</f>
        <v>b5e03e7f</v>
      </c>
      <c r="E991" s="54">
        <f>IFERROR(__xludf.DUMMYFUNCTION("""COMPUTED_VALUE"""),19500.0)</f>
        <v>19500</v>
      </c>
      <c r="F991" s="3" t="str">
        <f>IFERROR(__xludf.DUMMYFUNCTION("""COMPUTED_VALUE"""),"Chardonnay")</f>
        <v>Chardonnay</v>
      </c>
      <c r="G991" s="3"/>
      <c r="H991" s="3"/>
      <c r="I991" s="3"/>
      <c r="J991" s="3"/>
      <c r="K991" s="57">
        <f>IFERROR(__xludf.DUMMYFUNCTION("""COMPUTED_VALUE"""),3.13)</f>
        <v>3.13</v>
      </c>
      <c r="L991" s="54">
        <f>IFERROR(__xludf.DUMMYFUNCTION("""COMPUTED_VALUE"""),25.0)</f>
        <v>25</v>
      </c>
      <c r="M991" s="3">
        <f>IFERROR(__xludf.DUMMYFUNCTION("""COMPUTED_VALUE"""),102.0)</f>
        <v>102</v>
      </c>
      <c r="N991" s="3"/>
      <c r="O991" s="3"/>
      <c r="P991" s="3"/>
      <c r="Q991" s="3"/>
      <c r="R991" s="3"/>
      <c r="S991" s="3"/>
      <c r="T991" s="5"/>
      <c r="U991" s="5"/>
      <c r="V991" s="5"/>
      <c r="W991" s="5"/>
    </row>
    <row r="992" ht="15.75" customHeight="1">
      <c r="A992" s="3">
        <f>IFERROR(__xludf.DUMMYFUNCTION("""COMPUTED_VALUE"""),992.0)</f>
        <v>992</v>
      </c>
      <c r="B992" s="53">
        <f>IFERROR(__xludf.DUMMYFUNCTION("""COMPUTED_VALUE"""),45736.0)</f>
        <v>45736</v>
      </c>
      <c r="C992" s="3">
        <f>IFERROR(__xludf.DUMMYFUNCTION("""COMPUTED_VALUE"""),8.0)</f>
        <v>8</v>
      </c>
      <c r="D992" s="3" t="str">
        <f>IFERROR(__xludf.DUMMYFUNCTION("""COMPUTED_VALUE"""),"376dbee6")</f>
        <v>376dbee6</v>
      </c>
      <c r="E992" s="54">
        <f>IFERROR(__xludf.DUMMYFUNCTION("""COMPUTED_VALUE"""),22000.0)</f>
        <v>22000</v>
      </c>
      <c r="F992" s="3" t="str">
        <f>IFERROR(__xludf.DUMMYFUNCTION("""COMPUTED_VALUE"""),"Chardonnay")</f>
        <v>Chardonnay</v>
      </c>
      <c r="G992" s="3"/>
      <c r="H992" s="3"/>
      <c r="I992" s="3"/>
      <c r="J992" s="3"/>
      <c r="K992" s="57">
        <f>IFERROR(__xludf.DUMMYFUNCTION("""COMPUTED_VALUE"""),3.28)</f>
        <v>3.28</v>
      </c>
      <c r="L992" s="54">
        <f>IFERROR(__xludf.DUMMYFUNCTION("""COMPUTED_VALUE"""),32.0)</f>
        <v>32</v>
      </c>
      <c r="M992" s="3">
        <f>IFERROR(__xludf.DUMMYFUNCTION("""COMPUTED_VALUE"""),83.0)</f>
        <v>83</v>
      </c>
      <c r="N992" s="3"/>
      <c r="O992" s="3"/>
      <c r="P992" s="3"/>
      <c r="Q992" s="3"/>
      <c r="R992" s="3"/>
      <c r="S992" s="3"/>
      <c r="T992" s="5"/>
      <c r="U992" s="5"/>
      <c r="V992" s="5"/>
      <c r="W992" s="5"/>
    </row>
    <row r="993" ht="15.75" customHeight="1">
      <c r="A993" s="3">
        <f>IFERROR(__xludf.DUMMYFUNCTION("""COMPUTED_VALUE"""),993.0)</f>
        <v>993</v>
      </c>
      <c r="B993" s="53">
        <f>IFERROR(__xludf.DUMMYFUNCTION("""COMPUTED_VALUE"""),45736.0)</f>
        <v>45736</v>
      </c>
      <c r="C993" s="3">
        <f>IFERROR(__xludf.DUMMYFUNCTION("""COMPUTED_VALUE"""),40.0)</f>
        <v>40</v>
      </c>
      <c r="D993" s="3" t="str">
        <f>IFERROR(__xludf.DUMMYFUNCTION("""COMPUTED_VALUE"""),"7c5390c8")</f>
        <v>7c5390c8</v>
      </c>
      <c r="E993" s="54">
        <f>IFERROR(__xludf.DUMMYFUNCTION("""COMPUTED_VALUE"""),24000.0)</f>
        <v>24000</v>
      </c>
      <c r="F993" s="3" t="str">
        <f>IFERROR(__xludf.DUMMYFUNCTION("""COMPUTED_VALUE"""),"Chardonnay")</f>
        <v>Chardonnay</v>
      </c>
      <c r="G993" s="3"/>
      <c r="H993" s="3"/>
      <c r="I993" s="3"/>
      <c r="J993" s="3"/>
      <c r="K993" s="57">
        <f>IFERROR(__xludf.DUMMYFUNCTION("""COMPUTED_VALUE"""),3.18)</f>
        <v>3.18</v>
      </c>
      <c r="L993" s="54">
        <f>IFERROR(__xludf.DUMMYFUNCTION("""COMPUTED_VALUE"""),32.0)</f>
        <v>32</v>
      </c>
      <c r="M993" s="3">
        <f>IFERROR(__xludf.DUMMYFUNCTION("""COMPUTED_VALUE"""),83.0)</f>
        <v>83</v>
      </c>
      <c r="N993" s="3"/>
      <c r="O993" s="3"/>
      <c r="P993" s="3"/>
      <c r="Q993" s="3"/>
      <c r="R993" s="3"/>
      <c r="S993" s="3"/>
      <c r="T993" s="5"/>
      <c r="U993" s="5"/>
      <c r="V993" s="5"/>
      <c r="W993" s="5"/>
    </row>
    <row r="994" ht="15.75" customHeight="1">
      <c r="A994" s="3">
        <f>IFERROR(__xludf.DUMMYFUNCTION("""COMPUTED_VALUE"""),994.0)</f>
        <v>994</v>
      </c>
      <c r="B994" s="53">
        <f>IFERROR(__xludf.DUMMYFUNCTION("""COMPUTED_VALUE"""),45736.0)</f>
        <v>45736</v>
      </c>
      <c r="C994" s="3">
        <f>IFERROR(__xludf.DUMMYFUNCTION("""COMPUTED_VALUE"""),5.0)</f>
        <v>5</v>
      </c>
      <c r="D994" s="3" t="str">
        <f>IFERROR(__xludf.DUMMYFUNCTION("""COMPUTED_VALUE"""),"593f826f")</f>
        <v>593f826f</v>
      </c>
      <c r="E994" s="54">
        <f>IFERROR(__xludf.DUMMYFUNCTION("""COMPUTED_VALUE"""),30000.0)</f>
        <v>30000</v>
      </c>
      <c r="F994" s="3" t="str">
        <f>IFERROR(__xludf.DUMMYFUNCTION("""COMPUTED_VALUE"""),"Chardonnay")</f>
        <v>Chardonnay</v>
      </c>
      <c r="G994" s="3"/>
      <c r="H994" s="3"/>
      <c r="I994" s="3"/>
      <c r="J994" s="3"/>
      <c r="K994" s="57">
        <f>IFERROR(__xludf.DUMMYFUNCTION("""COMPUTED_VALUE"""),3.21)</f>
        <v>3.21</v>
      </c>
      <c r="L994" s="54">
        <f>IFERROR(__xludf.DUMMYFUNCTION("""COMPUTED_VALUE"""),28.0)</f>
        <v>28</v>
      </c>
      <c r="M994" s="3">
        <f>IFERROR(__xludf.DUMMYFUNCTION("""COMPUTED_VALUE"""),95.0)</f>
        <v>95</v>
      </c>
      <c r="N994" s="3"/>
      <c r="O994" s="3"/>
      <c r="P994" s="3"/>
      <c r="Q994" s="3"/>
      <c r="R994" s="3"/>
      <c r="S994" s="3"/>
      <c r="T994" s="5"/>
      <c r="U994" s="5"/>
      <c r="V994" s="5"/>
      <c r="W994" s="5"/>
    </row>
    <row r="995" ht="15.75" customHeight="1">
      <c r="A995" s="3">
        <f>IFERROR(__xludf.DUMMYFUNCTION("""COMPUTED_VALUE"""),995.0)</f>
        <v>995</v>
      </c>
      <c r="B995" s="53">
        <f>IFERROR(__xludf.DUMMYFUNCTION("""COMPUTED_VALUE"""),45736.0)</f>
        <v>45736</v>
      </c>
      <c r="C995" s="3">
        <f>IFERROR(__xludf.DUMMYFUNCTION("""COMPUTED_VALUE"""),9.0)</f>
        <v>9</v>
      </c>
      <c r="D995" s="3" t="str">
        <f>IFERROR(__xludf.DUMMYFUNCTION("""COMPUTED_VALUE"""),"b73d8cd1")</f>
        <v>b73d8cd1</v>
      </c>
      <c r="E995" s="54">
        <f>IFERROR(__xludf.DUMMYFUNCTION("""COMPUTED_VALUE"""),30000.0)</f>
        <v>30000</v>
      </c>
      <c r="F995" s="3" t="str">
        <f>IFERROR(__xludf.DUMMYFUNCTION("""COMPUTED_VALUE"""),"Chardonnay")</f>
        <v>Chardonnay</v>
      </c>
      <c r="G995" s="3"/>
      <c r="H995" s="3"/>
      <c r="I995" s="3"/>
      <c r="J995" s="3"/>
      <c r="K995" s="57">
        <f>IFERROR(__xludf.DUMMYFUNCTION("""COMPUTED_VALUE"""),3.15)</f>
        <v>3.15</v>
      </c>
      <c r="L995" s="54">
        <f>IFERROR(__xludf.DUMMYFUNCTION("""COMPUTED_VALUE"""),22.0)</f>
        <v>22</v>
      </c>
      <c r="M995" s="3">
        <f>IFERROR(__xludf.DUMMYFUNCTION("""COMPUTED_VALUE"""),93.0)</f>
        <v>93</v>
      </c>
      <c r="N995" s="3"/>
      <c r="O995" s="3"/>
      <c r="P995" s="3"/>
      <c r="Q995" s="3"/>
      <c r="R995" s="3"/>
      <c r="S995" s="3"/>
      <c r="T995" s="5"/>
      <c r="U995" s="5"/>
      <c r="V995" s="5"/>
      <c r="W995" s="5"/>
    </row>
    <row r="996" ht="15.75" customHeight="1">
      <c r="A996" s="3">
        <f>IFERROR(__xludf.DUMMYFUNCTION("""COMPUTED_VALUE"""),996.0)</f>
        <v>996</v>
      </c>
      <c r="B996" s="53">
        <f>IFERROR(__xludf.DUMMYFUNCTION("""COMPUTED_VALUE"""),45736.0)</f>
        <v>45736</v>
      </c>
      <c r="C996" s="3">
        <f>IFERROR(__xludf.DUMMYFUNCTION("""COMPUTED_VALUE"""),31.0)</f>
        <v>31</v>
      </c>
      <c r="D996" s="3" t="str">
        <f>IFERROR(__xludf.DUMMYFUNCTION("""COMPUTED_VALUE"""),"8a7074cf")</f>
        <v>8a7074cf</v>
      </c>
      <c r="E996" s="54">
        <f>IFERROR(__xludf.DUMMYFUNCTION("""COMPUTED_VALUE"""),25700.0)</f>
        <v>25700</v>
      </c>
      <c r="F996" s="3" t="str">
        <f>IFERROR(__xludf.DUMMYFUNCTION("""COMPUTED_VALUE"""),"Chardonnay")</f>
        <v>Chardonnay</v>
      </c>
      <c r="G996" s="3"/>
      <c r="H996" s="3"/>
      <c r="I996" s="3"/>
      <c r="J996" s="3"/>
      <c r="K996" s="57">
        <f>IFERROR(__xludf.DUMMYFUNCTION("""COMPUTED_VALUE"""),3.15)</f>
        <v>3.15</v>
      </c>
      <c r="L996" s="54">
        <f>IFERROR(__xludf.DUMMYFUNCTION("""COMPUTED_VALUE"""),33.0)</f>
        <v>33</v>
      </c>
      <c r="M996" s="3">
        <f>IFERROR(__xludf.DUMMYFUNCTION("""COMPUTED_VALUE"""),87.0)</f>
        <v>87</v>
      </c>
      <c r="N996" s="3"/>
      <c r="O996" s="3"/>
      <c r="P996" s="3"/>
      <c r="Q996" s="3"/>
      <c r="R996" s="3"/>
      <c r="S996" s="3"/>
      <c r="T996" s="5"/>
      <c r="U996" s="5"/>
      <c r="V996" s="5"/>
      <c r="W996" s="5"/>
    </row>
    <row r="997" ht="15.75" customHeight="1">
      <c r="A997" s="3">
        <f>IFERROR(__xludf.DUMMYFUNCTION("""COMPUTED_VALUE"""),997.0)</f>
        <v>997</v>
      </c>
      <c r="B997" s="53">
        <f>IFERROR(__xludf.DUMMYFUNCTION("""COMPUTED_VALUE"""),45736.0)</f>
        <v>45736</v>
      </c>
      <c r="C997" s="3">
        <f>IFERROR(__xludf.DUMMYFUNCTION("""COMPUTED_VALUE"""),33.0)</f>
        <v>33</v>
      </c>
      <c r="D997" s="3" t="str">
        <f>IFERROR(__xludf.DUMMYFUNCTION("""COMPUTED_VALUE"""),"7def2139")</f>
        <v>7def2139</v>
      </c>
      <c r="E997" s="54">
        <f>IFERROR(__xludf.DUMMYFUNCTION("""COMPUTED_VALUE"""),25300.0)</f>
        <v>25300</v>
      </c>
      <c r="F997" s="3" t="str">
        <f>IFERROR(__xludf.DUMMYFUNCTION("""COMPUTED_VALUE"""),"Chardonnay")</f>
        <v>Chardonnay</v>
      </c>
      <c r="G997" s="3"/>
      <c r="H997" s="3"/>
      <c r="I997" s="3"/>
      <c r="J997" s="3"/>
      <c r="K997" s="57">
        <f>IFERROR(__xludf.DUMMYFUNCTION("""COMPUTED_VALUE"""),3.16)</f>
        <v>3.16</v>
      </c>
      <c r="L997" s="54">
        <f>IFERROR(__xludf.DUMMYFUNCTION("""COMPUTED_VALUE"""),32.0)</f>
        <v>32</v>
      </c>
      <c r="M997" s="3">
        <f>IFERROR(__xludf.DUMMYFUNCTION("""COMPUTED_VALUE"""),90.0)</f>
        <v>90</v>
      </c>
      <c r="N997" s="3"/>
      <c r="O997" s="3"/>
      <c r="P997" s="3"/>
      <c r="Q997" s="3"/>
      <c r="R997" s="3"/>
      <c r="S997" s="3"/>
      <c r="T997" s="5"/>
      <c r="U997" s="5"/>
      <c r="V997" s="5"/>
      <c r="W997" s="5"/>
    </row>
    <row r="998" ht="15.75" customHeight="1">
      <c r="A998" s="3">
        <f>IFERROR(__xludf.DUMMYFUNCTION("""COMPUTED_VALUE"""),998.0)</f>
        <v>998</v>
      </c>
      <c r="B998" s="53">
        <f>IFERROR(__xludf.DUMMYFUNCTION("""COMPUTED_VALUE"""),45736.0)</f>
        <v>45736</v>
      </c>
      <c r="C998" s="3">
        <f>IFERROR(__xludf.DUMMYFUNCTION("""COMPUTED_VALUE"""),80.0)</f>
        <v>80</v>
      </c>
      <c r="D998" s="3" t="str">
        <f>IFERROR(__xludf.DUMMYFUNCTION("""COMPUTED_VALUE"""),"c210f1aa")</f>
        <v>c210f1aa</v>
      </c>
      <c r="E998" s="54">
        <f>IFERROR(__xludf.DUMMYFUNCTION("""COMPUTED_VALUE"""),21300.0)</f>
        <v>21300</v>
      </c>
      <c r="F998" s="3" t="str">
        <f>IFERROR(__xludf.DUMMYFUNCTION("""COMPUTED_VALUE"""),"Chenin")</f>
        <v>Chenin</v>
      </c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5"/>
      <c r="U998" s="5"/>
      <c r="V998" s="5"/>
      <c r="W998" s="5"/>
    </row>
    <row r="999" ht="15.75" customHeight="1">
      <c r="A999" s="3">
        <f>IFERROR(__xludf.DUMMYFUNCTION("""COMPUTED_VALUE"""),999.0)</f>
        <v>999</v>
      </c>
      <c r="B999" s="53">
        <f>IFERROR(__xludf.DUMMYFUNCTION("""COMPUTED_VALUE"""),45737.0)</f>
        <v>45737</v>
      </c>
      <c r="C999" s="3">
        <f>IFERROR(__xludf.DUMMYFUNCTION("""COMPUTED_VALUE"""),82.0)</f>
        <v>82</v>
      </c>
      <c r="D999" s="3" t="str">
        <f>IFERROR(__xludf.DUMMYFUNCTION("""COMPUTED_VALUE"""),"538b2389")</f>
        <v>538b2389</v>
      </c>
      <c r="E999" s="54">
        <f>IFERROR(__xludf.DUMMYFUNCTION("""COMPUTED_VALUE"""),32600.0)</f>
        <v>32600</v>
      </c>
      <c r="F999" s="3" t="str">
        <f>IFERROR(__xludf.DUMMYFUNCTION("""COMPUTED_VALUE"""),"Tinto Criolla Rec")</f>
        <v>Tinto Criolla Rec</v>
      </c>
      <c r="G999" s="3"/>
      <c r="H999" s="3"/>
      <c r="I999" s="3"/>
      <c r="J999" s="3"/>
      <c r="K999" s="57">
        <f>IFERROR(__xludf.DUMMYFUNCTION("""COMPUTED_VALUE"""),3.47)</f>
        <v>3.47</v>
      </c>
      <c r="L999" s="54">
        <f>IFERROR(__xludf.DUMMYFUNCTION("""COMPUTED_VALUE"""),16.0)</f>
        <v>16</v>
      </c>
      <c r="M999" s="3">
        <f>IFERROR(__xludf.DUMMYFUNCTION("""COMPUTED_VALUE"""),65.0)</f>
        <v>65</v>
      </c>
      <c r="N999" s="3"/>
      <c r="O999" s="3"/>
      <c r="P999" s="3"/>
      <c r="Q999" s="3"/>
      <c r="R999" s="3"/>
      <c r="S999" s="3"/>
      <c r="T999" s="5"/>
      <c r="U999" s="5"/>
      <c r="V999" s="5"/>
      <c r="W999" s="5"/>
    </row>
    <row r="1000" ht="15.75" customHeight="1">
      <c r="A1000" s="3">
        <f>IFERROR(__xludf.DUMMYFUNCTION("""COMPUTED_VALUE"""),1000.0)</f>
        <v>1000</v>
      </c>
      <c r="B1000" s="53">
        <f>IFERROR(__xludf.DUMMYFUNCTION("""COMPUTED_VALUE"""),45737.0)</f>
        <v>45737</v>
      </c>
      <c r="C1000" s="3">
        <f>IFERROR(__xludf.DUMMYFUNCTION("""COMPUTED_VALUE"""),83.0)</f>
        <v>83</v>
      </c>
      <c r="D1000" s="3" t="str">
        <f>IFERROR(__xludf.DUMMYFUNCTION("""COMPUTED_VALUE"""),"d007d867")</f>
        <v>d007d867</v>
      </c>
      <c r="E1000" s="54">
        <f>IFERROR(__xludf.DUMMYFUNCTION("""COMPUTED_VALUE"""),47400.0)</f>
        <v>47400</v>
      </c>
      <c r="F1000" s="3" t="str">
        <f>IFERROR(__xludf.DUMMYFUNCTION("""COMPUTED_VALUE"""),"Bonarda")</f>
        <v>Bonarda</v>
      </c>
      <c r="G1000" s="3"/>
      <c r="H1000" s="3"/>
      <c r="I1000" s="3"/>
      <c r="J1000" s="3"/>
      <c r="K1000" s="57">
        <f>IFERROR(__xludf.DUMMYFUNCTION("""COMPUTED_VALUE"""),3.41)</f>
        <v>3.41</v>
      </c>
      <c r="L1000" s="54">
        <f>IFERROR(__xludf.DUMMYFUNCTION("""COMPUTED_VALUE"""),20.0)</f>
        <v>20</v>
      </c>
      <c r="M1000" s="3">
        <f>IFERROR(__xludf.DUMMYFUNCTION("""COMPUTED_VALUE"""),70.0)</f>
        <v>70</v>
      </c>
      <c r="N1000" s="3"/>
      <c r="O1000" s="3"/>
      <c r="P1000" s="3"/>
      <c r="Q1000" s="3"/>
      <c r="R1000" s="3"/>
      <c r="S1000" s="3"/>
      <c r="T1000" s="5"/>
      <c r="U1000" s="5"/>
      <c r="V1000" s="5"/>
      <c r="W1000" s="5"/>
    </row>
    <row r="1001" ht="15.75" customHeight="1">
      <c r="A1001" s="3">
        <f>IFERROR(__xludf.DUMMYFUNCTION("""COMPUTED_VALUE"""),1001.0)</f>
        <v>1001</v>
      </c>
      <c r="B1001" s="53">
        <f>IFERROR(__xludf.DUMMYFUNCTION("""COMPUTED_VALUE"""),45737.0)</f>
        <v>45737</v>
      </c>
      <c r="C1001" s="3">
        <f>IFERROR(__xludf.DUMMYFUNCTION("""COMPUTED_VALUE"""),84.0)</f>
        <v>84</v>
      </c>
      <c r="D1001" s="3" t="str">
        <f>IFERROR(__xludf.DUMMYFUNCTION("""COMPUTED_VALUE"""),"c60f6341")</f>
        <v>c60f6341</v>
      </c>
      <c r="E1001" s="54">
        <f>IFERROR(__xludf.DUMMYFUNCTION("""COMPUTED_VALUE"""),29800.0)</f>
        <v>29800</v>
      </c>
      <c r="F1001" s="3" t="str">
        <f>IFERROR(__xludf.DUMMYFUNCTION("""COMPUTED_VALUE"""),"Malbec Mec")</f>
        <v>Malbec Mec</v>
      </c>
      <c r="G1001" s="3"/>
      <c r="H1001" s="56">
        <f>IFERROR(__xludf.DUMMYFUNCTION("""COMPUTED_VALUE"""),238.0)</f>
        <v>238</v>
      </c>
      <c r="I1001" s="3"/>
      <c r="J1001" s="3"/>
      <c r="K1001" s="57">
        <f>IFERROR(__xludf.DUMMYFUNCTION("""COMPUTED_VALUE"""),3.77)</f>
        <v>3.77</v>
      </c>
      <c r="L1001" s="54">
        <f>IFERROR(__xludf.DUMMYFUNCTION("""COMPUTED_VALUE"""),35.0)</f>
        <v>35</v>
      </c>
      <c r="M1001" s="3">
        <f>IFERROR(__xludf.DUMMYFUNCTION("""COMPUTED_VALUE"""),52.0)</f>
        <v>52</v>
      </c>
      <c r="N1001" s="3"/>
      <c r="O1001" s="3"/>
      <c r="P1001" s="3"/>
      <c r="Q1001" s="3"/>
      <c r="R1001" s="3"/>
      <c r="S1001" s="3"/>
      <c r="T1001" s="5"/>
      <c r="U1001" s="5"/>
      <c r="V1001" s="5"/>
      <c r="W1001" s="5"/>
    </row>
    <row r="1002" ht="15.75" customHeight="1">
      <c r="A1002" s="3">
        <f>IFERROR(__xludf.DUMMYFUNCTION("""COMPUTED_VALUE"""),1002.0)</f>
        <v>1002</v>
      </c>
      <c r="B1002" s="53">
        <f>IFERROR(__xludf.DUMMYFUNCTION("""COMPUTED_VALUE"""),45737.0)</f>
        <v>45737</v>
      </c>
      <c r="C1002" s="3">
        <f>IFERROR(__xludf.DUMMYFUNCTION("""COMPUTED_VALUE"""),96.0)</f>
        <v>96</v>
      </c>
      <c r="D1002" s="3" t="str">
        <f>IFERROR(__xludf.DUMMYFUNCTION("""COMPUTED_VALUE"""),"7b27f7a2")</f>
        <v>7b27f7a2</v>
      </c>
      <c r="E1002" s="54">
        <f>IFERROR(__xludf.DUMMYFUNCTION("""COMPUTED_VALUE"""),39000.0)</f>
        <v>39000</v>
      </c>
      <c r="F1002" s="3" t="str">
        <f>IFERROR(__xludf.DUMMYFUNCTION("""COMPUTED_VALUE"""),"Tinto Recarga")</f>
        <v>Tinto Recarga</v>
      </c>
      <c r="G1002" s="3"/>
      <c r="H1002" s="3"/>
      <c r="I1002" s="3"/>
      <c r="J1002" s="3"/>
      <c r="K1002" s="57">
        <f>IFERROR(__xludf.DUMMYFUNCTION("""COMPUTED_VALUE"""),3.58)</f>
        <v>3.58</v>
      </c>
      <c r="L1002" s="54">
        <f>IFERROR(__xludf.DUMMYFUNCTION("""COMPUTED_VALUE"""),20.0)</f>
        <v>20</v>
      </c>
      <c r="M1002" s="3">
        <f>IFERROR(__xludf.DUMMYFUNCTION("""COMPUTED_VALUE"""),48.0)</f>
        <v>48</v>
      </c>
      <c r="N1002" s="3"/>
      <c r="O1002" s="3"/>
      <c r="P1002" s="3"/>
      <c r="Q1002" s="3"/>
      <c r="R1002" s="3"/>
      <c r="S1002" s="3"/>
      <c r="T1002" s="5"/>
      <c r="U1002" s="5"/>
      <c r="V1002" s="5"/>
      <c r="W1002" s="5"/>
    </row>
    <row r="1003" ht="15.75" customHeight="1">
      <c r="A1003" s="3">
        <f>IFERROR(__xludf.DUMMYFUNCTION("""COMPUTED_VALUE"""),1003.0)</f>
        <v>1003</v>
      </c>
      <c r="B1003" s="53">
        <f>IFERROR(__xludf.DUMMYFUNCTION("""COMPUTED_VALUE"""),45737.0)</f>
        <v>45737</v>
      </c>
      <c r="C1003" s="3">
        <f>IFERROR(__xludf.DUMMYFUNCTION("""COMPUTED_VALUE"""),66.0)</f>
        <v>66</v>
      </c>
      <c r="D1003" s="3" t="str">
        <f>IFERROR(__xludf.DUMMYFUNCTION("""COMPUTED_VALUE"""),"2cca878f")</f>
        <v>2cca878f</v>
      </c>
      <c r="E1003" s="54">
        <f>IFERROR(__xludf.DUMMYFUNCTION("""COMPUTED_VALUE"""),15000.0)</f>
        <v>15000</v>
      </c>
      <c r="F1003" s="3" t="str">
        <f>IFERROR(__xludf.DUMMYFUNCTION("""COMPUTED_VALUE"""),"Tinto Criolla Rec")</f>
        <v>Tinto Criolla Rec</v>
      </c>
      <c r="G1003" s="3"/>
      <c r="H1003" s="3"/>
      <c r="I1003" s="3"/>
      <c r="J1003" s="3"/>
      <c r="K1003" s="57">
        <f>IFERROR(__xludf.DUMMYFUNCTION("""COMPUTED_VALUE"""),3.57)</f>
        <v>3.57</v>
      </c>
      <c r="L1003" s="54">
        <f>IFERROR(__xludf.DUMMYFUNCTION("""COMPUTED_VALUE"""),19.0)</f>
        <v>19</v>
      </c>
      <c r="M1003" s="3">
        <f>IFERROR(__xludf.DUMMYFUNCTION("""COMPUTED_VALUE"""),52.0)</f>
        <v>52</v>
      </c>
      <c r="N1003" s="3"/>
      <c r="O1003" s="3"/>
      <c r="P1003" s="3"/>
      <c r="Q1003" s="3"/>
      <c r="R1003" s="3"/>
      <c r="S1003" s="3"/>
      <c r="T1003" s="5"/>
      <c r="U1003" s="5"/>
      <c r="V1003" s="5"/>
      <c r="W1003" s="5"/>
    </row>
    <row r="1004" ht="15.75" customHeight="1">
      <c r="A1004" s="3">
        <f>IFERROR(__xludf.DUMMYFUNCTION("""COMPUTED_VALUE"""),1004.0)</f>
        <v>1004</v>
      </c>
      <c r="B1004" s="53">
        <f>IFERROR(__xludf.DUMMYFUNCTION("""COMPUTED_VALUE"""),45737.0)</f>
        <v>45737</v>
      </c>
      <c r="C1004" s="3">
        <f>IFERROR(__xludf.DUMMYFUNCTION("""COMPUTED_VALUE"""),67.0)</f>
        <v>67</v>
      </c>
      <c r="D1004" s="3" t="str">
        <f>IFERROR(__xludf.DUMMYFUNCTION("""COMPUTED_VALUE"""),"730bdaa5")</f>
        <v>730bdaa5</v>
      </c>
      <c r="E1004" s="54">
        <f>IFERROR(__xludf.DUMMYFUNCTION("""COMPUTED_VALUE"""),21100.0)</f>
        <v>21100</v>
      </c>
      <c r="F1004" s="3" t="str">
        <f>IFERROR(__xludf.DUMMYFUNCTION("""COMPUTED_VALUE"""),"Bonarda")</f>
        <v>Bonarda</v>
      </c>
      <c r="G1004" s="3"/>
      <c r="H1004" s="3"/>
      <c r="I1004" s="3"/>
      <c r="J1004" s="3"/>
      <c r="K1004" s="57">
        <f>IFERROR(__xludf.DUMMYFUNCTION("""COMPUTED_VALUE"""),3.37)</f>
        <v>3.37</v>
      </c>
      <c r="L1004" s="54">
        <f>IFERROR(__xludf.DUMMYFUNCTION("""COMPUTED_VALUE"""),25.0)</f>
        <v>25</v>
      </c>
      <c r="M1004" s="3">
        <f>IFERROR(__xludf.DUMMYFUNCTION("""COMPUTED_VALUE"""),58.0)</f>
        <v>58</v>
      </c>
      <c r="N1004" s="3"/>
      <c r="O1004" s="3"/>
      <c r="P1004" s="3"/>
      <c r="Q1004" s="3"/>
      <c r="R1004" s="3"/>
      <c r="S1004" s="3"/>
      <c r="T1004" s="5"/>
      <c r="U1004" s="5"/>
      <c r="V1004" s="5"/>
      <c r="W1004" s="5"/>
    </row>
    <row r="1005" ht="15.75" customHeight="1">
      <c r="A1005" s="3">
        <f>IFERROR(__xludf.DUMMYFUNCTION("""COMPUTED_VALUE"""),1005.0)</f>
        <v>1005</v>
      </c>
      <c r="B1005" s="53">
        <f>IFERROR(__xludf.DUMMYFUNCTION("""COMPUTED_VALUE"""),45737.0)</f>
        <v>45737</v>
      </c>
      <c r="C1005" s="3">
        <f>IFERROR(__xludf.DUMMYFUNCTION("""COMPUTED_VALUE"""),71.0)</f>
        <v>71</v>
      </c>
      <c r="D1005" s="3" t="str">
        <f>IFERROR(__xludf.DUMMYFUNCTION("""COMPUTED_VALUE"""),"8ba061c3")</f>
        <v>8ba061c3</v>
      </c>
      <c r="E1005" s="54">
        <f>IFERROR(__xludf.DUMMYFUNCTION("""COMPUTED_VALUE"""),9500.0)</f>
        <v>9500</v>
      </c>
      <c r="F1005" s="3" t="str">
        <f>IFERROR(__xludf.DUMMYFUNCTION("""COMPUTED_VALUE"""),"Tanat")</f>
        <v>Tanat</v>
      </c>
      <c r="G1005" s="3"/>
      <c r="H1005" s="3"/>
      <c r="I1005" s="3"/>
      <c r="J1005" s="3"/>
      <c r="K1005" s="57">
        <f>IFERROR(__xludf.DUMMYFUNCTION("""COMPUTED_VALUE"""),3.4)</f>
        <v>3.4</v>
      </c>
      <c r="L1005" s="54">
        <f>IFERROR(__xludf.DUMMYFUNCTION("""COMPUTED_VALUE"""),18.0)</f>
        <v>18</v>
      </c>
      <c r="M1005" s="3">
        <f>IFERROR(__xludf.DUMMYFUNCTION("""COMPUTED_VALUE"""),62.0)</f>
        <v>62</v>
      </c>
      <c r="N1005" s="3"/>
      <c r="O1005" s="3"/>
      <c r="P1005" s="3"/>
      <c r="Q1005" s="3"/>
      <c r="R1005" s="3"/>
      <c r="S1005" s="3"/>
      <c r="T1005" s="5"/>
      <c r="U1005" s="5"/>
      <c r="V1005" s="5"/>
      <c r="W1005" s="5"/>
    </row>
    <row r="1006" ht="15.75" customHeight="1">
      <c r="A1006" s="3">
        <f>IFERROR(__xludf.DUMMYFUNCTION("""COMPUTED_VALUE"""),1006.0)</f>
        <v>1006</v>
      </c>
      <c r="B1006" s="53">
        <f>IFERROR(__xludf.DUMMYFUNCTION("""COMPUTED_VALUE"""),45737.0)</f>
        <v>45737</v>
      </c>
      <c r="C1006" s="3">
        <f>IFERROR(__xludf.DUMMYFUNCTION("""COMPUTED_VALUE"""),78.0)</f>
        <v>78</v>
      </c>
      <c r="D1006" s="3" t="str">
        <f>IFERROR(__xludf.DUMMYFUNCTION("""COMPUTED_VALUE"""),"d7488996")</f>
        <v>d7488996</v>
      </c>
      <c r="E1006" s="54">
        <f>IFERROR(__xludf.DUMMYFUNCTION("""COMPUTED_VALUE"""),12400.0)</f>
        <v>12400</v>
      </c>
      <c r="F1006" s="3" t="str">
        <f>IFERROR(__xludf.DUMMYFUNCTION("""COMPUTED_VALUE"""),"Tinto Recarga")</f>
        <v>Tinto Recarga</v>
      </c>
      <c r="G1006" s="3"/>
      <c r="H1006" s="3"/>
      <c r="I1006" s="3"/>
      <c r="J1006" s="3"/>
      <c r="K1006" s="57">
        <f>IFERROR(__xludf.DUMMYFUNCTION("""COMPUTED_VALUE"""),3.52)</f>
        <v>3.52</v>
      </c>
      <c r="L1006" s="54">
        <f>IFERROR(__xludf.DUMMYFUNCTION("""COMPUTED_VALUE"""),12.0)</f>
        <v>12</v>
      </c>
      <c r="M1006" s="3">
        <f>IFERROR(__xludf.DUMMYFUNCTION("""COMPUTED_VALUE"""),42.0)</f>
        <v>42</v>
      </c>
      <c r="N1006" s="3"/>
      <c r="O1006" s="3"/>
      <c r="P1006" s="3"/>
      <c r="Q1006" s="3"/>
      <c r="R1006" s="3"/>
      <c r="S1006" s="3"/>
      <c r="T1006" s="5"/>
      <c r="U1006" s="5"/>
      <c r="V1006" s="5"/>
      <c r="W1006" s="5"/>
    </row>
    <row r="1007" ht="15.75" customHeight="1">
      <c r="A1007" s="3">
        <f>IFERROR(__xludf.DUMMYFUNCTION("""COMPUTED_VALUE"""),1007.0)</f>
        <v>1007</v>
      </c>
      <c r="B1007" s="53">
        <f>IFERROR(__xludf.DUMMYFUNCTION("""COMPUTED_VALUE"""),45737.0)</f>
        <v>45737</v>
      </c>
      <c r="C1007" s="3">
        <f>IFERROR(__xludf.DUMMYFUNCTION("""COMPUTED_VALUE"""),80.0)</f>
        <v>80</v>
      </c>
      <c r="D1007" s="3" t="str">
        <f>IFERROR(__xludf.DUMMYFUNCTION("""COMPUTED_VALUE"""),"c210f1aa")</f>
        <v>c210f1aa</v>
      </c>
      <c r="E1007" s="54">
        <f>IFERROR(__xludf.DUMMYFUNCTION("""COMPUTED_VALUE"""),21300.0)</f>
        <v>21300</v>
      </c>
      <c r="F1007" s="3" t="str">
        <f>IFERROR(__xludf.DUMMYFUNCTION("""COMPUTED_VALUE"""),"Chenin")</f>
        <v>Chenin</v>
      </c>
      <c r="G1007" s="3"/>
      <c r="H1007" s="3"/>
      <c r="I1007" s="3"/>
      <c r="J1007" s="3"/>
      <c r="K1007" s="3"/>
      <c r="L1007" s="54">
        <f>IFERROR(__xludf.DUMMYFUNCTION("""COMPUTED_VALUE"""),12.0)</f>
        <v>12</v>
      </c>
      <c r="M1007" s="3">
        <f>IFERROR(__xludf.DUMMYFUNCTION("""COMPUTED_VALUE"""),40.0)</f>
        <v>40</v>
      </c>
      <c r="N1007" s="3"/>
      <c r="O1007" s="3"/>
      <c r="P1007" s="3"/>
      <c r="Q1007" s="3"/>
      <c r="R1007" s="3"/>
      <c r="S1007" s="3"/>
      <c r="T1007" s="5"/>
      <c r="U1007" s="5"/>
      <c r="V1007" s="5"/>
      <c r="W1007" s="5"/>
    </row>
    <row r="1008" ht="15.75" customHeight="1">
      <c r="A1008" s="3">
        <f>IFERROR(__xludf.DUMMYFUNCTION("""COMPUTED_VALUE"""),1008.0)</f>
        <v>1008</v>
      </c>
      <c r="B1008" s="53">
        <f>IFERROR(__xludf.DUMMYFUNCTION("""COMPUTED_VALUE"""),45737.0)</f>
        <v>45737</v>
      </c>
      <c r="C1008" s="3">
        <f>IFERROR(__xludf.DUMMYFUNCTION("""COMPUTED_VALUE"""),46.0)</f>
        <v>46</v>
      </c>
      <c r="D1008" s="3" t="str">
        <f>IFERROR(__xludf.DUMMYFUNCTION("""COMPUTED_VALUE"""),"92bbed34")</f>
        <v>92bbed34</v>
      </c>
      <c r="E1008" s="54">
        <f>IFERROR(__xludf.DUMMYFUNCTION("""COMPUTED_VALUE"""),29000.0)</f>
        <v>29000</v>
      </c>
      <c r="F1008" s="3" t="str">
        <f>IFERROR(__xludf.DUMMYFUNCTION("""COMPUTED_VALUE"""),"Malbec Gota")</f>
        <v>Malbec Gota</v>
      </c>
      <c r="G1008" s="3"/>
      <c r="H1008" s="3"/>
      <c r="I1008" s="3"/>
      <c r="J1008" s="3"/>
      <c r="K1008" s="3"/>
      <c r="L1008" s="54">
        <f>IFERROR(__xludf.DUMMYFUNCTION("""COMPUTED_VALUE"""),32.0)</f>
        <v>32</v>
      </c>
      <c r="M1008" s="3">
        <f>IFERROR(__xludf.DUMMYFUNCTION("""COMPUTED_VALUE"""),135.0)</f>
        <v>135</v>
      </c>
      <c r="N1008" s="3"/>
      <c r="O1008" s="3"/>
      <c r="P1008" s="3"/>
      <c r="Q1008" s="3"/>
      <c r="R1008" s="3"/>
      <c r="S1008" s="3"/>
      <c r="T1008" s="5"/>
      <c r="U1008" s="5"/>
      <c r="V1008" s="5"/>
      <c r="W1008" s="5"/>
    </row>
    <row r="1009" ht="15.75" customHeight="1">
      <c r="A1009" s="3">
        <f>IFERROR(__xludf.DUMMYFUNCTION("""COMPUTED_VALUE"""),1009.0)</f>
        <v>1009</v>
      </c>
      <c r="B1009" s="53">
        <f>IFERROR(__xludf.DUMMYFUNCTION("""COMPUTED_VALUE"""),45737.0)</f>
        <v>45737</v>
      </c>
      <c r="C1009" s="3">
        <f>IFERROR(__xludf.DUMMYFUNCTION("""COMPUTED_VALUE"""),103.0)</f>
        <v>103</v>
      </c>
      <c r="D1009" s="3" t="str">
        <f>IFERROR(__xludf.DUMMYFUNCTION("""COMPUTED_VALUE"""),"a2ec7d6d")</f>
        <v>a2ec7d6d</v>
      </c>
      <c r="E1009" s="54">
        <f>IFERROR(__xludf.DUMMYFUNCTION("""COMPUTED_VALUE"""),36000.0)</f>
        <v>36000</v>
      </c>
      <c r="F1009" s="3" t="str">
        <f>IFERROR(__xludf.DUMMYFUNCTION("""COMPUTED_VALUE"""),"Anccelotta")</f>
        <v>Anccelotta</v>
      </c>
      <c r="G1009" s="3"/>
      <c r="H1009" s="3"/>
      <c r="I1009" s="3"/>
      <c r="J1009" s="3"/>
      <c r="K1009" s="3"/>
      <c r="L1009" s="54">
        <f>IFERROR(__xludf.DUMMYFUNCTION("""COMPUTED_VALUE"""),25.0)</f>
        <v>25</v>
      </c>
      <c r="M1009" s="3">
        <f>IFERROR(__xludf.DUMMYFUNCTION("""COMPUTED_VALUE"""),70.0)</f>
        <v>70</v>
      </c>
      <c r="N1009" s="3"/>
      <c r="O1009" s="3"/>
      <c r="P1009" s="3"/>
      <c r="Q1009" s="3"/>
      <c r="R1009" s="3"/>
      <c r="S1009" s="3"/>
      <c r="T1009" s="5"/>
      <c r="U1009" s="5"/>
      <c r="V1009" s="5"/>
      <c r="W1009" s="5"/>
    </row>
    <row r="1010" ht="15.75" customHeight="1">
      <c r="A1010" s="3">
        <f>IFERROR(__xludf.DUMMYFUNCTION("""COMPUTED_VALUE"""),1010.0)</f>
        <v>1010</v>
      </c>
      <c r="B1010" s="53">
        <f>IFERROR(__xludf.DUMMYFUNCTION("""COMPUTED_VALUE"""),45737.0)</f>
        <v>45737</v>
      </c>
      <c r="C1010" s="3">
        <f>IFERROR(__xludf.DUMMYFUNCTION("""COMPUTED_VALUE"""),104.0)</f>
        <v>104</v>
      </c>
      <c r="D1010" s="3" t="str">
        <f>IFERROR(__xludf.DUMMYFUNCTION("""COMPUTED_VALUE"""),"78caf863")</f>
        <v>78caf863</v>
      </c>
      <c r="E1010" s="54">
        <f>IFERROR(__xludf.DUMMYFUNCTION("""COMPUTED_VALUE"""),31000.0)</f>
        <v>31000</v>
      </c>
      <c r="F1010" s="3" t="str">
        <f>IFERROR(__xludf.DUMMYFUNCTION("""COMPUTED_VALUE"""),"Tempranillo")</f>
        <v>Tempranillo</v>
      </c>
      <c r="G1010" s="3"/>
      <c r="H1010" s="3"/>
      <c r="I1010" s="3"/>
      <c r="J1010" s="3"/>
      <c r="K1010" s="3"/>
      <c r="L1010" s="54">
        <f>IFERROR(__xludf.DUMMYFUNCTION("""COMPUTED_VALUE"""),20.0)</f>
        <v>20</v>
      </c>
      <c r="M1010" s="3">
        <f>IFERROR(__xludf.DUMMYFUNCTION("""COMPUTED_VALUE"""),60.0)</f>
        <v>60</v>
      </c>
      <c r="N1010" s="3"/>
      <c r="O1010" s="3"/>
      <c r="P1010" s="3"/>
      <c r="Q1010" s="3"/>
      <c r="R1010" s="3"/>
      <c r="S1010" s="3"/>
      <c r="T1010" s="5"/>
      <c r="U1010" s="5"/>
      <c r="V1010" s="5"/>
      <c r="W1010" s="5"/>
    </row>
    <row r="1011" ht="15.75" customHeight="1">
      <c r="A1011" s="3">
        <f>IFERROR(__xludf.DUMMYFUNCTION("""COMPUTED_VALUE"""),1011.0)</f>
        <v>1011</v>
      </c>
      <c r="B1011" s="53">
        <f>IFERROR(__xludf.DUMMYFUNCTION("""COMPUTED_VALUE"""),45737.0)</f>
        <v>45737</v>
      </c>
      <c r="C1011" s="3">
        <f>IFERROR(__xludf.DUMMYFUNCTION("""COMPUTED_VALUE"""),118.0)</f>
        <v>118</v>
      </c>
      <c r="D1011" s="3" t="str">
        <f>IFERROR(__xludf.DUMMYFUNCTION("""COMPUTED_VALUE"""),"03ffe0d5")</f>
        <v>03ffe0d5</v>
      </c>
      <c r="E1011" s="54">
        <f>IFERROR(__xludf.DUMMYFUNCTION("""COMPUTED_VALUE"""),155600.0)</f>
        <v>155600</v>
      </c>
      <c r="F1011" s="3" t="str">
        <f>IFERROR(__xludf.DUMMYFUNCTION("""COMPUTED_VALUE"""),"Syrah")</f>
        <v>Syrah</v>
      </c>
      <c r="G1011" s="3"/>
      <c r="H1011" s="3"/>
      <c r="I1011" s="3"/>
      <c r="J1011" s="3"/>
      <c r="K1011" s="3"/>
      <c r="L1011" s="54">
        <f>IFERROR(__xludf.DUMMYFUNCTION("""COMPUTED_VALUE"""),19.0)</f>
        <v>19</v>
      </c>
      <c r="M1011" s="3">
        <f>IFERROR(__xludf.DUMMYFUNCTION("""COMPUTED_VALUE"""),72.0)</f>
        <v>72</v>
      </c>
      <c r="N1011" s="3"/>
      <c r="O1011" s="3"/>
      <c r="P1011" s="3"/>
      <c r="Q1011" s="3"/>
      <c r="R1011" s="3"/>
      <c r="S1011" s="3"/>
      <c r="T1011" s="5"/>
      <c r="U1011" s="5"/>
      <c r="V1011" s="5"/>
      <c r="W1011" s="5"/>
    </row>
    <row r="1012" ht="15.75" customHeight="1">
      <c r="A1012" s="3">
        <f>IFERROR(__xludf.DUMMYFUNCTION("""COMPUTED_VALUE"""),1012.0)</f>
        <v>1012</v>
      </c>
      <c r="B1012" s="53">
        <f>IFERROR(__xludf.DUMMYFUNCTION("""COMPUTED_VALUE"""),45740.0)</f>
        <v>45740</v>
      </c>
      <c r="C1012" s="3">
        <f>IFERROR(__xludf.DUMMYFUNCTION("""COMPUTED_VALUE"""),109.0)</f>
        <v>109</v>
      </c>
      <c r="D1012" s="3" t="str">
        <f>IFERROR(__xludf.DUMMYFUNCTION("""COMPUTED_VALUE"""),"33d70f3e")</f>
        <v>33d70f3e</v>
      </c>
      <c r="E1012" s="54">
        <f>IFERROR(__xludf.DUMMYFUNCTION("""COMPUTED_VALUE"""),15600.0)</f>
        <v>15600</v>
      </c>
      <c r="F1012" s="3" t="str">
        <f>IFERROR(__xludf.DUMMYFUNCTION("""COMPUTED_VALUE"""),"Bonarda C2")</f>
        <v>Bonarda C2</v>
      </c>
      <c r="G1012" s="3"/>
      <c r="H1012" s="56">
        <f>IFERROR(__xludf.DUMMYFUNCTION("""COMPUTED_VALUE"""),2.0)</f>
        <v>2</v>
      </c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5"/>
      <c r="U1012" s="5"/>
      <c r="V1012" s="5"/>
      <c r="W1012" s="5"/>
    </row>
    <row r="1013" ht="15.75" customHeight="1">
      <c r="A1013" s="3">
        <f>IFERROR(__xludf.DUMMYFUNCTION("""COMPUTED_VALUE"""),1013.0)</f>
        <v>1013</v>
      </c>
      <c r="B1013" s="53">
        <f>IFERROR(__xludf.DUMMYFUNCTION("""COMPUTED_VALUE"""),45740.0)</f>
        <v>45740</v>
      </c>
      <c r="C1013" s="3">
        <f>IFERROR(__xludf.DUMMYFUNCTION("""COMPUTED_VALUE"""),76.0)</f>
        <v>76</v>
      </c>
      <c r="D1013" s="3" t="str">
        <f>IFERROR(__xludf.DUMMYFUNCTION("""COMPUTED_VALUE"""),"3a308f07")</f>
        <v>3a308f07</v>
      </c>
      <c r="E1013" s="54">
        <f>IFERROR(__xludf.DUMMYFUNCTION("""COMPUTED_VALUE"""),16600.0)</f>
        <v>16600</v>
      </c>
      <c r="F1013" s="3" t="str">
        <f>IFERROR(__xludf.DUMMYFUNCTION("""COMPUTED_VALUE"""),"Bonarda C2")</f>
        <v>Bonarda C2</v>
      </c>
      <c r="G1013" s="55">
        <f>IFERROR(__xludf.DUMMYFUNCTION("""COMPUTED_VALUE"""),12.8)</f>
        <v>12.8</v>
      </c>
      <c r="H1013" s="56">
        <f>IFERROR(__xludf.DUMMYFUNCTION("""COMPUTED_VALUE"""),2.0)</f>
        <v>2</v>
      </c>
      <c r="I1013" s="57">
        <f>IFERROR(__xludf.DUMMYFUNCTION("""COMPUTED_VALUE"""),0.45)</f>
        <v>0.45</v>
      </c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5"/>
      <c r="U1013" s="5"/>
      <c r="V1013" s="5"/>
      <c r="W1013" s="5"/>
    </row>
    <row r="1014" ht="15.75" customHeight="1">
      <c r="A1014" s="3">
        <f>IFERROR(__xludf.DUMMYFUNCTION("""COMPUTED_VALUE"""),1014.0)</f>
        <v>1014</v>
      </c>
      <c r="B1014" s="53">
        <f>IFERROR(__xludf.DUMMYFUNCTION("""COMPUTED_VALUE"""),45740.0)</f>
        <v>45740</v>
      </c>
      <c r="C1014" s="3">
        <f>IFERROR(__xludf.DUMMYFUNCTION("""COMPUTED_VALUE"""),77.0)</f>
        <v>77</v>
      </c>
      <c r="D1014" s="3" t="str">
        <f>IFERROR(__xludf.DUMMYFUNCTION("""COMPUTED_VALUE"""),"3d517070")</f>
        <v>3d517070</v>
      </c>
      <c r="E1014" s="54">
        <f>IFERROR(__xludf.DUMMYFUNCTION("""COMPUTED_VALUE"""),12900.0)</f>
        <v>12900</v>
      </c>
      <c r="F1014" s="3" t="str">
        <f>IFERROR(__xludf.DUMMYFUNCTION("""COMPUTED_VALUE"""),"Bonarda C2")</f>
        <v>Bonarda C2</v>
      </c>
      <c r="G1014" s="55">
        <f>IFERROR(__xludf.DUMMYFUNCTION("""COMPUTED_VALUE"""),12.8)</f>
        <v>12.8</v>
      </c>
      <c r="H1014" s="56">
        <f>IFERROR(__xludf.DUMMYFUNCTION("""COMPUTED_VALUE"""),2.0)</f>
        <v>2</v>
      </c>
      <c r="I1014" s="57">
        <f>IFERROR(__xludf.DUMMYFUNCTION("""COMPUTED_VALUE"""),0.45)</f>
        <v>0.45</v>
      </c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5"/>
      <c r="U1014" s="5"/>
      <c r="V1014" s="5"/>
      <c r="W1014" s="5"/>
    </row>
    <row r="1015" ht="15.75" customHeight="1">
      <c r="A1015" s="3">
        <f>IFERROR(__xludf.DUMMYFUNCTION("""COMPUTED_VALUE"""),1015.0)</f>
        <v>1015</v>
      </c>
      <c r="B1015" s="53">
        <f>IFERROR(__xludf.DUMMYFUNCTION("""COMPUTED_VALUE"""),45740.0)</f>
        <v>45740</v>
      </c>
      <c r="C1015" s="3">
        <f>IFERROR(__xludf.DUMMYFUNCTION("""COMPUTED_VALUE"""),86.0)</f>
        <v>86</v>
      </c>
      <c r="D1015" s="3" t="str">
        <f>IFERROR(__xludf.DUMMYFUNCTION("""COMPUTED_VALUE"""),"26cfa504")</f>
        <v>26cfa504</v>
      </c>
      <c r="E1015" s="54">
        <f>IFERROR(__xludf.DUMMYFUNCTION("""COMPUTED_VALUE"""),52500.0)</f>
        <v>52500</v>
      </c>
      <c r="F1015" s="3" t="str">
        <f>IFERROR(__xludf.DUMMYFUNCTION("""COMPUTED_VALUE"""),"Syrah")</f>
        <v>Syrah</v>
      </c>
      <c r="G1015" s="3"/>
      <c r="H1015" s="56">
        <f>IFERROR(__xludf.DUMMYFUNCTION("""COMPUTED_VALUE"""),8.0)</f>
        <v>8</v>
      </c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5"/>
      <c r="U1015" s="5"/>
      <c r="V1015" s="5"/>
      <c r="W1015" s="5"/>
    </row>
    <row r="1016" ht="15.75" customHeight="1">
      <c r="A1016" s="3">
        <f>IFERROR(__xludf.DUMMYFUNCTION("""COMPUTED_VALUE"""),1016.0)</f>
        <v>1016</v>
      </c>
      <c r="B1016" s="53">
        <f>IFERROR(__xludf.DUMMYFUNCTION("""COMPUTED_VALUE"""),45741.0)</f>
        <v>45741</v>
      </c>
      <c r="C1016" s="3">
        <f>IFERROR(__xludf.DUMMYFUNCTION("""COMPUTED_VALUE"""),67.0)</f>
        <v>67</v>
      </c>
      <c r="D1016" s="3" t="str">
        <f>IFERROR(__xludf.DUMMYFUNCTION("""COMPUTED_VALUE"""),"730bdaa5")</f>
        <v>730bdaa5</v>
      </c>
      <c r="E1016" s="54">
        <f>IFERROR(__xludf.DUMMYFUNCTION("""COMPUTED_VALUE"""),21100.0)</f>
        <v>21100</v>
      </c>
      <c r="F1016" s="3" t="str">
        <f>IFERROR(__xludf.DUMMYFUNCTION("""COMPUTED_VALUE"""),"Bonarda")</f>
        <v>Bonarda</v>
      </c>
      <c r="G1016" s="3"/>
      <c r="H1016" s="3"/>
      <c r="I1016" s="3"/>
      <c r="J1016" s="3"/>
      <c r="K1016" s="57">
        <f>IFERROR(__xludf.DUMMYFUNCTION("""COMPUTED_VALUE"""),3.47)</f>
        <v>3.47</v>
      </c>
      <c r="L1016" s="3"/>
      <c r="M1016" s="3"/>
      <c r="N1016" s="3"/>
      <c r="O1016" s="3"/>
      <c r="P1016" s="3"/>
      <c r="Q1016" s="3"/>
      <c r="R1016" s="3"/>
      <c r="S1016" s="3"/>
      <c r="T1016" s="5"/>
      <c r="U1016" s="5"/>
      <c r="V1016" s="5"/>
      <c r="W1016" s="5"/>
    </row>
    <row r="1017" ht="15.75" customHeight="1">
      <c r="A1017" s="3">
        <f>IFERROR(__xludf.DUMMYFUNCTION("""COMPUTED_VALUE"""),1017.0)</f>
        <v>1017</v>
      </c>
      <c r="B1017" s="53">
        <f>IFERROR(__xludf.DUMMYFUNCTION("""COMPUTED_VALUE"""),45741.0)</f>
        <v>45741</v>
      </c>
      <c r="C1017" s="3">
        <f>IFERROR(__xludf.DUMMYFUNCTION("""COMPUTED_VALUE"""),83.0)</f>
        <v>83</v>
      </c>
      <c r="D1017" s="3" t="str">
        <f>IFERROR(__xludf.DUMMYFUNCTION("""COMPUTED_VALUE"""),"d007d867")</f>
        <v>d007d867</v>
      </c>
      <c r="E1017" s="54">
        <f>IFERROR(__xludf.DUMMYFUNCTION("""COMPUTED_VALUE"""),47400.0)</f>
        <v>47400</v>
      </c>
      <c r="F1017" s="3" t="str">
        <f>IFERROR(__xludf.DUMMYFUNCTION("""COMPUTED_VALUE"""),"Bonarda")</f>
        <v>Bonarda</v>
      </c>
      <c r="G1017" s="3"/>
      <c r="H1017" s="56">
        <f>IFERROR(__xludf.DUMMYFUNCTION("""COMPUTED_VALUE"""),2.0)</f>
        <v>2</v>
      </c>
      <c r="I1017" s="3"/>
      <c r="J1017" s="3"/>
      <c r="K1017" s="57">
        <f>IFERROR(__xludf.DUMMYFUNCTION("""COMPUTED_VALUE"""),3.54)</f>
        <v>3.54</v>
      </c>
      <c r="L1017" s="3"/>
      <c r="M1017" s="3"/>
      <c r="N1017" s="3"/>
      <c r="O1017" s="3"/>
      <c r="P1017" s="3"/>
      <c r="Q1017" s="3"/>
      <c r="R1017" s="3"/>
      <c r="S1017" s="3"/>
      <c r="T1017" s="5"/>
      <c r="U1017" s="5"/>
      <c r="V1017" s="5"/>
      <c r="W1017" s="5"/>
    </row>
    <row r="1018" ht="15.75" customHeight="1">
      <c r="A1018" s="3">
        <f>IFERROR(__xludf.DUMMYFUNCTION("""COMPUTED_VALUE"""),1018.0)</f>
        <v>1018</v>
      </c>
      <c r="B1018" s="53">
        <f>IFERROR(__xludf.DUMMYFUNCTION("""COMPUTED_VALUE"""),45741.0)</f>
        <v>45741</v>
      </c>
      <c r="C1018" s="3">
        <f>IFERROR(__xludf.DUMMYFUNCTION("""COMPUTED_VALUE"""),65.0)</f>
        <v>65</v>
      </c>
      <c r="D1018" s="3" t="str">
        <f>IFERROR(__xludf.DUMMYFUNCTION("""COMPUTED_VALUE"""),"b2ddb184")</f>
        <v>b2ddb184</v>
      </c>
      <c r="E1018" s="54">
        <f>IFERROR(__xludf.DUMMYFUNCTION("""COMPUTED_VALUE"""),25000.0)</f>
        <v>25000</v>
      </c>
      <c r="F1018" s="3" t="str">
        <f>IFERROR(__xludf.DUMMYFUNCTION("""COMPUTED_VALUE"""),"Pedro Gimenez")</f>
        <v>Pedro Gimenez</v>
      </c>
      <c r="G1018" s="3"/>
      <c r="H1018" s="56">
        <f>IFERROR(__xludf.DUMMYFUNCTION("""COMPUTED_VALUE"""),2.0)</f>
        <v>2</v>
      </c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5"/>
      <c r="U1018" s="5"/>
      <c r="V1018" s="5"/>
      <c r="W1018" s="5"/>
    </row>
    <row r="1019" ht="15.75" customHeight="1">
      <c r="A1019" s="3">
        <f>IFERROR(__xludf.DUMMYFUNCTION("""COMPUTED_VALUE"""),1019.0)</f>
        <v>1019</v>
      </c>
      <c r="B1019" s="53">
        <f>IFERROR(__xludf.DUMMYFUNCTION("""COMPUTED_VALUE"""),45741.0)</f>
        <v>45741</v>
      </c>
      <c r="C1019" s="3">
        <f>IFERROR(__xludf.DUMMYFUNCTION("""COMPUTED_VALUE"""),66.0)</f>
        <v>66</v>
      </c>
      <c r="D1019" s="3" t="str">
        <f>IFERROR(__xludf.DUMMYFUNCTION("""COMPUTED_VALUE"""),"2cca878f")</f>
        <v>2cca878f</v>
      </c>
      <c r="E1019" s="54">
        <f>IFERROR(__xludf.DUMMYFUNCTION("""COMPUTED_VALUE"""),15000.0)</f>
        <v>15000</v>
      </c>
      <c r="F1019" s="3" t="str">
        <f>IFERROR(__xludf.DUMMYFUNCTION("""COMPUTED_VALUE"""),"Tinto Criolla Rec")</f>
        <v>Tinto Criolla Rec</v>
      </c>
      <c r="G1019" s="3"/>
      <c r="H1019" s="56">
        <f>IFERROR(__xludf.DUMMYFUNCTION("""COMPUTED_VALUE"""),4.0)</f>
        <v>4</v>
      </c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5"/>
      <c r="U1019" s="5"/>
      <c r="V1019" s="5"/>
      <c r="W1019" s="5"/>
    </row>
    <row r="1020" ht="15.75" customHeight="1">
      <c r="A1020" s="3">
        <f>IFERROR(__xludf.DUMMYFUNCTION("""COMPUTED_VALUE"""),1020.0)</f>
        <v>1020</v>
      </c>
      <c r="B1020" s="53">
        <f>IFERROR(__xludf.DUMMYFUNCTION("""COMPUTED_VALUE"""),45741.0)</f>
        <v>45741</v>
      </c>
      <c r="C1020" s="3">
        <f>IFERROR(__xludf.DUMMYFUNCTION("""COMPUTED_VALUE"""),67.0)</f>
        <v>67</v>
      </c>
      <c r="D1020" s="3" t="str">
        <f>IFERROR(__xludf.DUMMYFUNCTION("""COMPUTED_VALUE"""),"730bdaa5")</f>
        <v>730bdaa5</v>
      </c>
      <c r="E1020" s="54">
        <f>IFERROR(__xludf.DUMMYFUNCTION("""COMPUTED_VALUE"""),21100.0)</f>
        <v>21100</v>
      </c>
      <c r="F1020" s="3" t="str">
        <f>IFERROR(__xludf.DUMMYFUNCTION("""COMPUTED_VALUE"""),"Bonarda")</f>
        <v>Bonarda</v>
      </c>
      <c r="G1020" s="3"/>
      <c r="H1020" s="56">
        <f>IFERROR(__xludf.DUMMYFUNCTION("""COMPUTED_VALUE"""),2.0)</f>
        <v>2</v>
      </c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5"/>
      <c r="U1020" s="5"/>
      <c r="V1020" s="5"/>
      <c r="W1020" s="5"/>
    </row>
    <row r="1021" ht="15.75" customHeight="1">
      <c r="A1021" s="3">
        <f>IFERROR(__xludf.DUMMYFUNCTION("""COMPUTED_VALUE"""),1021.0)</f>
        <v>1021</v>
      </c>
      <c r="B1021" s="53">
        <f>IFERROR(__xludf.DUMMYFUNCTION("""COMPUTED_VALUE"""),45741.0)</f>
        <v>45741</v>
      </c>
      <c r="C1021" s="3">
        <f>IFERROR(__xludf.DUMMYFUNCTION("""COMPUTED_VALUE"""),78.0)</f>
        <v>78</v>
      </c>
      <c r="D1021" s="3" t="str">
        <f>IFERROR(__xludf.DUMMYFUNCTION("""COMPUTED_VALUE"""),"d7488996")</f>
        <v>d7488996</v>
      </c>
      <c r="E1021" s="54">
        <f>IFERROR(__xludf.DUMMYFUNCTION("""COMPUTED_VALUE"""),12400.0)</f>
        <v>12400</v>
      </c>
      <c r="F1021" s="3" t="str">
        <f>IFERROR(__xludf.DUMMYFUNCTION("""COMPUTED_VALUE"""),"Tinto Recarga")</f>
        <v>Tinto Recarga</v>
      </c>
      <c r="G1021" s="3"/>
      <c r="H1021" s="56">
        <f>IFERROR(__xludf.DUMMYFUNCTION("""COMPUTED_VALUE"""),5.0)</f>
        <v>5</v>
      </c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5"/>
      <c r="U1021" s="5"/>
      <c r="V1021" s="5"/>
      <c r="W1021" s="5"/>
    </row>
    <row r="1022" ht="15.75" customHeight="1">
      <c r="A1022" s="3">
        <f>IFERROR(__xludf.DUMMYFUNCTION("""COMPUTED_VALUE"""),1022.0)</f>
        <v>1022</v>
      </c>
      <c r="B1022" s="53">
        <f>IFERROR(__xludf.DUMMYFUNCTION("""COMPUTED_VALUE"""),45741.0)</f>
        <v>45741</v>
      </c>
      <c r="C1022" s="3">
        <f>IFERROR(__xludf.DUMMYFUNCTION("""COMPUTED_VALUE"""),81.0)</f>
        <v>81</v>
      </c>
      <c r="D1022" s="3" t="str">
        <f>IFERROR(__xludf.DUMMYFUNCTION("""COMPUTED_VALUE"""),"dea77610")</f>
        <v>dea77610</v>
      </c>
      <c r="E1022" s="54">
        <f>IFERROR(__xludf.DUMMYFUNCTION("""COMPUTED_VALUE"""),20600.0)</f>
        <v>20600</v>
      </c>
      <c r="F1022" s="3" t="str">
        <f>IFERROR(__xludf.DUMMYFUNCTION("""COMPUTED_VALUE"""),"Torrontes")</f>
        <v>Torrontes</v>
      </c>
      <c r="G1022" s="3"/>
      <c r="H1022" s="56">
        <f>IFERROR(__xludf.DUMMYFUNCTION("""COMPUTED_VALUE"""),2.0)</f>
        <v>2</v>
      </c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5"/>
      <c r="U1022" s="5"/>
      <c r="V1022" s="5"/>
      <c r="W1022" s="5"/>
    </row>
    <row r="1023" ht="15.75" customHeight="1">
      <c r="A1023" s="3">
        <f>IFERROR(__xludf.DUMMYFUNCTION("""COMPUTED_VALUE"""),1023.0)</f>
        <v>1023</v>
      </c>
      <c r="B1023" s="53">
        <f>IFERROR(__xludf.DUMMYFUNCTION("""COMPUTED_VALUE"""),45741.0)</f>
        <v>45741</v>
      </c>
      <c r="C1023" s="3">
        <f>IFERROR(__xludf.DUMMYFUNCTION("""COMPUTED_VALUE"""),82.0)</f>
        <v>82</v>
      </c>
      <c r="D1023" s="3" t="str">
        <f>IFERROR(__xludf.DUMMYFUNCTION("""COMPUTED_VALUE"""),"538b2389")</f>
        <v>538b2389</v>
      </c>
      <c r="E1023" s="54">
        <f>IFERROR(__xludf.DUMMYFUNCTION("""COMPUTED_VALUE"""),32600.0)</f>
        <v>32600</v>
      </c>
      <c r="F1023" s="3" t="str">
        <f>IFERROR(__xludf.DUMMYFUNCTION("""COMPUTED_VALUE"""),"Tinto Criolla Rec")</f>
        <v>Tinto Criolla Rec</v>
      </c>
      <c r="G1023" s="3"/>
      <c r="H1023" s="56">
        <f>IFERROR(__xludf.DUMMYFUNCTION("""COMPUTED_VALUE"""),15.0)</f>
        <v>15</v>
      </c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5"/>
      <c r="U1023" s="5"/>
      <c r="V1023" s="5"/>
      <c r="W1023" s="5"/>
    </row>
    <row r="1024" ht="15.75" customHeight="1">
      <c r="A1024" s="3">
        <f>IFERROR(__xludf.DUMMYFUNCTION("""COMPUTED_VALUE"""),1024.0)</f>
        <v>1024</v>
      </c>
      <c r="B1024" s="53">
        <f>IFERROR(__xludf.DUMMYFUNCTION("""COMPUTED_VALUE"""),45741.0)</f>
        <v>45741</v>
      </c>
      <c r="C1024" s="3">
        <f>IFERROR(__xludf.DUMMYFUNCTION("""COMPUTED_VALUE"""),96.0)</f>
        <v>96</v>
      </c>
      <c r="D1024" s="3" t="str">
        <f>IFERROR(__xludf.DUMMYFUNCTION("""COMPUTED_VALUE"""),"7b27f7a2")</f>
        <v>7b27f7a2</v>
      </c>
      <c r="E1024" s="54">
        <f>IFERROR(__xludf.DUMMYFUNCTION("""COMPUTED_VALUE"""),39000.0)</f>
        <v>39000</v>
      </c>
      <c r="F1024" s="3" t="str">
        <f>IFERROR(__xludf.DUMMYFUNCTION("""COMPUTED_VALUE"""),"Tinto Recarga")</f>
        <v>Tinto Recarga</v>
      </c>
      <c r="G1024" s="3"/>
      <c r="H1024" s="56">
        <f>IFERROR(__xludf.DUMMYFUNCTION("""COMPUTED_VALUE"""),2.0)</f>
        <v>2</v>
      </c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5"/>
      <c r="U1024" s="5"/>
      <c r="V1024" s="5"/>
      <c r="W1024" s="5"/>
    </row>
    <row r="1025" ht="15.75" customHeight="1">
      <c r="A1025" s="3">
        <f>IFERROR(__xludf.DUMMYFUNCTION("""COMPUTED_VALUE"""),1025.0)</f>
        <v>1025</v>
      </c>
      <c r="B1025" s="53">
        <f>IFERROR(__xludf.DUMMYFUNCTION("""COMPUTED_VALUE"""),45741.0)</f>
        <v>45741</v>
      </c>
      <c r="C1025" s="3">
        <f>IFERROR(__xludf.DUMMYFUNCTION("""COMPUTED_VALUE"""),51.0)</f>
        <v>51</v>
      </c>
      <c r="D1025" s="3" t="str">
        <f>IFERROR(__xludf.DUMMYFUNCTION("""COMPUTED_VALUE"""),"4eab3967")</f>
        <v>4eab3967</v>
      </c>
      <c r="E1025" s="54">
        <f>IFERROR(__xludf.DUMMYFUNCTION("""COMPUTED_VALUE"""),3900.0)</f>
        <v>3900</v>
      </c>
      <c r="F1025" s="3" t="str">
        <f>IFERROR(__xludf.DUMMYFUNCTION("""COMPUTED_VALUE"""),"Tanat")</f>
        <v>Tanat</v>
      </c>
      <c r="G1025" s="3"/>
      <c r="H1025" s="3"/>
      <c r="I1025" s="3"/>
      <c r="J1025" s="3"/>
      <c r="K1025" s="3"/>
      <c r="L1025" s="54">
        <f>IFERROR(__xludf.DUMMYFUNCTION("""COMPUTED_VALUE"""),32.0)</f>
        <v>32</v>
      </c>
      <c r="M1025" s="3">
        <f>IFERROR(__xludf.DUMMYFUNCTION("""COMPUTED_VALUE"""),90.0)</f>
        <v>90</v>
      </c>
      <c r="N1025" s="3"/>
      <c r="O1025" s="3"/>
      <c r="P1025" s="3"/>
      <c r="Q1025" s="3"/>
      <c r="R1025" s="3"/>
      <c r="S1025" s="3"/>
      <c r="T1025" s="5"/>
      <c r="U1025" s="5"/>
      <c r="V1025" s="5"/>
      <c r="W1025" s="5"/>
    </row>
    <row r="1026" ht="15.75" customHeight="1">
      <c r="A1026" s="3">
        <f>IFERROR(__xludf.DUMMYFUNCTION("""COMPUTED_VALUE"""),1026.0)</f>
        <v>1026</v>
      </c>
      <c r="B1026" s="53">
        <f>IFERROR(__xludf.DUMMYFUNCTION("""COMPUTED_VALUE"""),45741.0)</f>
        <v>45741</v>
      </c>
      <c r="C1026" s="3">
        <f>IFERROR(__xludf.DUMMYFUNCTION("""COMPUTED_VALUE"""),68.0)</f>
        <v>68</v>
      </c>
      <c r="D1026" s="3" t="str">
        <f>IFERROR(__xludf.DUMMYFUNCTION("""COMPUTED_VALUE"""),"e16bba1c")</f>
        <v>e16bba1c</v>
      </c>
      <c r="E1026" s="54">
        <f>IFERROR(__xludf.DUMMYFUNCTION("""COMPUTED_VALUE"""),13000.0)</f>
        <v>13000</v>
      </c>
      <c r="F1026" s="3" t="str">
        <f>IFERROR(__xludf.DUMMYFUNCTION("""COMPUTED_VALUE"""),"Tanat")</f>
        <v>Tanat</v>
      </c>
      <c r="G1026" s="3"/>
      <c r="H1026" s="3"/>
      <c r="I1026" s="3"/>
      <c r="J1026" s="3"/>
      <c r="K1026" s="3"/>
      <c r="L1026" s="54">
        <f>IFERROR(__xludf.DUMMYFUNCTION("""COMPUTED_VALUE"""),25.0)</f>
        <v>25</v>
      </c>
      <c r="M1026" s="3">
        <f>IFERROR(__xludf.DUMMYFUNCTION("""COMPUTED_VALUE"""),67.0)</f>
        <v>67</v>
      </c>
      <c r="N1026" s="3"/>
      <c r="O1026" s="3"/>
      <c r="P1026" s="3"/>
      <c r="Q1026" s="3"/>
      <c r="R1026" s="3"/>
      <c r="S1026" s="3"/>
      <c r="T1026" s="5"/>
      <c r="U1026" s="5"/>
      <c r="V1026" s="5"/>
      <c r="W1026" s="5"/>
    </row>
    <row r="1027" ht="15.75" customHeight="1">
      <c r="A1027" s="3">
        <f>IFERROR(__xludf.DUMMYFUNCTION("""COMPUTED_VALUE"""),1027.0)</f>
        <v>1027</v>
      </c>
      <c r="B1027" s="53">
        <f>IFERROR(__xludf.DUMMYFUNCTION("""COMPUTED_VALUE"""),45741.0)</f>
        <v>45741</v>
      </c>
      <c r="C1027" s="3">
        <f>IFERROR(__xludf.DUMMYFUNCTION("""COMPUTED_VALUE"""),105.0)</f>
        <v>105</v>
      </c>
      <c r="D1027" s="3" t="str">
        <f>IFERROR(__xludf.DUMMYFUNCTION("""COMPUTED_VALUE"""),"54d0d860")</f>
        <v>54d0d860</v>
      </c>
      <c r="E1027" s="54">
        <f>IFERROR(__xludf.DUMMYFUNCTION("""COMPUTED_VALUE"""),31000.0)</f>
        <v>31000</v>
      </c>
      <c r="F1027" s="3" t="str">
        <f>IFERROR(__xludf.DUMMYFUNCTION("""COMPUTED_VALUE"""),"Ancellotta Tempranillo")</f>
        <v>Ancellotta Tempranillo</v>
      </c>
      <c r="G1027" s="3"/>
      <c r="H1027" s="3"/>
      <c r="I1027" s="3"/>
      <c r="J1027" s="3"/>
      <c r="K1027" s="3"/>
      <c r="L1027" s="54">
        <f>IFERROR(__xludf.DUMMYFUNCTION("""COMPUTED_VALUE"""),20.0)</f>
        <v>20</v>
      </c>
      <c r="M1027" s="3">
        <f>IFERROR(__xludf.DUMMYFUNCTION("""COMPUTED_VALUE"""),60.0)</f>
        <v>60</v>
      </c>
      <c r="N1027" s="3"/>
      <c r="O1027" s="3"/>
      <c r="P1027" s="3"/>
      <c r="Q1027" s="3"/>
      <c r="R1027" s="3"/>
      <c r="S1027" s="3"/>
      <c r="T1027" s="5"/>
      <c r="U1027" s="5"/>
      <c r="V1027" s="5"/>
      <c r="W1027" s="5"/>
    </row>
    <row r="1028" ht="15.75" customHeight="1">
      <c r="A1028" s="3">
        <f>IFERROR(__xludf.DUMMYFUNCTION("""COMPUTED_VALUE"""),1028.0)</f>
        <v>1028</v>
      </c>
      <c r="B1028" s="53">
        <f>IFERROR(__xludf.DUMMYFUNCTION("""COMPUTED_VALUE"""),45741.0)</f>
        <v>45741</v>
      </c>
      <c r="C1028" s="3">
        <f>IFERROR(__xludf.DUMMYFUNCTION("""COMPUTED_VALUE"""),106.0)</f>
        <v>106</v>
      </c>
      <c r="D1028" s="3" t="str">
        <f>IFERROR(__xludf.DUMMYFUNCTION("""COMPUTED_VALUE"""),"b1ca9458")</f>
        <v>b1ca9458</v>
      </c>
      <c r="E1028" s="54">
        <f>IFERROR(__xludf.DUMMYFUNCTION("""COMPUTED_VALUE"""),11000.0)</f>
        <v>11000</v>
      </c>
      <c r="F1028" s="3" t="str">
        <f>IFERROR(__xludf.DUMMYFUNCTION("""COMPUTED_VALUE"""),"Ancellotta Tempranillo")</f>
        <v>Ancellotta Tempranillo</v>
      </c>
      <c r="G1028" s="3"/>
      <c r="H1028" s="3"/>
      <c r="I1028" s="3"/>
      <c r="J1028" s="3"/>
      <c r="K1028" s="3"/>
      <c r="L1028" s="54">
        <f>IFERROR(__xludf.DUMMYFUNCTION("""COMPUTED_VALUE"""),22.0)</f>
        <v>22</v>
      </c>
      <c r="M1028" s="3">
        <f>IFERROR(__xludf.DUMMYFUNCTION("""COMPUTED_VALUE"""),64.0)</f>
        <v>64</v>
      </c>
      <c r="N1028" s="3"/>
      <c r="O1028" s="3"/>
      <c r="P1028" s="3"/>
      <c r="Q1028" s="3"/>
      <c r="R1028" s="3"/>
      <c r="S1028" s="3"/>
      <c r="T1028" s="5"/>
      <c r="U1028" s="5"/>
      <c r="V1028" s="5"/>
      <c r="W1028" s="5"/>
    </row>
    <row r="1029" ht="15.75" customHeight="1">
      <c r="A1029" s="3">
        <f>IFERROR(__xludf.DUMMYFUNCTION("""COMPUTED_VALUE"""),1029.0)</f>
        <v>1029</v>
      </c>
      <c r="B1029" s="53">
        <f>IFERROR(__xludf.DUMMYFUNCTION("""COMPUTED_VALUE"""),45741.0)</f>
        <v>45741</v>
      </c>
      <c r="C1029" s="3">
        <f>IFERROR(__xludf.DUMMYFUNCTION("""COMPUTED_VALUE"""),107.0)</f>
        <v>107</v>
      </c>
      <c r="D1029" s="3" t="str">
        <f>IFERROR(__xludf.DUMMYFUNCTION("""COMPUTED_VALUE"""),"afed01fa")</f>
        <v>afed01fa</v>
      </c>
      <c r="E1029" s="54">
        <f>IFERROR(__xludf.DUMMYFUNCTION("""COMPUTED_VALUE"""),31000.0)</f>
        <v>31000</v>
      </c>
      <c r="F1029" s="3" t="str">
        <f>IFERROR(__xludf.DUMMYFUNCTION("""COMPUTED_VALUE"""),"Ancellotta Tempranillo Pren")</f>
        <v>Ancellotta Tempranillo Pren</v>
      </c>
      <c r="G1029" s="3"/>
      <c r="H1029" s="3"/>
      <c r="I1029" s="3"/>
      <c r="J1029" s="3"/>
      <c r="K1029" s="3"/>
      <c r="L1029" s="54">
        <f>IFERROR(__xludf.DUMMYFUNCTION("""COMPUTED_VALUE"""),21.0)</f>
        <v>21</v>
      </c>
      <c r="M1029" s="3">
        <f>IFERROR(__xludf.DUMMYFUNCTION("""COMPUTED_VALUE"""),55.0)</f>
        <v>55</v>
      </c>
      <c r="N1029" s="3"/>
      <c r="O1029" s="3"/>
      <c r="P1029" s="3"/>
      <c r="Q1029" s="3"/>
      <c r="R1029" s="3"/>
      <c r="S1029" s="3"/>
      <c r="T1029" s="5"/>
      <c r="U1029" s="5"/>
      <c r="V1029" s="5"/>
      <c r="W1029" s="5"/>
    </row>
    <row r="1030" ht="15.75" customHeight="1">
      <c r="A1030" s="3">
        <f>IFERROR(__xludf.DUMMYFUNCTION("""COMPUTED_VALUE"""),1030.0)</f>
        <v>1030</v>
      </c>
      <c r="B1030" s="53">
        <f>IFERROR(__xludf.DUMMYFUNCTION("""COMPUTED_VALUE"""),45741.0)</f>
        <v>45741</v>
      </c>
      <c r="C1030" s="3">
        <f>IFERROR(__xludf.DUMMYFUNCTION("""COMPUTED_VALUE"""),108.0)</f>
        <v>108</v>
      </c>
      <c r="D1030" s="3" t="str">
        <f>IFERROR(__xludf.DUMMYFUNCTION("""COMPUTED_VALUE"""),"3907dbfc")</f>
        <v>3907dbfc</v>
      </c>
      <c r="E1030" s="54">
        <f>IFERROR(__xludf.DUMMYFUNCTION("""COMPUTED_VALUE"""),31000.0)</f>
        <v>31000</v>
      </c>
      <c r="F1030" s="3" t="str">
        <f>IFERROR(__xludf.DUMMYFUNCTION("""COMPUTED_VALUE"""),"Bonarda C2")</f>
        <v>Bonarda C2</v>
      </c>
      <c r="G1030" s="3"/>
      <c r="H1030" s="3"/>
      <c r="I1030" s="3"/>
      <c r="J1030" s="3"/>
      <c r="K1030" s="3"/>
      <c r="L1030" s="54">
        <f>IFERROR(__xludf.DUMMYFUNCTION("""COMPUTED_VALUE"""),12.0)</f>
        <v>12</v>
      </c>
      <c r="M1030" s="3">
        <f>IFERROR(__xludf.DUMMYFUNCTION("""COMPUTED_VALUE"""),45.0)</f>
        <v>45</v>
      </c>
      <c r="N1030" s="3"/>
      <c r="O1030" s="3"/>
      <c r="P1030" s="3"/>
      <c r="Q1030" s="3"/>
      <c r="R1030" s="3"/>
      <c r="S1030" s="3"/>
      <c r="T1030" s="5"/>
      <c r="U1030" s="5"/>
      <c r="V1030" s="5"/>
      <c r="W1030" s="5"/>
    </row>
    <row r="1031" ht="15.75" customHeight="1">
      <c r="A1031" s="3">
        <f>IFERROR(__xludf.DUMMYFUNCTION("""COMPUTED_VALUE"""),1031.0)</f>
        <v>1031</v>
      </c>
      <c r="B1031" s="53">
        <f>IFERROR(__xludf.DUMMYFUNCTION("""COMPUTED_VALUE"""),45741.0)</f>
        <v>45741</v>
      </c>
      <c r="C1031" s="3">
        <f>IFERROR(__xludf.DUMMYFUNCTION("""COMPUTED_VALUE"""),109.0)</f>
        <v>109</v>
      </c>
      <c r="D1031" s="3" t="str">
        <f>IFERROR(__xludf.DUMMYFUNCTION("""COMPUTED_VALUE"""),"33d70f3e")</f>
        <v>33d70f3e</v>
      </c>
      <c r="E1031" s="54">
        <f>IFERROR(__xludf.DUMMYFUNCTION("""COMPUTED_VALUE"""),15600.0)</f>
        <v>15600</v>
      </c>
      <c r="F1031" s="3" t="str">
        <f>IFERROR(__xludf.DUMMYFUNCTION("""COMPUTED_VALUE"""),"Bonarda C2")</f>
        <v>Bonarda C2</v>
      </c>
      <c r="G1031" s="3"/>
      <c r="H1031" s="3"/>
      <c r="I1031" s="3"/>
      <c r="J1031" s="3"/>
      <c r="K1031" s="3"/>
      <c r="L1031" s="54">
        <f>IFERROR(__xludf.DUMMYFUNCTION("""COMPUTED_VALUE"""),15.0)</f>
        <v>15</v>
      </c>
      <c r="M1031" s="3">
        <f>IFERROR(__xludf.DUMMYFUNCTION("""COMPUTED_VALUE"""),48.0)</f>
        <v>48</v>
      </c>
      <c r="N1031" s="3"/>
      <c r="O1031" s="3"/>
      <c r="P1031" s="3"/>
      <c r="Q1031" s="3"/>
      <c r="R1031" s="3"/>
      <c r="S1031" s="3"/>
      <c r="T1031" s="5"/>
      <c r="U1031" s="5"/>
      <c r="V1031" s="5"/>
      <c r="W1031" s="5"/>
    </row>
    <row r="1032" ht="15.75" customHeight="1">
      <c r="A1032" s="3">
        <f>IFERROR(__xludf.DUMMYFUNCTION("""COMPUTED_VALUE"""),1032.0)</f>
        <v>1032</v>
      </c>
      <c r="B1032" s="53">
        <f>IFERROR(__xludf.DUMMYFUNCTION("""COMPUTED_VALUE"""),45741.0)</f>
        <v>45741</v>
      </c>
      <c r="C1032" s="3">
        <f>IFERROR(__xludf.DUMMYFUNCTION("""COMPUTED_VALUE"""),114.0)</f>
        <v>114</v>
      </c>
      <c r="D1032" s="3" t="str">
        <f>IFERROR(__xludf.DUMMYFUNCTION("""COMPUTED_VALUE"""),"e53d4606")</f>
        <v>e53d4606</v>
      </c>
      <c r="E1032" s="54">
        <f>IFERROR(__xludf.DUMMYFUNCTION("""COMPUTED_VALUE"""),125300.0)</f>
        <v>125300</v>
      </c>
      <c r="F1032" s="3" t="str">
        <f>IFERROR(__xludf.DUMMYFUNCTION("""COMPUTED_VALUE"""),"Syrah")</f>
        <v>Syrah</v>
      </c>
      <c r="G1032" s="3"/>
      <c r="H1032" s="3"/>
      <c r="I1032" s="3"/>
      <c r="J1032" s="3"/>
      <c r="K1032" s="3"/>
      <c r="L1032" s="54">
        <f>IFERROR(__xludf.DUMMYFUNCTION("""COMPUTED_VALUE"""),25.0)</f>
        <v>25</v>
      </c>
      <c r="M1032" s="3">
        <f>IFERROR(__xludf.DUMMYFUNCTION("""COMPUTED_VALUE"""),77.0)</f>
        <v>77</v>
      </c>
      <c r="N1032" s="3"/>
      <c r="O1032" s="3"/>
      <c r="P1032" s="3"/>
      <c r="Q1032" s="3"/>
      <c r="R1032" s="3"/>
      <c r="S1032" s="3"/>
      <c r="T1032" s="5"/>
      <c r="U1032" s="5"/>
      <c r="V1032" s="5"/>
      <c r="W1032" s="5"/>
    </row>
    <row r="1033" ht="15.75" customHeight="1">
      <c r="A1033" s="3">
        <f>IFERROR(__xludf.DUMMYFUNCTION("""COMPUTED_VALUE"""),1033.0)</f>
        <v>1033</v>
      </c>
      <c r="B1033" s="53">
        <f>IFERROR(__xludf.DUMMYFUNCTION("""COMPUTED_VALUE"""),45742.0)</f>
        <v>45742</v>
      </c>
      <c r="C1033" s="3">
        <f>IFERROR(__xludf.DUMMYFUNCTION("""COMPUTED_VALUE"""),103.0)</f>
        <v>103</v>
      </c>
      <c r="D1033" s="3" t="str">
        <f>IFERROR(__xludf.DUMMYFUNCTION("""COMPUTED_VALUE"""),"a2ec7d6d")</f>
        <v>a2ec7d6d</v>
      </c>
      <c r="E1033" s="54">
        <f>IFERROR(__xludf.DUMMYFUNCTION("""COMPUTED_VALUE"""),36000.0)</f>
        <v>36000</v>
      </c>
      <c r="F1033" s="3" t="str">
        <f>IFERROR(__xludf.DUMMYFUNCTION("""COMPUTED_VALUE"""),"Anccelotta")</f>
        <v>Anccelotta</v>
      </c>
      <c r="G1033" s="3"/>
      <c r="H1033" s="56">
        <f>IFERROR(__xludf.DUMMYFUNCTION("""COMPUTED_VALUE"""),3.2)</f>
        <v>3.2</v>
      </c>
      <c r="I1033" s="57">
        <f>IFERROR(__xludf.DUMMYFUNCTION("""COMPUTED_VALUE"""),0.65)</f>
        <v>0.65</v>
      </c>
      <c r="J1033" s="3"/>
      <c r="K1033" s="3"/>
      <c r="L1033" s="54">
        <f>IFERROR(__xludf.DUMMYFUNCTION("""COMPUTED_VALUE"""),32.0)</f>
        <v>32</v>
      </c>
      <c r="M1033" s="3">
        <f>IFERROR(__xludf.DUMMYFUNCTION("""COMPUTED_VALUE"""),70.0)</f>
        <v>70</v>
      </c>
      <c r="N1033" s="3"/>
      <c r="O1033" s="3"/>
      <c r="P1033" s="3"/>
      <c r="Q1033" s="3"/>
      <c r="R1033" s="3"/>
      <c r="S1033" s="3"/>
      <c r="T1033" s="5"/>
      <c r="U1033" s="5"/>
      <c r="V1033" s="5"/>
      <c r="W1033" s="5"/>
    </row>
    <row r="1034" ht="15.75" customHeight="1">
      <c r="A1034" s="3">
        <f>IFERROR(__xludf.DUMMYFUNCTION("""COMPUTED_VALUE"""),1034.0)</f>
        <v>1034</v>
      </c>
      <c r="B1034" s="53">
        <f>IFERROR(__xludf.DUMMYFUNCTION("""COMPUTED_VALUE"""),45742.0)</f>
        <v>45742</v>
      </c>
      <c r="C1034" s="3">
        <f>IFERROR(__xludf.DUMMYFUNCTION("""COMPUTED_VALUE"""),104.0)</f>
        <v>104</v>
      </c>
      <c r="D1034" s="3" t="str">
        <f>IFERROR(__xludf.DUMMYFUNCTION("""COMPUTED_VALUE"""),"78caf863")</f>
        <v>78caf863</v>
      </c>
      <c r="E1034" s="54">
        <f>IFERROR(__xludf.DUMMYFUNCTION("""COMPUTED_VALUE"""),31000.0)</f>
        <v>31000</v>
      </c>
      <c r="F1034" s="3" t="str">
        <f>IFERROR(__xludf.DUMMYFUNCTION("""COMPUTED_VALUE"""),"Tempranillo")</f>
        <v>Tempranillo</v>
      </c>
      <c r="G1034" s="3"/>
      <c r="H1034" s="3"/>
      <c r="I1034" s="57">
        <f>IFERROR(__xludf.DUMMYFUNCTION("""COMPUTED_VALUE"""),0.37)</f>
        <v>0.37</v>
      </c>
      <c r="J1034" s="3"/>
      <c r="K1034" s="3"/>
      <c r="L1034" s="54">
        <f>IFERROR(__xludf.DUMMYFUNCTION("""COMPUTED_VALUE"""),25.0)</f>
        <v>25</v>
      </c>
      <c r="M1034" s="3">
        <f>IFERROR(__xludf.DUMMYFUNCTION("""COMPUTED_VALUE"""),72.0)</f>
        <v>72</v>
      </c>
      <c r="N1034" s="3"/>
      <c r="O1034" s="3"/>
      <c r="P1034" s="3"/>
      <c r="Q1034" s="3"/>
      <c r="R1034" s="3"/>
      <c r="S1034" s="3"/>
      <c r="T1034" s="5"/>
      <c r="U1034" s="5"/>
      <c r="V1034" s="5"/>
      <c r="W1034" s="5"/>
    </row>
    <row r="1035" ht="15.75" customHeight="1">
      <c r="A1035" s="3">
        <f>IFERROR(__xludf.DUMMYFUNCTION("""COMPUTED_VALUE"""),1035.0)</f>
        <v>1035</v>
      </c>
      <c r="B1035" s="53">
        <f>IFERROR(__xludf.DUMMYFUNCTION("""COMPUTED_VALUE"""),45742.0)</f>
        <v>45742</v>
      </c>
      <c r="C1035" s="3">
        <f>IFERROR(__xludf.DUMMYFUNCTION("""COMPUTED_VALUE"""),105.0)</f>
        <v>105</v>
      </c>
      <c r="D1035" s="3" t="str">
        <f>IFERROR(__xludf.DUMMYFUNCTION("""COMPUTED_VALUE"""),"54d0d860")</f>
        <v>54d0d860</v>
      </c>
      <c r="E1035" s="54">
        <f>IFERROR(__xludf.DUMMYFUNCTION("""COMPUTED_VALUE"""),31000.0)</f>
        <v>31000</v>
      </c>
      <c r="F1035" s="3" t="str">
        <f>IFERROR(__xludf.DUMMYFUNCTION("""COMPUTED_VALUE"""),"Ancellotta Tempranillo")</f>
        <v>Ancellotta Tempranillo</v>
      </c>
      <c r="G1035" s="3"/>
      <c r="H1035" s="3"/>
      <c r="I1035" s="57">
        <f>IFERROR(__xludf.DUMMYFUNCTION("""COMPUTED_VALUE"""),0.37)</f>
        <v>0.37</v>
      </c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5"/>
      <c r="U1035" s="5"/>
      <c r="V1035" s="5"/>
      <c r="W1035" s="5"/>
    </row>
    <row r="1036" ht="15.75" customHeight="1">
      <c r="A1036" s="3">
        <f>IFERROR(__xludf.DUMMYFUNCTION("""COMPUTED_VALUE"""),1036.0)</f>
        <v>1036</v>
      </c>
      <c r="B1036" s="53">
        <f>IFERROR(__xludf.DUMMYFUNCTION("""COMPUTED_VALUE"""),45742.0)</f>
        <v>45742</v>
      </c>
      <c r="C1036" s="3">
        <f>IFERROR(__xludf.DUMMYFUNCTION("""COMPUTED_VALUE"""),106.0)</f>
        <v>106</v>
      </c>
      <c r="D1036" s="3" t="str">
        <f>IFERROR(__xludf.DUMMYFUNCTION("""COMPUTED_VALUE"""),"b1ca9458")</f>
        <v>b1ca9458</v>
      </c>
      <c r="E1036" s="54">
        <f>IFERROR(__xludf.DUMMYFUNCTION("""COMPUTED_VALUE"""),11000.0)</f>
        <v>11000</v>
      </c>
      <c r="F1036" s="3" t="str">
        <f>IFERROR(__xludf.DUMMYFUNCTION("""COMPUTED_VALUE"""),"Ancellotta Tempranillo")</f>
        <v>Ancellotta Tempranillo</v>
      </c>
      <c r="G1036" s="3"/>
      <c r="H1036" s="3"/>
      <c r="I1036" s="57">
        <f>IFERROR(__xludf.DUMMYFUNCTION("""COMPUTED_VALUE"""),0.35)</f>
        <v>0.35</v>
      </c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5"/>
      <c r="U1036" s="5"/>
      <c r="V1036" s="5"/>
      <c r="W1036" s="5"/>
    </row>
    <row r="1037" ht="15.75" customHeight="1">
      <c r="A1037" s="3">
        <f>IFERROR(__xludf.DUMMYFUNCTION("""COMPUTED_VALUE"""),1037.0)</f>
        <v>1037</v>
      </c>
      <c r="B1037" s="53">
        <f>IFERROR(__xludf.DUMMYFUNCTION("""COMPUTED_VALUE"""),45742.0)</f>
        <v>45742</v>
      </c>
      <c r="C1037" s="3">
        <f>IFERROR(__xludf.DUMMYFUNCTION("""COMPUTED_VALUE"""),109.0)</f>
        <v>109</v>
      </c>
      <c r="D1037" s="3" t="str">
        <f>IFERROR(__xludf.DUMMYFUNCTION("""COMPUTED_VALUE"""),"33d70f3e")</f>
        <v>33d70f3e</v>
      </c>
      <c r="E1037" s="54">
        <f>IFERROR(__xludf.DUMMYFUNCTION("""COMPUTED_VALUE"""),15600.0)</f>
        <v>15600</v>
      </c>
      <c r="F1037" s="3" t="str">
        <f>IFERROR(__xludf.DUMMYFUNCTION("""COMPUTED_VALUE"""),"Bonarda C2")</f>
        <v>Bonarda C2</v>
      </c>
      <c r="G1037" s="3"/>
      <c r="H1037" s="3"/>
      <c r="I1037" s="57">
        <f>IFERROR(__xludf.DUMMYFUNCTION("""COMPUTED_VALUE"""),0.35)</f>
        <v>0.35</v>
      </c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5"/>
      <c r="U1037" s="5"/>
      <c r="V1037" s="5"/>
      <c r="W1037" s="5"/>
    </row>
    <row r="1038" ht="15.75" customHeight="1">
      <c r="A1038" s="3">
        <f>IFERROR(__xludf.DUMMYFUNCTION("""COMPUTED_VALUE"""),1038.0)</f>
        <v>1038</v>
      </c>
      <c r="B1038" s="53">
        <f>IFERROR(__xludf.DUMMYFUNCTION("""COMPUTED_VALUE"""),45742.0)</f>
        <v>45742</v>
      </c>
      <c r="C1038" s="3">
        <f>IFERROR(__xludf.DUMMYFUNCTION("""COMPUTED_VALUE"""),108.0)</f>
        <v>108</v>
      </c>
      <c r="D1038" s="3" t="str">
        <f>IFERROR(__xludf.DUMMYFUNCTION("""COMPUTED_VALUE"""),"3907dbfc")</f>
        <v>3907dbfc</v>
      </c>
      <c r="E1038" s="54">
        <f>IFERROR(__xludf.DUMMYFUNCTION("""COMPUTED_VALUE"""),31000.0)</f>
        <v>31000</v>
      </c>
      <c r="F1038" s="3" t="str">
        <f>IFERROR(__xludf.DUMMYFUNCTION("""COMPUTED_VALUE"""),"Bonarda C2")</f>
        <v>Bonarda C2</v>
      </c>
      <c r="G1038" s="3"/>
      <c r="H1038" s="3"/>
      <c r="I1038" s="57">
        <f>IFERROR(__xludf.DUMMYFUNCTION("""COMPUTED_VALUE"""),0.38)</f>
        <v>0.38</v>
      </c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5"/>
      <c r="U1038" s="5"/>
      <c r="V1038" s="5"/>
      <c r="W1038" s="5"/>
    </row>
    <row r="1039" ht="15.75" customHeight="1">
      <c r="A1039" s="3">
        <f>IFERROR(__xludf.DUMMYFUNCTION("""COMPUTED_VALUE"""),1039.0)</f>
        <v>1039</v>
      </c>
      <c r="B1039" s="53">
        <f>IFERROR(__xludf.DUMMYFUNCTION("""COMPUTED_VALUE"""),45742.0)</f>
        <v>45742</v>
      </c>
      <c r="C1039" s="3">
        <f>IFERROR(__xludf.DUMMYFUNCTION("""COMPUTED_VALUE"""),107.0)</f>
        <v>107</v>
      </c>
      <c r="D1039" s="3" t="str">
        <f>IFERROR(__xludf.DUMMYFUNCTION("""COMPUTED_VALUE"""),"afed01fa")</f>
        <v>afed01fa</v>
      </c>
      <c r="E1039" s="54">
        <f>IFERROR(__xludf.DUMMYFUNCTION("""COMPUTED_VALUE"""),31000.0)</f>
        <v>31000</v>
      </c>
      <c r="F1039" s="3" t="str">
        <f>IFERROR(__xludf.DUMMYFUNCTION("""COMPUTED_VALUE"""),"Ancellotta Tempranillo Pren")</f>
        <v>Ancellotta Tempranillo Pren</v>
      </c>
      <c r="G1039" s="3"/>
      <c r="H1039" s="3"/>
      <c r="I1039" s="57">
        <f>IFERROR(__xludf.DUMMYFUNCTION("""COMPUTED_VALUE"""),0.47)</f>
        <v>0.47</v>
      </c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5"/>
      <c r="U1039" s="5"/>
      <c r="V1039" s="5"/>
      <c r="W1039" s="5"/>
    </row>
    <row r="1040" ht="15.75" customHeight="1">
      <c r="A1040" s="3">
        <f>IFERROR(__xludf.DUMMYFUNCTION("""COMPUTED_VALUE"""),1040.0)</f>
        <v>1040</v>
      </c>
      <c r="B1040" s="53">
        <f>IFERROR(__xludf.DUMMYFUNCTION("""COMPUTED_VALUE"""),45742.0)</f>
        <v>45742</v>
      </c>
      <c r="C1040" s="3">
        <f>IFERROR(__xludf.DUMMYFUNCTION("""COMPUTED_VALUE"""),65.0)</f>
        <v>65</v>
      </c>
      <c r="D1040" s="3" t="str">
        <f>IFERROR(__xludf.DUMMYFUNCTION("""COMPUTED_VALUE"""),"b2ddb184")</f>
        <v>b2ddb184</v>
      </c>
      <c r="E1040" s="54">
        <f>IFERROR(__xludf.DUMMYFUNCTION("""COMPUTED_VALUE"""),25000.0)</f>
        <v>25000</v>
      </c>
      <c r="F1040" s="3" t="str">
        <f>IFERROR(__xludf.DUMMYFUNCTION("""COMPUTED_VALUE"""),"Pedro Gimenez")</f>
        <v>Pedro Gimenez</v>
      </c>
      <c r="G1040" s="3"/>
      <c r="H1040" s="56">
        <f>IFERROR(__xludf.DUMMYFUNCTION("""COMPUTED_VALUE"""),2.0)</f>
        <v>2</v>
      </c>
      <c r="I1040" s="3"/>
      <c r="J1040" s="3"/>
      <c r="K1040" s="3"/>
      <c r="L1040" s="54">
        <f>IFERROR(__xludf.DUMMYFUNCTION("""COMPUTED_VALUE"""),12.0)</f>
        <v>12</v>
      </c>
      <c r="M1040" s="3"/>
      <c r="N1040" s="3"/>
      <c r="O1040" s="3"/>
      <c r="P1040" s="3"/>
      <c r="Q1040" s="3"/>
      <c r="R1040" s="3"/>
      <c r="S1040" s="3"/>
      <c r="T1040" s="5"/>
      <c r="U1040" s="5"/>
      <c r="V1040" s="5"/>
      <c r="W1040" s="5"/>
    </row>
    <row r="1041" ht="15.75" customHeight="1">
      <c r="A1041" s="3">
        <f>IFERROR(__xludf.DUMMYFUNCTION("""COMPUTED_VALUE"""),1041.0)</f>
        <v>1041</v>
      </c>
      <c r="B1041" s="53">
        <f>IFERROR(__xludf.DUMMYFUNCTION("""COMPUTED_VALUE"""),45742.0)</f>
        <v>45742</v>
      </c>
      <c r="C1041" s="3">
        <f>IFERROR(__xludf.DUMMYFUNCTION("""COMPUTED_VALUE"""),79.0)</f>
        <v>79</v>
      </c>
      <c r="D1041" s="3" t="str">
        <f>IFERROR(__xludf.DUMMYFUNCTION("""COMPUTED_VALUE"""),"a3cee476")</f>
        <v>a3cee476</v>
      </c>
      <c r="E1041" s="54">
        <f>IFERROR(__xludf.DUMMYFUNCTION("""COMPUTED_VALUE"""),22860.0)</f>
        <v>22860</v>
      </c>
      <c r="F1041" s="3" t="str">
        <f>IFERROR(__xludf.DUMMYFUNCTION("""COMPUTED_VALUE"""),"Torrontes")</f>
        <v>Torrontes</v>
      </c>
      <c r="G1041" s="3"/>
      <c r="H1041" s="56">
        <f>IFERROR(__xludf.DUMMYFUNCTION("""COMPUTED_VALUE"""),6.75)</f>
        <v>6.75</v>
      </c>
      <c r="I1041" s="3"/>
      <c r="J1041" s="3"/>
      <c r="K1041" s="3"/>
      <c r="L1041" s="54">
        <f>IFERROR(__xludf.DUMMYFUNCTION("""COMPUTED_VALUE"""),6.0)</f>
        <v>6</v>
      </c>
      <c r="M1041" s="3"/>
      <c r="N1041" s="3"/>
      <c r="O1041" s="3"/>
      <c r="P1041" s="3"/>
      <c r="Q1041" s="3"/>
      <c r="R1041" s="3"/>
      <c r="S1041" s="3"/>
      <c r="T1041" s="5"/>
      <c r="U1041" s="5"/>
      <c r="V1041" s="5"/>
      <c r="W1041" s="5"/>
    </row>
    <row r="1042" ht="15.75" customHeight="1">
      <c r="A1042" s="3">
        <f>IFERROR(__xludf.DUMMYFUNCTION("""COMPUTED_VALUE"""),1042.0)</f>
        <v>1042</v>
      </c>
      <c r="B1042" s="53">
        <f>IFERROR(__xludf.DUMMYFUNCTION("""COMPUTED_VALUE"""),45742.0)</f>
        <v>45742</v>
      </c>
      <c r="C1042" s="3">
        <f>IFERROR(__xludf.DUMMYFUNCTION("""COMPUTED_VALUE"""),80.0)</f>
        <v>80</v>
      </c>
      <c r="D1042" s="3" t="str">
        <f>IFERROR(__xludf.DUMMYFUNCTION("""COMPUTED_VALUE"""),"4fc3176a")</f>
        <v>4fc3176a</v>
      </c>
      <c r="E1042" s="54">
        <f>IFERROR(__xludf.DUMMYFUNCTION("""COMPUTED_VALUE"""),26100.0)</f>
        <v>26100</v>
      </c>
      <c r="F1042" s="3" t="str">
        <f>IFERROR(__xludf.DUMMYFUNCTION("""COMPUTED_VALUE"""),"Chenin")</f>
        <v>Chenin</v>
      </c>
      <c r="G1042" s="3"/>
      <c r="H1042" s="56">
        <f>IFERROR(__xludf.DUMMYFUNCTION("""COMPUTED_VALUE"""),2.0)</f>
        <v>2</v>
      </c>
      <c r="I1042" s="3"/>
      <c r="J1042" s="3"/>
      <c r="K1042" s="3"/>
      <c r="L1042" s="54">
        <f>IFERROR(__xludf.DUMMYFUNCTION("""COMPUTED_VALUE"""),12.0)</f>
        <v>12</v>
      </c>
      <c r="M1042" s="3"/>
      <c r="N1042" s="3"/>
      <c r="O1042" s="3"/>
      <c r="P1042" s="3"/>
      <c r="Q1042" s="3"/>
      <c r="R1042" s="3"/>
      <c r="S1042" s="3"/>
      <c r="T1042" s="5"/>
      <c r="U1042" s="5"/>
      <c r="V1042" s="5"/>
      <c r="W1042" s="5"/>
    </row>
    <row r="1043" ht="15.75" customHeight="1">
      <c r="A1043" s="3">
        <f>IFERROR(__xludf.DUMMYFUNCTION("""COMPUTED_VALUE"""),1043.0)</f>
        <v>1043</v>
      </c>
      <c r="B1043" s="53">
        <f>IFERROR(__xludf.DUMMYFUNCTION("""COMPUTED_VALUE"""),45742.0)</f>
        <v>45742</v>
      </c>
      <c r="C1043" s="3">
        <f>IFERROR(__xludf.DUMMYFUNCTION("""COMPUTED_VALUE"""),81.0)</f>
        <v>81</v>
      </c>
      <c r="D1043" s="3" t="str">
        <f>IFERROR(__xludf.DUMMYFUNCTION("""COMPUTED_VALUE"""),"dea77610")</f>
        <v>dea77610</v>
      </c>
      <c r="E1043" s="54">
        <f>IFERROR(__xludf.DUMMYFUNCTION("""COMPUTED_VALUE"""),20600.0)</f>
        <v>20600</v>
      </c>
      <c r="F1043" s="3" t="str">
        <f>IFERROR(__xludf.DUMMYFUNCTION("""COMPUTED_VALUE"""),"Torrontes")</f>
        <v>Torrontes</v>
      </c>
      <c r="G1043" s="3"/>
      <c r="H1043" s="3"/>
      <c r="I1043" s="3"/>
      <c r="J1043" s="3"/>
      <c r="K1043" s="3"/>
      <c r="L1043" s="54">
        <f>IFERROR(__xludf.DUMMYFUNCTION("""COMPUTED_VALUE"""),12.0)</f>
        <v>12</v>
      </c>
      <c r="M1043" s="3"/>
      <c r="N1043" s="3"/>
      <c r="O1043" s="3"/>
      <c r="P1043" s="3"/>
      <c r="Q1043" s="3"/>
      <c r="R1043" s="3"/>
      <c r="S1043" s="3"/>
      <c r="T1043" s="5"/>
      <c r="U1043" s="5"/>
      <c r="V1043" s="5"/>
      <c r="W1043" s="5"/>
    </row>
    <row r="1044" ht="15.75" customHeight="1">
      <c r="A1044" s="3">
        <f>IFERROR(__xludf.DUMMYFUNCTION("""COMPUTED_VALUE"""),1044.0)</f>
        <v>1044</v>
      </c>
      <c r="B1044" s="53">
        <f>IFERROR(__xludf.DUMMYFUNCTION("""COMPUTED_VALUE"""),45743.0)</f>
        <v>45743</v>
      </c>
      <c r="C1044" s="3">
        <f>IFERROR(__xludf.DUMMYFUNCTION("""COMPUTED_VALUE"""),10.0)</f>
        <v>10</v>
      </c>
      <c r="D1044" s="3" t="str">
        <f>IFERROR(__xludf.DUMMYFUNCTION("""COMPUTED_VALUE"""),"f9bf68a3")</f>
        <v>f9bf68a3</v>
      </c>
      <c r="E1044" s="54">
        <f>IFERROR(__xludf.DUMMYFUNCTION("""COMPUTED_VALUE"""),21000.0)</f>
        <v>21000</v>
      </c>
      <c r="F1044" s="3" t="str">
        <f>IFERROR(__xludf.DUMMYFUNCTION("""COMPUTED_VALUE"""),"Chardonnay")</f>
        <v>Chardonnay</v>
      </c>
      <c r="G1044" s="3"/>
      <c r="H1044" s="3"/>
      <c r="I1044" s="3"/>
      <c r="J1044" s="3"/>
      <c r="K1044" s="3"/>
      <c r="L1044" s="54">
        <f>IFERROR(__xludf.DUMMYFUNCTION("""COMPUTED_VALUE"""),25.0)</f>
        <v>25</v>
      </c>
      <c r="M1044" s="3">
        <f>IFERROR(__xludf.DUMMYFUNCTION("""COMPUTED_VALUE"""),96.0)</f>
        <v>96</v>
      </c>
      <c r="N1044" s="3"/>
      <c r="O1044" s="3"/>
      <c r="P1044" s="3"/>
      <c r="Q1044" s="3"/>
      <c r="R1044" s="3"/>
      <c r="S1044" s="3"/>
      <c r="T1044" s="5"/>
      <c r="U1044" s="5"/>
      <c r="V1044" s="5"/>
      <c r="W1044" s="5"/>
    </row>
    <row r="1045" ht="15.75" customHeight="1">
      <c r="A1045" s="3">
        <f>IFERROR(__xludf.DUMMYFUNCTION("""COMPUTED_VALUE"""),1045.0)</f>
        <v>1045</v>
      </c>
      <c r="B1045" s="53">
        <f>IFERROR(__xludf.DUMMYFUNCTION("""COMPUTED_VALUE"""),45743.0)</f>
        <v>45743</v>
      </c>
      <c r="C1045" s="3">
        <f>IFERROR(__xludf.DUMMYFUNCTION("""COMPUTED_VALUE"""),110.0)</f>
        <v>110</v>
      </c>
      <c r="D1045" s="3" t="str">
        <f>IFERROR(__xludf.DUMMYFUNCTION("""COMPUTED_VALUE"""),"bf6d548a")</f>
        <v>bf6d548a</v>
      </c>
      <c r="E1045" s="54">
        <f>IFERROR(__xludf.DUMMYFUNCTION("""COMPUTED_VALUE"""),3000.0)</f>
        <v>3000</v>
      </c>
      <c r="F1045" s="3" t="str">
        <f>IFERROR(__xludf.DUMMYFUNCTION("""COMPUTED_VALUE"""),"Borra")</f>
        <v>Borra</v>
      </c>
      <c r="G1045" s="3"/>
      <c r="H1045" s="3"/>
      <c r="I1045" s="3"/>
      <c r="J1045" s="3"/>
      <c r="K1045" s="3"/>
      <c r="L1045" s="54">
        <f>IFERROR(__xludf.DUMMYFUNCTION("""COMPUTED_VALUE"""),41.0)</f>
        <v>41</v>
      </c>
      <c r="M1045" s="3"/>
      <c r="N1045" s="3"/>
      <c r="O1045" s="3"/>
      <c r="P1045" s="3"/>
      <c r="Q1045" s="3"/>
      <c r="R1045" s="3"/>
      <c r="S1045" s="3"/>
      <c r="T1045" s="5"/>
      <c r="U1045" s="5"/>
      <c r="V1045" s="5"/>
      <c r="W1045" s="5"/>
    </row>
    <row r="1046" ht="15.75" customHeight="1">
      <c r="A1046" s="3">
        <f>IFERROR(__xludf.DUMMYFUNCTION("""COMPUTED_VALUE"""),1046.0)</f>
        <v>1046</v>
      </c>
      <c r="B1046" s="53">
        <f>IFERROR(__xludf.DUMMYFUNCTION("""COMPUTED_VALUE"""),45743.0)</f>
        <v>45743</v>
      </c>
      <c r="C1046" s="3">
        <f>IFERROR(__xludf.DUMMYFUNCTION("""COMPUTED_VALUE"""),12.0)</f>
        <v>12</v>
      </c>
      <c r="D1046" s="3" t="str">
        <f>IFERROR(__xludf.DUMMYFUNCTION("""COMPUTED_VALUE"""),"28029583")</f>
        <v>28029583</v>
      </c>
      <c r="E1046" s="54">
        <f>IFERROR(__xludf.DUMMYFUNCTION("""COMPUTED_VALUE"""),35300.0)</f>
        <v>35300</v>
      </c>
      <c r="F1046" s="3" t="str">
        <f>IFERROR(__xludf.DUMMYFUNCTION("""COMPUTED_VALUE"""),"Tinto Recarga Press")</f>
        <v>Tinto Recarga Press</v>
      </c>
      <c r="G1046" s="3"/>
      <c r="H1046" s="3"/>
      <c r="I1046" s="3"/>
      <c r="J1046" s="3"/>
      <c r="K1046" s="3"/>
      <c r="L1046" s="54">
        <f>IFERROR(__xludf.DUMMYFUNCTION("""COMPUTED_VALUE"""),12.0)</f>
        <v>12</v>
      </c>
      <c r="M1046" s="3">
        <f>IFERROR(__xludf.DUMMYFUNCTION("""COMPUTED_VALUE"""),57.0)</f>
        <v>57</v>
      </c>
      <c r="N1046" s="3"/>
      <c r="O1046" s="3"/>
      <c r="P1046" s="3"/>
      <c r="Q1046" s="3"/>
      <c r="R1046" s="3"/>
      <c r="S1046" s="3"/>
      <c r="T1046" s="5"/>
      <c r="U1046" s="5"/>
      <c r="V1046" s="5"/>
      <c r="W1046" s="5"/>
    </row>
    <row r="1047" ht="15.75" customHeight="1">
      <c r="A1047" s="3">
        <f>IFERROR(__xludf.DUMMYFUNCTION("""COMPUTED_VALUE"""),1047.0)</f>
        <v>1047</v>
      </c>
      <c r="B1047" s="53">
        <f>IFERROR(__xludf.DUMMYFUNCTION("""COMPUTED_VALUE"""),45743.0)</f>
        <v>45743</v>
      </c>
      <c r="C1047" s="3">
        <f>IFERROR(__xludf.DUMMYFUNCTION("""COMPUTED_VALUE"""),52.0)</f>
        <v>52</v>
      </c>
      <c r="D1047" s="3" t="str">
        <f>IFERROR(__xludf.DUMMYFUNCTION("""COMPUTED_VALUE"""),"c750a1d2")</f>
        <v>c750a1d2</v>
      </c>
      <c r="E1047" s="54">
        <f>IFERROR(__xludf.DUMMYFUNCTION("""COMPUTED_VALUE"""),27000.0)</f>
        <v>27000</v>
      </c>
      <c r="F1047" s="3" t="str">
        <f>IFERROR(__xludf.DUMMYFUNCTION("""COMPUTED_VALUE"""),"Bonarda")</f>
        <v>Bonarda</v>
      </c>
      <c r="G1047" s="3"/>
      <c r="H1047" s="3"/>
      <c r="I1047" s="3"/>
      <c r="J1047" s="3"/>
      <c r="K1047" s="3"/>
      <c r="L1047" s="54">
        <f>IFERROR(__xludf.DUMMYFUNCTION("""COMPUTED_VALUE"""),13.0)</f>
        <v>13</v>
      </c>
      <c r="M1047" s="3">
        <f>IFERROR(__xludf.DUMMYFUNCTION("""COMPUTED_VALUE"""),68.0)</f>
        <v>68</v>
      </c>
      <c r="N1047" s="3"/>
      <c r="O1047" s="3"/>
      <c r="P1047" s="3"/>
      <c r="Q1047" s="3"/>
      <c r="R1047" s="3"/>
      <c r="S1047" s="3"/>
      <c r="T1047" s="5"/>
      <c r="U1047" s="5"/>
      <c r="V1047" s="5"/>
      <c r="W1047" s="5"/>
    </row>
    <row r="1048" ht="15.75" customHeight="1">
      <c r="A1048" s="3">
        <f>IFERROR(__xludf.DUMMYFUNCTION("""COMPUTED_VALUE"""),1048.0)</f>
        <v>1048</v>
      </c>
      <c r="B1048" s="53">
        <f>IFERROR(__xludf.DUMMYFUNCTION("""COMPUTED_VALUE"""),45743.0)</f>
        <v>45743</v>
      </c>
      <c r="C1048" s="3">
        <f>IFERROR(__xludf.DUMMYFUNCTION("""COMPUTED_VALUE"""),95.0)</f>
        <v>95</v>
      </c>
      <c r="D1048" s="3" t="str">
        <f>IFERROR(__xludf.DUMMYFUNCTION("""COMPUTED_VALUE"""),"666d23a6")</f>
        <v>666d23a6</v>
      </c>
      <c r="E1048" s="54">
        <f>IFERROR(__xludf.DUMMYFUNCTION("""COMPUTED_VALUE"""),52500.0)</f>
        <v>52500</v>
      </c>
      <c r="F1048" s="3" t="str">
        <f>IFERROR(__xludf.DUMMYFUNCTION("""COMPUTED_VALUE"""),"Syrah")</f>
        <v>Syrah</v>
      </c>
      <c r="G1048" s="3"/>
      <c r="H1048" s="56">
        <f>IFERROR(__xludf.DUMMYFUNCTION("""COMPUTED_VALUE"""),8.0)</f>
        <v>8</v>
      </c>
      <c r="I1048" s="57">
        <f>IFERROR(__xludf.DUMMYFUNCTION("""COMPUTED_VALUE"""),0.54)</f>
        <v>0.54</v>
      </c>
      <c r="J1048" s="3"/>
      <c r="K1048" s="3"/>
      <c r="L1048" s="54">
        <f>IFERROR(__xludf.DUMMYFUNCTION("""COMPUTED_VALUE"""),10.0)</f>
        <v>10</v>
      </c>
      <c r="M1048" s="3">
        <f>IFERROR(__xludf.DUMMYFUNCTION("""COMPUTED_VALUE"""),43.0)</f>
        <v>43</v>
      </c>
      <c r="N1048" s="3"/>
      <c r="O1048" s="3"/>
      <c r="P1048" s="3"/>
      <c r="Q1048" s="3"/>
      <c r="R1048" s="3"/>
      <c r="S1048" s="3"/>
      <c r="T1048" s="5"/>
      <c r="U1048" s="5"/>
      <c r="V1048" s="5"/>
      <c r="W1048" s="5"/>
    </row>
    <row r="1049" ht="15.75" customHeight="1">
      <c r="A1049" s="3">
        <f>IFERROR(__xludf.DUMMYFUNCTION("""COMPUTED_VALUE"""),1049.0)</f>
        <v>1049</v>
      </c>
      <c r="B1049" s="53">
        <f>IFERROR(__xludf.DUMMYFUNCTION("""COMPUTED_VALUE"""),45743.0)</f>
        <v>45743</v>
      </c>
      <c r="C1049" s="3">
        <f>IFERROR(__xludf.DUMMYFUNCTION("""COMPUTED_VALUE"""),30.0)</f>
        <v>30</v>
      </c>
      <c r="D1049" s="3" t="str">
        <f>IFERROR(__xludf.DUMMYFUNCTION("""COMPUTED_VALUE"""),"eec28962")</f>
        <v>eec28962</v>
      </c>
      <c r="E1049" s="54">
        <f>IFERROR(__xludf.DUMMYFUNCTION("""COMPUTED_VALUE"""),38800.0)</f>
        <v>38800</v>
      </c>
      <c r="F1049" s="3" t="str">
        <f>IFERROR(__xludf.DUMMYFUNCTION("""COMPUTED_VALUE"""),"Aspirant 24")</f>
        <v>Aspirant 24</v>
      </c>
      <c r="G1049" s="3"/>
      <c r="H1049" s="3"/>
      <c r="I1049" s="3"/>
      <c r="J1049" s="3"/>
      <c r="K1049" s="3"/>
      <c r="L1049" s="54">
        <f>IFERROR(__xludf.DUMMYFUNCTION("""COMPUTED_VALUE"""),38.0)</f>
        <v>38</v>
      </c>
      <c r="M1049" s="3">
        <f>IFERROR(__xludf.DUMMYFUNCTION("""COMPUTED_VALUE"""),78.0)</f>
        <v>78</v>
      </c>
      <c r="N1049" s="3"/>
      <c r="O1049" s="3"/>
      <c r="P1049" s="3"/>
      <c r="Q1049" s="3"/>
      <c r="R1049" s="3"/>
      <c r="S1049" s="3"/>
      <c r="T1049" s="5"/>
      <c r="U1049" s="5"/>
      <c r="V1049" s="5"/>
      <c r="W1049" s="5"/>
    </row>
    <row r="1050" ht="15.75" customHeight="1">
      <c r="A1050" s="3">
        <f>IFERROR(__xludf.DUMMYFUNCTION("""COMPUTED_VALUE"""),1050.0)</f>
        <v>1050</v>
      </c>
      <c r="B1050" s="53">
        <f>IFERROR(__xludf.DUMMYFUNCTION("""COMPUTED_VALUE"""),45743.0)</f>
        <v>45743</v>
      </c>
      <c r="C1050" s="3">
        <f>IFERROR(__xludf.DUMMYFUNCTION("""COMPUTED_VALUE"""),92.0)</f>
        <v>92</v>
      </c>
      <c r="D1050" s="3" t="str">
        <f>IFERROR(__xludf.DUMMYFUNCTION("""COMPUTED_VALUE"""),"654f6921")</f>
        <v>654f6921</v>
      </c>
      <c r="E1050" s="54">
        <f>IFERROR(__xludf.DUMMYFUNCTION("""COMPUTED_VALUE"""),23800.0)</f>
        <v>23800</v>
      </c>
      <c r="F1050" s="3" t="str">
        <f>IFERROR(__xludf.DUMMYFUNCTION("""COMPUTED_VALUE"""),"Malbec")</f>
        <v>Malbec</v>
      </c>
      <c r="G1050" s="3"/>
      <c r="H1050" s="3"/>
      <c r="I1050" s="3"/>
      <c r="J1050" s="3"/>
      <c r="K1050" s="57">
        <f>IFERROR(__xludf.DUMMYFUNCTION("""COMPUTED_VALUE"""),3.82)</f>
        <v>3.82</v>
      </c>
      <c r="L1050" s="54">
        <f>IFERROR(__xludf.DUMMYFUNCTION("""COMPUTED_VALUE"""),19.0)</f>
        <v>19</v>
      </c>
      <c r="M1050" s="3">
        <f>IFERROR(__xludf.DUMMYFUNCTION("""COMPUTED_VALUE"""),32.0)</f>
        <v>32</v>
      </c>
      <c r="N1050" s="3"/>
      <c r="O1050" s="3"/>
      <c r="P1050" s="3"/>
      <c r="Q1050" s="3"/>
      <c r="R1050" s="3"/>
      <c r="S1050" s="3"/>
      <c r="T1050" s="5"/>
      <c r="U1050" s="5"/>
      <c r="V1050" s="5"/>
      <c r="W1050" s="5"/>
    </row>
    <row r="1051" ht="15.75" customHeight="1">
      <c r="A1051" s="3">
        <f>IFERROR(__xludf.DUMMYFUNCTION("""COMPUTED_VALUE"""),1051.0)</f>
        <v>1051</v>
      </c>
      <c r="B1051" s="53">
        <f>IFERROR(__xludf.DUMMYFUNCTION("""COMPUTED_VALUE"""),45743.0)</f>
        <v>45743</v>
      </c>
      <c r="C1051" s="3">
        <f>IFERROR(__xludf.DUMMYFUNCTION("""COMPUTED_VALUE"""),91.0)</f>
        <v>91</v>
      </c>
      <c r="D1051" s="3" t="str">
        <f>IFERROR(__xludf.DUMMYFUNCTION("""COMPUTED_VALUE"""),"8cca3230")</f>
        <v>8cca3230</v>
      </c>
      <c r="E1051" s="54">
        <f>IFERROR(__xludf.DUMMYFUNCTION("""COMPUTED_VALUE"""),17000.0)</f>
        <v>17000</v>
      </c>
      <c r="F1051" s="3" t="str">
        <f>IFERROR(__xludf.DUMMYFUNCTION("""COMPUTED_VALUE"""),"Bonarda")</f>
        <v>Bonarda</v>
      </c>
      <c r="G1051" s="3"/>
      <c r="H1051" s="3"/>
      <c r="I1051" s="3"/>
      <c r="J1051" s="3"/>
      <c r="K1051" s="57">
        <f>IFERROR(__xludf.DUMMYFUNCTION("""COMPUTED_VALUE"""),3.63)</f>
        <v>3.63</v>
      </c>
      <c r="L1051" s="54">
        <f>IFERROR(__xludf.DUMMYFUNCTION("""COMPUTED_VALUE"""),13.0)</f>
        <v>13</v>
      </c>
      <c r="M1051" s="3">
        <f>IFERROR(__xludf.DUMMYFUNCTION("""COMPUTED_VALUE"""),51.0)</f>
        <v>51</v>
      </c>
      <c r="N1051" s="3"/>
      <c r="O1051" s="3"/>
      <c r="P1051" s="3"/>
      <c r="Q1051" s="3"/>
      <c r="R1051" s="3"/>
      <c r="S1051" s="3"/>
      <c r="T1051" s="5"/>
      <c r="U1051" s="5"/>
      <c r="V1051" s="5"/>
      <c r="W1051" s="5"/>
    </row>
    <row r="1052" ht="15.75" customHeight="1">
      <c r="A1052" s="3">
        <f>IFERROR(__xludf.DUMMYFUNCTION("""COMPUTED_VALUE"""),1052.0)</f>
        <v>1052</v>
      </c>
      <c r="B1052" s="53">
        <f>IFERROR(__xludf.DUMMYFUNCTION("""COMPUTED_VALUE"""),45743.0)</f>
        <v>45743</v>
      </c>
      <c r="C1052" s="3">
        <f>IFERROR(__xludf.DUMMYFUNCTION("""COMPUTED_VALUE"""),69.0)</f>
        <v>69</v>
      </c>
      <c r="D1052" s="3" t="str">
        <f>IFERROR(__xludf.DUMMYFUNCTION("""COMPUTED_VALUE"""),"1640b5b7")</f>
        <v>1640b5b7</v>
      </c>
      <c r="E1052" s="54">
        <f>IFERROR(__xludf.DUMMYFUNCTION("""COMPUTED_VALUE"""),6400.0)</f>
        <v>6400</v>
      </c>
      <c r="F1052" s="3" t="str">
        <f>IFERROR(__xludf.DUMMYFUNCTION("""COMPUTED_VALUE"""),"Tinto Criolla Recarga")</f>
        <v>Tinto Criolla Recarga</v>
      </c>
      <c r="G1052" s="3"/>
      <c r="H1052" s="56">
        <f>IFERROR(__xludf.DUMMYFUNCTION("""COMPUTED_VALUE"""),4.0)</f>
        <v>4</v>
      </c>
      <c r="I1052" s="57">
        <f>IFERROR(__xludf.DUMMYFUNCTION("""COMPUTED_VALUE"""),0.65)</f>
        <v>0.65</v>
      </c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5"/>
      <c r="U1052" s="5"/>
      <c r="V1052" s="5"/>
      <c r="W1052" s="5"/>
    </row>
    <row r="1053" ht="15.75" customHeight="1">
      <c r="A1053" s="3">
        <f>IFERROR(__xludf.DUMMYFUNCTION("""COMPUTED_VALUE"""),1053.0)</f>
        <v>1053</v>
      </c>
      <c r="B1053" s="53">
        <f>IFERROR(__xludf.DUMMYFUNCTION("""COMPUTED_VALUE"""),45743.0)</f>
        <v>45743</v>
      </c>
      <c r="C1053" s="3">
        <f>IFERROR(__xludf.DUMMYFUNCTION("""COMPUTED_VALUE"""),71.0)</f>
        <v>71</v>
      </c>
      <c r="D1053" s="3" t="str">
        <f>IFERROR(__xludf.DUMMYFUNCTION("""COMPUTED_VALUE"""),"8ba061c3")</f>
        <v>8ba061c3</v>
      </c>
      <c r="E1053" s="54">
        <f>IFERROR(__xludf.DUMMYFUNCTION("""COMPUTED_VALUE"""),9500.0)</f>
        <v>9500</v>
      </c>
      <c r="F1053" s="3" t="str">
        <f>IFERROR(__xludf.DUMMYFUNCTION("""COMPUTED_VALUE"""),"Tanat")</f>
        <v>Tanat</v>
      </c>
      <c r="G1053" s="3"/>
      <c r="H1053" s="56">
        <f>IFERROR(__xludf.DUMMYFUNCTION("""COMPUTED_VALUE"""),6.75)</f>
        <v>6.75</v>
      </c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5"/>
      <c r="U1053" s="5"/>
      <c r="V1053" s="5"/>
      <c r="W1053" s="5"/>
    </row>
    <row r="1054" ht="15.75" customHeight="1">
      <c r="A1054" s="3">
        <f>IFERROR(__xludf.DUMMYFUNCTION("""COMPUTED_VALUE"""),1054.0)</f>
        <v>1054</v>
      </c>
      <c r="B1054" s="53">
        <f>IFERROR(__xludf.DUMMYFUNCTION("""COMPUTED_VALUE"""),45743.0)</f>
        <v>45743</v>
      </c>
      <c r="C1054" s="3">
        <f>IFERROR(__xludf.DUMMYFUNCTION("""COMPUTED_VALUE"""),72.0)</f>
        <v>72</v>
      </c>
      <c r="D1054" s="3" t="str">
        <f>IFERROR(__xludf.DUMMYFUNCTION("""COMPUTED_VALUE"""),"671aa5be")</f>
        <v>671aa5be</v>
      </c>
      <c r="E1054" s="54">
        <f>IFERROR(__xludf.DUMMYFUNCTION("""COMPUTED_VALUE"""),8000.0)</f>
        <v>8000</v>
      </c>
      <c r="F1054" s="3" t="str">
        <f>IFERROR(__xludf.DUMMYFUNCTION("""COMPUTED_VALUE"""),"Tanat")</f>
        <v>Tanat</v>
      </c>
      <c r="G1054" s="3"/>
      <c r="H1054" s="56">
        <f>IFERROR(__xludf.DUMMYFUNCTION("""COMPUTED_VALUE"""),12.0)</f>
        <v>12</v>
      </c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5"/>
      <c r="U1054" s="5"/>
      <c r="V1054" s="5"/>
      <c r="W1054" s="5"/>
    </row>
    <row r="1055" ht="15.75" customHeight="1">
      <c r="A1055" s="3">
        <f>IFERROR(__xludf.DUMMYFUNCTION("""COMPUTED_VALUE"""),1055.0)</f>
        <v>1055</v>
      </c>
      <c r="B1055" s="53">
        <f>IFERROR(__xludf.DUMMYFUNCTION("""COMPUTED_VALUE"""),45743.0)</f>
        <v>45743</v>
      </c>
      <c r="C1055" s="3">
        <f>IFERROR(__xludf.DUMMYFUNCTION("""COMPUTED_VALUE"""),82.0)</f>
        <v>82</v>
      </c>
      <c r="D1055" s="3" t="str">
        <f>IFERROR(__xludf.DUMMYFUNCTION("""COMPUTED_VALUE"""),"538b2389")</f>
        <v>538b2389</v>
      </c>
      <c r="E1055" s="54">
        <f>IFERROR(__xludf.DUMMYFUNCTION("""COMPUTED_VALUE"""),32600.0)</f>
        <v>32600</v>
      </c>
      <c r="F1055" s="3" t="str">
        <f>IFERROR(__xludf.DUMMYFUNCTION("""COMPUTED_VALUE"""),"Tinto Criolla Rec")</f>
        <v>Tinto Criolla Rec</v>
      </c>
      <c r="G1055" s="3"/>
      <c r="H1055" s="56">
        <f>IFERROR(__xludf.DUMMYFUNCTION("""COMPUTED_VALUE"""),5.0)</f>
        <v>5</v>
      </c>
      <c r="I1055" s="57">
        <f>IFERROR(__xludf.DUMMYFUNCTION("""COMPUTED_VALUE"""),0.5)</f>
        <v>0.5</v>
      </c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5"/>
      <c r="U1055" s="5"/>
      <c r="V1055" s="5"/>
      <c r="W1055" s="5"/>
    </row>
    <row r="1056" ht="15.75" customHeight="1">
      <c r="A1056" s="3">
        <f>IFERROR(__xludf.DUMMYFUNCTION("""COMPUTED_VALUE"""),1056.0)</f>
        <v>1056</v>
      </c>
      <c r="B1056" s="53">
        <f>IFERROR(__xludf.DUMMYFUNCTION("""COMPUTED_VALUE"""),45743.0)</f>
        <v>45743</v>
      </c>
      <c r="C1056" s="3">
        <f>IFERROR(__xludf.DUMMYFUNCTION("""COMPUTED_VALUE"""),36.0)</f>
        <v>36</v>
      </c>
      <c r="D1056" s="3" t="str">
        <f>IFERROR(__xludf.DUMMYFUNCTION("""COMPUTED_VALUE"""),"0997a77d")</f>
        <v>0997a77d</v>
      </c>
      <c r="E1056" s="54">
        <f>IFERROR(__xludf.DUMMYFUNCTION("""COMPUTED_VALUE"""),19700.0)</f>
        <v>19700</v>
      </c>
      <c r="F1056" s="3" t="str">
        <f>IFERROR(__xludf.DUMMYFUNCTION("""COMPUTED_VALUE"""),"Torrontes")</f>
        <v>Torrontes</v>
      </c>
      <c r="G1056" s="3"/>
      <c r="H1056" s="3"/>
      <c r="I1056" s="3"/>
      <c r="J1056" s="3"/>
      <c r="K1056" s="3"/>
      <c r="L1056" s="54">
        <f>IFERROR(__xludf.DUMMYFUNCTION("""COMPUTED_VALUE"""),25.0)</f>
        <v>25</v>
      </c>
      <c r="M1056" s="3">
        <f>IFERROR(__xludf.DUMMYFUNCTION("""COMPUTED_VALUE"""),87.0)</f>
        <v>87</v>
      </c>
      <c r="N1056" s="3"/>
      <c r="O1056" s="3"/>
      <c r="P1056" s="3"/>
      <c r="Q1056" s="3"/>
      <c r="R1056" s="3"/>
      <c r="S1056" s="3"/>
      <c r="T1056" s="5"/>
      <c r="U1056" s="5"/>
      <c r="V1056" s="5"/>
      <c r="W1056" s="5"/>
    </row>
    <row r="1057" ht="15.75" customHeight="1">
      <c r="A1057" s="3">
        <f>IFERROR(__xludf.DUMMYFUNCTION("""COMPUTED_VALUE"""),1057.0)</f>
        <v>1057</v>
      </c>
      <c r="B1057" s="53">
        <f>IFERROR(__xludf.DUMMYFUNCTION("""COMPUTED_VALUE"""),45743.0)</f>
        <v>45743</v>
      </c>
      <c r="C1057" s="3">
        <f>IFERROR(__xludf.DUMMYFUNCTION("""COMPUTED_VALUE"""),44.0)</f>
        <v>44</v>
      </c>
      <c r="D1057" s="3" t="str">
        <f>IFERROR(__xludf.DUMMYFUNCTION("""COMPUTED_VALUE"""),"7ae457f1")</f>
        <v>7ae457f1</v>
      </c>
      <c r="E1057" s="54">
        <f>IFERROR(__xludf.DUMMYFUNCTION("""COMPUTED_VALUE"""),19100.0)</f>
        <v>19100</v>
      </c>
      <c r="F1057" s="3" t="str">
        <f>IFERROR(__xludf.DUMMYFUNCTION("""COMPUTED_VALUE"""),"Torrontes")</f>
        <v>Torrontes</v>
      </c>
      <c r="G1057" s="3"/>
      <c r="H1057" s="56">
        <f>IFERROR(__xludf.DUMMYFUNCTION("""COMPUTED_VALUE"""),4.0)</f>
        <v>4</v>
      </c>
      <c r="I1057" s="3"/>
      <c r="J1057" s="3"/>
      <c r="K1057" s="3"/>
      <c r="L1057" s="54">
        <f>IFERROR(__xludf.DUMMYFUNCTION("""COMPUTED_VALUE"""),10.0)</f>
        <v>10</v>
      </c>
      <c r="M1057" s="3">
        <f>IFERROR(__xludf.DUMMYFUNCTION("""COMPUTED_VALUE"""),54.0)</f>
        <v>54</v>
      </c>
      <c r="N1057" s="3"/>
      <c r="O1057" s="3"/>
      <c r="P1057" s="3"/>
      <c r="Q1057" s="3"/>
      <c r="R1057" s="3"/>
      <c r="S1057" s="3"/>
      <c r="T1057" s="5"/>
      <c r="U1057" s="5"/>
      <c r="V1057" s="5"/>
      <c r="W1057" s="5"/>
    </row>
    <row r="1058" ht="15.75" customHeight="1">
      <c r="A1058" s="3">
        <f>IFERROR(__xludf.DUMMYFUNCTION("""COMPUTED_VALUE"""),1058.0)</f>
        <v>1058</v>
      </c>
      <c r="B1058" s="53">
        <f>IFERROR(__xludf.DUMMYFUNCTION("""COMPUTED_VALUE"""),45743.0)</f>
        <v>45743</v>
      </c>
      <c r="C1058" s="3">
        <f>IFERROR(__xludf.DUMMYFUNCTION("""COMPUTED_VALUE"""),47.0)</f>
        <v>47</v>
      </c>
      <c r="D1058" s="3" t="str">
        <f>IFERROR(__xludf.DUMMYFUNCTION("""COMPUTED_VALUE"""),"5cdb12ce")</f>
        <v>5cdb12ce</v>
      </c>
      <c r="E1058" s="54">
        <f>IFERROR(__xludf.DUMMYFUNCTION("""COMPUTED_VALUE"""),20000.0)</f>
        <v>20000</v>
      </c>
      <c r="F1058" s="3" t="str">
        <f>IFERROR(__xludf.DUMMYFUNCTION("""COMPUTED_VALUE"""),"Chenin")</f>
        <v>Chenin</v>
      </c>
      <c r="G1058" s="3"/>
      <c r="H1058" s="3"/>
      <c r="I1058" s="3"/>
      <c r="J1058" s="3"/>
      <c r="K1058" s="3"/>
      <c r="L1058" s="54">
        <f>IFERROR(__xludf.DUMMYFUNCTION("""COMPUTED_VALUE"""),21.0)</f>
        <v>21</v>
      </c>
      <c r="M1058" s="3">
        <f>IFERROR(__xludf.DUMMYFUNCTION("""COMPUTED_VALUE"""),77.0)</f>
        <v>77</v>
      </c>
      <c r="N1058" s="3"/>
      <c r="O1058" s="3"/>
      <c r="P1058" s="3"/>
      <c r="Q1058" s="3"/>
      <c r="R1058" s="3"/>
      <c r="S1058" s="3"/>
      <c r="T1058" s="5"/>
      <c r="U1058" s="5"/>
      <c r="V1058" s="5"/>
      <c r="W1058" s="5"/>
    </row>
    <row r="1059" ht="15.75" customHeight="1">
      <c r="A1059" s="3">
        <f>IFERROR(__xludf.DUMMYFUNCTION("""COMPUTED_VALUE"""),1059.0)</f>
        <v>1059</v>
      </c>
      <c r="B1059" s="53">
        <f>IFERROR(__xludf.DUMMYFUNCTION("""COMPUTED_VALUE"""),45743.0)</f>
        <v>45743</v>
      </c>
      <c r="C1059" s="3">
        <f>IFERROR(__xludf.DUMMYFUNCTION("""COMPUTED_VALUE"""),48.0)</f>
        <v>48</v>
      </c>
      <c r="D1059" s="3" t="str">
        <f>IFERROR(__xludf.DUMMYFUNCTION("""COMPUTED_VALUE"""),"ef198a97")</f>
        <v>ef198a97</v>
      </c>
      <c r="E1059" s="54">
        <f>IFERROR(__xludf.DUMMYFUNCTION("""COMPUTED_VALUE"""),26000.0)</f>
        <v>26000</v>
      </c>
      <c r="F1059" s="3" t="str">
        <f>IFERROR(__xludf.DUMMYFUNCTION("""COMPUTED_VALUE"""),"Pedro Gimenez")</f>
        <v>Pedro Gimenez</v>
      </c>
      <c r="G1059" s="3"/>
      <c r="H1059" s="3"/>
      <c r="I1059" s="3"/>
      <c r="J1059" s="3"/>
      <c r="K1059" s="3"/>
      <c r="L1059" s="54">
        <f>IFERROR(__xludf.DUMMYFUNCTION("""COMPUTED_VALUE"""),19.0)</f>
        <v>19</v>
      </c>
      <c r="M1059" s="3">
        <f>IFERROR(__xludf.DUMMYFUNCTION("""COMPUTED_VALUE"""),70.0)</f>
        <v>70</v>
      </c>
      <c r="N1059" s="3"/>
      <c r="O1059" s="3"/>
      <c r="P1059" s="3"/>
      <c r="Q1059" s="3"/>
      <c r="R1059" s="3"/>
      <c r="S1059" s="3"/>
      <c r="T1059" s="5"/>
      <c r="U1059" s="5"/>
      <c r="V1059" s="5"/>
      <c r="W1059" s="5"/>
    </row>
    <row r="1060" ht="15.75" customHeight="1">
      <c r="A1060" s="3">
        <f>IFERROR(__xludf.DUMMYFUNCTION("""COMPUTED_VALUE"""),1060.0)</f>
        <v>1060</v>
      </c>
      <c r="B1060" s="53">
        <f>IFERROR(__xludf.DUMMYFUNCTION("""COMPUTED_VALUE"""),45743.0)</f>
        <v>45743</v>
      </c>
      <c r="C1060" s="3">
        <f>IFERROR(__xludf.DUMMYFUNCTION("""COMPUTED_VALUE"""),55.0)</f>
        <v>55</v>
      </c>
      <c r="D1060" s="3" t="str">
        <f>IFERROR(__xludf.DUMMYFUNCTION("""COMPUTED_VALUE"""),"30332ad5")</f>
        <v>30332ad5</v>
      </c>
      <c r="E1060" s="54">
        <f>IFERROR(__xludf.DUMMYFUNCTION("""COMPUTED_VALUE"""),3000.0)</f>
        <v>3000</v>
      </c>
      <c r="F1060" s="3" t="str">
        <f>IFERROR(__xludf.DUMMYFUNCTION("""COMPUTED_VALUE"""),"Torrontes")</f>
        <v>Torrontes</v>
      </c>
      <c r="G1060" s="3"/>
      <c r="H1060" s="3"/>
      <c r="I1060" s="3"/>
      <c r="J1060" s="3"/>
      <c r="K1060" s="3"/>
      <c r="L1060" s="54">
        <f>IFERROR(__xludf.DUMMYFUNCTION("""COMPUTED_VALUE"""),15.0)</f>
        <v>15</v>
      </c>
      <c r="M1060" s="3">
        <f>IFERROR(__xludf.DUMMYFUNCTION("""COMPUTED_VALUE"""),65.0)</f>
        <v>65</v>
      </c>
      <c r="N1060" s="3"/>
      <c r="O1060" s="3"/>
      <c r="P1060" s="3"/>
      <c r="Q1060" s="3"/>
      <c r="R1060" s="3"/>
      <c r="S1060" s="3"/>
      <c r="T1060" s="5"/>
      <c r="U1060" s="5"/>
      <c r="V1060" s="5"/>
      <c r="W1060" s="5"/>
    </row>
    <row r="1061" ht="15.75" customHeight="1">
      <c r="A1061" s="3">
        <f>IFERROR(__xludf.DUMMYFUNCTION("""COMPUTED_VALUE"""),1061.0)</f>
        <v>1061</v>
      </c>
      <c r="B1061" s="53">
        <f>IFERROR(__xludf.DUMMYFUNCTION("""COMPUTED_VALUE"""),45743.0)</f>
        <v>45743</v>
      </c>
      <c r="C1061" s="3">
        <f>IFERROR(__xludf.DUMMYFUNCTION("""COMPUTED_VALUE"""),115.0)</f>
        <v>115</v>
      </c>
      <c r="D1061" s="3" t="str">
        <f>IFERROR(__xludf.DUMMYFUNCTION("""COMPUTED_VALUE"""),"8102a15a")</f>
        <v>8102a15a</v>
      </c>
      <c r="E1061" s="54">
        <f>IFERROR(__xludf.DUMMYFUNCTION("""COMPUTED_VALUE"""),120200.0)</f>
        <v>120200</v>
      </c>
      <c r="F1061" s="3" t="str">
        <f>IFERROR(__xludf.DUMMYFUNCTION("""COMPUTED_VALUE"""),"Bonarda")</f>
        <v>Bonarda</v>
      </c>
      <c r="G1061" s="3"/>
      <c r="H1061" s="56">
        <f>IFERROR(__xludf.DUMMYFUNCTION("""COMPUTED_VALUE"""),2.0)</f>
        <v>2</v>
      </c>
      <c r="I1061" s="3"/>
      <c r="J1061" s="3"/>
      <c r="K1061" s="3"/>
      <c r="L1061" s="54">
        <f>IFERROR(__xludf.DUMMYFUNCTION("""COMPUTED_VALUE"""),18.0)</f>
        <v>18</v>
      </c>
      <c r="M1061" s="3">
        <f>IFERROR(__xludf.DUMMYFUNCTION("""COMPUTED_VALUE"""),51.0)</f>
        <v>51</v>
      </c>
      <c r="N1061" s="3"/>
      <c r="O1061" s="3"/>
      <c r="P1061" s="3"/>
      <c r="Q1061" s="3"/>
      <c r="R1061" s="3"/>
      <c r="S1061" s="3"/>
      <c r="T1061" s="5"/>
      <c r="U1061" s="5"/>
      <c r="V1061" s="5"/>
      <c r="W1061" s="5"/>
    </row>
    <row r="1062" ht="15.75" customHeight="1">
      <c r="A1062" s="3">
        <f>IFERROR(__xludf.DUMMYFUNCTION("""COMPUTED_VALUE"""),1062.0)</f>
        <v>1062</v>
      </c>
      <c r="B1062" s="53">
        <f>IFERROR(__xludf.DUMMYFUNCTION("""COMPUTED_VALUE"""),45743.0)</f>
        <v>45743</v>
      </c>
      <c r="C1062" s="3">
        <f>IFERROR(__xludf.DUMMYFUNCTION("""COMPUTED_VALUE"""),11.0)</f>
        <v>11</v>
      </c>
      <c r="D1062" s="3" t="str">
        <f>IFERROR(__xludf.DUMMYFUNCTION("""COMPUTED_VALUE"""),"9c695ba3")</f>
        <v>9c695ba3</v>
      </c>
      <c r="E1062" s="54">
        <f>IFERROR(__xludf.DUMMYFUNCTION("""COMPUTED_VALUE"""),36000.0)</f>
        <v>36000</v>
      </c>
      <c r="F1062" s="3" t="str">
        <f>IFERROR(__xludf.DUMMYFUNCTION("""COMPUTED_VALUE"""),"Syrah Colom s/Asp 2")</f>
        <v>Syrah Colom s/Asp 2</v>
      </c>
      <c r="G1062" s="55">
        <f>IFERROR(__xludf.DUMMYFUNCTION("""COMPUTED_VALUE"""),14.3)</f>
        <v>14.3</v>
      </c>
      <c r="H1062" s="3"/>
      <c r="I1062" s="57">
        <f>IFERROR(__xludf.DUMMYFUNCTION("""COMPUTED_VALUE"""),0.41)</f>
        <v>0.41</v>
      </c>
      <c r="J1062" s="57">
        <f>IFERROR(__xludf.DUMMYFUNCTION("""COMPUTED_VALUE"""),6.97)</f>
        <v>6.97</v>
      </c>
      <c r="K1062" s="3"/>
      <c r="L1062" s="54">
        <f>IFERROR(__xludf.DUMMYFUNCTION("""COMPUTED_VALUE"""),36.0)</f>
        <v>36</v>
      </c>
      <c r="M1062" s="3">
        <f>IFERROR(__xludf.DUMMYFUNCTION("""COMPUTED_VALUE"""),77.0)</f>
        <v>77</v>
      </c>
      <c r="N1062" s="3"/>
      <c r="O1062" s="3"/>
      <c r="P1062" s="3"/>
      <c r="Q1062" s="3"/>
      <c r="R1062" s="3"/>
      <c r="S1062" s="3"/>
      <c r="T1062" s="5"/>
      <c r="U1062" s="5"/>
      <c r="V1062" s="5"/>
      <c r="W1062" s="5" t="str">
        <f>IFERROR(__xludf.DUMMYFUNCTION("""COMPUTED_VALUE"""),"Simon")</f>
        <v>Simon</v>
      </c>
    </row>
    <row r="1063" ht="15.75" customHeight="1">
      <c r="A1063" s="3">
        <f>IFERROR(__xludf.DUMMYFUNCTION("""COMPUTED_VALUE"""),1063.0)</f>
        <v>1063</v>
      </c>
      <c r="B1063" s="53">
        <f>IFERROR(__xludf.DUMMYFUNCTION("""COMPUTED_VALUE"""),45743.0)</f>
        <v>45743</v>
      </c>
      <c r="C1063" s="3">
        <f>IFERROR(__xludf.DUMMYFUNCTION("""COMPUTED_VALUE"""),15.0)</f>
        <v>15</v>
      </c>
      <c r="D1063" s="3" t="str">
        <f>IFERROR(__xludf.DUMMYFUNCTION("""COMPUTED_VALUE"""),"bf5594db")</f>
        <v>bf5594db</v>
      </c>
      <c r="E1063" s="54">
        <f>IFERROR(__xludf.DUMMYFUNCTION("""COMPUTED_VALUE"""),36500.0)</f>
        <v>36500</v>
      </c>
      <c r="F1063" s="3" t="str">
        <f>IFERROR(__xludf.DUMMYFUNCTION("""COMPUTED_VALUE"""),"Syrah Tempranillo s/Asp 2da")</f>
        <v>Syrah Tempranillo s/Asp 2da</v>
      </c>
      <c r="G1063" s="55">
        <f>IFERROR(__xludf.DUMMYFUNCTION("""COMPUTED_VALUE"""),14.1)</f>
        <v>14.1</v>
      </c>
      <c r="H1063" s="3"/>
      <c r="I1063" s="57">
        <f>IFERROR(__xludf.DUMMYFUNCTION("""COMPUTED_VALUE"""),0.44)</f>
        <v>0.44</v>
      </c>
      <c r="J1063" s="57">
        <f>IFERROR(__xludf.DUMMYFUNCTION("""COMPUTED_VALUE"""),6.3)</f>
        <v>6.3</v>
      </c>
      <c r="K1063" s="3"/>
      <c r="L1063" s="54">
        <f>IFERROR(__xludf.DUMMYFUNCTION("""COMPUTED_VALUE"""),33.0)</f>
        <v>33</v>
      </c>
      <c r="M1063" s="3">
        <f>IFERROR(__xludf.DUMMYFUNCTION("""COMPUTED_VALUE"""),171.0)</f>
        <v>171</v>
      </c>
      <c r="N1063" s="3"/>
      <c r="O1063" s="3"/>
      <c r="P1063" s="3"/>
      <c r="Q1063" s="3"/>
      <c r="R1063" s="3"/>
      <c r="S1063" s="3"/>
      <c r="T1063" s="5"/>
      <c r="U1063" s="5"/>
      <c r="V1063" s="5"/>
      <c r="W1063" s="5" t="str">
        <f>IFERROR(__xludf.DUMMYFUNCTION("""COMPUTED_VALUE"""),"Simon")</f>
        <v>Simon</v>
      </c>
    </row>
    <row r="1064" ht="15.75" customHeight="1">
      <c r="A1064" s="3">
        <f>IFERROR(__xludf.DUMMYFUNCTION("""COMPUTED_VALUE"""),1064.0)</f>
        <v>1064</v>
      </c>
      <c r="B1064" s="53">
        <f>IFERROR(__xludf.DUMMYFUNCTION("""COMPUTED_VALUE"""),45743.0)</f>
        <v>45743</v>
      </c>
      <c r="C1064" s="3">
        <f>IFERROR(__xludf.DUMMYFUNCTION("""COMPUTED_VALUE"""),35.0)</f>
        <v>35</v>
      </c>
      <c r="D1064" s="3" t="str">
        <f>IFERROR(__xludf.DUMMYFUNCTION("""COMPUTED_VALUE"""),"e954d719")</f>
        <v>e954d719</v>
      </c>
      <c r="E1064" s="54">
        <f>IFERROR(__xludf.DUMMYFUNCTION("""COMPUTED_VALUE"""),39300.0)</f>
        <v>39300</v>
      </c>
      <c r="F1064" s="3" t="str">
        <f>IFERROR(__xludf.DUMMYFUNCTION("""COMPUTED_VALUE"""),"Aspirant")</f>
        <v>Aspirant</v>
      </c>
      <c r="G1064" s="55">
        <f>IFERROR(__xludf.DUMMYFUNCTION("""COMPUTED_VALUE"""),11.8)</f>
        <v>11.8</v>
      </c>
      <c r="H1064" s="3"/>
      <c r="I1064" s="57">
        <f>IFERROR(__xludf.DUMMYFUNCTION("""COMPUTED_VALUE"""),0.31)</f>
        <v>0.31</v>
      </c>
      <c r="J1064" s="57">
        <f>IFERROR(__xludf.DUMMYFUNCTION("""COMPUTED_VALUE"""),7.5)</f>
        <v>7.5</v>
      </c>
      <c r="K1064" s="3"/>
      <c r="L1064" s="54">
        <f>IFERROR(__xludf.DUMMYFUNCTION("""COMPUTED_VALUE"""),41.0)</f>
        <v>41</v>
      </c>
      <c r="M1064" s="3">
        <f>IFERROR(__xludf.DUMMYFUNCTION("""COMPUTED_VALUE"""),61.0)</f>
        <v>61</v>
      </c>
      <c r="N1064" s="3"/>
      <c r="O1064" s="3"/>
      <c r="P1064" s="3"/>
      <c r="Q1064" s="3"/>
      <c r="R1064" s="3"/>
      <c r="S1064" s="3"/>
      <c r="T1064" s="5"/>
      <c r="U1064" s="5"/>
      <c r="V1064" s="5"/>
      <c r="W1064" s="5" t="str">
        <f>IFERROR(__xludf.DUMMYFUNCTION("""COMPUTED_VALUE"""),"Simon")</f>
        <v>Simon</v>
      </c>
    </row>
    <row r="1065" ht="15.75" customHeight="1">
      <c r="A1065" s="3">
        <f>IFERROR(__xludf.DUMMYFUNCTION("""COMPUTED_VALUE"""),1065.0)</f>
        <v>1065</v>
      </c>
      <c r="B1065" s="53">
        <f>IFERROR(__xludf.DUMMYFUNCTION("""COMPUTED_VALUE"""),45743.0)</f>
        <v>45743</v>
      </c>
      <c r="C1065" s="3">
        <f>IFERROR(__xludf.DUMMYFUNCTION("""COMPUTED_VALUE"""),42.0)</f>
        <v>42</v>
      </c>
      <c r="D1065" s="3" t="str">
        <f>IFERROR(__xludf.DUMMYFUNCTION("""COMPUTED_VALUE"""),"0d46ca84")</f>
        <v>0d46ca84</v>
      </c>
      <c r="E1065" s="54">
        <f>IFERROR(__xludf.DUMMYFUNCTION("""COMPUTED_VALUE"""),35900.0)</f>
        <v>35900</v>
      </c>
      <c r="F1065" s="3" t="str">
        <f>IFERROR(__xludf.DUMMYFUNCTION("""COMPUTED_VALUE"""),"Aspirant Anccelota Gota")</f>
        <v>Aspirant Anccelota Gota</v>
      </c>
      <c r="G1065" s="55">
        <f>IFERROR(__xludf.DUMMYFUNCTION("""COMPUTED_VALUE"""),13.1)</f>
        <v>13.1</v>
      </c>
      <c r="H1065" s="3"/>
      <c r="I1065" s="57">
        <f>IFERROR(__xludf.DUMMYFUNCTION("""COMPUTED_VALUE"""),0.41)</f>
        <v>0.41</v>
      </c>
      <c r="J1065" s="57">
        <f>IFERROR(__xludf.DUMMYFUNCTION("""COMPUTED_VALUE"""),6.75)</f>
        <v>6.75</v>
      </c>
      <c r="K1065" s="3"/>
      <c r="L1065" s="54">
        <f>IFERROR(__xludf.DUMMYFUNCTION("""COMPUTED_VALUE"""),25.0)</f>
        <v>25</v>
      </c>
      <c r="M1065" s="3">
        <f>IFERROR(__xludf.DUMMYFUNCTION("""COMPUTED_VALUE"""),64.0)</f>
        <v>64</v>
      </c>
      <c r="N1065" s="3"/>
      <c r="O1065" s="3"/>
      <c r="P1065" s="3"/>
      <c r="Q1065" s="3"/>
      <c r="R1065" s="3"/>
      <c r="S1065" s="3"/>
      <c r="T1065" s="5"/>
      <c r="U1065" s="5"/>
      <c r="V1065" s="5"/>
      <c r="W1065" s="5" t="str">
        <f>IFERROR(__xludf.DUMMYFUNCTION("""COMPUTED_VALUE"""),"Simon")</f>
        <v>Simon</v>
      </c>
    </row>
    <row r="1066" ht="15.75" customHeight="1">
      <c r="A1066" s="3">
        <f>IFERROR(__xludf.DUMMYFUNCTION("""COMPUTED_VALUE"""),1066.0)</f>
        <v>1066</v>
      </c>
      <c r="B1066" s="53">
        <f>IFERROR(__xludf.DUMMYFUNCTION("""COMPUTED_VALUE"""),45743.0)</f>
        <v>45743</v>
      </c>
      <c r="C1066" s="3">
        <f>IFERROR(__xludf.DUMMYFUNCTION("""COMPUTED_VALUE"""),46.0)</f>
        <v>46</v>
      </c>
      <c r="D1066" s="3" t="str">
        <f>IFERROR(__xludf.DUMMYFUNCTION("""COMPUTED_VALUE"""),"92bbed34")</f>
        <v>92bbed34</v>
      </c>
      <c r="E1066" s="54">
        <f>IFERROR(__xludf.DUMMYFUNCTION("""COMPUTED_VALUE"""),29000.0)</f>
        <v>29000</v>
      </c>
      <c r="F1066" s="3" t="str">
        <f>IFERROR(__xludf.DUMMYFUNCTION("""COMPUTED_VALUE"""),"Malbec Gota")</f>
        <v>Malbec Gota</v>
      </c>
      <c r="G1066" s="55">
        <f>IFERROR(__xludf.DUMMYFUNCTION("""COMPUTED_VALUE"""),13.1)</f>
        <v>13.1</v>
      </c>
      <c r="H1066" s="3"/>
      <c r="I1066" s="57">
        <f>IFERROR(__xludf.DUMMYFUNCTION("""COMPUTED_VALUE"""),0.38)</f>
        <v>0.38</v>
      </c>
      <c r="J1066" s="57">
        <f>IFERROR(__xludf.DUMMYFUNCTION("""COMPUTED_VALUE"""),6.97)</f>
        <v>6.97</v>
      </c>
      <c r="K1066" s="3"/>
      <c r="L1066" s="54">
        <f>IFERROR(__xludf.DUMMYFUNCTION("""COMPUTED_VALUE"""),31.0)</f>
        <v>31</v>
      </c>
      <c r="M1066" s="3">
        <f>IFERROR(__xludf.DUMMYFUNCTION("""COMPUTED_VALUE"""),115.0)</f>
        <v>115</v>
      </c>
      <c r="N1066" s="3"/>
      <c r="O1066" s="3"/>
      <c r="P1066" s="3"/>
      <c r="Q1066" s="3"/>
      <c r="R1066" s="3"/>
      <c r="S1066" s="3"/>
      <c r="T1066" s="5"/>
      <c r="U1066" s="5"/>
      <c r="V1066" s="5"/>
      <c r="W1066" s="5" t="str">
        <f>IFERROR(__xludf.DUMMYFUNCTION("""COMPUTED_VALUE"""),"Simon")</f>
        <v>Simon</v>
      </c>
    </row>
    <row r="1067" ht="15.75" customHeight="1">
      <c r="A1067" s="3">
        <f>IFERROR(__xludf.DUMMYFUNCTION("""COMPUTED_VALUE"""),1067.0)</f>
        <v>1067</v>
      </c>
      <c r="B1067" s="53">
        <f>IFERROR(__xludf.DUMMYFUNCTION("""COMPUTED_VALUE"""),45743.0)</f>
        <v>45743</v>
      </c>
      <c r="C1067" s="3">
        <f>IFERROR(__xludf.DUMMYFUNCTION("""COMPUTED_VALUE"""),103.0)</f>
        <v>103</v>
      </c>
      <c r="D1067" s="3" t="str">
        <f>IFERROR(__xludf.DUMMYFUNCTION("""COMPUTED_VALUE"""),"a2ec7d6d")</f>
        <v>a2ec7d6d</v>
      </c>
      <c r="E1067" s="54">
        <f>IFERROR(__xludf.DUMMYFUNCTION("""COMPUTED_VALUE"""),36000.0)</f>
        <v>36000</v>
      </c>
      <c r="F1067" s="3" t="str">
        <f>IFERROR(__xludf.DUMMYFUNCTION("""COMPUTED_VALUE"""),"Anccelotta")</f>
        <v>Anccelotta</v>
      </c>
      <c r="G1067" s="55">
        <f>IFERROR(__xludf.DUMMYFUNCTION("""COMPUTED_VALUE"""),14.7)</f>
        <v>14.7</v>
      </c>
      <c r="H1067" s="3"/>
      <c r="I1067" s="57">
        <f>IFERROR(__xludf.DUMMYFUNCTION("""COMPUTED_VALUE"""),0.59)</f>
        <v>0.59</v>
      </c>
      <c r="J1067" s="57">
        <f>IFERROR(__xludf.DUMMYFUNCTION("""COMPUTED_VALUE"""),6.07)</f>
        <v>6.07</v>
      </c>
      <c r="K1067" s="3"/>
      <c r="L1067" s="54">
        <f>IFERROR(__xludf.DUMMYFUNCTION("""COMPUTED_VALUE"""),28.0)</f>
        <v>28</v>
      </c>
      <c r="M1067" s="3">
        <f>IFERROR(__xludf.DUMMYFUNCTION("""COMPUTED_VALUE"""),90.0)</f>
        <v>90</v>
      </c>
      <c r="N1067" s="3"/>
      <c r="O1067" s="3"/>
      <c r="P1067" s="3"/>
      <c r="Q1067" s="3"/>
      <c r="R1067" s="3"/>
      <c r="S1067" s="3"/>
      <c r="T1067" s="5"/>
      <c r="U1067" s="5"/>
      <c r="V1067" s="5"/>
      <c r="W1067" s="5" t="str">
        <f>IFERROR(__xludf.DUMMYFUNCTION("""COMPUTED_VALUE"""),"Simon")</f>
        <v>Simon</v>
      </c>
    </row>
    <row r="1068" ht="15.75" customHeight="1">
      <c r="A1068" s="3">
        <f>IFERROR(__xludf.DUMMYFUNCTION("""COMPUTED_VALUE"""),1068.0)</f>
        <v>1068</v>
      </c>
      <c r="B1068" s="53">
        <f>IFERROR(__xludf.DUMMYFUNCTION("""COMPUTED_VALUE"""),45743.0)</f>
        <v>45743</v>
      </c>
      <c r="C1068" s="3">
        <f>IFERROR(__xludf.DUMMYFUNCTION("""COMPUTED_VALUE"""),114.0)</f>
        <v>114</v>
      </c>
      <c r="D1068" s="3" t="str">
        <f>IFERROR(__xludf.DUMMYFUNCTION("""COMPUTED_VALUE"""),"e53d4606")</f>
        <v>e53d4606</v>
      </c>
      <c r="E1068" s="54">
        <f>IFERROR(__xludf.DUMMYFUNCTION("""COMPUTED_VALUE"""),125300.0)</f>
        <v>125300</v>
      </c>
      <c r="F1068" s="3" t="str">
        <f>IFERROR(__xludf.DUMMYFUNCTION("""COMPUTED_VALUE"""),"Syrah")</f>
        <v>Syrah</v>
      </c>
      <c r="G1068" s="55">
        <f>IFERROR(__xludf.DUMMYFUNCTION("""COMPUTED_VALUE"""),13.5)</f>
        <v>13.5</v>
      </c>
      <c r="H1068" s="3"/>
      <c r="I1068" s="57">
        <f>IFERROR(__xludf.DUMMYFUNCTION("""COMPUTED_VALUE"""),0.48)</f>
        <v>0.48</v>
      </c>
      <c r="J1068" s="57">
        <f>IFERROR(__xludf.DUMMYFUNCTION("""COMPUTED_VALUE"""),6.52)</f>
        <v>6.52</v>
      </c>
      <c r="K1068" s="3"/>
      <c r="L1068" s="54">
        <f>IFERROR(__xludf.DUMMYFUNCTION("""COMPUTED_VALUE"""),33.0)</f>
        <v>33</v>
      </c>
      <c r="M1068" s="3">
        <f>IFERROR(__xludf.DUMMYFUNCTION("""COMPUTED_VALUE"""),77.0)</f>
        <v>77</v>
      </c>
      <c r="N1068" s="3"/>
      <c r="O1068" s="3"/>
      <c r="P1068" s="3"/>
      <c r="Q1068" s="3"/>
      <c r="R1068" s="3"/>
      <c r="S1068" s="3"/>
      <c r="T1068" s="5"/>
      <c r="U1068" s="5"/>
      <c r="V1068" s="5"/>
      <c r="W1068" s="5" t="str">
        <f>IFERROR(__xludf.DUMMYFUNCTION("""COMPUTED_VALUE"""),"Simon")</f>
        <v>Simon</v>
      </c>
    </row>
    <row r="1069" ht="15.75" customHeight="1">
      <c r="A1069" s="3">
        <f>IFERROR(__xludf.DUMMYFUNCTION("""COMPUTED_VALUE"""),1069.0)</f>
        <v>1069</v>
      </c>
      <c r="B1069" s="53">
        <f>IFERROR(__xludf.DUMMYFUNCTION("""COMPUTED_VALUE"""),45743.0)</f>
        <v>45743</v>
      </c>
      <c r="C1069" s="3">
        <f>IFERROR(__xludf.DUMMYFUNCTION("""COMPUTED_VALUE"""),118.0)</f>
        <v>118</v>
      </c>
      <c r="D1069" s="3" t="str">
        <f>IFERROR(__xludf.DUMMYFUNCTION("""COMPUTED_VALUE"""),"03ffe0d5")</f>
        <v>03ffe0d5</v>
      </c>
      <c r="E1069" s="54">
        <f>IFERROR(__xludf.DUMMYFUNCTION("""COMPUTED_VALUE"""),155600.0)</f>
        <v>155600</v>
      </c>
      <c r="F1069" s="3" t="str">
        <f>IFERROR(__xludf.DUMMYFUNCTION("""COMPUTED_VALUE"""),"Syrah")</f>
        <v>Syrah</v>
      </c>
      <c r="G1069" s="55">
        <f>IFERROR(__xludf.DUMMYFUNCTION("""COMPUTED_VALUE"""),13.7)</f>
        <v>13.7</v>
      </c>
      <c r="H1069" s="3"/>
      <c r="I1069" s="57">
        <f>IFERROR(__xludf.DUMMYFUNCTION("""COMPUTED_VALUE"""),0.36)</f>
        <v>0.36</v>
      </c>
      <c r="J1069" s="57">
        <f>IFERROR(__xludf.DUMMYFUNCTION("""COMPUTED_VALUE"""),6.0)</f>
        <v>6</v>
      </c>
      <c r="K1069" s="57">
        <f>IFERROR(__xludf.DUMMYFUNCTION("""COMPUTED_VALUE"""),3.9)</f>
        <v>3.9</v>
      </c>
      <c r="L1069" s="54">
        <f>IFERROR(__xludf.DUMMYFUNCTION("""COMPUTED_VALUE"""),25.0)</f>
        <v>25</v>
      </c>
      <c r="M1069" s="3">
        <f>IFERROR(__xludf.DUMMYFUNCTION("""COMPUTED_VALUE"""),82.0)</f>
        <v>82</v>
      </c>
      <c r="N1069" s="3"/>
      <c r="O1069" s="3"/>
      <c r="P1069" s="3"/>
      <c r="Q1069" s="3"/>
      <c r="R1069" s="3"/>
      <c r="S1069" s="3"/>
      <c r="T1069" s="5"/>
      <c r="U1069" s="5"/>
      <c r="V1069" s="5"/>
      <c r="W1069" s="5" t="str">
        <f>IFERROR(__xludf.DUMMYFUNCTION("""COMPUTED_VALUE"""),"Simon")</f>
        <v>Simon</v>
      </c>
    </row>
    <row r="1070" ht="15.75" customHeight="1">
      <c r="A1070" s="3">
        <f>IFERROR(__xludf.DUMMYFUNCTION("""COMPUTED_VALUE"""),1070.0)</f>
        <v>1070</v>
      </c>
      <c r="B1070" s="53">
        <f>IFERROR(__xludf.DUMMYFUNCTION("""COMPUTED_VALUE"""),45743.0)</f>
        <v>45743</v>
      </c>
      <c r="C1070" s="3">
        <f>IFERROR(__xludf.DUMMYFUNCTION("""COMPUTED_VALUE"""),121.0)</f>
        <v>121</v>
      </c>
      <c r="D1070" s="3" t="str">
        <f>IFERROR(__xludf.DUMMYFUNCTION("""COMPUTED_VALUE"""),"f90482a4")</f>
        <v>f90482a4</v>
      </c>
      <c r="E1070" s="54">
        <f>IFERROR(__xludf.DUMMYFUNCTION("""COMPUTED_VALUE"""),85800.0)</f>
        <v>85800</v>
      </c>
      <c r="F1070" s="3" t="str">
        <f>IFERROR(__xludf.DUMMYFUNCTION("""COMPUTED_VALUE"""),"Syrah s/Asp 3ra")</f>
        <v>Syrah s/Asp 3ra</v>
      </c>
      <c r="G1070" s="55">
        <f>IFERROR(__xludf.DUMMYFUNCTION("""COMPUTED_VALUE"""),14.8)</f>
        <v>14.8</v>
      </c>
      <c r="H1070" s="3"/>
      <c r="I1070" s="57">
        <f>IFERROR(__xludf.DUMMYFUNCTION("""COMPUTED_VALUE"""),0.52)</f>
        <v>0.52</v>
      </c>
      <c r="J1070" s="57">
        <f>IFERROR(__xludf.DUMMYFUNCTION("""COMPUTED_VALUE"""),6.15)</f>
        <v>6.15</v>
      </c>
      <c r="K1070" s="57">
        <f>IFERROR(__xludf.DUMMYFUNCTION("""COMPUTED_VALUE"""),3.9)</f>
        <v>3.9</v>
      </c>
      <c r="L1070" s="54">
        <f>IFERROR(__xludf.DUMMYFUNCTION("""COMPUTED_VALUE"""),25.0)</f>
        <v>25</v>
      </c>
      <c r="M1070" s="3">
        <f>IFERROR(__xludf.DUMMYFUNCTION("""COMPUTED_VALUE"""),84.0)</f>
        <v>84</v>
      </c>
      <c r="N1070" s="3"/>
      <c r="O1070" s="3">
        <f>IFERROR(__xludf.DUMMYFUNCTION("""COMPUTED_VALUE"""),0.0)</f>
        <v>0</v>
      </c>
      <c r="P1070" s="3"/>
      <c r="Q1070" s="3"/>
      <c r="R1070" s="3"/>
      <c r="S1070" s="3"/>
      <c r="T1070" s="5"/>
      <c r="U1070" s="5"/>
      <c r="V1070" s="5"/>
      <c r="W1070" s="5" t="str">
        <f>IFERROR(__xludf.DUMMYFUNCTION("""COMPUTED_VALUE"""),"Simon")</f>
        <v>Simon</v>
      </c>
    </row>
    <row r="1071" ht="15.75" customHeight="1">
      <c r="A1071" s="3">
        <f>IFERROR(__xludf.DUMMYFUNCTION("""COMPUTED_VALUE"""),1071.0)</f>
        <v>1071</v>
      </c>
      <c r="B1071" s="53">
        <f>IFERROR(__xludf.DUMMYFUNCTION("""COMPUTED_VALUE"""),45744.0)</f>
        <v>45744</v>
      </c>
      <c r="C1071" s="3">
        <f>IFERROR(__xludf.DUMMYFUNCTION("""COMPUTED_VALUE"""),9.0)</f>
        <v>9</v>
      </c>
      <c r="D1071" s="3" t="str">
        <f>IFERROR(__xludf.DUMMYFUNCTION("""COMPUTED_VALUE"""),"b73d8cd1")</f>
        <v>b73d8cd1</v>
      </c>
      <c r="E1071" s="54">
        <f>IFERROR(__xludf.DUMMYFUNCTION("""COMPUTED_VALUE"""),30000.0)</f>
        <v>30000</v>
      </c>
      <c r="F1071" s="3" t="str">
        <f>IFERROR(__xludf.DUMMYFUNCTION("""COMPUTED_VALUE"""),"Chardonnay")</f>
        <v>Chardonnay</v>
      </c>
      <c r="G1071" s="3"/>
      <c r="H1071" s="3"/>
      <c r="I1071" s="3"/>
      <c r="J1071" s="3"/>
      <c r="K1071" s="3"/>
      <c r="L1071" s="54">
        <f>IFERROR(__xludf.DUMMYFUNCTION("""COMPUTED_VALUE"""),19.0)</f>
        <v>19</v>
      </c>
      <c r="M1071" s="3"/>
      <c r="N1071" s="3"/>
      <c r="O1071" s="3">
        <f>IFERROR(__xludf.DUMMYFUNCTION("""COMPUTED_VALUE"""),1.5)</f>
        <v>1.5</v>
      </c>
      <c r="P1071" s="3">
        <f>IFERROR(__xludf.DUMMYFUNCTION("""COMPUTED_VALUE"""),1.5)</f>
        <v>1.5</v>
      </c>
      <c r="Q1071" s="3">
        <f>IFERROR(__xludf.DUMMYFUNCTION("""COMPUTED_VALUE"""),19.200000000000003)</f>
        <v>19.2</v>
      </c>
      <c r="R1071" s="3"/>
      <c r="S1071" s="54">
        <f>IFERROR(__xludf.DUMMYFUNCTION("""COMPUTED_VALUE"""),0.0)</f>
        <v>0</v>
      </c>
      <c r="T1071" s="5"/>
      <c r="U1071" s="5"/>
      <c r="V1071" s="5"/>
      <c r="W1071" s="5"/>
    </row>
    <row r="1072" ht="15.75" customHeight="1">
      <c r="A1072" s="3">
        <f>IFERROR(__xludf.DUMMYFUNCTION("""COMPUTED_VALUE"""),1072.0)</f>
        <v>1072</v>
      </c>
      <c r="B1072" s="53">
        <f>IFERROR(__xludf.DUMMYFUNCTION("""COMPUTED_VALUE"""),45744.0)</f>
        <v>45744</v>
      </c>
      <c r="C1072" s="3">
        <f>IFERROR(__xludf.DUMMYFUNCTION("""COMPUTED_VALUE"""),31.0)</f>
        <v>31</v>
      </c>
      <c r="D1072" s="3" t="str">
        <f>IFERROR(__xludf.DUMMYFUNCTION("""COMPUTED_VALUE"""),"8a7074cf")</f>
        <v>8a7074cf</v>
      </c>
      <c r="E1072" s="54">
        <f>IFERROR(__xludf.DUMMYFUNCTION("""COMPUTED_VALUE"""),25700.0)</f>
        <v>25700</v>
      </c>
      <c r="F1072" s="3" t="str">
        <f>IFERROR(__xludf.DUMMYFUNCTION("""COMPUTED_VALUE"""),"Chardonnay")</f>
        <v>Chardonnay</v>
      </c>
      <c r="G1072" s="3"/>
      <c r="H1072" s="3"/>
      <c r="I1072" s="3"/>
      <c r="J1072" s="3"/>
      <c r="K1072" s="3"/>
      <c r="L1072" s="54">
        <f>IFERROR(__xludf.DUMMYFUNCTION("""COMPUTED_VALUE"""),25.0)</f>
        <v>25</v>
      </c>
      <c r="M1072" s="3"/>
      <c r="N1072" s="3"/>
      <c r="O1072" s="3">
        <f>IFERROR(__xludf.DUMMYFUNCTION("""COMPUTED_VALUE"""),3.5)</f>
        <v>3.5</v>
      </c>
      <c r="P1072" s="3">
        <f>IFERROR(__xludf.DUMMYFUNCTION("""COMPUTED_VALUE"""),2.0)</f>
        <v>2</v>
      </c>
      <c r="Q1072" s="3">
        <f>IFERROR(__xludf.DUMMYFUNCTION("""COMPUTED_VALUE"""),25.6)</f>
        <v>25.6</v>
      </c>
      <c r="R1072" s="3"/>
      <c r="S1072" s="54">
        <f>IFERROR(__xludf.DUMMYFUNCTION("""COMPUTED_VALUE"""),0.0)</f>
        <v>0</v>
      </c>
      <c r="T1072" s="5"/>
      <c r="U1072" s="5"/>
      <c r="V1072" s="5"/>
      <c r="W1072" s="5"/>
    </row>
    <row r="1073" ht="15.75" customHeight="1">
      <c r="A1073" s="3">
        <f>IFERROR(__xludf.DUMMYFUNCTION("""COMPUTED_VALUE"""),1073.0)</f>
        <v>1073</v>
      </c>
      <c r="B1073" s="53">
        <f>IFERROR(__xludf.DUMMYFUNCTION("""COMPUTED_VALUE"""),45744.0)</f>
        <v>45744</v>
      </c>
      <c r="C1073" s="3">
        <f>IFERROR(__xludf.DUMMYFUNCTION("""COMPUTED_VALUE"""),33.0)</f>
        <v>33</v>
      </c>
      <c r="D1073" s="3" t="str">
        <f>IFERROR(__xludf.DUMMYFUNCTION("""COMPUTED_VALUE"""),"7def2139")</f>
        <v>7def2139</v>
      </c>
      <c r="E1073" s="54">
        <f>IFERROR(__xludf.DUMMYFUNCTION("""COMPUTED_VALUE"""),25300.0)</f>
        <v>25300</v>
      </c>
      <c r="F1073" s="3" t="str">
        <f>IFERROR(__xludf.DUMMYFUNCTION("""COMPUTED_VALUE"""),"Chardonnay")</f>
        <v>Chardonnay</v>
      </c>
      <c r="G1073" s="3"/>
      <c r="H1073" s="3"/>
      <c r="I1073" s="3"/>
      <c r="J1073" s="3"/>
      <c r="K1073" s="3"/>
      <c r="L1073" s="54">
        <f>IFERROR(__xludf.DUMMYFUNCTION("""COMPUTED_VALUE"""),21.0)</f>
        <v>21</v>
      </c>
      <c r="M1073" s="3"/>
      <c r="N1073" s="3"/>
      <c r="O1073" s="3">
        <f>IFERROR(__xludf.DUMMYFUNCTION("""COMPUTED_VALUE"""),5.2)</f>
        <v>5.2</v>
      </c>
      <c r="P1073" s="3">
        <f>IFERROR(__xludf.DUMMYFUNCTION("""COMPUTED_VALUE"""),1.7000000000000002)</f>
        <v>1.7</v>
      </c>
      <c r="Q1073" s="3">
        <f>IFERROR(__xludf.DUMMYFUNCTION("""COMPUTED_VALUE"""),21.760000000000005)</f>
        <v>21.76</v>
      </c>
      <c r="R1073" s="3"/>
      <c r="S1073" s="54">
        <f>IFERROR(__xludf.DUMMYFUNCTION("""COMPUTED_VALUE"""),0.0)</f>
        <v>0</v>
      </c>
      <c r="T1073" s="5"/>
      <c r="U1073" s="5"/>
      <c r="V1073" s="5"/>
      <c r="W1073" s="5"/>
    </row>
    <row r="1074" ht="15.75" customHeight="1">
      <c r="A1074" s="3">
        <f>IFERROR(__xludf.DUMMYFUNCTION("""COMPUTED_VALUE"""),1074.0)</f>
        <v>1074</v>
      </c>
      <c r="B1074" s="53">
        <f>IFERROR(__xludf.DUMMYFUNCTION("""COMPUTED_VALUE"""),45744.0)</f>
        <v>45744</v>
      </c>
      <c r="C1074" s="3">
        <f>IFERROR(__xludf.DUMMYFUNCTION("""COMPUTED_VALUE"""),5.0)</f>
        <v>5</v>
      </c>
      <c r="D1074" s="3" t="str">
        <f>IFERROR(__xludf.DUMMYFUNCTION("""COMPUTED_VALUE"""),"593f826f")</f>
        <v>593f826f</v>
      </c>
      <c r="E1074" s="54">
        <f>IFERROR(__xludf.DUMMYFUNCTION("""COMPUTED_VALUE"""),30000.0)</f>
        <v>30000</v>
      </c>
      <c r="F1074" s="3" t="str">
        <f>IFERROR(__xludf.DUMMYFUNCTION("""COMPUTED_VALUE"""),"Chardonnay")</f>
        <v>Chardonnay</v>
      </c>
      <c r="G1074" s="3"/>
      <c r="H1074" s="3"/>
      <c r="I1074" s="3"/>
      <c r="J1074" s="3"/>
      <c r="K1074" s="3"/>
      <c r="L1074" s="54">
        <f>IFERROR(__xludf.DUMMYFUNCTION("""COMPUTED_VALUE"""),23.0)</f>
        <v>23</v>
      </c>
      <c r="M1074" s="3"/>
      <c r="N1074" s="3"/>
      <c r="O1074" s="3">
        <f>IFERROR(__xludf.DUMMYFUNCTION("""COMPUTED_VALUE"""),7.0)</f>
        <v>7</v>
      </c>
      <c r="P1074" s="3">
        <f>IFERROR(__xludf.DUMMYFUNCTION("""COMPUTED_VALUE"""),1.7999999999999998)</f>
        <v>1.8</v>
      </c>
      <c r="Q1074" s="3">
        <f>IFERROR(__xludf.DUMMYFUNCTION("""COMPUTED_VALUE"""),23.04)</f>
        <v>23.04</v>
      </c>
      <c r="R1074" s="3"/>
      <c r="S1074" s="54">
        <f>IFERROR(__xludf.DUMMYFUNCTION("""COMPUTED_VALUE"""),0.0)</f>
        <v>0</v>
      </c>
      <c r="T1074" s="5"/>
      <c r="U1074" s="5"/>
      <c r="V1074" s="5"/>
      <c r="W1074" s="5"/>
    </row>
    <row r="1075" ht="15.75" customHeight="1">
      <c r="A1075" s="3">
        <f>IFERROR(__xludf.DUMMYFUNCTION("""COMPUTED_VALUE"""),1075.0)</f>
        <v>1075</v>
      </c>
      <c r="B1075" s="53">
        <f>IFERROR(__xludf.DUMMYFUNCTION("""COMPUTED_VALUE"""),45744.0)</f>
        <v>45744</v>
      </c>
      <c r="C1075" s="3">
        <f>IFERROR(__xludf.DUMMYFUNCTION("""COMPUTED_VALUE"""),8.0)</f>
        <v>8</v>
      </c>
      <c r="D1075" s="3" t="str">
        <f>IFERROR(__xludf.DUMMYFUNCTION("""COMPUTED_VALUE"""),"376dbee6")</f>
        <v>376dbee6</v>
      </c>
      <c r="E1075" s="54">
        <f>IFERROR(__xludf.DUMMYFUNCTION("""COMPUTED_VALUE"""),22000.0)</f>
        <v>22000</v>
      </c>
      <c r="F1075" s="3" t="str">
        <f>IFERROR(__xludf.DUMMYFUNCTION("""COMPUTED_VALUE"""),"Chardonnay")</f>
        <v>Chardonnay</v>
      </c>
      <c r="G1075" s="3"/>
      <c r="H1075" s="3"/>
      <c r="I1075" s="3"/>
      <c r="J1075" s="3"/>
      <c r="K1075" s="3"/>
      <c r="L1075" s="54">
        <f>IFERROR(__xludf.DUMMYFUNCTION("""COMPUTED_VALUE"""),23.0)</f>
        <v>23</v>
      </c>
      <c r="M1075" s="3"/>
      <c r="N1075" s="3"/>
      <c r="O1075" s="3">
        <f>IFERROR(__xludf.DUMMYFUNCTION("""COMPUTED_VALUE"""),8.8)</f>
        <v>8.8</v>
      </c>
      <c r="P1075" s="3">
        <f>IFERROR(__xludf.DUMMYFUNCTION("""COMPUTED_VALUE"""),1.8000000000000007)</f>
        <v>1.8</v>
      </c>
      <c r="Q1075" s="3">
        <f>IFERROR(__xludf.DUMMYFUNCTION("""COMPUTED_VALUE"""),23.04000000000001)</f>
        <v>23.04</v>
      </c>
      <c r="R1075" s="3"/>
      <c r="S1075" s="54">
        <f>IFERROR(__xludf.DUMMYFUNCTION("""COMPUTED_VALUE"""),0.0)</f>
        <v>0</v>
      </c>
      <c r="T1075" s="5"/>
      <c r="U1075" s="5"/>
      <c r="V1075" s="5"/>
      <c r="W1075" s="5"/>
    </row>
    <row r="1076" ht="15.75" customHeight="1">
      <c r="A1076" s="3">
        <f>IFERROR(__xludf.DUMMYFUNCTION("""COMPUTED_VALUE"""),1076.0)</f>
        <v>1076</v>
      </c>
      <c r="B1076" s="53">
        <f>IFERROR(__xludf.DUMMYFUNCTION("""COMPUTED_VALUE"""),45744.0)</f>
        <v>45744</v>
      </c>
      <c r="C1076" s="3">
        <f>IFERROR(__xludf.DUMMYFUNCTION("""COMPUTED_VALUE"""),40.0)</f>
        <v>40</v>
      </c>
      <c r="D1076" s="3" t="str">
        <f>IFERROR(__xludf.DUMMYFUNCTION("""COMPUTED_VALUE"""),"7c5390c8")</f>
        <v>7c5390c8</v>
      </c>
      <c r="E1076" s="54">
        <f>IFERROR(__xludf.DUMMYFUNCTION("""COMPUTED_VALUE"""),24000.0)</f>
        <v>24000</v>
      </c>
      <c r="F1076" s="3" t="str">
        <f>IFERROR(__xludf.DUMMYFUNCTION("""COMPUTED_VALUE"""),"Chardonnay")</f>
        <v>Chardonnay</v>
      </c>
      <c r="G1076" s="3"/>
      <c r="H1076" s="3"/>
      <c r="I1076" s="3"/>
      <c r="J1076" s="3"/>
      <c r="K1076" s="3"/>
      <c r="L1076" s="54">
        <f>IFERROR(__xludf.DUMMYFUNCTION("""COMPUTED_VALUE"""),27.0)</f>
        <v>27</v>
      </c>
      <c r="M1076" s="3"/>
      <c r="N1076" s="3"/>
      <c r="O1076" s="3">
        <f>IFERROR(__xludf.DUMMYFUNCTION("""COMPUTED_VALUE"""),10.9)</f>
        <v>10.9</v>
      </c>
      <c r="P1076" s="3">
        <f>IFERROR(__xludf.DUMMYFUNCTION("""COMPUTED_VALUE"""),2.0999999999999996)</f>
        <v>2.1</v>
      </c>
      <c r="Q1076" s="3">
        <f>IFERROR(__xludf.DUMMYFUNCTION("""COMPUTED_VALUE"""),26.879999999999995)</f>
        <v>26.88</v>
      </c>
      <c r="R1076" s="3"/>
      <c r="S1076" s="54">
        <f>IFERROR(__xludf.DUMMYFUNCTION("""COMPUTED_VALUE"""),0.0)</f>
        <v>0</v>
      </c>
      <c r="T1076" s="5"/>
      <c r="U1076" s="5"/>
      <c r="V1076" s="5"/>
      <c r="W1076" s="5"/>
    </row>
    <row r="1077" ht="15.75" customHeight="1">
      <c r="A1077" s="3">
        <f>IFERROR(__xludf.DUMMYFUNCTION("""COMPUTED_VALUE"""),1077.0)</f>
        <v>1077</v>
      </c>
      <c r="B1077" s="53">
        <f>IFERROR(__xludf.DUMMYFUNCTION("""COMPUTED_VALUE"""),45744.0)</f>
        <v>45744</v>
      </c>
      <c r="C1077" s="3">
        <f>IFERROR(__xludf.DUMMYFUNCTION("""COMPUTED_VALUE"""),10.0)</f>
        <v>10</v>
      </c>
      <c r="D1077" s="3" t="str">
        <f>IFERROR(__xludf.DUMMYFUNCTION("""COMPUTED_VALUE"""),"f9bf68a3")</f>
        <v>f9bf68a3</v>
      </c>
      <c r="E1077" s="54">
        <f>IFERROR(__xludf.DUMMYFUNCTION("""COMPUTED_VALUE"""),21000.0)</f>
        <v>21000</v>
      </c>
      <c r="F1077" s="3" t="str">
        <f>IFERROR(__xludf.DUMMYFUNCTION("""COMPUTED_VALUE"""),"Chardonnay")</f>
        <v>Chardonnay</v>
      </c>
      <c r="G1077" s="3"/>
      <c r="H1077" s="3"/>
      <c r="I1077" s="3"/>
      <c r="J1077" s="3"/>
      <c r="K1077" s="3"/>
      <c r="L1077" s="54">
        <f>IFERROR(__xludf.DUMMYFUNCTION("""COMPUTED_VALUE"""),20.0)</f>
        <v>20</v>
      </c>
      <c r="M1077" s="3"/>
      <c r="N1077" s="3"/>
      <c r="O1077" s="3">
        <f>IFERROR(__xludf.DUMMYFUNCTION("""COMPUTED_VALUE"""),12.5)</f>
        <v>12.5</v>
      </c>
      <c r="P1077" s="3">
        <f>IFERROR(__xludf.DUMMYFUNCTION("""COMPUTED_VALUE"""),1.5999999999999996)</f>
        <v>1.6</v>
      </c>
      <c r="Q1077" s="3">
        <f>IFERROR(__xludf.DUMMYFUNCTION("""COMPUTED_VALUE"""),20.479999999999997)</f>
        <v>20.48</v>
      </c>
      <c r="R1077" s="3"/>
      <c r="S1077" s="54">
        <f>IFERROR(__xludf.DUMMYFUNCTION("""COMPUTED_VALUE"""),0.0)</f>
        <v>0</v>
      </c>
      <c r="T1077" s="5"/>
      <c r="U1077" s="5"/>
      <c r="V1077" s="5"/>
      <c r="W1077" s="5"/>
    </row>
    <row r="1078" ht="15.75" customHeight="1">
      <c r="A1078" s="3">
        <f>IFERROR(__xludf.DUMMYFUNCTION("""COMPUTED_VALUE"""),1078.0)</f>
        <v>1078</v>
      </c>
      <c r="B1078" s="53">
        <f>IFERROR(__xludf.DUMMYFUNCTION("""COMPUTED_VALUE"""),45744.0)</f>
        <v>45744</v>
      </c>
      <c r="C1078" s="3">
        <f>IFERROR(__xludf.DUMMYFUNCTION("""COMPUTED_VALUE"""),36.0)</f>
        <v>36</v>
      </c>
      <c r="D1078" s="3" t="str">
        <f>IFERROR(__xludf.DUMMYFUNCTION("""COMPUTED_VALUE"""),"0997a77d")</f>
        <v>0997a77d</v>
      </c>
      <c r="E1078" s="54">
        <f>IFERROR(__xludf.DUMMYFUNCTION("""COMPUTED_VALUE"""),19700.0)</f>
        <v>19700</v>
      </c>
      <c r="F1078" s="3" t="str">
        <f>IFERROR(__xludf.DUMMYFUNCTION("""COMPUTED_VALUE"""),"Torrontes")</f>
        <v>Torrontes</v>
      </c>
      <c r="G1078" s="3"/>
      <c r="H1078" s="3"/>
      <c r="I1078" s="3"/>
      <c r="J1078" s="3"/>
      <c r="K1078" s="3"/>
      <c r="L1078" s="54">
        <f>IFERROR(__xludf.DUMMYFUNCTION("""COMPUTED_VALUE"""),19.0)</f>
        <v>19</v>
      </c>
      <c r="M1078" s="3"/>
      <c r="N1078" s="3"/>
      <c r="O1078" s="3">
        <f>IFERROR(__xludf.DUMMYFUNCTION("""COMPUTED_VALUE"""),14.0)</f>
        <v>14</v>
      </c>
      <c r="P1078" s="3">
        <f>IFERROR(__xludf.DUMMYFUNCTION("""COMPUTED_VALUE"""),1.5)</f>
        <v>1.5</v>
      </c>
      <c r="Q1078" s="3">
        <f>IFERROR(__xludf.DUMMYFUNCTION("""COMPUTED_VALUE"""),19.200000000000003)</f>
        <v>19.2</v>
      </c>
      <c r="R1078" s="3"/>
      <c r="S1078" s="54">
        <f>IFERROR(__xludf.DUMMYFUNCTION("""COMPUTED_VALUE"""),0.0)</f>
        <v>0</v>
      </c>
      <c r="T1078" s="5"/>
      <c r="U1078" s="5"/>
      <c r="V1078" s="5"/>
      <c r="W1078" s="5"/>
    </row>
    <row r="1079" ht="15.75" customHeight="1">
      <c r="A1079" s="3">
        <f>IFERROR(__xludf.DUMMYFUNCTION("""COMPUTED_VALUE"""),1079.0)</f>
        <v>1079</v>
      </c>
      <c r="B1079" s="53">
        <f>IFERROR(__xludf.DUMMYFUNCTION("""COMPUTED_VALUE"""),45744.0)</f>
        <v>45744</v>
      </c>
      <c r="C1079" s="3">
        <f>IFERROR(__xludf.DUMMYFUNCTION("""COMPUTED_VALUE"""),55.0)</f>
        <v>55</v>
      </c>
      <c r="D1079" s="3" t="str">
        <f>IFERROR(__xludf.DUMMYFUNCTION("""COMPUTED_VALUE"""),"30332ad5")</f>
        <v>30332ad5</v>
      </c>
      <c r="E1079" s="54">
        <f>IFERROR(__xludf.DUMMYFUNCTION("""COMPUTED_VALUE"""),3000.0)</f>
        <v>3000</v>
      </c>
      <c r="F1079" s="3" t="str">
        <f>IFERROR(__xludf.DUMMYFUNCTION("""COMPUTED_VALUE"""),"Torrontes")</f>
        <v>Torrontes</v>
      </c>
      <c r="G1079" s="3"/>
      <c r="H1079" s="3"/>
      <c r="I1079" s="3"/>
      <c r="J1079" s="3"/>
      <c r="K1079" s="3"/>
      <c r="L1079" s="54">
        <f>IFERROR(__xludf.DUMMYFUNCTION("""COMPUTED_VALUE"""),16.0)</f>
        <v>16</v>
      </c>
      <c r="M1079" s="3"/>
      <c r="N1079" s="3"/>
      <c r="O1079" s="3">
        <f>IFERROR(__xludf.DUMMYFUNCTION("""COMPUTED_VALUE"""),15.3)</f>
        <v>15.3</v>
      </c>
      <c r="P1079" s="3">
        <f>IFERROR(__xludf.DUMMYFUNCTION("""COMPUTED_VALUE"""),1.3000000000000007)</f>
        <v>1.3</v>
      </c>
      <c r="Q1079" s="3">
        <f>IFERROR(__xludf.DUMMYFUNCTION("""COMPUTED_VALUE"""),16.64000000000001)</f>
        <v>16.64</v>
      </c>
      <c r="R1079" s="3"/>
      <c r="S1079" s="54">
        <f>IFERROR(__xludf.DUMMYFUNCTION("""COMPUTED_VALUE"""),0.0)</f>
        <v>0</v>
      </c>
      <c r="T1079" s="5"/>
      <c r="U1079" s="5"/>
      <c r="V1079" s="5"/>
      <c r="W1079" s="5"/>
    </row>
    <row r="1080" ht="15.75" customHeight="1">
      <c r="A1080" s="3">
        <f>IFERROR(__xludf.DUMMYFUNCTION("""COMPUTED_VALUE"""),1080.0)</f>
        <v>1080</v>
      </c>
      <c r="B1080" s="53">
        <f>IFERROR(__xludf.DUMMYFUNCTION("""COMPUTED_VALUE"""),45744.0)</f>
        <v>45744</v>
      </c>
      <c r="C1080" s="3">
        <f>IFERROR(__xludf.DUMMYFUNCTION("""COMPUTED_VALUE"""),16.0)</f>
        <v>16</v>
      </c>
      <c r="D1080" s="3" t="str">
        <f>IFERROR(__xludf.DUMMYFUNCTION("""COMPUTED_VALUE"""),"b5e03e7f")</f>
        <v>b5e03e7f</v>
      </c>
      <c r="E1080" s="54">
        <f>IFERROR(__xludf.DUMMYFUNCTION("""COMPUTED_VALUE"""),19500.0)</f>
        <v>19500</v>
      </c>
      <c r="F1080" s="3" t="str">
        <f>IFERROR(__xludf.DUMMYFUNCTION("""COMPUTED_VALUE"""),"Chardonnay")</f>
        <v>Chardonnay</v>
      </c>
      <c r="G1080" s="3"/>
      <c r="H1080" s="3"/>
      <c r="I1080" s="3"/>
      <c r="J1080" s="3"/>
      <c r="K1080" s="3"/>
      <c r="L1080" s="54">
        <f>IFERROR(__xludf.DUMMYFUNCTION("""COMPUTED_VALUE"""),21.0)</f>
        <v>21</v>
      </c>
      <c r="M1080" s="3"/>
      <c r="N1080" s="3"/>
      <c r="O1080" s="3">
        <f>IFERROR(__xludf.DUMMYFUNCTION("""COMPUTED_VALUE"""),17.0)</f>
        <v>17</v>
      </c>
      <c r="P1080" s="3">
        <f>IFERROR(__xludf.DUMMYFUNCTION("""COMPUTED_VALUE"""),1.6999999999999993)</f>
        <v>1.7</v>
      </c>
      <c r="Q1080" s="3">
        <f>IFERROR(__xludf.DUMMYFUNCTION("""COMPUTED_VALUE"""),21.75999999999999)</f>
        <v>21.76</v>
      </c>
      <c r="R1080" s="3"/>
      <c r="S1080" s="54">
        <f>IFERROR(__xludf.DUMMYFUNCTION("""COMPUTED_VALUE"""),0.0)</f>
        <v>0</v>
      </c>
      <c r="T1080" s="5"/>
      <c r="U1080" s="5"/>
      <c r="V1080" s="5"/>
      <c r="W1080" s="5"/>
    </row>
    <row r="1081" ht="15.75" customHeight="1">
      <c r="A1081" s="3">
        <f>IFERROR(__xludf.DUMMYFUNCTION("""COMPUTED_VALUE"""),1081.0)</f>
        <v>1081</v>
      </c>
      <c r="B1081" s="53">
        <f>IFERROR(__xludf.DUMMYFUNCTION("""COMPUTED_VALUE"""),45744.0)</f>
        <v>45744</v>
      </c>
      <c r="C1081" s="3">
        <f>IFERROR(__xludf.DUMMYFUNCTION("""COMPUTED_VALUE"""),47.0)</f>
        <v>47</v>
      </c>
      <c r="D1081" s="3" t="str">
        <f>IFERROR(__xludf.DUMMYFUNCTION("""COMPUTED_VALUE"""),"5cdb12ce")</f>
        <v>5cdb12ce</v>
      </c>
      <c r="E1081" s="54">
        <f>IFERROR(__xludf.DUMMYFUNCTION("""COMPUTED_VALUE"""),20000.0)</f>
        <v>20000</v>
      </c>
      <c r="F1081" s="3" t="str">
        <f>IFERROR(__xludf.DUMMYFUNCTION("""COMPUTED_VALUE"""),"Chenin")</f>
        <v>Chenin</v>
      </c>
      <c r="G1081" s="3"/>
      <c r="H1081" s="3"/>
      <c r="I1081" s="3"/>
      <c r="J1081" s="3"/>
      <c r="K1081" s="3"/>
      <c r="L1081" s="54">
        <f>IFERROR(__xludf.DUMMYFUNCTION("""COMPUTED_VALUE"""),19.0)</f>
        <v>19</v>
      </c>
      <c r="M1081" s="3"/>
      <c r="N1081" s="3"/>
      <c r="O1081" s="3">
        <f>IFERROR(__xludf.DUMMYFUNCTION("""COMPUTED_VALUE"""),18.5)</f>
        <v>18.5</v>
      </c>
      <c r="P1081" s="3">
        <f>IFERROR(__xludf.DUMMYFUNCTION("""COMPUTED_VALUE"""),1.5)</f>
        <v>1.5</v>
      </c>
      <c r="Q1081" s="3">
        <f>IFERROR(__xludf.DUMMYFUNCTION("""COMPUTED_VALUE"""),19.200000000000003)</f>
        <v>19.2</v>
      </c>
      <c r="R1081" s="3"/>
      <c r="S1081" s="54">
        <f>IFERROR(__xludf.DUMMYFUNCTION("""COMPUTED_VALUE"""),0.0)</f>
        <v>0</v>
      </c>
      <c r="T1081" s="5"/>
      <c r="U1081" s="5"/>
      <c r="V1081" s="5"/>
      <c r="W1081" s="5"/>
    </row>
    <row r="1082" ht="15.75" customHeight="1">
      <c r="A1082" s="3">
        <f>IFERROR(__xludf.DUMMYFUNCTION("""COMPUTED_VALUE"""),1082.0)</f>
        <v>1082</v>
      </c>
      <c r="B1082" s="53">
        <f>IFERROR(__xludf.DUMMYFUNCTION("""COMPUTED_VALUE"""),45744.0)</f>
        <v>45744</v>
      </c>
      <c r="C1082" s="3">
        <f>IFERROR(__xludf.DUMMYFUNCTION("""COMPUTED_VALUE"""),48.0)</f>
        <v>48</v>
      </c>
      <c r="D1082" s="3" t="str">
        <f>IFERROR(__xludf.DUMMYFUNCTION("""COMPUTED_VALUE"""),"ef198a97")</f>
        <v>ef198a97</v>
      </c>
      <c r="E1082" s="54">
        <f>IFERROR(__xludf.DUMMYFUNCTION("""COMPUTED_VALUE"""),26000.0)</f>
        <v>26000</v>
      </c>
      <c r="F1082" s="3" t="str">
        <f>IFERROR(__xludf.DUMMYFUNCTION("""COMPUTED_VALUE"""),"Pedro Gimenez")</f>
        <v>Pedro Gimenez</v>
      </c>
      <c r="G1082" s="3"/>
      <c r="H1082" s="3"/>
      <c r="I1082" s="3"/>
      <c r="J1082" s="3"/>
      <c r="K1082" s="3"/>
      <c r="L1082" s="54">
        <f>IFERROR(__xludf.DUMMYFUNCTION("""COMPUTED_VALUE"""),19.0)</f>
        <v>19</v>
      </c>
      <c r="M1082" s="3"/>
      <c r="N1082" s="3"/>
      <c r="O1082" s="3">
        <f>IFERROR(__xludf.DUMMYFUNCTION("""COMPUTED_VALUE"""),20.0)</f>
        <v>20</v>
      </c>
      <c r="P1082" s="3">
        <f>IFERROR(__xludf.DUMMYFUNCTION("""COMPUTED_VALUE"""),1.5)</f>
        <v>1.5</v>
      </c>
      <c r="Q1082" s="3">
        <f>IFERROR(__xludf.DUMMYFUNCTION("""COMPUTED_VALUE"""),19.200000000000003)</f>
        <v>19.2</v>
      </c>
      <c r="R1082" s="3"/>
      <c r="S1082" s="54">
        <f>IFERROR(__xludf.DUMMYFUNCTION("""COMPUTED_VALUE"""),0.0)</f>
        <v>0</v>
      </c>
      <c r="T1082" s="5"/>
      <c r="U1082" s="5"/>
      <c r="V1082" s="5"/>
      <c r="W1082" s="5"/>
    </row>
    <row r="1083" ht="15.75" customHeight="1">
      <c r="A1083" s="3">
        <f>IFERROR(__xludf.DUMMYFUNCTION("""COMPUTED_VALUE"""),1083.0)</f>
        <v>1083</v>
      </c>
      <c r="B1083" s="53">
        <f>IFERROR(__xludf.DUMMYFUNCTION("""COMPUTED_VALUE"""),45744.0)</f>
        <v>45744</v>
      </c>
      <c r="C1083" s="3">
        <f>IFERROR(__xludf.DUMMYFUNCTION("""COMPUTED_VALUE"""),44.0)</f>
        <v>44</v>
      </c>
      <c r="D1083" s="3" t="str">
        <f>IFERROR(__xludf.DUMMYFUNCTION("""COMPUTED_VALUE"""),"7ae457f1")</f>
        <v>7ae457f1</v>
      </c>
      <c r="E1083" s="54">
        <f>IFERROR(__xludf.DUMMYFUNCTION("""COMPUTED_VALUE"""),19100.0)</f>
        <v>19100</v>
      </c>
      <c r="F1083" s="3" t="str">
        <f>IFERROR(__xludf.DUMMYFUNCTION("""COMPUTED_VALUE"""),"Torrontes")</f>
        <v>Torrontes</v>
      </c>
      <c r="G1083" s="3"/>
      <c r="H1083" s="3"/>
      <c r="I1083" s="3"/>
      <c r="J1083" s="3"/>
      <c r="K1083" s="3"/>
      <c r="L1083" s="54">
        <f>IFERROR(__xludf.DUMMYFUNCTION("""COMPUTED_VALUE"""),9.0)</f>
        <v>9</v>
      </c>
      <c r="M1083" s="3"/>
      <c r="N1083" s="3"/>
      <c r="O1083" s="3">
        <f>IFERROR(__xludf.DUMMYFUNCTION("""COMPUTED_VALUE"""),20.7)</f>
        <v>20.7</v>
      </c>
      <c r="P1083" s="3">
        <f>IFERROR(__xludf.DUMMYFUNCTION("""COMPUTED_VALUE"""),0.6999999999999993)</f>
        <v>0.7</v>
      </c>
      <c r="Q1083" s="3">
        <f>IFERROR(__xludf.DUMMYFUNCTION("""COMPUTED_VALUE"""),8.959999999999992)</f>
        <v>8.96</v>
      </c>
      <c r="R1083" s="3"/>
      <c r="S1083" s="54">
        <f>IFERROR(__xludf.DUMMYFUNCTION("""COMPUTED_VALUE"""),0.0)</f>
        <v>0</v>
      </c>
      <c r="T1083" s="5"/>
      <c r="U1083" s="5"/>
      <c r="V1083" s="5"/>
      <c r="W1083" s="5"/>
    </row>
    <row r="1084" ht="15.75" customHeight="1">
      <c r="A1084" s="3">
        <f>IFERROR(__xludf.DUMMYFUNCTION("""COMPUTED_VALUE"""),1084.0)</f>
        <v>1084</v>
      </c>
      <c r="B1084" s="53">
        <f>IFERROR(__xludf.DUMMYFUNCTION("""COMPUTED_VALUE"""),45747.0)</f>
        <v>45747</v>
      </c>
      <c r="C1084" s="3">
        <f>IFERROR(__xludf.DUMMYFUNCTION("""COMPUTED_VALUE"""),88.0)</f>
        <v>88</v>
      </c>
      <c r="D1084" s="3" t="str">
        <f>IFERROR(__xludf.DUMMYFUNCTION("""COMPUTED_VALUE"""),"8d1e611a")</f>
        <v>8d1e611a</v>
      </c>
      <c r="E1084" s="54">
        <f>IFERROR(__xludf.DUMMYFUNCTION("""COMPUTED_VALUE"""),35900.0)</f>
        <v>35900</v>
      </c>
      <c r="F1084" s="3" t="str">
        <f>IFERROR(__xludf.DUMMYFUNCTION("""COMPUTED_VALUE"""),"Bonarda")</f>
        <v>Bonarda</v>
      </c>
      <c r="G1084" s="3"/>
      <c r="H1084" s="56">
        <f>IFERROR(__xludf.DUMMYFUNCTION("""COMPUTED_VALUE"""),3.0)</f>
        <v>3</v>
      </c>
      <c r="I1084" s="57">
        <f>IFERROR(__xludf.DUMMYFUNCTION("""COMPUTED_VALUE"""),0.5)</f>
        <v>0.5</v>
      </c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5"/>
      <c r="U1084" s="5"/>
      <c r="V1084" s="5"/>
      <c r="W1084" s="5"/>
    </row>
    <row r="1085" ht="15.75" customHeight="1">
      <c r="A1085" s="3">
        <f>IFERROR(__xludf.DUMMYFUNCTION("""COMPUTED_VALUE"""),1085.0)</f>
        <v>1085</v>
      </c>
      <c r="B1085" s="53">
        <f>IFERROR(__xludf.DUMMYFUNCTION("""COMPUTED_VALUE"""),45749.0)</f>
        <v>45749</v>
      </c>
      <c r="C1085" s="3">
        <f>IFERROR(__xludf.DUMMYFUNCTION("""COMPUTED_VALUE"""),71.0)</f>
        <v>71</v>
      </c>
      <c r="D1085" s="3" t="str">
        <f>IFERROR(__xludf.DUMMYFUNCTION("""COMPUTED_VALUE"""),"8ba061c3")</f>
        <v>8ba061c3</v>
      </c>
      <c r="E1085" s="54">
        <f>IFERROR(__xludf.DUMMYFUNCTION("""COMPUTED_VALUE"""),9500.0)</f>
        <v>9500</v>
      </c>
      <c r="F1085" s="3" t="str">
        <f>IFERROR(__xludf.DUMMYFUNCTION("""COMPUTED_VALUE"""),"Tanat")</f>
        <v>Tanat</v>
      </c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5"/>
      <c r="U1085" s="5"/>
      <c r="V1085" s="5"/>
      <c r="W1085" s="5"/>
    </row>
    <row r="1086" ht="15.75" customHeight="1">
      <c r="A1086" s="3">
        <f>IFERROR(__xludf.DUMMYFUNCTION("""COMPUTED_VALUE"""),1086.0)</f>
        <v>1086</v>
      </c>
      <c r="B1086" s="53">
        <f>IFERROR(__xludf.DUMMYFUNCTION("""COMPUTED_VALUE"""),45749.0)</f>
        <v>45749</v>
      </c>
      <c r="C1086" s="3">
        <f>IFERROR(__xludf.DUMMYFUNCTION("""COMPUTED_VALUE"""),71.0)</f>
        <v>71</v>
      </c>
      <c r="D1086" s="3" t="str">
        <f>IFERROR(__xludf.DUMMYFUNCTION("""COMPUTED_VALUE"""),"8ba061c3")</f>
        <v>8ba061c3</v>
      </c>
      <c r="E1086" s="54">
        <f>IFERROR(__xludf.DUMMYFUNCTION("""COMPUTED_VALUE"""),9500.0)</f>
        <v>9500</v>
      </c>
      <c r="F1086" s="3" t="str">
        <f>IFERROR(__xludf.DUMMYFUNCTION("""COMPUTED_VALUE"""),"Tanat")</f>
        <v>Tanat</v>
      </c>
      <c r="G1086" s="3"/>
      <c r="H1086" s="56">
        <f>IFERROR(__xludf.DUMMYFUNCTION("""COMPUTED_VALUE"""),2.0)</f>
        <v>2</v>
      </c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5"/>
      <c r="U1086" s="5"/>
      <c r="V1086" s="5"/>
      <c r="W1086" s="5"/>
    </row>
    <row r="1087" ht="15.75" customHeight="1">
      <c r="A1087" s="3">
        <f>IFERROR(__xludf.DUMMYFUNCTION("""COMPUTED_VALUE"""),1087.0)</f>
        <v>1087</v>
      </c>
      <c r="B1087" s="53">
        <f>IFERROR(__xludf.DUMMYFUNCTION("""COMPUTED_VALUE"""),45749.0)</f>
        <v>45749</v>
      </c>
      <c r="C1087" s="3">
        <f>IFERROR(__xludf.DUMMYFUNCTION("""COMPUTED_VALUE"""),72.0)</f>
        <v>72</v>
      </c>
      <c r="D1087" s="3" t="str">
        <f>IFERROR(__xludf.DUMMYFUNCTION("""COMPUTED_VALUE"""),"671aa5be")</f>
        <v>671aa5be</v>
      </c>
      <c r="E1087" s="54">
        <f>IFERROR(__xludf.DUMMYFUNCTION("""COMPUTED_VALUE"""),8000.0)</f>
        <v>8000</v>
      </c>
      <c r="F1087" s="3" t="str">
        <f>IFERROR(__xludf.DUMMYFUNCTION("""COMPUTED_VALUE"""),"Tanat")</f>
        <v>Tanat</v>
      </c>
      <c r="G1087" s="3"/>
      <c r="H1087" s="56">
        <f>IFERROR(__xludf.DUMMYFUNCTION("""COMPUTED_VALUE"""),2.0)</f>
        <v>2</v>
      </c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5"/>
      <c r="U1087" s="5"/>
      <c r="V1087" s="5"/>
      <c r="W1087" s="5"/>
    </row>
    <row r="1088" ht="15.75" customHeight="1">
      <c r="A1088" s="3">
        <f>IFERROR(__xludf.DUMMYFUNCTION("""COMPUTED_VALUE"""),1088.0)</f>
        <v>1088</v>
      </c>
      <c r="B1088" s="53">
        <f>IFERROR(__xludf.DUMMYFUNCTION("""COMPUTED_VALUE"""),45749.0)</f>
        <v>45749</v>
      </c>
      <c r="C1088" s="3">
        <f>IFERROR(__xludf.DUMMYFUNCTION("""COMPUTED_VALUE"""),73.0)</f>
        <v>73</v>
      </c>
      <c r="D1088" s="3" t="str">
        <f>IFERROR(__xludf.DUMMYFUNCTION("""COMPUTED_VALUE"""),"2e224e71")</f>
        <v>2e224e71</v>
      </c>
      <c r="E1088" s="54">
        <f>IFERROR(__xludf.DUMMYFUNCTION("""COMPUTED_VALUE"""),7800.0)</f>
        <v>7800</v>
      </c>
      <c r="F1088" s="3" t="str">
        <f>IFERROR(__xludf.DUMMYFUNCTION("""COMPUTED_VALUE"""),"Malbec")</f>
        <v>Malbec</v>
      </c>
      <c r="G1088" s="3"/>
      <c r="H1088" s="56">
        <f>IFERROR(__xludf.DUMMYFUNCTION("""COMPUTED_VALUE"""),2.0)</f>
        <v>2</v>
      </c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5"/>
      <c r="U1088" s="5"/>
      <c r="V1088" s="5"/>
      <c r="W1088" s="5"/>
    </row>
    <row r="1089" ht="15.75" customHeight="1">
      <c r="A1089" s="3">
        <f>IFERROR(__xludf.DUMMYFUNCTION("""COMPUTED_VALUE"""),1089.0)</f>
        <v>1089</v>
      </c>
      <c r="B1089" s="53">
        <f>IFERROR(__xludf.DUMMYFUNCTION("""COMPUTED_VALUE"""),45749.0)</f>
        <v>45749</v>
      </c>
      <c r="C1089" s="3">
        <f>IFERROR(__xludf.DUMMYFUNCTION("""COMPUTED_VALUE"""),84.0)</f>
        <v>84</v>
      </c>
      <c r="D1089" s="3" t="str">
        <f>IFERROR(__xludf.DUMMYFUNCTION("""COMPUTED_VALUE"""),"2fe32030")</f>
        <v>2fe32030</v>
      </c>
      <c r="E1089" s="54">
        <f>IFERROR(__xludf.DUMMYFUNCTION("""COMPUTED_VALUE"""),50400.0)</f>
        <v>50400</v>
      </c>
      <c r="F1089" s="3" t="str">
        <f>IFERROR(__xludf.DUMMYFUNCTION("""COMPUTED_VALUE"""),"Malbec Mec")</f>
        <v>Malbec Mec</v>
      </c>
      <c r="G1089" s="3"/>
      <c r="H1089" s="56">
        <f>IFERROR(__xludf.DUMMYFUNCTION("""COMPUTED_VALUE"""),2.0)</f>
        <v>2</v>
      </c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5"/>
      <c r="U1089" s="5"/>
      <c r="V1089" s="5"/>
      <c r="W1089" s="5"/>
    </row>
    <row r="1090" ht="15.75" customHeight="1">
      <c r="A1090" s="3">
        <f>IFERROR(__xludf.DUMMYFUNCTION("""COMPUTED_VALUE"""),1090.0)</f>
        <v>1090</v>
      </c>
      <c r="B1090" s="53">
        <f>IFERROR(__xludf.DUMMYFUNCTION("""COMPUTED_VALUE"""),45749.0)</f>
        <v>45749</v>
      </c>
      <c r="C1090" s="3">
        <f>IFERROR(__xludf.DUMMYFUNCTION("""COMPUTED_VALUE"""),89.0)</f>
        <v>89</v>
      </c>
      <c r="D1090" s="3" t="str">
        <f>IFERROR(__xludf.DUMMYFUNCTION("""COMPUTED_VALUE"""),"239b5e04")</f>
        <v>239b5e04</v>
      </c>
      <c r="E1090" s="54">
        <f>IFERROR(__xludf.DUMMYFUNCTION("""COMPUTED_VALUE"""),46000.0)</f>
        <v>46000</v>
      </c>
      <c r="F1090" s="3" t="str">
        <f>IFERROR(__xludf.DUMMYFUNCTION("""COMPUTED_VALUE"""),"Malbec Mec")</f>
        <v>Malbec Mec</v>
      </c>
      <c r="G1090" s="3"/>
      <c r="H1090" s="56">
        <f>IFERROR(__xludf.DUMMYFUNCTION("""COMPUTED_VALUE"""),2.0)</f>
        <v>2</v>
      </c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5"/>
      <c r="U1090" s="5"/>
      <c r="V1090" s="5"/>
      <c r="W1090" s="5"/>
    </row>
    <row r="1091" ht="15.75" customHeight="1">
      <c r="A1091" s="3">
        <f>IFERROR(__xludf.DUMMYFUNCTION("""COMPUTED_VALUE"""),1091.0)</f>
        <v>1091</v>
      </c>
      <c r="B1091" s="53">
        <f>IFERROR(__xludf.DUMMYFUNCTION("""COMPUTED_VALUE"""),45749.0)</f>
        <v>45749</v>
      </c>
      <c r="C1091" s="3">
        <f>IFERROR(__xludf.DUMMYFUNCTION("""COMPUTED_VALUE"""),92.0)</f>
        <v>92</v>
      </c>
      <c r="D1091" s="3" t="str">
        <f>IFERROR(__xludf.DUMMYFUNCTION("""COMPUTED_VALUE"""),"857f0b04")</f>
        <v>857f0b04</v>
      </c>
      <c r="E1091" s="54">
        <f>IFERROR(__xludf.DUMMYFUNCTION("""COMPUTED_VALUE"""),46300.0)</f>
        <v>46300</v>
      </c>
      <c r="F1091" s="3" t="str">
        <f>IFERROR(__xludf.DUMMYFUNCTION("""COMPUTED_VALUE"""),"Malbec")</f>
        <v>Malbec</v>
      </c>
      <c r="G1091" s="3"/>
      <c r="H1091" s="56">
        <f>IFERROR(__xludf.DUMMYFUNCTION("""COMPUTED_VALUE"""),2.0)</f>
        <v>2</v>
      </c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5"/>
      <c r="U1091" s="5"/>
      <c r="V1091" s="5"/>
      <c r="W1091" s="5"/>
    </row>
    <row r="1092" ht="15.75" customHeight="1">
      <c r="A1092" s="3">
        <f>IFERROR(__xludf.DUMMYFUNCTION("""COMPUTED_VALUE"""),1092.0)</f>
        <v>1092</v>
      </c>
      <c r="B1092" s="53">
        <f>IFERROR(__xludf.DUMMYFUNCTION("""COMPUTED_VALUE"""),45749.0)</f>
        <v>45749</v>
      </c>
      <c r="C1092" s="3">
        <f>IFERROR(__xludf.DUMMYFUNCTION("""COMPUTED_VALUE"""),95.0)</f>
        <v>95</v>
      </c>
      <c r="D1092" s="3" t="str">
        <f>IFERROR(__xludf.DUMMYFUNCTION("""COMPUTED_VALUE"""),"666d23a6")</f>
        <v>666d23a6</v>
      </c>
      <c r="E1092" s="54">
        <f>IFERROR(__xludf.DUMMYFUNCTION("""COMPUTED_VALUE"""),52500.0)</f>
        <v>52500</v>
      </c>
      <c r="F1092" s="3" t="str">
        <f>IFERROR(__xludf.DUMMYFUNCTION("""COMPUTED_VALUE"""),"Syrah")</f>
        <v>Syrah</v>
      </c>
      <c r="G1092" s="3"/>
      <c r="H1092" s="56">
        <f>IFERROR(__xludf.DUMMYFUNCTION("""COMPUTED_VALUE"""),2.0)</f>
        <v>2</v>
      </c>
      <c r="I1092" s="57">
        <f>IFERROR(__xludf.DUMMYFUNCTION("""COMPUTED_VALUE"""),0.52)</f>
        <v>0.52</v>
      </c>
      <c r="J1092" s="3"/>
      <c r="K1092" s="3"/>
      <c r="L1092" s="54">
        <f>IFERROR(__xludf.DUMMYFUNCTION("""COMPUTED_VALUE"""),13.0)</f>
        <v>13</v>
      </c>
      <c r="M1092" s="3">
        <f>IFERROR(__xludf.DUMMYFUNCTION("""COMPUTED_VALUE"""),38.400000000000006)</f>
        <v>38.4</v>
      </c>
      <c r="N1092" s="3"/>
      <c r="O1092" s="3"/>
      <c r="P1092" s="3"/>
      <c r="Q1092" s="3"/>
      <c r="R1092" s="3"/>
      <c r="S1092" s="3"/>
      <c r="T1092" s="5"/>
      <c r="U1092" s="5"/>
      <c r="V1092" s="5"/>
      <c r="W1092" s="5"/>
    </row>
    <row r="1093" ht="15.75" customHeight="1">
      <c r="A1093" s="3">
        <f>IFERROR(__xludf.DUMMYFUNCTION("""COMPUTED_VALUE"""),1093.0)</f>
        <v>1093</v>
      </c>
      <c r="B1093" s="53">
        <f>IFERROR(__xludf.DUMMYFUNCTION("""COMPUTED_VALUE"""),45749.0)</f>
        <v>45749</v>
      </c>
      <c r="C1093" s="3">
        <f>IFERROR(__xludf.DUMMYFUNCTION("""COMPUTED_VALUE"""),69.0)</f>
        <v>69</v>
      </c>
      <c r="D1093" s="3" t="str">
        <f>IFERROR(__xludf.DUMMYFUNCTION("""COMPUTED_VALUE"""),"380532ea")</f>
        <v>380532ea</v>
      </c>
      <c r="E1093" s="54">
        <f>IFERROR(__xludf.DUMMYFUNCTION("""COMPUTED_VALUE"""),7650.0)</f>
        <v>7650</v>
      </c>
      <c r="F1093" s="3" t="str">
        <f>IFERROR(__xludf.DUMMYFUNCTION("""COMPUTED_VALUE"""),"Cabernet Sauvignong")</f>
        <v>Cabernet Sauvignong</v>
      </c>
      <c r="G1093" s="55">
        <f>IFERROR(__xludf.DUMMYFUNCTION("""COMPUTED_VALUE"""),12.2)</f>
        <v>12.2</v>
      </c>
      <c r="H1093" s="56">
        <f>IFERROR(__xludf.DUMMYFUNCTION("""COMPUTED_VALUE"""),18.0)</f>
        <v>18</v>
      </c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5"/>
      <c r="U1093" s="5"/>
      <c r="V1093" s="5"/>
      <c r="W1093" s="5"/>
    </row>
    <row r="1094" ht="15.75" customHeight="1">
      <c r="A1094" s="3">
        <f>IFERROR(__xludf.DUMMYFUNCTION("""COMPUTED_VALUE"""),1094.0)</f>
        <v>1094</v>
      </c>
      <c r="B1094" s="53">
        <f>IFERROR(__xludf.DUMMYFUNCTION("""COMPUTED_VALUE"""),45749.0)</f>
        <v>45749</v>
      </c>
      <c r="C1094" s="3">
        <f>IFERROR(__xludf.DUMMYFUNCTION("""COMPUTED_VALUE"""),11.0)</f>
        <v>11</v>
      </c>
      <c r="D1094" s="3" t="str">
        <f>IFERROR(__xludf.DUMMYFUNCTION("""COMPUTED_VALUE"""),"d557e5fd")</f>
        <v>d557e5fd</v>
      </c>
      <c r="E1094" s="54">
        <f>IFERROR(__xludf.DUMMYFUNCTION("""COMPUTED_VALUE"""),36000.0)</f>
        <v>36000</v>
      </c>
      <c r="F1094" s="3" t="str">
        <f>IFERROR(__xludf.DUMMYFUNCTION("""COMPUTED_VALUE"""),"Syrah s/Asp 3ra")</f>
        <v>Syrah s/Asp 3ra</v>
      </c>
      <c r="G1094" s="3"/>
      <c r="H1094" s="3"/>
      <c r="I1094" s="3"/>
      <c r="J1094" s="3"/>
      <c r="K1094" s="3"/>
      <c r="L1094" s="54">
        <f>IFERROR(__xludf.DUMMYFUNCTION("""COMPUTED_VALUE"""),20.0)</f>
        <v>20</v>
      </c>
      <c r="M1094" s="3">
        <f>IFERROR(__xludf.DUMMYFUNCTION("""COMPUTED_VALUE"""),77.0)</f>
        <v>77</v>
      </c>
      <c r="N1094" s="3"/>
      <c r="O1094" s="3"/>
      <c r="P1094" s="3"/>
      <c r="Q1094" s="3"/>
      <c r="R1094" s="3"/>
      <c r="S1094" s="3"/>
      <c r="T1094" s="5"/>
      <c r="U1094" s="5"/>
      <c r="V1094" s="5"/>
      <c r="W1094" s="5"/>
    </row>
    <row r="1095" ht="15.75" customHeight="1">
      <c r="A1095" s="3">
        <f>IFERROR(__xludf.DUMMYFUNCTION("""COMPUTED_VALUE"""),1095.0)</f>
        <v>1095</v>
      </c>
      <c r="B1095" s="53">
        <f>IFERROR(__xludf.DUMMYFUNCTION("""COMPUTED_VALUE"""),45749.0)</f>
        <v>45749</v>
      </c>
      <c r="C1095" s="3">
        <f>IFERROR(__xludf.DUMMYFUNCTION("""COMPUTED_VALUE"""),68.0)</f>
        <v>68</v>
      </c>
      <c r="D1095" s="3" t="str">
        <f>IFERROR(__xludf.DUMMYFUNCTION("""COMPUTED_VALUE"""),"b23211ad")</f>
        <v>b23211ad</v>
      </c>
      <c r="E1095" s="54">
        <f>IFERROR(__xludf.DUMMYFUNCTION("""COMPUTED_VALUE"""),13000.0)</f>
        <v>13000</v>
      </c>
      <c r="F1095" s="3" t="str">
        <f>IFERROR(__xludf.DUMMYFUNCTION("""COMPUTED_VALUE"""),"Tanat")</f>
        <v>Tanat</v>
      </c>
      <c r="G1095" s="3"/>
      <c r="H1095" s="3"/>
      <c r="I1095" s="3"/>
      <c r="J1095" s="3"/>
      <c r="K1095" s="3"/>
      <c r="L1095" s="54">
        <f>IFERROR(__xludf.DUMMYFUNCTION("""COMPUTED_VALUE"""),18.0)</f>
        <v>18</v>
      </c>
      <c r="M1095" s="3">
        <f>IFERROR(__xludf.DUMMYFUNCTION("""COMPUTED_VALUE"""),70.0)</f>
        <v>70</v>
      </c>
      <c r="N1095" s="3"/>
      <c r="O1095" s="3"/>
      <c r="P1095" s="3"/>
      <c r="Q1095" s="3"/>
      <c r="R1095" s="3"/>
      <c r="S1095" s="3"/>
      <c r="T1095" s="5"/>
      <c r="U1095" s="5"/>
      <c r="V1095" s="5"/>
      <c r="W1095" s="5"/>
    </row>
    <row r="1096" ht="15.75" customHeight="1">
      <c r="A1096" s="3">
        <f>IFERROR(__xludf.DUMMYFUNCTION("""COMPUTED_VALUE"""),1096.0)</f>
        <v>1096</v>
      </c>
      <c r="B1096" s="53">
        <f>IFERROR(__xludf.DUMMYFUNCTION("""COMPUTED_VALUE"""),45749.0)</f>
        <v>45749</v>
      </c>
      <c r="C1096" s="3">
        <f>IFERROR(__xludf.DUMMYFUNCTION("""COMPUTED_VALUE"""),102.0)</f>
        <v>102</v>
      </c>
      <c r="D1096" s="3" t="str">
        <f>IFERROR(__xludf.DUMMYFUNCTION("""COMPUTED_VALUE"""),"96467006")</f>
        <v>96467006</v>
      </c>
      <c r="E1096" s="54">
        <f>IFERROR(__xludf.DUMMYFUNCTION("""COMPUTED_VALUE"""),30000.0)</f>
        <v>30000</v>
      </c>
      <c r="F1096" s="3" t="str">
        <f>IFERROR(__xludf.DUMMYFUNCTION("""COMPUTED_VALUE"""),"Tinto Recarga")</f>
        <v>Tinto Recarga</v>
      </c>
      <c r="G1096" s="3"/>
      <c r="H1096" s="3"/>
      <c r="I1096" s="3"/>
      <c r="J1096" s="3"/>
      <c r="K1096" s="3"/>
      <c r="L1096" s="54">
        <f>IFERROR(__xludf.DUMMYFUNCTION("""COMPUTED_VALUE"""),12.0)</f>
        <v>12</v>
      </c>
      <c r="M1096" s="3">
        <f>IFERROR(__xludf.DUMMYFUNCTION("""COMPUTED_VALUE"""),45.0)</f>
        <v>45</v>
      </c>
      <c r="N1096" s="3"/>
      <c r="O1096" s="3"/>
      <c r="P1096" s="3"/>
      <c r="Q1096" s="3"/>
      <c r="R1096" s="3"/>
      <c r="S1096" s="3"/>
      <c r="T1096" s="5"/>
      <c r="U1096" s="5"/>
      <c r="V1096" s="5"/>
      <c r="W1096" s="5"/>
    </row>
    <row r="1097" ht="15.75" customHeight="1">
      <c r="A1097" s="3">
        <f>IFERROR(__xludf.DUMMYFUNCTION("""COMPUTED_VALUE"""),1097.0)</f>
        <v>1097</v>
      </c>
      <c r="B1097" s="53">
        <f>IFERROR(__xludf.DUMMYFUNCTION("""COMPUTED_VALUE"""),45749.0)</f>
        <v>45749</v>
      </c>
      <c r="C1097" s="3">
        <f>IFERROR(__xludf.DUMMYFUNCTION("""COMPUTED_VALUE"""),103.0)</f>
        <v>103</v>
      </c>
      <c r="D1097" s="3" t="str">
        <f>IFERROR(__xludf.DUMMYFUNCTION("""COMPUTED_VALUE"""),"290ee918")</f>
        <v>290ee918</v>
      </c>
      <c r="E1097" s="54">
        <f>IFERROR(__xludf.DUMMYFUNCTION("""COMPUTED_VALUE"""),31000.0)</f>
        <v>31000</v>
      </c>
      <c r="F1097" s="3" t="str">
        <f>IFERROR(__xludf.DUMMYFUNCTION("""COMPUTED_VALUE"""),"Anccelotta")</f>
        <v>Anccelotta</v>
      </c>
      <c r="G1097" s="3"/>
      <c r="H1097" s="3"/>
      <c r="I1097" s="3"/>
      <c r="J1097" s="3"/>
      <c r="K1097" s="3"/>
      <c r="L1097" s="54">
        <f>IFERROR(__xludf.DUMMYFUNCTION("""COMPUTED_VALUE"""),25.0)</f>
        <v>25</v>
      </c>
      <c r="M1097" s="3">
        <f>IFERROR(__xludf.DUMMYFUNCTION("""COMPUTED_VALUE"""),77.0)</f>
        <v>77</v>
      </c>
      <c r="N1097" s="3"/>
      <c r="O1097" s="3"/>
      <c r="P1097" s="3"/>
      <c r="Q1097" s="3"/>
      <c r="R1097" s="3"/>
      <c r="S1097" s="3"/>
      <c r="T1097" s="5"/>
      <c r="U1097" s="5"/>
      <c r="V1097" s="5"/>
      <c r="W1097" s="5"/>
    </row>
    <row r="1098" ht="15.75" customHeight="1">
      <c r="A1098" s="3">
        <f>IFERROR(__xludf.DUMMYFUNCTION("""COMPUTED_VALUE"""),1098.0)</f>
        <v>1098</v>
      </c>
      <c r="B1098" s="53">
        <f>IFERROR(__xludf.DUMMYFUNCTION("""COMPUTED_VALUE"""),45749.0)</f>
        <v>45749</v>
      </c>
      <c r="C1098" s="3">
        <f>IFERROR(__xludf.DUMMYFUNCTION("""COMPUTED_VALUE"""),74.0)</f>
        <v>74</v>
      </c>
      <c r="D1098" s="3" t="str">
        <f>IFERROR(__xludf.DUMMYFUNCTION("""COMPUTED_VALUE"""),"8b30dc4c")</f>
        <v>8b30dc4c</v>
      </c>
      <c r="E1098" s="54">
        <f>IFERROR(__xludf.DUMMYFUNCTION("""COMPUTED_VALUE"""),13000.0)</f>
        <v>13000</v>
      </c>
      <c r="F1098" s="3" t="str">
        <f>IFERROR(__xludf.DUMMYFUNCTION("""COMPUTED_VALUE"""),"Malbec Montecepas 24")</f>
        <v>Malbec Montecepas 24</v>
      </c>
      <c r="G1098" s="3"/>
      <c r="H1098" s="3"/>
      <c r="I1098" s="3"/>
      <c r="J1098" s="3"/>
      <c r="K1098" s="3"/>
      <c r="L1098" s="54">
        <f>IFERROR(__xludf.DUMMYFUNCTION("""COMPUTED_VALUE"""),46.0)</f>
        <v>46</v>
      </c>
      <c r="M1098" s="3">
        <f>IFERROR(__xludf.DUMMYFUNCTION("""COMPUTED_VALUE"""),130.0)</f>
        <v>130</v>
      </c>
      <c r="N1098" s="3"/>
      <c r="O1098" s="3"/>
      <c r="P1098" s="3"/>
      <c r="Q1098" s="3"/>
      <c r="R1098" s="3"/>
      <c r="S1098" s="3"/>
      <c r="T1098" s="5"/>
      <c r="U1098" s="5"/>
      <c r="V1098" s="5"/>
      <c r="W1098" s="5"/>
    </row>
    <row r="1099" ht="15.75" customHeight="1">
      <c r="A1099" s="3">
        <f>IFERROR(__xludf.DUMMYFUNCTION("""COMPUTED_VALUE"""),1099.0)</f>
        <v>1099</v>
      </c>
      <c r="B1099" s="53">
        <f>IFERROR(__xludf.DUMMYFUNCTION("""COMPUTED_VALUE"""),45749.0)</f>
        <v>45749</v>
      </c>
      <c r="C1099" s="3">
        <f>IFERROR(__xludf.DUMMYFUNCTION("""COMPUTED_VALUE"""),111.0)</f>
        <v>111</v>
      </c>
      <c r="D1099" s="3" t="str">
        <f>IFERROR(__xludf.DUMMYFUNCTION("""COMPUTED_VALUE"""),"3f3e8ee6")</f>
        <v>3f3e8ee6</v>
      </c>
      <c r="E1099" s="54">
        <f>IFERROR(__xludf.DUMMYFUNCTION("""COMPUTED_VALUE"""),4000.0)</f>
        <v>4000</v>
      </c>
      <c r="F1099" s="3" t="str">
        <f>IFERROR(__xludf.DUMMYFUNCTION("""COMPUTED_VALUE"""),"Malbec Magneta")</f>
        <v>Malbec Magneta</v>
      </c>
      <c r="G1099" s="3"/>
      <c r="H1099" s="3"/>
      <c r="I1099" s="3"/>
      <c r="J1099" s="3"/>
      <c r="K1099" s="3"/>
      <c r="L1099" s="54">
        <f>IFERROR(__xludf.DUMMYFUNCTION("""COMPUTED_VALUE"""),29.0)</f>
        <v>29</v>
      </c>
      <c r="M1099" s="3">
        <f>IFERROR(__xludf.DUMMYFUNCTION("""COMPUTED_VALUE"""),83.0)</f>
        <v>83</v>
      </c>
      <c r="N1099" s="3"/>
      <c r="O1099" s="3"/>
      <c r="P1099" s="3"/>
      <c r="Q1099" s="3"/>
      <c r="R1099" s="3"/>
      <c r="S1099" s="3"/>
      <c r="T1099" s="5"/>
      <c r="U1099" s="5"/>
      <c r="V1099" s="5"/>
      <c r="W1099" s="5"/>
    </row>
    <row r="1100" ht="15.75" customHeight="1">
      <c r="A1100" s="3">
        <f>IFERROR(__xludf.DUMMYFUNCTION("""COMPUTED_VALUE"""),1100.0)</f>
        <v>1100</v>
      </c>
      <c r="B1100" s="53">
        <f>IFERROR(__xludf.DUMMYFUNCTION("""COMPUTED_VALUE"""),45749.0)</f>
        <v>45749</v>
      </c>
      <c r="C1100" s="3">
        <f>IFERROR(__xludf.DUMMYFUNCTION("""COMPUTED_VALUE"""),25.0)</f>
        <v>25</v>
      </c>
      <c r="D1100" s="3" t="str">
        <f>IFERROR(__xludf.DUMMYFUNCTION("""COMPUTED_VALUE"""),"a6d28e88")</f>
        <v>a6d28e88</v>
      </c>
      <c r="E1100" s="54">
        <f>IFERROR(__xludf.DUMMYFUNCTION("""COMPUTED_VALUE"""),194300.0)</f>
        <v>194300</v>
      </c>
      <c r="F1100" s="3" t="str">
        <f>IFERROR(__xludf.DUMMYFUNCTION("""COMPUTED_VALUE"""),"Syrah")</f>
        <v>Syrah</v>
      </c>
      <c r="G1100" s="55">
        <f>IFERROR(__xludf.DUMMYFUNCTION("""COMPUTED_VALUE"""),14.0)</f>
        <v>14</v>
      </c>
      <c r="H1100" s="56">
        <f>IFERROR(__xludf.DUMMYFUNCTION("""COMPUTED_VALUE"""),2.0)</f>
        <v>2</v>
      </c>
      <c r="I1100" s="57">
        <f>IFERROR(__xludf.DUMMYFUNCTION("""COMPUTED_VALUE"""),0.54)</f>
        <v>0.54</v>
      </c>
      <c r="J1100" s="57">
        <f>IFERROR(__xludf.DUMMYFUNCTION("""COMPUTED_VALUE"""),6.1)</f>
        <v>6.1</v>
      </c>
      <c r="K1100" s="57">
        <f>IFERROR(__xludf.DUMMYFUNCTION("""COMPUTED_VALUE"""),3.57)</f>
        <v>3.57</v>
      </c>
      <c r="L1100" s="54">
        <f>IFERROR(__xludf.DUMMYFUNCTION("""COMPUTED_VALUE"""),23.0)</f>
        <v>23</v>
      </c>
      <c r="M1100" s="3">
        <f>IFERROR(__xludf.DUMMYFUNCTION("""COMPUTED_VALUE"""),83.0)</f>
        <v>83</v>
      </c>
      <c r="N1100" s="3"/>
      <c r="O1100" s="3"/>
      <c r="P1100" s="3"/>
      <c r="Q1100" s="3"/>
      <c r="R1100" s="3"/>
      <c r="S1100" s="3"/>
      <c r="T1100" s="5"/>
      <c r="U1100" s="5"/>
      <c r="V1100" s="5"/>
      <c r="W1100" s="5"/>
    </row>
    <row r="1101" ht="15.75" customHeight="1">
      <c r="A1101" s="3">
        <f>IFERROR(__xludf.DUMMYFUNCTION("""COMPUTED_VALUE"""),1101.0)</f>
        <v>1101</v>
      </c>
      <c r="B1101" s="53">
        <f>IFERROR(__xludf.DUMMYFUNCTION("""COMPUTED_VALUE"""),45750.0)</f>
        <v>45750</v>
      </c>
      <c r="C1101" s="3">
        <f>IFERROR(__xludf.DUMMYFUNCTION("""COMPUTED_VALUE"""),88.0)</f>
        <v>88</v>
      </c>
      <c r="D1101" s="3" t="str">
        <f>IFERROR(__xludf.DUMMYFUNCTION("""COMPUTED_VALUE"""),"dadb0851")</f>
        <v>dadb0851</v>
      </c>
      <c r="E1101" s="54">
        <f>IFERROR(__xludf.DUMMYFUNCTION("""COMPUTED_VALUE"""),37200.0)</f>
        <v>37200</v>
      </c>
      <c r="F1101" s="3" t="str">
        <f>IFERROR(__xludf.DUMMYFUNCTION("""COMPUTED_VALUE"""),"Criolla s/Bonarda")</f>
        <v>Criolla s/Bonarda</v>
      </c>
      <c r="G1101" s="3"/>
      <c r="H1101" s="3"/>
      <c r="I1101" s="57">
        <f>IFERROR(__xludf.DUMMYFUNCTION("""COMPUTED_VALUE"""),0.55)</f>
        <v>0.55</v>
      </c>
      <c r="J1101" s="3"/>
      <c r="K1101" s="57">
        <f>IFERROR(__xludf.DUMMYFUNCTION("""COMPUTED_VALUE"""),3.55)</f>
        <v>3.55</v>
      </c>
      <c r="L1101" s="54">
        <f>IFERROR(__xludf.DUMMYFUNCTION("""COMPUTED_VALUE"""),12.0)</f>
        <v>12</v>
      </c>
      <c r="M1101" s="3"/>
      <c r="N1101" s="3"/>
      <c r="O1101" s="3"/>
      <c r="P1101" s="3"/>
      <c r="Q1101" s="3"/>
      <c r="R1101" s="3"/>
      <c r="S1101" s="3"/>
      <c r="T1101" s="5"/>
      <c r="U1101" s="5"/>
      <c r="V1101" s="5"/>
      <c r="W1101" s="5"/>
    </row>
    <row r="1102" ht="15.75" customHeight="1">
      <c r="A1102" s="3">
        <f>IFERROR(__xludf.DUMMYFUNCTION("""COMPUTED_VALUE"""),1102.0)</f>
        <v>1102</v>
      </c>
      <c r="B1102" s="53">
        <f>IFERROR(__xludf.DUMMYFUNCTION("""COMPUTED_VALUE"""),45750.0)</f>
        <v>45750</v>
      </c>
      <c r="C1102" s="3">
        <f>IFERROR(__xludf.DUMMYFUNCTION("""COMPUTED_VALUE"""),83.0)</f>
        <v>83</v>
      </c>
      <c r="D1102" s="3" t="str">
        <f>IFERROR(__xludf.DUMMYFUNCTION("""COMPUTED_VALUE"""),"becb2c75")</f>
        <v>becb2c75</v>
      </c>
      <c r="E1102" s="54">
        <f>IFERROR(__xludf.DUMMYFUNCTION("""COMPUTED_VALUE"""),44500.0)</f>
        <v>44500</v>
      </c>
      <c r="F1102" s="3" t="str">
        <f>IFERROR(__xludf.DUMMYFUNCTION("""COMPUTED_VALUE"""),"Bonarda")</f>
        <v>Bonarda</v>
      </c>
      <c r="G1102" s="3"/>
      <c r="H1102" s="56">
        <f>IFERROR(__xludf.DUMMYFUNCTION("""COMPUTED_VALUE"""),24.8)</f>
        <v>24.8</v>
      </c>
      <c r="I1102" s="3"/>
      <c r="J1102" s="3"/>
      <c r="K1102" s="57">
        <f>IFERROR(__xludf.DUMMYFUNCTION("""COMPUTED_VALUE"""),3.5)</f>
        <v>3.5</v>
      </c>
      <c r="L1102" s="54">
        <f>IFERROR(__xludf.DUMMYFUNCTION("""COMPUTED_VALUE"""),13.0)</f>
        <v>13</v>
      </c>
      <c r="M1102" s="3"/>
      <c r="N1102" s="3"/>
      <c r="O1102" s="3"/>
      <c r="P1102" s="3"/>
      <c r="Q1102" s="3"/>
      <c r="R1102" s="3"/>
      <c r="S1102" s="3"/>
      <c r="T1102" s="5"/>
      <c r="U1102" s="5"/>
      <c r="V1102" s="5"/>
      <c r="W1102" s="5"/>
    </row>
    <row r="1103" ht="15.75" customHeight="1">
      <c r="A1103" s="3">
        <f>IFERROR(__xludf.DUMMYFUNCTION("""COMPUTED_VALUE"""),1103.0)</f>
        <v>1103</v>
      </c>
      <c r="B1103" s="53">
        <f>IFERROR(__xludf.DUMMYFUNCTION("""COMPUTED_VALUE"""),45750.0)</f>
        <v>45750</v>
      </c>
      <c r="C1103" s="3">
        <f>IFERROR(__xludf.DUMMYFUNCTION("""COMPUTED_VALUE"""),86.0)</f>
        <v>86</v>
      </c>
      <c r="D1103" s="3" t="str">
        <f>IFERROR(__xludf.DUMMYFUNCTION("""COMPUTED_VALUE"""),"89ea53f8")</f>
        <v>89ea53f8</v>
      </c>
      <c r="E1103" s="54">
        <f>IFERROR(__xludf.DUMMYFUNCTION("""COMPUTED_VALUE"""),46000.0)</f>
        <v>46000</v>
      </c>
      <c r="F1103" s="3" t="str">
        <f>IFERROR(__xludf.DUMMYFUNCTION("""COMPUTED_VALUE"""),"Bonarda")</f>
        <v>Bonarda</v>
      </c>
      <c r="G1103" s="3"/>
      <c r="H1103" s="56">
        <f>IFERROR(__xludf.DUMMYFUNCTION("""COMPUTED_VALUE"""),23.8)</f>
        <v>23.8</v>
      </c>
      <c r="I1103" s="3"/>
      <c r="J1103" s="3"/>
      <c r="K1103" s="57">
        <f>IFERROR(__xludf.DUMMYFUNCTION("""COMPUTED_VALUE"""),3.58)</f>
        <v>3.58</v>
      </c>
      <c r="L1103" s="54">
        <f>IFERROR(__xludf.DUMMYFUNCTION("""COMPUTED_VALUE"""),35.0)</f>
        <v>35</v>
      </c>
      <c r="M1103" s="3"/>
      <c r="N1103" s="3"/>
      <c r="O1103" s="3"/>
      <c r="P1103" s="3"/>
      <c r="Q1103" s="3"/>
      <c r="R1103" s="3"/>
      <c r="S1103" s="3"/>
      <c r="T1103" s="5"/>
      <c r="U1103" s="5"/>
      <c r="V1103" s="5"/>
      <c r="W1103" s="5"/>
    </row>
    <row r="1104" ht="15.75" customHeight="1">
      <c r="A1104" s="3">
        <f>IFERROR(__xludf.DUMMYFUNCTION("""COMPUTED_VALUE"""),1104.0)</f>
        <v>1104</v>
      </c>
      <c r="B1104" s="53">
        <f>IFERROR(__xludf.DUMMYFUNCTION("""COMPUTED_VALUE"""),45750.0)</f>
        <v>45750</v>
      </c>
      <c r="C1104" s="3">
        <f>IFERROR(__xludf.DUMMYFUNCTION("""COMPUTED_VALUE"""),87.0)</f>
        <v>87</v>
      </c>
      <c r="D1104" s="3" t="str">
        <f>IFERROR(__xludf.DUMMYFUNCTION("""COMPUTED_VALUE"""),"0d6140dc")</f>
        <v>0d6140dc</v>
      </c>
      <c r="E1104" s="54">
        <f>IFERROR(__xludf.DUMMYFUNCTION("""COMPUTED_VALUE"""),42200.0)</f>
        <v>42200</v>
      </c>
      <c r="F1104" s="3" t="str">
        <f>IFERROR(__xludf.DUMMYFUNCTION("""COMPUTED_VALUE"""),"Cabernet Sauv Mec")</f>
        <v>Cabernet Sauv Mec</v>
      </c>
      <c r="G1104" s="3"/>
      <c r="H1104" s="56">
        <f>IFERROR(__xludf.DUMMYFUNCTION("""COMPUTED_VALUE"""),25.2)</f>
        <v>25.2</v>
      </c>
      <c r="I1104" s="3"/>
      <c r="J1104" s="3"/>
      <c r="K1104" s="57">
        <f>IFERROR(__xludf.DUMMYFUNCTION("""COMPUTED_VALUE"""),3.67)</f>
        <v>3.67</v>
      </c>
      <c r="L1104" s="54">
        <f>IFERROR(__xludf.DUMMYFUNCTION("""COMPUTED_VALUE"""),15.0)</f>
        <v>15</v>
      </c>
      <c r="M1104" s="3"/>
      <c r="N1104" s="3"/>
      <c r="O1104" s="3"/>
      <c r="P1104" s="3"/>
      <c r="Q1104" s="3"/>
      <c r="R1104" s="3"/>
      <c r="S1104" s="3"/>
      <c r="T1104" s="5"/>
      <c r="U1104" s="5"/>
      <c r="V1104" s="5"/>
      <c r="W1104" s="5"/>
    </row>
    <row r="1105" ht="15.75" customHeight="1">
      <c r="A1105" s="3">
        <f>IFERROR(__xludf.DUMMYFUNCTION("""COMPUTED_VALUE"""),1105.0)</f>
        <v>1105</v>
      </c>
      <c r="B1105" s="53">
        <f>IFERROR(__xludf.DUMMYFUNCTION("""COMPUTED_VALUE"""),45750.0)</f>
        <v>45750</v>
      </c>
      <c r="C1105" s="3">
        <f>IFERROR(__xludf.DUMMYFUNCTION("""COMPUTED_VALUE"""),80.0)</f>
        <v>80</v>
      </c>
      <c r="D1105" s="3" t="str">
        <f>IFERROR(__xludf.DUMMYFUNCTION("""COMPUTED_VALUE"""),"b7223c27")</f>
        <v>b7223c27</v>
      </c>
      <c r="E1105" s="54">
        <f>IFERROR(__xludf.DUMMYFUNCTION("""COMPUTED_VALUE"""),8000.0)</f>
        <v>8000</v>
      </c>
      <c r="F1105" s="3" t="str">
        <f>IFERROR(__xludf.DUMMYFUNCTION("""COMPUTED_VALUE"""),"Malbec")</f>
        <v>Malbec</v>
      </c>
      <c r="G1105" s="3"/>
      <c r="H1105" s="56">
        <f>IFERROR(__xludf.DUMMYFUNCTION("""COMPUTED_VALUE"""),22.8)</f>
        <v>22.8</v>
      </c>
      <c r="I1105" s="3"/>
      <c r="J1105" s="3"/>
      <c r="K1105" s="57">
        <f>IFERROR(__xludf.DUMMYFUNCTION("""COMPUTED_VALUE"""),3.74)</f>
        <v>3.74</v>
      </c>
      <c r="L1105" s="54">
        <f>IFERROR(__xludf.DUMMYFUNCTION("""COMPUTED_VALUE"""),25.0)</f>
        <v>25</v>
      </c>
      <c r="M1105" s="3"/>
      <c r="N1105" s="3"/>
      <c r="O1105" s="3"/>
      <c r="P1105" s="3"/>
      <c r="Q1105" s="3"/>
      <c r="R1105" s="3"/>
      <c r="S1105" s="3"/>
      <c r="T1105" s="5"/>
      <c r="U1105" s="5"/>
      <c r="V1105" s="5"/>
      <c r="W1105" s="5"/>
    </row>
    <row r="1106" ht="15.75" customHeight="1">
      <c r="A1106" s="3">
        <f>IFERROR(__xludf.DUMMYFUNCTION("""COMPUTED_VALUE"""),1106.0)</f>
        <v>1106</v>
      </c>
      <c r="B1106" s="53">
        <f>IFERROR(__xludf.DUMMYFUNCTION("""COMPUTED_VALUE"""),45750.0)</f>
        <v>45750</v>
      </c>
      <c r="C1106" s="3">
        <f>IFERROR(__xludf.DUMMYFUNCTION("""COMPUTED_VALUE"""),91.0)</f>
        <v>91</v>
      </c>
      <c r="D1106" s="3" t="str">
        <f>IFERROR(__xludf.DUMMYFUNCTION("""COMPUTED_VALUE"""),"6b249a3a")</f>
        <v>6b249a3a</v>
      </c>
      <c r="E1106" s="54">
        <f>IFERROR(__xludf.DUMMYFUNCTION("""COMPUTED_VALUE"""),62300.0)</f>
        <v>62300</v>
      </c>
      <c r="F1106" s="3" t="str">
        <f>IFERROR(__xludf.DUMMYFUNCTION("""COMPUTED_VALUE"""),"Tinto s/Bonarda")</f>
        <v>Tinto s/Bonarda</v>
      </c>
      <c r="G1106" s="3"/>
      <c r="H1106" s="3"/>
      <c r="I1106" s="3"/>
      <c r="J1106" s="3"/>
      <c r="K1106" s="57">
        <f>IFERROR(__xludf.DUMMYFUNCTION("""COMPUTED_VALUE"""),3.5)</f>
        <v>3.5</v>
      </c>
      <c r="L1106" s="54">
        <f>IFERROR(__xludf.DUMMYFUNCTION("""COMPUTED_VALUE"""),12.0)</f>
        <v>12</v>
      </c>
      <c r="M1106" s="3"/>
      <c r="N1106" s="3"/>
      <c r="O1106" s="3"/>
      <c r="P1106" s="3"/>
      <c r="Q1106" s="3"/>
      <c r="R1106" s="3"/>
      <c r="S1106" s="3"/>
      <c r="T1106" s="5"/>
      <c r="U1106" s="5"/>
      <c r="V1106" s="5"/>
      <c r="W1106" s="5"/>
    </row>
    <row r="1107" ht="15.75" customHeight="1">
      <c r="A1107" s="3">
        <f>IFERROR(__xludf.DUMMYFUNCTION("""COMPUTED_VALUE"""),1107.0)</f>
        <v>1107</v>
      </c>
      <c r="B1107" s="53">
        <f>IFERROR(__xludf.DUMMYFUNCTION("""COMPUTED_VALUE"""),45750.0)</f>
        <v>45750</v>
      </c>
      <c r="C1107" s="3">
        <f>IFERROR(__xludf.DUMMYFUNCTION("""COMPUTED_VALUE"""),90.0)</f>
        <v>90</v>
      </c>
      <c r="D1107" s="3" t="str">
        <f>IFERROR(__xludf.DUMMYFUNCTION("""COMPUTED_VALUE"""),"1bba563a")</f>
        <v>1bba563a</v>
      </c>
      <c r="E1107" s="54">
        <f>IFERROR(__xludf.DUMMYFUNCTION("""COMPUTED_VALUE"""),26000.0)</f>
        <v>26000</v>
      </c>
      <c r="F1107" s="3" t="str">
        <f>IFERROR(__xludf.DUMMYFUNCTION("""COMPUTED_VALUE"""),"Bonarda")</f>
        <v>Bonarda</v>
      </c>
      <c r="G1107" s="3"/>
      <c r="H1107" s="56">
        <f>IFERROR(__xludf.DUMMYFUNCTION("""COMPUTED_VALUE"""),24.6)</f>
        <v>24.6</v>
      </c>
      <c r="I1107" s="3"/>
      <c r="J1107" s="3"/>
      <c r="K1107" s="57">
        <f>IFERROR(__xludf.DUMMYFUNCTION("""COMPUTED_VALUE"""),3.49)</f>
        <v>3.49</v>
      </c>
      <c r="L1107" s="54">
        <f>IFERROR(__xludf.DUMMYFUNCTION("""COMPUTED_VALUE"""),15.0)</f>
        <v>15</v>
      </c>
      <c r="M1107" s="3"/>
      <c r="N1107" s="3"/>
      <c r="O1107" s="3"/>
      <c r="P1107" s="3"/>
      <c r="Q1107" s="3"/>
      <c r="R1107" s="3"/>
      <c r="S1107" s="3"/>
      <c r="T1107" s="5"/>
      <c r="U1107" s="5"/>
      <c r="V1107" s="5"/>
      <c r="W1107" s="5"/>
    </row>
    <row r="1108" ht="15.75" customHeight="1">
      <c r="A1108" s="3">
        <f>IFERROR(__xludf.DUMMYFUNCTION("""COMPUTED_VALUE"""),1108.0)</f>
        <v>1108</v>
      </c>
      <c r="B1108" s="53">
        <f>IFERROR(__xludf.DUMMYFUNCTION("""COMPUTED_VALUE"""),45750.0)</f>
        <v>45750</v>
      </c>
      <c r="C1108" s="3">
        <f>IFERROR(__xludf.DUMMYFUNCTION("""COMPUTED_VALUE"""),5.0)</f>
        <v>5</v>
      </c>
      <c r="D1108" s="3" t="str">
        <f>IFERROR(__xludf.DUMMYFUNCTION("""COMPUTED_VALUE"""),"593f826f")</f>
        <v>593f826f</v>
      </c>
      <c r="E1108" s="54">
        <f>IFERROR(__xludf.DUMMYFUNCTION("""COMPUTED_VALUE"""),30000.0)</f>
        <v>30000</v>
      </c>
      <c r="F1108" s="3" t="str">
        <f>IFERROR(__xludf.DUMMYFUNCTION("""COMPUTED_VALUE"""),"Chardonnay")</f>
        <v>Chardonnay</v>
      </c>
      <c r="G1108" s="3"/>
      <c r="H1108" s="3"/>
      <c r="I1108" s="3"/>
      <c r="J1108" s="3"/>
      <c r="K1108" s="3"/>
      <c r="L1108" s="54">
        <f>IFERROR(__xludf.DUMMYFUNCTION("""COMPUTED_VALUE"""),32.0)</f>
        <v>32</v>
      </c>
      <c r="M1108" s="3">
        <f>IFERROR(__xludf.DUMMYFUNCTION("""COMPUTED_VALUE"""),98.0)</f>
        <v>98</v>
      </c>
      <c r="N1108" s="3"/>
      <c r="O1108" s="3"/>
      <c r="P1108" s="3"/>
      <c r="Q1108" s="3"/>
      <c r="R1108" s="3"/>
      <c r="S1108" s="3"/>
      <c r="T1108" s="5"/>
      <c r="U1108" s="5"/>
      <c r="V1108" s="5"/>
      <c r="W1108" s="5"/>
    </row>
    <row r="1109" ht="15.75" customHeight="1">
      <c r="A1109" s="3">
        <f>IFERROR(__xludf.DUMMYFUNCTION("""COMPUTED_VALUE"""),1109.0)</f>
        <v>1109</v>
      </c>
      <c r="B1109" s="53">
        <f>IFERROR(__xludf.DUMMYFUNCTION("""COMPUTED_VALUE"""),45750.0)</f>
        <v>45750</v>
      </c>
      <c r="C1109" s="3">
        <f>IFERROR(__xludf.DUMMYFUNCTION("""COMPUTED_VALUE"""),8.0)</f>
        <v>8</v>
      </c>
      <c r="D1109" s="3" t="str">
        <f>IFERROR(__xludf.DUMMYFUNCTION("""COMPUTED_VALUE"""),"376dbee6")</f>
        <v>376dbee6</v>
      </c>
      <c r="E1109" s="54">
        <f>IFERROR(__xludf.DUMMYFUNCTION("""COMPUTED_VALUE"""),22000.0)</f>
        <v>22000</v>
      </c>
      <c r="F1109" s="3" t="str">
        <f>IFERROR(__xludf.DUMMYFUNCTION("""COMPUTED_VALUE"""),"Chardonnay")</f>
        <v>Chardonnay</v>
      </c>
      <c r="G1109" s="3"/>
      <c r="H1109" s="3"/>
      <c r="I1109" s="3"/>
      <c r="J1109" s="3"/>
      <c r="K1109" s="57">
        <f>IFERROR(__xludf.DUMMYFUNCTION("""COMPUTED_VALUE"""),3.34)</f>
        <v>3.34</v>
      </c>
      <c r="L1109" s="54">
        <f>IFERROR(__xludf.DUMMYFUNCTION("""COMPUTED_VALUE"""),25.0)</f>
        <v>25</v>
      </c>
      <c r="M1109" s="3">
        <f>IFERROR(__xludf.DUMMYFUNCTION("""COMPUTED_VALUE"""),82.0)</f>
        <v>82</v>
      </c>
      <c r="N1109" s="3"/>
      <c r="O1109" s="3"/>
      <c r="P1109" s="3"/>
      <c r="Q1109" s="3"/>
      <c r="R1109" s="3"/>
      <c r="S1109" s="3"/>
      <c r="T1109" s="5"/>
      <c r="U1109" s="5"/>
      <c r="V1109" s="5"/>
      <c r="W1109" s="5"/>
    </row>
    <row r="1110" ht="15.75" customHeight="1">
      <c r="A1110" s="3">
        <f>IFERROR(__xludf.DUMMYFUNCTION("""COMPUTED_VALUE"""),1110.0)</f>
        <v>1110</v>
      </c>
      <c r="B1110" s="53">
        <f>IFERROR(__xludf.DUMMYFUNCTION("""COMPUTED_VALUE"""),45750.0)</f>
        <v>45750</v>
      </c>
      <c r="C1110" s="3">
        <f>IFERROR(__xludf.DUMMYFUNCTION("""COMPUTED_VALUE"""),9.0)</f>
        <v>9</v>
      </c>
      <c r="D1110" s="3" t="str">
        <f>IFERROR(__xludf.DUMMYFUNCTION("""COMPUTED_VALUE"""),"b73d8cd1")</f>
        <v>b73d8cd1</v>
      </c>
      <c r="E1110" s="54">
        <f>IFERROR(__xludf.DUMMYFUNCTION("""COMPUTED_VALUE"""),30000.0)</f>
        <v>30000</v>
      </c>
      <c r="F1110" s="3" t="str">
        <f>IFERROR(__xludf.DUMMYFUNCTION("""COMPUTED_VALUE"""),"Chardonnay")</f>
        <v>Chardonnay</v>
      </c>
      <c r="G1110" s="3"/>
      <c r="H1110" s="3"/>
      <c r="I1110" s="3"/>
      <c r="J1110" s="3"/>
      <c r="K1110" s="57">
        <f>IFERROR(__xludf.DUMMYFUNCTION("""COMPUTED_VALUE"""),3.18)</f>
        <v>3.18</v>
      </c>
      <c r="L1110" s="54">
        <f>IFERROR(__xludf.DUMMYFUNCTION("""COMPUTED_VALUE"""),25.0)</f>
        <v>25</v>
      </c>
      <c r="M1110" s="3">
        <f>IFERROR(__xludf.DUMMYFUNCTION("""COMPUTED_VALUE"""),100.0)</f>
        <v>100</v>
      </c>
      <c r="N1110" s="3"/>
      <c r="O1110" s="3"/>
      <c r="P1110" s="3"/>
      <c r="Q1110" s="3"/>
      <c r="R1110" s="3"/>
      <c r="S1110" s="3"/>
      <c r="T1110" s="5"/>
      <c r="U1110" s="5"/>
      <c r="V1110" s="5"/>
      <c r="W1110" s="5"/>
    </row>
    <row r="1111" ht="15.75" customHeight="1">
      <c r="A1111" s="3">
        <f>IFERROR(__xludf.DUMMYFUNCTION("""COMPUTED_VALUE"""),1111.0)</f>
        <v>1111</v>
      </c>
      <c r="B1111" s="53">
        <f>IFERROR(__xludf.DUMMYFUNCTION("""COMPUTED_VALUE"""),45750.0)</f>
        <v>45750</v>
      </c>
      <c r="C1111" s="3">
        <f>IFERROR(__xludf.DUMMYFUNCTION("""COMPUTED_VALUE"""),10.0)</f>
        <v>10</v>
      </c>
      <c r="D1111" s="3" t="str">
        <f>IFERROR(__xludf.DUMMYFUNCTION("""COMPUTED_VALUE"""),"f9bf68a3")</f>
        <v>f9bf68a3</v>
      </c>
      <c r="E1111" s="54">
        <f>IFERROR(__xludf.DUMMYFUNCTION("""COMPUTED_VALUE"""),21000.0)</f>
        <v>21000</v>
      </c>
      <c r="F1111" s="3" t="str">
        <f>IFERROR(__xludf.DUMMYFUNCTION("""COMPUTED_VALUE"""),"Chardonnay")</f>
        <v>Chardonnay</v>
      </c>
      <c r="G1111" s="3"/>
      <c r="H1111" s="3"/>
      <c r="I1111" s="3"/>
      <c r="J1111" s="3"/>
      <c r="K1111" s="57">
        <f>IFERROR(__xludf.DUMMYFUNCTION("""COMPUTED_VALUE"""),3.15)</f>
        <v>3.15</v>
      </c>
      <c r="L1111" s="54">
        <f>IFERROR(__xludf.DUMMYFUNCTION("""COMPUTED_VALUE"""),30.0)</f>
        <v>30</v>
      </c>
      <c r="M1111" s="3">
        <f>IFERROR(__xludf.DUMMYFUNCTION("""COMPUTED_VALUE"""),96.0)</f>
        <v>96</v>
      </c>
      <c r="N1111" s="3"/>
      <c r="O1111" s="3"/>
      <c r="P1111" s="3"/>
      <c r="Q1111" s="3"/>
      <c r="R1111" s="3"/>
      <c r="S1111" s="3"/>
      <c r="T1111" s="5"/>
      <c r="U1111" s="5"/>
      <c r="V1111" s="5"/>
      <c r="W1111" s="5"/>
    </row>
    <row r="1112" ht="15.75" customHeight="1">
      <c r="A1112" s="3">
        <f>IFERROR(__xludf.DUMMYFUNCTION("""COMPUTED_VALUE"""),1112.0)</f>
        <v>1112</v>
      </c>
      <c r="B1112" s="53">
        <f>IFERROR(__xludf.DUMMYFUNCTION("""COMPUTED_VALUE"""),45750.0)</f>
        <v>45750</v>
      </c>
      <c r="C1112" s="3">
        <f>IFERROR(__xludf.DUMMYFUNCTION("""COMPUTED_VALUE"""),16.0)</f>
        <v>16</v>
      </c>
      <c r="D1112" s="3" t="str">
        <f>IFERROR(__xludf.DUMMYFUNCTION("""COMPUTED_VALUE"""),"b5e03e7f")</f>
        <v>b5e03e7f</v>
      </c>
      <c r="E1112" s="54">
        <f>IFERROR(__xludf.DUMMYFUNCTION("""COMPUTED_VALUE"""),19500.0)</f>
        <v>19500</v>
      </c>
      <c r="F1112" s="3" t="str">
        <f>IFERROR(__xludf.DUMMYFUNCTION("""COMPUTED_VALUE"""),"Chardonnay")</f>
        <v>Chardonnay</v>
      </c>
      <c r="G1112" s="3"/>
      <c r="H1112" s="3"/>
      <c r="I1112" s="3"/>
      <c r="J1112" s="3"/>
      <c r="K1112" s="57">
        <f>IFERROR(__xludf.DUMMYFUNCTION("""COMPUTED_VALUE"""),3.11)</f>
        <v>3.11</v>
      </c>
      <c r="L1112" s="54">
        <f>IFERROR(__xludf.DUMMYFUNCTION("""COMPUTED_VALUE"""),27.0)</f>
        <v>27</v>
      </c>
      <c r="M1112" s="3">
        <f>IFERROR(__xludf.DUMMYFUNCTION("""COMPUTED_VALUE"""),107.0)</f>
        <v>107</v>
      </c>
      <c r="N1112" s="3"/>
      <c r="O1112" s="3"/>
      <c r="P1112" s="3"/>
      <c r="Q1112" s="3"/>
      <c r="R1112" s="3"/>
      <c r="S1112" s="3"/>
      <c r="T1112" s="5"/>
      <c r="U1112" s="5"/>
      <c r="V1112" s="5"/>
      <c r="W1112" s="5"/>
    </row>
    <row r="1113" ht="15.75" customHeight="1">
      <c r="A1113" s="3">
        <f>IFERROR(__xludf.DUMMYFUNCTION("""COMPUTED_VALUE"""),1113.0)</f>
        <v>1113</v>
      </c>
      <c r="B1113" s="53">
        <f>IFERROR(__xludf.DUMMYFUNCTION("""COMPUTED_VALUE"""),45750.0)</f>
        <v>45750</v>
      </c>
      <c r="C1113" s="3">
        <f>IFERROR(__xludf.DUMMYFUNCTION("""COMPUTED_VALUE"""),31.0)</f>
        <v>31</v>
      </c>
      <c r="D1113" s="3" t="str">
        <f>IFERROR(__xludf.DUMMYFUNCTION("""COMPUTED_VALUE"""),"8a7074cf")</f>
        <v>8a7074cf</v>
      </c>
      <c r="E1113" s="54">
        <f>IFERROR(__xludf.DUMMYFUNCTION("""COMPUTED_VALUE"""),25700.0)</f>
        <v>25700</v>
      </c>
      <c r="F1113" s="3" t="str">
        <f>IFERROR(__xludf.DUMMYFUNCTION("""COMPUTED_VALUE"""),"Chardonnay")</f>
        <v>Chardonnay</v>
      </c>
      <c r="G1113" s="3"/>
      <c r="H1113" s="3"/>
      <c r="I1113" s="3"/>
      <c r="J1113" s="3"/>
      <c r="K1113" s="57">
        <f>IFERROR(__xludf.DUMMYFUNCTION("""COMPUTED_VALUE"""),3.17)</f>
        <v>3.17</v>
      </c>
      <c r="L1113" s="54">
        <f>IFERROR(__xludf.DUMMYFUNCTION("""COMPUTED_VALUE"""),29.0)</f>
        <v>29</v>
      </c>
      <c r="M1113" s="3">
        <f>IFERROR(__xludf.DUMMYFUNCTION("""COMPUTED_VALUE"""),72.0)</f>
        <v>72</v>
      </c>
      <c r="N1113" s="3"/>
      <c r="O1113" s="3"/>
      <c r="P1113" s="3"/>
      <c r="Q1113" s="3"/>
      <c r="R1113" s="3"/>
      <c r="S1113" s="3"/>
      <c r="T1113" s="5"/>
      <c r="U1113" s="5"/>
      <c r="V1113" s="5"/>
      <c r="W1113" s="5"/>
    </row>
    <row r="1114" ht="15.75" customHeight="1">
      <c r="A1114" s="3">
        <f>IFERROR(__xludf.DUMMYFUNCTION("""COMPUTED_VALUE"""),1114.0)</f>
        <v>1114</v>
      </c>
      <c r="B1114" s="53">
        <f>IFERROR(__xludf.DUMMYFUNCTION("""COMPUTED_VALUE"""),45750.0)</f>
        <v>45750</v>
      </c>
      <c r="C1114" s="3">
        <f>IFERROR(__xludf.DUMMYFUNCTION("""COMPUTED_VALUE"""),32.0)</f>
        <v>32</v>
      </c>
      <c r="D1114" s="3" t="str">
        <f>IFERROR(__xludf.DUMMYFUNCTION("""COMPUTED_VALUE"""),"a1e13111")</f>
        <v>a1e13111</v>
      </c>
      <c r="E1114" s="54">
        <f>IFERROR(__xludf.DUMMYFUNCTION("""COMPUTED_VALUE"""),36300.0)</f>
        <v>36300</v>
      </c>
      <c r="F1114" s="3" t="str">
        <f>IFERROR(__xludf.DUMMYFUNCTION("""COMPUTED_VALUE"""),"Chardonnay (Filt)")</f>
        <v>Chardonnay (Filt)</v>
      </c>
      <c r="G1114" s="3"/>
      <c r="H1114" s="3"/>
      <c r="I1114" s="3"/>
      <c r="J1114" s="3"/>
      <c r="K1114" s="57">
        <f>IFERROR(__xludf.DUMMYFUNCTION("""COMPUTED_VALUE"""),3.23)</f>
        <v>3.23</v>
      </c>
      <c r="L1114" s="54">
        <f>IFERROR(__xludf.DUMMYFUNCTION("""COMPUTED_VALUE"""),25.0)</f>
        <v>25</v>
      </c>
      <c r="M1114" s="3">
        <f>IFERROR(__xludf.DUMMYFUNCTION("""COMPUTED_VALUE"""),74.0)</f>
        <v>74</v>
      </c>
      <c r="N1114" s="3"/>
      <c r="O1114" s="3"/>
      <c r="P1114" s="3"/>
      <c r="Q1114" s="3"/>
      <c r="R1114" s="3"/>
      <c r="S1114" s="3"/>
      <c r="T1114" s="5"/>
      <c r="U1114" s="5"/>
      <c r="V1114" s="5"/>
      <c r="W1114" s="5"/>
    </row>
    <row r="1115" ht="15.75" customHeight="1">
      <c r="A1115" s="3">
        <f>IFERROR(__xludf.DUMMYFUNCTION("""COMPUTED_VALUE"""),1115.0)</f>
        <v>1115</v>
      </c>
      <c r="B1115" s="53">
        <f>IFERROR(__xludf.DUMMYFUNCTION("""COMPUTED_VALUE"""),45750.0)</f>
        <v>45750</v>
      </c>
      <c r="C1115" s="3">
        <f>IFERROR(__xludf.DUMMYFUNCTION("""COMPUTED_VALUE"""),33.0)</f>
        <v>33</v>
      </c>
      <c r="D1115" s="3" t="str">
        <f>IFERROR(__xludf.DUMMYFUNCTION("""COMPUTED_VALUE"""),"7def2139")</f>
        <v>7def2139</v>
      </c>
      <c r="E1115" s="54">
        <f>IFERROR(__xludf.DUMMYFUNCTION("""COMPUTED_VALUE"""),25300.0)</f>
        <v>25300</v>
      </c>
      <c r="F1115" s="3" t="str">
        <f>IFERROR(__xludf.DUMMYFUNCTION("""COMPUTED_VALUE"""),"Chardonnay")</f>
        <v>Chardonnay</v>
      </c>
      <c r="G1115" s="3"/>
      <c r="H1115" s="3"/>
      <c r="I1115" s="3"/>
      <c r="J1115" s="3"/>
      <c r="K1115" s="57">
        <f>IFERROR(__xludf.DUMMYFUNCTION("""COMPUTED_VALUE"""),3.17)</f>
        <v>3.17</v>
      </c>
      <c r="L1115" s="54">
        <f>IFERROR(__xludf.DUMMYFUNCTION("""COMPUTED_VALUE"""),22.0)</f>
        <v>22</v>
      </c>
      <c r="M1115" s="3">
        <f>IFERROR(__xludf.DUMMYFUNCTION("""COMPUTED_VALUE"""),56.0)</f>
        <v>56</v>
      </c>
      <c r="N1115" s="3"/>
      <c r="O1115" s="3"/>
      <c r="P1115" s="3"/>
      <c r="Q1115" s="3"/>
      <c r="R1115" s="3"/>
      <c r="S1115" s="3"/>
      <c r="T1115" s="5"/>
      <c r="U1115" s="5"/>
      <c r="V1115" s="5"/>
      <c r="W1115" s="5"/>
    </row>
    <row r="1116" ht="15.75" customHeight="1">
      <c r="A1116" s="3">
        <f>IFERROR(__xludf.DUMMYFUNCTION("""COMPUTED_VALUE"""),1116.0)</f>
        <v>1116</v>
      </c>
      <c r="B1116" s="53">
        <f>IFERROR(__xludf.DUMMYFUNCTION("""COMPUTED_VALUE"""),45750.0)</f>
        <v>45750</v>
      </c>
      <c r="C1116" s="3">
        <f>IFERROR(__xludf.DUMMYFUNCTION("""COMPUTED_VALUE"""),36.0)</f>
        <v>36</v>
      </c>
      <c r="D1116" s="3" t="str">
        <f>IFERROR(__xludf.DUMMYFUNCTION("""COMPUTED_VALUE"""),"0997a77d")</f>
        <v>0997a77d</v>
      </c>
      <c r="E1116" s="54">
        <f>IFERROR(__xludf.DUMMYFUNCTION("""COMPUTED_VALUE"""),19700.0)</f>
        <v>19700</v>
      </c>
      <c r="F1116" s="3" t="str">
        <f>IFERROR(__xludf.DUMMYFUNCTION("""COMPUTED_VALUE"""),"Torrontes")</f>
        <v>Torrontes</v>
      </c>
      <c r="G1116" s="3"/>
      <c r="H1116" s="3"/>
      <c r="I1116" s="3"/>
      <c r="J1116" s="3"/>
      <c r="K1116" s="57">
        <f>IFERROR(__xludf.DUMMYFUNCTION("""COMPUTED_VALUE"""),3.35)</f>
        <v>3.35</v>
      </c>
      <c r="L1116" s="54">
        <f>IFERROR(__xludf.DUMMYFUNCTION("""COMPUTED_VALUE"""),33.0)</f>
        <v>33</v>
      </c>
      <c r="M1116" s="3">
        <f>IFERROR(__xludf.DUMMYFUNCTION("""COMPUTED_VALUE"""),100.0)</f>
        <v>100</v>
      </c>
      <c r="N1116" s="3"/>
      <c r="O1116" s="3"/>
      <c r="P1116" s="3"/>
      <c r="Q1116" s="3"/>
      <c r="R1116" s="3"/>
      <c r="S1116" s="3"/>
      <c r="T1116" s="5"/>
      <c r="U1116" s="5"/>
      <c r="V1116" s="5"/>
      <c r="W1116" s="5"/>
    </row>
    <row r="1117" ht="15.75" customHeight="1">
      <c r="A1117" s="3">
        <f>IFERROR(__xludf.DUMMYFUNCTION("""COMPUTED_VALUE"""),1117.0)</f>
        <v>1117</v>
      </c>
      <c r="B1117" s="53">
        <f>IFERROR(__xludf.DUMMYFUNCTION("""COMPUTED_VALUE"""),45750.0)</f>
        <v>45750</v>
      </c>
      <c r="C1117" s="3">
        <f>IFERROR(__xludf.DUMMYFUNCTION("""COMPUTED_VALUE"""),40.0)</f>
        <v>40</v>
      </c>
      <c r="D1117" s="3" t="str">
        <f>IFERROR(__xludf.DUMMYFUNCTION("""COMPUTED_VALUE"""),"7c5390c8")</f>
        <v>7c5390c8</v>
      </c>
      <c r="E1117" s="54">
        <f>IFERROR(__xludf.DUMMYFUNCTION("""COMPUTED_VALUE"""),24000.0)</f>
        <v>24000</v>
      </c>
      <c r="F1117" s="3" t="str">
        <f>IFERROR(__xludf.DUMMYFUNCTION("""COMPUTED_VALUE"""),"Chardonnay")</f>
        <v>Chardonnay</v>
      </c>
      <c r="G1117" s="3"/>
      <c r="H1117" s="3"/>
      <c r="I1117" s="3"/>
      <c r="J1117" s="3"/>
      <c r="K1117" s="57">
        <f>IFERROR(__xludf.DUMMYFUNCTION("""COMPUTED_VALUE"""),3.19)</f>
        <v>3.19</v>
      </c>
      <c r="L1117" s="54">
        <f>IFERROR(__xludf.DUMMYFUNCTION("""COMPUTED_VALUE"""),31.0)</f>
        <v>31</v>
      </c>
      <c r="M1117" s="3">
        <f>IFERROR(__xludf.DUMMYFUNCTION("""COMPUTED_VALUE"""),77.0)</f>
        <v>77</v>
      </c>
      <c r="N1117" s="3"/>
      <c r="O1117" s="3"/>
      <c r="P1117" s="3"/>
      <c r="Q1117" s="3"/>
      <c r="R1117" s="3"/>
      <c r="S1117" s="3"/>
      <c r="T1117" s="5"/>
      <c r="U1117" s="5"/>
      <c r="V1117" s="5"/>
      <c r="W1117" s="5"/>
    </row>
    <row r="1118" ht="15.75" customHeight="1">
      <c r="A1118" s="3">
        <f>IFERROR(__xludf.DUMMYFUNCTION("""COMPUTED_VALUE"""),1118.0)</f>
        <v>1118</v>
      </c>
      <c r="B1118" s="53">
        <f>IFERROR(__xludf.DUMMYFUNCTION("""COMPUTED_VALUE"""),45750.0)</f>
        <v>45750</v>
      </c>
      <c r="C1118" s="3">
        <f>IFERROR(__xludf.DUMMYFUNCTION("""COMPUTED_VALUE"""),44.0)</f>
        <v>44</v>
      </c>
      <c r="D1118" s="3" t="str">
        <f>IFERROR(__xludf.DUMMYFUNCTION("""COMPUTED_VALUE"""),"7ae457f1")</f>
        <v>7ae457f1</v>
      </c>
      <c r="E1118" s="54">
        <f>IFERROR(__xludf.DUMMYFUNCTION("""COMPUTED_VALUE"""),19100.0)</f>
        <v>19100</v>
      </c>
      <c r="F1118" s="3" t="str">
        <f>IFERROR(__xludf.DUMMYFUNCTION("""COMPUTED_VALUE"""),"Torrontes")</f>
        <v>Torrontes</v>
      </c>
      <c r="G1118" s="3"/>
      <c r="H1118" s="3"/>
      <c r="I1118" s="3"/>
      <c r="J1118" s="3"/>
      <c r="K1118" s="57">
        <f>IFERROR(__xludf.DUMMYFUNCTION("""COMPUTED_VALUE"""),3.36)</f>
        <v>3.36</v>
      </c>
      <c r="L1118" s="54">
        <f>IFERROR(__xludf.DUMMYFUNCTION("""COMPUTED_VALUE"""),23.0)</f>
        <v>23</v>
      </c>
      <c r="M1118" s="3">
        <f>IFERROR(__xludf.DUMMYFUNCTION("""COMPUTED_VALUE"""),77.0)</f>
        <v>77</v>
      </c>
      <c r="N1118" s="3"/>
      <c r="O1118" s="3"/>
      <c r="P1118" s="3"/>
      <c r="Q1118" s="3"/>
      <c r="R1118" s="3"/>
      <c r="S1118" s="3"/>
      <c r="T1118" s="5"/>
      <c r="U1118" s="5"/>
      <c r="V1118" s="5"/>
      <c r="W1118" s="5"/>
    </row>
    <row r="1119" ht="15.75" customHeight="1">
      <c r="A1119" s="3">
        <f>IFERROR(__xludf.DUMMYFUNCTION("""COMPUTED_VALUE"""),1119.0)</f>
        <v>1119</v>
      </c>
      <c r="B1119" s="53">
        <f>IFERROR(__xludf.DUMMYFUNCTION("""COMPUTED_VALUE"""),45750.0)</f>
        <v>45750</v>
      </c>
      <c r="C1119" s="3">
        <f>IFERROR(__xludf.DUMMYFUNCTION("""COMPUTED_VALUE"""),47.0)</f>
        <v>47</v>
      </c>
      <c r="D1119" s="3" t="str">
        <f>IFERROR(__xludf.DUMMYFUNCTION("""COMPUTED_VALUE"""),"5cdb12ce")</f>
        <v>5cdb12ce</v>
      </c>
      <c r="E1119" s="54">
        <f>IFERROR(__xludf.DUMMYFUNCTION("""COMPUTED_VALUE"""),20000.0)</f>
        <v>20000</v>
      </c>
      <c r="F1119" s="3" t="str">
        <f>IFERROR(__xludf.DUMMYFUNCTION("""COMPUTED_VALUE"""),"Chenin")</f>
        <v>Chenin</v>
      </c>
      <c r="G1119" s="3"/>
      <c r="H1119" s="3"/>
      <c r="I1119" s="3"/>
      <c r="J1119" s="3"/>
      <c r="K1119" s="57">
        <f>IFERROR(__xludf.DUMMYFUNCTION("""COMPUTED_VALUE"""),3.24)</f>
        <v>3.24</v>
      </c>
      <c r="L1119" s="54">
        <f>IFERROR(__xludf.DUMMYFUNCTION("""COMPUTED_VALUE"""),28.0)</f>
        <v>28</v>
      </c>
      <c r="M1119" s="3">
        <f>IFERROR(__xludf.DUMMYFUNCTION("""COMPUTED_VALUE"""),87.0)</f>
        <v>87</v>
      </c>
      <c r="N1119" s="3"/>
      <c r="O1119" s="3"/>
      <c r="P1119" s="3"/>
      <c r="Q1119" s="3"/>
      <c r="R1119" s="3"/>
      <c r="S1119" s="3"/>
      <c r="T1119" s="5"/>
      <c r="U1119" s="5"/>
      <c r="V1119" s="5"/>
      <c r="W1119" s="5"/>
    </row>
    <row r="1120" ht="15.75" customHeight="1">
      <c r="A1120" s="3">
        <f>IFERROR(__xludf.DUMMYFUNCTION("""COMPUTED_VALUE"""),1120.0)</f>
        <v>1120</v>
      </c>
      <c r="B1120" s="53">
        <f>IFERROR(__xludf.DUMMYFUNCTION("""COMPUTED_VALUE"""),45750.0)</f>
        <v>45750</v>
      </c>
      <c r="C1120" s="3">
        <f>IFERROR(__xludf.DUMMYFUNCTION("""COMPUTED_VALUE"""),48.0)</f>
        <v>48</v>
      </c>
      <c r="D1120" s="3" t="str">
        <f>IFERROR(__xludf.DUMMYFUNCTION("""COMPUTED_VALUE"""),"ef198a97")</f>
        <v>ef198a97</v>
      </c>
      <c r="E1120" s="54">
        <f>IFERROR(__xludf.DUMMYFUNCTION("""COMPUTED_VALUE"""),26000.0)</f>
        <v>26000</v>
      </c>
      <c r="F1120" s="3" t="str">
        <f>IFERROR(__xludf.DUMMYFUNCTION("""COMPUTED_VALUE"""),"Pedro Gimenez")</f>
        <v>Pedro Gimenez</v>
      </c>
      <c r="G1120" s="3"/>
      <c r="H1120" s="3"/>
      <c r="I1120" s="3"/>
      <c r="J1120" s="3"/>
      <c r="K1120" s="57">
        <f>IFERROR(__xludf.DUMMYFUNCTION("""COMPUTED_VALUE"""),3.36)</f>
        <v>3.36</v>
      </c>
      <c r="L1120" s="54">
        <f>IFERROR(__xludf.DUMMYFUNCTION("""COMPUTED_VALUE"""),32.0)</f>
        <v>32</v>
      </c>
      <c r="M1120" s="3">
        <f>IFERROR(__xludf.DUMMYFUNCTION("""COMPUTED_VALUE"""),88.0)</f>
        <v>88</v>
      </c>
      <c r="N1120" s="3"/>
      <c r="O1120" s="3"/>
      <c r="P1120" s="3"/>
      <c r="Q1120" s="3"/>
      <c r="R1120" s="3"/>
      <c r="S1120" s="3"/>
      <c r="T1120" s="5"/>
      <c r="U1120" s="5"/>
      <c r="V1120" s="5"/>
      <c r="W1120" s="5"/>
    </row>
    <row r="1121" ht="15.75" customHeight="1">
      <c r="A1121" s="3">
        <f>IFERROR(__xludf.DUMMYFUNCTION("""COMPUTED_VALUE"""),1121.0)</f>
        <v>1121</v>
      </c>
      <c r="B1121" s="53">
        <f>IFERROR(__xludf.DUMMYFUNCTION("""COMPUTED_VALUE"""),45750.0)</f>
        <v>45750</v>
      </c>
      <c r="C1121" s="3">
        <f>IFERROR(__xludf.DUMMYFUNCTION("""COMPUTED_VALUE"""),55.0)</f>
        <v>55</v>
      </c>
      <c r="D1121" s="3" t="str">
        <f>IFERROR(__xludf.DUMMYFUNCTION("""COMPUTED_VALUE"""),"30332ad5")</f>
        <v>30332ad5</v>
      </c>
      <c r="E1121" s="54">
        <f>IFERROR(__xludf.DUMMYFUNCTION("""COMPUTED_VALUE"""),3000.0)</f>
        <v>3000</v>
      </c>
      <c r="F1121" s="3" t="str">
        <f>IFERROR(__xludf.DUMMYFUNCTION("""COMPUTED_VALUE"""),"Torrontes")</f>
        <v>Torrontes</v>
      </c>
      <c r="G1121" s="3"/>
      <c r="H1121" s="3"/>
      <c r="I1121" s="3"/>
      <c r="J1121" s="3"/>
      <c r="K1121" s="57">
        <f>IFERROR(__xludf.DUMMYFUNCTION("""COMPUTED_VALUE"""),3.45)</f>
        <v>3.45</v>
      </c>
      <c r="L1121" s="54">
        <f>IFERROR(__xludf.DUMMYFUNCTION("""COMPUTED_VALUE"""),21.0)</f>
        <v>21</v>
      </c>
      <c r="M1121" s="3">
        <f>IFERROR(__xludf.DUMMYFUNCTION("""COMPUTED_VALUE"""),77.0)</f>
        <v>77</v>
      </c>
      <c r="N1121" s="3"/>
      <c r="O1121" s="3"/>
      <c r="P1121" s="3"/>
      <c r="Q1121" s="3"/>
      <c r="R1121" s="3"/>
      <c r="S1121" s="3"/>
      <c r="T1121" s="5"/>
      <c r="U1121" s="5"/>
      <c r="V1121" s="5"/>
      <c r="W1121" s="5"/>
    </row>
    <row r="1122" ht="15.75" customHeight="1">
      <c r="A1122" s="3">
        <f>IFERROR(__xludf.DUMMYFUNCTION("""COMPUTED_VALUE"""),1122.0)</f>
        <v>1122</v>
      </c>
      <c r="B1122" s="53">
        <f>IFERROR(__xludf.DUMMYFUNCTION("""COMPUTED_VALUE"""),45750.0)</f>
        <v>45750</v>
      </c>
      <c r="C1122" s="3">
        <f>IFERROR(__xludf.DUMMYFUNCTION("""COMPUTED_VALUE"""),14.0)</f>
        <v>14</v>
      </c>
      <c r="D1122" s="3" t="str">
        <f>IFERROR(__xludf.DUMMYFUNCTION("""COMPUTED_VALUE"""),"3640d88c")</f>
        <v>3640d88c</v>
      </c>
      <c r="E1122" s="54">
        <f>IFERROR(__xludf.DUMMYFUNCTION("""COMPUTED_VALUE"""),37000.0)</f>
        <v>37000</v>
      </c>
      <c r="F1122" s="3" t="str">
        <f>IFERROR(__xludf.DUMMYFUNCTION("""COMPUTED_VALUE"""),"Malbec Mec")</f>
        <v>Malbec Mec</v>
      </c>
      <c r="G1122" s="3"/>
      <c r="H1122" s="3"/>
      <c r="I1122" s="3"/>
      <c r="J1122" s="3"/>
      <c r="K1122" s="57">
        <f>IFERROR(__xludf.DUMMYFUNCTION("""COMPUTED_VALUE"""),3.63)</f>
        <v>3.63</v>
      </c>
      <c r="L1122" s="54">
        <f>IFERROR(__xludf.DUMMYFUNCTION("""COMPUTED_VALUE"""),15.0)</f>
        <v>15</v>
      </c>
      <c r="M1122" s="3"/>
      <c r="N1122" s="3"/>
      <c r="O1122" s="3"/>
      <c r="P1122" s="3"/>
      <c r="Q1122" s="3"/>
      <c r="R1122" s="3"/>
      <c r="S1122" s="3"/>
      <c r="T1122" s="5"/>
      <c r="U1122" s="5"/>
      <c r="V1122" s="5"/>
      <c r="W1122" s="5"/>
    </row>
    <row r="1123" ht="15.75" customHeight="1">
      <c r="A1123" s="3">
        <f>IFERROR(__xludf.DUMMYFUNCTION("""COMPUTED_VALUE"""),1123.0)</f>
        <v>1123</v>
      </c>
      <c r="B1123" s="53">
        <f>IFERROR(__xludf.DUMMYFUNCTION("""COMPUTED_VALUE"""),45750.0)</f>
        <v>45750</v>
      </c>
      <c r="C1123" s="3">
        <f>IFERROR(__xludf.DUMMYFUNCTION("""COMPUTED_VALUE"""),121.0)</f>
        <v>121</v>
      </c>
      <c r="D1123" s="3" t="str">
        <f>IFERROR(__xludf.DUMMYFUNCTION("""COMPUTED_VALUE"""),"5c542a1f")</f>
        <v>5c542a1f</v>
      </c>
      <c r="E1123" s="54">
        <f>IFERROR(__xludf.DUMMYFUNCTION("""COMPUTED_VALUE"""),85800.0)</f>
        <v>85800</v>
      </c>
      <c r="F1123" s="3" t="str">
        <f>IFERROR(__xludf.DUMMYFUNCTION("""COMPUTED_VALUE"""),"Malbec Mec")</f>
        <v>Malbec Mec</v>
      </c>
      <c r="G1123" s="3"/>
      <c r="H1123" s="3"/>
      <c r="I1123" s="3"/>
      <c r="J1123" s="3"/>
      <c r="K1123" s="57">
        <f>IFERROR(__xludf.DUMMYFUNCTION("""COMPUTED_VALUE"""),3.74)</f>
        <v>3.74</v>
      </c>
      <c r="L1123" s="54">
        <f>IFERROR(__xludf.DUMMYFUNCTION("""COMPUTED_VALUE"""),16.0)</f>
        <v>16</v>
      </c>
      <c r="M1123" s="3">
        <f>IFERROR(__xludf.DUMMYFUNCTION("""COMPUTED_VALUE"""),51.0)</f>
        <v>51</v>
      </c>
      <c r="N1123" s="3"/>
      <c r="O1123" s="3"/>
      <c r="P1123" s="3"/>
      <c r="Q1123" s="3"/>
      <c r="R1123" s="3"/>
      <c r="S1123" s="3"/>
      <c r="T1123" s="5"/>
      <c r="U1123" s="5"/>
      <c r="V1123" s="5"/>
      <c r="W1123" s="5"/>
    </row>
    <row r="1124" ht="15.75" customHeight="1">
      <c r="A1124" s="3">
        <f>IFERROR(__xludf.DUMMYFUNCTION("""COMPUTED_VALUE"""),1124.0)</f>
        <v>1124</v>
      </c>
      <c r="B1124" s="53">
        <f>IFERROR(__xludf.DUMMYFUNCTION("""COMPUTED_VALUE"""),45751.0)</f>
        <v>45751</v>
      </c>
      <c r="C1124" s="3">
        <f>IFERROR(__xludf.DUMMYFUNCTION("""COMPUTED_VALUE"""),69.0)</f>
        <v>69</v>
      </c>
      <c r="D1124" s="3" t="str">
        <f>IFERROR(__xludf.DUMMYFUNCTION("""COMPUTED_VALUE"""),"380532ea")</f>
        <v>380532ea</v>
      </c>
      <c r="E1124" s="54">
        <f>IFERROR(__xludf.DUMMYFUNCTION("""COMPUTED_VALUE"""),7650.0)</f>
        <v>7650</v>
      </c>
      <c r="F1124" s="3" t="str">
        <f>IFERROR(__xludf.DUMMYFUNCTION("""COMPUTED_VALUE"""),"Cabernet Sauvignong")</f>
        <v>Cabernet Sauvignong</v>
      </c>
      <c r="G1124" s="3"/>
      <c r="H1124" s="56">
        <f>IFERROR(__xludf.DUMMYFUNCTION("""COMPUTED_VALUE"""),3.0)</f>
        <v>3</v>
      </c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5"/>
      <c r="U1124" s="5"/>
      <c r="V1124" s="5"/>
      <c r="W1124" s="5"/>
    </row>
    <row r="1125" ht="15.75" customHeight="1">
      <c r="A1125" s="3">
        <f>IFERROR(__xludf.DUMMYFUNCTION("""COMPUTED_VALUE"""),1125.0)</f>
        <v>1125</v>
      </c>
      <c r="B1125" s="53">
        <f>IFERROR(__xludf.DUMMYFUNCTION("""COMPUTED_VALUE"""),45751.0)</f>
        <v>45751</v>
      </c>
      <c r="C1125" s="3">
        <f>IFERROR(__xludf.DUMMYFUNCTION("""COMPUTED_VALUE"""),85.0)</f>
        <v>85</v>
      </c>
      <c r="D1125" s="3" t="str">
        <f>IFERROR(__xludf.DUMMYFUNCTION("""COMPUTED_VALUE"""),"6d3395c8")</f>
        <v>6d3395c8</v>
      </c>
      <c r="E1125" s="54">
        <f>IFERROR(__xludf.DUMMYFUNCTION("""COMPUTED_VALUE"""),44600.0)</f>
        <v>44600</v>
      </c>
      <c r="F1125" s="3" t="str">
        <f>IFERROR(__xludf.DUMMYFUNCTION("""COMPUTED_VALUE"""),"Malbec Bonarda")</f>
        <v>Malbec Bonarda</v>
      </c>
      <c r="G1125" s="3"/>
      <c r="H1125" s="56">
        <f>IFERROR(__xludf.DUMMYFUNCTION("""COMPUTED_VALUE"""),2.0)</f>
        <v>2</v>
      </c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5"/>
      <c r="U1125" s="5"/>
      <c r="V1125" s="5"/>
      <c r="W1125" s="5"/>
    </row>
    <row r="1126" ht="15.75" customHeight="1">
      <c r="A1126" s="3">
        <f>IFERROR(__xludf.DUMMYFUNCTION("""COMPUTED_VALUE"""),1126.0)</f>
        <v>1126</v>
      </c>
      <c r="B1126" s="53">
        <f>IFERROR(__xludf.DUMMYFUNCTION("""COMPUTED_VALUE"""),45751.0)</f>
        <v>45751</v>
      </c>
      <c r="C1126" s="3">
        <f>IFERROR(__xludf.DUMMYFUNCTION("""COMPUTED_VALUE"""),34.0)</f>
        <v>34</v>
      </c>
      <c r="D1126" s="3" t="str">
        <f>IFERROR(__xludf.DUMMYFUNCTION("""COMPUTED_VALUE"""),"cf44f84a")</f>
        <v>cf44f84a</v>
      </c>
      <c r="E1126" s="54">
        <f>IFERROR(__xludf.DUMMYFUNCTION("""COMPUTED_VALUE"""),35500.0)</f>
        <v>35500</v>
      </c>
      <c r="F1126" s="3" t="str">
        <f>IFERROR(__xludf.DUMMYFUNCTION("""COMPUTED_VALUE"""),"Bonarda")</f>
        <v>Bonarda</v>
      </c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5"/>
      <c r="U1126" s="5"/>
      <c r="V1126" s="5"/>
      <c r="W1126" s="5"/>
    </row>
    <row r="1127" ht="15.75" customHeight="1">
      <c r="A1127" s="3">
        <f>IFERROR(__xludf.DUMMYFUNCTION("""COMPUTED_VALUE"""),1127.0)</f>
        <v>1127</v>
      </c>
      <c r="B1127" s="53">
        <f>IFERROR(__xludf.DUMMYFUNCTION("""COMPUTED_VALUE"""),45751.0)</f>
        <v>45751</v>
      </c>
      <c r="C1127" s="3">
        <f>IFERROR(__xludf.DUMMYFUNCTION("""COMPUTED_VALUE"""),127.0)</f>
        <v>127</v>
      </c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5"/>
      <c r="U1127" s="5"/>
      <c r="V1127" s="5"/>
      <c r="W1127" s="5"/>
    </row>
    <row r="1128" ht="15.75" customHeight="1">
      <c r="A1128" s="3">
        <f>IFERROR(__xludf.DUMMYFUNCTION("""COMPUTED_VALUE"""),1128.0)</f>
        <v>1128</v>
      </c>
      <c r="B1128" s="53">
        <f>IFERROR(__xludf.DUMMYFUNCTION("""COMPUTED_VALUE"""),45751.0)</f>
        <v>45751</v>
      </c>
      <c r="C1128" s="3">
        <f>IFERROR(__xludf.DUMMYFUNCTION("""COMPUTED_VALUE"""),88.0)</f>
        <v>88</v>
      </c>
      <c r="D1128" s="3" t="str">
        <f>IFERROR(__xludf.DUMMYFUNCTION("""COMPUTED_VALUE"""),"dadb0851")</f>
        <v>dadb0851</v>
      </c>
      <c r="E1128" s="54">
        <f>IFERROR(__xludf.DUMMYFUNCTION("""COMPUTED_VALUE"""),37200.0)</f>
        <v>37200</v>
      </c>
      <c r="F1128" s="3" t="str">
        <f>IFERROR(__xludf.DUMMYFUNCTION("""COMPUTED_VALUE"""),"Criolla s/Bonarda")</f>
        <v>Criolla s/Bonarda</v>
      </c>
      <c r="G1128" s="3"/>
      <c r="H1128" s="3"/>
      <c r="I1128" s="3"/>
      <c r="J1128" s="3"/>
      <c r="K1128" s="57">
        <f>IFERROR(__xludf.DUMMYFUNCTION("""COMPUTED_VALUE"""),3.7)</f>
        <v>3.7</v>
      </c>
      <c r="L1128" s="3"/>
      <c r="M1128" s="3"/>
      <c r="N1128" s="3"/>
      <c r="O1128" s="3"/>
      <c r="P1128" s="3"/>
      <c r="Q1128" s="3"/>
      <c r="R1128" s="3"/>
      <c r="S1128" s="3"/>
      <c r="T1128" s="5"/>
      <c r="U1128" s="5"/>
      <c r="V1128" s="5"/>
      <c r="W1128" s="5"/>
    </row>
    <row r="1129" ht="15.75" customHeight="1">
      <c r="A1129" s="3">
        <f>IFERROR(__xludf.DUMMYFUNCTION("""COMPUTED_VALUE"""),1129.0)</f>
        <v>1129</v>
      </c>
      <c r="B1129" s="53">
        <f>IFERROR(__xludf.DUMMYFUNCTION("""COMPUTED_VALUE"""),45751.0)</f>
        <v>45751</v>
      </c>
      <c r="C1129" s="3">
        <f>IFERROR(__xludf.DUMMYFUNCTION("""COMPUTED_VALUE"""),83.0)</f>
        <v>83</v>
      </c>
      <c r="D1129" s="3" t="str">
        <f>IFERROR(__xludf.DUMMYFUNCTION("""COMPUTED_VALUE"""),"becb2c75")</f>
        <v>becb2c75</v>
      </c>
      <c r="E1129" s="54">
        <f>IFERROR(__xludf.DUMMYFUNCTION("""COMPUTED_VALUE"""),44500.0)</f>
        <v>44500</v>
      </c>
      <c r="F1129" s="3" t="str">
        <f>IFERROR(__xludf.DUMMYFUNCTION("""COMPUTED_VALUE"""),"Bonarda")</f>
        <v>Bonarda</v>
      </c>
      <c r="G1129" s="3"/>
      <c r="H1129" s="3"/>
      <c r="I1129" s="3"/>
      <c r="J1129" s="3"/>
      <c r="K1129" s="57">
        <f>IFERROR(__xludf.DUMMYFUNCTION("""COMPUTED_VALUE"""),3.5)</f>
        <v>3.5</v>
      </c>
      <c r="L1129" s="3"/>
      <c r="M1129" s="3"/>
      <c r="N1129" s="3"/>
      <c r="O1129" s="3"/>
      <c r="P1129" s="3"/>
      <c r="Q1129" s="3"/>
      <c r="R1129" s="3"/>
      <c r="S1129" s="3"/>
      <c r="T1129" s="5"/>
      <c r="U1129" s="5"/>
      <c r="V1129" s="5"/>
      <c r="W1129" s="5"/>
    </row>
    <row r="1130" ht="15.75" customHeight="1">
      <c r="A1130" s="3">
        <f>IFERROR(__xludf.DUMMYFUNCTION("""COMPUTED_VALUE"""),1130.0)</f>
        <v>1130</v>
      </c>
      <c r="B1130" s="53">
        <f>IFERROR(__xludf.DUMMYFUNCTION("""COMPUTED_VALUE"""),45751.0)</f>
        <v>45751</v>
      </c>
      <c r="C1130" s="3">
        <f>IFERROR(__xludf.DUMMYFUNCTION("""COMPUTED_VALUE"""),86.0)</f>
        <v>86</v>
      </c>
      <c r="D1130" s="3" t="str">
        <f>IFERROR(__xludf.DUMMYFUNCTION("""COMPUTED_VALUE"""),"89ea53f8")</f>
        <v>89ea53f8</v>
      </c>
      <c r="E1130" s="54">
        <f>IFERROR(__xludf.DUMMYFUNCTION("""COMPUTED_VALUE"""),46000.0)</f>
        <v>46000</v>
      </c>
      <c r="F1130" s="3" t="str">
        <f>IFERROR(__xludf.DUMMYFUNCTION("""COMPUTED_VALUE"""),"Bonarda")</f>
        <v>Bonarda</v>
      </c>
      <c r="G1130" s="3"/>
      <c r="H1130" s="3"/>
      <c r="I1130" s="3"/>
      <c r="J1130" s="3"/>
      <c r="K1130" s="57">
        <f>IFERROR(__xludf.DUMMYFUNCTION("""COMPUTED_VALUE"""),3.67)</f>
        <v>3.67</v>
      </c>
      <c r="L1130" s="3"/>
      <c r="M1130" s="3"/>
      <c r="N1130" s="3"/>
      <c r="O1130" s="3"/>
      <c r="P1130" s="3"/>
      <c r="Q1130" s="3"/>
      <c r="R1130" s="3"/>
      <c r="S1130" s="3"/>
      <c r="T1130" s="5"/>
      <c r="U1130" s="5"/>
      <c r="V1130" s="5"/>
      <c r="W1130" s="5"/>
    </row>
    <row r="1131" ht="15.75" customHeight="1">
      <c r="A1131" s="3">
        <f>IFERROR(__xludf.DUMMYFUNCTION("""COMPUTED_VALUE"""),1131.0)</f>
        <v>1131</v>
      </c>
      <c r="B1131" s="53">
        <f>IFERROR(__xludf.DUMMYFUNCTION("""COMPUTED_VALUE"""),45751.0)</f>
        <v>45751</v>
      </c>
      <c r="C1131" s="3">
        <f>IFERROR(__xludf.DUMMYFUNCTION("""COMPUTED_VALUE"""),87.0)</f>
        <v>87</v>
      </c>
      <c r="D1131" s="3" t="str">
        <f>IFERROR(__xludf.DUMMYFUNCTION("""COMPUTED_VALUE"""),"0d6140dc")</f>
        <v>0d6140dc</v>
      </c>
      <c r="E1131" s="54">
        <f>IFERROR(__xludf.DUMMYFUNCTION("""COMPUTED_VALUE"""),42200.0)</f>
        <v>42200</v>
      </c>
      <c r="F1131" s="3" t="str">
        <f>IFERROR(__xludf.DUMMYFUNCTION("""COMPUTED_VALUE"""),"Cabernet Sauv Mec")</f>
        <v>Cabernet Sauv Mec</v>
      </c>
      <c r="G1131" s="3"/>
      <c r="H1131" s="3"/>
      <c r="I1131" s="3"/>
      <c r="J1131" s="3"/>
      <c r="K1131" s="57">
        <f>IFERROR(__xludf.DUMMYFUNCTION("""COMPUTED_VALUE"""),3.67)</f>
        <v>3.67</v>
      </c>
      <c r="L1131" s="3"/>
      <c r="M1131" s="3"/>
      <c r="N1131" s="3"/>
      <c r="O1131" s="3"/>
      <c r="P1131" s="3"/>
      <c r="Q1131" s="3"/>
      <c r="R1131" s="3"/>
      <c r="S1131" s="3"/>
      <c r="T1131" s="5"/>
      <c r="U1131" s="5"/>
      <c r="V1131" s="5"/>
      <c r="W1131" s="5"/>
    </row>
    <row r="1132" ht="15.75" customHeight="1">
      <c r="A1132" s="3">
        <f>IFERROR(__xludf.DUMMYFUNCTION("""COMPUTED_VALUE"""),1132.0)</f>
        <v>1132</v>
      </c>
      <c r="B1132" s="53">
        <f>IFERROR(__xludf.DUMMYFUNCTION("""COMPUTED_VALUE"""),45751.0)</f>
        <v>45751</v>
      </c>
      <c r="C1132" s="3">
        <f>IFERROR(__xludf.DUMMYFUNCTION("""COMPUTED_VALUE"""),11.0)</f>
        <v>11</v>
      </c>
      <c r="D1132" s="3" t="str">
        <f>IFERROR(__xludf.DUMMYFUNCTION("""COMPUTED_VALUE"""),"d557e5fd")</f>
        <v>d557e5fd</v>
      </c>
      <c r="E1132" s="54">
        <f>IFERROR(__xludf.DUMMYFUNCTION("""COMPUTED_VALUE"""),36000.0)</f>
        <v>36000</v>
      </c>
      <c r="F1132" s="3" t="str">
        <f>IFERROR(__xludf.DUMMYFUNCTION("""COMPUTED_VALUE"""),"Syrah s/Asp 3ra")</f>
        <v>Syrah s/Asp 3ra</v>
      </c>
      <c r="G1132" s="3"/>
      <c r="H1132" s="3"/>
      <c r="I1132" s="3"/>
      <c r="J1132" s="3"/>
      <c r="K1132" s="57">
        <f>IFERROR(__xludf.DUMMYFUNCTION("""COMPUTED_VALUE"""),3.77)</f>
        <v>3.77</v>
      </c>
      <c r="L1132" s="3"/>
      <c r="M1132" s="3"/>
      <c r="N1132" s="3"/>
      <c r="O1132" s="3"/>
      <c r="P1132" s="3"/>
      <c r="Q1132" s="3"/>
      <c r="R1132" s="3"/>
      <c r="S1132" s="3"/>
      <c r="T1132" s="5"/>
      <c r="U1132" s="5"/>
      <c r="V1132" s="5"/>
      <c r="W1132" s="5"/>
    </row>
    <row r="1133" ht="15.75" customHeight="1">
      <c r="A1133" s="3">
        <f>IFERROR(__xludf.DUMMYFUNCTION("""COMPUTED_VALUE"""),1133.0)</f>
        <v>1133</v>
      </c>
      <c r="B1133" s="53">
        <f>IFERROR(__xludf.DUMMYFUNCTION("""COMPUTED_VALUE"""),45751.0)</f>
        <v>45751</v>
      </c>
      <c r="C1133" s="3">
        <f>IFERROR(__xludf.DUMMYFUNCTION("""COMPUTED_VALUE"""),31.0)</f>
        <v>31</v>
      </c>
      <c r="D1133" s="3" t="str">
        <f>IFERROR(__xludf.DUMMYFUNCTION("""COMPUTED_VALUE"""),"8a7074cf")</f>
        <v>8a7074cf</v>
      </c>
      <c r="E1133" s="54">
        <f>IFERROR(__xludf.DUMMYFUNCTION("""COMPUTED_VALUE"""),25700.0)</f>
        <v>25700</v>
      </c>
      <c r="F1133" s="3" t="str">
        <f>IFERROR(__xludf.DUMMYFUNCTION("""COMPUTED_VALUE"""),"Chardonnay")</f>
        <v>Chardonnay</v>
      </c>
      <c r="G1133" s="3"/>
      <c r="H1133" s="3"/>
      <c r="I1133" s="3"/>
      <c r="J1133" s="3"/>
      <c r="K1133" s="57">
        <f>IFERROR(__xludf.DUMMYFUNCTION("""COMPUTED_VALUE"""),3.36)</f>
        <v>3.36</v>
      </c>
      <c r="L1133" s="3"/>
      <c r="M1133" s="3"/>
      <c r="N1133" s="3"/>
      <c r="O1133" s="3"/>
      <c r="P1133" s="3"/>
      <c r="Q1133" s="3"/>
      <c r="R1133" s="3"/>
      <c r="S1133" s="3"/>
      <c r="T1133" s="5"/>
      <c r="U1133" s="5"/>
      <c r="V1133" s="5"/>
      <c r="W1133" s="5"/>
    </row>
    <row r="1134" ht="15.75" customHeight="1">
      <c r="A1134" s="3">
        <f>IFERROR(__xludf.DUMMYFUNCTION("""COMPUTED_VALUE"""),1134.0)</f>
        <v>1134</v>
      </c>
      <c r="B1134" s="53">
        <f>IFERROR(__xludf.DUMMYFUNCTION("""COMPUTED_VALUE"""),45751.0)</f>
        <v>45751</v>
      </c>
      <c r="C1134" s="3">
        <f>IFERROR(__xludf.DUMMYFUNCTION("""COMPUTED_VALUE"""),118.0)</f>
        <v>118</v>
      </c>
      <c r="D1134" s="3" t="str">
        <f>IFERROR(__xludf.DUMMYFUNCTION("""COMPUTED_VALUE"""),"03ffe0d5")</f>
        <v>03ffe0d5</v>
      </c>
      <c r="E1134" s="54">
        <f>IFERROR(__xludf.DUMMYFUNCTION("""COMPUTED_VALUE"""),155600.0)</f>
        <v>155600</v>
      </c>
      <c r="F1134" s="3" t="str">
        <f>IFERROR(__xludf.DUMMYFUNCTION("""COMPUTED_VALUE"""),"Syrah")</f>
        <v>Syrah</v>
      </c>
      <c r="G1134" s="3"/>
      <c r="H1134" s="3"/>
      <c r="I1134" s="3"/>
      <c r="J1134" s="3"/>
      <c r="K1134" s="57">
        <f>IFERROR(__xludf.DUMMYFUNCTION("""COMPUTED_VALUE"""),3.77)</f>
        <v>3.77</v>
      </c>
      <c r="L1134" s="3"/>
      <c r="M1134" s="3"/>
      <c r="N1134" s="3"/>
      <c r="O1134" s="3"/>
      <c r="P1134" s="3"/>
      <c r="Q1134" s="3"/>
      <c r="R1134" s="3"/>
      <c r="S1134" s="3"/>
      <c r="T1134" s="5"/>
      <c r="U1134" s="5"/>
      <c r="V1134" s="5"/>
      <c r="W1134" s="5"/>
    </row>
    <row r="1135" ht="15.75" customHeight="1">
      <c r="A1135" s="3">
        <f>IFERROR(__xludf.DUMMYFUNCTION("""COMPUTED_VALUE"""),1135.0)</f>
        <v>1135</v>
      </c>
      <c r="B1135" s="53">
        <f>IFERROR(__xludf.DUMMYFUNCTION("""COMPUTED_VALUE"""),45752.0)</f>
        <v>45752</v>
      </c>
      <c r="C1135" s="3">
        <f>IFERROR(__xludf.DUMMYFUNCTION("""COMPUTED_VALUE"""),5.0)</f>
        <v>5</v>
      </c>
      <c r="D1135" s="3" t="str">
        <f>IFERROR(__xludf.DUMMYFUNCTION("""COMPUTED_VALUE"""),"593f826f")</f>
        <v>593f826f</v>
      </c>
      <c r="E1135" s="54">
        <f>IFERROR(__xludf.DUMMYFUNCTION("""COMPUTED_VALUE"""),30000.0)</f>
        <v>30000</v>
      </c>
      <c r="F1135" s="3" t="str">
        <f>IFERROR(__xludf.DUMMYFUNCTION("""COMPUTED_VALUE"""),"Chardonnay")</f>
        <v>Chardonnay</v>
      </c>
      <c r="G1135" s="55">
        <f>IFERROR(__xludf.DUMMYFUNCTION("""COMPUTED_VALUE"""),13.1)</f>
        <v>13.1</v>
      </c>
      <c r="H1135" s="3"/>
      <c r="I1135" s="57">
        <f>IFERROR(__xludf.DUMMYFUNCTION("""COMPUTED_VALUE"""),0.41)</f>
        <v>0.41</v>
      </c>
      <c r="J1135" s="57">
        <f>IFERROR(__xludf.DUMMYFUNCTION("""COMPUTED_VALUE"""),6.07)</f>
        <v>6.07</v>
      </c>
      <c r="K1135" s="3"/>
      <c r="L1135" s="3"/>
      <c r="M1135" s="3"/>
      <c r="N1135" s="3"/>
      <c r="O1135" s="3"/>
      <c r="P1135" s="3"/>
      <c r="Q1135" s="3"/>
      <c r="R1135" s="3"/>
      <c r="S1135" s="3"/>
      <c r="T1135" s="5"/>
      <c r="U1135" s="5"/>
      <c r="V1135" s="5"/>
      <c r="W1135" s="5" t="str">
        <f>IFERROR(__xludf.DUMMYFUNCTION("""COMPUTED_VALUE"""),"Simon")</f>
        <v>Simon</v>
      </c>
    </row>
    <row r="1136" ht="15.75" customHeight="1">
      <c r="A1136" s="3">
        <f>IFERROR(__xludf.DUMMYFUNCTION("""COMPUTED_VALUE"""),1136.0)</f>
        <v>1136</v>
      </c>
      <c r="B1136" s="53">
        <f>IFERROR(__xludf.DUMMYFUNCTION("""COMPUTED_VALUE"""),45752.0)</f>
        <v>45752</v>
      </c>
      <c r="C1136" s="3">
        <f>IFERROR(__xludf.DUMMYFUNCTION("""COMPUTED_VALUE"""),8.0)</f>
        <v>8</v>
      </c>
      <c r="D1136" s="3" t="str">
        <f>IFERROR(__xludf.DUMMYFUNCTION("""COMPUTED_VALUE"""),"376dbee6")</f>
        <v>376dbee6</v>
      </c>
      <c r="E1136" s="54">
        <f>IFERROR(__xludf.DUMMYFUNCTION("""COMPUTED_VALUE"""),22000.0)</f>
        <v>22000</v>
      </c>
      <c r="F1136" s="3" t="str">
        <f>IFERROR(__xludf.DUMMYFUNCTION("""COMPUTED_VALUE"""),"Chardonnay")</f>
        <v>Chardonnay</v>
      </c>
      <c r="G1136" s="55">
        <f>IFERROR(__xludf.DUMMYFUNCTION("""COMPUTED_VALUE"""),13.2)</f>
        <v>13.2</v>
      </c>
      <c r="H1136" s="3"/>
      <c r="I1136" s="57">
        <f>IFERROR(__xludf.DUMMYFUNCTION("""COMPUTED_VALUE"""),0.33)</f>
        <v>0.33</v>
      </c>
      <c r="J1136" s="57">
        <f>IFERROR(__xludf.DUMMYFUNCTION("""COMPUTED_VALUE"""),5.62)</f>
        <v>5.62</v>
      </c>
      <c r="K1136" s="3"/>
      <c r="L1136" s="3"/>
      <c r="M1136" s="3"/>
      <c r="N1136" s="3"/>
      <c r="O1136" s="3"/>
      <c r="P1136" s="3"/>
      <c r="Q1136" s="3"/>
      <c r="R1136" s="3"/>
      <c r="S1136" s="3"/>
      <c r="T1136" s="5"/>
      <c r="U1136" s="5"/>
      <c r="V1136" s="5"/>
      <c r="W1136" s="5" t="str">
        <f>IFERROR(__xludf.DUMMYFUNCTION("""COMPUTED_VALUE"""),"Simon")</f>
        <v>Simon</v>
      </c>
    </row>
    <row r="1137" ht="15.75" customHeight="1">
      <c r="A1137" s="3">
        <f>IFERROR(__xludf.DUMMYFUNCTION("""COMPUTED_VALUE"""),1137.0)</f>
        <v>1137</v>
      </c>
      <c r="B1137" s="53">
        <f>IFERROR(__xludf.DUMMYFUNCTION("""COMPUTED_VALUE"""),45752.0)</f>
        <v>45752</v>
      </c>
      <c r="C1137" s="3">
        <f>IFERROR(__xludf.DUMMYFUNCTION("""COMPUTED_VALUE"""),9.0)</f>
        <v>9</v>
      </c>
      <c r="D1137" s="3" t="str">
        <f>IFERROR(__xludf.DUMMYFUNCTION("""COMPUTED_VALUE"""),"b73d8cd1")</f>
        <v>b73d8cd1</v>
      </c>
      <c r="E1137" s="54">
        <f>IFERROR(__xludf.DUMMYFUNCTION("""COMPUTED_VALUE"""),30000.0)</f>
        <v>30000</v>
      </c>
      <c r="F1137" s="3" t="str">
        <f>IFERROR(__xludf.DUMMYFUNCTION("""COMPUTED_VALUE"""),"Chardonnay")</f>
        <v>Chardonnay</v>
      </c>
      <c r="G1137" s="55">
        <f>IFERROR(__xludf.DUMMYFUNCTION("""COMPUTED_VALUE"""),11.6)</f>
        <v>11.6</v>
      </c>
      <c r="H1137" s="3"/>
      <c r="I1137" s="57">
        <f>IFERROR(__xludf.DUMMYFUNCTION("""COMPUTED_VALUE"""),0.36)</f>
        <v>0.36</v>
      </c>
      <c r="J1137" s="57">
        <f>IFERROR(__xludf.DUMMYFUNCTION("""COMPUTED_VALUE"""),6.3)</f>
        <v>6.3</v>
      </c>
      <c r="K1137" s="3"/>
      <c r="L1137" s="3"/>
      <c r="M1137" s="3"/>
      <c r="N1137" s="3"/>
      <c r="O1137" s="3"/>
      <c r="P1137" s="3"/>
      <c r="Q1137" s="3"/>
      <c r="R1137" s="3"/>
      <c r="S1137" s="3"/>
      <c r="T1137" s="5"/>
      <c r="U1137" s="5"/>
      <c r="V1137" s="5"/>
      <c r="W1137" s="5" t="str">
        <f>IFERROR(__xludf.DUMMYFUNCTION("""COMPUTED_VALUE"""),"Simon")</f>
        <v>Simon</v>
      </c>
    </row>
    <row r="1138" ht="15.75" customHeight="1">
      <c r="A1138" s="3">
        <f>IFERROR(__xludf.DUMMYFUNCTION("""COMPUTED_VALUE"""),1138.0)</f>
        <v>1138</v>
      </c>
      <c r="B1138" s="53">
        <f>IFERROR(__xludf.DUMMYFUNCTION("""COMPUTED_VALUE"""),45752.0)</f>
        <v>45752</v>
      </c>
      <c r="C1138" s="3">
        <f>IFERROR(__xludf.DUMMYFUNCTION("""COMPUTED_VALUE"""),10.0)</f>
        <v>10</v>
      </c>
      <c r="D1138" s="3" t="str">
        <f>IFERROR(__xludf.DUMMYFUNCTION("""COMPUTED_VALUE"""),"f9bf68a3")</f>
        <v>f9bf68a3</v>
      </c>
      <c r="E1138" s="54">
        <f>IFERROR(__xludf.DUMMYFUNCTION("""COMPUTED_VALUE"""),21000.0)</f>
        <v>21000</v>
      </c>
      <c r="F1138" s="3" t="str">
        <f>IFERROR(__xludf.DUMMYFUNCTION("""COMPUTED_VALUE"""),"Chardonnay")</f>
        <v>Chardonnay</v>
      </c>
      <c r="G1138" s="55">
        <f>IFERROR(__xludf.DUMMYFUNCTION("""COMPUTED_VALUE"""),13.1)</f>
        <v>13.1</v>
      </c>
      <c r="H1138" s="3"/>
      <c r="I1138" s="57">
        <f>IFERROR(__xludf.DUMMYFUNCTION("""COMPUTED_VALUE"""),0.3)</f>
        <v>0.3</v>
      </c>
      <c r="J1138" s="57">
        <f>IFERROR(__xludf.DUMMYFUNCTION("""COMPUTED_VALUE"""),6.22)</f>
        <v>6.22</v>
      </c>
      <c r="K1138" s="3"/>
      <c r="L1138" s="3"/>
      <c r="M1138" s="3"/>
      <c r="N1138" s="3"/>
      <c r="O1138" s="3"/>
      <c r="P1138" s="3"/>
      <c r="Q1138" s="3"/>
      <c r="R1138" s="3"/>
      <c r="S1138" s="3"/>
      <c r="T1138" s="5"/>
      <c r="U1138" s="5"/>
      <c r="V1138" s="5"/>
      <c r="W1138" s="5" t="str">
        <f>IFERROR(__xludf.DUMMYFUNCTION("""COMPUTED_VALUE"""),"Simon")</f>
        <v>Simon</v>
      </c>
    </row>
    <row r="1139" ht="15.75" customHeight="1">
      <c r="A1139" s="3">
        <f>IFERROR(__xludf.DUMMYFUNCTION("""COMPUTED_VALUE"""),1139.0)</f>
        <v>1139</v>
      </c>
      <c r="B1139" s="53">
        <f>IFERROR(__xludf.DUMMYFUNCTION("""COMPUTED_VALUE"""),45752.0)</f>
        <v>45752</v>
      </c>
      <c r="C1139" s="3">
        <f>IFERROR(__xludf.DUMMYFUNCTION("""COMPUTED_VALUE"""),14.0)</f>
        <v>14</v>
      </c>
      <c r="D1139" s="3" t="str">
        <f>IFERROR(__xludf.DUMMYFUNCTION("""COMPUTED_VALUE"""),"3640d88c")</f>
        <v>3640d88c</v>
      </c>
      <c r="E1139" s="54">
        <f>IFERROR(__xludf.DUMMYFUNCTION("""COMPUTED_VALUE"""),37000.0)</f>
        <v>37000</v>
      </c>
      <c r="F1139" s="3" t="str">
        <f>IFERROR(__xludf.DUMMYFUNCTION("""COMPUTED_VALUE"""),"Malbec Mec")</f>
        <v>Malbec Mec</v>
      </c>
      <c r="G1139" s="55">
        <f>IFERROR(__xludf.DUMMYFUNCTION("""COMPUTED_VALUE"""),13.0)</f>
        <v>13</v>
      </c>
      <c r="H1139" s="3"/>
      <c r="I1139" s="57">
        <f>IFERROR(__xludf.DUMMYFUNCTION("""COMPUTED_VALUE"""),0.43)</f>
        <v>0.43</v>
      </c>
      <c r="J1139" s="57">
        <f>IFERROR(__xludf.DUMMYFUNCTION("""COMPUTED_VALUE"""),5.47)</f>
        <v>5.47</v>
      </c>
      <c r="K1139" s="3"/>
      <c r="L1139" s="3"/>
      <c r="M1139" s="3"/>
      <c r="N1139" s="3"/>
      <c r="O1139" s="3"/>
      <c r="P1139" s="3"/>
      <c r="Q1139" s="3"/>
      <c r="R1139" s="3"/>
      <c r="S1139" s="3"/>
      <c r="T1139" s="5"/>
      <c r="U1139" s="5"/>
      <c r="V1139" s="5"/>
      <c r="W1139" s="5" t="str">
        <f>IFERROR(__xludf.DUMMYFUNCTION("""COMPUTED_VALUE"""),"Simon")</f>
        <v>Simon</v>
      </c>
    </row>
    <row r="1140" ht="15.75" customHeight="1">
      <c r="A1140" s="3">
        <f>IFERROR(__xludf.DUMMYFUNCTION("""COMPUTED_VALUE"""),1140.0)</f>
        <v>1140</v>
      </c>
      <c r="B1140" s="53">
        <f>IFERROR(__xludf.DUMMYFUNCTION("""COMPUTED_VALUE"""),45752.0)</f>
        <v>45752</v>
      </c>
      <c r="C1140" s="3">
        <f>IFERROR(__xludf.DUMMYFUNCTION("""COMPUTED_VALUE"""),16.0)</f>
        <v>16</v>
      </c>
      <c r="D1140" s="3" t="str">
        <f>IFERROR(__xludf.DUMMYFUNCTION("""COMPUTED_VALUE"""),"b5e03e7f")</f>
        <v>b5e03e7f</v>
      </c>
      <c r="E1140" s="54">
        <f>IFERROR(__xludf.DUMMYFUNCTION("""COMPUTED_VALUE"""),19500.0)</f>
        <v>19500</v>
      </c>
      <c r="F1140" s="3" t="str">
        <f>IFERROR(__xludf.DUMMYFUNCTION("""COMPUTED_VALUE"""),"Chardonnay")</f>
        <v>Chardonnay</v>
      </c>
      <c r="G1140" s="55">
        <f>IFERROR(__xludf.DUMMYFUNCTION("""COMPUTED_VALUE"""),12.5)</f>
        <v>12.5</v>
      </c>
      <c r="H1140" s="3"/>
      <c r="I1140" s="57">
        <f>IFERROR(__xludf.DUMMYFUNCTION("""COMPUTED_VALUE"""),0.25)</f>
        <v>0.25</v>
      </c>
      <c r="J1140" s="57">
        <f>IFERROR(__xludf.DUMMYFUNCTION("""COMPUTED_VALUE"""),6.52)</f>
        <v>6.52</v>
      </c>
      <c r="K1140" s="3"/>
      <c r="L1140" s="3"/>
      <c r="M1140" s="3"/>
      <c r="N1140" s="3"/>
      <c r="O1140" s="3"/>
      <c r="P1140" s="3"/>
      <c r="Q1140" s="3"/>
      <c r="R1140" s="3"/>
      <c r="S1140" s="3"/>
      <c r="T1140" s="5"/>
      <c r="U1140" s="5"/>
      <c r="V1140" s="5"/>
      <c r="W1140" s="5" t="str">
        <f>IFERROR(__xludf.DUMMYFUNCTION("""COMPUTED_VALUE"""),"Simon")</f>
        <v>Simon</v>
      </c>
    </row>
    <row r="1141" ht="15.75" customHeight="1">
      <c r="A1141" s="3">
        <f>IFERROR(__xludf.DUMMYFUNCTION("""COMPUTED_VALUE"""),1141.0)</f>
        <v>1141</v>
      </c>
      <c r="B1141" s="53">
        <f>IFERROR(__xludf.DUMMYFUNCTION("""COMPUTED_VALUE"""),45752.0)</f>
        <v>45752</v>
      </c>
      <c r="C1141" s="3">
        <f>IFERROR(__xludf.DUMMYFUNCTION("""COMPUTED_VALUE"""),32.0)</f>
        <v>32</v>
      </c>
      <c r="D1141" s="3" t="str">
        <f>IFERROR(__xludf.DUMMYFUNCTION("""COMPUTED_VALUE"""),"a1e13111")</f>
        <v>a1e13111</v>
      </c>
      <c r="E1141" s="54">
        <f>IFERROR(__xludf.DUMMYFUNCTION("""COMPUTED_VALUE"""),36300.0)</f>
        <v>36300</v>
      </c>
      <c r="F1141" s="3" t="str">
        <f>IFERROR(__xludf.DUMMYFUNCTION("""COMPUTED_VALUE"""),"Chardonnay (Filt)")</f>
        <v>Chardonnay (Filt)</v>
      </c>
      <c r="G1141" s="55">
        <f>IFERROR(__xludf.DUMMYFUNCTION("""COMPUTED_VALUE"""),11.2)</f>
        <v>11.2</v>
      </c>
      <c r="H1141" s="3"/>
      <c r="I1141" s="57">
        <f>IFERROR(__xludf.DUMMYFUNCTION("""COMPUTED_VALUE"""),0.25)</f>
        <v>0.25</v>
      </c>
      <c r="J1141" s="57">
        <f>IFERROR(__xludf.DUMMYFUNCTION("""COMPUTED_VALUE"""),5.77)</f>
        <v>5.77</v>
      </c>
      <c r="K1141" s="3"/>
      <c r="L1141" s="3"/>
      <c r="M1141" s="3"/>
      <c r="N1141" s="3"/>
      <c r="O1141" s="3"/>
      <c r="P1141" s="3"/>
      <c r="Q1141" s="3"/>
      <c r="R1141" s="3"/>
      <c r="S1141" s="3"/>
      <c r="T1141" s="5"/>
      <c r="U1141" s="5"/>
      <c r="V1141" s="5"/>
      <c r="W1141" s="5" t="str">
        <f>IFERROR(__xludf.DUMMYFUNCTION("""COMPUTED_VALUE"""),"Simon")</f>
        <v>Simon</v>
      </c>
    </row>
    <row r="1142" ht="15.75" customHeight="1">
      <c r="A1142" s="3">
        <f>IFERROR(__xludf.DUMMYFUNCTION("""COMPUTED_VALUE"""),1142.0)</f>
        <v>1142</v>
      </c>
      <c r="B1142" s="53">
        <f>IFERROR(__xludf.DUMMYFUNCTION("""COMPUTED_VALUE"""),45752.0)</f>
        <v>45752</v>
      </c>
      <c r="C1142" s="3">
        <f>IFERROR(__xludf.DUMMYFUNCTION("""COMPUTED_VALUE"""),31.0)</f>
        <v>31</v>
      </c>
      <c r="D1142" s="3" t="str">
        <f>IFERROR(__xludf.DUMMYFUNCTION("""COMPUTED_VALUE"""),"8a7074cf")</f>
        <v>8a7074cf</v>
      </c>
      <c r="E1142" s="54">
        <f>IFERROR(__xludf.DUMMYFUNCTION("""COMPUTED_VALUE"""),25700.0)</f>
        <v>25700</v>
      </c>
      <c r="F1142" s="3" t="str">
        <f>IFERROR(__xludf.DUMMYFUNCTION("""COMPUTED_VALUE"""),"Chardonnay")</f>
        <v>Chardonnay</v>
      </c>
      <c r="G1142" s="55">
        <f>IFERROR(__xludf.DUMMYFUNCTION("""COMPUTED_VALUE"""),11.8)</f>
        <v>11.8</v>
      </c>
      <c r="H1142" s="3"/>
      <c r="I1142" s="57">
        <f>IFERROR(__xludf.DUMMYFUNCTION("""COMPUTED_VALUE"""),0.15)</f>
        <v>0.15</v>
      </c>
      <c r="J1142" s="57">
        <f>IFERROR(__xludf.DUMMYFUNCTION("""COMPUTED_VALUE"""),6.52)</f>
        <v>6.52</v>
      </c>
      <c r="K1142" s="3"/>
      <c r="L1142" s="3"/>
      <c r="M1142" s="3"/>
      <c r="N1142" s="3"/>
      <c r="O1142" s="3"/>
      <c r="P1142" s="3"/>
      <c r="Q1142" s="3"/>
      <c r="R1142" s="3"/>
      <c r="S1142" s="3"/>
      <c r="T1142" s="5"/>
      <c r="U1142" s="5"/>
      <c r="V1142" s="5"/>
      <c r="W1142" s="5" t="str">
        <f>IFERROR(__xludf.DUMMYFUNCTION("""COMPUTED_VALUE"""),"Simon")</f>
        <v>Simon</v>
      </c>
    </row>
    <row r="1143" ht="15.75" customHeight="1">
      <c r="A1143" s="3">
        <f>IFERROR(__xludf.DUMMYFUNCTION("""COMPUTED_VALUE"""),1143.0)</f>
        <v>1143</v>
      </c>
      <c r="B1143" s="53">
        <f>IFERROR(__xludf.DUMMYFUNCTION("""COMPUTED_VALUE"""),45752.0)</f>
        <v>45752</v>
      </c>
      <c r="C1143" s="3">
        <f>IFERROR(__xludf.DUMMYFUNCTION("""COMPUTED_VALUE"""),36.0)</f>
        <v>36</v>
      </c>
      <c r="D1143" s="3" t="str">
        <f>IFERROR(__xludf.DUMMYFUNCTION("""COMPUTED_VALUE"""),"0997a77d")</f>
        <v>0997a77d</v>
      </c>
      <c r="E1143" s="54">
        <f>IFERROR(__xludf.DUMMYFUNCTION("""COMPUTED_VALUE"""),19700.0)</f>
        <v>19700</v>
      </c>
      <c r="F1143" s="3" t="str">
        <f>IFERROR(__xludf.DUMMYFUNCTION("""COMPUTED_VALUE"""),"Torrontes")</f>
        <v>Torrontes</v>
      </c>
      <c r="G1143" s="55">
        <f>IFERROR(__xludf.DUMMYFUNCTION("""COMPUTED_VALUE"""),12.5)</f>
        <v>12.5</v>
      </c>
      <c r="H1143" s="3"/>
      <c r="I1143" s="57">
        <f>IFERROR(__xludf.DUMMYFUNCTION("""COMPUTED_VALUE"""),0.25)</f>
        <v>0.25</v>
      </c>
      <c r="J1143" s="57">
        <f>IFERROR(__xludf.DUMMYFUNCTION("""COMPUTED_VALUE"""),5.62)</f>
        <v>5.62</v>
      </c>
      <c r="K1143" s="3"/>
      <c r="L1143" s="3"/>
      <c r="M1143" s="3"/>
      <c r="N1143" s="3"/>
      <c r="O1143" s="3"/>
      <c r="P1143" s="3"/>
      <c r="Q1143" s="3"/>
      <c r="R1143" s="3"/>
      <c r="S1143" s="3"/>
      <c r="T1143" s="5"/>
      <c r="U1143" s="5"/>
      <c r="V1143" s="5"/>
      <c r="W1143" s="5" t="str">
        <f>IFERROR(__xludf.DUMMYFUNCTION("""COMPUTED_VALUE"""),"Simon")</f>
        <v>Simon</v>
      </c>
    </row>
    <row r="1144" ht="15.75" customHeight="1">
      <c r="A1144" s="3">
        <f>IFERROR(__xludf.DUMMYFUNCTION("""COMPUTED_VALUE"""),1144.0)</f>
        <v>1144</v>
      </c>
      <c r="B1144" s="53">
        <f>IFERROR(__xludf.DUMMYFUNCTION("""COMPUTED_VALUE"""),45752.0)</f>
        <v>45752</v>
      </c>
      <c r="C1144" s="3">
        <f>IFERROR(__xludf.DUMMYFUNCTION("""COMPUTED_VALUE"""),40.0)</f>
        <v>40</v>
      </c>
      <c r="D1144" s="3" t="str">
        <f>IFERROR(__xludf.DUMMYFUNCTION("""COMPUTED_VALUE"""),"7c5390c8")</f>
        <v>7c5390c8</v>
      </c>
      <c r="E1144" s="54">
        <f>IFERROR(__xludf.DUMMYFUNCTION("""COMPUTED_VALUE"""),24000.0)</f>
        <v>24000</v>
      </c>
      <c r="F1144" s="3" t="str">
        <f>IFERROR(__xludf.DUMMYFUNCTION("""COMPUTED_VALUE"""),"Chardonnay")</f>
        <v>Chardonnay</v>
      </c>
      <c r="G1144" s="55">
        <f>IFERROR(__xludf.DUMMYFUNCTION("""COMPUTED_VALUE"""),11.6)</f>
        <v>11.6</v>
      </c>
      <c r="H1144" s="3"/>
      <c r="I1144" s="57">
        <f>IFERROR(__xludf.DUMMYFUNCTION("""COMPUTED_VALUE"""),0.25)</f>
        <v>0.25</v>
      </c>
      <c r="J1144" s="57">
        <f>IFERROR(__xludf.DUMMYFUNCTION("""COMPUTED_VALUE"""),6.37)</f>
        <v>6.37</v>
      </c>
      <c r="K1144" s="3"/>
      <c r="L1144" s="3"/>
      <c r="M1144" s="3"/>
      <c r="N1144" s="3"/>
      <c r="O1144" s="3"/>
      <c r="P1144" s="3"/>
      <c r="Q1144" s="3"/>
      <c r="R1144" s="3"/>
      <c r="S1144" s="3"/>
      <c r="T1144" s="5"/>
      <c r="U1144" s="5"/>
      <c r="V1144" s="5"/>
      <c r="W1144" s="5" t="str">
        <f>IFERROR(__xludf.DUMMYFUNCTION("""COMPUTED_VALUE"""),"Simon")</f>
        <v>Simon</v>
      </c>
    </row>
    <row r="1145" ht="15.75" customHeight="1">
      <c r="A1145" s="3">
        <f>IFERROR(__xludf.DUMMYFUNCTION("""COMPUTED_VALUE"""),1145.0)</f>
        <v>1145</v>
      </c>
      <c r="B1145" s="53">
        <f>IFERROR(__xludf.DUMMYFUNCTION("""COMPUTED_VALUE"""),45752.0)</f>
        <v>45752</v>
      </c>
      <c r="C1145" s="3">
        <f>IFERROR(__xludf.DUMMYFUNCTION("""COMPUTED_VALUE"""),44.0)</f>
        <v>44</v>
      </c>
      <c r="D1145" s="3" t="str">
        <f>IFERROR(__xludf.DUMMYFUNCTION("""COMPUTED_VALUE"""),"7ae457f1")</f>
        <v>7ae457f1</v>
      </c>
      <c r="E1145" s="54">
        <f>IFERROR(__xludf.DUMMYFUNCTION("""COMPUTED_VALUE"""),19100.0)</f>
        <v>19100</v>
      </c>
      <c r="F1145" s="3" t="str">
        <f>IFERROR(__xludf.DUMMYFUNCTION("""COMPUTED_VALUE"""),"Torrontes")</f>
        <v>Torrontes</v>
      </c>
      <c r="G1145" s="55">
        <f>IFERROR(__xludf.DUMMYFUNCTION("""COMPUTED_VALUE"""),13.0)</f>
        <v>13</v>
      </c>
      <c r="H1145" s="3"/>
      <c r="I1145" s="57">
        <f>IFERROR(__xludf.DUMMYFUNCTION("""COMPUTED_VALUE"""),0.4)</f>
        <v>0.4</v>
      </c>
      <c r="J1145" s="57">
        <f>IFERROR(__xludf.DUMMYFUNCTION("""COMPUTED_VALUE"""),5.47)</f>
        <v>5.47</v>
      </c>
      <c r="K1145" s="3"/>
      <c r="L1145" s="3"/>
      <c r="M1145" s="3"/>
      <c r="N1145" s="3"/>
      <c r="O1145" s="3"/>
      <c r="P1145" s="3"/>
      <c r="Q1145" s="3"/>
      <c r="R1145" s="3"/>
      <c r="S1145" s="3"/>
      <c r="T1145" s="5"/>
      <c r="U1145" s="5"/>
      <c r="V1145" s="5"/>
      <c r="W1145" s="5" t="str">
        <f>IFERROR(__xludf.DUMMYFUNCTION("""COMPUTED_VALUE"""),"Simon")</f>
        <v>Simon</v>
      </c>
    </row>
    <row r="1146" ht="15.75" customHeight="1">
      <c r="A1146" s="3">
        <f>IFERROR(__xludf.DUMMYFUNCTION("""COMPUTED_VALUE"""),1146.0)</f>
        <v>1146</v>
      </c>
      <c r="B1146" s="53">
        <f>IFERROR(__xludf.DUMMYFUNCTION("""COMPUTED_VALUE"""),45752.0)</f>
        <v>45752</v>
      </c>
      <c r="C1146" s="3">
        <f>IFERROR(__xludf.DUMMYFUNCTION("""COMPUTED_VALUE"""),47.0)</f>
        <v>47</v>
      </c>
      <c r="D1146" s="3" t="str">
        <f>IFERROR(__xludf.DUMMYFUNCTION("""COMPUTED_VALUE"""),"5cdb12ce")</f>
        <v>5cdb12ce</v>
      </c>
      <c r="E1146" s="54">
        <f>IFERROR(__xludf.DUMMYFUNCTION("""COMPUTED_VALUE"""),20000.0)</f>
        <v>20000</v>
      </c>
      <c r="F1146" s="3" t="str">
        <f>IFERROR(__xludf.DUMMYFUNCTION("""COMPUTED_VALUE"""),"Chenin")</f>
        <v>Chenin</v>
      </c>
      <c r="G1146" s="55">
        <f>IFERROR(__xludf.DUMMYFUNCTION("""COMPUTED_VALUE"""),11.3)</f>
        <v>11.3</v>
      </c>
      <c r="H1146" s="3"/>
      <c r="I1146" s="57">
        <f>IFERROR(__xludf.DUMMYFUNCTION("""COMPUTED_VALUE"""),0.24)</f>
        <v>0.24</v>
      </c>
      <c r="J1146" s="57">
        <f>IFERROR(__xludf.DUMMYFUNCTION("""COMPUTED_VALUE"""),5.47)</f>
        <v>5.47</v>
      </c>
      <c r="K1146" s="3"/>
      <c r="L1146" s="3"/>
      <c r="M1146" s="3"/>
      <c r="N1146" s="3"/>
      <c r="O1146" s="3"/>
      <c r="P1146" s="3"/>
      <c r="Q1146" s="3"/>
      <c r="R1146" s="3"/>
      <c r="S1146" s="3"/>
      <c r="T1146" s="5"/>
      <c r="U1146" s="5"/>
      <c r="V1146" s="5"/>
      <c r="W1146" s="5" t="str">
        <f>IFERROR(__xludf.DUMMYFUNCTION("""COMPUTED_VALUE"""),"Simon")</f>
        <v>Simon</v>
      </c>
    </row>
    <row r="1147" ht="15.75" customHeight="1">
      <c r="A1147" s="3">
        <f>IFERROR(__xludf.DUMMYFUNCTION("""COMPUTED_VALUE"""),1147.0)</f>
        <v>1147</v>
      </c>
      <c r="B1147" s="53">
        <f>IFERROR(__xludf.DUMMYFUNCTION("""COMPUTED_VALUE"""),45752.0)</f>
        <v>45752</v>
      </c>
      <c r="C1147" s="3">
        <f>IFERROR(__xludf.DUMMYFUNCTION("""COMPUTED_VALUE"""),48.0)</f>
        <v>48</v>
      </c>
      <c r="D1147" s="3" t="str">
        <f>IFERROR(__xludf.DUMMYFUNCTION("""COMPUTED_VALUE"""),"ef198a97")</f>
        <v>ef198a97</v>
      </c>
      <c r="E1147" s="54">
        <f>IFERROR(__xludf.DUMMYFUNCTION("""COMPUTED_VALUE"""),26000.0)</f>
        <v>26000</v>
      </c>
      <c r="F1147" s="3" t="str">
        <f>IFERROR(__xludf.DUMMYFUNCTION("""COMPUTED_VALUE"""),"Pedro Gimenez")</f>
        <v>Pedro Gimenez</v>
      </c>
      <c r="G1147" s="55">
        <f>IFERROR(__xludf.DUMMYFUNCTION("""COMPUTED_VALUE"""),11.8)</f>
        <v>11.8</v>
      </c>
      <c r="H1147" s="3"/>
      <c r="I1147" s="57">
        <f>IFERROR(__xludf.DUMMYFUNCTION("""COMPUTED_VALUE"""),0.24)</f>
        <v>0.24</v>
      </c>
      <c r="J1147" s="57">
        <f>IFERROR(__xludf.DUMMYFUNCTION("""COMPUTED_VALUE"""),5.1)</f>
        <v>5.1</v>
      </c>
      <c r="K1147" s="3"/>
      <c r="L1147" s="3"/>
      <c r="M1147" s="3"/>
      <c r="N1147" s="3"/>
      <c r="O1147" s="3"/>
      <c r="P1147" s="3"/>
      <c r="Q1147" s="3"/>
      <c r="R1147" s="3"/>
      <c r="S1147" s="3"/>
      <c r="T1147" s="5"/>
      <c r="U1147" s="5"/>
      <c r="V1147" s="5"/>
      <c r="W1147" s="5" t="str">
        <f>IFERROR(__xludf.DUMMYFUNCTION("""COMPUTED_VALUE"""),"Simon")</f>
        <v>Simon</v>
      </c>
    </row>
    <row r="1148" ht="15.75" customHeight="1">
      <c r="A1148" s="3">
        <f>IFERROR(__xludf.DUMMYFUNCTION("""COMPUTED_VALUE"""),1148.0)</f>
        <v>1148</v>
      </c>
      <c r="B1148" s="53">
        <f>IFERROR(__xludf.DUMMYFUNCTION("""COMPUTED_VALUE"""),45752.0)</f>
        <v>45752</v>
      </c>
      <c r="C1148" s="3">
        <f>IFERROR(__xludf.DUMMYFUNCTION("""COMPUTED_VALUE"""),55.0)</f>
        <v>55</v>
      </c>
      <c r="D1148" s="3" t="str">
        <f>IFERROR(__xludf.DUMMYFUNCTION("""COMPUTED_VALUE"""),"30332ad5")</f>
        <v>30332ad5</v>
      </c>
      <c r="E1148" s="54">
        <f>IFERROR(__xludf.DUMMYFUNCTION("""COMPUTED_VALUE"""),3000.0)</f>
        <v>3000</v>
      </c>
      <c r="F1148" s="3" t="str">
        <f>IFERROR(__xludf.DUMMYFUNCTION("""COMPUTED_VALUE"""),"Torrontes")</f>
        <v>Torrontes</v>
      </c>
      <c r="G1148" s="55">
        <f>IFERROR(__xludf.DUMMYFUNCTION("""COMPUTED_VALUE"""),12.8)</f>
        <v>12.8</v>
      </c>
      <c r="H1148" s="3"/>
      <c r="I1148" s="57">
        <f>IFERROR(__xludf.DUMMYFUNCTION("""COMPUTED_VALUE"""),0.26)</f>
        <v>0.26</v>
      </c>
      <c r="J1148" s="57">
        <f>IFERROR(__xludf.DUMMYFUNCTION("""COMPUTED_VALUE"""),5.25)</f>
        <v>5.25</v>
      </c>
      <c r="K1148" s="3"/>
      <c r="L1148" s="3"/>
      <c r="M1148" s="3"/>
      <c r="N1148" s="3"/>
      <c r="O1148" s="3"/>
      <c r="P1148" s="3"/>
      <c r="Q1148" s="3"/>
      <c r="R1148" s="3"/>
      <c r="S1148" s="3"/>
      <c r="T1148" s="5"/>
      <c r="U1148" s="5"/>
      <c r="V1148" s="5"/>
      <c r="W1148" s="5" t="str">
        <f>IFERROR(__xludf.DUMMYFUNCTION("""COMPUTED_VALUE"""),"Simon")</f>
        <v>Simon</v>
      </c>
    </row>
    <row r="1149" ht="15.75" customHeight="1">
      <c r="A1149" s="3">
        <f>IFERROR(__xludf.DUMMYFUNCTION("""COMPUTED_VALUE"""),1149.0)</f>
        <v>1149</v>
      </c>
      <c r="B1149" s="53">
        <f>IFERROR(__xludf.DUMMYFUNCTION("""COMPUTED_VALUE"""),45752.0)</f>
        <v>45752</v>
      </c>
      <c r="C1149" s="3">
        <f>IFERROR(__xludf.DUMMYFUNCTION("""COMPUTED_VALUE"""),121.0)</f>
        <v>121</v>
      </c>
      <c r="D1149" s="3" t="str">
        <f>IFERROR(__xludf.DUMMYFUNCTION("""COMPUTED_VALUE"""),"5c542a1f")</f>
        <v>5c542a1f</v>
      </c>
      <c r="E1149" s="54">
        <f>IFERROR(__xludf.DUMMYFUNCTION("""COMPUTED_VALUE"""),85800.0)</f>
        <v>85800</v>
      </c>
      <c r="F1149" s="3" t="str">
        <f>IFERROR(__xludf.DUMMYFUNCTION("""COMPUTED_VALUE"""),"Malbec Mec")</f>
        <v>Malbec Mec</v>
      </c>
      <c r="G1149" s="55">
        <f>IFERROR(__xludf.DUMMYFUNCTION("""COMPUTED_VALUE"""),13.2)</f>
        <v>13.2</v>
      </c>
      <c r="H1149" s="3"/>
      <c r="I1149" s="57">
        <f>IFERROR(__xludf.DUMMYFUNCTION("""COMPUTED_VALUE"""),0.4)</f>
        <v>0.4</v>
      </c>
      <c r="J1149" s="57">
        <f>IFERROR(__xludf.DUMMYFUNCTION("""COMPUTED_VALUE"""),4.72)</f>
        <v>4.72</v>
      </c>
      <c r="K1149" s="3"/>
      <c r="L1149" s="3"/>
      <c r="M1149" s="3"/>
      <c r="N1149" s="3"/>
      <c r="O1149" s="3"/>
      <c r="P1149" s="3"/>
      <c r="Q1149" s="3"/>
      <c r="R1149" s="3"/>
      <c r="S1149" s="3"/>
      <c r="T1149" s="5"/>
      <c r="U1149" s="5"/>
      <c r="V1149" s="5"/>
      <c r="W1149" s="5" t="str">
        <f>IFERROR(__xludf.DUMMYFUNCTION("""COMPUTED_VALUE"""),"Simon")</f>
        <v>Simon</v>
      </c>
    </row>
    <row r="1150" ht="15.75" customHeight="1">
      <c r="A1150" s="3">
        <f>IFERROR(__xludf.DUMMYFUNCTION("""COMPUTED_VALUE"""),1150.0)</f>
        <v>1150</v>
      </c>
      <c r="B1150" s="53">
        <f>IFERROR(__xludf.DUMMYFUNCTION("""COMPUTED_VALUE"""),45755.0)</f>
        <v>45755</v>
      </c>
      <c r="C1150" s="3">
        <f>IFERROR(__xludf.DUMMYFUNCTION("""COMPUTED_VALUE"""),25.0)</f>
        <v>25</v>
      </c>
      <c r="D1150" s="3" t="str">
        <f>IFERROR(__xludf.DUMMYFUNCTION("""COMPUTED_VALUE"""),"a6d28e88")</f>
        <v>a6d28e88</v>
      </c>
      <c r="E1150" s="54">
        <f>IFERROR(__xludf.DUMMYFUNCTION("""COMPUTED_VALUE"""),194300.0)</f>
        <v>194300</v>
      </c>
      <c r="F1150" s="3" t="str">
        <f>IFERROR(__xludf.DUMMYFUNCTION("""COMPUTED_VALUE"""),"Syrah")</f>
        <v>Syrah</v>
      </c>
      <c r="G1150" s="3"/>
      <c r="H1150" s="3"/>
      <c r="I1150" s="3"/>
      <c r="J1150" s="3"/>
      <c r="K1150" s="3"/>
      <c r="L1150" s="54">
        <f>IFERROR(__xludf.DUMMYFUNCTION("""COMPUTED_VALUE"""),29.0)</f>
        <v>29</v>
      </c>
      <c r="M1150" s="3">
        <f>IFERROR(__xludf.DUMMYFUNCTION("""COMPUTED_VALUE"""),89.0)</f>
        <v>89</v>
      </c>
      <c r="N1150" s="3"/>
      <c r="O1150" s="3"/>
      <c r="P1150" s="3"/>
      <c r="Q1150" s="3"/>
      <c r="R1150" s="3"/>
      <c r="S1150" s="3"/>
      <c r="T1150" s="5"/>
      <c r="U1150" s="5"/>
      <c r="V1150" s="5"/>
      <c r="W1150" s="5"/>
    </row>
    <row r="1151" ht="15.75" customHeight="1">
      <c r="A1151" s="3">
        <f>IFERROR(__xludf.DUMMYFUNCTION("""COMPUTED_VALUE"""),1151.0)</f>
        <v>1151</v>
      </c>
      <c r="B1151" s="53">
        <f>IFERROR(__xludf.DUMMYFUNCTION("""COMPUTED_VALUE"""),45755.0)</f>
        <v>45755</v>
      </c>
      <c r="C1151" s="3">
        <f>IFERROR(__xludf.DUMMYFUNCTION("""COMPUTED_VALUE"""),26.0)</f>
        <v>26</v>
      </c>
      <c r="D1151" s="3" t="str">
        <f>IFERROR(__xludf.DUMMYFUNCTION("""COMPUTED_VALUE"""),"efada090")</f>
        <v>efada090</v>
      </c>
      <c r="E1151" s="54">
        <f>IFERROR(__xludf.DUMMYFUNCTION("""COMPUTED_VALUE"""),99600.0)</f>
        <v>99600</v>
      </c>
      <c r="F1151" s="3" t="str">
        <f>IFERROR(__xludf.DUMMYFUNCTION("""COMPUTED_VALUE"""),"Syrah")</f>
        <v>Syrah</v>
      </c>
      <c r="G1151" s="3"/>
      <c r="H1151" s="3"/>
      <c r="I1151" s="3"/>
      <c r="J1151" s="3"/>
      <c r="K1151" s="57">
        <f>IFERROR(__xludf.DUMMYFUNCTION("""COMPUTED_VALUE"""),3.78)</f>
        <v>3.78</v>
      </c>
      <c r="L1151" s="54">
        <f>IFERROR(__xludf.DUMMYFUNCTION("""COMPUTED_VALUE"""),15.0)</f>
        <v>15</v>
      </c>
      <c r="M1151" s="3">
        <f>IFERROR(__xludf.DUMMYFUNCTION("""COMPUTED_VALUE"""),70.0)</f>
        <v>70</v>
      </c>
      <c r="N1151" s="3"/>
      <c r="O1151" s="3"/>
      <c r="P1151" s="3"/>
      <c r="Q1151" s="3"/>
      <c r="R1151" s="3"/>
      <c r="S1151" s="3"/>
      <c r="T1151" s="5"/>
      <c r="U1151" s="5"/>
      <c r="V1151" s="5"/>
      <c r="W1151" s="5"/>
    </row>
    <row r="1152" ht="15.75" customHeight="1">
      <c r="A1152" s="3">
        <f>IFERROR(__xludf.DUMMYFUNCTION("""COMPUTED_VALUE"""),1152.0)</f>
        <v>1152</v>
      </c>
      <c r="B1152" s="53">
        <f>IFERROR(__xludf.DUMMYFUNCTION("""COMPUTED_VALUE"""),45755.0)</f>
        <v>45755</v>
      </c>
      <c r="C1152" s="3">
        <f>IFERROR(__xludf.DUMMYFUNCTION("""COMPUTED_VALUE"""),24.0)</f>
        <v>24</v>
      </c>
      <c r="D1152" s="3" t="str">
        <f>IFERROR(__xludf.DUMMYFUNCTION("""COMPUTED_VALUE"""),"7efc7da2")</f>
        <v>7efc7da2</v>
      </c>
      <c r="E1152" s="54">
        <f>IFERROR(__xludf.DUMMYFUNCTION("""COMPUTED_VALUE"""),186600.0)</f>
        <v>186600</v>
      </c>
      <c r="F1152" s="3" t="str">
        <f>IFERROR(__xludf.DUMMYFUNCTION("""COMPUTED_VALUE"""),"Bonarda C2")</f>
        <v>Bonarda C2</v>
      </c>
      <c r="G1152" s="3"/>
      <c r="H1152" s="3"/>
      <c r="I1152" s="3"/>
      <c r="J1152" s="3"/>
      <c r="K1152" s="57">
        <f>IFERROR(__xludf.DUMMYFUNCTION("""COMPUTED_VALUE"""),3.81)</f>
        <v>3.81</v>
      </c>
      <c r="L1152" s="54">
        <f>IFERROR(__xludf.DUMMYFUNCTION("""COMPUTED_VALUE"""),20.0)</f>
        <v>20</v>
      </c>
      <c r="M1152" s="3">
        <f>IFERROR(__xludf.DUMMYFUNCTION("""COMPUTED_VALUE"""),71.0)</f>
        <v>71</v>
      </c>
      <c r="N1152" s="3"/>
      <c r="O1152" s="3"/>
      <c r="P1152" s="3"/>
      <c r="Q1152" s="3"/>
      <c r="R1152" s="3"/>
      <c r="S1152" s="3"/>
      <c r="T1152" s="5"/>
      <c r="U1152" s="5"/>
      <c r="V1152" s="5"/>
      <c r="W1152" s="5"/>
    </row>
    <row r="1153" ht="15.75" customHeight="1">
      <c r="A1153" s="3">
        <f>IFERROR(__xludf.DUMMYFUNCTION("""COMPUTED_VALUE"""),1153.0)</f>
        <v>1153</v>
      </c>
      <c r="B1153" s="53">
        <f>IFERROR(__xludf.DUMMYFUNCTION("""COMPUTED_VALUE"""),45755.0)</f>
        <v>45755</v>
      </c>
      <c r="C1153" s="3">
        <f>IFERROR(__xludf.DUMMYFUNCTION("""COMPUTED_VALUE"""),87.0)</f>
        <v>87</v>
      </c>
      <c r="D1153" s="3" t="str">
        <f>IFERROR(__xludf.DUMMYFUNCTION("""COMPUTED_VALUE"""),"b8ea839c")</f>
        <v>b8ea839c</v>
      </c>
      <c r="E1153" s="54">
        <f>IFERROR(__xludf.DUMMYFUNCTION("""COMPUTED_VALUE"""),49200.0)</f>
        <v>49200</v>
      </c>
      <c r="F1153" s="3" t="str">
        <f>IFERROR(__xludf.DUMMYFUNCTION("""COMPUTED_VALUE"""),"Cabernet Sauv Mec")</f>
        <v>Cabernet Sauv Mec</v>
      </c>
      <c r="G1153" s="3"/>
      <c r="H1153" s="56">
        <f>IFERROR(__xludf.DUMMYFUNCTION("""COMPUTED_VALUE"""),8.0)</f>
        <v>8</v>
      </c>
      <c r="I1153" s="3"/>
      <c r="J1153" s="3"/>
      <c r="K1153" s="57">
        <f>IFERROR(__xludf.DUMMYFUNCTION("""COMPUTED_VALUE"""),3.67)</f>
        <v>3.67</v>
      </c>
      <c r="L1153" s="3"/>
      <c r="M1153" s="3"/>
      <c r="N1153" s="3"/>
      <c r="O1153" s="3"/>
      <c r="P1153" s="3"/>
      <c r="Q1153" s="3"/>
      <c r="R1153" s="3"/>
      <c r="S1153" s="3"/>
      <c r="T1153" s="5"/>
      <c r="U1153" s="5"/>
      <c r="V1153" s="5"/>
      <c r="W1153" s="5"/>
    </row>
    <row r="1154" ht="15.75" customHeight="1">
      <c r="A1154" s="3">
        <f>IFERROR(__xludf.DUMMYFUNCTION("""COMPUTED_VALUE"""),1154.0)</f>
        <v>1154</v>
      </c>
      <c r="B1154" s="53">
        <f>IFERROR(__xludf.DUMMYFUNCTION("""COMPUTED_VALUE"""),45755.0)</f>
        <v>45755</v>
      </c>
      <c r="C1154" s="3">
        <f>IFERROR(__xludf.DUMMYFUNCTION("""COMPUTED_VALUE"""),70.0)</f>
        <v>70</v>
      </c>
      <c r="D1154" s="3" t="str">
        <f>IFERROR(__xludf.DUMMYFUNCTION("""COMPUTED_VALUE"""),"65c7867f")</f>
        <v>65c7867f</v>
      </c>
      <c r="E1154" s="54">
        <f>IFERROR(__xludf.DUMMYFUNCTION("""COMPUTED_VALUE"""),10000.0)</f>
        <v>10000</v>
      </c>
      <c r="F1154" s="3" t="str">
        <f>IFERROR(__xludf.DUMMYFUNCTION("""COMPUTED_VALUE"""),"Tanat")</f>
        <v>Tanat</v>
      </c>
      <c r="G1154" s="3"/>
      <c r="H1154" s="3"/>
      <c r="I1154" s="3"/>
      <c r="J1154" s="3"/>
      <c r="K1154" s="57">
        <f>IFERROR(__xludf.DUMMYFUNCTION("""COMPUTED_VALUE"""),3.93)</f>
        <v>3.93</v>
      </c>
      <c r="L1154" s="54">
        <f>IFERROR(__xludf.DUMMYFUNCTION("""COMPUTED_VALUE"""),24.0)</f>
        <v>24</v>
      </c>
      <c r="M1154" s="3">
        <f>IFERROR(__xludf.DUMMYFUNCTION("""COMPUTED_VALUE"""),64.0)</f>
        <v>64</v>
      </c>
      <c r="N1154" s="3"/>
      <c r="O1154" s="3">
        <f>IFERROR(__xludf.DUMMYFUNCTION("""COMPUTED_VALUE"""),0.0)</f>
        <v>0</v>
      </c>
      <c r="P1154" s="3"/>
      <c r="Q1154" s="3"/>
      <c r="R1154" s="3"/>
      <c r="S1154" s="3"/>
      <c r="T1154" s="5"/>
      <c r="U1154" s="5"/>
      <c r="V1154" s="5"/>
      <c r="W1154" s="5"/>
    </row>
    <row r="1155" ht="15.75" customHeight="1">
      <c r="A1155" s="3">
        <f>IFERROR(__xludf.DUMMYFUNCTION("""COMPUTED_VALUE"""),1155.0)</f>
        <v>1155</v>
      </c>
      <c r="B1155" s="53">
        <f>IFERROR(__xludf.DUMMYFUNCTION("""COMPUTED_VALUE"""),45755.0)</f>
        <v>45755</v>
      </c>
      <c r="C1155" s="3">
        <f>IFERROR(__xludf.DUMMYFUNCTION("""COMPUTED_VALUE"""),34.0)</f>
        <v>34</v>
      </c>
      <c r="D1155" s="3" t="str">
        <f>IFERROR(__xludf.DUMMYFUNCTION("""COMPUTED_VALUE"""),"7b6b2c2a")</f>
        <v>7b6b2c2a</v>
      </c>
      <c r="E1155" s="54">
        <f>IFERROR(__xludf.DUMMYFUNCTION("""COMPUTED_VALUE"""),37150.0)</f>
        <v>37150</v>
      </c>
      <c r="F1155" s="3" t="str">
        <f>IFERROR(__xludf.DUMMYFUNCTION("""COMPUTED_VALUE"""),"Bonarda")</f>
        <v>Bonarda</v>
      </c>
      <c r="G1155" s="3"/>
      <c r="H1155" s="56">
        <f>IFERROR(__xludf.DUMMYFUNCTION("""COMPUTED_VALUE"""),2.7)</f>
        <v>2.7</v>
      </c>
      <c r="I1155" s="3"/>
      <c r="J1155" s="3"/>
      <c r="K1155" s="57">
        <f>IFERROR(__xludf.DUMMYFUNCTION("""COMPUTED_VALUE"""),3.69)</f>
        <v>3.69</v>
      </c>
      <c r="L1155" s="54">
        <f>IFERROR(__xludf.DUMMYFUNCTION("""COMPUTED_VALUE"""),21.0)</f>
        <v>21</v>
      </c>
      <c r="M1155" s="3">
        <f>IFERROR(__xludf.DUMMYFUNCTION("""COMPUTED_VALUE"""),83.0)</f>
        <v>83</v>
      </c>
      <c r="N1155" s="3"/>
      <c r="O1155" s="3"/>
      <c r="P1155" s="3"/>
      <c r="Q1155" s="3"/>
      <c r="R1155" s="3"/>
      <c r="S1155" s="3"/>
      <c r="T1155" s="5"/>
      <c r="U1155" s="5"/>
      <c r="V1155" s="5"/>
      <c r="W1155" s="5"/>
    </row>
    <row r="1156" ht="15.75" customHeight="1">
      <c r="A1156" s="3">
        <f>IFERROR(__xludf.DUMMYFUNCTION("""COMPUTED_VALUE"""),1156.0)</f>
        <v>1156</v>
      </c>
      <c r="B1156" s="53">
        <f>IFERROR(__xludf.DUMMYFUNCTION("""COMPUTED_VALUE"""),45755.0)</f>
        <v>45755</v>
      </c>
      <c r="C1156" s="3">
        <f>IFERROR(__xludf.DUMMYFUNCTION("""COMPUTED_VALUE"""),108.0)</f>
        <v>108</v>
      </c>
      <c r="D1156" s="3" t="str">
        <f>IFERROR(__xludf.DUMMYFUNCTION("""COMPUTED_VALUE"""),"b1b9580e")</f>
        <v>b1b9580e</v>
      </c>
      <c r="E1156" s="54">
        <f>IFERROR(__xludf.DUMMYFUNCTION("""COMPUTED_VALUE"""),31000.0)</f>
        <v>31000</v>
      </c>
      <c r="F1156" s="3" t="str">
        <f>IFERROR(__xludf.DUMMYFUNCTION("""COMPUTED_VALUE"""),"Tinto G")</f>
        <v>Tinto G</v>
      </c>
      <c r="G1156" s="3"/>
      <c r="H1156" s="56">
        <f>IFERROR(__xludf.DUMMYFUNCTION("""COMPUTED_VALUE"""),2.0)</f>
        <v>2</v>
      </c>
      <c r="I1156" s="3"/>
      <c r="J1156" s="3"/>
      <c r="K1156" s="57">
        <f>IFERROR(__xludf.DUMMYFUNCTION("""COMPUTED_VALUE"""),3.75)</f>
        <v>3.75</v>
      </c>
      <c r="L1156" s="54">
        <f>IFERROR(__xludf.DUMMYFUNCTION("""COMPUTED_VALUE"""),16.0)</f>
        <v>16</v>
      </c>
      <c r="M1156" s="3">
        <f>IFERROR(__xludf.DUMMYFUNCTION("""COMPUTED_VALUE"""),96.0)</f>
        <v>96</v>
      </c>
      <c r="N1156" s="3"/>
      <c r="O1156" s="3"/>
      <c r="P1156" s="3"/>
      <c r="Q1156" s="3"/>
      <c r="R1156" s="3"/>
      <c r="S1156" s="3"/>
      <c r="T1156" s="5"/>
      <c r="U1156" s="5"/>
      <c r="V1156" s="5"/>
      <c r="W1156" s="5"/>
    </row>
    <row r="1157" ht="15.75" customHeight="1">
      <c r="A1157" s="3">
        <f>IFERROR(__xludf.DUMMYFUNCTION("""COMPUTED_VALUE"""),1157.0)</f>
        <v>1157</v>
      </c>
      <c r="B1157" s="53">
        <f>IFERROR(__xludf.DUMMYFUNCTION("""COMPUTED_VALUE"""),45755.0)</f>
        <v>45755</v>
      </c>
      <c r="C1157" s="3">
        <f>IFERROR(__xludf.DUMMYFUNCTION("""COMPUTED_VALUE"""),104.0)</f>
        <v>104</v>
      </c>
      <c r="D1157" s="3" t="str">
        <f>IFERROR(__xludf.DUMMYFUNCTION("""COMPUTED_VALUE"""),"1d042bcb")</f>
        <v>1d042bcb</v>
      </c>
      <c r="E1157" s="54">
        <f>IFERROR(__xludf.DUMMYFUNCTION("""COMPUTED_VALUE"""),31000.0)</f>
        <v>31000</v>
      </c>
      <c r="F1157" s="3" t="str">
        <f>IFERROR(__xludf.DUMMYFUNCTION("""COMPUTED_VALUE"""),"Tinto")</f>
        <v>Tinto</v>
      </c>
      <c r="G1157" s="3"/>
      <c r="H1157" s="56">
        <f>IFERROR(__xludf.DUMMYFUNCTION("""COMPUTED_VALUE"""),2.0)</f>
        <v>2</v>
      </c>
      <c r="I1157" s="3"/>
      <c r="J1157" s="3"/>
      <c r="K1157" s="57">
        <f>IFERROR(__xludf.DUMMYFUNCTION("""COMPUTED_VALUE"""),3.77)</f>
        <v>3.77</v>
      </c>
      <c r="L1157" s="54">
        <f>IFERROR(__xludf.DUMMYFUNCTION("""COMPUTED_VALUE"""),14.0)</f>
        <v>14</v>
      </c>
      <c r="M1157" s="3">
        <f>IFERROR(__xludf.DUMMYFUNCTION("""COMPUTED_VALUE"""),77.0)</f>
        <v>77</v>
      </c>
      <c r="N1157" s="3"/>
      <c r="O1157" s="3"/>
      <c r="P1157" s="3"/>
      <c r="Q1157" s="3"/>
      <c r="R1157" s="3"/>
      <c r="S1157" s="3"/>
      <c r="T1157" s="5"/>
      <c r="U1157" s="5"/>
      <c r="V1157" s="5"/>
      <c r="W1157" s="5"/>
    </row>
    <row r="1158" ht="15.75" customHeight="1">
      <c r="A1158" s="3">
        <f>IFERROR(__xludf.DUMMYFUNCTION("""COMPUTED_VALUE"""),1158.0)</f>
        <v>1158</v>
      </c>
      <c r="B1158" s="53">
        <f>IFERROR(__xludf.DUMMYFUNCTION("""COMPUTED_VALUE"""),45755.0)</f>
        <v>45755</v>
      </c>
      <c r="C1158" s="3">
        <f>IFERROR(__xludf.DUMMYFUNCTION("""COMPUTED_VALUE"""),105.0)</f>
        <v>105</v>
      </c>
      <c r="D1158" s="3" t="str">
        <f>IFERROR(__xludf.DUMMYFUNCTION("""COMPUTED_VALUE"""),"e33f8556")</f>
        <v>e33f8556</v>
      </c>
      <c r="E1158" s="54">
        <f>IFERROR(__xludf.DUMMYFUNCTION("""COMPUTED_VALUE"""),28000.0)</f>
        <v>28000</v>
      </c>
      <c r="F1158" s="3" t="str">
        <f>IFERROR(__xludf.DUMMYFUNCTION("""COMPUTED_VALUE"""),"Malbec Bonarda")</f>
        <v>Malbec Bonarda</v>
      </c>
      <c r="G1158" s="3"/>
      <c r="H1158" s="56">
        <f>IFERROR(__xludf.DUMMYFUNCTION("""COMPUTED_VALUE"""),2.0)</f>
        <v>2</v>
      </c>
      <c r="I1158" s="3"/>
      <c r="J1158" s="3"/>
      <c r="K1158" s="57">
        <f>IFERROR(__xludf.DUMMYFUNCTION("""COMPUTED_VALUE"""),3.85)</f>
        <v>3.85</v>
      </c>
      <c r="L1158" s="54">
        <f>IFERROR(__xludf.DUMMYFUNCTION("""COMPUTED_VALUE"""),18.0)</f>
        <v>18</v>
      </c>
      <c r="M1158" s="3">
        <f>IFERROR(__xludf.DUMMYFUNCTION("""COMPUTED_VALUE"""),79.0)</f>
        <v>79</v>
      </c>
      <c r="N1158" s="3"/>
      <c r="O1158" s="3"/>
      <c r="P1158" s="3"/>
      <c r="Q1158" s="3"/>
      <c r="R1158" s="3"/>
      <c r="S1158" s="3"/>
      <c r="T1158" s="5"/>
      <c r="U1158" s="5"/>
      <c r="V1158" s="5"/>
      <c r="W1158" s="5"/>
    </row>
    <row r="1159" ht="15.75" customHeight="1">
      <c r="A1159" s="3">
        <f>IFERROR(__xludf.DUMMYFUNCTION("""COMPUTED_VALUE"""),1159.0)</f>
        <v>1159</v>
      </c>
      <c r="B1159" s="53">
        <f>IFERROR(__xludf.DUMMYFUNCTION("""COMPUTED_VALUE"""),45755.0)</f>
        <v>45755</v>
      </c>
      <c r="C1159" s="3">
        <f>IFERROR(__xludf.DUMMYFUNCTION("""COMPUTED_VALUE"""),127.0)</f>
        <v>127</v>
      </c>
      <c r="D1159" s="3" t="str">
        <f>IFERROR(__xludf.DUMMYFUNCTION("""COMPUTED_VALUE"""),"91eadabd")</f>
        <v>91eadabd</v>
      </c>
      <c r="E1159" s="54">
        <f>IFERROR(__xludf.DUMMYFUNCTION("""COMPUTED_VALUE"""),31000.0)</f>
        <v>31000</v>
      </c>
      <c r="F1159" s="3" t="str">
        <f>IFERROR(__xludf.DUMMYFUNCTION("""COMPUTED_VALUE"""),"Criolla s/Bonarda")</f>
        <v>Criolla s/Bonarda</v>
      </c>
      <c r="G1159" s="3"/>
      <c r="H1159" s="56">
        <f>IFERROR(__xludf.DUMMYFUNCTION("""COMPUTED_VALUE"""),5.6)</f>
        <v>5.6</v>
      </c>
      <c r="I1159" s="3"/>
      <c r="J1159" s="3"/>
      <c r="K1159" s="57">
        <f>IFERROR(__xludf.DUMMYFUNCTION("""COMPUTED_VALUE"""),3.83)</f>
        <v>3.83</v>
      </c>
      <c r="L1159" s="54">
        <f>IFERROR(__xludf.DUMMYFUNCTION("""COMPUTED_VALUE"""),11.0)</f>
        <v>11</v>
      </c>
      <c r="M1159" s="3">
        <f>IFERROR(__xludf.DUMMYFUNCTION("""COMPUTED_VALUE"""),55.0)</f>
        <v>55</v>
      </c>
      <c r="N1159" s="3"/>
      <c r="O1159" s="3"/>
      <c r="P1159" s="3"/>
      <c r="Q1159" s="3"/>
      <c r="R1159" s="3"/>
      <c r="S1159" s="3"/>
      <c r="T1159" s="5"/>
      <c r="U1159" s="5"/>
      <c r="V1159" s="5"/>
      <c r="W1159" s="5"/>
    </row>
    <row r="1160" ht="15.75" customHeight="1">
      <c r="A1160" s="3">
        <f>IFERROR(__xludf.DUMMYFUNCTION("""COMPUTED_VALUE"""),1160.0)</f>
        <v>1160</v>
      </c>
      <c r="B1160" s="53">
        <f>IFERROR(__xludf.DUMMYFUNCTION("""COMPUTED_VALUE"""),45755.0)</f>
        <v>45755</v>
      </c>
      <c r="C1160" s="3">
        <f>IFERROR(__xludf.DUMMYFUNCTION("""COMPUTED_VALUE"""),15.0)</f>
        <v>15</v>
      </c>
      <c r="D1160" s="3" t="str">
        <f>IFERROR(__xludf.DUMMYFUNCTION("""COMPUTED_VALUE"""),"f764d2d1")</f>
        <v>f764d2d1</v>
      </c>
      <c r="E1160" s="54">
        <f>IFERROR(__xludf.DUMMYFUNCTION("""COMPUTED_VALUE"""),36500.0)</f>
        <v>36500</v>
      </c>
      <c r="F1160" s="3" t="str">
        <f>IFERROR(__xludf.DUMMYFUNCTION("""COMPUTED_VALUE"""),"Malbec")</f>
        <v>Malbec</v>
      </c>
      <c r="G1160" s="3"/>
      <c r="H1160" s="3"/>
      <c r="I1160" s="3"/>
      <c r="J1160" s="3"/>
      <c r="K1160" s="57">
        <f>IFERROR(__xludf.DUMMYFUNCTION("""COMPUTED_VALUE"""),3.77)</f>
        <v>3.77</v>
      </c>
      <c r="L1160" s="54">
        <f>IFERROR(__xludf.DUMMYFUNCTION("""COMPUTED_VALUE"""),14.0)</f>
        <v>14</v>
      </c>
      <c r="M1160" s="3">
        <f>IFERROR(__xludf.DUMMYFUNCTION("""COMPUTED_VALUE"""),70.0)</f>
        <v>70</v>
      </c>
      <c r="N1160" s="3"/>
      <c r="O1160" s="3"/>
      <c r="P1160" s="3"/>
      <c r="Q1160" s="3"/>
      <c r="R1160" s="3"/>
      <c r="S1160" s="3"/>
      <c r="T1160" s="5"/>
      <c r="U1160" s="5"/>
      <c r="V1160" s="5"/>
      <c r="W1160" s="5"/>
    </row>
    <row r="1161" ht="15.75" customHeight="1">
      <c r="A1161" s="3">
        <f>IFERROR(__xludf.DUMMYFUNCTION("""COMPUTED_VALUE"""),1161.0)</f>
        <v>1161</v>
      </c>
      <c r="B1161" s="53">
        <f>IFERROR(__xludf.DUMMYFUNCTION("""COMPUTED_VALUE"""),45755.0)</f>
        <v>45755</v>
      </c>
      <c r="C1161" s="3">
        <f>IFERROR(__xludf.DUMMYFUNCTION("""COMPUTED_VALUE"""),85.0)</f>
        <v>85</v>
      </c>
      <c r="D1161" s="3" t="str">
        <f>IFERROR(__xludf.DUMMYFUNCTION("""COMPUTED_VALUE"""),"12119242")</f>
        <v>12119242</v>
      </c>
      <c r="E1161" s="54">
        <f>IFERROR(__xludf.DUMMYFUNCTION("""COMPUTED_VALUE"""),46600.0)</f>
        <v>46600</v>
      </c>
      <c r="F1161" s="3" t="str">
        <f>IFERROR(__xludf.DUMMYFUNCTION("""COMPUTED_VALUE"""),"Tinto s/Ma Bo")</f>
        <v>Tinto s/Ma Bo</v>
      </c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5"/>
      <c r="U1161" s="5"/>
      <c r="V1161" s="5"/>
      <c r="W1161" s="5"/>
    </row>
    <row r="1162" ht="15.75" customHeight="1">
      <c r="A1162" s="3">
        <f>IFERROR(__xludf.DUMMYFUNCTION("""COMPUTED_VALUE"""),1162.0)</f>
        <v>1162</v>
      </c>
      <c r="B1162" s="53">
        <f>IFERROR(__xludf.DUMMYFUNCTION("""COMPUTED_VALUE"""),45755.0)</f>
        <v>45755</v>
      </c>
      <c r="C1162" s="3">
        <f>IFERROR(__xludf.DUMMYFUNCTION("""COMPUTED_VALUE"""),71.0)</f>
        <v>71</v>
      </c>
      <c r="D1162" s="3" t="str">
        <f>IFERROR(__xludf.DUMMYFUNCTION("""COMPUTED_VALUE"""),"5c558cca")</f>
        <v>5c558cca</v>
      </c>
      <c r="E1162" s="54">
        <f>IFERROR(__xludf.DUMMYFUNCTION("""COMPUTED_VALUE"""),8500.0)</f>
        <v>8500</v>
      </c>
      <c r="F1162" s="3" t="str">
        <f>IFERROR(__xludf.DUMMYFUNCTION("""COMPUTED_VALUE"""),"Cabernet Sauv s/Tanat")</f>
        <v>Cabernet Sauv s/Tanat</v>
      </c>
      <c r="G1162" s="3"/>
      <c r="H1162" s="3"/>
      <c r="I1162" s="3"/>
      <c r="J1162" s="3"/>
      <c r="K1162" s="57">
        <f>IFERROR(__xludf.DUMMYFUNCTION("""COMPUTED_VALUE"""),4.0)</f>
        <v>4</v>
      </c>
      <c r="L1162" s="54">
        <f>IFERROR(__xludf.DUMMYFUNCTION("""COMPUTED_VALUE"""),13.0)</f>
        <v>13</v>
      </c>
      <c r="M1162" s="3"/>
      <c r="N1162" s="3"/>
      <c r="O1162" s="3"/>
      <c r="P1162" s="3"/>
      <c r="Q1162" s="3"/>
      <c r="R1162" s="3"/>
      <c r="S1162" s="3"/>
      <c r="T1162" s="5"/>
      <c r="U1162" s="5"/>
      <c r="V1162" s="5"/>
      <c r="W1162" s="5"/>
    </row>
    <row r="1163" ht="15.75" customHeight="1">
      <c r="A1163" s="3">
        <f>IFERROR(__xludf.DUMMYFUNCTION("""COMPUTED_VALUE"""),1163.0)</f>
        <v>1163</v>
      </c>
      <c r="B1163" s="53">
        <f>IFERROR(__xludf.DUMMYFUNCTION("""COMPUTED_VALUE"""),45755.0)</f>
        <v>45755</v>
      </c>
      <c r="C1163" s="3">
        <f>IFERROR(__xludf.DUMMYFUNCTION("""COMPUTED_VALUE"""),72.0)</f>
        <v>72</v>
      </c>
      <c r="D1163" s="3" t="str">
        <f>IFERROR(__xludf.DUMMYFUNCTION("""COMPUTED_VALUE"""),"3de4f15e")</f>
        <v>3de4f15e</v>
      </c>
      <c r="E1163" s="54">
        <f>IFERROR(__xludf.DUMMYFUNCTION("""COMPUTED_VALUE"""),8000.0)</f>
        <v>8000</v>
      </c>
      <c r="F1163" s="3" t="str">
        <f>IFERROR(__xludf.DUMMYFUNCTION("""COMPUTED_VALUE"""),"Cabernet Sauv s/Tanat")</f>
        <v>Cabernet Sauv s/Tanat</v>
      </c>
      <c r="G1163" s="3"/>
      <c r="H1163" s="3"/>
      <c r="I1163" s="3"/>
      <c r="J1163" s="3"/>
      <c r="K1163" s="57">
        <f>IFERROR(__xludf.DUMMYFUNCTION("""COMPUTED_VALUE"""),3.94)</f>
        <v>3.94</v>
      </c>
      <c r="L1163" s="54">
        <f>IFERROR(__xludf.DUMMYFUNCTION("""COMPUTED_VALUE"""),13.0)</f>
        <v>13</v>
      </c>
      <c r="M1163" s="3"/>
      <c r="N1163" s="3"/>
      <c r="O1163" s="3"/>
      <c r="P1163" s="3"/>
      <c r="Q1163" s="3"/>
      <c r="R1163" s="3"/>
      <c r="S1163" s="3"/>
      <c r="T1163" s="5"/>
      <c r="U1163" s="5"/>
      <c r="V1163" s="5"/>
      <c r="W1163" s="5"/>
    </row>
    <row r="1164" ht="15.75" customHeight="1">
      <c r="A1164" s="3">
        <f>IFERROR(__xludf.DUMMYFUNCTION("""COMPUTED_VALUE"""),1164.0)</f>
        <v>1164</v>
      </c>
      <c r="B1164" s="53">
        <f>IFERROR(__xludf.DUMMYFUNCTION("""COMPUTED_VALUE"""),45755.0)</f>
        <v>45755</v>
      </c>
      <c r="C1164" s="3">
        <f>IFERROR(__xludf.DUMMYFUNCTION("""COMPUTED_VALUE"""),78.0)</f>
        <v>78</v>
      </c>
      <c r="D1164" s="3" t="str">
        <f>IFERROR(__xludf.DUMMYFUNCTION("""COMPUTED_VALUE"""),"f2ca28c2")</f>
        <v>f2ca28c2</v>
      </c>
      <c r="E1164" s="54">
        <f>IFERROR(__xludf.DUMMYFUNCTION("""COMPUTED_VALUE"""),14000.0)</f>
        <v>14000</v>
      </c>
      <c r="F1164" s="3" t="str">
        <f>IFERROR(__xludf.DUMMYFUNCTION("""COMPUTED_VALUE"""),"Bonarda")</f>
        <v>Bonarda</v>
      </c>
      <c r="G1164" s="3"/>
      <c r="H1164" s="3"/>
      <c r="I1164" s="3"/>
      <c r="J1164" s="3"/>
      <c r="K1164" s="57">
        <f>IFERROR(__xludf.DUMMYFUNCTION("""COMPUTED_VALUE"""),3.65)</f>
        <v>3.65</v>
      </c>
      <c r="L1164" s="54">
        <f>IFERROR(__xludf.DUMMYFUNCTION("""COMPUTED_VALUE"""),14.0)</f>
        <v>14</v>
      </c>
      <c r="M1164" s="3"/>
      <c r="N1164" s="3"/>
      <c r="O1164" s="3"/>
      <c r="P1164" s="3"/>
      <c r="Q1164" s="3"/>
      <c r="R1164" s="3"/>
      <c r="S1164" s="3"/>
      <c r="T1164" s="5"/>
      <c r="U1164" s="5"/>
      <c r="V1164" s="5"/>
      <c r="W1164" s="5"/>
    </row>
    <row r="1165" ht="15.75" customHeight="1">
      <c r="A1165" s="3">
        <f>IFERROR(__xludf.DUMMYFUNCTION("""COMPUTED_VALUE"""),1165.0)</f>
        <v>1165</v>
      </c>
      <c r="B1165" s="53">
        <f>IFERROR(__xludf.DUMMYFUNCTION("""COMPUTED_VALUE"""),45755.0)</f>
        <v>45755</v>
      </c>
      <c r="C1165" s="3">
        <f>IFERROR(__xludf.DUMMYFUNCTION("""COMPUTED_VALUE"""),79.0)</f>
        <v>79</v>
      </c>
      <c r="D1165" s="3" t="str">
        <f>IFERROR(__xludf.DUMMYFUNCTION("""COMPUTED_VALUE"""),"e986fa9f")</f>
        <v>e986fa9f</v>
      </c>
      <c r="E1165" s="54">
        <f>IFERROR(__xludf.DUMMYFUNCTION("""COMPUTED_VALUE"""),17000.0)</f>
        <v>17000</v>
      </c>
      <c r="F1165" s="3" t="str">
        <f>IFERROR(__xludf.DUMMYFUNCTION("""COMPUTED_VALUE"""),"Cabernet Sauv")</f>
        <v>Cabernet Sauv</v>
      </c>
      <c r="G1165" s="3"/>
      <c r="H1165" s="3"/>
      <c r="I1165" s="3"/>
      <c r="J1165" s="3"/>
      <c r="K1165" s="57">
        <f>IFERROR(__xludf.DUMMYFUNCTION("""COMPUTED_VALUE"""),3.68)</f>
        <v>3.68</v>
      </c>
      <c r="L1165" s="54">
        <f>IFERROR(__xludf.DUMMYFUNCTION("""COMPUTED_VALUE"""),18.0)</f>
        <v>18</v>
      </c>
      <c r="M1165" s="3"/>
      <c r="N1165" s="3"/>
      <c r="O1165" s="3"/>
      <c r="P1165" s="3"/>
      <c r="Q1165" s="3"/>
      <c r="R1165" s="3"/>
      <c r="S1165" s="3"/>
      <c r="T1165" s="5"/>
      <c r="U1165" s="5"/>
      <c r="V1165" s="5"/>
      <c r="W1165" s="5"/>
    </row>
    <row r="1166" ht="15.75" customHeight="1">
      <c r="A1166" s="3">
        <f>IFERROR(__xludf.DUMMYFUNCTION("""COMPUTED_VALUE"""),1166.0)</f>
        <v>1166</v>
      </c>
      <c r="B1166" s="53">
        <f>IFERROR(__xludf.DUMMYFUNCTION("""COMPUTED_VALUE"""),45755.0)</f>
        <v>45755</v>
      </c>
      <c r="C1166" s="3">
        <f>IFERROR(__xludf.DUMMYFUNCTION("""COMPUTED_VALUE"""),81.0)</f>
        <v>81</v>
      </c>
      <c r="D1166" s="3" t="str">
        <f>IFERROR(__xludf.DUMMYFUNCTION("""COMPUTED_VALUE"""),"7678fbc3")</f>
        <v>7678fbc3</v>
      </c>
      <c r="E1166" s="54">
        <f>IFERROR(__xludf.DUMMYFUNCTION("""COMPUTED_VALUE"""),18100.0)</f>
        <v>18100</v>
      </c>
      <c r="F1166" s="3" t="str">
        <f>IFERROR(__xludf.DUMMYFUNCTION("""COMPUTED_VALUE"""),"Malbec")</f>
        <v>Malbec</v>
      </c>
      <c r="G1166" s="3"/>
      <c r="H1166" s="3"/>
      <c r="I1166" s="3"/>
      <c r="J1166" s="3"/>
      <c r="K1166" s="57">
        <f>IFERROR(__xludf.DUMMYFUNCTION("""COMPUTED_VALUE"""),3.61)</f>
        <v>3.61</v>
      </c>
      <c r="L1166" s="54">
        <f>IFERROR(__xludf.DUMMYFUNCTION("""COMPUTED_VALUE"""),14.0)</f>
        <v>14</v>
      </c>
      <c r="M1166" s="3"/>
      <c r="N1166" s="3"/>
      <c r="O1166" s="3"/>
      <c r="P1166" s="3"/>
      <c r="Q1166" s="3"/>
      <c r="R1166" s="3"/>
      <c r="S1166" s="3"/>
      <c r="T1166" s="5"/>
      <c r="U1166" s="5"/>
      <c r="V1166" s="5"/>
      <c r="W1166" s="5"/>
    </row>
    <row r="1167" ht="15.75" customHeight="1">
      <c r="A1167" s="3">
        <f>IFERROR(__xludf.DUMMYFUNCTION("""COMPUTED_VALUE"""),1167.0)</f>
        <v>1167</v>
      </c>
      <c r="B1167" s="53">
        <f>IFERROR(__xludf.DUMMYFUNCTION("""COMPUTED_VALUE"""),45755.0)</f>
        <v>45755</v>
      </c>
      <c r="C1167" s="3">
        <f>IFERROR(__xludf.DUMMYFUNCTION("""COMPUTED_VALUE"""),84.0)</f>
        <v>84</v>
      </c>
      <c r="D1167" s="3" t="str">
        <f>IFERROR(__xludf.DUMMYFUNCTION("""COMPUTED_VALUE"""),"b60fb43a")</f>
        <v>b60fb43a</v>
      </c>
      <c r="E1167" s="54">
        <f>IFERROR(__xludf.DUMMYFUNCTION("""COMPUTED_VALUE"""),53200.0)</f>
        <v>53200</v>
      </c>
      <c r="F1167" s="3" t="str">
        <f>IFERROR(__xludf.DUMMYFUNCTION("""COMPUTED_VALUE"""),"Bonarda")</f>
        <v>Bonarda</v>
      </c>
      <c r="G1167" s="3"/>
      <c r="H1167" s="3"/>
      <c r="I1167" s="3"/>
      <c r="J1167" s="3"/>
      <c r="K1167" s="57">
        <f>IFERROR(__xludf.DUMMYFUNCTION("""COMPUTED_VALUE"""),3.6)</f>
        <v>3.6</v>
      </c>
      <c r="L1167" s="54">
        <f>IFERROR(__xludf.DUMMYFUNCTION("""COMPUTED_VALUE"""),18.0)</f>
        <v>18</v>
      </c>
      <c r="M1167" s="3"/>
      <c r="N1167" s="3"/>
      <c r="O1167" s="3"/>
      <c r="P1167" s="3"/>
      <c r="Q1167" s="3"/>
      <c r="R1167" s="3"/>
      <c r="S1167" s="3"/>
      <c r="T1167" s="5"/>
      <c r="U1167" s="5"/>
      <c r="V1167" s="5"/>
      <c r="W1167" s="5"/>
    </row>
    <row r="1168" ht="15.75" customHeight="1">
      <c r="A1168" s="3">
        <f>IFERROR(__xludf.DUMMYFUNCTION("""COMPUTED_VALUE"""),1168.0)</f>
        <v>1168</v>
      </c>
      <c r="B1168" s="53">
        <f>IFERROR(__xludf.DUMMYFUNCTION("""COMPUTED_VALUE"""),45755.0)</f>
        <v>45755</v>
      </c>
      <c r="C1168" s="3">
        <f>IFERROR(__xludf.DUMMYFUNCTION("""COMPUTED_VALUE"""),89.0)</f>
        <v>89</v>
      </c>
      <c r="D1168" s="3" t="str">
        <f>IFERROR(__xludf.DUMMYFUNCTION("""COMPUTED_VALUE"""),"a042b2d1")</f>
        <v>a042b2d1</v>
      </c>
      <c r="E1168" s="54">
        <f>IFERROR(__xludf.DUMMYFUNCTION("""COMPUTED_VALUE"""),60800.0)</f>
        <v>60800</v>
      </c>
      <c r="F1168" s="3" t="str">
        <f>IFERROR(__xludf.DUMMYFUNCTION("""COMPUTED_VALUE"""),"Malbec")</f>
        <v>Malbec</v>
      </c>
      <c r="G1168" s="3"/>
      <c r="H1168" s="3"/>
      <c r="I1168" s="3"/>
      <c r="J1168" s="3"/>
      <c r="K1168" s="57">
        <f>IFERROR(__xludf.DUMMYFUNCTION("""COMPUTED_VALUE"""),3.76)</f>
        <v>3.76</v>
      </c>
      <c r="L1168" s="54">
        <f>IFERROR(__xludf.DUMMYFUNCTION("""COMPUTED_VALUE"""),13.0)</f>
        <v>13</v>
      </c>
      <c r="M1168" s="3"/>
      <c r="N1168" s="3"/>
      <c r="O1168" s="3"/>
      <c r="P1168" s="3"/>
      <c r="Q1168" s="3"/>
      <c r="R1168" s="3"/>
      <c r="S1168" s="3"/>
      <c r="T1168" s="5"/>
      <c r="U1168" s="5"/>
      <c r="V1168" s="5"/>
      <c r="W1168" s="5"/>
    </row>
    <row r="1169" ht="15.75" customHeight="1">
      <c r="A1169" s="3">
        <f>IFERROR(__xludf.DUMMYFUNCTION("""COMPUTED_VALUE"""),1169.0)</f>
        <v>1169</v>
      </c>
      <c r="B1169" s="53">
        <f>IFERROR(__xludf.DUMMYFUNCTION("""COMPUTED_VALUE"""),45755.0)</f>
        <v>45755</v>
      </c>
      <c r="C1169" s="3">
        <f>IFERROR(__xludf.DUMMYFUNCTION("""COMPUTED_VALUE"""),92.0)</f>
        <v>92</v>
      </c>
      <c r="D1169" s="3" t="str">
        <f>IFERROR(__xludf.DUMMYFUNCTION("""COMPUTED_VALUE"""),"cbb6852f")</f>
        <v>cbb6852f</v>
      </c>
      <c r="E1169" s="54">
        <f>IFERROR(__xludf.DUMMYFUNCTION("""COMPUTED_VALUE"""),43000.0)</f>
        <v>43000</v>
      </c>
      <c r="F1169" s="3" t="str">
        <f>IFERROR(__xludf.DUMMYFUNCTION("""COMPUTED_VALUE"""),"Malbec")</f>
        <v>Malbec</v>
      </c>
      <c r="G1169" s="3"/>
      <c r="H1169" s="3"/>
      <c r="I1169" s="3"/>
      <c r="J1169" s="3"/>
      <c r="K1169" s="57">
        <f>IFERROR(__xludf.DUMMYFUNCTION("""COMPUTED_VALUE"""),3.81)</f>
        <v>3.81</v>
      </c>
      <c r="L1169" s="54">
        <f>IFERROR(__xludf.DUMMYFUNCTION("""COMPUTED_VALUE"""),19.0)</f>
        <v>19</v>
      </c>
      <c r="M1169" s="3"/>
      <c r="N1169" s="3"/>
      <c r="O1169" s="3"/>
      <c r="P1169" s="3"/>
      <c r="Q1169" s="3"/>
      <c r="R1169" s="3"/>
      <c r="S1169" s="3"/>
      <c r="T1169" s="5"/>
      <c r="U1169" s="5"/>
      <c r="V1169" s="5"/>
      <c r="W1169" s="5"/>
    </row>
    <row r="1170" ht="15.75" customHeight="1">
      <c r="A1170" s="3">
        <f>IFERROR(__xludf.DUMMYFUNCTION("""COMPUTED_VALUE"""),1170.0)</f>
        <v>1170</v>
      </c>
      <c r="B1170" s="53">
        <f>IFERROR(__xludf.DUMMYFUNCTION("""COMPUTED_VALUE"""),45755.0)</f>
        <v>45755</v>
      </c>
      <c r="C1170" s="3">
        <f>IFERROR(__xludf.DUMMYFUNCTION("""COMPUTED_VALUE"""),49.0)</f>
        <v>49</v>
      </c>
      <c r="D1170" s="3" t="str">
        <f>IFERROR(__xludf.DUMMYFUNCTION("""COMPUTED_VALUE"""),"c7ecff86")</f>
        <v>c7ecff86</v>
      </c>
      <c r="E1170" s="54">
        <f>IFERROR(__xludf.DUMMYFUNCTION("""COMPUTED_VALUE"""),20800.0)</f>
        <v>20800</v>
      </c>
      <c r="F1170" s="3" t="str">
        <f>IFERROR(__xludf.DUMMYFUNCTION("""COMPUTED_VALUE"""),"Bonarda Gota")</f>
        <v>Bonarda Gota</v>
      </c>
      <c r="G1170" s="3"/>
      <c r="H1170" s="3"/>
      <c r="I1170" s="3"/>
      <c r="J1170" s="3"/>
      <c r="K1170" s="57">
        <f>IFERROR(__xludf.DUMMYFUNCTION("""COMPUTED_VALUE"""),3.73)</f>
        <v>3.73</v>
      </c>
      <c r="L1170" s="54">
        <f>IFERROR(__xludf.DUMMYFUNCTION("""COMPUTED_VALUE"""),14.0)</f>
        <v>14</v>
      </c>
      <c r="M1170" s="3">
        <f>IFERROR(__xludf.DUMMYFUNCTION("""COMPUTED_VALUE"""),68.0)</f>
        <v>68</v>
      </c>
      <c r="N1170" s="3"/>
      <c r="O1170" s="3"/>
      <c r="P1170" s="3"/>
      <c r="Q1170" s="3"/>
      <c r="R1170" s="3"/>
      <c r="S1170" s="3"/>
      <c r="T1170" s="5"/>
      <c r="U1170" s="5"/>
      <c r="V1170" s="5"/>
      <c r="W1170" s="5"/>
    </row>
    <row r="1171" ht="15.75" customHeight="1">
      <c r="A1171" s="3">
        <f>IFERROR(__xludf.DUMMYFUNCTION("""COMPUTED_VALUE"""),1171.0)</f>
        <v>1171</v>
      </c>
      <c r="B1171" s="53">
        <f>IFERROR(__xludf.DUMMYFUNCTION("""COMPUTED_VALUE"""),45755.0)</f>
        <v>45755</v>
      </c>
      <c r="C1171" s="3">
        <f>IFERROR(__xludf.DUMMYFUNCTION("""COMPUTED_VALUE"""),115.0)</f>
        <v>115</v>
      </c>
      <c r="D1171" s="3" t="str">
        <f>IFERROR(__xludf.DUMMYFUNCTION("""COMPUTED_VALUE"""),"03e27ebe")</f>
        <v>03e27ebe</v>
      </c>
      <c r="E1171" s="54">
        <f>IFERROR(__xludf.DUMMYFUNCTION("""COMPUTED_VALUE"""),118000.0)</f>
        <v>118000</v>
      </c>
      <c r="F1171" s="3" t="str">
        <f>IFERROR(__xludf.DUMMYFUNCTION("""COMPUTED_VALUE"""),"Syrah Tempranillo")</f>
        <v>Syrah Tempranillo</v>
      </c>
      <c r="G1171" s="3"/>
      <c r="H1171" s="3"/>
      <c r="I1171" s="3"/>
      <c r="J1171" s="3"/>
      <c r="K1171" s="57">
        <f>IFERROR(__xludf.DUMMYFUNCTION("""COMPUTED_VALUE"""),3.73)</f>
        <v>3.73</v>
      </c>
      <c r="L1171" s="54">
        <f>IFERROR(__xludf.DUMMYFUNCTION("""COMPUTED_VALUE"""),19.0)</f>
        <v>19</v>
      </c>
      <c r="M1171" s="3">
        <f>IFERROR(__xludf.DUMMYFUNCTION("""COMPUTED_VALUE"""),66.0)</f>
        <v>66</v>
      </c>
      <c r="N1171" s="3"/>
      <c r="O1171" s="3"/>
      <c r="P1171" s="3"/>
      <c r="Q1171" s="3"/>
      <c r="R1171" s="3"/>
      <c r="S1171" s="3"/>
      <c r="T1171" s="5"/>
      <c r="U1171" s="5"/>
      <c r="V1171" s="5"/>
      <c r="W1171" s="5"/>
    </row>
    <row r="1172" ht="15.75" customHeight="1">
      <c r="A1172" s="3">
        <f>IFERROR(__xludf.DUMMYFUNCTION("""COMPUTED_VALUE"""),1172.0)</f>
        <v>1172</v>
      </c>
      <c r="B1172" s="53">
        <f>IFERROR(__xludf.DUMMYFUNCTION("""COMPUTED_VALUE"""),45757.0)</f>
        <v>45757</v>
      </c>
      <c r="C1172" s="3">
        <f>IFERROR(__xludf.DUMMYFUNCTION("""COMPUTED_VALUE"""),66.0)</f>
        <v>66</v>
      </c>
      <c r="D1172" s="3"/>
      <c r="E1172" s="3"/>
      <c r="F1172" s="3"/>
      <c r="G1172" s="3"/>
      <c r="H1172" s="56">
        <f>IFERROR(__xludf.DUMMYFUNCTION("""COMPUTED_VALUE"""),250.0)</f>
        <v>250</v>
      </c>
      <c r="I1172" s="3"/>
      <c r="J1172" s="3"/>
      <c r="K1172" s="57">
        <f>IFERROR(__xludf.DUMMYFUNCTION("""COMPUTED_VALUE"""),3.7)</f>
        <v>3.7</v>
      </c>
      <c r="L1172" s="54">
        <f>IFERROR(__xludf.DUMMYFUNCTION("""COMPUTED_VALUE"""),35.0)</f>
        <v>35</v>
      </c>
      <c r="M1172" s="3"/>
      <c r="N1172" s="3"/>
      <c r="O1172" s="3"/>
      <c r="P1172" s="3"/>
      <c r="Q1172" s="3"/>
      <c r="R1172" s="3"/>
      <c r="S1172" s="3"/>
      <c r="T1172" s="5"/>
      <c r="U1172" s="5"/>
      <c r="V1172" s="5"/>
      <c r="W1172" s="5"/>
    </row>
    <row r="1173" ht="15.75" customHeight="1">
      <c r="A1173" s="3">
        <f>IFERROR(__xludf.DUMMYFUNCTION("""COMPUTED_VALUE"""),1173.0)</f>
        <v>1173</v>
      </c>
      <c r="B1173" s="53">
        <f>IFERROR(__xludf.DUMMYFUNCTION("""COMPUTED_VALUE"""),45757.0)</f>
        <v>45757</v>
      </c>
      <c r="C1173" s="3">
        <f>IFERROR(__xludf.DUMMYFUNCTION("""COMPUTED_VALUE"""),90.0)</f>
        <v>90</v>
      </c>
      <c r="D1173" s="3"/>
      <c r="E1173" s="3"/>
      <c r="F1173" s="3"/>
      <c r="G1173" s="3"/>
      <c r="H1173" s="56">
        <f>IFERROR(__xludf.DUMMYFUNCTION("""COMPUTED_VALUE"""),220.0)</f>
        <v>220</v>
      </c>
      <c r="I1173" s="3"/>
      <c r="J1173" s="3"/>
      <c r="K1173" s="57">
        <f>IFERROR(__xludf.DUMMYFUNCTION("""COMPUTED_VALUE"""),3.78)</f>
        <v>3.78</v>
      </c>
      <c r="L1173" s="54">
        <f>IFERROR(__xludf.DUMMYFUNCTION("""COMPUTED_VALUE"""),25.0)</f>
        <v>25</v>
      </c>
      <c r="M1173" s="3"/>
      <c r="N1173" s="3"/>
      <c r="O1173" s="3"/>
      <c r="P1173" s="3"/>
      <c r="Q1173" s="3"/>
      <c r="R1173" s="3"/>
      <c r="S1173" s="3"/>
      <c r="T1173" s="5"/>
      <c r="U1173" s="5"/>
      <c r="V1173" s="5"/>
      <c r="W1173" s="5"/>
    </row>
    <row r="1174" ht="15.75" customHeight="1">
      <c r="A1174" s="3">
        <f>IFERROR(__xludf.DUMMYFUNCTION("""COMPUTED_VALUE"""),1174.0)</f>
        <v>1174</v>
      </c>
      <c r="B1174" s="53">
        <f>IFERROR(__xludf.DUMMYFUNCTION("""COMPUTED_VALUE"""),45757.0)</f>
        <v>45757</v>
      </c>
      <c r="C1174" s="3">
        <f>IFERROR(__xludf.DUMMYFUNCTION("""COMPUTED_VALUE"""),65.0)</f>
        <v>65</v>
      </c>
      <c r="D1174" s="3" t="str">
        <f>IFERROR(__xludf.DUMMYFUNCTION("""COMPUTED_VALUE"""),"aa8ee5bf")</f>
        <v>aa8ee5bf</v>
      </c>
      <c r="E1174" s="54">
        <f>IFERROR(__xludf.DUMMYFUNCTION("""COMPUTED_VALUE"""),20000.0)</f>
        <v>20000</v>
      </c>
      <c r="F1174" s="3" t="str">
        <f>IFERROR(__xludf.DUMMYFUNCTION("""COMPUTED_VALUE"""),"Cabernet Sauvignon")</f>
        <v>Cabernet Sauvignon</v>
      </c>
      <c r="G1174" s="3"/>
      <c r="H1174" s="56">
        <f>IFERROR(__xludf.DUMMYFUNCTION("""COMPUTED_VALUE"""),290.0)</f>
        <v>290</v>
      </c>
      <c r="I1174" s="3"/>
      <c r="J1174" s="3"/>
      <c r="K1174" s="57">
        <f>IFERROR(__xludf.DUMMYFUNCTION("""COMPUTED_VALUE"""),4.03)</f>
        <v>4.03</v>
      </c>
      <c r="L1174" s="54">
        <f>IFERROR(__xludf.DUMMYFUNCTION("""COMPUTED_VALUE"""),13.0)</f>
        <v>13</v>
      </c>
      <c r="M1174" s="3"/>
      <c r="N1174" s="3"/>
      <c r="O1174" s="3"/>
      <c r="P1174" s="3"/>
      <c r="Q1174" s="3"/>
      <c r="R1174" s="3"/>
      <c r="S1174" s="3"/>
      <c r="T1174" s="5"/>
      <c r="U1174" s="5"/>
      <c r="V1174" s="5"/>
      <c r="W1174" s="5"/>
    </row>
    <row r="1175" ht="15.75" customHeight="1">
      <c r="A1175" s="3">
        <f>IFERROR(__xludf.DUMMYFUNCTION("""COMPUTED_VALUE"""),1175.0)</f>
        <v>1175</v>
      </c>
      <c r="B1175" s="53">
        <f>IFERROR(__xludf.DUMMYFUNCTION("""COMPUTED_VALUE"""),45757.0)</f>
        <v>45757</v>
      </c>
      <c r="C1175" s="3">
        <f>IFERROR(__xludf.DUMMYFUNCTION("""COMPUTED_VALUE"""),82.0)</f>
        <v>82</v>
      </c>
      <c r="D1175" s="3" t="str">
        <f>IFERROR(__xludf.DUMMYFUNCTION("""COMPUTED_VALUE"""),"0998b1b9")</f>
        <v>0998b1b9</v>
      </c>
      <c r="E1175" s="54">
        <f>IFERROR(__xludf.DUMMYFUNCTION("""COMPUTED_VALUE"""),15700.0)</f>
        <v>15700</v>
      </c>
      <c r="F1175" s="3" t="str">
        <f>IFERROR(__xludf.DUMMYFUNCTION("""COMPUTED_VALUE"""),"Malbec")</f>
        <v>Malbec</v>
      </c>
      <c r="G1175" s="3"/>
      <c r="H1175" s="3"/>
      <c r="I1175" s="3"/>
      <c r="J1175" s="3"/>
      <c r="K1175" s="57">
        <f>IFERROR(__xludf.DUMMYFUNCTION("""COMPUTED_VALUE"""),3.72)</f>
        <v>3.72</v>
      </c>
      <c r="L1175" s="54">
        <f>IFERROR(__xludf.DUMMYFUNCTION("""COMPUTED_VALUE"""),15.0)</f>
        <v>15</v>
      </c>
      <c r="M1175" s="3"/>
      <c r="N1175" s="3"/>
      <c r="O1175" s="3"/>
      <c r="P1175" s="3"/>
      <c r="Q1175" s="3"/>
      <c r="R1175" s="3"/>
      <c r="S1175" s="3"/>
      <c r="T1175" s="5"/>
      <c r="U1175" s="5"/>
      <c r="V1175" s="5"/>
      <c r="W1175" s="5"/>
    </row>
    <row r="1176" ht="15.75" customHeight="1">
      <c r="A1176" s="3">
        <f>IFERROR(__xludf.DUMMYFUNCTION("""COMPUTED_VALUE"""),1176.0)</f>
        <v>1176</v>
      </c>
      <c r="B1176" s="53">
        <f>IFERROR(__xludf.DUMMYFUNCTION("""COMPUTED_VALUE"""),45757.0)</f>
        <v>45757</v>
      </c>
      <c r="C1176" s="3">
        <f>IFERROR(__xludf.DUMMYFUNCTION("""COMPUTED_VALUE"""),88.0)</f>
        <v>88</v>
      </c>
      <c r="D1176" s="3" t="str">
        <f>IFERROR(__xludf.DUMMYFUNCTION("""COMPUTED_VALUE"""),"e12682eb")</f>
        <v>e12682eb</v>
      </c>
      <c r="E1176" s="54">
        <f>IFERROR(__xludf.DUMMYFUNCTION("""COMPUTED_VALUE"""),30600.0)</f>
        <v>30600</v>
      </c>
      <c r="F1176" s="3" t="str">
        <f>IFERROR(__xludf.DUMMYFUNCTION("""COMPUTED_VALUE"""),"Bonarda")</f>
        <v>Bonarda</v>
      </c>
      <c r="G1176" s="3"/>
      <c r="H1176" s="56">
        <f>IFERROR(__xludf.DUMMYFUNCTION("""COMPUTED_VALUE"""),220.0)</f>
        <v>220</v>
      </c>
      <c r="I1176" s="3"/>
      <c r="J1176" s="3"/>
      <c r="K1176" s="57">
        <f>IFERROR(__xludf.DUMMYFUNCTION("""COMPUTED_VALUE"""),3.62)</f>
        <v>3.62</v>
      </c>
      <c r="L1176" s="54">
        <f>IFERROR(__xludf.DUMMYFUNCTION("""COMPUTED_VALUE"""),6.0)</f>
        <v>6</v>
      </c>
      <c r="M1176" s="3"/>
      <c r="N1176" s="3"/>
      <c r="O1176" s="3"/>
      <c r="P1176" s="3"/>
      <c r="Q1176" s="3"/>
      <c r="R1176" s="3"/>
      <c r="S1176" s="3"/>
      <c r="T1176" s="5"/>
      <c r="U1176" s="5"/>
      <c r="V1176" s="5"/>
      <c r="W1176" s="5"/>
    </row>
    <row r="1177" ht="15.75" customHeight="1">
      <c r="A1177" s="3">
        <f>IFERROR(__xludf.DUMMYFUNCTION("""COMPUTED_VALUE"""),1177.0)</f>
        <v>1177</v>
      </c>
      <c r="B1177" s="53">
        <f>IFERROR(__xludf.DUMMYFUNCTION("""COMPUTED_VALUE"""),45757.0)</f>
        <v>45757</v>
      </c>
      <c r="C1177" s="3">
        <f>IFERROR(__xludf.DUMMYFUNCTION("""COMPUTED_VALUE"""),85.0)</f>
        <v>85</v>
      </c>
      <c r="D1177" s="3" t="str">
        <f>IFERROR(__xludf.DUMMYFUNCTION("""COMPUTED_VALUE"""),"1324322a")</f>
        <v>1324322a</v>
      </c>
      <c r="E1177" s="54">
        <f>IFERROR(__xludf.DUMMYFUNCTION("""COMPUTED_VALUE"""),63700.0)</f>
        <v>63700</v>
      </c>
      <c r="F1177" s="3" t="str">
        <f>IFERROR(__xludf.DUMMYFUNCTION("""COMPUTED_VALUE"""),"Tinto s/Ma Bo")</f>
        <v>Tinto s/Ma Bo</v>
      </c>
      <c r="G1177" s="3"/>
      <c r="H1177" s="3"/>
      <c r="I1177" s="3"/>
      <c r="J1177" s="3"/>
      <c r="K1177" s="57">
        <f>IFERROR(__xludf.DUMMYFUNCTION("""COMPUTED_VALUE"""),3.71)</f>
        <v>3.71</v>
      </c>
      <c r="L1177" s="54">
        <f>IFERROR(__xludf.DUMMYFUNCTION("""COMPUTED_VALUE"""),12.0)</f>
        <v>12</v>
      </c>
      <c r="M1177" s="3"/>
      <c r="N1177" s="3"/>
      <c r="O1177" s="3"/>
      <c r="P1177" s="3"/>
      <c r="Q1177" s="3"/>
      <c r="R1177" s="3"/>
      <c r="S1177" s="3"/>
      <c r="T1177" s="5"/>
      <c r="U1177" s="5"/>
      <c r="V1177" s="5"/>
      <c r="W1177" s="5"/>
    </row>
    <row r="1178" ht="15.75" customHeight="1">
      <c r="A1178" s="3">
        <f>IFERROR(__xludf.DUMMYFUNCTION("""COMPUTED_VALUE"""),1178.0)</f>
        <v>1178</v>
      </c>
      <c r="B1178" s="53">
        <f>IFERROR(__xludf.DUMMYFUNCTION("""COMPUTED_VALUE"""),45757.0)</f>
        <v>45757</v>
      </c>
      <c r="C1178" s="3">
        <f>IFERROR(__xludf.DUMMYFUNCTION("""COMPUTED_VALUE"""),95.0)</f>
        <v>95</v>
      </c>
      <c r="D1178" s="3" t="str">
        <f>IFERROR(__xludf.DUMMYFUNCTION("""COMPUTED_VALUE"""),"ed82825c")</f>
        <v>ed82825c</v>
      </c>
      <c r="E1178" s="54">
        <f>IFERROR(__xludf.DUMMYFUNCTION("""COMPUTED_VALUE"""),62000.0)</f>
        <v>62000</v>
      </c>
      <c r="F1178" s="3" t="str">
        <f>IFERROR(__xludf.DUMMYFUNCTION("""COMPUTED_VALUE"""),"Cabernet Sauvignon")</f>
        <v>Cabernet Sauvignon</v>
      </c>
      <c r="G1178" s="3"/>
      <c r="H1178" s="3"/>
      <c r="I1178" s="3"/>
      <c r="J1178" s="3"/>
      <c r="K1178" s="57">
        <f>IFERROR(__xludf.DUMMYFUNCTION("""COMPUTED_VALUE"""),3.77)</f>
        <v>3.77</v>
      </c>
      <c r="L1178" s="54">
        <f>IFERROR(__xludf.DUMMYFUNCTION("""COMPUTED_VALUE"""),15.0)</f>
        <v>15</v>
      </c>
      <c r="M1178" s="3"/>
      <c r="N1178" s="3"/>
      <c r="O1178" s="3"/>
      <c r="P1178" s="3"/>
      <c r="Q1178" s="3"/>
      <c r="R1178" s="3"/>
      <c r="S1178" s="3"/>
      <c r="T1178" s="5"/>
      <c r="U1178" s="5"/>
      <c r="V1178" s="5"/>
      <c r="W1178" s="5"/>
    </row>
    <row r="1179" ht="15.75" customHeight="1">
      <c r="A1179" s="3">
        <f>IFERROR(__xludf.DUMMYFUNCTION("""COMPUTED_VALUE"""),1179.0)</f>
        <v>1179</v>
      </c>
      <c r="B1179" s="53">
        <f>IFERROR(__xludf.DUMMYFUNCTION("""COMPUTED_VALUE"""),45757.0)</f>
        <v>45757</v>
      </c>
      <c r="C1179" s="3">
        <f>IFERROR(__xludf.DUMMYFUNCTION("""COMPUTED_VALUE"""),96.0)</f>
        <v>96</v>
      </c>
      <c r="D1179" s="3" t="str">
        <f>IFERROR(__xludf.DUMMYFUNCTION("""COMPUTED_VALUE"""),"d4245129")</f>
        <v>d4245129</v>
      </c>
      <c r="E1179" s="54">
        <f>IFERROR(__xludf.DUMMYFUNCTION("""COMPUTED_VALUE"""),46300.0)</f>
        <v>46300</v>
      </c>
      <c r="F1179" s="3" t="str">
        <f>IFERROR(__xludf.DUMMYFUNCTION("""COMPUTED_VALUE"""),"Malbec")</f>
        <v>Malbec</v>
      </c>
      <c r="G1179" s="3"/>
      <c r="H1179" s="3"/>
      <c r="I1179" s="3"/>
      <c r="J1179" s="3"/>
      <c r="K1179" s="57">
        <f>IFERROR(__xludf.DUMMYFUNCTION("""COMPUTED_VALUE"""),3.79)</f>
        <v>3.79</v>
      </c>
      <c r="L1179" s="54">
        <f>IFERROR(__xludf.DUMMYFUNCTION("""COMPUTED_VALUE"""),16.0)</f>
        <v>16</v>
      </c>
      <c r="M1179" s="3"/>
      <c r="N1179" s="3"/>
      <c r="O1179" s="3"/>
      <c r="P1179" s="3"/>
      <c r="Q1179" s="3"/>
      <c r="R1179" s="3"/>
      <c r="S1179" s="3"/>
      <c r="T1179" s="5"/>
      <c r="U1179" s="5"/>
      <c r="V1179" s="5"/>
      <c r="W1179" s="5"/>
    </row>
    <row r="1180" ht="15.75" customHeight="1">
      <c r="A1180" s="3">
        <f>IFERROR(__xludf.DUMMYFUNCTION("""COMPUTED_VALUE"""),1180.0)</f>
        <v>1180</v>
      </c>
      <c r="B1180" s="53">
        <f>IFERROR(__xludf.DUMMYFUNCTION("""COMPUTED_VALUE"""),45757.0)</f>
        <v>45757</v>
      </c>
      <c r="C1180" s="3">
        <f>IFERROR(__xludf.DUMMYFUNCTION("""COMPUTED_VALUE"""),91.0)</f>
        <v>91</v>
      </c>
      <c r="D1180" s="3" t="str">
        <f>IFERROR(__xludf.DUMMYFUNCTION("""COMPUTED_VALUE"""),"189e6a11")</f>
        <v>189e6a11</v>
      </c>
      <c r="E1180" s="54">
        <f>IFERROR(__xludf.DUMMYFUNCTION("""COMPUTED_VALUE"""),48800.0)</f>
        <v>48800</v>
      </c>
      <c r="F1180" s="3" t="str">
        <f>IFERROR(__xludf.DUMMYFUNCTION("""COMPUTED_VALUE"""),"Bonarda")</f>
        <v>Bonarda</v>
      </c>
      <c r="G1180" s="3"/>
      <c r="H1180" s="3"/>
      <c r="I1180" s="3"/>
      <c r="J1180" s="3"/>
      <c r="K1180" s="57">
        <f>IFERROR(__xludf.DUMMYFUNCTION("""COMPUTED_VALUE"""),3.58)</f>
        <v>3.58</v>
      </c>
      <c r="L1180" s="54">
        <f>IFERROR(__xludf.DUMMYFUNCTION("""COMPUTED_VALUE"""),15.0)</f>
        <v>15</v>
      </c>
      <c r="M1180" s="3"/>
      <c r="N1180" s="3"/>
      <c r="O1180" s="3"/>
      <c r="P1180" s="3"/>
      <c r="Q1180" s="3"/>
      <c r="R1180" s="3"/>
      <c r="S1180" s="3"/>
      <c r="T1180" s="5"/>
      <c r="U1180" s="5"/>
      <c r="V1180" s="5"/>
      <c r="W1180" s="5"/>
    </row>
    <row r="1181" ht="15.75" customHeight="1">
      <c r="A1181" s="3">
        <f>IFERROR(__xludf.DUMMYFUNCTION("""COMPUTED_VALUE"""),1181.0)</f>
        <v>1181</v>
      </c>
      <c r="B1181" s="53">
        <f>IFERROR(__xludf.DUMMYFUNCTION("""COMPUTED_VALUE"""),45757.0)</f>
        <v>45757</v>
      </c>
      <c r="C1181" s="3">
        <f>IFERROR(__xludf.DUMMYFUNCTION("""COMPUTED_VALUE"""),28.0)</f>
        <v>28</v>
      </c>
      <c r="D1181" s="3" t="str">
        <f>IFERROR(__xludf.DUMMYFUNCTION("""COMPUTED_VALUE"""),"7617bf80")</f>
        <v>7617bf80</v>
      </c>
      <c r="E1181" s="54">
        <f>IFERROR(__xludf.DUMMYFUNCTION("""COMPUTED_VALUE"""),120000.0)</f>
        <v>120000</v>
      </c>
      <c r="F1181" s="3" t="str">
        <f>IFERROR(__xludf.DUMMYFUNCTION("""COMPUTED_VALUE"""),"Bonarda")</f>
        <v>Bonarda</v>
      </c>
      <c r="G1181" s="3"/>
      <c r="H1181" s="56">
        <f>IFERROR(__xludf.DUMMYFUNCTION("""COMPUTED_VALUE"""),6.0)</f>
        <v>6</v>
      </c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5"/>
      <c r="U1181" s="5"/>
      <c r="V1181" s="5"/>
      <c r="W1181" s="5"/>
    </row>
    <row r="1182" ht="15.75" customHeight="1">
      <c r="A1182" s="3">
        <f>IFERROR(__xludf.DUMMYFUNCTION("""COMPUTED_VALUE"""),1182.0)</f>
        <v>1182</v>
      </c>
      <c r="B1182" s="53">
        <f>IFERROR(__xludf.DUMMYFUNCTION("""COMPUTED_VALUE"""),45757.0)</f>
        <v>45757</v>
      </c>
      <c r="C1182" s="3">
        <f>IFERROR(__xludf.DUMMYFUNCTION("""COMPUTED_VALUE"""),15.0)</f>
        <v>15</v>
      </c>
      <c r="D1182" s="3" t="str">
        <f>IFERROR(__xludf.DUMMYFUNCTION("""COMPUTED_VALUE"""),"f764d2d1")</f>
        <v>f764d2d1</v>
      </c>
      <c r="E1182" s="54">
        <f>IFERROR(__xludf.DUMMYFUNCTION("""COMPUTED_VALUE"""),36500.0)</f>
        <v>36500</v>
      </c>
      <c r="F1182" s="3" t="str">
        <f>IFERROR(__xludf.DUMMYFUNCTION("""COMPUTED_VALUE"""),"Malbec")</f>
        <v>Malbec</v>
      </c>
      <c r="G1182" s="55">
        <f>IFERROR(__xludf.DUMMYFUNCTION("""COMPUTED_VALUE"""),12.7)</f>
        <v>12.7</v>
      </c>
      <c r="H1182" s="3"/>
      <c r="I1182" s="57">
        <f>IFERROR(__xludf.DUMMYFUNCTION("""COMPUTED_VALUE"""),0.38)</f>
        <v>0.38</v>
      </c>
      <c r="J1182" s="57">
        <f>IFERROR(__xludf.DUMMYFUNCTION("""COMPUTED_VALUE"""),5.4)</f>
        <v>5.4</v>
      </c>
      <c r="K1182" s="3"/>
      <c r="L1182" s="3"/>
      <c r="M1182" s="3"/>
      <c r="N1182" s="3"/>
      <c r="O1182" s="3"/>
      <c r="P1182" s="3"/>
      <c r="Q1182" s="3"/>
      <c r="R1182" s="3"/>
      <c r="S1182" s="3"/>
      <c r="T1182" s="5"/>
      <c r="U1182" s="5"/>
      <c r="V1182" s="5"/>
      <c r="W1182" s="5" t="str">
        <f>IFERROR(__xludf.DUMMYFUNCTION("""COMPUTED_VALUE"""),"Simon")</f>
        <v>Simon</v>
      </c>
    </row>
    <row r="1183" ht="15.75" customHeight="1">
      <c r="A1183" s="3">
        <f>IFERROR(__xludf.DUMMYFUNCTION("""COMPUTED_VALUE"""),1183.0)</f>
        <v>1183</v>
      </c>
      <c r="B1183" s="53">
        <f>IFERROR(__xludf.DUMMYFUNCTION("""COMPUTED_VALUE"""),45757.0)</f>
        <v>45757</v>
      </c>
      <c r="C1183" s="3">
        <f>IFERROR(__xludf.DUMMYFUNCTION("""COMPUTED_VALUE"""),26.0)</f>
        <v>26</v>
      </c>
      <c r="D1183" s="3" t="str">
        <f>IFERROR(__xludf.DUMMYFUNCTION("""COMPUTED_VALUE"""),"efada090")</f>
        <v>efada090</v>
      </c>
      <c r="E1183" s="54">
        <f>IFERROR(__xludf.DUMMYFUNCTION("""COMPUTED_VALUE"""),207600.0)</f>
        <v>207600</v>
      </c>
      <c r="F1183" s="3" t="str">
        <f>IFERROR(__xludf.DUMMYFUNCTION("""COMPUTED_VALUE"""),"Syrah")</f>
        <v>Syrah</v>
      </c>
      <c r="G1183" s="55">
        <f>IFERROR(__xludf.DUMMYFUNCTION("""COMPUTED_VALUE"""),14.0)</f>
        <v>14</v>
      </c>
      <c r="H1183" s="3"/>
      <c r="I1183" s="57">
        <f>IFERROR(__xludf.DUMMYFUNCTION("""COMPUTED_VALUE"""),0.42)</f>
        <v>0.42</v>
      </c>
      <c r="J1183" s="57">
        <f>IFERROR(__xludf.DUMMYFUNCTION("""COMPUTED_VALUE"""),5.77)</f>
        <v>5.77</v>
      </c>
      <c r="K1183" s="3"/>
      <c r="L1183" s="3"/>
      <c r="M1183" s="3"/>
      <c r="N1183" s="3"/>
      <c r="O1183" s="3"/>
      <c r="P1183" s="3"/>
      <c r="Q1183" s="3"/>
      <c r="R1183" s="3"/>
      <c r="S1183" s="3"/>
      <c r="T1183" s="5"/>
      <c r="U1183" s="5"/>
      <c r="V1183" s="5"/>
      <c r="W1183" s="5" t="str">
        <f>IFERROR(__xludf.DUMMYFUNCTION("""COMPUTED_VALUE"""),"Simon")</f>
        <v>Simon</v>
      </c>
    </row>
    <row r="1184" ht="15.75" customHeight="1">
      <c r="A1184" s="3">
        <f>IFERROR(__xludf.DUMMYFUNCTION("""COMPUTED_VALUE"""),1184.0)</f>
        <v>1184</v>
      </c>
      <c r="B1184" s="53">
        <f>IFERROR(__xludf.DUMMYFUNCTION("""COMPUTED_VALUE"""),45757.0)</f>
        <v>45757</v>
      </c>
      <c r="C1184" s="3">
        <f>IFERROR(__xludf.DUMMYFUNCTION("""COMPUTED_VALUE"""),24.0)</f>
        <v>24</v>
      </c>
      <c r="D1184" s="3" t="str">
        <f>IFERROR(__xludf.DUMMYFUNCTION("""COMPUTED_VALUE"""),"7efc7da2")</f>
        <v>7efc7da2</v>
      </c>
      <c r="E1184" s="54">
        <f>IFERROR(__xludf.DUMMYFUNCTION("""COMPUTED_VALUE"""),186600.0)</f>
        <v>186600</v>
      </c>
      <c r="F1184" s="3" t="str">
        <f>IFERROR(__xludf.DUMMYFUNCTION("""COMPUTED_VALUE"""),"Bonarda C2")</f>
        <v>Bonarda C2</v>
      </c>
      <c r="G1184" s="55">
        <f>IFERROR(__xludf.DUMMYFUNCTION("""COMPUTED_VALUE"""),12.8)</f>
        <v>12.8</v>
      </c>
      <c r="H1184" s="3"/>
      <c r="I1184" s="57">
        <f>IFERROR(__xludf.DUMMYFUNCTION("""COMPUTED_VALUE"""),0.62)</f>
        <v>0.62</v>
      </c>
      <c r="J1184" s="57">
        <f>IFERROR(__xludf.DUMMYFUNCTION("""COMPUTED_VALUE"""),5.1)</f>
        <v>5.1</v>
      </c>
      <c r="K1184" s="3"/>
      <c r="L1184" s="3"/>
      <c r="M1184" s="3"/>
      <c r="N1184" s="3"/>
      <c r="O1184" s="3"/>
      <c r="P1184" s="3"/>
      <c r="Q1184" s="3"/>
      <c r="R1184" s="3"/>
      <c r="S1184" s="3"/>
      <c r="T1184" s="5"/>
      <c r="U1184" s="5"/>
      <c r="V1184" s="5"/>
      <c r="W1184" s="5" t="str">
        <f>IFERROR(__xludf.DUMMYFUNCTION("""COMPUTED_VALUE"""),"Simon")</f>
        <v>Simon</v>
      </c>
    </row>
    <row r="1185" ht="15.75" customHeight="1">
      <c r="A1185" s="3">
        <f>IFERROR(__xludf.DUMMYFUNCTION("""COMPUTED_VALUE"""),1185.0)</f>
        <v>1185</v>
      </c>
      <c r="B1185" s="53">
        <f>IFERROR(__xludf.DUMMYFUNCTION("""COMPUTED_VALUE"""),45757.0)</f>
        <v>45757</v>
      </c>
      <c r="C1185" s="3">
        <f>IFERROR(__xludf.DUMMYFUNCTION("""COMPUTED_VALUE"""),34.0)</f>
        <v>34</v>
      </c>
      <c r="D1185" s="3" t="str">
        <f>IFERROR(__xludf.DUMMYFUNCTION("""COMPUTED_VALUE"""),"7b6b2c2a")</f>
        <v>7b6b2c2a</v>
      </c>
      <c r="E1185" s="54">
        <f>IFERROR(__xludf.DUMMYFUNCTION("""COMPUTED_VALUE"""),37150.0)</f>
        <v>37150</v>
      </c>
      <c r="F1185" s="3" t="str">
        <f>IFERROR(__xludf.DUMMYFUNCTION("""COMPUTED_VALUE"""),"Bonarda")</f>
        <v>Bonarda</v>
      </c>
      <c r="G1185" s="55">
        <f>IFERROR(__xludf.DUMMYFUNCTION("""COMPUTED_VALUE"""),13.3)</f>
        <v>13.3</v>
      </c>
      <c r="H1185" s="3"/>
      <c r="I1185" s="57">
        <f>IFERROR(__xludf.DUMMYFUNCTION("""COMPUTED_VALUE"""),0.51)</f>
        <v>0.51</v>
      </c>
      <c r="J1185" s="57">
        <f>IFERROR(__xludf.DUMMYFUNCTION("""COMPUTED_VALUE"""),6.67)</f>
        <v>6.67</v>
      </c>
      <c r="K1185" s="3"/>
      <c r="L1185" s="3"/>
      <c r="M1185" s="3"/>
      <c r="N1185" s="3"/>
      <c r="O1185" s="3"/>
      <c r="P1185" s="3"/>
      <c r="Q1185" s="3"/>
      <c r="R1185" s="3"/>
      <c r="S1185" s="3"/>
      <c r="T1185" s="5"/>
      <c r="U1185" s="5"/>
      <c r="V1185" s="5"/>
      <c r="W1185" s="5" t="str">
        <f>IFERROR(__xludf.DUMMYFUNCTION("""COMPUTED_VALUE"""),"Simon")</f>
        <v>Simon</v>
      </c>
    </row>
    <row r="1186" ht="15.75" customHeight="1">
      <c r="A1186" s="3">
        <f>IFERROR(__xludf.DUMMYFUNCTION("""COMPUTED_VALUE"""),1186.0)</f>
        <v>1186</v>
      </c>
      <c r="B1186" s="53">
        <f>IFERROR(__xludf.DUMMYFUNCTION("""COMPUTED_VALUE"""),45757.0)</f>
        <v>45757</v>
      </c>
      <c r="C1186" s="3">
        <f>IFERROR(__xludf.DUMMYFUNCTION("""COMPUTED_VALUE"""),49.0)</f>
        <v>49</v>
      </c>
      <c r="D1186" s="3" t="str">
        <f>IFERROR(__xludf.DUMMYFUNCTION("""COMPUTED_VALUE"""),"c7ecff86")</f>
        <v>c7ecff86</v>
      </c>
      <c r="E1186" s="54">
        <f>IFERROR(__xludf.DUMMYFUNCTION("""COMPUTED_VALUE"""),20800.0)</f>
        <v>20800</v>
      </c>
      <c r="F1186" s="3" t="str">
        <f>IFERROR(__xludf.DUMMYFUNCTION("""COMPUTED_VALUE"""),"Bonarda Gota")</f>
        <v>Bonarda Gota</v>
      </c>
      <c r="G1186" s="55">
        <f>IFERROR(__xludf.DUMMYFUNCTION("""COMPUTED_VALUE"""),13.3)</f>
        <v>13.3</v>
      </c>
      <c r="H1186" s="3"/>
      <c r="I1186" s="57">
        <f>IFERROR(__xludf.DUMMYFUNCTION("""COMPUTED_VALUE"""),0.45)</f>
        <v>0.45</v>
      </c>
      <c r="J1186" s="57">
        <f>IFERROR(__xludf.DUMMYFUNCTION("""COMPUTED_VALUE"""),6.07)</f>
        <v>6.07</v>
      </c>
      <c r="K1186" s="3"/>
      <c r="L1186" s="3"/>
      <c r="M1186" s="3"/>
      <c r="N1186" s="3"/>
      <c r="O1186" s="3"/>
      <c r="P1186" s="3"/>
      <c r="Q1186" s="3"/>
      <c r="R1186" s="3"/>
      <c r="S1186" s="3"/>
      <c r="T1186" s="5"/>
      <c r="U1186" s="5"/>
      <c r="V1186" s="5"/>
      <c r="W1186" s="5" t="str">
        <f>IFERROR(__xludf.DUMMYFUNCTION("""COMPUTED_VALUE"""),"Simon")</f>
        <v>Simon</v>
      </c>
    </row>
    <row r="1187" ht="15.75" customHeight="1">
      <c r="A1187" s="3">
        <f>IFERROR(__xludf.DUMMYFUNCTION("""COMPUTED_VALUE"""),1187.0)</f>
        <v>1187</v>
      </c>
      <c r="B1187" s="53">
        <f>IFERROR(__xludf.DUMMYFUNCTION("""COMPUTED_VALUE"""),45757.0)</f>
        <v>45757</v>
      </c>
      <c r="C1187" s="3">
        <f>IFERROR(__xludf.DUMMYFUNCTION("""COMPUTED_VALUE"""),70.0)</f>
        <v>70</v>
      </c>
      <c r="D1187" s="3" t="str">
        <f>IFERROR(__xludf.DUMMYFUNCTION("""COMPUTED_VALUE"""),"65c7867f")</f>
        <v>65c7867f</v>
      </c>
      <c r="E1187" s="54">
        <f>IFERROR(__xludf.DUMMYFUNCTION("""COMPUTED_VALUE"""),10000.0)</f>
        <v>10000</v>
      </c>
      <c r="F1187" s="3" t="str">
        <f>IFERROR(__xludf.DUMMYFUNCTION("""COMPUTED_VALUE"""),"Tanat")</f>
        <v>Tanat</v>
      </c>
      <c r="G1187" s="55">
        <f>IFERROR(__xludf.DUMMYFUNCTION("""COMPUTED_VALUE"""),13.9)</f>
        <v>13.9</v>
      </c>
      <c r="H1187" s="3"/>
      <c r="I1187" s="57">
        <f>IFERROR(__xludf.DUMMYFUNCTION("""COMPUTED_VALUE"""),0.48)</f>
        <v>0.48</v>
      </c>
      <c r="J1187" s="57">
        <f>IFERROR(__xludf.DUMMYFUNCTION("""COMPUTED_VALUE"""),5.32)</f>
        <v>5.32</v>
      </c>
      <c r="K1187" s="3"/>
      <c r="L1187" s="3"/>
      <c r="M1187" s="3"/>
      <c r="N1187" s="3"/>
      <c r="O1187" s="3"/>
      <c r="P1187" s="3"/>
      <c r="Q1187" s="3"/>
      <c r="R1187" s="3"/>
      <c r="S1187" s="3"/>
      <c r="T1187" s="5"/>
      <c r="U1187" s="5"/>
      <c r="V1187" s="5"/>
      <c r="W1187" s="5" t="str">
        <f>IFERROR(__xludf.DUMMYFUNCTION("""COMPUTED_VALUE"""),"Simon")</f>
        <v>Simon</v>
      </c>
    </row>
    <row r="1188" ht="15.75" customHeight="1">
      <c r="A1188" s="3">
        <f>IFERROR(__xludf.DUMMYFUNCTION("""COMPUTED_VALUE"""),1188.0)</f>
        <v>1188</v>
      </c>
      <c r="B1188" s="53">
        <f>IFERROR(__xludf.DUMMYFUNCTION("""COMPUTED_VALUE"""),45757.0)</f>
        <v>45757</v>
      </c>
      <c r="C1188" s="3">
        <f>IFERROR(__xludf.DUMMYFUNCTION("""COMPUTED_VALUE"""),104.0)</f>
        <v>104</v>
      </c>
      <c r="D1188" s="3" t="str">
        <f>IFERROR(__xludf.DUMMYFUNCTION("""COMPUTED_VALUE"""),"1d042bcb")</f>
        <v>1d042bcb</v>
      </c>
      <c r="E1188" s="54">
        <f>IFERROR(__xludf.DUMMYFUNCTION("""COMPUTED_VALUE"""),31000.0)</f>
        <v>31000</v>
      </c>
      <c r="F1188" s="3" t="str">
        <f>IFERROR(__xludf.DUMMYFUNCTION("""COMPUTED_VALUE"""),"Tinto")</f>
        <v>Tinto</v>
      </c>
      <c r="G1188" s="55">
        <f>IFERROR(__xludf.DUMMYFUNCTION("""COMPUTED_VALUE"""),13.2)</f>
        <v>13.2</v>
      </c>
      <c r="H1188" s="3"/>
      <c r="I1188" s="57">
        <f>IFERROR(__xludf.DUMMYFUNCTION("""COMPUTED_VALUE"""),0.42)</f>
        <v>0.42</v>
      </c>
      <c r="J1188" s="57">
        <f>IFERROR(__xludf.DUMMYFUNCTION("""COMPUTED_VALUE"""),5.92)</f>
        <v>5.92</v>
      </c>
      <c r="K1188" s="3"/>
      <c r="L1188" s="3"/>
      <c r="M1188" s="3"/>
      <c r="N1188" s="3"/>
      <c r="O1188" s="3"/>
      <c r="P1188" s="3"/>
      <c r="Q1188" s="3"/>
      <c r="R1188" s="3"/>
      <c r="S1188" s="3"/>
      <c r="T1188" s="5"/>
      <c r="U1188" s="5"/>
      <c r="V1188" s="5"/>
      <c r="W1188" s="5" t="str">
        <f>IFERROR(__xludf.DUMMYFUNCTION("""COMPUTED_VALUE"""),"Simon")</f>
        <v>Simon</v>
      </c>
    </row>
    <row r="1189" ht="15.75" customHeight="1">
      <c r="A1189" s="3">
        <f>IFERROR(__xludf.DUMMYFUNCTION("""COMPUTED_VALUE"""),1189.0)</f>
        <v>1189</v>
      </c>
      <c r="B1189" s="53">
        <f>IFERROR(__xludf.DUMMYFUNCTION("""COMPUTED_VALUE"""),45757.0)</f>
        <v>45757</v>
      </c>
      <c r="C1189" s="3">
        <f>IFERROR(__xludf.DUMMYFUNCTION("""COMPUTED_VALUE"""),105.0)</f>
        <v>105</v>
      </c>
      <c r="D1189" s="3" t="str">
        <f>IFERROR(__xludf.DUMMYFUNCTION("""COMPUTED_VALUE"""),"e33f8556")</f>
        <v>e33f8556</v>
      </c>
      <c r="E1189" s="54">
        <f>IFERROR(__xludf.DUMMYFUNCTION("""COMPUTED_VALUE"""),28000.0)</f>
        <v>28000</v>
      </c>
      <c r="F1189" s="3" t="str">
        <f>IFERROR(__xludf.DUMMYFUNCTION("""COMPUTED_VALUE"""),"Malbec Bonarda")</f>
        <v>Malbec Bonarda</v>
      </c>
      <c r="G1189" s="55">
        <f>IFERROR(__xludf.DUMMYFUNCTION("""COMPUTED_VALUE"""),13.2)</f>
        <v>13.2</v>
      </c>
      <c r="H1189" s="3"/>
      <c r="I1189" s="57">
        <f>IFERROR(__xludf.DUMMYFUNCTION("""COMPUTED_VALUE"""),0.36)</f>
        <v>0.36</v>
      </c>
      <c r="J1189" s="57">
        <f>IFERROR(__xludf.DUMMYFUNCTION("""COMPUTED_VALUE"""),6.37)</f>
        <v>6.37</v>
      </c>
      <c r="K1189" s="3"/>
      <c r="L1189" s="3"/>
      <c r="M1189" s="3"/>
      <c r="N1189" s="3"/>
      <c r="O1189" s="3"/>
      <c r="P1189" s="3"/>
      <c r="Q1189" s="3"/>
      <c r="R1189" s="3"/>
      <c r="S1189" s="3"/>
      <c r="T1189" s="5"/>
      <c r="U1189" s="5"/>
      <c r="V1189" s="5"/>
      <c r="W1189" s="5" t="str">
        <f>IFERROR(__xludf.DUMMYFUNCTION("""COMPUTED_VALUE"""),"Simon")</f>
        <v>Simon</v>
      </c>
    </row>
    <row r="1190" ht="15.75" customHeight="1">
      <c r="A1190" s="3">
        <f>IFERROR(__xludf.DUMMYFUNCTION("""COMPUTED_VALUE"""),1190.0)</f>
        <v>1190</v>
      </c>
      <c r="B1190" s="53">
        <f>IFERROR(__xludf.DUMMYFUNCTION("""COMPUTED_VALUE"""),45757.0)</f>
        <v>45757</v>
      </c>
      <c r="C1190" s="3">
        <f>IFERROR(__xludf.DUMMYFUNCTION("""COMPUTED_VALUE"""),108.0)</f>
        <v>108</v>
      </c>
      <c r="D1190" s="3" t="str">
        <f>IFERROR(__xludf.DUMMYFUNCTION("""COMPUTED_VALUE"""),"b1b9580e")</f>
        <v>b1b9580e</v>
      </c>
      <c r="E1190" s="54">
        <f>IFERROR(__xludf.DUMMYFUNCTION("""COMPUTED_VALUE"""),31000.0)</f>
        <v>31000</v>
      </c>
      <c r="F1190" s="3" t="str">
        <f>IFERROR(__xludf.DUMMYFUNCTION("""COMPUTED_VALUE"""),"Tinto G")</f>
        <v>Tinto G</v>
      </c>
      <c r="G1190" s="55">
        <f>IFERROR(__xludf.DUMMYFUNCTION("""COMPUTED_VALUE"""),13.4)</f>
        <v>13.4</v>
      </c>
      <c r="H1190" s="3"/>
      <c r="I1190" s="57">
        <f>IFERROR(__xludf.DUMMYFUNCTION("""COMPUTED_VALUE"""),0.43)</f>
        <v>0.43</v>
      </c>
      <c r="J1190" s="57">
        <f>IFERROR(__xludf.DUMMYFUNCTION("""COMPUTED_VALUE"""),5.77)</f>
        <v>5.77</v>
      </c>
      <c r="K1190" s="3"/>
      <c r="L1190" s="3"/>
      <c r="M1190" s="3"/>
      <c r="N1190" s="3"/>
      <c r="O1190" s="3"/>
      <c r="P1190" s="3"/>
      <c r="Q1190" s="3"/>
      <c r="R1190" s="3"/>
      <c r="S1190" s="3"/>
      <c r="T1190" s="5"/>
      <c r="U1190" s="5"/>
      <c r="V1190" s="5"/>
      <c r="W1190" s="5" t="str">
        <f>IFERROR(__xludf.DUMMYFUNCTION("""COMPUTED_VALUE"""),"Simon")</f>
        <v>Simon</v>
      </c>
    </row>
    <row r="1191" ht="15.75" customHeight="1">
      <c r="A1191" s="3">
        <f>IFERROR(__xludf.DUMMYFUNCTION("""COMPUTED_VALUE"""),1191.0)</f>
        <v>1191</v>
      </c>
      <c r="B1191" s="53">
        <f>IFERROR(__xludf.DUMMYFUNCTION("""COMPUTED_VALUE"""),45757.0)</f>
        <v>45757</v>
      </c>
      <c r="C1191" s="3">
        <f>IFERROR(__xludf.DUMMYFUNCTION("""COMPUTED_VALUE"""),115.0)</f>
        <v>115</v>
      </c>
      <c r="D1191" s="3" t="str">
        <f>IFERROR(__xludf.DUMMYFUNCTION("""COMPUTED_VALUE"""),"03e27ebe")</f>
        <v>03e27ebe</v>
      </c>
      <c r="E1191" s="54">
        <f>IFERROR(__xludf.DUMMYFUNCTION("""COMPUTED_VALUE"""),118000.0)</f>
        <v>118000</v>
      </c>
      <c r="F1191" s="3" t="str">
        <f>IFERROR(__xludf.DUMMYFUNCTION("""COMPUTED_VALUE"""),"Syrah Tempranillo")</f>
        <v>Syrah Tempranillo</v>
      </c>
      <c r="G1191" s="55">
        <f>IFERROR(__xludf.DUMMYFUNCTION("""COMPUTED_VALUE"""),13.9)</f>
        <v>13.9</v>
      </c>
      <c r="H1191" s="3"/>
      <c r="I1191" s="57">
        <f>IFERROR(__xludf.DUMMYFUNCTION("""COMPUTED_VALUE"""),0.41)</f>
        <v>0.41</v>
      </c>
      <c r="J1191" s="57">
        <f>IFERROR(__xludf.DUMMYFUNCTION("""COMPUTED_VALUE"""),6.07)</f>
        <v>6.07</v>
      </c>
      <c r="K1191" s="3"/>
      <c r="L1191" s="3"/>
      <c r="M1191" s="3"/>
      <c r="N1191" s="3"/>
      <c r="O1191" s="3"/>
      <c r="P1191" s="3"/>
      <c r="Q1191" s="3"/>
      <c r="R1191" s="3"/>
      <c r="S1191" s="3"/>
      <c r="T1191" s="5"/>
      <c r="U1191" s="5"/>
      <c r="V1191" s="5"/>
      <c r="W1191" s="5" t="str">
        <f>IFERROR(__xludf.DUMMYFUNCTION("""COMPUTED_VALUE"""),"Simon")</f>
        <v>Simon</v>
      </c>
    </row>
    <row r="1192" ht="15.75" customHeight="1">
      <c r="A1192" s="3">
        <f>IFERROR(__xludf.DUMMYFUNCTION("""COMPUTED_VALUE"""),1192.0)</f>
        <v>1192</v>
      </c>
      <c r="B1192" s="53">
        <f>IFERROR(__xludf.DUMMYFUNCTION("""COMPUTED_VALUE"""),45757.0)</f>
        <v>45757</v>
      </c>
      <c r="C1192" s="3">
        <f>IFERROR(__xludf.DUMMYFUNCTION("""COMPUTED_VALUE"""),127.0)</f>
        <v>127</v>
      </c>
      <c r="D1192" s="3" t="str">
        <f>IFERROR(__xludf.DUMMYFUNCTION("""COMPUTED_VALUE"""),"91eadabd")</f>
        <v>91eadabd</v>
      </c>
      <c r="E1192" s="54">
        <f>IFERROR(__xludf.DUMMYFUNCTION("""COMPUTED_VALUE"""),31000.0)</f>
        <v>31000</v>
      </c>
      <c r="F1192" s="3" t="str">
        <f>IFERROR(__xludf.DUMMYFUNCTION("""COMPUTED_VALUE"""),"Criolla s/Bonarda")</f>
        <v>Criolla s/Bonarda</v>
      </c>
      <c r="G1192" s="55">
        <f>IFERROR(__xludf.DUMMYFUNCTION("""COMPUTED_VALUE"""),14.3)</f>
        <v>14.3</v>
      </c>
      <c r="H1192" s="3"/>
      <c r="I1192" s="57">
        <f>IFERROR(__xludf.DUMMYFUNCTION("""COMPUTED_VALUE"""),0.57)</f>
        <v>0.57</v>
      </c>
      <c r="J1192" s="57">
        <f>IFERROR(__xludf.DUMMYFUNCTION("""COMPUTED_VALUE"""),5.55)</f>
        <v>5.55</v>
      </c>
      <c r="K1192" s="3"/>
      <c r="L1192" s="3"/>
      <c r="M1192" s="3"/>
      <c r="N1192" s="3"/>
      <c r="O1192" s="3"/>
      <c r="P1192" s="3"/>
      <c r="Q1192" s="3">
        <f>IFERROR(__xludf.DUMMYFUNCTION("""COMPUTED_VALUE"""),0.0)</f>
        <v>0</v>
      </c>
      <c r="R1192" s="3"/>
      <c r="S1192" s="3"/>
      <c r="T1192" s="5"/>
      <c r="U1192" s="5"/>
      <c r="V1192" s="5"/>
      <c r="W1192" s="5" t="str">
        <f>IFERROR(__xludf.DUMMYFUNCTION("""COMPUTED_VALUE"""),"Simon")</f>
        <v>Simon</v>
      </c>
    </row>
    <row r="1193" ht="15.75" customHeight="1">
      <c r="A1193" s="3">
        <f>IFERROR(__xludf.DUMMYFUNCTION("""COMPUTED_VALUE"""),1193.0)</f>
        <v>1193</v>
      </c>
      <c r="B1193" s="53">
        <f>IFERROR(__xludf.DUMMYFUNCTION("""COMPUTED_VALUE"""),45757.0)</f>
        <v>45757</v>
      </c>
      <c r="C1193" s="3">
        <f>IFERROR(__xludf.DUMMYFUNCTION("""COMPUTED_VALUE"""),45.0)</f>
        <v>45</v>
      </c>
      <c r="D1193" s="3" t="str">
        <f>IFERROR(__xludf.DUMMYFUNCTION("""COMPUTED_VALUE"""),"6142f4ae")</f>
        <v>6142f4ae</v>
      </c>
      <c r="E1193" s="54">
        <f>IFERROR(__xludf.DUMMYFUNCTION("""COMPUTED_VALUE"""),30000.0)</f>
        <v>30000</v>
      </c>
      <c r="F1193" s="3" t="str">
        <f>IFERROR(__xludf.DUMMYFUNCTION("""COMPUTED_VALUE"""),"Syrah")</f>
        <v>Syrah</v>
      </c>
      <c r="G1193" s="55">
        <f>IFERROR(__xludf.DUMMYFUNCTION("""COMPUTED_VALUE"""),13.5)</f>
        <v>13.5</v>
      </c>
      <c r="H1193" s="3"/>
      <c r="I1193" s="3"/>
      <c r="J1193" s="3"/>
      <c r="K1193" s="57">
        <f>IFERROR(__xludf.DUMMYFUNCTION("""COMPUTED_VALUE"""),3.8)</f>
        <v>3.8</v>
      </c>
      <c r="L1193" s="54">
        <f>IFERROR(__xludf.DUMMYFUNCTION("""COMPUTED_VALUE"""),23.0)</f>
        <v>23</v>
      </c>
      <c r="M1193" s="3">
        <f>IFERROR(__xludf.DUMMYFUNCTION("""COMPUTED_VALUE"""),64.0)</f>
        <v>64</v>
      </c>
      <c r="N1193" s="3"/>
      <c r="O1193" s="3"/>
      <c r="P1193" s="3"/>
      <c r="Q1193" s="3">
        <f>IFERROR(__xludf.DUMMYFUNCTION("""COMPUTED_VALUE"""),5.0)</f>
        <v>5</v>
      </c>
      <c r="R1193" s="3">
        <f>IFERROR(__xludf.DUMMYFUNCTION("""COMPUTED_VALUE"""),5.0)</f>
        <v>5</v>
      </c>
      <c r="S1193" s="54">
        <f>IFERROR(__xludf.DUMMYFUNCTION("""COMPUTED_VALUE"""),64.0)</f>
        <v>64</v>
      </c>
      <c r="T1193" s="5"/>
      <c r="U1193" s="5"/>
      <c r="V1193" s="5"/>
      <c r="W1193" s="5"/>
    </row>
    <row r="1194" ht="15.75" customHeight="1">
      <c r="A1194" s="3">
        <f>IFERROR(__xludf.DUMMYFUNCTION("""COMPUTED_VALUE"""),1194.0)</f>
        <v>1194</v>
      </c>
      <c r="B1194" s="53">
        <f>IFERROR(__xludf.DUMMYFUNCTION("""COMPUTED_VALUE"""),45758.0)</f>
        <v>45758</v>
      </c>
      <c r="C1194" s="3">
        <f>IFERROR(__xludf.DUMMYFUNCTION("""COMPUTED_VALUE"""),41.0)</f>
        <v>41</v>
      </c>
      <c r="D1194" s="3" t="str">
        <f>IFERROR(__xludf.DUMMYFUNCTION("""COMPUTED_VALUE"""),"2169295d")</f>
        <v>2169295d</v>
      </c>
      <c r="E1194" s="54">
        <f>IFERROR(__xludf.DUMMYFUNCTION("""COMPUTED_VALUE"""),35100.0)</f>
        <v>35100</v>
      </c>
      <c r="F1194" s="3" t="str">
        <f>IFERROR(__xludf.DUMMYFUNCTION("""COMPUTED_VALUE"""),"Syrah Rect")</f>
        <v>Syrah Rect</v>
      </c>
      <c r="G1194" s="55">
        <f>IFERROR(__xludf.DUMMYFUNCTION("""COMPUTED_VALUE"""),13.8)</f>
        <v>13.8</v>
      </c>
      <c r="H1194" s="56">
        <f>IFERROR(__xludf.DUMMYFUNCTION("""COMPUTED_VALUE"""),4.09)</f>
        <v>4.09</v>
      </c>
      <c r="I1194" s="57">
        <f>IFERROR(__xludf.DUMMYFUNCTION("""COMPUTED_VALUE"""),0.4)</f>
        <v>0.4</v>
      </c>
      <c r="J1194" s="3"/>
      <c r="K1194" s="57">
        <f>IFERROR(__xludf.DUMMYFUNCTION("""COMPUTED_VALUE"""),3.77)</f>
        <v>3.77</v>
      </c>
      <c r="L1194" s="3"/>
      <c r="M1194" s="3"/>
      <c r="N1194" s="3"/>
      <c r="O1194" s="3"/>
      <c r="P1194" s="3"/>
      <c r="Q1194" s="3"/>
      <c r="R1194" s="3"/>
      <c r="S1194" s="3"/>
      <c r="T1194" s="5"/>
      <c r="U1194" s="5"/>
      <c r="V1194" s="5"/>
      <c r="W1194" s="5"/>
    </row>
    <row r="1195" ht="15.75" customHeight="1">
      <c r="A1195" s="3">
        <f>IFERROR(__xludf.DUMMYFUNCTION("""COMPUTED_VALUE"""),1195.0)</f>
        <v>1195</v>
      </c>
      <c r="B1195" s="53">
        <f>IFERROR(__xludf.DUMMYFUNCTION("""COMPUTED_VALUE"""),45759.0)</f>
        <v>45759</v>
      </c>
      <c r="C1195" s="3">
        <f>IFERROR(__xludf.DUMMYFUNCTION("""COMPUTED_VALUE"""),73.0)</f>
        <v>73</v>
      </c>
      <c r="D1195" s="3" t="str">
        <f>IFERROR(__xludf.DUMMYFUNCTION("""COMPUTED_VALUE"""),"5b2f3285")</f>
        <v>5b2f3285</v>
      </c>
      <c r="E1195" s="54">
        <f>IFERROR(__xludf.DUMMYFUNCTION("""COMPUTED_VALUE"""),4200.0)</f>
        <v>4200</v>
      </c>
      <c r="F1195" s="3" t="str">
        <f>IFERROR(__xludf.DUMMYFUNCTION("""COMPUTED_VALUE"""),"Chardonnay")</f>
        <v>Chardonnay</v>
      </c>
      <c r="G1195" s="3"/>
      <c r="H1195" s="56">
        <f>IFERROR(__xludf.DUMMYFUNCTION("""COMPUTED_VALUE"""),330.0)</f>
        <v>330</v>
      </c>
      <c r="I1195" s="3"/>
      <c r="J1195" s="3"/>
      <c r="K1195" s="57">
        <f>IFERROR(__xludf.DUMMYFUNCTION("""COMPUTED_VALUE"""),4.1)</f>
        <v>4.1</v>
      </c>
      <c r="L1195" s="54">
        <f>IFERROR(__xludf.DUMMYFUNCTION("""COMPUTED_VALUE"""),23.0)</f>
        <v>23</v>
      </c>
      <c r="M1195" s="3"/>
      <c r="N1195" s="3"/>
      <c r="O1195" s="3"/>
      <c r="P1195" s="3"/>
      <c r="Q1195" s="3"/>
      <c r="R1195" s="3"/>
      <c r="S1195" s="3"/>
      <c r="T1195" s="5"/>
      <c r="U1195" s="5"/>
      <c r="V1195" s="5"/>
      <c r="W1195" s="5"/>
    </row>
    <row r="1196" ht="15.75" customHeight="1">
      <c r="A1196" s="3">
        <f>IFERROR(__xludf.DUMMYFUNCTION("""COMPUTED_VALUE"""),1196.0)</f>
        <v>1196</v>
      </c>
      <c r="B1196" s="53">
        <f>IFERROR(__xludf.DUMMYFUNCTION("""COMPUTED_VALUE"""),45759.0)</f>
        <v>45759</v>
      </c>
      <c r="C1196" s="3">
        <f>IFERROR(__xludf.DUMMYFUNCTION("""COMPUTED_VALUE"""),83.0)</f>
        <v>83</v>
      </c>
      <c r="D1196" s="3" t="str">
        <f>IFERROR(__xludf.DUMMYFUNCTION("""COMPUTED_VALUE"""),"fd6b223b")</f>
        <v>fd6b223b</v>
      </c>
      <c r="E1196" s="54">
        <f>IFERROR(__xludf.DUMMYFUNCTION("""COMPUTED_VALUE"""),50000.0)</f>
        <v>50000</v>
      </c>
      <c r="F1196" s="3" t="str">
        <f>IFERROR(__xludf.DUMMYFUNCTION("""COMPUTED_VALUE"""),"Criolla Flotada")</f>
        <v>Criolla Flotada</v>
      </c>
      <c r="G1196" s="3"/>
      <c r="H1196" s="56">
        <f>IFERROR(__xludf.DUMMYFUNCTION("""COMPUTED_VALUE"""),250.0)</f>
        <v>250</v>
      </c>
      <c r="I1196" s="3"/>
      <c r="J1196" s="3"/>
      <c r="K1196" s="57">
        <f>IFERROR(__xludf.DUMMYFUNCTION("""COMPUTED_VALUE"""),3.9)</f>
        <v>3.9</v>
      </c>
      <c r="L1196" s="54">
        <f>IFERROR(__xludf.DUMMYFUNCTION("""COMPUTED_VALUE"""),40.0)</f>
        <v>40</v>
      </c>
      <c r="M1196" s="3"/>
      <c r="N1196" s="3"/>
      <c r="O1196" s="3"/>
      <c r="P1196" s="3"/>
      <c r="Q1196" s="3"/>
      <c r="R1196" s="3"/>
      <c r="S1196" s="3"/>
      <c r="T1196" s="5"/>
      <c r="U1196" s="5"/>
      <c r="V1196" s="5"/>
      <c r="W1196" s="5"/>
    </row>
    <row r="1197" ht="15.75" customHeight="1">
      <c r="A1197" s="3">
        <f>IFERROR(__xludf.DUMMYFUNCTION("""COMPUTED_VALUE"""),1197.0)</f>
        <v>1197</v>
      </c>
      <c r="B1197" s="53">
        <f>IFERROR(__xludf.DUMMYFUNCTION("""COMPUTED_VALUE"""),45759.0)</f>
        <v>45759</v>
      </c>
      <c r="C1197" s="3">
        <f>IFERROR(__xludf.DUMMYFUNCTION("""COMPUTED_VALUE"""),76.0)</f>
        <v>76</v>
      </c>
      <c r="D1197" s="3" t="str">
        <f>IFERROR(__xludf.DUMMYFUNCTION("""COMPUTED_VALUE"""),"14e4f6ad")</f>
        <v>14e4f6ad</v>
      </c>
      <c r="E1197" s="54">
        <f>IFERROR(__xludf.DUMMYFUNCTION("""COMPUTED_VALUE"""),16000.0)</f>
        <v>16000</v>
      </c>
      <c r="F1197" s="3" t="str">
        <f>IFERROR(__xludf.DUMMYFUNCTION("""COMPUTED_VALUE"""),"Malbec")</f>
        <v>Malbec</v>
      </c>
      <c r="G1197" s="3"/>
      <c r="H1197" s="56">
        <f>IFERROR(__xludf.DUMMYFUNCTION("""COMPUTED_VALUE"""),250.0)</f>
        <v>250</v>
      </c>
      <c r="I1197" s="3"/>
      <c r="J1197" s="3"/>
      <c r="K1197" s="57">
        <f>IFERROR(__xludf.DUMMYFUNCTION("""COMPUTED_VALUE"""),4.1)</f>
        <v>4.1</v>
      </c>
      <c r="L1197" s="54">
        <f>IFERROR(__xludf.DUMMYFUNCTION("""COMPUTED_VALUE"""),12.0)</f>
        <v>12</v>
      </c>
      <c r="M1197" s="3"/>
      <c r="N1197" s="3"/>
      <c r="O1197" s="3"/>
      <c r="P1197" s="3"/>
      <c r="Q1197" s="3"/>
      <c r="R1197" s="3"/>
      <c r="S1197" s="3"/>
      <c r="T1197" s="5"/>
      <c r="U1197" s="5"/>
      <c r="V1197" s="5"/>
      <c r="W1197" s="5"/>
    </row>
    <row r="1198" ht="15.75" customHeight="1">
      <c r="A1198" s="3">
        <f>IFERROR(__xludf.DUMMYFUNCTION("""COMPUTED_VALUE"""),1198.0)</f>
        <v>1198</v>
      </c>
      <c r="B1198" s="53">
        <f>IFERROR(__xludf.DUMMYFUNCTION("""COMPUTED_VALUE"""),45759.0)</f>
        <v>45759</v>
      </c>
      <c r="C1198" s="3">
        <f>IFERROR(__xludf.DUMMYFUNCTION("""COMPUTED_VALUE"""),77.0)</f>
        <v>77</v>
      </c>
      <c r="D1198" s="3" t="str">
        <f>IFERROR(__xludf.DUMMYFUNCTION("""COMPUTED_VALUE"""),"17539ce3")</f>
        <v>17539ce3</v>
      </c>
      <c r="E1198" s="54">
        <f>IFERROR(__xludf.DUMMYFUNCTION("""COMPUTED_VALUE"""),10500.0)</f>
        <v>10500</v>
      </c>
      <c r="F1198" s="3" t="str">
        <f>IFERROR(__xludf.DUMMYFUNCTION("""COMPUTED_VALUE"""),"Malbec")</f>
        <v>Malbec</v>
      </c>
      <c r="G1198" s="3"/>
      <c r="H1198" s="56">
        <f>IFERROR(__xludf.DUMMYFUNCTION("""COMPUTED_VALUE"""),270.0)</f>
        <v>270</v>
      </c>
      <c r="I1198" s="3"/>
      <c r="J1198" s="3"/>
      <c r="K1198" s="57">
        <f>IFERROR(__xludf.DUMMYFUNCTION("""COMPUTED_VALUE"""),4.09)</f>
        <v>4.09</v>
      </c>
      <c r="L1198" s="54">
        <f>IFERROR(__xludf.DUMMYFUNCTION("""COMPUTED_VALUE"""),14.0)</f>
        <v>14</v>
      </c>
      <c r="M1198" s="3"/>
      <c r="N1198" s="3"/>
      <c r="O1198" s="3"/>
      <c r="P1198" s="3"/>
      <c r="Q1198" s="3"/>
      <c r="R1198" s="3"/>
      <c r="S1198" s="3"/>
      <c r="T1198" s="5"/>
      <c r="U1198" s="5"/>
      <c r="V1198" s="5"/>
      <c r="W1198" s="5"/>
    </row>
    <row r="1199" ht="15.75" customHeight="1">
      <c r="A1199" s="3">
        <f>IFERROR(__xludf.DUMMYFUNCTION("""COMPUTED_VALUE"""),1199.0)</f>
        <v>1199</v>
      </c>
      <c r="B1199" s="53">
        <f>IFERROR(__xludf.DUMMYFUNCTION("""COMPUTED_VALUE"""),45759.0)</f>
        <v>45759</v>
      </c>
      <c r="C1199" s="3">
        <f>IFERROR(__xludf.DUMMYFUNCTION("""COMPUTED_VALUE"""),69.0)</f>
        <v>69</v>
      </c>
      <c r="D1199" s="3" t="str">
        <f>IFERROR(__xludf.DUMMYFUNCTION("""COMPUTED_VALUE"""),"7c26092b")</f>
        <v>7c26092b</v>
      </c>
      <c r="E1199" s="54">
        <f>IFERROR(__xludf.DUMMYFUNCTION("""COMPUTED_VALUE"""),7200.0)</f>
        <v>7200</v>
      </c>
      <c r="F1199" s="3" t="str">
        <f>IFERROR(__xludf.DUMMYFUNCTION("""COMPUTED_VALUE"""),"Chardonnay")</f>
        <v>Chardonnay</v>
      </c>
      <c r="G1199" s="3"/>
      <c r="H1199" s="56">
        <f>IFERROR(__xludf.DUMMYFUNCTION("""COMPUTED_VALUE"""),265.0)</f>
        <v>265</v>
      </c>
      <c r="I1199" s="3"/>
      <c r="J1199" s="3"/>
      <c r="K1199" s="57">
        <f>IFERROR(__xludf.DUMMYFUNCTION("""COMPUTED_VALUE"""),3.94)</f>
        <v>3.94</v>
      </c>
      <c r="L1199" s="54">
        <f>IFERROR(__xludf.DUMMYFUNCTION("""COMPUTED_VALUE"""),12.0)</f>
        <v>12</v>
      </c>
      <c r="M1199" s="3"/>
      <c r="N1199" s="3"/>
      <c r="O1199" s="3"/>
      <c r="P1199" s="3"/>
      <c r="Q1199" s="3"/>
      <c r="R1199" s="3"/>
      <c r="S1199" s="3"/>
      <c r="T1199" s="5"/>
      <c r="U1199" s="5"/>
      <c r="V1199" s="5"/>
      <c r="W1199" s="5"/>
    </row>
    <row r="1200" ht="15.75" customHeight="1">
      <c r="A1200" s="3">
        <f>IFERROR(__xludf.DUMMYFUNCTION("""COMPUTED_VALUE"""),1200.0)</f>
        <v>1200</v>
      </c>
      <c r="B1200" s="53">
        <f>IFERROR(__xludf.DUMMYFUNCTION("""COMPUTED_VALUE"""),45759.0)</f>
        <v>45759</v>
      </c>
      <c r="C1200" s="3">
        <f>IFERROR(__xludf.DUMMYFUNCTION("""COMPUTED_VALUE"""),86.0)</f>
        <v>86</v>
      </c>
      <c r="D1200" s="3" t="str">
        <f>IFERROR(__xludf.DUMMYFUNCTION("""COMPUTED_VALUE"""),"8d8607b8")</f>
        <v>8d8607b8</v>
      </c>
      <c r="E1200" s="54">
        <f>IFERROR(__xludf.DUMMYFUNCTION("""COMPUTED_VALUE"""),50000.0)</f>
        <v>50000</v>
      </c>
      <c r="F1200" s="3" t="str">
        <f>IFERROR(__xludf.DUMMYFUNCTION("""COMPUTED_VALUE"""),"Bonarda")</f>
        <v>Bonarda</v>
      </c>
      <c r="G1200" s="3"/>
      <c r="H1200" s="56">
        <f>IFERROR(__xludf.DUMMYFUNCTION("""COMPUTED_VALUE"""),21.4)</f>
        <v>21.4</v>
      </c>
      <c r="I1200" s="3"/>
      <c r="J1200" s="3"/>
      <c r="K1200" s="57">
        <f>IFERROR(__xludf.DUMMYFUNCTION("""COMPUTED_VALUE"""),3.75)</f>
        <v>3.75</v>
      </c>
      <c r="L1200" s="54">
        <f>IFERROR(__xludf.DUMMYFUNCTION("""COMPUTED_VALUE"""),12.0)</f>
        <v>12</v>
      </c>
      <c r="M1200" s="3"/>
      <c r="N1200" s="3"/>
      <c r="O1200" s="3"/>
      <c r="P1200" s="3"/>
      <c r="Q1200" s="3"/>
      <c r="R1200" s="3"/>
      <c r="S1200" s="3"/>
      <c r="T1200" s="5"/>
      <c r="U1200" s="5"/>
      <c r="V1200" s="5"/>
      <c r="W1200" s="5"/>
    </row>
    <row r="1201" ht="15.75" customHeight="1">
      <c r="A1201" s="3">
        <f>IFERROR(__xludf.DUMMYFUNCTION("""COMPUTED_VALUE"""),1201.0)</f>
        <v>1201</v>
      </c>
      <c r="B1201" s="53">
        <f>IFERROR(__xludf.DUMMYFUNCTION("""COMPUTED_VALUE"""),45759.0)</f>
        <v>45759</v>
      </c>
      <c r="C1201" s="3">
        <f>IFERROR(__xludf.DUMMYFUNCTION("""COMPUTED_VALUE"""),67.0)</f>
        <v>67</v>
      </c>
      <c r="D1201" s="3" t="str">
        <f>IFERROR(__xludf.DUMMYFUNCTION("""COMPUTED_VALUE"""),"ae5925ab")</f>
        <v>ae5925ab</v>
      </c>
      <c r="E1201" s="54">
        <f>IFERROR(__xludf.DUMMYFUNCTION("""COMPUTED_VALUE"""),18000.0)</f>
        <v>18000</v>
      </c>
      <c r="F1201" s="3" t="str">
        <f>IFERROR(__xludf.DUMMYFUNCTION("""COMPUTED_VALUE"""),"Cabernet Sauvignon")</f>
        <v>Cabernet Sauvignon</v>
      </c>
      <c r="G1201" s="3"/>
      <c r="H1201" s="56">
        <f>IFERROR(__xludf.DUMMYFUNCTION("""COMPUTED_VALUE"""),23.0)</f>
        <v>23</v>
      </c>
      <c r="I1201" s="3"/>
      <c r="J1201" s="3"/>
      <c r="K1201" s="57">
        <f>IFERROR(__xludf.DUMMYFUNCTION("""COMPUTED_VALUE"""),3.9)</f>
        <v>3.9</v>
      </c>
      <c r="L1201" s="54">
        <f>IFERROR(__xludf.DUMMYFUNCTION("""COMPUTED_VALUE"""),12.0)</f>
        <v>12</v>
      </c>
      <c r="M1201" s="3"/>
      <c r="N1201" s="3"/>
      <c r="O1201" s="3"/>
      <c r="P1201" s="3"/>
      <c r="Q1201" s="3"/>
      <c r="R1201" s="3"/>
      <c r="S1201" s="3"/>
      <c r="T1201" s="5"/>
      <c r="U1201" s="5"/>
      <c r="V1201" s="5"/>
      <c r="W1201" s="5"/>
    </row>
    <row r="1202" ht="15.75" customHeight="1">
      <c r="A1202" s="3">
        <f>IFERROR(__xludf.DUMMYFUNCTION("""COMPUTED_VALUE"""),1202.0)</f>
        <v>1202</v>
      </c>
      <c r="B1202" s="53">
        <f>IFERROR(__xludf.DUMMYFUNCTION("""COMPUTED_VALUE"""),45761.0)</f>
        <v>45761</v>
      </c>
      <c r="C1202" s="3">
        <f>IFERROR(__xludf.DUMMYFUNCTION("""COMPUTED_VALUE"""),8.0)</f>
        <v>8</v>
      </c>
      <c r="D1202" s="3" t="str">
        <f>IFERROR(__xludf.DUMMYFUNCTION("""COMPUTED_VALUE"""),"376dbee6")</f>
        <v>376dbee6</v>
      </c>
      <c r="E1202" s="54">
        <f>IFERROR(__xludf.DUMMYFUNCTION("""COMPUTED_VALUE"""),22000.0)</f>
        <v>22000</v>
      </c>
      <c r="F1202" s="3" t="str">
        <f>IFERROR(__xludf.DUMMYFUNCTION("""COMPUTED_VALUE"""),"Chardonnay")</f>
        <v>Chardonnay</v>
      </c>
      <c r="G1202" s="3"/>
      <c r="H1202" s="3"/>
      <c r="I1202" s="3"/>
      <c r="J1202" s="3"/>
      <c r="K1202" s="57">
        <f>IFERROR(__xludf.DUMMYFUNCTION("""COMPUTED_VALUE"""),3.44)</f>
        <v>3.44</v>
      </c>
      <c r="L1202" s="54">
        <f>IFERROR(__xludf.DUMMYFUNCTION("""COMPUTED_VALUE"""),38.0)</f>
        <v>38</v>
      </c>
      <c r="M1202" s="3">
        <f>IFERROR(__xludf.DUMMYFUNCTION("""COMPUTED_VALUE"""),98.0)</f>
        <v>98</v>
      </c>
      <c r="N1202" s="3"/>
      <c r="O1202" s="3"/>
      <c r="P1202" s="3"/>
      <c r="Q1202" s="3"/>
      <c r="R1202" s="3"/>
      <c r="S1202" s="3"/>
      <c r="T1202" s="5"/>
      <c r="U1202" s="5"/>
      <c r="V1202" s="5"/>
      <c r="W1202" s="5"/>
    </row>
    <row r="1203" ht="15.75" customHeight="1">
      <c r="A1203" s="3">
        <f>IFERROR(__xludf.DUMMYFUNCTION("""COMPUTED_VALUE"""),1203.0)</f>
        <v>1203</v>
      </c>
      <c r="B1203" s="53">
        <f>IFERROR(__xludf.DUMMYFUNCTION("""COMPUTED_VALUE"""),45761.0)</f>
        <v>45761</v>
      </c>
      <c r="C1203" s="3">
        <f>IFERROR(__xludf.DUMMYFUNCTION("""COMPUTED_VALUE"""),9.0)</f>
        <v>9</v>
      </c>
      <c r="D1203" s="3" t="str">
        <f>IFERROR(__xludf.DUMMYFUNCTION("""COMPUTED_VALUE"""),"b73d8cd1")</f>
        <v>b73d8cd1</v>
      </c>
      <c r="E1203" s="54">
        <f>IFERROR(__xludf.DUMMYFUNCTION("""COMPUTED_VALUE"""),30000.0)</f>
        <v>30000</v>
      </c>
      <c r="F1203" s="3" t="str">
        <f>IFERROR(__xludf.DUMMYFUNCTION("""COMPUTED_VALUE"""),"Chardonnay")</f>
        <v>Chardonnay</v>
      </c>
      <c r="G1203" s="3"/>
      <c r="H1203" s="3"/>
      <c r="I1203" s="3"/>
      <c r="J1203" s="3"/>
      <c r="K1203" s="57">
        <f>IFERROR(__xludf.DUMMYFUNCTION("""COMPUTED_VALUE"""),3.3)</f>
        <v>3.3</v>
      </c>
      <c r="L1203" s="54">
        <f>IFERROR(__xludf.DUMMYFUNCTION("""COMPUTED_VALUE"""),36.0)</f>
        <v>36</v>
      </c>
      <c r="M1203" s="3">
        <f>IFERROR(__xludf.DUMMYFUNCTION("""COMPUTED_VALUE"""),143.0)</f>
        <v>143</v>
      </c>
      <c r="N1203" s="3"/>
      <c r="O1203" s="3"/>
      <c r="P1203" s="3"/>
      <c r="Q1203" s="3"/>
      <c r="R1203" s="3"/>
      <c r="S1203" s="3"/>
      <c r="T1203" s="5"/>
      <c r="U1203" s="5"/>
      <c r="V1203" s="5"/>
      <c r="W1203" s="5"/>
    </row>
    <row r="1204" ht="15.75" customHeight="1">
      <c r="A1204" s="3">
        <f>IFERROR(__xludf.DUMMYFUNCTION("""COMPUTED_VALUE"""),1204.0)</f>
        <v>1204</v>
      </c>
      <c r="B1204" s="53">
        <f>IFERROR(__xludf.DUMMYFUNCTION("""COMPUTED_VALUE"""),45761.0)</f>
        <v>45761</v>
      </c>
      <c r="C1204" s="3">
        <f>IFERROR(__xludf.DUMMYFUNCTION("""COMPUTED_VALUE"""),10.0)</f>
        <v>10</v>
      </c>
      <c r="D1204" s="3" t="str">
        <f>IFERROR(__xludf.DUMMYFUNCTION("""COMPUTED_VALUE"""),"f9bf68a3")</f>
        <v>f9bf68a3</v>
      </c>
      <c r="E1204" s="54">
        <f>IFERROR(__xludf.DUMMYFUNCTION("""COMPUTED_VALUE"""),21000.0)</f>
        <v>21000</v>
      </c>
      <c r="F1204" s="3" t="str">
        <f>IFERROR(__xludf.DUMMYFUNCTION("""COMPUTED_VALUE"""),"Chardonnay")</f>
        <v>Chardonnay</v>
      </c>
      <c r="G1204" s="3"/>
      <c r="H1204" s="3"/>
      <c r="I1204" s="3"/>
      <c r="J1204" s="3"/>
      <c r="K1204" s="57">
        <f>IFERROR(__xludf.DUMMYFUNCTION("""COMPUTED_VALUE"""),3.31)</f>
        <v>3.31</v>
      </c>
      <c r="L1204" s="54">
        <f>IFERROR(__xludf.DUMMYFUNCTION("""COMPUTED_VALUE"""),34.0)</f>
        <v>34</v>
      </c>
      <c r="M1204" s="3">
        <f>IFERROR(__xludf.DUMMYFUNCTION("""COMPUTED_VALUE"""),124.0)</f>
        <v>124</v>
      </c>
      <c r="N1204" s="3"/>
      <c r="O1204" s="3">
        <f>IFERROR(__xludf.DUMMYFUNCTION("""COMPUTED_VALUE"""),0.0)</f>
        <v>0</v>
      </c>
      <c r="P1204" s="3"/>
      <c r="Q1204" s="3"/>
      <c r="R1204" s="3"/>
      <c r="S1204" s="3"/>
      <c r="T1204" s="5"/>
      <c r="U1204" s="5"/>
      <c r="V1204" s="5"/>
      <c r="W1204" s="5"/>
    </row>
    <row r="1205" ht="15.75" customHeight="1">
      <c r="A1205" s="3">
        <f>IFERROR(__xludf.DUMMYFUNCTION("""COMPUTED_VALUE"""),1205.0)</f>
        <v>1205</v>
      </c>
      <c r="B1205" s="53">
        <f>IFERROR(__xludf.DUMMYFUNCTION("""COMPUTED_VALUE"""),45761.0)</f>
        <v>45761</v>
      </c>
      <c r="C1205" s="3">
        <f>IFERROR(__xludf.DUMMYFUNCTION("""COMPUTED_VALUE"""),24.0)</f>
        <v>24</v>
      </c>
      <c r="D1205" s="3" t="str">
        <f>IFERROR(__xludf.DUMMYFUNCTION("""COMPUTED_VALUE"""),"7efc7da2")</f>
        <v>7efc7da2</v>
      </c>
      <c r="E1205" s="54">
        <f>IFERROR(__xludf.DUMMYFUNCTION("""COMPUTED_VALUE"""),186600.0)</f>
        <v>186600</v>
      </c>
      <c r="F1205" s="3" t="str">
        <f>IFERROR(__xludf.DUMMYFUNCTION("""COMPUTED_VALUE"""),"Bonarda C2")</f>
        <v>Bonarda C2</v>
      </c>
      <c r="G1205" s="3"/>
      <c r="H1205" s="3"/>
      <c r="I1205" s="3"/>
      <c r="J1205" s="3"/>
      <c r="K1205" s="57">
        <f>IFERROR(__xludf.DUMMYFUNCTION("""COMPUTED_VALUE"""),3.89)</f>
        <v>3.89</v>
      </c>
      <c r="L1205" s="54">
        <f>IFERROR(__xludf.DUMMYFUNCTION("""COMPUTED_VALUE"""),30.0)</f>
        <v>30</v>
      </c>
      <c r="M1205" s="3">
        <f>IFERROR(__xludf.DUMMYFUNCTION("""COMPUTED_VALUE"""),92.0)</f>
        <v>92</v>
      </c>
      <c r="N1205" s="3"/>
      <c r="O1205" s="3">
        <f>IFERROR(__xludf.DUMMYFUNCTION("""COMPUTED_VALUE"""),7.2)</f>
        <v>7.2</v>
      </c>
      <c r="P1205" s="3">
        <f>IFERROR(__xludf.DUMMYFUNCTION("""COMPUTED_VALUE"""),7.2)</f>
        <v>7.2</v>
      </c>
      <c r="Q1205" s="3">
        <f>IFERROR(__xludf.DUMMYFUNCTION("""COMPUTED_VALUE"""),92.16000000000001)</f>
        <v>92.16</v>
      </c>
      <c r="R1205" s="3"/>
      <c r="S1205" s="54">
        <f>IFERROR(__xludf.DUMMYFUNCTION("""COMPUTED_VALUE"""),0.0)</f>
        <v>0</v>
      </c>
      <c r="T1205" s="5"/>
      <c r="U1205" s="5"/>
      <c r="V1205" s="5"/>
      <c r="W1205" s="5"/>
    </row>
    <row r="1206" ht="15.75" customHeight="1">
      <c r="A1206" s="3">
        <f>IFERROR(__xludf.DUMMYFUNCTION("""COMPUTED_VALUE"""),1206.0)</f>
        <v>1206</v>
      </c>
      <c r="B1206" s="53">
        <f>IFERROR(__xludf.DUMMYFUNCTION("""COMPUTED_VALUE"""),45761.0)</f>
        <v>45761</v>
      </c>
      <c r="C1206" s="3">
        <f>IFERROR(__xludf.DUMMYFUNCTION("""COMPUTED_VALUE"""),25.0)</f>
        <v>25</v>
      </c>
      <c r="D1206" s="3" t="str">
        <f>IFERROR(__xludf.DUMMYFUNCTION("""COMPUTED_VALUE"""),"a6d28e88")</f>
        <v>a6d28e88</v>
      </c>
      <c r="E1206" s="54">
        <f>IFERROR(__xludf.DUMMYFUNCTION("""COMPUTED_VALUE"""),194300.0)</f>
        <v>194300</v>
      </c>
      <c r="F1206" s="3" t="str">
        <f>IFERROR(__xludf.DUMMYFUNCTION("""COMPUTED_VALUE"""),"Syrah")</f>
        <v>Syrah</v>
      </c>
      <c r="G1206" s="3"/>
      <c r="H1206" s="3"/>
      <c r="I1206" s="3"/>
      <c r="J1206" s="3"/>
      <c r="K1206" s="57">
        <f>IFERROR(__xludf.DUMMYFUNCTION("""COMPUTED_VALUE"""),3.75)</f>
        <v>3.75</v>
      </c>
      <c r="L1206" s="54">
        <f>IFERROR(__xludf.DUMMYFUNCTION("""COMPUTED_VALUE"""),33.0)</f>
        <v>33</v>
      </c>
      <c r="M1206" s="3">
        <f>IFERROR(__xludf.DUMMYFUNCTION("""COMPUTED_VALUE"""),101.0)</f>
        <v>101</v>
      </c>
      <c r="N1206" s="3"/>
      <c r="O1206" s="3">
        <f>IFERROR(__xludf.DUMMYFUNCTION("""COMPUTED_VALUE"""),0.0)</f>
        <v>0</v>
      </c>
      <c r="P1206" s="3">
        <f>IFERROR(__xludf.DUMMYFUNCTION("""COMPUTED_VALUE"""),-7.2)</f>
        <v>-7.2</v>
      </c>
      <c r="Q1206" s="3">
        <f>IFERROR(__xludf.DUMMYFUNCTION("""COMPUTED_VALUE"""),-92.16000000000001)</f>
        <v>-92.16</v>
      </c>
      <c r="R1206" s="3"/>
      <c r="S1206" s="3"/>
      <c r="T1206" s="5"/>
      <c r="U1206" s="5"/>
      <c r="V1206" s="5"/>
      <c r="W1206" s="5"/>
    </row>
    <row r="1207" ht="15.75" customHeight="1">
      <c r="A1207" s="3">
        <f>IFERROR(__xludf.DUMMYFUNCTION("""COMPUTED_VALUE"""),1207.0)</f>
        <v>1207</v>
      </c>
      <c r="B1207" s="53">
        <f>IFERROR(__xludf.DUMMYFUNCTION("""COMPUTED_VALUE"""),45761.0)</f>
        <v>45761</v>
      </c>
      <c r="C1207" s="3">
        <f>IFERROR(__xludf.DUMMYFUNCTION("""COMPUTED_VALUE"""),26.0)</f>
        <v>26</v>
      </c>
      <c r="D1207" s="3" t="str">
        <f>IFERROR(__xludf.DUMMYFUNCTION("""COMPUTED_VALUE"""),"efada090")</f>
        <v>efada090</v>
      </c>
      <c r="E1207" s="54">
        <f>IFERROR(__xludf.DUMMYFUNCTION("""COMPUTED_VALUE"""),207600.0)</f>
        <v>207600</v>
      </c>
      <c r="F1207" s="3" t="str">
        <f>IFERROR(__xludf.DUMMYFUNCTION("""COMPUTED_VALUE"""),"Syrah")</f>
        <v>Syrah</v>
      </c>
      <c r="G1207" s="3"/>
      <c r="H1207" s="3"/>
      <c r="I1207" s="3"/>
      <c r="J1207" s="3"/>
      <c r="K1207" s="57">
        <f>IFERROR(__xludf.DUMMYFUNCTION("""COMPUTED_VALUE"""),3.77)</f>
        <v>3.77</v>
      </c>
      <c r="L1207" s="54">
        <f>IFERROR(__xludf.DUMMYFUNCTION("""COMPUTED_VALUE"""),25.0)</f>
        <v>25</v>
      </c>
      <c r="M1207" s="3">
        <f>IFERROR(__xludf.DUMMYFUNCTION("""COMPUTED_VALUE"""),98.0)</f>
        <v>98</v>
      </c>
      <c r="N1207" s="3"/>
      <c r="O1207" s="3">
        <f>IFERROR(__xludf.DUMMYFUNCTION("""COMPUTED_VALUE"""),7.7)</f>
        <v>7.7</v>
      </c>
      <c r="P1207" s="3">
        <f>IFERROR(__xludf.DUMMYFUNCTION("""COMPUTED_VALUE"""),7.7)</f>
        <v>7.7</v>
      </c>
      <c r="Q1207" s="3">
        <f>IFERROR(__xludf.DUMMYFUNCTION("""COMPUTED_VALUE"""),98.56)</f>
        <v>98.56</v>
      </c>
      <c r="R1207" s="3"/>
      <c r="S1207" s="54">
        <f>IFERROR(__xludf.DUMMYFUNCTION("""COMPUTED_VALUE"""),0.0)</f>
        <v>0</v>
      </c>
      <c r="T1207" s="5"/>
      <c r="U1207" s="5"/>
      <c r="V1207" s="5"/>
      <c r="W1207" s="5"/>
    </row>
    <row r="1208" ht="15.75" customHeight="1">
      <c r="A1208" s="3">
        <f>IFERROR(__xludf.DUMMYFUNCTION("""COMPUTED_VALUE"""),1208.0)</f>
        <v>1208</v>
      </c>
      <c r="B1208" s="53">
        <f>IFERROR(__xludf.DUMMYFUNCTION("""COMPUTED_VALUE"""),45761.0)</f>
        <v>45761</v>
      </c>
      <c r="C1208" s="3">
        <f>IFERROR(__xludf.DUMMYFUNCTION("""COMPUTED_VALUE"""),42.0)</f>
        <v>42</v>
      </c>
      <c r="D1208" s="3" t="str">
        <f>IFERROR(__xludf.DUMMYFUNCTION("""COMPUTED_VALUE"""),"0d46ca84")</f>
        <v>0d46ca84</v>
      </c>
      <c r="E1208" s="54">
        <f>IFERROR(__xludf.DUMMYFUNCTION("""COMPUTED_VALUE"""),35900.0)</f>
        <v>35900</v>
      </c>
      <c r="F1208" s="3" t="str">
        <f>IFERROR(__xludf.DUMMYFUNCTION("""COMPUTED_VALUE"""),"Aspirant Anccelota Gota")</f>
        <v>Aspirant Anccelota Gota</v>
      </c>
      <c r="G1208" s="3"/>
      <c r="H1208" s="3"/>
      <c r="I1208" s="3"/>
      <c r="J1208" s="3"/>
      <c r="K1208" s="57">
        <f>IFERROR(__xludf.DUMMYFUNCTION("""COMPUTED_VALUE"""),3.69)</f>
        <v>3.69</v>
      </c>
      <c r="L1208" s="54">
        <f>IFERROR(__xludf.DUMMYFUNCTION("""COMPUTED_VALUE"""),51.0)</f>
        <v>51</v>
      </c>
      <c r="M1208" s="3">
        <f>IFERROR(__xludf.DUMMYFUNCTION("""COMPUTED_VALUE"""),78.0)</f>
        <v>78</v>
      </c>
      <c r="N1208" s="3"/>
      <c r="O1208" s="3">
        <f>IFERROR(__xludf.DUMMYFUNCTION("""COMPUTED_VALUE"""),13.8)</f>
        <v>13.8</v>
      </c>
      <c r="P1208" s="3">
        <f>IFERROR(__xludf.DUMMYFUNCTION("""COMPUTED_VALUE"""),6.1000000000000005)</f>
        <v>6.1</v>
      </c>
      <c r="Q1208" s="3">
        <f>IFERROR(__xludf.DUMMYFUNCTION("""COMPUTED_VALUE"""),78.08000000000001)</f>
        <v>78.08</v>
      </c>
      <c r="R1208" s="3"/>
      <c r="S1208" s="54">
        <f>IFERROR(__xludf.DUMMYFUNCTION("""COMPUTED_VALUE"""),0.0)</f>
        <v>0</v>
      </c>
      <c r="T1208" s="5"/>
      <c r="U1208" s="5"/>
      <c r="V1208" s="5"/>
      <c r="W1208" s="5"/>
    </row>
    <row r="1209" ht="15.75" customHeight="1">
      <c r="A1209" s="3">
        <f>IFERROR(__xludf.DUMMYFUNCTION("""COMPUTED_VALUE"""),1209.0)</f>
        <v>1209</v>
      </c>
      <c r="B1209" s="53">
        <f>IFERROR(__xludf.DUMMYFUNCTION("""COMPUTED_VALUE"""),45761.0)</f>
        <v>45761</v>
      </c>
      <c r="C1209" s="3">
        <f>IFERROR(__xludf.DUMMYFUNCTION("""COMPUTED_VALUE"""),46.0)</f>
        <v>46</v>
      </c>
      <c r="D1209" s="3" t="str">
        <f>IFERROR(__xludf.DUMMYFUNCTION("""COMPUTED_VALUE"""),"92bbed34")</f>
        <v>92bbed34</v>
      </c>
      <c r="E1209" s="54">
        <f>IFERROR(__xludf.DUMMYFUNCTION("""COMPUTED_VALUE"""),29000.0)</f>
        <v>29000</v>
      </c>
      <c r="F1209" s="3" t="str">
        <f>IFERROR(__xludf.DUMMYFUNCTION("""COMPUTED_VALUE"""),"Malbec Gota")</f>
        <v>Malbec Gota</v>
      </c>
      <c r="G1209" s="3"/>
      <c r="H1209" s="3"/>
      <c r="I1209" s="3"/>
      <c r="J1209" s="3"/>
      <c r="K1209" s="57">
        <f>IFERROR(__xludf.DUMMYFUNCTION("""COMPUTED_VALUE"""),3.57)</f>
        <v>3.57</v>
      </c>
      <c r="L1209" s="54">
        <f>IFERROR(__xludf.DUMMYFUNCTION("""COMPUTED_VALUE"""),35.0)</f>
        <v>35</v>
      </c>
      <c r="M1209" s="3">
        <f>IFERROR(__xludf.DUMMYFUNCTION("""COMPUTED_VALUE"""),101.0)</f>
        <v>101</v>
      </c>
      <c r="N1209" s="3"/>
      <c r="O1209" s="3">
        <f>IFERROR(__xludf.DUMMYFUNCTION("""COMPUTED_VALUE"""),0.0)</f>
        <v>0</v>
      </c>
      <c r="P1209" s="3">
        <f>IFERROR(__xludf.DUMMYFUNCTION("""COMPUTED_VALUE"""),-13.8)</f>
        <v>-13.8</v>
      </c>
      <c r="Q1209" s="3">
        <f>IFERROR(__xludf.DUMMYFUNCTION("""COMPUTED_VALUE"""),-176.64000000000001)</f>
        <v>-176.64</v>
      </c>
      <c r="R1209" s="3"/>
      <c r="S1209" s="3"/>
      <c r="T1209" s="5"/>
      <c r="U1209" s="5"/>
      <c r="V1209" s="5"/>
      <c r="W1209" s="5"/>
    </row>
    <row r="1210" ht="15.75" customHeight="1">
      <c r="A1210" s="3">
        <f>IFERROR(__xludf.DUMMYFUNCTION("""COMPUTED_VALUE"""),1210.0)</f>
        <v>1210</v>
      </c>
      <c r="B1210" s="53">
        <f>IFERROR(__xludf.DUMMYFUNCTION("""COMPUTED_VALUE"""),45761.0)</f>
        <v>45761</v>
      </c>
      <c r="C1210" s="3">
        <f>IFERROR(__xludf.DUMMYFUNCTION("""COMPUTED_VALUE"""),114.0)</f>
        <v>114</v>
      </c>
      <c r="D1210" s="3" t="str">
        <f>IFERROR(__xludf.DUMMYFUNCTION("""COMPUTED_VALUE"""),"e53d4606")</f>
        <v>e53d4606</v>
      </c>
      <c r="E1210" s="54">
        <f>IFERROR(__xludf.DUMMYFUNCTION("""COMPUTED_VALUE"""),125300.0)</f>
        <v>125300</v>
      </c>
      <c r="F1210" s="3" t="str">
        <f>IFERROR(__xludf.DUMMYFUNCTION("""COMPUTED_VALUE"""),"Syrah")</f>
        <v>Syrah</v>
      </c>
      <c r="G1210" s="3"/>
      <c r="H1210" s="3"/>
      <c r="I1210" s="3"/>
      <c r="J1210" s="3"/>
      <c r="K1210" s="57">
        <f>IFERROR(__xludf.DUMMYFUNCTION("""COMPUTED_VALUE"""),3.59)</f>
        <v>3.59</v>
      </c>
      <c r="L1210" s="54">
        <f>IFERROR(__xludf.DUMMYFUNCTION("""COMPUTED_VALUE"""),34.0)</f>
        <v>34</v>
      </c>
      <c r="M1210" s="3">
        <f>IFERROR(__xludf.DUMMYFUNCTION("""COMPUTED_VALUE"""),96.0)</f>
        <v>96</v>
      </c>
      <c r="N1210" s="3"/>
      <c r="O1210" s="3">
        <f>IFERROR(__xludf.DUMMYFUNCTION("""COMPUTED_VALUE"""),7.5)</f>
        <v>7.5</v>
      </c>
      <c r="P1210" s="3">
        <f>IFERROR(__xludf.DUMMYFUNCTION("""COMPUTED_VALUE"""),7.5)</f>
        <v>7.5</v>
      </c>
      <c r="Q1210" s="3">
        <f>IFERROR(__xludf.DUMMYFUNCTION("""COMPUTED_VALUE"""),96.0)</f>
        <v>96</v>
      </c>
      <c r="R1210" s="3"/>
      <c r="S1210" s="54">
        <f>IFERROR(__xludf.DUMMYFUNCTION("""COMPUTED_VALUE"""),0.0)</f>
        <v>0</v>
      </c>
      <c r="T1210" s="5"/>
      <c r="U1210" s="5"/>
      <c r="V1210" s="5"/>
      <c r="W1210" s="5"/>
    </row>
    <row r="1211" ht="15.75" customHeight="1">
      <c r="A1211" s="3">
        <f>IFERROR(__xludf.DUMMYFUNCTION("""COMPUTED_VALUE"""),1211.0)</f>
        <v>1211</v>
      </c>
      <c r="B1211" s="53">
        <f>IFERROR(__xludf.DUMMYFUNCTION("""COMPUTED_VALUE"""),45761.0)</f>
        <v>45761</v>
      </c>
      <c r="C1211" s="3">
        <f>IFERROR(__xludf.DUMMYFUNCTION("""COMPUTED_VALUE"""),115.0)</f>
        <v>115</v>
      </c>
      <c r="D1211" s="3" t="str">
        <f>IFERROR(__xludf.DUMMYFUNCTION("""COMPUTED_VALUE"""),"03e27ebe")</f>
        <v>03e27ebe</v>
      </c>
      <c r="E1211" s="54">
        <f>IFERROR(__xludf.DUMMYFUNCTION("""COMPUTED_VALUE"""),118000.0)</f>
        <v>118000</v>
      </c>
      <c r="F1211" s="3" t="str">
        <f>IFERROR(__xludf.DUMMYFUNCTION("""COMPUTED_VALUE"""),"Syrah Tempranillo")</f>
        <v>Syrah Tempranillo</v>
      </c>
      <c r="G1211" s="3"/>
      <c r="H1211" s="3"/>
      <c r="I1211" s="3"/>
      <c r="J1211" s="3"/>
      <c r="K1211" s="57">
        <f>IFERROR(__xludf.DUMMYFUNCTION("""COMPUTED_VALUE"""),3.74)</f>
        <v>3.74</v>
      </c>
      <c r="L1211" s="54">
        <f>IFERROR(__xludf.DUMMYFUNCTION("""COMPUTED_VALUE"""),25.0)</f>
        <v>25</v>
      </c>
      <c r="M1211" s="3">
        <f>IFERROR(__xludf.DUMMYFUNCTION("""COMPUTED_VALUE"""),89.0)</f>
        <v>89</v>
      </c>
      <c r="N1211" s="3"/>
      <c r="O1211" s="3">
        <f>IFERROR(__xludf.DUMMYFUNCTION("""COMPUTED_VALUE"""),14.5)</f>
        <v>14.5</v>
      </c>
      <c r="P1211" s="3">
        <f>IFERROR(__xludf.DUMMYFUNCTION("""COMPUTED_VALUE"""),7.0)</f>
        <v>7</v>
      </c>
      <c r="Q1211" s="3">
        <f>IFERROR(__xludf.DUMMYFUNCTION("""COMPUTED_VALUE"""),89.60000000000001)</f>
        <v>89.6</v>
      </c>
      <c r="R1211" s="3"/>
      <c r="S1211" s="54">
        <f>IFERROR(__xludf.DUMMYFUNCTION("""COMPUTED_VALUE"""),0.0)</f>
        <v>0</v>
      </c>
      <c r="T1211" s="5"/>
      <c r="U1211" s="5"/>
      <c r="V1211" s="5"/>
      <c r="W1211" s="5"/>
    </row>
    <row r="1212" ht="15.75" customHeight="1">
      <c r="A1212" s="3">
        <f>IFERROR(__xludf.DUMMYFUNCTION("""COMPUTED_VALUE"""),1212.0)</f>
        <v>1212</v>
      </c>
      <c r="B1212" s="53">
        <f>IFERROR(__xludf.DUMMYFUNCTION("""COMPUTED_VALUE"""),45762.0)</f>
        <v>45762</v>
      </c>
      <c r="C1212" s="3">
        <f>IFERROR(__xludf.DUMMYFUNCTION("""COMPUTED_VALUE"""),78.0)</f>
        <v>78</v>
      </c>
      <c r="D1212" s="3" t="str">
        <f>IFERROR(__xludf.DUMMYFUNCTION("""COMPUTED_VALUE"""),"f954f065")</f>
        <v>f954f065</v>
      </c>
      <c r="E1212" s="54">
        <f>IFERROR(__xludf.DUMMYFUNCTION("""COMPUTED_VALUE"""),16700.0)</f>
        <v>16700</v>
      </c>
      <c r="F1212" s="3" t="str">
        <f>IFERROR(__xludf.DUMMYFUNCTION("""COMPUTED_VALUE"""),"Bonarda")</f>
        <v>Bonarda</v>
      </c>
      <c r="G1212" s="3"/>
      <c r="H1212" s="56">
        <f>IFERROR(__xludf.DUMMYFUNCTION("""COMPUTED_VALUE"""),4.0)</f>
        <v>4</v>
      </c>
      <c r="I1212" s="3"/>
      <c r="J1212" s="3"/>
      <c r="K1212" s="57">
        <f>IFERROR(__xludf.DUMMYFUNCTION("""COMPUTED_VALUE"""),3.89)</f>
        <v>3.89</v>
      </c>
      <c r="L1212" s="3"/>
      <c r="M1212" s="3"/>
      <c r="N1212" s="3"/>
      <c r="O1212" s="3"/>
      <c r="P1212" s="3"/>
      <c r="Q1212" s="3"/>
      <c r="R1212" s="3"/>
      <c r="S1212" s="3"/>
      <c r="T1212" s="5"/>
      <c r="U1212" s="5"/>
      <c r="V1212" s="5"/>
      <c r="W1212" s="5"/>
    </row>
    <row r="1213" ht="15.75" customHeight="1">
      <c r="A1213" s="3">
        <f>IFERROR(__xludf.DUMMYFUNCTION("""COMPUTED_VALUE"""),1213.0)</f>
        <v>1213</v>
      </c>
      <c r="B1213" s="53">
        <f>IFERROR(__xludf.DUMMYFUNCTION("""COMPUTED_VALUE"""),45762.0)</f>
        <v>45762</v>
      </c>
      <c r="C1213" s="3">
        <f>IFERROR(__xludf.DUMMYFUNCTION("""COMPUTED_VALUE"""),84.0)</f>
        <v>84</v>
      </c>
      <c r="D1213" s="3" t="str">
        <f>IFERROR(__xludf.DUMMYFUNCTION("""COMPUTED_VALUE"""),"b60fb43a")</f>
        <v>b60fb43a</v>
      </c>
      <c r="E1213" s="54">
        <f>IFERROR(__xludf.DUMMYFUNCTION("""COMPUTED_VALUE"""),53200.0)</f>
        <v>53200</v>
      </c>
      <c r="F1213" s="3" t="str">
        <f>IFERROR(__xludf.DUMMYFUNCTION("""COMPUTED_VALUE"""),"Bonarda")</f>
        <v>Bonarda</v>
      </c>
      <c r="G1213" s="3"/>
      <c r="H1213" s="56">
        <f>IFERROR(__xludf.DUMMYFUNCTION("""COMPUTED_VALUE"""),8.1)</f>
        <v>8.1</v>
      </c>
      <c r="I1213" s="3"/>
      <c r="J1213" s="3"/>
      <c r="K1213" s="57">
        <f>IFERROR(__xludf.DUMMYFUNCTION("""COMPUTED_VALUE"""),3.75)</f>
        <v>3.75</v>
      </c>
      <c r="L1213" s="3"/>
      <c r="M1213" s="3"/>
      <c r="N1213" s="3"/>
      <c r="O1213" s="3"/>
      <c r="P1213" s="3"/>
      <c r="Q1213" s="3"/>
      <c r="R1213" s="3"/>
      <c r="S1213" s="3"/>
      <c r="T1213" s="5"/>
      <c r="U1213" s="5"/>
      <c r="V1213" s="5"/>
      <c r="W1213" s="5"/>
    </row>
    <row r="1214" ht="15.75" customHeight="1">
      <c r="A1214" s="3">
        <f>IFERROR(__xludf.DUMMYFUNCTION("""COMPUTED_VALUE"""),1214.0)</f>
        <v>1214</v>
      </c>
      <c r="B1214" s="53">
        <f>IFERROR(__xludf.DUMMYFUNCTION("""COMPUTED_VALUE"""),45762.0)</f>
        <v>45762</v>
      </c>
      <c r="C1214" s="3">
        <f>IFERROR(__xludf.DUMMYFUNCTION("""COMPUTED_VALUE"""),88.0)</f>
        <v>88</v>
      </c>
      <c r="D1214" s="3" t="str">
        <f>IFERROR(__xludf.DUMMYFUNCTION("""COMPUTED_VALUE"""),"2aac908d")</f>
        <v>2aac908d</v>
      </c>
      <c r="E1214" s="54">
        <f>IFERROR(__xludf.DUMMYFUNCTION("""COMPUTED_VALUE"""),46150.0)</f>
        <v>46150</v>
      </c>
      <c r="F1214" s="3" t="str">
        <f>IFERROR(__xludf.DUMMYFUNCTION("""COMPUTED_VALUE"""),"Bonarda")</f>
        <v>Bonarda</v>
      </c>
      <c r="G1214" s="3"/>
      <c r="H1214" s="56">
        <f>IFERROR(__xludf.DUMMYFUNCTION("""COMPUTED_VALUE"""),3.37)</f>
        <v>3.37</v>
      </c>
      <c r="I1214" s="3"/>
      <c r="J1214" s="3"/>
      <c r="K1214" s="57">
        <f>IFERROR(__xludf.DUMMYFUNCTION("""COMPUTED_VALUE"""),3.68)</f>
        <v>3.68</v>
      </c>
      <c r="L1214" s="3"/>
      <c r="M1214" s="3"/>
      <c r="N1214" s="3"/>
      <c r="O1214" s="3"/>
      <c r="P1214" s="3"/>
      <c r="Q1214" s="3"/>
      <c r="R1214" s="3"/>
      <c r="S1214" s="3"/>
      <c r="T1214" s="5"/>
      <c r="U1214" s="5"/>
      <c r="V1214" s="5"/>
      <c r="W1214" s="5"/>
    </row>
    <row r="1215" ht="15.75" customHeight="1">
      <c r="A1215" s="3">
        <f>IFERROR(__xludf.DUMMYFUNCTION("""COMPUTED_VALUE"""),1215.0)</f>
        <v>1215</v>
      </c>
      <c r="B1215" s="53">
        <f>IFERROR(__xludf.DUMMYFUNCTION("""COMPUTED_VALUE"""),45762.0)</f>
        <v>45762</v>
      </c>
      <c r="C1215" s="3">
        <f>IFERROR(__xludf.DUMMYFUNCTION("""COMPUTED_VALUE"""),90.0)</f>
        <v>90</v>
      </c>
      <c r="D1215" s="3" t="str">
        <f>IFERROR(__xludf.DUMMYFUNCTION("""COMPUTED_VALUE"""),"c0fd1ee4")</f>
        <v>c0fd1ee4</v>
      </c>
      <c r="E1215" s="54">
        <f>IFERROR(__xludf.DUMMYFUNCTION("""COMPUTED_VALUE"""),71600.0)</f>
        <v>71600</v>
      </c>
      <c r="F1215" s="3" t="str">
        <f>IFERROR(__xludf.DUMMYFUNCTION("""COMPUTED_VALUE"""),"Bonarda")</f>
        <v>Bonarda</v>
      </c>
      <c r="G1215" s="3"/>
      <c r="H1215" s="56">
        <f>IFERROR(__xludf.DUMMYFUNCTION("""COMPUTED_VALUE"""),3.37)</f>
        <v>3.37</v>
      </c>
      <c r="I1215" s="3"/>
      <c r="J1215" s="3"/>
      <c r="K1215" s="57">
        <f>IFERROR(__xludf.DUMMYFUNCTION("""COMPUTED_VALUE"""),3.69)</f>
        <v>3.69</v>
      </c>
      <c r="L1215" s="3"/>
      <c r="M1215" s="3"/>
      <c r="N1215" s="3"/>
      <c r="O1215" s="3"/>
      <c r="P1215" s="3"/>
      <c r="Q1215" s="3"/>
      <c r="R1215" s="3"/>
      <c r="S1215" s="3"/>
      <c r="T1215" s="5"/>
      <c r="U1215" s="5"/>
      <c r="V1215" s="5"/>
      <c r="W1215" s="5"/>
    </row>
    <row r="1216" ht="15.75" customHeight="1">
      <c r="A1216" s="3">
        <f>IFERROR(__xludf.DUMMYFUNCTION("""COMPUTED_VALUE"""),1216.0)</f>
        <v>1216</v>
      </c>
      <c r="B1216" s="53">
        <f>IFERROR(__xludf.DUMMYFUNCTION("""COMPUTED_VALUE"""),45762.0)</f>
        <v>45762</v>
      </c>
      <c r="C1216" s="3">
        <f>IFERROR(__xludf.DUMMYFUNCTION("""COMPUTED_VALUE"""),91.0)</f>
        <v>91</v>
      </c>
      <c r="D1216" s="3" t="str">
        <f>IFERROR(__xludf.DUMMYFUNCTION("""COMPUTED_VALUE"""),"189e6a11")</f>
        <v>189e6a11</v>
      </c>
      <c r="E1216" s="54">
        <f>IFERROR(__xludf.DUMMYFUNCTION("""COMPUTED_VALUE"""),48800.0)</f>
        <v>48800</v>
      </c>
      <c r="F1216" s="3" t="str">
        <f>IFERROR(__xludf.DUMMYFUNCTION("""COMPUTED_VALUE"""),"Bonarda sin Rect")</f>
        <v>Bonarda sin Rect</v>
      </c>
      <c r="G1216" s="3"/>
      <c r="H1216" s="56">
        <f>IFERROR(__xludf.DUMMYFUNCTION("""COMPUTED_VALUE"""),3.2)</f>
        <v>3.2</v>
      </c>
      <c r="I1216" s="3"/>
      <c r="J1216" s="3"/>
      <c r="K1216" s="57">
        <f>IFERROR(__xludf.DUMMYFUNCTION("""COMPUTED_VALUE"""),3.77)</f>
        <v>3.77</v>
      </c>
      <c r="L1216" s="3"/>
      <c r="M1216" s="3"/>
      <c r="N1216" s="3"/>
      <c r="O1216" s="3"/>
      <c r="P1216" s="3"/>
      <c r="Q1216" s="3"/>
      <c r="R1216" s="3"/>
      <c r="S1216" s="3"/>
      <c r="T1216" s="5"/>
      <c r="U1216" s="5"/>
      <c r="V1216" s="5"/>
      <c r="W1216" s="5"/>
    </row>
    <row r="1217" ht="15.75" customHeight="1">
      <c r="A1217" s="3">
        <f>IFERROR(__xludf.DUMMYFUNCTION("""COMPUTED_VALUE"""),1217.0)</f>
        <v>1217</v>
      </c>
      <c r="B1217" s="53">
        <f>IFERROR(__xludf.DUMMYFUNCTION("""COMPUTED_VALUE"""),45762.0)</f>
        <v>45762</v>
      </c>
      <c r="C1217" s="3">
        <f>IFERROR(__xludf.DUMMYFUNCTION("""COMPUTED_VALUE"""),28.0)</f>
        <v>28</v>
      </c>
      <c r="D1217" s="3" t="str">
        <f>IFERROR(__xludf.DUMMYFUNCTION("""COMPUTED_VALUE"""),"459c7a85")</f>
        <v>459c7a85</v>
      </c>
      <c r="E1217" s="54">
        <f>IFERROR(__xludf.DUMMYFUNCTION("""COMPUTED_VALUE"""),171300.0)</f>
        <v>171300</v>
      </c>
      <c r="F1217" s="3" t="str">
        <f>IFERROR(__xludf.DUMMYFUNCTION("""COMPUTED_VALUE"""),"Bonarda")</f>
        <v>Bonarda</v>
      </c>
      <c r="G1217" s="3"/>
      <c r="H1217" s="56">
        <f>IFERROR(__xludf.DUMMYFUNCTION("""COMPUTED_VALUE"""),3.11)</f>
        <v>3.11</v>
      </c>
      <c r="I1217" s="3"/>
      <c r="J1217" s="3"/>
      <c r="K1217" s="57">
        <f>IFERROR(__xludf.DUMMYFUNCTION("""COMPUTED_VALUE"""),3.72)</f>
        <v>3.72</v>
      </c>
      <c r="L1217" s="3"/>
      <c r="M1217" s="3"/>
      <c r="N1217" s="3"/>
      <c r="O1217" s="3"/>
      <c r="P1217" s="3"/>
      <c r="Q1217" s="3"/>
      <c r="R1217" s="3"/>
      <c r="S1217" s="3"/>
      <c r="T1217" s="5"/>
      <c r="U1217" s="5"/>
      <c r="V1217" s="5"/>
      <c r="W1217" s="5"/>
    </row>
    <row r="1218" ht="15.75" customHeight="1">
      <c r="A1218" s="3">
        <f>IFERROR(__xludf.DUMMYFUNCTION("""COMPUTED_VALUE"""),1218.0)</f>
        <v>1218</v>
      </c>
      <c r="B1218" s="53">
        <f>IFERROR(__xludf.DUMMYFUNCTION("""COMPUTED_VALUE"""),45762.0)</f>
        <v>45762</v>
      </c>
      <c r="C1218" s="3">
        <f>IFERROR(__xludf.DUMMYFUNCTION("""COMPUTED_VALUE"""),80.0)</f>
        <v>80</v>
      </c>
      <c r="D1218" s="3" t="str">
        <f>IFERROR(__xludf.DUMMYFUNCTION("""COMPUTED_VALUE"""),"1b8cfd3f")</f>
        <v>1b8cfd3f</v>
      </c>
      <c r="E1218" s="54">
        <f>IFERROR(__xludf.DUMMYFUNCTION("""COMPUTED_VALUE"""),17800.0)</f>
        <v>17800</v>
      </c>
      <c r="F1218" s="3" t="str">
        <f>IFERROR(__xludf.DUMMYFUNCTION("""COMPUTED_VALUE"""),"Malbec")</f>
        <v>Malbec</v>
      </c>
      <c r="G1218" s="3"/>
      <c r="H1218" s="56">
        <f>IFERROR(__xludf.DUMMYFUNCTION("""COMPUTED_VALUE"""),2.0)</f>
        <v>2</v>
      </c>
      <c r="I1218" s="3"/>
      <c r="J1218" s="3"/>
      <c r="K1218" s="57">
        <f>IFERROR(__xludf.DUMMYFUNCTION("""COMPUTED_VALUE"""),3.74)</f>
        <v>3.74</v>
      </c>
      <c r="L1218" s="3"/>
      <c r="M1218" s="3"/>
      <c r="N1218" s="3"/>
      <c r="O1218" s="3"/>
      <c r="P1218" s="3"/>
      <c r="Q1218" s="3"/>
      <c r="R1218" s="3"/>
      <c r="S1218" s="3"/>
      <c r="T1218" s="5"/>
      <c r="U1218" s="5"/>
      <c r="V1218" s="5"/>
      <c r="W1218" s="5"/>
    </row>
    <row r="1219" ht="15.75" customHeight="1">
      <c r="A1219" s="3">
        <f>IFERROR(__xludf.DUMMYFUNCTION("""COMPUTED_VALUE"""),1219.0)</f>
        <v>1219</v>
      </c>
      <c r="B1219" s="53">
        <f>IFERROR(__xludf.DUMMYFUNCTION("""COMPUTED_VALUE"""),45762.0)</f>
        <v>45762</v>
      </c>
      <c r="C1219" s="3">
        <f>IFERROR(__xludf.DUMMYFUNCTION("""COMPUTED_VALUE"""),81.0)</f>
        <v>81</v>
      </c>
      <c r="D1219" s="3" t="str">
        <f>IFERROR(__xludf.DUMMYFUNCTION("""COMPUTED_VALUE"""),"7678fbc3")</f>
        <v>7678fbc3</v>
      </c>
      <c r="E1219" s="54">
        <f>IFERROR(__xludf.DUMMYFUNCTION("""COMPUTED_VALUE"""),18100.0)</f>
        <v>18100</v>
      </c>
      <c r="F1219" s="3" t="str">
        <f>IFERROR(__xludf.DUMMYFUNCTION("""COMPUTED_VALUE"""),"Malbec")</f>
        <v>Malbec</v>
      </c>
      <c r="G1219" s="3"/>
      <c r="H1219" s="56">
        <f>IFERROR(__xludf.DUMMYFUNCTION("""COMPUTED_VALUE"""),5.76)</f>
        <v>5.76</v>
      </c>
      <c r="I1219" s="3"/>
      <c r="J1219" s="3"/>
      <c r="K1219" s="57">
        <f>IFERROR(__xludf.DUMMYFUNCTION("""COMPUTED_VALUE"""),3.73)</f>
        <v>3.73</v>
      </c>
      <c r="L1219" s="3"/>
      <c r="M1219" s="3"/>
      <c r="N1219" s="3"/>
      <c r="O1219" s="3"/>
      <c r="P1219" s="3"/>
      <c r="Q1219" s="3"/>
      <c r="R1219" s="3"/>
      <c r="S1219" s="3"/>
      <c r="T1219" s="5"/>
      <c r="U1219" s="5"/>
      <c r="V1219" s="5"/>
      <c r="W1219" s="5"/>
    </row>
    <row r="1220" ht="15.75" customHeight="1">
      <c r="A1220" s="3">
        <f>IFERROR(__xludf.DUMMYFUNCTION("""COMPUTED_VALUE"""),1220.0)</f>
        <v>1220</v>
      </c>
      <c r="B1220" s="53">
        <f>IFERROR(__xludf.DUMMYFUNCTION("""COMPUTED_VALUE"""),45762.0)</f>
        <v>45762</v>
      </c>
      <c r="C1220" s="3">
        <f>IFERROR(__xludf.DUMMYFUNCTION("""COMPUTED_VALUE"""),89.0)</f>
        <v>89</v>
      </c>
      <c r="D1220" s="3" t="str">
        <f>IFERROR(__xludf.DUMMYFUNCTION("""COMPUTED_VALUE"""),"a042b2d1")</f>
        <v>a042b2d1</v>
      </c>
      <c r="E1220" s="54">
        <f>IFERROR(__xludf.DUMMYFUNCTION("""COMPUTED_VALUE"""),60800.0)</f>
        <v>60800</v>
      </c>
      <c r="F1220" s="3" t="str">
        <f>IFERROR(__xludf.DUMMYFUNCTION("""COMPUTED_VALUE"""),"Malbec")</f>
        <v>Malbec</v>
      </c>
      <c r="G1220" s="3"/>
      <c r="H1220" s="56">
        <f>IFERROR(__xludf.DUMMYFUNCTION("""COMPUTED_VALUE"""),2.0)</f>
        <v>2</v>
      </c>
      <c r="I1220" s="3"/>
      <c r="J1220" s="3"/>
      <c r="K1220" s="57">
        <f>IFERROR(__xludf.DUMMYFUNCTION("""COMPUTED_VALUE"""),3.72)</f>
        <v>3.72</v>
      </c>
      <c r="L1220" s="3"/>
      <c r="M1220" s="3"/>
      <c r="N1220" s="3"/>
      <c r="O1220" s="3"/>
      <c r="P1220" s="3"/>
      <c r="Q1220" s="3"/>
      <c r="R1220" s="3"/>
      <c r="S1220" s="3"/>
      <c r="T1220" s="5"/>
      <c r="U1220" s="5"/>
      <c r="V1220" s="5"/>
      <c r="W1220" s="5"/>
    </row>
    <row r="1221" ht="15.75" customHeight="1">
      <c r="A1221" s="3">
        <f>IFERROR(__xludf.DUMMYFUNCTION("""COMPUTED_VALUE"""),1221.0)</f>
        <v>1221</v>
      </c>
      <c r="B1221" s="53">
        <f>IFERROR(__xludf.DUMMYFUNCTION("""COMPUTED_VALUE"""),45762.0)</f>
        <v>45762</v>
      </c>
      <c r="C1221" s="3">
        <f>IFERROR(__xludf.DUMMYFUNCTION("""COMPUTED_VALUE"""),92.0)</f>
        <v>92</v>
      </c>
      <c r="D1221" s="3" t="str">
        <f>IFERROR(__xludf.DUMMYFUNCTION("""COMPUTED_VALUE"""),"f4ef7eb7")</f>
        <v>f4ef7eb7</v>
      </c>
      <c r="E1221" s="54">
        <f>IFERROR(__xludf.DUMMYFUNCTION("""COMPUTED_VALUE"""),48500.0)</f>
        <v>48500</v>
      </c>
      <c r="F1221" s="3" t="str">
        <f>IFERROR(__xludf.DUMMYFUNCTION("""COMPUTED_VALUE"""),"Malbec")</f>
        <v>Malbec</v>
      </c>
      <c r="G1221" s="55">
        <f>IFERROR(__xludf.DUMMYFUNCTION("""COMPUTED_VALUE"""),13.0)</f>
        <v>13</v>
      </c>
      <c r="H1221" s="56">
        <f>IFERROR(__xludf.DUMMYFUNCTION("""COMPUTED_VALUE"""),20.0)</f>
        <v>20</v>
      </c>
      <c r="I1221" s="3"/>
      <c r="J1221" s="3"/>
      <c r="K1221" s="57">
        <f>IFERROR(__xludf.DUMMYFUNCTION("""COMPUTED_VALUE"""),3.89)</f>
        <v>3.89</v>
      </c>
      <c r="L1221" s="3"/>
      <c r="M1221" s="3"/>
      <c r="N1221" s="3"/>
      <c r="O1221" s="3"/>
      <c r="P1221" s="3"/>
      <c r="Q1221" s="3"/>
      <c r="R1221" s="3"/>
      <c r="S1221" s="3"/>
      <c r="T1221" s="5"/>
      <c r="U1221" s="5"/>
      <c r="V1221" s="5"/>
      <c r="W1221" s="5"/>
    </row>
    <row r="1222" ht="15.75" customHeight="1">
      <c r="A1222" s="3">
        <f>IFERROR(__xludf.DUMMYFUNCTION("""COMPUTED_VALUE"""),1222.0)</f>
        <v>1222</v>
      </c>
      <c r="B1222" s="53">
        <f>IFERROR(__xludf.DUMMYFUNCTION("""COMPUTED_VALUE"""),45762.0)</f>
        <v>45762</v>
      </c>
      <c r="C1222" s="3">
        <f>IFERROR(__xludf.DUMMYFUNCTION("""COMPUTED_VALUE"""),96.0)</f>
        <v>96</v>
      </c>
      <c r="D1222" s="3" t="str">
        <f>IFERROR(__xludf.DUMMYFUNCTION("""COMPUTED_VALUE"""),"4b2f415c")</f>
        <v>4b2f415c</v>
      </c>
      <c r="E1222" s="54">
        <f>IFERROR(__xludf.DUMMYFUNCTION("""COMPUTED_VALUE"""),52800.0)</f>
        <v>52800</v>
      </c>
      <c r="F1222" s="3" t="str">
        <f>IFERROR(__xludf.DUMMYFUNCTION("""COMPUTED_VALUE"""),"Malbec")</f>
        <v>Malbec</v>
      </c>
      <c r="G1222" s="3"/>
      <c r="H1222" s="56">
        <f>IFERROR(__xludf.DUMMYFUNCTION("""COMPUTED_VALUE"""),2.0)</f>
        <v>2</v>
      </c>
      <c r="I1222" s="3"/>
      <c r="J1222" s="3"/>
      <c r="K1222" s="57">
        <f>IFERROR(__xludf.DUMMYFUNCTION("""COMPUTED_VALUE"""),3.94)</f>
        <v>3.94</v>
      </c>
      <c r="L1222" s="3"/>
      <c r="M1222" s="3"/>
      <c r="N1222" s="3"/>
      <c r="O1222" s="3"/>
      <c r="P1222" s="3"/>
      <c r="Q1222" s="3"/>
      <c r="R1222" s="3"/>
      <c r="S1222" s="3"/>
      <c r="T1222" s="5"/>
      <c r="U1222" s="5"/>
      <c r="V1222" s="5"/>
      <c r="W1222" s="5"/>
    </row>
    <row r="1223" ht="15.75" customHeight="1">
      <c r="A1223" s="3">
        <f>IFERROR(__xludf.DUMMYFUNCTION("""COMPUTED_VALUE"""),1223.0)</f>
        <v>1223</v>
      </c>
      <c r="B1223" s="53">
        <f>IFERROR(__xludf.DUMMYFUNCTION("""COMPUTED_VALUE"""),45762.0)</f>
        <v>45762</v>
      </c>
      <c r="C1223" s="3">
        <f>IFERROR(__xludf.DUMMYFUNCTION("""COMPUTED_VALUE"""),12.0)</f>
        <v>12</v>
      </c>
      <c r="D1223" s="3" t="str">
        <f>IFERROR(__xludf.DUMMYFUNCTION("""COMPUTED_VALUE"""),"28029583")</f>
        <v>28029583</v>
      </c>
      <c r="E1223" s="54">
        <f>IFERROR(__xludf.DUMMYFUNCTION("""COMPUTED_VALUE"""),35300.0)</f>
        <v>35300</v>
      </c>
      <c r="F1223" s="3" t="str">
        <f>IFERROR(__xludf.DUMMYFUNCTION("""COMPUTED_VALUE"""),"Tinto Recarga Press")</f>
        <v>Tinto Recarga Press</v>
      </c>
      <c r="G1223" s="3"/>
      <c r="H1223" s="3"/>
      <c r="I1223" s="3"/>
      <c r="J1223" s="3"/>
      <c r="K1223" s="3"/>
      <c r="L1223" s="54">
        <f>IFERROR(__xludf.DUMMYFUNCTION("""COMPUTED_VALUE"""),25.0)</f>
        <v>25</v>
      </c>
      <c r="M1223" s="3">
        <f>IFERROR(__xludf.DUMMYFUNCTION("""COMPUTED_VALUE"""),73.0)</f>
        <v>73</v>
      </c>
      <c r="N1223" s="3"/>
      <c r="O1223" s="3"/>
      <c r="P1223" s="3"/>
      <c r="Q1223" s="3"/>
      <c r="R1223" s="3"/>
      <c r="S1223" s="3"/>
      <c r="T1223" s="5"/>
      <c r="U1223" s="5"/>
      <c r="V1223" s="5"/>
      <c r="W1223" s="5"/>
    </row>
    <row r="1224" ht="15.75" customHeight="1">
      <c r="A1224" s="3">
        <f>IFERROR(__xludf.DUMMYFUNCTION("""COMPUTED_VALUE"""),1224.0)</f>
        <v>1224</v>
      </c>
      <c r="B1224" s="53">
        <f>IFERROR(__xludf.DUMMYFUNCTION("""COMPUTED_VALUE"""),45762.0)</f>
        <v>45762</v>
      </c>
      <c r="C1224" s="3">
        <f>IFERROR(__xludf.DUMMYFUNCTION("""COMPUTED_VALUE"""),14.0)</f>
        <v>14</v>
      </c>
      <c r="D1224" s="3" t="str">
        <f>IFERROR(__xludf.DUMMYFUNCTION("""COMPUTED_VALUE"""),"3640d88c")</f>
        <v>3640d88c</v>
      </c>
      <c r="E1224" s="54">
        <f>IFERROR(__xludf.DUMMYFUNCTION("""COMPUTED_VALUE"""),37000.0)</f>
        <v>37000</v>
      </c>
      <c r="F1224" s="3" t="str">
        <f>IFERROR(__xludf.DUMMYFUNCTION("""COMPUTED_VALUE"""),"Malbec Mec")</f>
        <v>Malbec Mec</v>
      </c>
      <c r="G1224" s="3"/>
      <c r="H1224" s="3"/>
      <c r="I1224" s="3"/>
      <c r="J1224" s="3"/>
      <c r="K1224" s="3"/>
      <c r="L1224" s="54">
        <f>IFERROR(__xludf.DUMMYFUNCTION("""COMPUTED_VALUE"""),20.0)</f>
        <v>20</v>
      </c>
      <c r="M1224" s="3">
        <f>IFERROR(__xludf.DUMMYFUNCTION("""COMPUTED_VALUE"""),92.0)</f>
        <v>92</v>
      </c>
      <c r="N1224" s="3"/>
      <c r="O1224" s="3"/>
      <c r="P1224" s="3"/>
      <c r="Q1224" s="3"/>
      <c r="R1224" s="3"/>
      <c r="S1224" s="3"/>
      <c r="T1224" s="5"/>
      <c r="U1224" s="5"/>
      <c r="V1224" s="5"/>
      <c r="W1224" s="5"/>
    </row>
    <row r="1225" ht="15.75" customHeight="1">
      <c r="A1225" s="3">
        <f>IFERROR(__xludf.DUMMYFUNCTION("""COMPUTED_VALUE"""),1225.0)</f>
        <v>1225</v>
      </c>
      <c r="B1225" s="53">
        <f>IFERROR(__xludf.DUMMYFUNCTION("""COMPUTED_VALUE"""),45762.0)</f>
        <v>45762</v>
      </c>
      <c r="C1225" s="3">
        <f>IFERROR(__xludf.DUMMYFUNCTION("""COMPUTED_VALUE"""),15.0)</f>
        <v>15</v>
      </c>
      <c r="D1225" s="3" t="str">
        <f>IFERROR(__xludf.DUMMYFUNCTION("""COMPUTED_VALUE"""),"f764d2d1")</f>
        <v>f764d2d1</v>
      </c>
      <c r="E1225" s="54">
        <f>IFERROR(__xludf.DUMMYFUNCTION("""COMPUTED_VALUE"""),36500.0)</f>
        <v>36500</v>
      </c>
      <c r="F1225" s="3" t="str">
        <f>IFERROR(__xludf.DUMMYFUNCTION("""COMPUTED_VALUE"""),"Malbec")</f>
        <v>Malbec</v>
      </c>
      <c r="G1225" s="3"/>
      <c r="H1225" s="3"/>
      <c r="I1225" s="3"/>
      <c r="J1225" s="3"/>
      <c r="K1225" s="3"/>
      <c r="L1225" s="54">
        <f>IFERROR(__xludf.DUMMYFUNCTION("""COMPUTED_VALUE"""),23.0)</f>
        <v>23</v>
      </c>
      <c r="M1225" s="3">
        <f>IFERROR(__xludf.DUMMYFUNCTION("""COMPUTED_VALUE"""),90.0)</f>
        <v>90</v>
      </c>
      <c r="N1225" s="3"/>
      <c r="O1225" s="3"/>
      <c r="P1225" s="3"/>
      <c r="Q1225" s="3"/>
      <c r="R1225" s="3"/>
      <c r="S1225" s="3"/>
      <c r="T1225" s="5"/>
      <c r="U1225" s="5"/>
      <c r="V1225" s="5"/>
      <c r="W1225" s="5"/>
    </row>
    <row r="1226" ht="15.75" customHeight="1">
      <c r="A1226" s="3">
        <f>IFERROR(__xludf.DUMMYFUNCTION("""COMPUTED_VALUE"""),1226.0)</f>
        <v>1226</v>
      </c>
      <c r="B1226" s="53">
        <f>IFERROR(__xludf.DUMMYFUNCTION("""COMPUTED_VALUE"""),45762.0)</f>
        <v>45762</v>
      </c>
      <c r="C1226" s="3">
        <f>IFERROR(__xludf.DUMMYFUNCTION("""COMPUTED_VALUE"""),34.0)</f>
        <v>34</v>
      </c>
      <c r="D1226" s="3" t="str">
        <f>IFERROR(__xludf.DUMMYFUNCTION("""COMPUTED_VALUE"""),"7b6b2c2a")</f>
        <v>7b6b2c2a</v>
      </c>
      <c r="E1226" s="54">
        <f>IFERROR(__xludf.DUMMYFUNCTION("""COMPUTED_VALUE"""),37150.0)</f>
        <v>37150</v>
      </c>
      <c r="F1226" s="3" t="str">
        <f>IFERROR(__xludf.DUMMYFUNCTION("""COMPUTED_VALUE"""),"Bonarda")</f>
        <v>Bonarda</v>
      </c>
      <c r="G1226" s="3"/>
      <c r="H1226" s="3"/>
      <c r="I1226" s="3"/>
      <c r="J1226" s="3"/>
      <c r="K1226" s="3"/>
      <c r="L1226" s="54">
        <f>IFERROR(__xludf.DUMMYFUNCTION("""COMPUTED_VALUE"""),26.0)</f>
        <v>26</v>
      </c>
      <c r="M1226" s="3">
        <f>IFERROR(__xludf.DUMMYFUNCTION("""COMPUTED_VALUE"""),96.0)</f>
        <v>96</v>
      </c>
      <c r="N1226" s="3"/>
      <c r="O1226" s="3"/>
      <c r="P1226" s="3"/>
      <c r="Q1226" s="3"/>
      <c r="R1226" s="3"/>
      <c r="S1226" s="3"/>
      <c r="T1226" s="5"/>
      <c r="U1226" s="5"/>
      <c r="V1226" s="5"/>
      <c r="W1226" s="5"/>
    </row>
    <row r="1227" ht="15.75" customHeight="1">
      <c r="A1227" s="3">
        <f>IFERROR(__xludf.DUMMYFUNCTION("""COMPUTED_VALUE"""),1227.0)</f>
        <v>1227</v>
      </c>
      <c r="B1227" s="53">
        <f>IFERROR(__xludf.DUMMYFUNCTION("""COMPUTED_VALUE"""),45762.0)</f>
        <v>45762</v>
      </c>
      <c r="C1227" s="3">
        <f>IFERROR(__xludf.DUMMYFUNCTION("""COMPUTED_VALUE"""),33.0)</f>
        <v>33</v>
      </c>
      <c r="D1227" s="3" t="str">
        <f>IFERROR(__xludf.DUMMYFUNCTION("""COMPUTED_VALUE"""),"7def2139")</f>
        <v>7def2139</v>
      </c>
      <c r="E1227" s="54">
        <f>IFERROR(__xludf.DUMMYFUNCTION("""COMPUTED_VALUE"""),25300.0)</f>
        <v>25300</v>
      </c>
      <c r="F1227" s="3" t="str">
        <f>IFERROR(__xludf.DUMMYFUNCTION("""COMPUTED_VALUE"""),"Chardonnay")</f>
        <v>Chardonnay</v>
      </c>
      <c r="G1227" s="3"/>
      <c r="H1227" s="3"/>
      <c r="I1227" s="3"/>
      <c r="J1227" s="3"/>
      <c r="K1227" s="3"/>
      <c r="L1227" s="54">
        <f>IFERROR(__xludf.DUMMYFUNCTION("""COMPUTED_VALUE"""),28.0)</f>
        <v>28</v>
      </c>
      <c r="M1227" s="3">
        <f>IFERROR(__xludf.DUMMYFUNCTION("""COMPUTED_VALUE"""),77.0)</f>
        <v>77</v>
      </c>
      <c r="N1227" s="3"/>
      <c r="O1227" s="3"/>
      <c r="P1227" s="3"/>
      <c r="Q1227" s="3"/>
      <c r="R1227" s="3"/>
      <c r="S1227" s="3"/>
      <c r="T1227" s="5"/>
      <c r="U1227" s="5"/>
      <c r="V1227" s="5"/>
      <c r="W1227" s="5"/>
    </row>
    <row r="1228" ht="15.75" customHeight="1">
      <c r="A1228" s="3">
        <f>IFERROR(__xludf.DUMMYFUNCTION("""COMPUTED_VALUE"""),1228.0)</f>
        <v>1228</v>
      </c>
      <c r="B1228" s="53">
        <f>IFERROR(__xludf.DUMMYFUNCTION("""COMPUTED_VALUE"""),45762.0)</f>
        <v>45762</v>
      </c>
      <c r="C1228" s="3">
        <f>IFERROR(__xludf.DUMMYFUNCTION("""COMPUTED_VALUE"""),52.0)</f>
        <v>52</v>
      </c>
      <c r="D1228" s="3" t="str">
        <f>IFERROR(__xludf.DUMMYFUNCTION("""COMPUTED_VALUE"""),"c750a1d2")</f>
        <v>c750a1d2</v>
      </c>
      <c r="E1228" s="54">
        <f>IFERROR(__xludf.DUMMYFUNCTION("""COMPUTED_VALUE"""),30000.0)</f>
        <v>30000</v>
      </c>
      <c r="F1228" s="3" t="str">
        <f>IFERROR(__xludf.DUMMYFUNCTION("""COMPUTED_VALUE"""),"Bonarda")</f>
        <v>Bonarda</v>
      </c>
      <c r="G1228" s="3"/>
      <c r="H1228" s="3"/>
      <c r="I1228" s="3"/>
      <c r="J1228" s="3"/>
      <c r="K1228" s="3"/>
      <c r="L1228" s="54">
        <f>IFERROR(__xludf.DUMMYFUNCTION("""COMPUTED_VALUE"""),15.0)</f>
        <v>15</v>
      </c>
      <c r="M1228" s="3">
        <f>IFERROR(__xludf.DUMMYFUNCTION("""COMPUTED_VALUE"""),90.0)</f>
        <v>90</v>
      </c>
      <c r="N1228" s="3"/>
      <c r="O1228" s="3"/>
      <c r="P1228" s="3"/>
      <c r="Q1228" s="3"/>
      <c r="R1228" s="3"/>
      <c r="S1228" s="3"/>
      <c r="T1228" s="5"/>
      <c r="U1228" s="5"/>
      <c r="V1228" s="5"/>
      <c r="W1228" s="5"/>
    </row>
    <row r="1229" ht="15.75" customHeight="1">
      <c r="A1229" s="3">
        <f>IFERROR(__xludf.DUMMYFUNCTION("""COMPUTED_VALUE"""),1229.0)</f>
        <v>1229</v>
      </c>
      <c r="B1229" s="53">
        <f>IFERROR(__xludf.DUMMYFUNCTION("""COMPUTED_VALUE"""),45762.0)</f>
        <v>45762</v>
      </c>
      <c r="C1229" s="3">
        <f>IFERROR(__xludf.DUMMYFUNCTION("""COMPUTED_VALUE"""),55.0)</f>
        <v>55</v>
      </c>
      <c r="D1229" s="3" t="str">
        <f>IFERROR(__xludf.DUMMYFUNCTION("""COMPUTED_VALUE"""),"30332ad5")</f>
        <v>30332ad5</v>
      </c>
      <c r="E1229" s="54">
        <f>IFERROR(__xludf.DUMMYFUNCTION("""COMPUTED_VALUE"""),3000.0)</f>
        <v>3000</v>
      </c>
      <c r="F1229" s="3" t="str">
        <f>IFERROR(__xludf.DUMMYFUNCTION("""COMPUTED_VALUE"""),"Torrontes")</f>
        <v>Torrontes</v>
      </c>
      <c r="G1229" s="3"/>
      <c r="H1229" s="3"/>
      <c r="I1229" s="3"/>
      <c r="J1229" s="3"/>
      <c r="K1229" s="3"/>
      <c r="L1229" s="54">
        <f>IFERROR(__xludf.DUMMYFUNCTION("""COMPUTED_VALUE"""),38.0)</f>
        <v>38</v>
      </c>
      <c r="M1229" s="3">
        <f>IFERROR(__xludf.DUMMYFUNCTION("""COMPUTED_VALUE"""),140.0)</f>
        <v>140</v>
      </c>
      <c r="N1229" s="3"/>
      <c r="O1229" s="3"/>
      <c r="P1229" s="3"/>
      <c r="Q1229" s="3"/>
      <c r="R1229" s="3"/>
      <c r="S1229" s="3"/>
      <c r="T1229" s="5"/>
      <c r="U1229" s="5"/>
      <c r="V1229" s="5"/>
      <c r="W1229" s="5"/>
    </row>
    <row r="1230" ht="15.75" customHeight="1">
      <c r="A1230" s="3">
        <f>IFERROR(__xludf.DUMMYFUNCTION("""COMPUTED_VALUE"""),1230.0)</f>
        <v>1230</v>
      </c>
      <c r="B1230" s="53">
        <f>IFERROR(__xludf.DUMMYFUNCTION("""COMPUTED_VALUE"""),45762.0)</f>
        <v>45762</v>
      </c>
      <c r="C1230" s="3">
        <f>IFERROR(__xludf.DUMMYFUNCTION("""COMPUTED_VALUE"""),68.0)</f>
        <v>68</v>
      </c>
      <c r="D1230" s="3" t="str">
        <f>IFERROR(__xludf.DUMMYFUNCTION("""COMPUTED_VALUE"""),"b23211ad")</f>
        <v>b23211ad</v>
      </c>
      <c r="E1230" s="54">
        <f>IFERROR(__xludf.DUMMYFUNCTION("""COMPUTED_VALUE"""),13000.0)</f>
        <v>13000</v>
      </c>
      <c r="F1230" s="3" t="str">
        <f>IFERROR(__xludf.DUMMYFUNCTION("""COMPUTED_VALUE"""),"Tanat")</f>
        <v>Tanat</v>
      </c>
      <c r="G1230" s="3"/>
      <c r="H1230" s="3"/>
      <c r="I1230" s="3"/>
      <c r="J1230" s="3"/>
      <c r="K1230" s="3"/>
      <c r="L1230" s="54">
        <f>IFERROR(__xludf.DUMMYFUNCTION("""COMPUTED_VALUE"""),32.0)</f>
        <v>32</v>
      </c>
      <c r="M1230" s="3">
        <f>IFERROR(__xludf.DUMMYFUNCTION("""COMPUTED_VALUE"""),96.0)</f>
        <v>96</v>
      </c>
      <c r="N1230" s="3"/>
      <c r="O1230" s="3"/>
      <c r="P1230" s="3"/>
      <c r="Q1230" s="3"/>
      <c r="R1230" s="3"/>
      <c r="S1230" s="3"/>
      <c r="T1230" s="5"/>
      <c r="U1230" s="5"/>
      <c r="V1230" s="5"/>
      <c r="W1230" s="5"/>
    </row>
    <row r="1231" ht="15.75" customHeight="1">
      <c r="A1231" s="3">
        <f>IFERROR(__xludf.DUMMYFUNCTION("""COMPUTED_VALUE"""),1231.0)</f>
        <v>1231</v>
      </c>
      <c r="B1231" s="53">
        <f>IFERROR(__xludf.DUMMYFUNCTION("""COMPUTED_VALUE"""),45762.0)</f>
        <v>45762</v>
      </c>
      <c r="C1231" s="3">
        <f>IFERROR(__xludf.DUMMYFUNCTION("""COMPUTED_VALUE"""),70.0)</f>
        <v>70</v>
      </c>
      <c r="D1231" s="3" t="str">
        <f>IFERROR(__xludf.DUMMYFUNCTION("""COMPUTED_VALUE"""),"65c7867f")</f>
        <v>65c7867f</v>
      </c>
      <c r="E1231" s="54">
        <f>IFERROR(__xludf.DUMMYFUNCTION("""COMPUTED_VALUE"""),10000.0)</f>
        <v>10000</v>
      </c>
      <c r="F1231" s="3" t="str">
        <f>IFERROR(__xludf.DUMMYFUNCTION("""COMPUTED_VALUE"""),"Tanat")</f>
        <v>Tanat</v>
      </c>
      <c r="G1231" s="3"/>
      <c r="H1231" s="3"/>
      <c r="I1231" s="3"/>
      <c r="J1231" s="3"/>
      <c r="K1231" s="3"/>
      <c r="L1231" s="54">
        <f>IFERROR(__xludf.DUMMYFUNCTION("""COMPUTED_VALUE"""),25.0)</f>
        <v>25</v>
      </c>
      <c r="M1231" s="3">
        <f>IFERROR(__xludf.DUMMYFUNCTION("""COMPUTED_VALUE"""),75.0)</f>
        <v>75</v>
      </c>
      <c r="N1231" s="3"/>
      <c r="O1231" s="3"/>
      <c r="P1231" s="3"/>
      <c r="Q1231" s="3"/>
      <c r="R1231" s="3"/>
      <c r="S1231" s="3"/>
      <c r="T1231" s="5"/>
      <c r="U1231" s="5"/>
      <c r="V1231" s="5"/>
      <c r="W1231" s="5"/>
    </row>
    <row r="1232" ht="15.75" customHeight="1">
      <c r="A1232" s="3">
        <f>IFERROR(__xludf.DUMMYFUNCTION("""COMPUTED_VALUE"""),1232.0)</f>
        <v>1232</v>
      </c>
      <c r="B1232" s="53">
        <f>IFERROR(__xludf.DUMMYFUNCTION("""COMPUTED_VALUE"""),45762.0)</f>
        <v>45762</v>
      </c>
      <c r="C1232" s="3">
        <f>IFERROR(__xludf.DUMMYFUNCTION("""COMPUTED_VALUE"""),116.0)</f>
        <v>116</v>
      </c>
      <c r="D1232" s="3" t="str">
        <f>IFERROR(__xludf.DUMMYFUNCTION("""COMPUTED_VALUE"""),"27a8c5fb")</f>
        <v>27a8c5fb</v>
      </c>
      <c r="E1232" s="54">
        <f>IFERROR(__xludf.DUMMYFUNCTION("""COMPUTED_VALUE"""),63700.0)</f>
        <v>63700</v>
      </c>
      <c r="F1232" s="3" t="str">
        <f>IFERROR(__xludf.DUMMYFUNCTION("""COMPUTED_VALUE"""),"Tinto")</f>
        <v>Tinto</v>
      </c>
      <c r="G1232" s="3"/>
      <c r="H1232" s="56">
        <f>IFERROR(__xludf.DUMMYFUNCTION("""COMPUTED_VALUE"""),2.0)</f>
        <v>2</v>
      </c>
      <c r="I1232" s="3"/>
      <c r="J1232" s="3"/>
      <c r="K1232" s="57">
        <f>IFERROR(__xludf.DUMMYFUNCTION("""COMPUTED_VALUE"""),3.85)</f>
        <v>3.85</v>
      </c>
      <c r="L1232" s="54">
        <f>IFERROR(__xludf.DUMMYFUNCTION("""COMPUTED_VALUE"""),15.0)</f>
        <v>15</v>
      </c>
      <c r="M1232" s="3">
        <f>IFERROR(__xludf.DUMMYFUNCTION("""COMPUTED_VALUE"""),71.0)</f>
        <v>71</v>
      </c>
      <c r="N1232" s="3"/>
      <c r="O1232" s="3"/>
      <c r="P1232" s="3"/>
      <c r="Q1232" s="3"/>
      <c r="R1232" s="3"/>
      <c r="S1232" s="3"/>
      <c r="T1232" s="5"/>
      <c r="U1232" s="5"/>
      <c r="V1232" s="5"/>
      <c r="W1232" s="5"/>
    </row>
    <row r="1233" ht="15.75" customHeight="1">
      <c r="A1233" s="3">
        <f>IFERROR(__xludf.DUMMYFUNCTION("""COMPUTED_VALUE"""),1233.0)</f>
        <v>1233</v>
      </c>
      <c r="B1233" s="53">
        <f>IFERROR(__xludf.DUMMYFUNCTION("""COMPUTED_VALUE"""),45762.0)</f>
        <v>45762</v>
      </c>
      <c r="C1233" s="3">
        <f>IFERROR(__xludf.DUMMYFUNCTION("""COMPUTED_VALUE"""),102.0)</f>
        <v>102</v>
      </c>
      <c r="D1233" s="3" t="str">
        <f>IFERROR(__xludf.DUMMYFUNCTION("""COMPUTED_VALUE"""),"96467006")</f>
        <v>96467006</v>
      </c>
      <c r="E1233" s="54">
        <f>IFERROR(__xludf.DUMMYFUNCTION("""COMPUTED_VALUE"""),30000.0)</f>
        <v>30000</v>
      </c>
      <c r="F1233" s="3" t="str">
        <f>IFERROR(__xludf.DUMMYFUNCTION("""COMPUTED_VALUE"""),"Tinto Recarga")</f>
        <v>Tinto Recarga</v>
      </c>
      <c r="G1233" s="3"/>
      <c r="H1233" s="3"/>
      <c r="I1233" s="3"/>
      <c r="J1233" s="3"/>
      <c r="K1233" s="3"/>
      <c r="L1233" s="54">
        <f>IFERROR(__xludf.DUMMYFUNCTION("""COMPUTED_VALUE"""),25.0)</f>
        <v>25</v>
      </c>
      <c r="M1233" s="3"/>
      <c r="N1233" s="3"/>
      <c r="O1233" s="3"/>
      <c r="P1233" s="3"/>
      <c r="Q1233" s="3"/>
      <c r="R1233" s="3"/>
      <c r="S1233" s="3"/>
      <c r="T1233" s="5"/>
      <c r="U1233" s="5"/>
      <c r="V1233" s="5"/>
      <c r="W1233" s="5"/>
    </row>
    <row r="1234" ht="15.75" customHeight="1">
      <c r="A1234" s="3">
        <f>IFERROR(__xludf.DUMMYFUNCTION("""COMPUTED_VALUE"""),1234.0)</f>
        <v>1234</v>
      </c>
      <c r="B1234" s="53">
        <f>IFERROR(__xludf.DUMMYFUNCTION("""COMPUTED_VALUE"""),45762.0)</f>
        <v>45762</v>
      </c>
      <c r="C1234" s="3">
        <f>IFERROR(__xludf.DUMMYFUNCTION("""COMPUTED_VALUE"""),103.0)</f>
        <v>103</v>
      </c>
      <c r="D1234" s="3" t="str">
        <f>IFERROR(__xludf.DUMMYFUNCTION("""COMPUTED_VALUE"""),"290ee918")</f>
        <v>290ee918</v>
      </c>
      <c r="E1234" s="54">
        <f>IFERROR(__xludf.DUMMYFUNCTION("""COMPUTED_VALUE"""),31000.0)</f>
        <v>31000</v>
      </c>
      <c r="F1234" s="3" t="str">
        <f>IFERROR(__xludf.DUMMYFUNCTION("""COMPUTED_VALUE"""),"Anccelotta")</f>
        <v>Anccelotta</v>
      </c>
      <c r="G1234" s="3"/>
      <c r="H1234" s="3"/>
      <c r="I1234" s="3"/>
      <c r="J1234" s="3"/>
      <c r="K1234" s="3"/>
      <c r="L1234" s="54">
        <f>IFERROR(__xludf.DUMMYFUNCTION("""COMPUTED_VALUE"""),24.0)</f>
        <v>24</v>
      </c>
      <c r="M1234" s="3"/>
      <c r="N1234" s="3"/>
      <c r="O1234" s="3"/>
      <c r="P1234" s="3"/>
      <c r="Q1234" s="3"/>
      <c r="R1234" s="3"/>
      <c r="S1234" s="3"/>
      <c r="T1234" s="5"/>
      <c r="U1234" s="5"/>
      <c r="V1234" s="5"/>
      <c r="W1234" s="5"/>
    </row>
    <row r="1235" ht="15.75" customHeight="1">
      <c r="A1235" s="3">
        <f>IFERROR(__xludf.DUMMYFUNCTION("""COMPUTED_VALUE"""),1235.0)</f>
        <v>1235</v>
      </c>
      <c r="B1235" s="53">
        <f>IFERROR(__xludf.DUMMYFUNCTION("""COMPUTED_VALUE"""),45762.0)</f>
        <v>45762</v>
      </c>
      <c r="C1235" s="3">
        <f>IFERROR(__xludf.DUMMYFUNCTION("""COMPUTED_VALUE"""),104.0)</f>
        <v>104</v>
      </c>
      <c r="D1235" s="3" t="str">
        <f>IFERROR(__xludf.DUMMYFUNCTION("""COMPUTED_VALUE"""),"1d042bcb")</f>
        <v>1d042bcb</v>
      </c>
      <c r="E1235" s="54">
        <f>IFERROR(__xludf.DUMMYFUNCTION("""COMPUTED_VALUE"""),31000.0)</f>
        <v>31000</v>
      </c>
      <c r="F1235" s="3" t="str">
        <f>IFERROR(__xludf.DUMMYFUNCTION("""COMPUTED_VALUE"""),"Tinto")</f>
        <v>Tinto</v>
      </c>
      <c r="G1235" s="3"/>
      <c r="H1235" s="3"/>
      <c r="I1235" s="3"/>
      <c r="J1235" s="3"/>
      <c r="K1235" s="3"/>
      <c r="L1235" s="54">
        <f>IFERROR(__xludf.DUMMYFUNCTION("""COMPUTED_VALUE"""),18.0)</f>
        <v>18</v>
      </c>
      <c r="M1235" s="3"/>
      <c r="N1235" s="3"/>
      <c r="O1235" s="3"/>
      <c r="P1235" s="3"/>
      <c r="Q1235" s="3"/>
      <c r="R1235" s="3"/>
      <c r="S1235" s="3"/>
      <c r="T1235" s="5"/>
      <c r="U1235" s="5"/>
      <c r="V1235" s="5"/>
      <c r="W1235" s="5"/>
    </row>
    <row r="1236" ht="15.75" customHeight="1">
      <c r="A1236" s="3">
        <f>IFERROR(__xludf.DUMMYFUNCTION("""COMPUTED_VALUE"""),1236.0)</f>
        <v>1236</v>
      </c>
      <c r="B1236" s="53">
        <f>IFERROR(__xludf.DUMMYFUNCTION("""COMPUTED_VALUE"""),45762.0)</f>
        <v>45762</v>
      </c>
      <c r="C1236" s="3">
        <f>IFERROR(__xludf.DUMMYFUNCTION("""COMPUTED_VALUE"""),105.0)</f>
        <v>105</v>
      </c>
      <c r="D1236" s="3" t="str">
        <f>IFERROR(__xludf.DUMMYFUNCTION("""COMPUTED_VALUE"""),"e33f8556")</f>
        <v>e33f8556</v>
      </c>
      <c r="E1236" s="54">
        <f>IFERROR(__xludf.DUMMYFUNCTION("""COMPUTED_VALUE"""),28000.0)</f>
        <v>28000</v>
      </c>
      <c r="F1236" s="3" t="str">
        <f>IFERROR(__xludf.DUMMYFUNCTION("""COMPUTED_VALUE"""),"Malbec Bonarda")</f>
        <v>Malbec Bonarda</v>
      </c>
      <c r="G1236" s="3"/>
      <c r="H1236" s="3"/>
      <c r="I1236" s="3"/>
      <c r="J1236" s="3"/>
      <c r="K1236" s="3"/>
      <c r="L1236" s="54">
        <f>IFERROR(__xludf.DUMMYFUNCTION("""COMPUTED_VALUE"""),13.0)</f>
        <v>13</v>
      </c>
      <c r="M1236" s="3"/>
      <c r="N1236" s="3"/>
      <c r="O1236" s="3"/>
      <c r="P1236" s="3"/>
      <c r="Q1236" s="3"/>
      <c r="R1236" s="3"/>
      <c r="S1236" s="3"/>
      <c r="T1236" s="5"/>
      <c r="U1236" s="5"/>
      <c r="V1236" s="5"/>
      <c r="W1236" s="5"/>
    </row>
    <row r="1237" ht="15.75" customHeight="1">
      <c r="A1237" s="3">
        <f>IFERROR(__xludf.DUMMYFUNCTION("""COMPUTED_VALUE"""),1237.0)</f>
        <v>1237</v>
      </c>
      <c r="B1237" s="53">
        <f>IFERROR(__xludf.DUMMYFUNCTION("""COMPUTED_VALUE"""),45762.0)</f>
        <v>45762</v>
      </c>
      <c r="C1237" s="3">
        <f>IFERROR(__xludf.DUMMYFUNCTION("""COMPUTED_VALUE"""),106.0)</f>
        <v>106</v>
      </c>
      <c r="D1237" s="3" t="str">
        <f>IFERROR(__xludf.DUMMYFUNCTION("""COMPUTED_VALUE"""),"b1ca9458")</f>
        <v>b1ca9458</v>
      </c>
      <c r="E1237" s="54">
        <f>IFERROR(__xludf.DUMMYFUNCTION("""COMPUTED_VALUE"""),11000.0)</f>
        <v>11000</v>
      </c>
      <c r="F1237" s="3" t="str">
        <f>IFERROR(__xludf.DUMMYFUNCTION("""COMPUTED_VALUE"""),"Ancellotta Tempranillo")</f>
        <v>Ancellotta Tempranillo</v>
      </c>
      <c r="G1237" s="3"/>
      <c r="H1237" s="3"/>
      <c r="I1237" s="3"/>
      <c r="J1237" s="3"/>
      <c r="K1237" s="3"/>
      <c r="L1237" s="54">
        <f>IFERROR(__xludf.DUMMYFUNCTION("""COMPUTED_VALUE"""),26.0)</f>
        <v>26</v>
      </c>
      <c r="M1237" s="3"/>
      <c r="N1237" s="3"/>
      <c r="O1237" s="3"/>
      <c r="P1237" s="3"/>
      <c r="Q1237" s="3"/>
      <c r="R1237" s="3"/>
      <c r="S1237" s="3"/>
      <c r="T1237" s="5"/>
      <c r="U1237" s="5"/>
      <c r="V1237" s="5"/>
      <c r="W1237" s="5"/>
    </row>
    <row r="1238" ht="15.75" customHeight="1">
      <c r="A1238" s="3">
        <f>IFERROR(__xludf.DUMMYFUNCTION("""COMPUTED_VALUE"""),1238.0)</f>
        <v>1238</v>
      </c>
      <c r="B1238" s="53">
        <f>IFERROR(__xludf.DUMMYFUNCTION("""COMPUTED_VALUE"""),45762.0)</f>
        <v>45762</v>
      </c>
      <c r="C1238" s="3">
        <f>IFERROR(__xludf.DUMMYFUNCTION("""COMPUTED_VALUE"""),107.0)</f>
        <v>107</v>
      </c>
      <c r="D1238" s="3" t="str">
        <f>IFERROR(__xludf.DUMMYFUNCTION("""COMPUTED_VALUE"""),"afed01fa")</f>
        <v>afed01fa</v>
      </c>
      <c r="E1238" s="54">
        <f>IFERROR(__xludf.DUMMYFUNCTION("""COMPUTED_VALUE"""),31000.0)</f>
        <v>31000</v>
      </c>
      <c r="F1238" s="3" t="str">
        <f>IFERROR(__xludf.DUMMYFUNCTION("""COMPUTED_VALUE"""),"Ancellotta Tempranillo Pren")</f>
        <v>Ancellotta Tempranillo Pren</v>
      </c>
      <c r="G1238" s="3"/>
      <c r="H1238" s="3"/>
      <c r="I1238" s="3"/>
      <c r="J1238" s="3"/>
      <c r="K1238" s="3"/>
      <c r="L1238" s="54">
        <f>IFERROR(__xludf.DUMMYFUNCTION("""COMPUTED_VALUE"""),20.0)</f>
        <v>20</v>
      </c>
      <c r="M1238" s="3"/>
      <c r="N1238" s="3"/>
      <c r="O1238" s="3"/>
      <c r="P1238" s="3"/>
      <c r="Q1238" s="3"/>
      <c r="R1238" s="3"/>
      <c r="S1238" s="3"/>
      <c r="T1238" s="5"/>
      <c r="U1238" s="5"/>
      <c r="V1238" s="5"/>
      <c r="W1238" s="5"/>
    </row>
    <row r="1239" ht="15.75" customHeight="1">
      <c r="A1239" s="3">
        <f>IFERROR(__xludf.DUMMYFUNCTION("""COMPUTED_VALUE"""),1239.0)</f>
        <v>1239</v>
      </c>
      <c r="B1239" s="53">
        <f>IFERROR(__xludf.DUMMYFUNCTION("""COMPUTED_VALUE"""),45762.0)</f>
        <v>45762</v>
      </c>
      <c r="C1239" s="3">
        <f>IFERROR(__xludf.DUMMYFUNCTION("""COMPUTED_VALUE"""),108.0)</f>
        <v>108</v>
      </c>
      <c r="D1239" s="3" t="str">
        <f>IFERROR(__xludf.DUMMYFUNCTION("""COMPUTED_VALUE"""),"b1b9580e")</f>
        <v>b1b9580e</v>
      </c>
      <c r="E1239" s="54">
        <f>IFERROR(__xludf.DUMMYFUNCTION("""COMPUTED_VALUE"""),31000.0)</f>
        <v>31000</v>
      </c>
      <c r="F1239" s="3" t="str">
        <f>IFERROR(__xludf.DUMMYFUNCTION("""COMPUTED_VALUE"""),"Tinto G")</f>
        <v>Tinto G</v>
      </c>
      <c r="G1239" s="3"/>
      <c r="H1239" s="3"/>
      <c r="I1239" s="3"/>
      <c r="J1239" s="3"/>
      <c r="K1239" s="3"/>
      <c r="L1239" s="54">
        <f>IFERROR(__xludf.DUMMYFUNCTION("""COMPUTED_VALUE"""),20.0)</f>
        <v>20</v>
      </c>
      <c r="M1239" s="3"/>
      <c r="N1239" s="3"/>
      <c r="O1239" s="3"/>
      <c r="P1239" s="3"/>
      <c r="Q1239" s="3"/>
      <c r="R1239" s="3"/>
      <c r="S1239" s="3"/>
      <c r="T1239" s="5"/>
      <c r="U1239" s="5"/>
      <c r="V1239" s="5"/>
      <c r="W1239" s="5"/>
    </row>
    <row r="1240" ht="15.75" customHeight="1">
      <c r="A1240" s="3">
        <f>IFERROR(__xludf.DUMMYFUNCTION("""COMPUTED_VALUE"""),1240.0)</f>
        <v>1240</v>
      </c>
      <c r="B1240" s="53">
        <f>IFERROR(__xludf.DUMMYFUNCTION("""COMPUTED_VALUE"""),45762.0)</f>
        <v>45762</v>
      </c>
      <c r="C1240" s="3">
        <f>IFERROR(__xludf.DUMMYFUNCTION("""COMPUTED_VALUE"""),109.0)</f>
        <v>109</v>
      </c>
      <c r="D1240" s="3" t="str">
        <f>IFERROR(__xludf.DUMMYFUNCTION("""COMPUTED_VALUE"""),"33d70f3e")</f>
        <v>33d70f3e</v>
      </c>
      <c r="E1240" s="54">
        <f>IFERROR(__xludf.DUMMYFUNCTION("""COMPUTED_VALUE"""),15600.0)</f>
        <v>15600</v>
      </c>
      <c r="F1240" s="3" t="str">
        <f>IFERROR(__xludf.DUMMYFUNCTION("""COMPUTED_VALUE"""),"Bonarda C2")</f>
        <v>Bonarda C2</v>
      </c>
      <c r="G1240" s="3"/>
      <c r="H1240" s="3"/>
      <c r="I1240" s="3"/>
      <c r="J1240" s="3"/>
      <c r="K1240" s="3"/>
      <c r="L1240" s="54">
        <f>IFERROR(__xludf.DUMMYFUNCTION("""COMPUTED_VALUE"""),18.0)</f>
        <v>18</v>
      </c>
      <c r="M1240" s="3"/>
      <c r="N1240" s="3"/>
      <c r="O1240" s="3"/>
      <c r="P1240" s="3"/>
      <c r="Q1240" s="3"/>
      <c r="R1240" s="3"/>
      <c r="S1240" s="3"/>
      <c r="T1240" s="5"/>
      <c r="U1240" s="5"/>
      <c r="V1240" s="5"/>
      <c r="W1240" s="5"/>
    </row>
    <row r="1241" ht="15.75" customHeight="1">
      <c r="A1241" s="3">
        <f>IFERROR(__xludf.DUMMYFUNCTION("""COMPUTED_VALUE"""),1241.0)</f>
        <v>1241</v>
      </c>
      <c r="B1241" s="53">
        <f>IFERROR(__xludf.DUMMYFUNCTION("""COMPUTED_VALUE"""),45762.0)</f>
        <v>45762</v>
      </c>
      <c r="C1241" s="3">
        <f>IFERROR(__xludf.DUMMYFUNCTION("""COMPUTED_VALUE"""),110.0)</f>
        <v>110</v>
      </c>
      <c r="D1241" s="3" t="str">
        <f>IFERROR(__xludf.DUMMYFUNCTION("""COMPUTED_VALUE"""),"d251428e")</f>
        <v>d251428e</v>
      </c>
      <c r="E1241" s="54">
        <f>IFERROR(__xludf.DUMMYFUNCTION("""COMPUTED_VALUE"""),15600.0)</f>
        <v>15600</v>
      </c>
      <c r="F1241" s="3" t="str">
        <f>IFERROR(__xludf.DUMMYFUNCTION("""COMPUTED_VALUE"""),"Borra")</f>
        <v>Borra</v>
      </c>
      <c r="G1241" s="3"/>
      <c r="H1241" s="3"/>
      <c r="I1241" s="3"/>
      <c r="J1241" s="3"/>
      <c r="K1241" s="3"/>
      <c r="L1241" s="54">
        <f>IFERROR(__xludf.DUMMYFUNCTION("""COMPUTED_VALUE"""),57.0)</f>
        <v>57</v>
      </c>
      <c r="M1241" s="3"/>
      <c r="N1241" s="3"/>
      <c r="O1241" s="3"/>
      <c r="P1241" s="3"/>
      <c r="Q1241" s="3"/>
      <c r="R1241" s="3"/>
      <c r="S1241" s="3"/>
      <c r="T1241" s="5"/>
      <c r="U1241" s="5"/>
      <c r="V1241" s="5"/>
      <c r="W1241" s="5"/>
    </row>
    <row r="1242" ht="15.75" customHeight="1">
      <c r="A1242" s="3">
        <f>IFERROR(__xludf.DUMMYFUNCTION("""COMPUTED_VALUE"""),1242.0)</f>
        <v>1242</v>
      </c>
      <c r="B1242" s="53">
        <f>IFERROR(__xludf.DUMMYFUNCTION("""COMPUTED_VALUE"""),45762.0)</f>
        <v>45762</v>
      </c>
      <c r="C1242" s="3">
        <f>IFERROR(__xludf.DUMMYFUNCTION("""COMPUTED_VALUE"""),114.0)</f>
        <v>114</v>
      </c>
      <c r="D1242" s="3" t="str">
        <f>IFERROR(__xludf.DUMMYFUNCTION("""COMPUTED_VALUE"""),"e53d4606")</f>
        <v>e53d4606</v>
      </c>
      <c r="E1242" s="54">
        <f>IFERROR(__xludf.DUMMYFUNCTION("""COMPUTED_VALUE"""),125300.0)</f>
        <v>125300</v>
      </c>
      <c r="F1242" s="3" t="str">
        <f>IFERROR(__xludf.DUMMYFUNCTION("""COMPUTED_VALUE"""),"Syrah")</f>
        <v>Syrah</v>
      </c>
      <c r="G1242" s="3"/>
      <c r="H1242" s="3"/>
      <c r="I1242" s="3"/>
      <c r="J1242" s="3"/>
      <c r="K1242" s="3"/>
      <c r="L1242" s="54">
        <f>IFERROR(__xludf.DUMMYFUNCTION("""COMPUTED_VALUE"""),32.0)</f>
        <v>32</v>
      </c>
      <c r="M1242" s="3"/>
      <c r="N1242" s="3"/>
      <c r="O1242" s="3"/>
      <c r="P1242" s="3"/>
      <c r="Q1242" s="3"/>
      <c r="R1242" s="3"/>
      <c r="S1242" s="3"/>
      <c r="T1242" s="5"/>
      <c r="U1242" s="5"/>
      <c r="V1242" s="5"/>
      <c r="W1242" s="5"/>
    </row>
    <row r="1243" ht="15.75" customHeight="1">
      <c r="A1243" s="3">
        <f>IFERROR(__xludf.DUMMYFUNCTION("""COMPUTED_VALUE"""),1243.0)</f>
        <v>1243</v>
      </c>
      <c r="B1243" s="53">
        <f>IFERROR(__xludf.DUMMYFUNCTION("""COMPUTED_VALUE"""),45762.0)</f>
        <v>45762</v>
      </c>
      <c r="C1243" s="3">
        <f>IFERROR(__xludf.DUMMYFUNCTION("""COMPUTED_VALUE"""),115.0)</f>
        <v>115</v>
      </c>
      <c r="D1243" s="3" t="str">
        <f>IFERROR(__xludf.DUMMYFUNCTION("""COMPUTED_VALUE"""),"03e27ebe")</f>
        <v>03e27ebe</v>
      </c>
      <c r="E1243" s="54">
        <f>IFERROR(__xludf.DUMMYFUNCTION("""COMPUTED_VALUE"""),118000.0)</f>
        <v>118000</v>
      </c>
      <c r="F1243" s="3" t="str">
        <f>IFERROR(__xludf.DUMMYFUNCTION("""COMPUTED_VALUE"""),"Syrah Tempranillo")</f>
        <v>Syrah Tempranillo</v>
      </c>
      <c r="G1243" s="3"/>
      <c r="H1243" s="3"/>
      <c r="I1243" s="3"/>
      <c r="J1243" s="3"/>
      <c r="K1243" s="3"/>
      <c r="L1243" s="54">
        <f>IFERROR(__xludf.DUMMYFUNCTION("""COMPUTED_VALUE"""),25.0)</f>
        <v>25</v>
      </c>
      <c r="M1243" s="3"/>
      <c r="N1243" s="3"/>
      <c r="O1243" s="3"/>
      <c r="P1243" s="3"/>
      <c r="Q1243" s="3"/>
      <c r="R1243" s="3"/>
      <c r="S1243" s="3"/>
      <c r="T1243" s="5"/>
      <c r="U1243" s="5"/>
      <c r="V1243" s="5"/>
      <c r="W1243" s="5"/>
    </row>
    <row r="1244" ht="15.75" customHeight="1">
      <c r="A1244" s="3">
        <f>IFERROR(__xludf.DUMMYFUNCTION("""COMPUTED_VALUE"""),1244.0)</f>
        <v>1244</v>
      </c>
      <c r="B1244" s="53">
        <f>IFERROR(__xludf.DUMMYFUNCTION("""COMPUTED_VALUE"""),45762.0)</f>
        <v>45762</v>
      </c>
      <c r="C1244" s="3">
        <f>IFERROR(__xludf.DUMMYFUNCTION("""COMPUTED_VALUE"""),120.0)</f>
        <v>120</v>
      </c>
      <c r="D1244" s="3" t="str">
        <f>IFERROR(__xludf.DUMMYFUNCTION("""COMPUTED_VALUE"""),"bb5ac12c")</f>
        <v>bb5ac12c</v>
      </c>
      <c r="E1244" s="54">
        <f>IFERROR(__xludf.DUMMYFUNCTION("""COMPUTED_VALUE"""),72500.0)</f>
        <v>72500</v>
      </c>
      <c r="F1244" s="3" t="str">
        <f>IFERROR(__xludf.DUMMYFUNCTION("""COMPUTED_VALUE"""),"Cabernet Sauvignon")</f>
        <v>Cabernet Sauvignon</v>
      </c>
      <c r="G1244" s="3"/>
      <c r="H1244" s="3"/>
      <c r="I1244" s="3"/>
      <c r="J1244" s="3"/>
      <c r="K1244" s="3"/>
      <c r="L1244" s="54">
        <f>IFERROR(__xludf.DUMMYFUNCTION("""COMPUTED_VALUE"""),15.0)</f>
        <v>15</v>
      </c>
      <c r="M1244" s="3"/>
      <c r="N1244" s="3"/>
      <c r="O1244" s="3"/>
      <c r="P1244" s="3"/>
      <c r="Q1244" s="3"/>
      <c r="R1244" s="3"/>
      <c r="S1244" s="3"/>
      <c r="T1244" s="5"/>
      <c r="U1244" s="5"/>
      <c r="V1244" s="5"/>
      <c r="W1244" s="5"/>
    </row>
    <row r="1245" ht="15.75" customHeight="1">
      <c r="A1245" s="3">
        <f>IFERROR(__xludf.DUMMYFUNCTION("""COMPUTED_VALUE"""),1245.0)</f>
        <v>1245</v>
      </c>
      <c r="B1245" s="53">
        <f>IFERROR(__xludf.DUMMYFUNCTION("""COMPUTED_VALUE"""),45764.0)</f>
        <v>45764</v>
      </c>
      <c r="C1245" s="3">
        <f>IFERROR(__xludf.DUMMYFUNCTION("""COMPUTED_VALUE"""),105.0)</f>
        <v>105</v>
      </c>
      <c r="D1245" s="3" t="str">
        <f>IFERROR(__xludf.DUMMYFUNCTION("""COMPUTED_VALUE"""),"e33f8556")</f>
        <v>e33f8556</v>
      </c>
      <c r="E1245" s="54">
        <f>IFERROR(__xludf.DUMMYFUNCTION("""COMPUTED_VALUE"""),28000.0)</f>
        <v>28000</v>
      </c>
      <c r="F1245" s="3" t="str">
        <f>IFERROR(__xludf.DUMMYFUNCTION("""COMPUTED_VALUE"""),"Malbec Bonarda")</f>
        <v>Malbec Bonarda</v>
      </c>
      <c r="G1245" s="3"/>
      <c r="H1245" s="56">
        <f>IFERROR(__xludf.DUMMYFUNCTION("""COMPUTED_VALUE"""),16.0)</f>
        <v>16</v>
      </c>
      <c r="I1245" s="57">
        <f>IFERROR(__xludf.DUMMYFUNCTION("""COMPUTED_VALUE"""),0.53)</f>
        <v>0.53</v>
      </c>
      <c r="J1245" s="3"/>
      <c r="K1245" s="57">
        <f>IFERROR(__xludf.DUMMYFUNCTION("""COMPUTED_VALUE"""),3.83)</f>
        <v>3.83</v>
      </c>
      <c r="L1245" s="3"/>
      <c r="M1245" s="3"/>
      <c r="N1245" s="3"/>
      <c r="O1245" s="3"/>
      <c r="P1245" s="3"/>
      <c r="Q1245" s="3"/>
      <c r="R1245" s="3"/>
      <c r="S1245" s="3"/>
      <c r="T1245" s="5"/>
      <c r="U1245" s="5"/>
      <c r="V1245" s="5"/>
      <c r="W1245" s="5"/>
    </row>
    <row r="1246" ht="15.75" customHeight="1">
      <c r="A1246" s="3">
        <f>IFERROR(__xludf.DUMMYFUNCTION("""COMPUTED_VALUE"""),1246.0)</f>
        <v>1246</v>
      </c>
      <c r="B1246" s="53">
        <f>IFERROR(__xludf.DUMMYFUNCTION("""COMPUTED_VALUE"""),45768.0)</f>
        <v>45768</v>
      </c>
      <c r="C1246" s="3">
        <f>IFERROR(__xludf.DUMMYFUNCTION("""COMPUTED_VALUE"""),85.0)</f>
        <v>85</v>
      </c>
      <c r="D1246" s="3" t="str">
        <f>IFERROR(__xludf.DUMMYFUNCTION("""COMPUTED_VALUE"""),"f5552916")</f>
        <v>f5552916</v>
      </c>
      <c r="E1246" s="54">
        <f>IFERROR(__xludf.DUMMYFUNCTION("""COMPUTED_VALUE"""),41000.0)</f>
        <v>41000</v>
      </c>
      <c r="F1246" s="3" t="str">
        <f>IFERROR(__xludf.DUMMYFUNCTION("""COMPUTED_VALUE"""),"Bonarda Gota")</f>
        <v>Bonarda Gota</v>
      </c>
      <c r="G1246" s="3"/>
      <c r="H1246" s="56">
        <f>IFERROR(__xludf.DUMMYFUNCTION("""COMPUTED_VALUE"""),2.0)</f>
        <v>2</v>
      </c>
      <c r="I1246" s="3"/>
      <c r="J1246" s="3"/>
      <c r="K1246" s="3"/>
      <c r="L1246" s="54">
        <f>IFERROR(__xludf.DUMMYFUNCTION("""COMPUTED_VALUE"""),19.0)</f>
        <v>19</v>
      </c>
      <c r="M1246" s="3"/>
      <c r="N1246" s="3"/>
      <c r="O1246" s="3"/>
      <c r="P1246" s="3"/>
      <c r="Q1246" s="3"/>
      <c r="R1246" s="3"/>
      <c r="S1246" s="3"/>
      <c r="T1246" s="5"/>
      <c r="U1246" s="5"/>
      <c r="V1246" s="5"/>
      <c r="W1246" s="5"/>
    </row>
    <row r="1247" ht="15.75" customHeight="1">
      <c r="A1247" s="3">
        <f>IFERROR(__xludf.DUMMYFUNCTION("""COMPUTED_VALUE"""),1247.0)</f>
        <v>1247</v>
      </c>
      <c r="B1247" s="53">
        <f>IFERROR(__xludf.DUMMYFUNCTION("""COMPUTED_VALUE"""),45768.0)</f>
        <v>45768</v>
      </c>
      <c r="C1247" s="3">
        <f>IFERROR(__xludf.DUMMYFUNCTION("""COMPUTED_VALUE"""),118.0)</f>
        <v>118</v>
      </c>
      <c r="D1247" s="3" t="str">
        <f>IFERROR(__xludf.DUMMYFUNCTION("""COMPUTED_VALUE"""),"8ec426a5")</f>
        <v>8ec426a5</v>
      </c>
      <c r="E1247" s="54">
        <f>IFERROR(__xludf.DUMMYFUNCTION("""COMPUTED_VALUE"""),155600.0)</f>
        <v>155600</v>
      </c>
      <c r="F1247" s="3" t="str">
        <f>IFERROR(__xludf.DUMMYFUNCTION("""COMPUTED_VALUE"""),"Bonarda")</f>
        <v>Bonarda</v>
      </c>
      <c r="G1247" s="3"/>
      <c r="H1247" s="56">
        <f>IFERROR(__xludf.DUMMYFUNCTION("""COMPUTED_VALUE"""),2.6)</f>
        <v>2.6</v>
      </c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5"/>
      <c r="U1247" s="5"/>
      <c r="V1247" s="5"/>
      <c r="W1247" s="5"/>
    </row>
    <row r="1248" ht="15.75" customHeight="1">
      <c r="A1248" s="3">
        <f>IFERROR(__xludf.DUMMYFUNCTION("""COMPUTED_VALUE"""),1248.0)</f>
        <v>1248</v>
      </c>
      <c r="B1248" s="53">
        <f>IFERROR(__xludf.DUMMYFUNCTION("""COMPUTED_VALUE"""),45768.0)</f>
        <v>45768</v>
      </c>
      <c r="C1248" s="3">
        <f>IFERROR(__xludf.DUMMYFUNCTION("""COMPUTED_VALUE"""),92.0)</f>
        <v>92</v>
      </c>
      <c r="D1248" s="3" t="str">
        <f>IFERROR(__xludf.DUMMYFUNCTION("""COMPUTED_VALUE"""),"f4ef7eb7")</f>
        <v>f4ef7eb7</v>
      </c>
      <c r="E1248" s="54">
        <f>IFERROR(__xludf.DUMMYFUNCTION("""COMPUTED_VALUE"""),48500.0)</f>
        <v>48500</v>
      </c>
      <c r="F1248" s="3" t="str">
        <f>IFERROR(__xludf.DUMMYFUNCTION("""COMPUTED_VALUE"""),"Malbec")</f>
        <v>Malbec</v>
      </c>
      <c r="G1248" s="3"/>
      <c r="H1248" s="56">
        <f>IFERROR(__xludf.DUMMYFUNCTION("""COMPUTED_VALUE"""),16.0)</f>
        <v>16</v>
      </c>
      <c r="I1248" s="57">
        <f>IFERROR(__xludf.DUMMYFUNCTION("""COMPUTED_VALUE"""),0.47)</f>
        <v>0.47</v>
      </c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5"/>
      <c r="U1248" s="5"/>
      <c r="V1248" s="5"/>
      <c r="W1248" s="5"/>
    </row>
    <row r="1249" ht="15.75" customHeight="1">
      <c r="A1249" s="3">
        <f>IFERROR(__xludf.DUMMYFUNCTION("""COMPUTED_VALUE"""),1249.0)</f>
        <v>1249</v>
      </c>
      <c r="B1249" s="53">
        <f>IFERROR(__xludf.DUMMYFUNCTION("""COMPUTED_VALUE"""),45764.0)</f>
        <v>45764</v>
      </c>
      <c r="C1249" s="3">
        <f>IFERROR(__xludf.DUMMYFUNCTION("""COMPUTED_VALUE"""),96.0)</f>
        <v>96</v>
      </c>
      <c r="D1249" s="3" t="str">
        <f>IFERROR(__xludf.DUMMYFUNCTION("""COMPUTED_VALUE"""),"4b2f415c")</f>
        <v>4b2f415c</v>
      </c>
      <c r="E1249" s="54">
        <f>IFERROR(__xludf.DUMMYFUNCTION("""COMPUTED_VALUE"""),52800.0)</f>
        <v>52800</v>
      </c>
      <c r="F1249" s="3" t="str">
        <f>IFERROR(__xludf.DUMMYFUNCTION("""COMPUTED_VALUE"""),"Malbec")</f>
        <v>Malbec</v>
      </c>
      <c r="G1249" s="3"/>
      <c r="H1249" s="56">
        <f>IFERROR(__xludf.DUMMYFUNCTION("""COMPUTED_VALUE"""),2.0)</f>
        <v>2</v>
      </c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5"/>
      <c r="U1249" s="5"/>
      <c r="V1249" s="5"/>
      <c r="W1249" s="5"/>
    </row>
    <row r="1250" ht="15.75" customHeight="1">
      <c r="A1250" s="3">
        <f>IFERROR(__xludf.DUMMYFUNCTION("""COMPUTED_VALUE"""),1250.0)</f>
        <v>1250</v>
      </c>
      <c r="B1250" s="53">
        <f>IFERROR(__xludf.DUMMYFUNCTION("""COMPUTED_VALUE"""),45764.0)</f>
        <v>45764</v>
      </c>
      <c r="C1250" s="3">
        <f>IFERROR(__xludf.DUMMYFUNCTION("""COMPUTED_VALUE"""),81.0)</f>
        <v>81</v>
      </c>
      <c r="D1250" s="3" t="str">
        <f>IFERROR(__xludf.DUMMYFUNCTION("""COMPUTED_VALUE"""),"7678fbc3")</f>
        <v>7678fbc3</v>
      </c>
      <c r="E1250" s="54">
        <f>IFERROR(__xludf.DUMMYFUNCTION("""COMPUTED_VALUE"""),18100.0)</f>
        <v>18100</v>
      </c>
      <c r="F1250" s="3" t="str">
        <f>IFERROR(__xludf.DUMMYFUNCTION("""COMPUTED_VALUE"""),"Malbec")</f>
        <v>Malbec</v>
      </c>
      <c r="G1250" s="3"/>
      <c r="H1250" s="56">
        <f>IFERROR(__xludf.DUMMYFUNCTION("""COMPUTED_VALUE"""),2.0)</f>
        <v>2</v>
      </c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5"/>
      <c r="U1250" s="5"/>
      <c r="V1250" s="5"/>
      <c r="W1250" s="5"/>
    </row>
    <row r="1251" ht="15.75" customHeight="1">
      <c r="A1251" s="3">
        <f>IFERROR(__xludf.DUMMYFUNCTION("""COMPUTED_VALUE"""),1251.0)</f>
        <v>1251</v>
      </c>
      <c r="B1251" s="53">
        <f>IFERROR(__xludf.DUMMYFUNCTION("""COMPUTED_VALUE"""),45764.0)</f>
        <v>45764</v>
      </c>
      <c r="C1251" s="3">
        <f>IFERROR(__xludf.DUMMYFUNCTION("""COMPUTED_VALUE"""),82.0)</f>
        <v>82</v>
      </c>
      <c r="D1251" s="3" t="str">
        <f>IFERROR(__xludf.DUMMYFUNCTION("""COMPUTED_VALUE"""),"db841e43")</f>
        <v>db841e43</v>
      </c>
      <c r="E1251" s="54">
        <f>IFERROR(__xludf.DUMMYFUNCTION("""COMPUTED_VALUE"""),33000.0)</f>
        <v>33000</v>
      </c>
      <c r="F1251" s="3" t="str">
        <f>IFERROR(__xludf.DUMMYFUNCTION("""COMPUTED_VALUE"""),"Malbec")</f>
        <v>Malbec</v>
      </c>
      <c r="G1251" s="3"/>
      <c r="H1251" s="56">
        <f>IFERROR(__xludf.DUMMYFUNCTION("""COMPUTED_VALUE"""),3.0)</f>
        <v>3</v>
      </c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5"/>
      <c r="U1251" s="5"/>
      <c r="V1251" s="5"/>
      <c r="W1251" s="5"/>
    </row>
    <row r="1252" ht="15.75" customHeight="1">
      <c r="A1252" s="3">
        <f>IFERROR(__xludf.DUMMYFUNCTION("""COMPUTED_VALUE"""),1252.0)</f>
        <v>1252</v>
      </c>
      <c r="B1252" s="53">
        <f>IFERROR(__xludf.DUMMYFUNCTION("""COMPUTED_VALUE"""),45768.0)</f>
        <v>45768</v>
      </c>
      <c r="C1252" s="3">
        <f>IFERROR(__xludf.DUMMYFUNCTION("""COMPUTED_VALUE"""),65.0)</f>
        <v>65</v>
      </c>
      <c r="D1252" s="3" t="str">
        <f>IFERROR(__xludf.DUMMYFUNCTION("""COMPUTED_VALUE"""),"e3bf14f2")</f>
        <v>e3bf14f2</v>
      </c>
      <c r="E1252" s="54">
        <f>IFERROR(__xludf.DUMMYFUNCTION("""COMPUTED_VALUE"""),27250.0)</f>
        <v>27250</v>
      </c>
      <c r="F1252" s="3" t="str">
        <f>IFERROR(__xludf.DUMMYFUNCTION("""COMPUTED_VALUE"""),"Cabernet Sauvignon")</f>
        <v>Cabernet Sauvignon</v>
      </c>
      <c r="G1252" s="3"/>
      <c r="H1252" s="56">
        <f>IFERROR(__xludf.DUMMYFUNCTION("""COMPUTED_VALUE"""),11.0)</f>
        <v>11</v>
      </c>
      <c r="I1252" s="57">
        <f>IFERROR(__xludf.DUMMYFUNCTION("""COMPUTED_VALUE"""),0.65)</f>
        <v>0.65</v>
      </c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5"/>
      <c r="U1252" s="5"/>
      <c r="V1252" s="5"/>
      <c r="W1252" s="5"/>
    </row>
    <row r="1253" ht="15.75" customHeight="1">
      <c r="A1253" s="3">
        <f>IFERROR(__xludf.DUMMYFUNCTION("""COMPUTED_VALUE"""),1253.0)</f>
        <v>1253</v>
      </c>
      <c r="B1253" s="53">
        <f>IFERROR(__xludf.DUMMYFUNCTION("""COMPUTED_VALUE"""),45768.0)</f>
        <v>45768</v>
      </c>
      <c r="C1253" s="3">
        <f>IFERROR(__xludf.DUMMYFUNCTION("""COMPUTED_VALUE"""),66.0)</f>
        <v>66</v>
      </c>
      <c r="D1253" s="3" t="str">
        <f>IFERROR(__xludf.DUMMYFUNCTION("""COMPUTED_VALUE"""),"b87310b3")</f>
        <v>b87310b3</v>
      </c>
      <c r="E1253" s="54">
        <f>IFERROR(__xludf.DUMMYFUNCTION("""COMPUTED_VALUE"""),17600.0)</f>
        <v>17600</v>
      </c>
      <c r="F1253" s="3" t="str">
        <f>IFERROR(__xludf.DUMMYFUNCTION("""COMPUTED_VALUE"""),"Cabernet Sauvignon sin Rect")</f>
        <v>Cabernet Sauvignon sin Rect</v>
      </c>
      <c r="G1253" s="3"/>
      <c r="H1253" s="56">
        <f>IFERROR(__xludf.DUMMYFUNCTION("""COMPUTED_VALUE"""),3.0)</f>
        <v>3</v>
      </c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5"/>
      <c r="U1253" s="5"/>
      <c r="V1253" s="5"/>
      <c r="W1253" s="5"/>
    </row>
    <row r="1254" ht="15.75" customHeight="1">
      <c r="A1254" s="3">
        <f>IFERROR(__xludf.DUMMYFUNCTION("""COMPUTED_VALUE"""),1254.0)</f>
        <v>1254</v>
      </c>
      <c r="B1254" s="53">
        <f>IFERROR(__xludf.DUMMYFUNCTION("""COMPUTED_VALUE"""),45764.0)</f>
        <v>45764</v>
      </c>
      <c r="C1254" s="3">
        <f>IFERROR(__xludf.DUMMYFUNCTION("""COMPUTED_VALUE"""),67.0)</f>
        <v>67</v>
      </c>
      <c r="D1254" s="3" t="str">
        <f>IFERROR(__xludf.DUMMYFUNCTION("""COMPUTED_VALUE"""),"b9461082")</f>
        <v>b9461082</v>
      </c>
      <c r="E1254" s="54">
        <f>IFERROR(__xludf.DUMMYFUNCTION("""COMPUTED_VALUE"""),22800.0)</f>
        <v>22800</v>
      </c>
      <c r="F1254" s="3" t="str">
        <f>IFERROR(__xludf.DUMMYFUNCTION("""COMPUTED_VALUE"""),"Cabernet Sauvignon sin Rect")</f>
        <v>Cabernet Sauvignon sin Rect</v>
      </c>
      <c r="G1254" s="3"/>
      <c r="H1254" s="56">
        <f>IFERROR(__xludf.DUMMYFUNCTION("""COMPUTED_VALUE"""),3.0)</f>
        <v>3</v>
      </c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5"/>
      <c r="U1254" s="5"/>
      <c r="V1254" s="5"/>
      <c r="W1254" s="5"/>
    </row>
    <row r="1255" ht="15.75" customHeight="1">
      <c r="A1255" s="3">
        <f>IFERROR(__xludf.DUMMYFUNCTION("""COMPUTED_VALUE"""),1255.0)</f>
        <v>1255</v>
      </c>
      <c r="B1255" s="53">
        <f>IFERROR(__xludf.DUMMYFUNCTION("""COMPUTED_VALUE"""),45764.0)</f>
        <v>45764</v>
      </c>
      <c r="C1255" s="3">
        <f>IFERROR(__xludf.DUMMYFUNCTION("""COMPUTED_VALUE"""),95.0)</f>
        <v>95</v>
      </c>
      <c r="D1255" s="3" t="str">
        <f>IFERROR(__xludf.DUMMYFUNCTION("""COMPUTED_VALUE"""),"23f4cc53")</f>
        <v>23f4cc53</v>
      </c>
      <c r="E1255" s="54">
        <f>IFERROR(__xludf.DUMMYFUNCTION("""COMPUTED_VALUE"""),68500.0)</f>
        <v>68500</v>
      </c>
      <c r="F1255" s="3" t="str">
        <f>IFERROR(__xludf.DUMMYFUNCTION("""COMPUTED_VALUE"""),"Cabernet Sauvignon")</f>
        <v>Cabernet Sauvignon</v>
      </c>
      <c r="G1255" s="3"/>
      <c r="H1255" s="56">
        <f>IFERROR(__xludf.DUMMYFUNCTION("""COMPUTED_VALUE"""),2.0)</f>
        <v>2</v>
      </c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5"/>
      <c r="U1255" s="5"/>
      <c r="V1255" s="5"/>
      <c r="W1255" s="5"/>
    </row>
    <row r="1256" ht="15.75" customHeight="1">
      <c r="A1256" s="3">
        <f>IFERROR(__xludf.DUMMYFUNCTION("""COMPUTED_VALUE"""),1256.0)</f>
        <v>1256</v>
      </c>
      <c r="B1256" s="53">
        <f>IFERROR(__xludf.DUMMYFUNCTION("""COMPUTED_VALUE"""),45764.0)</f>
        <v>45764</v>
      </c>
      <c r="C1256" s="3">
        <f>IFERROR(__xludf.DUMMYFUNCTION("""COMPUTED_VALUE"""),28.0)</f>
        <v>28</v>
      </c>
      <c r="D1256" s="3" t="str">
        <f>IFERROR(__xludf.DUMMYFUNCTION("""COMPUTED_VALUE"""),"459c7a85")</f>
        <v>459c7a85</v>
      </c>
      <c r="E1256" s="54">
        <f>IFERROR(__xludf.DUMMYFUNCTION("""COMPUTED_VALUE"""),171300.0)</f>
        <v>171300</v>
      </c>
      <c r="F1256" s="3" t="str">
        <f>IFERROR(__xludf.DUMMYFUNCTION("""COMPUTED_VALUE"""),"Bonarda")</f>
        <v>Bonarda</v>
      </c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5"/>
      <c r="U1256" s="5"/>
      <c r="V1256" s="5"/>
      <c r="W1256" s="5"/>
    </row>
    <row r="1257" ht="15.75" customHeight="1">
      <c r="A1257" s="3">
        <f>IFERROR(__xludf.DUMMYFUNCTION("""COMPUTED_VALUE"""),1257.0)</f>
        <v>1257</v>
      </c>
      <c r="B1257" s="53">
        <f>IFERROR(__xludf.DUMMYFUNCTION("""COMPUTED_VALUE"""),45766.0)</f>
        <v>45766</v>
      </c>
      <c r="C1257" s="3">
        <f>IFERROR(__xludf.DUMMYFUNCTION("""COMPUTED_VALUE"""),24.0)</f>
        <v>24</v>
      </c>
      <c r="D1257" s="3" t="str">
        <f>IFERROR(__xludf.DUMMYFUNCTION("""COMPUTED_VALUE"""),"7efc7da2")</f>
        <v>7efc7da2</v>
      </c>
      <c r="E1257" s="54">
        <f>IFERROR(__xludf.DUMMYFUNCTION("""COMPUTED_VALUE"""),186600.0)</f>
        <v>186600</v>
      </c>
      <c r="F1257" s="3" t="str">
        <f>IFERROR(__xludf.DUMMYFUNCTION("""COMPUTED_VALUE"""),"Bonarda C2")</f>
        <v>Bonarda C2</v>
      </c>
      <c r="G1257" s="3"/>
      <c r="H1257" s="3"/>
      <c r="I1257" s="3"/>
      <c r="J1257" s="3"/>
      <c r="K1257" s="3"/>
      <c r="L1257" s="3"/>
      <c r="M1257" s="3"/>
      <c r="N1257" s="3"/>
      <c r="O1257" s="3">
        <f>IFERROR(__xludf.DUMMYFUNCTION("""COMPUTED_VALUE"""),217.0)</f>
        <v>217</v>
      </c>
      <c r="P1257" s="3">
        <f>IFERROR(__xludf.DUMMYFUNCTION("""COMPUTED_VALUE"""),296.0)</f>
        <v>296</v>
      </c>
      <c r="Q1257" s="3"/>
      <c r="R1257" s="3">
        <f>IFERROR(__xludf.DUMMYFUNCTION("""COMPUTED_VALUE"""),513.0)</f>
        <v>513</v>
      </c>
      <c r="S1257" s="54">
        <f>IFERROR(__xludf.DUMMYFUNCTION("""COMPUTED_VALUE"""),699.7603686635945)</f>
        <v>699.7603687</v>
      </c>
      <c r="T1257" s="58">
        <f>IFERROR(__xludf.DUMMYFUNCTION("""COMPUTED_VALUE"""),0.7331081081081081)</f>
        <v>0.7331081081</v>
      </c>
      <c r="U1257" s="5"/>
      <c r="V1257" s="5"/>
      <c r="W1257" s="5"/>
    </row>
    <row r="1258" ht="15.75" customHeight="1">
      <c r="A1258" s="3">
        <f>IFERROR(__xludf.DUMMYFUNCTION("""COMPUTED_VALUE"""),1258.0)</f>
        <v>1258</v>
      </c>
      <c r="B1258" s="53">
        <f>IFERROR(__xludf.DUMMYFUNCTION("""COMPUTED_VALUE"""),45766.0)</f>
        <v>45766</v>
      </c>
      <c r="C1258" s="3">
        <f>IFERROR(__xludf.DUMMYFUNCTION("""COMPUTED_VALUE"""),94.0)</f>
        <v>94</v>
      </c>
      <c r="D1258" s="3" t="str">
        <f>IFERROR(__xludf.DUMMYFUNCTION("""COMPUTED_VALUE"""),"a4cd80cd")</f>
        <v>a4cd80cd</v>
      </c>
      <c r="E1258" s="54">
        <f>IFERROR(__xludf.DUMMYFUNCTION("""COMPUTED_VALUE"""),9600.0)</f>
        <v>9600</v>
      </c>
      <c r="F1258" s="3" t="str">
        <f>IFERROR(__xludf.DUMMYFUNCTION("""COMPUTED_VALUE"""),"Borra")</f>
        <v>Borra</v>
      </c>
      <c r="G1258" s="3"/>
      <c r="H1258" s="3"/>
      <c r="I1258" s="57">
        <f>IFERROR(__xludf.DUMMYFUNCTION("""COMPUTED_VALUE"""),0.7)</f>
        <v>0.7</v>
      </c>
      <c r="J1258" s="3"/>
      <c r="K1258" s="3"/>
      <c r="L1258" s="3"/>
      <c r="M1258" s="3"/>
      <c r="N1258" s="3"/>
      <c r="O1258" s="3"/>
      <c r="P1258" s="3"/>
      <c r="Q1258" s="3"/>
      <c r="R1258" s="3">
        <f>IFERROR(__xludf.DUMMYFUNCTION("""COMPUTED_VALUE"""),0.0)</f>
        <v>0</v>
      </c>
      <c r="S1258" s="3"/>
      <c r="T1258" s="5"/>
      <c r="U1258" s="5"/>
      <c r="V1258" s="5"/>
      <c r="W1258" s="5"/>
    </row>
    <row r="1259" ht="15.75" customHeight="1">
      <c r="A1259" s="3">
        <f>IFERROR(__xludf.DUMMYFUNCTION("""COMPUTED_VALUE"""),1259.0)</f>
        <v>1259</v>
      </c>
      <c r="B1259" s="53">
        <f>IFERROR(__xludf.DUMMYFUNCTION("""COMPUTED_VALUE"""),45766.0)</f>
        <v>45766</v>
      </c>
      <c r="C1259" s="3">
        <f>IFERROR(__xludf.DUMMYFUNCTION("""COMPUTED_VALUE"""),47.0)</f>
        <v>47</v>
      </c>
      <c r="D1259" s="3" t="str">
        <f>IFERROR(__xludf.DUMMYFUNCTION("""COMPUTED_VALUE"""),"5cdb12ce")</f>
        <v>5cdb12ce</v>
      </c>
      <c r="E1259" s="54">
        <f>IFERROR(__xludf.DUMMYFUNCTION("""COMPUTED_VALUE"""),20000.0)</f>
        <v>20000</v>
      </c>
      <c r="F1259" s="3" t="str">
        <f>IFERROR(__xludf.DUMMYFUNCTION("""COMPUTED_VALUE"""),"Chenin")</f>
        <v>Chenin</v>
      </c>
      <c r="G1259" s="3"/>
      <c r="H1259" s="3"/>
      <c r="I1259" s="3"/>
      <c r="J1259" s="3"/>
      <c r="K1259" s="3"/>
      <c r="L1259" s="54">
        <f>IFERROR(__xludf.DUMMYFUNCTION("""COMPUTED_VALUE"""),33.0)</f>
        <v>33</v>
      </c>
      <c r="M1259" s="3">
        <f>IFERROR(__xludf.DUMMYFUNCTION("""COMPUTED_VALUE"""),115.0)</f>
        <v>115</v>
      </c>
      <c r="N1259" s="3"/>
      <c r="O1259" s="3"/>
      <c r="P1259" s="3"/>
      <c r="Q1259" s="3"/>
      <c r="R1259" s="3">
        <f>IFERROR(__xludf.DUMMYFUNCTION("""COMPUTED_VALUE"""),0.0)</f>
        <v>0</v>
      </c>
      <c r="S1259" s="3"/>
      <c r="T1259" s="5"/>
      <c r="U1259" s="5"/>
      <c r="V1259" s="5"/>
      <c r="W1259" s="5"/>
    </row>
    <row r="1260" ht="15.75" customHeight="1">
      <c r="A1260" s="3">
        <f>IFERROR(__xludf.DUMMYFUNCTION("""COMPUTED_VALUE"""),1260.0)</f>
        <v>1260</v>
      </c>
      <c r="B1260" s="53">
        <f>IFERROR(__xludf.DUMMYFUNCTION("""COMPUTED_VALUE"""),45766.0)</f>
        <v>45766</v>
      </c>
      <c r="C1260" s="3">
        <f>IFERROR(__xludf.DUMMYFUNCTION("""COMPUTED_VALUE"""),31.0)</f>
        <v>31</v>
      </c>
      <c r="D1260" s="3" t="str">
        <f>IFERROR(__xludf.DUMMYFUNCTION("""COMPUTED_VALUE"""),"8a7074cf")</f>
        <v>8a7074cf</v>
      </c>
      <c r="E1260" s="54">
        <f>IFERROR(__xludf.DUMMYFUNCTION("""COMPUTED_VALUE"""),25700.0)</f>
        <v>25700</v>
      </c>
      <c r="F1260" s="3" t="str">
        <f>IFERROR(__xludf.DUMMYFUNCTION("""COMPUTED_VALUE"""),"Chardonnay")</f>
        <v>Chardonnay</v>
      </c>
      <c r="G1260" s="3"/>
      <c r="H1260" s="3"/>
      <c r="I1260" s="3"/>
      <c r="J1260" s="3"/>
      <c r="K1260" s="57">
        <f>IFERROR(__xludf.DUMMYFUNCTION("""COMPUTED_VALUE"""),3.35)</f>
        <v>3.35</v>
      </c>
      <c r="L1260" s="54">
        <f>IFERROR(__xludf.DUMMYFUNCTION("""COMPUTED_VALUE"""),33.0)</f>
        <v>33</v>
      </c>
      <c r="M1260" s="3">
        <f>IFERROR(__xludf.DUMMYFUNCTION("""COMPUTED_VALUE"""),96.0)</f>
        <v>96</v>
      </c>
      <c r="N1260" s="3"/>
      <c r="O1260" s="3"/>
      <c r="P1260" s="3"/>
      <c r="Q1260" s="3"/>
      <c r="R1260" s="3">
        <f>IFERROR(__xludf.DUMMYFUNCTION("""COMPUTED_VALUE"""),0.0)</f>
        <v>0</v>
      </c>
      <c r="S1260" s="3"/>
      <c r="T1260" s="5"/>
      <c r="U1260" s="5"/>
      <c r="V1260" s="5"/>
      <c r="W1260" s="5"/>
    </row>
    <row r="1261" ht="15.75" customHeight="1">
      <c r="A1261" s="3">
        <f>IFERROR(__xludf.DUMMYFUNCTION("""COMPUTED_VALUE"""),1261.0)</f>
        <v>1261</v>
      </c>
      <c r="B1261" s="53">
        <f>IFERROR(__xludf.DUMMYFUNCTION("""COMPUTED_VALUE"""),45766.0)</f>
        <v>45766</v>
      </c>
      <c r="C1261" s="3">
        <f>IFERROR(__xludf.DUMMYFUNCTION("""COMPUTED_VALUE"""),32.0)</f>
        <v>32</v>
      </c>
      <c r="D1261" s="3" t="str">
        <f>IFERROR(__xludf.DUMMYFUNCTION("""COMPUTED_VALUE"""),"a1e13111")</f>
        <v>a1e13111</v>
      </c>
      <c r="E1261" s="54">
        <f>IFERROR(__xludf.DUMMYFUNCTION("""COMPUTED_VALUE"""),36300.0)</f>
        <v>36300</v>
      </c>
      <c r="F1261" s="3" t="str">
        <f>IFERROR(__xludf.DUMMYFUNCTION("""COMPUTED_VALUE"""),"Chardonnay (Filtra)")</f>
        <v>Chardonnay (Filtra)</v>
      </c>
      <c r="G1261" s="3"/>
      <c r="H1261" s="3"/>
      <c r="I1261" s="3"/>
      <c r="J1261" s="3"/>
      <c r="K1261" s="3"/>
      <c r="L1261" s="54">
        <f>IFERROR(__xludf.DUMMYFUNCTION("""COMPUTED_VALUE"""),30.0)</f>
        <v>30</v>
      </c>
      <c r="M1261" s="3">
        <f>IFERROR(__xludf.DUMMYFUNCTION("""COMPUTED_VALUE"""),89.0)</f>
        <v>89</v>
      </c>
      <c r="N1261" s="3"/>
      <c r="O1261" s="3"/>
      <c r="P1261" s="3"/>
      <c r="Q1261" s="3"/>
      <c r="R1261" s="3">
        <f>IFERROR(__xludf.DUMMYFUNCTION("""COMPUTED_VALUE"""),0.0)</f>
        <v>0</v>
      </c>
      <c r="S1261" s="3"/>
      <c r="T1261" s="5"/>
      <c r="U1261" s="5"/>
      <c r="V1261" s="5"/>
      <c r="W1261" s="5"/>
    </row>
    <row r="1262" ht="15.75" customHeight="1">
      <c r="A1262" s="3">
        <f>IFERROR(__xludf.DUMMYFUNCTION("""COMPUTED_VALUE"""),1262.0)</f>
        <v>1262</v>
      </c>
      <c r="B1262" s="53">
        <f>IFERROR(__xludf.DUMMYFUNCTION("""COMPUTED_VALUE"""),45766.0)</f>
        <v>45766</v>
      </c>
      <c r="C1262" s="3">
        <f>IFERROR(__xludf.DUMMYFUNCTION("""COMPUTED_VALUE"""),16.0)</f>
        <v>16</v>
      </c>
      <c r="D1262" s="3" t="str">
        <f>IFERROR(__xludf.DUMMYFUNCTION("""COMPUTED_VALUE"""),"b5e03e7f")</f>
        <v>b5e03e7f</v>
      </c>
      <c r="E1262" s="54">
        <f>IFERROR(__xludf.DUMMYFUNCTION("""COMPUTED_VALUE"""),19500.0)</f>
        <v>19500</v>
      </c>
      <c r="F1262" s="3" t="str">
        <f>IFERROR(__xludf.DUMMYFUNCTION("""COMPUTED_VALUE"""),"Chardonnay")</f>
        <v>Chardonnay</v>
      </c>
      <c r="G1262" s="3"/>
      <c r="H1262" s="3"/>
      <c r="I1262" s="3"/>
      <c r="J1262" s="3"/>
      <c r="K1262" s="3"/>
      <c r="L1262" s="54">
        <f>IFERROR(__xludf.DUMMYFUNCTION("""COMPUTED_VALUE"""),30.0)</f>
        <v>30</v>
      </c>
      <c r="M1262" s="3">
        <f>IFERROR(__xludf.DUMMYFUNCTION("""COMPUTED_VALUE"""),121.0)</f>
        <v>121</v>
      </c>
      <c r="N1262" s="3"/>
      <c r="O1262" s="3"/>
      <c r="P1262" s="3"/>
      <c r="Q1262" s="3"/>
      <c r="R1262" s="3">
        <f>IFERROR(__xludf.DUMMYFUNCTION("""COMPUTED_VALUE"""),0.0)</f>
        <v>0</v>
      </c>
      <c r="S1262" s="3"/>
      <c r="T1262" s="5"/>
      <c r="U1262" s="5"/>
      <c r="V1262" s="5"/>
      <c r="W1262" s="5"/>
    </row>
    <row r="1263" ht="15.75" customHeight="1">
      <c r="A1263" s="3">
        <f>IFERROR(__xludf.DUMMYFUNCTION("""COMPUTED_VALUE"""),1263.0)</f>
        <v>1263</v>
      </c>
      <c r="B1263" s="53">
        <f>IFERROR(__xludf.DUMMYFUNCTION("""COMPUTED_VALUE"""),45766.0)</f>
        <v>45766</v>
      </c>
      <c r="C1263" s="3">
        <f>IFERROR(__xludf.DUMMYFUNCTION("""COMPUTED_VALUE"""),44.0)</f>
        <v>44</v>
      </c>
      <c r="D1263" s="3" t="str">
        <f>IFERROR(__xludf.DUMMYFUNCTION("""COMPUTED_VALUE"""),"7ae457f1")</f>
        <v>7ae457f1</v>
      </c>
      <c r="E1263" s="54">
        <f>IFERROR(__xludf.DUMMYFUNCTION("""COMPUTED_VALUE"""),19100.0)</f>
        <v>19100</v>
      </c>
      <c r="F1263" s="3" t="str">
        <f>IFERROR(__xludf.DUMMYFUNCTION("""COMPUTED_VALUE"""),"Torrontes")</f>
        <v>Torrontes</v>
      </c>
      <c r="G1263" s="3"/>
      <c r="H1263" s="3"/>
      <c r="I1263" s="3"/>
      <c r="J1263" s="3"/>
      <c r="K1263" s="3"/>
      <c r="L1263" s="54">
        <f>IFERROR(__xludf.DUMMYFUNCTION("""COMPUTED_VALUE"""),25.0)</f>
        <v>25</v>
      </c>
      <c r="M1263" s="3">
        <f>IFERROR(__xludf.DUMMYFUNCTION("""COMPUTED_VALUE"""),108.0)</f>
        <v>108</v>
      </c>
      <c r="N1263" s="3"/>
      <c r="O1263" s="3"/>
      <c r="P1263" s="3"/>
      <c r="Q1263" s="3"/>
      <c r="R1263" s="3">
        <f>IFERROR(__xludf.DUMMYFUNCTION("""COMPUTED_VALUE"""),0.0)</f>
        <v>0</v>
      </c>
      <c r="S1263" s="3"/>
      <c r="T1263" s="5"/>
      <c r="U1263" s="5"/>
      <c r="V1263" s="5"/>
      <c r="W1263" s="5"/>
    </row>
    <row r="1264" ht="15.75" customHeight="1">
      <c r="A1264" s="3">
        <f>IFERROR(__xludf.DUMMYFUNCTION("""COMPUTED_VALUE"""),1264.0)</f>
        <v>1264</v>
      </c>
      <c r="B1264" s="53">
        <f>IFERROR(__xludf.DUMMYFUNCTION("""COMPUTED_VALUE"""),45766.0)</f>
        <v>45766</v>
      </c>
      <c r="C1264" s="3">
        <f>IFERROR(__xludf.DUMMYFUNCTION("""COMPUTED_VALUE"""),51.0)</f>
        <v>51</v>
      </c>
      <c r="D1264" s="3" t="str">
        <f>IFERROR(__xludf.DUMMYFUNCTION("""COMPUTED_VALUE"""),"4eab3967")</f>
        <v>4eab3967</v>
      </c>
      <c r="E1264" s="54">
        <f>IFERROR(__xludf.DUMMYFUNCTION("""COMPUTED_VALUE"""),3900.0)</f>
        <v>3900</v>
      </c>
      <c r="F1264" s="3" t="str">
        <f>IFERROR(__xludf.DUMMYFUNCTION("""COMPUTED_VALUE"""),"Tanat")</f>
        <v>Tanat</v>
      </c>
      <c r="G1264" s="3"/>
      <c r="H1264" s="3"/>
      <c r="I1264" s="3"/>
      <c r="J1264" s="3"/>
      <c r="K1264" s="57">
        <f>IFERROR(__xludf.DUMMYFUNCTION("""COMPUTED_VALUE"""),3.84)</f>
        <v>3.84</v>
      </c>
      <c r="L1264" s="54">
        <f>IFERROR(__xludf.DUMMYFUNCTION("""COMPUTED_VALUE"""),38.0)</f>
        <v>38</v>
      </c>
      <c r="M1264" s="3">
        <f>IFERROR(__xludf.DUMMYFUNCTION("""COMPUTED_VALUE"""),83.0)</f>
        <v>83</v>
      </c>
      <c r="N1264" s="3"/>
      <c r="O1264" s="3"/>
      <c r="P1264" s="3"/>
      <c r="Q1264" s="3"/>
      <c r="R1264" s="3">
        <f>IFERROR(__xludf.DUMMYFUNCTION("""COMPUTED_VALUE"""),0.0)</f>
        <v>0</v>
      </c>
      <c r="S1264" s="3"/>
      <c r="T1264" s="5"/>
      <c r="U1264" s="5"/>
      <c r="V1264" s="5"/>
      <c r="W1264" s="5"/>
    </row>
    <row r="1265" ht="15.75" customHeight="1">
      <c r="A1265" s="3">
        <f>IFERROR(__xludf.DUMMYFUNCTION("""COMPUTED_VALUE"""),1265.0)</f>
        <v>1265</v>
      </c>
      <c r="B1265" s="53">
        <f>IFERROR(__xludf.DUMMYFUNCTION("""COMPUTED_VALUE"""),45766.0)</f>
        <v>45766</v>
      </c>
      <c r="C1265" s="3">
        <f>IFERROR(__xludf.DUMMYFUNCTION("""COMPUTED_VALUE"""),53.0)</f>
        <v>53</v>
      </c>
      <c r="D1265" s="3" t="str">
        <f>IFERROR(__xludf.DUMMYFUNCTION("""COMPUTED_VALUE"""),"5433281e")</f>
        <v>5433281e</v>
      </c>
      <c r="E1265" s="54">
        <f>IFERROR(__xludf.DUMMYFUNCTION("""COMPUTED_VALUE"""),22000.0)</f>
        <v>22000</v>
      </c>
      <c r="F1265" s="3" t="str">
        <f>IFERROR(__xludf.DUMMYFUNCTION("""COMPUTED_VALUE"""),"Syrah")</f>
        <v>Syrah</v>
      </c>
      <c r="G1265" s="3"/>
      <c r="H1265" s="3"/>
      <c r="I1265" s="3"/>
      <c r="J1265" s="3"/>
      <c r="K1265" s="57">
        <f>IFERROR(__xludf.DUMMYFUNCTION("""COMPUTED_VALUE"""),3.82)</f>
        <v>3.82</v>
      </c>
      <c r="L1265" s="54">
        <f>IFERROR(__xludf.DUMMYFUNCTION("""COMPUTED_VALUE"""),25.0)</f>
        <v>25</v>
      </c>
      <c r="M1265" s="3">
        <f>IFERROR(__xludf.DUMMYFUNCTION("""COMPUTED_VALUE"""),70.0)</f>
        <v>70</v>
      </c>
      <c r="N1265" s="3"/>
      <c r="O1265" s="3"/>
      <c r="P1265" s="3"/>
      <c r="Q1265" s="3"/>
      <c r="R1265" s="3">
        <f>IFERROR(__xludf.DUMMYFUNCTION("""COMPUTED_VALUE"""),0.0)</f>
        <v>0</v>
      </c>
      <c r="S1265" s="3"/>
      <c r="T1265" s="5"/>
      <c r="U1265" s="5"/>
      <c r="V1265" s="5"/>
      <c r="W1265" s="5"/>
    </row>
    <row r="1266" ht="15.75" customHeight="1">
      <c r="A1266" s="3">
        <f>IFERROR(__xludf.DUMMYFUNCTION("""COMPUTED_VALUE"""),1266.0)</f>
        <v>1266</v>
      </c>
      <c r="B1266" s="53">
        <f>IFERROR(__xludf.DUMMYFUNCTION("""COMPUTED_VALUE"""),45766.0)</f>
        <v>45766</v>
      </c>
      <c r="C1266" s="3">
        <f>IFERROR(__xludf.DUMMYFUNCTION("""COMPUTED_VALUE"""),111.0)</f>
        <v>111</v>
      </c>
      <c r="D1266" s="3" t="str">
        <f>IFERROR(__xludf.DUMMYFUNCTION("""COMPUTED_VALUE"""),"3f3e8ee6")</f>
        <v>3f3e8ee6</v>
      </c>
      <c r="E1266" s="54">
        <f>IFERROR(__xludf.DUMMYFUNCTION("""COMPUTED_VALUE"""),4000.0)</f>
        <v>4000</v>
      </c>
      <c r="F1266" s="3" t="str">
        <f>IFERROR(__xludf.DUMMYFUNCTION("""COMPUTED_VALUE"""),"Malbec Magneta")</f>
        <v>Malbec Magneta</v>
      </c>
      <c r="G1266" s="3"/>
      <c r="H1266" s="3"/>
      <c r="I1266" s="3"/>
      <c r="J1266" s="3"/>
      <c r="K1266" s="57">
        <f>IFERROR(__xludf.DUMMYFUNCTION("""COMPUTED_VALUE"""),3.66)</f>
        <v>3.66</v>
      </c>
      <c r="L1266" s="54">
        <f>IFERROR(__xludf.DUMMYFUNCTION("""COMPUTED_VALUE"""),33.0)</f>
        <v>33</v>
      </c>
      <c r="M1266" s="3">
        <f>IFERROR(__xludf.DUMMYFUNCTION("""COMPUTED_VALUE"""),115.0)</f>
        <v>115</v>
      </c>
      <c r="N1266" s="3"/>
      <c r="O1266" s="3"/>
      <c r="P1266" s="3"/>
      <c r="Q1266" s="3"/>
      <c r="R1266" s="3">
        <f>IFERROR(__xludf.DUMMYFUNCTION("""COMPUTED_VALUE"""),0.0)</f>
        <v>0</v>
      </c>
      <c r="S1266" s="3"/>
      <c r="T1266" s="5"/>
      <c r="U1266" s="5"/>
      <c r="V1266" s="5"/>
      <c r="W1266" s="5"/>
    </row>
    <row r="1267" ht="15.75" customHeight="1">
      <c r="A1267" s="3">
        <f>IFERROR(__xludf.DUMMYFUNCTION("""COMPUTED_VALUE"""),1267.0)</f>
        <v>1267</v>
      </c>
      <c r="B1267" s="53">
        <f>IFERROR(__xludf.DUMMYFUNCTION("""COMPUTED_VALUE"""),45766.0)</f>
        <v>45766</v>
      </c>
      <c r="C1267" s="3">
        <f>IFERROR(__xludf.DUMMYFUNCTION("""COMPUTED_VALUE"""),30.0)</f>
        <v>30</v>
      </c>
      <c r="D1267" s="3" t="str">
        <f>IFERROR(__xludf.DUMMYFUNCTION("""COMPUTED_VALUE"""),"eec28962")</f>
        <v>eec28962</v>
      </c>
      <c r="E1267" s="54">
        <f>IFERROR(__xludf.DUMMYFUNCTION("""COMPUTED_VALUE"""),38800.0)</f>
        <v>38800</v>
      </c>
      <c r="F1267" s="3" t="str">
        <f>IFERROR(__xludf.DUMMYFUNCTION("""COMPUTED_VALUE"""),"Aspirant 24")</f>
        <v>Aspirant 24</v>
      </c>
      <c r="G1267" s="3"/>
      <c r="H1267" s="3"/>
      <c r="I1267" s="3"/>
      <c r="J1267" s="3"/>
      <c r="K1267" s="3"/>
      <c r="L1267" s="54">
        <f>IFERROR(__xludf.DUMMYFUNCTION("""COMPUTED_VALUE"""),37.0)</f>
        <v>37</v>
      </c>
      <c r="M1267" s="3">
        <f>IFERROR(__xludf.DUMMYFUNCTION("""COMPUTED_VALUE"""),83.0)</f>
        <v>83</v>
      </c>
      <c r="N1267" s="3"/>
      <c r="O1267" s="3"/>
      <c r="P1267" s="3"/>
      <c r="Q1267" s="3"/>
      <c r="R1267" s="3">
        <f>IFERROR(__xludf.DUMMYFUNCTION("""COMPUTED_VALUE"""),0.0)</f>
        <v>0</v>
      </c>
      <c r="S1267" s="3"/>
      <c r="T1267" s="5"/>
      <c r="U1267" s="5"/>
      <c r="V1267" s="5"/>
      <c r="W1267" s="5"/>
    </row>
    <row r="1268" ht="15.75" customHeight="1">
      <c r="A1268" s="3">
        <f>IFERROR(__xludf.DUMMYFUNCTION("""COMPUTED_VALUE"""),1268.0)</f>
        <v>1268</v>
      </c>
      <c r="B1268" s="53">
        <f>IFERROR(__xludf.DUMMYFUNCTION("""COMPUTED_VALUE"""),45766.0)</f>
        <v>45766</v>
      </c>
      <c r="C1268" s="3">
        <f>IFERROR(__xludf.DUMMYFUNCTION("""COMPUTED_VALUE"""),116.0)</f>
        <v>116</v>
      </c>
      <c r="D1268" s="3" t="str">
        <f>IFERROR(__xludf.DUMMYFUNCTION("""COMPUTED_VALUE"""),"27a8c5fb")</f>
        <v>27a8c5fb</v>
      </c>
      <c r="E1268" s="54">
        <f>IFERROR(__xludf.DUMMYFUNCTION("""COMPUTED_VALUE"""),63700.0)</f>
        <v>63700</v>
      </c>
      <c r="F1268" s="3" t="str">
        <f>IFERROR(__xludf.DUMMYFUNCTION("""COMPUTED_VALUE"""),"Tinto")</f>
        <v>Tinto</v>
      </c>
      <c r="G1268" s="3"/>
      <c r="H1268" s="3"/>
      <c r="I1268" s="3"/>
      <c r="J1268" s="3"/>
      <c r="K1268" s="3"/>
      <c r="L1268" s="54">
        <f>IFERROR(__xludf.DUMMYFUNCTION("""COMPUTED_VALUE"""),28.0)</f>
        <v>28</v>
      </c>
      <c r="M1268" s="3">
        <f>IFERROR(__xludf.DUMMYFUNCTION("""COMPUTED_VALUE"""),125.0)</f>
        <v>125</v>
      </c>
      <c r="N1268" s="3"/>
      <c r="O1268" s="3"/>
      <c r="P1268" s="3"/>
      <c r="Q1268" s="3"/>
      <c r="R1268" s="3">
        <f>IFERROR(__xludf.DUMMYFUNCTION("""COMPUTED_VALUE"""),0.0)</f>
        <v>0</v>
      </c>
      <c r="S1268" s="3"/>
      <c r="T1268" s="5"/>
      <c r="U1268" s="5"/>
      <c r="V1268" s="5"/>
      <c r="W1268" s="5"/>
    </row>
    <row r="1269" ht="15.75" customHeight="1">
      <c r="A1269" s="3">
        <f>IFERROR(__xludf.DUMMYFUNCTION("""COMPUTED_VALUE"""),1269.0)</f>
        <v>1269</v>
      </c>
      <c r="B1269" s="53">
        <f>IFERROR(__xludf.DUMMYFUNCTION("""COMPUTED_VALUE"""),45768.0)</f>
        <v>45768</v>
      </c>
      <c r="C1269" s="3">
        <f>IFERROR(__xludf.DUMMYFUNCTION("""COMPUTED_VALUE"""),95.0)</f>
        <v>95</v>
      </c>
      <c r="D1269" s="3" t="str">
        <f>IFERROR(__xludf.DUMMYFUNCTION("""COMPUTED_VALUE"""),"23f4cc53")</f>
        <v>23f4cc53</v>
      </c>
      <c r="E1269" s="54">
        <f>IFERROR(__xludf.DUMMYFUNCTION("""COMPUTED_VALUE"""),68500.0)</f>
        <v>68500</v>
      </c>
      <c r="F1269" s="3" t="str">
        <f>IFERROR(__xludf.DUMMYFUNCTION("""COMPUTED_VALUE"""),"Cabernet Sauvignon")</f>
        <v>Cabernet Sauvignon</v>
      </c>
      <c r="G1269" s="3"/>
      <c r="H1269" s="56">
        <f>IFERROR(__xludf.DUMMYFUNCTION("""COMPUTED_VALUE"""),2.0)</f>
        <v>2</v>
      </c>
      <c r="I1269" s="3"/>
      <c r="J1269" s="3"/>
      <c r="K1269" s="3"/>
      <c r="L1269" s="3"/>
      <c r="M1269" s="3"/>
      <c r="N1269" s="3"/>
      <c r="O1269" s="3"/>
      <c r="P1269" s="3"/>
      <c r="Q1269" s="3"/>
      <c r="R1269" s="3">
        <f>IFERROR(__xludf.DUMMYFUNCTION("""COMPUTED_VALUE"""),0.0)</f>
        <v>0</v>
      </c>
      <c r="S1269" s="3"/>
      <c r="T1269" s="5"/>
      <c r="U1269" s="5"/>
      <c r="V1269" s="5"/>
      <c r="W1269" s="5"/>
    </row>
    <row r="1270" ht="15.75" customHeight="1">
      <c r="A1270" s="3">
        <f>IFERROR(__xludf.DUMMYFUNCTION("""COMPUTED_VALUE"""),1270.0)</f>
        <v>1270</v>
      </c>
      <c r="B1270" s="53">
        <f>IFERROR(__xludf.DUMMYFUNCTION("""COMPUTED_VALUE"""),45769.0)</f>
        <v>45769</v>
      </c>
      <c r="C1270" s="3">
        <f>IFERROR(__xludf.DUMMYFUNCTION("""COMPUTED_VALUE"""),77.0)</f>
        <v>77</v>
      </c>
      <c r="D1270" s="3" t="str">
        <f>IFERROR(__xludf.DUMMYFUNCTION("""COMPUTED_VALUE"""),"5d344df8")</f>
        <v>5d344df8</v>
      </c>
      <c r="E1270" s="54">
        <f>IFERROR(__xludf.DUMMYFUNCTION("""COMPUTED_VALUE"""),16200.0)</f>
        <v>16200</v>
      </c>
      <c r="F1270" s="3" t="str">
        <f>IFERROR(__xludf.DUMMYFUNCTION("""COMPUTED_VALUE"""),"Malbec")</f>
        <v>Malbec</v>
      </c>
      <c r="G1270" s="55">
        <f>IFERROR(__xludf.DUMMYFUNCTION("""COMPUTED_VALUE"""),14.3)</f>
        <v>14.3</v>
      </c>
      <c r="H1270" s="56">
        <f>IFERROR(__xludf.DUMMYFUNCTION("""COMPUTED_VALUE"""),19.0)</f>
        <v>19</v>
      </c>
      <c r="I1270" s="3"/>
      <c r="J1270" s="3"/>
      <c r="K1270" s="3"/>
      <c r="L1270" s="3"/>
      <c r="M1270" s="3"/>
      <c r="N1270" s="3"/>
      <c r="O1270" s="3"/>
      <c r="P1270" s="3"/>
      <c r="Q1270" s="3"/>
      <c r="R1270" s="3">
        <f>IFERROR(__xludf.DUMMYFUNCTION("""COMPUTED_VALUE"""),0.0)</f>
        <v>0</v>
      </c>
      <c r="S1270" s="3"/>
      <c r="T1270" s="5"/>
      <c r="U1270" s="5"/>
      <c r="V1270" s="5"/>
      <c r="W1270" s="5"/>
    </row>
    <row r="1271" ht="15.75" customHeight="1">
      <c r="A1271" s="3">
        <f>IFERROR(__xludf.DUMMYFUNCTION("""COMPUTED_VALUE"""),1271.0)</f>
        <v>1271</v>
      </c>
      <c r="B1271" s="53">
        <f>IFERROR(__xludf.DUMMYFUNCTION("""COMPUTED_VALUE"""),45769.0)</f>
        <v>45769</v>
      </c>
      <c r="C1271" s="3">
        <f>IFERROR(__xludf.DUMMYFUNCTION("""COMPUTED_VALUE"""),76.0)</f>
        <v>76</v>
      </c>
      <c r="D1271" s="3" t="str">
        <f>IFERROR(__xludf.DUMMYFUNCTION("""COMPUTED_VALUE"""),"df5e441f")</f>
        <v>df5e441f</v>
      </c>
      <c r="E1271" s="54">
        <f>IFERROR(__xludf.DUMMYFUNCTION("""COMPUTED_VALUE"""),24800.0)</f>
        <v>24800</v>
      </c>
      <c r="F1271" s="3" t="str">
        <f>IFERROR(__xludf.DUMMYFUNCTION("""COMPUTED_VALUE"""),"Malbec")</f>
        <v>Malbec</v>
      </c>
      <c r="G1271" s="55">
        <f>IFERROR(__xludf.DUMMYFUNCTION("""COMPUTED_VALUE"""),14.2)</f>
        <v>14.2</v>
      </c>
      <c r="H1271" s="56">
        <f>IFERROR(__xludf.DUMMYFUNCTION("""COMPUTED_VALUE"""),10.5)</f>
        <v>10.5</v>
      </c>
      <c r="I1271" s="3"/>
      <c r="J1271" s="3"/>
      <c r="K1271" s="3"/>
      <c r="L1271" s="3"/>
      <c r="M1271" s="3"/>
      <c r="N1271" s="3"/>
      <c r="O1271" s="3"/>
      <c r="P1271" s="3"/>
      <c r="Q1271" s="3"/>
      <c r="R1271" s="3">
        <f>IFERROR(__xludf.DUMMYFUNCTION("""COMPUTED_VALUE"""),0.0)</f>
        <v>0</v>
      </c>
      <c r="S1271" s="3"/>
      <c r="T1271" s="5"/>
      <c r="U1271" s="5"/>
      <c r="V1271" s="5"/>
      <c r="W1271" s="5"/>
    </row>
    <row r="1272" ht="15.75" customHeight="1">
      <c r="A1272" s="3">
        <f>IFERROR(__xludf.DUMMYFUNCTION("""COMPUTED_VALUE"""),1272.0)</f>
        <v>1272</v>
      </c>
      <c r="B1272" s="53">
        <f>IFERROR(__xludf.DUMMYFUNCTION("""COMPUTED_VALUE"""),45769.0)</f>
        <v>45769</v>
      </c>
      <c r="C1272" s="3">
        <f>IFERROR(__xludf.DUMMYFUNCTION("""COMPUTED_VALUE"""),90.0)</f>
        <v>90</v>
      </c>
      <c r="D1272" s="3" t="str">
        <f>IFERROR(__xludf.DUMMYFUNCTION("""COMPUTED_VALUE"""),"33a1ed47")</f>
        <v>33a1ed47</v>
      </c>
      <c r="E1272" s="54">
        <f>IFERROR(__xludf.DUMMYFUNCTION("""COMPUTED_VALUE"""),56700.0)</f>
        <v>56700</v>
      </c>
      <c r="F1272" s="3" t="str">
        <f>IFERROR(__xludf.DUMMYFUNCTION("""COMPUTED_VALUE"""),"Tinto s/Bonarda 2da")</f>
        <v>Tinto s/Bonarda 2da</v>
      </c>
      <c r="G1272" s="3"/>
      <c r="H1272" s="56">
        <f>IFERROR(__xludf.DUMMYFUNCTION("""COMPUTED_VALUE"""),2.0)</f>
        <v>2</v>
      </c>
      <c r="I1272" s="3"/>
      <c r="J1272" s="3"/>
      <c r="K1272" s="3"/>
      <c r="L1272" s="3"/>
      <c r="M1272" s="3"/>
      <c r="N1272" s="3"/>
      <c r="O1272" s="3"/>
      <c r="P1272" s="3"/>
      <c r="Q1272" s="3"/>
      <c r="R1272" s="3">
        <f>IFERROR(__xludf.DUMMYFUNCTION("""COMPUTED_VALUE"""),0.0)</f>
        <v>0</v>
      </c>
      <c r="S1272" s="3"/>
      <c r="T1272" s="5"/>
      <c r="U1272" s="5"/>
      <c r="V1272" s="5"/>
      <c r="W1272" s="5"/>
    </row>
    <row r="1273" ht="15.75" customHeight="1">
      <c r="A1273" s="3">
        <f>IFERROR(__xludf.DUMMYFUNCTION("""COMPUTED_VALUE"""),1273.0)</f>
        <v>1273</v>
      </c>
      <c r="B1273" s="53">
        <f>IFERROR(__xludf.DUMMYFUNCTION("""COMPUTED_VALUE"""),45769.0)</f>
        <v>45769</v>
      </c>
      <c r="C1273" s="3">
        <f>IFERROR(__xludf.DUMMYFUNCTION("""COMPUTED_VALUE"""),91.0)</f>
        <v>91</v>
      </c>
      <c r="D1273" s="3" t="str">
        <f>IFERROR(__xludf.DUMMYFUNCTION("""COMPUTED_VALUE"""),"b0d32d3c")</f>
        <v>b0d32d3c</v>
      </c>
      <c r="E1273" s="54">
        <f>IFERROR(__xludf.DUMMYFUNCTION("""COMPUTED_VALUE"""),49300.0)</f>
        <v>49300</v>
      </c>
      <c r="F1273" s="3" t="str">
        <f>IFERROR(__xludf.DUMMYFUNCTION("""COMPUTED_VALUE"""),"Tinto s/Bonarda 2da")</f>
        <v>Tinto s/Bonarda 2da</v>
      </c>
      <c r="G1273" s="3"/>
      <c r="H1273" s="56">
        <f>IFERROR(__xludf.DUMMYFUNCTION("""COMPUTED_VALUE"""),10.0)</f>
        <v>10</v>
      </c>
      <c r="I1273" s="3"/>
      <c r="J1273" s="3"/>
      <c r="K1273" s="3"/>
      <c r="L1273" s="3"/>
      <c r="M1273" s="3"/>
      <c r="N1273" s="3"/>
      <c r="O1273" s="3"/>
      <c r="P1273" s="3"/>
      <c r="Q1273" s="3"/>
      <c r="R1273" s="3">
        <f>IFERROR(__xludf.DUMMYFUNCTION("""COMPUTED_VALUE"""),0.0)</f>
        <v>0</v>
      </c>
      <c r="S1273" s="3"/>
      <c r="T1273" s="5"/>
      <c r="U1273" s="5"/>
      <c r="V1273" s="5"/>
      <c r="W1273" s="5"/>
    </row>
    <row r="1274" ht="15.75" customHeight="1">
      <c r="A1274" s="3">
        <f>IFERROR(__xludf.DUMMYFUNCTION("""COMPUTED_VALUE"""),1274.0)</f>
        <v>1274</v>
      </c>
      <c r="B1274" s="53">
        <f>IFERROR(__xludf.DUMMYFUNCTION("""COMPUTED_VALUE"""),45769.0)</f>
        <v>45769</v>
      </c>
      <c r="C1274" s="3">
        <f>IFERROR(__xludf.DUMMYFUNCTION("""COMPUTED_VALUE"""),84.0)</f>
        <v>84</v>
      </c>
      <c r="D1274" s="3" t="str">
        <f>IFERROR(__xludf.DUMMYFUNCTION("""COMPUTED_VALUE"""),"88134c0a")</f>
        <v>88134c0a</v>
      </c>
      <c r="E1274" s="54">
        <f>IFERROR(__xludf.DUMMYFUNCTION("""COMPUTED_VALUE"""),40000.0)</f>
        <v>40000</v>
      </c>
      <c r="F1274" s="3" t="str">
        <f>IFERROR(__xludf.DUMMYFUNCTION("""COMPUTED_VALUE"""),"Tinto s/Bonarda 2da")</f>
        <v>Tinto s/Bonarda 2da</v>
      </c>
      <c r="G1274" s="3"/>
      <c r="H1274" s="56">
        <f>IFERROR(__xludf.DUMMYFUNCTION("""COMPUTED_VALUE"""),2.0)</f>
        <v>2</v>
      </c>
      <c r="I1274" s="3"/>
      <c r="J1274" s="3"/>
      <c r="K1274" s="3"/>
      <c r="L1274" s="3"/>
      <c r="M1274" s="3"/>
      <c r="N1274" s="3"/>
      <c r="O1274" s="3"/>
      <c r="P1274" s="3"/>
      <c r="Q1274" s="3"/>
      <c r="R1274" s="3">
        <f>IFERROR(__xludf.DUMMYFUNCTION("""COMPUTED_VALUE"""),0.0)</f>
        <v>0</v>
      </c>
      <c r="S1274" s="3"/>
      <c r="T1274" s="5"/>
      <c r="U1274" s="5"/>
      <c r="V1274" s="5"/>
      <c r="W1274" s="5"/>
    </row>
    <row r="1275" ht="15.75" customHeight="1">
      <c r="A1275" s="3">
        <f>IFERROR(__xludf.DUMMYFUNCTION("""COMPUTED_VALUE"""),1275.0)</f>
        <v>1275</v>
      </c>
      <c r="B1275" s="53">
        <f>IFERROR(__xludf.DUMMYFUNCTION("""COMPUTED_VALUE"""),45769.0)</f>
        <v>45769</v>
      </c>
      <c r="C1275" s="3">
        <f>IFERROR(__xludf.DUMMYFUNCTION("""COMPUTED_VALUE"""),88.0)</f>
        <v>88</v>
      </c>
      <c r="D1275" s="3" t="str">
        <f>IFERROR(__xludf.DUMMYFUNCTION("""COMPUTED_VALUE"""),"b7df6d93")</f>
        <v>b7df6d93</v>
      </c>
      <c r="E1275" s="54">
        <f>IFERROR(__xludf.DUMMYFUNCTION("""COMPUTED_VALUE"""),37750.0)</f>
        <v>37750</v>
      </c>
      <c r="F1275" s="3" t="str">
        <f>IFERROR(__xludf.DUMMYFUNCTION("""COMPUTED_VALUE"""),"Tinto s/Bonarda")</f>
        <v>Tinto s/Bonarda</v>
      </c>
      <c r="G1275" s="3"/>
      <c r="H1275" s="56">
        <f>IFERROR(__xludf.DUMMYFUNCTION("""COMPUTED_VALUE"""),2.0)</f>
        <v>2</v>
      </c>
      <c r="I1275" s="3"/>
      <c r="J1275" s="3"/>
      <c r="K1275" s="3"/>
      <c r="L1275" s="3"/>
      <c r="M1275" s="3"/>
      <c r="N1275" s="3"/>
      <c r="O1275" s="3"/>
      <c r="P1275" s="3"/>
      <c r="Q1275" s="3"/>
      <c r="R1275" s="3">
        <f>IFERROR(__xludf.DUMMYFUNCTION("""COMPUTED_VALUE"""),0.0)</f>
        <v>0</v>
      </c>
      <c r="S1275" s="3"/>
      <c r="T1275" s="5"/>
      <c r="U1275" s="5"/>
      <c r="V1275" s="5"/>
      <c r="W1275" s="5"/>
    </row>
    <row r="1276" ht="15.75" customHeight="1">
      <c r="A1276" s="3">
        <f>IFERROR(__xludf.DUMMYFUNCTION("""COMPUTED_VALUE"""),1276.0)</f>
        <v>1276</v>
      </c>
      <c r="B1276" s="53">
        <f>IFERROR(__xludf.DUMMYFUNCTION("""COMPUTED_VALUE"""),45769.0)</f>
        <v>45769</v>
      </c>
      <c r="C1276" s="3">
        <f>IFERROR(__xludf.DUMMYFUNCTION("""COMPUTED_VALUE"""),78.0)</f>
        <v>78</v>
      </c>
      <c r="D1276" s="3" t="str">
        <f>IFERROR(__xludf.DUMMYFUNCTION("""COMPUTED_VALUE"""),"247bde06")</f>
        <v>247bde06</v>
      </c>
      <c r="E1276" s="54">
        <f>IFERROR(__xludf.DUMMYFUNCTION("""COMPUTED_VALUE"""),14800.0)</f>
        <v>14800</v>
      </c>
      <c r="F1276" s="3" t="str">
        <f>IFERROR(__xludf.DUMMYFUNCTION("""COMPUTED_VALUE"""),"Tinto s/Bonarda")</f>
        <v>Tinto s/Bonarda</v>
      </c>
      <c r="G1276" s="3"/>
      <c r="H1276" s="56">
        <f>IFERROR(__xludf.DUMMYFUNCTION("""COMPUTED_VALUE"""),4.5)</f>
        <v>4.5</v>
      </c>
      <c r="I1276" s="3"/>
      <c r="J1276" s="3"/>
      <c r="K1276" s="3"/>
      <c r="L1276" s="3"/>
      <c r="M1276" s="3"/>
      <c r="N1276" s="3"/>
      <c r="O1276" s="3"/>
      <c r="P1276" s="3"/>
      <c r="Q1276" s="3"/>
      <c r="R1276" s="3">
        <f>IFERROR(__xludf.DUMMYFUNCTION("""COMPUTED_VALUE"""),0.0)</f>
        <v>0</v>
      </c>
      <c r="S1276" s="3"/>
      <c r="T1276" s="5"/>
      <c r="U1276" s="5"/>
      <c r="V1276" s="5"/>
      <c r="W1276" s="5"/>
    </row>
    <row r="1277" ht="15.75" customHeight="1">
      <c r="A1277" s="3">
        <f>IFERROR(__xludf.DUMMYFUNCTION("""COMPUTED_VALUE"""),1277.0)</f>
        <v>1277</v>
      </c>
      <c r="B1277" s="53">
        <f>IFERROR(__xludf.DUMMYFUNCTION("""COMPUTED_VALUE"""),45769.0)</f>
        <v>45769</v>
      </c>
      <c r="C1277" s="3">
        <f>IFERROR(__xludf.DUMMYFUNCTION("""COMPUTED_VALUE"""),86.0)</f>
        <v>86</v>
      </c>
      <c r="D1277" s="3" t="str">
        <f>IFERROR(__xludf.DUMMYFUNCTION("""COMPUTED_VALUE"""),"714d2433")</f>
        <v>714d2433</v>
      </c>
      <c r="E1277" s="54">
        <f>IFERROR(__xludf.DUMMYFUNCTION("""COMPUTED_VALUE"""),45100.0)</f>
        <v>45100</v>
      </c>
      <c r="F1277" s="3" t="str">
        <f>IFERROR(__xludf.DUMMYFUNCTION("""COMPUTED_VALUE"""),"Tinto s/Bonarda")</f>
        <v>Tinto s/Bonarda</v>
      </c>
      <c r="G1277" s="3"/>
      <c r="H1277" s="56">
        <f>IFERROR(__xludf.DUMMYFUNCTION("""COMPUTED_VALUE"""),4.0)</f>
        <v>4</v>
      </c>
      <c r="I1277" s="3"/>
      <c r="J1277" s="3"/>
      <c r="K1277" s="3"/>
      <c r="L1277" s="3"/>
      <c r="M1277" s="3"/>
      <c r="N1277" s="3"/>
      <c r="O1277" s="3"/>
      <c r="P1277" s="3"/>
      <c r="Q1277" s="3"/>
      <c r="R1277" s="3">
        <f>IFERROR(__xludf.DUMMYFUNCTION("""COMPUTED_VALUE"""),0.0)</f>
        <v>0</v>
      </c>
      <c r="S1277" s="3"/>
      <c r="T1277" s="5"/>
      <c r="U1277" s="5"/>
      <c r="V1277" s="5"/>
      <c r="W1277" s="5"/>
    </row>
    <row r="1278" ht="15.75" customHeight="1">
      <c r="A1278" s="3">
        <f>IFERROR(__xludf.DUMMYFUNCTION("""COMPUTED_VALUE"""),1278.0)</f>
        <v>1278</v>
      </c>
      <c r="B1278" s="53">
        <f>IFERROR(__xludf.DUMMYFUNCTION("""COMPUTED_VALUE"""),45769.0)</f>
        <v>45769</v>
      </c>
      <c r="C1278" s="3">
        <f>IFERROR(__xludf.DUMMYFUNCTION("""COMPUTED_VALUE"""),72.0)</f>
        <v>72</v>
      </c>
      <c r="D1278" s="3" t="str">
        <f>IFERROR(__xludf.DUMMYFUNCTION("""COMPUTED_VALUE"""),"c98fe008")</f>
        <v>c98fe008</v>
      </c>
      <c r="E1278" s="54">
        <f>IFERROR(__xludf.DUMMYFUNCTION("""COMPUTED_VALUE"""),11400.0)</f>
        <v>11400</v>
      </c>
      <c r="F1278" s="3" t="str">
        <f>IFERROR(__xludf.DUMMYFUNCTION("""COMPUTED_VALUE"""),"Chardonnay Late Harvest")</f>
        <v>Chardonnay Late Harvest</v>
      </c>
      <c r="G1278" s="55">
        <f>IFERROR(__xludf.DUMMYFUNCTION("""COMPUTED_VALUE"""),15.3)</f>
        <v>15.3</v>
      </c>
      <c r="H1278" s="56">
        <f>IFERROR(__xludf.DUMMYFUNCTION("""COMPUTED_VALUE"""),9.0)</f>
        <v>9</v>
      </c>
      <c r="I1278" s="3"/>
      <c r="J1278" s="3"/>
      <c r="K1278" s="3"/>
      <c r="L1278" s="3"/>
      <c r="M1278" s="3"/>
      <c r="N1278" s="3"/>
      <c r="O1278" s="3"/>
      <c r="P1278" s="3"/>
      <c r="Q1278" s="3"/>
      <c r="R1278" s="3">
        <f>IFERROR(__xludf.DUMMYFUNCTION("""COMPUTED_VALUE"""),0.0)</f>
        <v>0</v>
      </c>
      <c r="S1278" s="3"/>
      <c r="T1278" s="5"/>
      <c r="U1278" s="5"/>
      <c r="V1278" s="5"/>
      <c r="W1278" s="5"/>
    </row>
    <row r="1279" ht="15.75" customHeight="1">
      <c r="A1279" s="3">
        <f>IFERROR(__xludf.DUMMYFUNCTION("""COMPUTED_VALUE"""),1279.0)</f>
        <v>1279</v>
      </c>
      <c r="B1279" s="53">
        <f>IFERROR(__xludf.DUMMYFUNCTION("""COMPUTED_VALUE"""),45769.0)</f>
        <v>45769</v>
      </c>
      <c r="C1279" s="3">
        <f>IFERROR(__xludf.DUMMYFUNCTION("""COMPUTED_VALUE"""),125.0)</f>
        <v>125</v>
      </c>
      <c r="D1279" s="3" t="str">
        <f>IFERROR(__xludf.DUMMYFUNCTION("""COMPUTED_VALUE"""),"5a534180")</f>
        <v>5a534180</v>
      </c>
      <c r="E1279" s="54">
        <f>IFERROR(__xludf.DUMMYFUNCTION("""COMPUTED_VALUE"""),30500.0)</f>
        <v>30500</v>
      </c>
      <c r="F1279" s="3" t="str">
        <f>IFERROR(__xludf.DUMMYFUNCTION("""COMPUTED_VALUE"""),"Tinto s/Bonarda")</f>
        <v>Tinto s/Bonarda</v>
      </c>
      <c r="G1279" s="3"/>
      <c r="H1279" s="56">
        <f>IFERROR(__xludf.DUMMYFUNCTION("""COMPUTED_VALUE"""),2.0)</f>
        <v>2</v>
      </c>
      <c r="I1279" s="3"/>
      <c r="J1279" s="3"/>
      <c r="K1279" s="3"/>
      <c r="L1279" s="3"/>
      <c r="M1279" s="3"/>
      <c r="N1279" s="3"/>
      <c r="O1279" s="3"/>
      <c r="P1279" s="3"/>
      <c r="Q1279" s="3"/>
      <c r="R1279" s="3">
        <f>IFERROR(__xludf.DUMMYFUNCTION("""COMPUTED_VALUE"""),0.0)</f>
        <v>0</v>
      </c>
      <c r="S1279" s="3"/>
      <c r="T1279" s="5"/>
      <c r="U1279" s="5"/>
      <c r="V1279" s="5"/>
      <c r="W1279" s="5"/>
    </row>
    <row r="1280" ht="15.75" customHeight="1">
      <c r="A1280" s="3">
        <f>IFERROR(__xludf.DUMMYFUNCTION("""COMPUTED_VALUE"""),1280.0)</f>
        <v>1280</v>
      </c>
      <c r="B1280" s="53">
        <f>IFERROR(__xludf.DUMMYFUNCTION("""COMPUTED_VALUE"""),45769.0)</f>
        <v>45769</v>
      </c>
      <c r="C1280" s="3">
        <f>IFERROR(__xludf.DUMMYFUNCTION("""COMPUTED_VALUE"""),126.0)</f>
        <v>126</v>
      </c>
      <c r="D1280" s="3" t="str">
        <f>IFERROR(__xludf.DUMMYFUNCTION("""COMPUTED_VALUE"""),"781075f7")</f>
        <v>781075f7</v>
      </c>
      <c r="E1280" s="54">
        <f>IFERROR(__xludf.DUMMYFUNCTION("""COMPUTED_VALUE"""),30500.0)</f>
        <v>30500</v>
      </c>
      <c r="F1280" s="3" t="str">
        <f>IFERROR(__xludf.DUMMYFUNCTION("""COMPUTED_VALUE"""),"Tinto s/Bonarda")</f>
        <v>Tinto s/Bonarda</v>
      </c>
      <c r="G1280" s="3"/>
      <c r="H1280" s="56">
        <f>IFERROR(__xludf.DUMMYFUNCTION("""COMPUTED_VALUE"""),2.0)</f>
        <v>2</v>
      </c>
      <c r="I1280" s="3"/>
      <c r="J1280" s="3"/>
      <c r="K1280" s="3"/>
      <c r="L1280" s="3"/>
      <c r="M1280" s="3"/>
      <c r="N1280" s="3"/>
      <c r="O1280" s="3"/>
      <c r="P1280" s="3"/>
      <c r="Q1280" s="3"/>
      <c r="R1280" s="3">
        <f>IFERROR(__xludf.DUMMYFUNCTION("""COMPUTED_VALUE"""),0.0)</f>
        <v>0</v>
      </c>
      <c r="S1280" s="3"/>
      <c r="T1280" s="5"/>
      <c r="U1280" s="5"/>
      <c r="V1280" s="5"/>
      <c r="W1280" s="5"/>
    </row>
    <row r="1281" ht="15.75" customHeight="1">
      <c r="A1281" s="3">
        <f>IFERROR(__xludf.DUMMYFUNCTION("""COMPUTED_VALUE"""),1281.0)</f>
        <v>1281</v>
      </c>
      <c r="B1281" s="53">
        <f>IFERROR(__xludf.DUMMYFUNCTION("""COMPUTED_VALUE"""),45769.0)</f>
        <v>45769</v>
      </c>
      <c r="C1281" s="3">
        <f>IFERROR(__xludf.DUMMYFUNCTION("""COMPUTED_VALUE"""),45.0)</f>
        <v>45</v>
      </c>
      <c r="D1281" s="3" t="str">
        <f>IFERROR(__xludf.DUMMYFUNCTION("""COMPUTED_VALUE"""),"d2947d93")</f>
        <v>d2947d93</v>
      </c>
      <c r="E1281" s="54">
        <f>IFERROR(__xludf.DUMMYFUNCTION("""COMPUTED_VALUE"""),23000.0)</f>
        <v>23000</v>
      </c>
      <c r="F1281" s="3" t="str">
        <f>IFERROR(__xludf.DUMMYFUNCTION("""COMPUTED_VALUE"""),"Tinto s/Bonarda")</f>
        <v>Tinto s/Bonarda</v>
      </c>
      <c r="G1281" s="3"/>
      <c r="H1281" s="56">
        <f>IFERROR(__xludf.DUMMYFUNCTION("""COMPUTED_VALUE"""),2.0)</f>
        <v>2</v>
      </c>
      <c r="I1281" s="3"/>
      <c r="J1281" s="3"/>
      <c r="K1281" s="3"/>
      <c r="L1281" s="3"/>
      <c r="M1281" s="3"/>
      <c r="N1281" s="3"/>
      <c r="O1281" s="3"/>
      <c r="P1281" s="3"/>
      <c r="Q1281" s="3"/>
      <c r="R1281" s="3">
        <f>IFERROR(__xludf.DUMMYFUNCTION("""COMPUTED_VALUE"""),0.0)</f>
        <v>0</v>
      </c>
      <c r="S1281" s="3"/>
      <c r="T1281" s="5"/>
      <c r="U1281" s="5"/>
      <c r="V1281" s="5"/>
      <c r="W1281" s="5"/>
    </row>
    <row r="1282" ht="15.75" customHeight="1">
      <c r="A1282" s="3">
        <f>IFERROR(__xludf.DUMMYFUNCTION("""COMPUTED_VALUE"""),1282.0)</f>
        <v>1282</v>
      </c>
      <c r="B1282" s="53">
        <f>IFERROR(__xludf.DUMMYFUNCTION("""COMPUTED_VALUE"""),45769.0)</f>
        <v>45769</v>
      </c>
      <c r="C1282" s="3">
        <f>IFERROR(__xludf.DUMMYFUNCTION("""COMPUTED_VALUE"""),28.0)</f>
        <v>28</v>
      </c>
      <c r="D1282" s="3" t="str">
        <f>IFERROR(__xludf.DUMMYFUNCTION("""COMPUTED_VALUE"""),"dc3a84e1")</f>
        <v>dc3a84e1</v>
      </c>
      <c r="E1282" s="54">
        <f>IFERROR(__xludf.DUMMYFUNCTION("""COMPUTED_VALUE"""),174700.0)</f>
        <v>174700</v>
      </c>
      <c r="F1282" s="3" t="str">
        <f>IFERROR(__xludf.DUMMYFUNCTION("""COMPUTED_VALUE"""),"Bonarda")</f>
        <v>Bonarda</v>
      </c>
      <c r="G1282" s="3"/>
      <c r="H1282" s="3"/>
      <c r="I1282" s="3"/>
      <c r="J1282" s="3"/>
      <c r="K1282" s="57">
        <f>IFERROR(__xludf.DUMMYFUNCTION("""COMPUTED_VALUE"""),3.7)</f>
        <v>3.7</v>
      </c>
      <c r="L1282" s="54">
        <f>IFERROR(__xludf.DUMMYFUNCTION("""COMPUTED_VALUE"""),19.0)</f>
        <v>19</v>
      </c>
      <c r="M1282" s="3"/>
      <c r="N1282" s="3"/>
      <c r="O1282" s="3"/>
      <c r="P1282" s="3"/>
      <c r="Q1282" s="3"/>
      <c r="R1282" s="3">
        <f>IFERROR(__xludf.DUMMYFUNCTION("""COMPUTED_VALUE"""),0.0)</f>
        <v>0</v>
      </c>
      <c r="S1282" s="3"/>
      <c r="T1282" s="5"/>
      <c r="U1282" s="5"/>
      <c r="V1282" s="5"/>
      <c r="W1282" s="5"/>
    </row>
    <row r="1283" ht="15.75" customHeight="1">
      <c r="A1283" s="3">
        <f>IFERROR(__xludf.DUMMYFUNCTION("""COMPUTED_VALUE"""),1283.0)</f>
        <v>1283</v>
      </c>
      <c r="B1283" s="53">
        <f>IFERROR(__xludf.DUMMYFUNCTION("""COMPUTED_VALUE"""),45769.0)</f>
        <v>45769</v>
      </c>
      <c r="C1283" s="3">
        <f>IFERROR(__xludf.DUMMYFUNCTION("""COMPUTED_VALUE"""),41.0)</f>
        <v>41</v>
      </c>
      <c r="D1283" s="3" t="str">
        <f>IFERROR(__xludf.DUMMYFUNCTION("""COMPUTED_VALUE"""),"65ce6f3f")</f>
        <v>65ce6f3f</v>
      </c>
      <c r="E1283" s="54">
        <f>IFERROR(__xludf.DUMMYFUNCTION("""COMPUTED_VALUE"""),35100.0)</f>
        <v>35100</v>
      </c>
      <c r="F1283" s="3" t="str">
        <f>IFERROR(__xludf.DUMMYFUNCTION("""COMPUTED_VALUE"""),"Malbec")</f>
        <v>Malbec</v>
      </c>
      <c r="G1283" s="3"/>
      <c r="H1283" s="3"/>
      <c r="I1283" s="3"/>
      <c r="J1283" s="3"/>
      <c r="K1283" s="57">
        <f>IFERROR(__xludf.DUMMYFUNCTION("""COMPUTED_VALUE"""),3.93)</f>
        <v>3.93</v>
      </c>
      <c r="L1283" s="54">
        <f>IFERROR(__xludf.DUMMYFUNCTION("""COMPUTED_VALUE"""),23.0)</f>
        <v>23</v>
      </c>
      <c r="M1283" s="3"/>
      <c r="N1283" s="3"/>
      <c r="O1283" s="3"/>
      <c r="P1283" s="3"/>
      <c r="Q1283" s="3"/>
      <c r="R1283" s="3">
        <f>IFERROR(__xludf.DUMMYFUNCTION("""COMPUTED_VALUE"""),0.0)</f>
        <v>0</v>
      </c>
      <c r="S1283" s="3"/>
      <c r="T1283" s="5"/>
      <c r="U1283" s="5"/>
      <c r="V1283" s="5"/>
      <c r="W1283" s="5"/>
    </row>
    <row r="1284" ht="15.75" customHeight="1">
      <c r="A1284" s="3">
        <f>IFERROR(__xludf.DUMMYFUNCTION("""COMPUTED_VALUE"""),1284.0)</f>
        <v>1284</v>
      </c>
      <c r="B1284" s="53">
        <f>IFERROR(__xludf.DUMMYFUNCTION("""COMPUTED_VALUE"""),45769.0)</f>
        <v>45769</v>
      </c>
      <c r="C1284" s="3">
        <f>IFERROR(__xludf.DUMMYFUNCTION("""COMPUTED_VALUE"""),52.0)</f>
        <v>52</v>
      </c>
      <c r="D1284" s="3" t="str">
        <f>IFERROR(__xludf.DUMMYFUNCTION("""COMPUTED_VALUE"""),"c750a1d2")</f>
        <v>c750a1d2</v>
      </c>
      <c r="E1284" s="54">
        <f>IFERROR(__xludf.DUMMYFUNCTION("""COMPUTED_VALUE"""),30000.0)</f>
        <v>30000</v>
      </c>
      <c r="F1284" s="3" t="str">
        <f>IFERROR(__xludf.DUMMYFUNCTION("""COMPUTED_VALUE"""),"Bonarda")</f>
        <v>Bonarda</v>
      </c>
      <c r="G1284" s="3"/>
      <c r="H1284" s="3"/>
      <c r="I1284" s="3"/>
      <c r="J1284" s="3"/>
      <c r="K1284" s="57">
        <f>IFERROR(__xludf.DUMMYFUNCTION("""COMPUTED_VALUE"""),3.77)</f>
        <v>3.77</v>
      </c>
      <c r="L1284" s="54">
        <f>IFERROR(__xludf.DUMMYFUNCTION("""COMPUTED_VALUE"""),32.0)</f>
        <v>32</v>
      </c>
      <c r="M1284" s="3"/>
      <c r="N1284" s="3"/>
      <c r="O1284" s="3"/>
      <c r="P1284" s="3"/>
      <c r="Q1284" s="3"/>
      <c r="R1284" s="3">
        <f>IFERROR(__xludf.DUMMYFUNCTION("""COMPUTED_VALUE"""),0.0)</f>
        <v>0</v>
      </c>
      <c r="S1284" s="3"/>
      <c r="T1284" s="5"/>
      <c r="U1284" s="5"/>
      <c r="V1284" s="5"/>
      <c r="W1284" s="5"/>
    </row>
    <row r="1285" ht="15.75" customHeight="1">
      <c r="A1285" s="3">
        <f>IFERROR(__xludf.DUMMYFUNCTION("""COMPUTED_VALUE"""),1285.0)</f>
        <v>1285</v>
      </c>
      <c r="B1285" s="53">
        <f>IFERROR(__xludf.DUMMYFUNCTION("""COMPUTED_VALUE"""),45769.0)</f>
        <v>45769</v>
      </c>
      <c r="C1285" s="3">
        <f>IFERROR(__xludf.DUMMYFUNCTION("""COMPUTED_VALUE"""),53.0)</f>
        <v>53</v>
      </c>
      <c r="D1285" s="3" t="str">
        <f>IFERROR(__xludf.DUMMYFUNCTION("""COMPUTED_VALUE"""),"5433281e")</f>
        <v>5433281e</v>
      </c>
      <c r="E1285" s="54">
        <f>IFERROR(__xludf.DUMMYFUNCTION("""COMPUTED_VALUE"""),22000.0)</f>
        <v>22000</v>
      </c>
      <c r="F1285" s="3" t="str">
        <f>IFERROR(__xludf.DUMMYFUNCTION("""COMPUTED_VALUE"""),"Syrah")</f>
        <v>Syrah</v>
      </c>
      <c r="G1285" s="3"/>
      <c r="H1285" s="3"/>
      <c r="I1285" s="3"/>
      <c r="J1285" s="3"/>
      <c r="K1285" s="57">
        <f>IFERROR(__xludf.DUMMYFUNCTION("""COMPUTED_VALUE"""),3.82)</f>
        <v>3.82</v>
      </c>
      <c r="L1285" s="54">
        <f>IFERROR(__xludf.DUMMYFUNCTION("""COMPUTED_VALUE"""),21.0)</f>
        <v>21</v>
      </c>
      <c r="M1285" s="3"/>
      <c r="N1285" s="3"/>
      <c r="O1285" s="3"/>
      <c r="P1285" s="3"/>
      <c r="Q1285" s="3"/>
      <c r="R1285" s="3">
        <f>IFERROR(__xludf.DUMMYFUNCTION("""COMPUTED_VALUE"""),0.0)</f>
        <v>0</v>
      </c>
      <c r="S1285" s="3"/>
      <c r="T1285" s="5"/>
      <c r="U1285" s="5"/>
      <c r="V1285" s="5"/>
      <c r="W1285" s="5"/>
    </row>
    <row r="1286" ht="15.75" customHeight="1">
      <c r="A1286" s="3">
        <f>IFERROR(__xludf.DUMMYFUNCTION("""COMPUTED_VALUE"""),1286.0)</f>
        <v>1286</v>
      </c>
      <c r="B1286" s="53">
        <f>IFERROR(__xludf.DUMMYFUNCTION("""COMPUTED_VALUE"""),45769.0)</f>
        <v>45769</v>
      </c>
      <c r="C1286" s="3">
        <f>IFERROR(__xludf.DUMMYFUNCTION("""COMPUTED_VALUE"""),54.0)</f>
        <v>54</v>
      </c>
      <c r="D1286" s="3" t="str">
        <f>IFERROR(__xludf.DUMMYFUNCTION("""COMPUTED_VALUE"""),"e580a9d5")</f>
        <v>e580a9d5</v>
      </c>
      <c r="E1286" s="54">
        <f>IFERROR(__xludf.DUMMYFUNCTION("""COMPUTED_VALUE"""),17700.0)</f>
        <v>17700</v>
      </c>
      <c r="F1286" s="3" t="str">
        <f>IFERROR(__xludf.DUMMYFUNCTION("""COMPUTED_VALUE"""),"Malbec")</f>
        <v>Malbec</v>
      </c>
      <c r="G1286" s="3"/>
      <c r="H1286" s="3"/>
      <c r="I1286" s="3"/>
      <c r="J1286" s="3"/>
      <c r="K1286" s="57">
        <f>IFERROR(__xludf.DUMMYFUNCTION("""COMPUTED_VALUE"""),3.97)</f>
        <v>3.97</v>
      </c>
      <c r="L1286" s="54">
        <f>IFERROR(__xludf.DUMMYFUNCTION("""COMPUTED_VALUE"""),12.0)</f>
        <v>12</v>
      </c>
      <c r="M1286" s="3"/>
      <c r="N1286" s="3"/>
      <c r="O1286" s="3"/>
      <c r="P1286" s="3"/>
      <c r="Q1286" s="3"/>
      <c r="R1286" s="3">
        <f>IFERROR(__xludf.DUMMYFUNCTION("""COMPUTED_VALUE"""),0.0)</f>
        <v>0</v>
      </c>
      <c r="S1286" s="3"/>
      <c r="T1286" s="5"/>
      <c r="U1286" s="5"/>
      <c r="V1286" s="5"/>
      <c r="W1286" s="5"/>
    </row>
    <row r="1287" ht="15.75" customHeight="1">
      <c r="A1287" s="3">
        <f>IFERROR(__xludf.DUMMYFUNCTION("""COMPUTED_VALUE"""),1287.0)</f>
        <v>1287</v>
      </c>
      <c r="B1287" s="53">
        <f>IFERROR(__xludf.DUMMYFUNCTION("""COMPUTED_VALUE"""),45769.0)</f>
        <v>45769</v>
      </c>
      <c r="C1287" s="3">
        <f>IFERROR(__xludf.DUMMYFUNCTION("""COMPUTED_VALUE"""),68.0)</f>
        <v>68</v>
      </c>
      <c r="D1287" s="3" t="str">
        <f>IFERROR(__xludf.DUMMYFUNCTION("""COMPUTED_VALUE"""),"b23211ad")</f>
        <v>b23211ad</v>
      </c>
      <c r="E1287" s="54">
        <f>IFERROR(__xludf.DUMMYFUNCTION("""COMPUTED_VALUE"""),13000.0)</f>
        <v>13000</v>
      </c>
      <c r="F1287" s="3" t="str">
        <f>IFERROR(__xludf.DUMMYFUNCTION("""COMPUTED_VALUE"""),"Tanat")</f>
        <v>Tanat</v>
      </c>
      <c r="G1287" s="3"/>
      <c r="H1287" s="3"/>
      <c r="I1287" s="3"/>
      <c r="J1287" s="3"/>
      <c r="K1287" s="57">
        <f>IFERROR(__xludf.DUMMYFUNCTION("""COMPUTED_VALUE"""),3.79)</f>
        <v>3.79</v>
      </c>
      <c r="L1287" s="54">
        <f>IFERROR(__xludf.DUMMYFUNCTION("""COMPUTED_VALUE"""),43.0)</f>
        <v>43</v>
      </c>
      <c r="M1287" s="3">
        <f>IFERROR(__xludf.DUMMYFUNCTION("""COMPUTED_VALUE"""),115.0)</f>
        <v>115</v>
      </c>
      <c r="N1287" s="3"/>
      <c r="O1287" s="3"/>
      <c r="P1287" s="3"/>
      <c r="Q1287" s="3"/>
      <c r="R1287" s="3">
        <f>IFERROR(__xludf.DUMMYFUNCTION("""COMPUTED_VALUE"""),0.0)</f>
        <v>0</v>
      </c>
      <c r="S1287" s="3"/>
      <c r="T1287" s="5"/>
      <c r="U1287" s="5"/>
      <c r="V1287" s="5"/>
      <c r="W1287" s="5"/>
    </row>
    <row r="1288" ht="15.75" customHeight="1">
      <c r="A1288" s="3">
        <f>IFERROR(__xludf.DUMMYFUNCTION("""COMPUTED_VALUE"""),1288.0)</f>
        <v>1288</v>
      </c>
      <c r="B1288" s="53">
        <f>IFERROR(__xludf.DUMMYFUNCTION("""COMPUTED_VALUE"""),45769.0)</f>
        <v>45769</v>
      </c>
      <c r="C1288" s="3">
        <f>IFERROR(__xludf.DUMMYFUNCTION("""COMPUTED_VALUE"""),85.0)</f>
        <v>85</v>
      </c>
      <c r="D1288" s="3" t="str">
        <f>IFERROR(__xludf.DUMMYFUNCTION("""COMPUTED_VALUE"""),"f5552916")</f>
        <v>f5552916</v>
      </c>
      <c r="E1288" s="54">
        <f>IFERROR(__xludf.DUMMYFUNCTION("""COMPUTED_VALUE"""),41000.0)</f>
        <v>41000</v>
      </c>
      <c r="F1288" s="3" t="str">
        <f>IFERROR(__xludf.DUMMYFUNCTION("""COMPUTED_VALUE"""),"Bonarda Gota")</f>
        <v>Bonarda Gota</v>
      </c>
      <c r="G1288" s="3"/>
      <c r="H1288" s="3"/>
      <c r="I1288" s="3"/>
      <c r="J1288" s="3"/>
      <c r="K1288" s="57">
        <f>IFERROR(__xludf.DUMMYFUNCTION("""COMPUTED_VALUE"""),3.71)</f>
        <v>3.71</v>
      </c>
      <c r="L1288" s="54">
        <f>IFERROR(__xludf.DUMMYFUNCTION("""COMPUTED_VALUE"""),26.0)</f>
        <v>26</v>
      </c>
      <c r="M1288" s="3"/>
      <c r="N1288" s="3"/>
      <c r="O1288" s="3"/>
      <c r="P1288" s="3"/>
      <c r="Q1288" s="3"/>
      <c r="R1288" s="3">
        <f>IFERROR(__xludf.DUMMYFUNCTION("""COMPUTED_VALUE"""),0.0)</f>
        <v>0</v>
      </c>
      <c r="S1288" s="3"/>
      <c r="T1288" s="5"/>
      <c r="U1288" s="5"/>
      <c r="V1288" s="5"/>
      <c r="W1288" s="5"/>
    </row>
    <row r="1289" ht="15.75" customHeight="1">
      <c r="A1289" s="3">
        <f>IFERROR(__xludf.DUMMYFUNCTION("""COMPUTED_VALUE"""),1289.0)</f>
        <v>1289</v>
      </c>
      <c r="B1289" s="53">
        <f>IFERROR(__xludf.DUMMYFUNCTION("""COMPUTED_VALUE"""),45769.0)</f>
        <v>45769</v>
      </c>
      <c r="C1289" s="3">
        <f>IFERROR(__xludf.DUMMYFUNCTION("""COMPUTED_VALUE"""),87.0)</f>
        <v>87</v>
      </c>
      <c r="D1289" s="3" t="str">
        <f>IFERROR(__xludf.DUMMYFUNCTION("""COMPUTED_VALUE"""),"bcf45804")</f>
        <v>bcf45804</v>
      </c>
      <c r="E1289" s="54">
        <f>IFERROR(__xludf.DUMMYFUNCTION("""COMPUTED_VALUE"""),93700.0)</f>
        <v>93700</v>
      </c>
      <c r="F1289" s="3" t="str">
        <f>IFERROR(__xludf.DUMMYFUNCTION("""COMPUTED_VALUE"""),"Malbec")</f>
        <v>Malbec</v>
      </c>
      <c r="G1289" s="3"/>
      <c r="H1289" s="3"/>
      <c r="I1289" s="3"/>
      <c r="J1289" s="3"/>
      <c r="K1289" s="57">
        <f>IFERROR(__xludf.DUMMYFUNCTION("""COMPUTED_VALUE"""),3.75)</f>
        <v>3.75</v>
      </c>
      <c r="L1289" s="54">
        <f>IFERROR(__xludf.DUMMYFUNCTION("""COMPUTED_VALUE"""),19.0)</f>
        <v>19</v>
      </c>
      <c r="M1289" s="3"/>
      <c r="N1289" s="3"/>
      <c r="O1289" s="3"/>
      <c r="P1289" s="3"/>
      <c r="Q1289" s="3"/>
      <c r="R1289" s="3">
        <f>IFERROR(__xludf.DUMMYFUNCTION("""COMPUTED_VALUE"""),0.0)</f>
        <v>0</v>
      </c>
      <c r="S1289" s="3"/>
      <c r="T1289" s="5"/>
      <c r="U1289" s="5"/>
      <c r="V1289" s="5"/>
      <c r="W1289" s="5"/>
    </row>
    <row r="1290" ht="15.75" customHeight="1">
      <c r="A1290" s="3">
        <f>IFERROR(__xludf.DUMMYFUNCTION("""COMPUTED_VALUE"""),1290.0)</f>
        <v>1290</v>
      </c>
      <c r="B1290" s="53">
        <f>IFERROR(__xludf.DUMMYFUNCTION("""COMPUTED_VALUE"""),45769.0)</f>
        <v>45769</v>
      </c>
      <c r="C1290" s="3">
        <f>IFERROR(__xludf.DUMMYFUNCTION("""COMPUTED_VALUE"""),89.0)</f>
        <v>89</v>
      </c>
      <c r="D1290" s="3" t="str">
        <f>IFERROR(__xludf.DUMMYFUNCTION("""COMPUTED_VALUE"""),"47825ff1")</f>
        <v>47825ff1</v>
      </c>
      <c r="E1290" s="54">
        <f>IFERROR(__xludf.DUMMYFUNCTION("""COMPUTED_VALUE"""),83500.0)</f>
        <v>83500</v>
      </c>
      <c r="F1290" s="3" t="str">
        <f>IFERROR(__xludf.DUMMYFUNCTION("""COMPUTED_VALUE"""),"Cabernet Sauvignon")</f>
        <v>Cabernet Sauvignon</v>
      </c>
      <c r="G1290" s="3"/>
      <c r="H1290" s="3"/>
      <c r="I1290" s="3"/>
      <c r="J1290" s="3"/>
      <c r="K1290" s="57">
        <f>IFERROR(__xludf.DUMMYFUNCTION("""COMPUTED_VALUE"""),3.8)</f>
        <v>3.8</v>
      </c>
      <c r="L1290" s="54">
        <f>IFERROR(__xludf.DUMMYFUNCTION("""COMPUTED_VALUE"""),19.0)</f>
        <v>19</v>
      </c>
      <c r="M1290" s="3"/>
      <c r="N1290" s="3"/>
      <c r="O1290" s="3"/>
      <c r="P1290" s="3"/>
      <c r="Q1290" s="3"/>
      <c r="R1290" s="3">
        <f>IFERROR(__xludf.DUMMYFUNCTION("""COMPUTED_VALUE"""),0.0)</f>
        <v>0</v>
      </c>
      <c r="S1290" s="3"/>
      <c r="T1290" s="5"/>
      <c r="U1290" s="5"/>
      <c r="V1290" s="5"/>
      <c r="W1290" s="5"/>
    </row>
    <row r="1291" ht="15.75" customHeight="1">
      <c r="A1291" s="3">
        <f>IFERROR(__xludf.DUMMYFUNCTION("""COMPUTED_VALUE"""),1291.0)</f>
        <v>1291</v>
      </c>
      <c r="B1291" s="53">
        <f>IFERROR(__xludf.DUMMYFUNCTION("""COMPUTED_VALUE"""),45769.0)</f>
        <v>45769</v>
      </c>
      <c r="C1291" s="3">
        <f>IFERROR(__xludf.DUMMYFUNCTION("""COMPUTED_VALUE"""),116.0)</f>
        <v>116</v>
      </c>
      <c r="D1291" s="3" t="str">
        <f>IFERROR(__xludf.DUMMYFUNCTION("""COMPUTED_VALUE"""),"27a8c5fb")</f>
        <v>27a8c5fb</v>
      </c>
      <c r="E1291" s="54">
        <f>IFERROR(__xludf.DUMMYFUNCTION("""COMPUTED_VALUE"""),63700.0)</f>
        <v>63700</v>
      </c>
      <c r="F1291" s="3" t="str">
        <f>IFERROR(__xludf.DUMMYFUNCTION("""COMPUTED_VALUE"""),"Tinto")</f>
        <v>Tinto</v>
      </c>
      <c r="G1291" s="3"/>
      <c r="H1291" s="3"/>
      <c r="I1291" s="3"/>
      <c r="J1291" s="3"/>
      <c r="K1291" s="57">
        <f>IFERROR(__xludf.DUMMYFUNCTION("""COMPUTED_VALUE"""),3.83)</f>
        <v>3.83</v>
      </c>
      <c r="L1291" s="54">
        <f>IFERROR(__xludf.DUMMYFUNCTION("""COMPUTED_VALUE"""),28.0)</f>
        <v>28</v>
      </c>
      <c r="M1291" s="3"/>
      <c r="N1291" s="3"/>
      <c r="O1291" s="3"/>
      <c r="P1291" s="3"/>
      <c r="Q1291" s="3"/>
      <c r="R1291" s="3">
        <f>IFERROR(__xludf.DUMMYFUNCTION("""COMPUTED_VALUE"""),0.0)</f>
        <v>0</v>
      </c>
      <c r="S1291" s="3"/>
      <c r="T1291" s="5"/>
      <c r="U1291" s="5"/>
      <c r="V1291" s="5"/>
      <c r="W1291" s="5"/>
    </row>
    <row r="1292" ht="15.75" customHeight="1">
      <c r="A1292" s="3">
        <f>IFERROR(__xludf.DUMMYFUNCTION("""COMPUTED_VALUE"""),1292.0)</f>
        <v>1292</v>
      </c>
      <c r="B1292" s="53">
        <f>IFERROR(__xludf.DUMMYFUNCTION("""COMPUTED_VALUE"""),45769.0)</f>
        <v>45769</v>
      </c>
      <c r="C1292" s="3">
        <f>IFERROR(__xludf.DUMMYFUNCTION("""COMPUTED_VALUE"""),118.0)</f>
        <v>118</v>
      </c>
      <c r="D1292" s="3" t="str">
        <f>IFERROR(__xludf.DUMMYFUNCTION("""COMPUTED_VALUE"""),"8ec426a5")</f>
        <v>8ec426a5</v>
      </c>
      <c r="E1292" s="54">
        <f>IFERROR(__xludf.DUMMYFUNCTION("""COMPUTED_VALUE"""),155600.0)</f>
        <v>155600</v>
      </c>
      <c r="F1292" s="3" t="str">
        <f>IFERROR(__xludf.DUMMYFUNCTION("""COMPUTED_VALUE"""),"Bonarda")</f>
        <v>Bonarda</v>
      </c>
      <c r="G1292" s="3"/>
      <c r="H1292" s="3"/>
      <c r="I1292" s="3"/>
      <c r="J1292" s="3"/>
      <c r="K1292" s="3"/>
      <c r="L1292" s="54">
        <f>IFERROR(__xludf.DUMMYFUNCTION("""COMPUTED_VALUE"""),23.0)</f>
        <v>23</v>
      </c>
      <c r="M1292" s="3"/>
      <c r="N1292" s="3"/>
      <c r="O1292" s="3"/>
      <c r="P1292" s="3"/>
      <c r="Q1292" s="3"/>
      <c r="R1292" s="3">
        <f>IFERROR(__xludf.DUMMYFUNCTION("""COMPUTED_VALUE"""),0.0)</f>
        <v>0</v>
      </c>
      <c r="S1292" s="3"/>
      <c r="T1292" s="5"/>
      <c r="U1292" s="5"/>
      <c r="V1292" s="5"/>
      <c r="W1292" s="5"/>
    </row>
    <row r="1293" ht="15.75" customHeight="1">
      <c r="A1293" s="3">
        <f>IFERROR(__xludf.DUMMYFUNCTION("""COMPUTED_VALUE"""),1293.0)</f>
        <v>1293</v>
      </c>
      <c r="B1293" s="53">
        <f>IFERROR(__xludf.DUMMYFUNCTION("""COMPUTED_VALUE"""),45769.0)</f>
        <v>45769</v>
      </c>
      <c r="C1293" s="3">
        <f>IFERROR(__xludf.DUMMYFUNCTION("""COMPUTED_VALUE"""),120.0)</f>
        <v>120</v>
      </c>
      <c r="D1293" s="3" t="str">
        <f>IFERROR(__xludf.DUMMYFUNCTION("""COMPUTED_VALUE"""),"0711f2d9")</f>
        <v>0711f2d9</v>
      </c>
      <c r="E1293" s="54">
        <f>IFERROR(__xludf.DUMMYFUNCTION("""COMPUTED_VALUE"""),88800.0)</f>
        <v>88800</v>
      </c>
      <c r="F1293" s="3" t="str">
        <f>IFERROR(__xludf.DUMMYFUNCTION("""COMPUTED_VALUE"""),"Cabernet Sauvignon")</f>
        <v>Cabernet Sauvignon</v>
      </c>
      <c r="G1293" s="3"/>
      <c r="H1293" s="3"/>
      <c r="I1293" s="3"/>
      <c r="J1293" s="3"/>
      <c r="K1293" s="3"/>
      <c r="L1293" s="54">
        <f>IFERROR(__xludf.DUMMYFUNCTION("""COMPUTED_VALUE"""),16.0)</f>
        <v>16</v>
      </c>
      <c r="M1293" s="3"/>
      <c r="N1293" s="3"/>
      <c r="O1293" s="3">
        <f>IFERROR(__xludf.DUMMYFUNCTION("""COMPUTED_VALUE"""),0.0)</f>
        <v>0</v>
      </c>
      <c r="P1293" s="3"/>
      <c r="Q1293" s="3"/>
      <c r="R1293" s="3">
        <f>IFERROR(__xludf.DUMMYFUNCTION("""COMPUTED_VALUE"""),0.0)</f>
        <v>0</v>
      </c>
      <c r="S1293" s="3"/>
      <c r="T1293" s="5"/>
      <c r="U1293" s="5"/>
      <c r="V1293" s="5"/>
      <c r="W1293" s="5"/>
    </row>
    <row r="1294" ht="15.75" customHeight="1">
      <c r="A1294" s="3">
        <f>IFERROR(__xludf.DUMMYFUNCTION("""COMPUTED_VALUE"""),1294.0)</f>
        <v>1294</v>
      </c>
      <c r="B1294" s="53">
        <f>IFERROR(__xludf.DUMMYFUNCTION("""COMPUTED_VALUE"""),45770.0)</f>
        <v>45770</v>
      </c>
      <c r="C1294" s="3">
        <f>IFERROR(__xludf.DUMMYFUNCTION("""COMPUTED_VALUE"""),12.0)</f>
        <v>12</v>
      </c>
      <c r="D1294" s="3" t="str">
        <f>IFERROR(__xludf.DUMMYFUNCTION("""COMPUTED_VALUE"""),"28029583")</f>
        <v>28029583</v>
      </c>
      <c r="E1294" s="54">
        <f>IFERROR(__xludf.DUMMYFUNCTION("""COMPUTED_VALUE"""),35300.0)</f>
        <v>35300</v>
      </c>
      <c r="F1294" s="3" t="str">
        <f>IFERROR(__xludf.DUMMYFUNCTION("""COMPUTED_VALUE"""),"Tinto Recarga Press")</f>
        <v>Tinto Recarga Press</v>
      </c>
      <c r="G1294" s="3"/>
      <c r="H1294" s="3"/>
      <c r="I1294" s="3"/>
      <c r="J1294" s="3"/>
      <c r="K1294" s="3"/>
      <c r="L1294" s="54">
        <f>IFERROR(__xludf.DUMMYFUNCTION("""COMPUTED_VALUE"""),51.0)</f>
        <v>51</v>
      </c>
      <c r="M1294" s="3">
        <f>IFERROR(__xludf.DUMMYFUNCTION("""COMPUTED_VALUE"""),110.0)</f>
        <v>110</v>
      </c>
      <c r="N1294" s="3"/>
      <c r="O1294" s="3"/>
      <c r="P1294" s="3">
        <f>IFERROR(__xludf.DUMMYFUNCTION("""COMPUTED_VALUE"""),0.0)</f>
        <v>0</v>
      </c>
      <c r="Q1294" s="3">
        <f>IFERROR(__xludf.DUMMYFUNCTION("""COMPUTED_VALUE"""),0.0)</f>
        <v>0</v>
      </c>
      <c r="R1294" s="3"/>
      <c r="S1294" s="3"/>
      <c r="T1294" s="5"/>
      <c r="U1294" s="5"/>
      <c r="V1294" s="5"/>
      <c r="W1294" s="5"/>
    </row>
    <row r="1295" ht="15.75" customHeight="1">
      <c r="A1295" s="3">
        <f>IFERROR(__xludf.DUMMYFUNCTION("""COMPUTED_VALUE"""),1295.0)</f>
        <v>1295</v>
      </c>
      <c r="B1295" s="53">
        <f>IFERROR(__xludf.DUMMYFUNCTION("""COMPUTED_VALUE"""),45770.0)</f>
        <v>45770</v>
      </c>
      <c r="C1295" s="3">
        <f>IFERROR(__xludf.DUMMYFUNCTION("""COMPUTED_VALUE"""),45.0)</f>
        <v>45</v>
      </c>
      <c r="D1295" s="3" t="str">
        <f>IFERROR(__xludf.DUMMYFUNCTION("""COMPUTED_VALUE"""),"d2947d93")</f>
        <v>d2947d93</v>
      </c>
      <c r="E1295" s="54">
        <f>IFERROR(__xludf.DUMMYFUNCTION("""COMPUTED_VALUE"""),23000.0)</f>
        <v>23000</v>
      </c>
      <c r="F1295" s="3" t="str">
        <f>IFERROR(__xludf.DUMMYFUNCTION("""COMPUTED_VALUE"""),"Tinto s/Bonarda")</f>
        <v>Tinto s/Bonarda</v>
      </c>
      <c r="G1295" s="3"/>
      <c r="H1295" s="3"/>
      <c r="I1295" s="3"/>
      <c r="J1295" s="3"/>
      <c r="K1295" s="3"/>
      <c r="L1295" s="54">
        <f>IFERROR(__xludf.DUMMYFUNCTION("""COMPUTED_VALUE"""),21.0)</f>
        <v>21</v>
      </c>
      <c r="M1295" s="3"/>
      <c r="N1295" s="3"/>
      <c r="O1295" s="3"/>
      <c r="P1295" s="3">
        <f>IFERROR(__xludf.DUMMYFUNCTION("""COMPUTED_VALUE"""),0.0)</f>
        <v>0</v>
      </c>
      <c r="Q1295" s="3">
        <f>IFERROR(__xludf.DUMMYFUNCTION("""COMPUTED_VALUE"""),0.0)</f>
        <v>0</v>
      </c>
      <c r="R1295" s="3"/>
      <c r="S1295" s="3"/>
      <c r="T1295" s="5"/>
      <c r="U1295" s="5"/>
      <c r="V1295" s="5"/>
      <c r="W1295" s="5"/>
    </row>
    <row r="1296" ht="15.75" customHeight="1">
      <c r="A1296" s="3">
        <f>IFERROR(__xludf.DUMMYFUNCTION("""COMPUTED_VALUE"""),1296.0)</f>
        <v>1296</v>
      </c>
      <c r="B1296" s="53">
        <f>IFERROR(__xludf.DUMMYFUNCTION("""COMPUTED_VALUE"""),45770.0)</f>
        <v>45770</v>
      </c>
      <c r="C1296" s="3">
        <f>IFERROR(__xludf.DUMMYFUNCTION("""COMPUTED_VALUE"""),52.0)</f>
        <v>52</v>
      </c>
      <c r="D1296" s="3" t="str">
        <f>IFERROR(__xludf.DUMMYFUNCTION("""COMPUTED_VALUE"""),"c750a1d2")</f>
        <v>c750a1d2</v>
      </c>
      <c r="E1296" s="54">
        <f>IFERROR(__xludf.DUMMYFUNCTION("""COMPUTED_VALUE"""),30000.0)</f>
        <v>30000</v>
      </c>
      <c r="F1296" s="3" t="str">
        <f>IFERROR(__xludf.DUMMYFUNCTION("""COMPUTED_VALUE"""),"Bonarda")</f>
        <v>Bonarda</v>
      </c>
      <c r="G1296" s="3"/>
      <c r="H1296" s="3"/>
      <c r="I1296" s="3"/>
      <c r="J1296" s="3"/>
      <c r="K1296" s="3"/>
      <c r="L1296" s="54">
        <f>IFERROR(__xludf.DUMMYFUNCTION("""COMPUTED_VALUE"""),43.0)</f>
        <v>43</v>
      </c>
      <c r="M1296" s="3"/>
      <c r="N1296" s="3"/>
      <c r="O1296" s="3"/>
      <c r="P1296" s="3">
        <f>IFERROR(__xludf.DUMMYFUNCTION("""COMPUTED_VALUE"""),0.0)</f>
        <v>0</v>
      </c>
      <c r="Q1296" s="3">
        <f>IFERROR(__xludf.DUMMYFUNCTION("""COMPUTED_VALUE"""),0.0)</f>
        <v>0</v>
      </c>
      <c r="R1296" s="3"/>
      <c r="S1296" s="3"/>
      <c r="T1296" s="5"/>
      <c r="U1296" s="5"/>
      <c r="V1296" s="5"/>
      <c r="W1296" s="5"/>
    </row>
    <row r="1297" ht="15.75" customHeight="1">
      <c r="A1297" s="3">
        <f>IFERROR(__xludf.DUMMYFUNCTION("""COMPUTED_VALUE"""),1297.0)</f>
        <v>1297</v>
      </c>
      <c r="B1297" s="53">
        <f>IFERROR(__xludf.DUMMYFUNCTION("""COMPUTED_VALUE"""),45770.0)</f>
        <v>45770</v>
      </c>
      <c r="C1297" s="3">
        <f>IFERROR(__xludf.DUMMYFUNCTION("""COMPUTED_VALUE"""),70.0)</f>
        <v>70</v>
      </c>
      <c r="D1297" s="3" t="str">
        <f>IFERROR(__xludf.DUMMYFUNCTION("""COMPUTED_VALUE"""),"65c7867f")</f>
        <v>65c7867f</v>
      </c>
      <c r="E1297" s="54">
        <f>IFERROR(__xludf.DUMMYFUNCTION("""COMPUTED_VALUE"""),10000.0)</f>
        <v>10000</v>
      </c>
      <c r="F1297" s="3" t="str">
        <f>IFERROR(__xludf.DUMMYFUNCTION("""COMPUTED_VALUE"""),"Tanat")</f>
        <v>Tanat</v>
      </c>
      <c r="G1297" s="3"/>
      <c r="H1297" s="3"/>
      <c r="I1297" s="3"/>
      <c r="J1297" s="3"/>
      <c r="K1297" s="3"/>
      <c r="L1297" s="54">
        <f>IFERROR(__xludf.DUMMYFUNCTION("""COMPUTED_VALUE"""),45.0)</f>
        <v>45</v>
      </c>
      <c r="M1297" s="3">
        <f>IFERROR(__xludf.DUMMYFUNCTION("""COMPUTED_VALUE"""),130.0)</f>
        <v>130</v>
      </c>
      <c r="N1297" s="3"/>
      <c r="O1297" s="3"/>
      <c r="P1297" s="3">
        <f>IFERROR(__xludf.DUMMYFUNCTION("""COMPUTED_VALUE"""),0.0)</f>
        <v>0</v>
      </c>
      <c r="Q1297" s="3">
        <f>IFERROR(__xludf.DUMMYFUNCTION("""COMPUTED_VALUE"""),0.0)</f>
        <v>0</v>
      </c>
      <c r="R1297" s="3"/>
      <c r="S1297" s="3"/>
      <c r="T1297" s="5"/>
      <c r="U1297" s="5"/>
      <c r="V1297" s="5"/>
      <c r="W1297" s="5"/>
    </row>
    <row r="1298" ht="15.75" customHeight="1">
      <c r="A1298" s="3">
        <f>IFERROR(__xludf.DUMMYFUNCTION("""COMPUTED_VALUE"""),1298.0)</f>
        <v>1298</v>
      </c>
      <c r="B1298" s="53">
        <f>IFERROR(__xludf.DUMMYFUNCTION("""COMPUTED_VALUE"""),45770.0)</f>
        <v>45770</v>
      </c>
      <c r="C1298" s="3">
        <f>IFERROR(__xludf.DUMMYFUNCTION("""COMPUTED_VALUE"""),85.0)</f>
        <v>85</v>
      </c>
      <c r="D1298" s="3" t="str">
        <f>IFERROR(__xludf.DUMMYFUNCTION("""COMPUTED_VALUE"""),"f5552916")</f>
        <v>f5552916</v>
      </c>
      <c r="E1298" s="54">
        <f>IFERROR(__xludf.DUMMYFUNCTION("""COMPUTED_VALUE"""),41000.0)</f>
        <v>41000</v>
      </c>
      <c r="F1298" s="3" t="str">
        <f>IFERROR(__xludf.DUMMYFUNCTION("""COMPUTED_VALUE"""),"Bonarda Gota")</f>
        <v>Bonarda Gota</v>
      </c>
      <c r="G1298" s="3"/>
      <c r="H1298" s="3"/>
      <c r="I1298" s="3"/>
      <c r="J1298" s="3"/>
      <c r="K1298" s="3"/>
      <c r="L1298" s="54">
        <f>IFERROR(__xludf.DUMMYFUNCTION("""COMPUTED_VALUE"""),25.0)</f>
        <v>25</v>
      </c>
      <c r="M1298" s="3"/>
      <c r="N1298" s="3"/>
      <c r="O1298" s="3"/>
      <c r="P1298" s="3">
        <f>IFERROR(__xludf.DUMMYFUNCTION("""COMPUTED_VALUE"""),0.0)</f>
        <v>0</v>
      </c>
      <c r="Q1298" s="3">
        <f>IFERROR(__xludf.DUMMYFUNCTION("""COMPUTED_VALUE"""),0.0)</f>
        <v>0</v>
      </c>
      <c r="R1298" s="3"/>
      <c r="S1298" s="3"/>
      <c r="T1298" s="5"/>
      <c r="U1298" s="5"/>
      <c r="V1298" s="5"/>
      <c r="W1298" s="5"/>
    </row>
    <row r="1299" ht="15.75" customHeight="1">
      <c r="A1299" s="3">
        <f>IFERROR(__xludf.DUMMYFUNCTION("""COMPUTED_VALUE"""),1299.0)</f>
        <v>1299</v>
      </c>
      <c r="B1299" s="53">
        <f>IFERROR(__xludf.DUMMYFUNCTION("""COMPUTED_VALUE"""),45770.0)</f>
        <v>45770</v>
      </c>
      <c r="C1299" s="3">
        <f>IFERROR(__xludf.DUMMYFUNCTION("""COMPUTED_VALUE"""),102.0)</f>
        <v>102</v>
      </c>
      <c r="D1299" s="3" t="str">
        <f>IFERROR(__xludf.DUMMYFUNCTION("""COMPUTED_VALUE"""),"96467006")</f>
        <v>96467006</v>
      </c>
      <c r="E1299" s="54">
        <f>IFERROR(__xludf.DUMMYFUNCTION("""COMPUTED_VALUE"""),30000.0)</f>
        <v>30000</v>
      </c>
      <c r="F1299" s="3" t="str">
        <f>IFERROR(__xludf.DUMMYFUNCTION("""COMPUTED_VALUE"""),"Tinto Recarga")</f>
        <v>Tinto Recarga</v>
      </c>
      <c r="G1299" s="3"/>
      <c r="H1299" s="3"/>
      <c r="I1299" s="3"/>
      <c r="J1299" s="3"/>
      <c r="K1299" s="3"/>
      <c r="L1299" s="54">
        <f>IFERROR(__xludf.DUMMYFUNCTION("""COMPUTED_VALUE"""),41.0)</f>
        <v>41</v>
      </c>
      <c r="M1299" s="3">
        <f>IFERROR(__xludf.DUMMYFUNCTION("""COMPUTED_VALUE"""),96.0)</f>
        <v>96</v>
      </c>
      <c r="N1299" s="3"/>
      <c r="O1299" s="3"/>
      <c r="P1299" s="3">
        <f>IFERROR(__xludf.DUMMYFUNCTION("""COMPUTED_VALUE"""),0.0)</f>
        <v>0</v>
      </c>
      <c r="Q1299" s="3">
        <f>IFERROR(__xludf.DUMMYFUNCTION("""COMPUTED_VALUE"""),0.0)</f>
        <v>0</v>
      </c>
      <c r="R1299" s="3"/>
      <c r="S1299" s="3"/>
      <c r="T1299" s="5"/>
      <c r="U1299" s="5"/>
      <c r="V1299" s="5"/>
      <c r="W1299" s="5"/>
    </row>
    <row r="1300" ht="15.75" customHeight="1">
      <c r="A1300" s="3">
        <f>IFERROR(__xludf.DUMMYFUNCTION("""COMPUTED_VALUE"""),1300.0)</f>
        <v>1300</v>
      </c>
      <c r="B1300" s="53">
        <f>IFERROR(__xludf.DUMMYFUNCTION("""COMPUTED_VALUE"""),45770.0)</f>
        <v>45770</v>
      </c>
      <c r="C1300" s="3">
        <f>IFERROR(__xludf.DUMMYFUNCTION("""COMPUTED_VALUE"""),103.0)</f>
        <v>103</v>
      </c>
      <c r="D1300" s="3" t="str">
        <f>IFERROR(__xludf.DUMMYFUNCTION("""COMPUTED_VALUE"""),"290ee918")</f>
        <v>290ee918</v>
      </c>
      <c r="E1300" s="54">
        <f>IFERROR(__xludf.DUMMYFUNCTION("""COMPUTED_VALUE"""),31000.0)</f>
        <v>31000</v>
      </c>
      <c r="F1300" s="3" t="str">
        <f>IFERROR(__xludf.DUMMYFUNCTION("""COMPUTED_VALUE"""),"Anccelotta")</f>
        <v>Anccelotta</v>
      </c>
      <c r="G1300" s="3"/>
      <c r="H1300" s="3"/>
      <c r="I1300" s="3"/>
      <c r="J1300" s="3"/>
      <c r="K1300" s="3"/>
      <c r="L1300" s="54">
        <f>IFERROR(__xludf.DUMMYFUNCTION("""COMPUTED_VALUE"""),42.0)</f>
        <v>42</v>
      </c>
      <c r="M1300" s="3">
        <f>IFERROR(__xludf.DUMMYFUNCTION("""COMPUTED_VALUE"""),112.0)</f>
        <v>112</v>
      </c>
      <c r="N1300" s="3"/>
      <c r="O1300" s="3"/>
      <c r="P1300" s="3">
        <f>IFERROR(__xludf.DUMMYFUNCTION("""COMPUTED_VALUE"""),0.0)</f>
        <v>0</v>
      </c>
      <c r="Q1300" s="3">
        <f>IFERROR(__xludf.DUMMYFUNCTION("""COMPUTED_VALUE"""),0.0)</f>
        <v>0</v>
      </c>
      <c r="R1300" s="3"/>
      <c r="S1300" s="3"/>
      <c r="T1300" s="5"/>
      <c r="U1300" s="5"/>
      <c r="V1300" s="5"/>
      <c r="W1300" s="5"/>
    </row>
    <row r="1301" ht="15.75" customHeight="1">
      <c r="A1301" s="3">
        <f>IFERROR(__xludf.DUMMYFUNCTION("""COMPUTED_VALUE"""),1301.0)</f>
        <v>1301</v>
      </c>
      <c r="B1301" s="53">
        <f>IFERROR(__xludf.DUMMYFUNCTION("""COMPUTED_VALUE"""),45770.0)</f>
        <v>45770</v>
      </c>
      <c r="C1301" s="3">
        <f>IFERROR(__xludf.DUMMYFUNCTION("""COMPUTED_VALUE"""),104.0)</f>
        <v>104</v>
      </c>
      <c r="D1301" s="3" t="str">
        <f>IFERROR(__xludf.DUMMYFUNCTION("""COMPUTED_VALUE"""),"1d042bcb")</f>
        <v>1d042bcb</v>
      </c>
      <c r="E1301" s="54">
        <f>IFERROR(__xludf.DUMMYFUNCTION("""COMPUTED_VALUE"""),31000.0)</f>
        <v>31000</v>
      </c>
      <c r="F1301" s="3" t="str">
        <f>IFERROR(__xludf.DUMMYFUNCTION("""COMPUTED_VALUE"""),"Tinto")</f>
        <v>Tinto</v>
      </c>
      <c r="G1301" s="3"/>
      <c r="H1301" s="3"/>
      <c r="I1301" s="3"/>
      <c r="J1301" s="3"/>
      <c r="K1301" s="3"/>
      <c r="L1301" s="54">
        <f>IFERROR(__xludf.DUMMYFUNCTION("""COMPUTED_VALUE"""),38.0)</f>
        <v>38</v>
      </c>
      <c r="M1301" s="3">
        <f>IFERROR(__xludf.DUMMYFUNCTION("""COMPUTED_VALUE"""),120.0)</f>
        <v>120</v>
      </c>
      <c r="N1301" s="3"/>
      <c r="O1301" s="3"/>
      <c r="P1301" s="3">
        <f>IFERROR(__xludf.DUMMYFUNCTION("""COMPUTED_VALUE"""),0.0)</f>
        <v>0</v>
      </c>
      <c r="Q1301" s="3">
        <f>IFERROR(__xludf.DUMMYFUNCTION("""COMPUTED_VALUE"""),0.0)</f>
        <v>0</v>
      </c>
      <c r="R1301" s="3"/>
      <c r="S1301" s="3"/>
      <c r="T1301" s="5"/>
      <c r="U1301" s="5"/>
      <c r="V1301" s="5"/>
      <c r="W1301" s="5"/>
    </row>
    <row r="1302" ht="15.75" customHeight="1">
      <c r="A1302" s="3">
        <f>IFERROR(__xludf.DUMMYFUNCTION("""COMPUTED_VALUE"""),1302.0)</f>
        <v>1302</v>
      </c>
      <c r="B1302" s="53">
        <f>IFERROR(__xludf.DUMMYFUNCTION("""COMPUTED_VALUE"""),45770.0)</f>
        <v>45770</v>
      </c>
      <c r="C1302" s="3">
        <f>IFERROR(__xludf.DUMMYFUNCTION("""COMPUTED_VALUE"""),105.0)</f>
        <v>105</v>
      </c>
      <c r="D1302" s="3" t="str">
        <f>IFERROR(__xludf.DUMMYFUNCTION("""COMPUTED_VALUE"""),"e33f8556")</f>
        <v>e33f8556</v>
      </c>
      <c r="E1302" s="54">
        <f>IFERROR(__xludf.DUMMYFUNCTION("""COMPUTED_VALUE"""),28000.0)</f>
        <v>28000</v>
      </c>
      <c r="F1302" s="3" t="str">
        <f>IFERROR(__xludf.DUMMYFUNCTION("""COMPUTED_VALUE"""),"Malbec Bonarda")</f>
        <v>Malbec Bonarda</v>
      </c>
      <c r="G1302" s="3"/>
      <c r="H1302" s="3"/>
      <c r="I1302" s="3"/>
      <c r="J1302" s="3"/>
      <c r="K1302" s="3"/>
      <c r="L1302" s="54">
        <f>IFERROR(__xludf.DUMMYFUNCTION("""COMPUTED_VALUE"""),32.0)</f>
        <v>32</v>
      </c>
      <c r="M1302" s="3">
        <f>IFERROR(__xludf.DUMMYFUNCTION("""COMPUTED_VALUE"""),134.0)</f>
        <v>134</v>
      </c>
      <c r="N1302" s="3"/>
      <c r="O1302" s="3"/>
      <c r="P1302" s="3">
        <f>IFERROR(__xludf.DUMMYFUNCTION("""COMPUTED_VALUE"""),0.0)</f>
        <v>0</v>
      </c>
      <c r="Q1302" s="3">
        <f>IFERROR(__xludf.DUMMYFUNCTION("""COMPUTED_VALUE"""),0.0)</f>
        <v>0</v>
      </c>
      <c r="R1302" s="3"/>
      <c r="S1302" s="3"/>
      <c r="T1302" s="5"/>
      <c r="U1302" s="5"/>
      <c r="V1302" s="5"/>
      <c r="W1302" s="5"/>
    </row>
    <row r="1303" ht="15.75" customHeight="1">
      <c r="A1303" s="3">
        <f>IFERROR(__xludf.DUMMYFUNCTION("""COMPUTED_VALUE"""),1303.0)</f>
        <v>1303</v>
      </c>
      <c r="B1303" s="53">
        <f>IFERROR(__xludf.DUMMYFUNCTION("""COMPUTED_VALUE"""),45770.0)</f>
        <v>45770</v>
      </c>
      <c r="C1303" s="3">
        <f>IFERROR(__xludf.DUMMYFUNCTION("""COMPUTED_VALUE"""),106.0)</f>
        <v>106</v>
      </c>
      <c r="D1303" s="3" t="str">
        <f>IFERROR(__xludf.DUMMYFUNCTION("""COMPUTED_VALUE"""),"b1ca9458")</f>
        <v>b1ca9458</v>
      </c>
      <c r="E1303" s="54">
        <f>IFERROR(__xludf.DUMMYFUNCTION("""COMPUTED_VALUE"""),11000.0)</f>
        <v>11000</v>
      </c>
      <c r="F1303" s="3" t="str">
        <f>IFERROR(__xludf.DUMMYFUNCTION("""COMPUTED_VALUE"""),"Ancellotta Tempranillo")</f>
        <v>Ancellotta Tempranillo</v>
      </c>
      <c r="G1303" s="3"/>
      <c r="H1303" s="3"/>
      <c r="I1303" s="3"/>
      <c r="J1303" s="3"/>
      <c r="K1303" s="3"/>
      <c r="L1303" s="54">
        <f>IFERROR(__xludf.DUMMYFUNCTION("""COMPUTED_VALUE"""),44.0)</f>
        <v>44</v>
      </c>
      <c r="M1303" s="3">
        <f>IFERROR(__xludf.DUMMYFUNCTION("""COMPUTED_VALUE"""),90.0)</f>
        <v>90</v>
      </c>
      <c r="N1303" s="3"/>
      <c r="O1303" s="3"/>
      <c r="P1303" s="3">
        <f>IFERROR(__xludf.DUMMYFUNCTION("""COMPUTED_VALUE"""),0.0)</f>
        <v>0</v>
      </c>
      <c r="Q1303" s="3">
        <f>IFERROR(__xludf.DUMMYFUNCTION("""COMPUTED_VALUE"""),0.0)</f>
        <v>0</v>
      </c>
      <c r="R1303" s="3"/>
      <c r="S1303" s="3"/>
      <c r="T1303" s="5"/>
      <c r="U1303" s="5"/>
      <c r="V1303" s="5"/>
      <c r="W1303" s="5"/>
    </row>
    <row r="1304" ht="15.75" customHeight="1">
      <c r="A1304" s="3">
        <f>IFERROR(__xludf.DUMMYFUNCTION("""COMPUTED_VALUE"""),1304.0)</f>
        <v>1304</v>
      </c>
      <c r="B1304" s="53">
        <f>IFERROR(__xludf.DUMMYFUNCTION("""COMPUTED_VALUE"""),45770.0)</f>
        <v>45770</v>
      </c>
      <c r="C1304" s="3">
        <f>IFERROR(__xludf.DUMMYFUNCTION("""COMPUTED_VALUE"""),107.0)</f>
        <v>107</v>
      </c>
      <c r="D1304" s="3" t="str">
        <f>IFERROR(__xludf.DUMMYFUNCTION("""COMPUTED_VALUE"""),"afed01fa")</f>
        <v>afed01fa</v>
      </c>
      <c r="E1304" s="54">
        <f>IFERROR(__xludf.DUMMYFUNCTION("""COMPUTED_VALUE"""),31000.0)</f>
        <v>31000</v>
      </c>
      <c r="F1304" s="3" t="str">
        <f>IFERROR(__xludf.DUMMYFUNCTION("""COMPUTED_VALUE"""),"Ancellotta Tempranillo Pren")</f>
        <v>Ancellotta Tempranillo Pren</v>
      </c>
      <c r="G1304" s="3"/>
      <c r="H1304" s="3"/>
      <c r="I1304" s="3"/>
      <c r="J1304" s="3"/>
      <c r="K1304" s="3"/>
      <c r="L1304" s="54">
        <f>IFERROR(__xludf.DUMMYFUNCTION("""COMPUTED_VALUE"""),38.0)</f>
        <v>38</v>
      </c>
      <c r="M1304" s="3">
        <f>IFERROR(__xludf.DUMMYFUNCTION("""COMPUTED_VALUE"""),80.0)</f>
        <v>80</v>
      </c>
      <c r="N1304" s="3"/>
      <c r="O1304" s="3"/>
      <c r="P1304" s="3">
        <f>IFERROR(__xludf.DUMMYFUNCTION("""COMPUTED_VALUE"""),0.0)</f>
        <v>0</v>
      </c>
      <c r="Q1304" s="3">
        <f>IFERROR(__xludf.DUMMYFUNCTION("""COMPUTED_VALUE"""),0.0)</f>
        <v>0</v>
      </c>
      <c r="R1304" s="3"/>
      <c r="S1304" s="3"/>
      <c r="T1304" s="5"/>
      <c r="U1304" s="5"/>
      <c r="V1304" s="5"/>
      <c r="W1304" s="5"/>
    </row>
    <row r="1305" ht="15.75" customHeight="1">
      <c r="A1305" s="3">
        <f>IFERROR(__xludf.DUMMYFUNCTION("""COMPUTED_VALUE"""),1305.0)</f>
        <v>1305</v>
      </c>
      <c r="B1305" s="53">
        <f>IFERROR(__xludf.DUMMYFUNCTION("""COMPUTED_VALUE"""),45770.0)</f>
        <v>45770</v>
      </c>
      <c r="C1305" s="3">
        <f>IFERROR(__xludf.DUMMYFUNCTION("""COMPUTED_VALUE"""),108.0)</f>
        <v>108</v>
      </c>
      <c r="D1305" s="3" t="str">
        <f>IFERROR(__xludf.DUMMYFUNCTION("""COMPUTED_VALUE"""),"b1b9580e")</f>
        <v>b1b9580e</v>
      </c>
      <c r="E1305" s="54">
        <f>IFERROR(__xludf.DUMMYFUNCTION("""COMPUTED_VALUE"""),31000.0)</f>
        <v>31000</v>
      </c>
      <c r="F1305" s="3" t="str">
        <f>IFERROR(__xludf.DUMMYFUNCTION("""COMPUTED_VALUE"""),"Tinto G")</f>
        <v>Tinto G</v>
      </c>
      <c r="G1305" s="3"/>
      <c r="H1305" s="3"/>
      <c r="I1305" s="3"/>
      <c r="J1305" s="3"/>
      <c r="K1305" s="3"/>
      <c r="L1305" s="54">
        <f>IFERROR(__xludf.DUMMYFUNCTION("""COMPUTED_VALUE"""),28.0)</f>
        <v>28</v>
      </c>
      <c r="M1305" s="3"/>
      <c r="N1305" s="3"/>
      <c r="O1305" s="3"/>
      <c r="P1305" s="3">
        <f>IFERROR(__xludf.DUMMYFUNCTION("""COMPUTED_VALUE"""),0.0)</f>
        <v>0</v>
      </c>
      <c r="Q1305" s="3">
        <f>IFERROR(__xludf.DUMMYFUNCTION("""COMPUTED_VALUE"""),0.0)</f>
        <v>0</v>
      </c>
      <c r="R1305" s="3"/>
      <c r="S1305" s="3"/>
      <c r="T1305" s="5"/>
      <c r="U1305" s="5"/>
      <c r="V1305" s="5"/>
      <c r="W1305" s="5"/>
    </row>
    <row r="1306" ht="15.75" customHeight="1">
      <c r="A1306" s="3">
        <f>IFERROR(__xludf.DUMMYFUNCTION("""COMPUTED_VALUE"""),1306.0)</f>
        <v>1306</v>
      </c>
      <c r="B1306" s="53">
        <f>IFERROR(__xludf.DUMMYFUNCTION("""COMPUTED_VALUE"""),45770.0)</f>
        <v>45770</v>
      </c>
      <c r="C1306" s="3">
        <f>IFERROR(__xludf.DUMMYFUNCTION("""COMPUTED_VALUE"""),109.0)</f>
        <v>109</v>
      </c>
      <c r="D1306" s="3" t="str">
        <f>IFERROR(__xludf.DUMMYFUNCTION("""COMPUTED_VALUE"""),"33d70f3e")</f>
        <v>33d70f3e</v>
      </c>
      <c r="E1306" s="54">
        <f>IFERROR(__xludf.DUMMYFUNCTION("""COMPUTED_VALUE"""),15600.0)</f>
        <v>15600</v>
      </c>
      <c r="F1306" s="3" t="str">
        <f>IFERROR(__xludf.DUMMYFUNCTION("""COMPUTED_VALUE"""),"Bonarda C2")</f>
        <v>Bonarda C2</v>
      </c>
      <c r="G1306" s="3"/>
      <c r="H1306" s="3"/>
      <c r="I1306" s="3"/>
      <c r="J1306" s="3"/>
      <c r="K1306" s="3"/>
      <c r="L1306" s="54">
        <f>IFERROR(__xludf.DUMMYFUNCTION("""COMPUTED_VALUE"""),23.0)</f>
        <v>23</v>
      </c>
      <c r="M1306" s="3"/>
      <c r="N1306" s="3"/>
      <c r="O1306" s="3"/>
      <c r="P1306" s="3">
        <f>IFERROR(__xludf.DUMMYFUNCTION("""COMPUTED_VALUE"""),0.0)</f>
        <v>0</v>
      </c>
      <c r="Q1306" s="3">
        <f>IFERROR(__xludf.DUMMYFUNCTION("""COMPUTED_VALUE"""),0.0)</f>
        <v>0</v>
      </c>
      <c r="R1306" s="3"/>
      <c r="S1306" s="3"/>
      <c r="T1306" s="5"/>
      <c r="U1306" s="5"/>
      <c r="V1306" s="5"/>
      <c r="W1306" s="5"/>
    </row>
    <row r="1307" ht="15.75" customHeight="1">
      <c r="A1307" s="3">
        <f>IFERROR(__xludf.DUMMYFUNCTION("""COMPUTED_VALUE"""),1307.0)</f>
        <v>1307</v>
      </c>
      <c r="B1307" s="53">
        <f>IFERROR(__xludf.DUMMYFUNCTION("""COMPUTED_VALUE"""),45770.0)</f>
        <v>45770</v>
      </c>
      <c r="C1307" s="3">
        <f>IFERROR(__xludf.DUMMYFUNCTION("""COMPUTED_VALUE"""),116.0)</f>
        <v>116</v>
      </c>
      <c r="D1307" s="3" t="str">
        <f>IFERROR(__xludf.DUMMYFUNCTION("""COMPUTED_VALUE"""),"27a8c5fb")</f>
        <v>27a8c5fb</v>
      </c>
      <c r="E1307" s="54">
        <f>IFERROR(__xludf.DUMMYFUNCTION("""COMPUTED_VALUE"""),63700.0)</f>
        <v>63700</v>
      </c>
      <c r="F1307" s="3" t="str">
        <f>IFERROR(__xludf.DUMMYFUNCTION("""COMPUTED_VALUE"""),"Tinto")</f>
        <v>Tinto</v>
      </c>
      <c r="G1307" s="3"/>
      <c r="H1307" s="3"/>
      <c r="I1307" s="3"/>
      <c r="J1307" s="3"/>
      <c r="K1307" s="3"/>
      <c r="L1307" s="54">
        <f>IFERROR(__xludf.DUMMYFUNCTION("""COMPUTED_VALUE"""),32.0)</f>
        <v>32</v>
      </c>
      <c r="M1307" s="3"/>
      <c r="N1307" s="3"/>
      <c r="O1307" s="3"/>
      <c r="P1307" s="3">
        <f>IFERROR(__xludf.DUMMYFUNCTION("""COMPUTED_VALUE"""),0.0)</f>
        <v>0</v>
      </c>
      <c r="Q1307" s="3">
        <f>IFERROR(__xludf.DUMMYFUNCTION("""COMPUTED_VALUE"""),0.0)</f>
        <v>0</v>
      </c>
      <c r="R1307" s="3"/>
      <c r="S1307" s="3"/>
      <c r="T1307" s="5"/>
      <c r="U1307" s="5"/>
      <c r="V1307" s="5"/>
      <c r="W1307" s="5"/>
    </row>
    <row r="1308" ht="15.75" customHeight="1">
      <c r="A1308" s="3">
        <f>IFERROR(__xludf.DUMMYFUNCTION("""COMPUTED_VALUE"""),1308.0)</f>
        <v>1308</v>
      </c>
      <c r="B1308" s="53">
        <f>IFERROR(__xludf.DUMMYFUNCTION("""COMPUTED_VALUE"""),45770.0)</f>
        <v>45770</v>
      </c>
      <c r="C1308" s="3">
        <f>IFERROR(__xludf.DUMMYFUNCTION("""COMPUTED_VALUE"""),125.0)</f>
        <v>125</v>
      </c>
      <c r="D1308" s="3" t="str">
        <f>IFERROR(__xludf.DUMMYFUNCTION("""COMPUTED_VALUE"""),"5a534180")</f>
        <v>5a534180</v>
      </c>
      <c r="E1308" s="54">
        <f>IFERROR(__xludf.DUMMYFUNCTION("""COMPUTED_VALUE"""),30500.0)</f>
        <v>30500</v>
      </c>
      <c r="F1308" s="3" t="str">
        <f>IFERROR(__xludf.DUMMYFUNCTION("""COMPUTED_VALUE"""),"Tinto s/Bonarda")</f>
        <v>Tinto s/Bonarda</v>
      </c>
      <c r="G1308" s="3"/>
      <c r="H1308" s="3"/>
      <c r="I1308" s="3"/>
      <c r="J1308" s="3"/>
      <c r="K1308" s="3"/>
      <c r="L1308" s="54">
        <f>IFERROR(__xludf.DUMMYFUNCTION("""COMPUTED_VALUE"""),19.0)</f>
        <v>19</v>
      </c>
      <c r="M1308" s="3"/>
      <c r="N1308" s="3"/>
      <c r="O1308" s="3"/>
      <c r="P1308" s="3">
        <f>IFERROR(__xludf.DUMMYFUNCTION("""COMPUTED_VALUE"""),0.0)</f>
        <v>0</v>
      </c>
      <c r="Q1308" s="3">
        <f>IFERROR(__xludf.DUMMYFUNCTION("""COMPUTED_VALUE"""),0.0)</f>
        <v>0</v>
      </c>
      <c r="R1308" s="3"/>
      <c r="S1308" s="3"/>
      <c r="T1308" s="5"/>
      <c r="U1308" s="5"/>
      <c r="V1308" s="5"/>
      <c r="W1308" s="5"/>
    </row>
    <row r="1309" ht="15.75" customHeight="1">
      <c r="A1309" s="3">
        <f>IFERROR(__xludf.DUMMYFUNCTION("""COMPUTED_VALUE"""),1309.0)</f>
        <v>1309</v>
      </c>
      <c r="B1309" s="53">
        <f>IFERROR(__xludf.DUMMYFUNCTION("""COMPUTED_VALUE"""),45770.0)</f>
        <v>45770</v>
      </c>
      <c r="C1309" s="3">
        <f>IFERROR(__xludf.DUMMYFUNCTION("""COMPUTED_VALUE"""),126.0)</f>
        <v>126</v>
      </c>
      <c r="D1309" s="3" t="str">
        <f>IFERROR(__xludf.DUMMYFUNCTION("""COMPUTED_VALUE"""),"781075f7")</f>
        <v>781075f7</v>
      </c>
      <c r="E1309" s="54">
        <f>IFERROR(__xludf.DUMMYFUNCTION("""COMPUTED_VALUE"""),30500.0)</f>
        <v>30500</v>
      </c>
      <c r="F1309" s="3" t="str">
        <f>IFERROR(__xludf.DUMMYFUNCTION("""COMPUTED_VALUE"""),"Tinto s/Bonarda")</f>
        <v>Tinto s/Bonarda</v>
      </c>
      <c r="G1309" s="3"/>
      <c r="H1309" s="3"/>
      <c r="I1309" s="3"/>
      <c r="J1309" s="3"/>
      <c r="K1309" s="3"/>
      <c r="L1309" s="54">
        <f>IFERROR(__xludf.DUMMYFUNCTION("""COMPUTED_VALUE"""),16.0)</f>
        <v>16</v>
      </c>
      <c r="M1309" s="3"/>
      <c r="N1309" s="3"/>
      <c r="O1309" s="3"/>
      <c r="P1309" s="3">
        <f>IFERROR(__xludf.DUMMYFUNCTION("""COMPUTED_VALUE"""),0.0)</f>
        <v>0</v>
      </c>
      <c r="Q1309" s="3">
        <f>IFERROR(__xludf.DUMMYFUNCTION("""COMPUTED_VALUE"""),0.0)</f>
        <v>0</v>
      </c>
      <c r="R1309" s="3"/>
      <c r="S1309" s="3"/>
      <c r="T1309" s="5"/>
      <c r="U1309" s="5"/>
      <c r="V1309" s="5"/>
      <c r="W1309" s="5"/>
    </row>
    <row r="1310" ht="15.75" customHeight="1">
      <c r="A1310" s="3">
        <f>IFERROR(__xludf.DUMMYFUNCTION("""COMPUTED_VALUE"""),1310.0)</f>
        <v>1310</v>
      </c>
      <c r="B1310" s="53">
        <f>IFERROR(__xludf.DUMMYFUNCTION("""COMPUTED_VALUE"""),45770.0)</f>
        <v>45770</v>
      </c>
      <c r="C1310" s="3">
        <f>IFERROR(__xludf.DUMMYFUNCTION("""COMPUTED_VALUE"""),127.0)</f>
        <v>127</v>
      </c>
      <c r="D1310" s="3" t="str">
        <f>IFERROR(__xludf.DUMMYFUNCTION("""COMPUTED_VALUE"""),"91eadabd")</f>
        <v>91eadabd</v>
      </c>
      <c r="E1310" s="54">
        <f>IFERROR(__xludf.DUMMYFUNCTION("""COMPUTED_VALUE"""),31000.0)</f>
        <v>31000</v>
      </c>
      <c r="F1310" s="3" t="str">
        <f>IFERROR(__xludf.DUMMYFUNCTION("""COMPUTED_VALUE"""),"Criolla s/Bonarda")</f>
        <v>Criolla s/Bonarda</v>
      </c>
      <c r="G1310" s="3"/>
      <c r="H1310" s="3"/>
      <c r="I1310" s="3"/>
      <c r="J1310" s="3"/>
      <c r="K1310" s="3"/>
      <c r="L1310" s="54">
        <f>IFERROR(__xludf.DUMMYFUNCTION("""COMPUTED_VALUE"""),21.0)</f>
        <v>21</v>
      </c>
      <c r="M1310" s="3"/>
      <c r="N1310" s="3"/>
      <c r="O1310" s="3"/>
      <c r="P1310" s="3">
        <f>IFERROR(__xludf.DUMMYFUNCTION("""COMPUTED_VALUE"""),0.0)</f>
        <v>0</v>
      </c>
      <c r="Q1310" s="3">
        <f>IFERROR(__xludf.DUMMYFUNCTION("""COMPUTED_VALUE"""),0.0)</f>
        <v>0</v>
      </c>
      <c r="R1310" s="3"/>
      <c r="S1310" s="3"/>
      <c r="T1310" s="5"/>
      <c r="U1310" s="5"/>
      <c r="V1310" s="5"/>
      <c r="W1310" s="5"/>
    </row>
    <row r="1311" ht="15.75" customHeight="1">
      <c r="A1311" s="3">
        <f>IFERROR(__xludf.DUMMYFUNCTION("""COMPUTED_VALUE"""),1311.0)</f>
        <v>1311</v>
      </c>
      <c r="B1311" s="53">
        <f>IFERROR(__xludf.DUMMYFUNCTION("""COMPUTED_VALUE"""),45770.0)</f>
        <v>45770</v>
      </c>
      <c r="C1311" s="3">
        <f>IFERROR(__xludf.DUMMYFUNCTION("""COMPUTED_VALUE"""),54.0)</f>
        <v>54</v>
      </c>
      <c r="D1311" s="3" t="str">
        <f>IFERROR(__xludf.DUMMYFUNCTION("""COMPUTED_VALUE"""),"e580a9d5")</f>
        <v>e580a9d5</v>
      </c>
      <c r="E1311" s="54">
        <f>IFERROR(__xludf.DUMMYFUNCTION("""COMPUTED_VALUE"""),17700.0)</f>
        <v>17700</v>
      </c>
      <c r="F1311" s="3" t="str">
        <f>IFERROR(__xludf.DUMMYFUNCTION("""COMPUTED_VALUE"""),"Malbec")</f>
        <v>Malbec</v>
      </c>
      <c r="G1311" s="3"/>
      <c r="H1311" s="3"/>
      <c r="I1311" s="3"/>
      <c r="J1311" s="3"/>
      <c r="K1311" s="3"/>
      <c r="L1311" s="54">
        <f>IFERROR(__xludf.DUMMYFUNCTION("""COMPUTED_VALUE"""),32.0)</f>
        <v>32</v>
      </c>
      <c r="M1311" s="3"/>
      <c r="N1311" s="3"/>
      <c r="O1311" s="3"/>
      <c r="P1311" s="3"/>
      <c r="Q1311" s="3"/>
      <c r="R1311" s="3">
        <f>IFERROR(__xludf.DUMMYFUNCTION("""COMPUTED_VALUE"""),0.0)</f>
        <v>0</v>
      </c>
      <c r="S1311" s="3"/>
      <c r="T1311" s="5"/>
      <c r="U1311" s="5"/>
      <c r="V1311" s="5"/>
      <c r="W1311" s="5"/>
    </row>
    <row r="1312" ht="15.75" customHeight="1">
      <c r="A1312" s="3">
        <f>IFERROR(__xludf.DUMMYFUNCTION("""COMPUTED_VALUE"""),1312.0)</f>
        <v>1312</v>
      </c>
      <c r="B1312" s="53">
        <f>IFERROR(__xludf.DUMMYFUNCTION("""COMPUTED_VALUE"""),45771.0)</f>
        <v>45771</v>
      </c>
      <c r="C1312" s="3">
        <f>IFERROR(__xludf.DUMMYFUNCTION("""COMPUTED_VALUE"""),28.0)</f>
        <v>28</v>
      </c>
      <c r="D1312" s="3" t="str">
        <f>IFERROR(__xludf.DUMMYFUNCTION("""COMPUTED_VALUE"""),"dc3a84e1")</f>
        <v>dc3a84e1</v>
      </c>
      <c r="E1312" s="54">
        <f>IFERROR(__xludf.DUMMYFUNCTION("""COMPUTED_VALUE"""),174700.0)</f>
        <v>174700</v>
      </c>
      <c r="F1312" s="3" t="str">
        <f>IFERROR(__xludf.DUMMYFUNCTION("""COMPUTED_VALUE"""),"Bonarda")</f>
        <v>Bonarda</v>
      </c>
      <c r="G1312" s="55">
        <f>IFERROR(__xludf.DUMMYFUNCTION("""COMPUTED_VALUE"""),14.0)</f>
        <v>14</v>
      </c>
      <c r="H1312" s="56">
        <f>IFERROR(__xludf.DUMMYFUNCTION("""COMPUTED_VALUE"""),3.46)</f>
        <v>3.46</v>
      </c>
      <c r="I1312" s="57">
        <f>IFERROR(__xludf.DUMMYFUNCTION("""COMPUTED_VALUE"""),0.42)</f>
        <v>0.42</v>
      </c>
      <c r="J1312" s="57">
        <f>IFERROR(__xludf.DUMMYFUNCTION("""COMPUTED_VALUE"""),6.97)</f>
        <v>6.97</v>
      </c>
      <c r="K1312" s="3"/>
      <c r="L1312" s="3"/>
      <c r="M1312" s="3"/>
      <c r="N1312" s="3"/>
      <c r="O1312" s="3"/>
      <c r="P1312" s="3"/>
      <c r="Q1312" s="3"/>
      <c r="R1312" s="3">
        <f>IFERROR(__xludf.DUMMYFUNCTION("""COMPUTED_VALUE"""),0.0)</f>
        <v>0</v>
      </c>
      <c r="S1312" s="3"/>
      <c r="T1312" s="5"/>
      <c r="U1312" s="5"/>
      <c r="V1312" s="5"/>
      <c r="W1312" s="5" t="str">
        <f>IFERROR(__xludf.DUMMYFUNCTION("""COMPUTED_VALUE"""),"Simon")</f>
        <v>Simon</v>
      </c>
    </row>
    <row r="1313" ht="15.75" customHeight="1">
      <c r="A1313" s="3">
        <f>IFERROR(__xludf.DUMMYFUNCTION("""COMPUTED_VALUE"""),1313.0)</f>
        <v>1313</v>
      </c>
      <c r="B1313" s="53">
        <f>IFERROR(__xludf.DUMMYFUNCTION("""COMPUTED_VALUE"""),45771.0)</f>
        <v>45771</v>
      </c>
      <c r="C1313" s="3">
        <f>IFERROR(__xludf.DUMMYFUNCTION("""COMPUTED_VALUE"""),41.0)</f>
        <v>41</v>
      </c>
      <c r="D1313" s="3" t="str">
        <f>IFERROR(__xludf.DUMMYFUNCTION("""COMPUTED_VALUE"""),"65ce6f3f")</f>
        <v>65ce6f3f</v>
      </c>
      <c r="E1313" s="54">
        <f>IFERROR(__xludf.DUMMYFUNCTION("""COMPUTED_VALUE"""),35100.0)</f>
        <v>35100</v>
      </c>
      <c r="F1313" s="3" t="str">
        <f>IFERROR(__xludf.DUMMYFUNCTION("""COMPUTED_VALUE"""),"Malbec")</f>
        <v>Malbec</v>
      </c>
      <c r="G1313" s="55">
        <f>IFERROR(__xludf.DUMMYFUNCTION("""COMPUTED_VALUE"""),13.5)</f>
        <v>13.5</v>
      </c>
      <c r="H1313" s="56">
        <f>IFERROR(__xludf.DUMMYFUNCTION("""COMPUTED_VALUE"""),2.5)</f>
        <v>2.5</v>
      </c>
      <c r="I1313" s="57">
        <f>IFERROR(__xludf.DUMMYFUNCTION("""COMPUTED_VALUE"""),0.38)</f>
        <v>0.38</v>
      </c>
      <c r="J1313" s="57">
        <f>IFERROR(__xludf.DUMMYFUNCTION("""COMPUTED_VALUE"""),5.4)</f>
        <v>5.4</v>
      </c>
      <c r="K1313" s="3"/>
      <c r="L1313" s="3"/>
      <c r="M1313" s="3"/>
      <c r="N1313" s="3"/>
      <c r="O1313" s="3"/>
      <c r="P1313" s="3"/>
      <c r="Q1313" s="3"/>
      <c r="R1313" s="3">
        <f>IFERROR(__xludf.DUMMYFUNCTION("""COMPUTED_VALUE"""),0.0)</f>
        <v>0</v>
      </c>
      <c r="S1313" s="3"/>
      <c r="T1313" s="5"/>
      <c r="U1313" s="5"/>
      <c r="V1313" s="5"/>
      <c r="W1313" s="5" t="str">
        <f>IFERROR(__xludf.DUMMYFUNCTION("""COMPUTED_VALUE"""),"Simon")</f>
        <v>Simon</v>
      </c>
    </row>
    <row r="1314" ht="15.75" customHeight="1">
      <c r="A1314" s="3">
        <f>IFERROR(__xludf.DUMMYFUNCTION("""COMPUTED_VALUE"""),1314.0)</f>
        <v>1314</v>
      </c>
      <c r="B1314" s="53">
        <f>IFERROR(__xludf.DUMMYFUNCTION("""COMPUTED_VALUE"""),45771.0)</f>
        <v>45771</v>
      </c>
      <c r="C1314" s="3">
        <f>IFERROR(__xludf.DUMMYFUNCTION("""COMPUTED_VALUE"""),52.0)</f>
        <v>52</v>
      </c>
      <c r="D1314" s="3" t="str">
        <f>IFERROR(__xludf.DUMMYFUNCTION("""COMPUTED_VALUE"""),"c750a1d2")</f>
        <v>c750a1d2</v>
      </c>
      <c r="E1314" s="54">
        <f>IFERROR(__xludf.DUMMYFUNCTION("""COMPUTED_VALUE"""),30000.0)</f>
        <v>30000</v>
      </c>
      <c r="F1314" s="3" t="str">
        <f>IFERROR(__xludf.DUMMYFUNCTION("""COMPUTED_VALUE"""),"Bonarda")</f>
        <v>Bonarda</v>
      </c>
      <c r="G1314" s="55">
        <f>IFERROR(__xludf.DUMMYFUNCTION("""COMPUTED_VALUE"""),12.5)</f>
        <v>12.5</v>
      </c>
      <c r="H1314" s="56">
        <f>IFERROR(__xludf.DUMMYFUNCTION("""COMPUTED_VALUE"""),2.37)</f>
        <v>2.37</v>
      </c>
      <c r="I1314" s="57">
        <f>IFERROR(__xludf.DUMMYFUNCTION("""COMPUTED_VALUE"""),0.54)</f>
        <v>0.54</v>
      </c>
      <c r="J1314" s="57">
        <f>IFERROR(__xludf.DUMMYFUNCTION("""COMPUTED_VALUE"""),5.17)</f>
        <v>5.17</v>
      </c>
      <c r="K1314" s="3"/>
      <c r="L1314" s="3"/>
      <c r="M1314" s="3"/>
      <c r="N1314" s="3"/>
      <c r="O1314" s="3"/>
      <c r="P1314" s="3"/>
      <c r="Q1314" s="3"/>
      <c r="R1314" s="3">
        <f>IFERROR(__xludf.DUMMYFUNCTION("""COMPUTED_VALUE"""),0.0)</f>
        <v>0</v>
      </c>
      <c r="S1314" s="3"/>
      <c r="T1314" s="5"/>
      <c r="U1314" s="5"/>
      <c r="V1314" s="5"/>
      <c r="W1314" s="5" t="str">
        <f>IFERROR(__xludf.DUMMYFUNCTION("""COMPUTED_VALUE"""),"Simon")</f>
        <v>Simon</v>
      </c>
    </row>
    <row r="1315" ht="15.75" customHeight="1">
      <c r="A1315" s="3">
        <f>IFERROR(__xludf.DUMMYFUNCTION("""COMPUTED_VALUE"""),1315.0)</f>
        <v>1315</v>
      </c>
      <c r="B1315" s="53">
        <f>IFERROR(__xludf.DUMMYFUNCTION("""COMPUTED_VALUE"""),45771.0)</f>
        <v>45771</v>
      </c>
      <c r="C1315" s="3">
        <f>IFERROR(__xludf.DUMMYFUNCTION("""COMPUTED_VALUE"""),53.0)</f>
        <v>53</v>
      </c>
      <c r="D1315" s="3" t="str">
        <f>IFERROR(__xludf.DUMMYFUNCTION("""COMPUTED_VALUE"""),"5433281e")</f>
        <v>5433281e</v>
      </c>
      <c r="E1315" s="54">
        <f>IFERROR(__xludf.DUMMYFUNCTION("""COMPUTED_VALUE"""),22000.0)</f>
        <v>22000</v>
      </c>
      <c r="F1315" s="3" t="str">
        <f>IFERROR(__xludf.DUMMYFUNCTION("""COMPUTED_VALUE"""),"Syrah")</f>
        <v>Syrah</v>
      </c>
      <c r="G1315" s="55">
        <f>IFERROR(__xludf.DUMMYFUNCTION("""COMPUTED_VALUE"""),14.1)</f>
        <v>14.1</v>
      </c>
      <c r="H1315" s="56">
        <f>IFERROR(__xludf.DUMMYFUNCTION("""COMPUTED_VALUE"""),3.75)</f>
        <v>3.75</v>
      </c>
      <c r="I1315" s="57">
        <f>IFERROR(__xludf.DUMMYFUNCTION("""COMPUTED_VALUE"""),0.52)</f>
        <v>0.52</v>
      </c>
      <c r="J1315" s="57">
        <f>IFERROR(__xludf.DUMMYFUNCTION("""COMPUTED_VALUE"""),5.1)</f>
        <v>5.1</v>
      </c>
      <c r="K1315" s="3"/>
      <c r="L1315" s="3"/>
      <c r="M1315" s="3"/>
      <c r="N1315" s="3"/>
      <c r="O1315" s="3"/>
      <c r="P1315" s="3"/>
      <c r="Q1315" s="3"/>
      <c r="R1315" s="3">
        <f>IFERROR(__xludf.DUMMYFUNCTION("""COMPUTED_VALUE"""),0.0)</f>
        <v>0</v>
      </c>
      <c r="S1315" s="3"/>
      <c r="T1315" s="5"/>
      <c r="U1315" s="5"/>
      <c r="V1315" s="5"/>
      <c r="W1315" s="5" t="str">
        <f>IFERROR(__xludf.DUMMYFUNCTION("""COMPUTED_VALUE"""),"Simon")</f>
        <v>Simon</v>
      </c>
    </row>
    <row r="1316" ht="15.75" customHeight="1">
      <c r="A1316" s="3">
        <f>IFERROR(__xludf.DUMMYFUNCTION("""COMPUTED_VALUE"""),1316.0)</f>
        <v>1316</v>
      </c>
      <c r="B1316" s="53">
        <f>IFERROR(__xludf.DUMMYFUNCTION("""COMPUTED_VALUE"""),45771.0)</f>
        <v>45771</v>
      </c>
      <c r="C1316" s="3">
        <f>IFERROR(__xludf.DUMMYFUNCTION("""COMPUTED_VALUE"""),54.0)</f>
        <v>54</v>
      </c>
      <c r="D1316" s="3" t="str">
        <f>IFERROR(__xludf.DUMMYFUNCTION("""COMPUTED_VALUE"""),"e580a9d5")</f>
        <v>e580a9d5</v>
      </c>
      <c r="E1316" s="54">
        <f>IFERROR(__xludf.DUMMYFUNCTION("""COMPUTED_VALUE"""),17700.0)</f>
        <v>17700</v>
      </c>
      <c r="F1316" s="3" t="str">
        <f>IFERROR(__xludf.DUMMYFUNCTION("""COMPUTED_VALUE"""),"Malbec")</f>
        <v>Malbec</v>
      </c>
      <c r="G1316" s="55">
        <f>IFERROR(__xludf.DUMMYFUNCTION("""COMPUTED_VALUE"""),13.2)</f>
        <v>13.2</v>
      </c>
      <c r="H1316" s="56">
        <f>IFERROR(__xludf.DUMMYFUNCTION("""COMPUTED_VALUE"""),3.88)</f>
        <v>3.88</v>
      </c>
      <c r="I1316" s="57">
        <f>IFERROR(__xludf.DUMMYFUNCTION("""COMPUTED_VALUE"""),0.35)</f>
        <v>0.35</v>
      </c>
      <c r="J1316" s="57">
        <f>IFERROR(__xludf.DUMMYFUNCTION("""COMPUTED_VALUE"""),5.02)</f>
        <v>5.02</v>
      </c>
      <c r="K1316" s="3"/>
      <c r="L1316" s="3"/>
      <c r="M1316" s="3"/>
      <c r="N1316" s="3"/>
      <c r="O1316" s="3"/>
      <c r="P1316" s="3"/>
      <c r="Q1316" s="3"/>
      <c r="R1316" s="3">
        <f>IFERROR(__xludf.DUMMYFUNCTION("""COMPUTED_VALUE"""),0.0)</f>
        <v>0</v>
      </c>
      <c r="S1316" s="3"/>
      <c r="T1316" s="5"/>
      <c r="U1316" s="5"/>
      <c r="V1316" s="5"/>
      <c r="W1316" s="5" t="str">
        <f>IFERROR(__xludf.DUMMYFUNCTION("""COMPUTED_VALUE"""),"Simon")</f>
        <v>Simon</v>
      </c>
    </row>
    <row r="1317" ht="15.75" customHeight="1">
      <c r="A1317" s="3">
        <f>IFERROR(__xludf.DUMMYFUNCTION("""COMPUTED_VALUE"""),1317.0)</f>
        <v>1317</v>
      </c>
      <c r="B1317" s="53">
        <f>IFERROR(__xludf.DUMMYFUNCTION("""COMPUTED_VALUE"""),45771.0)</f>
        <v>45771</v>
      </c>
      <c r="C1317" s="3">
        <f>IFERROR(__xludf.DUMMYFUNCTION("""COMPUTED_VALUE"""),68.0)</f>
        <v>68</v>
      </c>
      <c r="D1317" s="3" t="str">
        <f>IFERROR(__xludf.DUMMYFUNCTION("""COMPUTED_VALUE"""),"b23211ad")</f>
        <v>b23211ad</v>
      </c>
      <c r="E1317" s="54">
        <f>IFERROR(__xludf.DUMMYFUNCTION("""COMPUTED_VALUE"""),13000.0)</f>
        <v>13000</v>
      </c>
      <c r="F1317" s="3" t="str">
        <f>IFERROR(__xludf.DUMMYFUNCTION("""COMPUTED_VALUE"""),"Tanat")</f>
        <v>Tanat</v>
      </c>
      <c r="G1317" s="55">
        <f>IFERROR(__xludf.DUMMYFUNCTION("""COMPUTED_VALUE"""),14.1)</f>
        <v>14.1</v>
      </c>
      <c r="H1317" s="56">
        <f>IFERROR(__xludf.DUMMYFUNCTION("""COMPUTED_VALUE"""),2.5)</f>
        <v>2.5</v>
      </c>
      <c r="I1317" s="57">
        <f>IFERROR(__xludf.DUMMYFUNCTION("""COMPUTED_VALUE"""),0.45)</f>
        <v>0.45</v>
      </c>
      <c r="J1317" s="57">
        <f>IFERROR(__xludf.DUMMYFUNCTION("""COMPUTED_VALUE"""),5.4)</f>
        <v>5.4</v>
      </c>
      <c r="K1317" s="3"/>
      <c r="L1317" s="3"/>
      <c r="M1317" s="3"/>
      <c r="N1317" s="3"/>
      <c r="O1317" s="3"/>
      <c r="P1317" s="3"/>
      <c r="Q1317" s="3"/>
      <c r="R1317" s="3">
        <f>IFERROR(__xludf.DUMMYFUNCTION("""COMPUTED_VALUE"""),0.0)</f>
        <v>0</v>
      </c>
      <c r="S1317" s="3"/>
      <c r="T1317" s="5"/>
      <c r="U1317" s="5"/>
      <c r="V1317" s="5"/>
      <c r="W1317" s="5" t="str">
        <f>IFERROR(__xludf.DUMMYFUNCTION("""COMPUTED_VALUE"""),"Simon")</f>
        <v>Simon</v>
      </c>
    </row>
    <row r="1318" ht="15.75" customHeight="1">
      <c r="A1318" s="3">
        <f>IFERROR(__xludf.DUMMYFUNCTION("""COMPUTED_VALUE"""),1318.0)</f>
        <v>1318</v>
      </c>
      <c r="B1318" s="53">
        <f>IFERROR(__xludf.DUMMYFUNCTION("""COMPUTED_VALUE"""),45771.0)</f>
        <v>45771</v>
      </c>
      <c r="C1318" s="3">
        <f>IFERROR(__xludf.DUMMYFUNCTION("""COMPUTED_VALUE"""),85.0)</f>
        <v>85</v>
      </c>
      <c r="D1318" s="3" t="str">
        <f>IFERROR(__xludf.DUMMYFUNCTION("""COMPUTED_VALUE"""),"f5552916")</f>
        <v>f5552916</v>
      </c>
      <c r="E1318" s="54">
        <f>IFERROR(__xludf.DUMMYFUNCTION("""COMPUTED_VALUE"""),41000.0)</f>
        <v>41000</v>
      </c>
      <c r="F1318" s="3" t="str">
        <f>IFERROR(__xludf.DUMMYFUNCTION("""COMPUTED_VALUE"""),"Bonarda Gota")</f>
        <v>Bonarda Gota</v>
      </c>
      <c r="G1318" s="55">
        <f>IFERROR(__xludf.DUMMYFUNCTION("""COMPUTED_VALUE"""),12.8)</f>
        <v>12.8</v>
      </c>
      <c r="H1318" s="56">
        <f>IFERROR(__xludf.DUMMYFUNCTION("""COMPUTED_VALUE"""),2.75)</f>
        <v>2.75</v>
      </c>
      <c r="I1318" s="57">
        <f>IFERROR(__xludf.DUMMYFUNCTION("""COMPUTED_VALUE"""),0.36)</f>
        <v>0.36</v>
      </c>
      <c r="J1318" s="57">
        <f>IFERROR(__xludf.DUMMYFUNCTION("""COMPUTED_VALUE"""),6.37)</f>
        <v>6.37</v>
      </c>
      <c r="K1318" s="3"/>
      <c r="L1318" s="3"/>
      <c r="M1318" s="3"/>
      <c r="N1318" s="3"/>
      <c r="O1318" s="3"/>
      <c r="P1318" s="3"/>
      <c r="Q1318" s="3"/>
      <c r="R1318" s="3">
        <f>IFERROR(__xludf.DUMMYFUNCTION("""COMPUTED_VALUE"""),0.0)</f>
        <v>0</v>
      </c>
      <c r="S1318" s="3"/>
      <c r="T1318" s="5"/>
      <c r="U1318" s="5"/>
      <c r="V1318" s="5"/>
      <c r="W1318" s="5" t="str">
        <f>IFERROR(__xludf.DUMMYFUNCTION("""COMPUTED_VALUE"""),"Simon")</f>
        <v>Simon</v>
      </c>
    </row>
    <row r="1319" ht="15.75" customHeight="1">
      <c r="A1319" s="3">
        <f>IFERROR(__xludf.DUMMYFUNCTION("""COMPUTED_VALUE"""),1319.0)</f>
        <v>1319</v>
      </c>
      <c r="B1319" s="53">
        <f>IFERROR(__xludf.DUMMYFUNCTION("""COMPUTED_VALUE"""),45771.0)</f>
        <v>45771</v>
      </c>
      <c r="C1319" s="3">
        <f>IFERROR(__xludf.DUMMYFUNCTION("""COMPUTED_VALUE"""),87.0)</f>
        <v>87</v>
      </c>
      <c r="D1319" s="3" t="str">
        <f>IFERROR(__xludf.DUMMYFUNCTION("""COMPUTED_VALUE"""),"bcf45804")</f>
        <v>bcf45804</v>
      </c>
      <c r="E1319" s="54">
        <f>IFERROR(__xludf.DUMMYFUNCTION("""COMPUTED_VALUE"""),93700.0)</f>
        <v>93700</v>
      </c>
      <c r="F1319" s="3" t="str">
        <f>IFERROR(__xludf.DUMMYFUNCTION("""COMPUTED_VALUE"""),"Malbec")</f>
        <v>Malbec</v>
      </c>
      <c r="G1319" s="55">
        <f>IFERROR(__xludf.DUMMYFUNCTION("""COMPUTED_VALUE"""),13.8)</f>
        <v>13.8</v>
      </c>
      <c r="H1319" s="56">
        <f>IFERROR(__xludf.DUMMYFUNCTION("""COMPUTED_VALUE"""),4.8)</f>
        <v>4.8</v>
      </c>
      <c r="I1319" s="57">
        <f>IFERROR(__xludf.DUMMYFUNCTION("""COMPUTED_VALUE"""),0.37)</f>
        <v>0.37</v>
      </c>
      <c r="J1319" s="57">
        <f>IFERROR(__xludf.DUMMYFUNCTION("""COMPUTED_VALUE"""),5.7)</f>
        <v>5.7</v>
      </c>
      <c r="K1319" s="3"/>
      <c r="L1319" s="3"/>
      <c r="M1319" s="3"/>
      <c r="N1319" s="3"/>
      <c r="O1319" s="3"/>
      <c r="P1319" s="3"/>
      <c r="Q1319" s="3"/>
      <c r="R1319" s="3">
        <f>IFERROR(__xludf.DUMMYFUNCTION("""COMPUTED_VALUE"""),0.0)</f>
        <v>0</v>
      </c>
      <c r="S1319" s="3"/>
      <c r="T1319" s="5"/>
      <c r="U1319" s="5"/>
      <c r="V1319" s="5"/>
      <c r="W1319" s="5" t="str">
        <f>IFERROR(__xludf.DUMMYFUNCTION("""COMPUTED_VALUE"""),"Simon")</f>
        <v>Simon</v>
      </c>
    </row>
    <row r="1320" ht="15.75" customHeight="1">
      <c r="A1320" s="3">
        <f>IFERROR(__xludf.DUMMYFUNCTION("""COMPUTED_VALUE"""),1320.0)</f>
        <v>1320</v>
      </c>
      <c r="B1320" s="53">
        <f>IFERROR(__xludf.DUMMYFUNCTION("""COMPUTED_VALUE"""),45771.0)</f>
        <v>45771</v>
      </c>
      <c r="C1320" s="3">
        <f>IFERROR(__xludf.DUMMYFUNCTION("""COMPUTED_VALUE"""),89.0)</f>
        <v>89</v>
      </c>
      <c r="D1320" s="3" t="str">
        <f>IFERROR(__xludf.DUMMYFUNCTION("""COMPUTED_VALUE"""),"47825ff1")</f>
        <v>47825ff1</v>
      </c>
      <c r="E1320" s="54">
        <f>IFERROR(__xludf.DUMMYFUNCTION("""COMPUTED_VALUE"""),83500.0)</f>
        <v>83500</v>
      </c>
      <c r="F1320" s="3" t="str">
        <f>IFERROR(__xludf.DUMMYFUNCTION("""COMPUTED_VALUE"""),"Cabernet Sauvignon")</f>
        <v>Cabernet Sauvignon</v>
      </c>
      <c r="G1320" s="55">
        <f>IFERROR(__xludf.DUMMYFUNCTION("""COMPUTED_VALUE"""),13.6)</f>
        <v>13.6</v>
      </c>
      <c r="H1320" s="56">
        <f>IFERROR(__xludf.DUMMYFUNCTION("""COMPUTED_VALUE"""),5.63)</f>
        <v>5.63</v>
      </c>
      <c r="I1320" s="57">
        <f>IFERROR(__xludf.DUMMYFUNCTION("""COMPUTED_VALUE"""),0.37)</f>
        <v>0.37</v>
      </c>
      <c r="J1320" s="57">
        <f>IFERROR(__xludf.DUMMYFUNCTION("""COMPUTED_VALUE"""),6.0)</f>
        <v>6</v>
      </c>
      <c r="K1320" s="3"/>
      <c r="L1320" s="3"/>
      <c r="M1320" s="3"/>
      <c r="N1320" s="3"/>
      <c r="O1320" s="3"/>
      <c r="P1320" s="3"/>
      <c r="Q1320" s="3"/>
      <c r="R1320" s="3">
        <f>IFERROR(__xludf.DUMMYFUNCTION("""COMPUTED_VALUE"""),0.0)</f>
        <v>0</v>
      </c>
      <c r="S1320" s="3"/>
      <c r="T1320" s="5"/>
      <c r="U1320" s="5"/>
      <c r="V1320" s="5"/>
      <c r="W1320" s="5" t="str">
        <f>IFERROR(__xludf.DUMMYFUNCTION("""COMPUTED_VALUE"""),"Simon")</f>
        <v>Simon</v>
      </c>
    </row>
    <row r="1321" ht="15.75" customHeight="1">
      <c r="A1321" s="3">
        <f>IFERROR(__xludf.DUMMYFUNCTION("""COMPUTED_VALUE"""),1321.0)</f>
        <v>1321</v>
      </c>
      <c r="B1321" s="53">
        <f>IFERROR(__xludf.DUMMYFUNCTION("""COMPUTED_VALUE"""),45771.0)</f>
        <v>45771</v>
      </c>
      <c r="C1321" s="3">
        <f>IFERROR(__xludf.DUMMYFUNCTION("""COMPUTED_VALUE"""),116.0)</f>
        <v>116</v>
      </c>
      <c r="D1321" s="3" t="str">
        <f>IFERROR(__xludf.DUMMYFUNCTION("""COMPUTED_VALUE"""),"27a8c5fb")</f>
        <v>27a8c5fb</v>
      </c>
      <c r="E1321" s="54">
        <f>IFERROR(__xludf.DUMMYFUNCTION("""COMPUTED_VALUE"""),63700.0)</f>
        <v>63700</v>
      </c>
      <c r="F1321" s="3" t="str">
        <f>IFERROR(__xludf.DUMMYFUNCTION("""COMPUTED_VALUE"""),"Tinto")</f>
        <v>Tinto</v>
      </c>
      <c r="G1321" s="55">
        <f>IFERROR(__xludf.DUMMYFUNCTION("""COMPUTED_VALUE"""),14.3)</f>
        <v>14.3</v>
      </c>
      <c r="H1321" s="56">
        <f>IFERROR(__xludf.DUMMYFUNCTION("""COMPUTED_VALUE"""),2.37)</f>
        <v>2.37</v>
      </c>
      <c r="I1321" s="57">
        <f>IFERROR(__xludf.DUMMYFUNCTION("""COMPUTED_VALUE"""),0.28)</f>
        <v>0.28</v>
      </c>
      <c r="J1321" s="57">
        <f>IFERROR(__xludf.DUMMYFUNCTION("""COMPUTED_VALUE"""),5.25)</f>
        <v>5.25</v>
      </c>
      <c r="K1321" s="3"/>
      <c r="L1321" s="3"/>
      <c r="M1321" s="3"/>
      <c r="N1321" s="3"/>
      <c r="O1321" s="3"/>
      <c r="P1321" s="3"/>
      <c r="Q1321" s="3"/>
      <c r="R1321" s="3">
        <f>IFERROR(__xludf.DUMMYFUNCTION("""COMPUTED_VALUE"""),0.0)</f>
        <v>0</v>
      </c>
      <c r="S1321" s="3"/>
      <c r="T1321" s="5"/>
      <c r="U1321" s="5"/>
      <c r="V1321" s="5"/>
      <c r="W1321" s="5" t="str">
        <f>IFERROR(__xludf.DUMMYFUNCTION("""COMPUTED_VALUE"""),"Simon")</f>
        <v>Simon</v>
      </c>
    </row>
    <row r="1322" ht="15.75" customHeight="1">
      <c r="A1322" s="3">
        <f>IFERROR(__xludf.DUMMYFUNCTION("""COMPUTED_VALUE"""),1322.0)</f>
        <v>1322</v>
      </c>
      <c r="B1322" s="53">
        <f>IFERROR(__xludf.DUMMYFUNCTION("""COMPUTED_VALUE"""),45771.0)</f>
        <v>45771</v>
      </c>
      <c r="C1322" s="3">
        <f>IFERROR(__xludf.DUMMYFUNCTION("""COMPUTED_VALUE"""),118.0)</f>
        <v>118</v>
      </c>
      <c r="D1322" s="3" t="str">
        <f>IFERROR(__xludf.DUMMYFUNCTION("""COMPUTED_VALUE"""),"8ec426a5")</f>
        <v>8ec426a5</v>
      </c>
      <c r="E1322" s="54">
        <f>IFERROR(__xludf.DUMMYFUNCTION("""COMPUTED_VALUE"""),155600.0)</f>
        <v>155600</v>
      </c>
      <c r="F1322" s="3" t="str">
        <f>IFERROR(__xludf.DUMMYFUNCTION("""COMPUTED_VALUE"""),"Bonarda")</f>
        <v>Bonarda</v>
      </c>
      <c r="G1322" s="55">
        <f>IFERROR(__xludf.DUMMYFUNCTION("""COMPUTED_VALUE"""),13.0)</f>
        <v>13</v>
      </c>
      <c r="H1322" s="56">
        <f>IFERROR(__xludf.DUMMYFUNCTION("""COMPUTED_VALUE"""),3.22)</f>
        <v>3.22</v>
      </c>
      <c r="I1322" s="57">
        <f>IFERROR(__xludf.DUMMYFUNCTION("""COMPUTED_VALUE"""),0.31)</f>
        <v>0.31</v>
      </c>
      <c r="J1322" s="57">
        <f>IFERROR(__xludf.DUMMYFUNCTION("""COMPUTED_VALUE"""),6.37)</f>
        <v>6.37</v>
      </c>
      <c r="K1322" s="3"/>
      <c r="L1322" s="3"/>
      <c r="M1322" s="3"/>
      <c r="N1322" s="3"/>
      <c r="O1322" s="3"/>
      <c r="P1322" s="3"/>
      <c r="Q1322" s="3"/>
      <c r="R1322" s="3">
        <f>IFERROR(__xludf.DUMMYFUNCTION("""COMPUTED_VALUE"""),0.0)</f>
        <v>0</v>
      </c>
      <c r="S1322" s="3"/>
      <c r="T1322" s="5"/>
      <c r="U1322" s="5"/>
      <c r="V1322" s="5"/>
      <c r="W1322" s="5" t="str">
        <f>IFERROR(__xludf.DUMMYFUNCTION("""COMPUTED_VALUE"""),"Simon")</f>
        <v>Simon</v>
      </c>
    </row>
    <row r="1323" ht="15.75" customHeight="1">
      <c r="A1323" s="3">
        <f>IFERROR(__xludf.DUMMYFUNCTION("""COMPUTED_VALUE"""),1323.0)</f>
        <v>1323</v>
      </c>
      <c r="B1323" s="53">
        <f>IFERROR(__xludf.DUMMYFUNCTION("""COMPUTED_VALUE"""),45771.0)</f>
        <v>45771</v>
      </c>
      <c r="C1323" s="3">
        <f>IFERROR(__xludf.DUMMYFUNCTION("""COMPUTED_VALUE"""),120.0)</f>
        <v>120</v>
      </c>
      <c r="D1323" s="3" t="str">
        <f>IFERROR(__xludf.DUMMYFUNCTION("""COMPUTED_VALUE"""),"0711f2d9")</f>
        <v>0711f2d9</v>
      </c>
      <c r="E1323" s="54">
        <f>IFERROR(__xludf.DUMMYFUNCTION("""COMPUTED_VALUE"""),88800.0)</f>
        <v>88800</v>
      </c>
      <c r="F1323" s="3" t="str">
        <f>IFERROR(__xludf.DUMMYFUNCTION("""COMPUTED_VALUE"""),"Cabernet Sauvignon")</f>
        <v>Cabernet Sauvignon</v>
      </c>
      <c r="G1323" s="55">
        <f>IFERROR(__xludf.DUMMYFUNCTION("""COMPUTED_VALUE"""),13.3)</f>
        <v>13.3</v>
      </c>
      <c r="H1323" s="56">
        <f>IFERROR(__xludf.DUMMYFUNCTION("""COMPUTED_VALUE"""),2.3)</f>
        <v>2.3</v>
      </c>
      <c r="I1323" s="57">
        <f>IFERROR(__xludf.DUMMYFUNCTION("""COMPUTED_VALUE"""),0.48)</f>
        <v>0.48</v>
      </c>
      <c r="J1323" s="57">
        <f>IFERROR(__xludf.DUMMYFUNCTION("""COMPUTED_VALUE"""),4.87)</f>
        <v>4.87</v>
      </c>
      <c r="K1323" s="3"/>
      <c r="L1323" s="3"/>
      <c r="M1323" s="3"/>
      <c r="N1323" s="3"/>
      <c r="O1323" s="3"/>
      <c r="P1323" s="3"/>
      <c r="Q1323" s="3"/>
      <c r="R1323" s="3">
        <f>IFERROR(__xludf.DUMMYFUNCTION("""COMPUTED_VALUE"""),0.0)</f>
        <v>0</v>
      </c>
      <c r="S1323" s="3"/>
      <c r="T1323" s="5"/>
      <c r="U1323" s="5"/>
      <c r="V1323" s="5"/>
      <c r="W1323" s="5" t="str">
        <f>IFERROR(__xludf.DUMMYFUNCTION("""COMPUTED_VALUE"""),"Simon")</f>
        <v>Simon</v>
      </c>
    </row>
    <row r="1324" ht="15.75" customHeight="1">
      <c r="A1324" s="3">
        <f>IFERROR(__xludf.DUMMYFUNCTION("""COMPUTED_VALUE"""),1324.0)</f>
        <v>1324</v>
      </c>
      <c r="B1324" s="53">
        <f>IFERROR(__xludf.DUMMYFUNCTION("""COMPUTED_VALUE"""),45773.0)</f>
        <v>45773</v>
      </c>
      <c r="C1324" s="3">
        <f>IFERROR(__xludf.DUMMYFUNCTION("""COMPUTED_VALUE"""),91.0)</f>
        <v>91</v>
      </c>
      <c r="D1324" s="3" t="str">
        <f>IFERROR(__xludf.DUMMYFUNCTION("""COMPUTED_VALUE"""),"#REF!")</f>
        <v>#REF!</v>
      </c>
      <c r="E1324" s="54">
        <f>IFERROR(__xludf.DUMMYFUNCTION("""COMPUTED_VALUE"""),50000.0)</f>
        <v>50000</v>
      </c>
      <c r="F1324" s="3" t="str">
        <f>IFERROR(__xludf.DUMMYFUNCTION("""COMPUTED_VALUE"""),"malbec")</f>
        <v>malbec</v>
      </c>
      <c r="G1324" s="3"/>
      <c r="H1324" s="56">
        <f>IFERROR(__xludf.DUMMYFUNCTION("""COMPUTED_VALUE"""),22.0)</f>
        <v>22</v>
      </c>
      <c r="I1324" s="3"/>
      <c r="J1324" s="3"/>
      <c r="K1324" s="3"/>
      <c r="L1324" s="3"/>
      <c r="M1324" s="3"/>
      <c r="N1324" s="3"/>
      <c r="O1324" s="3"/>
      <c r="P1324" s="3"/>
      <c r="Q1324" s="3"/>
      <c r="R1324" s="3">
        <f>IFERROR(__xludf.DUMMYFUNCTION("""COMPUTED_VALUE"""),0.0)</f>
        <v>0</v>
      </c>
      <c r="S1324" s="3"/>
      <c r="T1324" s="5"/>
      <c r="U1324" s="5"/>
      <c r="V1324" s="5"/>
      <c r="W1324" s="5"/>
    </row>
    <row r="1325" ht="15.75" customHeight="1">
      <c r="A1325" s="3">
        <f>IFERROR(__xludf.DUMMYFUNCTION("""COMPUTED_VALUE"""),1325.0)</f>
        <v>1325</v>
      </c>
      <c r="B1325" s="3"/>
      <c r="C1325" s="3">
        <f>IFERROR(__xludf.DUMMYFUNCTION("""COMPUTED_VALUE"""),77.0)</f>
        <v>77</v>
      </c>
      <c r="D1325" s="3" t="str">
        <f>IFERROR(__xludf.DUMMYFUNCTION("""COMPUTED_VALUE"""),"0be7fff5")</f>
        <v>0be7fff5</v>
      </c>
      <c r="E1325" s="54">
        <f>IFERROR(__xludf.DUMMYFUNCTION("""COMPUTED_VALUE"""),19500.0)</f>
        <v>19500</v>
      </c>
      <c r="F1325" s="3" t="str">
        <f>IFERROR(__xludf.DUMMYFUNCTION("""COMPUTED_VALUE"""),"Malbec")</f>
        <v>Malbec</v>
      </c>
      <c r="G1325" s="3"/>
      <c r="H1325" s="56">
        <f>IFERROR(__xludf.DUMMYFUNCTION("""COMPUTED_VALUE"""),15.0)</f>
        <v>15</v>
      </c>
      <c r="I1325" s="3"/>
      <c r="J1325" s="3"/>
      <c r="K1325" s="3"/>
      <c r="L1325" s="3"/>
      <c r="M1325" s="3"/>
      <c r="N1325" s="3"/>
      <c r="O1325" s="3"/>
      <c r="P1325" s="3"/>
      <c r="Q1325" s="3"/>
      <c r="R1325" s="3">
        <f>IFERROR(__xludf.DUMMYFUNCTION("""COMPUTED_VALUE"""),0.0)</f>
        <v>0</v>
      </c>
      <c r="S1325" s="3"/>
      <c r="T1325" s="5"/>
      <c r="U1325" s="5"/>
      <c r="V1325" s="5"/>
      <c r="W1325" s="5"/>
    </row>
    <row r="1326" ht="15.75" customHeight="1">
      <c r="A1326" s="3">
        <f>IFERROR(__xludf.DUMMYFUNCTION("""COMPUTED_VALUE"""),1326.0)</f>
        <v>1326</v>
      </c>
      <c r="B1326" s="53">
        <f>IFERROR(__xludf.DUMMYFUNCTION("""COMPUTED_VALUE"""),45773.0)</f>
        <v>45773</v>
      </c>
      <c r="C1326" s="3">
        <f>IFERROR(__xludf.DUMMYFUNCTION("""COMPUTED_VALUE"""),76.0)</f>
        <v>76</v>
      </c>
      <c r="D1326" s="3" t="str">
        <f>IFERROR(__xludf.DUMMYFUNCTION("""COMPUTED_VALUE"""),"db10cc10")</f>
        <v>db10cc10</v>
      </c>
      <c r="E1326" s="54">
        <f>IFERROR(__xludf.DUMMYFUNCTION("""COMPUTED_VALUE"""),19000.0)</f>
        <v>19000</v>
      </c>
      <c r="F1326" s="3" t="str">
        <f>IFERROR(__xludf.DUMMYFUNCTION("""COMPUTED_VALUE"""),"Malbec")</f>
        <v>Malbec</v>
      </c>
      <c r="G1326" s="3"/>
      <c r="H1326" s="56">
        <f>IFERROR(__xludf.DUMMYFUNCTION("""COMPUTED_VALUE"""),11.0)</f>
        <v>11</v>
      </c>
      <c r="I1326" s="3"/>
      <c r="J1326" s="3"/>
      <c r="K1326" s="3"/>
      <c r="L1326" s="3"/>
      <c r="M1326" s="3"/>
      <c r="N1326" s="3"/>
      <c r="O1326" s="3"/>
      <c r="P1326" s="3"/>
      <c r="Q1326" s="3"/>
      <c r="R1326" s="3">
        <f>IFERROR(__xludf.DUMMYFUNCTION("""COMPUTED_VALUE"""),0.0)</f>
        <v>0</v>
      </c>
      <c r="S1326" s="3"/>
      <c r="T1326" s="5"/>
      <c r="U1326" s="5"/>
      <c r="V1326" s="5"/>
      <c r="W1326" s="5"/>
    </row>
    <row r="1327" ht="15.75" customHeight="1">
      <c r="A1327" s="3">
        <f>IFERROR(__xludf.DUMMYFUNCTION("""COMPUTED_VALUE"""),1327.0)</f>
        <v>1327</v>
      </c>
      <c r="B1327" s="53">
        <f>IFERROR(__xludf.DUMMYFUNCTION("""COMPUTED_VALUE"""),45775.0)</f>
        <v>45775</v>
      </c>
      <c r="C1327" s="3">
        <f>IFERROR(__xludf.DUMMYFUNCTION("""COMPUTED_VALUE"""),126.0)</f>
        <v>126</v>
      </c>
      <c r="D1327" s="3"/>
      <c r="E1327" s="3"/>
      <c r="F1327" s="3" t="str">
        <f>IFERROR(__xludf.DUMMYFUNCTION("""COMPUTED_VALUE"""),"recarga Sergio fermenta?")</f>
        <v>recarga Sergio fermenta?</v>
      </c>
      <c r="G1327" s="3"/>
      <c r="H1327" s="56">
        <f>IFERROR(__xludf.DUMMYFUNCTION("""COMPUTED_VALUE"""),2.7)</f>
        <v>2.7</v>
      </c>
      <c r="I1327" s="57">
        <f>IFERROR(__xludf.DUMMYFUNCTION("""COMPUTED_VALUE"""),0.6)</f>
        <v>0.6</v>
      </c>
      <c r="J1327" s="3"/>
      <c r="K1327" s="3"/>
      <c r="L1327" s="54">
        <f>IFERROR(__xludf.DUMMYFUNCTION("""COMPUTED_VALUE"""),24.0)</f>
        <v>24</v>
      </c>
      <c r="M1327" s="3"/>
      <c r="N1327" s="3"/>
      <c r="O1327" s="3"/>
      <c r="P1327" s="3"/>
      <c r="Q1327" s="3"/>
      <c r="R1327" s="3">
        <f>IFERROR(__xludf.DUMMYFUNCTION("""COMPUTED_VALUE"""),0.0)</f>
        <v>0</v>
      </c>
      <c r="S1327" s="3"/>
      <c r="T1327" s="5"/>
      <c r="U1327" s="5"/>
      <c r="V1327" s="5"/>
      <c r="W1327" s="5"/>
    </row>
    <row r="1328" ht="15.75" customHeight="1">
      <c r="A1328" s="3">
        <f>IFERROR(__xludf.DUMMYFUNCTION("""COMPUTED_VALUE"""),1328.0)</f>
        <v>1328</v>
      </c>
      <c r="B1328" s="53">
        <f>IFERROR(__xludf.DUMMYFUNCTION("""COMPUTED_VALUE"""),45776.0)</f>
        <v>45776</v>
      </c>
      <c r="C1328" s="3">
        <f>IFERROR(__xludf.DUMMYFUNCTION("""COMPUTED_VALUE"""),91.0)</f>
        <v>91</v>
      </c>
      <c r="D1328" s="3" t="str">
        <f>IFERROR(__xludf.DUMMYFUNCTION("""COMPUTED_VALUE"""),"028fb505")</f>
        <v>028fb505</v>
      </c>
      <c r="E1328" s="54">
        <f>IFERROR(__xludf.DUMMYFUNCTION("""COMPUTED_VALUE"""),46000.0)</f>
        <v>46000</v>
      </c>
      <c r="F1328" s="3" t="str">
        <f>IFERROR(__xludf.DUMMYFUNCTION("""COMPUTED_VALUE"""),"Malbec")</f>
        <v>Malbec</v>
      </c>
      <c r="G1328" s="55">
        <f>IFERROR(__xludf.DUMMYFUNCTION("""COMPUTED_VALUE"""),13.0)</f>
        <v>13</v>
      </c>
      <c r="H1328" s="56">
        <f>IFERROR(__xludf.DUMMYFUNCTION("""COMPUTED_VALUE"""),19.26)</f>
        <v>19.26</v>
      </c>
      <c r="I1328" s="57">
        <f>IFERROR(__xludf.DUMMYFUNCTION("""COMPUTED_VALUE"""),0.55)</f>
        <v>0.55</v>
      </c>
      <c r="J1328" s="57">
        <f>IFERROR(__xludf.DUMMYFUNCTION("""COMPUTED_VALUE"""),5.1)</f>
        <v>5.1</v>
      </c>
      <c r="K1328" s="57">
        <f>IFERROR(__xludf.DUMMYFUNCTION("""COMPUTED_VALUE"""),3.96)</f>
        <v>3.96</v>
      </c>
      <c r="L1328" s="54">
        <f>IFERROR(__xludf.DUMMYFUNCTION("""COMPUTED_VALUE"""),12.0)</f>
        <v>12</v>
      </c>
      <c r="M1328" s="3">
        <f>IFERROR(__xludf.DUMMYFUNCTION("""COMPUTED_VALUE"""),77.0)</f>
        <v>77</v>
      </c>
      <c r="N1328" s="3"/>
      <c r="O1328" s="3"/>
      <c r="P1328" s="3"/>
      <c r="Q1328" s="3"/>
      <c r="R1328" s="3">
        <f>IFERROR(__xludf.DUMMYFUNCTION("""COMPUTED_VALUE"""),0.0)</f>
        <v>0</v>
      </c>
      <c r="S1328" s="3"/>
      <c r="T1328" s="5"/>
      <c r="U1328" s="5"/>
      <c r="V1328" s="5"/>
      <c r="W1328" s="5"/>
    </row>
    <row r="1329" ht="15.75" customHeight="1">
      <c r="A1329" s="3">
        <f>IFERROR(__xludf.DUMMYFUNCTION("""COMPUTED_VALUE"""),1329.0)</f>
        <v>1329</v>
      </c>
      <c r="B1329" s="53">
        <f>IFERROR(__xludf.DUMMYFUNCTION("""COMPUTED_VALUE"""),45776.0)</f>
        <v>45776</v>
      </c>
      <c r="C1329" s="3">
        <f>IFERROR(__xludf.DUMMYFUNCTION("""COMPUTED_VALUE"""),66.0)</f>
        <v>66</v>
      </c>
      <c r="D1329" s="3" t="str">
        <f>IFERROR(__xludf.DUMMYFUNCTION("""COMPUTED_VALUE"""),"b704cbde")</f>
        <v>b704cbde</v>
      </c>
      <c r="E1329" s="54">
        <f>IFERROR(__xludf.DUMMYFUNCTION("""COMPUTED_VALUE"""),19000.0)</f>
        <v>19000</v>
      </c>
      <c r="F1329" s="3" t="str">
        <f>IFERROR(__xludf.DUMMYFUNCTION("""COMPUTED_VALUE"""),"Malbec")</f>
        <v>Malbec</v>
      </c>
      <c r="G1329" s="55">
        <f>IFERROR(__xludf.DUMMYFUNCTION("""COMPUTED_VALUE"""),13.7)</f>
        <v>13.7</v>
      </c>
      <c r="H1329" s="56">
        <f>IFERROR(__xludf.DUMMYFUNCTION("""COMPUTED_VALUE"""),14.2)</f>
        <v>14.2</v>
      </c>
      <c r="I1329" s="57">
        <f>IFERROR(__xludf.DUMMYFUNCTION("""COMPUTED_VALUE"""),0.58)</f>
        <v>0.58</v>
      </c>
      <c r="J1329" s="57">
        <f>IFERROR(__xludf.DUMMYFUNCTION("""COMPUTED_VALUE"""),6.12)</f>
        <v>6.12</v>
      </c>
      <c r="K1329" s="57">
        <f>IFERROR(__xludf.DUMMYFUNCTION("""COMPUTED_VALUE"""),3.84)</f>
        <v>3.84</v>
      </c>
      <c r="L1329" s="54">
        <f>IFERROR(__xludf.DUMMYFUNCTION("""COMPUTED_VALUE"""),19.0)</f>
        <v>19</v>
      </c>
      <c r="M1329" s="3">
        <f>IFERROR(__xludf.DUMMYFUNCTION("""COMPUTED_VALUE"""),132.0)</f>
        <v>132</v>
      </c>
      <c r="N1329" s="3"/>
      <c r="O1329" s="3"/>
      <c r="P1329" s="3"/>
      <c r="Q1329" s="3"/>
      <c r="R1329" s="3">
        <f>IFERROR(__xludf.DUMMYFUNCTION("""COMPUTED_VALUE"""),0.0)</f>
        <v>0</v>
      </c>
      <c r="S1329" s="3"/>
      <c r="T1329" s="5"/>
      <c r="U1329" s="5"/>
      <c r="V1329" s="5"/>
      <c r="W1329" s="5"/>
    </row>
    <row r="1330" ht="15.75" customHeight="1">
      <c r="A1330" s="3">
        <f>IFERROR(__xludf.DUMMYFUNCTION("""COMPUTED_VALUE"""),1330.0)</f>
        <v>1330</v>
      </c>
      <c r="B1330" s="53">
        <f>IFERROR(__xludf.DUMMYFUNCTION("""COMPUTED_VALUE"""),45776.0)</f>
        <v>45776</v>
      </c>
      <c r="C1330" s="3">
        <f>IFERROR(__xludf.DUMMYFUNCTION("""COMPUTED_VALUE"""),67.0)</f>
        <v>67</v>
      </c>
      <c r="D1330" s="3" t="str">
        <f>IFERROR(__xludf.DUMMYFUNCTION("""COMPUTED_VALUE"""),"de2017df")</f>
        <v>de2017df</v>
      </c>
      <c r="E1330" s="54">
        <f>IFERROR(__xludf.DUMMYFUNCTION("""COMPUTED_VALUE"""),19500.0)</f>
        <v>19500</v>
      </c>
      <c r="F1330" s="3" t="str">
        <f>IFERROR(__xludf.DUMMYFUNCTION("""COMPUTED_VALUE"""),"Malbec")</f>
        <v>Malbec</v>
      </c>
      <c r="G1330" s="55">
        <f>IFERROR(__xludf.DUMMYFUNCTION("""COMPUTED_VALUE"""),13.9)</f>
        <v>13.9</v>
      </c>
      <c r="H1330" s="56">
        <f>IFERROR(__xludf.DUMMYFUNCTION("""COMPUTED_VALUE"""),18.0)</f>
        <v>18</v>
      </c>
      <c r="I1330" s="57">
        <f>IFERROR(__xludf.DUMMYFUNCTION("""COMPUTED_VALUE"""),0.57)</f>
        <v>0.57</v>
      </c>
      <c r="J1330" s="57">
        <f>IFERROR(__xludf.DUMMYFUNCTION("""COMPUTED_VALUE"""),5.5)</f>
        <v>5.5</v>
      </c>
      <c r="K1330" s="57">
        <f>IFERROR(__xludf.DUMMYFUNCTION("""COMPUTED_VALUE"""),3.9)</f>
        <v>3.9</v>
      </c>
      <c r="L1330" s="54">
        <f>IFERROR(__xludf.DUMMYFUNCTION("""COMPUTED_VALUE"""),13.0)</f>
        <v>13</v>
      </c>
      <c r="M1330" s="3">
        <f>IFERROR(__xludf.DUMMYFUNCTION("""COMPUTED_VALUE"""),96.0)</f>
        <v>96</v>
      </c>
      <c r="N1330" s="3"/>
      <c r="O1330" s="3"/>
      <c r="P1330" s="3"/>
      <c r="Q1330" s="3"/>
      <c r="R1330" s="3">
        <f>IFERROR(__xludf.DUMMYFUNCTION("""COMPUTED_VALUE"""),0.0)</f>
        <v>0</v>
      </c>
      <c r="S1330" s="3"/>
      <c r="T1330" s="5"/>
      <c r="U1330" s="5"/>
      <c r="V1330" s="5"/>
      <c r="W1330" s="5"/>
    </row>
    <row r="1331" ht="15.75" customHeight="1">
      <c r="A1331" s="3">
        <f>IFERROR(__xludf.DUMMYFUNCTION("""COMPUTED_VALUE"""),1331.0)</f>
        <v>1331</v>
      </c>
      <c r="B1331" s="53">
        <f>IFERROR(__xludf.DUMMYFUNCTION("""COMPUTED_VALUE"""),45776.0)</f>
        <v>45776</v>
      </c>
      <c r="C1331" s="3">
        <f>IFERROR(__xludf.DUMMYFUNCTION("""COMPUTED_VALUE"""),81.0)</f>
        <v>81</v>
      </c>
      <c r="D1331" s="3" t="str">
        <f>IFERROR(__xludf.DUMMYFUNCTION("""COMPUTED_VALUE"""),"3559c80c")</f>
        <v>3559c80c</v>
      </c>
      <c r="E1331" s="54">
        <f>IFERROR(__xludf.DUMMYFUNCTION("""COMPUTED_VALUE"""),26500.0)</f>
        <v>26500</v>
      </c>
      <c r="F1331" s="3" t="str">
        <f>IFERROR(__xludf.DUMMYFUNCTION("""COMPUTED_VALUE"""),"Cabernet Sauvignon")</f>
        <v>Cabernet Sauvignon</v>
      </c>
      <c r="G1331" s="55">
        <f>IFERROR(__xludf.DUMMYFUNCTION("""COMPUTED_VALUE"""),15.2)</f>
        <v>15.2</v>
      </c>
      <c r="H1331" s="56">
        <f>IFERROR(__xludf.DUMMYFUNCTION("""COMPUTED_VALUE"""),12.0)</f>
        <v>12</v>
      </c>
      <c r="I1331" s="57">
        <f>IFERROR(__xludf.DUMMYFUNCTION("""COMPUTED_VALUE"""),0.59)</f>
        <v>0.59</v>
      </c>
      <c r="J1331" s="57">
        <f>IFERROR(__xludf.DUMMYFUNCTION("""COMPUTED_VALUE"""),5.0)</f>
        <v>5</v>
      </c>
      <c r="K1331" s="57">
        <f>IFERROR(__xludf.DUMMYFUNCTION("""COMPUTED_VALUE"""),3.85)</f>
        <v>3.85</v>
      </c>
      <c r="L1331" s="54">
        <f>IFERROR(__xludf.DUMMYFUNCTION("""COMPUTED_VALUE"""),15.0)</f>
        <v>15</v>
      </c>
      <c r="M1331" s="3">
        <f>IFERROR(__xludf.DUMMYFUNCTION("""COMPUTED_VALUE"""),80.0)</f>
        <v>80</v>
      </c>
      <c r="N1331" s="3"/>
      <c r="O1331" s="3"/>
      <c r="P1331" s="3"/>
      <c r="Q1331" s="3"/>
      <c r="R1331" s="3">
        <f>IFERROR(__xludf.DUMMYFUNCTION("""COMPUTED_VALUE"""),0.0)</f>
        <v>0</v>
      </c>
      <c r="S1331" s="3"/>
      <c r="T1331" s="5"/>
      <c r="U1331" s="5"/>
      <c r="V1331" s="5"/>
      <c r="W1331" s="5"/>
    </row>
    <row r="1332" ht="15.75" customHeight="1">
      <c r="A1332" s="3">
        <f>IFERROR(__xludf.DUMMYFUNCTION("""COMPUTED_VALUE"""),1332.0)</f>
        <v>1332</v>
      </c>
      <c r="B1332" s="53">
        <f>IFERROR(__xludf.DUMMYFUNCTION("""COMPUTED_VALUE"""),45776.0)</f>
        <v>45776</v>
      </c>
      <c r="C1332" s="3">
        <f>IFERROR(__xludf.DUMMYFUNCTION("""COMPUTED_VALUE"""),72.0)</f>
        <v>72</v>
      </c>
      <c r="D1332" s="3" t="str">
        <f>IFERROR(__xludf.DUMMYFUNCTION("""COMPUTED_VALUE"""),"c98fe008")</f>
        <v>c98fe008</v>
      </c>
      <c r="E1332" s="54">
        <f>IFERROR(__xludf.DUMMYFUNCTION("""COMPUTED_VALUE"""),11400.0)</f>
        <v>11400</v>
      </c>
      <c r="F1332" s="3" t="str">
        <f>IFERROR(__xludf.DUMMYFUNCTION("""COMPUTED_VALUE"""),"Chardonnay Late Harvest")</f>
        <v>Chardonnay Late Harvest</v>
      </c>
      <c r="G1332" s="55">
        <f>IFERROR(__xludf.DUMMYFUNCTION("""COMPUTED_VALUE"""),15.9)</f>
        <v>15.9</v>
      </c>
      <c r="H1332" s="56">
        <f>IFERROR(__xludf.DUMMYFUNCTION("""COMPUTED_VALUE"""),4.0)</f>
        <v>4</v>
      </c>
      <c r="I1332" s="57">
        <f>IFERROR(__xludf.DUMMYFUNCTION("""COMPUTED_VALUE"""),0.89)</f>
        <v>0.89</v>
      </c>
      <c r="J1332" s="57">
        <f>IFERROR(__xludf.DUMMYFUNCTION("""COMPUTED_VALUE"""),5.5)</f>
        <v>5.5</v>
      </c>
      <c r="K1332" s="57">
        <f>IFERROR(__xludf.DUMMYFUNCTION("""COMPUTED_VALUE"""),4.16)</f>
        <v>4.16</v>
      </c>
      <c r="L1332" s="54">
        <f>IFERROR(__xludf.DUMMYFUNCTION("""COMPUTED_VALUE"""),18.0)</f>
        <v>18</v>
      </c>
      <c r="M1332" s="3">
        <f>IFERROR(__xludf.DUMMYFUNCTION("""COMPUTED_VALUE"""),180.0)</f>
        <v>180</v>
      </c>
      <c r="N1332" s="3"/>
      <c r="O1332" s="3"/>
      <c r="P1332" s="3"/>
      <c r="Q1332" s="3"/>
      <c r="R1332" s="3">
        <f>IFERROR(__xludf.DUMMYFUNCTION("""COMPUTED_VALUE"""),0.0)</f>
        <v>0</v>
      </c>
      <c r="S1332" s="3"/>
      <c r="T1332" s="5"/>
      <c r="U1332" s="5"/>
      <c r="V1332" s="5"/>
      <c r="W1332" s="5"/>
    </row>
    <row r="1333" ht="15.75" customHeight="1">
      <c r="A1333" s="3">
        <f>IFERROR(__xludf.DUMMYFUNCTION("""COMPUTED_VALUE"""),1333.0)</f>
        <v>1333</v>
      </c>
      <c r="B1333" s="53">
        <f>IFERROR(__xludf.DUMMYFUNCTION("""COMPUTED_VALUE"""),45777.0)</f>
        <v>45777</v>
      </c>
      <c r="C1333" s="3">
        <f>IFERROR(__xludf.DUMMYFUNCTION("""COMPUTED_VALUE"""),90.0)</f>
        <v>90</v>
      </c>
      <c r="D1333" s="3" t="str">
        <f>IFERROR(__xludf.DUMMYFUNCTION("""COMPUTED_VALUE"""),"1f012354")</f>
        <v>1f012354</v>
      </c>
      <c r="E1333" s="54">
        <f>IFERROR(__xludf.DUMMYFUNCTION("""COMPUTED_VALUE"""),97500.0)</f>
        <v>97500</v>
      </c>
      <c r="F1333" s="3" t="str">
        <f>IFERROR(__xludf.DUMMYFUNCTION("""COMPUTED_VALUE"""),"Tinto Recarga")</f>
        <v>Tinto Recarga</v>
      </c>
      <c r="G1333" s="3"/>
      <c r="H1333" s="3"/>
      <c r="I1333" s="3"/>
      <c r="J1333" s="3"/>
      <c r="K1333" s="57">
        <f>IFERROR(__xludf.DUMMYFUNCTION("""COMPUTED_VALUE"""),3.85)</f>
        <v>3.85</v>
      </c>
      <c r="L1333" s="54">
        <f>IFERROR(__xludf.DUMMYFUNCTION("""COMPUTED_VALUE"""),37.0)</f>
        <v>37</v>
      </c>
      <c r="M1333" s="3">
        <f>IFERROR(__xludf.DUMMYFUNCTION("""COMPUTED_VALUE"""),115.0)</f>
        <v>115</v>
      </c>
      <c r="N1333" s="3"/>
      <c r="O1333" s="3"/>
      <c r="P1333" s="3"/>
      <c r="Q1333" s="3"/>
      <c r="R1333" s="3">
        <f>IFERROR(__xludf.DUMMYFUNCTION("""COMPUTED_VALUE"""),0.0)</f>
        <v>0</v>
      </c>
      <c r="S1333" s="3"/>
      <c r="T1333" s="5"/>
      <c r="U1333" s="5"/>
      <c r="V1333" s="5"/>
      <c r="W1333" s="5"/>
    </row>
    <row r="1334" ht="15.75" customHeight="1">
      <c r="A1334" s="3">
        <f>IFERROR(__xludf.DUMMYFUNCTION("""COMPUTED_VALUE"""),1334.0)</f>
        <v>1334</v>
      </c>
      <c r="B1334" s="53">
        <f>IFERROR(__xludf.DUMMYFUNCTION("""COMPUTED_VALUE"""),45777.0)</f>
        <v>45777</v>
      </c>
      <c r="C1334" s="3">
        <f>IFERROR(__xludf.DUMMYFUNCTION("""COMPUTED_VALUE"""),84.0)</f>
        <v>84</v>
      </c>
      <c r="D1334" s="3" t="str">
        <f>IFERROR(__xludf.DUMMYFUNCTION("""COMPUTED_VALUE"""),"80d02e67")</f>
        <v>80d02e67</v>
      </c>
      <c r="E1334" s="54">
        <f>IFERROR(__xludf.DUMMYFUNCTION("""COMPUTED_VALUE"""),83000.0)</f>
        <v>83000</v>
      </c>
      <c r="F1334" s="3" t="str">
        <f>IFERROR(__xludf.DUMMYFUNCTION("""COMPUTED_VALUE"""),"Tinto")</f>
        <v>Tinto</v>
      </c>
      <c r="G1334" s="3"/>
      <c r="H1334" s="3"/>
      <c r="I1334" s="3"/>
      <c r="J1334" s="3"/>
      <c r="K1334" s="57">
        <f>IFERROR(__xludf.DUMMYFUNCTION("""COMPUTED_VALUE"""),3.89)</f>
        <v>3.89</v>
      </c>
      <c r="L1334" s="54">
        <f>IFERROR(__xludf.DUMMYFUNCTION("""COMPUTED_VALUE"""),25.0)</f>
        <v>25</v>
      </c>
      <c r="M1334" s="3">
        <f>IFERROR(__xludf.DUMMYFUNCTION("""COMPUTED_VALUE"""),108.0)</f>
        <v>108</v>
      </c>
      <c r="N1334" s="3"/>
      <c r="O1334" s="3"/>
      <c r="P1334" s="3"/>
      <c r="Q1334" s="3"/>
      <c r="R1334" s="3">
        <f>IFERROR(__xludf.DUMMYFUNCTION("""COMPUTED_VALUE"""),0.0)</f>
        <v>0</v>
      </c>
      <c r="S1334" s="3"/>
      <c r="T1334" s="5"/>
      <c r="U1334" s="5"/>
      <c r="V1334" s="5"/>
      <c r="W1334" s="5"/>
    </row>
    <row r="1335" ht="15.75" customHeight="1">
      <c r="A1335" s="3">
        <f>IFERROR(__xludf.DUMMYFUNCTION("""COMPUTED_VALUE"""),1335.0)</f>
        <v>1335</v>
      </c>
      <c r="B1335" s="53">
        <f>IFERROR(__xludf.DUMMYFUNCTION("""COMPUTED_VALUE"""),45777.0)</f>
        <v>45777</v>
      </c>
      <c r="C1335" s="3">
        <f>IFERROR(__xludf.DUMMYFUNCTION("""COMPUTED_VALUE"""),88.0)</f>
        <v>88</v>
      </c>
      <c r="D1335" s="3" t="str">
        <f>IFERROR(__xludf.DUMMYFUNCTION("""COMPUTED_VALUE"""),"3030acaa")</f>
        <v>3030acaa</v>
      </c>
      <c r="E1335" s="54">
        <f>IFERROR(__xludf.DUMMYFUNCTION("""COMPUTED_VALUE"""),78900.0)</f>
        <v>78900</v>
      </c>
      <c r="F1335" s="3" t="str">
        <f>IFERROR(__xludf.DUMMYFUNCTION("""COMPUTED_VALUE"""),"Tinto")</f>
        <v>Tinto</v>
      </c>
      <c r="G1335" s="3"/>
      <c r="H1335" s="3"/>
      <c r="I1335" s="3"/>
      <c r="J1335" s="3"/>
      <c r="K1335" s="57">
        <f>IFERROR(__xludf.DUMMYFUNCTION("""COMPUTED_VALUE"""),3.88)</f>
        <v>3.88</v>
      </c>
      <c r="L1335" s="54">
        <f>IFERROR(__xludf.DUMMYFUNCTION("""COMPUTED_VALUE"""),26.0)</f>
        <v>26</v>
      </c>
      <c r="M1335" s="3">
        <f>IFERROR(__xludf.DUMMYFUNCTION("""COMPUTED_VALUE"""),115.0)</f>
        <v>115</v>
      </c>
      <c r="N1335" s="3"/>
      <c r="O1335" s="3"/>
      <c r="P1335" s="3"/>
      <c r="Q1335" s="3"/>
      <c r="R1335" s="3">
        <f>IFERROR(__xludf.DUMMYFUNCTION("""COMPUTED_VALUE"""),0.0)</f>
        <v>0</v>
      </c>
      <c r="S1335" s="3"/>
      <c r="T1335" s="5"/>
      <c r="U1335" s="5"/>
      <c r="V1335" s="5"/>
      <c r="W1335" s="5"/>
    </row>
    <row r="1336" ht="15.75" customHeight="1">
      <c r="A1336" s="3">
        <f>IFERROR(__xludf.DUMMYFUNCTION("""COMPUTED_VALUE"""),1336.0)</f>
        <v>1336</v>
      </c>
      <c r="B1336" s="53">
        <f>IFERROR(__xludf.DUMMYFUNCTION("""COMPUTED_VALUE"""),45777.0)</f>
        <v>45777</v>
      </c>
      <c r="C1336" s="3">
        <f>IFERROR(__xludf.DUMMYFUNCTION("""COMPUTED_VALUE"""),116.0)</f>
        <v>116</v>
      </c>
      <c r="D1336" s="3" t="str">
        <f>IFERROR(__xludf.DUMMYFUNCTION("""COMPUTED_VALUE"""),"7a999708")</f>
        <v>7a999708</v>
      </c>
      <c r="E1336" s="54">
        <f>IFERROR(__xludf.DUMMYFUNCTION("""COMPUTED_VALUE"""),99600.0)</f>
        <v>99600</v>
      </c>
      <c r="F1336" s="3" t="str">
        <f>IFERROR(__xludf.DUMMYFUNCTION("""COMPUTED_VALUE"""),"Bonarda")</f>
        <v>Bonarda</v>
      </c>
      <c r="G1336" s="3"/>
      <c r="H1336" s="3"/>
      <c r="I1336" s="3"/>
      <c r="J1336" s="3"/>
      <c r="K1336" s="57">
        <f>IFERROR(__xludf.DUMMYFUNCTION("""COMPUTED_VALUE"""),3.82)</f>
        <v>3.82</v>
      </c>
      <c r="L1336" s="54">
        <f>IFERROR(__xludf.DUMMYFUNCTION("""COMPUTED_VALUE"""),41.0)</f>
        <v>41</v>
      </c>
      <c r="M1336" s="3">
        <f>IFERROR(__xludf.DUMMYFUNCTION("""COMPUTED_VALUE"""),102.0)</f>
        <v>102</v>
      </c>
      <c r="N1336" s="3"/>
      <c r="O1336" s="3"/>
      <c r="P1336" s="3"/>
      <c r="Q1336" s="3"/>
      <c r="R1336" s="3">
        <f>IFERROR(__xludf.DUMMYFUNCTION("""COMPUTED_VALUE"""),0.0)</f>
        <v>0</v>
      </c>
      <c r="S1336" s="3"/>
      <c r="T1336" s="5"/>
      <c r="U1336" s="5"/>
      <c r="V1336" s="5"/>
      <c r="W1336" s="5"/>
    </row>
    <row r="1337" ht="15.75" customHeight="1">
      <c r="A1337" s="3">
        <f>IFERROR(__xludf.DUMMYFUNCTION("""COMPUTED_VALUE"""),1337.0)</f>
        <v>1337</v>
      </c>
      <c r="B1337" s="53">
        <f>IFERROR(__xludf.DUMMYFUNCTION("""COMPUTED_VALUE"""),45777.0)</f>
        <v>45777</v>
      </c>
      <c r="C1337" s="3">
        <f>IFERROR(__xludf.DUMMYFUNCTION("""COMPUTED_VALUE"""),11.0)</f>
        <v>11</v>
      </c>
      <c r="D1337" s="3" t="str">
        <f>IFERROR(__xludf.DUMMYFUNCTION("""COMPUTED_VALUE"""),"c1d9bfc2")</f>
        <v>c1d9bfc2</v>
      </c>
      <c r="E1337" s="54">
        <f>IFERROR(__xludf.DUMMYFUNCTION("""COMPUTED_VALUE"""),9800.0)</f>
        <v>9800</v>
      </c>
      <c r="F1337" s="3" t="str">
        <f>IFERROR(__xludf.DUMMYFUNCTION("""COMPUTED_VALUE"""),"Claro de filtro")</f>
        <v>Claro de filtro</v>
      </c>
      <c r="G1337" s="3"/>
      <c r="H1337" s="3"/>
      <c r="I1337" s="3"/>
      <c r="J1337" s="3"/>
      <c r="K1337" s="57">
        <f>IFERROR(__xludf.DUMMYFUNCTION("""COMPUTED_VALUE"""),3.91)</f>
        <v>3.91</v>
      </c>
      <c r="L1337" s="54">
        <f>IFERROR(__xludf.DUMMYFUNCTION("""COMPUTED_VALUE"""),50.0)</f>
        <v>50</v>
      </c>
      <c r="M1337" s="3">
        <f>IFERROR(__xludf.DUMMYFUNCTION("""COMPUTED_VALUE"""),144.0)</f>
        <v>144</v>
      </c>
      <c r="N1337" s="3"/>
      <c r="O1337" s="3"/>
      <c r="P1337" s="3"/>
      <c r="Q1337" s="3"/>
      <c r="R1337" s="3">
        <f>IFERROR(__xludf.DUMMYFUNCTION("""COMPUTED_VALUE"""),0.0)</f>
        <v>0</v>
      </c>
      <c r="S1337" s="3"/>
      <c r="T1337" s="5"/>
      <c r="U1337" s="5"/>
      <c r="V1337" s="5"/>
      <c r="W1337" s="5"/>
    </row>
    <row r="1338" ht="15.75" customHeight="1">
      <c r="A1338" s="3">
        <f>IFERROR(__xludf.DUMMYFUNCTION("""COMPUTED_VALUE"""),1338.0)</f>
        <v>1338</v>
      </c>
      <c r="B1338" s="53">
        <f>IFERROR(__xludf.DUMMYFUNCTION("""COMPUTED_VALUE"""),45777.0)</f>
        <v>45777</v>
      </c>
      <c r="C1338" s="3">
        <f>IFERROR(__xludf.DUMMYFUNCTION("""COMPUTED_VALUE"""),82.0)</f>
        <v>82</v>
      </c>
      <c r="D1338" s="3" t="str">
        <f>IFERROR(__xludf.DUMMYFUNCTION("""COMPUTED_VALUE"""),"20f062e7")</f>
        <v>20f062e7</v>
      </c>
      <c r="E1338" s="54">
        <f>IFERROR(__xludf.DUMMYFUNCTION("""COMPUTED_VALUE"""),41000.0)</f>
        <v>41000</v>
      </c>
      <c r="F1338" s="3" t="str">
        <f>IFERROR(__xludf.DUMMYFUNCTION("""COMPUTED_VALUE"""),"Anccelotta")</f>
        <v>Anccelotta</v>
      </c>
      <c r="G1338" s="3"/>
      <c r="H1338" s="3"/>
      <c r="I1338" s="3"/>
      <c r="J1338" s="3"/>
      <c r="K1338" s="57">
        <f>IFERROR(__xludf.DUMMYFUNCTION("""COMPUTED_VALUE"""),3.82)</f>
        <v>3.82</v>
      </c>
      <c r="L1338" s="54">
        <f>IFERROR(__xludf.DUMMYFUNCTION("""COMPUTED_VALUE"""),38.0)</f>
        <v>38</v>
      </c>
      <c r="M1338" s="3">
        <f>IFERROR(__xludf.DUMMYFUNCTION("""COMPUTED_VALUE"""),77.0)</f>
        <v>77</v>
      </c>
      <c r="N1338" s="3"/>
      <c r="O1338" s="3"/>
      <c r="P1338" s="3"/>
      <c r="Q1338" s="3"/>
      <c r="R1338" s="3">
        <f>IFERROR(__xludf.DUMMYFUNCTION("""COMPUTED_VALUE"""),0.0)</f>
        <v>0</v>
      </c>
      <c r="S1338" s="3"/>
      <c r="T1338" s="5"/>
      <c r="U1338" s="5"/>
      <c r="V1338" s="5"/>
      <c r="W1338" s="5"/>
    </row>
    <row r="1339" ht="15.75" customHeight="1">
      <c r="A1339" s="3">
        <f>IFERROR(__xludf.DUMMYFUNCTION("""COMPUTED_VALUE"""),1339.0)</f>
        <v>1339</v>
      </c>
      <c r="B1339" s="53">
        <f>IFERROR(__xludf.DUMMYFUNCTION("""COMPUTED_VALUE"""),45777.0)</f>
        <v>45777</v>
      </c>
      <c r="C1339" s="3">
        <f>IFERROR(__xludf.DUMMYFUNCTION("""COMPUTED_VALUE"""),79.0)</f>
        <v>79</v>
      </c>
      <c r="D1339" s="3" t="str">
        <f>IFERROR(__xludf.DUMMYFUNCTION("""COMPUTED_VALUE"""),"0f749555")</f>
        <v>0f749555</v>
      </c>
      <c r="E1339" s="54">
        <f>IFERROR(__xludf.DUMMYFUNCTION("""COMPUTED_VALUE"""),14800.0)</f>
        <v>14800</v>
      </c>
      <c r="F1339" s="3" t="str">
        <f>IFERROR(__xludf.DUMMYFUNCTION("""COMPUTED_VALUE"""),"Tinto s/Bonarda")</f>
        <v>Tinto s/Bonarda</v>
      </c>
      <c r="G1339" s="3"/>
      <c r="H1339" s="3"/>
      <c r="I1339" s="3"/>
      <c r="J1339" s="3"/>
      <c r="K1339" s="57">
        <f>IFERROR(__xludf.DUMMYFUNCTION("""COMPUTED_VALUE"""),3.84)</f>
        <v>3.84</v>
      </c>
      <c r="L1339" s="54">
        <f>IFERROR(__xludf.DUMMYFUNCTION("""COMPUTED_VALUE"""),12.0)</f>
        <v>12</v>
      </c>
      <c r="M1339" s="3">
        <f>IFERROR(__xludf.DUMMYFUNCTION("""COMPUTED_VALUE"""),102.0)</f>
        <v>102</v>
      </c>
      <c r="N1339" s="3"/>
      <c r="O1339" s="3"/>
      <c r="P1339" s="3"/>
      <c r="Q1339" s="3"/>
      <c r="R1339" s="3">
        <f>IFERROR(__xludf.DUMMYFUNCTION("""COMPUTED_VALUE"""),0.0)</f>
        <v>0</v>
      </c>
      <c r="S1339" s="3"/>
      <c r="T1339" s="5"/>
      <c r="U1339" s="5"/>
      <c r="V1339" s="5"/>
      <c r="W1339" s="5"/>
    </row>
    <row r="1340" ht="15.75" customHeight="1">
      <c r="A1340" s="3">
        <f>IFERROR(__xludf.DUMMYFUNCTION("""COMPUTED_VALUE"""),1340.0)</f>
        <v>1340</v>
      </c>
      <c r="B1340" s="53">
        <f>IFERROR(__xludf.DUMMYFUNCTION("""COMPUTED_VALUE"""),45777.0)</f>
        <v>45777</v>
      </c>
      <c r="C1340" s="3">
        <f>IFERROR(__xludf.DUMMYFUNCTION("""COMPUTED_VALUE"""),80.0)</f>
        <v>80</v>
      </c>
      <c r="D1340" s="3" t="str">
        <f>IFERROR(__xludf.DUMMYFUNCTION("""COMPUTED_VALUE"""),"31f824a6")</f>
        <v>31f824a6</v>
      </c>
      <c r="E1340" s="54">
        <f>IFERROR(__xludf.DUMMYFUNCTION("""COMPUTED_VALUE"""),26100.0)</f>
        <v>26100</v>
      </c>
      <c r="F1340" s="3" t="str">
        <f>IFERROR(__xludf.DUMMYFUNCTION("""COMPUTED_VALUE"""),"Cabernet Sauvignon prensa")</f>
        <v>Cabernet Sauvignon prensa</v>
      </c>
      <c r="G1340" s="3"/>
      <c r="H1340" s="3"/>
      <c r="I1340" s="3"/>
      <c r="J1340" s="3"/>
      <c r="K1340" s="57">
        <f>IFERROR(__xludf.DUMMYFUNCTION("""COMPUTED_VALUE"""),3.83)</f>
        <v>3.83</v>
      </c>
      <c r="L1340" s="54">
        <f>IFERROR(__xludf.DUMMYFUNCTION("""COMPUTED_VALUE"""),12.0)</f>
        <v>12</v>
      </c>
      <c r="M1340" s="3">
        <f>IFERROR(__xludf.DUMMYFUNCTION("""COMPUTED_VALUE"""),96.0)</f>
        <v>96</v>
      </c>
      <c r="N1340" s="3"/>
      <c r="O1340" s="3"/>
      <c r="P1340" s="3"/>
      <c r="Q1340" s="3"/>
      <c r="R1340" s="3">
        <f>IFERROR(__xludf.DUMMYFUNCTION("""COMPUTED_VALUE"""),0.0)</f>
        <v>0</v>
      </c>
      <c r="S1340" s="3"/>
      <c r="T1340" s="5"/>
      <c r="U1340" s="5"/>
      <c r="V1340" s="5"/>
      <c r="W1340" s="5"/>
    </row>
    <row r="1341" ht="15.75" customHeight="1">
      <c r="A1341" s="3">
        <f>IFERROR(__xludf.DUMMYFUNCTION("""COMPUTED_VALUE"""),1341.0)</f>
        <v>1341</v>
      </c>
      <c r="B1341" s="53">
        <f>IFERROR(__xludf.DUMMYFUNCTION("""COMPUTED_VALUE"""),45777.0)</f>
        <v>45777</v>
      </c>
      <c r="C1341" s="3">
        <f>IFERROR(__xludf.DUMMYFUNCTION("""COMPUTED_VALUE"""),83.0)</f>
        <v>83</v>
      </c>
      <c r="D1341" s="3" t="str">
        <f>IFERROR(__xludf.DUMMYFUNCTION("""COMPUTED_VALUE"""),"7fce2b75")</f>
        <v>7fce2b75</v>
      </c>
      <c r="E1341" s="54">
        <f>IFERROR(__xludf.DUMMYFUNCTION("""COMPUTED_VALUE"""),81500.0)</f>
        <v>81500</v>
      </c>
      <c r="F1341" s="3" t="str">
        <f>IFERROR(__xludf.DUMMYFUNCTION("""COMPUTED_VALUE"""),"Tinto")</f>
        <v>Tinto</v>
      </c>
      <c r="G1341" s="3"/>
      <c r="H1341" s="3"/>
      <c r="I1341" s="3"/>
      <c r="J1341" s="3"/>
      <c r="K1341" s="57">
        <f>IFERROR(__xludf.DUMMYFUNCTION("""COMPUTED_VALUE"""),3.84)</f>
        <v>3.84</v>
      </c>
      <c r="L1341" s="54">
        <f>IFERROR(__xludf.DUMMYFUNCTION("""COMPUTED_VALUE"""),12.0)</f>
        <v>12</v>
      </c>
      <c r="M1341" s="3">
        <f>IFERROR(__xludf.DUMMYFUNCTION("""COMPUTED_VALUE"""),61.0)</f>
        <v>61</v>
      </c>
      <c r="N1341" s="3"/>
      <c r="O1341" s="3"/>
      <c r="P1341" s="3"/>
      <c r="Q1341" s="3"/>
      <c r="R1341" s="3">
        <f>IFERROR(__xludf.DUMMYFUNCTION("""COMPUTED_VALUE"""),0.0)</f>
        <v>0</v>
      </c>
      <c r="S1341" s="3"/>
      <c r="T1341" s="5"/>
      <c r="U1341" s="5"/>
      <c r="V1341" s="5"/>
      <c r="W1341" s="5"/>
    </row>
    <row r="1342" ht="15.75" customHeight="1">
      <c r="A1342" s="3">
        <f>IFERROR(__xludf.DUMMYFUNCTION("""COMPUTED_VALUE"""),1342.0)</f>
        <v>1342</v>
      </c>
      <c r="B1342" s="53">
        <f>IFERROR(__xludf.DUMMYFUNCTION("""COMPUTED_VALUE"""),45777.0)</f>
        <v>45777</v>
      </c>
      <c r="C1342" s="3">
        <f>IFERROR(__xludf.DUMMYFUNCTION("""COMPUTED_VALUE"""),95.0)</f>
        <v>95</v>
      </c>
      <c r="D1342" s="3" t="str">
        <f>IFERROR(__xludf.DUMMYFUNCTION("""COMPUTED_VALUE"""),"e8b9aa9f")</f>
        <v>e8b9aa9f</v>
      </c>
      <c r="E1342" s="54">
        <f>IFERROR(__xludf.DUMMYFUNCTION("""COMPUTED_VALUE"""),77100.0)</f>
        <v>77100</v>
      </c>
      <c r="F1342" s="3" t="str">
        <f>IFERROR(__xludf.DUMMYFUNCTION("""COMPUTED_VALUE"""),"Tinto s/Bonarda 2da")</f>
        <v>Tinto s/Bonarda 2da</v>
      </c>
      <c r="G1342" s="3"/>
      <c r="H1342" s="3"/>
      <c r="I1342" s="3"/>
      <c r="J1342" s="3"/>
      <c r="K1342" s="57">
        <f>IFERROR(__xludf.DUMMYFUNCTION("""COMPUTED_VALUE"""),3.85)</f>
        <v>3.85</v>
      </c>
      <c r="L1342" s="54">
        <f>IFERROR(__xludf.DUMMYFUNCTION("""COMPUTED_VALUE"""),12.0)</f>
        <v>12</v>
      </c>
      <c r="M1342" s="3">
        <f>IFERROR(__xludf.DUMMYFUNCTION("""COMPUTED_VALUE"""),73.0)</f>
        <v>73</v>
      </c>
      <c r="N1342" s="3"/>
      <c r="O1342" s="3"/>
      <c r="P1342" s="3"/>
      <c r="Q1342" s="3"/>
      <c r="R1342" s="3">
        <f>IFERROR(__xludf.DUMMYFUNCTION("""COMPUTED_VALUE"""),0.0)</f>
        <v>0</v>
      </c>
      <c r="S1342" s="3"/>
      <c r="T1342" s="5"/>
      <c r="U1342" s="5"/>
      <c r="V1342" s="5"/>
      <c r="W1342" s="5"/>
    </row>
    <row r="1343" ht="15.75" customHeight="1">
      <c r="A1343" s="3">
        <f>IFERROR(__xludf.DUMMYFUNCTION("""COMPUTED_VALUE"""),1343.0)</f>
        <v>1343</v>
      </c>
      <c r="B1343" s="53">
        <f>IFERROR(__xludf.DUMMYFUNCTION("""COMPUTED_VALUE"""),45777.0)</f>
        <v>45777</v>
      </c>
      <c r="C1343" s="3">
        <f>IFERROR(__xludf.DUMMYFUNCTION("""COMPUTED_VALUE"""),96.0)</f>
        <v>96</v>
      </c>
      <c r="D1343" s="3" t="str">
        <f>IFERROR(__xludf.DUMMYFUNCTION("""COMPUTED_VALUE"""),"cf107ae5")</f>
        <v>cf107ae5</v>
      </c>
      <c r="E1343" s="54">
        <f>IFERROR(__xludf.DUMMYFUNCTION("""COMPUTED_VALUE"""),85600.0)</f>
        <v>85600</v>
      </c>
      <c r="F1343" s="3" t="str">
        <f>IFERROR(__xludf.DUMMYFUNCTION("""COMPUTED_VALUE"""),"Tinto")</f>
        <v>Tinto</v>
      </c>
      <c r="G1343" s="3"/>
      <c r="H1343" s="3"/>
      <c r="I1343" s="3"/>
      <c r="J1343" s="3"/>
      <c r="K1343" s="57">
        <f>IFERROR(__xludf.DUMMYFUNCTION("""COMPUTED_VALUE"""),3.85)</f>
        <v>3.85</v>
      </c>
      <c r="L1343" s="54">
        <f>IFERROR(__xludf.DUMMYFUNCTION("""COMPUTED_VALUE"""),9.0)</f>
        <v>9</v>
      </c>
      <c r="M1343" s="3">
        <f>IFERROR(__xludf.DUMMYFUNCTION("""COMPUTED_VALUE"""),79.0)</f>
        <v>79</v>
      </c>
      <c r="N1343" s="3"/>
      <c r="O1343" s="3"/>
      <c r="P1343" s="3"/>
      <c r="Q1343" s="3"/>
      <c r="R1343" s="3">
        <f>IFERROR(__xludf.DUMMYFUNCTION("""COMPUTED_VALUE"""),0.0)</f>
        <v>0</v>
      </c>
      <c r="S1343" s="3"/>
      <c r="T1343" s="5"/>
      <c r="U1343" s="5"/>
      <c r="V1343" s="5"/>
      <c r="W1343" s="5"/>
    </row>
    <row r="1344" ht="15.75" customHeight="1">
      <c r="A1344" s="3">
        <f>IFERROR(__xludf.DUMMYFUNCTION("""COMPUTED_VALUE"""),1344.0)</f>
        <v>1344</v>
      </c>
      <c r="B1344" s="53">
        <f>IFERROR(__xludf.DUMMYFUNCTION("""COMPUTED_VALUE"""),45777.0)</f>
        <v>45777</v>
      </c>
      <c r="C1344" s="3">
        <f>IFERROR(__xludf.DUMMYFUNCTION("""COMPUTED_VALUE"""),111.0)</f>
        <v>111</v>
      </c>
      <c r="D1344" s="3" t="str">
        <f>IFERROR(__xludf.DUMMYFUNCTION("""COMPUTED_VALUE"""),"3f3e8ee6")</f>
        <v>3f3e8ee6</v>
      </c>
      <c r="E1344" s="54">
        <f>IFERROR(__xludf.DUMMYFUNCTION("""COMPUTED_VALUE"""),4000.0)</f>
        <v>4000</v>
      </c>
      <c r="F1344" s="3" t="str">
        <f>IFERROR(__xludf.DUMMYFUNCTION("""COMPUTED_VALUE"""),"Malbec Magneta")</f>
        <v>Malbec Magneta</v>
      </c>
      <c r="G1344" s="3"/>
      <c r="H1344" s="3"/>
      <c r="I1344" s="3"/>
      <c r="J1344" s="3"/>
      <c r="K1344" s="57">
        <f>IFERROR(__xludf.DUMMYFUNCTION("""COMPUTED_VALUE"""),3.82)</f>
        <v>3.82</v>
      </c>
      <c r="L1344" s="54">
        <f>IFERROR(__xludf.DUMMYFUNCTION("""COMPUTED_VALUE"""),35.0)</f>
        <v>35</v>
      </c>
      <c r="M1344" s="3">
        <f>IFERROR(__xludf.DUMMYFUNCTION("""COMPUTED_VALUE"""),125.0)</f>
        <v>125</v>
      </c>
      <c r="N1344" s="3"/>
      <c r="O1344" s="3"/>
      <c r="P1344" s="3"/>
      <c r="Q1344" s="3"/>
      <c r="R1344" s="3">
        <f>IFERROR(__xludf.DUMMYFUNCTION("""COMPUTED_VALUE"""),0.0)</f>
        <v>0</v>
      </c>
      <c r="S1344" s="3"/>
      <c r="T1344" s="5"/>
      <c r="U1344" s="5"/>
      <c r="V1344" s="5"/>
      <c r="W1344" s="5"/>
    </row>
    <row r="1345" ht="15.75" customHeight="1">
      <c r="A1345" s="3">
        <f>IFERROR(__xludf.DUMMYFUNCTION("""COMPUTED_VALUE"""),1345.0)</f>
        <v>1345</v>
      </c>
      <c r="B1345" s="53">
        <f>IFERROR(__xludf.DUMMYFUNCTION("""COMPUTED_VALUE"""),45779.0)</f>
        <v>45779</v>
      </c>
      <c r="C1345" s="3">
        <f>IFERROR(__xludf.DUMMYFUNCTION("""COMPUTED_VALUE"""),14.0)</f>
        <v>14</v>
      </c>
      <c r="D1345" s="3" t="str">
        <f>IFERROR(__xludf.DUMMYFUNCTION("""COMPUTED_VALUE"""),"3640d88c")</f>
        <v>3640d88c</v>
      </c>
      <c r="E1345" s="54">
        <f>IFERROR(__xludf.DUMMYFUNCTION("""COMPUTED_VALUE"""),37000.0)</f>
        <v>37000</v>
      </c>
      <c r="F1345" s="3" t="str">
        <f>IFERROR(__xludf.DUMMYFUNCTION("""COMPUTED_VALUE"""),"Malbec Mec")</f>
        <v>Malbec Mec</v>
      </c>
      <c r="G1345" s="3"/>
      <c r="H1345" s="3"/>
      <c r="I1345" s="3"/>
      <c r="J1345" s="3"/>
      <c r="K1345" s="3"/>
      <c r="L1345" s="3"/>
      <c r="M1345" s="3"/>
      <c r="N1345" s="3"/>
      <c r="O1345" s="3"/>
      <c r="P1345" s="3"/>
      <c r="Q1345" s="3"/>
      <c r="R1345" s="3">
        <f>IFERROR(__xludf.DUMMYFUNCTION("""COMPUTED_VALUE"""),0.0)</f>
        <v>0</v>
      </c>
      <c r="S1345" s="3"/>
      <c r="T1345" s="5"/>
      <c r="U1345" s="5"/>
      <c r="V1345" s="5"/>
      <c r="W1345" s="5"/>
    </row>
    <row r="1346" ht="15.75" customHeight="1">
      <c r="A1346" s="3">
        <f>IFERROR(__xludf.DUMMYFUNCTION("""COMPUTED_VALUE"""),1346.0)</f>
        <v>1346</v>
      </c>
      <c r="B1346" s="3"/>
      <c r="C1346" s="3">
        <f>IFERROR(__xludf.DUMMYFUNCTION("""COMPUTED_VALUE"""),15.0)</f>
        <v>15</v>
      </c>
      <c r="D1346" s="3" t="str">
        <f>IFERROR(__xludf.DUMMYFUNCTION("""COMPUTED_VALUE"""),"f764d2d1")</f>
        <v>f764d2d1</v>
      </c>
      <c r="E1346" s="54">
        <f>IFERROR(__xludf.DUMMYFUNCTION("""COMPUTED_VALUE"""),36500.0)</f>
        <v>36500</v>
      </c>
      <c r="F1346" s="3" t="str">
        <f>IFERROR(__xludf.DUMMYFUNCTION("""COMPUTED_VALUE"""),"Malbec")</f>
        <v>Malbec</v>
      </c>
      <c r="G1346" s="3"/>
      <c r="H1346" s="3"/>
      <c r="I1346" s="3"/>
      <c r="J1346" s="3"/>
      <c r="K1346" s="3"/>
      <c r="L1346" s="3"/>
      <c r="M1346" s="3"/>
      <c r="N1346" s="3"/>
      <c r="O1346" s="3"/>
      <c r="P1346" s="3"/>
      <c r="Q1346" s="3"/>
      <c r="R1346" s="3">
        <f>IFERROR(__xludf.DUMMYFUNCTION("""COMPUTED_VALUE"""),0.0)</f>
        <v>0</v>
      </c>
      <c r="S1346" s="3"/>
      <c r="T1346" s="5"/>
      <c r="U1346" s="5"/>
      <c r="V1346" s="5"/>
      <c r="W1346" s="5"/>
    </row>
    <row r="1347" ht="15.75" customHeight="1">
      <c r="A1347" s="3">
        <f>IFERROR(__xludf.DUMMYFUNCTION("""COMPUTED_VALUE"""),1347.0)</f>
        <v>1347</v>
      </c>
      <c r="B1347" s="3"/>
      <c r="C1347" s="3">
        <f>IFERROR(__xludf.DUMMYFUNCTION("""COMPUTED_VALUE"""),28.0)</f>
        <v>28</v>
      </c>
      <c r="D1347" s="3" t="str">
        <f>IFERROR(__xludf.DUMMYFUNCTION("""COMPUTED_VALUE"""),"dc3a84e1")</f>
        <v>dc3a84e1</v>
      </c>
      <c r="E1347" s="54">
        <f>IFERROR(__xludf.DUMMYFUNCTION("""COMPUTED_VALUE"""),174700.0)</f>
        <v>174700</v>
      </c>
      <c r="F1347" s="3" t="str">
        <f>IFERROR(__xludf.DUMMYFUNCTION("""COMPUTED_VALUE"""),"Bonarda")</f>
        <v>Bonarda</v>
      </c>
      <c r="G1347" s="3"/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>
        <f>IFERROR(__xludf.DUMMYFUNCTION("""COMPUTED_VALUE"""),0.0)</f>
        <v>0</v>
      </c>
      <c r="S1347" s="3"/>
      <c r="T1347" s="5"/>
      <c r="U1347" s="5"/>
      <c r="V1347" s="5"/>
      <c r="W1347" s="5"/>
    </row>
    <row r="1348" ht="15.75" customHeight="1">
      <c r="A1348" s="3">
        <f>IFERROR(__xludf.DUMMYFUNCTION("""COMPUTED_VALUE"""),1348.0)</f>
        <v>1348</v>
      </c>
      <c r="B1348" s="3"/>
      <c r="C1348" s="3">
        <f>IFERROR(__xludf.DUMMYFUNCTION("""COMPUTED_VALUE"""),33.0)</f>
        <v>33</v>
      </c>
      <c r="D1348" s="3" t="str">
        <f>IFERROR(__xludf.DUMMYFUNCTION("""COMPUTED_VALUE"""),"7def2139")</f>
        <v>7def2139</v>
      </c>
      <c r="E1348" s="54">
        <f>IFERROR(__xludf.DUMMYFUNCTION("""COMPUTED_VALUE"""),25300.0)</f>
        <v>25300</v>
      </c>
      <c r="F1348" s="3" t="str">
        <f>IFERROR(__xludf.DUMMYFUNCTION("""COMPUTED_VALUE"""),"Chardonnay")</f>
        <v>Chardonnay</v>
      </c>
      <c r="G1348" s="3"/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>
        <f>IFERROR(__xludf.DUMMYFUNCTION("""COMPUTED_VALUE"""),0.0)</f>
        <v>0</v>
      </c>
      <c r="S1348" s="3"/>
      <c r="T1348" s="5"/>
      <c r="U1348" s="5"/>
      <c r="V1348" s="5"/>
      <c r="W1348" s="5"/>
    </row>
    <row r="1349" ht="15.75" customHeight="1">
      <c r="A1349" s="3">
        <f>IFERROR(__xludf.DUMMYFUNCTION("""COMPUTED_VALUE"""),1349.0)</f>
        <v>1349</v>
      </c>
      <c r="B1349" s="3"/>
      <c r="C1349" s="3">
        <f>IFERROR(__xludf.DUMMYFUNCTION("""COMPUTED_VALUE"""),34.0)</f>
        <v>34</v>
      </c>
      <c r="D1349" s="3" t="str">
        <f>IFERROR(__xludf.DUMMYFUNCTION("""COMPUTED_VALUE"""),"7b6b2c2a")</f>
        <v>7b6b2c2a</v>
      </c>
      <c r="E1349" s="54">
        <f>IFERROR(__xludf.DUMMYFUNCTION("""COMPUTED_VALUE"""),37150.0)</f>
        <v>37150</v>
      </c>
      <c r="F1349" s="3" t="str">
        <f>IFERROR(__xludf.DUMMYFUNCTION("""COMPUTED_VALUE"""),"Bonarda")</f>
        <v>Bonarda</v>
      </c>
      <c r="G1349" s="3"/>
      <c r="H1349" s="3"/>
      <c r="I1349" s="3"/>
      <c r="J1349" s="3"/>
      <c r="K1349" s="3"/>
      <c r="L1349" s="3"/>
      <c r="M1349" s="3"/>
      <c r="N1349" s="3"/>
      <c r="O1349" s="3"/>
      <c r="P1349" s="3"/>
      <c r="Q1349" s="3"/>
      <c r="R1349" s="3">
        <f>IFERROR(__xludf.DUMMYFUNCTION("""COMPUTED_VALUE"""),0.0)</f>
        <v>0</v>
      </c>
      <c r="S1349" s="3"/>
      <c r="T1349" s="5"/>
      <c r="U1349" s="5"/>
      <c r="V1349" s="5"/>
      <c r="W1349" s="5"/>
    </row>
    <row r="1350" ht="15.75" customHeight="1">
      <c r="A1350" s="3">
        <f>IFERROR(__xludf.DUMMYFUNCTION("""COMPUTED_VALUE"""),1350.0)</f>
        <v>1350</v>
      </c>
      <c r="B1350" s="3"/>
      <c r="C1350" s="3">
        <f>IFERROR(__xludf.DUMMYFUNCTION("""COMPUTED_VALUE"""),35.0)</f>
        <v>35</v>
      </c>
      <c r="D1350" s="3" t="str">
        <f>IFERROR(__xludf.DUMMYFUNCTION("""COMPUTED_VALUE"""),"e954d719")</f>
        <v>e954d719</v>
      </c>
      <c r="E1350" s="54">
        <f>IFERROR(__xludf.DUMMYFUNCTION("""COMPUTED_VALUE"""),39300.0)</f>
        <v>39300</v>
      </c>
      <c r="F1350" s="3" t="str">
        <f>IFERROR(__xludf.DUMMYFUNCTION("""COMPUTED_VALUE"""),"Aspirant")</f>
        <v>Aspirant</v>
      </c>
      <c r="G1350" s="3"/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>
        <f>IFERROR(__xludf.DUMMYFUNCTION("""COMPUTED_VALUE"""),0.0)</f>
        <v>0</v>
      </c>
      <c r="S1350" s="3"/>
      <c r="T1350" s="5"/>
      <c r="U1350" s="5"/>
      <c r="V1350" s="5"/>
      <c r="W1350" s="5"/>
    </row>
    <row r="1351" ht="15.75" customHeight="1">
      <c r="A1351" s="3">
        <f>IFERROR(__xludf.DUMMYFUNCTION("""COMPUTED_VALUE"""),1351.0)</f>
        <v>1351</v>
      </c>
      <c r="B1351" s="3"/>
      <c r="C1351" s="3">
        <f>IFERROR(__xludf.DUMMYFUNCTION("""COMPUTED_VALUE"""),41.0)</f>
        <v>41</v>
      </c>
      <c r="D1351" s="3" t="str">
        <f>IFERROR(__xludf.DUMMYFUNCTION("""COMPUTED_VALUE"""),"65ce6f3f")</f>
        <v>65ce6f3f</v>
      </c>
      <c r="E1351" s="54">
        <f>IFERROR(__xludf.DUMMYFUNCTION("""COMPUTED_VALUE"""),35100.0)</f>
        <v>35100</v>
      </c>
      <c r="F1351" s="3" t="str">
        <f>IFERROR(__xludf.DUMMYFUNCTION("""COMPUTED_VALUE"""),"Malbec")</f>
        <v>Malbec</v>
      </c>
      <c r="G1351" s="3"/>
      <c r="H1351" s="3"/>
      <c r="I1351" s="3"/>
      <c r="J1351" s="3"/>
      <c r="K1351" s="3"/>
      <c r="L1351" s="3"/>
      <c r="M1351" s="3"/>
      <c r="N1351" s="3"/>
      <c r="O1351" s="3"/>
      <c r="P1351" s="3"/>
      <c r="Q1351" s="3"/>
      <c r="R1351" s="3">
        <f>IFERROR(__xludf.DUMMYFUNCTION("""COMPUTED_VALUE"""),0.0)</f>
        <v>0</v>
      </c>
      <c r="S1351" s="3"/>
      <c r="T1351" s="5"/>
      <c r="U1351" s="5"/>
      <c r="V1351" s="5"/>
      <c r="W1351" s="5"/>
    </row>
    <row r="1352" ht="15.75" customHeight="1">
      <c r="A1352" s="3">
        <f>IFERROR(__xludf.DUMMYFUNCTION("""COMPUTED_VALUE"""),1352.0)</f>
        <v>1352</v>
      </c>
      <c r="B1352" s="3"/>
      <c r="C1352" s="3">
        <f>IFERROR(__xludf.DUMMYFUNCTION("""COMPUTED_VALUE"""),53.0)</f>
        <v>53</v>
      </c>
      <c r="D1352" s="3" t="str">
        <f>IFERROR(__xludf.DUMMYFUNCTION("""COMPUTED_VALUE"""),"5433281e")</f>
        <v>5433281e</v>
      </c>
      <c r="E1352" s="54">
        <f>IFERROR(__xludf.DUMMYFUNCTION("""COMPUTED_VALUE"""),22000.0)</f>
        <v>22000</v>
      </c>
      <c r="F1352" s="3" t="str">
        <f>IFERROR(__xludf.DUMMYFUNCTION("""COMPUTED_VALUE"""),"Syrah")</f>
        <v>Syrah</v>
      </c>
      <c r="G1352" s="3"/>
      <c r="H1352" s="3"/>
      <c r="I1352" s="3"/>
      <c r="J1352" s="3"/>
      <c r="K1352" s="3"/>
      <c r="L1352" s="3"/>
      <c r="M1352" s="3"/>
      <c r="N1352" s="3"/>
      <c r="O1352" s="3"/>
      <c r="P1352" s="3"/>
      <c r="Q1352" s="3"/>
      <c r="R1352" s="3">
        <f>IFERROR(__xludf.DUMMYFUNCTION("""COMPUTED_VALUE"""),0.0)</f>
        <v>0</v>
      </c>
      <c r="S1352" s="3"/>
      <c r="T1352" s="5"/>
      <c r="U1352" s="5"/>
      <c r="V1352" s="5"/>
      <c r="W1352" s="5"/>
    </row>
    <row r="1353" ht="15.75" customHeight="1">
      <c r="A1353" s="3">
        <f>IFERROR(__xludf.DUMMYFUNCTION("""COMPUTED_VALUE"""),1353.0)</f>
        <v>1353</v>
      </c>
      <c r="B1353" s="3"/>
      <c r="C1353" s="3">
        <f>IFERROR(__xludf.DUMMYFUNCTION("""COMPUTED_VALUE"""),87.0)</f>
        <v>87</v>
      </c>
      <c r="D1353" s="3" t="str">
        <f>IFERROR(__xludf.DUMMYFUNCTION("""COMPUTED_VALUE"""),"bcf45804")</f>
        <v>bcf45804</v>
      </c>
      <c r="E1353" s="54">
        <f>IFERROR(__xludf.DUMMYFUNCTION("""COMPUTED_VALUE"""),93700.0)</f>
        <v>93700</v>
      </c>
      <c r="F1353" s="3" t="str">
        <f>IFERROR(__xludf.DUMMYFUNCTION("""COMPUTED_VALUE"""),"Malbec")</f>
        <v>Malbec</v>
      </c>
      <c r="G1353" s="3"/>
      <c r="H1353" s="3"/>
      <c r="I1353" s="3"/>
      <c r="J1353" s="3"/>
      <c r="K1353" s="3"/>
      <c r="L1353" s="3"/>
      <c r="M1353" s="3"/>
      <c r="N1353" s="3"/>
      <c r="O1353" s="3"/>
      <c r="P1353" s="3"/>
      <c r="Q1353" s="3"/>
      <c r="R1353" s="3">
        <f>IFERROR(__xludf.DUMMYFUNCTION("""COMPUTED_VALUE"""),0.0)</f>
        <v>0</v>
      </c>
      <c r="S1353" s="3"/>
      <c r="T1353" s="5"/>
      <c r="U1353" s="5"/>
      <c r="V1353" s="5"/>
      <c r="W1353" s="5"/>
    </row>
    <row r="1354" ht="15.75" customHeight="1">
      <c r="A1354" s="3">
        <f>IFERROR(__xludf.DUMMYFUNCTION("""COMPUTED_VALUE"""),1354.0)</f>
        <v>1354</v>
      </c>
      <c r="B1354" s="3"/>
      <c r="C1354" s="3">
        <f>IFERROR(__xludf.DUMMYFUNCTION("""COMPUTED_VALUE"""),89.0)</f>
        <v>89</v>
      </c>
      <c r="D1354" s="3" t="str">
        <f>IFERROR(__xludf.DUMMYFUNCTION("""COMPUTED_VALUE"""),"47825ff1")</f>
        <v>47825ff1</v>
      </c>
      <c r="E1354" s="54">
        <f>IFERROR(__xludf.DUMMYFUNCTION("""COMPUTED_VALUE"""),83500.0)</f>
        <v>83500</v>
      </c>
      <c r="F1354" s="3" t="str">
        <f>IFERROR(__xludf.DUMMYFUNCTION("""COMPUTED_VALUE"""),"Cabernet Sauvignon")</f>
        <v>Cabernet Sauvignon</v>
      </c>
      <c r="G1354" s="3"/>
      <c r="H1354" s="3"/>
      <c r="I1354" s="3"/>
      <c r="J1354" s="3"/>
      <c r="K1354" s="3"/>
      <c r="L1354" s="3"/>
      <c r="M1354" s="3"/>
      <c r="N1354" s="3"/>
      <c r="O1354" s="3"/>
      <c r="P1354" s="3"/>
      <c r="Q1354" s="3"/>
      <c r="R1354" s="3">
        <f>IFERROR(__xludf.DUMMYFUNCTION("""COMPUTED_VALUE"""),0.0)</f>
        <v>0</v>
      </c>
      <c r="S1354" s="3"/>
      <c r="T1354" s="5"/>
      <c r="U1354" s="5"/>
      <c r="V1354" s="5"/>
      <c r="W1354" s="5"/>
    </row>
    <row r="1355" ht="15.75" customHeight="1">
      <c r="A1355" s="3">
        <f>IFERROR(__xludf.DUMMYFUNCTION("""COMPUTED_VALUE"""),1355.0)</f>
        <v>1355</v>
      </c>
      <c r="B1355" s="3"/>
      <c r="C1355" s="3">
        <f>IFERROR(__xludf.DUMMYFUNCTION("""COMPUTED_VALUE"""),108.0)</f>
        <v>108</v>
      </c>
      <c r="D1355" s="3"/>
      <c r="E1355" s="3"/>
      <c r="F1355" s="3"/>
      <c r="G1355" s="3"/>
      <c r="H1355" s="3"/>
      <c r="I1355" s="3"/>
      <c r="J1355" s="3"/>
      <c r="K1355" s="3"/>
      <c r="L1355" s="3"/>
      <c r="M1355" s="3"/>
      <c r="N1355" s="3"/>
      <c r="O1355" s="3"/>
      <c r="P1355" s="3"/>
      <c r="Q1355" s="3"/>
      <c r="R1355" s="3">
        <f>IFERROR(__xludf.DUMMYFUNCTION("""COMPUTED_VALUE"""),0.0)</f>
        <v>0</v>
      </c>
      <c r="S1355" s="3"/>
      <c r="T1355" s="5"/>
      <c r="U1355" s="5"/>
      <c r="V1355" s="5"/>
      <c r="W1355" s="5"/>
    </row>
    <row r="1356" ht="15.75" customHeight="1">
      <c r="A1356" s="3">
        <f>IFERROR(__xludf.DUMMYFUNCTION("""COMPUTED_VALUE"""),1356.0)</f>
        <v>1356</v>
      </c>
      <c r="B1356" s="3"/>
      <c r="C1356" s="3">
        <f>IFERROR(__xludf.DUMMYFUNCTION("""COMPUTED_VALUE"""),109.0)</f>
        <v>109</v>
      </c>
      <c r="D1356" s="3"/>
      <c r="E1356" s="3"/>
      <c r="F1356" s="3"/>
      <c r="G1356" s="3"/>
      <c r="H1356" s="3"/>
      <c r="I1356" s="3"/>
      <c r="J1356" s="3"/>
      <c r="K1356" s="3"/>
      <c r="L1356" s="3"/>
      <c r="M1356" s="3"/>
      <c r="N1356" s="3"/>
      <c r="O1356" s="3"/>
      <c r="P1356" s="3"/>
      <c r="Q1356" s="3"/>
      <c r="R1356" s="3">
        <f>IFERROR(__xludf.DUMMYFUNCTION("""COMPUTED_VALUE"""),0.0)</f>
        <v>0</v>
      </c>
      <c r="S1356" s="3"/>
      <c r="T1356" s="5"/>
      <c r="U1356" s="5"/>
      <c r="V1356" s="5"/>
      <c r="W1356" s="5"/>
    </row>
    <row r="1357" ht="15.75" customHeight="1">
      <c r="A1357" s="3">
        <f>IFERROR(__xludf.DUMMYFUNCTION("""COMPUTED_VALUE"""),1357.0)</f>
        <v>1357</v>
      </c>
      <c r="B1357" s="3"/>
      <c r="C1357" s="3">
        <f>IFERROR(__xludf.DUMMYFUNCTION("""COMPUTED_VALUE"""),114.0)</f>
        <v>114</v>
      </c>
      <c r="D1357" s="3" t="str">
        <f>IFERROR(__xludf.DUMMYFUNCTION("""COMPUTED_VALUE"""),"e53d4606")</f>
        <v>e53d4606</v>
      </c>
      <c r="E1357" s="54">
        <f>IFERROR(__xludf.DUMMYFUNCTION("""COMPUTED_VALUE"""),125300.0)</f>
        <v>125300</v>
      </c>
      <c r="F1357" s="3" t="str">
        <f>IFERROR(__xludf.DUMMYFUNCTION("""COMPUTED_VALUE"""),"Syrah")</f>
        <v>Syrah</v>
      </c>
      <c r="G1357" s="3"/>
      <c r="H1357" s="3"/>
      <c r="I1357" s="3"/>
      <c r="J1357" s="3"/>
      <c r="K1357" s="3"/>
      <c r="L1357" s="3"/>
      <c r="M1357" s="3"/>
      <c r="N1357" s="3"/>
      <c r="O1357" s="3"/>
      <c r="P1357" s="3"/>
      <c r="Q1357" s="3"/>
      <c r="R1357" s="3">
        <f>IFERROR(__xludf.DUMMYFUNCTION("""COMPUTED_VALUE"""),0.0)</f>
        <v>0</v>
      </c>
      <c r="S1357" s="3"/>
      <c r="T1357" s="5"/>
      <c r="U1357" s="5"/>
      <c r="V1357" s="5"/>
      <c r="W1357" s="5"/>
    </row>
    <row r="1358" ht="15.75" customHeight="1">
      <c r="A1358" s="3">
        <f>IFERROR(__xludf.DUMMYFUNCTION("""COMPUTED_VALUE"""),1358.0)</f>
        <v>1358</v>
      </c>
      <c r="B1358" s="3"/>
      <c r="C1358" s="3">
        <f>IFERROR(__xludf.DUMMYFUNCTION("""COMPUTED_VALUE"""),115.0)</f>
        <v>115</v>
      </c>
      <c r="D1358" s="3" t="str">
        <f>IFERROR(__xludf.DUMMYFUNCTION("""COMPUTED_VALUE"""),"03e27ebe")</f>
        <v>03e27ebe</v>
      </c>
      <c r="E1358" s="54">
        <f>IFERROR(__xludf.DUMMYFUNCTION("""COMPUTED_VALUE"""),118000.0)</f>
        <v>118000</v>
      </c>
      <c r="F1358" s="3" t="str">
        <f>IFERROR(__xludf.DUMMYFUNCTION("""COMPUTED_VALUE"""),"Syrah Tempranillo")</f>
        <v>Syrah Tempranillo</v>
      </c>
      <c r="G1358" s="3"/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>
        <f>IFERROR(__xludf.DUMMYFUNCTION("""COMPUTED_VALUE"""),0.0)</f>
        <v>0</v>
      </c>
      <c r="S1358" s="3"/>
      <c r="T1358" s="5"/>
      <c r="U1358" s="5"/>
      <c r="V1358" s="5"/>
      <c r="W1358" s="5"/>
    </row>
    <row r="1359" ht="15.75" customHeight="1">
      <c r="A1359" s="3">
        <f>IFERROR(__xludf.DUMMYFUNCTION("""COMPUTED_VALUE"""),1359.0)</f>
        <v>1359</v>
      </c>
      <c r="B1359" s="3"/>
      <c r="C1359" s="3">
        <f>IFERROR(__xludf.DUMMYFUNCTION("""COMPUTED_VALUE"""),118.0)</f>
        <v>118</v>
      </c>
      <c r="D1359" s="3" t="str">
        <f>IFERROR(__xludf.DUMMYFUNCTION("""COMPUTED_VALUE"""),"8ec426a5")</f>
        <v>8ec426a5</v>
      </c>
      <c r="E1359" s="54">
        <f>IFERROR(__xludf.DUMMYFUNCTION("""COMPUTED_VALUE"""),155600.0)</f>
        <v>155600</v>
      </c>
      <c r="F1359" s="3" t="str">
        <f>IFERROR(__xludf.DUMMYFUNCTION("""COMPUTED_VALUE"""),"Bonarda")</f>
        <v>Bonarda</v>
      </c>
      <c r="G1359" s="3"/>
      <c r="H1359" s="3"/>
      <c r="I1359" s="3"/>
      <c r="J1359" s="3"/>
      <c r="K1359" s="3"/>
      <c r="L1359" s="3"/>
      <c r="M1359" s="3"/>
      <c r="N1359" s="3"/>
      <c r="O1359" s="3"/>
      <c r="P1359" s="3"/>
      <c r="Q1359" s="3"/>
      <c r="R1359" s="3">
        <f>IFERROR(__xludf.DUMMYFUNCTION("""COMPUTED_VALUE"""),0.0)</f>
        <v>0</v>
      </c>
      <c r="S1359" s="3"/>
      <c r="T1359" s="5"/>
      <c r="U1359" s="5"/>
      <c r="V1359" s="5"/>
      <c r="W1359" s="5"/>
    </row>
    <row r="1360" ht="15.75" customHeight="1">
      <c r="A1360" s="3">
        <f>IFERROR(__xludf.DUMMYFUNCTION("""COMPUTED_VALUE"""),1360.0)</f>
        <v>1360</v>
      </c>
      <c r="B1360" s="3"/>
      <c r="C1360" s="3">
        <f>IFERROR(__xludf.DUMMYFUNCTION("""COMPUTED_VALUE"""),120.0)</f>
        <v>120</v>
      </c>
      <c r="D1360" s="3" t="str">
        <f>IFERROR(__xludf.DUMMYFUNCTION("""COMPUTED_VALUE"""),"0711f2d9")</f>
        <v>0711f2d9</v>
      </c>
      <c r="E1360" s="54">
        <f>IFERROR(__xludf.DUMMYFUNCTION("""COMPUTED_VALUE"""),88800.0)</f>
        <v>88800</v>
      </c>
      <c r="F1360" s="3" t="str">
        <f>IFERROR(__xludf.DUMMYFUNCTION("""COMPUTED_VALUE"""),"Cabernet Sauvignon")</f>
        <v>Cabernet Sauvignon</v>
      </c>
      <c r="G1360" s="3"/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>
        <f>IFERROR(__xludf.DUMMYFUNCTION("""COMPUTED_VALUE"""),0.0)</f>
        <v>0</v>
      </c>
      <c r="S1360" s="3"/>
      <c r="T1360" s="5"/>
      <c r="U1360" s="5"/>
      <c r="V1360" s="5"/>
      <c r="W1360" s="5"/>
    </row>
    <row r="1361" ht="15.75" customHeight="1">
      <c r="A1361" s="3">
        <f>IFERROR(__xludf.DUMMYFUNCTION("""COMPUTED_VALUE"""),1361.0)</f>
        <v>1361</v>
      </c>
      <c r="B1361" s="3"/>
      <c r="C1361" s="3">
        <f>IFERROR(__xludf.DUMMYFUNCTION("""COMPUTED_VALUE"""),121.0)</f>
        <v>121</v>
      </c>
      <c r="D1361" s="3" t="str">
        <f>IFERROR(__xludf.DUMMYFUNCTION("""COMPUTED_VALUE"""),"5c542a1f")</f>
        <v>5c542a1f</v>
      </c>
      <c r="E1361" s="54">
        <f>IFERROR(__xludf.DUMMYFUNCTION("""COMPUTED_VALUE"""),85800.0)</f>
        <v>85800</v>
      </c>
      <c r="F1361" s="3" t="str">
        <f>IFERROR(__xludf.DUMMYFUNCTION("""COMPUTED_VALUE"""),"Malbec Mec")</f>
        <v>Malbec Mec</v>
      </c>
      <c r="G1361" s="3"/>
      <c r="H1361" s="3"/>
      <c r="I1361" s="3"/>
      <c r="J1361" s="3"/>
      <c r="K1361" s="3"/>
      <c r="L1361" s="3"/>
      <c r="M1361" s="3"/>
      <c r="N1361" s="3"/>
      <c r="O1361" s="3"/>
      <c r="P1361" s="3"/>
      <c r="Q1361" s="3"/>
      <c r="R1361" s="3">
        <f>IFERROR(__xludf.DUMMYFUNCTION("""COMPUTED_VALUE"""),0.0)</f>
        <v>0</v>
      </c>
      <c r="S1361" s="3"/>
      <c r="T1361" s="5"/>
      <c r="U1361" s="5"/>
      <c r="V1361" s="5"/>
      <c r="W1361" s="5"/>
    </row>
    <row r="1362" ht="15.75" customHeight="1">
      <c r="A1362" s="3">
        <f>IFERROR(__xludf.DUMMYFUNCTION("""COMPUTED_VALUE"""),1362.0)</f>
        <v>1362</v>
      </c>
      <c r="B1362" s="53">
        <f>IFERROR(__xludf.DUMMYFUNCTION("""COMPUTED_VALUE"""),45783.0)</f>
        <v>45783</v>
      </c>
      <c r="C1362" s="3">
        <f>IFERROR(__xludf.DUMMYFUNCTION("""COMPUTED_VALUE"""),28.0)</f>
        <v>28</v>
      </c>
      <c r="D1362" s="3" t="str">
        <f>IFERROR(__xludf.DUMMYFUNCTION("""COMPUTED_VALUE"""),"#REF!")</f>
        <v>#REF!</v>
      </c>
      <c r="E1362" s="54">
        <f>IFERROR(__xludf.DUMMYFUNCTION("""COMPUTED_VALUE"""),200000.0)</f>
        <v>200000</v>
      </c>
      <c r="F1362" s="3" t="str">
        <f>IFERROR(__xludf.DUMMYFUNCTION("""COMPUTED_VALUE"""),"corte Malbec Millán")</f>
        <v>corte Malbec Millán</v>
      </c>
      <c r="G1362" s="55">
        <f>IFERROR(__xludf.DUMMYFUNCTION("""COMPUTED_VALUE"""),13.3)</f>
        <v>13.3</v>
      </c>
      <c r="H1362" s="56">
        <f>IFERROR(__xludf.DUMMYFUNCTION("""COMPUTED_VALUE"""),2.5)</f>
        <v>2.5</v>
      </c>
      <c r="I1362" s="57">
        <f>IFERROR(__xludf.DUMMYFUNCTION("""COMPUTED_VALUE"""),0.5)</f>
        <v>0.5</v>
      </c>
      <c r="J1362" s="3"/>
      <c r="K1362" s="3"/>
      <c r="L1362" s="3"/>
      <c r="M1362" s="3"/>
      <c r="N1362" s="3"/>
      <c r="O1362" s="3">
        <f>IFERROR(__xludf.DUMMYFUNCTION("""COMPUTED_VALUE"""),400.0)</f>
        <v>400</v>
      </c>
      <c r="P1362" s="3">
        <f>IFERROR(__xludf.DUMMYFUNCTION("""COMPUTED_VALUE"""),670.0)</f>
        <v>670</v>
      </c>
      <c r="Q1362" s="3"/>
      <c r="R1362" s="3">
        <f>IFERROR(__xludf.DUMMYFUNCTION("""COMPUTED_VALUE"""),1070.0)</f>
        <v>1070</v>
      </c>
      <c r="S1362" s="54">
        <f>IFERROR(__xludf.DUMMYFUNCTION("""COMPUTED_VALUE"""),1792.2500000000002)</f>
        <v>1792.25</v>
      </c>
      <c r="T1362" s="5"/>
      <c r="U1362" s="5"/>
      <c r="V1362" s="5"/>
      <c r="W1362" s="5"/>
    </row>
    <row r="1363" ht="15.75" customHeight="1">
      <c r="A1363" s="3">
        <f>IFERROR(__xludf.DUMMYFUNCTION("""COMPUTED_VALUE"""),1363.0)</f>
        <v>1363</v>
      </c>
      <c r="B1363" s="53">
        <f>IFERROR(__xludf.DUMMYFUNCTION("""COMPUTED_VALUE"""),45779.0)</f>
        <v>45779</v>
      </c>
      <c r="C1363" s="3">
        <f>IFERROR(__xludf.DUMMYFUNCTION("""COMPUTED_VALUE"""),11.0)</f>
        <v>11</v>
      </c>
      <c r="D1363" s="3" t="str">
        <f>IFERROR(__xludf.DUMMYFUNCTION("""COMPUTED_VALUE"""),"e6ca31fd")</f>
        <v>e6ca31fd</v>
      </c>
      <c r="E1363" s="54">
        <f>IFERROR(__xludf.DUMMYFUNCTION("""COMPUTED_VALUE"""),25300.0)</f>
        <v>25300</v>
      </c>
      <c r="F1363" s="3" t="str">
        <f>IFERROR(__xludf.DUMMYFUNCTION("""COMPUTED_VALUE"""),"Claro de filtro")</f>
        <v>Claro de filtro</v>
      </c>
      <c r="G1363" s="55">
        <f>IFERROR(__xludf.DUMMYFUNCTION("""COMPUTED_VALUE"""),13.1)</f>
        <v>13.1</v>
      </c>
      <c r="H1363" s="56">
        <f>IFERROR(__xludf.DUMMYFUNCTION("""COMPUTED_VALUE"""),2.85)</f>
        <v>2.85</v>
      </c>
      <c r="I1363" s="57">
        <f>IFERROR(__xludf.DUMMYFUNCTION("""COMPUTED_VALUE"""),0.66)</f>
        <v>0.66</v>
      </c>
      <c r="J1363" s="57">
        <f>IFERROR(__xludf.DUMMYFUNCTION("""COMPUTED_VALUE"""),5.4)</f>
        <v>5.4</v>
      </c>
      <c r="K1363" s="3"/>
      <c r="L1363" s="3"/>
      <c r="M1363" s="3"/>
      <c r="N1363" s="3"/>
      <c r="O1363" s="3"/>
      <c r="P1363" s="3"/>
      <c r="Q1363" s="3"/>
      <c r="R1363" s="3">
        <f>IFERROR(__xludf.DUMMYFUNCTION("""COMPUTED_VALUE"""),0.0)</f>
        <v>0</v>
      </c>
      <c r="S1363" s="3"/>
      <c r="T1363" s="5"/>
      <c r="U1363" s="5"/>
      <c r="V1363" s="5"/>
      <c r="W1363" s="5" t="str">
        <f>IFERROR(__xludf.DUMMYFUNCTION("""COMPUTED_VALUE"""),"Simon")</f>
        <v>Simon</v>
      </c>
    </row>
    <row r="1364" ht="15.75" customHeight="1">
      <c r="A1364" s="3">
        <f>IFERROR(__xludf.DUMMYFUNCTION("""COMPUTED_VALUE"""),1364.0)</f>
        <v>1364</v>
      </c>
      <c r="B1364" s="53">
        <f>IFERROR(__xludf.DUMMYFUNCTION("""COMPUTED_VALUE"""),45779.0)</f>
        <v>45779</v>
      </c>
      <c r="C1364" s="3">
        <f>IFERROR(__xludf.DUMMYFUNCTION("""COMPUTED_VALUE"""),79.0)</f>
        <v>79</v>
      </c>
      <c r="D1364" s="3" t="str">
        <f>IFERROR(__xludf.DUMMYFUNCTION("""COMPUTED_VALUE"""),"0f749555")</f>
        <v>0f749555</v>
      </c>
      <c r="E1364" s="54">
        <f>IFERROR(__xludf.DUMMYFUNCTION("""COMPUTED_VALUE"""),14800.0)</f>
        <v>14800</v>
      </c>
      <c r="F1364" s="3" t="str">
        <f>IFERROR(__xludf.DUMMYFUNCTION("""COMPUTED_VALUE"""),"Tinto s/Bonarda")</f>
        <v>Tinto s/Bonarda</v>
      </c>
      <c r="G1364" s="55">
        <f>IFERROR(__xludf.DUMMYFUNCTION("""COMPUTED_VALUE"""),14.1)</f>
        <v>14.1</v>
      </c>
      <c r="H1364" s="56">
        <f>IFERROR(__xludf.DUMMYFUNCTION("""COMPUTED_VALUE"""),5.93)</f>
        <v>5.93</v>
      </c>
      <c r="I1364" s="57">
        <f>IFERROR(__xludf.DUMMYFUNCTION("""COMPUTED_VALUE"""),0.39)</f>
        <v>0.39</v>
      </c>
      <c r="J1364" s="57">
        <f>IFERROR(__xludf.DUMMYFUNCTION("""COMPUTED_VALUE"""),5.85)</f>
        <v>5.85</v>
      </c>
      <c r="K1364" s="3"/>
      <c r="L1364" s="3"/>
      <c r="M1364" s="3"/>
      <c r="N1364" s="3"/>
      <c r="O1364" s="3"/>
      <c r="P1364" s="3"/>
      <c r="Q1364" s="3"/>
      <c r="R1364" s="3">
        <f>IFERROR(__xludf.DUMMYFUNCTION("""COMPUTED_VALUE"""),0.0)</f>
        <v>0</v>
      </c>
      <c r="S1364" s="3"/>
      <c r="T1364" s="5"/>
      <c r="U1364" s="5"/>
      <c r="V1364" s="5"/>
      <c r="W1364" s="5" t="str">
        <f>IFERROR(__xludf.DUMMYFUNCTION("""COMPUTED_VALUE"""),"Simon")</f>
        <v>Simon</v>
      </c>
    </row>
    <row r="1365" ht="15.75" customHeight="1">
      <c r="A1365" s="3">
        <f>IFERROR(__xludf.DUMMYFUNCTION("""COMPUTED_VALUE"""),1365.0)</f>
        <v>1365</v>
      </c>
      <c r="B1365" s="53">
        <f>IFERROR(__xludf.DUMMYFUNCTION("""COMPUTED_VALUE"""),45779.0)</f>
        <v>45779</v>
      </c>
      <c r="C1365" s="3">
        <f>IFERROR(__xludf.DUMMYFUNCTION("""COMPUTED_VALUE"""),80.0)</f>
        <v>80</v>
      </c>
      <c r="D1365" s="3" t="str">
        <f>IFERROR(__xludf.DUMMYFUNCTION("""COMPUTED_VALUE"""),"31f824a6")</f>
        <v>31f824a6</v>
      </c>
      <c r="E1365" s="54">
        <f>IFERROR(__xludf.DUMMYFUNCTION("""COMPUTED_VALUE"""),26100.0)</f>
        <v>26100</v>
      </c>
      <c r="F1365" s="3" t="str">
        <f>IFERROR(__xludf.DUMMYFUNCTION("""COMPUTED_VALUE"""),"Cabernet Sauvignon prensa")</f>
        <v>Cabernet Sauvignon prensa</v>
      </c>
      <c r="G1365" s="55">
        <f>IFERROR(__xludf.DUMMYFUNCTION("""COMPUTED_VALUE"""),13.6)</f>
        <v>13.6</v>
      </c>
      <c r="H1365" s="56">
        <f>IFERROR(__xludf.DUMMYFUNCTION("""COMPUTED_VALUE"""),5.78)</f>
        <v>5.78</v>
      </c>
      <c r="I1365" s="57">
        <f>IFERROR(__xludf.DUMMYFUNCTION("""COMPUTED_VALUE"""),0.39)</f>
        <v>0.39</v>
      </c>
      <c r="J1365" s="57">
        <f>IFERROR(__xludf.DUMMYFUNCTION("""COMPUTED_VALUE"""),6.37)</f>
        <v>6.37</v>
      </c>
      <c r="K1365" s="3"/>
      <c r="L1365" s="3"/>
      <c r="M1365" s="3"/>
      <c r="N1365" s="3"/>
      <c r="O1365" s="3"/>
      <c r="P1365" s="3"/>
      <c r="Q1365" s="3"/>
      <c r="R1365" s="3">
        <f>IFERROR(__xludf.DUMMYFUNCTION("""COMPUTED_VALUE"""),0.0)</f>
        <v>0</v>
      </c>
      <c r="S1365" s="3"/>
      <c r="T1365" s="5"/>
      <c r="U1365" s="5"/>
      <c r="V1365" s="5"/>
      <c r="W1365" s="5" t="str">
        <f>IFERROR(__xludf.DUMMYFUNCTION("""COMPUTED_VALUE"""),"Simon")</f>
        <v>Simon</v>
      </c>
    </row>
    <row r="1366" ht="15.75" customHeight="1">
      <c r="A1366" s="3">
        <f>IFERROR(__xludf.DUMMYFUNCTION("""COMPUTED_VALUE"""),1366.0)</f>
        <v>1366</v>
      </c>
      <c r="B1366" s="53">
        <f>IFERROR(__xludf.DUMMYFUNCTION("""COMPUTED_VALUE"""),45779.0)</f>
        <v>45779</v>
      </c>
      <c r="C1366" s="3">
        <f>IFERROR(__xludf.DUMMYFUNCTION("""COMPUTED_VALUE"""),82.0)</f>
        <v>82</v>
      </c>
      <c r="D1366" s="3" t="str">
        <f>IFERROR(__xludf.DUMMYFUNCTION("""COMPUTED_VALUE"""),"20f062e7")</f>
        <v>20f062e7</v>
      </c>
      <c r="E1366" s="54">
        <f>IFERROR(__xludf.DUMMYFUNCTION("""COMPUTED_VALUE"""),41000.0)</f>
        <v>41000</v>
      </c>
      <c r="F1366" s="3" t="str">
        <f>IFERROR(__xludf.DUMMYFUNCTION("""COMPUTED_VALUE"""),"Anccelotta")</f>
        <v>Anccelotta</v>
      </c>
      <c r="G1366" s="55">
        <f>IFERROR(__xludf.DUMMYFUNCTION("""COMPUTED_VALUE"""),14.0)</f>
        <v>14</v>
      </c>
      <c r="H1366" s="56">
        <f>IFERROR(__xludf.DUMMYFUNCTION("""COMPUTED_VALUE"""),2.81)</f>
        <v>2.81</v>
      </c>
      <c r="I1366" s="57">
        <f>IFERROR(__xludf.DUMMYFUNCTION("""COMPUTED_VALUE"""),0.61)</f>
        <v>0.61</v>
      </c>
      <c r="J1366" s="57">
        <f>IFERROR(__xludf.DUMMYFUNCTION("""COMPUTED_VALUE"""),5.62)</f>
        <v>5.62</v>
      </c>
      <c r="K1366" s="3"/>
      <c r="L1366" s="3"/>
      <c r="M1366" s="3"/>
      <c r="N1366" s="3"/>
      <c r="O1366" s="3"/>
      <c r="P1366" s="3"/>
      <c r="Q1366" s="3"/>
      <c r="R1366" s="3">
        <f>IFERROR(__xludf.DUMMYFUNCTION("""COMPUTED_VALUE"""),0.0)</f>
        <v>0</v>
      </c>
      <c r="S1366" s="3"/>
      <c r="T1366" s="5"/>
      <c r="U1366" s="5"/>
      <c r="V1366" s="5"/>
      <c r="W1366" s="5" t="str">
        <f>IFERROR(__xludf.DUMMYFUNCTION("""COMPUTED_VALUE"""),"Simon")</f>
        <v>Simon</v>
      </c>
    </row>
    <row r="1367" ht="15.75" customHeight="1">
      <c r="A1367" s="3">
        <f>IFERROR(__xludf.DUMMYFUNCTION("""COMPUTED_VALUE"""),1367.0)</f>
        <v>1367</v>
      </c>
      <c r="B1367" s="53">
        <f>IFERROR(__xludf.DUMMYFUNCTION("""COMPUTED_VALUE"""),45779.0)</f>
        <v>45779</v>
      </c>
      <c r="C1367" s="3">
        <f>IFERROR(__xludf.DUMMYFUNCTION("""COMPUTED_VALUE"""),83.0)</f>
        <v>83</v>
      </c>
      <c r="D1367" s="3" t="str">
        <f>IFERROR(__xludf.DUMMYFUNCTION("""COMPUTED_VALUE"""),"7fce2b75")</f>
        <v>7fce2b75</v>
      </c>
      <c r="E1367" s="54">
        <f>IFERROR(__xludf.DUMMYFUNCTION("""COMPUTED_VALUE"""),81500.0)</f>
        <v>81500</v>
      </c>
      <c r="F1367" s="3" t="str">
        <f>IFERROR(__xludf.DUMMYFUNCTION("""COMPUTED_VALUE"""),"Tinto")</f>
        <v>Tinto</v>
      </c>
      <c r="G1367" s="55">
        <f>IFERROR(__xludf.DUMMYFUNCTION("""COMPUTED_VALUE"""),14.1)</f>
        <v>14.1</v>
      </c>
      <c r="H1367" s="56">
        <f>IFERROR(__xludf.DUMMYFUNCTION("""COMPUTED_VALUE"""),4.69)</f>
        <v>4.69</v>
      </c>
      <c r="I1367" s="57">
        <f>IFERROR(__xludf.DUMMYFUNCTION("""COMPUTED_VALUE"""),0.46)</f>
        <v>0.46</v>
      </c>
      <c r="J1367" s="57">
        <f>IFERROR(__xludf.DUMMYFUNCTION("""COMPUTED_VALUE"""),6.07)</f>
        <v>6.07</v>
      </c>
      <c r="K1367" s="3"/>
      <c r="L1367" s="3"/>
      <c r="M1367" s="3"/>
      <c r="N1367" s="3"/>
      <c r="O1367" s="3"/>
      <c r="P1367" s="3"/>
      <c r="Q1367" s="3"/>
      <c r="R1367" s="3">
        <f>IFERROR(__xludf.DUMMYFUNCTION("""COMPUTED_VALUE"""),0.0)</f>
        <v>0</v>
      </c>
      <c r="S1367" s="3"/>
      <c r="T1367" s="5"/>
      <c r="U1367" s="5"/>
      <c r="V1367" s="5"/>
      <c r="W1367" s="5" t="str">
        <f>IFERROR(__xludf.DUMMYFUNCTION("""COMPUTED_VALUE"""),"Simon")</f>
        <v>Simon</v>
      </c>
    </row>
    <row r="1368" ht="15.75" customHeight="1">
      <c r="A1368" s="3">
        <f>IFERROR(__xludf.DUMMYFUNCTION("""COMPUTED_VALUE"""),1368.0)</f>
        <v>1368</v>
      </c>
      <c r="B1368" s="53">
        <f>IFERROR(__xludf.DUMMYFUNCTION("""COMPUTED_VALUE"""),45779.0)</f>
        <v>45779</v>
      </c>
      <c r="C1368" s="3">
        <f>IFERROR(__xludf.DUMMYFUNCTION("""COMPUTED_VALUE"""),84.0)</f>
        <v>84</v>
      </c>
      <c r="D1368" s="3" t="str">
        <f>IFERROR(__xludf.DUMMYFUNCTION("""COMPUTED_VALUE"""),"80d02e67")</f>
        <v>80d02e67</v>
      </c>
      <c r="E1368" s="54">
        <f>IFERROR(__xludf.DUMMYFUNCTION("""COMPUTED_VALUE"""),83000.0)</f>
        <v>83000</v>
      </c>
      <c r="F1368" s="3" t="str">
        <f>IFERROR(__xludf.DUMMYFUNCTION("""COMPUTED_VALUE"""),"Tinto")</f>
        <v>Tinto</v>
      </c>
      <c r="G1368" s="55">
        <f>IFERROR(__xludf.DUMMYFUNCTION("""COMPUTED_VALUE"""),14.5)</f>
        <v>14.5</v>
      </c>
      <c r="H1368" s="56">
        <f>IFERROR(__xludf.DUMMYFUNCTION("""COMPUTED_VALUE"""),2.96)</f>
        <v>2.96</v>
      </c>
      <c r="I1368" s="57">
        <f>IFERROR(__xludf.DUMMYFUNCTION("""COMPUTED_VALUE"""),0.5)</f>
        <v>0.5</v>
      </c>
      <c r="J1368" s="57">
        <f>IFERROR(__xludf.DUMMYFUNCTION("""COMPUTED_VALUE"""),5.47)</f>
        <v>5.47</v>
      </c>
      <c r="K1368" s="3"/>
      <c r="L1368" s="3"/>
      <c r="M1368" s="3"/>
      <c r="N1368" s="3"/>
      <c r="O1368" s="3"/>
      <c r="P1368" s="3"/>
      <c r="Q1368" s="3"/>
      <c r="R1368" s="3">
        <f>IFERROR(__xludf.DUMMYFUNCTION("""COMPUTED_VALUE"""),0.0)</f>
        <v>0</v>
      </c>
      <c r="S1368" s="3"/>
      <c r="T1368" s="5"/>
      <c r="U1368" s="5"/>
      <c r="V1368" s="5"/>
      <c r="W1368" s="5" t="str">
        <f>IFERROR(__xludf.DUMMYFUNCTION("""COMPUTED_VALUE"""),"Simon")</f>
        <v>Simon</v>
      </c>
    </row>
    <row r="1369" ht="15.75" customHeight="1">
      <c r="A1369" s="3">
        <f>IFERROR(__xludf.DUMMYFUNCTION("""COMPUTED_VALUE"""),1369.0)</f>
        <v>1369</v>
      </c>
      <c r="B1369" s="53">
        <f>IFERROR(__xludf.DUMMYFUNCTION("""COMPUTED_VALUE"""),45779.0)</f>
        <v>45779</v>
      </c>
      <c r="C1369" s="3">
        <f>IFERROR(__xludf.DUMMYFUNCTION("""COMPUTED_VALUE"""),88.0)</f>
        <v>88</v>
      </c>
      <c r="D1369" s="3" t="str">
        <f>IFERROR(__xludf.DUMMYFUNCTION("""COMPUTED_VALUE"""),"3030acaa")</f>
        <v>3030acaa</v>
      </c>
      <c r="E1369" s="54">
        <f>IFERROR(__xludf.DUMMYFUNCTION("""COMPUTED_VALUE"""),78900.0)</f>
        <v>78900</v>
      </c>
      <c r="F1369" s="3" t="str">
        <f>IFERROR(__xludf.DUMMYFUNCTION("""COMPUTED_VALUE"""),"Tinto")</f>
        <v>Tinto</v>
      </c>
      <c r="G1369" s="55">
        <f>IFERROR(__xludf.DUMMYFUNCTION("""COMPUTED_VALUE"""),14.2)</f>
        <v>14.2</v>
      </c>
      <c r="H1369" s="56">
        <f>IFERROR(__xludf.DUMMYFUNCTION("""COMPUTED_VALUE"""),2.75)</f>
        <v>2.75</v>
      </c>
      <c r="I1369" s="57">
        <f>IFERROR(__xludf.DUMMYFUNCTION("""COMPUTED_VALUE"""),0.4)</f>
        <v>0.4</v>
      </c>
      <c r="J1369" s="57">
        <f>IFERROR(__xludf.DUMMYFUNCTION("""COMPUTED_VALUE"""),5.4)</f>
        <v>5.4</v>
      </c>
      <c r="K1369" s="3"/>
      <c r="L1369" s="3"/>
      <c r="M1369" s="3"/>
      <c r="N1369" s="3"/>
      <c r="O1369" s="3"/>
      <c r="P1369" s="3"/>
      <c r="Q1369" s="3"/>
      <c r="R1369" s="3">
        <f>IFERROR(__xludf.DUMMYFUNCTION("""COMPUTED_VALUE"""),0.0)</f>
        <v>0</v>
      </c>
      <c r="S1369" s="3"/>
      <c r="T1369" s="5"/>
      <c r="U1369" s="5"/>
      <c r="V1369" s="5"/>
      <c r="W1369" s="5" t="str">
        <f>IFERROR(__xludf.DUMMYFUNCTION("""COMPUTED_VALUE"""),"Simon")</f>
        <v>Simon</v>
      </c>
    </row>
    <row r="1370" ht="15.75" customHeight="1">
      <c r="A1370" s="3">
        <f>IFERROR(__xludf.DUMMYFUNCTION("""COMPUTED_VALUE"""),1370.0)</f>
        <v>1370</v>
      </c>
      <c r="B1370" s="53">
        <f>IFERROR(__xludf.DUMMYFUNCTION("""COMPUTED_VALUE"""),45779.0)</f>
        <v>45779</v>
      </c>
      <c r="C1370" s="3">
        <f>IFERROR(__xludf.DUMMYFUNCTION("""COMPUTED_VALUE"""),90.0)</f>
        <v>90</v>
      </c>
      <c r="D1370" s="3" t="str">
        <f>IFERROR(__xludf.DUMMYFUNCTION("""COMPUTED_VALUE"""),"1f012354")</f>
        <v>1f012354</v>
      </c>
      <c r="E1370" s="54">
        <f>IFERROR(__xludf.DUMMYFUNCTION("""COMPUTED_VALUE"""),97500.0)</f>
        <v>97500</v>
      </c>
      <c r="F1370" s="3" t="str">
        <f>IFERROR(__xludf.DUMMYFUNCTION("""COMPUTED_VALUE"""),"Tinto Recarga")</f>
        <v>Tinto Recarga</v>
      </c>
      <c r="G1370" s="55">
        <f>IFERROR(__xludf.DUMMYFUNCTION("""COMPUTED_VALUE"""),13.2)</f>
        <v>13.2</v>
      </c>
      <c r="H1370" s="56">
        <f>IFERROR(__xludf.DUMMYFUNCTION("""COMPUTED_VALUE"""),2.5)</f>
        <v>2.5</v>
      </c>
      <c r="I1370" s="57">
        <f>IFERROR(__xludf.DUMMYFUNCTION("""COMPUTED_VALUE"""),0.54)</f>
        <v>0.54</v>
      </c>
      <c r="J1370" s="57">
        <f>IFERROR(__xludf.DUMMYFUNCTION("""COMPUTED_VALUE"""),5.4)</f>
        <v>5.4</v>
      </c>
      <c r="K1370" s="3"/>
      <c r="L1370" s="3"/>
      <c r="M1370" s="3"/>
      <c r="N1370" s="3"/>
      <c r="O1370" s="3"/>
      <c r="P1370" s="3"/>
      <c r="Q1370" s="3"/>
      <c r="R1370" s="3">
        <f>IFERROR(__xludf.DUMMYFUNCTION("""COMPUTED_VALUE"""),0.0)</f>
        <v>0</v>
      </c>
      <c r="S1370" s="3"/>
      <c r="T1370" s="5"/>
      <c r="U1370" s="5"/>
      <c r="V1370" s="5"/>
      <c r="W1370" s="5" t="str">
        <f>IFERROR(__xludf.DUMMYFUNCTION("""COMPUTED_VALUE"""),"Simon")</f>
        <v>Simon</v>
      </c>
    </row>
    <row r="1371" ht="15.75" customHeight="1">
      <c r="A1371" s="3">
        <f>IFERROR(__xludf.DUMMYFUNCTION("""COMPUTED_VALUE"""),1371.0)</f>
        <v>1371</v>
      </c>
      <c r="B1371" s="53">
        <f>IFERROR(__xludf.DUMMYFUNCTION("""COMPUTED_VALUE"""),45779.0)</f>
        <v>45779</v>
      </c>
      <c r="C1371" s="3">
        <f>IFERROR(__xludf.DUMMYFUNCTION("""COMPUTED_VALUE"""),95.0)</f>
        <v>95</v>
      </c>
      <c r="D1371" s="3" t="str">
        <f>IFERROR(__xludf.DUMMYFUNCTION("""COMPUTED_VALUE"""),"e8b9aa9f")</f>
        <v>e8b9aa9f</v>
      </c>
      <c r="E1371" s="54">
        <f>IFERROR(__xludf.DUMMYFUNCTION("""COMPUTED_VALUE"""),77100.0)</f>
        <v>77100</v>
      </c>
      <c r="F1371" s="3" t="str">
        <f>IFERROR(__xludf.DUMMYFUNCTION("""COMPUTED_VALUE"""),"Tinto s/Bonarda 2da")</f>
        <v>Tinto s/Bonarda 2da</v>
      </c>
      <c r="G1371" s="55">
        <f>IFERROR(__xludf.DUMMYFUNCTION("""COMPUTED_VALUE"""),14.0)</f>
        <v>14</v>
      </c>
      <c r="H1371" s="56">
        <f>IFERROR(__xludf.DUMMYFUNCTION("""COMPUTED_VALUE"""),3.63)</f>
        <v>3.63</v>
      </c>
      <c r="I1371" s="57">
        <f>IFERROR(__xludf.DUMMYFUNCTION("""COMPUTED_VALUE"""),0.4)</f>
        <v>0.4</v>
      </c>
      <c r="J1371" s="57">
        <f>IFERROR(__xludf.DUMMYFUNCTION("""COMPUTED_VALUE"""),5.77)</f>
        <v>5.77</v>
      </c>
      <c r="K1371" s="3"/>
      <c r="L1371" s="3"/>
      <c r="M1371" s="3"/>
      <c r="N1371" s="3"/>
      <c r="O1371" s="3"/>
      <c r="P1371" s="3"/>
      <c r="Q1371" s="3"/>
      <c r="R1371" s="3">
        <f>IFERROR(__xludf.DUMMYFUNCTION("""COMPUTED_VALUE"""),0.0)</f>
        <v>0</v>
      </c>
      <c r="S1371" s="3"/>
      <c r="T1371" s="5"/>
      <c r="U1371" s="5"/>
      <c r="V1371" s="5"/>
      <c r="W1371" s="5" t="str">
        <f>IFERROR(__xludf.DUMMYFUNCTION("""COMPUTED_VALUE"""),"Simon")</f>
        <v>Simon</v>
      </c>
    </row>
    <row r="1372" ht="15.75" customHeight="1">
      <c r="A1372" s="3">
        <f>IFERROR(__xludf.DUMMYFUNCTION("""COMPUTED_VALUE"""),1372.0)</f>
        <v>1372</v>
      </c>
      <c r="B1372" s="53">
        <f>IFERROR(__xludf.DUMMYFUNCTION("""COMPUTED_VALUE"""),45779.0)</f>
        <v>45779</v>
      </c>
      <c r="C1372" s="3">
        <f>IFERROR(__xludf.DUMMYFUNCTION("""COMPUTED_VALUE"""),96.0)</f>
        <v>96</v>
      </c>
      <c r="D1372" s="3" t="str">
        <f>IFERROR(__xludf.DUMMYFUNCTION("""COMPUTED_VALUE"""),"cf107ae5")</f>
        <v>cf107ae5</v>
      </c>
      <c r="E1372" s="54">
        <f>IFERROR(__xludf.DUMMYFUNCTION("""COMPUTED_VALUE"""),85600.0)</f>
        <v>85600</v>
      </c>
      <c r="F1372" s="3" t="str">
        <f>IFERROR(__xludf.DUMMYFUNCTION("""COMPUTED_VALUE"""),"Tinto")</f>
        <v>Tinto</v>
      </c>
      <c r="G1372" s="55">
        <f>IFERROR(__xludf.DUMMYFUNCTION("""COMPUTED_VALUE"""),13.9)</f>
        <v>13.9</v>
      </c>
      <c r="H1372" s="56">
        <f>IFERROR(__xludf.DUMMYFUNCTION("""COMPUTED_VALUE"""),5.93)</f>
        <v>5.93</v>
      </c>
      <c r="I1372" s="57">
        <f>IFERROR(__xludf.DUMMYFUNCTION("""COMPUTED_VALUE"""),0.43)</f>
        <v>0.43</v>
      </c>
      <c r="J1372" s="57">
        <f>IFERROR(__xludf.DUMMYFUNCTION("""COMPUTED_VALUE"""),5.85)</f>
        <v>5.85</v>
      </c>
      <c r="K1372" s="3"/>
      <c r="L1372" s="3"/>
      <c r="M1372" s="3"/>
      <c r="N1372" s="3"/>
      <c r="O1372" s="3"/>
      <c r="P1372" s="3"/>
      <c r="Q1372" s="3"/>
      <c r="R1372" s="3">
        <f>IFERROR(__xludf.DUMMYFUNCTION("""COMPUTED_VALUE"""),0.0)</f>
        <v>0</v>
      </c>
      <c r="S1372" s="3"/>
      <c r="T1372" s="5"/>
      <c r="U1372" s="5"/>
      <c r="V1372" s="5"/>
      <c r="W1372" s="5" t="str">
        <f>IFERROR(__xludf.DUMMYFUNCTION("""COMPUTED_VALUE"""),"Simon")</f>
        <v>Simon</v>
      </c>
    </row>
    <row r="1373" ht="15.75" customHeight="1">
      <c r="A1373" s="3">
        <f>IFERROR(__xludf.DUMMYFUNCTION("""COMPUTED_VALUE"""),1373.0)</f>
        <v>1373</v>
      </c>
      <c r="B1373" s="53">
        <f>IFERROR(__xludf.DUMMYFUNCTION("""COMPUTED_VALUE"""),45779.0)</f>
        <v>45779</v>
      </c>
      <c r="C1373" s="3">
        <f>IFERROR(__xludf.DUMMYFUNCTION("""COMPUTED_VALUE"""),111.0)</f>
        <v>111</v>
      </c>
      <c r="D1373" s="3" t="str">
        <f>IFERROR(__xludf.DUMMYFUNCTION("""COMPUTED_VALUE"""),"3f3e8ee6")</f>
        <v>3f3e8ee6</v>
      </c>
      <c r="E1373" s="54">
        <f>IFERROR(__xludf.DUMMYFUNCTION("""COMPUTED_VALUE"""),4000.0)</f>
        <v>4000</v>
      </c>
      <c r="F1373" s="3" t="str">
        <f>IFERROR(__xludf.DUMMYFUNCTION("""COMPUTED_VALUE"""),"Malbec Magneta")</f>
        <v>Malbec Magneta</v>
      </c>
      <c r="G1373" s="55">
        <f>IFERROR(__xludf.DUMMYFUNCTION("""COMPUTED_VALUE"""),13.2)</f>
        <v>13.2</v>
      </c>
      <c r="H1373" s="56">
        <f>IFERROR(__xludf.DUMMYFUNCTION("""COMPUTED_VALUE"""),2.85)</f>
        <v>2.85</v>
      </c>
      <c r="I1373" s="57">
        <f>IFERROR(__xludf.DUMMYFUNCTION("""COMPUTED_VALUE"""),0.49)</f>
        <v>0.49</v>
      </c>
      <c r="J1373" s="57">
        <f>IFERROR(__xludf.DUMMYFUNCTION("""COMPUTED_VALUE"""),5.62)</f>
        <v>5.62</v>
      </c>
      <c r="K1373" s="3"/>
      <c r="L1373" s="3"/>
      <c r="M1373" s="3"/>
      <c r="N1373" s="3"/>
      <c r="O1373" s="3"/>
      <c r="P1373" s="3"/>
      <c r="Q1373" s="3"/>
      <c r="R1373" s="3">
        <f>IFERROR(__xludf.DUMMYFUNCTION("""COMPUTED_VALUE"""),0.0)</f>
        <v>0</v>
      </c>
      <c r="S1373" s="3"/>
      <c r="T1373" s="5"/>
      <c r="U1373" s="5"/>
      <c r="V1373" s="5"/>
      <c r="W1373" s="5" t="str">
        <f>IFERROR(__xludf.DUMMYFUNCTION("""COMPUTED_VALUE"""),"Simon")</f>
        <v>Simon</v>
      </c>
    </row>
    <row r="1374" ht="15.75" customHeight="1">
      <c r="A1374" s="3">
        <f>IFERROR(__xludf.DUMMYFUNCTION("""COMPUTED_VALUE"""),1374.0)</f>
        <v>1374</v>
      </c>
      <c r="B1374" s="53">
        <f>IFERROR(__xludf.DUMMYFUNCTION("""COMPUTED_VALUE"""),45779.0)</f>
        <v>45779</v>
      </c>
      <c r="C1374" s="3">
        <f>IFERROR(__xludf.DUMMYFUNCTION("""COMPUTED_VALUE"""),116.0)</f>
        <v>116</v>
      </c>
      <c r="D1374" s="3" t="str">
        <f>IFERROR(__xludf.DUMMYFUNCTION("""COMPUTED_VALUE"""),"7a999708")</f>
        <v>7a999708</v>
      </c>
      <c r="E1374" s="54">
        <f>IFERROR(__xludf.DUMMYFUNCTION("""COMPUTED_VALUE"""),99600.0)</f>
        <v>99600</v>
      </c>
      <c r="F1374" s="3" t="str">
        <f>IFERROR(__xludf.DUMMYFUNCTION("""COMPUTED_VALUE"""),"Bonarda")</f>
        <v>Bonarda</v>
      </c>
      <c r="G1374" s="55">
        <f>IFERROR(__xludf.DUMMYFUNCTION("""COMPUTED_VALUE"""),12.7)</f>
        <v>12.7</v>
      </c>
      <c r="H1374" s="56">
        <f>IFERROR(__xludf.DUMMYFUNCTION("""COMPUTED_VALUE"""),2.32)</f>
        <v>2.32</v>
      </c>
      <c r="I1374" s="57">
        <f>IFERROR(__xludf.DUMMYFUNCTION("""COMPUTED_VALUE"""),0.54)</f>
        <v>0.54</v>
      </c>
      <c r="J1374" s="57">
        <f>IFERROR(__xludf.DUMMYFUNCTION("""COMPUTED_VALUE"""),5.62)</f>
        <v>5.62</v>
      </c>
      <c r="K1374" s="3"/>
      <c r="L1374" s="3"/>
      <c r="M1374" s="3"/>
      <c r="N1374" s="3"/>
      <c r="O1374" s="3"/>
      <c r="P1374" s="3"/>
      <c r="Q1374" s="3"/>
      <c r="R1374" s="3">
        <f>IFERROR(__xludf.DUMMYFUNCTION("""COMPUTED_VALUE"""),0.0)</f>
        <v>0</v>
      </c>
      <c r="S1374" s="3"/>
      <c r="T1374" s="5"/>
      <c r="U1374" s="5"/>
      <c r="V1374" s="5"/>
      <c r="W1374" s="5" t="str">
        <f>IFERROR(__xludf.DUMMYFUNCTION("""COMPUTED_VALUE"""),"Simon")</f>
        <v>Simon</v>
      </c>
    </row>
    <row r="1375" ht="15.75" customHeight="1">
      <c r="A1375" s="3">
        <f>IFERROR(__xludf.DUMMYFUNCTION("""COMPUTED_VALUE"""),1375.0)</f>
        <v>1375</v>
      </c>
      <c r="B1375" s="53">
        <f>IFERROR(__xludf.DUMMYFUNCTION("""COMPUTED_VALUE"""),45784.0)</f>
        <v>45784</v>
      </c>
      <c r="C1375" s="3">
        <f>IFERROR(__xludf.DUMMYFUNCTION("""COMPUTED_VALUE"""),115.0)</f>
        <v>115</v>
      </c>
      <c r="D1375" s="3"/>
      <c r="E1375" s="54">
        <f>IFERROR(__xludf.DUMMYFUNCTION("""COMPUTED_VALUE"""),125300.0)</f>
        <v>125300</v>
      </c>
      <c r="F1375" s="3" t="str">
        <f>IFERROR(__xludf.DUMMYFUNCTION("""COMPUTED_VALUE"""),"Cabernet sauvignon Rat 2388/25")</f>
        <v>Cabernet sauvignon Rat 2388/25</v>
      </c>
      <c r="G1375" s="3"/>
      <c r="H1375" s="3"/>
      <c r="I1375" s="3"/>
      <c r="J1375" s="3"/>
      <c r="K1375" s="3"/>
      <c r="L1375" s="3"/>
      <c r="M1375" s="3"/>
      <c r="N1375" s="3"/>
      <c r="O1375" s="3">
        <f>IFERROR(__xludf.DUMMYFUNCTION("""COMPUTED_VALUE"""),311.0)</f>
        <v>311</v>
      </c>
      <c r="P1375" s="3">
        <f>IFERROR(__xludf.DUMMYFUNCTION("""COMPUTED_VALUE"""),484.0)</f>
        <v>484</v>
      </c>
      <c r="Q1375" s="3"/>
      <c r="R1375" s="3">
        <f>IFERROR(__xludf.DUMMYFUNCTION("""COMPUTED_VALUE"""),795.0)</f>
        <v>795</v>
      </c>
      <c r="S1375" s="54">
        <f>IFERROR(__xludf.DUMMYFUNCTION("""COMPUTED_VALUE"""),1237.234726688103)</f>
        <v>1237.234727</v>
      </c>
      <c r="T1375" s="5"/>
      <c r="U1375" s="5"/>
      <c r="V1375" s="5"/>
      <c r="W1375" s="5"/>
    </row>
    <row r="1376" ht="15.75" customHeight="1">
      <c r="A1376" s="3">
        <f>IFERROR(__xludf.DUMMYFUNCTION("""COMPUTED_VALUE"""),1376.0)</f>
        <v>1376</v>
      </c>
      <c r="B1376" s="53">
        <f>IFERROR(__xludf.DUMMYFUNCTION("""COMPUTED_VALUE"""),45785.0)</f>
        <v>45785</v>
      </c>
      <c r="C1376" s="3">
        <f>IFERROR(__xludf.DUMMYFUNCTION("""COMPUTED_VALUE"""),85.0)</f>
        <v>85</v>
      </c>
      <c r="D1376" s="3" t="str">
        <f>IFERROR(__xludf.DUMMYFUNCTION("""COMPUTED_VALUE"""),"33b26126")</f>
        <v>33b26126</v>
      </c>
      <c r="E1376" s="54">
        <f>IFERROR(__xludf.DUMMYFUNCTION("""COMPUTED_VALUE"""),84000.0)</f>
        <v>84000</v>
      </c>
      <c r="F1376" s="3" t="str">
        <f>IFERROR(__xludf.DUMMYFUNCTION("""COMPUTED_VALUE"""),"Malbec Dulc")</f>
        <v>Malbec Dulc</v>
      </c>
      <c r="G1376" s="3"/>
      <c r="H1376" s="3"/>
      <c r="I1376" s="3"/>
      <c r="J1376" s="3"/>
      <c r="K1376" s="57">
        <f>IFERROR(__xludf.DUMMYFUNCTION("""COMPUTED_VALUE"""),3.63)</f>
        <v>3.63</v>
      </c>
      <c r="L1376" s="3"/>
      <c r="M1376" s="3"/>
      <c r="N1376" s="3"/>
      <c r="O1376" s="3"/>
      <c r="P1376" s="3"/>
      <c r="Q1376" s="3"/>
      <c r="R1376" s="3">
        <f>IFERROR(__xludf.DUMMYFUNCTION("""COMPUTED_VALUE"""),0.0)</f>
        <v>0</v>
      </c>
      <c r="S1376" s="3"/>
      <c r="T1376" s="5"/>
      <c r="U1376" s="5"/>
      <c r="V1376" s="5"/>
      <c r="W1376" s="5"/>
    </row>
    <row r="1377" ht="15.75" customHeight="1">
      <c r="A1377" s="3">
        <f>IFERROR(__xludf.DUMMYFUNCTION("""COMPUTED_VALUE"""),1377.0)</f>
        <v>1377</v>
      </c>
      <c r="B1377" s="53">
        <f>IFERROR(__xludf.DUMMYFUNCTION("""COMPUTED_VALUE"""),45785.0)</f>
        <v>45785</v>
      </c>
      <c r="C1377" s="3">
        <f>IFERROR(__xludf.DUMMYFUNCTION("""COMPUTED_VALUE"""),65.0)</f>
        <v>65</v>
      </c>
      <c r="D1377" s="3" t="str">
        <f>IFERROR(__xludf.DUMMYFUNCTION("""COMPUTED_VALUE"""),"91b01170")</f>
        <v>91b01170</v>
      </c>
      <c r="E1377" s="54">
        <f>IFERROR(__xludf.DUMMYFUNCTION("""COMPUTED_VALUE"""),35500.0)</f>
        <v>35500</v>
      </c>
      <c r="F1377" s="3" t="str">
        <f>IFERROR(__xludf.DUMMYFUNCTION("""COMPUTED_VALUE"""),"Malbec Dulc")</f>
        <v>Malbec Dulc</v>
      </c>
      <c r="G1377" s="3"/>
      <c r="H1377" s="3"/>
      <c r="I1377" s="3"/>
      <c r="J1377" s="3"/>
      <c r="K1377" s="57">
        <f>IFERROR(__xludf.DUMMYFUNCTION("""COMPUTED_VALUE"""),3.63)</f>
        <v>3.63</v>
      </c>
      <c r="L1377" s="3"/>
      <c r="M1377" s="3"/>
      <c r="N1377" s="3"/>
      <c r="O1377" s="3"/>
      <c r="P1377" s="3"/>
      <c r="Q1377" s="3"/>
      <c r="R1377" s="3">
        <f>IFERROR(__xludf.DUMMYFUNCTION("""COMPUTED_VALUE"""),0.0)</f>
        <v>0</v>
      </c>
      <c r="S1377" s="3"/>
      <c r="T1377" s="5"/>
      <c r="U1377" s="5"/>
      <c r="V1377" s="5"/>
      <c r="W1377" s="5"/>
    </row>
    <row r="1378" ht="15.75" customHeight="1">
      <c r="A1378" s="3">
        <f>IFERROR(__xludf.DUMMYFUNCTION("""COMPUTED_VALUE"""),1378.0)</f>
        <v>1378</v>
      </c>
      <c r="B1378" s="53">
        <f>IFERROR(__xludf.DUMMYFUNCTION("""COMPUTED_VALUE"""),45785.0)</f>
        <v>45785</v>
      </c>
      <c r="C1378" s="3">
        <f>IFERROR(__xludf.DUMMYFUNCTION("""COMPUTED_VALUE"""),66.0)</f>
        <v>66</v>
      </c>
      <c r="D1378" s="3" t="str">
        <f>IFERROR(__xludf.DUMMYFUNCTION("""COMPUTED_VALUE"""),"7b01278e")</f>
        <v>7b01278e</v>
      </c>
      <c r="E1378" s="54">
        <f>IFERROR(__xludf.DUMMYFUNCTION("""COMPUTED_VALUE"""),15000.0)</f>
        <v>15000</v>
      </c>
      <c r="F1378" s="3" t="str">
        <f>IFERROR(__xludf.DUMMYFUNCTION("""COMPUTED_VALUE"""),"Malbec Dulc")</f>
        <v>Malbec Dulc</v>
      </c>
      <c r="G1378" s="3"/>
      <c r="H1378" s="3"/>
      <c r="I1378" s="3"/>
      <c r="J1378" s="3"/>
      <c r="K1378" s="57">
        <f>IFERROR(__xludf.DUMMYFUNCTION("""COMPUTED_VALUE"""),3.62)</f>
        <v>3.62</v>
      </c>
      <c r="L1378" s="3"/>
      <c r="M1378" s="3"/>
      <c r="N1378" s="3"/>
      <c r="O1378" s="3"/>
      <c r="P1378" s="3"/>
      <c r="Q1378" s="3"/>
      <c r="R1378" s="3">
        <f>IFERROR(__xludf.DUMMYFUNCTION("""COMPUTED_VALUE"""),0.0)</f>
        <v>0</v>
      </c>
      <c r="S1378" s="3"/>
      <c r="T1378" s="5"/>
      <c r="U1378" s="5"/>
      <c r="V1378" s="5"/>
      <c r="W1378" s="5"/>
    </row>
    <row r="1379" ht="15.75" customHeight="1">
      <c r="A1379" s="3">
        <f>IFERROR(__xludf.DUMMYFUNCTION("""COMPUTED_VALUE"""),1379.0)</f>
        <v>1379</v>
      </c>
      <c r="B1379" s="53">
        <f>IFERROR(__xludf.DUMMYFUNCTION("""COMPUTED_VALUE"""),45785.0)</f>
        <v>45785</v>
      </c>
      <c r="C1379" s="3">
        <f>IFERROR(__xludf.DUMMYFUNCTION("""COMPUTED_VALUE"""),121.0)</f>
        <v>121</v>
      </c>
      <c r="D1379" s="3" t="str">
        <f>IFERROR(__xludf.DUMMYFUNCTION("""COMPUTED_VALUE"""),"5c542a1f")</f>
        <v>5c542a1f</v>
      </c>
      <c r="E1379" s="54">
        <f>IFERROR(__xludf.DUMMYFUNCTION("""COMPUTED_VALUE"""),85800.0)</f>
        <v>85800</v>
      </c>
      <c r="F1379" s="3" t="str">
        <f>IFERROR(__xludf.DUMMYFUNCTION("""COMPUTED_VALUE"""),"Malbec Mec")</f>
        <v>Malbec Mec</v>
      </c>
      <c r="G1379" s="3"/>
      <c r="H1379" s="3"/>
      <c r="I1379" s="3"/>
      <c r="J1379" s="3"/>
      <c r="K1379" s="57">
        <f>IFERROR(__xludf.DUMMYFUNCTION("""COMPUTED_VALUE"""),3.97)</f>
        <v>3.97</v>
      </c>
      <c r="L1379" s="3"/>
      <c r="M1379" s="3"/>
      <c r="N1379" s="3"/>
      <c r="O1379" s="3"/>
      <c r="P1379" s="3"/>
      <c r="Q1379" s="3"/>
      <c r="R1379" s="3">
        <f>IFERROR(__xludf.DUMMYFUNCTION("""COMPUTED_VALUE"""),0.0)</f>
        <v>0</v>
      </c>
      <c r="S1379" s="3"/>
      <c r="T1379" s="5"/>
      <c r="U1379" s="5"/>
      <c r="V1379" s="5"/>
      <c r="W1379" s="5"/>
    </row>
    <row r="1380" ht="15.75" customHeight="1">
      <c r="A1380" s="3">
        <f>IFERROR(__xludf.DUMMYFUNCTION("""COMPUTED_VALUE"""),1380.0)</f>
        <v>1380</v>
      </c>
      <c r="B1380" s="53">
        <f>IFERROR(__xludf.DUMMYFUNCTION("""COMPUTED_VALUE"""),45785.0)</f>
        <v>45785</v>
      </c>
      <c r="C1380" s="3">
        <f>IFERROR(__xludf.DUMMYFUNCTION("""COMPUTED_VALUE"""),81.0)</f>
        <v>81</v>
      </c>
      <c r="D1380" s="3" t="str">
        <f>IFERROR(__xludf.DUMMYFUNCTION("""COMPUTED_VALUE"""),"#REF!")</f>
        <v>#REF!</v>
      </c>
      <c r="E1380" s="54">
        <f>IFERROR(__xludf.DUMMYFUNCTION("""COMPUTED_VALUE"""),9000.0)</f>
        <v>9000</v>
      </c>
      <c r="F1380" s="3" t="str">
        <f>IFERROR(__xludf.DUMMYFUNCTION("""COMPUTED_VALUE"""),"Cabernet Sauvignon Rat 2388/25")</f>
        <v>Cabernet Sauvignon Rat 2388/25</v>
      </c>
      <c r="G1380" s="3"/>
      <c r="H1380" s="3"/>
      <c r="I1380" s="3"/>
      <c r="J1380" s="3"/>
      <c r="K1380" s="3"/>
      <c r="L1380" s="3"/>
      <c r="M1380" s="3"/>
      <c r="N1380" s="3"/>
      <c r="O1380" s="3">
        <f>IFERROR(__xludf.DUMMYFUNCTION("""COMPUTED_VALUE"""),310.0)</f>
        <v>310</v>
      </c>
      <c r="P1380" s="3">
        <f>IFERROR(__xludf.DUMMYFUNCTION("""COMPUTED_VALUE"""),481.0)</f>
        <v>481</v>
      </c>
      <c r="Q1380" s="3"/>
      <c r="R1380" s="3">
        <f>IFERROR(__xludf.DUMMYFUNCTION("""COMPUTED_VALUE"""),791.0)</f>
        <v>791</v>
      </c>
      <c r="S1380" s="54">
        <f>IFERROR(__xludf.DUMMYFUNCTION("""COMPUTED_VALUE"""),1227.3258064516128)</f>
        <v>1227.325806</v>
      </c>
      <c r="T1380" s="5"/>
      <c r="U1380" s="5"/>
      <c r="V1380" s="5"/>
      <c r="W1380" s="5"/>
    </row>
    <row r="1381" ht="15.75" customHeight="1">
      <c r="A1381" s="3">
        <f>IFERROR(__xludf.DUMMYFUNCTION("""COMPUTED_VALUE"""),1381.0)</f>
        <v>1381</v>
      </c>
      <c r="B1381" s="53">
        <f>IFERROR(__xludf.DUMMYFUNCTION("""COMPUTED_VALUE"""),45785.0)</f>
        <v>45785</v>
      </c>
      <c r="C1381" s="3">
        <f>IFERROR(__xludf.DUMMYFUNCTION("""COMPUTED_VALUE"""),102.0)</f>
        <v>102</v>
      </c>
      <c r="D1381" s="3" t="str">
        <f>IFERROR(__xludf.DUMMYFUNCTION("""COMPUTED_VALUE"""),"cbf4bbc1")</f>
        <v>cbf4bbc1</v>
      </c>
      <c r="E1381" s="54">
        <f>IFERROR(__xludf.DUMMYFUNCTION("""COMPUTED_VALUE"""),31000.0)</f>
        <v>31000</v>
      </c>
      <c r="F1381" s="3" t="str">
        <f>IFERROR(__xludf.DUMMYFUNCTION("""COMPUTED_VALUE"""),"Bonarda")</f>
        <v>Bonarda</v>
      </c>
      <c r="G1381" s="3"/>
      <c r="H1381" s="3"/>
      <c r="I1381" s="3"/>
      <c r="J1381" s="3"/>
      <c r="K1381" s="3"/>
      <c r="L1381" s="54">
        <f>IFERROR(__xludf.DUMMYFUNCTION("""COMPUTED_VALUE"""),28.0)</f>
        <v>28</v>
      </c>
      <c r="M1381" s="3">
        <f>IFERROR(__xludf.DUMMYFUNCTION("""COMPUTED_VALUE"""),109.0)</f>
        <v>109</v>
      </c>
      <c r="N1381" s="3"/>
      <c r="O1381" s="3"/>
      <c r="P1381" s="3"/>
      <c r="Q1381" s="3"/>
      <c r="R1381" s="3">
        <f>IFERROR(__xludf.DUMMYFUNCTION("""COMPUTED_VALUE"""),0.0)</f>
        <v>0</v>
      </c>
      <c r="S1381" s="3"/>
      <c r="T1381" s="5"/>
      <c r="U1381" s="5"/>
      <c r="V1381" s="5"/>
      <c r="W1381" s="5"/>
    </row>
    <row r="1382" ht="15.75" customHeight="1">
      <c r="A1382" s="3">
        <f>IFERROR(__xludf.DUMMYFUNCTION("""COMPUTED_VALUE"""),1382.0)</f>
        <v>1382</v>
      </c>
      <c r="B1382" s="53">
        <f>IFERROR(__xludf.DUMMYFUNCTION("""COMPUTED_VALUE"""),45785.0)</f>
        <v>45785</v>
      </c>
      <c r="C1382" s="3">
        <f>IFERROR(__xludf.DUMMYFUNCTION("""COMPUTED_VALUE"""),103.0)</f>
        <v>103</v>
      </c>
      <c r="D1382" s="3" t="str">
        <f>IFERROR(__xludf.DUMMYFUNCTION("""COMPUTED_VALUE"""),"d0071dd4")</f>
        <v>d0071dd4</v>
      </c>
      <c r="E1382" s="54">
        <f>IFERROR(__xludf.DUMMYFUNCTION("""COMPUTED_VALUE"""),31000.0)</f>
        <v>31000</v>
      </c>
      <c r="F1382" s="3" t="str">
        <f>IFERROR(__xludf.DUMMYFUNCTION("""COMPUTED_VALUE"""),"Bonarda")</f>
        <v>Bonarda</v>
      </c>
      <c r="G1382" s="3"/>
      <c r="H1382" s="3"/>
      <c r="I1382" s="3"/>
      <c r="J1382" s="3"/>
      <c r="K1382" s="3"/>
      <c r="L1382" s="54">
        <f>IFERROR(__xludf.DUMMYFUNCTION("""COMPUTED_VALUE"""),29.0)</f>
        <v>29</v>
      </c>
      <c r="M1382" s="3">
        <f>IFERROR(__xludf.DUMMYFUNCTION("""COMPUTED_VALUE"""),109.0)</f>
        <v>109</v>
      </c>
      <c r="N1382" s="3"/>
      <c r="O1382" s="3"/>
      <c r="P1382" s="3"/>
      <c r="Q1382" s="3"/>
      <c r="R1382" s="3">
        <f>IFERROR(__xludf.DUMMYFUNCTION("""COMPUTED_VALUE"""),0.0)</f>
        <v>0</v>
      </c>
      <c r="S1382" s="3"/>
      <c r="T1382" s="5"/>
      <c r="U1382" s="5"/>
      <c r="V1382" s="5"/>
      <c r="W1382" s="5"/>
    </row>
    <row r="1383" ht="15.75" customHeight="1">
      <c r="A1383" s="3">
        <f>IFERROR(__xludf.DUMMYFUNCTION("""COMPUTED_VALUE"""),1383.0)</f>
        <v>1383</v>
      </c>
      <c r="B1383" s="53">
        <f>IFERROR(__xludf.DUMMYFUNCTION("""COMPUTED_VALUE"""),45785.0)</f>
        <v>45785</v>
      </c>
      <c r="C1383" s="3">
        <f>IFERROR(__xludf.DUMMYFUNCTION("""COMPUTED_VALUE"""),104.0)</f>
        <v>104</v>
      </c>
      <c r="D1383" s="3" t="str">
        <f>IFERROR(__xludf.DUMMYFUNCTION("""COMPUTED_VALUE"""),"1828d39f")</f>
        <v>1828d39f</v>
      </c>
      <c r="E1383" s="54">
        <f>IFERROR(__xludf.DUMMYFUNCTION("""COMPUTED_VALUE"""),31000.0)</f>
        <v>31000</v>
      </c>
      <c r="F1383" s="3" t="str">
        <f>IFERROR(__xludf.DUMMYFUNCTION("""COMPUTED_VALUE"""),"Bonarda")</f>
        <v>Bonarda</v>
      </c>
      <c r="G1383" s="3"/>
      <c r="H1383" s="3"/>
      <c r="I1383" s="3"/>
      <c r="J1383" s="3"/>
      <c r="K1383" s="3"/>
      <c r="L1383" s="54">
        <f>IFERROR(__xludf.DUMMYFUNCTION("""COMPUTED_VALUE"""),32.0)</f>
        <v>32</v>
      </c>
      <c r="M1383" s="3">
        <f>IFERROR(__xludf.DUMMYFUNCTION("""COMPUTED_VALUE"""),106.0)</f>
        <v>106</v>
      </c>
      <c r="N1383" s="3"/>
      <c r="O1383" s="3"/>
      <c r="P1383" s="3"/>
      <c r="Q1383" s="3"/>
      <c r="R1383" s="3">
        <f>IFERROR(__xludf.DUMMYFUNCTION("""COMPUTED_VALUE"""),0.0)</f>
        <v>0</v>
      </c>
      <c r="S1383" s="3"/>
      <c r="T1383" s="5"/>
      <c r="U1383" s="5"/>
      <c r="V1383" s="5"/>
      <c r="W1383" s="5"/>
    </row>
    <row r="1384" ht="15.75" customHeight="1">
      <c r="A1384" s="3">
        <f>IFERROR(__xludf.DUMMYFUNCTION("""COMPUTED_VALUE"""),1384.0)</f>
        <v>1384</v>
      </c>
      <c r="B1384" s="53">
        <f>IFERROR(__xludf.DUMMYFUNCTION("""COMPUTED_VALUE"""),45785.0)</f>
        <v>45785</v>
      </c>
      <c r="C1384" s="3">
        <f>IFERROR(__xludf.DUMMYFUNCTION("""COMPUTED_VALUE"""),105.0)</f>
        <v>105</v>
      </c>
      <c r="D1384" s="3" t="str">
        <f>IFERROR(__xludf.DUMMYFUNCTION("""COMPUTED_VALUE"""),"ddc627ec")</f>
        <v>ddc627ec</v>
      </c>
      <c r="E1384" s="54">
        <f>IFERROR(__xludf.DUMMYFUNCTION("""COMPUTED_VALUE"""),31000.0)</f>
        <v>31000</v>
      </c>
      <c r="F1384" s="3" t="str">
        <f>IFERROR(__xludf.DUMMYFUNCTION("""COMPUTED_VALUE"""),"Bonarda")</f>
        <v>Bonarda</v>
      </c>
      <c r="G1384" s="3"/>
      <c r="H1384" s="3"/>
      <c r="I1384" s="3"/>
      <c r="J1384" s="3"/>
      <c r="K1384" s="3"/>
      <c r="L1384" s="54">
        <f>IFERROR(__xludf.DUMMYFUNCTION("""COMPUTED_VALUE"""),32.0)</f>
        <v>32</v>
      </c>
      <c r="M1384" s="3">
        <f>IFERROR(__xludf.DUMMYFUNCTION("""COMPUTED_VALUE"""),108.0)</f>
        <v>108</v>
      </c>
      <c r="N1384" s="3"/>
      <c r="O1384" s="3"/>
      <c r="P1384" s="3"/>
      <c r="Q1384" s="3"/>
      <c r="R1384" s="3">
        <f>IFERROR(__xludf.DUMMYFUNCTION("""COMPUTED_VALUE"""),0.0)</f>
        <v>0</v>
      </c>
      <c r="S1384" s="3"/>
      <c r="T1384" s="5"/>
      <c r="U1384" s="5"/>
      <c r="V1384" s="5"/>
      <c r="W1384" s="5"/>
    </row>
    <row r="1385" ht="15.75" customHeight="1">
      <c r="A1385" s="3">
        <f>IFERROR(__xludf.DUMMYFUNCTION("""COMPUTED_VALUE"""),1385.0)</f>
        <v>1385</v>
      </c>
      <c r="B1385" s="53">
        <f>IFERROR(__xludf.DUMMYFUNCTION("""COMPUTED_VALUE"""),45785.0)</f>
        <v>45785</v>
      </c>
      <c r="C1385" s="3">
        <f>IFERROR(__xludf.DUMMYFUNCTION("""COMPUTED_VALUE"""),107.0)</f>
        <v>107</v>
      </c>
      <c r="D1385" s="3" t="str">
        <f>IFERROR(__xludf.DUMMYFUNCTION("""COMPUTED_VALUE"""),"1c302922")</f>
        <v>1c302922</v>
      </c>
      <c r="E1385" s="54">
        <f>IFERROR(__xludf.DUMMYFUNCTION("""COMPUTED_VALUE"""),31000.0)</f>
        <v>31000</v>
      </c>
      <c r="F1385" s="3" t="str">
        <f>IFERROR(__xludf.DUMMYFUNCTION("""COMPUTED_VALUE"""),"Bonarda")</f>
        <v>Bonarda</v>
      </c>
      <c r="G1385" s="3"/>
      <c r="H1385" s="3"/>
      <c r="I1385" s="3"/>
      <c r="J1385" s="3"/>
      <c r="K1385" s="3"/>
      <c r="L1385" s="54">
        <f>IFERROR(__xludf.DUMMYFUNCTION("""COMPUTED_VALUE"""),25.0)</f>
        <v>25</v>
      </c>
      <c r="M1385" s="3">
        <f>IFERROR(__xludf.DUMMYFUNCTION("""COMPUTED_VALUE"""),95.0)</f>
        <v>95</v>
      </c>
      <c r="N1385" s="3"/>
      <c r="O1385" s="3"/>
      <c r="P1385" s="3"/>
      <c r="Q1385" s="3"/>
      <c r="R1385" s="3">
        <f>IFERROR(__xludf.DUMMYFUNCTION("""COMPUTED_VALUE"""),0.0)</f>
        <v>0</v>
      </c>
      <c r="S1385" s="3"/>
      <c r="T1385" s="5"/>
      <c r="U1385" s="5"/>
      <c r="V1385" s="5"/>
      <c r="W1385" s="5"/>
    </row>
    <row r="1386" ht="15.75" customHeight="1">
      <c r="A1386" s="3">
        <f>IFERROR(__xludf.DUMMYFUNCTION("""COMPUTED_VALUE"""),1386.0)</f>
        <v>1386</v>
      </c>
      <c r="B1386" s="53">
        <f>IFERROR(__xludf.DUMMYFUNCTION("""COMPUTED_VALUE"""),45785.0)</f>
        <v>45785</v>
      </c>
      <c r="C1386" s="3">
        <f>IFERROR(__xludf.DUMMYFUNCTION("""COMPUTED_VALUE"""),108.0)</f>
        <v>108</v>
      </c>
      <c r="D1386" s="3" t="str">
        <f>IFERROR(__xludf.DUMMYFUNCTION("""COMPUTED_VALUE"""),"ae7ca061")</f>
        <v>ae7ca061</v>
      </c>
      <c r="E1386" s="54">
        <f>IFERROR(__xludf.DUMMYFUNCTION("""COMPUTED_VALUE"""),31000.0)</f>
        <v>31000</v>
      </c>
      <c r="F1386" s="3" t="str">
        <f>IFERROR(__xludf.DUMMYFUNCTION("""COMPUTED_VALUE"""),"Bonarda")</f>
        <v>Bonarda</v>
      </c>
      <c r="G1386" s="3"/>
      <c r="H1386" s="3"/>
      <c r="I1386" s="3"/>
      <c r="J1386" s="3"/>
      <c r="K1386" s="3"/>
      <c r="L1386" s="54">
        <f>IFERROR(__xludf.DUMMYFUNCTION("""COMPUTED_VALUE"""),25.0)</f>
        <v>25</v>
      </c>
      <c r="M1386" s="3">
        <f>IFERROR(__xludf.DUMMYFUNCTION("""COMPUTED_VALUE"""),102.0)</f>
        <v>102</v>
      </c>
      <c r="N1386" s="3"/>
      <c r="O1386" s="3"/>
      <c r="P1386" s="3"/>
      <c r="Q1386" s="3"/>
      <c r="R1386" s="3">
        <f>IFERROR(__xludf.DUMMYFUNCTION("""COMPUTED_VALUE"""),0.0)</f>
        <v>0</v>
      </c>
      <c r="S1386" s="3"/>
      <c r="T1386" s="5"/>
      <c r="U1386" s="5"/>
      <c r="V1386" s="5"/>
      <c r="W1386" s="5"/>
    </row>
    <row r="1387" ht="15.75" customHeight="1">
      <c r="A1387" s="3">
        <f>IFERROR(__xludf.DUMMYFUNCTION("""COMPUTED_VALUE"""),1387.0)</f>
        <v>1387</v>
      </c>
      <c r="B1387" s="53">
        <f>IFERROR(__xludf.DUMMYFUNCTION("""COMPUTED_VALUE"""),45785.0)</f>
        <v>45785</v>
      </c>
      <c r="C1387" s="3">
        <f>IFERROR(__xludf.DUMMYFUNCTION("""COMPUTED_VALUE"""),65.0)</f>
        <v>65</v>
      </c>
      <c r="D1387" s="3" t="str">
        <f>IFERROR(__xludf.DUMMYFUNCTION("""COMPUTED_VALUE"""),"91b01170")</f>
        <v>91b01170</v>
      </c>
      <c r="E1387" s="54">
        <f>IFERROR(__xludf.DUMMYFUNCTION("""COMPUTED_VALUE"""),35500.0)</f>
        <v>35500</v>
      </c>
      <c r="F1387" s="3" t="str">
        <f>IFERROR(__xludf.DUMMYFUNCTION("""COMPUTED_VALUE"""),"Malbec Dulc")</f>
        <v>Malbec Dulc</v>
      </c>
      <c r="G1387" s="3"/>
      <c r="H1387" s="3"/>
      <c r="I1387" s="3"/>
      <c r="J1387" s="3"/>
      <c r="K1387" s="3"/>
      <c r="L1387" s="54">
        <f>IFERROR(__xludf.DUMMYFUNCTION("""COMPUTED_VALUE"""),12.0)</f>
        <v>12</v>
      </c>
      <c r="M1387" s="3">
        <f>IFERROR(__xludf.DUMMYFUNCTION("""COMPUTED_VALUE"""),115.0)</f>
        <v>115</v>
      </c>
      <c r="N1387" s="3"/>
      <c r="O1387" s="3"/>
      <c r="P1387" s="3"/>
      <c r="Q1387" s="3"/>
      <c r="R1387" s="3">
        <f>IFERROR(__xludf.DUMMYFUNCTION("""COMPUTED_VALUE"""),0.0)</f>
        <v>0</v>
      </c>
      <c r="S1387" s="3"/>
      <c r="T1387" s="5"/>
      <c r="U1387" s="5"/>
      <c r="V1387" s="5"/>
      <c r="W1387" s="5"/>
    </row>
    <row r="1388" ht="15.75" customHeight="1">
      <c r="A1388" s="3">
        <f>IFERROR(__xludf.DUMMYFUNCTION("""COMPUTED_VALUE"""),1388.0)</f>
        <v>1388</v>
      </c>
      <c r="B1388" s="53">
        <f>IFERROR(__xludf.DUMMYFUNCTION("""COMPUTED_VALUE"""),45785.0)</f>
        <v>45785</v>
      </c>
      <c r="C1388" s="3">
        <f>IFERROR(__xludf.DUMMYFUNCTION("""COMPUTED_VALUE"""),66.0)</f>
        <v>66</v>
      </c>
      <c r="D1388" s="3" t="str">
        <f>IFERROR(__xludf.DUMMYFUNCTION("""COMPUTED_VALUE"""),"95f6ad50")</f>
        <v>95f6ad50</v>
      </c>
      <c r="E1388" s="54">
        <f>IFERROR(__xludf.DUMMYFUNCTION("""COMPUTED_VALUE"""),15000.0)</f>
        <v>15000</v>
      </c>
      <c r="F1388" s="3" t="str">
        <f>IFERROR(__xludf.DUMMYFUNCTION("""COMPUTED_VALUE"""),"Malbec Dulc")</f>
        <v>Malbec Dulc</v>
      </c>
      <c r="G1388" s="3"/>
      <c r="H1388" s="3"/>
      <c r="I1388" s="3"/>
      <c r="J1388" s="3"/>
      <c r="K1388" s="3"/>
      <c r="L1388" s="54">
        <f>IFERROR(__xludf.DUMMYFUNCTION("""COMPUTED_VALUE"""),12.0)</f>
        <v>12</v>
      </c>
      <c r="M1388" s="3"/>
      <c r="N1388" s="3"/>
      <c r="O1388" s="3"/>
      <c r="P1388" s="3"/>
      <c r="Q1388" s="3"/>
      <c r="R1388" s="3">
        <f>IFERROR(__xludf.DUMMYFUNCTION("""COMPUTED_VALUE"""),0.0)</f>
        <v>0</v>
      </c>
      <c r="S1388" s="3"/>
      <c r="T1388" s="5"/>
      <c r="U1388" s="5"/>
      <c r="V1388" s="5"/>
      <c r="W1388" s="5"/>
    </row>
    <row r="1389" ht="15.75" customHeight="1">
      <c r="A1389" s="3">
        <f>IFERROR(__xludf.DUMMYFUNCTION("""COMPUTED_VALUE"""),1389.0)</f>
        <v>1389</v>
      </c>
      <c r="B1389" s="53">
        <f>IFERROR(__xludf.DUMMYFUNCTION("""COMPUTED_VALUE"""),45785.0)</f>
        <v>45785</v>
      </c>
      <c r="C1389" s="3">
        <f>IFERROR(__xludf.DUMMYFUNCTION("""COMPUTED_VALUE"""),85.0)</f>
        <v>85</v>
      </c>
      <c r="D1389" s="3" t="str">
        <f>IFERROR(__xludf.DUMMYFUNCTION("""COMPUTED_VALUE"""),"33b26126")</f>
        <v>33b26126</v>
      </c>
      <c r="E1389" s="54">
        <f>IFERROR(__xludf.DUMMYFUNCTION("""COMPUTED_VALUE"""),84000.0)</f>
        <v>84000</v>
      </c>
      <c r="F1389" s="3" t="str">
        <f>IFERROR(__xludf.DUMMYFUNCTION("""COMPUTED_VALUE"""),"Malbec Dulc")</f>
        <v>Malbec Dulc</v>
      </c>
      <c r="G1389" s="3"/>
      <c r="H1389" s="3"/>
      <c r="I1389" s="3"/>
      <c r="J1389" s="3"/>
      <c r="K1389" s="3"/>
      <c r="L1389" s="54">
        <f>IFERROR(__xludf.DUMMYFUNCTION("""COMPUTED_VALUE"""),12.0)</f>
        <v>12</v>
      </c>
      <c r="M1389" s="3"/>
      <c r="N1389" s="3"/>
      <c r="O1389" s="3"/>
      <c r="P1389" s="3"/>
      <c r="Q1389" s="3"/>
      <c r="R1389" s="3">
        <f>IFERROR(__xludf.DUMMYFUNCTION("""COMPUTED_VALUE"""),0.0)</f>
        <v>0</v>
      </c>
      <c r="S1389" s="3"/>
      <c r="T1389" s="5"/>
      <c r="U1389" s="5"/>
      <c r="V1389" s="5"/>
      <c r="W1389" s="5"/>
    </row>
    <row r="1390" ht="15.75" customHeight="1">
      <c r="A1390" s="3">
        <f>IFERROR(__xludf.DUMMYFUNCTION("""COMPUTED_VALUE"""),1390.0)</f>
        <v>1390</v>
      </c>
      <c r="B1390" s="53">
        <f>IFERROR(__xludf.DUMMYFUNCTION("""COMPUTED_VALUE"""),45786.0)</f>
        <v>45786</v>
      </c>
      <c r="C1390" s="3">
        <f>IFERROR(__xludf.DUMMYFUNCTION("""COMPUTED_VALUE"""),77.0)</f>
        <v>77</v>
      </c>
      <c r="D1390" s="3" t="str">
        <f>IFERROR(__xludf.DUMMYFUNCTION("""COMPUTED_VALUE"""),"da2b6cac")</f>
        <v>da2b6cac</v>
      </c>
      <c r="E1390" s="54">
        <f>IFERROR(__xludf.DUMMYFUNCTION("""COMPUTED_VALUE"""),14800.0)</f>
        <v>14800</v>
      </c>
      <c r="F1390" s="3" t="str">
        <f>IFERROR(__xludf.DUMMYFUNCTION("""COMPUTED_VALUE"""),"Tinto s/Bonarda")</f>
        <v>Tinto s/Bonarda</v>
      </c>
      <c r="G1390" s="3"/>
      <c r="H1390" s="56">
        <f>IFERROR(__xludf.DUMMYFUNCTION("""COMPUTED_VALUE"""),4.8)</f>
        <v>4.8</v>
      </c>
      <c r="I1390" s="57">
        <f>IFERROR(__xludf.DUMMYFUNCTION("""COMPUTED_VALUE"""),0.45)</f>
        <v>0.45</v>
      </c>
      <c r="J1390" s="3"/>
      <c r="K1390" s="57">
        <f>IFERROR(__xludf.DUMMYFUNCTION("""COMPUTED_VALUE"""),3.8)</f>
        <v>3.8</v>
      </c>
      <c r="L1390" s="54">
        <f>IFERROR(__xludf.DUMMYFUNCTION("""COMPUTED_VALUE"""),20.0)</f>
        <v>20</v>
      </c>
      <c r="M1390" s="3"/>
      <c r="N1390" s="3"/>
      <c r="O1390" s="3"/>
      <c r="P1390" s="3"/>
      <c r="Q1390" s="3"/>
      <c r="R1390" s="3">
        <f>IFERROR(__xludf.DUMMYFUNCTION("""COMPUTED_VALUE"""),0.0)</f>
        <v>0</v>
      </c>
      <c r="S1390" s="3"/>
      <c r="T1390" s="5"/>
      <c r="U1390" s="5"/>
      <c r="V1390" s="5"/>
      <c r="W1390" s="5"/>
    </row>
    <row r="1391" ht="15.75" customHeight="1">
      <c r="A1391" s="3">
        <f>IFERROR(__xludf.DUMMYFUNCTION("""COMPUTED_VALUE"""),1391.0)</f>
        <v>1391</v>
      </c>
      <c r="B1391" s="53">
        <f>IFERROR(__xludf.DUMMYFUNCTION("""COMPUTED_VALUE"""),45786.0)</f>
        <v>45786</v>
      </c>
      <c r="C1391" s="3">
        <f>IFERROR(__xludf.DUMMYFUNCTION("""COMPUTED_VALUE"""),114.0)</f>
        <v>114</v>
      </c>
      <c r="D1391" s="3" t="str">
        <f>IFERROR(__xludf.DUMMYFUNCTION("""COMPUTED_VALUE"""),"f80e7320")</f>
        <v>f80e7320</v>
      </c>
      <c r="E1391" s="54">
        <f>IFERROR(__xludf.DUMMYFUNCTION("""COMPUTED_VALUE"""),125300.0)</f>
        <v>125300</v>
      </c>
      <c r="F1391" s="3" t="str">
        <f>IFERROR(__xludf.DUMMYFUNCTION("""COMPUTED_VALUE"""),"Syrah Tempranillo")</f>
        <v>Syrah Tempranillo</v>
      </c>
      <c r="G1391" s="3"/>
      <c r="H1391" s="56">
        <f>IFERROR(__xludf.DUMMYFUNCTION("""COMPUTED_VALUE"""),4.0)</f>
        <v>4</v>
      </c>
      <c r="I1391" s="57">
        <f>IFERROR(__xludf.DUMMYFUNCTION("""COMPUTED_VALUE"""),0.61)</f>
        <v>0.61</v>
      </c>
      <c r="J1391" s="57">
        <f>IFERROR(__xludf.DUMMYFUNCTION("""COMPUTED_VALUE"""),5.0)</f>
        <v>5</v>
      </c>
      <c r="K1391" s="57">
        <f>IFERROR(__xludf.DUMMYFUNCTION("""COMPUTED_VALUE"""),3.83)</f>
        <v>3.83</v>
      </c>
      <c r="L1391" s="54">
        <f>IFERROR(__xludf.DUMMYFUNCTION("""COMPUTED_VALUE"""),25.0)</f>
        <v>25</v>
      </c>
      <c r="M1391" s="3">
        <f>IFERROR(__xludf.DUMMYFUNCTION("""COMPUTED_VALUE"""),130.0)</f>
        <v>130</v>
      </c>
      <c r="N1391" s="3"/>
      <c r="O1391" s="3"/>
      <c r="P1391" s="3"/>
      <c r="Q1391" s="3"/>
      <c r="R1391" s="3">
        <f>IFERROR(__xludf.DUMMYFUNCTION("""COMPUTED_VALUE"""),0.0)</f>
        <v>0</v>
      </c>
      <c r="S1391" s="3"/>
      <c r="T1391" s="5"/>
      <c r="U1391" s="5"/>
      <c r="V1391" s="5"/>
      <c r="W1391" s="5"/>
    </row>
    <row r="1392" ht="15.75" customHeight="1">
      <c r="A1392" s="3">
        <f>IFERROR(__xludf.DUMMYFUNCTION("""COMPUTED_VALUE"""),1392.0)</f>
        <v>1392</v>
      </c>
      <c r="B1392" s="53">
        <f>IFERROR(__xludf.DUMMYFUNCTION("""COMPUTED_VALUE"""),45786.0)</f>
        <v>45786</v>
      </c>
      <c r="C1392" s="3">
        <f>IFERROR(__xludf.DUMMYFUNCTION("""COMPUTED_VALUE"""),24.0)</f>
        <v>24</v>
      </c>
      <c r="D1392" s="3" t="str">
        <f>IFERROR(__xludf.DUMMYFUNCTION("""COMPUTED_VALUE"""),"1eaa1fc2")</f>
        <v>1eaa1fc2</v>
      </c>
      <c r="E1392" s="54">
        <f>IFERROR(__xludf.DUMMYFUNCTION("""COMPUTED_VALUE"""),186600.0)</f>
        <v>186600</v>
      </c>
      <c r="F1392" s="3" t="str">
        <f>IFERROR(__xludf.DUMMYFUNCTION("""COMPUTED_VALUE"""),"Malbec")</f>
        <v>Malbec</v>
      </c>
      <c r="G1392" s="3"/>
      <c r="H1392" s="3"/>
      <c r="I1392" s="3"/>
      <c r="J1392" s="3"/>
      <c r="K1392" s="3"/>
      <c r="L1392" s="54">
        <f>IFERROR(__xludf.DUMMYFUNCTION("""COMPUTED_VALUE"""),19.0)</f>
        <v>19</v>
      </c>
      <c r="M1392" s="3">
        <f>IFERROR(__xludf.DUMMYFUNCTION("""COMPUTED_VALUE"""),115.0)</f>
        <v>115</v>
      </c>
      <c r="N1392" s="3"/>
      <c r="O1392" s="3"/>
      <c r="P1392" s="3"/>
      <c r="Q1392" s="3"/>
      <c r="R1392" s="3">
        <f>IFERROR(__xludf.DUMMYFUNCTION("""COMPUTED_VALUE"""),0.0)</f>
        <v>0</v>
      </c>
      <c r="S1392" s="3"/>
      <c r="T1392" s="5"/>
      <c r="U1392" s="5"/>
      <c r="V1392" s="5"/>
      <c r="W1392" s="5"/>
    </row>
    <row r="1393" ht="15.75" customHeight="1">
      <c r="A1393" s="3">
        <f>IFERROR(__xludf.DUMMYFUNCTION("""COMPUTED_VALUE"""),1393.0)</f>
        <v>1393</v>
      </c>
      <c r="B1393" s="53">
        <f>IFERROR(__xludf.DUMMYFUNCTION("""COMPUTED_VALUE"""),45786.0)</f>
        <v>45786</v>
      </c>
      <c r="C1393" s="3">
        <f>IFERROR(__xludf.DUMMYFUNCTION("""COMPUTED_VALUE"""),12.0)</f>
        <v>12</v>
      </c>
      <c r="D1393" s="3" t="str">
        <f>IFERROR(__xludf.DUMMYFUNCTION("""COMPUTED_VALUE"""),"61f14f41")</f>
        <v>61f14f41</v>
      </c>
      <c r="E1393" s="54">
        <f>IFERROR(__xludf.DUMMYFUNCTION("""COMPUTED_VALUE"""),18000.0)</f>
        <v>18000</v>
      </c>
      <c r="F1393" s="3" t="str">
        <f>IFERROR(__xludf.DUMMYFUNCTION("""COMPUTED_VALUE"""),"Claro de Filtro")</f>
        <v>Claro de Filtro</v>
      </c>
      <c r="G1393" s="3"/>
      <c r="H1393" s="56">
        <f>IFERROR(__xludf.DUMMYFUNCTION("""COMPUTED_VALUE"""),3.52)</f>
        <v>3.52</v>
      </c>
      <c r="I1393" s="57">
        <f>IFERROR(__xludf.DUMMYFUNCTION("""COMPUTED_VALUE"""),0.67)</f>
        <v>0.67</v>
      </c>
      <c r="J1393" s="3"/>
      <c r="K1393" s="3"/>
      <c r="L1393" s="54">
        <f>IFERROR(__xludf.DUMMYFUNCTION("""COMPUTED_VALUE"""),26.0)</f>
        <v>26</v>
      </c>
      <c r="M1393" s="3"/>
      <c r="N1393" s="3"/>
      <c r="O1393" s="3"/>
      <c r="P1393" s="3"/>
      <c r="Q1393" s="3"/>
      <c r="R1393" s="3">
        <f>IFERROR(__xludf.DUMMYFUNCTION("""COMPUTED_VALUE"""),0.0)</f>
        <v>0</v>
      </c>
      <c r="S1393" s="3"/>
      <c r="T1393" s="5"/>
      <c r="U1393" s="5"/>
      <c r="V1393" s="5"/>
      <c r="W1393" s="5"/>
    </row>
    <row r="1394" ht="15.75" customHeight="1">
      <c r="A1394" s="3">
        <f>IFERROR(__xludf.DUMMYFUNCTION("""COMPUTED_VALUE"""),1394.0)</f>
        <v>1394</v>
      </c>
      <c r="B1394" s="53">
        <f>IFERROR(__xludf.DUMMYFUNCTION("""COMPUTED_VALUE"""),45786.0)</f>
        <v>45786</v>
      </c>
      <c r="C1394" s="3">
        <f>IFERROR(__xludf.DUMMYFUNCTION("""COMPUTED_VALUE"""),114.0)</f>
        <v>114</v>
      </c>
      <c r="D1394" s="3" t="str">
        <f>IFERROR(__xludf.DUMMYFUNCTION("""COMPUTED_VALUE"""),"f80e7320")</f>
        <v>f80e7320</v>
      </c>
      <c r="E1394" s="54">
        <f>IFERROR(__xludf.DUMMYFUNCTION("""COMPUTED_VALUE"""),125300.0)</f>
        <v>125300</v>
      </c>
      <c r="F1394" s="3" t="str">
        <f>IFERROR(__xludf.DUMMYFUNCTION("""COMPUTED_VALUE"""),"Syrah Tempranillo")</f>
        <v>Syrah Tempranillo</v>
      </c>
      <c r="G1394" s="3"/>
      <c r="H1394" s="3"/>
      <c r="I1394" s="3"/>
      <c r="J1394" s="3"/>
      <c r="K1394" s="3"/>
      <c r="L1394" s="3"/>
      <c r="M1394" s="3"/>
      <c r="N1394" s="3"/>
      <c r="O1394" s="3"/>
      <c r="P1394" s="3"/>
      <c r="Q1394" s="3"/>
      <c r="R1394" s="3">
        <f>IFERROR(__xludf.DUMMYFUNCTION("""COMPUTED_VALUE"""),0.0)</f>
        <v>0</v>
      </c>
      <c r="S1394" s="3"/>
      <c r="T1394" s="5"/>
      <c r="U1394" s="5"/>
      <c r="V1394" s="5"/>
      <c r="W1394" s="5"/>
    </row>
    <row r="1395" ht="15.75" customHeight="1">
      <c r="A1395" s="3">
        <f>IFERROR(__xludf.DUMMYFUNCTION("""COMPUTED_VALUE"""),1395.0)</f>
        <v>1395</v>
      </c>
      <c r="B1395" s="53">
        <f>IFERROR(__xludf.DUMMYFUNCTION("""COMPUTED_VALUE"""),45786.0)</f>
        <v>45786</v>
      </c>
      <c r="C1395" s="3">
        <f>IFERROR(__xludf.DUMMYFUNCTION("""COMPUTED_VALUE"""),24.0)</f>
        <v>24</v>
      </c>
      <c r="D1395" s="3" t="str">
        <f>IFERROR(__xludf.DUMMYFUNCTION("""COMPUTED_VALUE"""),"1eaa1fc2")</f>
        <v>1eaa1fc2</v>
      </c>
      <c r="E1395" s="54">
        <f>IFERROR(__xludf.DUMMYFUNCTION("""COMPUTED_VALUE"""),186600.0)</f>
        <v>186600</v>
      </c>
      <c r="F1395" s="3" t="str">
        <f>IFERROR(__xludf.DUMMYFUNCTION("""COMPUTED_VALUE"""),"Malbec")</f>
        <v>Malbec</v>
      </c>
      <c r="G1395" s="3"/>
      <c r="H1395" s="3"/>
      <c r="I1395" s="3"/>
      <c r="J1395" s="3"/>
      <c r="K1395" s="3"/>
      <c r="L1395" s="3"/>
      <c r="M1395" s="3"/>
      <c r="N1395" s="3"/>
      <c r="O1395" s="3"/>
      <c r="P1395" s="3"/>
      <c r="Q1395" s="3"/>
      <c r="R1395" s="3">
        <f>IFERROR(__xludf.DUMMYFUNCTION("""COMPUTED_VALUE"""),0.0)</f>
        <v>0</v>
      </c>
      <c r="S1395" s="3"/>
      <c r="T1395" s="5"/>
      <c r="U1395" s="5"/>
      <c r="V1395" s="5"/>
      <c r="W1395" s="5"/>
    </row>
    <row r="1396" ht="15.75" customHeight="1">
      <c r="A1396" s="3">
        <f>IFERROR(__xludf.DUMMYFUNCTION("""COMPUTED_VALUE"""),1396.0)</f>
        <v>1396</v>
      </c>
      <c r="B1396" s="53">
        <f>IFERROR(__xludf.DUMMYFUNCTION("""COMPUTED_VALUE"""),45786.0)</f>
        <v>45786</v>
      </c>
      <c r="C1396" s="3">
        <f>IFERROR(__xludf.DUMMYFUNCTION("""COMPUTED_VALUE"""),90.0)</f>
        <v>90</v>
      </c>
      <c r="D1396" s="3" t="str">
        <f>IFERROR(__xludf.DUMMYFUNCTION("""COMPUTED_VALUE"""),"1f012354")</f>
        <v>1f012354</v>
      </c>
      <c r="E1396" s="54">
        <f>IFERROR(__xludf.DUMMYFUNCTION("""COMPUTED_VALUE"""),97500.0)</f>
        <v>97500</v>
      </c>
      <c r="F1396" s="3" t="str">
        <f>IFERROR(__xludf.DUMMYFUNCTION("""COMPUTED_VALUE"""),"Tinto Recarga")</f>
        <v>Tinto Recarga</v>
      </c>
      <c r="G1396" s="3"/>
      <c r="H1396" s="3"/>
      <c r="I1396" s="3"/>
      <c r="J1396" s="3"/>
      <c r="K1396" s="3"/>
      <c r="L1396" s="3"/>
      <c r="M1396" s="3"/>
      <c r="N1396" s="3"/>
      <c r="O1396" s="3">
        <f>IFERROR(__xludf.DUMMYFUNCTION("""COMPUTED_VALUE"""),198.0)</f>
        <v>198</v>
      </c>
      <c r="P1396" s="3">
        <f>IFERROR(__xludf.DUMMYFUNCTION("""COMPUTED_VALUE"""),284.0)</f>
        <v>284</v>
      </c>
      <c r="Q1396" s="3"/>
      <c r="R1396" s="3">
        <f>IFERROR(__xludf.DUMMYFUNCTION("""COMPUTED_VALUE"""),482.0)</f>
        <v>482</v>
      </c>
      <c r="S1396" s="54">
        <f>IFERROR(__xludf.DUMMYFUNCTION("""COMPUTED_VALUE"""),691.3535353535354)</f>
        <v>691.3535354</v>
      </c>
      <c r="T1396" s="5"/>
      <c r="U1396" s="5"/>
      <c r="V1396" s="5"/>
      <c r="W1396" s="5"/>
    </row>
    <row r="1397" ht="15.75" customHeight="1">
      <c r="A1397" s="3">
        <f>IFERROR(__xludf.DUMMYFUNCTION("""COMPUTED_VALUE"""),1397.0)</f>
        <v>1397</v>
      </c>
      <c r="B1397" s="53">
        <f>IFERROR(__xludf.DUMMYFUNCTION("""COMPUTED_VALUE"""),45786.0)</f>
        <v>45786</v>
      </c>
      <c r="C1397" s="3">
        <f>IFERROR(__xludf.DUMMYFUNCTION("""COMPUTED_VALUE"""),65.0)</f>
        <v>65</v>
      </c>
      <c r="D1397" s="3" t="str">
        <f>IFERROR(__xludf.DUMMYFUNCTION("""COMPUTED_VALUE"""),"91b01170")</f>
        <v>91b01170</v>
      </c>
      <c r="E1397" s="54">
        <f>IFERROR(__xludf.DUMMYFUNCTION("""COMPUTED_VALUE"""),35500.0)</f>
        <v>35500</v>
      </c>
      <c r="F1397" s="3" t="str">
        <f>IFERROR(__xludf.DUMMYFUNCTION("""COMPUTED_VALUE"""),"Malbec Dulc")</f>
        <v>Malbec Dulc</v>
      </c>
      <c r="G1397" s="55">
        <f>IFERROR(__xludf.DUMMYFUNCTION("""COMPUTED_VALUE"""),13.9)</f>
        <v>13.9</v>
      </c>
      <c r="H1397" s="56">
        <f>IFERROR(__xludf.DUMMYFUNCTION("""COMPUTED_VALUE"""),10.25)</f>
        <v>10.25</v>
      </c>
      <c r="I1397" s="57">
        <f>IFERROR(__xludf.DUMMYFUNCTION("""COMPUTED_VALUE"""),0.45)</f>
        <v>0.45</v>
      </c>
      <c r="J1397" s="57">
        <f>IFERROR(__xludf.DUMMYFUNCTION("""COMPUTED_VALUE"""),6.3)</f>
        <v>6.3</v>
      </c>
      <c r="K1397" s="3"/>
      <c r="L1397" s="3"/>
      <c r="M1397" s="3"/>
      <c r="N1397" s="3"/>
      <c r="O1397" s="3"/>
      <c r="P1397" s="3"/>
      <c r="Q1397" s="3"/>
      <c r="R1397" s="3">
        <f>IFERROR(__xludf.DUMMYFUNCTION("""COMPUTED_VALUE"""),0.0)</f>
        <v>0</v>
      </c>
      <c r="S1397" s="3"/>
      <c r="T1397" s="5"/>
      <c r="U1397" s="5"/>
      <c r="V1397" s="5"/>
      <c r="W1397" s="5" t="str">
        <f>IFERROR(__xludf.DUMMYFUNCTION("""COMPUTED_VALUE"""),"Enocuyo")</f>
        <v>Enocuyo</v>
      </c>
    </row>
    <row r="1398" ht="15.75" customHeight="1">
      <c r="A1398" s="3">
        <f>IFERROR(__xludf.DUMMYFUNCTION("""COMPUTED_VALUE"""),1398.0)</f>
        <v>1398</v>
      </c>
      <c r="B1398" s="53">
        <f>IFERROR(__xludf.DUMMYFUNCTION("""COMPUTED_VALUE"""),45786.0)</f>
        <v>45786</v>
      </c>
      <c r="C1398" s="3">
        <f>IFERROR(__xludf.DUMMYFUNCTION("""COMPUTED_VALUE"""),66.0)</f>
        <v>66</v>
      </c>
      <c r="D1398" s="3" t="str">
        <f>IFERROR(__xludf.DUMMYFUNCTION("""COMPUTED_VALUE"""),"95f6ad50")</f>
        <v>95f6ad50</v>
      </c>
      <c r="E1398" s="54">
        <f>IFERROR(__xludf.DUMMYFUNCTION("""COMPUTED_VALUE"""),23000.0)</f>
        <v>23000</v>
      </c>
      <c r="F1398" s="3" t="str">
        <f>IFERROR(__xludf.DUMMYFUNCTION("""COMPUTED_VALUE"""),"Malbec Dulc")</f>
        <v>Malbec Dulc</v>
      </c>
      <c r="G1398" s="55">
        <f>IFERROR(__xludf.DUMMYFUNCTION("""COMPUTED_VALUE"""),13.7)</f>
        <v>13.7</v>
      </c>
      <c r="H1398" s="56">
        <f>IFERROR(__xludf.DUMMYFUNCTION("""COMPUTED_VALUE"""),7.51)</f>
        <v>7.51</v>
      </c>
      <c r="I1398" s="57">
        <f>IFERROR(__xludf.DUMMYFUNCTION("""COMPUTED_VALUE"""),0.48)</f>
        <v>0.48</v>
      </c>
      <c r="J1398" s="57">
        <f>IFERROR(__xludf.DUMMYFUNCTION("""COMPUTED_VALUE"""),5.8)</f>
        <v>5.8</v>
      </c>
      <c r="K1398" s="3"/>
      <c r="L1398" s="3"/>
      <c r="M1398" s="3"/>
      <c r="N1398" s="3"/>
      <c r="O1398" s="3"/>
      <c r="P1398" s="3"/>
      <c r="Q1398" s="3"/>
      <c r="R1398" s="3">
        <f>IFERROR(__xludf.DUMMYFUNCTION("""COMPUTED_VALUE"""),0.0)</f>
        <v>0</v>
      </c>
      <c r="S1398" s="3"/>
      <c r="T1398" s="5"/>
      <c r="U1398" s="5"/>
      <c r="V1398" s="5"/>
      <c r="W1398" s="5" t="str">
        <f>IFERROR(__xludf.DUMMYFUNCTION("""COMPUTED_VALUE"""),"Enocuyo")</f>
        <v>Enocuyo</v>
      </c>
    </row>
    <row r="1399" ht="15.75" customHeight="1">
      <c r="A1399" s="3">
        <f>IFERROR(__xludf.DUMMYFUNCTION("""COMPUTED_VALUE"""),1399.0)</f>
        <v>1399</v>
      </c>
      <c r="B1399" s="53">
        <f>IFERROR(__xludf.DUMMYFUNCTION("""COMPUTED_VALUE"""),45786.0)</f>
        <v>45786</v>
      </c>
      <c r="C1399" s="3">
        <f>IFERROR(__xludf.DUMMYFUNCTION("""COMPUTED_VALUE"""),85.0)</f>
        <v>85</v>
      </c>
      <c r="D1399" s="3" t="str">
        <f>IFERROR(__xludf.DUMMYFUNCTION("""COMPUTED_VALUE"""),"33b26126")</f>
        <v>33b26126</v>
      </c>
      <c r="E1399" s="54">
        <f>IFERROR(__xludf.DUMMYFUNCTION("""COMPUTED_VALUE"""),84000.0)</f>
        <v>84000</v>
      </c>
      <c r="F1399" s="3" t="str">
        <f>IFERROR(__xludf.DUMMYFUNCTION("""COMPUTED_VALUE"""),"Malbec Dulc")</f>
        <v>Malbec Dulc</v>
      </c>
      <c r="G1399" s="55">
        <f>IFERROR(__xludf.DUMMYFUNCTION("""COMPUTED_VALUE"""),14.0)</f>
        <v>14</v>
      </c>
      <c r="H1399" s="56">
        <f>IFERROR(__xludf.DUMMYFUNCTION("""COMPUTED_VALUE"""),9.8)</f>
        <v>9.8</v>
      </c>
      <c r="I1399" s="57">
        <f>IFERROR(__xludf.DUMMYFUNCTION("""COMPUTED_VALUE"""),0.6)</f>
        <v>0.6</v>
      </c>
      <c r="J1399" s="57">
        <f>IFERROR(__xludf.DUMMYFUNCTION("""COMPUTED_VALUE"""),6.5)</f>
        <v>6.5</v>
      </c>
      <c r="K1399" s="3"/>
      <c r="L1399" s="3"/>
      <c r="M1399" s="3"/>
      <c r="N1399" s="3"/>
      <c r="O1399" s="3"/>
      <c r="P1399" s="3"/>
      <c r="Q1399" s="3"/>
      <c r="R1399" s="3">
        <f>IFERROR(__xludf.DUMMYFUNCTION("""COMPUTED_VALUE"""),0.0)</f>
        <v>0</v>
      </c>
      <c r="S1399" s="3"/>
      <c r="T1399" s="5"/>
      <c r="U1399" s="5"/>
      <c r="V1399" s="5"/>
      <c r="W1399" s="5" t="str">
        <f>IFERROR(__xludf.DUMMYFUNCTION("""COMPUTED_VALUE"""),"Enocuyo")</f>
        <v>Enocuyo</v>
      </c>
    </row>
    <row r="1400" ht="15.75" customHeight="1">
      <c r="A1400" s="3">
        <f>IFERROR(__xludf.DUMMYFUNCTION("""COMPUTED_VALUE"""),1400.0)</f>
        <v>1400</v>
      </c>
      <c r="B1400" s="53">
        <f>IFERROR(__xludf.DUMMYFUNCTION("""COMPUTED_VALUE"""),45786.0)</f>
        <v>45786</v>
      </c>
      <c r="C1400" s="3">
        <f>IFERROR(__xludf.DUMMYFUNCTION("""COMPUTED_VALUE"""),102.0)</f>
        <v>102</v>
      </c>
      <c r="D1400" s="3" t="str">
        <f>IFERROR(__xludf.DUMMYFUNCTION("""COMPUTED_VALUE"""),"cbf4bbc1")</f>
        <v>cbf4bbc1</v>
      </c>
      <c r="E1400" s="54">
        <f>IFERROR(__xludf.DUMMYFUNCTION("""COMPUTED_VALUE"""),31000.0)</f>
        <v>31000</v>
      </c>
      <c r="F1400" s="3" t="str">
        <f>IFERROR(__xludf.DUMMYFUNCTION("""COMPUTED_VALUE"""),"Bonarda")</f>
        <v>Bonarda</v>
      </c>
      <c r="G1400" s="55">
        <f>IFERROR(__xludf.DUMMYFUNCTION("""COMPUTED_VALUE"""),14.1)</f>
        <v>14.1</v>
      </c>
      <c r="H1400" s="56">
        <f>IFERROR(__xludf.DUMMYFUNCTION("""COMPUTED_VALUE"""),3.5)</f>
        <v>3.5</v>
      </c>
      <c r="I1400" s="57">
        <f>IFERROR(__xludf.DUMMYFUNCTION("""COMPUTED_VALUE"""),0.48)</f>
        <v>0.48</v>
      </c>
      <c r="J1400" s="57">
        <f>IFERROR(__xludf.DUMMYFUNCTION("""COMPUTED_VALUE"""),7.03)</f>
        <v>7.03</v>
      </c>
      <c r="K1400" s="3"/>
      <c r="L1400" s="3"/>
      <c r="M1400" s="3"/>
      <c r="N1400" s="3"/>
      <c r="O1400" s="3"/>
      <c r="P1400" s="3"/>
      <c r="Q1400" s="3"/>
      <c r="R1400" s="3">
        <f>IFERROR(__xludf.DUMMYFUNCTION("""COMPUTED_VALUE"""),0.0)</f>
        <v>0</v>
      </c>
      <c r="S1400" s="3"/>
      <c r="T1400" s="5"/>
      <c r="U1400" s="5"/>
      <c r="V1400" s="5"/>
      <c r="W1400" s="5" t="str">
        <f>IFERROR(__xludf.DUMMYFUNCTION("""COMPUTED_VALUE"""),"Enocuyo")</f>
        <v>Enocuyo</v>
      </c>
    </row>
    <row r="1401" ht="15.75" customHeight="1">
      <c r="A1401" s="3">
        <f>IFERROR(__xludf.DUMMYFUNCTION("""COMPUTED_VALUE"""),1401.0)</f>
        <v>1401</v>
      </c>
      <c r="B1401" s="53">
        <f>IFERROR(__xludf.DUMMYFUNCTION("""COMPUTED_VALUE"""),45786.0)</f>
        <v>45786</v>
      </c>
      <c r="C1401" s="3">
        <f>IFERROR(__xludf.DUMMYFUNCTION("""COMPUTED_VALUE"""),103.0)</f>
        <v>103</v>
      </c>
      <c r="D1401" s="3" t="str">
        <f>IFERROR(__xludf.DUMMYFUNCTION("""COMPUTED_VALUE"""),"d0071dd4")</f>
        <v>d0071dd4</v>
      </c>
      <c r="E1401" s="54">
        <f>IFERROR(__xludf.DUMMYFUNCTION("""COMPUTED_VALUE"""),31000.0)</f>
        <v>31000</v>
      </c>
      <c r="F1401" s="3" t="str">
        <f>IFERROR(__xludf.DUMMYFUNCTION("""COMPUTED_VALUE"""),"Bonarda")</f>
        <v>Bonarda</v>
      </c>
      <c r="G1401" s="55">
        <f>IFERROR(__xludf.DUMMYFUNCTION("""COMPUTED_VALUE"""),14.1)</f>
        <v>14.1</v>
      </c>
      <c r="H1401" s="56">
        <f>IFERROR(__xludf.DUMMYFUNCTION("""COMPUTED_VALUE"""),3.56)</f>
        <v>3.56</v>
      </c>
      <c r="I1401" s="57">
        <f>IFERROR(__xludf.DUMMYFUNCTION("""COMPUTED_VALUE"""),0.57)</f>
        <v>0.57</v>
      </c>
      <c r="J1401" s="57">
        <f>IFERROR(__xludf.DUMMYFUNCTION("""COMPUTED_VALUE"""),7.1)</f>
        <v>7.1</v>
      </c>
      <c r="K1401" s="3"/>
      <c r="L1401" s="3"/>
      <c r="M1401" s="3"/>
      <c r="N1401" s="3"/>
      <c r="O1401" s="3"/>
      <c r="P1401" s="3"/>
      <c r="Q1401" s="3"/>
      <c r="R1401" s="3">
        <f>IFERROR(__xludf.DUMMYFUNCTION("""COMPUTED_VALUE"""),0.0)</f>
        <v>0</v>
      </c>
      <c r="S1401" s="3"/>
      <c r="T1401" s="5"/>
      <c r="U1401" s="5"/>
      <c r="V1401" s="5"/>
      <c r="W1401" s="5" t="str">
        <f>IFERROR(__xludf.DUMMYFUNCTION("""COMPUTED_VALUE"""),"Enocuyo")</f>
        <v>Enocuyo</v>
      </c>
    </row>
    <row r="1402" ht="15.75" customHeight="1">
      <c r="A1402" s="3">
        <f>IFERROR(__xludf.DUMMYFUNCTION("""COMPUTED_VALUE"""),1402.0)</f>
        <v>1402</v>
      </c>
      <c r="B1402" s="53">
        <f>IFERROR(__xludf.DUMMYFUNCTION("""COMPUTED_VALUE"""),45786.0)</f>
        <v>45786</v>
      </c>
      <c r="C1402" s="3">
        <f>IFERROR(__xludf.DUMMYFUNCTION("""COMPUTED_VALUE"""),104.0)</f>
        <v>104</v>
      </c>
      <c r="D1402" s="3" t="str">
        <f>IFERROR(__xludf.DUMMYFUNCTION("""COMPUTED_VALUE"""),"1828d39f")</f>
        <v>1828d39f</v>
      </c>
      <c r="E1402" s="54">
        <f>IFERROR(__xludf.DUMMYFUNCTION("""COMPUTED_VALUE"""),31000.0)</f>
        <v>31000</v>
      </c>
      <c r="F1402" s="3" t="str">
        <f>IFERROR(__xludf.DUMMYFUNCTION("""COMPUTED_VALUE"""),"Bonarda")</f>
        <v>Bonarda</v>
      </c>
      <c r="G1402" s="55">
        <f>IFERROR(__xludf.DUMMYFUNCTION("""COMPUTED_VALUE"""),14.1)</f>
        <v>14.1</v>
      </c>
      <c r="H1402" s="56">
        <f>IFERROR(__xludf.DUMMYFUNCTION("""COMPUTED_VALUE"""),3.22)</f>
        <v>3.22</v>
      </c>
      <c r="I1402" s="57">
        <f>IFERROR(__xludf.DUMMYFUNCTION("""COMPUTED_VALUE"""),0.42)</f>
        <v>0.42</v>
      </c>
      <c r="J1402" s="57">
        <f>IFERROR(__xludf.DUMMYFUNCTION("""COMPUTED_VALUE"""),6.88)</f>
        <v>6.88</v>
      </c>
      <c r="K1402" s="3"/>
      <c r="L1402" s="3"/>
      <c r="M1402" s="3"/>
      <c r="N1402" s="3"/>
      <c r="O1402" s="3"/>
      <c r="P1402" s="3"/>
      <c r="Q1402" s="3"/>
      <c r="R1402" s="3">
        <f>IFERROR(__xludf.DUMMYFUNCTION("""COMPUTED_VALUE"""),0.0)</f>
        <v>0</v>
      </c>
      <c r="S1402" s="3"/>
      <c r="T1402" s="5"/>
      <c r="U1402" s="5"/>
      <c r="V1402" s="5"/>
      <c r="W1402" s="5" t="str">
        <f>IFERROR(__xludf.DUMMYFUNCTION("""COMPUTED_VALUE"""),"Enocuyo")</f>
        <v>Enocuyo</v>
      </c>
    </row>
    <row r="1403" ht="15.75" customHeight="1">
      <c r="A1403" s="3">
        <f>IFERROR(__xludf.DUMMYFUNCTION("""COMPUTED_VALUE"""),1403.0)</f>
        <v>1403</v>
      </c>
      <c r="B1403" s="53">
        <f>IFERROR(__xludf.DUMMYFUNCTION("""COMPUTED_VALUE"""),45786.0)</f>
        <v>45786</v>
      </c>
      <c r="C1403" s="3">
        <f>IFERROR(__xludf.DUMMYFUNCTION("""COMPUTED_VALUE"""),105.0)</f>
        <v>105</v>
      </c>
      <c r="D1403" s="3" t="str">
        <f>IFERROR(__xludf.DUMMYFUNCTION("""COMPUTED_VALUE"""),"ddc627ec")</f>
        <v>ddc627ec</v>
      </c>
      <c r="E1403" s="54">
        <f>IFERROR(__xludf.DUMMYFUNCTION("""COMPUTED_VALUE"""),31000.0)</f>
        <v>31000</v>
      </c>
      <c r="F1403" s="3" t="str">
        <f>IFERROR(__xludf.DUMMYFUNCTION("""COMPUTED_VALUE"""),"Bonarda")</f>
        <v>Bonarda</v>
      </c>
      <c r="G1403" s="55">
        <f>IFERROR(__xludf.DUMMYFUNCTION("""COMPUTED_VALUE"""),14.1)</f>
        <v>14.1</v>
      </c>
      <c r="H1403" s="56">
        <f>IFERROR(__xludf.DUMMYFUNCTION("""COMPUTED_VALUE"""),3.5)</f>
        <v>3.5</v>
      </c>
      <c r="I1403" s="57">
        <f>IFERROR(__xludf.DUMMYFUNCTION("""COMPUTED_VALUE"""),0.45)</f>
        <v>0.45</v>
      </c>
      <c r="J1403" s="57">
        <f>IFERROR(__xludf.DUMMYFUNCTION("""COMPUTED_VALUE"""),7.2)</f>
        <v>7.2</v>
      </c>
      <c r="K1403" s="3"/>
      <c r="L1403" s="3"/>
      <c r="M1403" s="3"/>
      <c r="N1403" s="3"/>
      <c r="O1403" s="3"/>
      <c r="P1403" s="3"/>
      <c r="Q1403" s="3"/>
      <c r="R1403" s="3">
        <f>IFERROR(__xludf.DUMMYFUNCTION("""COMPUTED_VALUE"""),0.0)</f>
        <v>0</v>
      </c>
      <c r="S1403" s="3"/>
      <c r="T1403" s="5"/>
      <c r="U1403" s="5"/>
      <c r="V1403" s="5"/>
      <c r="W1403" s="5" t="str">
        <f>IFERROR(__xludf.DUMMYFUNCTION("""COMPUTED_VALUE"""),"Enocuyo")</f>
        <v>Enocuyo</v>
      </c>
    </row>
    <row r="1404" ht="15.75" customHeight="1">
      <c r="A1404" s="3">
        <f>IFERROR(__xludf.DUMMYFUNCTION("""COMPUTED_VALUE"""),1404.0)</f>
        <v>1404</v>
      </c>
      <c r="B1404" s="53">
        <f>IFERROR(__xludf.DUMMYFUNCTION("""COMPUTED_VALUE"""),45786.0)</f>
        <v>45786</v>
      </c>
      <c r="C1404" s="3">
        <f>IFERROR(__xludf.DUMMYFUNCTION("""COMPUTED_VALUE"""),25.0)</f>
        <v>25</v>
      </c>
      <c r="D1404" s="3" t="str">
        <f>IFERROR(__xludf.DUMMYFUNCTION("""COMPUTED_VALUE"""),"a6d28e88")</f>
        <v>a6d28e88</v>
      </c>
      <c r="E1404" s="54">
        <f>IFERROR(__xludf.DUMMYFUNCTION("""COMPUTED_VALUE"""),194300.0)</f>
        <v>194300</v>
      </c>
      <c r="F1404" s="3" t="str">
        <f>IFERROR(__xludf.DUMMYFUNCTION("""COMPUTED_VALUE"""),"Syrah")</f>
        <v>Syrah</v>
      </c>
      <c r="G1404" s="3"/>
      <c r="H1404" s="3"/>
      <c r="I1404" s="3"/>
      <c r="J1404" s="3"/>
      <c r="K1404" s="3"/>
      <c r="L1404" s="54">
        <f>IFERROR(__xludf.DUMMYFUNCTION("""COMPUTED_VALUE"""),44.0)</f>
        <v>44</v>
      </c>
      <c r="M1404" s="3">
        <f>IFERROR(__xludf.DUMMYFUNCTION("""COMPUTED_VALUE"""),115.0)</f>
        <v>115</v>
      </c>
      <c r="N1404" s="3"/>
      <c r="O1404" s="3"/>
      <c r="P1404" s="3"/>
      <c r="Q1404" s="3"/>
      <c r="R1404" s="3"/>
      <c r="S1404" s="3"/>
      <c r="T1404" s="5"/>
      <c r="U1404" s="5"/>
      <c r="V1404" s="5"/>
      <c r="W1404" s="5"/>
    </row>
    <row r="1405" ht="15.75" customHeight="1">
      <c r="A1405" s="3">
        <f>IFERROR(__xludf.DUMMYFUNCTION("""COMPUTED_VALUE"""),1405.0)</f>
        <v>1405</v>
      </c>
      <c r="B1405" s="53">
        <f>IFERROR(__xludf.DUMMYFUNCTION("""COMPUTED_VALUE"""),45786.0)</f>
        <v>45786</v>
      </c>
      <c r="C1405" s="3">
        <f>IFERROR(__xludf.DUMMYFUNCTION("""COMPUTED_VALUE"""),26.0)</f>
        <v>26</v>
      </c>
      <c r="D1405" s="3" t="str">
        <f>IFERROR(__xludf.DUMMYFUNCTION("""COMPUTED_VALUE"""),"efada090")</f>
        <v>efada090</v>
      </c>
      <c r="E1405" s="54">
        <f>IFERROR(__xludf.DUMMYFUNCTION("""COMPUTED_VALUE"""),207600.0)</f>
        <v>207600</v>
      </c>
      <c r="F1405" s="3" t="str">
        <f>IFERROR(__xludf.DUMMYFUNCTION("""COMPUTED_VALUE"""),"Syrah")</f>
        <v>Syrah</v>
      </c>
      <c r="G1405" s="3"/>
      <c r="H1405" s="3"/>
      <c r="I1405" s="3"/>
      <c r="J1405" s="3"/>
      <c r="K1405" s="3"/>
      <c r="L1405" s="54">
        <f>IFERROR(__xludf.DUMMYFUNCTION("""COMPUTED_VALUE"""),38.0)</f>
        <v>38</v>
      </c>
      <c r="M1405" s="3">
        <f>IFERROR(__xludf.DUMMYFUNCTION("""COMPUTED_VALUE"""),102.0)</f>
        <v>102</v>
      </c>
      <c r="N1405" s="3"/>
      <c r="O1405" s="3"/>
      <c r="P1405" s="3"/>
      <c r="Q1405" s="3"/>
      <c r="R1405" s="3"/>
      <c r="S1405" s="3"/>
      <c r="T1405" s="5"/>
      <c r="U1405" s="5"/>
      <c r="V1405" s="5"/>
      <c r="W1405" s="5"/>
    </row>
    <row r="1406" ht="15.75" customHeight="1">
      <c r="A1406" s="3">
        <f>IFERROR(__xludf.DUMMYFUNCTION("""COMPUTED_VALUE"""),1406.0)</f>
        <v>1406</v>
      </c>
      <c r="B1406" s="53">
        <f>IFERROR(__xludf.DUMMYFUNCTION("""COMPUTED_VALUE"""),45786.0)</f>
        <v>45786</v>
      </c>
      <c r="C1406" s="3">
        <f>IFERROR(__xludf.DUMMYFUNCTION("""COMPUTED_VALUE"""),30.0)</f>
        <v>30</v>
      </c>
      <c r="D1406" s="3" t="str">
        <f>IFERROR(__xludf.DUMMYFUNCTION("""COMPUTED_VALUE"""),"eec28962")</f>
        <v>eec28962</v>
      </c>
      <c r="E1406" s="54">
        <f>IFERROR(__xludf.DUMMYFUNCTION("""COMPUTED_VALUE"""),38800.0)</f>
        <v>38800</v>
      </c>
      <c r="F1406" s="3" t="str">
        <f>IFERROR(__xludf.DUMMYFUNCTION("""COMPUTED_VALUE"""),"Aspirant 24")</f>
        <v>Aspirant 24</v>
      </c>
      <c r="G1406" s="3"/>
      <c r="H1406" s="3"/>
      <c r="I1406" s="3"/>
      <c r="J1406" s="3"/>
      <c r="K1406" s="3"/>
      <c r="L1406" s="54">
        <f>IFERROR(__xludf.DUMMYFUNCTION("""COMPUTED_VALUE"""),52.0)</f>
        <v>52</v>
      </c>
      <c r="M1406" s="3">
        <f>IFERROR(__xludf.DUMMYFUNCTION("""COMPUTED_VALUE"""),153.0)</f>
        <v>153</v>
      </c>
      <c r="N1406" s="3"/>
      <c r="O1406" s="3"/>
      <c r="P1406" s="3"/>
      <c r="Q1406" s="3"/>
      <c r="R1406" s="3"/>
      <c r="S1406" s="3"/>
      <c r="T1406" s="5"/>
      <c r="U1406" s="5"/>
      <c r="V1406" s="5"/>
      <c r="W1406" s="5"/>
    </row>
    <row r="1407" ht="15.75" customHeight="1">
      <c r="A1407" s="3">
        <f>IFERROR(__xludf.DUMMYFUNCTION("""COMPUTED_VALUE"""),1407.0)</f>
        <v>1407</v>
      </c>
      <c r="B1407" s="53">
        <f>IFERROR(__xludf.DUMMYFUNCTION("""COMPUTED_VALUE"""),45786.0)</f>
        <v>45786</v>
      </c>
      <c r="C1407" s="3">
        <f>IFERROR(__xludf.DUMMYFUNCTION("""COMPUTED_VALUE"""),34.0)</f>
        <v>34</v>
      </c>
      <c r="D1407" s="3" t="str">
        <f>IFERROR(__xludf.DUMMYFUNCTION("""COMPUTED_VALUE"""),"7b6b2c2a")</f>
        <v>7b6b2c2a</v>
      </c>
      <c r="E1407" s="54">
        <f>IFERROR(__xludf.DUMMYFUNCTION("""COMPUTED_VALUE"""),37150.0)</f>
        <v>37150</v>
      </c>
      <c r="F1407" s="3" t="str">
        <f>IFERROR(__xludf.DUMMYFUNCTION("""COMPUTED_VALUE"""),"Bonarda")</f>
        <v>Bonarda</v>
      </c>
      <c r="G1407" s="3"/>
      <c r="H1407" s="3"/>
      <c r="I1407" s="3"/>
      <c r="J1407" s="3"/>
      <c r="K1407" s="3"/>
      <c r="L1407" s="54">
        <f>IFERROR(__xludf.DUMMYFUNCTION("""COMPUTED_VALUE"""),33.0)</f>
        <v>33</v>
      </c>
      <c r="M1407" s="3">
        <f>IFERROR(__xludf.DUMMYFUNCTION("""COMPUTED_VALUE"""),76.0)</f>
        <v>76</v>
      </c>
      <c r="N1407" s="3"/>
      <c r="O1407" s="3"/>
      <c r="P1407" s="3"/>
      <c r="Q1407" s="3"/>
      <c r="R1407" s="3"/>
      <c r="S1407" s="3"/>
      <c r="T1407" s="5"/>
      <c r="U1407" s="5"/>
      <c r="V1407" s="5"/>
      <c r="W1407" s="5"/>
    </row>
    <row r="1408" ht="15.75" customHeight="1">
      <c r="A1408" s="3">
        <f>IFERROR(__xludf.DUMMYFUNCTION("""COMPUTED_VALUE"""),1408.0)</f>
        <v>1408</v>
      </c>
      <c r="B1408" s="53">
        <f>IFERROR(__xludf.DUMMYFUNCTION("""COMPUTED_VALUE"""),45786.0)</f>
        <v>45786</v>
      </c>
      <c r="C1408" s="3">
        <f>IFERROR(__xludf.DUMMYFUNCTION("""COMPUTED_VALUE"""),51.0)</f>
        <v>51</v>
      </c>
      <c r="D1408" s="3" t="str">
        <f>IFERROR(__xludf.DUMMYFUNCTION("""COMPUTED_VALUE"""),"4eab3967")</f>
        <v>4eab3967</v>
      </c>
      <c r="E1408" s="54">
        <f>IFERROR(__xludf.DUMMYFUNCTION("""COMPUTED_VALUE"""),3900.0)</f>
        <v>3900</v>
      </c>
      <c r="F1408" s="3" t="str">
        <f>IFERROR(__xludf.DUMMYFUNCTION("""COMPUTED_VALUE"""),"Tanat")</f>
        <v>Tanat</v>
      </c>
      <c r="G1408" s="3"/>
      <c r="H1408" s="3"/>
      <c r="I1408" s="3"/>
      <c r="J1408" s="3"/>
      <c r="K1408" s="3"/>
      <c r="L1408" s="54">
        <f>IFERROR(__xludf.DUMMYFUNCTION("""COMPUTED_VALUE"""),43.0)</f>
        <v>43</v>
      </c>
      <c r="M1408" s="3">
        <f>IFERROR(__xludf.DUMMYFUNCTION("""COMPUTED_VALUE"""),89.0)</f>
        <v>89</v>
      </c>
      <c r="N1408" s="3"/>
      <c r="O1408" s="3"/>
      <c r="P1408" s="3"/>
      <c r="Q1408" s="3"/>
      <c r="R1408" s="3"/>
      <c r="S1408" s="3"/>
      <c r="T1408" s="5"/>
      <c r="U1408" s="5"/>
      <c r="V1408" s="5"/>
      <c r="W1408" s="5"/>
    </row>
    <row r="1409" ht="15.75" customHeight="1">
      <c r="A1409" s="3">
        <f>IFERROR(__xludf.DUMMYFUNCTION("""COMPUTED_VALUE"""),1409.0)</f>
        <v>1409</v>
      </c>
      <c r="B1409" s="53">
        <f>IFERROR(__xludf.DUMMYFUNCTION("""COMPUTED_VALUE"""),45786.0)</f>
        <v>45786</v>
      </c>
      <c r="C1409" s="3">
        <f>IFERROR(__xludf.DUMMYFUNCTION("""COMPUTED_VALUE"""),53.0)</f>
        <v>53</v>
      </c>
      <c r="D1409" s="3" t="str">
        <f>IFERROR(__xludf.DUMMYFUNCTION("""COMPUTED_VALUE"""),"5433281e")</f>
        <v>5433281e</v>
      </c>
      <c r="E1409" s="54">
        <f>IFERROR(__xludf.DUMMYFUNCTION("""COMPUTED_VALUE"""),22000.0)</f>
        <v>22000</v>
      </c>
      <c r="F1409" s="3" t="str">
        <f>IFERROR(__xludf.DUMMYFUNCTION("""COMPUTED_VALUE"""),"Syrah")</f>
        <v>Syrah</v>
      </c>
      <c r="G1409" s="3"/>
      <c r="H1409" s="3"/>
      <c r="I1409" s="3"/>
      <c r="J1409" s="3"/>
      <c r="K1409" s="3"/>
      <c r="L1409" s="54">
        <f>IFERROR(__xludf.DUMMYFUNCTION("""COMPUTED_VALUE"""),41.0)</f>
        <v>41</v>
      </c>
      <c r="M1409" s="3">
        <f>IFERROR(__xludf.DUMMYFUNCTION("""COMPUTED_VALUE"""),109.0)</f>
        <v>109</v>
      </c>
      <c r="N1409" s="3"/>
      <c r="O1409" s="3"/>
      <c r="P1409" s="3"/>
      <c r="Q1409" s="3"/>
      <c r="R1409" s="3"/>
      <c r="S1409" s="3"/>
      <c r="T1409" s="5"/>
      <c r="U1409" s="5"/>
      <c r="V1409" s="5"/>
      <c r="W1409" s="5"/>
    </row>
    <row r="1410" ht="15.75" customHeight="1">
      <c r="A1410" s="3">
        <f>IFERROR(__xludf.DUMMYFUNCTION("""COMPUTED_VALUE"""),1410.0)</f>
        <v>1410</v>
      </c>
      <c r="B1410" s="53">
        <f>IFERROR(__xludf.DUMMYFUNCTION("""COMPUTED_VALUE"""),45786.0)</f>
        <v>45786</v>
      </c>
      <c r="C1410" s="3">
        <f>IFERROR(__xludf.DUMMYFUNCTION("""COMPUTED_VALUE"""),83.0)</f>
        <v>83</v>
      </c>
      <c r="D1410" s="3" t="str">
        <f>IFERROR(__xludf.DUMMYFUNCTION("""COMPUTED_VALUE"""),"7fce2b75")</f>
        <v>7fce2b75</v>
      </c>
      <c r="E1410" s="54">
        <f>IFERROR(__xludf.DUMMYFUNCTION("""COMPUTED_VALUE"""),81500.0)</f>
        <v>81500</v>
      </c>
      <c r="F1410" s="3" t="str">
        <f>IFERROR(__xludf.DUMMYFUNCTION("""COMPUTED_VALUE"""),"Tinto")</f>
        <v>Tinto</v>
      </c>
      <c r="G1410" s="3"/>
      <c r="H1410" s="3"/>
      <c r="I1410" s="3"/>
      <c r="J1410" s="3"/>
      <c r="K1410" s="3"/>
      <c r="L1410" s="54">
        <f>IFERROR(__xludf.DUMMYFUNCTION("""COMPUTED_VALUE"""),18.0)</f>
        <v>18</v>
      </c>
      <c r="M1410" s="3">
        <f>IFERROR(__xludf.DUMMYFUNCTION("""COMPUTED_VALUE"""),140.0)</f>
        <v>140</v>
      </c>
      <c r="N1410" s="3"/>
      <c r="O1410" s="3"/>
      <c r="P1410" s="3"/>
      <c r="Q1410" s="3"/>
      <c r="R1410" s="3"/>
      <c r="S1410" s="3"/>
      <c r="T1410" s="5"/>
      <c r="U1410" s="5"/>
      <c r="V1410" s="5"/>
      <c r="W1410" s="5"/>
    </row>
    <row r="1411" ht="15.75" customHeight="1">
      <c r="A1411" s="3">
        <f>IFERROR(__xludf.DUMMYFUNCTION("""COMPUTED_VALUE"""),1411.0)</f>
        <v>1411</v>
      </c>
      <c r="B1411" s="53">
        <f>IFERROR(__xludf.DUMMYFUNCTION("""COMPUTED_VALUE"""),45786.0)</f>
        <v>45786</v>
      </c>
      <c r="C1411" s="3">
        <f>IFERROR(__xludf.DUMMYFUNCTION("""COMPUTED_VALUE"""),84.0)</f>
        <v>84</v>
      </c>
      <c r="D1411" s="3" t="str">
        <f>IFERROR(__xludf.DUMMYFUNCTION("""COMPUTED_VALUE"""),"80d02e67")</f>
        <v>80d02e67</v>
      </c>
      <c r="E1411" s="54">
        <f>IFERROR(__xludf.DUMMYFUNCTION("""COMPUTED_VALUE"""),83000.0)</f>
        <v>83000</v>
      </c>
      <c r="F1411" s="3" t="str">
        <f>IFERROR(__xludf.DUMMYFUNCTION("""COMPUTED_VALUE"""),"Tinto")</f>
        <v>Tinto</v>
      </c>
      <c r="G1411" s="3"/>
      <c r="H1411" s="3"/>
      <c r="I1411" s="3"/>
      <c r="J1411" s="3"/>
      <c r="K1411" s="3"/>
      <c r="L1411" s="54">
        <f>IFERROR(__xludf.DUMMYFUNCTION("""COMPUTED_VALUE"""),32.0)</f>
        <v>32</v>
      </c>
      <c r="M1411" s="3">
        <f>IFERROR(__xludf.DUMMYFUNCTION("""COMPUTED_VALUE"""),102.0)</f>
        <v>102</v>
      </c>
      <c r="N1411" s="3"/>
      <c r="O1411" s="3"/>
      <c r="P1411" s="3"/>
      <c r="Q1411" s="3"/>
      <c r="R1411" s="3"/>
      <c r="S1411" s="3"/>
      <c r="T1411" s="5"/>
      <c r="U1411" s="5"/>
      <c r="V1411" s="5"/>
      <c r="W1411" s="5"/>
    </row>
    <row r="1412" ht="15.75" customHeight="1">
      <c r="A1412" s="3">
        <f>IFERROR(__xludf.DUMMYFUNCTION("""COMPUTED_VALUE"""),1412.0)</f>
        <v>1412</v>
      </c>
      <c r="B1412" s="53">
        <f>IFERROR(__xludf.DUMMYFUNCTION("""COMPUTED_VALUE"""),45786.0)</f>
        <v>45786</v>
      </c>
      <c r="C1412" s="3">
        <f>IFERROR(__xludf.DUMMYFUNCTION("""COMPUTED_VALUE"""),88.0)</f>
        <v>88</v>
      </c>
      <c r="D1412" s="3" t="str">
        <f>IFERROR(__xludf.DUMMYFUNCTION("""COMPUTED_VALUE"""),"3030acaa")</f>
        <v>3030acaa</v>
      </c>
      <c r="E1412" s="54">
        <f>IFERROR(__xludf.DUMMYFUNCTION("""COMPUTED_VALUE"""),78900.0)</f>
        <v>78900</v>
      </c>
      <c r="F1412" s="3" t="str">
        <f>IFERROR(__xludf.DUMMYFUNCTION("""COMPUTED_VALUE"""),"Tinto")</f>
        <v>Tinto</v>
      </c>
      <c r="G1412" s="3"/>
      <c r="H1412" s="3"/>
      <c r="I1412" s="3"/>
      <c r="J1412" s="3"/>
      <c r="K1412" s="3"/>
      <c r="L1412" s="54">
        <f>IFERROR(__xludf.DUMMYFUNCTION("""COMPUTED_VALUE"""),32.0)</f>
        <v>32</v>
      </c>
      <c r="M1412" s="3">
        <f>IFERROR(__xludf.DUMMYFUNCTION("""COMPUTED_VALUE"""),102.0)</f>
        <v>102</v>
      </c>
      <c r="N1412" s="3"/>
      <c r="O1412" s="3"/>
      <c r="P1412" s="3"/>
      <c r="Q1412" s="3"/>
      <c r="R1412" s="3"/>
      <c r="S1412" s="3"/>
      <c r="T1412" s="5"/>
      <c r="U1412" s="5"/>
      <c r="V1412" s="5"/>
      <c r="W1412" s="5"/>
    </row>
    <row r="1413" ht="15.75" customHeight="1">
      <c r="A1413" s="3">
        <f>IFERROR(__xludf.DUMMYFUNCTION("""COMPUTED_VALUE"""),1413.0)</f>
        <v>1413</v>
      </c>
      <c r="B1413" s="53">
        <f>IFERROR(__xludf.DUMMYFUNCTION("""COMPUTED_VALUE"""),45786.0)</f>
        <v>45786</v>
      </c>
      <c r="C1413" s="3">
        <f>IFERROR(__xludf.DUMMYFUNCTION("""COMPUTED_VALUE"""),89.0)</f>
        <v>89</v>
      </c>
      <c r="D1413" s="3" t="str">
        <f>IFERROR(__xludf.DUMMYFUNCTION("""COMPUTED_VALUE"""),"47825ff1")</f>
        <v>47825ff1</v>
      </c>
      <c r="E1413" s="54">
        <f>IFERROR(__xludf.DUMMYFUNCTION("""COMPUTED_VALUE"""),83500.0)</f>
        <v>83500</v>
      </c>
      <c r="F1413" s="3" t="str">
        <f>IFERROR(__xludf.DUMMYFUNCTION("""COMPUTED_VALUE"""),"Cabernet Sauvignon")</f>
        <v>Cabernet Sauvignon</v>
      </c>
      <c r="G1413" s="3"/>
      <c r="H1413" s="3"/>
      <c r="I1413" s="3"/>
      <c r="J1413" s="3"/>
      <c r="K1413" s="3"/>
      <c r="L1413" s="54">
        <f>IFERROR(__xludf.DUMMYFUNCTION("""COMPUTED_VALUE"""),25.0)</f>
        <v>25</v>
      </c>
      <c r="M1413" s="3">
        <f>IFERROR(__xludf.DUMMYFUNCTION("""COMPUTED_VALUE"""),83.0)</f>
        <v>83</v>
      </c>
      <c r="N1413" s="3"/>
      <c r="O1413" s="3"/>
      <c r="P1413" s="3"/>
      <c r="Q1413" s="3"/>
      <c r="R1413" s="3"/>
      <c r="S1413" s="3"/>
      <c r="T1413" s="5"/>
      <c r="U1413" s="5"/>
      <c r="V1413" s="5"/>
      <c r="W1413" s="5"/>
    </row>
    <row r="1414" ht="15.75" customHeight="1">
      <c r="A1414" s="3">
        <f>IFERROR(__xludf.DUMMYFUNCTION("""COMPUTED_VALUE"""),1414.0)</f>
        <v>1414</v>
      </c>
      <c r="B1414" s="53">
        <f>IFERROR(__xludf.DUMMYFUNCTION("""COMPUTED_VALUE"""),45789.0)</f>
        <v>45789</v>
      </c>
      <c r="C1414" s="3">
        <f>IFERROR(__xludf.DUMMYFUNCTION("""COMPUTED_VALUE"""),11.0)</f>
        <v>11</v>
      </c>
      <c r="D1414" s="3" t="str">
        <f>IFERROR(__xludf.DUMMYFUNCTION("""COMPUTED_VALUE"""),"e6ca31fd")</f>
        <v>e6ca31fd</v>
      </c>
      <c r="E1414" s="54">
        <f>IFERROR(__xludf.DUMMYFUNCTION("""COMPUTED_VALUE"""),25300.0)</f>
        <v>25300</v>
      </c>
      <c r="F1414" s="3" t="str">
        <f>IFERROR(__xludf.DUMMYFUNCTION("""COMPUTED_VALUE"""),"Claro de filtro")</f>
        <v>Claro de filtro</v>
      </c>
      <c r="G1414" s="3"/>
      <c r="H1414" s="3"/>
      <c r="I1414" s="3"/>
      <c r="J1414" s="3"/>
      <c r="K1414" s="3"/>
      <c r="L1414" s="54">
        <f>IFERROR(__xludf.DUMMYFUNCTION("""COMPUTED_VALUE"""),51.0)</f>
        <v>51</v>
      </c>
      <c r="M1414" s="3">
        <f>IFERROR(__xludf.DUMMYFUNCTION("""COMPUTED_VALUE"""),150.0)</f>
        <v>150</v>
      </c>
      <c r="N1414" s="3"/>
      <c r="O1414" s="3"/>
      <c r="P1414" s="3"/>
      <c r="Q1414" s="3"/>
      <c r="R1414" s="3">
        <f>IFERROR(__xludf.DUMMYFUNCTION("""COMPUTED_VALUE"""),0.0)</f>
        <v>0</v>
      </c>
      <c r="S1414" s="3"/>
      <c r="T1414" s="5"/>
      <c r="U1414" s="5"/>
      <c r="V1414" s="5"/>
      <c r="W1414" s="5"/>
    </row>
    <row r="1415" ht="15.75" customHeight="1">
      <c r="A1415" s="3">
        <f>IFERROR(__xludf.DUMMYFUNCTION("""COMPUTED_VALUE"""),1415.0)</f>
        <v>1415</v>
      </c>
      <c r="B1415" s="53">
        <f>IFERROR(__xludf.DUMMYFUNCTION("""COMPUTED_VALUE"""),45789.0)</f>
        <v>45789</v>
      </c>
      <c r="C1415" s="3">
        <f>IFERROR(__xludf.DUMMYFUNCTION("""COMPUTED_VALUE"""),70.0)</f>
        <v>70</v>
      </c>
      <c r="D1415" s="3" t="str">
        <f>IFERROR(__xludf.DUMMYFUNCTION("""COMPUTED_VALUE"""),"97f43e08")</f>
        <v>97f43e08</v>
      </c>
      <c r="E1415" s="54">
        <f>IFERROR(__xludf.DUMMYFUNCTION("""COMPUTED_VALUE"""),13000.0)</f>
        <v>13000</v>
      </c>
      <c r="F1415" s="3" t="str">
        <f>IFERROR(__xludf.DUMMYFUNCTION("""COMPUTED_VALUE"""),"Cabernet Sauv Millan 233")</f>
        <v>Cabernet Sauv Millan 233</v>
      </c>
      <c r="G1415" s="3"/>
      <c r="H1415" s="3"/>
      <c r="I1415" s="3"/>
      <c r="J1415" s="3"/>
      <c r="K1415" s="3"/>
      <c r="L1415" s="54">
        <f>IFERROR(__xludf.DUMMYFUNCTION("""COMPUTED_VALUE"""),25.0)</f>
        <v>25</v>
      </c>
      <c r="M1415" s="3">
        <f>IFERROR(__xludf.DUMMYFUNCTION("""COMPUTED_VALUE"""),90.0)</f>
        <v>90</v>
      </c>
      <c r="N1415" s="3"/>
      <c r="O1415" s="3"/>
      <c r="P1415" s="3"/>
      <c r="Q1415" s="3"/>
      <c r="R1415" s="3">
        <f>IFERROR(__xludf.DUMMYFUNCTION("""COMPUTED_VALUE"""),0.0)</f>
        <v>0</v>
      </c>
      <c r="S1415" s="3"/>
      <c r="T1415" s="5"/>
      <c r="U1415" s="5"/>
      <c r="V1415" s="5"/>
      <c r="W1415" s="5"/>
    </row>
    <row r="1416" ht="15.75" customHeight="1">
      <c r="A1416" s="3">
        <f>IFERROR(__xludf.DUMMYFUNCTION("""COMPUTED_VALUE"""),1416.0)</f>
        <v>1416</v>
      </c>
      <c r="B1416" s="53">
        <f>IFERROR(__xludf.DUMMYFUNCTION("""COMPUTED_VALUE"""),45789.0)</f>
        <v>45789</v>
      </c>
      <c r="C1416" s="3">
        <f>IFERROR(__xludf.DUMMYFUNCTION("""COMPUTED_VALUE"""),71.0)</f>
        <v>71</v>
      </c>
      <c r="D1416" s="3" t="str">
        <f>IFERROR(__xludf.DUMMYFUNCTION("""COMPUTED_VALUE"""),"8deed384")</f>
        <v>8deed384</v>
      </c>
      <c r="E1416" s="54">
        <f>IFERROR(__xludf.DUMMYFUNCTION("""COMPUTED_VALUE"""),13000.0)</f>
        <v>13000</v>
      </c>
      <c r="F1416" s="3" t="str">
        <f>IFERROR(__xludf.DUMMYFUNCTION("""COMPUTED_VALUE"""),"Tinto (Chardonnay)")</f>
        <v>Tinto (Chardonnay)</v>
      </c>
      <c r="G1416" s="3"/>
      <c r="H1416" s="3"/>
      <c r="I1416" s="3"/>
      <c r="J1416" s="3"/>
      <c r="K1416" s="3"/>
      <c r="L1416" s="54">
        <f>IFERROR(__xludf.DUMMYFUNCTION("""COMPUTED_VALUE"""),28.0)</f>
        <v>28</v>
      </c>
      <c r="M1416" s="3">
        <f>IFERROR(__xludf.DUMMYFUNCTION("""COMPUTED_VALUE"""),112.0)</f>
        <v>112</v>
      </c>
      <c r="N1416" s="3"/>
      <c r="O1416" s="3"/>
      <c r="P1416" s="3"/>
      <c r="Q1416" s="3"/>
      <c r="R1416" s="3">
        <f>IFERROR(__xludf.DUMMYFUNCTION("""COMPUTED_VALUE"""),0.0)</f>
        <v>0</v>
      </c>
      <c r="S1416" s="3"/>
      <c r="T1416" s="5"/>
      <c r="U1416" s="5"/>
      <c r="V1416" s="5"/>
      <c r="W1416" s="5"/>
    </row>
    <row r="1417" ht="15.75" customHeight="1">
      <c r="A1417" s="3">
        <f>IFERROR(__xludf.DUMMYFUNCTION("""COMPUTED_VALUE"""),1417.0)</f>
        <v>1417</v>
      </c>
      <c r="B1417" s="53">
        <f>IFERROR(__xludf.DUMMYFUNCTION("""COMPUTED_VALUE"""),45789.0)</f>
        <v>45789</v>
      </c>
      <c r="C1417" s="3">
        <f>IFERROR(__xludf.DUMMYFUNCTION("""COMPUTED_VALUE"""),72.0)</f>
        <v>72</v>
      </c>
      <c r="D1417" s="3" t="str">
        <f>IFERROR(__xludf.DUMMYFUNCTION("""COMPUTED_VALUE"""),"8173df5d")</f>
        <v>8173df5d</v>
      </c>
      <c r="E1417" s="54">
        <f>IFERROR(__xludf.DUMMYFUNCTION("""COMPUTED_VALUE"""),13000.0)</f>
        <v>13000</v>
      </c>
      <c r="F1417" s="3" t="str">
        <f>IFERROR(__xludf.DUMMYFUNCTION("""COMPUTED_VALUE"""),"Malbec")</f>
        <v>Malbec</v>
      </c>
      <c r="G1417" s="3"/>
      <c r="H1417" s="3"/>
      <c r="I1417" s="3"/>
      <c r="J1417" s="3"/>
      <c r="K1417" s="3"/>
      <c r="L1417" s="54">
        <f>IFERROR(__xludf.DUMMYFUNCTION("""COMPUTED_VALUE"""),38.0)</f>
        <v>38</v>
      </c>
      <c r="M1417" s="3">
        <f>IFERROR(__xludf.DUMMYFUNCTION("""COMPUTED_VALUE"""),86.0)</f>
        <v>86</v>
      </c>
      <c r="N1417" s="3"/>
      <c r="O1417" s="3"/>
      <c r="P1417" s="3"/>
      <c r="Q1417" s="3"/>
      <c r="R1417" s="3">
        <f>IFERROR(__xludf.DUMMYFUNCTION("""COMPUTED_VALUE"""),0.0)</f>
        <v>0</v>
      </c>
      <c r="S1417" s="3"/>
      <c r="T1417" s="5"/>
      <c r="U1417" s="5"/>
      <c r="V1417" s="5"/>
      <c r="W1417" s="5"/>
    </row>
    <row r="1418" ht="15.75" customHeight="1">
      <c r="A1418" s="3">
        <f>IFERROR(__xludf.DUMMYFUNCTION("""COMPUTED_VALUE"""),1418.0)</f>
        <v>1418</v>
      </c>
      <c r="B1418" s="53">
        <f>IFERROR(__xludf.DUMMYFUNCTION("""COMPUTED_VALUE"""),45789.0)</f>
        <v>45789</v>
      </c>
      <c r="C1418" s="3">
        <f>IFERROR(__xludf.DUMMYFUNCTION("""COMPUTED_VALUE"""),73.0)</f>
        <v>73</v>
      </c>
      <c r="D1418" s="3" t="str">
        <f>IFERROR(__xludf.DUMMYFUNCTION("""COMPUTED_VALUE"""),"0760321a")</f>
        <v>0760321a</v>
      </c>
      <c r="E1418" s="54">
        <f>IFERROR(__xludf.DUMMYFUNCTION("""COMPUTED_VALUE"""),13000.0)</f>
        <v>13000</v>
      </c>
      <c r="F1418" s="3" t="str">
        <f>IFERROR(__xludf.DUMMYFUNCTION("""COMPUTED_VALUE"""),"Tanat")</f>
        <v>Tanat</v>
      </c>
      <c r="G1418" s="3"/>
      <c r="H1418" s="3"/>
      <c r="I1418" s="3"/>
      <c r="J1418" s="3"/>
      <c r="K1418" s="3"/>
      <c r="L1418" s="54">
        <f>IFERROR(__xludf.DUMMYFUNCTION("""COMPUTED_VALUE"""),20.0)</f>
        <v>20</v>
      </c>
      <c r="M1418" s="3">
        <f>IFERROR(__xludf.DUMMYFUNCTION("""COMPUTED_VALUE"""),100.0)</f>
        <v>100</v>
      </c>
      <c r="N1418" s="3"/>
      <c r="O1418" s="3"/>
      <c r="P1418" s="3"/>
      <c r="Q1418" s="3"/>
      <c r="R1418" s="3">
        <f>IFERROR(__xludf.DUMMYFUNCTION("""COMPUTED_VALUE"""),0.0)</f>
        <v>0</v>
      </c>
      <c r="S1418" s="3"/>
      <c r="T1418" s="5"/>
      <c r="U1418" s="5"/>
      <c r="V1418" s="5"/>
      <c r="W1418" s="5"/>
    </row>
    <row r="1419" ht="15.75" customHeight="1">
      <c r="A1419" s="3">
        <f>IFERROR(__xludf.DUMMYFUNCTION("""COMPUTED_VALUE"""),1419.0)</f>
        <v>1419</v>
      </c>
      <c r="B1419" s="53">
        <f>IFERROR(__xludf.DUMMYFUNCTION("""COMPUTED_VALUE"""),45789.0)</f>
        <v>45789</v>
      </c>
      <c r="C1419" s="3">
        <f>IFERROR(__xludf.DUMMYFUNCTION("""COMPUTED_VALUE"""),76.0)</f>
        <v>76</v>
      </c>
      <c r="D1419" s="3" t="str">
        <f>IFERROR(__xludf.DUMMYFUNCTION("""COMPUTED_VALUE"""),"187a80d6")</f>
        <v>187a80d6</v>
      </c>
      <c r="E1419" s="54">
        <f>IFERROR(__xludf.DUMMYFUNCTION("""COMPUTED_VALUE"""),25500.0)</f>
        <v>25500</v>
      </c>
      <c r="F1419" s="3" t="str">
        <f>IFERROR(__xludf.DUMMYFUNCTION("""COMPUTED_VALUE"""),"Cabernet Sauvignon prensa")</f>
        <v>Cabernet Sauvignon prensa</v>
      </c>
      <c r="G1419" s="3"/>
      <c r="H1419" s="3"/>
      <c r="I1419" s="3"/>
      <c r="J1419" s="3"/>
      <c r="K1419" s="3"/>
      <c r="L1419" s="54">
        <f>IFERROR(__xludf.DUMMYFUNCTION("""COMPUTED_VALUE"""),38.0)</f>
        <v>38</v>
      </c>
      <c r="M1419" s="3">
        <f>IFERROR(__xludf.DUMMYFUNCTION("""COMPUTED_VALUE"""),93.0)</f>
        <v>93</v>
      </c>
      <c r="N1419" s="3"/>
      <c r="O1419" s="3"/>
      <c r="P1419" s="3"/>
      <c r="Q1419" s="3"/>
      <c r="R1419" s="3">
        <f>IFERROR(__xludf.DUMMYFUNCTION("""COMPUTED_VALUE"""),0.0)</f>
        <v>0</v>
      </c>
      <c r="S1419" s="3"/>
      <c r="T1419" s="5"/>
      <c r="U1419" s="5"/>
      <c r="V1419" s="5"/>
      <c r="W1419" s="5"/>
    </row>
    <row r="1420" ht="15.75" customHeight="1">
      <c r="A1420" s="3">
        <f>IFERROR(__xludf.DUMMYFUNCTION("""COMPUTED_VALUE"""),1420.0)</f>
        <v>1420</v>
      </c>
      <c r="B1420" s="53">
        <f>IFERROR(__xludf.DUMMYFUNCTION("""COMPUTED_VALUE"""),45789.0)</f>
        <v>45789</v>
      </c>
      <c r="C1420" s="3">
        <f>IFERROR(__xludf.DUMMYFUNCTION("""COMPUTED_VALUE"""),86.0)</f>
        <v>86</v>
      </c>
      <c r="D1420" s="3" t="str">
        <f>IFERROR(__xludf.DUMMYFUNCTION("""COMPUTED_VALUE"""),"098ad529")</f>
        <v>098ad529</v>
      </c>
      <c r="E1420" s="54">
        <f>IFERROR(__xludf.DUMMYFUNCTION("""COMPUTED_VALUE"""),88000.0)</f>
        <v>88000</v>
      </c>
      <c r="F1420" s="3" t="str">
        <f>IFERROR(__xludf.DUMMYFUNCTION("""COMPUTED_VALUE"""),"Cabernet Sauv Millan 233")</f>
        <v>Cabernet Sauv Millan 233</v>
      </c>
      <c r="G1420" s="3"/>
      <c r="H1420" s="3"/>
      <c r="I1420" s="3"/>
      <c r="J1420" s="3"/>
      <c r="K1420" s="3"/>
      <c r="L1420" s="54">
        <f>IFERROR(__xludf.DUMMYFUNCTION("""COMPUTED_VALUE"""),27.0)</f>
        <v>27</v>
      </c>
      <c r="M1420" s="3">
        <f>IFERROR(__xludf.DUMMYFUNCTION("""COMPUTED_VALUE"""),90.0)</f>
        <v>90</v>
      </c>
      <c r="N1420" s="3"/>
      <c r="O1420" s="3"/>
      <c r="P1420" s="3"/>
      <c r="Q1420" s="3"/>
      <c r="R1420" s="3">
        <f>IFERROR(__xludf.DUMMYFUNCTION("""COMPUTED_VALUE"""),0.0)</f>
        <v>0</v>
      </c>
      <c r="S1420" s="3"/>
      <c r="T1420" s="5"/>
      <c r="U1420" s="5"/>
      <c r="V1420" s="5"/>
      <c r="W1420" s="5"/>
    </row>
    <row r="1421" ht="15.75" customHeight="1">
      <c r="A1421" s="3">
        <f>IFERROR(__xludf.DUMMYFUNCTION("""COMPUTED_VALUE"""),1421.0)</f>
        <v>1421</v>
      </c>
      <c r="B1421" s="53">
        <f>IFERROR(__xludf.DUMMYFUNCTION("""COMPUTED_VALUE"""),45789.0)</f>
        <v>45789</v>
      </c>
      <c r="C1421" s="3">
        <f>IFERROR(__xludf.DUMMYFUNCTION("""COMPUTED_VALUE"""),126.0)</f>
        <v>126</v>
      </c>
      <c r="D1421" s="3" t="str">
        <f>IFERROR(__xludf.DUMMYFUNCTION("""COMPUTED_VALUE"""),"9c9a8832")</f>
        <v>9c9a8832</v>
      </c>
      <c r="E1421" s="54">
        <f>IFERROR(__xludf.DUMMYFUNCTION("""COMPUTED_VALUE"""),31000.0)</f>
        <v>31000</v>
      </c>
      <c r="F1421" s="3" t="str">
        <f>IFERROR(__xludf.DUMMYFUNCTION("""COMPUTED_VALUE"""),"Tinto G")</f>
        <v>Tinto G</v>
      </c>
      <c r="G1421" s="3"/>
      <c r="H1421" s="3"/>
      <c r="I1421" s="3"/>
      <c r="J1421" s="3"/>
      <c r="K1421" s="3"/>
      <c r="L1421" s="54">
        <f>IFERROR(__xludf.DUMMYFUNCTION("""COMPUTED_VALUE"""),30.0)</f>
        <v>30</v>
      </c>
      <c r="M1421" s="3">
        <f>IFERROR(__xludf.DUMMYFUNCTION("""COMPUTED_VALUE"""),105.0)</f>
        <v>105</v>
      </c>
      <c r="N1421" s="3"/>
      <c r="O1421" s="3"/>
      <c r="P1421" s="3"/>
      <c r="Q1421" s="3"/>
      <c r="R1421" s="3">
        <f>IFERROR(__xludf.DUMMYFUNCTION("""COMPUTED_VALUE"""),0.0)</f>
        <v>0</v>
      </c>
      <c r="S1421" s="3"/>
      <c r="T1421" s="5"/>
      <c r="U1421" s="5"/>
      <c r="V1421" s="5"/>
      <c r="W1421" s="5"/>
    </row>
    <row r="1422" ht="15.75" customHeight="1">
      <c r="A1422" s="3">
        <f>IFERROR(__xludf.DUMMYFUNCTION("""COMPUTED_VALUE"""),1422.0)</f>
        <v>1422</v>
      </c>
      <c r="B1422" s="53">
        <f>IFERROR(__xludf.DUMMYFUNCTION("""COMPUTED_VALUE"""),45789.0)</f>
        <v>45789</v>
      </c>
      <c r="C1422" s="3">
        <f>IFERROR(__xludf.DUMMYFUNCTION("""COMPUTED_VALUE"""),65.0)</f>
        <v>65</v>
      </c>
      <c r="D1422" s="3" t="str">
        <f>IFERROR(__xludf.DUMMYFUNCTION("""COMPUTED_VALUE"""),"91b01170")</f>
        <v>91b01170</v>
      </c>
      <c r="E1422" s="54">
        <f>IFERROR(__xludf.DUMMYFUNCTION("""COMPUTED_VALUE"""),35500.0)</f>
        <v>35500</v>
      </c>
      <c r="F1422" s="3" t="str">
        <f>IFERROR(__xludf.DUMMYFUNCTION("""COMPUTED_VALUE"""),"Malbec Dulc")</f>
        <v>Malbec Dulc</v>
      </c>
      <c r="G1422" s="3"/>
      <c r="H1422" s="3"/>
      <c r="I1422" s="3"/>
      <c r="J1422" s="3"/>
      <c r="K1422" s="3"/>
      <c r="L1422" s="3"/>
      <c r="M1422" s="3"/>
      <c r="N1422" s="3"/>
      <c r="O1422" s="3"/>
      <c r="P1422" s="3"/>
      <c r="Q1422" s="3"/>
      <c r="R1422" s="3">
        <f>IFERROR(__xludf.DUMMYFUNCTION("""COMPUTED_VALUE"""),0.0)</f>
        <v>0</v>
      </c>
      <c r="S1422" s="3"/>
      <c r="T1422" s="5"/>
      <c r="U1422" s="5"/>
      <c r="V1422" s="5"/>
      <c r="W1422" s="5"/>
    </row>
    <row r="1423" ht="15.75" customHeight="1">
      <c r="A1423" s="3">
        <f>IFERROR(__xludf.DUMMYFUNCTION("""COMPUTED_VALUE"""),1423.0)</f>
        <v>1423</v>
      </c>
      <c r="B1423" s="53">
        <f>IFERROR(__xludf.DUMMYFUNCTION("""COMPUTED_VALUE"""),45789.0)</f>
        <v>45789</v>
      </c>
      <c r="C1423" s="3">
        <f>IFERROR(__xludf.DUMMYFUNCTION("""COMPUTED_VALUE"""),66.0)</f>
        <v>66</v>
      </c>
      <c r="D1423" s="3" t="str">
        <f>IFERROR(__xludf.DUMMYFUNCTION("""COMPUTED_VALUE"""),"95f6ad50")</f>
        <v>95f6ad50</v>
      </c>
      <c r="E1423" s="54">
        <f>IFERROR(__xludf.DUMMYFUNCTION("""COMPUTED_VALUE"""),23000.0)</f>
        <v>23000</v>
      </c>
      <c r="F1423" s="3" t="str">
        <f>IFERROR(__xludf.DUMMYFUNCTION("""COMPUTED_VALUE"""),"Malbec Dulc")</f>
        <v>Malbec Dulc</v>
      </c>
      <c r="G1423" s="3"/>
      <c r="H1423" s="3"/>
      <c r="I1423" s="3"/>
      <c r="J1423" s="3"/>
      <c r="K1423" s="3"/>
      <c r="L1423" s="3"/>
      <c r="M1423" s="3"/>
      <c r="N1423" s="3"/>
      <c r="O1423" s="3"/>
      <c r="P1423" s="3"/>
      <c r="Q1423" s="3"/>
      <c r="R1423" s="3">
        <f>IFERROR(__xludf.DUMMYFUNCTION("""COMPUTED_VALUE"""),0.0)</f>
        <v>0</v>
      </c>
      <c r="S1423" s="3"/>
      <c r="T1423" s="5"/>
      <c r="U1423" s="5"/>
      <c r="V1423" s="5"/>
      <c r="W1423" s="5"/>
    </row>
    <row r="1424" ht="15.75" customHeight="1">
      <c r="A1424" s="3">
        <f>IFERROR(__xludf.DUMMYFUNCTION("""COMPUTED_VALUE"""),1424.0)</f>
        <v>1424</v>
      </c>
      <c r="B1424" s="53">
        <f>IFERROR(__xludf.DUMMYFUNCTION("""COMPUTED_VALUE"""),45789.0)</f>
        <v>45789</v>
      </c>
      <c r="C1424" s="3">
        <f>IFERROR(__xludf.DUMMYFUNCTION("""COMPUTED_VALUE"""),85.0)</f>
        <v>85</v>
      </c>
      <c r="D1424" s="3" t="str">
        <f>IFERROR(__xludf.DUMMYFUNCTION("""COMPUTED_VALUE"""),"33b26126")</f>
        <v>33b26126</v>
      </c>
      <c r="E1424" s="54">
        <f>IFERROR(__xludf.DUMMYFUNCTION("""COMPUTED_VALUE"""),84000.0)</f>
        <v>84000</v>
      </c>
      <c r="F1424" s="3" t="str">
        <f>IFERROR(__xludf.DUMMYFUNCTION("""COMPUTED_VALUE"""),"Malbec Dulc")</f>
        <v>Malbec Dulc</v>
      </c>
      <c r="G1424" s="3"/>
      <c r="H1424" s="3"/>
      <c r="I1424" s="3"/>
      <c r="J1424" s="3"/>
      <c r="K1424" s="3"/>
      <c r="L1424" s="3"/>
      <c r="M1424" s="3"/>
      <c r="N1424" s="3"/>
      <c r="O1424" s="3"/>
      <c r="P1424" s="3"/>
      <c r="Q1424" s="3"/>
      <c r="R1424" s="3">
        <f>IFERROR(__xludf.DUMMYFUNCTION("""COMPUTED_VALUE"""),0.0)</f>
        <v>0</v>
      </c>
      <c r="S1424" s="3"/>
      <c r="T1424" s="5"/>
      <c r="U1424" s="5"/>
      <c r="V1424" s="5"/>
      <c r="W1424" s="5"/>
    </row>
    <row r="1425" ht="15.75" customHeight="1">
      <c r="A1425" s="3">
        <f>IFERROR(__xludf.DUMMYFUNCTION("""COMPUTED_VALUE"""),1425.0)</f>
        <v>1425</v>
      </c>
      <c r="B1425" s="53">
        <f>IFERROR(__xludf.DUMMYFUNCTION("""COMPUTED_VALUE"""),45790.0)</f>
        <v>45790</v>
      </c>
      <c r="C1425" s="3">
        <f>IFERROR(__xludf.DUMMYFUNCTION("""COMPUTED_VALUE"""),118.0)</f>
        <v>118</v>
      </c>
      <c r="D1425" s="3" t="str">
        <f>IFERROR(__xludf.DUMMYFUNCTION("""COMPUTED_VALUE"""),"b8a3716d")</f>
        <v>b8a3716d</v>
      </c>
      <c r="E1425" s="54">
        <f>IFERROR(__xludf.DUMMYFUNCTION("""COMPUTED_VALUE"""),155600.0)</f>
        <v>155600</v>
      </c>
      <c r="F1425" s="3" t="str">
        <f>IFERROR(__xludf.DUMMYFUNCTION("""COMPUTED_VALUE"""),"Tinto")</f>
        <v>Tinto</v>
      </c>
      <c r="G1425" s="55">
        <f>IFERROR(__xludf.DUMMYFUNCTION("""COMPUTED_VALUE"""),14.0)</f>
        <v>14</v>
      </c>
      <c r="H1425" s="56">
        <f>IFERROR(__xludf.DUMMYFUNCTION("""COMPUTED_VALUE"""),4.0)</f>
        <v>4</v>
      </c>
      <c r="I1425" s="57">
        <f>IFERROR(__xludf.DUMMYFUNCTION("""COMPUTED_VALUE"""),0.47)</f>
        <v>0.47</v>
      </c>
      <c r="J1425" s="57">
        <f>IFERROR(__xludf.DUMMYFUNCTION("""COMPUTED_VALUE"""),6.12)</f>
        <v>6.12</v>
      </c>
      <c r="K1425" s="57">
        <f>IFERROR(__xludf.DUMMYFUNCTION("""COMPUTED_VALUE"""),3.86)</f>
        <v>3.86</v>
      </c>
      <c r="L1425" s="54">
        <f>IFERROR(__xludf.DUMMYFUNCTION("""COMPUTED_VALUE"""),20.0)</f>
        <v>20</v>
      </c>
      <c r="M1425" s="3">
        <f>IFERROR(__xludf.DUMMYFUNCTION("""COMPUTED_VALUE"""),102.0)</f>
        <v>102</v>
      </c>
      <c r="N1425" s="3"/>
      <c r="O1425" s="3"/>
      <c r="P1425" s="3"/>
      <c r="Q1425" s="3"/>
      <c r="R1425" s="3">
        <f>IFERROR(__xludf.DUMMYFUNCTION("""COMPUTED_VALUE"""),0.0)</f>
        <v>0</v>
      </c>
      <c r="S1425" s="3"/>
      <c r="T1425" s="5"/>
      <c r="U1425" s="5"/>
      <c r="V1425" s="5"/>
      <c r="W1425" s="5"/>
    </row>
    <row r="1426" ht="15.75" customHeight="1">
      <c r="A1426" s="3">
        <f>IFERROR(__xludf.DUMMYFUNCTION("""COMPUTED_VALUE"""),1426.0)</f>
        <v>1426</v>
      </c>
      <c r="B1426" s="53">
        <f>IFERROR(__xludf.DUMMYFUNCTION("""COMPUTED_VALUE"""),45790.0)</f>
        <v>45790</v>
      </c>
      <c r="C1426" s="3">
        <f>IFERROR(__xludf.DUMMYFUNCTION("""COMPUTED_VALUE"""),8.0)</f>
        <v>8</v>
      </c>
      <c r="D1426" s="3" t="str">
        <f>IFERROR(__xludf.DUMMYFUNCTION("""COMPUTED_VALUE"""),"376dbee6")</f>
        <v>376dbee6</v>
      </c>
      <c r="E1426" s="54">
        <f>IFERROR(__xludf.DUMMYFUNCTION("""COMPUTED_VALUE"""),22000.0)</f>
        <v>22000</v>
      </c>
      <c r="F1426" s="3" t="str">
        <f>IFERROR(__xludf.DUMMYFUNCTION("""COMPUTED_VALUE"""),"Chardonnay")</f>
        <v>Chardonnay</v>
      </c>
      <c r="G1426" s="3"/>
      <c r="H1426" s="3"/>
      <c r="I1426" s="3"/>
      <c r="J1426" s="3"/>
      <c r="K1426" s="3"/>
      <c r="L1426" s="54">
        <f>IFERROR(__xludf.DUMMYFUNCTION("""COMPUTED_VALUE"""),47.0)</f>
        <v>47</v>
      </c>
      <c r="M1426" s="3">
        <f>IFERROR(__xludf.DUMMYFUNCTION("""COMPUTED_VALUE"""),121.0)</f>
        <v>121</v>
      </c>
      <c r="N1426" s="3"/>
      <c r="O1426" s="3"/>
      <c r="P1426" s="3"/>
      <c r="Q1426" s="3"/>
      <c r="R1426" s="3">
        <f>IFERROR(__xludf.DUMMYFUNCTION("""COMPUTED_VALUE"""),0.0)</f>
        <v>0</v>
      </c>
      <c r="S1426" s="3"/>
      <c r="T1426" s="5"/>
      <c r="U1426" s="5"/>
      <c r="V1426" s="5"/>
      <c r="W1426" s="5"/>
    </row>
    <row r="1427" ht="15.75" customHeight="1">
      <c r="A1427" s="3">
        <f>IFERROR(__xludf.DUMMYFUNCTION("""COMPUTED_VALUE"""),1427.0)</f>
        <v>1427</v>
      </c>
      <c r="B1427" s="53">
        <f>IFERROR(__xludf.DUMMYFUNCTION("""COMPUTED_VALUE"""),45790.0)</f>
        <v>45790</v>
      </c>
      <c r="C1427" s="3">
        <f>IFERROR(__xludf.DUMMYFUNCTION("""COMPUTED_VALUE"""),9.0)</f>
        <v>9</v>
      </c>
      <c r="D1427" s="3" t="str">
        <f>IFERROR(__xludf.DUMMYFUNCTION("""COMPUTED_VALUE"""),"b73d8cd1")</f>
        <v>b73d8cd1</v>
      </c>
      <c r="E1427" s="54">
        <f>IFERROR(__xludf.DUMMYFUNCTION("""COMPUTED_VALUE"""),30000.0)</f>
        <v>30000</v>
      </c>
      <c r="F1427" s="3" t="str">
        <f>IFERROR(__xludf.DUMMYFUNCTION("""COMPUTED_VALUE"""),"Chardonnay")</f>
        <v>Chardonnay</v>
      </c>
      <c r="G1427" s="3"/>
      <c r="H1427" s="3"/>
      <c r="I1427" s="3"/>
      <c r="J1427" s="3"/>
      <c r="K1427" s="3"/>
      <c r="L1427" s="54">
        <f>IFERROR(__xludf.DUMMYFUNCTION("""COMPUTED_VALUE"""),35.0)</f>
        <v>35</v>
      </c>
      <c r="M1427" s="3">
        <f>IFERROR(__xludf.DUMMYFUNCTION("""COMPUTED_VALUE"""),129.0)</f>
        <v>129</v>
      </c>
      <c r="N1427" s="3"/>
      <c r="O1427" s="3"/>
      <c r="P1427" s="3"/>
      <c r="Q1427" s="3"/>
      <c r="R1427" s="3">
        <f>IFERROR(__xludf.DUMMYFUNCTION("""COMPUTED_VALUE"""),0.0)</f>
        <v>0</v>
      </c>
      <c r="S1427" s="3"/>
      <c r="T1427" s="5"/>
      <c r="U1427" s="5"/>
      <c r="V1427" s="5"/>
      <c r="W1427" s="5"/>
    </row>
    <row r="1428" ht="15.75" customHeight="1">
      <c r="A1428" s="3">
        <f>IFERROR(__xludf.DUMMYFUNCTION("""COMPUTED_VALUE"""),1428.0)</f>
        <v>1428</v>
      </c>
      <c r="B1428" s="53">
        <f>IFERROR(__xludf.DUMMYFUNCTION("""COMPUTED_VALUE"""),45790.0)</f>
        <v>45790</v>
      </c>
      <c r="C1428" s="3">
        <f>IFERROR(__xludf.DUMMYFUNCTION("""COMPUTED_VALUE"""),10.0)</f>
        <v>10</v>
      </c>
      <c r="D1428" s="3" t="str">
        <f>IFERROR(__xludf.DUMMYFUNCTION("""COMPUTED_VALUE"""),"f9bf68a3")</f>
        <v>f9bf68a3</v>
      </c>
      <c r="E1428" s="54">
        <f>IFERROR(__xludf.DUMMYFUNCTION("""COMPUTED_VALUE"""),21000.0)</f>
        <v>21000</v>
      </c>
      <c r="F1428" s="3" t="str">
        <f>IFERROR(__xludf.DUMMYFUNCTION("""COMPUTED_VALUE"""),"Chardonnay")</f>
        <v>Chardonnay</v>
      </c>
      <c r="G1428" s="3"/>
      <c r="H1428" s="3"/>
      <c r="I1428" s="3"/>
      <c r="J1428" s="3"/>
      <c r="K1428" s="3"/>
      <c r="L1428" s="54">
        <f>IFERROR(__xludf.DUMMYFUNCTION("""COMPUTED_VALUE"""),38.0)</f>
        <v>38</v>
      </c>
      <c r="M1428" s="3">
        <f>IFERROR(__xludf.DUMMYFUNCTION("""COMPUTED_VALUE"""),120.0)</f>
        <v>120</v>
      </c>
      <c r="N1428" s="3"/>
      <c r="O1428" s="3"/>
      <c r="P1428" s="3"/>
      <c r="Q1428" s="3"/>
      <c r="R1428" s="3">
        <f>IFERROR(__xludf.DUMMYFUNCTION("""COMPUTED_VALUE"""),0.0)</f>
        <v>0</v>
      </c>
      <c r="S1428" s="3"/>
      <c r="T1428" s="5"/>
      <c r="U1428" s="5"/>
      <c r="V1428" s="5"/>
      <c r="W1428" s="5"/>
    </row>
    <row r="1429" ht="15.75" customHeight="1">
      <c r="A1429" s="3">
        <f>IFERROR(__xludf.DUMMYFUNCTION("""COMPUTED_VALUE"""),1429.0)</f>
        <v>1429</v>
      </c>
      <c r="B1429" s="53">
        <f>IFERROR(__xludf.DUMMYFUNCTION("""COMPUTED_VALUE"""),45790.0)</f>
        <v>45790</v>
      </c>
      <c r="C1429" s="3">
        <f>IFERROR(__xludf.DUMMYFUNCTION("""COMPUTED_VALUE"""),16.0)</f>
        <v>16</v>
      </c>
      <c r="D1429" s="3" t="str">
        <f>IFERROR(__xludf.DUMMYFUNCTION("""COMPUTED_VALUE"""),"b5e03e7f")</f>
        <v>b5e03e7f</v>
      </c>
      <c r="E1429" s="54">
        <f>IFERROR(__xludf.DUMMYFUNCTION("""COMPUTED_VALUE"""),19500.0)</f>
        <v>19500</v>
      </c>
      <c r="F1429" s="3" t="str">
        <f>IFERROR(__xludf.DUMMYFUNCTION("""COMPUTED_VALUE"""),"Chardonnay")</f>
        <v>Chardonnay</v>
      </c>
      <c r="G1429" s="3"/>
      <c r="H1429" s="3"/>
      <c r="I1429" s="3"/>
      <c r="J1429" s="3"/>
      <c r="K1429" s="3"/>
      <c r="L1429" s="54">
        <f>IFERROR(__xludf.DUMMYFUNCTION("""COMPUTED_VALUE"""),38.0)</f>
        <v>38</v>
      </c>
      <c r="M1429" s="3">
        <f>IFERROR(__xludf.DUMMYFUNCTION("""COMPUTED_VALUE"""),122.0)</f>
        <v>122</v>
      </c>
      <c r="N1429" s="3"/>
      <c r="O1429" s="3"/>
      <c r="P1429" s="3"/>
      <c r="Q1429" s="3"/>
      <c r="R1429" s="3">
        <f>IFERROR(__xludf.DUMMYFUNCTION("""COMPUTED_VALUE"""),0.0)</f>
        <v>0</v>
      </c>
      <c r="S1429" s="3"/>
      <c r="T1429" s="5"/>
      <c r="U1429" s="5"/>
      <c r="V1429" s="5"/>
      <c r="W1429" s="5"/>
    </row>
    <row r="1430" ht="15.75" customHeight="1">
      <c r="A1430" s="3">
        <f>IFERROR(__xludf.DUMMYFUNCTION("""COMPUTED_VALUE"""),1430.0)</f>
        <v>1430</v>
      </c>
      <c r="B1430" s="53">
        <f>IFERROR(__xludf.DUMMYFUNCTION("""COMPUTED_VALUE"""),45790.0)</f>
        <v>45790</v>
      </c>
      <c r="C1430" s="3">
        <f>IFERROR(__xludf.DUMMYFUNCTION("""COMPUTED_VALUE"""),31.0)</f>
        <v>31</v>
      </c>
      <c r="D1430" s="3" t="str">
        <f>IFERROR(__xludf.DUMMYFUNCTION("""COMPUTED_VALUE"""),"8a7074cf")</f>
        <v>8a7074cf</v>
      </c>
      <c r="E1430" s="54">
        <f>IFERROR(__xludf.DUMMYFUNCTION("""COMPUTED_VALUE"""),25700.0)</f>
        <v>25700</v>
      </c>
      <c r="F1430" s="3" t="str">
        <f>IFERROR(__xludf.DUMMYFUNCTION("""COMPUTED_VALUE"""),"Chardonnay")</f>
        <v>Chardonnay</v>
      </c>
      <c r="G1430" s="3"/>
      <c r="H1430" s="3"/>
      <c r="I1430" s="3"/>
      <c r="J1430" s="3"/>
      <c r="K1430" s="3"/>
      <c r="L1430" s="54">
        <f>IFERROR(__xludf.DUMMYFUNCTION("""COMPUTED_VALUE"""),36.0)</f>
        <v>36</v>
      </c>
      <c r="M1430" s="3">
        <f>IFERROR(__xludf.DUMMYFUNCTION("""COMPUTED_VALUE"""),83.0)</f>
        <v>83</v>
      </c>
      <c r="N1430" s="3"/>
      <c r="O1430" s="3"/>
      <c r="P1430" s="3"/>
      <c r="Q1430" s="3"/>
      <c r="R1430" s="3">
        <f>IFERROR(__xludf.DUMMYFUNCTION("""COMPUTED_VALUE"""),0.0)</f>
        <v>0</v>
      </c>
      <c r="S1430" s="3"/>
      <c r="T1430" s="5"/>
      <c r="U1430" s="5"/>
      <c r="V1430" s="5"/>
      <c r="W1430" s="5"/>
    </row>
    <row r="1431" ht="15.75" customHeight="1">
      <c r="A1431" s="3">
        <f>IFERROR(__xludf.DUMMYFUNCTION("""COMPUTED_VALUE"""),1431.0)</f>
        <v>1431</v>
      </c>
      <c r="B1431" s="53">
        <f>IFERROR(__xludf.DUMMYFUNCTION("""COMPUTED_VALUE"""),45790.0)</f>
        <v>45790</v>
      </c>
      <c r="C1431" s="3">
        <f>IFERROR(__xludf.DUMMYFUNCTION("""COMPUTED_VALUE"""),32.0)</f>
        <v>32</v>
      </c>
      <c r="D1431" s="3" t="str">
        <f>IFERROR(__xludf.DUMMYFUNCTION("""COMPUTED_VALUE"""),"a1e13111")</f>
        <v>a1e13111</v>
      </c>
      <c r="E1431" s="54">
        <f>IFERROR(__xludf.DUMMYFUNCTION("""COMPUTED_VALUE"""),36300.0)</f>
        <v>36300</v>
      </c>
      <c r="F1431" s="3" t="str">
        <f>IFERROR(__xludf.DUMMYFUNCTION("""COMPUTED_VALUE"""),"Chardonnay (Filtra)")</f>
        <v>Chardonnay (Filtra)</v>
      </c>
      <c r="G1431" s="3"/>
      <c r="H1431" s="3"/>
      <c r="I1431" s="3"/>
      <c r="J1431" s="3"/>
      <c r="K1431" s="3"/>
      <c r="L1431" s="54">
        <f>IFERROR(__xludf.DUMMYFUNCTION("""COMPUTED_VALUE"""),34.0)</f>
        <v>34</v>
      </c>
      <c r="M1431" s="3">
        <f>IFERROR(__xludf.DUMMYFUNCTION("""COMPUTED_VALUE"""),93.0)</f>
        <v>93</v>
      </c>
      <c r="N1431" s="3"/>
      <c r="O1431" s="3"/>
      <c r="P1431" s="3"/>
      <c r="Q1431" s="3"/>
      <c r="R1431" s="3">
        <f>IFERROR(__xludf.DUMMYFUNCTION("""COMPUTED_VALUE"""),0.0)</f>
        <v>0</v>
      </c>
      <c r="S1431" s="3"/>
      <c r="T1431" s="5"/>
      <c r="U1431" s="5"/>
      <c r="V1431" s="5"/>
      <c r="W1431" s="5"/>
    </row>
    <row r="1432" ht="15.75" customHeight="1">
      <c r="A1432" s="3">
        <f>IFERROR(__xludf.DUMMYFUNCTION("""COMPUTED_VALUE"""),1432.0)</f>
        <v>1432</v>
      </c>
      <c r="B1432" s="53">
        <f>IFERROR(__xludf.DUMMYFUNCTION("""COMPUTED_VALUE"""),45790.0)</f>
        <v>45790</v>
      </c>
      <c r="C1432" s="3">
        <f>IFERROR(__xludf.DUMMYFUNCTION("""COMPUTED_VALUE"""),33.0)</f>
        <v>33</v>
      </c>
      <c r="D1432" s="3" t="str">
        <f>IFERROR(__xludf.DUMMYFUNCTION("""COMPUTED_VALUE"""),"7def2139")</f>
        <v>7def2139</v>
      </c>
      <c r="E1432" s="54">
        <f>IFERROR(__xludf.DUMMYFUNCTION("""COMPUTED_VALUE"""),25300.0)</f>
        <v>25300</v>
      </c>
      <c r="F1432" s="3" t="str">
        <f>IFERROR(__xludf.DUMMYFUNCTION("""COMPUTED_VALUE"""),"Chardonnay")</f>
        <v>Chardonnay</v>
      </c>
      <c r="G1432" s="3"/>
      <c r="H1432" s="3"/>
      <c r="I1432" s="3"/>
      <c r="J1432" s="3"/>
      <c r="K1432" s="3"/>
      <c r="L1432" s="54">
        <f>IFERROR(__xludf.DUMMYFUNCTION("""COMPUTED_VALUE"""),29.0)</f>
        <v>29</v>
      </c>
      <c r="M1432" s="3">
        <f>IFERROR(__xludf.DUMMYFUNCTION("""COMPUTED_VALUE"""),64.0)</f>
        <v>64</v>
      </c>
      <c r="N1432" s="3"/>
      <c r="O1432" s="3"/>
      <c r="P1432" s="3"/>
      <c r="Q1432" s="3"/>
      <c r="R1432" s="3">
        <f>IFERROR(__xludf.DUMMYFUNCTION("""COMPUTED_VALUE"""),0.0)</f>
        <v>0</v>
      </c>
      <c r="S1432" s="3"/>
      <c r="T1432" s="5"/>
      <c r="U1432" s="5"/>
      <c r="V1432" s="5"/>
      <c r="W1432" s="5"/>
    </row>
    <row r="1433" ht="15.75" customHeight="1">
      <c r="A1433" s="3">
        <f>IFERROR(__xludf.DUMMYFUNCTION("""COMPUTED_VALUE"""),1433.0)</f>
        <v>1433</v>
      </c>
      <c r="B1433" s="53">
        <f>IFERROR(__xludf.DUMMYFUNCTION("""COMPUTED_VALUE"""),45790.0)</f>
        <v>45790</v>
      </c>
      <c r="C1433" s="3">
        <f>IFERROR(__xludf.DUMMYFUNCTION("""COMPUTED_VALUE"""),36.0)</f>
        <v>36</v>
      </c>
      <c r="D1433" s="3" t="str">
        <f>IFERROR(__xludf.DUMMYFUNCTION("""COMPUTED_VALUE"""),"0997a77d")</f>
        <v>0997a77d</v>
      </c>
      <c r="E1433" s="54">
        <f>IFERROR(__xludf.DUMMYFUNCTION("""COMPUTED_VALUE"""),19700.0)</f>
        <v>19700</v>
      </c>
      <c r="F1433" s="3" t="str">
        <f>IFERROR(__xludf.DUMMYFUNCTION("""COMPUTED_VALUE"""),"Torrontes")</f>
        <v>Torrontes</v>
      </c>
      <c r="G1433" s="3"/>
      <c r="H1433" s="3"/>
      <c r="I1433" s="3"/>
      <c r="J1433" s="3"/>
      <c r="K1433" s="3"/>
      <c r="L1433" s="54">
        <f>IFERROR(__xludf.DUMMYFUNCTION("""COMPUTED_VALUE"""),38.0)</f>
        <v>38</v>
      </c>
      <c r="M1433" s="3">
        <f>IFERROR(__xludf.DUMMYFUNCTION("""COMPUTED_VALUE"""),140.0)</f>
        <v>140</v>
      </c>
      <c r="N1433" s="3"/>
      <c r="O1433" s="3"/>
      <c r="P1433" s="3"/>
      <c r="Q1433" s="3"/>
      <c r="R1433" s="3">
        <f>IFERROR(__xludf.DUMMYFUNCTION("""COMPUTED_VALUE"""),0.0)</f>
        <v>0</v>
      </c>
      <c r="S1433" s="3"/>
      <c r="T1433" s="5"/>
      <c r="U1433" s="5"/>
      <c r="V1433" s="5"/>
      <c r="W1433" s="5"/>
    </row>
    <row r="1434" ht="15.75" customHeight="1">
      <c r="A1434" s="3">
        <f>IFERROR(__xludf.DUMMYFUNCTION("""COMPUTED_VALUE"""),1434.0)</f>
        <v>1434</v>
      </c>
      <c r="B1434" s="53">
        <f>IFERROR(__xludf.DUMMYFUNCTION("""COMPUTED_VALUE"""),45790.0)</f>
        <v>45790</v>
      </c>
      <c r="C1434" s="3">
        <f>IFERROR(__xludf.DUMMYFUNCTION("""COMPUTED_VALUE"""),40.0)</f>
        <v>40</v>
      </c>
      <c r="D1434" s="3" t="str">
        <f>IFERROR(__xludf.DUMMYFUNCTION("""COMPUTED_VALUE"""),"7c5390c8")</f>
        <v>7c5390c8</v>
      </c>
      <c r="E1434" s="54">
        <f>IFERROR(__xludf.DUMMYFUNCTION("""COMPUTED_VALUE"""),24000.0)</f>
        <v>24000</v>
      </c>
      <c r="F1434" s="3" t="str">
        <f>IFERROR(__xludf.DUMMYFUNCTION("""COMPUTED_VALUE"""),"Chardonnay")</f>
        <v>Chardonnay</v>
      </c>
      <c r="G1434" s="3"/>
      <c r="H1434" s="3"/>
      <c r="I1434" s="3"/>
      <c r="J1434" s="3"/>
      <c r="K1434" s="3"/>
      <c r="L1434" s="54">
        <f>IFERROR(__xludf.DUMMYFUNCTION("""COMPUTED_VALUE"""),32.0)</f>
        <v>32</v>
      </c>
      <c r="M1434" s="3">
        <f>IFERROR(__xludf.DUMMYFUNCTION("""COMPUTED_VALUE"""),93.0)</f>
        <v>93</v>
      </c>
      <c r="N1434" s="3"/>
      <c r="O1434" s="3"/>
      <c r="P1434" s="3"/>
      <c r="Q1434" s="3"/>
      <c r="R1434" s="3">
        <f>IFERROR(__xludf.DUMMYFUNCTION("""COMPUTED_VALUE"""),0.0)</f>
        <v>0</v>
      </c>
      <c r="S1434" s="3"/>
      <c r="T1434" s="5"/>
      <c r="U1434" s="5"/>
      <c r="V1434" s="5"/>
      <c r="W1434" s="5"/>
    </row>
    <row r="1435" ht="15.75" customHeight="1">
      <c r="A1435" s="3">
        <f>IFERROR(__xludf.DUMMYFUNCTION("""COMPUTED_VALUE"""),1435.0)</f>
        <v>1435</v>
      </c>
      <c r="B1435" s="53">
        <f>IFERROR(__xludf.DUMMYFUNCTION("""COMPUTED_VALUE"""),45790.0)</f>
        <v>45790</v>
      </c>
      <c r="C1435" s="3">
        <f>IFERROR(__xludf.DUMMYFUNCTION("""COMPUTED_VALUE"""),44.0)</f>
        <v>44</v>
      </c>
      <c r="D1435" s="3" t="str">
        <f>IFERROR(__xludf.DUMMYFUNCTION("""COMPUTED_VALUE"""),"7ae457f1")</f>
        <v>7ae457f1</v>
      </c>
      <c r="E1435" s="54">
        <f>IFERROR(__xludf.DUMMYFUNCTION("""COMPUTED_VALUE"""),19100.0)</f>
        <v>19100</v>
      </c>
      <c r="F1435" s="3" t="str">
        <f>IFERROR(__xludf.DUMMYFUNCTION("""COMPUTED_VALUE"""),"Torrontes")</f>
        <v>Torrontes</v>
      </c>
      <c r="G1435" s="3"/>
      <c r="H1435" s="3"/>
      <c r="I1435" s="3"/>
      <c r="J1435" s="3"/>
      <c r="K1435" s="3"/>
      <c r="L1435" s="54">
        <f>IFERROR(__xludf.DUMMYFUNCTION("""COMPUTED_VALUE"""),34.0)</f>
        <v>34</v>
      </c>
      <c r="M1435" s="3">
        <f>IFERROR(__xludf.DUMMYFUNCTION("""COMPUTED_VALUE"""),121.0)</f>
        <v>121</v>
      </c>
      <c r="N1435" s="3"/>
      <c r="O1435" s="3"/>
      <c r="P1435" s="3"/>
      <c r="Q1435" s="3"/>
      <c r="R1435" s="3">
        <f>IFERROR(__xludf.DUMMYFUNCTION("""COMPUTED_VALUE"""),0.0)</f>
        <v>0</v>
      </c>
      <c r="S1435" s="3"/>
      <c r="T1435" s="5"/>
      <c r="U1435" s="5"/>
      <c r="V1435" s="5"/>
      <c r="W1435" s="5"/>
    </row>
    <row r="1436" ht="15.75" customHeight="1">
      <c r="A1436" s="3">
        <f>IFERROR(__xludf.DUMMYFUNCTION("""COMPUTED_VALUE"""),1436.0)</f>
        <v>1436</v>
      </c>
      <c r="B1436" s="53">
        <f>IFERROR(__xludf.DUMMYFUNCTION("""COMPUTED_VALUE"""),45790.0)</f>
        <v>45790</v>
      </c>
      <c r="C1436" s="3">
        <f>IFERROR(__xludf.DUMMYFUNCTION("""COMPUTED_VALUE"""),47.0)</f>
        <v>47</v>
      </c>
      <c r="D1436" s="3" t="str">
        <f>IFERROR(__xludf.DUMMYFUNCTION("""COMPUTED_VALUE"""),"5cdb12ce")</f>
        <v>5cdb12ce</v>
      </c>
      <c r="E1436" s="54">
        <f>IFERROR(__xludf.DUMMYFUNCTION("""COMPUTED_VALUE"""),20000.0)</f>
        <v>20000</v>
      </c>
      <c r="F1436" s="3" t="str">
        <f>IFERROR(__xludf.DUMMYFUNCTION("""COMPUTED_VALUE"""),"Chenin")</f>
        <v>Chenin</v>
      </c>
      <c r="G1436" s="3"/>
      <c r="H1436" s="3"/>
      <c r="I1436" s="3"/>
      <c r="J1436" s="3"/>
      <c r="K1436" s="3"/>
      <c r="L1436" s="54">
        <f>IFERROR(__xludf.DUMMYFUNCTION("""COMPUTED_VALUE"""),35.0)</f>
        <v>35</v>
      </c>
      <c r="M1436" s="3">
        <f>IFERROR(__xludf.DUMMYFUNCTION("""COMPUTED_VALUE"""),116.0)</f>
        <v>116</v>
      </c>
      <c r="N1436" s="3"/>
      <c r="O1436" s="3"/>
      <c r="P1436" s="3"/>
      <c r="Q1436" s="3"/>
      <c r="R1436" s="3">
        <f>IFERROR(__xludf.DUMMYFUNCTION("""COMPUTED_VALUE"""),0.0)</f>
        <v>0</v>
      </c>
      <c r="S1436" s="3"/>
      <c r="T1436" s="5"/>
      <c r="U1436" s="5"/>
      <c r="V1436" s="5"/>
      <c r="W1436" s="5"/>
    </row>
    <row r="1437" ht="15.75" customHeight="1">
      <c r="A1437" s="3">
        <f>IFERROR(__xludf.DUMMYFUNCTION("""COMPUTED_VALUE"""),1437.0)</f>
        <v>1437</v>
      </c>
      <c r="B1437" s="53">
        <f>IFERROR(__xludf.DUMMYFUNCTION("""COMPUTED_VALUE"""),45790.0)</f>
        <v>45790</v>
      </c>
      <c r="C1437" s="3">
        <f>IFERROR(__xludf.DUMMYFUNCTION("""COMPUTED_VALUE"""),48.0)</f>
        <v>48</v>
      </c>
      <c r="D1437" s="3" t="str">
        <f>IFERROR(__xludf.DUMMYFUNCTION("""COMPUTED_VALUE"""),"ef198a97")</f>
        <v>ef198a97</v>
      </c>
      <c r="E1437" s="54">
        <f>IFERROR(__xludf.DUMMYFUNCTION("""COMPUTED_VALUE"""),26000.0)</f>
        <v>26000</v>
      </c>
      <c r="F1437" s="3" t="str">
        <f>IFERROR(__xludf.DUMMYFUNCTION("""COMPUTED_VALUE"""),"Pedro Gimenez")</f>
        <v>Pedro Gimenez</v>
      </c>
      <c r="G1437" s="3"/>
      <c r="H1437" s="3"/>
      <c r="I1437" s="3"/>
      <c r="J1437" s="3"/>
      <c r="K1437" s="3"/>
      <c r="L1437" s="54">
        <f>IFERROR(__xludf.DUMMYFUNCTION("""COMPUTED_VALUE"""),32.0)</f>
        <v>32</v>
      </c>
      <c r="M1437" s="3">
        <f>IFERROR(__xludf.DUMMYFUNCTION("""COMPUTED_VALUE"""),108.0)</f>
        <v>108</v>
      </c>
      <c r="N1437" s="3"/>
      <c r="O1437" s="3"/>
      <c r="P1437" s="3"/>
      <c r="Q1437" s="3"/>
      <c r="R1437" s="3">
        <f>IFERROR(__xludf.DUMMYFUNCTION("""COMPUTED_VALUE"""),0.0)</f>
        <v>0</v>
      </c>
      <c r="S1437" s="3"/>
      <c r="T1437" s="5"/>
      <c r="U1437" s="5"/>
      <c r="V1437" s="5"/>
      <c r="W1437" s="5"/>
    </row>
    <row r="1438" ht="15.75" customHeight="1">
      <c r="A1438" s="3">
        <f>IFERROR(__xludf.DUMMYFUNCTION("""COMPUTED_VALUE"""),1438.0)</f>
        <v>1438</v>
      </c>
      <c r="B1438" s="53">
        <f>IFERROR(__xludf.DUMMYFUNCTION("""COMPUTED_VALUE"""),45790.0)</f>
        <v>45790</v>
      </c>
      <c r="C1438" s="3">
        <f>IFERROR(__xludf.DUMMYFUNCTION("""COMPUTED_VALUE"""),55.0)</f>
        <v>55</v>
      </c>
      <c r="D1438" s="3" t="str">
        <f>IFERROR(__xludf.DUMMYFUNCTION("""COMPUTED_VALUE"""),"30332ad5")</f>
        <v>30332ad5</v>
      </c>
      <c r="E1438" s="54">
        <f>IFERROR(__xludf.DUMMYFUNCTION("""COMPUTED_VALUE"""),3000.0)</f>
        <v>3000</v>
      </c>
      <c r="F1438" s="3" t="str">
        <f>IFERROR(__xludf.DUMMYFUNCTION("""COMPUTED_VALUE"""),"Torrontes")</f>
        <v>Torrontes</v>
      </c>
      <c r="G1438" s="3"/>
      <c r="H1438" s="3"/>
      <c r="I1438" s="3"/>
      <c r="J1438" s="3"/>
      <c r="K1438" s="3"/>
      <c r="L1438" s="54">
        <f>IFERROR(__xludf.DUMMYFUNCTION("""COMPUTED_VALUE"""),43.0)</f>
        <v>43</v>
      </c>
      <c r="M1438" s="3">
        <f>IFERROR(__xludf.DUMMYFUNCTION("""COMPUTED_VALUE"""),142.0)</f>
        <v>142</v>
      </c>
      <c r="N1438" s="3"/>
      <c r="O1438" s="3"/>
      <c r="P1438" s="3"/>
      <c r="Q1438" s="3"/>
      <c r="R1438" s="3">
        <f>IFERROR(__xludf.DUMMYFUNCTION("""COMPUTED_VALUE"""),0.0)</f>
        <v>0</v>
      </c>
      <c r="S1438" s="3"/>
      <c r="T1438" s="5"/>
      <c r="U1438" s="5"/>
      <c r="V1438" s="5"/>
      <c r="W1438" s="5"/>
    </row>
    <row r="1439" ht="15.75" customHeight="1">
      <c r="A1439" s="3">
        <f>IFERROR(__xludf.DUMMYFUNCTION("""COMPUTED_VALUE"""),1439.0)</f>
        <v>1439</v>
      </c>
      <c r="B1439" s="53">
        <f>IFERROR(__xludf.DUMMYFUNCTION("""COMPUTED_VALUE"""),45790.0)</f>
        <v>45790</v>
      </c>
      <c r="C1439" s="3">
        <f>IFERROR(__xludf.DUMMYFUNCTION("""COMPUTED_VALUE"""),5.0)</f>
        <v>5</v>
      </c>
      <c r="D1439" s="3" t="str">
        <f>IFERROR(__xludf.DUMMYFUNCTION("""COMPUTED_VALUE"""),"593f826f")</f>
        <v>593f826f</v>
      </c>
      <c r="E1439" s="54">
        <f>IFERROR(__xludf.DUMMYFUNCTION("""COMPUTED_VALUE"""),30000.0)</f>
        <v>30000</v>
      </c>
      <c r="F1439" s="3" t="str">
        <f>IFERROR(__xludf.DUMMYFUNCTION("""COMPUTED_VALUE"""),"Chardonnay")</f>
        <v>Chardonnay</v>
      </c>
      <c r="G1439" s="3"/>
      <c r="H1439" s="3"/>
      <c r="I1439" s="3"/>
      <c r="J1439" s="3"/>
      <c r="K1439" s="3"/>
      <c r="L1439" s="54">
        <f>IFERROR(__xludf.DUMMYFUNCTION("""COMPUTED_VALUE"""),25.0)</f>
        <v>25</v>
      </c>
      <c r="M1439" s="3">
        <f>IFERROR(__xludf.DUMMYFUNCTION("""COMPUTED_VALUE"""),96.0)</f>
        <v>96</v>
      </c>
      <c r="N1439" s="3"/>
      <c r="O1439" s="3"/>
      <c r="P1439" s="3"/>
      <c r="Q1439" s="3"/>
      <c r="R1439" s="3">
        <f>IFERROR(__xludf.DUMMYFUNCTION("""COMPUTED_VALUE"""),0.0)</f>
        <v>0</v>
      </c>
      <c r="S1439" s="3"/>
      <c r="T1439" s="5"/>
      <c r="U1439" s="5"/>
      <c r="V1439" s="5"/>
      <c r="W1439" s="5"/>
    </row>
    <row r="1440" ht="15.75" customHeight="1">
      <c r="A1440" s="3">
        <f>IFERROR(__xludf.DUMMYFUNCTION("""COMPUTED_VALUE"""),1440.0)</f>
        <v>1440</v>
      </c>
      <c r="B1440" s="53">
        <f>IFERROR(__xludf.DUMMYFUNCTION("""COMPUTED_VALUE"""),45790.0)</f>
        <v>45790</v>
      </c>
      <c r="C1440" s="3">
        <f>IFERROR(__xludf.DUMMYFUNCTION("""COMPUTED_VALUE"""),75.0)</f>
        <v>75</v>
      </c>
      <c r="D1440" s="3" t="str">
        <f>IFERROR(__xludf.DUMMYFUNCTION("""COMPUTED_VALUE"""),"83616429")</f>
        <v>83616429</v>
      </c>
      <c r="E1440" s="54">
        <f>IFERROR(__xludf.DUMMYFUNCTION("""COMPUTED_VALUE"""),7000.0)</f>
        <v>7000</v>
      </c>
      <c r="F1440" s="3" t="str">
        <f>IFERROR(__xludf.DUMMYFUNCTION("""COMPUTED_VALUE"""),"Malbec Carricondo Venta")</f>
        <v>Malbec Carricondo Venta</v>
      </c>
      <c r="G1440" s="55">
        <f>IFERROR(__xludf.DUMMYFUNCTION("""COMPUTED_VALUE"""),13.2)</f>
        <v>13.2</v>
      </c>
      <c r="H1440" s="3"/>
      <c r="I1440" s="57">
        <f>IFERROR(__xludf.DUMMYFUNCTION("""COMPUTED_VALUE"""),0.47)</f>
        <v>0.47</v>
      </c>
      <c r="J1440" s="3"/>
      <c r="K1440" s="3"/>
      <c r="L1440" s="3"/>
      <c r="M1440" s="3"/>
      <c r="N1440" s="3"/>
      <c r="O1440" s="3"/>
      <c r="P1440" s="3"/>
      <c r="Q1440" s="3"/>
      <c r="R1440" s="3">
        <f>IFERROR(__xludf.DUMMYFUNCTION("""COMPUTED_VALUE"""),0.0)</f>
        <v>0</v>
      </c>
      <c r="S1440" s="3"/>
      <c r="T1440" s="5"/>
      <c r="U1440" s="5"/>
      <c r="V1440" s="5"/>
      <c r="W1440" s="5"/>
    </row>
    <row r="1441" ht="15.75" customHeight="1">
      <c r="A1441" s="3">
        <f>IFERROR(__xludf.DUMMYFUNCTION("""COMPUTED_VALUE"""),1441.0)</f>
        <v>1441</v>
      </c>
      <c r="B1441" s="53">
        <f>IFERROR(__xludf.DUMMYFUNCTION("""COMPUTED_VALUE"""),45790.0)</f>
        <v>45790</v>
      </c>
      <c r="C1441" s="3">
        <f>IFERROR(__xludf.DUMMYFUNCTION("""COMPUTED_VALUE"""),90.0)</f>
        <v>90</v>
      </c>
      <c r="D1441" s="3" t="str">
        <f>IFERROR(__xludf.DUMMYFUNCTION("""COMPUTED_VALUE"""),"1f012354")</f>
        <v>1f012354</v>
      </c>
      <c r="E1441" s="54">
        <f>IFERROR(__xludf.DUMMYFUNCTION("""COMPUTED_VALUE"""),97500.0)</f>
        <v>97500</v>
      </c>
      <c r="F1441" s="3" t="str">
        <f>IFERROR(__xludf.DUMMYFUNCTION("""COMPUTED_VALUE"""),"Tinto Recarga")</f>
        <v>Tinto Recarga</v>
      </c>
      <c r="G1441" s="3"/>
      <c r="H1441" s="3"/>
      <c r="I1441" s="3"/>
      <c r="J1441" s="3"/>
      <c r="K1441" s="3"/>
      <c r="L1441" s="54">
        <f>IFERROR(__xludf.DUMMYFUNCTION("""COMPUTED_VALUE"""),38.0)</f>
        <v>38</v>
      </c>
      <c r="M1441" s="3">
        <f>IFERROR(__xludf.DUMMYFUNCTION("""COMPUTED_VALUE"""),125.0)</f>
        <v>125</v>
      </c>
      <c r="N1441" s="3"/>
      <c r="O1441" s="3"/>
      <c r="P1441" s="3"/>
      <c r="Q1441" s="3"/>
      <c r="R1441" s="3">
        <f>IFERROR(__xludf.DUMMYFUNCTION("""COMPUTED_VALUE"""),0.0)</f>
        <v>0</v>
      </c>
      <c r="S1441" s="3"/>
      <c r="T1441" s="5"/>
      <c r="U1441" s="5"/>
      <c r="V1441" s="5"/>
      <c r="W1441" s="5"/>
    </row>
    <row r="1442" ht="15.75" customHeight="1">
      <c r="A1442" s="3">
        <f>IFERROR(__xludf.DUMMYFUNCTION("""COMPUTED_VALUE"""),1442.0)</f>
        <v>1442</v>
      </c>
      <c r="B1442" s="53">
        <f>IFERROR(__xludf.DUMMYFUNCTION("""COMPUTED_VALUE"""),45790.0)</f>
        <v>45790</v>
      </c>
      <c r="C1442" s="3">
        <f>IFERROR(__xludf.DUMMYFUNCTION("""COMPUTED_VALUE"""),102.0)</f>
        <v>102</v>
      </c>
      <c r="D1442" s="3" t="str">
        <f>IFERROR(__xludf.DUMMYFUNCTION("""COMPUTED_VALUE"""),"cbf4bbc1")</f>
        <v>cbf4bbc1</v>
      </c>
      <c r="E1442" s="54">
        <f>IFERROR(__xludf.DUMMYFUNCTION("""COMPUTED_VALUE"""),31000.0)</f>
        <v>31000</v>
      </c>
      <c r="F1442" s="3" t="str">
        <f>IFERROR(__xludf.DUMMYFUNCTION("""COMPUTED_VALUE"""),"Bonarda")</f>
        <v>Bonarda</v>
      </c>
      <c r="G1442" s="3"/>
      <c r="H1442" s="3"/>
      <c r="I1442" s="3"/>
      <c r="J1442" s="3"/>
      <c r="K1442" s="3"/>
      <c r="L1442" s="54">
        <f>IFERROR(__xludf.DUMMYFUNCTION("""COMPUTED_VALUE"""),38.0)</f>
        <v>38</v>
      </c>
      <c r="M1442" s="3">
        <f>IFERROR(__xludf.DUMMYFUNCTION("""COMPUTED_VALUE"""),119.0)</f>
        <v>119</v>
      </c>
      <c r="N1442" s="3"/>
      <c r="O1442" s="3"/>
      <c r="P1442" s="3"/>
      <c r="Q1442" s="3"/>
      <c r="R1442" s="3">
        <f>IFERROR(__xludf.DUMMYFUNCTION("""COMPUTED_VALUE"""),0.0)</f>
        <v>0</v>
      </c>
      <c r="S1442" s="3"/>
      <c r="T1442" s="5"/>
      <c r="U1442" s="5"/>
      <c r="V1442" s="5"/>
      <c r="W1442" s="5"/>
    </row>
    <row r="1443" ht="15.75" customHeight="1">
      <c r="A1443" s="3">
        <f>IFERROR(__xludf.DUMMYFUNCTION("""COMPUTED_VALUE"""),1443.0)</f>
        <v>1443</v>
      </c>
      <c r="B1443" s="53">
        <f>IFERROR(__xludf.DUMMYFUNCTION("""COMPUTED_VALUE"""),45790.0)</f>
        <v>45790</v>
      </c>
      <c r="C1443" s="3">
        <f>IFERROR(__xludf.DUMMYFUNCTION("""COMPUTED_VALUE"""),11.0)</f>
        <v>11</v>
      </c>
      <c r="D1443" s="3" t="str">
        <f>IFERROR(__xludf.DUMMYFUNCTION("""COMPUTED_VALUE"""),"e6ca31fd")</f>
        <v>e6ca31fd</v>
      </c>
      <c r="E1443" s="54">
        <f>IFERROR(__xludf.DUMMYFUNCTION("""COMPUTED_VALUE"""),25300.0)</f>
        <v>25300</v>
      </c>
      <c r="F1443" s="3" t="str">
        <f>IFERROR(__xludf.DUMMYFUNCTION("""COMPUTED_VALUE"""),"Claro de filtro")</f>
        <v>Claro de filtro</v>
      </c>
      <c r="G1443" s="55">
        <f>IFERROR(__xludf.DUMMYFUNCTION("""COMPUTED_VALUE"""),12.9)</f>
        <v>12.9</v>
      </c>
      <c r="H1443" s="56">
        <f>IFERROR(__xludf.DUMMYFUNCTION("""COMPUTED_VALUE"""),2.31)</f>
        <v>2.31</v>
      </c>
      <c r="I1443" s="57">
        <f>IFERROR(__xludf.DUMMYFUNCTION("""COMPUTED_VALUE"""),0.62)</f>
        <v>0.62</v>
      </c>
      <c r="J1443" s="57">
        <f>IFERROR(__xludf.DUMMYFUNCTION("""COMPUTED_VALUE"""),5.25)</f>
        <v>5.25</v>
      </c>
      <c r="K1443" s="3"/>
      <c r="L1443" s="3"/>
      <c r="M1443" s="3"/>
      <c r="N1443" s="3"/>
      <c r="O1443" s="3"/>
      <c r="P1443" s="3"/>
      <c r="Q1443" s="3"/>
      <c r="R1443" s="3">
        <f>IFERROR(__xludf.DUMMYFUNCTION("""COMPUTED_VALUE"""),0.0)</f>
        <v>0</v>
      </c>
      <c r="S1443" s="3"/>
      <c r="T1443" s="5"/>
      <c r="U1443" s="5"/>
      <c r="V1443" s="5"/>
      <c r="W1443" s="5" t="str">
        <f>IFERROR(__xludf.DUMMYFUNCTION("""COMPUTED_VALUE"""),"Simon")</f>
        <v>Simon</v>
      </c>
    </row>
    <row r="1444" ht="15.75" customHeight="1">
      <c r="A1444" s="3">
        <f>IFERROR(__xludf.DUMMYFUNCTION("""COMPUTED_VALUE"""),1444.0)</f>
        <v>1444</v>
      </c>
      <c r="B1444" s="53">
        <f>IFERROR(__xludf.DUMMYFUNCTION("""COMPUTED_VALUE"""),45790.0)</f>
        <v>45790</v>
      </c>
      <c r="C1444" s="3">
        <f>IFERROR(__xludf.DUMMYFUNCTION("""COMPUTED_VALUE"""),65.0)</f>
        <v>65</v>
      </c>
      <c r="D1444" s="3" t="str">
        <f>IFERROR(__xludf.DUMMYFUNCTION("""COMPUTED_VALUE"""),"91b01170")</f>
        <v>91b01170</v>
      </c>
      <c r="E1444" s="54">
        <f>IFERROR(__xludf.DUMMYFUNCTION("""COMPUTED_VALUE"""),35500.0)</f>
        <v>35500</v>
      </c>
      <c r="F1444" s="3" t="str">
        <f>IFERROR(__xludf.DUMMYFUNCTION("""COMPUTED_VALUE"""),"Malbec Dulc")</f>
        <v>Malbec Dulc</v>
      </c>
      <c r="G1444" s="55">
        <f>IFERROR(__xludf.DUMMYFUNCTION("""COMPUTED_VALUE"""),14.2)</f>
        <v>14.2</v>
      </c>
      <c r="H1444" s="56">
        <f>IFERROR(__xludf.DUMMYFUNCTION("""COMPUTED_VALUE"""),2.65)</f>
        <v>2.65</v>
      </c>
      <c r="I1444" s="57">
        <f>IFERROR(__xludf.DUMMYFUNCTION("""COMPUTED_VALUE"""),0.65)</f>
        <v>0.65</v>
      </c>
      <c r="J1444" s="57">
        <f>IFERROR(__xludf.DUMMYFUNCTION("""COMPUTED_VALUE"""),6.31)</f>
        <v>6.31</v>
      </c>
      <c r="K1444" s="3"/>
      <c r="L1444" s="3"/>
      <c r="M1444" s="3"/>
      <c r="N1444" s="3"/>
      <c r="O1444" s="3"/>
      <c r="P1444" s="3"/>
      <c r="Q1444" s="3"/>
      <c r="R1444" s="3">
        <f>IFERROR(__xludf.DUMMYFUNCTION("""COMPUTED_VALUE"""),0.0)</f>
        <v>0</v>
      </c>
      <c r="S1444" s="3"/>
      <c r="T1444" s="5"/>
      <c r="U1444" s="5"/>
      <c r="V1444" s="5"/>
      <c r="W1444" s="5" t="str">
        <f>IFERROR(__xludf.DUMMYFUNCTION("""COMPUTED_VALUE"""),"Simon")</f>
        <v>Simon</v>
      </c>
    </row>
    <row r="1445" ht="15.75" customHeight="1">
      <c r="A1445" s="3">
        <f>IFERROR(__xludf.DUMMYFUNCTION("""COMPUTED_VALUE"""),1445.0)</f>
        <v>1445</v>
      </c>
      <c r="B1445" s="53">
        <f>IFERROR(__xludf.DUMMYFUNCTION("""COMPUTED_VALUE"""),45790.0)</f>
        <v>45790</v>
      </c>
      <c r="C1445" s="3">
        <f>IFERROR(__xludf.DUMMYFUNCTION("""COMPUTED_VALUE"""),66.0)</f>
        <v>66</v>
      </c>
      <c r="D1445" s="3" t="str">
        <f>IFERROR(__xludf.DUMMYFUNCTION("""COMPUTED_VALUE"""),"95f6ad50")</f>
        <v>95f6ad50</v>
      </c>
      <c r="E1445" s="54">
        <f>IFERROR(__xludf.DUMMYFUNCTION("""COMPUTED_VALUE"""),23000.0)</f>
        <v>23000</v>
      </c>
      <c r="F1445" s="3" t="str">
        <f>IFERROR(__xludf.DUMMYFUNCTION("""COMPUTED_VALUE"""),"Malbec Dulc")</f>
        <v>Malbec Dulc</v>
      </c>
      <c r="G1445" s="55">
        <f>IFERROR(__xludf.DUMMYFUNCTION("""COMPUTED_VALUE"""),13.9)</f>
        <v>13.9</v>
      </c>
      <c r="H1445" s="56">
        <f>IFERROR(__xludf.DUMMYFUNCTION("""COMPUTED_VALUE"""),2.51)</f>
        <v>2.51</v>
      </c>
      <c r="I1445" s="57">
        <f>IFERROR(__xludf.DUMMYFUNCTION("""COMPUTED_VALUE"""),0.6)</f>
        <v>0.6</v>
      </c>
      <c r="J1445" s="57">
        <f>IFERROR(__xludf.DUMMYFUNCTION("""COMPUTED_VALUE"""),6.0)</f>
        <v>6</v>
      </c>
      <c r="K1445" s="3"/>
      <c r="L1445" s="3"/>
      <c r="M1445" s="3"/>
      <c r="N1445" s="3"/>
      <c r="O1445" s="3"/>
      <c r="P1445" s="3"/>
      <c r="Q1445" s="3"/>
      <c r="R1445" s="3">
        <f>IFERROR(__xludf.DUMMYFUNCTION("""COMPUTED_VALUE"""),0.0)</f>
        <v>0</v>
      </c>
      <c r="S1445" s="3"/>
      <c r="T1445" s="5"/>
      <c r="U1445" s="5"/>
      <c r="V1445" s="5"/>
      <c r="W1445" s="5" t="str">
        <f>IFERROR(__xludf.DUMMYFUNCTION("""COMPUTED_VALUE"""),"Simon")</f>
        <v>Simon</v>
      </c>
    </row>
    <row r="1446" ht="15.75" customHeight="1">
      <c r="A1446" s="3">
        <f>IFERROR(__xludf.DUMMYFUNCTION("""COMPUTED_VALUE"""),1446.0)</f>
        <v>1446</v>
      </c>
      <c r="B1446" s="53">
        <f>IFERROR(__xludf.DUMMYFUNCTION("""COMPUTED_VALUE"""),45790.0)</f>
        <v>45790</v>
      </c>
      <c r="C1446" s="3">
        <f>IFERROR(__xludf.DUMMYFUNCTION("""COMPUTED_VALUE"""),70.0)</f>
        <v>70</v>
      </c>
      <c r="D1446" s="3" t="str">
        <f>IFERROR(__xludf.DUMMYFUNCTION("""COMPUTED_VALUE"""),"97f43e08")</f>
        <v>97f43e08</v>
      </c>
      <c r="E1446" s="54">
        <f>IFERROR(__xludf.DUMMYFUNCTION("""COMPUTED_VALUE"""),13000.0)</f>
        <v>13000</v>
      </c>
      <c r="F1446" s="3" t="str">
        <f>IFERROR(__xludf.DUMMYFUNCTION("""COMPUTED_VALUE"""),"Cabernet Sauv Millan 233")</f>
        <v>Cabernet Sauv Millan 233</v>
      </c>
      <c r="G1446" s="55">
        <f>IFERROR(__xludf.DUMMYFUNCTION("""COMPUTED_VALUE"""),13.0)</f>
        <v>13</v>
      </c>
      <c r="H1446" s="56">
        <f>IFERROR(__xludf.DUMMYFUNCTION("""COMPUTED_VALUE"""),2.65)</f>
        <v>2.65</v>
      </c>
      <c r="I1446" s="57">
        <f>IFERROR(__xludf.DUMMYFUNCTION("""COMPUTED_VALUE"""),0.49)</f>
        <v>0.49</v>
      </c>
      <c r="J1446" s="57">
        <f>IFERROR(__xludf.DUMMYFUNCTION("""COMPUTED_VALUE"""),5.4)</f>
        <v>5.4</v>
      </c>
      <c r="K1446" s="3"/>
      <c r="L1446" s="3"/>
      <c r="M1446" s="3"/>
      <c r="N1446" s="3"/>
      <c r="O1446" s="3"/>
      <c r="P1446" s="3"/>
      <c r="Q1446" s="3"/>
      <c r="R1446" s="3">
        <f>IFERROR(__xludf.DUMMYFUNCTION("""COMPUTED_VALUE"""),0.0)</f>
        <v>0</v>
      </c>
      <c r="S1446" s="3"/>
      <c r="T1446" s="5"/>
      <c r="U1446" s="5"/>
      <c r="V1446" s="5"/>
      <c r="W1446" s="5" t="str">
        <f>IFERROR(__xludf.DUMMYFUNCTION("""COMPUTED_VALUE"""),"Simon")</f>
        <v>Simon</v>
      </c>
    </row>
    <row r="1447" ht="15.75" customHeight="1">
      <c r="A1447" s="3">
        <f>IFERROR(__xludf.DUMMYFUNCTION("""COMPUTED_VALUE"""),1447.0)</f>
        <v>1447</v>
      </c>
      <c r="B1447" s="53">
        <f>IFERROR(__xludf.DUMMYFUNCTION("""COMPUTED_VALUE"""),45790.0)</f>
        <v>45790</v>
      </c>
      <c r="C1447" s="3">
        <f>IFERROR(__xludf.DUMMYFUNCTION("""COMPUTED_VALUE"""),71.0)</f>
        <v>71</v>
      </c>
      <c r="D1447" s="3" t="str">
        <f>IFERROR(__xludf.DUMMYFUNCTION("""COMPUTED_VALUE"""),"8deed384")</f>
        <v>8deed384</v>
      </c>
      <c r="E1447" s="54">
        <f>IFERROR(__xludf.DUMMYFUNCTION("""COMPUTED_VALUE"""),13000.0)</f>
        <v>13000</v>
      </c>
      <c r="F1447" s="3" t="str">
        <f>IFERROR(__xludf.DUMMYFUNCTION("""COMPUTED_VALUE"""),"Tinto (Chardonnay)")</f>
        <v>Tinto (Chardonnay)</v>
      </c>
      <c r="G1447" s="55">
        <f>IFERROR(__xludf.DUMMYFUNCTION("""COMPUTED_VALUE"""),15.8)</f>
        <v>15.8</v>
      </c>
      <c r="H1447" s="56">
        <f>IFERROR(__xludf.DUMMYFUNCTION("""COMPUTED_VALUE"""),4.33)</f>
        <v>4.33</v>
      </c>
      <c r="I1447" s="57">
        <f>IFERROR(__xludf.DUMMYFUNCTION("""COMPUTED_VALUE"""),0.75)</f>
        <v>0.75</v>
      </c>
      <c r="J1447" s="57">
        <f>IFERROR(__xludf.DUMMYFUNCTION("""COMPUTED_VALUE"""),6.22)</f>
        <v>6.22</v>
      </c>
      <c r="K1447" s="3"/>
      <c r="L1447" s="3"/>
      <c r="M1447" s="3"/>
      <c r="N1447" s="3"/>
      <c r="O1447" s="3"/>
      <c r="P1447" s="3"/>
      <c r="Q1447" s="3"/>
      <c r="R1447" s="3">
        <f>IFERROR(__xludf.DUMMYFUNCTION("""COMPUTED_VALUE"""),0.0)</f>
        <v>0</v>
      </c>
      <c r="S1447" s="3"/>
      <c r="T1447" s="5"/>
      <c r="U1447" s="5"/>
      <c r="V1447" s="5"/>
      <c r="W1447" s="5" t="str">
        <f>IFERROR(__xludf.DUMMYFUNCTION("""COMPUTED_VALUE"""),"Simon")</f>
        <v>Simon</v>
      </c>
    </row>
    <row r="1448" ht="15.75" customHeight="1">
      <c r="A1448" s="3">
        <f>IFERROR(__xludf.DUMMYFUNCTION("""COMPUTED_VALUE"""),1448.0)</f>
        <v>1448</v>
      </c>
      <c r="B1448" s="53">
        <f>IFERROR(__xludf.DUMMYFUNCTION("""COMPUTED_VALUE"""),45790.0)</f>
        <v>45790</v>
      </c>
      <c r="C1448" s="3">
        <f>IFERROR(__xludf.DUMMYFUNCTION("""COMPUTED_VALUE"""),72.0)</f>
        <v>72</v>
      </c>
      <c r="D1448" s="3" t="str">
        <f>IFERROR(__xludf.DUMMYFUNCTION("""COMPUTED_VALUE"""),"8173df5d")</f>
        <v>8173df5d</v>
      </c>
      <c r="E1448" s="54">
        <f>IFERROR(__xludf.DUMMYFUNCTION("""COMPUTED_VALUE"""),13000.0)</f>
        <v>13000</v>
      </c>
      <c r="F1448" s="3" t="str">
        <f>IFERROR(__xludf.DUMMYFUNCTION("""COMPUTED_VALUE"""),"Malbec")</f>
        <v>Malbec</v>
      </c>
      <c r="G1448" s="55">
        <f>IFERROR(__xludf.DUMMYFUNCTION("""COMPUTED_VALUE"""),13.2)</f>
        <v>13.2</v>
      </c>
      <c r="H1448" s="56">
        <f>IFERROR(__xludf.DUMMYFUNCTION("""COMPUTED_VALUE"""),2.6)</f>
        <v>2.6</v>
      </c>
      <c r="I1448" s="57">
        <f>IFERROR(__xludf.DUMMYFUNCTION("""COMPUTED_VALUE"""),0.52)</f>
        <v>0.52</v>
      </c>
      <c r="J1448" s="57">
        <f>IFERROR(__xludf.DUMMYFUNCTION("""COMPUTED_VALUE"""),5.85)</f>
        <v>5.85</v>
      </c>
      <c r="K1448" s="3"/>
      <c r="L1448" s="3"/>
      <c r="M1448" s="3"/>
      <c r="N1448" s="3"/>
      <c r="O1448" s="3"/>
      <c r="P1448" s="3"/>
      <c r="Q1448" s="3"/>
      <c r="R1448" s="3">
        <f>IFERROR(__xludf.DUMMYFUNCTION("""COMPUTED_VALUE"""),0.0)</f>
        <v>0</v>
      </c>
      <c r="S1448" s="3"/>
      <c r="T1448" s="5"/>
      <c r="U1448" s="5"/>
      <c r="V1448" s="5"/>
      <c r="W1448" s="5" t="str">
        <f>IFERROR(__xludf.DUMMYFUNCTION("""COMPUTED_VALUE"""),"Simon")</f>
        <v>Simon</v>
      </c>
    </row>
    <row r="1449" ht="15.75" customHeight="1">
      <c r="A1449" s="3">
        <f>IFERROR(__xludf.DUMMYFUNCTION("""COMPUTED_VALUE"""),1449.0)</f>
        <v>1449</v>
      </c>
      <c r="B1449" s="53">
        <f>IFERROR(__xludf.DUMMYFUNCTION("""COMPUTED_VALUE"""),45790.0)</f>
        <v>45790</v>
      </c>
      <c r="C1449" s="3">
        <f>IFERROR(__xludf.DUMMYFUNCTION("""COMPUTED_VALUE"""),73.0)</f>
        <v>73</v>
      </c>
      <c r="D1449" s="3" t="str">
        <f>IFERROR(__xludf.DUMMYFUNCTION("""COMPUTED_VALUE"""),"0760321a")</f>
        <v>0760321a</v>
      </c>
      <c r="E1449" s="54">
        <f>IFERROR(__xludf.DUMMYFUNCTION("""COMPUTED_VALUE"""),13000.0)</f>
        <v>13000</v>
      </c>
      <c r="F1449" s="3" t="str">
        <f>IFERROR(__xludf.DUMMYFUNCTION("""COMPUTED_VALUE"""),"Tanat")</f>
        <v>Tanat</v>
      </c>
      <c r="G1449" s="55">
        <f>IFERROR(__xludf.DUMMYFUNCTION("""COMPUTED_VALUE"""),13.6)</f>
        <v>13.6</v>
      </c>
      <c r="H1449" s="56">
        <f>IFERROR(__xludf.DUMMYFUNCTION("""COMPUTED_VALUE"""),1.95)</f>
        <v>1.95</v>
      </c>
      <c r="I1449" s="57">
        <f>IFERROR(__xludf.DUMMYFUNCTION("""COMPUTED_VALUE"""),0.6)</f>
        <v>0.6</v>
      </c>
      <c r="J1449" s="57">
        <f>IFERROR(__xludf.DUMMYFUNCTION("""COMPUTED_VALUE"""),4.95)</f>
        <v>4.95</v>
      </c>
      <c r="K1449" s="3"/>
      <c r="L1449" s="3"/>
      <c r="M1449" s="3"/>
      <c r="N1449" s="3"/>
      <c r="O1449" s="3"/>
      <c r="P1449" s="3"/>
      <c r="Q1449" s="3"/>
      <c r="R1449" s="3">
        <f>IFERROR(__xludf.DUMMYFUNCTION("""COMPUTED_VALUE"""),0.0)</f>
        <v>0</v>
      </c>
      <c r="S1449" s="3"/>
      <c r="T1449" s="5"/>
      <c r="U1449" s="5"/>
      <c r="V1449" s="5"/>
      <c r="W1449" s="5" t="str">
        <f>IFERROR(__xludf.DUMMYFUNCTION("""COMPUTED_VALUE"""),"Simon")</f>
        <v>Simon</v>
      </c>
    </row>
    <row r="1450" ht="15.75" customHeight="1">
      <c r="A1450" s="3">
        <f>IFERROR(__xludf.DUMMYFUNCTION("""COMPUTED_VALUE"""),1450.0)</f>
        <v>1450</v>
      </c>
      <c r="B1450" s="53">
        <f>IFERROR(__xludf.DUMMYFUNCTION("""COMPUTED_VALUE"""),45790.0)</f>
        <v>45790</v>
      </c>
      <c r="C1450" s="3">
        <f>IFERROR(__xludf.DUMMYFUNCTION("""COMPUTED_VALUE"""),76.0)</f>
        <v>76</v>
      </c>
      <c r="D1450" s="3" t="str">
        <f>IFERROR(__xludf.DUMMYFUNCTION("""COMPUTED_VALUE"""),"187a80d6")</f>
        <v>187a80d6</v>
      </c>
      <c r="E1450" s="54">
        <f>IFERROR(__xludf.DUMMYFUNCTION("""COMPUTED_VALUE"""),25500.0)</f>
        <v>25500</v>
      </c>
      <c r="F1450" s="3" t="str">
        <f>IFERROR(__xludf.DUMMYFUNCTION("""COMPUTED_VALUE"""),"Cabernet Sauvignon prensa")</f>
        <v>Cabernet Sauvignon prensa</v>
      </c>
      <c r="G1450" s="55">
        <f>IFERROR(__xludf.DUMMYFUNCTION("""COMPUTED_VALUE"""),13.5)</f>
        <v>13.5</v>
      </c>
      <c r="H1450" s="56">
        <f>IFERROR(__xludf.DUMMYFUNCTION("""COMPUTED_VALUE"""),3.75)</f>
        <v>3.75</v>
      </c>
      <c r="I1450" s="57">
        <f>IFERROR(__xludf.DUMMYFUNCTION("""COMPUTED_VALUE"""),0.51)</f>
        <v>0.51</v>
      </c>
      <c r="J1450" s="57">
        <f>IFERROR(__xludf.DUMMYFUNCTION("""COMPUTED_VALUE"""),5.92)</f>
        <v>5.92</v>
      </c>
      <c r="K1450" s="3"/>
      <c r="L1450" s="3"/>
      <c r="M1450" s="3"/>
      <c r="N1450" s="3"/>
      <c r="O1450" s="3"/>
      <c r="P1450" s="3"/>
      <c r="Q1450" s="3"/>
      <c r="R1450" s="3">
        <f>IFERROR(__xludf.DUMMYFUNCTION("""COMPUTED_VALUE"""),0.0)</f>
        <v>0</v>
      </c>
      <c r="S1450" s="3"/>
      <c r="T1450" s="5"/>
      <c r="U1450" s="5"/>
      <c r="V1450" s="5"/>
      <c r="W1450" s="5" t="str">
        <f>IFERROR(__xludf.DUMMYFUNCTION("""COMPUTED_VALUE"""),"Simon")</f>
        <v>Simon</v>
      </c>
    </row>
    <row r="1451" ht="15.75" customHeight="1">
      <c r="A1451" s="3">
        <f>IFERROR(__xludf.DUMMYFUNCTION("""COMPUTED_VALUE"""),1451.0)</f>
        <v>1451</v>
      </c>
      <c r="B1451" s="53">
        <f>IFERROR(__xludf.DUMMYFUNCTION("""COMPUTED_VALUE"""),45790.0)</f>
        <v>45790</v>
      </c>
      <c r="C1451" s="3">
        <f>IFERROR(__xludf.DUMMYFUNCTION("""COMPUTED_VALUE"""),85.0)</f>
        <v>85</v>
      </c>
      <c r="D1451" s="3" t="str">
        <f>IFERROR(__xludf.DUMMYFUNCTION("""COMPUTED_VALUE"""),"33b26126")</f>
        <v>33b26126</v>
      </c>
      <c r="E1451" s="54">
        <f>IFERROR(__xludf.DUMMYFUNCTION("""COMPUTED_VALUE"""),84000.0)</f>
        <v>84000</v>
      </c>
      <c r="F1451" s="3" t="str">
        <f>IFERROR(__xludf.DUMMYFUNCTION("""COMPUTED_VALUE"""),"Malbec Dulc")</f>
        <v>Malbec Dulc</v>
      </c>
      <c r="G1451" s="55">
        <f>IFERROR(__xludf.DUMMYFUNCTION("""COMPUTED_VALUE"""),14.2)</f>
        <v>14.2</v>
      </c>
      <c r="H1451" s="56">
        <f>IFERROR(__xludf.DUMMYFUNCTION("""COMPUTED_VALUE"""),2.82)</f>
        <v>2.82</v>
      </c>
      <c r="I1451" s="57">
        <f>IFERROR(__xludf.DUMMYFUNCTION("""COMPUTED_VALUE"""),0.62)</f>
        <v>0.62</v>
      </c>
      <c r="J1451" s="57">
        <f>IFERROR(__xludf.DUMMYFUNCTION("""COMPUTED_VALUE"""),5.77)</f>
        <v>5.77</v>
      </c>
      <c r="K1451" s="3"/>
      <c r="L1451" s="3"/>
      <c r="M1451" s="3"/>
      <c r="N1451" s="3"/>
      <c r="O1451" s="3"/>
      <c r="P1451" s="3"/>
      <c r="Q1451" s="3"/>
      <c r="R1451" s="3">
        <f>IFERROR(__xludf.DUMMYFUNCTION("""COMPUTED_VALUE"""),0.0)</f>
        <v>0</v>
      </c>
      <c r="S1451" s="3"/>
      <c r="T1451" s="5"/>
      <c r="U1451" s="5"/>
      <c r="V1451" s="5"/>
      <c r="W1451" s="5" t="str">
        <f>IFERROR(__xludf.DUMMYFUNCTION("""COMPUTED_VALUE"""),"Simon")</f>
        <v>Simon</v>
      </c>
    </row>
    <row r="1452" ht="15.75" customHeight="1">
      <c r="A1452" s="3">
        <f>IFERROR(__xludf.DUMMYFUNCTION("""COMPUTED_VALUE"""),1452.0)</f>
        <v>1452</v>
      </c>
      <c r="B1452" s="53">
        <f>IFERROR(__xludf.DUMMYFUNCTION("""COMPUTED_VALUE"""),45790.0)</f>
        <v>45790</v>
      </c>
      <c r="C1452" s="3">
        <f>IFERROR(__xludf.DUMMYFUNCTION("""COMPUTED_VALUE"""),86.0)</f>
        <v>86</v>
      </c>
      <c r="D1452" s="3" t="str">
        <f>IFERROR(__xludf.DUMMYFUNCTION("""COMPUTED_VALUE"""),"098ad529")</f>
        <v>098ad529</v>
      </c>
      <c r="E1452" s="54">
        <f>IFERROR(__xludf.DUMMYFUNCTION("""COMPUTED_VALUE"""),88000.0)</f>
        <v>88000</v>
      </c>
      <c r="F1452" s="3" t="str">
        <f>IFERROR(__xludf.DUMMYFUNCTION("""COMPUTED_VALUE"""),"Cabernet Sauv Millan 233")</f>
        <v>Cabernet Sauv Millan 233</v>
      </c>
      <c r="G1452" s="55">
        <f>IFERROR(__xludf.DUMMYFUNCTION("""COMPUTED_VALUE"""),13.1)</f>
        <v>13.1</v>
      </c>
      <c r="H1452" s="56">
        <f>IFERROR(__xludf.DUMMYFUNCTION("""COMPUTED_VALUE"""),2.51)</f>
        <v>2.51</v>
      </c>
      <c r="I1452" s="57">
        <f>IFERROR(__xludf.DUMMYFUNCTION("""COMPUTED_VALUE"""),0.48)</f>
        <v>0.48</v>
      </c>
      <c r="J1452" s="57">
        <f>IFERROR(__xludf.DUMMYFUNCTION("""COMPUTED_VALUE"""),5.7)</f>
        <v>5.7</v>
      </c>
      <c r="K1452" s="3"/>
      <c r="L1452" s="3"/>
      <c r="M1452" s="3"/>
      <c r="N1452" s="3"/>
      <c r="O1452" s="3"/>
      <c r="P1452" s="3"/>
      <c r="Q1452" s="3"/>
      <c r="R1452" s="3">
        <f>IFERROR(__xludf.DUMMYFUNCTION("""COMPUTED_VALUE"""),0.0)</f>
        <v>0</v>
      </c>
      <c r="S1452" s="3"/>
      <c r="T1452" s="5"/>
      <c r="U1452" s="5"/>
      <c r="V1452" s="5"/>
      <c r="W1452" s="5" t="str">
        <f>IFERROR(__xludf.DUMMYFUNCTION("""COMPUTED_VALUE"""),"Simon")</f>
        <v>Simon</v>
      </c>
    </row>
    <row r="1453" ht="15.75" customHeight="1">
      <c r="A1453" s="3">
        <f>IFERROR(__xludf.DUMMYFUNCTION("""COMPUTED_VALUE"""),1453.0)</f>
        <v>1453</v>
      </c>
      <c r="B1453" s="53">
        <f>IFERROR(__xludf.DUMMYFUNCTION("""COMPUTED_VALUE"""),45790.0)</f>
        <v>45790</v>
      </c>
      <c r="C1453" s="3">
        <f>IFERROR(__xludf.DUMMYFUNCTION("""COMPUTED_VALUE"""),126.0)</f>
        <v>126</v>
      </c>
      <c r="D1453" s="3" t="str">
        <f>IFERROR(__xludf.DUMMYFUNCTION("""COMPUTED_VALUE"""),"9c9a8832")</f>
        <v>9c9a8832</v>
      </c>
      <c r="E1453" s="54">
        <f>IFERROR(__xludf.DUMMYFUNCTION("""COMPUTED_VALUE"""),31000.0)</f>
        <v>31000</v>
      </c>
      <c r="F1453" s="3" t="str">
        <f>IFERROR(__xludf.DUMMYFUNCTION("""COMPUTED_VALUE"""),"Tinto G")</f>
        <v>Tinto G</v>
      </c>
      <c r="G1453" s="55">
        <f>IFERROR(__xludf.DUMMYFUNCTION("""COMPUTED_VALUE"""),13.6)</f>
        <v>13.6</v>
      </c>
      <c r="H1453" s="56">
        <f>IFERROR(__xludf.DUMMYFUNCTION("""COMPUTED_VALUE"""),2.51)</f>
        <v>2.51</v>
      </c>
      <c r="I1453" s="57">
        <f>IFERROR(__xludf.DUMMYFUNCTION("""COMPUTED_VALUE"""),0.51)</f>
        <v>0.51</v>
      </c>
      <c r="J1453" s="57">
        <f>IFERROR(__xludf.DUMMYFUNCTION("""COMPUTED_VALUE"""),6.07)</f>
        <v>6.07</v>
      </c>
      <c r="K1453" s="3"/>
      <c r="L1453" s="3"/>
      <c r="M1453" s="3"/>
      <c r="N1453" s="3"/>
      <c r="O1453" s="3"/>
      <c r="P1453" s="3"/>
      <c r="Q1453" s="3"/>
      <c r="R1453" s="3">
        <f>IFERROR(__xludf.DUMMYFUNCTION("""COMPUTED_VALUE"""),0.0)</f>
        <v>0</v>
      </c>
      <c r="S1453" s="3"/>
      <c r="T1453" s="5"/>
      <c r="U1453" s="5"/>
      <c r="V1453" s="5"/>
      <c r="W1453" s="5" t="str">
        <f>IFERROR(__xludf.DUMMYFUNCTION("""COMPUTED_VALUE"""),"Simon")</f>
        <v>Simon</v>
      </c>
    </row>
    <row r="1454" ht="15.75" customHeight="1">
      <c r="A1454" s="3">
        <f>IFERROR(__xludf.DUMMYFUNCTION("""COMPUTED_VALUE"""),1454.0)</f>
        <v>1454</v>
      </c>
      <c r="B1454" s="53">
        <f>IFERROR(__xludf.DUMMYFUNCTION("""COMPUTED_VALUE"""),45792.0)</f>
        <v>45792</v>
      </c>
      <c r="C1454" s="3">
        <f>IFERROR(__xludf.DUMMYFUNCTION("""COMPUTED_VALUE"""),65.0)</f>
        <v>65</v>
      </c>
      <c r="D1454" s="3" t="str">
        <f>IFERROR(__xludf.DUMMYFUNCTION("""COMPUTED_VALUE"""),"91b01170")</f>
        <v>91b01170</v>
      </c>
      <c r="E1454" s="54">
        <f>IFERROR(__xludf.DUMMYFUNCTION("""COMPUTED_VALUE"""),35500.0)</f>
        <v>35500</v>
      </c>
      <c r="F1454" s="3" t="str">
        <f>IFERROR(__xludf.DUMMYFUNCTION("""COMPUTED_VALUE"""),"Malbec Dulc")</f>
        <v>Malbec Dulc</v>
      </c>
      <c r="G1454" s="3"/>
      <c r="H1454" s="56">
        <f>IFERROR(__xludf.DUMMYFUNCTION("""COMPUTED_VALUE"""),2.38)</f>
        <v>2.38</v>
      </c>
      <c r="I1454" s="57">
        <f>IFERROR(__xludf.DUMMYFUNCTION("""COMPUTED_VALUE"""),0.61)</f>
        <v>0.61</v>
      </c>
      <c r="J1454" s="3"/>
      <c r="K1454" s="3"/>
      <c r="L1454" s="54">
        <f>IFERROR(__xludf.DUMMYFUNCTION("""COMPUTED_VALUE"""),19.0)</f>
        <v>19</v>
      </c>
      <c r="M1454" s="3">
        <f>IFERROR(__xludf.DUMMYFUNCTION("""COMPUTED_VALUE"""),134.0)</f>
        <v>134</v>
      </c>
      <c r="N1454" s="3"/>
      <c r="O1454" s="3"/>
      <c r="P1454" s="3"/>
      <c r="Q1454" s="3"/>
      <c r="R1454" s="3">
        <f>IFERROR(__xludf.DUMMYFUNCTION("""COMPUTED_VALUE"""),0.0)</f>
        <v>0</v>
      </c>
      <c r="S1454" s="3"/>
      <c r="T1454" s="5"/>
      <c r="U1454" s="5"/>
      <c r="V1454" s="5"/>
      <c r="W1454" s="5"/>
    </row>
    <row r="1455" ht="15.75" customHeight="1">
      <c r="A1455" s="3">
        <f>IFERROR(__xludf.DUMMYFUNCTION("""COMPUTED_VALUE"""),1455.0)</f>
        <v>1455</v>
      </c>
      <c r="B1455" s="53">
        <f>IFERROR(__xludf.DUMMYFUNCTION("""COMPUTED_VALUE"""),45792.0)</f>
        <v>45792</v>
      </c>
      <c r="C1455" s="3">
        <f>IFERROR(__xludf.DUMMYFUNCTION("""COMPUTED_VALUE"""),66.0)</f>
        <v>66</v>
      </c>
      <c r="D1455" s="3" t="str">
        <f>IFERROR(__xludf.DUMMYFUNCTION("""COMPUTED_VALUE"""),"95f6ad50")</f>
        <v>95f6ad50</v>
      </c>
      <c r="E1455" s="54">
        <f>IFERROR(__xludf.DUMMYFUNCTION("""COMPUTED_VALUE"""),23000.0)</f>
        <v>23000</v>
      </c>
      <c r="F1455" s="3" t="str">
        <f>IFERROR(__xludf.DUMMYFUNCTION("""COMPUTED_VALUE"""),"Malbec Dulc")</f>
        <v>Malbec Dulc</v>
      </c>
      <c r="G1455" s="3"/>
      <c r="H1455" s="56">
        <f>IFERROR(__xludf.DUMMYFUNCTION("""COMPUTED_VALUE"""),2.25)</f>
        <v>2.25</v>
      </c>
      <c r="I1455" s="57">
        <f>IFERROR(__xludf.DUMMYFUNCTION("""COMPUTED_VALUE"""),0.54)</f>
        <v>0.54</v>
      </c>
      <c r="J1455" s="3"/>
      <c r="K1455" s="3"/>
      <c r="L1455" s="54">
        <f>IFERROR(__xludf.DUMMYFUNCTION("""COMPUTED_VALUE"""),19.0)</f>
        <v>19</v>
      </c>
      <c r="M1455" s="3">
        <f>IFERROR(__xludf.DUMMYFUNCTION("""COMPUTED_VALUE"""),134.0)</f>
        <v>134</v>
      </c>
      <c r="N1455" s="3"/>
      <c r="O1455" s="3"/>
      <c r="P1455" s="3"/>
      <c r="Q1455" s="3"/>
      <c r="R1455" s="3">
        <f>IFERROR(__xludf.DUMMYFUNCTION("""COMPUTED_VALUE"""),0.0)</f>
        <v>0</v>
      </c>
      <c r="S1455" s="3"/>
      <c r="T1455" s="5"/>
      <c r="U1455" s="5"/>
      <c r="V1455" s="5"/>
      <c r="W1455" s="5"/>
    </row>
    <row r="1456" ht="15.75" customHeight="1">
      <c r="A1456" s="3">
        <f>IFERROR(__xludf.DUMMYFUNCTION("""COMPUTED_VALUE"""),1456.0)</f>
        <v>1456</v>
      </c>
      <c r="B1456" s="53">
        <f>IFERROR(__xludf.DUMMYFUNCTION("""COMPUTED_VALUE"""),45792.0)</f>
        <v>45792</v>
      </c>
      <c r="C1456" s="3">
        <f>IFERROR(__xludf.DUMMYFUNCTION("""COMPUTED_VALUE"""),85.0)</f>
        <v>85</v>
      </c>
      <c r="D1456" s="3" t="str">
        <f>IFERROR(__xludf.DUMMYFUNCTION("""COMPUTED_VALUE"""),"33b26126")</f>
        <v>33b26126</v>
      </c>
      <c r="E1456" s="54">
        <f>IFERROR(__xludf.DUMMYFUNCTION("""COMPUTED_VALUE"""),84000.0)</f>
        <v>84000</v>
      </c>
      <c r="F1456" s="3" t="str">
        <f>IFERROR(__xludf.DUMMYFUNCTION("""COMPUTED_VALUE"""),"Malbec Dulc")</f>
        <v>Malbec Dulc</v>
      </c>
      <c r="G1456" s="3"/>
      <c r="H1456" s="56">
        <f>IFERROR(__xludf.DUMMYFUNCTION("""COMPUTED_VALUE"""),2.4)</f>
        <v>2.4</v>
      </c>
      <c r="I1456" s="57">
        <f>IFERROR(__xludf.DUMMYFUNCTION("""COMPUTED_VALUE"""),0.64)</f>
        <v>0.64</v>
      </c>
      <c r="J1456" s="3"/>
      <c r="K1456" s="3"/>
      <c r="L1456" s="54">
        <f>IFERROR(__xludf.DUMMYFUNCTION("""COMPUTED_VALUE"""),16.0)</f>
        <v>16</v>
      </c>
      <c r="M1456" s="3">
        <f>IFERROR(__xludf.DUMMYFUNCTION("""COMPUTED_VALUE"""),143.0)</f>
        <v>143</v>
      </c>
      <c r="N1456" s="3"/>
      <c r="O1456" s="3"/>
      <c r="P1456" s="3"/>
      <c r="Q1456" s="3"/>
      <c r="R1456" s="3">
        <f>IFERROR(__xludf.DUMMYFUNCTION("""COMPUTED_VALUE"""),0.0)</f>
        <v>0</v>
      </c>
      <c r="S1456" s="3"/>
      <c r="T1456" s="5"/>
      <c r="U1456" s="5"/>
      <c r="V1456" s="5"/>
      <c r="W1456" s="5"/>
    </row>
    <row r="1457" ht="15.75" customHeight="1">
      <c r="A1457" s="3">
        <f>IFERROR(__xludf.DUMMYFUNCTION("""COMPUTED_VALUE"""),1457.0)</f>
        <v>1457</v>
      </c>
      <c r="B1457" s="53">
        <f>IFERROR(__xludf.DUMMYFUNCTION("""COMPUTED_VALUE"""),45792.0)</f>
        <v>45792</v>
      </c>
      <c r="C1457" s="3">
        <f>IFERROR(__xludf.DUMMYFUNCTION("""COMPUTED_VALUE"""),15.0)</f>
        <v>15</v>
      </c>
      <c r="D1457" s="3" t="str">
        <f>IFERROR(__xludf.DUMMYFUNCTION("""COMPUTED_VALUE"""),"8a5cc2ae")</f>
        <v>8a5cc2ae</v>
      </c>
      <c r="E1457" s="54">
        <f>IFERROR(__xludf.DUMMYFUNCTION("""COMPUTED_VALUE"""),36500.0)</f>
        <v>36500</v>
      </c>
      <c r="F1457" s="3" t="str">
        <f>IFERROR(__xludf.DUMMYFUNCTION("""COMPUTED_VALUE"""),"Bonarda")</f>
        <v>Bonarda</v>
      </c>
      <c r="G1457" s="3"/>
      <c r="H1457" s="3"/>
      <c r="I1457" s="3"/>
      <c r="J1457" s="3"/>
      <c r="K1457" s="57">
        <f>IFERROR(__xludf.DUMMYFUNCTION("""COMPUTED_VALUE"""),3.69)</f>
        <v>3.69</v>
      </c>
      <c r="L1457" s="54">
        <f>IFERROR(__xludf.DUMMYFUNCTION("""COMPUTED_VALUE"""),34.0)</f>
        <v>34</v>
      </c>
      <c r="M1457" s="3">
        <f>IFERROR(__xludf.DUMMYFUNCTION("""COMPUTED_VALUE"""),111.0)</f>
        <v>111</v>
      </c>
      <c r="N1457" s="3"/>
      <c r="O1457" s="3"/>
      <c r="P1457" s="3"/>
      <c r="Q1457" s="3"/>
      <c r="R1457" s="3">
        <f>IFERROR(__xludf.DUMMYFUNCTION("""COMPUTED_VALUE"""),0.0)</f>
        <v>0</v>
      </c>
      <c r="S1457" s="3"/>
      <c r="T1457" s="5"/>
      <c r="U1457" s="5"/>
      <c r="V1457" s="5"/>
      <c r="W1457" s="5"/>
    </row>
    <row r="1458" ht="15.75" customHeight="1">
      <c r="A1458" s="3">
        <f>IFERROR(__xludf.DUMMYFUNCTION("""COMPUTED_VALUE"""),1458.0)</f>
        <v>1458</v>
      </c>
      <c r="B1458" s="53">
        <f>IFERROR(__xludf.DUMMYFUNCTION("""COMPUTED_VALUE"""),45792.0)</f>
        <v>45792</v>
      </c>
      <c r="C1458" s="3">
        <f>IFERROR(__xludf.DUMMYFUNCTION("""COMPUTED_VALUE"""),24.0)</f>
        <v>24</v>
      </c>
      <c r="D1458" s="3" t="str">
        <f>IFERROR(__xludf.DUMMYFUNCTION("""COMPUTED_VALUE"""),"1eaa1fc2")</f>
        <v>1eaa1fc2</v>
      </c>
      <c r="E1458" s="54">
        <f>IFERROR(__xludf.DUMMYFUNCTION("""COMPUTED_VALUE"""),186600.0)</f>
        <v>186600</v>
      </c>
      <c r="F1458" s="3" t="str">
        <f>IFERROR(__xludf.DUMMYFUNCTION("""COMPUTED_VALUE"""),"Malbec")</f>
        <v>Malbec</v>
      </c>
      <c r="G1458" s="3"/>
      <c r="H1458" s="3"/>
      <c r="I1458" s="3"/>
      <c r="J1458" s="3"/>
      <c r="K1458" s="57">
        <f>IFERROR(__xludf.DUMMYFUNCTION("""COMPUTED_VALUE"""),3.8)</f>
        <v>3.8</v>
      </c>
      <c r="L1458" s="54">
        <f>IFERROR(__xludf.DUMMYFUNCTION("""COMPUTED_VALUE"""),42.0)</f>
        <v>42</v>
      </c>
      <c r="M1458" s="3">
        <f>IFERROR(__xludf.DUMMYFUNCTION("""COMPUTED_VALUE"""),131.0)</f>
        <v>131</v>
      </c>
      <c r="N1458" s="3"/>
      <c r="O1458" s="3"/>
      <c r="P1458" s="3"/>
      <c r="Q1458" s="3"/>
      <c r="R1458" s="3">
        <f>IFERROR(__xludf.DUMMYFUNCTION("""COMPUTED_VALUE"""),0.0)</f>
        <v>0</v>
      </c>
      <c r="S1458" s="3"/>
      <c r="T1458" s="5"/>
      <c r="U1458" s="5"/>
      <c r="V1458" s="5"/>
      <c r="W1458" s="5"/>
    </row>
    <row r="1459" ht="15.75" customHeight="1">
      <c r="A1459" s="3">
        <f>IFERROR(__xludf.DUMMYFUNCTION("""COMPUTED_VALUE"""),1459.0)</f>
        <v>1459</v>
      </c>
      <c r="B1459" s="53">
        <f>IFERROR(__xludf.DUMMYFUNCTION("""COMPUTED_VALUE"""),45792.0)</f>
        <v>45792</v>
      </c>
      <c r="C1459" s="3">
        <f>IFERROR(__xludf.DUMMYFUNCTION("""COMPUTED_VALUE"""),26.0)</f>
        <v>26</v>
      </c>
      <c r="D1459" s="3" t="str">
        <f>IFERROR(__xludf.DUMMYFUNCTION("""COMPUTED_VALUE"""),"efada090")</f>
        <v>efada090</v>
      </c>
      <c r="E1459" s="54">
        <f>IFERROR(__xludf.DUMMYFUNCTION("""COMPUTED_VALUE"""),207600.0)</f>
        <v>207600</v>
      </c>
      <c r="F1459" s="3" t="str">
        <f>IFERROR(__xludf.DUMMYFUNCTION("""COMPUTED_VALUE"""),"Syrah")</f>
        <v>Syrah</v>
      </c>
      <c r="G1459" s="3"/>
      <c r="H1459" s="3"/>
      <c r="I1459" s="3"/>
      <c r="J1459" s="3"/>
      <c r="K1459" s="57">
        <f>IFERROR(__xludf.DUMMYFUNCTION("""COMPUTED_VALUE"""),3.82)</f>
        <v>3.82</v>
      </c>
      <c r="L1459" s="54">
        <f>IFERROR(__xludf.DUMMYFUNCTION("""COMPUTED_VALUE"""),38.0)</f>
        <v>38</v>
      </c>
      <c r="M1459" s="3">
        <f>IFERROR(__xludf.DUMMYFUNCTION("""COMPUTED_VALUE"""),115.0)</f>
        <v>115</v>
      </c>
      <c r="N1459" s="3"/>
      <c r="O1459" s="3"/>
      <c r="P1459" s="3"/>
      <c r="Q1459" s="3"/>
      <c r="R1459" s="3">
        <f>IFERROR(__xludf.DUMMYFUNCTION("""COMPUTED_VALUE"""),0.0)</f>
        <v>0</v>
      </c>
      <c r="S1459" s="3"/>
      <c r="T1459" s="5"/>
      <c r="U1459" s="5"/>
      <c r="V1459" s="5"/>
      <c r="W1459" s="5"/>
    </row>
    <row r="1460" ht="15.75" customHeight="1">
      <c r="A1460" s="3">
        <f>IFERROR(__xludf.DUMMYFUNCTION("""COMPUTED_VALUE"""),1460.0)</f>
        <v>1460</v>
      </c>
      <c r="B1460" s="53">
        <f>IFERROR(__xludf.DUMMYFUNCTION("""COMPUTED_VALUE"""),45792.0)</f>
        <v>45792</v>
      </c>
      <c r="C1460" s="3">
        <f>IFERROR(__xludf.DUMMYFUNCTION("""COMPUTED_VALUE"""),46.0)</f>
        <v>46</v>
      </c>
      <c r="D1460" s="3" t="str">
        <f>IFERROR(__xludf.DUMMYFUNCTION("""COMPUTED_VALUE"""),"b72016d2")</f>
        <v>b72016d2</v>
      </c>
      <c r="E1460" s="54">
        <f>IFERROR(__xludf.DUMMYFUNCTION("""COMPUTED_VALUE"""),29000.0)</f>
        <v>29000</v>
      </c>
      <c r="F1460" s="3" t="str">
        <f>IFERROR(__xludf.DUMMYFUNCTION("""COMPUTED_VALUE"""),"Tanat")</f>
        <v>Tanat</v>
      </c>
      <c r="G1460" s="3"/>
      <c r="H1460" s="3"/>
      <c r="I1460" s="3"/>
      <c r="J1460" s="3"/>
      <c r="K1460" s="57">
        <f>IFERROR(__xludf.DUMMYFUNCTION("""COMPUTED_VALUE"""),3.85)</f>
        <v>3.85</v>
      </c>
      <c r="L1460" s="54">
        <f>IFERROR(__xludf.DUMMYFUNCTION("""COMPUTED_VALUE"""),49.0)</f>
        <v>49</v>
      </c>
      <c r="M1460" s="3">
        <f>IFERROR(__xludf.DUMMYFUNCTION("""COMPUTED_VALUE"""),102.0)</f>
        <v>102</v>
      </c>
      <c r="N1460" s="3"/>
      <c r="O1460" s="3"/>
      <c r="P1460" s="3"/>
      <c r="Q1460" s="3"/>
      <c r="R1460" s="3">
        <f>IFERROR(__xludf.DUMMYFUNCTION("""COMPUTED_VALUE"""),0.0)</f>
        <v>0</v>
      </c>
      <c r="S1460" s="3"/>
      <c r="T1460" s="5"/>
      <c r="U1460" s="5"/>
      <c r="V1460" s="5"/>
      <c r="W1460" s="5"/>
    </row>
    <row r="1461" ht="15.75" customHeight="1">
      <c r="A1461" s="3">
        <f>IFERROR(__xludf.DUMMYFUNCTION("""COMPUTED_VALUE"""),1461.0)</f>
        <v>1461</v>
      </c>
      <c r="B1461" s="53">
        <f>IFERROR(__xludf.DUMMYFUNCTION("""COMPUTED_VALUE"""),45792.0)</f>
        <v>45792</v>
      </c>
      <c r="C1461" s="3">
        <f>IFERROR(__xludf.DUMMYFUNCTION("""COMPUTED_VALUE"""),53.0)</f>
        <v>53</v>
      </c>
      <c r="D1461" s="3" t="str">
        <f>IFERROR(__xludf.DUMMYFUNCTION("""COMPUTED_VALUE"""),"c6964445")</f>
        <v>c6964445</v>
      </c>
      <c r="E1461" s="54">
        <f>IFERROR(__xludf.DUMMYFUNCTION("""COMPUTED_VALUE"""),22000.0)</f>
        <v>22000</v>
      </c>
      <c r="F1461" s="3" t="str">
        <f>IFERROR(__xludf.DUMMYFUNCTION("""COMPUTED_VALUE"""),"Syrah")</f>
        <v>Syrah</v>
      </c>
      <c r="G1461" s="3"/>
      <c r="H1461" s="3"/>
      <c r="I1461" s="3"/>
      <c r="J1461" s="3"/>
      <c r="K1461" s="57">
        <f>IFERROR(__xludf.DUMMYFUNCTION("""COMPUTED_VALUE"""),3.73)</f>
        <v>3.73</v>
      </c>
      <c r="L1461" s="54">
        <f>IFERROR(__xludf.DUMMYFUNCTION("""COMPUTED_VALUE"""),38.0)</f>
        <v>38</v>
      </c>
      <c r="M1461" s="3">
        <f>IFERROR(__xludf.DUMMYFUNCTION("""COMPUTED_VALUE"""),115.0)</f>
        <v>115</v>
      </c>
      <c r="N1461" s="3"/>
      <c r="O1461" s="3"/>
      <c r="P1461" s="3"/>
      <c r="Q1461" s="3"/>
      <c r="R1461" s="3">
        <f>IFERROR(__xludf.DUMMYFUNCTION("""COMPUTED_VALUE"""),0.0)</f>
        <v>0</v>
      </c>
      <c r="S1461" s="3"/>
      <c r="T1461" s="5"/>
      <c r="U1461" s="5"/>
      <c r="V1461" s="5"/>
      <c r="W1461" s="5"/>
    </row>
    <row r="1462" ht="15.75" customHeight="1">
      <c r="A1462" s="3">
        <f>IFERROR(__xludf.DUMMYFUNCTION("""COMPUTED_VALUE"""),1462.0)</f>
        <v>1462</v>
      </c>
      <c r="B1462" s="53">
        <f>IFERROR(__xludf.DUMMYFUNCTION("""COMPUTED_VALUE"""),45792.0)</f>
        <v>45792</v>
      </c>
      <c r="C1462" s="3">
        <f>IFERROR(__xludf.DUMMYFUNCTION("""COMPUTED_VALUE"""),54.0)</f>
        <v>54</v>
      </c>
      <c r="D1462" s="3" t="str">
        <f>IFERROR(__xludf.DUMMYFUNCTION("""COMPUTED_VALUE"""),"ae9d3290")</f>
        <v>ae9d3290</v>
      </c>
      <c r="E1462" s="54">
        <f>IFERROR(__xludf.DUMMYFUNCTION("""COMPUTED_VALUE"""),22900.0)</f>
        <v>22900</v>
      </c>
      <c r="F1462" s="3" t="str">
        <f>IFERROR(__xludf.DUMMYFUNCTION("""COMPUTED_VALUE"""),"Claro de Filtro")</f>
        <v>Claro de Filtro</v>
      </c>
      <c r="G1462" s="3"/>
      <c r="H1462" s="3"/>
      <c r="I1462" s="3"/>
      <c r="J1462" s="3"/>
      <c r="K1462" s="57">
        <f>IFERROR(__xludf.DUMMYFUNCTION("""COMPUTED_VALUE"""),3.82)</f>
        <v>3.82</v>
      </c>
      <c r="L1462" s="54">
        <f>IFERROR(__xludf.DUMMYFUNCTION("""COMPUTED_VALUE"""),39.0)</f>
        <v>39</v>
      </c>
      <c r="M1462" s="3">
        <f>IFERROR(__xludf.DUMMYFUNCTION("""COMPUTED_VALUE"""),198.0)</f>
        <v>198</v>
      </c>
      <c r="N1462" s="3"/>
      <c r="O1462" s="3"/>
      <c r="P1462" s="3"/>
      <c r="Q1462" s="3"/>
      <c r="R1462" s="3">
        <f>IFERROR(__xludf.DUMMYFUNCTION("""COMPUTED_VALUE"""),0.0)</f>
        <v>0</v>
      </c>
      <c r="S1462" s="3"/>
      <c r="T1462" s="5"/>
      <c r="U1462" s="5"/>
      <c r="V1462" s="5"/>
      <c r="W1462" s="5"/>
    </row>
    <row r="1463" ht="15.75" customHeight="1">
      <c r="A1463" s="3">
        <f>IFERROR(__xludf.DUMMYFUNCTION("""COMPUTED_VALUE"""),1463.0)</f>
        <v>1463</v>
      </c>
      <c r="B1463" s="53">
        <f>IFERROR(__xludf.DUMMYFUNCTION("""COMPUTED_VALUE"""),45792.0)</f>
        <v>45792</v>
      </c>
      <c r="C1463" s="3">
        <f>IFERROR(__xludf.DUMMYFUNCTION("""COMPUTED_VALUE"""),91.0)</f>
        <v>91</v>
      </c>
      <c r="D1463" s="3" t="str">
        <f>IFERROR(__xludf.DUMMYFUNCTION("""COMPUTED_VALUE"""),"39eae928")</f>
        <v>39eae928</v>
      </c>
      <c r="E1463" s="54">
        <f>IFERROR(__xludf.DUMMYFUNCTION("""COMPUTED_VALUE"""),86000.0)</f>
        <v>86000</v>
      </c>
      <c r="F1463" s="3" t="str">
        <f>IFERROR(__xludf.DUMMYFUNCTION("""COMPUTED_VALUE"""),"Tinto")</f>
        <v>Tinto</v>
      </c>
      <c r="G1463" s="3"/>
      <c r="H1463" s="3"/>
      <c r="I1463" s="3"/>
      <c r="J1463" s="3"/>
      <c r="K1463" s="57">
        <f>IFERROR(__xludf.DUMMYFUNCTION("""COMPUTED_VALUE"""),3.8)</f>
        <v>3.8</v>
      </c>
      <c r="L1463" s="54">
        <f>IFERROR(__xludf.DUMMYFUNCTION("""COMPUTED_VALUE"""),25.0)</f>
        <v>25</v>
      </c>
      <c r="M1463" s="3">
        <f>IFERROR(__xludf.DUMMYFUNCTION("""COMPUTED_VALUE"""),126.0)</f>
        <v>126</v>
      </c>
      <c r="N1463" s="3"/>
      <c r="O1463" s="3"/>
      <c r="P1463" s="3"/>
      <c r="Q1463" s="3"/>
      <c r="R1463" s="3">
        <f>IFERROR(__xludf.DUMMYFUNCTION("""COMPUTED_VALUE"""),0.0)</f>
        <v>0</v>
      </c>
      <c r="S1463" s="3"/>
      <c r="T1463" s="5"/>
      <c r="U1463" s="5"/>
      <c r="V1463" s="5"/>
      <c r="W1463" s="5"/>
    </row>
    <row r="1464" ht="15.75" customHeight="1">
      <c r="A1464" s="3">
        <f>IFERROR(__xludf.DUMMYFUNCTION("""COMPUTED_VALUE"""),1464.0)</f>
        <v>1464</v>
      </c>
      <c r="B1464" s="53">
        <f>IFERROR(__xludf.DUMMYFUNCTION("""COMPUTED_VALUE"""),45792.0)</f>
        <v>45792</v>
      </c>
      <c r="C1464" s="3">
        <f>IFERROR(__xludf.DUMMYFUNCTION("""COMPUTED_VALUE"""),107.0)</f>
        <v>107</v>
      </c>
      <c r="D1464" s="3" t="str">
        <f>IFERROR(__xludf.DUMMYFUNCTION("""COMPUTED_VALUE"""),"1c302922")</f>
        <v>1c302922</v>
      </c>
      <c r="E1464" s="54">
        <f>IFERROR(__xludf.DUMMYFUNCTION("""COMPUTED_VALUE"""),31000.0)</f>
        <v>31000</v>
      </c>
      <c r="F1464" s="3" t="str">
        <f>IFERROR(__xludf.DUMMYFUNCTION("""COMPUTED_VALUE"""),"Bonarda")</f>
        <v>Bonarda</v>
      </c>
      <c r="G1464" s="3"/>
      <c r="H1464" s="3"/>
      <c r="I1464" s="3"/>
      <c r="J1464" s="3"/>
      <c r="K1464" s="57">
        <f>IFERROR(__xludf.DUMMYFUNCTION("""COMPUTED_VALUE"""),3.68)</f>
        <v>3.68</v>
      </c>
      <c r="L1464" s="54">
        <f>IFERROR(__xludf.DUMMYFUNCTION("""COMPUTED_VALUE"""),38.0)</f>
        <v>38</v>
      </c>
      <c r="M1464" s="3">
        <f>IFERROR(__xludf.DUMMYFUNCTION("""COMPUTED_VALUE"""),142.0)</f>
        <v>142</v>
      </c>
      <c r="N1464" s="3"/>
      <c r="O1464" s="3"/>
      <c r="P1464" s="3"/>
      <c r="Q1464" s="3"/>
      <c r="R1464" s="3">
        <f>IFERROR(__xludf.DUMMYFUNCTION("""COMPUTED_VALUE"""),0.0)</f>
        <v>0</v>
      </c>
      <c r="S1464" s="3"/>
      <c r="T1464" s="5"/>
      <c r="U1464" s="5"/>
      <c r="V1464" s="5"/>
      <c r="W1464" s="5"/>
    </row>
    <row r="1465" ht="15.75" customHeight="1">
      <c r="A1465" s="3">
        <f>IFERROR(__xludf.DUMMYFUNCTION("""COMPUTED_VALUE"""),1465.0)</f>
        <v>1465</v>
      </c>
      <c r="B1465" s="53">
        <f>IFERROR(__xludf.DUMMYFUNCTION("""COMPUTED_VALUE"""),45792.0)</f>
        <v>45792</v>
      </c>
      <c r="C1465" s="3">
        <f>IFERROR(__xludf.DUMMYFUNCTION("""COMPUTED_VALUE"""),108.0)</f>
        <v>108</v>
      </c>
      <c r="D1465" s="3" t="str">
        <f>IFERROR(__xludf.DUMMYFUNCTION("""COMPUTED_VALUE"""),"ae7ca061")</f>
        <v>ae7ca061</v>
      </c>
      <c r="E1465" s="54">
        <f>IFERROR(__xludf.DUMMYFUNCTION("""COMPUTED_VALUE"""),31000.0)</f>
        <v>31000</v>
      </c>
      <c r="F1465" s="3" t="str">
        <f>IFERROR(__xludf.DUMMYFUNCTION("""COMPUTED_VALUE"""),"Bonarda")</f>
        <v>Bonarda</v>
      </c>
      <c r="G1465" s="3"/>
      <c r="H1465" s="3"/>
      <c r="I1465" s="3"/>
      <c r="J1465" s="3"/>
      <c r="K1465" s="57">
        <f>IFERROR(__xludf.DUMMYFUNCTION("""COMPUTED_VALUE"""),3.69)</f>
        <v>3.69</v>
      </c>
      <c r="L1465" s="54">
        <f>IFERROR(__xludf.DUMMYFUNCTION("""COMPUTED_VALUE"""),44.0)</f>
        <v>44</v>
      </c>
      <c r="M1465" s="3">
        <f>IFERROR(__xludf.DUMMYFUNCTION("""COMPUTED_VALUE"""),121.0)</f>
        <v>121</v>
      </c>
      <c r="N1465" s="3"/>
      <c r="O1465" s="3"/>
      <c r="P1465" s="3"/>
      <c r="Q1465" s="3"/>
      <c r="R1465" s="3">
        <f>IFERROR(__xludf.DUMMYFUNCTION("""COMPUTED_VALUE"""),0.0)</f>
        <v>0</v>
      </c>
      <c r="S1465" s="3"/>
      <c r="T1465" s="5"/>
      <c r="U1465" s="5"/>
      <c r="V1465" s="5"/>
      <c r="W1465" s="5"/>
    </row>
    <row r="1466" ht="15.75" customHeight="1">
      <c r="A1466" s="3">
        <f>IFERROR(__xludf.DUMMYFUNCTION("""COMPUTED_VALUE"""),1466.0)</f>
        <v>1466</v>
      </c>
      <c r="B1466" s="53">
        <f>IFERROR(__xludf.DUMMYFUNCTION("""COMPUTED_VALUE"""),45792.0)</f>
        <v>45792</v>
      </c>
      <c r="C1466" s="3">
        <f>IFERROR(__xludf.DUMMYFUNCTION("""COMPUTED_VALUE"""),115.0)</f>
        <v>115</v>
      </c>
      <c r="D1466" s="3" t="str">
        <f>IFERROR(__xludf.DUMMYFUNCTION("""COMPUTED_VALUE"""),"7756a1a1")</f>
        <v>7756a1a1</v>
      </c>
      <c r="E1466" s="54">
        <f>IFERROR(__xludf.DUMMYFUNCTION("""COMPUTED_VALUE"""),120200.0)</f>
        <v>120200</v>
      </c>
      <c r="F1466" s="3" t="str">
        <f>IFERROR(__xludf.DUMMYFUNCTION("""COMPUTED_VALUE"""),"Cabernet Sauvignon")</f>
        <v>Cabernet Sauvignon</v>
      </c>
      <c r="G1466" s="3"/>
      <c r="H1466" s="3"/>
      <c r="I1466" s="3"/>
      <c r="J1466" s="3"/>
      <c r="K1466" s="57">
        <f>IFERROR(__xludf.DUMMYFUNCTION("""COMPUTED_VALUE"""),3.87)</f>
        <v>3.87</v>
      </c>
      <c r="L1466" s="54">
        <f>IFERROR(__xludf.DUMMYFUNCTION("""COMPUTED_VALUE"""),20.0)</f>
        <v>20</v>
      </c>
      <c r="M1466" s="3">
        <f>IFERROR(__xludf.DUMMYFUNCTION("""COMPUTED_VALUE"""),102.0)</f>
        <v>102</v>
      </c>
      <c r="N1466" s="3"/>
      <c r="O1466" s="3"/>
      <c r="P1466" s="3"/>
      <c r="Q1466" s="3"/>
      <c r="R1466" s="3">
        <f>IFERROR(__xludf.DUMMYFUNCTION("""COMPUTED_VALUE"""),0.0)</f>
        <v>0</v>
      </c>
      <c r="S1466" s="3"/>
      <c r="T1466" s="5"/>
      <c r="U1466" s="5"/>
      <c r="V1466" s="5"/>
      <c r="W1466" s="5"/>
    </row>
    <row r="1467" ht="15.75" customHeight="1">
      <c r="A1467" s="3">
        <f>IFERROR(__xludf.DUMMYFUNCTION("""COMPUTED_VALUE"""),1467.0)</f>
        <v>1467</v>
      </c>
      <c r="B1467" s="53">
        <f>IFERROR(__xludf.DUMMYFUNCTION("""COMPUTED_VALUE"""),45792.0)</f>
        <v>45792</v>
      </c>
      <c r="C1467" s="3">
        <f>IFERROR(__xludf.DUMMYFUNCTION("""COMPUTED_VALUE"""),120.0)</f>
        <v>120</v>
      </c>
      <c r="D1467" s="3" t="str">
        <f>IFERROR(__xludf.DUMMYFUNCTION("""COMPUTED_VALUE"""),"7b6d5389")</f>
        <v>7b6d5389</v>
      </c>
      <c r="E1467" s="54">
        <f>IFERROR(__xludf.DUMMYFUNCTION("""COMPUTED_VALUE"""),88800.0)</f>
        <v>88800</v>
      </c>
      <c r="F1467" s="3" t="str">
        <f>IFERROR(__xludf.DUMMYFUNCTION("""COMPUTED_VALUE"""),"Malbec Mec")</f>
        <v>Malbec Mec</v>
      </c>
      <c r="G1467" s="3"/>
      <c r="H1467" s="3"/>
      <c r="I1467" s="3"/>
      <c r="J1467" s="3"/>
      <c r="K1467" s="57">
        <f>IFERROR(__xludf.DUMMYFUNCTION("""COMPUTED_VALUE"""),3.96)</f>
        <v>3.96</v>
      </c>
      <c r="L1467" s="54">
        <f>IFERROR(__xludf.DUMMYFUNCTION("""COMPUTED_VALUE"""),37.0)</f>
        <v>37</v>
      </c>
      <c r="M1467" s="3">
        <f>IFERROR(__xludf.DUMMYFUNCTION("""COMPUTED_VALUE"""),83.0)</f>
        <v>83</v>
      </c>
      <c r="N1467" s="3"/>
      <c r="O1467" s="3"/>
      <c r="P1467" s="3"/>
      <c r="Q1467" s="3"/>
      <c r="R1467" s="3">
        <f>IFERROR(__xludf.DUMMYFUNCTION("""COMPUTED_VALUE"""),0.0)</f>
        <v>0</v>
      </c>
      <c r="S1467" s="3"/>
      <c r="T1467" s="5"/>
      <c r="U1467" s="5"/>
      <c r="V1467" s="5"/>
      <c r="W1467" s="5"/>
    </row>
    <row r="1468" ht="15.75" customHeight="1">
      <c r="A1468" s="3">
        <f>IFERROR(__xludf.DUMMYFUNCTION("""COMPUTED_VALUE"""),1468.0)</f>
        <v>1468</v>
      </c>
      <c r="B1468" s="53">
        <f>IFERROR(__xludf.DUMMYFUNCTION("""COMPUTED_VALUE"""),45792.0)</f>
        <v>45792</v>
      </c>
      <c r="C1468" s="3">
        <f>IFERROR(__xludf.DUMMYFUNCTION("""COMPUTED_VALUE"""),33.0)</f>
        <v>33</v>
      </c>
      <c r="D1468" s="3" t="str">
        <f>IFERROR(__xludf.DUMMYFUNCTION("""COMPUTED_VALUE"""),"7def2139")</f>
        <v>7def2139</v>
      </c>
      <c r="E1468" s="54">
        <f>IFERROR(__xludf.DUMMYFUNCTION("""COMPUTED_VALUE"""),25300.0)</f>
        <v>25300</v>
      </c>
      <c r="F1468" s="3" t="str">
        <f>IFERROR(__xludf.DUMMYFUNCTION("""COMPUTED_VALUE"""),"Chardonnay")</f>
        <v>Chardonnay</v>
      </c>
      <c r="G1468" s="3"/>
      <c r="H1468" s="3"/>
      <c r="I1468" s="3"/>
      <c r="J1468" s="3"/>
      <c r="K1468" s="57">
        <f>IFERROR(__xludf.DUMMYFUNCTION("""COMPUTED_VALUE"""),3.34)</f>
        <v>3.34</v>
      </c>
      <c r="L1468" s="3"/>
      <c r="M1468" s="3"/>
      <c r="N1468" s="3"/>
      <c r="O1468" s="3"/>
      <c r="P1468" s="3"/>
      <c r="Q1468" s="3"/>
      <c r="R1468" s="3">
        <f>IFERROR(__xludf.DUMMYFUNCTION("""COMPUTED_VALUE"""),0.0)</f>
        <v>0</v>
      </c>
      <c r="S1468" s="3"/>
      <c r="T1468" s="5"/>
      <c r="U1468" s="5"/>
      <c r="V1468" s="5"/>
      <c r="W1468" s="5"/>
    </row>
    <row r="1469" ht="15.75" customHeight="1">
      <c r="A1469" s="3">
        <f>IFERROR(__xludf.DUMMYFUNCTION("""COMPUTED_VALUE"""),1469.0)</f>
        <v>1469</v>
      </c>
      <c r="B1469" s="53">
        <f>IFERROR(__xludf.DUMMYFUNCTION("""COMPUTED_VALUE"""),45792.0)</f>
        <v>45792</v>
      </c>
      <c r="C1469" s="3">
        <f>IFERROR(__xludf.DUMMYFUNCTION("""COMPUTED_VALUE"""),74.0)</f>
        <v>74</v>
      </c>
      <c r="D1469" s="3" t="str">
        <f>IFERROR(__xludf.DUMMYFUNCTION("""COMPUTED_VALUE"""),"8b30dc4c")</f>
        <v>8b30dc4c</v>
      </c>
      <c r="E1469" s="54">
        <f>IFERROR(__xludf.DUMMYFUNCTION("""COMPUTED_VALUE"""),13000.0)</f>
        <v>13000</v>
      </c>
      <c r="F1469" s="3" t="str">
        <f>IFERROR(__xludf.DUMMYFUNCTION("""COMPUTED_VALUE"""),"Malbec Montecepas 24")</f>
        <v>Malbec Montecepas 24</v>
      </c>
      <c r="G1469" s="3"/>
      <c r="H1469" s="3"/>
      <c r="I1469" s="3"/>
      <c r="J1469" s="3"/>
      <c r="K1469" s="57">
        <f>IFERROR(__xludf.DUMMYFUNCTION("""COMPUTED_VALUE"""),3.68)</f>
        <v>3.68</v>
      </c>
      <c r="L1469" s="3"/>
      <c r="M1469" s="3"/>
      <c r="N1469" s="3"/>
      <c r="O1469" s="3"/>
      <c r="P1469" s="3"/>
      <c r="Q1469" s="3"/>
      <c r="R1469" s="3">
        <f>IFERROR(__xludf.DUMMYFUNCTION("""COMPUTED_VALUE"""),0.0)</f>
        <v>0</v>
      </c>
      <c r="S1469" s="3"/>
      <c r="T1469" s="5"/>
      <c r="U1469" s="5"/>
      <c r="V1469" s="5"/>
      <c r="W1469" s="5"/>
    </row>
    <row r="1470" ht="15.75" customHeight="1">
      <c r="A1470" s="3">
        <f>IFERROR(__xludf.DUMMYFUNCTION("""COMPUTED_VALUE"""),1470.0)</f>
        <v>1470</v>
      </c>
      <c r="B1470" s="53">
        <f>IFERROR(__xludf.DUMMYFUNCTION("""COMPUTED_VALUE"""),45793.0)</f>
        <v>45793</v>
      </c>
      <c r="C1470" s="3">
        <f>IFERROR(__xludf.DUMMYFUNCTION("""COMPUTED_VALUE"""),15.0)</f>
        <v>15</v>
      </c>
      <c r="D1470" s="3" t="str">
        <f>IFERROR(__xludf.DUMMYFUNCTION("""COMPUTED_VALUE"""),"8a5cc2ae")</f>
        <v>8a5cc2ae</v>
      </c>
      <c r="E1470" s="54">
        <f>IFERROR(__xludf.DUMMYFUNCTION("""COMPUTED_VALUE"""),36500.0)</f>
        <v>36500</v>
      </c>
      <c r="F1470" s="3" t="str">
        <f>IFERROR(__xludf.DUMMYFUNCTION("""COMPUTED_VALUE"""),"Bonarda")</f>
        <v>Bonarda</v>
      </c>
      <c r="G1470" s="55">
        <f>IFERROR(__xludf.DUMMYFUNCTION("""COMPUTED_VALUE"""),13.4)</f>
        <v>13.4</v>
      </c>
      <c r="H1470" s="56">
        <f>IFERROR(__xludf.DUMMYFUNCTION("""COMPUTED_VALUE"""),2.85)</f>
        <v>2.85</v>
      </c>
      <c r="I1470" s="57">
        <f>IFERROR(__xludf.DUMMYFUNCTION("""COMPUTED_VALUE"""),0.43)</f>
        <v>0.43</v>
      </c>
      <c r="J1470" s="57">
        <f>IFERROR(__xludf.DUMMYFUNCTION("""COMPUTED_VALUE"""),6.45)</f>
        <v>6.45</v>
      </c>
      <c r="K1470" s="3"/>
      <c r="L1470" s="3"/>
      <c r="M1470" s="3"/>
      <c r="N1470" s="3"/>
      <c r="O1470" s="3"/>
      <c r="P1470" s="3"/>
      <c r="Q1470" s="3"/>
      <c r="R1470" s="3">
        <f>IFERROR(__xludf.DUMMYFUNCTION("""COMPUTED_VALUE"""),0.0)</f>
        <v>0</v>
      </c>
      <c r="S1470" s="3"/>
      <c r="T1470" s="5"/>
      <c r="U1470" s="5"/>
      <c r="V1470" s="5"/>
      <c r="W1470" s="5" t="str">
        <f>IFERROR(__xludf.DUMMYFUNCTION("""COMPUTED_VALUE"""),"Simon")</f>
        <v>Simon</v>
      </c>
    </row>
    <row r="1471" ht="15.75" customHeight="1">
      <c r="A1471" s="3">
        <f>IFERROR(__xludf.DUMMYFUNCTION("""COMPUTED_VALUE"""),1471.0)</f>
        <v>1471</v>
      </c>
      <c r="B1471" s="53">
        <f>IFERROR(__xludf.DUMMYFUNCTION("""COMPUTED_VALUE"""),45793.0)</f>
        <v>45793</v>
      </c>
      <c r="C1471" s="3">
        <f>IFERROR(__xludf.DUMMYFUNCTION("""COMPUTED_VALUE"""),24.0)</f>
        <v>24</v>
      </c>
      <c r="D1471" s="3" t="str">
        <f>IFERROR(__xludf.DUMMYFUNCTION("""COMPUTED_VALUE"""),"1eaa1fc2")</f>
        <v>1eaa1fc2</v>
      </c>
      <c r="E1471" s="54">
        <f>IFERROR(__xludf.DUMMYFUNCTION("""COMPUTED_VALUE"""),186600.0)</f>
        <v>186600</v>
      </c>
      <c r="F1471" s="3" t="str">
        <f>IFERROR(__xludf.DUMMYFUNCTION("""COMPUTED_VALUE"""),"Malbec")</f>
        <v>Malbec</v>
      </c>
      <c r="G1471" s="55">
        <f>IFERROR(__xludf.DUMMYFUNCTION("""COMPUTED_VALUE"""),13.5)</f>
        <v>13.5</v>
      </c>
      <c r="H1471" s="56">
        <f>IFERROR(__xludf.DUMMYFUNCTION("""COMPUTED_VALUE"""),3.63)</f>
        <v>3.63</v>
      </c>
      <c r="I1471" s="57">
        <f>IFERROR(__xludf.DUMMYFUNCTION("""COMPUTED_VALUE"""),0.53)</f>
        <v>0.53</v>
      </c>
      <c r="J1471" s="57">
        <f>IFERROR(__xludf.DUMMYFUNCTION("""COMPUTED_VALUE"""),5.32)</f>
        <v>5.32</v>
      </c>
      <c r="K1471" s="3"/>
      <c r="L1471" s="3"/>
      <c r="M1471" s="3"/>
      <c r="N1471" s="3"/>
      <c r="O1471" s="3"/>
      <c r="P1471" s="3"/>
      <c r="Q1471" s="3"/>
      <c r="R1471" s="3">
        <f>IFERROR(__xludf.DUMMYFUNCTION("""COMPUTED_VALUE"""),0.0)</f>
        <v>0</v>
      </c>
      <c r="S1471" s="3"/>
      <c r="T1471" s="5"/>
      <c r="U1471" s="5"/>
      <c r="V1471" s="5"/>
      <c r="W1471" s="5" t="str">
        <f>IFERROR(__xludf.DUMMYFUNCTION("""COMPUTED_VALUE"""),"Simon")</f>
        <v>Simon</v>
      </c>
    </row>
    <row r="1472" ht="15.75" customHeight="1">
      <c r="A1472" s="3">
        <f>IFERROR(__xludf.DUMMYFUNCTION("""COMPUTED_VALUE"""),1472.0)</f>
        <v>1472</v>
      </c>
      <c r="B1472" s="53">
        <f>IFERROR(__xludf.DUMMYFUNCTION("""COMPUTED_VALUE"""),45793.0)</f>
        <v>45793</v>
      </c>
      <c r="C1472" s="3">
        <f>IFERROR(__xludf.DUMMYFUNCTION("""COMPUTED_VALUE"""),26.0)</f>
        <v>26</v>
      </c>
      <c r="D1472" s="3" t="str">
        <f>IFERROR(__xludf.DUMMYFUNCTION("""COMPUTED_VALUE"""),"efada090")</f>
        <v>efada090</v>
      </c>
      <c r="E1472" s="54">
        <f>IFERROR(__xludf.DUMMYFUNCTION("""COMPUTED_VALUE"""),207600.0)</f>
        <v>207600</v>
      </c>
      <c r="F1472" s="3" t="str">
        <f>IFERROR(__xludf.DUMMYFUNCTION("""COMPUTED_VALUE"""),"Syrah")</f>
        <v>Syrah</v>
      </c>
      <c r="G1472" s="55">
        <f>IFERROR(__xludf.DUMMYFUNCTION("""COMPUTED_VALUE"""),14.1)</f>
        <v>14.1</v>
      </c>
      <c r="H1472" s="56">
        <f>IFERROR(__xludf.DUMMYFUNCTION("""COMPUTED_VALUE"""),2.5)</f>
        <v>2.5</v>
      </c>
      <c r="I1472" s="57">
        <f>IFERROR(__xludf.DUMMYFUNCTION("""COMPUTED_VALUE"""),0.56)</f>
        <v>0.56</v>
      </c>
      <c r="J1472" s="57">
        <f>IFERROR(__xludf.DUMMYFUNCTION("""COMPUTED_VALUE"""),4.95)</f>
        <v>4.95</v>
      </c>
      <c r="K1472" s="3"/>
      <c r="L1472" s="3"/>
      <c r="M1472" s="3"/>
      <c r="N1472" s="3"/>
      <c r="O1472" s="3"/>
      <c r="P1472" s="3"/>
      <c r="Q1472" s="3"/>
      <c r="R1472" s="3">
        <f>IFERROR(__xludf.DUMMYFUNCTION("""COMPUTED_VALUE"""),0.0)</f>
        <v>0</v>
      </c>
      <c r="S1472" s="3"/>
      <c r="T1472" s="5"/>
      <c r="U1472" s="5"/>
      <c r="V1472" s="5"/>
      <c r="W1472" s="5" t="str">
        <f>IFERROR(__xludf.DUMMYFUNCTION("""COMPUTED_VALUE"""),"Simon")</f>
        <v>Simon</v>
      </c>
    </row>
    <row r="1473" ht="15.75" customHeight="1">
      <c r="A1473" s="3">
        <f>IFERROR(__xludf.DUMMYFUNCTION("""COMPUTED_VALUE"""),1473.0)</f>
        <v>1473</v>
      </c>
      <c r="B1473" s="53">
        <f>IFERROR(__xludf.DUMMYFUNCTION("""COMPUTED_VALUE"""),45793.0)</f>
        <v>45793</v>
      </c>
      <c r="C1473" s="3">
        <f>IFERROR(__xludf.DUMMYFUNCTION("""COMPUTED_VALUE"""),33.0)</f>
        <v>33</v>
      </c>
      <c r="D1473" s="3" t="str">
        <f>IFERROR(__xludf.DUMMYFUNCTION("""COMPUTED_VALUE"""),"7def2139")</f>
        <v>7def2139</v>
      </c>
      <c r="E1473" s="54">
        <f>IFERROR(__xludf.DUMMYFUNCTION("""COMPUTED_VALUE"""),25300.0)</f>
        <v>25300</v>
      </c>
      <c r="F1473" s="3" t="str">
        <f>IFERROR(__xludf.DUMMYFUNCTION("""COMPUTED_VALUE"""),"Chardonnay")</f>
        <v>Chardonnay</v>
      </c>
      <c r="G1473" s="55">
        <f>IFERROR(__xludf.DUMMYFUNCTION("""COMPUTED_VALUE"""),12.0)</f>
        <v>12</v>
      </c>
      <c r="H1473" s="56">
        <f>IFERROR(__xludf.DUMMYFUNCTION("""COMPUTED_VALUE"""),1.8)</f>
        <v>1.8</v>
      </c>
      <c r="I1473" s="57">
        <f>IFERROR(__xludf.DUMMYFUNCTION("""COMPUTED_VALUE"""),0.15)</f>
        <v>0.15</v>
      </c>
      <c r="J1473" s="57">
        <f>IFERROR(__xludf.DUMMYFUNCTION("""COMPUTED_VALUE"""),6.45)</f>
        <v>6.45</v>
      </c>
      <c r="K1473" s="3"/>
      <c r="L1473" s="3"/>
      <c r="M1473" s="3"/>
      <c r="N1473" s="3"/>
      <c r="O1473" s="3"/>
      <c r="P1473" s="3"/>
      <c r="Q1473" s="3"/>
      <c r="R1473" s="3">
        <f>IFERROR(__xludf.DUMMYFUNCTION("""COMPUTED_VALUE"""),0.0)</f>
        <v>0</v>
      </c>
      <c r="S1473" s="3"/>
      <c r="T1473" s="5"/>
      <c r="U1473" s="5"/>
      <c r="V1473" s="5"/>
      <c r="W1473" s="5" t="str">
        <f>IFERROR(__xludf.DUMMYFUNCTION("""COMPUTED_VALUE"""),"Simon")</f>
        <v>Simon</v>
      </c>
    </row>
    <row r="1474" ht="15.75" customHeight="1">
      <c r="A1474" s="3">
        <f>IFERROR(__xludf.DUMMYFUNCTION("""COMPUTED_VALUE"""),1474.0)</f>
        <v>1474</v>
      </c>
      <c r="B1474" s="53">
        <f>IFERROR(__xludf.DUMMYFUNCTION("""COMPUTED_VALUE"""),45793.0)</f>
        <v>45793</v>
      </c>
      <c r="C1474" s="3">
        <f>IFERROR(__xludf.DUMMYFUNCTION("""COMPUTED_VALUE"""),46.0)</f>
        <v>46</v>
      </c>
      <c r="D1474" s="3" t="str">
        <f>IFERROR(__xludf.DUMMYFUNCTION("""COMPUTED_VALUE"""),"b72016d2")</f>
        <v>b72016d2</v>
      </c>
      <c r="E1474" s="54">
        <f>IFERROR(__xludf.DUMMYFUNCTION("""COMPUTED_VALUE"""),29000.0)</f>
        <v>29000</v>
      </c>
      <c r="F1474" s="3" t="str">
        <f>IFERROR(__xludf.DUMMYFUNCTION("""COMPUTED_VALUE"""),"Tanat")</f>
        <v>Tanat</v>
      </c>
      <c r="G1474" s="55">
        <f>IFERROR(__xludf.DUMMYFUNCTION("""COMPUTED_VALUE"""),13.6)</f>
        <v>13.6</v>
      </c>
      <c r="H1474" s="56">
        <f>IFERROR(__xludf.DUMMYFUNCTION("""COMPUTED_VALUE"""),2.65)</f>
        <v>2.65</v>
      </c>
      <c r="I1474" s="57">
        <f>IFERROR(__xludf.DUMMYFUNCTION("""COMPUTED_VALUE"""),0.69)</f>
        <v>0.69</v>
      </c>
      <c r="J1474" s="57">
        <f>IFERROR(__xludf.DUMMYFUNCTION("""COMPUTED_VALUE"""),4.95)</f>
        <v>4.95</v>
      </c>
      <c r="K1474" s="3"/>
      <c r="L1474" s="3"/>
      <c r="M1474" s="3"/>
      <c r="N1474" s="3"/>
      <c r="O1474" s="3"/>
      <c r="P1474" s="3"/>
      <c r="Q1474" s="3"/>
      <c r="R1474" s="3">
        <f>IFERROR(__xludf.DUMMYFUNCTION("""COMPUTED_VALUE"""),0.0)</f>
        <v>0</v>
      </c>
      <c r="S1474" s="3"/>
      <c r="T1474" s="5"/>
      <c r="U1474" s="5"/>
      <c r="V1474" s="5"/>
      <c r="W1474" s="5" t="str">
        <f>IFERROR(__xludf.DUMMYFUNCTION("""COMPUTED_VALUE"""),"Simon")</f>
        <v>Simon</v>
      </c>
    </row>
    <row r="1475" ht="15.75" customHeight="1">
      <c r="A1475" s="3">
        <f>IFERROR(__xludf.DUMMYFUNCTION("""COMPUTED_VALUE"""),1475.0)</f>
        <v>1475</v>
      </c>
      <c r="B1475" s="53">
        <f>IFERROR(__xludf.DUMMYFUNCTION("""COMPUTED_VALUE"""),45793.0)</f>
        <v>45793</v>
      </c>
      <c r="C1475" s="3">
        <f>IFERROR(__xludf.DUMMYFUNCTION("""COMPUTED_VALUE"""),53.0)</f>
        <v>53</v>
      </c>
      <c r="D1475" s="3" t="str">
        <f>IFERROR(__xludf.DUMMYFUNCTION("""COMPUTED_VALUE"""),"c6964445")</f>
        <v>c6964445</v>
      </c>
      <c r="E1475" s="54">
        <f>IFERROR(__xludf.DUMMYFUNCTION("""COMPUTED_VALUE"""),22000.0)</f>
        <v>22000</v>
      </c>
      <c r="F1475" s="3" t="str">
        <f>IFERROR(__xludf.DUMMYFUNCTION("""COMPUTED_VALUE"""),"Syrah")</f>
        <v>Syrah</v>
      </c>
      <c r="G1475" s="55">
        <f>IFERROR(__xludf.DUMMYFUNCTION("""COMPUTED_VALUE"""),14.2)</f>
        <v>14.2</v>
      </c>
      <c r="H1475" s="56">
        <f>IFERROR(__xludf.DUMMYFUNCTION("""COMPUTED_VALUE"""),3.6)</f>
        <v>3.6</v>
      </c>
      <c r="I1475" s="57">
        <f>IFERROR(__xludf.DUMMYFUNCTION("""COMPUTED_VALUE"""),0.65)</f>
        <v>0.65</v>
      </c>
      <c r="J1475" s="57">
        <f>IFERROR(__xludf.DUMMYFUNCTION("""COMPUTED_VALUE"""),5.25)</f>
        <v>5.25</v>
      </c>
      <c r="K1475" s="3"/>
      <c r="L1475" s="3"/>
      <c r="M1475" s="3"/>
      <c r="N1475" s="3"/>
      <c r="O1475" s="3"/>
      <c r="P1475" s="3"/>
      <c r="Q1475" s="3"/>
      <c r="R1475" s="3">
        <f>IFERROR(__xludf.DUMMYFUNCTION("""COMPUTED_VALUE"""),0.0)</f>
        <v>0</v>
      </c>
      <c r="S1475" s="3"/>
      <c r="T1475" s="5"/>
      <c r="U1475" s="5"/>
      <c r="V1475" s="5"/>
      <c r="W1475" s="5" t="str">
        <f>IFERROR(__xludf.DUMMYFUNCTION("""COMPUTED_VALUE"""),"Simon")</f>
        <v>Simon</v>
      </c>
    </row>
    <row r="1476" ht="15.75" customHeight="1">
      <c r="A1476" s="3">
        <f>IFERROR(__xludf.DUMMYFUNCTION("""COMPUTED_VALUE"""),1476.0)</f>
        <v>1476</v>
      </c>
      <c r="B1476" s="53">
        <f>IFERROR(__xludf.DUMMYFUNCTION("""COMPUTED_VALUE"""),45793.0)</f>
        <v>45793</v>
      </c>
      <c r="C1476" s="3">
        <f>IFERROR(__xludf.DUMMYFUNCTION("""COMPUTED_VALUE"""),54.0)</f>
        <v>54</v>
      </c>
      <c r="D1476" s="3" t="str">
        <f>IFERROR(__xludf.DUMMYFUNCTION("""COMPUTED_VALUE"""),"ae9d3290")</f>
        <v>ae9d3290</v>
      </c>
      <c r="E1476" s="54">
        <f>IFERROR(__xludf.DUMMYFUNCTION("""COMPUTED_VALUE"""),22900.0)</f>
        <v>22900</v>
      </c>
      <c r="F1476" s="3" t="str">
        <f>IFERROR(__xludf.DUMMYFUNCTION("""COMPUTED_VALUE"""),"Claro de Filtro")</f>
        <v>Claro de Filtro</v>
      </c>
      <c r="G1476" s="55">
        <f>IFERROR(__xludf.DUMMYFUNCTION("""COMPUTED_VALUE"""),13.6)</f>
        <v>13.6</v>
      </c>
      <c r="H1476" s="56">
        <f>IFERROR(__xludf.DUMMYFUNCTION("""COMPUTED_VALUE"""),3.26)</f>
        <v>3.26</v>
      </c>
      <c r="I1476" s="57">
        <f>IFERROR(__xludf.DUMMYFUNCTION("""COMPUTED_VALUE"""),0.72)</f>
        <v>0.72</v>
      </c>
      <c r="J1476" s="57">
        <f>IFERROR(__xludf.DUMMYFUNCTION("""COMPUTED_VALUE"""),5.55)</f>
        <v>5.55</v>
      </c>
      <c r="K1476" s="3"/>
      <c r="L1476" s="3"/>
      <c r="M1476" s="3"/>
      <c r="N1476" s="3"/>
      <c r="O1476" s="3"/>
      <c r="P1476" s="3"/>
      <c r="Q1476" s="3"/>
      <c r="R1476" s="3">
        <f>IFERROR(__xludf.DUMMYFUNCTION("""COMPUTED_VALUE"""),0.0)</f>
        <v>0</v>
      </c>
      <c r="S1476" s="3"/>
      <c r="T1476" s="5"/>
      <c r="U1476" s="5"/>
      <c r="V1476" s="5"/>
      <c r="W1476" s="5" t="str">
        <f>IFERROR(__xludf.DUMMYFUNCTION("""COMPUTED_VALUE"""),"Simon")</f>
        <v>Simon</v>
      </c>
    </row>
    <row r="1477" ht="15.75" customHeight="1">
      <c r="A1477" s="3">
        <f>IFERROR(__xludf.DUMMYFUNCTION("""COMPUTED_VALUE"""),1477.0)</f>
        <v>1477</v>
      </c>
      <c r="B1477" s="53">
        <f>IFERROR(__xludf.DUMMYFUNCTION("""COMPUTED_VALUE"""),45793.0)</f>
        <v>45793</v>
      </c>
      <c r="C1477" s="3">
        <f>IFERROR(__xludf.DUMMYFUNCTION("""COMPUTED_VALUE"""),74.0)</f>
        <v>74</v>
      </c>
      <c r="D1477" s="3" t="str">
        <f>IFERROR(__xludf.DUMMYFUNCTION("""COMPUTED_VALUE"""),"8b30dc4c")</f>
        <v>8b30dc4c</v>
      </c>
      <c r="E1477" s="54">
        <f>IFERROR(__xludf.DUMMYFUNCTION("""COMPUTED_VALUE"""),13000.0)</f>
        <v>13000</v>
      </c>
      <c r="F1477" s="3" t="str">
        <f>IFERROR(__xludf.DUMMYFUNCTION("""COMPUTED_VALUE"""),"Malbec Montecepas 24")</f>
        <v>Malbec Montecepas 24</v>
      </c>
      <c r="G1477" s="55">
        <f>IFERROR(__xludf.DUMMYFUNCTION("""COMPUTED_VALUE"""),13.5)</f>
        <v>13.5</v>
      </c>
      <c r="H1477" s="56">
        <f>IFERROR(__xludf.DUMMYFUNCTION("""COMPUTED_VALUE"""),2.5)</f>
        <v>2.5</v>
      </c>
      <c r="I1477" s="57">
        <f>IFERROR(__xludf.DUMMYFUNCTION("""COMPUTED_VALUE"""),0.5)</f>
        <v>0.5</v>
      </c>
      <c r="J1477" s="57">
        <f>IFERROR(__xludf.DUMMYFUNCTION("""COMPUTED_VALUE"""),5.55)</f>
        <v>5.55</v>
      </c>
      <c r="K1477" s="3"/>
      <c r="L1477" s="3"/>
      <c r="M1477" s="3"/>
      <c r="N1477" s="3"/>
      <c r="O1477" s="3"/>
      <c r="P1477" s="3"/>
      <c r="Q1477" s="3"/>
      <c r="R1477" s="3">
        <f>IFERROR(__xludf.DUMMYFUNCTION("""COMPUTED_VALUE"""),0.0)</f>
        <v>0</v>
      </c>
      <c r="S1477" s="3"/>
      <c r="T1477" s="5"/>
      <c r="U1477" s="5"/>
      <c r="V1477" s="5"/>
      <c r="W1477" s="5" t="str">
        <f>IFERROR(__xludf.DUMMYFUNCTION("""COMPUTED_VALUE"""),"Simon")</f>
        <v>Simon</v>
      </c>
    </row>
    <row r="1478" ht="15.75" customHeight="1">
      <c r="A1478" s="3">
        <f>IFERROR(__xludf.DUMMYFUNCTION("""COMPUTED_VALUE"""),1478.0)</f>
        <v>1478</v>
      </c>
      <c r="B1478" s="53">
        <f>IFERROR(__xludf.DUMMYFUNCTION("""COMPUTED_VALUE"""),45793.0)</f>
        <v>45793</v>
      </c>
      <c r="C1478" s="3">
        <f>IFERROR(__xludf.DUMMYFUNCTION("""COMPUTED_VALUE"""),91.0)</f>
        <v>91</v>
      </c>
      <c r="D1478" s="3" t="str">
        <f>IFERROR(__xludf.DUMMYFUNCTION("""COMPUTED_VALUE"""),"39eae928")</f>
        <v>39eae928</v>
      </c>
      <c r="E1478" s="54">
        <f>IFERROR(__xludf.DUMMYFUNCTION("""COMPUTED_VALUE"""),86000.0)</f>
        <v>86000</v>
      </c>
      <c r="F1478" s="3" t="str">
        <f>IFERROR(__xludf.DUMMYFUNCTION("""COMPUTED_VALUE"""),"Tinto")</f>
        <v>Tinto</v>
      </c>
      <c r="G1478" s="55">
        <f>IFERROR(__xludf.DUMMYFUNCTION("""COMPUTED_VALUE"""),14.0)</f>
        <v>14</v>
      </c>
      <c r="H1478" s="56">
        <f>IFERROR(__xludf.DUMMYFUNCTION("""COMPUTED_VALUE"""),4.1)</f>
        <v>4.1</v>
      </c>
      <c r="I1478" s="57">
        <f>IFERROR(__xludf.DUMMYFUNCTION("""COMPUTED_VALUE"""),0.46)</f>
        <v>0.46</v>
      </c>
      <c r="J1478" s="57">
        <f>IFERROR(__xludf.DUMMYFUNCTION("""COMPUTED_VALUE"""),5.47)</f>
        <v>5.47</v>
      </c>
      <c r="K1478" s="3"/>
      <c r="L1478" s="3"/>
      <c r="M1478" s="3"/>
      <c r="N1478" s="3"/>
      <c r="O1478" s="3"/>
      <c r="P1478" s="3"/>
      <c r="Q1478" s="3"/>
      <c r="R1478" s="3">
        <f>IFERROR(__xludf.DUMMYFUNCTION("""COMPUTED_VALUE"""),0.0)</f>
        <v>0</v>
      </c>
      <c r="S1478" s="3"/>
      <c r="T1478" s="5"/>
      <c r="U1478" s="5"/>
      <c r="V1478" s="5"/>
      <c r="W1478" s="5" t="str">
        <f>IFERROR(__xludf.DUMMYFUNCTION("""COMPUTED_VALUE"""),"Simon")</f>
        <v>Simon</v>
      </c>
    </row>
    <row r="1479" ht="15.75" customHeight="1">
      <c r="A1479" s="3">
        <f>IFERROR(__xludf.DUMMYFUNCTION("""COMPUTED_VALUE"""),1479.0)</f>
        <v>1479</v>
      </c>
      <c r="B1479" s="53">
        <f>IFERROR(__xludf.DUMMYFUNCTION("""COMPUTED_VALUE"""),45793.0)</f>
        <v>45793</v>
      </c>
      <c r="C1479" s="3">
        <f>IFERROR(__xludf.DUMMYFUNCTION("""COMPUTED_VALUE"""),107.0)</f>
        <v>107</v>
      </c>
      <c r="D1479" s="3" t="str">
        <f>IFERROR(__xludf.DUMMYFUNCTION("""COMPUTED_VALUE"""),"1c302922")</f>
        <v>1c302922</v>
      </c>
      <c r="E1479" s="54">
        <f>IFERROR(__xludf.DUMMYFUNCTION("""COMPUTED_VALUE"""),31000.0)</f>
        <v>31000</v>
      </c>
      <c r="F1479" s="3" t="str">
        <f>IFERROR(__xludf.DUMMYFUNCTION("""COMPUTED_VALUE"""),"Bonarda")</f>
        <v>Bonarda</v>
      </c>
      <c r="G1479" s="55">
        <f>IFERROR(__xludf.DUMMYFUNCTION("""COMPUTED_VALUE"""),13.9)</f>
        <v>13.9</v>
      </c>
      <c r="H1479" s="56">
        <f>IFERROR(__xludf.DUMMYFUNCTION("""COMPUTED_VALUE"""),3.45)</f>
        <v>3.45</v>
      </c>
      <c r="I1479" s="57">
        <f>IFERROR(__xludf.DUMMYFUNCTION("""COMPUTED_VALUE"""),0.53)</f>
        <v>0.53</v>
      </c>
      <c r="J1479" s="57">
        <f>IFERROR(__xludf.DUMMYFUNCTION("""COMPUTED_VALUE"""),6.97)</f>
        <v>6.97</v>
      </c>
      <c r="K1479" s="3"/>
      <c r="L1479" s="3"/>
      <c r="M1479" s="3"/>
      <c r="N1479" s="3"/>
      <c r="O1479" s="3"/>
      <c r="P1479" s="3"/>
      <c r="Q1479" s="3"/>
      <c r="R1479" s="3">
        <f>IFERROR(__xludf.DUMMYFUNCTION("""COMPUTED_VALUE"""),0.0)</f>
        <v>0</v>
      </c>
      <c r="S1479" s="3"/>
      <c r="T1479" s="5"/>
      <c r="U1479" s="5"/>
      <c r="V1479" s="5"/>
      <c r="W1479" s="5" t="str">
        <f>IFERROR(__xludf.DUMMYFUNCTION("""COMPUTED_VALUE"""),"Simon")</f>
        <v>Simon</v>
      </c>
    </row>
    <row r="1480" ht="15.75" customHeight="1">
      <c r="A1480" s="3">
        <f>IFERROR(__xludf.DUMMYFUNCTION("""COMPUTED_VALUE"""),1480.0)</f>
        <v>1480</v>
      </c>
      <c r="B1480" s="53">
        <f>IFERROR(__xludf.DUMMYFUNCTION("""COMPUTED_VALUE"""),45793.0)</f>
        <v>45793</v>
      </c>
      <c r="C1480" s="3">
        <f>IFERROR(__xludf.DUMMYFUNCTION("""COMPUTED_VALUE"""),108.0)</f>
        <v>108</v>
      </c>
      <c r="D1480" s="3" t="str">
        <f>IFERROR(__xludf.DUMMYFUNCTION("""COMPUTED_VALUE"""),"ae7ca061")</f>
        <v>ae7ca061</v>
      </c>
      <c r="E1480" s="54">
        <f>IFERROR(__xludf.DUMMYFUNCTION("""COMPUTED_VALUE"""),31000.0)</f>
        <v>31000</v>
      </c>
      <c r="F1480" s="3" t="str">
        <f>IFERROR(__xludf.DUMMYFUNCTION("""COMPUTED_VALUE"""),"Bonarda")</f>
        <v>Bonarda</v>
      </c>
      <c r="G1480" s="55">
        <f>IFERROR(__xludf.DUMMYFUNCTION("""COMPUTED_VALUE"""),13.7)</f>
        <v>13.7</v>
      </c>
      <c r="H1480" s="56">
        <f>IFERROR(__xludf.DUMMYFUNCTION("""COMPUTED_VALUE"""),3.46)</f>
        <v>3.46</v>
      </c>
      <c r="I1480" s="57">
        <f>IFERROR(__xludf.DUMMYFUNCTION("""COMPUTED_VALUE"""),0.36)</f>
        <v>0.36</v>
      </c>
      <c r="J1480" s="57">
        <f>IFERROR(__xludf.DUMMYFUNCTION("""COMPUTED_VALUE"""),7.2)</f>
        <v>7.2</v>
      </c>
      <c r="K1480" s="3"/>
      <c r="L1480" s="3"/>
      <c r="M1480" s="3"/>
      <c r="N1480" s="3"/>
      <c r="O1480" s="3"/>
      <c r="P1480" s="3"/>
      <c r="Q1480" s="3"/>
      <c r="R1480" s="3">
        <f>IFERROR(__xludf.DUMMYFUNCTION("""COMPUTED_VALUE"""),0.0)</f>
        <v>0</v>
      </c>
      <c r="S1480" s="3"/>
      <c r="T1480" s="5"/>
      <c r="U1480" s="5"/>
      <c r="V1480" s="5"/>
      <c r="W1480" s="5" t="str">
        <f>IFERROR(__xludf.DUMMYFUNCTION("""COMPUTED_VALUE"""),"Simon")</f>
        <v>Simon</v>
      </c>
    </row>
    <row r="1481" ht="15.75" customHeight="1">
      <c r="A1481" s="3">
        <f>IFERROR(__xludf.DUMMYFUNCTION("""COMPUTED_VALUE"""),1481.0)</f>
        <v>1481</v>
      </c>
      <c r="B1481" s="53">
        <f>IFERROR(__xludf.DUMMYFUNCTION("""COMPUTED_VALUE"""),45793.0)</f>
        <v>45793</v>
      </c>
      <c r="C1481" s="3">
        <f>IFERROR(__xludf.DUMMYFUNCTION("""COMPUTED_VALUE"""),115.0)</f>
        <v>115</v>
      </c>
      <c r="D1481" s="3" t="str">
        <f>IFERROR(__xludf.DUMMYFUNCTION("""COMPUTED_VALUE"""),"7756a1a1")</f>
        <v>7756a1a1</v>
      </c>
      <c r="E1481" s="54">
        <f>IFERROR(__xludf.DUMMYFUNCTION("""COMPUTED_VALUE"""),120200.0)</f>
        <v>120200</v>
      </c>
      <c r="F1481" s="3" t="str">
        <f>IFERROR(__xludf.DUMMYFUNCTION("""COMPUTED_VALUE"""),"Cabernet Sauvignon")</f>
        <v>Cabernet Sauvignon</v>
      </c>
      <c r="G1481" s="55">
        <f>IFERROR(__xludf.DUMMYFUNCTION("""COMPUTED_VALUE"""),13.7)</f>
        <v>13.7</v>
      </c>
      <c r="H1481" s="56">
        <f>IFERROR(__xludf.DUMMYFUNCTION("""COMPUTED_VALUE"""),3.63)</f>
        <v>3.63</v>
      </c>
      <c r="I1481" s="57">
        <f>IFERROR(__xludf.DUMMYFUNCTION("""COMPUTED_VALUE"""),0.51)</f>
        <v>0.51</v>
      </c>
      <c r="J1481" s="57">
        <f>IFERROR(__xludf.DUMMYFUNCTION("""COMPUTED_VALUE"""),5.32)</f>
        <v>5.32</v>
      </c>
      <c r="K1481" s="3"/>
      <c r="L1481" s="3"/>
      <c r="M1481" s="3"/>
      <c r="N1481" s="3"/>
      <c r="O1481" s="3"/>
      <c r="P1481" s="3"/>
      <c r="Q1481" s="3"/>
      <c r="R1481" s="3">
        <f>IFERROR(__xludf.DUMMYFUNCTION("""COMPUTED_VALUE"""),0.0)</f>
        <v>0</v>
      </c>
      <c r="S1481" s="3"/>
      <c r="T1481" s="5"/>
      <c r="U1481" s="5"/>
      <c r="V1481" s="5"/>
      <c r="W1481" s="5" t="str">
        <f>IFERROR(__xludf.DUMMYFUNCTION("""COMPUTED_VALUE"""),"Simon")</f>
        <v>Simon</v>
      </c>
    </row>
    <row r="1482" ht="15.75" customHeight="1">
      <c r="A1482" s="3">
        <f>IFERROR(__xludf.DUMMYFUNCTION("""COMPUTED_VALUE"""),1482.0)</f>
        <v>1482</v>
      </c>
      <c r="B1482" s="53">
        <f>IFERROR(__xludf.DUMMYFUNCTION("""COMPUTED_VALUE"""),45793.0)</f>
        <v>45793</v>
      </c>
      <c r="C1482" s="3">
        <f>IFERROR(__xludf.DUMMYFUNCTION("""COMPUTED_VALUE"""),120.0)</f>
        <v>120</v>
      </c>
      <c r="D1482" s="3" t="str">
        <f>IFERROR(__xludf.DUMMYFUNCTION("""COMPUTED_VALUE"""),"7b6d5389")</f>
        <v>7b6d5389</v>
      </c>
      <c r="E1482" s="54">
        <f>IFERROR(__xludf.DUMMYFUNCTION("""COMPUTED_VALUE"""),88800.0)</f>
        <v>88800</v>
      </c>
      <c r="F1482" s="3" t="str">
        <f>IFERROR(__xludf.DUMMYFUNCTION("""COMPUTED_VALUE"""),"Malbec Mec")</f>
        <v>Malbec Mec</v>
      </c>
      <c r="G1482" s="55">
        <f>IFERROR(__xludf.DUMMYFUNCTION("""COMPUTED_VALUE"""),13.2)</f>
        <v>13.2</v>
      </c>
      <c r="H1482" s="56">
        <f>IFERROR(__xludf.DUMMYFUNCTION("""COMPUTED_VALUE"""),2.19)</f>
        <v>2.19</v>
      </c>
      <c r="I1482" s="57">
        <f>IFERROR(__xludf.DUMMYFUNCTION("""COMPUTED_VALUE"""),0.52)</f>
        <v>0.52</v>
      </c>
      <c r="J1482" s="57">
        <f>IFERROR(__xludf.DUMMYFUNCTION("""COMPUTED_VALUE"""),4.57)</f>
        <v>4.57</v>
      </c>
      <c r="K1482" s="3"/>
      <c r="L1482" s="3"/>
      <c r="M1482" s="3"/>
      <c r="N1482" s="3"/>
      <c r="O1482" s="3"/>
      <c r="P1482" s="3"/>
      <c r="Q1482" s="3"/>
      <c r="R1482" s="3">
        <f>IFERROR(__xludf.DUMMYFUNCTION("""COMPUTED_VALUE"""),0.0)</f>
        <v>0</v>
      </c>
      <c r="S1482" s="3"/>
      <c r="T1482" s="5"/>
      <c r="U1482" s="5"/>
      <c r="V1482" s="5"/>
      <c r="W1482" s="5" t="str">
        <f>IFERROR(__xludf.DUMMYFUNCTION("""COMPUTED_VALUE"""),"Simon")</f>
        <v>Simon</v>
      </c>
    </row>
    <row r="1483" ht="15.75" customHeight="1">
      <c r="A1483" s="3">
        <f>IFERROR(__xludf.DUMMYFUNCTION("""COMPUTED_VALUE"""),1483.0)</f>
        <v>1483</v>
      </c>
      <c r="B1483" s="53">
        <f>IFERROR(__xludf.DUMMYFUNCTION("""COMPUTED_VALUE"""),45796.0)</f>
        <v>45796</v>
      </c>
      <c r="C1483" s="3">
        <f>IFERROR(__xludf.DUMMYFUNCTION("""COMPUTED_VALUE"""),5.0)</f>
        <v>5</v>
      </c>
      <c r="D1483" s="3" t="str">
        <f>IFERROR(__xludf.DUMMYFUNCTION("""COMPUTED_VALUE"""),"593f826f")</f>
        <v>593f826f</v>
      </c>
      <c r="E1483" s="54">
        <f>IFERROR(__xludf.DUMMYFUNCTION("""COMPUTED_VALUE"""),30000.0)</f>
        <v>30000</v>
      </c>
      <c r="F1483" s="3" t="str">
        <f>IFERROR(__xludf.DUMMYFUNCTION("""COMPUTED_VALUE"""),"Chardonnay")</f>
        <v>Chardonnay</v>
      </c>
      <c r="G1483" s="3"/>
      <c r="H1483" s="3"/>
      <c r="I1483" s="3"/>
      <c r="J1483" s="3"/>
      <c r="K1483" s="3"/>
      <c r="L1483" s="54">
        <f>IFERROR(__xludf.DUMMYFUNCTION("""COMPUTED_VALUE"""),32.0)</f>
        <v>32</v>
      </c>
      <c r="M1483" s="3"/>
      <c r="N1483" s="3"/>
      <c r="O1483" s="3"/>
      <c r="P1483" s="3"/>
      <c r="Q1483" s="3"/>
      <c r="R1483" s="3">
        <f>IFERROR(__xludf.DUMMYFUNCTION("""COMPUTED_VALUE"""),0.0)</f>
        <v>0</v>
      </c>
      <c r="S1483" s="3"/>
      <c r="T1483" s="5"/>
      <c r="U1483" s="5"/>
      <c r="V1483" s="5"/>
      <c r="W1483" s="5"/>
    </row>
    <row r="1484" ht="15.75" customHeight="1">
      <c r="A1484" s="3">
        <f>IFERROR(__xludf.DUMMYFUNCTION("""COMPUTED_VALUE"""),1484.0)</f>
        <v>1484</v>
      </c>
      <c r="B1484" s="53">
        <f>IFERROR(__xludf.DUMMYFUNCTION("""COMPUTED_VALUE"""),45797.0)</f>
        <v>45797</v>
      </c>
      <c r="C1484" s="3">
        <f>IFERROR(__xludf.DUMMYFUNCTION("""COMPUTED_VALUE"""),26.0)</f>
        <v>26</v>
      </c>
      <c r="D1484" s="3" t="str">
        <f>IFERROR(__xludf.DUMMYFUNCTION("""COMPUTED_VALUE"""),"ab0df0a5")</f>
        <v>ab0df0a5</v>
      </c>
      <c r="E1484" s="54">
        <f>IFERROR(__xludf.DUMMYFUNCTION("""COMPUTED_VALUE"""),200000.0)</f>
        <v>200000</v>
      </c>
      <c r="F1484" s="3" t="str">
        <f>IFERROR(__xludf.DUMMYFUNCTION("""COMPUTED_VALUE""")," Corte tinto Garbin")</f>
        <v> Corte tinto Garbin</v>
      </c>
      <c r="G1484" s="55">
        <f>IFERROR(__xludf.DUMMYFUNCTION("""COMPUTED_VALUE"""),13.2)</f>
        <v>13.2</v>
      </c>
      <c r="H1484" s="56">
        <f>IFERROR(__xludf.DUMMYFUNCTION("""COMPUTED_VALUE"""),2.0)</f>
        <v>2</v>
      </c>
      <c r="I1484" s="57">
        <f>IFERROR(__xludf.DUMMYFUNCTION("""COMPUTED_VALUE"""),0.55)</f>
        <v>0.55</v>
      </c>
      <c r="J1484" s="3"/>
      <c r="K1484" s="3"/>
      <c r="L1484" s="3"/>
      <c r="M1484" s="3"/>
      <c r="N1484" s="3"/>
      <c r="O1484" s="3">
        <f>IFERROR(__xludf.DUMMYFUNCTION("""COMPUTED_VALUE"""),208.0)</f>
        <v>208</v>
      </c>
      <c r="P1484" s="3">
        <f>IFERROR(__xludf.DUMMYFUNCTION("""COMPUTED_VALUE"""),294.0)</f>
        <v>294</v>
      </c>
      <c r="Q1484" s="3"/>
      <c r="R1484" s="3">
        <f>IFERROR(__xludf.DUMMYFUNCTION("""COMPUTED_VALUE"""),502.0)</f>
        <v>502</v>
      </c>
      <c r="S1484" s="54">
        <f>IFERROR(__xludf.DUMMYFUNCTION("""COMPUTED_VALUE"""),709.5576923076923)</f>
        <v>709.5576923</v>
      </c>
      <c r="T1484" s="5"/>
      <c r="U1484" s="5"/>
      <c r="V1484" s="5"/>
      <c r="W1484" s="5"/>
    </row>
    <row r="1485" ht="15.75" customHeight="1">
      <c r="A1485" s="3">
        <f>IFERROR(__xludf.DUMMYFUNCTION("""COMPUTED_VALUE"""),1485.0)</f>
        <v>1485</v>
      </c>
      <c r="B1485" s="53">
        <f>IFERROR(__xludf.DUMMYFUNCTION("""COMPUTED_VALUE"""),45797.0)</f>
        <v>45797</v>
      </c>
      <c r="C1485" s="3">
        <f>IFERROR(__xludf.DUMMYFUNCTION("""COMPUTED_VALUE"""),114.0)</f>
        <v>114</v>
      </c>
      <c r="D1485" s="3" t="str">
        <f>IFERROR(__xludf.DUMMYFUNCTION("""COMPUTED_VALUE"""),"a9aa0086")</f>
        <v>a9aa0086</v>
      </c>
      <c r="E1485" s="54">
        <f>IFERROR(__xludf.DUMMYFUNCTION("""COMPUTED_VALUE"""),125300.0)</f>
        <v>125300</v>
      </c>
      <c r="F1485" s="3" t="str">
        <f>IFERROR(__xludf.DUMMYFUNCTION("""COMPUTED_VALUE"""),"Syrah Tempranillo")</f>
        <v>Syrah Tempranillo</v>
      </c>
      <c r="G1485" s="55">
        <f>IFERROR(__xludf.DUMMYFUNCTION("""COMPUTED_VALUE"""),14.0)</f>
        <v>14</v>
      </c>
      <c r="H1485" s="56">
        <f>IFERROR(__xludf.DUMMYFUNCTION("""COMPUTED_VALUE"""),4.05)</f>
        <v>4.05</v>
      </c>
      <c r="I1485" s="57">
        <f>IFERROR(__xludf.DUMMYFUNCTION("""COMPUTED_VALUE"""),0.56)</f>
        <v>0.56</v>
      </c>
      <c r="J1485" s="57">
        <f>IFERROR(__xludf.DUMMYFUNCTION("""COMPUTED_VALUE"""),4.8)</f>
        <v>4.8</v>
      </c>
      <c r="K1485" s="57">
        <f>IFERROR(__xludf.DUMMYFUNCTION("""COMPUTED_VALUE"""),3.77)</f>
        <v>3.77</v>
      </c>
      <c r="L1485" s="54">
        <f>IFERROR(__xludf.DUMMYFUNCTION("""COMPUTED_VALUE"""),40.0)</f>
        <v>40</v>
      </c>
      <c r="M1485" s="3">
        <f>IFERROR(__xludf.DUMMYFUNCTION("""COMPUTED_VALUE"""),140.0)</f>
        <v>140</v>
      </c>
      <c r="N1485" s="3"/>
      <c r="O1485" s="3"/>
      <c r="P1485" s="3"/>
      <c r="Q1485" s="3"/>
      <c r="R1485" s="3">
        <f>IFERROR(__xludf.DUMMYFUNCTION("""COMPUTED_VALUE"""),0.0)</f>
        <v>0</v>
      </c>
      <c r="S1485" s="3"/>
      <c r="T1485" s="5"/>
      <c r="U1485" s="5"/>
      <c r="V1485" s="5"/>
      <c r="W1485" s="5"/>
    </row>
    <row r="1486" ht="15.75" customHeight="1">
      <c r="A1486" s="3">
        <f>IFERROR(__xludf.DUMMYFUNCTION("""COMPUTED_VALUE"""),1486.0)</f>
        <v>1486</v>
      </c>
      <c r="B1486" s="53">
        <f>IFERROR(__xludf.DUMMYFUNCTION("""COMPUTED_VALUE"""),45797.0)</f>
        <v>45797</v>
      </c>
      <c r="C1486" s="3">
        <f>IFERROR(__xludf.DUMMYFUNCTION("""COMPUTED_VALUE"""),90.0)</f>
        <v>90</v>
      </c>
      <c r="D1486" s="3" t="str">
        <f>IFERROR(__xludf.DUMMYFUNCTION("""COMPUTED_VALUE"""),"cddb06a5")</f>
        <v>cddb06a5</v>
      </c>
      <c r="E1486" s="54">
        <f>IFERROR(__xludf.DUMMYFUNCTION("""COMPUTED_VALUE"""),97500.0)</f>
        <v>97500</v>
      </c>
      <c r="F1486" s="3" t="str">
        <f>IFERROR(__xludf.DUMMYFUNCTION("""COMPUTED_VALUE"""),"Bonarda")</f>
        <v>Bonarda</v>
      </c>
      <c r="G1486" s="55">
        <f>IFERROR(__xludf.DUMMYFUNCTION("""COMPUTED_VALUE"""),13.0)</f>
        <v>13</v>
      </c>
      <c r="H1486" s="56">
        <f>IFERROR(__xludf.DUMMYFUNCTION("""COMPUTED_VALUE"""),2.7)</f>
        <v>2.7</v>
      </c>
      <c r="I1486" s="57">
        <f>IFERROR(__xludf.DUMMYFUNCTION("""COMPUTED_VALUE"""),0.54)</f>
        <v>0.54</v>
      </c>
      <c r="J1486" s="57">
        <f>IFERROR(__xludf.DUMMYFUNCTION("""COMPUTED_VALUE"""),5.2)</f>
        <v>5.2</v>
      </c>
      <c r="K1486" s="57">
        <f>IFERROR(__xludf.DUMMYFUNCTION("""COMPUTED_VALUE"""),3.79)</f>
        <v>3.79</v>
      </c>
      <c r="L1486" s="54">
        <f>IFERROR(__xludf.DUMMYFUNCTION("""COMPUTED_VALUE"""),39.0)</f>
        <v>39</v>
      </c>
      <c r="M1486" s="3">
        <f>IFERROR(__xludf.DUMMYFUNCTION("""COMPUTED_VALUE"""),141.0)</f>
        <v>141</v>
      </c>
      <c r="N1486" s="3"/>
      <c r="O1486" s="3"/>
      <c r="P1486" s="3"/>
      <c r="Q1486" s="3"/>
      <c r="R1486" s="3">
        <f>IFERROR(__xludf.DUMMYFUNCTION("""COMPUTED_VALUE"""),0.0)</f>
        <v>0</v>
      </c>
      <c r="S1486" s="3"/>
      <c r="T1486" s="5"/>
      <c r="U1486" s="5"/>
      <c r="V1486" s="5"/>
      <c r="W1486" s="5"/>
    </row>
    <row r="1487" ht="15.75" customHeight="1">
      <c r="A1487" s="3">
        <f>IFERROR(__xludf.DUMMYFUNCTION("""COMPUTED_VALUE"""),1487.0)</f>
        <v>1487</v>
      </c>
      <c r="B1487" s="53">
        <f>IFERROR(__xludf.DUMMYFUNCTION("""COMPUTED_VALUE"""),45797.0)</f>
        <v>45797</v>
      </c>
      <c r="C1487" s="3">
        <f>IFERROR(__xludf.DUMMYFUNCTION("""COMPUTED_VALUE"""),46.0)</f>
        <v>46</v>
      </c>
      <c r="D1487" s="3" t="str">
        <f>IFERROR(__xludf.DUMMYFUNCTION("""COMPUTED_VALUE"""),"b72016d2")</f>
        <v>b72016d2</v>
      </c>
      <c r="E1487" s="54">
        <f>IFERROR(__xludf.DUMMYFUNCTION("""COMPUTED_VALUE"""),29000.0)</f>
        <v>29000</v>
      </c>
      <c r="F1487" s="3" t="str">
        <f>IFERROR(__xludf.DUMMYFUNCTION("""COMPUTED_VALUE"""),"Tanat")</f>
        <v>Tanat</v>
      </c>
      <c r="G1487" s="3"/>
      <c r="H1487" s="3"/>
      <c r="I1487" s="3"/>
      <c r="J1487" s="3"/>
      <c r="K1487" s="3"/>
      <c r="L1487" s="3"/>
      <c r="M1487" s="3"/>
      <c r="N1487" s="3"/>
      <c r="O1487" s="3">
        <f>IFERROR(__xludf.DUMMYFUNCTION("""COMPUTED_VALUE"""),462.0)</f>
        <v>462</v>
      </c>
      <c r="P1487" s="3">
        <f>IFERROR(__xludf.DUMMYFUNCTION("""COMPUTED_VALUE"""),734.0)</f>
        <v>734</v>
      </c>
      <c r="Q1487" s="3"/>
      <c r="R1487" s="3">
        <f>IFERROR(__xludf.DUMMYFUNCTION("""COMPUTED_VALUE"""),1196.0)</f>
        <v>1196</v>
      </c>
      <c r="S1487" s="54">
        <f>IFERROR(__xludf.DUMMYFUNCTION("""COMPUTED_VALUE"""),1900.1385281385283)</f>
        <v>1900.138528</v>
      </c>
      <c r="T1487" s="5"/>
      <c r="U1487" s="5"/>
      <c r="V1487" s="5"/>
      <c r="W1487" s="5"/>
    </row>
    <row r="1488" ht="15.75" customHeight="1">
      <c r="A1488" s="3">
        <f>IFERROR(__xludf.DUMMYFUNCTION("""COMPUTED_VALUE"""),1488.0)</f>
        <v>1488</v>
      </c>
      <c r="B1488" s="53">
        <f>IFERROR(__xludf.DUMMYFUNCTION("""COMPUTED_VALUE"""),45797.0)</f>
        <v>45797</v>
      </c>
      <c r="C1488" s="3">
        <f>IFERROR(__xludf.DUMMYFUNCTION("""COMPUTED_VALUE"""),82.0)</f>
        <v>82</v>
      </c>
      <c r="D1488" s="3" t="str">
        <f>IFERROR(__xludf.DUMMYFUNCTION("""COMPUTED_VALUE"""),"20f062e7")</f>
        <v>20f062e7</v>
      </c>
      <c r="E1488" s="54">
        <f>IFERROR(__xludf.DUMMYFUNCTION("""COMPUTED_VALUE"""),41000.0)</f>
        <v>41000</v>
      </c>
      <c r="F1488" s="3" t="str">
        <f>IFERROR(__xludf.DUMMYFUNCTION("""COMPUTED_VALUE"""),"Anccelotta")</f>
        <v>Anccelotta</v>
      </c>
      <c r="G1488" s="3"/>
      <c r="H1488" s="3"/>
      <c r="I1488" s="3"/>
      <c r="J1488" s="3"/>
      <c r="K1488" s="3"/>
      <c r="L1488" s="3"/>
      <c r="M1488" s="3"/>
      <c r="N1488" s="3"/>
      <c r="O1488" s="3">
        <f>IFERROR(__xludf.DUMMYFUNCTION("""COMPUTED_VALUE"""),634.0)</f>
        <v>634</v>
      </c>
      <c r="P1488" s="3">
        <f>IFERROR(__xludf.DUMMYFUNCTION("""COMPUTED_VALUE"""),1004.0)</f>
        <v>1004</v>
      </c>
      <c r="Q1488" s="3"/>
      <c r="R1488" s="3">
        <f>IFERROR(__xludf.DUMMYFUNCTION("""COMPUTED_VALUE"""),1638.0)</f>
        <v>1638</v>
      </c>
      <c r="S1488" s="54">
        <f>IFERROR(__xludf.DUMMYFUNCTION("""COMPUTED_VALUE"""),2593.930599369085)</f>
        <v>2593.930599</v>
      </c>
      <c r="T1488" s="5"/>
      <c r="U1488" s="5"/>
      <c r="V1488" s="5"/>
      <c r="W1488" s="5"/>
    </row>
    <row r="1489" ht="15.75" customHeight="1">
      <c r="A1489" s="3">
        <f>IFERROR(__xludf.DUMMYFUNCTION("""COMPUTED_VALUE"""),1489.0)</f>
        <v>1489</v>
      </c>
      <c r="B1489" s="53">
        <f>IFERROR(__xludf.DUMMYFUNCTION("""COMPUTED_VALUE"""),45798.0)</f>
        <v>45798</v>
      </c>
      <c r="C1489" s="3">
        <f>IFERROR(__xludf.DUMMYFUNCTION("""COMPUTED_VALUE"""),7.0)</f>
        <v>7</v>
      </c>
      <c r="D1489" s="3" t="str">
        <f>IFERROR(__xludf.DUMMYFUNCTION("""COMPUTED_VALUE"""),"530c9456")</f>
        <v>530c9456</v>
      </c>
      <c r="E1489" s="54">
        <f>IFERROR(__xludf.DUMMYFUNCTION("""COMPUTED_VALUE"""),30000.0)</f>
        <v>30000</v>
      </c>
      <c r="F1489" s="3" t="str">
        <f>IFERROR(__xludf.DUMMYFUNCTION("""COMPUTED_VALUE"""),"Cabernet Sauvignon - Rectificado")</f>
        <v>Cabernet Sauvignon - Rectificado</v>
      </c>
      <c r="G1489" s="3"/>
      <c r="H1489" s="3"/>
      <c r="I1489" s="3"/>
      <c r="J1489" s="3"/>
      <c r="K1489" s="57">
        <f>IFERROR(__xludf.DUMMYFUNCTION("""COMPUTED_VALUE"""),2.59)</f>
        <v>2.59</v>
      </c>
      <c r="L1489" s="3"/>
      <c r="M1489" s="3"/>
      <c r="N1489" s="3"/>
      <c r="O1489" s="3"/>
      <c r="P1489" s="3"/>
      <c r="Q1489" s="3"/>
      <c r="R1489" s="3">
        <f>IFERROR(__xludf.DUMMYFUNCTION("""COMPUTED_VALUE"""),0.0)</f>
        <v>0</v>
      </c>
      <c r="S1489" s="3"/>
      <c r="T1489" s="5"/>
      <c r="U1489" s="5"/>
      <c r="V1489" s="5"/>
      <c r="W1489" s="5"/>
    </row>
    <row r="1490" ht="15.75" customHeight="1">
      <c r="A1490" s="3">
        <f>IFERROR(__xludf.DUMMYFUNCTION("""COMPUTED_VALUE"""),1490.0)</f>
        <v>1490</v>
      </c>
      <c r="B1490" s="53">
        <f>IFERROR(__xludf.DUMMYFUNCTION("""COMPUTED_VALUE"""),45798.0)</f>
        <v>45798</v>
      </c>
      <c r="C1490" s="3">
        <f>IFERROR(__xludf.DUMMYFUNCTION("""COMPUTED_VALUE"""),6.0)</f>
        <v>6</v>
      </c>
      <c r="D1490" s="3" t="str">
        <f>IFERROR(__xludf.DUMMYFUNCTION("""COMPUTED_VALUE"""),"5b29cdd7")</f>
        <v>5b29cdd7</v>
      </c>
      <c r="E1490" s="54">
        <f>IFERROR(__xludf.DUMMYFUNCTION("""COMPUTED_VALUE"""),32000.0)</f>
        <v>32000</v>
      </c>
      <c r="F1490" s="3" t="str">
        <f>IFERROR(__xludf.DUMMYFUNCTION("""COMPUTED_VALUE"""),"Cabernet Sauvignon - Rectificado")</f>
        <v>Cabernet Sauvignon - Rectificado</v>
      </c>
      <c r="G1490" s="3"/>
      <c r="H1490" s="3"/>
      <c r="I1490" s="3"/>
      <c r="J1490" s="3"/>
      <c r="K1490" s="57">
        <f>IFERROR(__xludf.DUMMYFUNCTION("""COMPUTED_VALUE"""),2.52)</f>
        <v>2.52</v>
      </c>
      <c r="L1490" s="3"/>
      <c r="M1490" s="3"/>
      <c r="N1490" s="3"/>
      <c r="O1490" s="3"/>
      <c r="P1490" s="3"/>
      <c r="Q1490" s="3"/>
      <c r="R1490" s="3">
        <f>IFERROR(__xludf.DUMMYFUNCTION("""COMPUTED_VALUE"""),0.0)</f>
        <v>0</v>
      </c>
      <c r="S1490" s="3"/>
      <c r="T1490" s="5"/>
      <c r="U1490" s="5"/>
      <c r="V1490" s="5"/>
      <c r="W1490" s="5"/>
    </row>
    <row r="1491" ht="15.75" customHeight="1">
      <c r="A1491" s="3">
        <f>IFERROR(__xludf.DUMMYFUNCTION("""COMPUTED_VALUE"""),1491.0)</f>
        <v>1491</v>
      </c>
      <c r="B1491" s="53">
        <f>IFERROR(__xludf.DUMMYFUNCTION("""COMPUTED_VALUE"""),45798.0)</f>
        <v>45798</v>
      </c>
      <c r="C1491" s="3">
        <f>IFERROR(__xludf.DUMMYFUNCTION("""COMPUTED_VALUE"""),66.0)</f>
        <v>66</v>
      </c>
      <c r="D1491" s="3" t="str">
        <f>IFERROR(__xludf.DUMMYFUNCTION("""COMPUTED_VALUE"""),"95f6ad50")</f>
        <v>95f6ad50</v>
      </c>
      <c r="E1491" s="54">
        <f>IFERROR(__xludf.DUMMYFUNCTION("""COMPUTED_VALUE"""),23000.0)</f>
        <v>23000</v>
      </c>
      <c r="F1491" s="3" t="str">
        <f>IFERROR(__xludf.DUMMYFUNCTION("""COMPUTED_VALUE"""),"Malbec Dulc")</f>
        <v>Malbec Dulc</v>
      </c>
      <c r="G1491" s="3"/>
      <c r="H1491" s="3"/>
      <c r="I1491" s="3"/>
      <c r="J1491" s="3"/>
      <c r="K1491" s="57">
        <f>IFERROR(__xludf.DUMMYFUNCTION("""COMPUTED_VALUE"""),3.66)</f>
        <v>3.66</v>
      </c>
      <c r="L1491" s="3"/>
      <c r="M1491" s="3"/>
      <c r="N1491" s="3"/>
      <c r="O1491" s="3"/>
      <c r="P1491" s="3"/>
      <c r="Q1491" s="3"/>
      <c r="R1491" s="3">
        <f>IFERROR(__xludf.DUMMYFUNCTION("""COMPUTED_VALUE"""),0.0)</f>
        <v>0</v>
      </c>
      <c r="S1491" s="3"/>
      <c r="T1491" s="5"/>
      <c r="U1491" s="5"/>
      <c r="V1491" s="5"/>
      <c r="W1491" s="5"/>
    </row>
    <row r="1492" ht="15.75" customHeight="1">
      <c r="A1492" s="3">
        <f>IFERROR(__xludf.DUMMYFUNCTION("""COMPUTED_VALUE"""),1492.0)</f>
        <v>1492</v>
      </c>
      <c r="B1492" s="53">
        <f>IFERROR(__xludf.DUMMYFUNCTION("""COMPUTED_VALUE"""),45798.0)</f>
        <v>45798</v>
      </c>
      <c r="C1492" s="3">
        <f>IFERROR(__xludf.DUMMYFUNCTION("""COMPUTED_VALUE"""),50.0)</f>
        <v>50</v>
      </c>
      <c r="D1492" s="3" t="str">
        <f>IFERROR(__xludf.DUMMYFUNCTION("""COMPUTED_VALUE"""),"7b7453a5")</f>
        <v>7b7453a5</v>
      </c>
      <c r="E1492" s="54">
        <f>IFERROR(__xludf.DUMMYFUNCTION("""COMPUTED_VALUE"""),5000.0)</f>
        <v>5000</v>
      </c>
      <c r="F1492" s="3" t="str">
        <f>IFERROR(__xludf.DUMMYFUNCTION("""COMPUTED_VALUE"""),"Aspirant Anccelota Gota")</f>
        <v>Aspirant Anccelota Gota</v>
      </c>
      <c r="G1492" s="3"/>
      <c r="H1492" s="3"/>
      <c r="I1492" s="3"/>
      <c r="J1492" s="3"/>
      <c r="K1492" s="3"/>
      <c r="L1492" s="3"/>
      <c r="M1492" s="3"/>
      <c r="N1492" s="3"/>
      <c r="O1492" s="3">
        <f>IFERROR(__xludf.DUMMYFUNCTION("""COMPUTED_VALUE"""),845.0)</f>
        <v>845</v>
      </c>
      <c r="P1492" s="3">
        <f>IFERROR(__xludf.DUMMYFUNCTION("""COMPUTED_VALUE"""),1499.0)</f>
        <v>1499</v>
      </c>
      <c r="Q1492" s="3"/>
      <c r="R1492" s="3">
        <f>IFERROR(__xludf.DUMMYFUNCTION("""COMPUTED_VALUE"""),2344.0)</f>
        <v>2344</v>
      </c>
      <c r="S1492" s="54">
        <f>IFERROR(__xludf.DUMMYFUNCTION("""COMPUTED_VALUE"""),4158.172781065089)</f>
        <v>4158.172781</v>
      </c>
      <c r="T1492" s="5"/>
      <c r="U1492" s="5"/>
      <c r="V1492" s="5"/>
      <c r="W1492" s="5"/>
    </row>
    <row r="1493" ht="15.75" customHeight="1">
      <c r="A1493" s="3">
        <f>IFERROR(__xludf.DUMMYFUNCTION("""COMPUTED_VALUE"""),1493.0)</f>
        <v>1493</v>
      </c>
      <c r="B1493" s="53">
        <f>IFERROR(__xludf.DUMMYFUNCTION("""COMPUTED_VALUE"""),45798.0)</f>
        <v>45798</v>
      </c>
      <c r="C1493" s="3">
        <f>IFERROR(__xludf.DUMMYFUNCTION("""COMPUTED_VALUE"""),41.0)</f>
        <v>41</v>
      </c>
      <c r="D1493" s="3" t="str">
        <f>IFERROR(__xludf.DUMMYFUNCTION("""COMPUTED_VALUE"""),"02391dea")</f>
        <v>02391dea</v>
      </c>
      <c r="E1493" s="54">
        <f>IFERROR(__xludf.DUMMYFUNCTION("""COMPUTED_VALUE"""),35100.0)</f>
        <v>35100</v>
      </c>
      <c r="F1493" s="3" t="str">
        <f>IFERROR(__xludf.DUMMYFUNCTION("""COMPUTED_VALUE"""),"Aspirant Anccelota Gota")</f>
        <v>Aspirant Anccelota Gota</v>
      </c>
      <c r="G1493" s="3"/>
      <c r="H1493" s="3"/>
      <c r="I1493" s="3"/>
      <c r="J1493" s="3"/>
      <c r="K1493" s="3"/>
      <c r="L1493" s="3"/>
      <c r="M1493" s="3"/>
      <c r="N1493" s="3"/>
      <c r="O1493" s="3">
        <f>IFERROR(__xludf.DUMMYFUNCTION("""COMPUTED_VALUE"""),1046.0)</f>
        <v>1046</v>
      </c>
      <c r="P1493" s="3">
        <f>IFERROR(__xludf.DUMMYFUNCTION("""COMPUTED_VALUE"""),1884.0)</f>
        <v>1884</v>
      </c>
      <c r="Q1493" s="3"/>
      <c r="R1493" s="3">
        <f>IFERROR(__xludf.DUMMYFUNCTION("""COMPUTED_VALUE"""),2930.0)</f>
        <v>2930</v>
      </c>
      <c r="S1493" s="54">
        <f>IFERROR(__xludf.DUMMYFUNCTION("""COMPUTED_VALUE"""),5277.3613766730405)</f>
        <v>5277.361377</v>
      </c>
      <c r="T1493" s="5"/>
      <c r="U1493" s="5"/>
      <c r="V1493" s="5"/>
      <c r="W1493" s="5"/>
    </row>
    <row r="1494" ht="15.75" customHeight="1">
      <c r="A1494" s="3">
        <f>IFERROR(__xludf.DUMMYFUNCTION("""COMPUTED_VALUE"""),1494.0)</f>
        <v>1494</v>
      </c>
      <c r="B1494" s="53">
        <f>IFERROR(__xludf.DUMMYFUNCTION("""COMPUTED_VALUE"""),45798.0)</f>
        <v>45798</v>
      </c>
      <c r="C1494" s="3">
        <f>IFERROR(__xludf.DUMMYFUNCTION("""COMPUTED_VALUE"""),30.0)</f>
        <v>30</v>
      </c>
      <c r="D1494" s="3" t="str">
        <f>IFERROR(__xludf.DUMMYFUNCTION("""COMPUTED_VALUE"""),"eec28962")</f>
        <v>eec28962</v>
      </c>
      <c r="E1494" s="54">
        <f>IFERROR(__xludf.DUMMYFUNCTION("""COMPUTED_VALUE"""),38800.0)</f>
        <v>38800</v>
      </c>
      <c r="F1494" s="3" t="str">
        <f>IFERROR(__xludf.DUMMYFUNCTION("""COMPUTED_VALUE"""),"Aspirant 24")</f>
        <v>Aspirant 24</v>
      </c>
      <c r="G1494" s="3"/>
      <c r="H1494" s="3"/>
      <c r="I1494" s="3"/>
      <c r="J1494" s="3"/>
      <c r="K1494" s="3"/>
      <c r="L1494" s="3"/>
      <c r="M1494" s="3"/>
      <c r="N1494" s="3"/>
      <c r="O1494" s="3">
        <f>IFERROR(__xludf.DUMMYFUNCTION("""COMPUTED_VALUE"""),925.0)</f>
        <v>925</v>
      </c>
      <c r="P1494" s="3">
        <f>IFERROR(__xludf.DUMMYFUNCTION("""COMPUTED_VALUE"""),1423.0)</f>
        <v>1423</v>
      </c>
      <c r="Q1494" s="3"/>
      <c r="R1494" s="3">
        <f>IFERROR(__xludf.DUMMYFUNCTION("""COMPUTED_VALUE"""),2348.0)</f>
        <v>2348</v>
      </c>
      <c r="S1494" s="54">
        <f>IFERROR(__xludf.DUMMYFUNCTION("""COMPUTED_VALUE"""),3612.1124324324323)</f>
        <v>3612.112432</v>
      </c>
      <c r="T1494" s="5"/>
      <c r="U1494" s="5"/>
      <c r="V1494" s="5"/>
      <c r="W1494" s="5"/>
    </row>
    <row r="1495" ht="15.75" customHeight="1">
      <c r="A1495" s="3">
        <f>IFERROR(__xludf.DUMMYFUNCTION("""COMPUTED_VALUE"""),1495.0)</f>
        <v>1495</v>
      </c>
      <c r="B1495" s="53">
        <f>IFERROR(__xludf.DUMMYFUNCTION("""COMPUTED_VALUE"""),45798.0)</f>
        <v>45798</v>
      </c>
      <c r="C1495" s="3">
        <f>IFERROR(__xludf.DUMMYFUNCTION("""COMPUTED_VALUE"""),14.0)</f>
        <v>14</v>
      </c>
      <c r="D1495" s="3" t="str">
        <f>IFERROR(__xludf.DUMMYFUNCTION("""COMPUTED_VALUE"""),"10b87434")</f>
        <v>10b87434</v>
      </c>
      <c r="E1495" s="54">
        <f>IFERROR(__xludf.DUMMYFUNCTION("""COMPUTED_VALUE"""),37000.0)</f>
        <v>37000</v>
      </c>
      <c r="F1495" s="3" t="str">
        <f>IFERROR(__xludf.DUMMYFUNCTION("""COMPUTED_VALUE"""),"Aspirant")</f>
        <v>Aspirant</v>
      </c>
      <c r="G1495" s="3"/>
      <c r="H1495" s="3"/>
      <c r="I1495" s="3"/>
      <c r="J1495" s="3"/>
      <c r="K1495" s="3"/>
      <c r="L1495" s="3"/>
      <c r="M1495" s="3"/>
      <c r="N1495" s="3"/>
      <c r="O1495" s="3">
        <f>IFERROR(__xludf.DUMMYFUNCTION("""COMPUTED_VALUE"""),1262.0)</f>
        <v>1262</v>
      </c>
      <c r="P1495" s="3">
        <f>IFERROR(__xludf.DUMMYFUNCTION("""COMPUTED_VALUE"""),2427.0)</f>
        <v>2427</v>
      </c>
      <c r="Q1495" s="3"/>
      <c r="R1495" s="3">
        <f>IFERROR(__xludf.DUMMYFUNCTION("""COMPUTED_VALUE"""),3689.0)</f>
        <v>3689</v>
      </c>
      <c r="S1495" s="54">
        <f>IFERROR(__xludf.DUMMYFUNCTION("""COMPUTED_VALUE"""),7094.455625990492)</f>
        <v>7094.455626</v>
      </c>
      <c r="T1495" s="5"/>
      <c r="U1495" s="5"/>
      <c r="V1495" s="5"/>
      <c r="W1495" s="5"/>
    </row>
    <row r="1496" ht="15.75" customHeight="1">
      <c r="A1496" s="3">
        <f>IFERROR(__xludf.DUMMYFUNCTION("""COMPUTED_VALUE"""),1496.0)</f>
        <v>1496</v>
      </c>
      <c r="B1496" s="53">
        <f>IFERROR(__xludf.DUMMYFUNCTION("""COMPUTED_VALUE"""),45797.0)</f>
        <v>45797</v>
      </c>
      <c r="C1496" s="3">
        <f>IFERROR(__xludf.DUMMYFUNCTION("""COMPUTED_VALUE"""),46.0)</f>
        <v>46</v>
      </c>
      <c r="D1496" s="3" t="str">
        <f>IFERROR(__xludf.DUMMYFUNCTION("""COMPUTED_VALUE"""),"b72016d2")</f>
        <v>b72016d2</v>
      </c>
      <c r="E1496" s="54">
        <f>IFERROR(__xludf.DUMMYFUNCTION("""COMPUTED_VALUE"""),29000.0)</f>
        <v>29000</v>
      </c>
      <c r="F1496" s="3" t="str">
        <f>IFERROR(__xludf.DUMMYFUNCTION("""COMPUTED_VALUE"""),"Tanat")</f>
        <v>Tanat</v>
      </c>
      <c r="G1496" s="3"/>
      <c r="H1496" s="3"/>
      <c r="I1496" s="3"/>
      <c r="J1496" s="3"/>
      <c r="K1496" s="3"/>
      <c r="L1496" s="3"/>
      <c r="M1496" s="3"/>
      <c r="N1496" s="3"/>
      <c r="O1496" s="3">
        <f>IFERROR(__xludf.DUMMYFUNCTION("""COMPUTED_VALUE"""),462.0)</f>
        <v>462</v>
      </c>
      <c r="P1496" s="3">
        <f>IFERROR(__xludf.DUMMYFUNCTION("""COMPUTED_VALUE"""),734.0)</f>
        <v>734</v>
      </c>
      <c r="Q1496" s="3"/>
      <c r="R1496" s="3">
        <f>IFERROR(__xludf.DUMMYFUNCTION("""COMPUTED_VALUE"""),1196.0)</f>
        <v>1196</v>
      </c>
      <c r="S1496" s="54">
        <f>IFERROR(__xludf.DUMMYFUNCTION("""COMPUTED_VALUE"""),1900.1385281385283)</f>
        <v>1900.138528</v>
      </c>
      <c r="T1496" s="5"/>
      <c r="U1496" s="5"/>
      <c r="V1496" s="5"/>
      <c r="W1496" s="5"/>
    </row>
    <row r="1497" ht="15.75" customHeight="1">
      <c r="A1497" s="3">
        <f>IFERROR(__xludf.DUMMYFUNCTION("""COMPUTED_VALUE"""),1497.0)</f>
        <v>1497</v>
      </c>
      <c r="B1497" s="53">
        <f>IFERROR(__xludf.DUMMYFUNCTION("""COMPUTED_VALUE"""),45797.0)</f>
        <v>45797</v>
      </c>
      <c r="C1497" s="3">
        <f>IFERROR(__xludf.DUMMYFUNCTION("""COMPUTED_VALUE"""),82.0)</f>
        <v>82</v>
      </c>
      <c r="D1497" s="3" t="str">
        <f>IFERROR(__xludf.DUMMYFUNCTION("""COMPUTED_VALUE"""),"20f062e7")</f>
        <v>20f062e7</v>
      </c>
      <c r="E1497" s="54">
        <f>IFERROR(__xludf.DUMMYFUNCTION("""COMPUTED_VALUE"""),41000.0)</f>
        <v>41000</v>
      </c>
      <c r="F1497" s="3" t="str">
        <f>IFERROR(__xludf.DUMMYFUNCTION("""COMPUTED_VALUE"""),"Anccelotta")</f>
        <v>Anccelotta</v>
      </c>
      <c r="G1497" s="3"/>
      <c r="H1497" s="3"/>
      <c r="I1497" s="3"/>
      <c r="J1497" s="3"/>
      <c r="K1497" s="3"/>
      <c r="L1497" s="3"/>
      <c r="M1497" s="3"/>
      <c r="N1497" s="3"/>
      <c r="O1497" s="3">
        <f>IFERROR(__xludf.DUMMYFUNCTION("""COMPUTED_VALUE"""),634.0)</f>
        <v>634</v>
      </c>
      <c r="P1497" s="3">
        <f>IFERROR(__xludf.DUMMYFUNCTION("""COMPUTED_VALUE"""),1004.0)</f>
        <v>1004</v>
      </c>
      <c r="Q1497" s="3"/>
      <c r="R1497" s="3">
        <f>IFERROR(__xludf.DUMMYFUNCTION("""COMPUTED_VALUE"""),1638.0)</f>
        <v>1638</v>
      </c>
      <c r="S1497" s="54">
        <f>IFERROR(__xludf.DUMMYFUNCTION("""COMPUTED_VALUE"""),2593.930599369085)</f>
        <v>2593.930599</v>
      </c>
      <c r="T1497" s="5"/>
      <c r="U1497" s="5"/>
      <c r="V1497" s="5"/>
      <c r="W1497" s="5"/>
    </row>
    <row r="1498" ht="15.75" customHeight="1">
      <c r="A1498" s="3">
        <f>IFERROR(__xludf.DUMMYFUNCTION("""COMPUTED_VALUE"""),1498.0)</f>
        <v>1498</v>
      </c>
      <c r="B1498" s="53">
        <f>IFERROR(__xludf.DUMMYFUNCTION("""COMPUTED_VALUE"""),45799.0)</f>
        <v>45799</v>
      </c>
      <c r="C1498" s="3">
        <f>IFERROR(__xludf.DUMMYFUNCTION("""COMPUTED_VALUE"""),14.0)</f>
        <v>14</v>
      </c>
      <c r="D1498" s="3" t="str">
        <f>IFERROR(__xludf.DUMMYFUNCTION("""COMPUTED_VALUE"""),"10b87434")</f>
        <v>10b87434</v>
      </c>
      <c r="E1498" s="54">
        <f>IFERROR(__xludf.DUMMYFUNCTION("""COMPUTED_VALUE"""),37000.0)</f>
        <v>37000</v>
      </c>
      <c r="F1498" s="3" t="str">
        <f>IFERROR(__xludf.DUMMYFUNCTION("""COMPUTED_VALUE"""),"Aspirant")</f>
        <v>Aspirant</v>
      </c>
      <c r="G1498" s="3"/>
      <c r="H1498" s="3"/>
      <c r="I1498" s="3"/>
      <c r="J1498" s="3"/>
      <c r="K1498" s="57">
        <f>IFERROR(__xludf.DUMMYFUNCTION("""COMPUTED_VALUE"""),3.58)</f>
        <v>3.58</v>
      </c>
      <c r="L1498" s="54">
        <f>IFERROR(__xludf.DUMMYFUNCTION("""COMPUTED_VALUE"""),45.0)</f>
        <v>45</v>
      </c>
      <c r="M1498" s="3">
        <f>IFERROR(__xludf.DUMMYFUNCTION("""COMPUTED_VALUE"""),77.0)</f>
        <v>77</v>
      </c>
      <c r="N1498" s="3"/>
      <c r="O1498" s="3"/>
      <c r="P1498" s="3"/>
      <c r="Q1498" s="3"/>
      <c r="R1498" s="3">
        <f>IFERROR(__xludf.DUMMYFUNCTION("""COMPUTED_VALUE"""),0.0)</f>
        <v>0</v>
      </c>
      <c r="S1498" s="3"/>
      <c r="T1498" s="5"/>
      <c r="U1498" s="5"/>
      <c r="V1498" s="5"/>
      <c r="W1498" s="5"/>
    </row>
    <row r="1499" ht="15.75" customHeight="1">
      <c r="A1499" s="3">
        <f>IFERROR(__xludf.DUMMYFUNCTION("""COMPUTED_VALUE"""),1499.0)</f>
        <v>1499</v>
      </c>
      <c r="B1499" s="53">
        <f>IFERROR(__xludf.DUMMYFUNCTION("""COMPUTED_VALUE"""),45799.0)</f>
        <v>45799</v>
      </c>
      <c r="C1499" s="3">
        <f>IFERROR(__xludf.DUMMYFUNCTION("""COMPUTED_VALUE"""),25.0)</f>
        <v>25</v>
      </c>
      <c r="D1499" s="3" t="str">
        <f>IFERROR(__xludf.DUMMYFUNCTION("""COMPUTED_VALUE"""),"47816ee0")</f>
        <v>47816ee0</v>
      </c>
      <c r="E1499" s="54">
        <f>IFERROR(__xludf.DUMMYFUNCTION("""COMPUTED_VALUE"""),194300.0)</f>
        <v>194300</v>
      </c>
      <c r="F1499" s="3" t="str">
        <f>IFERROR(__xludf.DUMMYFUNCTION("""COMPUTED_VALUE"""),"Syrah")</f>
        <v>Syrah</v>
      </c>
      <c r="G1499" s="3"/>
      <c r="H1499" s="3"/>
      <c r="I1499" s="3"/>
      <c r="J1499" s="3"/>
      <c r="K1499" s="57">
        <f>IFERROR(__xludf.DUMMYFUNCTION("""COMPUTED_VALUE"""),3.8)</f>
        <v>3.8</v>
      </c>
      <c r="L1499" s="54">
        <f>IFERROR(__xludf.DUMMYFUNCTION("""COMPUTED_VALUE"""),35.0)</f>
        <v>35</v>
      </c>
      <c r="M1499" s="3">
        <f>IFERROR(__xludf.DUMMYFUNCTION("""COMPUTED_VALUE"""),110.0)</f>
        <v>110</v>
      </c>
      <c r="N1499" s="3"/>
      <c r="O1499" s="3"/>
      <c r="P1499" s="3"/>
      <c r="Q1499" s="3"/>
      <c r="R1499" s="3">
        <f>IFERROR(__xludf.DUMMYFUNCTION("""COMPUTED_VALUE"""),0.0)</f>
        <v>0</v>
      </c>
      <c r="S1499" s="3"/>
      <c r="T1499" s="5"/>
      <c r="U1499" s="5"/>
      <c r="V1499" s="5"/>
      <c r="W1499" s="5"/>
    </row>
    <row r="1500" ht="15.75" customHeight="1">
      <c r="A1500" s="3">
        <f>IFERROR(__xludf.DUMMYFUNCTION("""COMPUTED_VALUE"""),1500.0)</f>
        <v>1500</v>
      </c>
      <c r="B1500" s="53">
        <f>IFERROR(__xludf.DUMMYFUNCTION("""COMPUTED_VALUE"""),45799.0)</f>
        <v>45799</v>
      </c>
      <c r="C1500" s="3">
        <f>IFERROR(__xludf.DUMMYFUNCTION("""COMPUTED_VALUE"""),41.0)</f>
        <v>41</v>
      </c>
      <c r="D1500" s="3" t="str">
        <f>IFERROR(__xludf.DUMMYFUNCTION("""COMPUTED_VALUE"""),"02391dea")</f>
        <v>02391dea</v>
      </c>
      <c r="E1500" s="54">
        <f>IFERROR(__xludf.DUMMYFUNCTION("""COMPUTED_VALUE"""),35100.0)</f>
        <v>35100</v>
      </c>
      <c r="F1500" s="3" t="str">
        <f>IFERROR(__xludf.DUMMYFUNCTION("""COMPUTED_VALUE"""),"Aspirant Anccelota Gota")</f>
        <v>Aspirant Anccelota Gota</v>
      </c>
      <c r="G1500" s="3"/>
      <c r="H1500" s="3"/>
      <c r="I1500" s="3"/>
      <c r="J1500" s="3"/>
      <c r="K1500" s="57">
        <f>IFERROR(__xludf.DUMMYFUNCTION("""COMPUTED_VALUE"""),3.66)</f>
        <v>3.66</v>
      </c>
      <c r="L1500" s="54">
        <f>IFERROR(__xludf.DUMMYFUNCTION("""COMPUTED_VALUE"""),42.0)</f>
        <v>42</v>
      </c>
      <c r="M1500" s="3">
        <f>IFERROR(__xludf.DUMMYFUNCTION("""COMPUTED_VALUE"""),83.0)</f>
        <v>83</v>
      </c>
      <c r="N1500" s="3"/>
      <c r="O1500" s="3"/>
      <c r="P1500" s="3"/>
      <c r="Q1500" s="3"/>
      <c r="R1500" s="3">
        <f>IFERROR(__xludf.DUMMYFUNCTION("""COMPUTED_VALUE"""),0.0)</f>
        <v>0</v>
      </c>
      <c r="S1500" s="3"/>
      <c r="T1500" s="5"/>
      <c r="U1500" s="5"/>
      <c r="V1500" s="5"/>
      <c r="W1500" s="5"/>
    </row>
    <row r="1501" ht="15.75" customHeight="1">
      <c r="A1501" s="3">
        <f>IFERROR(__xludf.DUMMYFUNCTION("""COMPUTED_VALUE"""),1501.0)</f>
        <v>1501</v>
      </c>
      <c r="B1501" s="53">
        <f>IFERROR(__xludf.DUMMYFUNCTION("""COMPUTED_VALUE"""),45799.0)</f>
        <v>45799</v>
      </c>
      <c r="C1501" s="3">
        <f>IFERROR(__xludf.DUMMYFUNCTION("""COMPUTED_VALUE"""),45.0)</f>
        <v>45</v>
      </c>
      <c r="D1501" s="3" t="str">
        <f>IFERROR(__xludf.DUMMYFUNCTION("""COMPUTED_VALUE"""),"a6d11ad4")</f>
        <v>a6d11ad4</v>
      </c>
      <c r="E1501" s="54">
        <f>IFERROR(__xludf.DUMMYFUNCTION("""COMPUTED_VALUE"""),30000.0)</f>
        <v>30000</v>
      </c>
      <c r="F1501" s="3" t="str">
        <f>IFERROR(__xludf.DUMMYFUNCTION("""COMPUTED_VALUE"""),"Tinto")</f>
        <v>Tinto</v>
      </c>
      <c r="G1501" s="3"/>
      <c r="H1501" s="3"/>
      <c r="I1501" s="3"/>
      <c r="J1501" s="3"/>
      <c r="K1501" s="57">
        <f>IFERROR(__xludf.DUMMYFUNCTION("""COMPUTED_VALUE"""),3.8)</f>
        <v>3.8</v>
      </c>
      <c r="L1501" s="54">
        <f>IFERROR(__xludf.DUMMYFUNCTION("""COMPUTED_VALUE"""),34.0)</f>
        <v>34</v>
      </c>
      <c r="M1501" s="3">
        <f>IFERROR(__xludf.DUMMYFUNCTION("""COMPUTED_VALUE"""),160.0)</f>
        <v>160</v>
      </c>
      <c r="N1501" s="3"/>
      <c r="O1501" s="3"/>
      <c r="P1501" s="3"/>
      <c r="Q1501" s="3"/>
      <c r="R1501" s="3">
        <f>IFERROR(__xludf.DUMMYFUNCTION("""COMPUTED_VALUE"""),0.0)</f>
        <v>0</v>
      </c>
      <c r="S1501" s="3"/>
      <c r="T1501" s="5"/>
      <c r="U1501" s="5"/>
      <c r="V1501" s="5"/>
      <c r="W1501" s="5"/>
    </row>
    <row r="1502" ht="15.75" customHeight="1">
      <c r="A1502" s="3">
        <f>IFERROR(__xludf.DUMMYFUNCTION("""COMPUTED_VALUE"""),1502.0)</f>
        <v>1502</v>
      </c>
      <c r="B1502" s="53">
        <f>IFERROR(__xludf.DUMMYFUNCTION("""COMPUTED_VALUE"""),45799.0)</f>
        <v>45799</v>
      </c>
      <c r="C1502" s="3">
        <f>IFERROR(__xludf.DUMMYFUNCTION("""COMPUTED_VALUE"""),50.0)</f>
        <v>50</v>
      </c>
      <c r="D1502" s="3" t="str">
        <f>IFERROR(__xludf.DUMMYFUNCTION("""COMPUTED_VALUE"""),"7b7453a5")</f>
        <v>7b7453a5</v>
      </c>
      <c r="E1502" s="54">
        <f>IFERROR(__xludf.DUMMYFUNCTION("""COMPUTED_VALUE"""),5000.0)</f>
        <v>5000</v>
      </c>
      <c r="F1502" s="3" t="str">
        <f>IFERROR(__xludf.DUMMYFUNCTION("""COMPUTED_VALUE"""),"Aspirant Anccelota Gota")</f>
        <v>Aspirant Anccelota Gota</v>
      </c>
      <c r="G1502" s="3"/>
      <c r="H1502" s="3"/>
      <c r="I1502" s="3"/>
      <c r="J1502" s="3"/>
      <c r="K1502" s="57">
        <f>IFERROR(__xludf.DUMMYFUNCTION("""COMPUTED_VALUE"""),3.65)</f>
        <v>3.65</v>
      </c>
      <c r="L1502" s="54">
        <f>IFERROR(__xludf.DUMMYFUNCTION("""COMPUTED_VALUE"""),38.0)</f>
        <v>38</v>
      </c>
      <c r="M1502" s="3">
        <f>IFERROR(__xludf.DUMMYFUNCTION("""COMPUTED_VALUE"""),83.0)</f>
        <v>83</v>
      </c>
      <c r="N1502" s="3"/>
      <c r="O1502" s="3"/>
      <c r="P1502" s="3"/>
      <c r="Q1502" s="3"/>
      <c r="R1502" s="3">
        <f>IFERROR(__xludf.DUMMYFUNCTION("""COMPUTED_VALUE"""),0.0)</f>
        <v>0</v>
      </c>
      <c r="S1502" s="3"/>
      <c r="T1502" s="5"/>
      <c r="U1502" s="5"/>
      <c r="V1502" s="5"/>
      <c r="W1502" s="5"/>
    </row>
    <row r="1503" ht="15.75" customHeight="1">
      <c r="A1503" s="3">
        <f>IFERROR(__xludf.DUMMYFUNCTION("""COMPUTED_VALUE"""),1503.0)</f>
        <v>1503</v>
      </c>
      <c r="B1503" s="53">
        <f>IFERROR(__xludf.DUMMYFUNCTION("""COMPUTED_VALUE"""),45799.0)</f>
        <v>45799</v>
      </c>
      <c r="C1503" s="3">
        <f>IFERROR(__xludf.DUMMYFUNCTION("""COMPUTED_VALUE"""),51.0)</f>
        <v>51</v>
      </c>
      <c r="D1503" s="3" t="str">
        <f>IFERROR(__xludf.DUMMYFUNCTION("""COMPUTED_VALUE"""),"94fbbcb1")</f>
        <v>94fbbcb1</v>
      </c>
      <c r="E1503" s="54">
        <f>IFERROR(__xludf.DUMMYFUNCTION("""COMPUTED_VALUE"""),1600.0)</f>
        <v>1600</v>
      </c>
      <c r="F1503" s="3" t="str">
        <f>IFERROR(__xludf.DUMMYFUNCTION("""COMPUTED_VALUE"""),"Claro de Filtro")</f>
        <v>Claro de Filtro</v>
      </c>
      <c r="G1503" s="3"/>
      <c r="H1503" s="3"/>
      <c r="I1503" s="3"/>
      <c r="J1503" s="3"/>
      <c r="K1503" s="57">
        <f>IFERROR(__xludf.DUMMYFUNCTION("""COMPUTED_VALUE"""),3.81)</f>
        <v>3.81</v>
      </c>
      <c r="L1503" s="54">
        <f>IFERROR(__xludf.DUMMYFUNCTION("""COMPUTED_VALUE"""),28.0)</f>
        <v>28</v>
      </c>
      <c r="M1503" s="3">
        <f>IFERROR(__xludf.DUMMYFUNCTION("""COMPUTED_VALUE"""),150.0)</f>
        <v>150</v>
      </c>
      <c r="N1503" s="3"/>
      <c r="O1503" s="3"/>
      <c r="P1503" s="3"/>
      <c r="Q1503" s="3"/>
      <c r="R1503" s="3">
        <f>IFERROR(__xludf.DUMMYFUNCTION("""COMPUTED_VALUE"""),0.0)</f>
        <v>0</v>
      </c>
      <c r="S1503" s="3"/>
      <c r="T1503" s="5"/>
      <c r="U1503" s="5"/>
      <c r="V1503" s="5"/>
      <c r="W1503" s="5"/>
    </row>
    <row r="1504" ht="15.75" customHeight="1">
      <c r="A1504" s="3">
        <f>IFERROR(__xludf.DUMMYFUNCTION("""COMPUTED_VALUE"""),1504.0)</f>
        <v>1504</v>
      </c>
      <c r="B1504" s="53">
        <f>IFERROR(__xludf.DUMMYFUNCTION("""COMPUTED_VALUE"""),45799.0)</f>
        <v>45799</v>
      </c>
      <c r="C1504" s="3">
        <f>IFERROR(__xludf.DUMMYFUNCTION("""COMPUTED_VALUE"""),70.0)</f>
        <v>70</v>
      </c>
      <c r="D1504" s="3" t="str">
        <f>IFERROR(__xludf.DUMMYFUNCTION("""COMPUTED_VALUE"""),"1cdbd1a4")</f>
        <v>1cdbd1a4</v>
      </c>
      <c r="E1504" s="54">
        <f>IFERROR(__xludf.DUMMYFUNCTION("""COMPUTED_VALUE"""),13000.0)</f>
        <v>13000</v>
      </c>
      <c r="F1504" s="3" t="str">
        <f>IFERROR(__xludf.DUMMYFUNCTION("""COMPUTED_VALUE"""),"Tinto G")</f>
        <v>Tinto G</v>
      </c>
      <c r="G1504" s="3"/>
      <c r="H1504" s="3"/>
      <c r="I1504" s="3"/>
      <c r="J1504" s="3"/>
      <c r="K1504" s="57">
        <f>IFERROR(__xludf.DUMMYFUNCTION("""COMPUTED_VALUE"""),3.73)</f>
        <v>3.73</v>
      </c>
      <c r="L1504" s="54">
        <f>IFERROR(__xludf.DUMMYFUNCTION("""COMPUTED_VALUE"""),25.0)</f>
        <v>25</v>
      </c>
      <c r="M1504" s="3">
        <f>IFERROR(__xludf.DUMMYFUNCTION("""COMPUTED_VALUE"""),171.0)</f>
        <v>171</v>
      </c>
      <c r="N1504" s="3"/>
      <c r="O1504" s="3"/>
      <c r="P1504" s="3"/>
      <c r="Q1504" s="3"/>
      <c r="R1504" s="3">
        <f>IFERROR(__xludf.DUMMYFUNCTION("""COMPUTED_VALUE"""),0.0)</f>
        <v>0</v>
      </c>
      <c r="S1504" s="3"/>
      <c r="T1504" s="5"/>
      <c r="U1504" s="5"/>
      <c r="V1504" s="5"/>
      <c r="W1504" s="5"/>
    </row>
    <row r="1505" ht="15.75" customHeight="1">
      <c r="A1505" s="3">
        <f>IFERROR(__xludf.DUMMYFUNCTION("""COMPUTED_VALUE"""),1505.0)</f>
        <v>1505</v>
      </c>
      <c r="B1505" s="53">
        <f>IFERROR(__xludf.DUMMYFUNCTION("""COMPUTED_VALUE"""),45799.0)</f>
        <v>45799</v>
      </c>
      <c r="C1505" s="3">
        <f>IFERROR(__xludf.DUMMYFUNCTION("""COMPUTED_VALUE"""),80.0)</f>
        <v>80</v>
      </c>
      <c r="D1505" s="3" t="str">
        <f>IFERROR(__xludf.DUMMYFUNCTION("""COMPUTED_VALUE"""),"ebb87073")</f>
        <v>ebb87073</v>
      </c>
      <c r="E1505" s="54">
        <f>IFERROR(__xludf.DUMMYFUNCTION("""COMPUTED_VALUE"""),26100.0)</f>
        <v>26100</v>
      </c>
      <c r="F1505" s="3" t="str">
        <f>IFERROR(__xludf.DUMMYFUNCTION("""COMPUTED_VALUE"""),"Borra")</f>
        <v>Borra</v>
      </c>
      <c r="G1505" s="3"/>
      <c r="H1505" s="3"/>
      <c r="I1505" s="3"/>
      <c r="J1505" s="3"/>
      <c r="K1505" s="57">
        <f>IFERROR(__xludf.DUMMYFUNCTION("""COMPUTED_VALUE"""),3.74)</f>
        <v>3.74</v>
      </c>
      <c r="L1505" s="54">
        <f>IFERROR(__xludf.DUMMYFUNCTION("""COMPUTED_VALUE"""),96.0)</f>
        <v>96</v>
      </c>
      <c r="M1505" s="3">
        <f>IFERROR(__xludf.DUMMYFUNCTION("""COMPUTED_VALUE"""),217.0)</f>
        <v>217</v>
      </c>
      <c r="N1505" s="3"/>
      <c r="O1505" s="3"/>
      <c r="P1505" s="3"/>
      <c r="Q1505" s="3"/>
      <c r="R1505" s="3">
        <f>IFERROR(__xludf.DUMMYFUNCTION("""COMPUTED_VALUE"""),0.0)</f>
        <v>0</v>
      </c>
      <c r="S1505" s="3"/>
      <c r="T1505" s="5"/>
      <c r="U1505" s="5"/>
      <c r="V1505" s="5"/>
      <c r="W1505" s="5"/>
    </row>
    <row r="1506" ht="15.75" customHeight="1">
      <c r="A1506" s="3">
        <f>IFERROR(__xludf.DUMMYFUNCTION("""COMPUTED_VALUE"""),1506.0)</f>
        <v>1506</v>
      </c>
      <c r="B1506" s="53">
        <f>IFERROR(__xludf.DUMMYFUNCTION("""COMPUTED_VALUE"""),45799.0)</f>
        <v>45799</v>
      </c>
      <c r="C1506" s="3">
        <f>IFERROR(__xludf.DUMMYFUNCTION("""COMPUTED_VALUE"""),87.0)</f>
        <v>87</v>
      </c>
      <c r="D1506" s="3" t="str">
        <f>IFERROR(__xludf.DUMMYFUNCTION("""COMPUTED_VALUE"""),"b04cae80")</f>
        <v>b04cae80</v>
      </c>
      <c r="E1506" s="54">
        <f>IFERROR(__xludf.DUMMYFUNCTION("""COMPUTED_VALUE"""),93700.0)</f>
        <v>93700</v>
      </c>
      <c r="F1506" s="3" t="str">
        <f>IFERROR(__xludf.DUMMYFUNCTION("""COMPUTED_VALUE"""),"Tinto")</f>
        <v>Tinto</v>
      </c>
      <c r="G1506" s="3"/>
      <c r="H1506" s="3"/>
      <c r="I1506" s="3"/>
      <c r="J1506" s="3"/>
      <c r="K1506" s="57">
        <f>IFERROR(__xludf.DUMMYFUNCTION("""COMPUTED_VALUE"""),3.79)</f>
        <v>3.79</v>
      </c>
      <c r="L1506" s="54">
        <f>IFERROR(__xludf.DUMMYFUNCTION("""COMPUTED_VALUE"""),41.0)</f>
        <v>41</v>
      </c>
      <c r="M1506" s="3">
        <f>IFERROR(__xludf.DUMMYFUNCTION("""COMPUTED_VALUE"""),160.0)</f>
        <v>160</v>
      </c>
      <c r="N1506" s="3"/>
      <c r="O1506" s="3"/>
      <c r="P1506" s="3"/>
      <c r="Q1506" s="3"/>
      <c r="R1506" s="3">
        <f>IFERROR(__xludf.DUMMYFUNCTION("""COMPUTED_VALUE"""),0.0)</f>
        <v>0</v>
      </c>
      <c r="S1506" s="3"/>
      <c r="T1506" s="5"/>
      <c r="U1506" s="5"/>
      <c r="V1506" s="5"/>
      <c r="W1506" s="5"/>
    </row>
    <row r="1507" ht="15.75" customHeight="1">
      <c r="A1507" s="3">
        <f>IFERROR(__xludf.DUMMYFUNCTION("""COMPUTED_VALUE"""),1507.0)</f>
        <v>1507</v>
      </c>
      <c r="B1507" s="53">
        <f>IFERROR(__xludf.DUMMYFUNCTION("""COMPUTED_VALUE"""),45799.0)</f>
        <v>45799</v>
      </c>
      <c r="C1507" s="3">
        <f>IFERROR(__xludf.DUMMYFUNCTION("""COMPUTED_VALUE"""),95.0)</f>
        <v>95</v>
      </c>
      <c r="D1507" s="3" t="str">
        <f>IFERROR(__xludf.DUMMYFUNCTION("""COMPUTED_VALUE"""),"263cc8c0")</f>
        <v>263cc8c0</v>
      </c>
      <c r="E1507" s="54">
        <f>IFERROR(__xludf.DUMMYFUNCTION("""COMPUTED_VALUE"""),77100.0)</f>
        <v>77100</v>
      </c>
      <c r="F1507" s="3" t="str">
        <f>IFERROR(__xludf.DUMMYFUNCTION("""COMPUTED_VALUE"""),"Syrah")</f>
        <v>Syrah</v>
      </c>
      <c r="G1507" s="3"/>
      <c r="H1507" s="3"/>
      <c r="I1507" s="3"/>
      <c r="J1507" s="3"/>
      <c r="K1507" s="57">
        <f>IFERROR(__xludf.DUMMYFUNCTION("""COMPUTED_VALUE"""),3.72)</f>
        <v>3.72</v>
      </c>
      <c r="L1507" s="54">
        <f>IFERROR(__xludf.DUMMYFUNCTION("""COMPUTED_VALUE"""),36.0)</f>
        <v>36</v>
      </c>
      <c r="M1507" s="3">
        <f>IFERROR(__xludf.DUMMYFUNCTION("""COMPUTED_VALUE"""),121.0)</f>
        <v>121</v>
      </c>
      <c r="N1507" s="3"/>
      <c r="O1507" s="3"/>
      <c r="P1507" s="3"/>
      <c r="Q1507" s="3"/>
      <c r="R1507" s="3">
        <f>IFERROR(__xludf.DUMMYFUNCTION("""COMPUTED_VALUE"""),0.0)</f>
        <v>0</v>
      </c>
      <c r="S1507" s="3"/>
      <c r="T1507" s="5"/>
      <c r="U1507" s="5"/>
      <c r="V1507" s="5"/>
      <c r="W1507" s="5"/>
    </row>
    <row r="1508" ht="15.75" customHeight="1">
      <c r="A1508" s="3">
        <f>IFERROR(__xludf.DUMMYFUNCTION("""COMPUTED_VALUE"""),1508.0)</f>
        <v>1508</v>
      </c>
      <c r="B1508" s="53">
        <f>IFERROR(__xludf.DUMMYFUNCTION("""COMPUTED_VALUE"""),45799.0)</f>
        <v>45799</v>
      </c>
      <c r="C1508" s="3">
        <f>IFERROR(__xludf.DUMMYFUNCTION("""COMPUTED_VALUE"""),96.0)</f>
        <v>96</v>
      </c>
      <c r="D1508" s="3" t="str">
        <f>IFERROR(__xludf.DUMMYFUNCTION("""COMPUTED_VALUE"""),"4b0ee075")</f>
        <v>4b0ee075</v>
      </c>
      <c r="E1508" s="54">
        <f>IFERROR(__xludf.DUMMYFUNCTION("""COMPUTED_VALUE"""),85600.0)</f>
        <v>85600</v>
      </c>
      <c r="F1508" s="3" t="str">
        <f>IFERROR(__xludf.DUMMYFUNCTION("""COMPUTED_VALUE"""),"Syrah")</f>
        <v>Syrah</v>
      </c>
      <c r="G1508" s="3"/>
      <c r="H1508" s="3"/>
      <c r="I1508" s="3"/>
      <c r="J1508" s="3"/>
      <c r="K1508" s="57">
        <f>IFERROR(__xludf.DUMMYFUNCTION("""COMPUTED_VALUE"""),3.71)</f>
        <v>3.71</v>
      </c>
      <c r="L1508" s="54">
        <f>IFERROR(__xludf.DUMMYFUNCTION("""COMPUTED_VALUE"""),38.0)</f>
        <v>38</v>
      </c>
      <c r="M1508" s="3">
        <f>IFERROR(__xludf.DUMMYFUNCTION("""COMPUTED_VALUE"""),121.0)</f>
        <v>121</v>
      </c>
      <c r="N1508" s="3"/>
      <c r="O1508" s="3"/>
      <c r="P1508" s="3"/>
      <c r="Q1508" s="3"/>
      <c r="R1508" s="3">
        <f>IFERROR(__xludf.DUMMYFUNCTION("""COMPUTED_VALUE"""),0.0)</f>
        <v>0</v>
      </c>
      <c r="S1508" s="3"/>
      <c r="T1508" s="5"/>
      <c r="U1508" s="5"/>
      <c r="V1508" s="5"/>
      <c r="W1508" s="5"/>
    </row>
    <row r="1509" ht="15.75" customHeight="1">
      <c r="A1509" s="3">
        <f>IFERROR(__xludf.DUMMYFUNCTION("""COMPUTED_VALUE"""),1509.0)</f>
        <v>1509</v>
      </c>
      <c r="B1509" s="53">
        <f>IFERROR(__xludf.DUMMYFUNCTION("""COMPUTED_VALUE"""),45804.0)</f>
        <v>45804</v>
      </c>
      <c r="C1509" s="3">
        <f>IFERROR(__xludf.DUMMYFUNCTION("""COMPUTED_VALUE"""),24.0)</f>
        <v>24</v>
      </c>
      <c r="D1509" s="3" t="str">
        <f>IFERROR(__xludf.DUMMYFUNCTION("""COMPUTED_VALUE"""),"b3a40361")</f>
        <v>b3a40361</v>
      </c>
      <c r="E1509" s="54">
        <f>IFERROR(__xludf.DUMMYFUNCTION("""COMPUTED_VALUE"""),186600.0)</f>
        <v>186600</v>
      </c>
      <c r="F1509" s="3" t="str">
        <f>IFERROR(__xludf.DUMMYFUNCTION("""COMPUTED_VALUE"""),"Malbec")</f>
        <v>Malbec</v>
      </c>
      <c r="G1509" s="3"/>
      <c r="H1509" s="3"/>
      <c r="I1509" s="3"/>
      <c r="J1509" s="3"/>
      <c r="K1509" s="57">
        <f>IFERROR(__xludf.DUMMYFUNCTION("""COMPUTED_VALUE"""),3.72)</f>
        <v>3.72</v>
      </c>
      <c r="L1509" s="54">
        <f>IFERROR(__xludf.DUMMYFUNCTION("""COMPUTED_VALUE"""),25.0)</f>
        <v>25</v>
      </c>
      <c r="M1509" s="3">
        <f>IFERROR(__xludf.DUMMYFUNCTION("""COMPUTED_VALUE"""),140.0)</f>
        <v>140</v>
      </c>
      <c r="N1509" s="3"/>
      <c r="O1509" s="3"/>
      <c r="P1509" s="3"/>
      <c r="Q1509" s="3"/>
      <c r="R1509" s="3">
        <f>IFERROR(__xludf.DUMMYFUNCTION("""COMPUTED_VALUE"""),0.0)</f>
        <v>0</v>
      </c>
      <c r="S1509" s="3"/>
      <c r="T1509" s="5"/>
      <c r="U1509" s="5"/>
      <c r="V1509" s="5"/>
      <c r="W1509" s="5"/>
    </row>
    <row r="1510" ht="15.75" customHeight="1">
      <c r="A1510" s="3">
        <f>IFERROR(__xludf.DUMMYFUNCTION("""COMPUTED_VALUE"""),1510.0)</f>
        <v>1510</v>
      </c>
      <c r="B1510" s="53">
        <f>IFERROR(__xludf.DUMMYFUNCTION("""COMPUTED_VALUE"""),45804.0)</f>
        <v>45804</v>
      </c>
      <c r="C1510" s="3">
        <f>IFERROR(__xludf.DUMMYFUNCTION("""COMPUTED_VALUE"""),34.0)</f>
        <v>34</v>
      </c>
      <c r="D1510" s="3" t="str">
        <f>IFERROR(__xludf.DUMMYFUNCTION("""COMPUTED_VALUE"""),"08cd1438")</f>
        <v>08cd1438</v>
      </c>
      <c r="E1510" s="54">
        <f>IFERROR(__xludf.DUMMYFUNCTION("""COMPUTED_VALUE"""),39500.0)</f>
        <v>39500</v>
      </c>
      <c r="F1510" s="3" t="str">
        <f>IFERROR(__xludf.DUMMYFUNCTION("""COMPUTED_VALUE"""),"Malbec")</f>
        <v>Malbec</v>
      </c>
      <c r="G1510" s="3"/>
      <c r="H1510" s="3"/>
      <c r="I1510" s="3"/>
      <c r="J1510" s="3"/>
      <c r="K1510" s="57">
        <f>IFERROR(__xludf.DUMMYFUNCTION("""COMPUTED_VALUE"""),3.61)</f>
        <v>3.61</v>
      </c>
      <c r="L1510" s="54">
        <f>IFERROR(__xludf.DUMMYFUNCTION("""COMPUTED_VALUE"""),26.0)</f>
        <v>26</v>
      </c>
      <c r="M1510" s="3">
        <f>IFERROR(__xludf.DUMMYFUNCTION("""COMPUTED_VALUE"""),130.0)</f>
        <v>130</v>
      </c>
      <c r="N1510" s="3"/>
      <c r="O1510" s="3"/>
      <c r="P1510" s="3"/>
      <c r="Q1510" s="3"/>
      <c r="R1510" s="3">
        <f>IFERROR(__xludf.DUMMYFUNCTION("""COMPUTED_VALUE"""),0.0)</f>
        <v>0</v>
      </c>
      <c r="S1510" s="3"/>
      <c r="T1510" s="5"/>
      <c r="U1510" s="5"/>
      <c r="V1510" s="5"/>
      <c r="W1510" s="5"/>
    </row>
    <row r="1511" ht="15.75" customHeight="1">
      <c r="A1511" s="3">
        <f>IFERROR(__xludf.DUMMYFUNCTION("""COMPUTED_VALUE"""),1511.0)</f>
        <v>1511</v>
      </c>
      <c r="B1511" s="53">
        <f>IFERROR(__xludf.DUMMYFUNCTION("""COMPUTED_VALUE"""),45804.0)</f>
        <v>45804</v>
      </c>
      <c r="C1511" s="3">
        <f>IFERROR(__xludf.DUMMYFUNCTION("""COMPUTED_VALUE"""),67.0)</f>
        <v>67</v>
      </c>
      <c r="D1511" s="3" t="str">
        <f>IFERROR(__xludf.DUMMYFUNCTION("""COMPUTED_VALUE"""),"654f35d0")</f>
        <v>654f35d0</v>
      </c>
      <c r="E1511" s="54">
        <f>IFERROR(__xludf.DUMMYFUNCTION("""COMPUTED_VALUE"""),23000.0)</f>
        <v>23000</v>
      </c>
      <c r="F1511" s="3" t="str">
        <f>IFERROR(__xludf.DUMMYFUNCTION("""COMPUTED_VALUE"""),"Anccelotta")</f>
        <v>Anccelotta</v>
      </c>
      <c r="G1511" s="3"/>
      <c r="H1511" s="3"/>
      <c r="I1511" s="3"/>
      <c r="J1511" s="3"/>
      <c r="K1511" s="57">
        <f>IFERROR(__xludf.DUMMYFUNCTION("""COMPUTED_VALUE"""),3.84)</f>
        <v>3.84</v>
      </c>
      <c r="L1511" s="54">
        <f>IFERROR(__xludf.DUMMYFUNCTION("""COMPUTED_VALUE"""),38.0)</f>
        <v>38</v>
      </c>
      <c r="M1511" s="3">
        <f>IFERROR(__xludf.DUMMYFUNCTION("""COMPUTED_VALUE"""),128.0)</f>
        <v>128</v>
      </c>
      <c r="N1511" s="3"/>
      <c r="O1511" s="3"/>
      <c r="P1511" s="3"/>
      <c r="Q1511" s="3"/>
      <c r="R1511" s="3">
        <f>IFERROR(__xludf.DUMMYFUNCTION("""COMPUTED_VALUE"""),0.0)</f>
        <v>0</v>
      </c>
      <c r="S1511" s="3"/>
      <c r="T1511" s="5"/>
      <c r="U1511" s="5"/>
      <c r="V1511" s="5"/>
      <c r="W1511" s="5"/>
    </row>
    <row r="1512" ht="15.75" customHeight="1">
      <c r="A1512" s="3">
        <f>IFERROR(__xludf.DUMMYFUNCTION("""COMPUTED_VALUE"""),1512.0)</f>
        <v>1512</v>
      </c>
      <c r="B1512" s="53">
        <f>IFERROR(__xludf.DUMMYFUNCTION("""COMPUTED_VALUE"""),45804.0)</f>
        <v>45804</v>
      </c>
      <c r="C1512" s="3">
        <f>IFERROR(__xludf.DUMMYFUNCTION("""COMPUTED_VALUE"""),83.0)</f>
        <v>83</v>
      </c>
      <c r="D1512" s="3" t="str">
        <f>IFERROR(__xludf.DUMMYFUNCTION("""COMPUTED_VALUE"""),"1031b227")</f>
        <v>1031b227</v>
      </c>
      <c r="E1512" s="54">
        <f>IFERROR(__xludf.DUMMYFUNCTION("""COMPUTED_VALUE"""),81500.0)</f>
        <v>81500</v>
      </c>
      <c r="F1512" s="3" t="str">
        <f>IFERROR(__xludf.DUMMYFUNCTION("""COMPUTED_VALUE"""),"Malbec")</f>
        <v>Malbec</v>
      </c>
      <c r="G1512" s="3"/>
      <c r="H1512" s="3"/>
      <c r="I1512" s="3"/>
      <c r="J1512" s="3"/>
      <c r="K1512" s="57">
        <f>IFERROR(__xludf.DUMMYFUNCTION("""COMPUTED_VALUE"""),3.7)</f>
        <v>3.7</v>
      </c>
      <c r="L1512" s="54">
        <f>IFERROR(__xludf.DUMMYFUNCTION("""COMPUTED_VALUE"""),26.0)</f>
        <v>26</v>
      </c>
      <c r="M1512" s="3">
        <f>IFERROR(__xludf.DUMMYFUNCTION("""COMPUTED_VALUE"""),119.0)</f>
        <v>119</v>
      </c>
      <c r="N1512" s="3"/>
      <c r="O1512" s="3"/>
      <c r="P1512" s="3"/>
      <c r="Q1512" s="3"/>
      <c r="R1512" s="3">
        <f>IFERROR(__xludf.DUMMYFUNCTION("""COMPUTED_VALUE"""),0.0)</f>
        <v>0</v>
      </c>
      <c r="S1512" s="3"/>
      <c r="T1512" s="5"/>
      <c r="U1512" s="5"/>
      <c r="V1512" s="5"/>
      <c r="W1512" s="5"/>
    </row>
    <row r="1513" ht="15.75" customHeight="1">
      <c r="A1513" s="3">
        <f>IFERROR(__xludf.DUMMYFUNCTION("""COMPUTED_VALUE"""),1513.0)</f>
        <v>1513</v>
      </c>
      <c r="B1513" s="53">
        <f>IFERROR(__xludf.DUMMYFUNCTION("""COMPUTED_VALUE"""),45804.0)</f>
        <v>45804</v>
      </c>
      <c r="C1513" s="3">
        <f>IFERROR(__xludf.DUMMYFUNCTION("""COMPUTED_VALUE"""),116.0)</f>
        <v>116</v>
      </c>
      <c r="D1513" s="3" t="str">
        <f>IFERROR(__xludf.DUMMYFUNCTION("""COMPUTED_VALUE"""),"b4fedb16")</f>
        <v>b4fedb16</v>
      </c>
      <c r="E1513" s="54">
        <f>IFERROR(__xludf.DUMMYFUNCTION("""COMPUTED_VALUE"""),99600.0)</f>
        <v>99600</v>
      </c>
      <c r="F1513" s="3" t="str">
        <f>IFERROR(__xludf.DUMMYFUNCTION("""COMPUTED_VALUE"""),"Malbec")</f>
        <v>Malbec</v>
      </c>
      <c r="G1513" s="3"/>
      <c r="H1513" s="3"/>
      <c r="I1513" s="3"/>
      <c r="J1513" s="3"/>
      <c r="K1513" s="57">
        <f>IFERROR(__xludf.DUMMYFUNCTION("""COMPUTED_VALUE"""),3.73)</f>
        <v>3.73</v>
      </c>
      <c r="L1513" s="54">
        <f>IFERROR(__xludf.DUMMYFUNCTION("""COMPUTED_VALUE"""),25.0)</f>
        <v>25</v>
      </c>
      <c r="M1513" s="3">
        <f>IFERROR(__xludf.DUMMYFUNCTION("""COMPUTED_VALUE"""),125.0)</f>
        <v>125</v>
      </c>
      <c r="N1513" s="3"/>
      <c r="O1513" s="3"/>
      <c r="P1513" s="3"/>
      <c r="Q1513" s="3"/>
      <c r="R1513" s="3">
        <f>IFERROR(__xludf.DUMMYFUNCTION("""COMPUTED_VALUE"""),0.0)</f>
        <v>0</v>
      </c>
      <c r="S1513" s="3"/>
      <c r="T1513" s="5"/>
      <c r="U1513" s="5"/>
      <c r="V1513" s="5"/>
      <c r="W1513" s="5"/>
    </row>
    <row r="1514" ht="15.75" customHeight="1">
      <c r="A1514" s="3">
        <f>IFERROR(__xludf.DUMMYFUNCTION("""COMPUTED_VALUE"""),1514.0)</f>
        <v>1514</v>
      </c>
      <c r="B1514" s="53">
        <f>IFERROR(__xludf.DUMMYFUNCTION("""COMPUTED_VALUE"""),45804.0)</f>
        <v>45804</v>
      </c>
      <c r="C1514" s="3">
        <f>IFERROR(__xludf.DUMMYFUNCTION("""COMPUTED_VALUE"""),121.0)</f>
        <v>121</v>
      </c>
      <c r="D1514" s="3" t="str">
        <f>IFERROR(__xludf.DUMMYFUNCTION("""COMPUTED_VALUE"""),"589807bc")</f>
        <v>589807bc</v>
      </c>
      <c r="E1514" s="54">
        <f>IFERROR(__xludf.DUMMYFUNCTION("""COMPUTED_VALUE"""),85800.0)</f>
        <v>85800</v>
      </c>
      <c r="F1514" s="3" t="str">
        <f>IFERROR(__xludf.DUMMYFUNCTION("""COMPUTED_VALUE"""),"Malbec")</f>
        <v>Malbec</v>
      </c>
      <c r="G1514" s="3"/>
      <c r="H1514" s="3"/>
      <c r="I1514" s="3"/>
      <c r="J1514" s="3"/>
      <c r="K1514" s="57">
        <f>IFERROR(__xludf.DUMMYFUNCTION("""COMPUTED_VALUE"""),3.74)</f>
        <v>3.74</v>
      </c>
      <c r="L1514" s="54">
        <f>IFERROR(__xludf.DUMMYFUNCTION("""COMPUTED_VALUE"""),24.0)</f>
        <v>24</v>
      </c>
      <c r="M1514" s="3">
        <f>IFERROR(__xludf.DUMMYFUNCTION("""COMPUTED_VALUE"""),130.0)</f>
        <v>130</v>
      </c>
      <c r="N1514" s="3"/>
      <c r="O1514" s="3"/>
      <c r="P1514" s="3"/>
      <c r="Q1514" s="3"/>
      <c r="R1514" s="3">
        <f>IFERROR(__xludf.DUMMYFUNCTION("""COMPUTED_VALUE"""),0.0)</f>
        <v>0</v>
      </c>
      <c r="S1514" s="3"/>
      <c r="T1514" s="5"/>
      <c r="U1514" s="5"/>
      <c r="V1514" s="5"/>
      <c r="W1514" s="5"/>
    </row>
    <row r="1515" ht="15.75" customHeight="1">
      <c r="A1515" s="3">
        <f>IFERROR(__xludf.DUMMYFUNCTION("""COMPUTED_VALUE"""),1515.0)</f>
        <v>1515</v>
      </c>
      <c r="B1515" s="53">
        <f>IFERROR(__xludf.DUMMYFUNCTION("""COMPUTED_VALUE"""),45803.0)</f>
        <v>45803</v>
      </c>
      <c r="C1515" s="3">
        <f>IFERROR(__xludf.DUMMYFUNCTION("""COMPUTED_VALUE"""),14.0)</f>
        <v>14</v>
      </c>
      <c r="D1515" s="3" t="str">
        <f>IFERROR(__xludf.DUMMYFUNCTION("""COMPUTED_VALUE"""),"10b87434")</f>
        <v>10b87434</v>
      </c>
      <c r="E1515" s="54">
        <f>IFERROR(__xludf.DUMMYFUNCTION("""COMPUTED_VALUE"""),37000.0)</f>
        <v>37000</v>
      </c>
      <c r="F1515" s="3" t="str">
        <f>IFERROR(__xludf.DUMMYFUNCTION("""COMPUTED_VALUE"""),"Aspirant")</f>
        <v>Aspirant</v>
      </c>
      <c r="G1515" s="55">
        <f>IFERROR(__xludf.DUMMYFUNCTION("""COMPUTED_VALUE"""),11.8)</f>
        <v>11.8</v>
      </c>
      <c r="H1515" s="56">
        <f>IFERROR(__xludf.DUMMYFUNCTION("""COMPUTED_VALUE"""),3.0)</f>
        <v>3</v>
      </c>
      <c r="I1515" s="57">
        <f>IFERROR(__xludf.DUMMYFUNCTION("""COMPUTED_VALUE"""),0.25)</f>
        <v>0.25</v>
      </c>
      <c r="J1515" s="57">
        <f>IFERROR(__xludf.DUMMYFUNCTION("""COMPUTED_VALUE"""),6.6)</f>
        <v>6.6</v>
      </c>
      <c r="K1515" s="3"/>
      <c r="L1515" s="3"/>
      <c r="M1515" s="3"/>
      <c r="N1515" s="3"/>
      <c r="O1515" s="3"/>
      <c r="P1515" s="3"/>
      <c r="Q1515" s="3"/>
      <c r="R1515" s="3">
        <f>IFERROR(__xludf.DUMMYFUNCTION("""COMPUTED_VALUE"""),0.0)</f>
        <v>0</v>
      </c>
      <c r="S1515" s="3"/>
      <c r="T1515" s="5"/>
      <c r="U1515" s="5"/>
      <c r="V1515" s="5"/>
      <c r="W1515" s="5" t="str">
        <f>IFERROR(__xludf.DUMMYFUNCTION("""COMPUTED_VALUE"""),"Simon")</f>
        <v>Simon</v>
      </c>
    </row>
    <row r="1516" ht="15.75" customHeight="1">
      <c r="A1516" s="3">
        <f>IFERROR(__xludf.DUMMYFUNCTION("""COMPUTED_VALUE"""),1516.0)</f>
        <v>1516</v>
      </c>
      <c r="B1516" s="53">
        <f>IFERROR(__xludf.DUMMYFUNCTION("""COMPUTED_VALUE"""),45803.0)</f>
        <v>45803</v>
      </c>
      <c r="C1516" s="3">
        <f>IFERROR(__xludf.DUMMYFUNCTION("""COMPUTED_VALUE"""),25.0)</f>
        <v>25</v>
      </c>
      <c r="D1516" s="3" t="str">
        <f>IFERROR(__xludf.DUMMYFUNCTION("""COMPUTED_VALUE"""),"47816ee0")</f>
        <v>47816ee0</v>
      </c>
      <c r="E1516" s="54">
        <f>IFERROR(__xludf.DUMMYFUNCTION("""COMPUTED_VALUE"""),194300.0)</f>
        <v>194300</v>
      </c>
      <c r="F1516" s="3" t="str">
        <f>IFERROR(__xludf.DUMMYFUNCTION("""COMPUTED_VALUE"""),"Syrah")</f>
        <v>Syrah</v>
      </c>
      <c r="G1516" s="55">
        <f>IFERROR(__xludf.DUMMYFUNCTION("""COMPUTED_VALUE"""),14.1)</f>
        <v>14.1</v>
      </c>
      <c r="H1516" s="56">
        <f>IFERROR(__xludf.DUMMYFUNCTION("""COMPUTED_VALUE"""),2.43)</f>
        <v>2.43</v>
      </c>
      <c r="I1516" s="57">
        <f>IFERROR(__xludf.DUMMYFUNCTION("""COMPUTED_VALUE"""),0.45)</f>
        <v>0.45</v>
      </c>
      <c r="J1516" s="57">
        <f>IFERROR(__xludf.DUMMYFUNCTION("""COMPUTED_VALUE"""),4.87)</f>
        <v>4.87</v>
      </c>
      <c r="K1516" s="3"/>
      <c r="L1516" s="3"/>
      <c r="M1516" s="3"/>
      <c r="N1516" s="3"/>
      <c r="O1516" s="3"/>
      <c r="P1516" s="3"/>
      <c r="Q1516" s="3"/>
      <c r="R1516" s="3">
        <f>IFERROR(__xludf.DUMMYFUNCTION("""COMPUTED_VALUE"""),0.0)</f>
        <v>0</v>
      </c>
      <c r="S1516" s="3"/>
      <c r="T1516" s="5"/>
      <c r="U1516" s="5"/>
      <c r="V1516" s="5"/>
      <c r="W1516" s="5" t="str">
        <f>IFERROR(__xludf.DUMMYFUNCTION("""COMPUTED_VALUE"""),"Simon")</f>
        <v>Simon</v>
      </c>
    </row>
    <row r="1517" ht="15.75" customHeight="1">
      <c r="A1517" s="3">
        <f>IFERROR(__xludf.DUMMYFUNCTION("""COMPUTED_VALUE"""),1517.0)</f>
        <v>1517</v>
      </c>
      <c r="B1517" s="53">
        <f>IFERROR(__xludf.DUMMYFUNCTION("""COMPUTED_VALUE"""),45803.0)</f>
        <v>45803</v>
      </c>
      <c r="C1517" s="3">
        <f>IFERROR(__xludf.DUMMYFUNCTION("""COMPUTED_VALUE"""),41.0)</f>
        <v>41</v>
      </c>
      <c r="D1517" s="3" t="str">
        <f>IFERROR(__xludf.DUMMYFUNCTION("""COMPUTED_VALUE"""),"02391dea")</f>
        <v>02391dea</v>
      </c>
      <c r="E1517" s="54">
        <f>IFERROR(__xludf.DUMMYFUNCTION("""COMPUTED_VALUE"""),35100.0)</f>
        <v>35100</v>
      </c>
      <c r="F1517" s="3" t="str">
        <f>IFERROR(__xludf.DUMMYFUNCTION("""COMPUTED_VALUE"""),"Aspirant Anccelota Gota")</f>
        <v>Aspirant Anccelota Gota</v>
      </c>
      <c r="G1517" s="55">
        <f>IFERROR(__xludf.DUMMYFUNCTION("""COMPUTED_VALUE"""),13.0)</f>
        <v>13</v>
      </c>
      <c r="H1517" s="56">
        <f>IFERROR(__xludf.DUMMYFUNCTION("""COMPUTED_VALUE"""),2.81)</f>
        <v>2.81</v>
      </c>
      <c r="I1517" s="57">
        <f>IFERROR(__xludf.DUMMYFUNCTION("""COMPUTED_VALUE"""),0.5)</f>
        <v>0.5</v>
      </c>
      <c r="J1517" s="57">
        <f>IFERROR(__xludf.DUMMYFUNCTION("""COMPUTED_VALUE"""),5.85)</f>
        <v>5.85</v>
      </c>
      <c r="K1517" s="3"/>
      <c r="L1517" s="3"/>
      <c r="M1517" s="3"/>
      <c r="N1517" s="3"/>
      <c r="O1517" s="3"/>
      <c r="P1517" s="3"/>
      <c r="Q1517" s="3"/>
      <c r="R1517" s="3">
        <f>IFERROR(__xludf.DUMMYFUNCTION("""COMPUTED_VALUE"""),0.0)</f>
        <v>0</v>
      </c>
      <c r="S1517" s="3"/>
      <c r="T1517" s="5"/>
      <c r="U1517" s="5"/>
      <c r="V1517" s="5"/>
      <c r="W1517" s="5" t="str">
        <f>IFERROR(__xludf.DUMMYFUNCTION("""COMPUTED_VALUE"""),"Simon")</f>
        <v>Simon</v>
      </c>
    </row>
    <row r="1518" ht="15.75" customHeight="1">
      <c r="A1518" s="3">
        <f>IFERROR(__xludf.DUMMYFUNCTION("""COMPUTED_VALUE"""),1518.0)</f>
        <v>1518</v>
      </c>
      <c r="B1518" s="53">
        <f>IFERROR(__xludf.DUMMYFUNCTION("""COMPUTED_VALUE"""),45803.0)</f>
        <v>45803</v>
      </c>
      <c r="C1518" s="3">
        <f>IFERROR(__xludf.DUMMYFUNCTION("""COMPUTED_VALUE"""),45.0)</f>
        <v>45</v>
      </c>
      <c r="D1518" s="3" t="str">
        <f>IFERROR(__xludf.DUMMYFUNCTION("""COMPUTED_VALUE"""),"a6d11ad4")</f>
        <v>a6d11ad4</v>
      </c>
      <c r="E1518" s="54">
        <f>IFERROR(__xludf.DUMMYFUNCTION("""COMPUTED_VALUE"""),30000.0)</f>
        <v>30000</v>
      </c>
      <c r="F1518" s="3" t="str">
        <f>IFERROR(__xludf.DUMMYFUNCTION("""COMPUTED_VALUE"""),"Tinto")</f>
        <v>Tinto</v>
      </c>
      <c r="G1518" s="55">
        <f>IFERROR(__xludf.DUMMYFUNCTION("""COMPUTED_VALUE"""),14.5)</f>
        <v>14.5</v>
      </c>
      <c r="H1518" s="56">
        <f>IFERROR(__xludf.DUMMYFUNCTION("""COMPUTED_VALUE"""),3.22)</f>
        <v>3.22</v>
      </c>
      <c r="I1518" s="57">
        <f>IFERROR(__xludf.DUMMYFUNCTION("""COMPUTED_VALUE"""),0.43)</f>
        <v>0.43</v>
      </c>
      <c r="J1518" s="57">
        <f>IFERROR(__xludf.DUMMYFUNCTION("""COMPUTED_VALUE"""),5.4)</f>
        <v>5.4</v>
      </c>
      <c r="K1518" s="3"/>
      <c r="L1518" s="3"/>
      <c r="M1518" s="3"/>
      <c r="N1518" s="3"/>
      <c r="O1518" s="3"/>
      <c r="P1518" s="3"/>
      <c r="Q1518" s="3"/>
      <c r="R1518" s="3">
        <f>IFERROR(__xludf.DUMMYFUNCTION("""COMPUTED_VALUE"""),0.0)</f>
        <v>0</v>
      </c>
      <c r="S1518" s="3"/>
      <c r="T1518" s="5"/>
      <c r="U1518" s="5"/>
      <c r="V1518" s="5"/>
      <c r="W1518" s="5" t="str">
        <f>IFERROR(__xludf.DUMMYFUNCTION("""COMPUTED_VALUE"""),"Simon")</f>
        <v>Simon</v>
      </c>
    </row>
    <row r="1519" ht="15.75" customHeight="1">
      <c r="A1519" s="3">
        <f>IFERROR(__xludf.DUMMYFUNCTION("""COMPUTED_VALUE"""),1519.0)</f>
        <v>1519</v>
      </c>
      <c r="B1519" s="53">
        <f>IFERROR(__xludf.DUMMYFUNCTION("""COMPUTED_VALUE"""),45803.0)</f>
        <v>45803</v>
      </c>
      <c r="C1519" s="3">
        <f>IFERROR(__xludf.DUMMYFUNCTION("""COMPUTED_VALUE"""),50.0)</f>
        <v>50</v>
      </c>
      <c r="D1519" s="3" t="str">
        <f>IFERROR(__xludf.DUMMYFUNCTION("""COMPUTED_VALUE"""),"7b7453a5")</f>
        <v>7b7453a5</v>
      </c>
      <c r="E1519" s="54">
        <f>IFERROR(__xludf.DUMMYFUNCTION("""COMPUTED_VALUE"""),5000.0)</f>
        <v>5000</v>
      </c>
      <c r="F1519" s="3" t="str">
        <f>IFERROR(__xludf.DUMMYFUNCTION("""COMPUTED_VALUE"""),"Aspirant Anccelota Gota")</f>
        <v>Aspirant Anccelota Gota</v>
      </c>
      <c r="G1519" s="55">
        <f>IFERROR(__xludf.DUMMYFUNCTION("""COMPUTED_VALUE"""),12.3)</f>
        <v>12.3</v>
      </c>
      <c r="H1519" s="56">
        <f>IFERROR(__xludf.DUMMYFUNCTION("""COMPUTED_VALUE"""),2.51)</f>
        <v>2.51</v>
      </c>
      <c r="I1519" s="57">
        <f>IFERROR(__xludf.DUMMYFUNCTION("""COMPUTED_VALUE"""),0.47)</f>
        <v>0.47</v>
      </c>
      <c r="J1519" s="57">
        <f>IFERROR(__xludf.DUMMYFUNCTION("""COMPUTED_VALUE"""),5.62)</f>
        <v>5.62</v>
      </c>
      <c r="K1519" s="3"/>
      <c r="L1519" s="3"/>
      <c r="M1519" s="3"/>
      <c r="N1519" s="3"/>
      <c r="O1519" s="3"/>
      <c r="P1519" s="3"/>
      <c r="Q1519" s="3"/>
      <c r="R1519" s="3">
        <f>IFERROR(__xludf.DUMMYFUNCTION("""COMPUTED_VALUE"""),0.0)</f>
        <v>0</v>
      </c>
      <c r="S1519" s="3"/>
      <c r="T1519" s="5"/>
      <c r="U1519" s="5"/>
      <c r="V1519" s="5"/>
      <c r="W1519" s="5" t="str">
        <f>IFERROR(__xludf.DUMMYFUNCTION("""COMPUTED_VALUE"""),"Simon")</f>
        <v>Simon</v>
      </c>
    </row>
    <row r="1520" ht="15.75" customHeight="1">
      <c r="A1520" s="3">
        <f>IFERROR(__xludf.DUMMYFUNCTION("""COMPUTED_VALUE"""),1520.0)</f>
        <v>1520</v>
      </c>
      <c r="B1520" s="53">
        <f>IFERROR(__xludf.DUMMYFUNCTION("""COMPUTED_VALUE"""),45803.0)</f>
        <v>45803</v>
      </c>
      <c r="C1520" s="3">
        <f>IFERROR(__xludf.DUMMYFUNCTION("""COMPUTED_VALUE"""),51.0)</f>
        <v>51</v>
      </c>
      <c r="D1520" s="3" t="str">
        <f>IFERROR(__xludf.DUMMYFUNCTION("""COMPUTED_VALUE"""),"94fbbcb1")</f>
        <v>94fbbcb1</v>
      </c>
      <c r="E1520" s="54">
        <f>IFERROR(__xludf.DUMMYFUNCTION("""COMPUTED_VALUE"""),1600.0)</f>
        <v>1600</v>
      </c>
      <c r="F1520" s="3" t="str">
        <f>IFERROR(__xludf.DUMMYFUNCTION("""COMPUTED_VALUE"""),"Claro de Filtro")</f>
        <v>Claro de Filtro</v>
      </c>
      <c r="G1520" s="55">
        <f>IFERROR(__xludf.DUMMYFUNCTION("""COMPUTED_VALUE"""),13.7)</f>
        <v>13.7</v>
      </c>
      <c r="H1520" s="56">
        <f>IFERROR(__xludf.DUMMYFUNCTION("""COMPUTED_VALUE"""),2.9)</f>
        <v>2.9</v>
      </c>
      <c r="I1520" s="57">
        <f>IFERROR(__xludf.DUMMYFUNCTION("""COMPUTED_VALUE"""),0.55)</f>
        <v>0.55</v>
      </c>
      <c r="J1520" s="57">
        <f>IFERROR(__xludf.DUMMYFUNCTION("""COMPUTED_VALUE"""),5.47)</f>
        <v>5.47</v>
      </c>
      <c r="K1520" s="3"/>
      <c r="L1520" s="3"/>
      <c r="M1520" s="3"/>
      <c r="N1520" s="3"/>
      <c r="O1520" s="3"/>
      <c r="P1520" s="3"/>
      <c r="Q1520" s="3"/>
      <c r="R1520" s="3">
        <f>IFERROR(__xludf.DUMMYFUNCTION("""COMPUTED_VALUE"""),0.0)</f>
        <v>0</v>
      </c>
      <c r="S1520" s="3"/>
      <c r="T1520" s="5"/>
      <c r="U1520" s="5"/>
      <c r="V1520" s="5"/>
      <c r="W1520" s="5" t="str">
        <f>IFERROR(__xludf.DUMMYFUNCTION("""COMPUTED_VALUE"""),"Simon")</f>
        <v>Simon</v>
      </c>
    </row>
    <row r="1521" ht="15.75" customHeight="1">
      <c r="A1521" s="3">
        <f>IFERROR(__xludf.DUMMYFUNCTION("""COMPUTED_VALUE"""),1521.0)</f>
        <v>1521</v>
      </c>
      <c r="B1521" s="53">
        <f>IFERROR(__xludf.DUMMYFUNCTION("""COMPUTED_VALUE"""),45803.0)</f>
        <v>45803</v>
      </c>
      <c r="C1521" s="3">
        <f>IFERROR(__xludf.DUMMYFUNCTION("""COMPUTED_VALUE"""),70.0)</f>
        <v>70</v>
      </c>
      <c r="D1521" s="3" t="str">
        <f>IFERROR(__xludf.DUMMYFUNCTION("""COMPUTED_VALUE"""),"1cdbd1a4")</f>
        <v>1cdbd1a4</v>
      </c>
      <c r="E1521" s="54">
        <f>IFERROR(__xludf.DUMMYFUNCTION("""COMPUTED_VALUE"""),13000.0)</f>
        <v>13000</v>
      </c>
      <c r="F1521" s="3" t="str">
        <f>IFERROR(__xludf.DUMMYFUNCTION("""COMPUTED_VALUE"""),"Tinto G")</f>
        <v>Tinto G</v>
      </c>
      <c r="G1521" s="55">
        <f>IFERROR(__xludf.DUMMYFUNCTION("""COMPUTED_VALUE"""),13.6)</f>
        <v>13.6</v>
      </c>
      <c r="H1521" s="56">
        <f>IFERROR(__xludf.DUMMYFUNCTION("""COMPUTED_VALUE"""),2.75)</f>
        <v>2.75</v>
      </c>
      <c r="I1521" s="57">
        <f>IFERROR(__xludf.DUMMYFUNCTION("""COMPUTED_VALUE"""),0.35)</f>
        <v>0.35</v>
      </c>
      <c r="J1521" s="57">
        <f>IFERROR(__xludf.DUMMYFUNCTION("""COMPUTED_VALUE"""),5.77)</f>
        <v>5.77</v>
      </c>
      <c r="K1521" s="3"/>
      <c r="L1521" s="3"/>
      <c r="M1521" s="3"/>
      <c r="N1521" s="3"/>
      <c r="O1521" s="3"/>
      <c r="P1521" s="3"/>
      <c r="Q1521" s="3"/>
      <c r="R1521" s="3">
        <f>IFERROR(__xludf.DUMMYFUNCTION("""COMPUTED_VALUE"""),0.0)</f>
        <v>0</v>
      </c>
      <c r="S1521" s="3"/>
      <c r="T1521" s="5"/>
      <c r="U1521" s="5"/>
      <c r="V1521" s="5"/>
      <c r="W1521" s="5" t="str">
        <f>IFERROR(__xludf.DUMMYFUNCTION("""COMPUTED_VALUE"""),"Simon")</f>
        <v>Simon</v>
      </c>
    </row>
    <row r="1522" ht="15.75" customHeight="1">
      <c r="A1522" s="3">
        <f>IFERROR(__xludf.DUMMYFUNCTION("""COMPUTED_VALUE"""),1522.0)</f>
        <v>1522</v>
      </c>
      <c r="B1522" s="53">
        <f>IFERROR(__xludf.DUMMYFUNCTION("""COMPUTED_VALUE"""),45803.0)</f>
        <v>45803</v>
      </c>
      <c r="C1522" s="3">
        <f>IFERROR(__xludf.DUMMYFUNCTION("""COMPUTED_VALUE"""),87.0)</f>
        <v>87</v>
      </c>
      <c r="D1522" s="3" t="str">
        <f>IFERROR(__xludf.DUMMYFUNCTION("""COMPUTED_VALUE"""),"b04cae80")</f>
        <v>b04cae80</v>
      </c>
      <c r="E1522" s="54">
        <f>IFERROR(__xludf.DUMMYFUNCTION("""COMPUTED_VALUE"""),93700.0)</f>
        <v>93700</v>
      </c>
      <c r="F1522" s="3" t="str">
        <f>IFERROR(__xludf.DUMMYFUNCTION("""COMPUTED_VALUE"""),"Tinto")</f>
        <v>Tinto</v>
      </c>
      <c r="G1522" s="55">
        <f>IFERROR(__xludf.DUMMYFUNCTION("""COMPUTED_VALUE"""),14.5)</f>
        <v>14.5</v>
      </c>
      <c r="H1522" s="56">
        <f>IFERROR(__xludf.DUMMYFUNCTION("""COMPUTED_VALUE"""),2.81)</f>
        <v>2.81</v>
      </c>
      <c r="I1522" s="57">
        <f>IFERROR(__xludf.DUMMYFUNCTION("""COMPUTED_VALUE"""),0.47)</f>
        <v>0.47</v>
      </c>
      <c r="J1522" s="57">
        <f>IFERROR(__xludf.DUMMYFUNCTION("""COMPUTED_VALUE"""),5.25)</f>
        <v>5.25</v>
      </c>
      <c r="K1522" s="3"/>
      <c r="L1522" s="3"/>
      <c r="M1522" s="3"/>
      <c r="N1522" s="3"/>
      <c r="O1522" s="3"/>
      <c r="P1522" s="3"/>
      <c r="Q1522" s="3"/>
      <c r="R1522" s="3">
        <f>IFERROR(__xludf.DUMMYFUNCTION("""COMPUTED_VALUE"""),0.0)</f>
        <v>0</v>
      </c>
      <c r="S1522" s="3"/>
      <c r="T1522" s="5"/>
      <c r="U1522" s="5"/>
      <c r="V1522" s="5"/>
      <c r="W1522" s="5" t="str">
        <f>IFERROR(__xludf.DUMMYFUNCTION("""COMPUTED_VALUE"""),"Simon")</f>
        <v>Simon</v>
      </c>
    </row>
    <row r="1523" ht="15.75" customHeight="1">
      <c r="A1523" s="3">
        <f>IFERROR(__xludf.DUMMYFUNCTION("""COMPUTED_VALUE"""),1523.0)</f>
        <v>1523</v>
      </c>
      <c r="B1523" s="53">
        <f>IFERROR(__xludf.DUMMYFUNCTION("""COMPUTED_VALUE"""),45803.0)</f>
        <v>45803</v>
      </c>
      <c r="C1523" s="3">
        <f>IFERROR(__xludf.DUMMYFUNCTION("""COMPUTED_VALUE"""),95.0)</f>
        <v>95</v>
      </c>
      <c r="D1523" s="3" t="str">
        <f>IFERROR(__xludf.DUMMYFUNCTION("""COMPUTED_VALUE"""),"263cc8c0")</f>
        <v>263cc8c0</v>
      </c>
      <c r="E1523" s="54">
        <f>IFERROR(__xludf.DUMMYFUNCTION("""COMPUTED_VALUE"""),77100.0)</f>
        <v>77100</v>
      </c>
      <c r="F1523" s="3" t="str">
        <f>IFERROR(__xludf.DUMMYFUNCTION("""COMPUTED_VALUE"""),"Syrah")</f>
        <v>Syrah</v>
      </c>
      <c r="G1523" s="55">
        <f>IFERROR(__xludf.DUMMYFUNCTION("""COMPUTED_VALUE"""),14.3)</f>
        <v>14.3</v>
      </c>
      <c r="H1523" s="56">
        <f>IFERROR(__xludf.DUMMYFUNCTION("""COMPUTED_VALUE"""),3.0)</f>
        <v>3</v>
      </c>
      <c r="I1523" s="57">
        <f>IFERROR(__xludf.DUMMYFUNCTION("""COMPUTED_VALUE"""),0.6)</f>
        <v>0.6</v>
      </c>
      <c r="J1523" s="57">
        <f>IFERROR(__xludf.DUMMYFUNCTION("""COMPUTED_VALUE"""),5.77)</f>
        <v>5.77</v>
      </c>
      <c r="K1523" s="3"/>
      <c r="L1523" s="3"/>
      <c r="M1523" s="3"/>
      <c r="N1523" s="3"/>
      <c r="O1523" s="3"/>
      <c r="P1523" s="3"/>
      <c r="Q1523" s="3"/>
      <c r="R1523" s="3">
        <f>IFERROR(__xludf.DUMMYFUNCTION("""COMPUTED_VALUE"""),0.0)</f>
        <v>0</v>
      </c>
      <c r="S1523" s="3"/>
      <c r="T1523" s="5"/>
      <c r="U1523" s="5"/>
      <c r="V1523" s="5"/>
      <c r="W1523" s="5" t="str">
        <f>IFERROR(__xludf.DUMMYFUNCTION("""COMPUTED_VALUE"""),"Simon")</f>
        <v>Simon</v>
      </c>
    </row>
    <row r="1524" ht="15.75" customHeight="1">
      <c r="A1524" s="3">
        <f>IFERROR(__xludf.DUMMYFUNCTION("""COMPUTED_VALUE"""),1524.0)</f>
        <v>1524</v>
      </c>
      <c r="B1524" s="53">
        <f>IFERROR(__xludf.DUMMYFUNCTION("""COMPUTED_VALUE"""),45803.0)</f>
        <v>45803</v>
      </c>
      <c r="C1524" s="3">
        <f>IFERROR(__xludf.DUMMYFUNCTION("""COMPUTED_VALUE"""),96.0)</f>
        <v>96</v>
      </c>
      <c r="D1524" s="3" t="str">
        <f>IFERROR(__xludf.DUMMYFUNCTION("""COMPUTED_VALUE"""),"4b0ee075")</f>
        <v>4b0ee075</v>
      </c>
      <c r="E1524" s="54">
        <f>IFERROR(__xludf.DUMMYFUNCTION("""COMPUTED_VALUE"""),85600.0)</f>
        <v>85600</v>
      </c>
      <c r="F1524" s="3" t="str">
        <f>IFERROR(__xludf.DUMMYFUNCTION("""COMPUTED_VALUE"""),"Syrah")</f>
        <v>Syrah</v>
      </c>
      <c r="G1524" s="55">
        <f>IFERROR(__xludf.DUMMYFUNCTION("""COMPUTED_VALUE"""),14.4)</f>
        <v>14.4</v>
      </c>
      <c r="H1524" s="56">
        <f>IFERROR(__xludf.DUMMYFUNCTION("""COMPUTED_VALUE"""),2.6)</f>
        <v>2.6</v>
      </c>
      <c r="I1524" s="57">
        <f>IFERROR(__xludf.DUMMYFUNCTION("""COMPUTED_VALUE"""),0.59)</f>
        <v>0.59</v>
      </c>
      <c r="J1524" s="57">
        <f>IFERROR(__xludf.DUMMYFUNCTION("""COMPUTED_VALUE"""),5.55)</f>
        <v>5.55</v>
      </c>
      <c r="K1524" s="3"/>
      <c r="L1524" s="3"/>
      <c r="M1524" s="3"/>
      <c r="N1524" s="3"/>
      <c r="O1524" s="3"/>
      <c r="P1524" s="3"/>
      <c r="Q1524" s="3"/>
      <c r="R1524" s="3">
        <f>IFERROR(__xludf.DUMMYFUNCTION("""COMPUTED_VALUE"""),0.0)</f>
        <v>0</v>
      </c>
      <c r="S1524" s="3"/>
      <c r="T1524" s="5"/>
      <c r="U1524" s="5"/>
      <c r="V1524" s="5"/>
      <c r="W1524" s="5" t="str">
        <f>IFERROR(__xludf.DUMMYFUNCTION("""COMPUTED_VALUE"""),"Simon")</f>
        <v>Simon</v>
      </c>
    </row>
    <row r="1525" ht="15.75" customHeight="1">
      <c r="A1525" s="3">
        <f>IFERROR(__xludf.DUMMYFUNCTION("""COMPUTED_VALUE"""),1525.0)</f>
        <v>1525</v>
      </c>
      <c r="B1525" s="53">
        <f>IFERROR(__xludf.DUMMYFUNCTION("""COMPUTED_VALUE"""),45805.0)</f>
        <v>45805</v>
      </c>
      <c r="C1525" s="3">
        <f>IFERROR(__xludf.DUMMYFUNCTION("""COMPUTED_VALUE"""),115.0)</f>
        <v>115</v>
      </c>
      <c r="D1525" s="3"/>
      <c r="E1525" s="3"/>
      <c r="F1525" s="3" t="str">
        <f>IFERROR(__xludf.DUMMYFUNCTION("""COMPUTED_VALUE"""),"cab 80/20 rectificado")</f>
        <v>cab 80/20 rectificado</v>
      </c>
      <c r="G1525" s="3"/>
      <c r="H1525" s="3"/>
      <c r="I1525" s="3"/>
      <c r="J1525" s="3"/>
      <c r="K1525" s="57">
        <f>IFERROR(__xludf.DUMMYFUNCTION("""COMPUTED_VALUE"""),3.67)</f>
        <v>3.67</v>
      </c>
      <c r="L1525" s="3"/>
      <c r="M1525" s="3"/>
      <c r="N1525" s="3"/>
      <c r="O1525" s="3"/>
      <c r="P1525" s="3"/>
      <c r="Q1525" s="3"/>
      <c r="R1525" s="3">
        <f>IFERROR(__xludf.DUMMYFUNCTION("""COMPUTED_VALUE"""),0.0)</f>
        <v>0</v>
      </c>
      <c r="S1525" s="3"/>
      <c r="T1525" s="5"/>
      <c r="U1525" s="5"/>
      <c r="V1525" s="5"/>
      <c r="W1525" s="5"/>
    </row>
    <row r="1526" ht="15.75" customHeight="1">
      <c r="A1526" s="3">
        <f>IFERROR(__xludf.DUMMYFUNCTION("""COMPUTED_VALUE"""),1526.0)</f>
        <v>1526</v>
      </c>
      <c r="B1526" s="53">
        <f>IFERROR(__xludf.DUMMYFUNCTION("""COMPUTED_VALUE"""),45805.0)</f>
        <v>45805</v>
      </c>
      <c r="C1526" s="3">
        <f>IFERROR(__xludf.DUMMYFUNCTION("""COMPUTED_VALUE"""),111.0)</f>
        <v>111</v>
      </c>
      <c r="D1526" s="3" t="str">
        <f>IFERROR(__xludf.DUMMYFUNCTION("""COMPUTED_VALUE"""),"3f3e8ee6")</f>
        <v>3f3e8ee6</v>
      </c>
      <c r="E1526" s="54">
        <f>IFERROR(__xludf.DUMMYFUNCTION("""COMPUTED_VALUE"""),4000.0)</f>
        <v>4000</v>
      </c>
      <c r="F1526" s="3" t="str">
        <f>IFERROR(__xludf.DUMMYFUNCTION("""COMPUTED_VALUE"""),"Malbec Magneta")</f>
        <v>Malbec Magneta</v>
      </c>
      <c r="G1526" s="3"/>
      <c r="H1526" s="3"/>
      <c r="I1526" s="3"/>
      <c r="J1526" s="3"/>
      <c r="K1526" s="3"/>
      <c r="L1526" s="54">
        <f>IFERROR(__xludf.DUMMYFUNCTION("""COMPUTED_VALUE"""),36.0)</f>
        <v>36</v>
      </c>
      <c r="M1526" s="3">
        <f>IFERROR(__xludf.DUMMYFUNCTION("""COMPUTED_VALUE"""),125.0)</f>
        <v>125</v>
      </c>
      <c r="N1526" s="3"/>
      <c r="O1526" s="3"/>
      <c r="P1526" s="3"/>
      <c r="Q1526" s="3"/>
      <c r="R1526" s="3">
        <f>IFERROR(__xludf.DUMMYFUNCTION("""COMPUTED_VALUE"""),0.0)</f>
        <v>0</v>
      </c>
      <c r="S1526" s="3"/>
      <c r="T1526" s="5"/>
      <c r="U1526" s="5"/>
      <c r="V1526" s="5"/>
      <c r="W1526" s="5"/>
    </row>
    <row r="1527" ht="15.75" customHeight="1">
      <c r="A1527" s="3">
        <f>IFERROR(__xludf.DUMMYFUNCTION("""COMPUTED_VALUE"""),1527.0)</f>
        <v>1527</v>
      </c>
      <c r="B1527" s="53">
        <f>IFERROR(__xludf.DUMMYFUNCTION("""COMPUTED_VALUE"""),45805.0)</f>
        <v>45805</v>
      </c>
      <c r="C1527" s="3">
        <f>IFERROR(__xludf.DUMMYFUNCTION("""COMPUTED_VALUE"""),109.0)</f>
        <v>109</v>
      </c>
      <c r="D1527" s="3" t="str">
        <f>IFERROR(__xludf.DUMMYFUNCTION("""COMPUTED_VALUE"""),"605416fd")</f>
        <v>605416fd</v>
      </c>
      <c r="E1527" s="54">
        <f>IFERROR(__xludf.DUMMYFUNCTION("""COMPUTED_VALUE"""),15600.0)</f>
        <v>15600</v>
      </c>
      <c r="F1527" s="3" t="str">
        <f>IFERROR(__xludf.DUMMYFUNCTION("""COMPUTED_VALUE"""),"Bonarda")</f>
        <v>Bonarda</v>
      </c>
      <c r="G1527" s="3"/>
      <c r="H1527" s="3"/>
      <c r="I1527" s="3"/>
      <c r="J1527" s="3"/>
      <c r="K1527" s="3"/>
      <c r="L1527" s="54">
        <f>IFERROR(__xludf.DUMMYFUNCTION("""COMPUTED_VALUE"""),33.0)</f>
        <v>33</v>
      </c>
      <c r="M1527" s="3">
        <f>IFERROR(__xludf.DUMMYFUNCTION("""COMPUTED_VALUE"""),130.0)</f>
        <v>130</v>
      </c>
      <c r="N1527" s="3"/>
      <c r="O1527" s="3"/>
      <c r="P1527" s="3"/>
      <c r="Q1527" s="3"/>
      <c r="R1527" s="3">
        <f>IFERROR(__xludf.DUMMYFUNCTION("""COMPUTED_VALUE"""),0.0)</f>
        <v>0</v>
      </c>
      <c r="S1527" s="3"/>
      <c r="T1527" s="5"/>
      <c r="U1527" s="5"/>
      <c r="V1527" s="5"/>
      <c r="W1527" s="5"/>
    </row>
    <row r="1528" ht="15.75" customHeight="1">
      <c r="A1528" s="3">
        <f>IFERROR(__xludf.DUMMYFUNCTION("""COMPUTED_VALUE"""),1528.0)</f>
        <v>1528</v>
      </c>
      <c r="B1528" s="53">
        <f>IFERROR(__xludf.DUMMYFUNCTION("""COMPUTED_VALUE"""),45805.0)</f>
        <v>45805</v>
      </c>
      <c r="C1528" s="3">
        <f>IFERROR(__xludf.DUMMYFUNCTION("""COMPUTED_VALUE"""),107.0)</f>
        <v>107</v>
      </c>
      <c r="D1528" s="3" t="str">
        <f>IFERROR(__xludf.DUMMYFUNCTION("""COMPUTED_VALUE"""),"3f5178fd")</f>
        <v>3f5178fd</v>
      </c>
      <c r="E1528" s="54">
        <f>IFERROR(__xludf.DUMMYFUNCTION("""COMPUTED_VALUE"""),31000.0)</f>
        <v>31000</v>
      </c>
      <c r="F1528" s="3" t="str">
        <f>IFERROR(__xludf.DUMMYFUNCTION("""COMPUTED_VALUE"""),"Bonarda")</f>
        <v>Bonarda</v>
      </c>
      <c r="G1528" s="3"/>
      <c r="H1528" s="3"/>
      <c r="I1528" s="3"/>
      <c r="J1528" s="3"/>
      <c r="K1528" s="3"/>
      <c r="L1528" s="54">
        <f>IFERROR(__xludf.DUMMYFUNCTION("""COMPUTED_VALUE"""),32.0)</f>
        <v>32</v>
      </c>
      <c r="M1528" s="3">
        <f>IFERROR(__xludf.DUMMYFUNCTION("""COMPUTED_VALUE"""),143.0)</f>
        <v>143</v>
      </c>
      <c r="N1528" s="3"/>
      <c r="O1528" s="3"/>
      <c r="P1528" s="3"/>
      <c r="Q1528" s="3"/>
      <c r="R1528" s="3">
        <f>IFERROR(__xludf.DUMMYFUNCTION("""COMPUTED_VALUE"""),0.0)</f>
        <v>0</v>
      </c>
      <c r="S1528" s="3"/>
      <c r="T1528" s="5"/>
      <c r="U1528" s="5"/>
      <c r="V1528" s="5"/>
      <c r="W1528" s="5"/>
    </row>
    <row r="1529" ht="15.75" customHeight="1">
      <c r="A1529" s="3">
        <f>IFERROR(__xludf.DUMMYFUNCTION("""COMPUTED_VALUE"""),1529.0)</f>
        <v>1529</v>
      </c>
      <c r="B1529" s="53">
        <f>IFERROR(__xludf.DUMMYFUNCTION("""COMPUTED_VALUE"""),45805.0)</f>
        <v>45805</v>
      </c>
      <c r="C1529" s="3">
        <f>IFERROR(__xludf.DUMMYFUNCTION("""COMPUTED_VALUE"""),105.0)</f>
        <v>105</v>
      </c>
      <c r="D1529" s="3" t="str">
        <f>IFERROR(__xludf.DUMMYFUNCTION("""COMPUTED_VALUE"""),"57a4fe30")</f>
        <v>57a4fe30</v>
      </c>
      <c r="E1529" s="54">
        <f>IFERROR(__xludf.DUMMYFUNCTION("""COMPUTED_VALUE"""),31000.0)</f>
        <v>31000</v>
      </c>
      <c r="F1529" s="3" t="str">
        <f>IFERROR(__xludf.DUMMYFUNCTION("""COMPUTED_VALUE"""),"Bonarda")</f>
        <v>Bonarda</v>
      </c>
      <c r="G1529" s="3"/>
      <c r="H1529" s="3"/>
      <c r="I1529" s="3"/>
      <c r="J1529" s="3"/>
      <c r="K1529" s="3"/>
      <c r="L1529" s="54">
        <f>IFERROR(__xludf.DUMMYFUNCTION("""COMPUTED_VALUE"""),32.0)</f>
        <v>32</v>
      </c>
      <c r="M1529" s="3">
        <f>IFERROR(__xludf.DUMMYFUNCTION("""COMPUTED_VALUE"""),138.0)</f>
        <v>138</v>
      </c>
      <c r="N1529" s="3"/>
      <c r="O1529" s="3"/>
      <c r="P1529" s="3"/>
      <c r="Q1529" s="3"/>
      <c r="R1529" s="3">
        <f>IFERROR(__xludf.DUMMYFUNCTION("""COMPUTED_VALUE"""),0.0)</f>
        <v>0</v>
      </c>
      <c r="S1529" s="3"/>
      <c r="T1529" s="5"/>
      <c r="U1529" s="5"/>
      <c r="V1529" s="5"/>
      <c r="W1529" s="5"/>
    </row>
    <row r="1530" ht="15.75" customHeight="1">
      <c r="A1530" s="3">
        <f>IFERROR(__xludf.DUMMYFUNCTION("""COMPUTED_VALUE"""),1530.0)</f>
        <v>1530</v>
      </c>
      <c r="B1530" s="53">
        <f>IFERROR(__xludf.DUMMYFUNCTION("""COMPUTED_VALUE"""),45805.0)</f>
        <v>45805</v>
      </c>
      <c r="C1530" s="3">
        <f>IFERROR(__xludf.DUMMYFUNCTION("""COMPUTED_VALUE"""),104.0)</f>
        <v>104</v>
      </c>
      <c r="D1530" s="3" t="str">
        <f>IFERROR(__xludf.DUMMYFUNCTION("""COMPUTED_VALUE"""),"029c104a")</f>
        <v>029c104a</v>
      </c>
      <c r="E1530" s="54">
        <f>IFERROR(__xludf.DUMMYFUNCTION("""COMPUTED_VALUE"""),31000.0)</f>
        <v>31000</v>
      </c>
      <c r="F1530" s="3" t="str">
        <f>IFERROR(__xludf.DUMMYFUNCTION("""COMPUTED_VALUE"""),"Bonarda")</f>
        <v>Bonarda</v>
      </c>
      <c r="G1530" s="3"/>
      <c r="H1530" s="3"/>
      <c r="I1530" s="3"/>
      <c r="J1530" s="3"/>
      <c r="K1530" s="3"/>
      <c r="L1530" s="54">
        <f>IFERROR(__xludf.DUMMYFUNCTION("""COMPUTED_VALUE"""),33.0)</f>
        <v>33</v>
      </c>
      <c r="M1530" s="3">
        <f>IFERROR(__xludf.DUMMYFUNCTION("""COMPUTED_VALUE"""),130.0)</f>
        <v>130</v>
      </c>
      <c r="N1530" s="3"/>
      <c r="O1530" s="3"/>
      <c r="P1530" s="3"/>
      <c r="Q1530" s="3"/>
      <c r="R1530" s="3">
        <f>IFERROR(__xludf.DUMMYFUNCTION("""COMPUTED_VALUE"""),0.0)</f>
        <v>0</v>
      </c>
      <c r="S1530" s="3"/>
      <c r="T1530" s="5"/>
      <c r="U1530" s="5"/>
      <c r="V1530" s="5"/>
      <c r="W1530" s="5"/>
    </row>
    <row r="1531" ht="15.75" customHeight="1">
      <c r="A1531" s="3">
        <f>IFERROR(__xludf.DUMMYFUNCTION("""COMPUTED_VALUE"""),1531.0)</f>
        <v>1531</v>
      </c>
      <c r="B1531" s="53">
        <f>IFERROR(__xludf.DUMMYFUNCTION("""COMPUTED_VALUE"""),45805.0)</f>
        <v>45805</v>
      </c>
      <c r="C1531" s="3">
        <f>IFERROR(__xludf.DUMMYFUNCTION("""COMPUTED_VALUE"""),102.0)</f>
        <v>102</v>
      </c>
      <c r="D1531" s="3" t="str">
        <f>IFERROR(__xludf.DUMMYFUNCTION("""COMPUTED_VALUE"""),"5091788b")</f>
        <v>5091788b</v>
      </c>
      <c r="E1531" s="54">
        <f>IFERROR(__xludf.DUMMYFUNCTION("""COMPUTED_VALUE"""),31000.0)</f>
        <v>31000</v>
      </c>
      <c r="F1531" s="3" t="str">
        <f>IFERROR(__xludf.DUMMYFUNCTION("""COMPUTED_VALUE"""),"Bonarda")</f>
        <v>Bonarda</v>
      </c>
      <c r="G1531" s="3"/>
      <c r="H1531" s="3"/>
      <c r="I1531" s="3"/>
      <c r="J1531" s="3"/>
      <c r="K1531" s="3"/>
      <c r="L1531" s="54">
        <f>IFERROR(__xludf.DUMMYFUNCTION("""COMPUTED_VALUE"""),31.0)</f>
        <v>31</v>
      </c>
      <c r="M1531" s="3">
        <f>IFERROR(__xludf.DUMMYFUNCTION("""COMPUTED_VALUE"""),121.0)</f>
        <v>121</v>
      </c>
      <c r="N1531" s="3"/>
      <c r="O1531" s="3"/>
      <c r="P1531" s="3"/>
      <c r="Q1531" s="3"/>
      <c r="R1531" s="3">
        <f>IFERROR(__xludf.DUMMYFUNCTION("""COMPUTED_VALUE"""),0.0)</f>
        <v>0</v>
      </c>
      <c r="S1531" s="3"/>
      <c r="T1531" s="5"/>
      <c r="U1531" s="5"/>
      <c r="V1531" s="5"/>
      <c r="W1531" s="5"/>
    </row>
    <row r="1532" ht="15.75" customHeight="1">
      <c r="A1532" s="3">
        <f>IFERROR(__xludf.DUMMYFUNCTION("""COMPUTED_VALUE"""),1532.0)</f>
        <v>1532</v>
      </c>
      <c r="B1532" s="53">
        <f>IFERROR(__xludf.DUMMYFUNCTION("""COMPUTED_VALUE"""),45805.0)</f>
        <v>45805</v>
      </c>
      <c r="C1532" s="3">
        <f>IFERROR(__xludf.DUMMYFUNCTION("""COMPUTED_VALUE"""),103.0)</f>
        <v>103</v>
      </c>
      <c r="D1532" s="3" t="str">
        <f>IFERROR(__xludf.DUMMYFUNCTION("""COMPUTED_VALUE"""),"eb5a88ac")</f>
        <v>eb5a88ac</v>
      </c>
      <c r="E1532" s="54">
        <f>IFERROR(__xludf.DUMMYFUNCTION("""COMPUTED_VALUE"""),31000.0)</f>
        <v>31000</v>
      </c>
      <c r="F1532" s="3" t="str">
        <f>IFERROR(__xludf.DUMMYFUNCTION("""COMPUTED_VALUE"""),"Bonarda")</f>
        <v>Bonarda</v>
      </c>
      <c r="G1532" s="3"/>
      <c r="H1532" s="3"/>
      <c r="I1532" s="3"/>
      <c r="J1532" s="3"/>
      <c r="K1532" s="3"/>
      <c r="L1532" s="54">
        <f>IFERROR(__xludf.DUMMYFUNCTION("""COMPUTED_VALUE"""),34.0)</f>
        <v>34</v>
      </c>
      <c r="M1532" s="3">
        <f>IFERROR(__xludf.DUMMYFUNCTION("""COMPUTED_VALUE"""),123.0)</f>
        <v>123</v>
      </c>
      <c r="N1532" s="3"/>
      <c r="O1532" s="3"/>
      <c r="P1532" s="3"/>
      <c r="Q1532" s="3"/>
      <c r="R1532" s="3">
        <f>IFERROR(__xludf.DUMMYFUNCTION("""COMPUTED_VALUE"""),0.0)</f>
        <v>0</v>
      </c>
      <c r="S1532" s="3"/>
      <c r="T1532" s="5"/>
      <c r="U1532" s="5"/>
      <c r="V1532" s="5"/>
      <c r="W1532" s="5"/>
    </row>
    <row r="1533" ht="15.75" customHeight="1">
      <c r="A1533" s="3">
        <f>IFERROR(__xludf.DUMMYFUNCTION("""COMPUTED_VALUE"""),1533.0)</f>
        <v>1533</v>
      </c>
      <c r="B1533" s="53">
        <f>IFERROR(__xludf.DUMMYFUNCTION("""COMPUTED_VALUE"""),45805.0)</f>
        <v>45805</v>
      </c>
      <c r="C1533" s="3">
        <f>IFERROR(__xludf.DUMMYFUNCTION("""COMPUTED_VALUE"""),53.0)</f>
        <v>53</v>
      </c>
      <c r="D1533" s="3" t="str">
        <f>IFERROR(__xludf.DUMMYFUNCTION("""COMPUTED_VALUE"""),"c6964445")</f>
        <v>c6964445</v>
      </c>
      <c r="E1533" s="54">
        <f>IFERROR(__xludf.DUMMYFUNCTION("""COMPUTED_VALUE"""),22000.0)</f>
        <v>22000</v>
      </c>
      <c r="F1533" s="3" t="str">
        <f>IFERROR(__xludf.DUMMYFUNCTION("""COMPUTED_VALUE"""),"Syrah")</f>
        <v>Syrah</v>
      </c>
      <c r="G1533" s="3"/>
      <c r="H1533" s="3"/>
      <c r="I1533" s="3"/>
      <c r="J1533" s="3"/>
      <c r="K1533" s="3"/>
      <c r="L1533" s="54">
        <f>IFERROR(__xludf.DUMMYFUNCTION("""COMPUTED_VALUE"""),38.0)</f>
        <v>38</v>
      </c>
      <c r="M1533" s="3">
        <f>IFERROR(__xludf.DUMMYFUNCTION("""COMPUTED_VALUE"""),110.0)</f>
        <v>110</v>
      </c>
      <c r="N1533" s="3"/>
      <c r="O1533" s="3"/>
      <c r="P1533" s="3"/>
      <c r="Q1533" s="3"/>
      <c r="R1533" s="3">
        <f>IFERROR(__xludf.DUMMYFUNCTION("""COMPUTED_VALUE"""),0.0)</f>
        <v>0</v>
      </c>
      <c r="S1533" s="3"/>
      <c r="T1533" s="5"/>
      <c r="U1533" s="5"/>
      <c r="V1533" s="5"/>
      <c r="W1533" s="5"/>
    </row>
    <row r="1534" ht="15.75" customHeight="1">
      <c r="A1534" s="3">
        <f>IFERROR(__xludf.DUMMYFUNCTION("""COMPUTED_VALUE"""),1534.0)</f>
        <v>1534</v>
      </c>
      <c r="B1534" s="53">
        <f>IFERROR(__xludf.DUMMYFUNCTION("""COMPUTED_VALUE"""),45805.0)</f>
        <v>45805</v>
      </c>
      <c r="C1534" s="3">
        <f>IFERROR(__xludf.DUMMYFUNCTION("""COMPUTED_VALUE"""),15.0)</f>
        <v>15</v>
      </c>
      <c r="D1534" s="3" t="str">
        <f>IFERROR(__xludf.DUMMYFUNCTION("""COMPUTED_VALUE"""),"8a5cc2ae")</f>
        <v>8a5cc2ae</v>
      </c>
      <c r="E1534" s="54">
        <f>IFERROR(__xludf.DUMMYFUNCTION("""COMPUTED_VALUE"""),36500.0)</f>
        <v>36500</v>
      </c>
      <c r="F1534" s="3" t="str">
        <f>IFERROR(__xludf.DUMMYFUNCTION("""COMPUTED_VALUE"""),"Bonarda")</f>
        <v>Bonarda</v>
      </c>
      <c r="G1534" s="3"/>
      <c r="H1534" s="3"/>
      <c r="I1534" s="3"/>
      <c r="J1534" s="3"/>
      <c r="K1534" s="3"/>
      <c r="L1534" s="54">
        <f>IFERROR(__xludf.DUMMYFUNCTION("""COMPUTED_VALUE"""),35.0)</f>
        <v>35</v>
      </c>
      <c r="M1534" s="3">
        <f>IFERROR(__xludf.DUMMYFUNCTION("""COMPUTED_VALUE"""),151.0)</f>
        <v>151</v>
      </c>
      <c r="N1534" s="3"/>
      <c r="O1534" s="3"/>
      <c r="P1534" s="3"/>
      <c r="Q1534" s="3"/>
      <c r="R1534" s="3">
        <f>IFERROR(__xludf.DUMMYFUNCTION("""COMPUTED_VALUE"""),0.0)</f>
        <v>0</v>
      </c>
      <c r="S1534" s="3"/>
      <c r="T1534" s="5"/>
      <c r="U1534" s="5"/>
      <c r="V1534" s="5"/>
      <c r="W1534" s="5"/>
    </row>
    <row r="1535" ht="15.75" customHeight="1">
      <c r="A1535" s="3">
        <f>IFERROR(__xludf.DUMMYFUNCTION("""COMPUTED_VALUE"""),1535.0)</f>
        <v>1535</v>
      </c>
      <c r="B1535" s="53">
        <f>IFERROR(__xludf.DUMMYFUNCTION("""COMPUTED_VALUE"""),45807.0)</f>
        <v>45807</v>
      </c>
      <c r="C1535" s="3">
        <f>IFERROR(__xludf.DUMMYFUNCTION("""COMPUTED_VALUE"""),24.0)</f>
        <v>24</v>
      </c>
      <c r="D1535" s="3" t="str">
        <f>IFERROR(__xludf.DUMMYFUNCTION("""COMPUTED_VALUE"""),"b3a40361")</f>
        <v>b3a40361</v>
      </c>
      <c r="E1535" s="54">
        <f>IFERROR(__xludf.DUMMYFUNCTION("""COMPUTED_VALUE"""),186600.0)</f>
        <v>186600</v>
      </c>
      <c r="F1535" s="3" t="str">
        <f>IFERROR(__xludf.DUMMYFUNCTION("""COMPUTED_VALUE"""),"Malbec")</f>
        <v>Malbec</v>
      </c>
      <c r="G1535" s="55">
        <f>IFERROR(__xludf.DUMMYFUNCTION("""COMPUTED_VALUE"""),14.0)</f>
        <v>14</v>
      </c>
      <c r="H1535" s="56">
        <f>IFERROR(__xludf.DUMMYFUNCTION("""COMPUTED_VALUE"""),2.65)</f>
        <v>2.65</v>
      </c>
      <c r="I1535" s="57">
        <f>IFERROR(__xludf.DUMMYFUNCTION("""COMPUTED_VALUE"""),0.51)</f>
        <v>0.51</v>
      </c>
      <c r="J1535" s="57">
        <f>IFERROR(__xludf.DUMMYFUNCTION("""COMPUTED_VALUE"""),6.0)</f>
        <v>6</v>
      </c>
      <c r="K1535" s="3"/>
      <c r="L1535" s="3"/>
      <c r="M1535" s="3"/>
      <c r="N1535" s="3"/>
      <c r="O1535" s="3"/>
      <c r="P1535" s="3"/>
      <c r="Q1535" s="3"/>
      <c r="R1535" s="3">
        <f>IFERROR(__xludf.DUMMYFUNCTION("""COMPUTED_VALUE"""),0.0)</f>
        <v>0</v>
      </c>
      <c r="S1535" s="3"/>
      <c r="T1535" s="5"/>
      <c r="U1535" s="5"/>
      <c r="V1535" s="5"/>
      <c r="W1535" s="5" t="str">
        <f>IFERROR(__xludf.DUMMYFUNCTION("""COMPUTED_VALUE"""),"Simón realizo cloruros 0,264 g/ltsy sulfato 0,876 grs/litros")</f>
        <v>Simón realizo cloruros 0,264 g/ltsy sulfato 0,876 grs/litros</v>
      </c>
    </row>
    <row r="1536" ht="15.75" customHeight="1">
      <c r="A1536" s="3">
        <f>IFERROR(__xludf.DUMMYFUNCTION("""COMPUTED_VALUE"""),1536.0)</f>
        <v>1536</v>
      </c>
      <c r="B1536" s="53">
        <f>IFERROR(__xludf.DUMMYFUNCTION("""COMPUTED_VALUE"""),45807.0)</f>
        <v>45807</v>
      </c>
      <c r="C1536" s="3">
        <f>IFERROR(__xludf.DUMMYFUNCTION("""COMPUTED_VALUE"""),34.0)</f>
        <v>34</v>
      </c>
      <c r="D1536" s="3" t="str">
        <f>IFERROR(__xludf.DUMMYFUNCTION("""COMPUTED_VALUE"""),"08cd1438")</f>
        <v>08cd1438</v>
      </c>
      <c r="E1536" s="54">
        <f>IFERROR(__xludf.DUMMYFUNCTION("""COMPUTED_VALUE"""),39500.0)</f>
        <v>39500</v>
      </c>
      <c r="F1536" s="3" t="str">
        <f>IFERROR(__xludf.DUMMYFUNCTION("""COMPUTED_VALUE"""),"Malbec")</f>
        <v>Malbec</v>
      </c>
      <c r="G1536" s="55">
        <f>IFERROR(__xludf.DUMMYFUNCTION("""COMPUTED_VALUE"""),13.3)</f>
        <v>13.3</v>
      </c>
      <c r="H1536" s="56">
        <f>IFERROR(__xludf.DUMMYFUNCTION("""COMPUTED_VALUE"""),3.36)</f>
        <v>3.36</v>
      </c>
      <c r="I1536" s="57">
        <f>IFERROR(__xludf.DUMMYFUNCTION("""COMPUTED_VALUE"""),0.59)</f>
        <v>0.59</v>
      </c>
      <c r="J1536" s="57">
        <f>IFERROR(__xludf.DUMMYFUNCTION("""COMPUTED_VALUE"""),5.92)</f>
        <v>5.92</v>
      </c>
      <c r="K1536" s="3"/>
      <c r="L1536" s="3"/>
      <c r="M1536" s="3"/>
      <c r="N1536" s="3"/>
      <c r="O1536" s="3"/>
      <c r="P1536" s="3"/>
      <c r="Q1536" s="3"/>
      <c r="R1536" s="3">
        <f>IFERROR(__xludf.DUMMYFUNCTION("""COMPUTED_VALUE"""),0.0)</f>
        <v>0</v>
      </c>
      <c r="S1536" s="3"/>
      <c r="T1536" s="5"/>
      <c r="U1536" s="5"/>
      <c r="V1536" s="5"/>
      <c r="W1536" s="5" t="str">
        <f>IFERROR(__xludf.DUMMYFUNCTION("""COMPUTED_VALUE"""),"Simon")</f>
        <v>Simon</v>
      </c>
    </row>
    <row r="1537" ht="15.75" customHeight="1">
      <c r="A1537" s="3">
        <f>IFERROR(__xludf.DUMMYFUNCTION("""COMPUTED_VALUE"""),1537.0)</f>
        <v>1537</v>
      </c>
      <c r="B1537" s="53">
        <f>IFERROR(__xludf.DUMMYFUNCTION("""COMPUTED_VALUE"""),45807.0)</f>
        <v>45807</v>
      </c>
      <c r="C1537" s="3">
        <f>IFERROR(__xludf.DUMMYFUNCTION("""COMPUTED_VALUE"""),67.0)</f>
        <v>67</v>
      </c>
      <c r="D1537" s="3" t="str">
        <f>IFERROR(__xludf.DUMMYFUNCTION("""COMPUTED_VALUE"""),"654f35d0")</f>
        <v>654f35d0</v>
      </c>
      <c r="E1537" s="54">
        <f>IFERROR(__xludf.DUMMYFUNCTION("""COMPUTED_VALUE"""),23000.0)</f>
        <v>23000</v>
      </c>
      <c r="F1537" s="3" t="str">
        <f>IFERROR(__xludf.DUMMYFUNCTION("""COMPUTED_VALUE"""),"Anccelotta")</f>
        <v>Anccelotta</v>
      </c>
      <c r="G1537" s="55">
        <f>IFERROR(__xludf.DUMMYFUNCTION("""COMPUTED_VALUE"""),14.0)</f>
        <v>14</v>
      </c>
      <c r="H1537" s="56">
        <f>IFERROR(__xludf.DUMMYFUNCTION("""COMPUTED_VALUE"""),3.0)</f>
        <v>3</v>
      </c>
      <c r="I1537" s="57">
        <f>IFERROR(__xludf.DUMMYFUNCTION("""COMPUTED_VALUE"""),0.67)</f>
        <v>0.67</v>
      </c>
      <c r="J1537" s="57">
        <f>IFERROR(__xludf.DUMMYFUNCTION("""COMPUTED_VALUE"""),5.32)</f>
        <v>5.32</v>
      </c>
      <c r="K1537" s="3"/>
      <c r="L1537" s="3"/>
      <c r="M1537" s="3"/>
      <c r="N1537" s="3"/>
      <c r="O1537" s="3"/>
      <c r="P1537" s="3"/>
      <c r="Q1537" s="3"/>
      <c r="R1537" s="3">
        <f>IFERROR(__xludf.DUMMYFUNCTION("""COMPUTED_VALUE"""),0.0)</f>
        <v>0</v>
      </c>
      <c r="S1537" s="3"/>
      <c r="T1537" s="5"/>
      <c r="U1537" s="5"/>
      <c r="V1537" s="5"/>
      <c r="W1537" s="5" t="str">
        <f>IFERROR(__xludf.DUMMYFUNCTION("""COMPUTED_VALUE"""),"Simon")</f>
        <v>Simon</v>
      </c>
    </row>
    <row r="1538" ht="15.75" customHeight="1">
      <c r="A1538" s="3">
        <f>IFERROR(__xludf.DUMMYFUNCTION("""COMPUTED_VALUE"""),1538.0)</f>
        <v>1538</v>
      </c>
      <c r="B1538" s="53">
        <f>IFERROR(__xludf.DUMMYFUNCTION("""COMPUTED_VALUE"""),45807.0)</f>
        <v>45807</v>
      </c>
      <c r="C1538" s="3">
        <f>IFERROR(__xludf.DUMMYFUNCTION("""COMPUTED_VALUE"""),83.0)</f>
        <v>83</v>
      </c>
      <c r="D1538" s="3" t="str">
        <f>IFERROR(__xludf.DUMMYFUNCTION("""COMPUTED_VALUE"""),"1031b227")</f>
        <v>1031b227</v>
      </c>
      <c r="E1538" s="54">
        <f>IFERROR(__xludf.DUMMYFUNCTION("""COMPUTED_VALUE"""),81500.0)</f>
        <v>81500</v>
      </c>
      <c r="F1538" s="3" t="str">
        <f>IFERROR(__xludf.DUMMYFUNCTION("""COMPUTED_VALUE"""),"Malbec")</f>
        <v>Malbec</v>
      </c>
      <c r="G1538" s="55">
        <f>IFERROR(__xludf.DUMMYFUNCTION("""COMPUTED_VALUE"""),13.5)</f>
        <v>13.5</v>
      </c>
      <c r="H1538" s="56">
        <f>IFERROR(__xludf.DUMMYFUNCTION("""COMPUTED_VALUE"""),2.31)</f>
        <v>2.31</v>
      </c>
      <c r="I1538" s="57">
        <f>IFERROR(__xludf.DUMMYFUNCTION("""COMPUTED_VALUE"""),0.62)</f>
        <v>0.62</v>
      </c>
      <c r="J1538" s="57">
        <f>IFERROR(__xludf.DUMMYFUNCTION("""COMPUTED_VALUE"""),5.7)</f>
        <v>5.7</v>
      </c>
      <c r="K1538" s="3"/>
      <c r="L1538" s="3"/>
      <c r="M1538" s="3"/>
      <c r="N1538" s="3"/>
      <c r="O1538" s="3"/>
      <c r="P1538" s="3"/>
      <c r="Q1538" s="3"/>
      <c r="R1538" s="3">
        <f>IFERROR(__xludf.DUMMYFUNCTION("""COMPUTED_VALUE"""),0.0)</f>
        <v>0</v>
      </c>
      <c r="S1538" s="3"/>
      <c r="T1538" s="5"/>
      <c r="U1538" s="5"/>
      <c r="V1538" s="5"/>
      <c r="W1538" s="5" t="str">
        <f>IFERROR(__xludf.DUMMYFUNCTION("""COMPUTED_VALUE"""),"Simon")</f>
        <v>Simon</v>
      </c>
    </row>
    <row r="1539" ht="15.75" customHeight="1">
      <c r="A1539" s="3">
        <f>IFERROR(__xludf.DUMMYFUNCTION("""COMPUTED_VALUE"""),1539.0)</f>
        <v>1539</v>
      </c>
      <c r="B1539" s="53">
        <f>IFERROR(__xludf.DUMMYFUNCTION("""COMPUTED_VALUE"""),45807.0)</f>
        <v>45807</v>
      </c>
      <c r="C1539" s="3">
        <f>IFERROR(__xludf.DUMMYFUNCTION("""COMPUTED_VALUE"""),116.0)</f>
        <v>116</v>
      </c>
      <c r="D1539" s="3" t="str">
        <f>IFERROR(__xludf.DUMMYFUNCTION("""COMPUTED_VALUE"""),"b4fedb16")</f>
        <v>b4fedb16</v>
      </c>
      <c r="E1539" s="54">
        <f>IFERROR(__xludf.DUMMYFUNCTION("""COMPUTED_VALUE"""),99600.0)</f>
        <v>99600</v>
      </c>
      <c r="F1539" s="3" t="str">
        <f>IFERROR(__xludf.DUMMYFUNCTION("""COMPUTED_VALUE"""),"Malbec")</f>
        <v>Malbec</v>
      </c>
      <c r="G1539" s="55">
        <f>IFERROR(__xludf.DUMMYFUNCTION("""COMPUTED_VALUE"""),13.2)</f>
        <v>13.2</v>
      </c>
      <c r="H1539" s="56">
        <f>IFERROR(__xludf.DUMMYFUNCTION("""COMPUTED_VALUE"""),3.17)</f>
        <v>3.17</v>
      </c>
      <c r="I1539" s="57">
        <f>IFERROR(__xludf.DUMMYFUNCTION("""COMPUTED_VALUE"""),0.55)</f>
        <v>0.55</v>
      </c>
      <c r="J1539" s="57">
        <f>IFERROR(__xludf.DUMMYFUNCTION("""COMPUTED_VALUE"""),5.47)</f>
        <v>5.47</v>
      </c>
      <c r="K1539" s="3"/>
      <c r="L1539" s="3"/>
      <c r="M1539" s="3"/>
      <c r="N1539" s="3"/>
      <c r="O1539" s="3"/>
      <c r="P1539" s="3"/>
      <c r="Q1539" s="3"/>
      <c r="R1539" s="3">
        <f>IFERROR(__xludf.DUMMYFUNCTION("""COMPUTED_VALUE"""),0.0)</f>
        <v>0</v>
      </c>
      <c r="S1539" s="3"/>
      <c r="T1539" s="5"/>
      <c r="U1539" s="5"/>
      <c r="V1539" s="5"/>
      <c r="W1539" s="5" t="str">
        <f>IFERROR(__xludf.DUMMYFUNCTION("""COMPUTED_VALUE"""),"Simon")</f>
        <v>Simon</v>
      </c>
    </row>
    <row r="1540" ht="15.75" customHeight="1">
      <c r="A1540" s="3">
        <f>IFERROR(__xludf.DUMMYFUNCTION("""COMPUTED_VALUE"""),1540.0)</f>
        <v>1540</v>
      </c>
      <c r="B1540" s="53">
        <f>IFERROR(__xludf.DUMMYFUNCTION("""COMPUTED_VALUE"""),45807.0)</f>
        <v>45807</v>
      </c>
      <c r="C1540" s="3">
        <f>IFERROR(__xludf.DUMMYFUNCTION("""COMPUTED_VALUE"""),121.0)</f>
        <v>121</v>
      </c>
      <c r="D1540" s="3" t="str">
        <f>IFERROR(__xludf.DUMMYFUNCTION("""COMPUTED_VALUE"""),"589807bc")</f>
        <v>589807bc</v>
      </c>
      <c r="E1540" s="54">
        <f>IFERROR(__xludf.DUMMYFUNCTION("""COMPUTED_VALUE"""),85800.0)</f>
        <v>85800</v>
      </c>
      <c r="F1540" s="3" t="str">
        <f>IFERROR(__xludf.DUMMYFUNCTION("""COMPUTED_VALUE"""),"Malbec")</f>
        <v>Malbec</v>
      </c>
      <c r="G1540" s="55">
        <f>IFERROR(__xludf.DUMMYFUNCTION("""COMPUTED_VALUE"""),13.4)</f>
        <v>13.4</v>
      </c>
      <c r="H1540" s="56">
        <f>IFERROR(__xludf.DUMMYFUNCTION("""COMPUTED_VALUE"""),3.32)</f>
        <v>3.32</v>
      </c>
      <c r="I1540" s="57">
        <f>IFERROR(__xludf.DUMMYFUNCTION("""COMPUTED_VALUE"""),0.52)</f>
        <v>0.52</v>
      </c>
      <c r="J1540" s="57">
        <f>IFERROR(__xludf.DUMMYFUNCTION("""COMPUTED_VALUE"""),5.25)</f>
        <v>5.25</v>
      </c>
      <c r="K1540" s="3"/>
      <c r="L1540" s="3"/>
      <c r="M1540" s="3"/>
      <c r="N1540" s="3"/>
      <c r="O1540" s="3"/>
      <c r="P1540" s="3"/>
      <c r="Q1540" s="3"/>
      <c r="R1540" s="3">
        <f>IFERROR(__xludf.DUMMYFUNCTION("""COMPUTED_VALUE"""),0.0)</f>
        <v>0</v>
      </c>
      <c r="S1540" s="3"/>
      <c r="T1540" s="5"/>
      <c r="U1540" s="5"/>
      <c r="V1540" s="5"/>
      <c r="W1540" s="5" t="str">
        <f>IFERROR(__xludf.DUMMYFUNCTION("""COMPUTED_VALUE"""),"Simon")</f>
        <v>Simon</v>
      </c>
    </row>
    <row r="1541" ht="15.75" customHeight="1">
      <c r="A1541" s="3">
        <f>IFERROR(__xludf.DUMMYFUNCTION("""COMPUTED_VALUE"""),1541.0)</f>
        <v>1541</v>
      </c>
      <c r="B1541" s="53">
        <f>IFERROR(__xludf.DUMMYFUNCTION("""COMPUTED_VALUE"""),45807.0)</f>
        <v>45807</v>
      </c>
      <c r="C1541" s="3">
        <f>IFERROR(__xludf.DUMMYFUNCTION("""COMPUTED_VALUE"""),15.0)</f>
        <v>15</v>
      </c>
      <c r="D1541" s="3" t="str">
        <f>IFERROR(__xludf.DUMMYFUNCTION("""COMPUTED_VALUE"""),"8a5cc2ae")</f>
        <v>8a5cc2ae</v>
      </c>
      <c r="E1541" s="54">
        <f>IFERROR(__xludf.DUMMYFUNCTION("""COMPUTED_VALUE"""),36500.0)</f>
        <v>36500</v>
      </c>
      <c r="F1541" s="3" t="str">
        <f>IFERROR(__xludf.DUMMYFUNCTION("""COMPUTED_VALUE"""),"Bonarda")</f>
        <v>Bonarda</v>
      </c>
      <c r="G1541" s="55">
        <f>IFERROR(__xludf.DUMMYFUNCTION("""COMPUTED_VALUE"""),13.3)</f>
        <v>13.3</v>
      </c>
      <c r="H1541" s="56">
        <f>IFERROR(__xludf.DUMMYFUNCTION("""COMPUTED_VALUE"""),3.31)</f>
        <v>3.31</v>
      </c>
      <c r="I1541" s="57">
        <f>IFERROR(__xludf.DUMMYFUNCTION("""COMPUTED_VALUE"""),0.5)</f>
        <v>0.5</v>
      </c>
      <c r="J1541" s="57">
        <f>IFERROR(__xludf.DUMMYFUNCTION("""COMPUTED_VALUE"""),6.75)</f>
        <v>6.75</v>
      </c>
      <c r="K1541" s="3"/>
      <c r="L1541" s="3"/>
      <c r="M1541" s="3"/>
      <c r="N1541" s="3"/>
      <c r="O1541" s="3"/>
      <c r="P1541" s="3"/>
      <c r="Q1541" s="3"/>
      <c r="R1541" s="3">
        <f>IFERROR(__xludf.DUMMYFUNCTION("""COMPUTED_VALUE"""),0.0)</f>
        <v>0</v>
      </c>
      <c r="S1541" s="3"/>
      <c r="T1541" s="5"/>
      <c r="U1541" s="5"/>
      <c r="V1541" s="5"/>
      <c r="W1541" s="5" t="str">
        <f>IFERROR(__xludf.DUMMYFUNCTION("""COMPUTED_VALUE"""),"Simon")</f>
        <v>Simon</v>
      </c>
    </row>
    <row r="1542" ht="15.75" customHeight="1">
      <c r="A1542" s="3">
        <f>IFERROR(__xludf.DUMMYFUNCTION("""COMPUTED_VALUE"""),1542.0)</f>
        <v>1542</v>
      </c>
      <c r="B1542" s="53">
        <f>IFERROR(__xludf.DUMMYFUNCTION("""COMPUTED_VALUE"""),45807.0)</f>
        <v>45807</v>
      </c>
      <c r="C1542" s="3">
        <f>IFERROR(__xludf.DUMMYFUNCTION("""COMPUTED_VALUE"""),53.0)</f>
        <v>53</v>
      </c>
      <c r="D1542" s="3" t="str">
        <f>IFERROR(__xludf.DUMMYFUNCTION("""COMPUTED_VALUE"""),"a5c09bfd")</f>
        <v>a5c09bfd</v>
      </c>
      <c r="E1542" s="54">
        <f>IFERROR(__xludf.DUMMYFUNCTION("""COMPUTED_VALUE"""),22000.0)</f>
        <v>22000</v>
      </c>
      <c r="F1542" s="3" t="str">
        <f>IFERROR(__xludf.DUMMYFUNCTION("""COMPUTED_VALUE"""),"Tanat")</f>
        <v>Tanat</v>
      </c>
      <c r="G1542" s="55">
        <f>IFERROR(__xludf.DUMMYFUNCTION("""COMPUTED_VALUE"""),14.2)</f>
        <v>14.2</v>
      </c>
      <c r="H1542" s="56">
        <f>IFERROR(__xludf.DUMMYFUNCTION("""COMPUTED_VALUE"""),3.0)</f>
        <v>3</v>
      </c>
      <c r="I1542" s="57">
        <f>IFERROR(__xludf.DUMMYFUNCTION("""COMPUTED_VALUE"""),0.54)</f>
        <v>0.54</v>
      </c>
      <c r="J1542" s="57">
        <f>IFERROR(__xludf.DUMMYFUNCTION("""COMPUTED_VALUE"""),5.47)</f>
        <v>5.47</v>
      </c>
      <c r="K1542" s="3"/>
      <c r="L1542" s="3"/>
      <c r="M1542" s="3"/>
      <c r="N1542" s="3"/>
      <c r="O1542" s="3"/>
      <c r="P1542" s="3"/>
      <c r="Q1542" s="3"/>
      <c r="R1542" s="3">
        <f>IFERROR(__xludf.DUMMYFUNCTION("""COMPUTED_VALUE"""),0.0)</f>
        <v>0</v>
      </c>
      <c r="S1542" s="3"/>
      <c r="T1542" s="5"/>
      <c r="U1542" s="5"/>
      <c r="V1542" s="5"/>
      <c r="W1542" s="5" t="str">
        <f>IFERROR(__xludf.DUMMYFUNCTION("""COMPUTED_VALUE"""),"Simon")</f>
        <v>Simon</v>
      </c>
    </row>
    <row r="1543" ht="15.75" customHeight="1">
      <c r="A1543" s="3">
        <f>IFERROR(__xludf.DUMMYFUNCTION("""COMPUTED_VALUE"""),1543.0)</f>
        <v>1543</v>
      </c>
      <c r="B1543" s="53">
        <f>IFERROR(__xludf.DUMMYFUNCTION("""COMPUTED_VALUE"""),45807.0)</f>
        <v>45807</v>
      </c>
      <c r="C1543" s="3">
        <f>IFERROR(__xludf.DUMMYFUNCTION("""COMPUTED_VALUE"""),102.0)</f>
        <v>102</v>
      </c>
      <c r="D1543" s="3" t="str">
        <f>IFERROR(__xludf.DUMMYFUNCTION("""COMPUTED_VALUE"""),"5091788b")</f>
        <v>5091788b</v>
      </c>
      <c r="E1543" s="54">
        <f>IFERROR(__xludf.DUMMYFUNCTION("""COMPUTED_VALUE"""),31000.0)</f>
        <v>31000</v>
      </c>
      <c r="F1543" s="3" t="str">
        <f>IFERROR(__xludf.DUMMYFUNCTION("""COMPUTED_VALUE"""),"Bonarda")</f>
        <v>Bonarda</v>
      </c>
      <c r="G1543" s="55">
        <f>IFERROR(__xludf.DUMMYFUNCTION("""COMPUTED_VALUE"""),13.9)</f>
        <v>13.9</v>
      </c>
      <c r="H1543" s="56">
        <f>IFERROR(__xludf.DUMMYFUNCTION("""COMPUTED_VALUE"""),3.75)</f>
        <v>3.75</v>
      </c>
      <c r="I1543" s="57">
        <f>IFERROR(__xludf.DUMMYFUNCTION("""COMPUTED_VALUE"""),0.57)</f>
        <v>0.57</v>
      </c>
      <c r="J1543" s="57">
        <f>IFERROR(__xludf.DUMMYFUNCTION("""COMPUTED_VALUE"""),7.5)</f>
        <v>7.5</v>
      </c>
      <c r="K1543" s="3"/>
      <c r="L1543" s="3"/>
      <c r="M1543" s="3"/>
      <c r="N1543" s="3"/>
      <c r="O1543" s="3"/>
      <c r="P1543" s="3"/>
      <c r="Q1543" s="3"/>
      <c r="R1543" s="3">
        <f>IFERROR(__xludf.DUMMYFUNCTION("""COMPUTED_VALUE"""),0.0)</f>
        <v>0</v>
      </c>
      <c r="S1543" s="3"/>
      <c r="T1543" s="5"/>
      <c r="U1543" s="5"/>
      <c r="V1543" s="5"/>
      <c r="W1543" s="5" t="str">
        <f>IFERROR(__xludf.DUMMYFUNCTION("""COMPUTED_VALUE"""),"Simon")</f>
        <v>Simon</v>
      </c>
    </row>
    <row r="1544" ht="15.75" customHeight="1">
      <c r="A1544" s="3">
        <f>IFERROR(__xludf.DUMMYFUNCTION("""COMPUTED_VALUE"""),1544.0)</f>
        <v>1544</v>
      </c>
      <c r="B1544" s="53">
        <f>IFERROR(__xludf.DUMMYFUNCTION("""COMPUTED_VALUE"""),45807.0)</f>
        <v>45807</v>
      </c>
      <c r="C1544" s="3">
        <f>IFERROR(__xludf.DUMMYFUNCTION("""COMPUTED_VALUE"""),103.0)</f>
        <v>103</v>
      </c>
      <c r="D1544" s="3" t="str">
        <f>IFERROR(__xludf.DUMMYFUNCTION("""COMPUTED_VALUE"""),"eb5a88ac")</f>
        <v>eb5a88ac</v>
      </c>
      <c r="E1544" s="54">
        <f>IFERROR(__xludf.DUMMYFUNCTION("""COMPUTED_VALUE"""),31000.0)</f>
        <v>31000</v>
      </c>
      <c r="F1544" s="3" t="str">
        <f>IFERROR(__xludf.DUMMYFUNCTION("""COMPUTED_VALUE"""),"Bonarda")</f>
        <v>Bonarda</v>
      </c>
      <c r="G1544" s="55">
        <f>IFERROR(__xludf.DUMMYFUNCTION("""COMPUTED_VALUE"""),13.7)</f>
        <v>13.7</v>
      </c>
      <c r="H1544" s="56">
        <f>IFERROR(__xludf.DUMMYFUNCTION("""COMPUTED_VALUE"""),3.36)</f>
        <v>3.36</v>
      </c>
      <c r="I1544" s="57">
        <f>IFERROR(__xludf.DUMMYFUNCTION("""COMPUTED_VALUE"""),0.53)</f>
        <v>0.53</v>
      </c>
      <c r="J1544" s="57">
        <f>IFERROR(__xludf.DUMMYFUNCTION("""COMPUTED_VALUE"""),7.5)</f>
        <v>7.5</v>
      </c>
      <c r="K1544" s="3"/>
      <c r="L1544" s="3"/>
      <c r="M1544" s="3"/>
      <c r="N1544" s="3"/>
      <c r="O1544" s="3"/>
      <c r="P1544" s="3"/>
      <c r="Q1544" s="3"/>
      <c r="R1544" s="3">
        <f>IFERROR(__xludf.DUMMYFUNCTION("""COMPUTED_VALUE"""),0.0)</f>
        <v>0</v>
      </c>
      <c r="S1544" s="3"/>
      <c r="T1544" s="5"/>
      <c r="U1544" s="5"/>
      <c r="V1544" s="5"/>
      <c r="W1544" s="5" t="str">
        <f>IFERROR(__xludf.DUMMYFUNCTION("""COMPUTED_VALUE"""),"Simon")</f>
        <v>Simon</v>
      </c>
    </row>
    <row r="1545" ht="15.75" customHeight="1">
      <c r="A1545" s="3">
        <f>IFERROR(__xludf.DUMMYFUNCTION("""COMPUTED_VALUE"""),1545.0)</f>
        <v>1545</v>
      </c>
      <c r="B1545" s="53">
        <f>IFERROR(__xludf.DUMMYFUNCTION("""COMPUTED_VALUE"""),45807.0)</f>
        <v>45807</v>
      </c>
      <c r="C1545" s="3">
        <f>IFERROR(__xludf.DUMMYFUNCTION("""COMPUTED_VALUE"""),104.0)</f>
        <v>104</v>
      </c>
      <c r="D1545" s="3" t="str">
        <f>IFERROR(__xludf.DUMMYFUNCTION("""COMPUTED_VALUE"""),"029c104a")</f>
        <v>029c104a</v>
      </c>
      <c r="E1545" s="54">
        <f>IFERROR(__xludf.DUMMYFUNCTION("""COMPUTED_VALUE"""),31000.0)</f>
        <v>31000</v>
      </c>
      <c r="F1545" s="3" t="str">
        <f>IFERROR(__xludf.DUMMYFUNCTION("""COMPUTED_VALUE"""),"Bonarda")</f>
        <v>Bonarda</v>
      </c>
      <c r="G1545" s="55">
        <f>IFERROR(__xludf.DUMMYFUNCTION("""COMPUTED_VALUE"""),13.9)</f>
        <v>13.9</v>
      </c>
      <c r="H1545" s="56">
        <f>IFERROR(__xludf.DUMMYFUNCTION("""COMPUTED_VALUE"""),3.63)</f>
        <v>3.63</v>
      </c>
      <c r="I1545" s="57">
        <f>IFERROR(__xludf.DUMMYFUNCTION("""COMPUTED_VALUE"""),0.51)</f>
        <v>0.51</v>
      </c>
      <c r="J1545" s="57">
        <f>IFERROR(__xludf.DUMMYFUNCTION("""COMPUTED_VALUE"""),7.27)</f>
        <v>7.27</v>
      </c>
      <c r="K1545" s="3"/>
      <c r="L1545" s="3"/>
      <c r="M1545" s="3"/>
      <c r="N1545" s="3"/>
      <c r="O1545" s="3"/>
      <c r="P1545" s="3"/>
      <c r="Q1545" s="3"/>
      <c r="R1545" s="3">
        <f>IFERROR(__xludf.DUMMYFUNCTION("""COMPUTED_VALUE"""),0.0)</f>
        <v>0</v>
      </c>
      <c r="S1545" s="3"/>
      <c r="T1545" s="5"/>
      <c r="U1545" s="5"/>
      <c r="V1545" s="5"/>
      <c r="W1545" s="5" t="str">
        <f>IFERROR(__xludf.DUMMYFUNCTION("""COMPUTED_VALUE"""),"Simon")</f>
        <v>Simon</v>
      </c>
    </row>
    <row r="1546" ht="15.75" customHeight="1">
      <c r="A1546" s="3">
        <f>IFERROR(__xludf.DUMMYFUNCTION("""COMPUTED_VALUE"""),1546.0)</f>
        <v>1546</v>
      </c>
      <c r="B1546" s="53">
        <f>IFERROR(__xludf.DUMMYFUNCTION("""COMPUTED_VALUE"""),45807.0)</f>
        <v>45807</v>
      </c>
      <c r="C1546" s="3">
        <f>IFERROR(__xludf.DUMMYFUNCTION("""COMPUTED_VALUE"""),105.0)</f>
        <v>105</v>
      </c>
      <c r="D1546" s="3" t="str">
        <f>IFERROR(__xludf.DUMMYFUNCTION("""COMPUTED_VALUE"""),"57a4fe30")</f>
        <v>57a4fe30</v>
      </c>
      <c r="E1546" s="54">
        <f>IFERROR(__xludf.DUMMYFUNCTION("""COMPUTED_VALUE"""),31000.0)</f>
        <v>31000</v>
      </c>
      <c r="F1546" s="3" t="str">
        <f>IFERROR(__xludf.DUMMYFUNCTION("""COMPUTED_VALUE"""),"Bonarda")</f>
        <v>Bonarda</v>
      </c>
      <c r="G1546" s="55">
        <f>IFERROR(__xludf.DUMMYFUNCTION("""COMPUTED_VALUE"""),13.7)</f>
        <v>13.7</v>
      </c>
      <c r="H1546" s="56">
        <f>IFERROR(__xludf.DUMMYFUNCTION("""COMPUTED_VALUE"""),3.57)</f>
        <v>3.57</v>
      </c>
      <c r="I1546" s="57">
        <f>IFERROR(__xludf.DUMMYFUNCTION("""COMPUTED_VALUE"""),0.46)</f>
        <v>0.46</v>
      </c>
      <c r="J1546" s="57">
        <f>IFERROR(__xludf.DUMMYFUNCTION("""COMPUTED_VALUE"""),7.12)</f>
        <v>7.12</v>
      </c>
      <c r="K1546" s="3"/>
      <c r="L1546" s="3"/>
      <c r="M1546" s="3"/>
      <c r="N1546" s="3"/>
      <c r="O1546" s="3"/>
      <c r="P1546" s="3"/>
      <c r="Q1546" s="3"/>
      <c r="R1546" s="3">
        <f>IFERROR(__xludf.DUMMYFUNCTION("""COMPUTED_VALUE"""),0.0)</f>
        <v>0</v>
      </c>
      <c r="S1546" s="3"/>
      <c r="T1546" s="5"/>
      <c r="U1546" s="5"/>
      <c r="V1546" s="5"/>
      <c r="W1546" s="5" t="str">
        <f>IFERROR(__xludf.DUMMYFUNCTION("""COMPUTED_VALUE"""),"Simon")</f>
        <v>Simon</v>
      </c>
    </row>
    <row r="1547" ht="15.75" customHeight="1">
      <c r="A1547" s="3">
        <f>IFERROR(__xludf.DUMMYFUNCTION("""COMPUTED_VALUE"""),1547.0)</f>
        <v>1547</v>
      </c>
      <c r="B1547" s="53">
        <f>IFERROR(__xludf.DUMMYFUNCTION("""COMPUTED_VALUE"""),45807.0)</f>
        <v>45807</v>
      </c>
      <c r="C1547" s="3">
        <f>IFERROR(__xludf.DUMMYFUNCTION("""COMPUTED_VALUE"""),107.0)</f>
        <v>107</v>
      </c>
      <c r="D1547" s="3" t="str">
        <f>IFERROR(__xludf.DUMMYFUNCTION("""COMPUTED_VALUE"""),"3f5178fd")</f>
        <v>3f5178fd</v>
      </c>
      <c r="E1547" s="54">
        <f>IFERROR(__xludf.DUMMYFUNCTION("""COMPUTED_VALUE"""),31000.0)</f>
        <v>31000</v>
      </c>
      <c r="F1547" s="3" t="str">
        <f>IFERROR(__xludf.DUMMYFUNCTION("""COMPUTED_VALUE"""),"Bonarda")</f>
        <v>Bonarda</v>
      </c>
      <c r="G1547" s="55">
        <f>IFERROR(__xludf.DUMMYFUNCTION("""COMPUTED_VALUE"""),13.7)</f>
        <v>13.7</v>
      </c>
      <c r="H1547" s="56">
        <f>IFERROR(__xludf.DUMMYFUNCTION("""COMPUTED_VALUE"""),3.36)</f>
        <v>3.36</v>
      </c>
      <c r="I1547" s="57">
        <f>IFERROR(__xludf.DUMMYFUNCTION("""COMPUTED_VALUE"""),0.49)</f>
        <v>0.49</v>
      </c>
      <c r="J1547" s="57">
        <f>IFERROR(__xludf.DUMMYFUNCTION("""COMPUTED_VALUE"""),7.12)</f>
        <v>7.12</v>
      </c>
      <c r="K1547" s="3"/>
      <c r="L1547" s="3"/>
      <c r="M1547" s="3"/>
      <c r="N1547" s="3"/>
      <c r="O1547" s="3"/>
      <c r="P1547" s="3"/>
      <c r="Q1547" s="3"/>
      <c r="R1547" s="3">
        <f>IFERROR(__xludf.DUMMYFUNCTION("""COMPUTED_VALUE"""),0.0)</f>
        <v>0</v>
      </c>
      <c r="S1547" s="3"/>
      <c r="T1547" s="5"/>
      <c r="U1547" s="5"/>
      <c r="V1547" s="5"/>
      <c r="W1547" s="5" t="str">
        <f>IFERROR(__xludf.DUMMYFUNCTION("""COMPUTED_VALUE"""),"Simon")</f>
        <v>Simon</v>
      </c>
    </row>
    <row r="1548" ht="15.75" customHeight="1">
      <c r="A1548" s="3">
        <f>IFERROR(__xludf.DUMMYFUNCTION("""COMPUTED_VALUE"""),1548.0)</f>
        <v>1548</v>
      </c>
      <c r="B1548" s="53">
        <f>IFERROR(__xludf.DUMMYFUNCTION("""COMPUTED_VALUE"""),45807.0)</f>
        <v>45807</v>
      </c>
      <c r="C1548" s="3">
        <f>IFERROR(__xludf.DUMMYFUNCTION("""COMPUTED_VALUE"""),109.0)</f>
        <v>109</v>
      </c>
      <c r="D1548" s="3" t="str">
        <f>IFERROR(__xludf.DUMMYFUNCTION("""COMPUTED_VALUE"""),"605416fd")</f>
        <v>605416fd</v>
      </c>
      <c r="E1548" s="54">
        <f>IFERROR(__xludf.DUMMYFUNCTION("""COMPUTED_VALUE"""),15600.0)</f>
        <v>15600</v>
      </c>
      <c r="F1548" s="3" t="str">
        <f>IFERROR(__xludf.DUMMYFUNCTION("""COMPUTED_VALUE"""),"Bonarda")</f>
        <v>Bonarda</v>
      </c>
      <c r="G1548" s="55">
        <f>IFERROR(__xludf.DUMMYFUNCTION("""COMPUTED_VALUE"""),13.7)</f>
        <v>13.7</v>
      </c>
      <c r="H1548" s="56">
        <f>IFERROR(__xludf.DUMMYFUNCTION("""COMPUTED_VALUE"""),3.41)</f>
        <v>3.41</v>
      </c>
      <c r="I1548" s="57">
        <f>IFERROR(__xludf.DUMMYFUNCTION("""COMPUTED_VALUE"""),0.51)</f>
        <v>0.51</v>
      </c>
      <c r="J1548" s="57">
        <f>IFERROR(__xludf.DUMMYFUNCTION("""COMPUTED_VALUE"""),7.2)</f>
        <v>7.2</v>
      </c>
      <c r="K1548" s="3"/>
      <c r="L1548" s="3"/>
      <c r="M1548" s="3"/>
      <c r="N1548" s="3"/>
      <c r="O1548" s="3"/>
      <c r="P1548" s="3"/>
      <c r="Q1548" s="3"/>
      <c r="R1548" s="3">
        <f>IFERROR(__xludf.DUMMYFUNCTION("""COMPUTED_VALUE"""),0.0)</f>
        <v>0</v>
      </c>
      <c r="S1548" s="3"/>
      <c r="T1548" s="5"/>
      <c r="U1548" s="5"/>
      <c r="V1548" s="5"/>
      <c r="W1548" s="5" t="str">
        <f>IFERROR(__xludf.DUMMYFUNCTION("""COMPUTED_VALUE"""),"Simon")</f>
        <v>Simon</v>
      </c>
    </row>
    <row r="1549" ht="15.75" customHeight="1">
      <c r="A1549" s="3">
        <f>IFERROR(__xludf.DUMMYFUNCTION("""COMPUTED_VALUE"""),1549.0)</f>
        <v>1549</v>
      </c>
      <c r="B1549" s="53">
        <f>IFERROR(__xludf.DUMMYFUNCTION("""COMPUTED_VALUE"""),45807.0)</f>
        <v>45807</v>
      </c>
      <c r="C1549" s="3">
        <f>IFERROR(__xludf.DUMMYFUNCTION("""COMPUTED_VALUE"""),111.0)</f>
        <v>111</v>
      </c>
      <c r="D1549" s="3" t="str">
        <f>IFERROR(__xludf.DUMMYFUNCTION("""COMPUTED_VALUE"""),"3f3e8ee6")</f>
        <v>3f3e8ee6</v>
      </c>
      <c r="E1549" s="54">
        <f>IFERROR(__xludf.DUMMYFUNCTION("""COMPUTED_VALUE"""),4000.0)</f>
        <v>4000</v>
      </c>
      <c r="F1549" s="3" t="str">
        <f>IFERROR(__xludf.DUMMYFUNCTION("""COMPUTED_VALUE"""),"Malbec Magneta")</f>
        <v>Malbec Magneta</v>
      </c>
      <c r="G1549" s="55">
        <f>IFERROR(__xludf.DUMMYFUNCTION("""COMPUTED_VALUE"""),13.4)</f>
        <v>13.4</v>
      </c>
      <c r="H1549" s="56">
        <f>IFERROR(__xludf.DUMMYFUNCTION("""COMPUTED_VALUE"""),2.89)</f>
        <v>2.89</v>
      </c>
      <c r="I1549" s="57">
        <f>IFERROR(__xludf.DUMMYFUNCTION("""COMPUTED_VALUE"""),0.53)</f>
        <v>0.53</v>
      </c>
      <c r="J1549" s="57">
        <f>IFERROR(__xludf.DUMMYFUNCTION("""COMPUTED_VALUE"""),5.62)</f>
        <v>5.62</v>
      </c>
      <c r="K1549" s="3"/>
      <c r="L1549" s="3"/>
      <c r="M1549" s="3"/>
      <c r="N1549" s="3"/>
      <c r="O1549" s="3"/>
      <c r="P1549" s="3"/>
      <c r="Q1549" s="3"/>
      <c r="R1549" s="3">
        <f>IFERROR(__xludf.DUMMYFUNCTION("""COMPUTED_VALUE"""),0.0)</f>
        <v>0</v>
      </c>
      <c r="S1549" s="3"/>
      <c r="T1549" s="5"/>
      <c r="U1549" s="5"/>
      <c r="V1549" s="5"/>
      <c r="W1549" s="5" t="str">
        <f>IFERROR(__xludf.DUMMYFUNCTION("""COMPUTED_VALUE"""),"Simon")</f>
        <v>Simon</v>
      </c>
    </row>
    <row r="1550" ht="15.75" customHeight="1">
      <c r="A1550" s="3">
        <f>IFERROR(__xludf.DUMMYFUNCTION("""COMPUTED_VALUE"""),1550.0)</f>
        <v>1550</v>
      </c>
      <c r="B1550" s="53">
        <f>IFERROR(__xludf.DUMMYFUNCTION("""COMPUTED_VALUE"""),45811.0)</f>
        <v>45811</v>
      </c>
      <c r="C1550" s="3">
        <f>IFERROR(__xludf.DUMMYFUNCTION("""COMPUTED_VALUE"""),45.0)</f>
        <v>45</v>
      </c>
      <c r="D1550" s="3" t="str">
        <f>IFERROR(__xludf.DUMMYFUNCTION("""COMPUTED_VALUE"""),"2d4e2ede")</f>
        <v>2d4e2ede</v>
      </c>
      <c r="E1550" s="54">
        <f>IFERROR(__xludf.DUMMYFUNCTION("""COMPUTED_VALUE"""),25500.0)</f>
        <v>25500</v>
      </c>
      <c r="F1550" s="3" t="str">
        <f>IFERROR(__xludf.DUMMYFUNCTION("""COMPUTED_VALUE"""),"Tinto")</f>
        <v>Tinto</v>
      </c>
      <c r="G1550" s="3"/>
      <c r="H1550" s="3"/>
      <c r="I1550" s="3"/>
      <c r="J1550" s="3"/>
      <c r="K1550" s="57">
        <f>IFERROR(__xludf.DUMMYFUNCTION("""COMPUTED_VALUE"""),2.59)</f>
        <v>2.59</v>
      </c>
      <c r="L1550" s="3"/>
      <c r="M1550" s="3"/>
      <c r="N1550" s="3"/>
      <c r="O1550" s="3"/>
      <c r="P1550" s="3"/>
      <c r="Q1550" s="3"/>
      <c r="R1550" s="3">
        <f>IFERROR(__xludf.DUMMYFUNCTION("""COMPUTED_VALUE"""),0.0)</f>
        <v>0</v>
      </c>
      <c r="S1550" s="3"/>
      <c r="T1550" s="5"/>
      <c r="U1550" s="5"/>
      <c r="V1550" s="5"/>
      <c r="W1550" s="5"/>
    </row>
    <row r="1551" ht="15.75" customHeight="1">
      <c r="A1551" s="3">
        <f>IFERROR(__xludf.DUMMYFUNCTION("""COMPUTED_VALUE"""),1551.0)</f>
        <v>1551</v>
      </c>
      <c r="B1551" s="53">
        <f>IFERROR(__xludf.DUMMYFUNCTION("""COMPUTED_VALUE"""),45811.0)</f>
        <v>45811</v>
      </c>
      <c r="C1551" s="3">
        <f>IFERROR(__xludf.DUMMYFUNCTION("""COMPUTED_VALUE"""),83.0)</f>
        <v>83</v>
      </c>
      <c r="D1551" s="3" t="str">
        <f>IFERROR(__xludf.DUMMYFUNCTION("""COMPUTED_VALUE"""),"1031b227")</f>
        <v>1031b227</v>
      </c>
      <c r="E1551" s="54">
        <f>IFERROR(__xludf.DUMMYFUNCTION("""COMPUTED_VALUE"""),81500.0)</f>
        <v>81500</v>
      </c>
      <c r="F1551" s="3" t="str">
        <f>IFERROR(__xludf.DUMMYFUNCTION("""COMPUTED_VALUE"""),"Malbec")</f>
        <v>Malbec</v>
      </c>
      <c r="G1551" s="3"/>
      <c r="H1551" s="3"/>
      <c r="I1551" s="3"/>
      <c r="J1551" s="3"/>
      <c r="K1551" s="57">
        <f>IFERROR(__xludf.DUMMYFUNCTION("""COMPUTED_VALUE"""),3.58)</f>
        <v>3.58</v>
      </c>
      <c r="L1551" s="3"/>
      <c r="M1551" s="3"/>
      <c r="N1551" s="3"/>
      <c r="O1551" s="3"/>
      <c r="P1551" s="3"/>
      <c r="Q1551" s="3"/>
      <c r="R1551" s="3">
        <f>IFERROR(__xludf.DUMMYFUNCTION("""COMPUTED_VALUE"""),0.0)</f>
        <v>0</v>
      </c>
      <c r="S1551" s="3"/>
      <c r="T1551" s="5"/>
      <c r="U1551" s="5"/>
      <c r="V1551" s="5"/>
      <c r="W1551" s="5"/>
    </row>
    <row r="1552" ht="15.75" customHeight="1">
      <c r="A1552" s="3">
        <f>IFERROR(__xludf.DUMMYFUNCTION("""COMPUTED_VALUE"""),1552.0)</f>
        <v>1552</v>
      </c>
      <c r="B1552" s="53">
        <f>IFERROR(__xludf.DUMMYFUNCTION("""COMPUTED_VALUE"""),45811.0)</f>
        <v>45811</v>
      </c>
      <c r="C1552" s="3">
        <f>IFERROR(__xludf.DUMMYFUNCTION("""COMPUTED_VALUE"""),107.0)</f>
        <v>107</v>
      </c>
      <c r="D1552" s="3" t="str">
        <f>IFERROR(__xludf.DUMMYFUNCTION("""COMPUTED_VALUE"""),"3f5178fd")</f>
        <v>3f5178fd</v>
      </c>
      <c r="E1552" s="54">
        <f>IFERROR(__xludf.DUMMYFUNCTION("""COMPUTED_VALUE"""),31000.0)</f>
        <v>31000</v>
      </c>
      <c r="F1552" s="3" t="str">
        <f>IFERROR(__xludf.DUMMYFUNCTION("""COMPUTED_VALUE"""),"Bonarda")</f>
        <v>Bonarda</v>
      </c>
      <c r="G1552" s="3"/>
      <c r="H1552" s="3"/>
      <c r="I1552" s="3"/>
      <c r="J1552" s="3"/>
      <c r="K1552" s="57">
        <f>IFERROR(__xludf.DUMMYFUNCTION("""COMPUTED_VALUE"""),3.62)</f>
        <v>3.62</v>
      </c>
      <c r="L1552" s="3"/>
      <c r="M1552" s="3"/>
      <c r="N1552" s="3"/>
      <c r="O1552" s="3"/>
      <c r="P1552" s="3"/>
      <c r="Q1552" s="3"/>
      <c r="R1552" s="3">
        <f>IFERROR(__xludf.DUMMYFUNCTION("""COMPUTED_VALUE"""),0.0)</f>
        <v>0</v>
      </c>
      <c r="S1552" s="3"/>
      <c r="T1552" s="5"/>
      <c r="U1552" s="5"/>
      <c r="V1552" s="5"/>
      <c r="W1552" s="5"/>
    </row>
    <row r="1553" ht="15.75" customHeight="1">
      <c r="A1553" s="3">
        <f>IFERROR(__xludf.DUMMYFUNCTION("""COMPUTED_VALUE"""),1553.0)</f>
        <v>1553</v>
      </c>
      <c r="B1553" s="53">
        <f>IFERROR(__xludf.DUMMYFUNCTION("""COMPUTED_VALUE"""),45811.0)</f>
        <v>45811</v>
      </c>
      <c r="C1553" s="3">
        <f>IFERROR(__xludf.DUMMYFUNCTION("""COMPUTED_VALUE"""),90.0)</f>
        <v>90</v>
      </c>
      <c r="D1553" s="3" t="str">
        <f>IFERROR(__xludf.DUMMYFUNCTION("""COMPUTED_VALUE"""),"cddb06a5")</f>
        <v>cddb06a5</v>
      </c>
      <c r="E1553" s="54">
        <f>IFERROR(__xludf.DUMMYFUNCTION("""COMPUTED_VALUE"""),97500.0)</f>
        <v>97500</v>
      </c>
      <c r="F1553" s="3" t="str">
        <f>IFERROR(__xludf.DUMMYFUNCTION("""COMPUTED_VALUE"""),"Bonarda")</f>
        <v>Bonarda</v>
      </c>
      <c r="G1553" s="3"/>
      <c r="H1553" s="3"/>
      <c r="I1553" s="3"/>
      <c r="J1553" s="3"/>
      <c r="K1553" s="57">
        <f>IFERROR(__xludf.DUMMYFUNCTION("""COMPUTED_VALUE"""),3.78)</f>
        <v>3.78</v>
      </c>
      <c r="L1553" s="3"/>
      <c r="M1553" s="3"/>
      <c r="N1553" s="3"/>
      <c r="O1553" s="3"/>
      <c r="P1553" s="3"/>
      <c r="Q1553" s="3"/>
      <c r="R1553" s="3">
        <f>IFERROR(__xludf.DUMMYFUNCTION("""COMPUTED_VALUE"""),0.0)</f>
        <v>0</v>
      </c>
      <c r="S1553" s="3"/>
      <c r="T1553" s="5"/>
      <c r="U1553" s="5"/>
      <c r="V1553" s="5"/>
      <c r="W1553" s="5"/>
    </row>
    <row r="1554" ht="15.75" customHeight="1">
      <c r="A1554" s="3">
        <f>IFERROR(__xludf.DUMMYFUNCTION("""COMPUTED_VALUE"""),1554.0)</f>
        <v>1554</v>
      </c>
      <c r="B1554" s="53">
        <f>IFERROR(__xludf.DUMMYFUNCTION("""COMPUTED_VALUE"""),45811.0)</f>
        <v>45811</v>
      </c>
      <c r="C1554" s="3">
        <f>IFERROR(__xludf.DUMMYFUNCTION("""COMPUTED_VALUE"""),102.0)</f>
        <v>102</v>
      </c>
      <c r="D1554" s="3" t="str">
        <f>IFERROR(__xludf.DUMMYFUNCTION("""COMPUTED_VALUE"""),"5091788b")</f>
        <v>5091788b</v>
      </c>
      <c r="E1554" s="54">
        <f>IFERROR(__xludf.DUMMYFUNCTION("""COMPUTED_VALUE"""),31000.0)</f>
        <v>31000</v>
      </c>
      <c r="F1554" s="3" t="str">
        <f>IFERROR(__xludf.DUMMYFUNCTION("""COMPUTED_VALUE"""),"Bonarda")</f>
        <v>Bonarda</v>
      </c>
      <c r="G1554" s="3"/>
      <c r="H1554" s="3"/>
      <c r="I1554" s="3"/>
      <c r="J1554" s="3"/>
      <c r="K1554" s="57">
        <f>IFERROR(__xludf.DUMMYFUNCTION("""COMPUTED_VALUE"""),3.57)</f>
        <v>3.57</v>
      </c>
      <c r="L1554" s="3"/>
      <c r="M1554" s="3"/>
      <c r="N1554" s="3"/>
      <c r="O1554" s="3"/>
      <c r="P1554" s="3"/>
      <c r="Q1554" s="3"/>
      <c r="R1554" s="3">
        <f>IFERROR(__xludf.DUMMYFUNCTION("""COMPUTED_VALUE"""),0.0)</f>
        <v>0</v>
      </c>
      <c r="S1554" s="3"/>
      <c r="T1554" s="5"/>
      <c r="U1554" s="5"/>
      <c r="V1554" s="5"/>
      <c r="W1554" s="5"/>
    </row>
    <row r="1555" ht="15.75" customHeight="1">
      <c r="A1555" s="3">
        <f>IFERROR(__xludf.DUMMYFUNCTION("""COMPUTED_VALUE"""),1555.0)</f>
        <v>1555</v>
      </c>
      <c r="B1555" s="53">
        <f>IFERROR(__xludf.DUMMYFUNCTION("""COMPUTED_VALUE"""),45811.0)</f>
        <v>45811</v>
      </c>
      <c r="C1555" s="3">
        <f>IFERROR(__xludf.DUMMYFUNCTION("""COMPUTED_VALUE"""),103.0)</f>
        <v>103</v>
      </c>
      <c r="D1555" s="3" t="str">
        <f>IFERROR(__xludf.DUMMYFUNCTION("""COMPUTED_VALUE"""),"eb5a88ac")</f>
        <v>eb5a88ac</v>
      </c>
      <c r="E1555" s="54">
        <f>IFERROR(__xludf.DUMMYFUNCTION("""COMPUTED_VALUE"""),31000.0)</f>
        <v>31000</v>
      </c>
      <c r="F1555" s="3" t="str">
        <f>IFERROR(__xludf.DUMMYFUNCTION("""COMPUTED_VALUE"""),"Bonarda")</f>
        <v>Bonarda</v>
      </c>
      <c r="G1555" s="3"/>
      <c r="H1555" s="3"/>
      <c r="I1555" s="3"/>
      <c r="J1555" s="3"/>
      <c r="K1555" s="57">
        <f>IFERROR(__xludf.DUMMYFUNCTION("""COMPUTED_VALUE"""),3.54)</f>
        <v>3.54</v>
      </c>
      <c r="L1555" s="3"/>
      <c r="M1555" s="3"/>
      <c r="N1555" s="3"/>
      <c r="O1555" s="3"/>
      <c r="P1555" s="3"/>
      <c r="Q1555" s="3"/>
      <c r="R1555" s="3">
        <f>IFERROR(__xludf.DUMMYFUNCTION("""COMPUTED_VALUE"""),0.0)</f>
        <v>0</v>
      </c>
      <c r="S1555" s="3"/>
      <c r="T1555" s="5"/>
      <c r="U1555" s="5"/>
      <c r="V1555" s="5"/>
      <c r="W1555" s="5"/>
    </row>
    <row r="1556" ht="15.75" customHeight="1">
      <c r="A1556" s="3">
        <f>IFERROR(__xludf.DUMMYFUNCTION("""COMPUTED_VALUE"""),1556.0)</f>
        <v>1556</v>
      </c>
      <c r="B1556" s="53">
        <f>IFERROR(__xludf.DUMMYFUNCTION("""COMPUTED_VALUE"""),45811.0)</f>
        <v>45811</v>
      </c>
      <c r="C1556" s="3">
        <f>IFERROR(__xludf.DUMMYFUNCTION("""COMPUTED_VALUE"""),104.0)</f>
        <v>104</v>
      </c>
      <c r="D1556" s="3" t="str">
        <f>IFERROR(__xludf.DUMMYFUNCTION("""COMPUTED_VALUE"""),"029c104a")</f>
        <v>029c104a</v>
      </c>
      <c r="E1556" s="54">
        <f>IFERROR(__xludf.DUMMYFUNCTION("""COMPUTED_VALUE"""),31000.0)</f>
        <v>31000</v>
      </c>
      <c r="F1556" s="3" t="str">
        <f>IFERROR(__xludf.DUMMYFUNCTION("""COMPUTED_VALUE"""),"Bonarda")</f>
        <v>Bonarda</v>
      </c>
      <c r="G1556" s="3"/>
      <c r="H1556" s="3"/>
      <c r="I1556" s="3"/>
      <c r="J1556" s="3"/>
      <c r="K1556" s="57">
        <f>IFERROR(__xludf.DUMMYFUNCTION("""COMPUTED_VALUE"""),3.55)</f>
        <v>3.55</v>
      </c>
      <c r="L1556" s="3"/>
      <c r="M1556" s="3"/>
      <c r="N1556" s="3"/>
      <c r="O1556" s="3"/>
      <c r="P1556" s="3"/>
      <c r="Q1556" s="3"/>
      <c r="R1556" s="3">
        <f>IFERROR(__xludf.DUMMYFUNCTION("""COMPUTED_VALUE"""),0.0)</f>
        <v>0</v>
      </c>
      <c r="S1556" s="3"/>
      <c r="T1556" s="5"/>
      <c r="U1556" s="5"/>
      <c r="V1556" s="5"/>
      <c r="W1556" s="5"/>
    </row>
    <row r="1557" ht="15.75" customHeight="1">
      <c r="A1557" s="3">
        <f>IFERROR(__xludf.DUMMYFUNCTION("""COMPUTED_VALUE"""),1557.0)</f>
        <v>1557</v>
      </c>
      <c r="B1557" s="53">
        <f>IFERROR(__xludf.DUMMYFUNCTION("""COMPUTED_VALUE"""),45811.0)</f>
        <v>45811</v>
      </c>
      <c r="C1557" s="3">
        <f>IFERROR(__xludf.DUMMYFUNCTION("""COMPUTED_VALUE"""),105.0)</f>
        <v>105</v>
      </c>
      <c r="D1557" s="3" t="str">
        <f>IFERROR(__xludf.DUMMYFUNCTION("""COMPUTED_VALUE"""),"57a4fe30")</f>
        <v>57a4fe30</v>
      </c>
      <c r="E1557" s="54">
        <f>IFERROR(__xludf.DUMMYFUNCTION("""COMPUTED_VALUE"""),31000.0)</f>
        <v>31000</v>
      </c>
      <c r="F1557" s="3" t="str">
        <f>IFERROR(__xludf.DUMMYFUNCTION("""COMPUTED_VALUE"""),"Bonarda")</f>
        <v>Bonarda</v>
      </c>
      <c r="G1557" s="3"/>
      <c r="H1557" s="3"/>
      <c r="I1557" s="3"/>
      <c r="J1557" s="3"/>
      <c r="K1557" s="57">
        <f>IFERROR(__xludf.DUMMYFUNCTION("""COMPUTED_VALUE"""),3.52)</f>
        <v>3.52</v>
      </c>
      <c r="L1557" s="3"/>
      <c r="M1557" s="3"/>
      <c r="N1557" s="3"/>
      <c r="O1557" s="3"/>
      <c r="P1557" s="3"/>
      <c r="Q1557" s="3"/>
      <c r="R1557" s="3">
        <f>IFERROR(__xludf.DUMMYFUNCTION("""COMPUTED_VALUE"""),0.0)</f>
        <v>0</v>
      </c>
      <c r="S1557" s="3"/>
      <c r="T1557" s="5"/>
      <c r="U1557" s="5"/>
      <c r="V1557" s="5"/>
      <c r="W1557" s="5"/>
    </row>
    <row r="1558" ht="15.75" customHeight="1">
      <c r="A1558" s="3">
        <f>IFERROR(__xludf.DUMMYFUNCTION("""COMPUTED_VALUE"""),1558.0)</f>
        <v>1558</v>
      </c>
      <c r="B1558" s="53">
        <f>IFERROR(__xludf.DUMMYFUNCTION("""COMPUTED_VALUE"""),45811.0)</f>
        <v>45811</v>
      </c>
      <c r="C1558" s="3">
        <f>IFERROR(__xludf.DUMMYFUNCTION("""COMPUTED_VALUE"""),109.0)</f>
        <v>109</v>
      </c>
      <c r="D1558" s="3" t="str">
        <f>IFERROR(__xludf.DUMMYFUNCTION("""COMPUTED_VALUE"""),"605416fd")</f>
        <v>605416fd</v>
      </c>
      <c r="E1558" s="54">
        <f>IFERROR(__xludf.DUMMYFUNCTION("""COMPUTED_VALUE"""),15600.0)</f>
        <v>15600</v>
      </c>
      <c r="F1558" s="3" t="str">
        <f>IFERROR(__xludf.DUMMYFUNCTION("""COMPUTED_VALUE"""),"Bonarda")</f>
        <v>Bonarda</v>
      </c>
      <c r="G1558" s="3"/>
      <c r="H1558" s="3"/>
      <c r="I1558" s="3"/>
      <c r="J1558" s="3"/>
      <c r="K1558" s="57">
        <f>IFERROR(__xludf.DUMMYFUNCTION("""COMPUTED_VALUE"""),3.53)</f>
        <v>3.53</v>
      </c>
      <c r="L1558" s="3"/>
      <c r="M1558" s="3"/>
      <c r="N1558" s="3"/>
      <c r="O1558" s="3"/>
      <c r="P1558" s="3"/>
      <c r="Q1558" s="3"/>
      <c r="R1558" s="3">
        <f>IFERROR(__xludf.DUMMYFUNCTION("""COMPUTED_VALUE"""),0.0)</f>
        <v>0</v>
      </c>
      <c r="S1558" s="3"/>
      <c r="T1558" s="5"/>
      <c r="U1558" s="5"/>
      <c r="V1558" s="5"/>
      <c r="W1558" s="5"/>
    </row>
    <row r="1559" ht="15.75" customHeight="1">
      <c r="A1559" s="3">
        <f>IFERROR(__xludf.DUMMYFUNCTION("""COMPUTED_VALUE"""),1559.0)</f>
        <v>1559</v>
      </c>
      <c r="B1559" s="53">
        <f>IFERROR(__xludf.DUMMYFUNCTION("""COMPUTED_VALUE"""),45811.0)</f>
        <v>45811</v>
      </c>
      <c r="C1559" s="3">
        <f>IFERROR(__xludf.DUMMYFUNCTION("""COMPUTED_VALUE"""),15.0)</f>
        <v>15</v>
      </c>
      <c r="D1559" s="3" t="str">
        <f>IFERROR(__xludf.DUMMYFUNCTION("""COMPUTED_VALUE"""),"8a5cc2ae")</f>
        <v>8a5cc2ae</v>
      </c>
      <c r="E1559" s="54">
        <f>IFERROR(__xludf.DUMMYFUNCTION("""COMPUTED_VALUE"""),36500.0)</f>
        <v>36500</v>
      </c>
      <c r="F1559" s="3" t="str">
        <f>IFERROR(__xludf.DUMMYFUNCTION("""COMPUTED_VALUE"""),"Bonarda")</f>
        <v>Bonarda</v>
      </c>
      <c r="G1559" s="3"/>
      <c r="H1559" s="3"/>
      <c r="I1559" s="3"/>
      <c r="J1559" s="3"/>
      <c r="K1559" s="57">
        <f>IFERROR(__xludf.DUMMYFUNCTION("""COMPUTED_VALUE"""),3.63)</f>
        <v>3.63</v>
      </c>
      <c r="L1559" s="3"/>
      <c r="M1559" s="3"/>
      <c r="N1559" s="3"/>
      <c r="O1559" s="3"/>
      <c r="P1559" s="3"/>
      <c r="Q1559" s="3"/>
      <c r="R1559" s="3">
        <f>IFERROR(__xludf.DUMMYFUNCTION("""COMPUTED_VALUE"""),0.0)</f>
        <v>0</v>
      </c>
      <c r="S1559" s="3"/>
      <c r="T1559" s="5"/>
      <c r="U1559" s="5"/>
      <c r="V1559" s="5"/>
      <c r="W1559" s="5"/>
    </row>
    <row r="1560" ht="15.75" customHeight="1">
      <c r="A1560" s="3">
        <f>IFERROR(__xludf.DUMMYFUNCTION("""COMPUTED_VALUE"""),1560.0)</f>
        <v>1560</v>
      </c>
      <c r="B1560" s="53">
        <f>IFERROR(__xludf.DUMMYFUNCTION("""COMPUTED_VALUE"""),45811.0)</f>
        <v>45811</v>
      </c>
      <c r="C1560" s="3">
        <f>IFERROR(__xludf.DUMMYFUNCTION("""COMPUTED_VALUE"""),34.0)</f>
        <v>34</v>
      </c>
      <c r="D1560" s="3" t="str">
        <f>IFERROR(__xludf.DUMMYFUNCTION("""COMPUTED_VALUE"""),"08cd1438")</f>
        <v>08cd1438</v>
      </c>
      <c r="E1560" s="54">
        <f>IFERROR(__xludf.DUMMYFUNCTION("""COMPUTED_VALUE"""),39500.0)</f>
        <v>39500</v>
      </c>
      <c r="F1560" s="3" t="str">
        <f>IFERROR(__xludf.DUMMYFUNCTION("""COMPUTED_VALUE"""),"Malbec")</f>
        <v>Malbec</v>
      </c>
      <c r="G1560" s="3"/>
      <c r="H1560" s="3"/>
      <c r="I1560" s="3"/>
      <c r="J1560" s="3"/>
      <c r="K1560" s="57">
        <f>IFERROR(__xludf.DUMMYFUNCTION("""COMPUTED_VALUE"""),3.5)</f>
        <v>3.5</v>
      </c>
      <c r="L1560" s="3"/>
      <c r="M1560" s="3"/>
      <c r="N1560" s="3"/>
      <c r="O1560" s="3"/>
      <c r="P1560" s="3"/>
      <c r="Q1560" s="3"/>
      <c r="R1560" s="3">
        <f>IFERROR(__xludf.DUMMYFUNCTION("""COMPUTED_VALUE"""),0.0)</f>
        <v>0</v>
      </c>
      <c r="S1560" s="3"/>
      <c r="T1560" s="5"/>
      <c r="U1560" s="5"/>
      <c r="V1560" s="5"/>
      <c r="W1560" s="5"/>
    </row>
    <row r="1561" ht="15.75" customHeight="1">
      <c r="A1561" s="3">
        <f>IFERROR(__xludf.DUMMYFUNCTION("""COMPUTED_VALUE"""),1561.0)</f>
        <v>1561</v>
      </c>
      <c r="B1561" s="53">
        <f>IFERROR(__xludf.DUMMYFUNCTION("""COMPUTED_VALUE"""),45811.0)</f>
        <v>45811</v>
      </c>
      <c r="C1561" s="3">
        <f>IFERROR(__xludf.DUMMYFUNCTION("""COMPUTED_VALUE"""),83.0)</f>
        <v>83</v>
      </c>
      <c r="D1561" s="3" t="str">
        <f>IFERROR(__xludf.DUMMYFUNCTION("""COMPUTED_VALUE"""),"1031b227")</f>
        <v>1031b227</v>
      </c>
      <c r="E1561" s="54">
        <f>IFERROR(__xludf.DUMMYFUNCTION("""COMPUTED_VALUE"""),81500.0)</f>
        <v>81500</v>
      </c>
      <c r="F1561" s="3" t="str">
        <f>IFERROR(__xludf.DUMMYFUNCTION("""COMPUTED_VALUE"""),"Malbec")</f>
        <v>Malbec</v>
      </c>
      <c r="G1561" s="3"/>
      <c r="H1561" s="3"/>
      <c r="I1561" s="3"/>
      <c r="J1561" s="3"/>
      <c r="K1561" s="57">
        <f>IFERROR(__xludf.DUMMYFUNCTION("""COMPUTED_VALUE"""),3.57)</f>
        <v>3.57</v>
      </c>
      <c r="L1561" s="3"/>
      <c r="M1561" s="3"/>
      <c r="N1561" s="3"/>
      <c r="O1561" s="3"/>
      <c r="P1561" s="3"/>
      <c r="Q1561" s="3"/>
      <c r="R1561" s="3">
        <f>IFERROR(__xludf.DUMMYFUNCTION("""COMPUTED_VALUE"""),0.0)</f>
        <v>0</v>
      </c>
      <c r="S1561" s="3"/>
      <c r="T1561" s="5"/>
      <c r="U1561" s="5"/>
      <c r="V1561" s="5"/>
      <c r="W1561" s="5"/>
    </row>
    <row r="1562" ht="15.75" customHeight="1">
      <c r="A1562" s="3">
        <f>IFERROR(__xludf.DUMMYFUNCTION("""COMPUTED_VALUE"""),1562.0)</f>
        <v>1562</v>
      </c>
      <c r="B1562" s="53">
        <f>IFERROR(__xludf.DUMMYFUNCTION("""COMPUTED_VALUE"""),45811.0)</f>
        <v>45811</v>
      </c>
      <c r="C1562" s="3">
        <f>IFERROR(__xludf.DUMMYFUNCTION("""COMPUTED_VALUE"""),116.0)</f>
        <v>116</v>
      </c>
      <c r="D1562" s="3" t="str">
        <f>IFERROR(__xludf.DUMMYFUNCTION("""COMPUTED_VALUE"""),"b4fedb16")</f>
        <v>b4fedb16</v>
      </c>
      <c r="E1562" s="54">
        <f>IFERROR(__xludf.DUMMYFUNCTION("""COMPUTED_VALUE"""),99600.0)</f>
        <v>99600</v>
      </c>
      <c r="F1562" s="3" t="str">
        <f>IFERROR(__xludf.DUMMYFUNCTION("""COMPUTED_VALUE"""),"Malbec")</f>
        <v>Malbec</v>
      </c>
      <c r="G1562" s="3"/>
      <c r="H1562" s="3"/>
      <c r="I1562" s="3"/>
      <c r="J1562" s="3"/>
      <c r="K1562" s="57">
        <f>IFERROR(__xludf.DUMMYFUNCTION("""COMPUTED_VALUE"""),3.63)</f>
        <v>3.63</v>
      </c>
      <c r="L1562" s="3"/>
      <c r="M1562" s="3"/>
      <c r="N1562" s="3"/>
      <c r="O1562" s="3"/>
      <c r="P1562" s="3"/>
      <c r="Q1562" s="3"/>
      <c r="R1562" s="3">
        <f>IFERROR(__xludf.DUMMYFUNCTION("""COMPUTED_VALUE"""),0.0)</f>
        <v>0</v>
      </c>
      <c r="S1562" s="3"/>
      <c r="T1562" s="5"/>
      <c r="U1562" s="5"/>
      <c r="V1562" s="5"/>
      <c r="W1562" s="5"/>
    </row>
    <row r="1563" ht="15.75" customHeight="1">
      <c r="A1563" s="3">
        <f>IFERROR(__xludf.DUMMYFUNCTION("""COMPUTED_VALUE"""),1563.0)</f>
        <v>1563</v>
      </c>
      <c r="B1563" s="53">
        <f>IFERROR(__xludf.DUMMYFUNCTION("""COMPUTED_VALUE"""),45811.0)</f>
        <v>45811</v>
      </c>
      <c r="C1563" s="3">
        <f>IFERROR(__xludf.DUMMYFUNCTION("""COMPUTED_VALUE"""),121.0)</f>
        <v>121</v>
      </c>
      <c r="D1563" s="3" t="str">
        <f>IFERROR(__xludf.DUMMYFUNCTION("""COMPUTED_VALUE"""),"589807bc")</f>
        <v>589807bc</v>
      </c>
      <c r="E1563" s="54">
        <f>IFERROR(__xludf.DUMMYFUNCTION("""COMPUTED_VALUE"""),85800.0)</f>
        <v>85800</v>
      </c>
      <c r="F1563" s="3" t="str">
        <f>IFERROR(__xludf.DUMMYFUNCTION("""COMPUTED_VALUE"""),"Malbec")</f>
        <v>Malbec</v>
      </c>
      <c r="G1563" s="3"/>
      <c r="H1563" s="3"/>
      <c r="I1563" s="3"/>
      <c r="J1563" s="3"/>
      <c r="K1563" s="57">
        <f>IFERROR(__xludf.DUMMYFUNCTION("""COMPUTED_VALUE"""),3.65)</f>
        <v>3.65</v>
      </c>
      <c r="L1563" s="3"/>
      <c r="M1563" s="3"/>
      <c r="N1563" s="3"/>
      <c r="O1563" s="3"/>
      <c r="P1563" s="3"/>
      <c r="Q1563" s="3"/>
      <c r="R1563" s="3">
        <f>IFERROR(__xludf.DUMMYFUNCTION("""COMPUTED_VALUE"""),0.0)</f>
        <v>0</v>
      </c>
      <c r="S1563" s="3"/>
      <c r="T1563" s="5"/>
      <c r="U1563" s="5"/>
      <c r="V1563" s="5"/>
      <c r="W1563" s="5"/>
    </row>
    <row r="1564" ht="15.75" customHeight="1">
      <c r="A1564" s="3">
        <f>IFERROR(__xludf.DUMMYFUNCTION("""COMPUTED_VALUE"""),1564.0)</f>
        <v>1564</v>
      </c>
      <c r="B1564" s="53">
        <f>IFERROR(__xludf.DUMMYFUNCTION("""COMPUTED_VALUE"""),45811.0)</f>
        <v>45811</v>
      </c>
      <c r="C1564" s="3">
        <f>IFERROR(__xludf.DUMMYFUNCTION("""COMPUTED_VALUE"""),74.0)</f>
        <v>74</v>
      </c>
      <c r="D1564" s="3" t="str">
        <f>IFERROR(__xludf.DUMMYFUNCTION("""COMPUTED_VALUE"""),"8b30dc4c")</f>
        <v>8b30dc4c</v>
      </c>
      <c r="E1564" s="54">
        <f>IFERROR(__xludf.DUMMYFUNCTION("""COMPUTED_VALUE"""),13000.0)</f>
        <v>13000</v>
      </c>
      <c r="F1564" s="3" t="str">
        <f>IFERROR(__xludf.DUMMYFUNCTION("""COMPUTED_VALUE"""),"Malbec Montecepas 24")</f>
        <v>Malbec Montecepas 24</v>
      </c>
      <c r="G1564" s="3"/>
      <c r="H1564" s="3"/>
      <c r="I1564" s="3"/>
      <c r="J1564" s="3"/>
      <c r="K1564" s="57">
        <f>IFERROR(__xludf.DUMMYFUNCTION("""COMPUTED_VALUE"""),3.64)</f>
        <v>3.64</v>
      </c>
      <c r="L1564" s="3"/>
      <c r="M1564" s="3"/>
      <c r="N1564" s="3"/>
      <c r="O1564" s="3"/>
      <c r="P1564" s="3"/>
      <c r="Q1564" s="3"/>
      <c r="R1564" s="3">
        <f>IFERROR(__xludf.DUMMYFUNCTION("""COMPUTED_VALUE"""),0.0)</f>
        <v>0</v>
      </c>
      <c r="S1564" s="3"/>
      <c r="T1564" s="5"/>
      <c r="U1564" s="5"/>
      <c r="V1564" s="5"/>
      <c r="W1564" s="5"/>
    </row>
    <row r="1565" ht="15.75" customHeight="1">
      <c r="A1565" s="3">
        <f>IFERROR(__xludf.DUMMYFUNCTION("""COMPUTED_VALUE"""),1565.0)</f>
        <v>1565</v>
      </c>
      <c r="B1565" s="53">
        <f>IFERROR(__xludf.DUMMYFUNCTION("""COMPUTED_VALUE"""),45811.0)</f>
        <v>45811</v>
      </c>
      <c r="C1565" s="3">
        <f>IFERROR(__xludf.DUMMYFUNCTION("""COMPUTED_VALUE"""),111.0)</f>
        <v>111</v>
      </c>
      <c r="D1565" s="3" t="str">
        <f>IFERROR(__xludf.DUMMYFUNCTION("""COMPUTED_VALUE"""),"3f3e8ee6")</f>
        <v>3f3e8ee6</v>
      </c>
      <c r="E1565" s="54">
        <f>IFERROR(__xludf.DUMMYFUNCTION("""COMPUTED_VALUE"""),4000.0)</f>
        <v>4000</v>
      </c>
      <c r="F1565" s="3" t="str">
        <f>IFERROR(__xludf.DUMMYFUNCTION("""COMPUTED_VALUE"""),"Malbec Magneta")</f>
        <v>Malbec Magneta</v>
      </c>
      <c r="G1565" s="3"/>
      <c r="H1565" s="3"/>
      <c r="I1565" s="3"/>
      <c r="J1565" s="3"/>
      <c r="K1565" s="57">
        <f>IFERROR(__xludf.DUMMYFUNCTION("""COMPUTED_VALUE"""),3.65)</f>
        <v>3.65</v>
      </c>
      <c r="L1565" s="3"/>
      <c r="M1565" s="3"/>
      <c r="N1565" s="3"/>
      <c r="O1565" s="3"/>
      <c r="P1565" s="3"/>
      <c r="Q1565" s="3"/>
      <c r="R1565" s="3">
        <f>IFERROR(__xludf.DUMMYFUNCTION("""COMPUTED_VALUE"""),0.0)</f>
        <v>0</v>
      </c>
      <c r="S1565" s="3"/>
      <c r="T1565" s="5"/>
      <c r="U1565" s="5"/>
      <c r="V1565" s="5"/>
      <c r="W1565" s="5"/>
    </row>
    <row r="1566" ht="15.75" customHeight="1">
      <c r="A1566" s="3">
        <f>IFERROR(__xludf.DUMMYFUNCTION("""COMPUTED_VALUE"""),1566.0)</f>
        <v>1566</v>
      </c>
      <c r="B1566" s="53">
        <f>IFERROR(__xludf.DUMMYFUNCTION("""COMPUTED_VALUE"""),45811.0)</f>
        <v>45811</v>
      </c>
      <c r="C1566" s="3">
        <f>IFERROR(__xludf.DUMMYFUNCTION("""COMPUTED_VALUE"""),51.0)</f>
        <v>51</v>
      </c>
      <c r="D1566" s="3" t="str">
        <f>IFERROR(__xludf.DUMMYFUNCTION("""COMPUTED_VALUE"""),"94fbbcb1")</f>
        <v>94fbbcb1</v>
      </c>
      <c r="E1566" s="54">
        <f>IFERROR(__xludf.DUMMYFUNCTION("""COMPUTED_VALUE"""),1600.0)</f>
        <v>1600</v>
      </c>
      <c r="F1566" s="3" t="str">
        <f>IFERROR(__xludf.DUMMYFUNCTION("""COMPUTED_VALUE"""),"Tinto (Claro F)")</f>
        <v>Tinto (Claro F)</v>
      </c>
      <c r="G1566" s="3"/>
      <c r="H1566" s="3"/>
      <c r="I1566" s="3"/>
      <c r="J1566" s="3"/>
      <c r="K1566" s="57">
        <f>IFERROR(__xludf.DUMMYFUNCTION("""COMPUTED_VALUE"""),3.8)</f>
        <v>3.8</v>
      </c>
      <c r="L1566" s="3"/>
      <c r="M1566" s="3"/>
      <c r="N1566" s="3"/>
      <c r="O1566" s="3"/>
      <c r="P1566" s="3"/>
      <c r="Q1566" s="3"/>
      <c r="R1566" s="3">
        <f>IFERROR(__xludf.DUMMYFUNCTION("""COMPUTED_VALUE"""),0.0)</f>
        <v>0</v>
      </c>
      <c r="S1566" s="3"/>
      <c r="T1566" s="5"/>
      <c r="U1566" s="5"/>
      <c r="V1566" s="5"/>
      <c r="W1566" s="5"/>
    </row>
    <row r="1567" ht="15.75" customHeight="1">
      <c r="A1567" s="3">
        <f>IFERROR(__xludf.DUMMYFUNCTION("""COMPUTED_VALUE"""),1567.0)</f>
        <v>1567</v>
      </c>
      <c r="B1567" s="53">
        <f>IFERROR(__xludf.DUMMYFUNCTION("""COMPUTED_VALUE"""),45811.0)</f>
        <v>45811</v>
      </c>
      <c r="C1567" s="3">
        <f>IFERROR(__xludf.DUMMYFUNCTION("""COMPUTED_VALUE"""),54.0)</f>
        <v>54</v>
      </c>
      <c r="D1567" s="3" t="str">
        <f>IFERROR(__xludf.DUMMYFUNCTION("""COMPUTED_VALUE"""),"ae9d3290")</f>
        <v>ae9d3290</v>
      </c>
      <c r="E1567" s="54">
        <f>IFERROR(__xludf.DUMMYFUNCTION("""COMPUTED_VALUE"""),22900.0)</f>
        <v>22900</v>
      </c>
      <c r="F1567" s="3" t="str">
        <f>IFERROR(__xludf.DUMMYFUNCTION("""COMPUTED_VALUE"""),"Tinto (Claro F)")</f>
        <v>Tinto (Claro F)</v>
      </c>
      <c r="G1567" s="3"/>
      <c r="H1567" s="3"/>
      <c r="I1567" s="3"/>
      <c r="J1567" s="3"/>
      <c r="K1567" s="57">
        <f>IFERROR(__xludf.DUMMYFUNCTION("""COMPUTED_VALUE"""),3.79)</f>
        <v>3.79</v>
      </c>
      <c r="L1567" s="3"/>
      <c r="M1567" s="3"/>
      <c r="N1567" s="3"/>
      <c r="O1567" s="3"/>
      <c r="P1567" s="3"/>
      <c r="Q1567" s="3"/>
      <c r="R1567" s="3">
        <f>IFERROR(__xludf.DUMMYFUNCTION("""COMPUTED_VALUE"""),0.0)</f>
        <v>0</v>
      </c>
      <c r="S1567" s="3"/>
      <c r="T1567" s="5"/>
      <c r="U1567" s="5"/>
      <c r="V1567" s="5"/>
      <c r="W1567" s="5"/>
    </row>
    <row r="1568" ht="15.75" customHeight="1">
      <c r="A1568" s="3">
        <f>IFERROR(__xludf.DUMMYFUNCTION("""COMPUTED_VALUE"""),1568.0)</f>
        <v>1568</v>
      </c>
      <c r="B1568" s="53">
        <f>IFERROR(__xludf.DUMMYFUNCTION("""COMPUTED_VALUE"""),45811.0)</f>
        <v>45811</v>
      </c>
      <c r="C1568" s="3">
        <f>IFERROR(__xludf.DUMMYFUNCTION("""COMPUTED_VALUE"""),68.0)</f>
        <v>68</v>
      </c>
      <c r="D1568" s="3" t="str">
        <f>IFERROR(__xludf.DUMMYFUNCTION("""COMPUTED_VALUE"""),"36493bbe")</f>
        <v>36493bbe</v>
      </c>
      <c r="E1568" s="54">
        <f>IFERROR(__xludf.DUMMYFUNCTION("""COMPUTED_VALUE"""),13000.0)</f>
        <v>13000</v>
      </c>
      <c r="F1568" s="3" t="str">
        <f>IFERROR(__xludf.DUMMYFUNCTION("""COMPUTED_VALUE"""),"Tinto (Chardonnay)")</f>
        <v>Tinto (Chardonnay)</v>
      </c>
      <c r="G1568" s="3"/>
      <c r="H1568" s="3"/>
      <c r="I1568" s="3"/>
      <c r="J1568" s="3"/>
      <c r="K1568" s="57">
        <f>IFERROR(__xludf.DUMMYFUNCTION("""COMPUTED_VALUE"""),4.01)</f>
        <v>4.01</v>
      </c>
      <c r="L1568" s="3"/>
      <c r="M1568" s="3"/>
      <c r="N1568" s="3"/>
      <c r="O1568" s="3"/>
      <c r="P1568" s="3"/>
      <c r="Q1568" s="3"/>
      <c r="R1568" s="3">
        <f>IFERROR(__xludf.DUMMYFUNCTION("""COMPUTED_VALUE"""),0.0)</f>
        <v>0</v>
      </c>
      <c r="S1568" s="3"/>
      <c r="T1568" s="5"/>
      <c r="U1568" s="5"/>
      <c r="V1568" s="5"/>
      <c r="W1568" s="5"/>
    </row>
    <row r="1569" ht="15.75" customHeight="1">
      <c r="A1569" s="3">
        <f>IFERROR(__xludf.DUMMYFUNCTION("""COMPUTED_VALUE"""),1569.0)</f>
        <v>1569</v>
      </c>
      <c r="B1569" s="53">
        <f>IFERROR(__xludf.DUMMYFUNCTION("""COMPUTED_VALUE"""),45811.0)</f>
        <v>45811</v>
      </c>
      <c r="C1569" s="3">
        <f>IFERROR(__xludf.DUMMYFUNCTION("""COMPUTED_VALUE"""),70.0)</f>
        <v>70</v>
      </c>
      <c r="D1569" s="3" t="str">
        <f>IFERROR(__xludf.DUMMYFUNCTION("""COMPUTED_VALUE"""),"1cdbd1a4")</f>
        <v>1cdbd1a4</v>
      </c>
      <c r="E1569" s="54">
        <f>IFERROR(__xludf.DUMMYFUNCTION("""COMPUTED_VALUE"""),13000.0)</f>
        <v>13000</v>
      </c>
      <c r="F1569" s="3" t="str">
        <f>IFERROR(__xludf.DUMMYFUNCTION("""COMPUTED_VALUE"""),"Tinto G")</f>
        <v>Tinto G</v>
      </c>
      <c r="G1569" s="3"/>
      <c r="H1569" s="3"/>
      <c r="I1569" s="3"/>
      <c r="J1569" s="3"/>
      <c r="K1569" s="57">
        <f>IFERROR(__xludf.DUMMYFUNCTION("""COMPUTED_VALUE"""),3.73)</f>
        <v>3.73</v>
      </c>
      <c r="L1569" s="3"/>
      <c r="M1569" s="3"/>
      <c r="N1569" s="3"/>
      <c r="O1569" s="3"/>
      <c r="P1569" s="3"/>
      <c r="Q1569" s="3"/>
      <c r="R1569" s="3">
        <f>IFERROR(__xludf.DUMMYFUNCTION("""COMPUTED_VALUE"""),0.0)</f>
        <v>0</v>
      </c>
      <c r="S1569" s="3"/>
      <c r="T1569" s="5"/>
      <c r="U1569" s="5"/>
      <c r="V1569" s="5"/>
      <c r="W1569" s="5"/>
    </row>
    <row r="1570" ht="15.75" customHeight="1">
      <c r="A1570" s="3">
        <f>IFERROR(__xludf.DUMMYFUNCTION("""COMPUTED_VALUE"""),1570.0)</f>
        <v>1570</v>
      </c>
      <c r="B1570" s="53">
        <f>IFERROR(__xludf.DUMMYFUNCTION("""COMPUTED_VALUE"""),45811.0)</f>
        <v>45811</v>
      </c>
      <c r="C1570" s="3">
        <f>IFERROR(__xludf.DUMMYFUNCTION("""COMPUTED_VALUE"""),84.0)</f>
        <v>84</v>
      </c>
      <c r="D1570" s="3" t="str">
        <f>IFERROR(__xludf.DUMMYFUNCTION("""COMPUTED_VALUE"""),"9a261ef2")</f>
        <v>9a261ef2</v>
      </c>
      <c r="E1570" s="54">
        <f>IFERROR(__xludf.DUMMYFUNCTION("""COMPUTED_VALUE"""),83000.0)</f>
        <v>83000</v>
      </c>
      <c r="F1570" s="3" t="str">
        <f>IFERROR(__xludf.DUMMYFUNCTION("""COMPUTED_VALUE"""),"Tinto")</f>
        <v>Tinto</v>
      </c>
      <c r="G1570" s="3"/>
      <c r="H1570" s="3"/>
      <c r="I1570" s="3"/>
      <c r="J1570" s="3"/>
      <c r="K1570" s="57">
        <f>IFERROR(__xludf.DUMMYFUNCTION("""COMPUTED_VALUE"""),3.79)</f>
        <v>3.79</v>
      </c>
      <c r="L1570" s="3"/>
      <c r="M1570" s="3"/>
      <c r="N1570" s="3"/>
      <c r="O1570" s="3"/>
      <c r="P1570" s="3"/>
      <c r="Q1570" s="3"/>
      <c r="R1570" s="3">
        <f>IFERROR(__xludf.DUMMYFUNCTION("""COMPUTED_VALUE"""),0.0)</f>
        <v>0</v>
      </c>
      <c r="S1570" s="3"/>
      <c r="T1570" s="5"/>
      <c r="U1570" s="5"/>
      <c r="V1570" s="5"/>
      <c r="W1570" s="5"/>
    </row>
    <row r="1571" ht="15.75" customHeight="1">
      <c r="A1571" s="3">
        <f>IFERROR(__xludf.DUMMYFUNCTION("""COMPUTED_VALUE"""),1571.0)</f>
        <v>1571</v>
      </c>
      <c r="B1571" s="53">
        <f>IFERROR(__xludf.DUMMYFUNCTION("""COMPUTED_VALUE"""),45811.0)</f>
        <v>45811</v>
      </c>
      <c r="C1571" s="3">
        <f>IFERROR(__xludf.DUMMYFUNCTION("""COMPUTED_VALUE"""),85.0)</f>
        <v>85</v>
      </c>
      <c r="D1571" s="3" t="str">
        <f>IFERROR(__xludf.DUMMYFUNCTION("""COMPUTED_VALUE"""),"b7883137")</f>
        <v>b7883137</v>
      </c>
      <c r="E1571" s="54">
        <f>IFERROR(__xludf.DUMMYFUNCTION("""COMPUTED_VALUE"""),84000.0)</f>
        <v>84000</v>
      </c>
      <c r="F1571" s="3" t="str">
        <f>IFERROR(__xludf.DUMMYFUNCTION("""COMPUTED_VALUE"""),"Tinto")</f>
        <v>Tinto</v>
      </c>
      <c r="G1571" s="3"/>
      <c r="H1571" s="3"/>
      <c r="I1571" s="3"/>
      <c r="J1571" s="3"/>
      <c r="K1571" s="57">
        <f>IFERROR(__xludf.DUMMYFUNCTION("""COMPUTED_VALUE"""),3.81)</f>
        <v>3.81</v>
      </c>
      <c r="L1571" s="3"/>
      <c r="M1571" s="3"/>
      <c r="N1571" s="3"/>
      <c r="O1571" s="3"/>
      <c r="P1571" s="3"/>
      <c r="Q1571" s="3"/>
      <c r="R1571" s="3">
        <f>IFERROR(__xludf.DUMMYFUNCTION("""COMPUTED_VALUE"""),0.0)</f>
        <v>0</v>
      </c>
      <c r="S1571" s="3"/>
      <c r="T1571" s="5"/>
      <c r="U1571" s="5"/>
      <c r="V1571" s="5"/>
      <c r="W1571" s="5"/>
    </row>
    <row r="1572" ht="15.75" customHeight="1">
      <c r="A1572" s="3">
        <f>IFERROR(__xludf.DUMMYFUNCTION("""COMPUTED_VALUE"""),1572.0)</f>
        <v>1572</v>
      </c>
      <c r="B1572" s="53">
        <f>IFERROR(__xludf.DUMMYFUNCTION("""COMPUTED_VALUE"""),45811.0)</f>
        <v>45811</v>
      </c>
      <c r="C1572" s="3">
        <f>IFERROR(__xludf.DUMMYFUNCTION("""COMPUTED_VALUE"""),87.0)</f>
        <v>87</v>
      </c>
      <c r="D1572" s="3" t="str">
        <f>IFERROR(__xludf.DUMMYFUNCTION("""COMPUTED_VALUE"""),"b04cae80")</f>
        <v>b04cae80</v>
      </c>
      <c r="E1572" s="54">
        <f>IFERROR(__xludf.DUMMYFUNCTION("""COMPUTED_VALUE"""),93700.0)</f>
        <v>93700</v>
      </c>
      <c r="F1572" s="3" t="str">
        <f>IFERROR(__xludf.DUMMYFUNCTION("""COMPUTED_VALUE"""),"Tinto")</f>
        <v>Tinto</v>
      </c>
      <c r="G1572" s="3"/>
      <c r="H1572" s="3"/>
      <c r="I1572" s="3"/>
      <c r="J1572" s="3"/>
      <c r="K1572" s="57">
        <f>IFERROR(__xludf.DUMMYFUNCTION("""COMPUTED_VALUE"""),3.8)</f>
        <v>3.8</v>
      </c>
      <c r="L1572" s="3"/>
      <c r="M1572" s="3"/>
      <c r="N1572" s="3"/>
      <c r="O1572" s="3"/>
      <c r="P1572" s="3"/>
      <c r="Q1572" s="3"/>
      <c r="R1572" s="3">
        <f>IFERROR(__xludf.DUMMYFUNCTION("""COMPUTED_VALUE"""),0.0)</f>
        <v>0</v>
      </c>
      <c r="S1572" s="3"/>
      <c r="T1572" s="5"/>
      <c r="U1572" s="5"/>
      <c r="V1572" s="5"/>
      <c r="W1572" s="5"/>
    </row>
    <row r="1573" ht="15.75" customHeight="1">
      <c r="A1573" s="3">
        <f>IFERROR(__xludf.DUMMYFUNCTION("""COMPUTED_VALUE"""),1573.0)</f>
        <v>1573</v>
      </c>
      <c r="B1573" s="53">
        <f>IFERROR(__xludf.DUMMYFUNCTION("""COMPUTED_VALUE"""),45811.0)</f>
        <v>45811</v>
      </c>
      <c r="C1573" s="3">
        <f>IFERROR(__xludf.DUMMYFUNCTION("""COMPUTED_VALUE"""),92.0)</f>
        <v>92</v>
      </c>
      <c r="D1573" s="3" t="str">
        <f>IFERROR(__xludf.DUMMYFUNCTION("""COMPUTED_VALUE"""),"fbfff24a")</f>
        <v>fbfff24a</v>
      </c>
      <c r="E1573" s="54">
        <f>IFERROR(__xludf.DUMMYFUNCTION("""COMPUTED_VALUE"""),74600.0)</f>
        <v>74600</v>
      </c>
      <c r="F1573" s="3" t="str">
        <f>IFERROR(__xludf.DUMMYFUNCTION("""COMPUTED_VALUE"""),"Tinto")</f>
        <v>Tinto</v>
      </c>
      <c r="G1573" s="3"/>
      <c r="H1573" s="3"/>
      <c r="I1573" s="3"/>
      <c r="J1573" s="3"/>
      <c r="K1573" s="57">
        <f>IFERROR(__xludf.DUMMYFUNCTION("""COMPUTED_VALUE"""),3.77)</f>
        <v>3.77</v>
      </c>
      <c r="L1573" s="3"/>
      <c r="M1573" s="3"/>
      <c r="N1573" s="3"/>
      <c r="O1573" s="3"/>
      <c r="P1573" s="3"/>
      <c r="Q1573" s="3"/>
      <c r="R1573" s="3">
        <f>IFERROR(__xludf.DUMMYFUNCTION("""COMPUTED_VALUE"""),0.0)</f>
        <v>0</v>
      </c>
      <c r="S1573" s="3"/>
      <c r="T1573" s="5"/>
      <c r="U1573" s="5"/>
      <c r="V1573" s="5"/>
      <c r="W1573" s="5"/>
    </row>
    <row r="1574" ht="15.75" customHeight="1">
      <c r="A1574" s="3">
        <f>IFERROR(__xludf.DUMMYFUNCTION("""COMPUTED_VALUE"""),1574.0)</f>
        <v>1574</v>
      </c>
      <c r="B1574" s="53">
        <f>IFERROR(__xludf.DUMMYFUNCTION("""COMPUTED_VALUE"""),45811.0)</f>
        <v>45811</v>
      </c>
      <c r="C1574" s="3">
        <f>IFERROR(__xludf.DUMMYFUNCTION("""COMPUTED_VALUE"""),45.0)</f>
        <v>45</v>
      </c>
      <c r="D1574" s="3" t="str">
        <f>IFERROR(__xludf.DUMMYFUNCTION("""COMPUTED_VALUE"""),"2d4e2ede")</f>
        <v>2d4e2ede</v>
      </c>
      <c r="E1574" s="54">
        <f>IFERROR(__xludf.DUMMYFUNCTION("""COMPUTED_VALUE"""),25500.0)</f>
        <v>25500</v>
      </c>
      <c r="F1574" s="3" t="str">
        <f>IFERROR(__xludf.DUMMYFUNCTION("""COMPUTED_VALUE"""),"Tinto")</f>
        <v>Tinto</v>
      </c>
      <c r="G1574" s="3"/>
      <c r="H1574" s="3"/>
      <c r="I1574" s="3"/>
      <c r="J1574" s="3"/>
      <c r="K1574" s="57">
        <f>IFERROR(__xludf.DUMMYFUNCTION("""COMPUTED_VALUE"""),2.64)</f>
        <v>2.64</v>
      </c>
      <c r="L1574" s="3"/>
      <c r="M1574" s="3"/>
      <c r="N1574" s="3"/>
      <c r="O1574" s="3"/>
      <c r="P1574" s="3"/>
      <c r="Q1574" s="3"/>
      <c r="R1574" s="3">
        <f>IFERROR(__xludf.DUMMYFUNCTION("""COMPUTED_VALUE"""),0.0)</f>
        <v>0</v>
      </c>
      <c r="S1574" s="3"/>
      <c r="T1574" s="5"/>
      <c r="U1574" s="5"/>
      <c r="V1574" s="5"/>
      <c r="W1574" s="5"/>
    </row>
    <row r="1575" ht="15.75" customHeight="1">
      <c r="A1575" s="3">
        <f>IFERROR(__xludf.DUMMYFUNCTION("""COMPUTED_VALUE"""),1575.0)</f>
        <v>1575</v>
      </c>
      <c r="B1575" s="53">
        <f>IFERROR(__xludf.DUMMYFUNCTION("""COMPUTED_VALUE"""),45813.0)</f>
        <v>45813</v>
      </c>
      <c r="C1575" s="3">
        <f>IFERROR(__xludf.DUMMYFUNCTION("""COMPUTED_VALUE"""),118.0)</f>
        <v>118</v>
      </c>
      <c r="D1575" s="3" t="str">
        <f>IFERROR(__xludf.DUMMYFUNCTION("""COMPUTED_VALUE"""),"ea27bb38")</f>
        <v>ea27bb38</v>
      </c>
      <c r="E1575" s="54">
        <f>IFERROR(__xludf.DUMMYFUNCTION("""COMPUTED_VALUE"""),154720.0)</f>
        <v>154720</v>
      </c>
      <c r="F1575" s="3" t="str">
        <f>IFERROR(__xludf.DUMMYFUNCTION("""COMPUTED_VALUE"""),"Cabernet Sauvignon")</f>
        <v>Cabernet Sauvignon</v>
      </c>
      <c r="G1575" s="3"/>
      <c r="H1575" s="3"/>
      <c r="I1575" s="3"/>
      <c r="J1575" s="3"/>
      <c r="K1575" s="57">
        <f>IFERROR(__xludf.DUMMYFUNCTION("""COMPUTED_VALUE"""),3.65)</f>
        <v>3.65</v>
      </c>
      <c r="L1575" s="3"/>
      <c r="M1575" s="3"/>
      <c r="N1575" s="3"/>
      <c r="O1575" s="3"/>
      <c r="P1575" s="3"/>
      <c r="Q1575" s="3"/>
      <c r="R1575" s="3">
        <f>IFERROR(__xludf.DUMMYFUNCTION("""COMPUTED_VALUE"""),0.0)</f>
        <v>0</v>
      </c>
      <c r="S1575" s="3"/>
      <c r="T1575" s="5"/>
      <c r="U1575" s="5"/>
      <c r="V1575" s="5"/>
      <c r="W1575" s="5"/>
    </row>
    <row r="1576" ht="15.75" customHeight="1">
      <c r="A1576" s="3">
        <f>IFERROR(__xludf.DUMMYFUNCTION("""COMPUTED_VALUE"""),1576.0)</f>
        <v>1576</v>
      </c>
      <c r="B1576" s="53">
        <f>IFERROR(__xludf.DUMMYFUNCTION("""COMPUTED_VALUE"""),45813.0)</f>
        <v>45813</v>
      </c>
      <c r="C1576" s="3">
        <f>IFERROR(__xludf.DUMMYFUNCTION("""COMPUTED_VALUE"""),53.0)</f>
        <v>53</v>
      </c>
      <c r="D1576" s="3" t="str">
        <f>IFERROR(__xludf.DUMMYFUNCTION("""COMPUTED_VALUE"""),"a5c09bfd")</f>
        <v>a5c09bfd</v>
      </c>
      <c r="E1576" s="54">
        <f>IFERROR(__xludf.DUMMYFUNCTION("""COMPUTED_VALUE"""),22000.0)</f>
        <v>22000</v>
      </c>
      <c r="F1576" s="3" t="str">
        <f>IFERROR(__xludf.DUMMYFUNCTION("""COMPUTED_VALUE"""),"Tanat")</f>
        <v>Tanat</v>
      </c>
      <c r="G1576" s="3"/>
      <c r="H1576" s="3"/>
      <c r="I1576" s="3"/>
      <c r="J1576" s="3"/>
      <c r="K1576" s="57">
        <f>IFERROR(__xludf.DUMMYFUNCTION("""COMPUTED_VALUE"""),3.77)</f>
        <v>3.77</v>
      </c>
      <c r="L1576" s="3"/>
      <c r="M1576" s="3"/>
      <c r="N1576" s="3"/>
      <c r="O1576" s="3"/>
      <c r="P1576" s="3"/>
      <c r="Q1576" s="3"/>
      <c r="R1576" s="3">
        <f>IFERROR(__xludf.DUMMYFUNCTION("""COMPUTED_VALUE"""),0.0)</f>
        <v>0</v>
      </c>
      <c r="S1576" s="3"/>
      <c r="T1576" s="5"/>
      <c r="U1576" s="5"/>
      <c r="V1576" s="5"/>
      <c r="W1576" s="5"/>
    </row>
    <row r="1577" ht="15.75" customHeight="1">
      <c r="A1577" s="3">
        <f>IFERROR(__xludf.DUMMYFUNCTION("""COMPUTED_VALUE"""),1577.0)</f>
        <v>1577</v>
      </c>
      <c r="B1577" s="53">
        <f>IFERROR(__xludf.DUMMYFUNCTION("""COMPUTED_VALUE"""),45813.0)</f>
        <v>45813</v>
      </c>
      <c r="C1577" s="3">
        <f>IFERROR(__xludf.DUMMYFUNCTION("""COMPUTED_VALUE"""),66.0)</f>
        <v>66</v>
      </c>
      <c r="D1577" s="3" t="str">
        <f>IFERROR(__xludf.DUMMYFUNCTION("""COMPUTED_VALUE"""),"c67f70aa")</f>
        <v>c67f70aa</v>
      </c>
      <c r="E1577" s="54">
        <f>IFERROR(__xludf.DUMMYFUNCTION("""COMPUTED_VALUE"""),23000.0)</f>
        <v>23000</v>
      </c>
      <c r="F1577" s="3" t="str">
        <f>IFERROR(__xludf.DUMMYFUNCTION("""COMPUTED_VALUE"""),"Syrah")</f>
        <v>Syrah</v>
      </c>
      <c r="G1577" s="3"/>
      <c r="H1577" s="3"/>
      <c r="I1577" s="3"/>
      <c r="J1577" s="3"/>
      <c r="K1577" s="57">
        <f>IFERROR(__xludf.DUMMYFUNCTION("""COMPUTED_VALUE"""),3.72)</f>
        <v>3.72</v>
      </c>
      <c r="L1577" s="3"/>
      <c r="M1577" s="3"/>
      <c r="N1577" s="3"/>
      <c r="O1577" s="3"/>
      <c r="P1577" s="3"/>
      <c r="Q1577" s="3"/>
      <c r="R1577" s="3">
        <f>IFERROR(__xludf.DUMMYFUNCTION("""COMPUTED_VALUE"""),0.0)</f>
        <v>0</v>
      </c>
      <c r="S1577" s="3"/>
      <c r="T1577" s="5"/>
      <c r="U1577" s="5"/>
      <c r="V1577" s="5"/>
      <c r="W1577" s="5"/>
    </row>
    <row r="1578" ht="15.75" customHeight="1">
      <c r="A1578" s="3">
        <f>IFERROR(__xludf.DUMMYFUNCTION("""COMPUTED_VALUE"""),1578.0)</f>
        <v>1578</v>
      </c>
      <c r="B1578" s="53">
        <f>IFERROR(__xludf.DUMMYFUNCTION("""COMPUTED_VALUE"""),45813.0)</f>
        <v>45813</v>
      </c>
      <c r="C1578" s="3">
        <f>IFERROR(__xludf.DUMMYFUNCTION("""COMPUTED_VALUE"""),95.0)</f>
        <v>95</v>
      </c>
      <c r="D1578" s="3" t="str">
        <f>IFERROR(__xludf.DUMMYFUNCTION("""COMPUTED_VALUE"""),"263cc8c0")</f>
        <v>263cc8c0</v>
      </c>
      <c r="E1578" s="54">
        <f>IFERROR(__xludf.DUMMYFUNCTION("""COMPUTED_VALUE"""),77100.0)</f>
        <v>77100</v>
      </c>
      <c r="F1578" s="3" t="str">
        <f>IFERROR(__xludf.DUMMYFUNCTION("""COMPUTED_VALUE"""),"Syrah")</f>
        <v>Syrah</v>
      </c>
      <c r="G1578" s="3"/>
      <c r="H1578" s="3"/>
      <c r="I1578" s="3"/>
      <c r="J1578" s="3"/>
      <c r="K1578" s="3"/>
      <c r="L1578" s="54">
        <f>IFERROR(__xludf.DUMMYFUNCTION("""COMPUTED_VALUE"""),44.0)</f>
        <v>44</v>
      </c>
      <c r="M1578" s="3"/>
      <c r="N1578" s="3"/>
      <c r="O1578" s="3"/>
      <c r="P1578" s="3"/>
      <c r="Q1578" s="3"/>
      <c r="R1578" s="3">
        <f>IFERROR(__xludf.DUMMYFUNCTION("""COMPUTED_VALUE"""),0.0)</f>
        <v>0</v>
      </c>
      <c r="S1578" s="3"/>
      <c r="T1578" s="5"/>
      <c r="U1578" s="5"/>
      <c r="V1578" s="5"/>
      <c r="W1578" s="5"/>
    </row>
    <row r="1579" ht="15.75" customHeight="1">
      <c r="A1579" s="3">
        <f>IFERROR(__xludf.DUMMYFUNCTION("""COMPUTED_VALUE"""),1579.0)</f>
        <v>1579</v>
      </c>
      <c r="B1579" s="53">
        <f>IFERROR(__xludf.DUMMYFUNCTION("""COMPUTED_VALUE"""),45813.0)</f>
        <v>45813</v>
      </c>
      <c r="C1579" s="3">
        <f>IFERROR(__xludf.DUMMYFUNCTION("""COMPUTED_VALUE"""),96.0)</f>
        <v>96</v>
      </c>
      <c r="D1579" s="3" t="str">
        <f>IFERROR(__xludf.DUMMYFUNCTION("""COMPUTED_VALUE"""),"4b0ee075")</f>
        <v>4b0ee075</v>
      </c>
      <c r="E1579" s="54">
        <f>IFERROR(__xludf.DUMMYFUNCTION("""COMPUTED_VALUE"""),85600.0)</f>
        <v>85600</v>
      </c>
      <c r="F1579" s="3" t="str">
        <f>IFERROR(__xludf.DUMMYFUNCTION("""COMPUTED_VALUE"""),"Syrah")</f>
        <v>Syrah</v>
      </c>
      <c r="G1579" s="3"/>
      <c r="H1579" s="3"/>
      <c r="I1579" s="3"/>
      <c r="J1579" s="3"/>
      <c r="K1579" s="3"/>
      <c r="L1579" s="54">
        <f>IFERROR(__xludf.DUMMYFUNCTION("""COMPUTED_VALUE"""),47.0)</f>
        <v>47</v>
      </c>
      <c r="M1579" s="3"/>
      <c r="N1579" s="3"/>
      <c r="O1579" s="3"/>
      <c r="P1579" s="3"/>
      <c r="Q1579" s="3"/>
      <c r="R1579" s="3">
        <f>IFERROR(__xludf.DUMMYFUNCTION("""COMPUTED_VALUE"""),0.0)</f>
        <v>0</v>
      </c>
      <c r="S1579" s="3"/>
      <c r="T1579" s="5"/>
      <c r="U1579" s="5"/>
      <c r="V1579" s="5"/>
      <c r="W1579" s="5"/>
    </row>
    <row r="1580" ht="15.75" customHeight="1">
      <c r="A1580" s="3">
        <f>IFERROR(__xludf.DUMMYFUNCTION("""COMPUTED_VALUE"""),1580.0)</f>
        <v>1580</v>
      </c>
      <c r="B1580" s="53">
        <f>IFERROR(__xludf.DUMMYFUNCTION("""COMPUTED_VALUE"""),45814.0)</f>
        <v>45814</v>
      </c>
      <c r="C1580" s="3">
        <f>IFERROR(__xludf.DUMMYFUNCTION("""COMPUTED_VALUE"""),9.0)</f>
        <v>9</v>
      </c>
      <c r="D1580" s="3" t="str">
        <f>IFERROR(__xludf.DUMMYFUNCTION("""COMPUTED_VALUE"""),"b73d8cd1")</f>
        <v>b73d8cd1</v>
      </c>
      <c r="E1580" s="54">
        <f>IFERROR(__xludf.DUMMYFUNCTION("""COMPUTED_VALUE"""),30000.0)</f>
        <v>30000</v>
      </c>
      <c r="F1580" s="3" t="str">
        <f>IFERROR(__xludf.DUMMYFUNCTION("""COMPUTED_VALUE"""),"Chardonnay")</f>
        <v>Chardonnay</v>
      </c>
      <c r="G1580" s="3"/>
      <c r="H1580" s="3"/>
      <c r="I1580" s="3"/>
      <c r="J1580" s="3"/>
      <c r="K1580" s="3"/>
      <c r="L1580" s="54">
        <f>IFERROR(__xludf.DUMMYFUNCTION("""COMPUTED_VALUE"""),33.0)</f>
        <v>33</v>
      </c>
      <c r="M1580" s="3">
        <f>IFERROR(__xludf.DUMMYFUNCTION("""COMPUTED_VALUE"""),150.0)</f>
        <v>150</v>
      </c>
      <c r="N1580" s="3"/>
      <c r="O1580" s="3"/>
      <c r="P1580" s="3"/>
      <c r="Q1580" s="3"/>
      <c r="R1580" s="3">
        <f>IFERROR(__xludf.DUMMYFUNCTION("""COMPUTED_VALUE"""),0.0)</f>
        <v>0</v>
      </c>
      <c r="S1580" s="3"/>
      <c r="T1580" s="5"/>
      <c r="U1580" s="5"/>
      <c r="V1580" s="5"/>
      <c r="W1580" s="5"/>
    </row>
    <row r="1581" ht="15.75" customHeight="1">
      <c r="A1581" s="3">
        <f>IFERROR(__xludf.DUMMYFUNCTION("""COMPUTED_VALUE"""),1581.0)</f>
        <v>1581</v>
      </c>
      <c r="B1581" s="53">
        <f>IFERROR(__xludf.DUMMYFUNCTION("""COMPUTED_VALUE"""),45814.0)</f>
        <v>45814</v>
      </c>
      <c r="C1581" s="3">
        <f>IFERROR(__xludf.DUMMYFUNCTION("""COMPUTED_VALUE"""),15.0)</f>
        <v>15</v>
      </c>
      <c r="D1581" s="3" t="str">
        <f>IFERROR(__xludf.DUMMYFUNCTION("""COMPUTED_VALUE"""),"8a5cc2ae")</f>
        <v>8a5cc2ae</v>
      </c>
      <c r="E1581" s="54">
        <f>IFERROR(__xludf.DUMMYFUNCTION("""COMPUTED_VALUE"""),36500.0)</f>
        <v>36500</v>
      </c>
      <c r="F1581" s="3" t="str">
        <f>IFERROR(__xludf.DUMMYFUNCTION("""COMPUTED_VALUE"""),"Bonarda")</f>
        <v>Bonarda</v>
      </c>
      <c r="G1581" s="3"/>
      <c r="H1581" s="3"/>
      <c r="I1581" s="3"/>
      <c r="J1581" s="3"/>
      <c r="K1581" s="3"/>
      <c r="L1581" s="54">
        <f>IFERROR(__xludf.DUMMYFUNCTION("""COMPUTED_VALUE"""),37.0)</f>
        <v>37</v>
      </c>
      <c r="M1581" s="3">
        <f>IFERROR(__xludf.DUMMYFUNCTION("""COMPUTED_VALUE"""),143.0)</f>
        <v>143</v>
      </c>
      <c r="N1581" s="3"/>
      <c r="O1581" s="3"/>
      <c r="P1581" s="3"/>
      <c r="Q1581" s="3"/>
      <c r="R1581" s="3">
        <f>IFERROR(__xludf.DUMMYFUNCTION("""COMPUTED_VALUE"""),0.0)</f>
        <v>0</v>
      </c>
      <c r="S1581" s="3"/>
      <c r="T1581" s="5"/>
      <c r="U1581" s="5"/>
      <c r="V1581" s="5"/>
      <c r="W1581" s="5"/>
    </row>
    <row r="1582" ht="15.75" customHeight="1">
      <c r="A1582" s="3">
        <f>IFERROR(__xludf.DUMMYFUNCTION("""COMPUTED_VALUE"""),1582.0)</f>
        <v>1582</v>
      </c>
      <c r="B1582" s="53">
        <f>IFERROR(__xludf.DUMMYFUNCTION("""COMPUTED_VALUE"""),45814.0)</f>
        <v>45814</v>
      </c>
      <c r="C1582" s="3">
        <f>IFERROR(__xludf.DUMMYFUNCTION("""COMPUTED_VALUE"""),24.0)</f>
        <v>24</v>
      </c>
      <c r="D1582" s="3" t="str">
        <f>IFERROR(__xludf.DUMMYFUNCTION("""COMPUTED_VALUE"""),"b3a40361")</f>
        <v>b3a40361</v>
      </c>
      <c r="E1582" s="54">
        <f>IFERROR(__xludf.DUMMYFUNCTION("""COMPUTED_VALUE"""),186600.0)</f>
        <v>186600</v>
      </c>
      <c r="F1582" s="3" t="str">
        <f>IFERROR(__xludf.DUMMYFUNCTION("""COMPUTED_VALUE"""),"Malbec")</f>
        <v>Malbec</v>
      </c>
      <c r="G1582" s="3"/>
      <c r="H1582" s="3"/>
      <c r="I1582" s="3"/>
      <c r="J1582" s="3"/>
      <c r="K1582" s="3"/>
      <c r="L1582" s="54">
        <f>IFERROR(__xludf.DUMMYFUNCTION("""COMPUTED_VALUE"""),33.0)</f>
        <v>33</v>
      </c>
      <c r="M1582" s="3">
        <f>IFERROR(__xludf.DUMMYFUNCTION("""COMPUTED_VALUE"""),151.0)</f>
        <v>151</v>
      </c>
      <c r="N1582" s="3"/>
      <c r="O1582" s="3"/>
      <c r="P1582" s="3"/>
      <c r="Q1582" s="3"/>
      <c r="R1582" s="3">
        <f>IFERROR(__xludf.DUMMYFUNCTION("""COMPUTED_VALUE"""),0.0)</f>
        <v>0</v>
      </c>
      <c r="S1582" s="3"/>
      <c r="T1582" s="5"/>
      <c r="U1582" s="5"/>
      <c r="V1582" s="5"/>
      <c r="W1582" s="5"/>
    </row>
    <row r="1583" ht="15.75" customHeight="1">
      <c r="A1583" s="3">
        <f>IFERROR(__xludf.DUMMYFUNCTION("""COMPUTED_VALUE"""),1583.0)</f>
        <v>1583</v>
      </c>
      <c r="B1583" s="53">
        <f>IFERROR(__xludf.DUMMYFUNCTION("""COMPUTED_VALUE"""),45814.0)</f>
        <v>45814</v>
      </c>
      <c r="C1583" s="3">
        <f>IFERROR(__xludf.DUMMYFUNCTION("""COMPUTED_VALUE"""),25.0)</f>
        <v>25</v>
      </c>
      <c r="D1583" s="3" t="str">
        <f>IFERROR(__xludf.DUMMYFUNCTION("""COMPUTED_VALUE"""),"47816ee0")</f>
        <v>47816ee0</v>
      </c>
      <c r="E1583" s="54">
        <f>IFERROR(__xludf.DUMMYFUNCTION("""COMPUTED_VALUE"""),194300.0)</f>
        <v>194300</v>
      </c>
      <c r="F1583" s="3" t="str">
        <f>IFERROR(__xludf.DUMMYFUNCTION("""COMPUTED_VALUE"""),"Syrah")</f>
        <v>Syrah</v>
      </c>
      <c r="G1583" s="3"/>
      <c r="H1583" s="3"/>
      <c r="I1583" s="3"/>
      <c r="J1583" s="3"/>
      <c r="K1583" s="3"/>
      <c r="L1583" s="54">
        <f>IFERROR(__xludf.DUMMYFUNCTION("""COMPUTED_VALUE"""),42.0)</f>
        <v>42</v>
      </c>
      <c r="M1583" s="3">
        <f>IFERROR(__xludf.DUMMYFUNCTION("""COMPUTED_VALUE"""),121.0)</f>
        <v>121</v>
      </c>
      <c r="N1583" s="3"/>
      <c r="O1583" s="3"/>
      <c r="P1583" s="3"/>
      <c r="Q1583" s="3"/>
      <c r="R1583" s="3">
        <f>IFERROR(__xludf.DUMMYFUNCTION("""COMPUTED_VALUE"""),0.0)</f>
        <v>0</v>
      </c>
      <c r="S1583" s="3"/>
      <c r="T1583" s="5"/>
      <c r="U1583" s="5"/>
      <c r="V1583" s="5"/>
      <c r="W1583" s="5"/>
    </row>
    <row r="1584" ht="15.75" customHeight="1">
      <c r="A1584" s="3">
        <f>IFERROR(__xludf.DUMMYFUNCTION("""COMPUTED_VALUE"""),1584.0)</f>
        <v>1584</v>
      </c>
      <c r="B1584" s="53">
        <f>IFERROR(__xludf.DUMMYFUNCTION("""COMPUTED_VALUE"""),45814.0)</f>
        <v>45814</v>
      </c>
      <c r="C1584" s="3">
        <f>IFERROR(__xludf.DUMMYFUNCTION("""COMPUTED_VALUE"""),33.0)</f>
        <v>33</v>
      </c>
      <c r="D1584" s="3" t="str">
        <f>IFERROR(__xludf.DUMMYFUNCTION("""COMPUTED_VALUE"""),"7def2139")</f>
        <v>7def2139</v>
      </c>
      <c r="E1584" s="54">
        <f>IFERROR(__xludf.DUMMYFUNCTION("""COMPUTED_VALUE"""),25300.0)</f>
        <v>25300</v>
      </c>
      <c r="F1584" s="3" t="str">
        <f>IFERROR(__xludf.DUMMYFUNCTION("""COMPUTED_VALUE"""),"Chardonnay")</f>
        <v>Chardonnay</v>
      </c>
      <c r="G1584" s="3"/>
      <c r="H1584" s="3"/>
      <c r="I1584" s="3"/>
      <c r="J1584" s="3"/>
      <c r="K1584" s="3"/>
      <c r="L1584" s="54">
        <f>IFERROR(__xludf.DUMMYFUNCTION("""COMPUTED_VALUE"""),31.0)</f>
        <v>31</v>
      </c>
      <c r="M1584" s="3">
        <f>IFERROR(__xludf.DUMMYFUNCTION("""COMPUTED_VALUE"""),100.0)</f>
        <v>100</v>
      </c>
      <c r="N1584" s="3"/>
      <c r="O1584" s="3"/>
      <c r="P1584" s="3"/>
      <c r="Q1584" s="3"/>
      <c r="R1584" s="3">
        <f>IFERROR(__xludf.DUMMYFUNCTION("""COMPUTED_VALUE"""),0.0)</f>
        <v>0</v>
      </c>
      <c r="S1584" s="3"/>
      <c r="T1584" s="5"/>
      <c r="U1584" s="5"/>
      <c r="V1584" s="5"/>
      <c r="W1584" s="5"/>
    </row>
    <row r="1585" ht="15.75" customHeight="1">
      <c r="A1585" s="3">
        <f>IFERROR(__xludf.DUMMYFUNCTION("""COMPUTED_VALUE"""),1585.0)</f>
        <v>1585</v>
      </c>
      <c r="B1585" s="53">
        <f>IFERROR(__xludf.DUMMYFUNCTION("""COMPUTED_VALUE"""),45814.0)</f>
        <v>45814</v>
      </c>
      <c r="C1585" s="3">
        <f>IFERROR(__xludf.DUMMYFUNCTION("""COMPUTED_VALUE"""),40.0)</f>
        <v>40</v>
      </c>
      <c r="D1585" s="3" t="str">
        <f>IFERROR(__xludf.DUMMYFUNCTION("""COMPUTED_VALUE"""),"7c5390c8")</f>
        <v>7c5390c8</v>
      </c>
      <c r="E1585" s="54">
        <f>IFERROR(__xludf.DUMMYFUNCTION("""COMPUTED_VALUE"""),24000.0)</f>
        <v>24000</v>
      </c>
      <c r="F1585" s="3" t="str">
        <f>IFERROR(__xludf.DUMMYFUNCTION("""COMPUTED_VALUE"""),"Chardonnay")</f>
        <v>Chardonnay</v>
      </c>
      <c r="G1585" s="3"/>
      <c r="H1585" s="3"/>
      <c r="I1585" s="3"/>
      <c r="J1585" s="3"/>
      <c r="K1585" s="3"/>
      <c r="L1585" s="54">
        <f>IFERROR(__xludf.DUMMYFUNCTION("""COMPUTED_VALUE"""),25.0)</f>
        <v>25</v>
      </c>
      <c r="M1585" s="3">
        <f>IFERROR(__xludf.DUMMYFUNCTION("""COMPUTED_VALUE"""),99.0)</f>
        <v>99</v>
      </c>
      <c r="N1585" s="3"/>
      <c r="O1585" s="3"/>
      <c r="P1585" s="3"/>
      <c r="Q1585" s="3"/>
      <c r="R1585" s="3">
        <f>IFERROR(__xludf.DUMMYFUNCTION("""COMPUTED_VALUE"""),0.0)</f>
        <v>0</v>
      </c>
      <c r="S1585" s="3"/>
      <c r="T1585" s="5"/>
      <c r="U1585" s="5"/>
      <c r="V1585" s="5"/>
      <c r="W1585" s="5"/>
    </row>
    <row r="1586" ht="15.75" customHeight="1">
      <c r="A1586" s="3">
        <f>IFERROR(__xludf.DUMMYFUNCTION("""COMPUTED_VALUE"""),1586.0)</f>
        <v>1586</v>
      </c>
      <c r="B1586" s="53">
        <f>IFERROR(__xludf.DUMMYFUNCTION("""COMPUTED_VALUE"""),45814.0)</f>
        <v>45814</v>
      </c>
      <c r="C1586" s="3">
        <f>IFERROR(__xludf.DUMMYFUNCTION("""COMPUTED_VALUE"""),50.0)</f>
        <v>50</v>
      </c>
      <c r="D1586" s="3" t="str">
        <f>IFERROR(__xludf.DUMMYFUNCTION("""COMPUTED_VALUE"""),"7b7453a5")</f>
        <v>7b7453a5</v>
      </c>
      <c r="E1586" s="54">
        <f>IFERROR(__xludf.DUMMYFUNCTION("""COMPUTED_VALUE"""),5000.0)</f>
        <v>5000</v>
      </c>
      <c r="F1586" s="3" t="str">
        <f>IFERROR(__xludf.DUMMYFUNCTION("""COMPUTED_VALUE"""),"Aspirant Anccelota Gota")</f>
        <v>Aspirant Anccelota Gota</v>
      </c>
      <c r="G1586" s="3"/>
      <c r="H1586" s="3"/>
      <c r="I1586" s="3"/>
      <c r="J1586" s="3"/>
      <c r="K1586" s="3"/>
      <c r="L1586" s="54">
        <f>IFERROR(__xludf.DUMMYFUNCTION("""COMPUTED_VALUE"""),43.0)</f>
        <v>43</v>
      </c>
      <c r="M1586" s="3">
        <f>IFERROR(__xludf.DUMMYFUNCTION("""COMPUTED_VALUE"""),90.0)</f>
        <v>90</v>
      </c>
      <c r="N1586" s="3"/>
      <c r="O1586" s="3"/>
      <c r="P1586" s="3"/>
      <c r="Q1586" s="3"/>
      <c r="R1586" s="3">
        <f>IFERROR(__xludf.DUMMYFUNCTION("""COMPUTED_VALUE"""),0.0)</f>
        <v>0</v>
      </c>
      <c r="S1586" s="3"/>
      <c r="T1586" s="5"/>
      <c r="U1586" s="5"/>
      <c r="V1586" s="5"/>
      <c r="W1586" s="5"/>
    </row>
    <row r="1587" ht="15.75" customHeight="1">
      <c r="A1587" s="3">
        <f>IFERROR(__xludf.DUMMYFUNCTION("""COMPUTED_VALUE"""),1587.0)</f>
        <v>1587</v>
      </c>
      <c r="B1587" s="53">
        <f>IFERROR(__xludf.DUMMYFUNCTION("""COMPUTED_VALUE"""),45814.0)</f>
        <v>45814</v>
      </c>
      <c r="C1587" s="3">
        <f>IFERROR(__xludf.DUMMYFUNCTION("""COMPUTED_VALUE"""),66.0)</f>
        <v>66</v>
      </c>
      <c r="D1587" s="3" t="str">
        <f>IFERROR(__xludf.DUMMYFUNCTION("""COMPUTED_VALUE"""),"c67f70aa")</f>
        <v>c67f70aa</v>
      </c>
      <c r="E1587" s="54">
        <f>IFERROR(__xludf.DUMMYFUNCTION("""COMPUTED_VALUE"""),23000.0)</f>
        <v>23000</v>
      </c>
      <c r="F1587" s="3" t="str">
        <f>IFERROR(__xludf.DUMMYFUNCTION("""COMPUTED_VALUE"""),"Syrah")</f>
        <v>Syrah</v>
      </c>
      <c r="G1587" s="3"/>
      <c r="H1587" s="3"/>
      <c r="I1587" s="3"/>
      <c r="J1587" s="3"/>
      <c r="K1587" s="3"/>
      <c r="L1587" s="54">
        <f>IFERROR(__xludf.DUMMYFUNCTION("""COMPUTED_VALUE"""),34.0)</f>
        <v>34</v>
      </c>
      <c r="M1587" s="3">
        <f>IFERROR(__xludf.DUMMYFUNCTION("""COMPUTED_VALUE"""),116.0)</f>
        <v>116</v>
      </c>
      <c r="N1587" s="3"/>
      <c r="O1587" s="3"/>
      <c r="P1587" s="3"/>
      <c r="Q1587" s="3"/>
      <c r="R1587" s="3">
        <f>IFERROR(__xludf.DUMMYFUNCTION("""COMPUTED_VALUE"""),0.0)</f>
        <v>0</v>
      </c>
      <c r="S1587" s="3"/>
      <c r="T1587" s="5"/>
      <c r="U1587" s="5"/>
      <c r="V1587" s="5"/>
      <c r="W1587" s="5"/>
    </row>
    <row r="1588" ht="15.75" customHeight="1">
      <c r="A1588" s="3">
        <f>IFERROR(__xludf.DUMMYFUNCTION("""COMPUTED_VALUE"""),1588.0)</f>
        <v>1588</v>
      </c>
      <c r="B1588" s="53">
        <f>IFERROR(__xludf.DUMMYFUNCTION("""COMPUTED_VALUE"""),45814.0)</f>
        <v>45814</v>
      </c>
      <c r="C1588" s="3">
        <f>IFERROR(__xludf.DUMMYFUNCTION("""COMPUTED_VALUE"""),67.0)</f>
        <v>67</v>
      </c>
      <c r="D1588" s="3" t="str">
        <f>IFERROR(__xludf.DUMMYFUNCTION("""COMPUTED_VALUE"""),"654f35d0")</f>
        <v>654f35d0</v>
      </c>
      <c r="E1588" s="54">
        <f>IFERROR(__xludf.DUMMYFUNCTION("""COMPUTED_VALUE"""),23000.0)</f>
        <v>23000</v>
      </c>
      <c r="F1588" s="3" t="str">
        <f>IFERROR(__xludf.DUMMYFUNCTION("""COMPUTED_VALUE"""),"Anccelotta")</f>
        <v>Anccelotta</v>
      </c>
      <c r="G1588" s="3"/>
      <c r="H1588" s="3"/>
      <c r="I1588" s="3"/>
      <c r="J1588" s="3"/>
      <c r="K1588" s="3"/>
      <c r="L1588" s="54">
        <f>IFERROR(__xludf.DUMMYFUNCTION("""COMPUTED_VALUE"""),38.0)</f>
        <v>38</v>
      </c>
      <c r="M1588" s="3">
        <f>IFERROR(__xludf.DUMMYFUNCTION("""COMPUTED_VALUE"""),121.0)</f>
        <v>121</v>
      </c>
      <c r="N1588" s="3"/>
      <c r="O1588" s="3"/>
      <c r="P1588" s="3"/>
      <c r="Q1588" s="3"/>
      <c r="R1588" s="3">
        <f>IFERROR(__xludf.DUMMYFUNCTION("""COMPUTED_VALUE"""),0.0)</f>
        <v>0</v>
      </c>
      <c r="S1588" s="3"/>
      <c r="T1588" s="5"/>
      <c r="U1588" s="5"/>
      <c r="V1588" s="5"/>
      <c r="W1588" s="5"/>
    </row>
    <row r="1589" ht="15.75" customHeight="1">
      <c r="A1589" s="3">
        <f>IFERROR(__xludf.DUMMYFUNCTION("""COMPUTED_VALUE"""),1589.0)</f>
        <v>1589</v>
      </c>
      <c r="B1589" s="53">
        <f>IFERROR(__xludf.DUMMYFUNCTION("""COMPUTED_VALUE"""),45814.0)</f>
        <v>45814</v>
      </c>
      <c r="C1589" s="3">
        <f>IFERROR(__xludf.DUMMYFUNCTION("""COMPUTED_VALUE"""),70.0)</f>
        <v>70</v>
      </c>
      <c r="D1589" s="3" t="str">
        <f>IFERROR(__xludf.DUMMYFUNCTION("""COMPUTED_VALUE"""),"1cdbd1a4")</f>
        <v>1cdbd1a4</v>
      </c>
      <c r="E1589" s="54">
        <f>IFERROR(__xludf.DUMMYFUNCTION("""COMPUTED_VALUE"""),13000.0)</f>
        <v>13000</v>
      </c>
      <c r="F1589" s="3" t="str">
        <f>IFERROR(__xludf.DUMMYFUNCTION("""COMPUTED_VALUE"""),"Tinto G")</f>
        <v>Tinto G</v>
      </c>
      <c r="G1589" s="3"/>
      <c r="H1589" s="3"/>
      <c r="I1589" s="3"/>
      <c r="J1589" s="3"/>
      <c r="K1589" s="3"/>
      <c r="L1589" s="54">
        <f>IFERROR(__xludf.DUMMYFUNCTION("""COMPUTED_VALUE"""),37.0)</f>
        <v>37</v>
      </c>
      <c r="M1589" s="3">
        <f>IFERROR(__xludf.DUMMYFUNCTION("""COMPUTED_VALUE"""),200.0)</f>
        <v>200</v>
      </c>
      <c r="N1589" s="3"/>
      <c r="O1589" s="3"/>
      <c r="P1589" s="3"/>
      <c r="Q1589" s="3"/>
      <c r="R1589" s="3">
        <f>IFERROR(__xludf.DUMMYFUNCTION("""COMPUTED_VALUE"""),0.0)</f>
        <v>0</v>
      </c>
      <c r="S1589" s="3"/>
      <c r="T1589" s="5"/>
      <c r="U1589" s="5"/>
      <c r="V1589" s="5"/>
      <c r="W1589" s="5"/>
    </row>
    <row r="1590" ht="15.75" customHeight="1">
      <c r="A1590" s="3">
        <f>IFERROR(__xludf.DUMMYFUNCTION("""COMPUTED_VALUE"""),1590.0)</f>
        <v>1590</v>
      </c>
      <c r="B1590" s="53">
        <f>IFERROR(__xludf.DUMMYFUNCTION("""COMPUTED_VALUE"""),45814.0)</f>
        <v>45814</v>
      </c>
      <c r="C1590" s="3">
        <f>IFERROR(__xludf.DUMMYFUNCTION("""COMPUTED_VALUE"""),83.0)</f>
        <v>83</v>
      </c>
      <c r="D1590" s="3" t="str">
        <f>IFERROR(__xludf.DUMMYFUNCTION("""COMPUTED_VALUE"""),"1031b227")</f>
        <v>1031b227</v>
      </c>
      <c r="E1590" s="54">
        <f>IFERROR(__xludf.DUMMYFUNCTION("""COMPUTED_VALUE"""),81500.0)</f>
        <v>81500</v>
      </c>
      <c r="F1590" s="3" t="str">
        <f>IFERROR(__xludf.DUMMYFUNCTION("""COMPUTED_VALUE"""),"Malbec")</f>
        <v>Malbec</v>
      </c>
      <c r="G1590" s="3"/>
      <c r="H1590" s="3"/>
      <c r="I1590" s="3"/>
      <c r="J1590" s="3"/>
      <c r="K1590" s="3"/>
      <c r="L1590" s="54">
        <f>IFERROR(__xludf.DUMMYFUNCTION("""COMPUTED_VALUE"""),38.0)</f>
        <v>38</v>
      </c>
      <c r="M1590" s="3">
        <f>IFERROR(__xludf.DUMMYFUNCTION("""COMPUTED_VALUE"""),140.0)</f>
        <v>140</v>
      </c>
      <c r="N1590" s="3"/>
      <c r="O1590" s="3"/>
      <c r="P1590" s="3"/>
      <c r="Q1590" s="3"/>
      <c r="R1590" s="3">
        <f>IFERROR(__xludf.DUMMYFUNCTION("""COMPUTED_VALUE"""),0.0)</f>
        <v>0</v>
      </c>
      <c r="S1590" s="3"/>
      <c r="T1590" s="5"/>
      <c r="U1590" s="5"/>
      <c r="V1590" s="5"/>
      <c r="W1590" s="5"/>
    </row>
    <row r="1591" ht="15.75" customHeight="1">
      <c r="A1591" s="3">
        <f>IFERROR(__xludf.DUMMYFUNCTION("""COMPUTED_VALUE"""),1591.0)</f>
        <v>1591</v>
      </c>
      <c r="B1591" s="53">
        <f>IFERROR(__xludf.DUMMYFUNCTION("""COMPUTED_VALUE"""),45814.0)</f>
        <v>45814</v>
      </c>
      <c r="C1591" s="3">
        <f>IFERROR(__xludf.DUMMYFUNCTION("""COMPUTED_VALUE"""),90.0)</f>
        <v>90</v>
      </c>
      <c r="D1591" s="3" t="str">
        <f>IFERROR(__xludf.DUMMYFUNCTION("""COMPUTED_VALUE"""),"cddb06a5")</f>
        <v>cddb06a5</v>
      </c>
      <c r="E1591" s="54">
        <f>IFERROR(__xludf.DUMMYFUNCTION("""COMPUTED_VALUE"""),97500.0)</f>
        <v>97500</v>
      </c>
      <c r="F1591" s="3" t="str">
        <f>IFERROR(__xludf.DUMMYFUNCTION("""COMPUTED_VALUE"""),"Bonarda")</f>
        <v>Bonarda</v>
      </c>
      <c r="G1591" s="3"/>
      <c r="H1591" s="3"/>
      <c r="I1591" s="3"/>
      <c r="J1591" s="3"/>
      <c r="K1591" s="3"/>
      <c r="L1591" s="54">
        <f>IFERROR(__xludf.DUMMYFUNCTION("""COMPUTED_VALUE"""),33.0)</f>
        <v>33</v>
      </c>
      <c r="M1591" s="3">
        <f>IFERROR(__xludf.DUMMYFUNCTION("""COMPUTED_VALUE"""),132.0)</f>
        <v>132</v>
      </c>
      <c r="N1591" s="3"/>
      <c r="O1591" s="3"/>
      <c r="P1591" s="3"/>
      <c r="Q1591" s="3"/>
      <c r="R1591" s="3">
        <f>IFERROR(__xludf.DUMMYFUNCTION("""COMPUTED_VALUE"""),0.0)</f>
        <v>0</v>
      </c>
      <c r="S1591" s="3"/>
      <c r="T1591" s="5"/>
      <c r="U1591" s="5"/>
      <c r="V1591" s="5"/>
      <c r="W1591" s="5"/>
    </row>
    <row r="1592" ht="15.75" customHeight="1">
      <c r="A1592" s="3">
        <f>IFERROR(__xludf.DUMMYFUNCTION("""COMPUTED_VALUE"""),1592.0)</f>
        <v>1592</v>
      </c>
      <c r="B1592" s="53">
        <f>IFERROR(__xludf.DUMMYFUNCTION("""COMPUTED_VALUE"""),45814.0)</f>
        <v>45814</v>
      </c>
      <c r="C1592" s="3">
        <f>IFERROR(__xludf.DUMMYFUNCTION("""COMPUTED_VALUE"""),102.0)</f>
        <v>102</v>
      </c>
      <c r="D1592" s="3" t="str">
        <f>IFERROR(__xludf.DUMMYFUNCTION("""COMPUTED_VALUE"""),"5091788b")</f>
        <v>5091788b</v>
      </c>
      <c r="E1592" s="54">
        <f>IFERROR(__xludf.DUMMYFUNCTION("""COMPUTED_VALUE"""),31000.0)</f>
        <v>31000</v>
      </c>
      <c r="F1592" s="3" t="str">
        <f>IFERROR(__xludf.DUMMYFUNCTION("""COMPUTED_VALUE"""),"Bonarda")</f>
        <v>Bonarda</v>
      </c>
      <c r="G1592" s="3"/>
      <c r="H1592" s="3"/>
      <c r="I1592" s="3"/>
      <c r="J1592" s="3"/>
      <c r="K1592" s="3"/>
      <c r="L1592" s="54">
        <f>IFERROR(__xludf.DUMMYFUNCTION("""COMPUTED_VALUE"""),32.0)</f>
        <v>32</v>
      </c>
      <c r="M1592" s="3">
        <f>IFERROR(__xludf.DUMMYFUNCTION("""COMPUTED_VALUE"""),134.0)</f>
        <v>134</v>
      </c>
      <c r="N1592" s="3"/>
      <c r="O1592" s="3"/>
      <c r="P1592" s="3"/>
      <c r="Q1592" s="3"/>
      <c r="R1592" s="3">
        <f>IFERROR(__xludf.DUMMYFUNCTION("""COMPUTED_VALUE"""),0.0)</f>
        <v>0</v>
      </c>
      <c r="S1592" s="3"/>
      <c r="T1592" s="5"/>
      <c r="U1592" s="5"/>
      <c r="V1592" s="5"/>
      <c r="W1592" s="5"/>
    </row>
    <row r="1593" ht="15.75" customHeight="1">
      <c r="A1593" s="3">
        <f>IFERROR(__xludf.DUMMYFUNCTION("""COMPUTED_VALUE"""),1593.0)</f>
        <v>1593</v>
      </c>
      <c r="B1593" s="53">
        <f>IFERROR(__xludf.DUMMYFUNCTION("""COMPUTED_VALUE"""),45814.0)</f>
        <v>45814</v>
      </c>
      <c r="C1593" s="3">
        <f>IFERROR(__xludf.DUMMYFUNCTION("""COMPUTED_VALUE"""),103.0)</f>
        <v>103</v>
      </c>
      <c r="D1593" s="3" t="str">
        <f>IFERROR(__xludf.DUMMYFUNCTION("""COMPUTED_VALUE"""),"eb5a88ac")</f>
        <v>eb5a88ac</v>
      </c>
      <c r="E1593" s="54">
        <f>IFERROR(__xludf.DUMMYFUNCTION("""COMPUTED_VALUE"""),31000.0)</f>
        <v>31000</v>
      </c>
      <c r="F1593" s="3" t="str">
        <f>IFERROR(__xludf.DUMMYFUNCTION("""COMPUTED_VALUE"""),"Bonarda")</f>
        <v>Bonarda</v>
      </c>
      <c r="G1593" s="3"/>
      <c r="H1593" s="3"/>
      <c r="I1593" s="3"/>
      <c r="J1593" s="3"/>
      <c r="K1593" s="3"/>
      <c r="L1593" s="54">
        <f>IFERROR(__xludf.DUMMYFUNCTION("""COMPUTED_VALUE"""),31.0)</f>
        <v>31</v>
      </c>
      <c r="M1593" s="3">
        <f>IFERROR(__xludf.DUMMYFUNCTION("""COMPUTED_VALUE"""),135.0)</f>
        <v>135</v>
      </c>
      <c r="N1593" s="3"/>
      <c r="O1593" s="3"/>
      <c r="P1593" s="3"/>
      <c r="Q1593" s="3"/>
      <c r="R1593" s="3">
        <f>IFERROR(__xludf.DUMMYFUNCTION("""COMPUTED_VALUE"""),0.0)</f>
        <v>0</v>
      </c>
      <c r="S1593" s="3"/>
      <c r="T1593" s="5"/>
      <c r="U1593" s="5"/>
      <c r="V1593" s="5"/>
      <c r="W1593" s="5"/>
    </row>
    <row r="1594" ht="15.75" customHeight="1">
      <c r="A1594" s="3">
        <f>IFERROR(__xludf.DUMMYFUNCTION("""COMPUTED_VALUE"""),1594.0)</f>
        <v>1594</v>
      </c>
      <c r="B1594" s="53">
        <f>IFERROR(__xludf.DUMMYFUNCTION("""COMPUTED_VALUE"""),45814.0)</f>
        <v>45814</v>
      </c>
      <c r="C1594" s="3">
        <f>IFERROR(__xludf.DUMMYFUNCTION("""COMPUTED_VALUE"""),104.0)</f>
        <v>104</v>
      </c>
      <c r="D1594" s="3" t="str">
        <f>IFERROR(__xludf.DUMMYFUNCTION("""COMPUTED_VALUE"""),"029c104a")</f>
        <v>029c104a</v>
      </c>
      <c r="E1594" s="54">
        <f>IFERROR(__xludf.DUMMYFUNCTION("""COMPUTED_VALUE"""),31000.0)</f>
        <v>31000</v>
      </c>
      <c r="F1594" s="3" t="str">
        <f>IFERROR(__xludf.DUMMYFUNCTION("""COMPUTED_VALUE"""),"Bonarda")</f>
        <v>Bonarda</v>
      </c>
      <c r="G1594" s="3"/>
      <c r="H1594" s="3"/>
      <c r="I1594" s="3"/>
      <c r="J1594" s="3"/>
      <c r="K1594" s="3"/>
      <c r="L1594" s="54">
        <f>IFERROR(__xludf.DUMMYFUNCTION("""COMPUTED_VALUE"""),32.0)</f>
        <v>32</v>
      </c>
      <c r="M1594" s="3">
        <f>IFERROR(__xludf.DUMMYFUNCTION("""COMPUTED_VALUE"""),134.0)</f>
        <v>134</v>
      </c>
      <c r="N1594" s="3"/>
      <c r="O1594" s="3"/>
      <c r="P1594" s="3"/>
      <c r="Q1594" s="3"/>
      <c r="R1594" s="3">
        <f>IFERROR(__xludf.DUMMYFUNCTION("""COMPUTED_VALUE"""),0.0)</f>
        <v>0</v>
      </c>
      <c r="S1594" s="3"/>
      <c r="T1594" s="5"/>
      <c r="U1594" s="5"/>
      <c r="V1594" s="5"/>
      <c r="W1594" s="5"/>
    </row>
    <row r="1595" ht="15.75" customHeight="1">
      <c r="A1595" s="3">
        <f>IFERROR(__xludf.DUMMYFUNCTION("""COMPUTED_VALUE"""),1595.0)</f>
        <v>1595</v>
      </c>
      <c r="B1595" s="53">
        <f>IFERROR(__xludf.DUMMYFUNCTION("""COMPUTED_VALUE"""),45814.0)</f>
        <v>45814</v>
      </c>
      <c r="C1595" s="3">
        <f>IFERROR(__xludf.DUMMYFUNCTION("""COMPUTED_VALUE"""),105.0)</f>
        <v>105</v>
      </c>
      <c r="D1595" s="3" t="str">
        <f>IFERROR(__xludf.DUMMYFUNCTION("""COMPUTED_VALUE"""),"57a4fe30")</f>
        <v>57a4fe30</v>
      </c>
      <c r="E1595" s="54">
        <f>IFERROR(__xludf.DUMMYFUNCTION("""COMPUTED_VALUE"""),31000.0)</f>
        <v>31000</v>
      </c>
      <c r="F1595" s="3" t="str">
        <f>IFERROR(__xludf.DUMMYFUNCTION("""COMPUTED_VALUE"""),"Bonarda")</f>
        <v>Bonarda</v>
      </c>
      <c r="G1595" s="3"/>
      <c r="H1595" s="3"/>
      <c r="I1595" s="3"/>
      <c r="J1595" s="3"/>
      <c r="K1595" s="3"/>
      <c r="L1595" s="54">
        <f>IFERROR(__xludf.DUMMYFUNCTION("""COMPUTED_VALUE"""),31.0)</f>
        <v>31</v>
      </c>
      <c r="M1595" s="3">
        <f>IFERROR(__xludf.DUMMYFUNCTION("""COMPUTED_VALUE"""),153.0)</f>
        <v>153</v>
      </c>
      <c r="N1595" s="3"/>
      <c r="O1595" s="3"/>
      <c r="P1595" s="3"/>
      <c r="Q1595" s="3"/>
      <c r="R1595" s="3">
        <f>IFERROR(__xludf.DUMMYFUNCTION("""COMPUTED_VALUE"""),0.0)</f>
        <v>0</v>
      </c>
      <c r="S1595" s="3"/>
      <c r="T1595" s="5"/>
      <c r="U1595" s="5"/>
      <c r="V1595" s="5"/>
      <c r="W1595" s="5"/>
    </row>
    <row r="1596" ht="15.75" customHeight="1">
      <c r="A1596" s="3">
        <f>IFERROR(__xludf.DUMMYFUNCTION("""COMPUTED_VALUE"""),1596.0)</f>
        <v>1596</v>
      </c>
      <c r="B1596" s="53">
        <f>IFERROR(__xludf.DUMMYFUNCTION("""COMPUTED_VALUE"""),45814.0)</f>
        <v>45814</v>
      </c>
      <c r="C1596" s="3">
        <f>IFERROR(__xludf.DUMMYFUNCTION("""COMPUTED_VALUE"""),107.0)</f>
        <v>107</v>
      </c>
      <c r="D1596" s="3" t="str">
        <f>IFERROR(__xludf.DUMMYFUNCTION("""COMPUTED_VALUE"""),"3f5178fd")</f>
        <v>3f5178fd</v>
      </c>
      <c r="E1596" s="54">
        <f>IFERROR(__xludf.DUMMYFUNCTION("""COMPUTED_VALUE"""),31000.0)</f>
        <v>31000</v>
      </c>
      <c r="F1596" s="3" t="str">
        <f>IFERROR(__xludf.DUMMYFUNCTION("""COMPUTED_VALUE"""),"Bonarda")</f>
        <v>Bonarda</v>
      </c>
      <c r="G1596" s="3"/>
      <c r="H1596" s="3"/>
      <c r="I1596" s="3"/>
      <c r="J1596" s="3"/>
      <c r="K1596" s="3"/>
      <c r="L1596" s="54">
        <f>IFERROR(__xludf.DUMMYFUNCTION("""COMPUTED_VALUE"""),30.0)</f>
        <v>30</v>
      </c>
      <c r="M1596" s="3">
        <f>IFERROR(__xludf.DUMMYFUNCTION("""COMPUTED_VALUE"""),150.0)</f>
        <v>150</v>
      </c>
      <c r="N1596" s="3"/>
      <c r="O1596" s="3"/>
      <c r="P1596" s="3"/>
      <c r="Q1596" s="3"/>
      <c r="R1596" s="3">
        <f>IFERROR(__xludf.DUMMYFUNCTION("""COMPUTED_VALUE"""),0.0)</f>
        <v>0</v>
      </c>
      <c r="S1596" s="3"/>
      <c r="T1596" s="5"/>
      <c r="U1596" s="5"/>
      <c r="V1596" s="5"/>
      <c r="W1596" s="5"/>
    </row>
    <row r="1597" ht="15.75" customHeight="1">
      <c r="A1597" s="3">
        <f>IFERROR(__xludf.DUMMYFUNCTION("""COMPUTED_VALUE"""),1597.0)</f>
        <v>1597</v>
      </c>
      <c r="B1597" s="53">
        <f>IFERROR(__xludf.DUMMYFUNCTION("""COMPUTED_VALUE"""),45814.0)</f>
        <v>45814</v>
      </c>
      <c r="C1597" s="3">
        <f>IFERROR(__xludf.DUMMYFUNCTION("""COMPUTED_VALUE"""),109.0)</f>
        <v>109</v>
      </c>
      <c r="D1597" s="3" t="str">
        <f>IFERROR(__xludf.DUMMYFUNCTION("""COMPUTED_VALUE"""),"605416fd")</f>
        <v>605416fd</v>
      </c>
      <c r="E1597" s="54">
        <f>IFERROR(__xludf.DUMMYFUNCTION("""COMPUTED_VALUE"""),15600.0)</f>
        <v>15600</v>
      </c>
      <c r="F1597" s="3" t="str">
        <f>IFERROR(__xludf.DUMMYFUNCTION("""COMPUTED_VALUE"""),"Bonarda")</f>
        <v>Bonarda</v>
      </c>
      <c r="G1597" s="3"/>
      <c r="H1597" s="3"/>
      <c r="I1597" s="3"/>
      <c r="J1597" s="3"/>
      <c r="K1597" s="3"/>
      <c r="L1597" s="54">
        <f>IFERROR(__xludf.DUMMYFUNCTION("""COMPUTED_VALUE"""),28.0)</f>
        <v>28</v>
      </c>
      <c r="M1597" s="3">
        <f>IFERROR(__xludf.DUMMYFUNCTION("""COMPUTED_VALUE"""),140.0)</f>
        <v>140</v>
      </c>
      <c r="N1597" s="3"/>
      <c r="O1597" s="3"/>
      <c r="P1597" s="3"/>
      <c r="Q1597" s="3"/>
      <c r="R1597" s="3">
        <f>IFERROR(__xludf.DUMMYFUNCTION("""COMPUTED_VALUE"""),0.0)</f>
        <v>0</v>
      </c>
      <c r="S1597" s="3"/>
      <c r="T1597" s="5"/>
      <c r="U1597" s="5"/>
      <c r="V1597" s="5"/>
      <c r="W1597" s="5"/>
    </row>
    <row r="1598" ht="15.75" customHeight="1">
      <c r="A1598" s="3">
        <f>IFERROR(__xludf.DUMMYFUNCTION("""COMPUTED_VALUE"""),1598.0)</f>
        <v>1598</v>
      </c>
      <c r="B1598" s="53">
        <f>IFERROR(__xludf.DUMMYFUNCTION("""COMPUTED_VALUE"""),45814.0)</f>
        <v>45814</v>
      </c>
      <c r="C1598" s="3">
        <f>IFERROR(__xludf.DUMMYFUNCTION("""COMPUTED_VALUE"""),116.0)</f>
        <v>116</v>
      </c>
      <c r="D1598" s="3" t="str">
        <f>IFERROR(__xludf.DUMMYFUNCTION("""COMPUTED_VALUE"""),"b4fedb16")</f>
        <v>b4fedb16</v>
      </c>
      <c r="E1598" s="54">
        <f>IFERROR(__xludf.DUMMYFUNCTION("""COMPUTED_VALUE"""),99600.0)</f>
        <v>99600</v>
      </c>
      <c r="F1598" s="3" t="str">
        <f>IFERROR(__xludf.DUMMYFUNCTION("""COMPUTED_VALUE"""),"Malbec")</f>
        <v>Malbec</v>
      </c>
      <c r="G1598" s="3"/>
      <c r="H1598" s="3"/>
      <c r="I1598" s="3"/>
      <c r="J1598" s="3"/>
      <c r="K1598" s="3"/>
      <c r="L1598" s="54">
        <f>IFERROR(__xludf.DUMMYFUNCTION("""COMPUTED_VALUE"""),33.0)</f>
        <v>33</v>
      </c>
      <c r="M1598" s="3">
        <f>IFERROR(__xludf.DUMMYFUNCTION("""COMPUTED_VALUE"""),163.0)</f>
        <v>163</v>
      </c>
      <c r="N1598" s="3"/>
      <c r="O1598" s="3"/>
      <c r="P1598" s="3"/>
      <c r="Q1598" s="3"/>
      <c r="R1598" s="3">
        <f>IFERROR(__xludf.DUMMYFUNCTION("""COMPUTED_VALUE"""),0.0)</f>
        <v>0</v>
      </c>
      <c r="S1598" s="3"/>
      <c r="T1598" s="5"/>
      <c r="U1598" s="5"/>
      <c r="V1598" s="5"/>
      <c r="W1598" s="5"/>
    </row>
    <row r="1599" ht="15.75" customHeight="1">
      <c r="A1599" s="3">
        <f>IFERROR(__xludf.DUMMYFUNCTION("""COMPUTED_VALUE"""),1599.0)</f>
        <v>1599</v>
      </c>
      <c r="B1599" s="53">
        <f>IFERROR(__xludf.DUMMYFUNCTION("""COMPUTED_VALUE"""),45814.0)</f>
        <v>45814</v>
      </c>
      <c r="C1599" s="3">
        <f>IFERROR(__xludf.DUMMYFUNCTION("""COMPUTED_VALUE"""),121.0)</f>
        <v>121</v>
      </c>
      <c r="D1599" s="3" t="str">
        <f>IFERROR(__xludf.DUMMYFUNCTION("""COMPUTED_VALUE"""),"589807bc")</f>
        <v>589807bc</v>
      </c>
      <c r="E1599" s="54">
        <f>IFERROR(__xludf.DUMMYFUNCTION("""COMPUTED_VALUE"""),85800.0)</f>
        <v>85800</v>
      </c>
      <c r="F1599" s="3" t="str">
        <f>IFERROR(__xludf.DUMMYFUNCTION("""COMPUTED_VALUE"""),"Malbec")</f>
        <v>Malbec</v>
      </c>
      <c r="G1599" s="3"/>
      <c r="H1599" s="3"/>
      <c r="I1599" s="3"/>
      <c r="J1599" s="3"/>
      <c r="K1599" s="3"/>
      <c r="L1599" s="54">
        <f>IFERROR(__xludf.DUMMYFUNCTION("""COMPUTED_VALUE"""),32.0)</f>
        <v>32</v>
      </c>
      <c r="M1599" s="3">
        <f>IFERROR(__xludf.DUMMYFUNCTION("""COMPUTED_VALUE"""),150.0)</f>
        <v>150</v>
      </c>
      <c r="N1599" s="3"/>
      <c r="O1599" s="3"/>
      <c r="P1599" s="3"/>
      <c r="Q1599" s="3"/>
      <c r="R1599" s="3">
        <f>IFERROR(__xludf.DUMMYFUNCTION("""COMPUTED_VALUE"""),0.0)</f>
        <v>0</v>
      </c>
      <c r="S1599" s="3"/>
      <c r="T1599" s="5"/>
      <c r="U1599" s="5"/>
      <c r="V1599" s="5"/>
      <c r="W1599" s="5"/>
    </row>
    <row r="1600" ht="15.75" customHeight="1">
      <c r="A1600" s="3">
        <f>IFERROR(__xludf.DUMMYFUNCTION("""COMPUTED_VALUE"""),1600.0)</f>
        <v>1600</v>
      </c>
      <c r="B1600" s="53">
        <f>IFERROR(__xludf.DUMMYFUNCTION("""COMPUTED_VALUE"""),45817.0)</f>
        <v>45817</v>
      </c>
      <c r="C1600" s="3">
        <f>IFERROR(__xludf.DUMMYFUNCTION("""COMPUTED_VALUE"""),118.0)</f>
        <v>118</v>
      </c>
      <c r="D1600" s="3" t="str">
        <f>IFERROR(__xludf.DUMMYFUNCTION("""COMPUTED_VALUE"""),"ea27bb38")</f>
        <v>ea27bb38</v>
      </c>
      <c r="E1600" s="54">
        <f>IFERROR(__xludf.DUMMYFUNCTION("""COMPUTED_VALUE"""),154720.0)</f>
        <v>154720</v>
      </c>
      <c r="F1600" s="3" t="str">
        <f>IFERROR(__xludf.DUMMYFUNCTION("""COMPUTED_VALUE"""),"Cabernet Sauvignon")</f>
        <v>Cabernet Sauvignon</v>
      </c>
      <c r="G1600" s="55">
        <f>IFERROR(__xludf.DUMMYFUNCTION("""COMPUTED_VALUE"""),13.0)</f>
        <v>13</v>
      </c>
      <c r="H1600" s="56">
        <f>IFERROR(__xludf.DUMMYFUNCTION("""COMPUTED_VALUE"""),2.9)</f>
        <v>2.9</v>
      </c>
      <c r="I1600" s="57">
        <f>IFERROR(__xludf.DUMMYFUNCTION("""COMPUTED_VALUE"""),0.64)</f>
        <v>0.64</v>
      </c>
      <c r="J1600" s="57">
        <f>IFERROR(__xludf.DUMMYFUNCTION("""COMPUTED_VALUE"""),6.0)</f>
        <v>6</v>
      </c>
      <c r="K1600" s="3"/>
      <c r="L1600" s="54">
        <f>IFERROR(__xludf.DUMMYFUNCTION("""COMPUTED_VALUE"""),20.0)</f>
        <v>20</v>
      </c>
      <c r="M1600" s="3">
        <f>IFERROR(__xludf.DUMMYFUNCTION("""COMPUTED_VALUE"""),110.0)</f>
        <v>110</v>
      </c>
      <c r="N1600" s="3"/>
      <c r="O1600" s="3"/>
      <c r="P1600" s="3"/>
      <c r="Q1600" s="3"/>
      <c r="R1600" s="3">
        <f>IFERROR(__xludf.DUMMYFUNCTION("""COMPUTED_VALUE"""),0.0)</f>
        <v>0</v>
      </c>
      <c r="S1600" s="3"/>
      <c r="T1600" s="5"/>
      <c r="U1600" s="5"/>
      <c r="V1600" s="5"/>
      <c r="W1600" s="5"/>
    </row>
    <row r="1601" ht="15.75" customHeight="1">
      <c r="A1601" s="3">
        <f>IFERROR(__xludf.DUMMYFUNCTION("""COMPUTED_VALUE"""),1601.0)</f>
        <v>1601</v>
      </c>
      <c r="B1601" s="53">
        <f>IFERROR(__xludf.DUMMYFUNCTION("""COMPUTED_VALUE"""),45812.0)</f>
        <v>45812</v>
      </c>
      <c r="C1601" s="3">
        <f>IFERROR(__xludf.DUMMYFUNCTION("""COMPUTED_VALUE"""),84.0)</f>
        <v>84</v>
      </c>
      <c r="D1601" s="3" t="str">
        <f>IFERROR(__xludf.DUMMYFUNCTION("""COMPUTED_VALUE"""),"9a261ef2")</f>
        <v>9a261ef2</v>
      </c>
      <c r="E1601" s="54">
        <f>IFERROR(__xludf.DUMMYFUNCTION("""COMPUTED_VALUE"""),83000.0)</f>
        <v>83000</v>
      </c>
      <c r="F1601" s="3" t="str">
        <f>IFERROR(__xludf.DUMMYFUNCTION("""COMPUTED_VALUE"""),"Tinto")</f>
        <v>Tinto</v>
      </c>
      <c r="G1601" s="55">
        <f>IFERROR(__xludf.DUMMYFUNCTION("""COMPUTED_VALUE"""),14.2)</f>
        <v>14.2</v>
      </c>
      <c r="H1601" s="56">
        <f>IFERROR(__xludf.DUMMYFUNCTION("""COMPUTED_VALUE"""),3.89)</f>
        <v>3.89</v>
      </c>
      <c r="I1601" s="57">
        <f>IFERROR(__xludf.DUMMYFUNCTION("""COMPUTED_VALUE"""),0.56)</f>
        <v>0.56</v>
      </c>
      <c r="J1601" s="57">
        <f>IFERROR(__xludf.DUMMYFUNCTION("""COMPUTED_VALUE"""),4.8)</f>
        <v>4.8</v>
      </c>
      <c r="K1601" s="3"/>
      <c r="L1601" s="3"/>
      <c r="M1601" s="3"/>
      <c r="N1601" s="3"/>
      <c r="O1601" s="3"/>
      <c r="P1601" s="3"/>
      <c r="Q1601" s="3"/>
      <c r="R1601" s="3">
        <f>IFERROR(__xludf.DUMMYFUNCTION("""COMPUTED_VALUE"""),0.0)</f>
        <v>0</v>
      </c>
      <c r="S1601" s="3"/>
      <c r="T1601" s="5"/>
      <c r="U1601" s="5"/>
      <c r="V1601" s="5"/>
      <c r="W1601" s="5" t="str">
        <f>IFERROR(__xludf.DUMMYFUNCTION("""COMPUTED_VALUE"""),"Simon")</f>
        <v>Simon</v>
      </c>
    </row>
    <row r="1602" ht="15.75" customHeight="1">
      <c r="A1602" s="3">
        <f>IFERROR(__xludf.DUMMYFUNCTION("""COMPUTED_VALUE"""),1602.0)</f>
        <v>1602</v>
      </c>
      <c r="B1602" s="53">
        <f>IFERROR(__xludf.DUMMYFUNCTION("""COMPUTED_VALUE"""),45812.0)</f>
        <v>45812</v>
      </c>
      <c r="C1602" s="3">
        <f>IFERROR(__xludf.DUMMYFUNCTION("""COMPUTED_VALUE"""),85.0)</f>
        <v>85</v>
      </c>
      <c r="D1602" s="3" t="str">
        <f>IFERROR(__xludf.DUMMYFUNCTION("""COMPUTED_VALUE"""),"b7883137")</f>
        <v>b7883137</v>
      </c>
      <c r="E1602" s="54">
        <f>IFERROR(__xludf.DUMMYFUNCTION("""COMPUTED_VALUE"""),84000.0)</f>
        <v>84000</v>
      </c>
      <c r="F1602" s="3" t="str">
        <f>IFERROR(__xludf.DUMMYFUNCTION("""COMPUTED_VALUE"""),"Tinto")</f>
        <v>Tinto</v>
      </c>
      <c r="G1602" s="55">
        <f>IFERROR(__xludf.DUMMYFUNCTION("""COMPUTED_VALUE"""),14.0)</f>
        <v>14</v>
      </c>
      <c r="H1602" s="56">
        <f>IFERROR(__xludf.DUMMYFUNCTION("""COMPUTED_VALUE"""),3.32)</f>
        <v>3.32</v>
      </c>
      <c r="I1602" s="57">
        <f>IFERROR(__xludf.DUMMYFUNCTION("""COMPUTED_VALUE"""),0.51)</f>
        <v>0.51</v>
      </c>
      <c r="J1602" s="57">
        <f>IFERROR(__xludf.DUMMYFUNCTION("""COMPUTED_VALUE"""),4.87)</f>
        <v>4.87</v>
      </c>
      <c r="K1602" s="3"/>
      <c r="L1602" s="3"/>
      <c r="M1602" s="3"/>
      <c r="N1602" s="3"/>
      <c r="O1602" s="3"/>
      <c r="P1602" s="3"/>
      <c r="Q1602" s="3"/>
      <c r="R1602" s="3">
        <f>IFERROR(__xludf.DUMMYFUNCTION("""COMPUTED_VALUE"""),0.0)</f>
        <v>0</v>
      </c>
      <c r="S1602" s="3"/>
      <c r="T1602" s="5"/>
      <c r="U1602" s="5"/>
      <c r="V1602" s="5"/>
      <c r="W1602" s="5" t="str">
        <f>IFERROR(__xludf.DUMMYFUNCTION("""COMPUTED_VALUE"""),"Simon")</f>
        <v>Simon</v>
      </c>
    </row>
    <row r="1603" ht="15.75" customHeight="1">
      <c r="A1603" s="3">
        <f>IFERROR(__xludf.DUMMYFUNCTION("""COMPUTED_VALUE"""),1603.0)</f>
        <v>1603</v>
      </c>
      <c r="B1603" s="53">
        <f>IFERROR(__xludf.DUMMYFUNCTION("""COMPUTED_VALUE"""),45812.0)</f>
        <v>45812</v>
      </c>
      <c r="C1603" s="3">
        <f>IFERROR(__xludf.DUMMYFUNCTION("""COMPUTED_VALUE"""),92.0)</f>
        <v>92</v>
      </c>
      <c r="D1603" s="3" t="str">
        <f>IFERROR(__xludf.DUMMYFUNCTION("""COMPUTED_VALUE"""),"fbfff24a")</f>
        <v>fbfff24a</v>
      </c>
      <c r="E1603" s="54">
        <f>IFERROR(__xludf.DUMMYFUNCTION("""COMPUTED_VALUE"""),74600.0)</f>
        <v>74600</v>
      </c>
      <c r="F1603" s="3" t="str">
        <f>IFERROR(__xludf.DUMMYFUNCTION("""COMPUTED_VALUE"""),"Tinto")</f>
        <v>Tinto</v>
      </c>
      <c r="G1603" s="55">
        <f>IFERROR(__xludf.DUMMYFUNCTION("""COMPUTED_VALUE"""),14.1)</f>
        <v>14.1</v>
      </c>
      <c r="H1603" s="56">
        <f>IFERROR(__xludf.DUMMYFUNCTION("""COMPUTED_VALUE"""),4.1)</f>
        <v>4.1</v>
      </c>
      <c r="I1603" s="57">
        <f>IFERROR(__xludf.DUMMYFUNCTION("""COMPUTED_VALUE"""),0.56)</f>
        <v>0.56</v>
      </c>
      <c r="J1603" s="57">
        <f>IFERROR(__xludf.DUMMYFUNCTION("""COMPUTED_VALUE"""),5.4)</f>
        <v>5.4</v>
      </c>
      <c r="K1603" s="3"/>
      <c r="L1603" s="3"/>
      <c r="M1603" s="3"/>
      <c r="N1603" s="3"/>
      <c r="O1603" s="3"/>
      <c r="P1603" s="3"/>
      <c r="Q1603" s="3"/>
      <c r="R1603" s="3">
        <f>IFERROR(__xludf.DUMMYFUNCTION("""COMPUTED_VALUE"""),0.0)</f>
        <v>0</v>
      </c>
      <c r="S1603" s="3"/>
      <c r="T1603" s="5"/>
      <c r="U1603" s="5"/>
      <c r="V1603" s="5"/>
      <c r="W1603" s="5" t="str">
        <f>IFERROR(__xludf.DUMMYFUNCTION("""COMPUTED_VALUE"""),"Simon")</f>
        <v>Simon</v>
      </c>
    </row>
    <row r="1604" ht="15.75" customHeight="1">
      <c r="A1604" s="3">
        <f>IFERROR(__xludf.DUMMYFUNCTION("""COMPUTED_VALUE"""),1604.0)</f>
        <v>1604</v>
      </c>
      <c r="B1604" s="53">
        <f>IFERROR(__xludf.DUMMYFUNCTION("""COMPUTED_VALUE"""),45818.0)</f>
        <v>45818</v>
      </c>
      <c r="C1604" s="3">
        <f>IFERROR(__xludf.DUMMYFUNCTION("""COMPUTED_VALUE"""),11.0)</f>
        <v>11</v>
      </c>
      <c r="D1604" s="3" t="str">
        <f>IFERROR(__xludf.DUMMYFUNCTION("""COMPUTED_VALUE"""),"dcaf5b39")</f>
        <v>dcaf5b39</v>
      </c>
      <c r="E1604" s="54">
        <f>IFERROR(__xludf.DUMMYFUNCTION("""COMPUTED_VALUE"""),36000.0)</f>
        <v>36000</v>
      </c>
      <c r="F1604" s="3" t="str">
        <f>IFERROR(__xludf.DUMMYFUNCTION("""COMPUTED_VALUE"""),"Chardonnay")</f>
        <v>Chardonnay</v>
      </c>
      <c r="G1604" s="3"/>
      <c r="H1604" s="3"/>
      <c r="I1604" s="3"/>
      <c r="J1604" s="3"/>
      <c r="K1604" s="57">
        <f>IFERROR(__xludf.DUMMYFUNCTION("""COMPUTED_VALUE"""),3.35)</f>
        <v>3.35</v>
      </c>
      <c r="L1604" s="54">
        <f>IFERROR(__xludf.DUMMYFUNCTION("""COMPUTED_VALUE"""),32.0)</f>
        <v>32</v>
      </c>
      <c r="M1604" s="3">
        <f>IFERROR(__xludf.DUMMYFUNCTION("""COMPUTED_VALUE"""),118.0)</f>
        <v>118</v>
      </c>
      <c r="N1604" s="3"/>
      <c r="O1604" s="3"/>
      <c r="P1604" s="3"/>
      <c r="Q1604" s="3"/>
      <c r="R1604" s="3">
        <f>IFERROR(__xludf.DUMMYFUNCTION("""COMPUTED_VALUE"""),0.0)</f>
        <v>0</v>
      </c>
      <c r="S1604" s="3"/>
      <c r="T1604" s="5"/>
      <c r="U1604" s="5"/>
      <c r="V1604" s="5"/>
      <c r="W1604" s="5"/>
    </row>
    <row r="1605" ht="15.75" customHeight="1">
      <c r="A1605" s="3">
        <f>IFERROR(__xludf.DUMMYFUNCTION("""COMPUTED_VALUE"""),1605.0)</f>
        <v>1605</v>
      </c>
      <c r="B1605" s="53">
        <f>IFERROR(__xludf.DUMMYFUNCTION("""COMPUTED_VALUE"""),45818.0)</f>
        <v>45818</v>
      </c>
      <c r="C1605" s="3">
        <f>IFERROR(__xludf.DUMMYFUNCTION("""COMPUTED_VALUE"""),55.0)</f>
        <v>55</v>
      </c>
      <c r="D1605" s="3" t="str">
        <f>IFERROR(__xludf.DUMMYFUNCTION("""COMPUTED_VALUE"""),"2d412906")</f>
        <v>2d412906</v>
      </c>
      <c r="E1605" s="54">
        <f>IFERROR(__xludf.DUMMYFUNCTION("""COMPUTED_VALUE"""),3000.0)</f>
        <v>3000</v>
      </c>
      <c r="F1605" s="3" t="str">
        <f>IFERROR(__xludf.DUMMYFUNCTION("""COMPUTED_VALUE"""),"Chardonnay")</f>
        <v>Chardonnay</v>
      </c>
      <c r="G1605" s="3"/>
      <c r="H1605" s="3"/>
      <c r="I1605" s="3"/>
      <c r="J1605" s="3"/>
      <c r="K1605" s="57">
        <f>IFERROR(__xludf.DUMMYFUNCTION("""COMPUTED_VALUE"""),3.31)</f>
        <v>3.31</v>
      </c>
      <c r="L1605" s="54">
        <f>IFERROR(__xludf.DUMMYFUNCTION("""COMPUTED_VALUE"""),32.0)</f>
        <v>32</v>
      </c>
      <c r="M1605" s="3">
        <f>IFERROR(__xludf.DUMMYFUNCTION("""COMPUTED_VALUE"""),140.0)</f>
        <v>140</v>
      </c>
      <c r="N1605" s="3"/>
      <c r="O1605" s="3"/>
      <c r="P1605" s="3"/>
      <c r="Q1605" s="3"/>
      <c r="R1605" s="3">
        <f>IFERROR(__xludf.DUMMYFUNCTION("""COMPUTED_VALUE"""),0.0)</f>
        <v>0</v>
      </c>
      <c r="S1605" s="3"/>
      <c r="T1605" s="5"/>
      <c r="U1605" s="5"/>
      <c r="V1605" s="5"/>
      <c r="W1605" s="5"/>
    </row>
    <row r="1606" ht="15.75" customHeight="1">
      <c r="A1606" s="3">
        <f>IFERROR(__xludf.DUMMYFUNCTION("""COMPUTED_VALUE"""),1606.0)</f>
        <v>1606</v>
      </c>
      <c r="B1606" s="53">
        <f>IFERROR(__xludf.DUMMYFUNCTION("""COMPUTED_VALUE"""),45818.0)</f>
        <v>45818</v>
      </c>
      <c r="C1606" s="3">
        <f>IFERROR(__xludf.DUMMYFUNCTION("""COMPUTED_VALUE"""),42.0)</f>
        <v>42</v>
      </c>
      <c r="D1606" s="3" t="str">
        <f>IFERROR(__xludf.DUMMYFUNCTION("""COMPUTED_VALUE"""),"dccd4f5e")</f>
        <v>dccd4f5e</v>
      </c>
      <c r="E1606" s="54">
        <f>IFERROR(__xludf.DUMMYFUNCTION("""COMPUTED_VALUE"""),35900.0)</f>
        <v>35900</v>
      </c>
      <c r="F1606" s="3" t="str">
        <f>IFERROR(__xludf.DUMMYFUNCTION("""COMPUTED_VALUE"""),"Bonarda")</f>
        <v>Bonarda</v>
      </c>
      <c r="G1606" s="3"/>
      <c r="H1606" s="3"/>
      <c r="I1606" s="3"/>
      <c r="J1606" s="3"/>
      <c r="K1606" s="57">
        <f>IFERROR(__xludf.DUMMYFUNCTION("""COMPUTED_VALUE"""),3.65)</f>
        <v>3.65</v>
      </c>
      <c r="L1606" s="54">
        <f>IFERROR(__xludf.DUMMYFUNCTION("""COMPUTED_VALUE"""),42.0)</f>
        <v>42</v>
      </c>
      <c r="M1606" s="3">
        <f>IFERROR(__xludf.DUMMYFUNCTION("""COMPUTED_VALUE"""),150.0)</f>
        <v>150</v>
      </c>
      <c r="N1606" s="3"/>
      <c r="O1606" s="3"/>
      <c r="P1606" s="3"/>
      <c r="Q1606" s="3"/>
      <c r="R1606" s="3">
        <f>IFERROR(__xludf.DUMMYFUNCTION("""COMPUTED_VALUE"""),0.0)</f>
        <v>0</v>
      </c>
      <c r="S1606" s="3"/>
      <c r="T1606" s="5"/>
      <c r="U1606" s="5"/>
      <c r="V1606" s="5"/>
      <c r="W1606" s="5"/>
    </row>
    <row r="1607" ht="15.75" customHeight="1">
      <c r="A1607" s="3">
        <f>IFERROR(__xludf.DUMMYFUNCTION("""COMPUTED_VALUE"""),1607.0)</f>
        <v>1607</v>
      </c>
      <c r="B1607" s="53">
        <f>IFERROR(__xludf.DUMMYFUNCTION("""COMPUTED_VALUE"""),45818.0)</f>
        <v>45818</v>
      </c>
      <c r="C1607" s="3">
        <f>IFERROR(__xludf.DUMMYFUNCTION("""COMPUTED_VALUE"""),46.0)</f>
        <v>46</v>
      </c>
      <c r="D1607" s="3" t="str">
        <f>IFERROR(__xludf.DUMMYFUNCTION("""COMPUTED_VALUE"""),"7efc01f3")</f>
        <v>7efc01f3</v>
      </c>
      <c r="E1607" s="54">
        <f>IFERROR(__xludf.DUMMYFUNCTION("""COMPUTED_VALUE"""),24600.0)</f>
        <v>24600</v>
      </c>
      <c r="F1607" s="3" t="str">
        <f>IFERROR(__xludf.DUMMYFUNCTION("""COMPUTED_VALUE"""),"Bonarda")</f>
        <v>Bonarda</v>
      </c>
      <c r="G1607" s="3"/>
      <c r="H1607" s="3"/>
      <c r="I1607" s="3"/>
      <c r="J1607" s="3"/>
      <c r="K1607" s="57">
        <f>IFERROR(__xludf.DUMMYFUNCTION("""COMPUTED_VALUE"""),3.66)</f>
        <v>3.66</v>
      </c>
      <c r="L1607" s="54">
        <f>IFERROR(__xludf.DUMMYFUNCTION("""COMPUTED_VALUE"""),36.0)</f>
        <v>36</v>
      </c>
      <c r="M1607" s="3">
        <f>IFERROR(__xludf.DUMMYFUNCTION("""COMPUTED_VALUE"""),124.0)</f>
        <v>124</v>
      </c>
      <c r="N1607" s="3"/>
      <c r="O1607" s="3"/>
      <c r="P1607" s="3"/>
      <c r="Q1607" s="3"/>
      <c r="R1607" s="3">
        <f>IFERROR(__xludf.DUMMYFUNCTION("""COMPUTED_VALUE"""),0.0)</f>
        <v>0</v>
      </c>
      <c r="S1607" s="3"/>
      <c r="T1607" s="5"/>
      <c r="U1607" s="5"/>
      <c r="V1607" s="5"/>
      <c r="W1607" s="5"/>
    </row>
    <row r="1608" ht="15.75" customHeight="1">
      <c r="A1608" s="3">
        <f>IFERROR(__xludf.DUMMYFUNCTION("""COMPUTED_VALUE"""),1608.0)</f>
        <v>1608</v>
      </c>
      <c r="B1608" s="53">
        <f>IFERROR(__xludf.DUMMYFUNCTION("""COMPUTED_VALUE"""),45818.0)</f>
        <v>45818</v>
      </c>
      <c r="C1608" s="3">
        <f>IFERROR(__xludf.DUMMYFUNCTION("""COMPUTED_VALUE"""),53.0)</f>
        <v>53</v>
      </c>
      <c r="D1608" s="3" t="str">
        <f>IFERROR(__xludf.DUMMYFUNCTION("""COMPUTED_VALUE"""),"da5fcb21")</f>
        <v>da5fcb21</v>
      </c>
      <c r="E1608" s="54">
        <f>IFERROR(__xludf.DUMMYFUNCTION("""COMPUTED_VALUE"""),22000.0)</f>
        <v>22000</v>
      </c>
      <c r="F1608" s="3" t="str">
        <f>IFERROR(__xludf.DUMMYFUNCTION("""COMPUTED_VALUE"""),"Tanat")</f>
        <v>Tanat</v>
      </c>
      <c r="G1608" s="3"/>
      <c r="H1608" s="3"/>
      <c r="I1608" s="3"/>
      <c r="J1608" s="3"/>
      <c r="K1608" s="57">
        <f>IFERROR(__xludf.DUMMYFUNCTION("""COMPUTED_VALUE"""),3.62)</f>
        <v>3.62</v>
      </c>
      <c r="L1608" s="54">
        <f>IFERROR(__xludf.DUMMYFUNCTION("""COMPUTED_VALUE"""),40.0)</f>
        <v>40</v>
      </c>
      <c r="M1608" s="3">
        <f>IFERROR(__xludf.DUMMYFUNCTION("""COMPUTED_VALUE"""),110.0)</f>
        <v>110</v>
      </c>
      <c r="N1608" s="3"/>
      <c r="O1608" s="3"/>
      <c r="P1608" s="3"/>
      <c r="Q1608" s="3"/>
      <c r="R1608" s="3">
        <f>IFERROR(__xludf.DUMMYFUNCTION("""COMPUTED_VALUE"""),0.0)</f>
        <v>0</v>
      </c>
      <c r="S1608" s="3"/>
      <c r="T1608" s="5"/>
      <c r="U1608" s="5"/>
      <c r="V1608" s="5"/>
      <c r="W1608" s="5"/>
    </row>
    <row r="1609" ht="15.75" customHeight="1">
      <c r="A1609" s="3">
        <f>IFERROR(__xludf.DUMMYFUNCTION("""COMPUTED_VALUE"""),1609.0)</f>
        <v>1609</v>
      </c>
      <c r="B1609" s="53">
        <f>IFERROR(__xludf.DUMMYFUNCTION("""COMPUTED_VALUE"""),45818.0)</f>
        <v>45818</v>
      </c>
      <c r="C1609" s="3">
        <f>IFERROR(__xludf.DUMMYFUNCTION("""COMPUTED_VALUE"""),67.0)</f>
        <v>67</v>
      </c>
      <c r="D1609" s="3" t="str">
        <f>IFERROR(__xludf.DUMMYFUNCTION("""COMPUTED_VALUE"""),"eb6cce4f")</f>
        <v>eb6cce4f</v>
      </c>
      <c r="E1609" s="54">
        <f>IFERROR(__xludf.DUMMYFUNCTION("""COMPUTED_VALUE"""),23000.0)</f>
        <v>23000</v>
      </c>
      <c r="F1609" s="3" t="str">
        <f>IFERROR(__xludf.DUMMYFUNCTION("""COMPUTED_VALUE"""),"Anccelotta")</f>
        <v>Anccelotta</v>
      </c>
      <c r="G1609" s="3"/>
      <c r="H1609" s="3"/>
      <c r="I1609" s="3"/>
      <c r="J1609" s="3"/>
      <c r="K1609" s="57">
        <f>IFERROR(__xludf.DUMMYFUNCTION("""COMPUTED_VALUE"""),3.59)</f>
        <v>3.59</v>
      </c>
      <c r="L1609" s="54">
        <f>IFERROR(__xludf.DUMMYFUNCTION("""COMPUTED_VALUE"""),43.0)</f>
        <v>43</v>
      </c>
      <c r="M1609" s="3">
        <f>IFERROR(__xludf.DUMMYFUNCTION("""COMPUTED_VALUE"""),150.0)</f>
        <v>150</v>
      </c>
      <c r="N1609" s="3"/>
      <c r="O1609" s="3"/>
      <c r="P1609" s="3"/>
      <c r="Q1609" s="3"/>
      <c r="R1609" s="3">
        <f>IFERROR(__xludf.DUMMYFUNCTION("""COMPUTED_VALUE"""),0.0)</f>
        <v>0</v>
      </c>
      <c r="S1609" s="3"/>
      <c r="T1609" s="5"/>
      <c r="U1609" s="5"/>
      <c r="V1609" s="5"/>
      <c r="W1609" s="5"/>
    </row>
    <row r="1610" ht="15.75" customHeight="1">
      <c r="A1610" s="3">
        <f>IFERROR(__xludf.DUMMYFUNCTION("""COMPUTED_VALUE"""),1610.0)</f>
        <v>1610</v>
      </c>
      <c r="B1610" s="53">
        <f>IFERROR(__xludf.DUMMYFUNCTION("""COMPUTED_VALUE"""),45818.0)</f>
        <v>45818</v>
      </c>
      <c r="C1610" s="3">
        <f>IFERROR(__xludf.DUMMYFUNCTION("""COMPUTED_VALUE"""),75.0)</f>
        <v>75</v>
      </c>
      <c r="D1610" s="3" t="str">
        <f>IFERROR(__xludf.DUMMYFUNCTION("""COMPUTED_VALUE"""),"7a9e7f06")</f>
        <v>7a9e7f06</v>
      </c>
      <c r="E1610" s="54">
        <f>IFERROR(__xludf.DUMMYFUNCTION("""COMPUTED_VALUE"""),7000.0)</f>
        <v>7000</v>
      </c>
      <c r="F1610" s="3" t="str">
        <f>IFERROR(__xludf.DUMMYFUNCTION("""COMPUTED_VALUE"""),"Tanat")</f>
        <v>Tanat</v>
      </c>
      <c r="G1610" s="3"/>
      <c r="H1610" s="3"/>
      <c r="I1610" s="3"/>
      <c r="J1610" s="3"/>
      <c r="K1610" s="57">
        <f>IFERROR(__xludf.DUMMYFUNCTION("""COMPUTED_VALUE"""),3.21)</f>
        <v>3.21</v>
      </c>
      <c r="L1610" s="54">
        <f>IFERROR(__xludf.DUMMYFUNCTION("""COMPUTED_VALUE"""),28.0)</f>
        <v>28</v>
      </c>
      <c r="M1610" s="3">
        <f>IFERROR(__xludf.DUMMYFUNCTION("""COMPUTED_VALUE"""),110.0)</f>
        <v>110</v>
      </c>
      <c r="N1610" s="3"/>
      <c r="O1610" s="3"/>
      <c r="P1610" s="3"/>
      <c r="Q1610" s="3"/>
      <c r="R1610" s="3">
        <f>IFERROR(__xludf.DUMMYFUNCTION("""COMPUTED_VALUE"""),0.0)</f>
        <v>0</v>
      </c>
      <c r="S1610" s="3"/>
      <c r="T1610" s="5"/>
      <c r="U1610" s="5"/>
      <c r="V1610" s="5"/>
      <c r="W1610" s="5"/>
    </row>
    <row r="1611" ht="15.75" customHeight="1">
      <c r="A1611" s="3">
        <f>IFERROR(__xludf.DUMMYFUNCTION("""COMPUTED_VALUE"""),1611.0)</f>
        <v>1611</v>
      </c>
      <c r="B1611" s="53">
        <f>IFERROR(__xludf.DUMMYFUNCTION("""COMPUTED_VALUE"""),45818.0)</f>
        <v>45818</v>
      </c>
      <c r="C1611" s="3">
        <f>IFERROR(__xludf.DUMMYFUNCTION("""COMPUTED_VALUE"""),90.0)</f>
        <v>90</v>
      </c>
      <c r="D1611" s="3" t="str">
        <f>IFERROR(__xludf.DUMMYFUNCTION("""COMPUTED_VALUE"""),"e62f11a1")</f>
        <v>e62f11a1</v>
      </c>
      <c r="E1611" s="54">
        <f>IFERROR(__xludf.DUMMYFUNCTION("""COMPUTED_VALUE"""),97500.0)</f>
        <v>97500</v>
      </c>
      <c r="F1611" s="3" t="str">
        <f>IFERROR(__xludf.DUMMYFUNCTION("""COMPUTED_VALUE"""),"Bonarda")</f>
        <v>Bonarda</v>
      </c>
      <c r="G1611" s="3"/>
      <c r="H1611" s="3"/>
      <c r="I1611" s="3"/>
      <c r="J1611" s="3"/>
      <c r="K1611" s="57">
        <f>IFERROR(__xludf.DUMMYFUNCTION("""COMPUTED_VALUE"""),3.53)</f>
        <v>3.53</v>
      </c>
      <c r="L1611" s="54">
        <f>IFERROR(__xludf.DUMMYFUNCTION("""COMPUTED_VALUE"""),34.0)</f>
        <v>34</v>
      </c>
      <c r="M1611" s="3">
        <f>IFERROR(__xludf.DUMMYFUNCTION("""COMPUTED_VALUE"""),124.0)</f>
        <v>124</v>
      </c>
      <c r="N1611" s="3"/>
      <c r="O1611" s="3"/>
      <c r="P1611" s="3"/>
      <c r="Q1611" s="3"/>
      <c r="R1611" s="3">
        <f>IFERROR(__xludf.DUMMYFUNCTION("""COMPUTED_VALUE"""),0.0)</f>
        <v>0</v>
      </c>
      <c r="S1611" s="3"/>
      <c r="T1611" s="5"/>
      <c r="U1611" s="5"/>
      <c r="V1611" s="5"/>
      <c r="W1611" s="5"/>
    </row>
    <row r="1612" ht="15.75" customHeight="1">
      <c r="A1612" s="3">
        <f>IFERROR(__xludf.DUMMYFUNCTION("""COMPUTED_VALUE"""),1612.0)</f>
        <v>1612</v>
      </c>
      <c r="B1612" s="53">
        <f>IFERROR(__xludf.DUMMYFUNCTION("""COMPUTED_VALUE"""),45818.0)</f>
        <v>45818</v>
      </c>
      <c r="C1612" s="3">
        <f>IFERROR(__xludf.DUMMYFUNCTION("""COMPUTED_VALUE"""),5.0)</f>
        <v>5</v>
      </c>
      <c r="D1612" s="3" t="str">
        <f>IFERROR(__xludf.DUMMYFUNCTION("""COMPUTED_VALUE"""),"ebf08055")</f>
        <v>ebf08055</v>
      </c>
      <c r="E1612" s="54">
        <f>IFERROR(__xludf.DUMMYFUNCTION("""COMPUTED_VALUE"""),30000.0)</f>
        <v>30000</v>
      </c>
      <c r="F1612" s="3" t="str">
        <f>IFERROR(__xludf.DUMMYFUNCTION("""COMPUTED_VALUE"""),"Chardonnay")</f>
        <v>Chardonnay</v>
      </c>
      <c r="G1612" s="3"/>
      <c r="H1612" s="3"/>
      <c r="I1612" s="3"/>
      <c r="J1612" s="3"/>
      <c r="K1612" s="57">
        <f>IFERROR(__xludf.DUMMYFUNCTION("""COMPUTED_VALUE"""),3.35)</f>
        <v>3.35</v>
      </c>
      <c r="L1612" s="54">
        <f>IFERROR(__xludf.DUMMYFUNCTION("""COMPUTED_VALUE"""),31.0)</f>
        <v>31</v>
      </c>
      <c r="M1612" s="3">
        <f>IFERROR(__xludf.DUMMYFUNCTION("""COMPUTED_VALUE"""),125.0)</f>
        <v>125</v>
      </c>
      <c r="N1612" s="3"/>
      <c r="O1612" s="3"/>
      <c r="P1612" s="3"/>
      <c r="Q1612" s="3"/>
      <c r="R1612" s="3">
        <f>IFERROR(__xludf.DUMMYFUNCTION("""COMPUTED_VALUE"""),0.0)</f>
        <v>0</v>
      </c>
      <c r="S1612" s="3"/>
      <c r="T1612" s="5"/>
      <c r="U1612" s="5"/>
      <c r="V1612" s="5"/>
      <c r="W1612" s="5"/>
    </row>
    <row r="1613" ht="15.75" customHeight="1">
      <c r="A1613" s="3">
        <f>IFERROR(__xludf.DUMMYFUNCTION("""COMPUTED_VALUE"""),1613.0)</f>
        <v>1613</v>
      </c>
      <c r="B1613" s="53">
        <f>IFERROR(__xludf.DUMMYFUNCTION("""COMPUTED_VALUE"""),45819.0)</f>
        <v>45819</v>
      </c>
      <c r="C1613" s="3">
        <f>IFERROR(__xludf.DUMMYFUNCTION("""COMPUTED_VALUE"""),115.0)</f>
        <v>115</v>
      </c>
      <c r="D1613" s="3" t="str">
        <f>IFERROR(__xludf.DUMMYFUNCTION("""COMPUTED_VALUE"""),"9788a9f2")</f>
        <v>9788a9f2</v>
      </c>
      <c r="E1613" s="54">
        <f>IFERROR(__xludf.DUMMYFUNCTION("""COMPUTED_VALUE"""),100000.0)</f>
        <v>100000</v>
      </c>
      <c r="F1613" s="3" t="str">
        <f>IFERROR(__xludf.DUMMYFUNCTION("""COMPUTED_VALUE"""),"Malbec Venta Lopez")</f>
        <v>Malbec Venta Lopez</v>
      </c>
      <c r="G1613" s="55">
        <f>IFERROR(__xludf.DUMMYFUNCTION("""COMPUTED_VALUE"""),14.0)</f>
        <v>14</v>
      </c>
      <c r="H1613" s="56">
        <f>IFERROR(__xludf.DUMMYFUNCTION("""COMPUTED_VALUE"""),3.9)</f>
        <v>3.9</v>
      </c>
      <c r="I1613" s="3"/>
      <c r="J1613" s="3"/>
      <c r="K1613" s="3"/>
      <c r="L1613" s="3"/>
      <c r="M1613" s="3"/>
      <c r="N1613" s="3"/>
      <c r="O1613" s="3">
        <f>IFERROR(__xludf.DUMMYFUNCTION("""COMPUTED_VALUE"""),330.0)</f>
        <v>330</v>
      </c>
      <c r="P1613" s="3">
        <f>IFERROR(__xludf.DUMMYFUNCTION("""COMPUTED_VALUE"""),490.0)</f>
        <v>490</v>
      </c>
      <c r="Q1613" s="3"/>
      <c r="R1613" s="3">
        <f>IFERROR(__xludf.DUMMYFUNCTION("""COMPUTED_VALUE"""),820.0)</f>
        <v>820</v>
      </c>
      <c r="S1613" s="54">
        <f>IFERROR(__xludf.DUMMYFUNCTION("""COMPUTED_VALUE"""),1217.5757575757577)</f>
        <v>1217.575758</v>
      </c>
      <c r="T1613" s="5"/>
      <c r="U1613" s="5"/>
      <c r="V1613" s="5"/>
      <c r="W1613" s="5"/>
    </row>
    <row r="1614" ht="15.75" customHeight="1">
      <c r="A1614" s="3">
        <f>IFERROR(__xludf.DUMMYFUNCTION("""COMPUTED_VALUE"""),1614.0)</f>
        <v>1614</v>
      </c>
      <c r="B1614" s="53">
        <f>IFERROR(__xludf.DUMMYFUNCTION("""COMPUTED_VALUE"""),45819.0)</f>
        <v>45819</v>
      </c>
      <c r="C1614" s="3">
        <f>IFERROR(__xludf.DUMMYFUNCTION("""COMPUTED_VALUE"""),5.0)</f>
        <v>5</v>
      </c>
      <c r="D1614" s="3" t="str">
        <f>IFERROR(__xludf.DUMMYFUNCTION("""COMPUTED_VALUE"""),"ebf08055")</f>
        <v>ebf08055</v>
      </c>
      <c r="E1614" s="54">
        <f>IFERROR(__xludf.DUMMYFUNCTION("""COMPUTED_VALUE"""),30000.0)</f>
        <v>30000</v>
      </c>
      <c r="F1614" s="3" t="str">
        <f>IFERROR(__xludf.DUMMYFUNCTION("""COMPUTED_VALUE"""),"Chardonnay")</f>
        <v>Chardonnay</v>
      </c>
      <c r="G1614" s="55">
        <f>IFERROR(__xludf.DUMMYFUNCTION("""COMPUTED_VALUE"""),13.0)</f>
        <v>13</v>
      </c>
      <c r="H1614" s="56">
        <f>IFERROR(__xludf.DUMMYFUNCTION("""COMPUTED_VALUE"""),1.85)</f>
        <v>1.85</v>
      </c>
      <c r="I1614" s="57">
        <f>IFERROR(__xludf.DUMMYFUNCTION("""COMPUTED_VALUE"""),0.29)</f>
        <v>0.29</v>
      </c>
      <c r="J1614" s="57">
        <f>IFERROR(__xludf.DUMMYFUNCTION("""COMPUTED_VALUE"""),6.3)</f>
        <v>6.3</v>
      </c>
      <c r="K1614" s="3"/>
      <c r="L1614" s="3"/>
      <c r="M1614" s="3"/>
      <c r="N1614" s="3"/>
      <c r="O1614" s="3"/>
      <c r="P1614" s="3"/>
      <c r="Q1614" s="3"/>
      <c r="R1614" s="3">
        <f>IFERROR(__xludf.DUMMYFUNCTION("""COMPUTED_VALUE"""),0.0)</f>
        <v>0</v>
      </c>
      <c r="S1614" s="3"/>
      <c r="T1614" s="5"/>
      <c r="U1614" s="5"/>
      <c r="V1614" s="5"/>
      <c r="W1614" s="5" t="str">
        <f>IFERROR(__xludf.DUMMYFUNCTION("""COMPUTED_VALUE"""),"Simon")</f>
        <v>Simon</v>
      </c>
    </row>
    <row r="1615" ht="15.75" customHeight="1">
      <c r="A1615" s="3">
        <f>IFERROR(__xludf.DUMMYFUNCTION("""COMPUTED_VALUE"""),1615.0)</f>
        <v>1615</v>
      </c>
      <c r="B1615" s="53">
        <f>IFERROR(__xludf.DUMMYFUNCTION("""COMPUTED_VALUE"""),45819.0)</f>
        <v>45819</v>
      </c>
      <c r="C1615" s="3">
        <f>IFERROR(__xludf.DUMMYFUNCTION("""COMPUTED_VALUE"""),11.0)</f>
        <v>11</v>
      </c>
      <c r="D1615" s="3" t="str">
        <f>IFERROR(__xludf.DUMMYFUNCTION("""COMPUTED_VALUE"""),"dcaf5b39")</f>
        <v>dcaf5b39</v>
      </c>
      <c r="E1615" s="54">
        <f>IFERROR(__xludf.DUMMYFUNCTION("""COMPUTED_VALUE"""),36000.0)</f>
        <v>36000</v>
      </c>
      <c r="F1615" s="3" t="str">
        <f>IFERROR(__xludf.DUMMYFUNCTION("""COMPUTED_VALUE"""),"Chardonnay")</f>
        <v>Chardonnay</v>
      </c>
      <c r="G1615" s="55">
        <f>IFERROR(__xludf.DUMMYFUNCTION("""COMPUTED_VALUE"""),12.0)</f>
        <v>12</v>
      </c>
      <c r="H1615" s="56">
        <f>IFERROR(__xludf.DUMMYFUNCTION("""COMPUTED_VALUE"""),1.8)</f>
        <v>1.8</v>
      </c>
      <c r="I1615" s="57">
        <f>IFERROR(__xludf.DUMMYFUNCTION("""COMPUTED_VALUE"""),0.25)</f>
        <v>0.25</v>
      </c>
      <c r="J1615" s="57">
        <f>IFERROR(__xludf.DUMMYFUNCTION("""COMPUTED_VALUE"""),6.37)</f>
        <v>6.37</v>
      </c>
      <c r="K1615" s="3"/>
      <c r="L1615" s="3"/>
      <c r="M1615" s="3"/>
      <c r="N1615" s="3"/>
      <c r="O1615" s="3"/>
      <c r="P1615" s="3"/>
      <c r="Q1615" s="3"/>
      <c r="R1615" s="3">
        <f>IFERROR(__xludf.DUMMYFUNCTION("""COMPUTED_VALUE"""),0.0)</f>
        <v>0</v>
      </c>
      <c r="S1615" s="3"/>
      <c r="T1615" s="5"/>
      <c r="U1615" s="5"/>
      <c r="V1615" s="5"/>
      <c r="W1615" s="5" t="str">
        <f>IFERROR(__xludf.DUMMYFUNCTION("""COMPUTED_VALUE"""),"Simon")</f>
        <v>Simon</v>
      </c>
    </row>
    <row r="1616" ht="15.75" customHeight="1">
      <c r="A1616" s="3">
        <f>IFERROR(__xludf.DUMMYFUNCTION("""COMPUTED_VALUE"""),1616.0)</f>
        <v>1616</v>
      </c>
      <c r="B1616" s="53">
        <f>IFERROR(__xludf.DUMMYFUNCTION("""COMPUTED_VALUE"""),45819.0)</f>
        <v>45819</v>
      </c>
      <c r="C1616" s="3">
        <f>IFERROR(__xludf.DUMMYFUNCTION("""COMPUTED_VALUE"""),42.0)</f>
        <v>42</v>
      </c>
      <c r="D1616" s="3" t="str">
        <f>IFERROR(__xludf.DUMMYFUNCTION("""COMPUTED_VALUE"""),"dccd4f5e")</f>
        <v>dccd4f5e</v>
      </c>
      <c r="E1616" s="54">
        <f>IFERROR(__xludf.DUMMYFUNCTION("""COMPUTED_VALUE"""),35900.0)</f>
        <v>35900</v>
      </c>
      <c r="F1616" s="3" t="str">
        <f>IFERROR(__xludf.DUMMYFUNCTION("""COMPUTED_VALUE"""),"Bonarda")</f>
        <v>Bonarda</v>
      </c>
      <c r="G1616" s="55">
        <f>IFERROR(__xludf.DUMMYFUNCTION("""COMPUTED_VALUE"""),13.5)</f>
        <v>13.5</v>
      </c>
      <c r="H1616" s="56">
        <f>IFERROR(__xludf.DUMMYFUNCTION("""COMPUTED_VALUE"""),3.13)</f>
        <v>3.13</v>
      </c>
      <c r="I1616" s="57">
        <f>IFERROR(__xludf.DUMMYFUNCTION("""COMPUTED_VALUE"""),0.47)</f>
        <v>0.47</v>
      </c>
      <c r="J1616" s="57">
        <f>IFERROR(__xludf.DUMMYFUNCTION("""COMPUTED_VALUE"""),6.6)</f>
        <v>6.6</v>
      </c>
      <c r="K1616" s="3"/>
      <c r="L1616" s="3"/>
      <c r="M1616" s="3"/>
      <c r="N1616" s="3"/>
      <c r="O1616" s="3"/>
      <c r="P1616" s="3"/>
      <c r="Q1616" s="3"/>
      <c r="R1616" s="3">
        <f>IFERROR(__xludf.DUMMYFUNCTION("""COMPUTED_VALUE"""),0.0)</f>
        <v>0</v>
      </c>
      <c r="S1616" s="3"/>
      <c r="T1616" s="5"/>
      <c r="U1616" s="5"/>
      <c r="V1616" s="5"/>
      <c r="W1616" s="5" t="str">
        <f>IFERROR(__xludf.DUMMYFUNCTION("""COMPUTED_VALUE"""),"Simon")</f>
        <v>Simon</v>
      </c>
    </row>
    <row r="1617" ht="15.75" customHeight="1">
      <c r="A1617" s="3">
        <f>IFERROR(__xludf.DUMMYFUNCTION("""COMPUTED_VALUE"""),1617.0)</f>
        <v>1617</v>
      </c>
      <c r="B1617" s="53">
        <f>IFERROR(__xludf.DUMMYFUNCTION("""COMPUTED_VALUE"""),45819.0)</f>
        <v>45819</v>
      </c>
      <c r="C1617" s="3">
        <f>IFERROR(__xludf.DUMMYFUNCTION("""COMPUTED_VALUE"""),46.0)</f>
        <v>46</v>
      </c>
      <c r="D1617" s="3" t="str">
        <f>IFERROR(__xludf.DUMMYFUNCTION("""COMPUTED_VALUE"""),"7efc01f3")</f>
        <v>7efc01f3</v>
      </c>
      <c r="E1617" s="54">
        <f>IFERROR(__xludf.DUMMYFUNCTION("""COMPUTED_VALUE"""),24600.0)</f>
        <v>24600</v>
      </c>
      <c r="F1617" s="3" t="str">
        <f>IFERROR(__xludf.DUMMYFUNCTION("""COMPUTED_VALUE"""),"Bonarda")</f>
        <v>Bonarda</v>
      </c>
      <c r="G1617" s="55">
        <f>IFERROR(__xludf.DUMMYFUNCTION("""COMPUTED_VALUE"""),13.0)</f>
        <v>13</v>
      </c>
      <c r="H1617" s="56">
        <f>IFERROR(__xludf.DUMMYFUNCTION("""COMPUTED_VALUE"""),2.78)</f>
        <v>2.78</v>
      </c>
      <c r="I1617" s="57">
        <f>IFERROR(__xludf.DUMMYFUNCTION("""COMPUTED_VALUE"""),0.59)</f>
        <v>0.59</v>
      </c>
      <c r="J1617" s="57">
        <f>IFERROR(__xludf.DUMMYFUNCTION("""COMPUTED_VALUE"""),5.7)</f>
        <v>5.7</v>
      </c>
      <c r="K1617" s="3"/>
      <c r="L1617" s="3"/>
      <c r="M1617" s="3"/>
      <c r="N1617" s="3"/>
      <c r="O1617" s="3"/>
      <c r="P1617" s="3"/>
      <c r="Q1617" s="3"/>
      <c r="R1617" s="3">
        <f>IFERROR(__xludf.DUMMYFUNCTION("""COMPUTED_VALUE"""),0.0)</f>
        <v>0</v>
      </c>
      <c r="S1617" s="3"/>
      <c r="T1617" s="5"/>
      <c r="U1617" s="5"/>
      <c r="V1617" s="5"/>
      <c r="W1617" s="5" t="str">
        <f>IFERROR(__xludf.DUMMYFUNCTION("""COMPUTED_VALUE"""),"Simon")</f>
        <v>Simon</v>
      </c>
    </row>
    <row r="1618" ht="15.75" customHeight="1">
      <c r="A1618" s="3">
        <f>IFERROR(__xludf.DUMMYFUNCTION("""COMPUTED_VALUE"""),1618.0)</f>
        <v>1618</v>
      </c>
      <c r="B1618" s="53">
        <f>IFERROR(__xludf.DUMMYFUNCTION("""COMPUTED_VALUE"""),45819.0)</f>
        <v>45819</v>
      </c>
      <c r="C1618" s="3">
        <f>IFERROR(__xludf.DUMMYFUNCTION("""COMPUTED_VALUE"""),53.0)</f>
        <v>53</v>
      </c>
      <c r="D1618" s="3" t="str">
        <f>IFERROR(__xludf.DUMMYFUNCTION("""COMPUTED_VALUE"""),"da5fcb21")</f>
        <v>da5fcb21</v>
      </c>
      <c r="E1618" s="54">
        <f>IFERROR(__xludf.DUMMYFUNCTION("""COMPUTED_VALUE"""),22000.0)</f>
        <v>22000</v>
      </c>
      <c r="F1618" s="3" t="str">
        <f>IFERROR(__xludf.DUMMYFUNCTION("""COMPUTED_VALUE"""),"Tanat")</f>
        <v>Tanat</v>
      </c>
      <c r="G1618" s="55">
        <f>IFERROR(__xludf.DUMMYFUNCTION("""COMPUTED_VALUE"""),13.7)</f>
        <v>13.7</v>
      </c>
      <c r="H1618" s="56">
        <f>IFERROR(__xludf.DUMMYFUNCTION("""COMPUTED_VALUE"""),2.75)</f>
        <v>2.75</v>
      </c>
      <c r="I1618" s="57">
        <f>IFERROR(__xludf.DUMMYFUNCTION("""COMPUTED_VALUE"""),0.58)</f>
        <v>0.58</v>
      </c>
      <c r="J1618" s="57">
        <f>IFERROR(__xludf.DUMMYFUNCTION("""COMPUTED_VALUE"""),5.62)</f>
        <v>5.62</v>
      </c>
      <c r="K1618" s="3"/>
      <c r="L1618" s="3"/>
      <c r="M1618" s="3"/>
      <c r="N1618" s="3"/>
      <c r="O1618" s="3"/>
      <c r="P1618" s="3"/>
      <c r="Q1618" s="3"/>
      <c r="R1618" s="3">
        <f>IFERROR(__xludf.DUMMYFUNCTION("""COMPUTED_VALUE"""),0.0)</f>
        <v>0</v>
      </c>
      <c r="S1618" s="3"/>
      <c r="T1618" s="5"/>
      <c r="U1618" s="5"/>
      <c r="V1618" s="5"/>
      <c r="W1618" s="5" t="str">
        <f>IFERROR(__xludf.DUMMYFUNCTION("""COMPUTED_VALUE"""),"Simon")</f>
        <v>Simon</v>
      </c>
    </row>
    <row r="1619" ht="15.75" customHeight="1">
      <c r="A1619" s="3">
        <f>IFERROR(__xludf.DUMMYFUNCTION("""COMPUTED_VALUE"""),1619.0)</f>
        <v>1619</v>
      </c>
      <c r="B1619" s="53">
        <f>IFERROR(__xludf.DUMMYFUNCTION("""COMPUTED_VALUE"""),45819.0)</f>
        <v>45819</v>
      </c>
      <c r="C1619" s="3">
        <f>IFERROR(__xludf.DUMMYFUNCTION("""COMPUTED_VALUE"""),55.0)</f>
        <v>55</v>
      </c>
      <c r="D1619" s="3" t="str">
        <f>IFERROR(__xludf.DUMMYFUNCTION("""COMPUTED_VALUE"""),"2d412906")</f>
        <v>2d412906</v>
      </c>
      <c r="E1619" s="54">
        <f>IFERROR(__xludf.DUMMYFUNCTION("""COMPUTED_VALUE"""),3000.0)</f>
        <v>3000</v>
      </c>
      <c r="F1619" s="3" t="str">
        <f>IFERROR(__xludf.DUMMYFUNCTION("""COMPUTED_VALUE"""),"Chardonnay")</f>
        <v>Chardonnay</v>
      </c>
      <c r="G1619" s="55">
        <f>IFERROR(__xludf.DUMMYFUNCTION("""COMPUTED_VALUE"""),12.5)</f>
        <v>12.5</v>
      </c>
      <c r="H1619" s="56">
        <f>IFERROR(__xludf.DUMMYFUNCTION("""COMPUTED_VALUE"""),2.05)</f>
        <v>2.05</v>
      </c>
      <c r="I1619" s="57">
        <f>IFERROR(__xludf.DUMMYFUNCTION("""COMPUTED_VALUE"""),0.34)</f>
        <v>0.34</v>
      </c>
      <c r="J1619" s="57">
        <f>IFERROR(__xludf.DUMMYFUNCTION("""COMPUTED_VALUE"""),6.45)</f>
        <v>6.45</v>
      </c>
      <c r="K1619" s="3"/>
      <c r="L1619" s="3"/>
      <c r="M1619" s="3"/>
      <c r="N1619" s="3"/>
      <c r="O1619" s="3"/>
      <c r="P1619" s="3"/>
      <c r="Q1619" s="3"/>
      <c r="R1619" s="3">
        <f>IFERROR(__xludf.DUMMYFUNCTION("""COMPUTED_VALUE"""),0.0)</f>
        <v>0</v>
      </c>
      <c r="S1619" s="3"/>
      <c r="T1619" s="5"/>
      <c r="U1619" s="5"/>
      <c r="V1619" s="5"/>
      <c r="W1619" s="5" t="str">
        <f>IFERROR(__xludf.DUMMYFUNCTION("""COMPUTED_VALUE"""),"Simon")</f>
        <v>Simon</v>
      </c>
    </row>
    <row r="1620" ht="15.75" customHeight="1">
      <c r="A1620" s="3">
        <f>IFERROR(__xludf.DUMMYFUNCTION("""COMPUTED_VALUE"""),1620.0)</f>
        <v>1620</v>
      </c>
      <c r="B1620" s="53">
        <f>IFERROR(__xludf.DUMMYFUNCTION("""COMPUTED_VALUE"""),45819.0)</f>
        <v>45819</v>
      </c>
      <c r="C1620" s="3">
        <f>IFERROR(__xludf.DUMMYFUNCTION("""COMPUTED_VALUE"""),67.0)</f>
        <v>67</v>
      </c>
      <c r="D1620" s="3" t="str">
        <f>IFERROR(__xludf.DUMMYFUNCTION("""COMPUTED_VALUE"""),"eb6cce4f")</f>
        <v>eb6cce4f</v>
      </c>
      <c r="E1620" s="54">
        <f>IFERROR(__xludf.DUMMYFUNCTION("""COMPUTED_VALUE"""),23000.0)</f>
        <v>23000</v>
      </c>
      <c r="F1620" s="3" t="str">
        <f>IFERROR(__xludf.DUMMYFUNCTION("""COMPUTED_VALUE"""),"Anccelotta")</f>
        <v>Anccelotta</v>
      </c>
      <c r="G1620" s="55">
        <f>IFERROR(__xludf.DUMMYFUNCTION("""COMPUTED_VALUE"""),13.6)</f>
        <v>13.6</v>
      </c>
      <c r="H1620" s="56">
        <f>IFERROR(__xludf.DUMMYFUNCTION("""COMPUTED_VALUE"""),2.89)</f>
        <v>2.89</v>
      </c>
      <c r="I1620" s="57">
        <f>IFERROR(__xludf.DUMMYFUNCTION("""COMPUTED_VALUE"""),0.48)</f>
        <v>0.48</v>
      </c>
      <c r="J1620" s="57">
        <f>IFERROR(__xludf.DUMMYFUNCTION("""COMPUTED_VALUE"""),5.62)</f>
        <v>5.62</v>
      </c>
      <c r="K1620" s="3"/>
      <c r="L1620" s="3"/>
      <c r="M1620" s="3"/>
      <c r="N1620" s="3"/>
      <c r="O1620" s="3"/>
      <c r="P1620" s="3"/>
      <c r="Q1620" s="3"/>
      <c r="R1620" s="3">
        <f>IFERROR(__xludf.DUMMYFUNCTION("""COMPUTED_VALUE"""),0.0)</f>
        <v>0</v>
      </c>
      <c r="S1620" s="3"/>
      <c r="T1620" s="5"/>
      <c r="U1620" s="5"/>
      <c r="V1620" s="5"/>
      <c r="W1620" s="5" t="str">
        <f>IFERROR(__xludf.DUMMYFUNCTION("""COMPUTED_VALUE"""),"Simon")</f>
        <v>Simon</v>
      </c>
    </row>
    <row r="1621" ht="15.75" customHeight="1">
      <c r="A1621" s="3">
        <f>IFERROR(__xludf.DUMMYFUNCTION("""COMPUTED_VALUE"""),1621.0)</f>
        <v>1621</v>
      </c>
      <c r="B1621" s="53">
        <f>IFERROR(__xludf.DUMMYFUNCTION("""COMPUTED_VALUE"""),45819.0)</f>
        <v>45819</v>
      </c>
      <c r="C1621" s="3">
        <f>IFERROR(__xludf.DUMMYFUNCTION("""COMPUTED_VALUE"""),75.0)</f>
        <v>75</v>
      </c>
      <c r="D1621" s="3" t="str">
        <f>IFERROR(__xludf.DUMMYFUNCTION("""COMPUTED_VALUE"""),"7a9e7f06")</f>
        <v>7a9e7f06</v>
      </c>
      <c r="E1621" s="54">
        <f>IFERROR(__xludf.DUMMYFUNCTION("""COMPUTED_VALUE"""),7000.0)</f>
        <v>7000</v>
      </c>
      <c r="F1621" s="3" t="str">
        <f>IFERROR(__xludf.DUMMYFUNCTION("""COMPUTED_VALUE"""),"Tanat")</f>
        <v>Tanat</v>
      </c>
      <c r="G1621" s="55">
        <f>IFERROR(__xludf.DUMMYFUNCTION("""COMPUTED_VALUE"""),13.3)</f>
        <v>13.3</v>
      </c>
      <c r="H1621" s="56">
        <f>IFERROR(__xludf.DUMMYFUNCTION("""COMPUTED_VALUE"""),2.68)</f>
        <v>2.68</v>
      </c>
      <c r="I1621" s="57">
        <f>IFERROR(__xludf.DUMMYFUNCTION("""COMPUTED_VALUE"""),0.52)</f>
        <v>0.52</v>
      </c>
      <c r="J1621" s="57">
        <f>IFERROR(__xludf.DUMMYFUNCTION("""COMPUTED_VALUE"""),6.75)</f>
        <v>6.75</v>
      </c>
      <c r="K1621" s="3"/>
      <c r="L1621" s="3"/>
      <c r="M1621" s="3"/>
      <c r="N1621" s="3"/>
      <c r="O1621" s="3"/>
      <c r="P1621" s="3"/>
      <c r="Q1621" s="3"/>
      <c r="R1621" s="3">
        <f>IFERROR(__xludf.DUMMYFUNCTION("""COMPUTED_VALUE"""),0.0)</f>
        <v>0</v>
      </c>
      <c r="S1621" s="3"/>
      <c r="T1621" s="5"/>
      <c r="U1621" s="5"/>
      <c r="V1621" s="5"/>
      <c r="W1621" s="5" t="str">
        <f>IFERROR(__xludf.DUMMYFUNCTION("""COMPUTED_VALUE"""),"Simon")</f>
        <v>Simon</v>
      </c>
    </row>
    <row r="1622" ht="15.75" customHeight="1">
      <c r="A1622" s="3">
        <f>IFERROR(__xludf.DUMMYFUNCTION("""COMPUTED_VALUE"""),1622.0)</f>
        <v>1622</v>
      </c>
      <c r="B1622" s="53">
        <f>IFERROR(__xludf.DUMMYFUNCTION("""COMPUTED_VALUE"""),45819.0)</f>
        <v>45819</v>
      </c>
      <c r="C1622" s="3">
        <f>IFERROR(__xludf.DUMMYFUNCTION("""COMPUTED_VALUE"""),90.0)</f>
        <v>90</v>
      </c>
      <c r="D1622" s="3" t="str">
        <f>IFERROR(__xludf.DUMMYFUNCTION("""COMPUTED_VALUE"""),"e62f11a1")</f>
        <v>e62f11a1</v>
      </c>
      <c r="E1622" s="54">
        <f>IFERROR(__xludf.DUMMYFUNCTION("""COMPUTED_VALUE"""),97500.0)</f>
        <v>97500</v>
      </c>
      <c r="F1622" s="3" t="str">
        <f>IFERROR(__xludf.DUMMYFUNCTION("""COMPUTED_VALUE"""),"Bonarda")</f>
        <v>Bonarda</v>
      </c>
      <c r="G1622" s="55">
        <f>IFERROR(__xludf.DUMMYFUNCTION("""COMPUTED_VALUE"""),12.7)</f>
        <v>12.7</v>
      </c>
      <c r="H1622" s="56">
        <f>IFERROR(__xludf.DUMMYFUNCTION("""COMPUTED_VALUE"""),2.62)</f>
        <v>2.62</v>
      </c>
      <c r="I1622" s="57">
        <f>IFERROR(__xludf.DUMMYFUNCTION("""COMPUTED_VALUE"""),0.53)</f>
        <v>0.53</v>
      </c>
      <c r="J1622" s="57">
        <f>IFERROR(__xludf.DUMMYFUNCTION("""COMPUTED_VALUE"""),6.0)</f>
        <v>6</v>
      </c>
      <c r="K1622" s="3"/>
      <c r="L1622" s="3"/>
      <c r="M1622" s="3"/>
      <c r="N1622" s="3"/>
      <c r="O1622" s="3"/>
      <c r="P1622" s="3"/>
      <c r="Q1622" s="3"/>
      <c r="R1622" s="3">
        <f>IFERROR(__xludf.DUMMYFUNCTION("""COMPUTED_VALUE"""),0.0)</f>
        <v>0</v>
      </c>
      <c r="S1622" s="3"/>
      <c r="T1622" s="5"/>
      <c r="U1622" s="5"/>
      <c r="V1622" s="5"/>
      <c r="W1622" s="5" t="str">
        <f>IFERROR(__xludf.DUMMYFUNCTION("""COMPUTED_VALUE"""),"Simon")</f>
        <v>Simon</v>
      </c>
    </row>
    <row r="1623" ht="15.75" customHeight="1">
      <c r="A1623" s="3">
        <f>IFERROR(__xludf.DUMMYFUNCTION("""COMPUTED_VALUE"""),1623.0)</f>
        <v>1623</v>
      </c>
      <c r="B1623" s="53">
        <f>IFERROR(__xludf.DUMMYFUNCTION("""COMPUTED_VALUE"""),45821.0)</f>
        <v>45821</v>
      </c>
      <c r="C1623" s="3">
        <f>IFERROR(__xludf.DUMMYFUNCTION("""COMPUTED_VALUE"""),26.0)</f>
        <v>26</v>
      </c>
      <c r="D1623" s="3" t="str">
        <f>IFERROR(__xludf.DUMMYFUNCTION("""COMPUTED_VALUE"""),"a37dae6b")</f>
        <v>a37dae6b</v>
      </c>
      <c r="E1623" s="54">
        <f>IFERROR(__xludf.DUMMYFUNCTION("""COMPUTED_VALUE"""),207600.0)</f>
        <v>207600</v>
      </c>
      <c r="F1623" s="3" t="str">
        <f>IFERROR(__xludf.DUMMYFUNCTION("""COMPUTED_VALUE"""),"Tinto")</f>
        <v>Tinto</v>
      </c>
      <c r="G1623" s="55">
        <f>IFERROR(__xludf.DUMMYFUNCTION("""COMPUTED_VALUE"""),14.0)</f>
        <v>14</v>
      </c>
      <c r="H1623" s="56">
        <f>IFERROR(__xludf.DUMMYFUNCTION("""COMPUTED_VALUE"""),2.8)</f>
        <v>2.8</v>
      </c>
      <c r="I1623" s="57">
        <f>IFERROR(__xludf.DUMMYFUNCTION("""COMPUTED_VALUE"""),0.54)</f>
        <v>0.54</v>
      </c>
      <c r="J1623" s="57">
        <f>IFERROR(__xludf.DUMMYFUNCTION("""COMPUTED_VALUE"""),5.35)</f>
        <v>5.35</v>
      </c>
      <c r="K1623" s="57">
        <f>IFERROR(__xludf.DUMMYFUNCTION("""COMPUTED_VALUE"""),3.76)</f>
        <v>3.76</v>
      </c>
      <c r="L1623" s="54">
        <f>IFERROR(__xludf.DUMMYFUNCTION("""COMPUTED_VALUE"""),25.0)</f>
        <v>25</v>
      </c>
      <c r="M1623" s="3">
        <f>IFERROR(__xludf.DUMMYFUNCTION("""COMPUTED_VALUE"""),140.0)</f>
        <v>140</v>
      </c>
      <c r="N1623" s="3"/>
      <c r="O1623" s="3"/>
      <c r="P1623" s="3"/>
      <c r="Q1623" s="3"/>
      <c r="R1623" s="3">
        <f>IFERROR(__xludf.DUMMYFUNCTION("""COMPUTED_VALUE"""),0.0)</f>
        <v>0</v>
      </c>
      <c r="S1623" s="3"/>
      <c r="T1623" s="5"/>
      <c r="U1623" s="5"/>
      <c r="V1623" s="5"/>
      <c r="W1623" s="5"/>
    </row>
    <row r="1624" ht="15.75" customHeight="1">
      <c r="A1624" s="3">
        <f>IFERROR(__xludf.DUMMYFUNCTION("""COMPUTED_VALUE"""),1624.0)</f>
        <v>1624</v>
      </c>
      <c r="B1624" s="53">
        <f>IFERROR(__xludf.DUMMYFUNCTION("""COMPUTED_VALUE"""),45821.0)</f>
        <v>45821</v>
      </c>
      <c r="C1624" s="3">
        <f>IFERROR(__xludf.DUMMYFUNCTION("""COMPUTED_VALUE"""),115.0)</f>
        <v>115</v>
      </c>
      <c r="D1624" s="3" t="str">
        <f>IFERROR(__xludf.DUMMYFUNCTION("""COMPUTED_VALUE"""),"5b15cadb")</f>
        <v>5b15cadb</v>
      </c>
      <c r="E1624" s="54">
        <f>IFERROR(__xludf.DUMMYFUNCTION("""COMPUTED_VALUE"""),120200.0)</f>
        <v>120200</v>
      </c>
      <c r="F1624" s="3" t="str">
        <f>IFERROR(__xludf.DUMMYFUNCTION("""COMPUTED_VALUE"""),"Tinto")</f>
        <v>Tinto</v>
      </c>
      <c r="G1624" s="55">
        <f>IFERROR(__xludf.DUMMYFUNCTION("""COMPUTED_VALUE"""),14.1)</f>
        <v>14.1</v>
      </c>
      <c r="H1624" s="56">
        <f>IFERROR(__xludf.DUMMYFUNCTION("""COMPUTED_VALUE"""),2.7)</f>
        <v>2.7</v>
      </c>
      <c r="I1624" s="57">
        <f>IFERROR(__xludf.DUMMYFUNCTION("""COMPUTED_VALUE"""),0.55)</f>
        <v>0.55</v>
      </c>
      <c r="J1624" s="57">
        <f>IFERROR(__xludf.DUMMYFUNCTION("""COMPUTED_VALUE"""),5.4)</f>
        <v>5.4</v>
      </c>
      <c r="K1624" s="57">
        <f>IFERROR(__xludf.DUMMYFUNCTION("""COMPUTED_VALUE"""),3.77)</f>
        <v>3.77</v>
      </c>
      <c r="L1624" s="54">
        <f>IFERROR(__xludf.DUMMYFUNCTION("""COMPUTED_VALUE"""),26.0)</f>
        <v>26</v>
      </c>
      <c r="M1624" s="3">
        <f>IFERROR(__xludf.DUMMYFUNCTION("""COMPUTED_VALUE"""),151.0)</f>
        <v>151</v>
      </c>
      <c r="N1624" s="3"/>
      <c r="O1624" s="3"/>
      <c r="P1624" s="3"/>
      <c r="Q1624" s="3"/>
      <c r="R1624" s="3">
        <f>IFERROR(__xludf.DUMMYFUNCTION("""COMPUTED_VALUE"""),0.0)</f>
        <v>0</v>
      </c>
      <c r="S1624" s="3"/>
      <c r="T1624" s="5"/>
      <c r="U1624" s="5"/>
      <c r="V1624" s="5"/>
      <c r="W1624" s="5"/>
    </row>
    <row r="1625" ht="15.75" customHeight="1">
      <c r="A1625" s="3">
        <f>IFERROR(__xludf.DUMMYFUNCTION("""COMPUTED_VALUE"""),1625.0)</f>
        <v>1625</v>
      </c>
      <c r="B1625" s="53">
        <f>IFERROR(__xludf.DUMMYFUNCTION("""COMPUTED_VALUE"""),45825.0)</f>
        <v>45825</v>
      </c>
      <c r="C1625" s="3">
        <f>IFERROR(__xludf.DUMMYFUNCTION("""COMPUTED_VALUE"""),115.0)</f>
        <v>115</v>
      </c>
      <c r="D1625" s="3" t="str">
        <f>IFERROR(__xludf.DUMMYFUNCTION("""COMPUTED_VALUE"""),"5b15cadb")</f>
        <v>5b15cadb</v>
      </c>
      <c r="E1625" s="54">
        <f>IFERROR(__xludf.DUMMYFUNCTION("""COMPUTED_VALUE"""),120200.0)</f>
        <v>120200</v>
      </c>
      <c r="F1625" s="3" t="str">
        <f>IFERROR(__xludf.DUMMYFUNCTION("""COMPUTED_VALUE"""),"Tinto")</f>
        <v>Tinto</v>
      </c>
      <c r="G1625" s="3"/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>
        <f>IFERROR(__xludf.DUMMYFUNCTION("""COMPUTED_VALUE"""),0.0)</f>
        <v>0</v>
      </c>
      <c r="S1625" s="3"/>
      <c r="T1625" s="5"/>
      <c r="U1625" s="5"/>
      <c r="V1625" s="5"/>
      <c r="W1625" s="5"/>
    </row>
    <row r="1626" ht="15.75" customHeight="1">
      <c r="A1626" s="3">
        <f>IFERROR(__xludf.DUMMYFUNCTION("""COMPUTED_VALUE"""),1626.0)</f>
        <v>1626</v>
      </c>
      <c r="B1626" s="53">
        <f>IFERROR(__xludf.DUMMYFUNCTION("""COMPUTED_VALUE"""),45825.0)</f>
        <v>45825</v>
      </c>
      <c r="C1626" s="3">
        <f>IFERROR(__xludf.DUMMYFUNCTION("""COMPUTED_VALUE"""),89.0)</f>
        <v>89</v>
      </c>
      <c r="D1626" s="3" t="str">
        <f>IFERROR(__xludf.DUMMYFUNCTION("""COMPUTED_VALUE"""),"dddbf851")</f>
        <v>dddbf851</v>
      </c>
      <c r="E1626" s="54">
        <f>IFERROR(__xludf.DUMMYFUNCTION("""COMPUTED_VALUE"""),83500.0)</f>
        <v>83500</v>
      </c>
      <c r="F1626" s="3" t="str">
        <f>IFERROR(__xludf.DUMMYFUNCTION("""COMPUTED_VALUE"""),"Syrah Tempranillo")</f>
        <v>Syrah Tempranillo</v>
      </c>
      <c r="G1626" s="3"/>
      <c r="H1626" s="3"/>
      <c r="I1626" s="3"/>
      <c r="J1626" s="3"/>
      <c r="K1626" s="57">
        <f>IFERROR(__xludf.DUMMYFUNCTION("""COMPUTED_VALUE"""),3.8)</f>
        <v>3.8</v>
      </c>
      <c r="L1626" s="54">
        <f>IFERROR(__xludf.DUMMYFUNCTION("""COMPUTED_VALUE"""),33.0)</f>
        <v>33</v>
      </c>
      <c r="M1626" s="3">
        <f>IFERROR(__xludf.DUMMYFUNCTION("""COMPUTED_VALUE"""),133.0)</f>
        <v>133</v>
      </c>
      <c r="N1626" s="3"/>
      <c r="O1626" s="3"/>
      <c r="P1626" s="3"/>
      <c r="Q1626" s="3"/>
      <c r="R1626" s="3">
        <f>IFERROR(__xludf.DUMMYFUNCTION("""COMPUTED_VALUE"""),0.0)</f>
        <v>0</v>
      </c>
      <c r="S1626" s="3"/>
      <c r="T1626" s="5"/>
      <c r="U1626" s="5"/>
      <c r="V1626" s="5"/>
      <c r="W1626" s="5"/>
    </row>
    <row r="1627" ht="15.75" customHeight="1">
      <c r="A1627" s="3">
        <f>IFERROR(__xludf.DUMMYFUNCTION("""COMPUTED_VALUE"""),1627.0)</f>
        <v>1627</v>
      </c>
      <c r="B1627" s="53">
        <f>IFERROR(__xludf.DUMMYFUNCTION("""COMPUTED_VALUE"""),45825.0)</f>
        <v>45825</v>
      </c>
      <c r="C1627" s="3">
        <f>IFERROR(__xludf.DUMMYFUNCTION("""COMPUTED_VALUE"""),83.0)</f>
        <v>83</v>
      </c>
      <c r="D1627" s="3" t="str">
        <f>IFERROR(__xludf.DUMMYFUNCTION("""COMPUTED_VALUE"""),"1031b227")</f>
        <v>1031b227</v>
      </c>
      <c r="E1627" s="54">
        <f>IFERROR(__xludf.DUMMYFUNCTION("""COMPUTED_VALUE"""),81500.0)</f>
        <v>81500</v>
      </c>
      <c r="F1627" s="3" t="str">
        <f>IFERROR(__xludf.DUMMYFUNCTION("""COMPUTED_VALUE"""),"Malbec")</f>
        <v>Malbec</v>
      </c>
      <c r="G1627" s="3"/>
      <c r="H1627" s="3"/>
      <c r="I1627" s="3"/>
      <c r="J1627" s="3"/>
      <c r="K1627" s="3"/>
      <c r="L1627" s="54">
        <f>IFERROR(__xludf.DUMMYFUNCTION("""COMPUTED_VALUE"""),37.0)</f>
        <v>37</v>
      </c>
      <c r="M1627" s="3">
        <f>IFERROR(__xludf.DUMMYFUNCTION("""COMPUTED_VALUE"""),153.0)</f>
        <v>153</v>
      </c>
      <c r="N1627" s="3"/>
      <c r="O1627" s="3"/>
      <c r="P1627" s="3"/>
      <c r="Q1627" s="3"/>
      <c r="R1627" s="3">
        <f>IFERROR(__xludf.DUMMYFUNCTION("""COMPUTED_VALUE"""),0.0)</f>
        <v>0</v>
      </c>
      <c r="S1627" s="3"/>
      <c r="T1627" s="5"/>
      <c r="U1627" s="5"/>
      <c r="V1627" s="5"/>
      <c r="W1627" s="5"/>
    </row>
    <row r="1628" ht="15.75" customHeight="1">
      <c r="A1628" s="3">
        <f>IFERROR(__xludf.DUMMYFUNCTION("""COMPUTED_VALUE"""),1628.0)</f>
        <v>1628</v>
      </c>
      <c r="B1628" s="53">
        <f>IFERROR(__xludf.DUMMYFUNCTION("""COMPUTED_VALUE"""),45825.0)</f>
        <v>45825</v>
      </c>
      <c r="C1628" s="3">
        <f>IFERROR(__xludf.DUMMYFUNCTION("""COMPUTED_VALUE"""),107.0)</f>
        <v>107</v>
      </c>
      <c r="D1628" s="3" t="str">
        <f>IFERROR(__xludf.DUMMYFUNCTION("""COMPUTED_VALUE"""),"3f5178fd")</f>
        <v>3f5178fd</v>
      </c>
      <c r="E1628" s="54">
        <f>IFERROR(__xludf.DUMMYFUNCTION("""COMPUTED_VALUE"""),31000.0)</f>
        <v>31000</v>
      </c>
      <c r="F1628" s="3" t="str">
        <f>IFERROR(__xludf.DUMMYFUNCTION("""COMPUTED_VALUE"""),"Bonarda")</f>
        <v>Bonarda</v>
      </c>
      <c r="G1628" s="3"/>
      <c r="H1628" s="3"/>
      <c r="I1628" s="3"/>
      <c r="J1628" s="3"/>
      <c r="K1628" s="3"/>
      <c r="L1628" s="54">
        <f>IFERROR(__xludf.DUMMYFUNCTION("""COMPUTED_VALUE"""),38.0)</f>
        <v>38</v>
      </c>
      <c r="M1628" s="3">
        <f>IFERROR(__xludf.DUMMYFUNCTION("""COMPUTED_VALUE"""),170.0)</f>
        <v>170</v>
      </c>
      <c r="N1628" s="3"/>
      <c r="O1628" s="3"/>
      <c r="P1628" s="3"/>
      <c r="Q1628" s="3"/>
      <c r="R1628" s="3">
        <f>IFERROR(__xludf.DUMMYFUNCTION("""COMPUTED_VALUE"""),0.0)</f>
        <v>0</v>
      </c>
      <c r="S1628" s="3"/>
      <c r="T1628" s="5"/>
      <c r="U1628" s="5"/>
      <c r="V1628" s="5"/>
      <c r="W1628" s="5"/>
    </row>
    <row r="1629" ht="15.75" customHeight="1">
      <c r="A1629" s="3">
        <f>IFERROR(__xludf.DUMMYFUNCTION("""COMPUTED_VALUE"""),1629.0)</f>
        <v>1629</v>
      </c>
      <c r="B1629" s="53">
        <f>IFERROR(__xludf.DUMMYFUNCTION("""COMPUTED_VALUE"""),45825.0)</f>
        <v>45825</v>
      </c>
      <c r="C1629" s="3">
        <f>IFERROR(__xludf.DUMMYFUNCTION("""COMPUTED_VALUE"""),25.0)</f>
        <v>25</v>
      </c>
      <c r="D1629" s="3" t="str">
        <f>IFERROR(__xludf.DUMMYFUNCTION("""COMPUTED_VALUE"""),"47816ee0")</f>
        <v>47816ee0</v>
      </c>
      <c r="E1629" s="54">
        <f>IFERROR(__xludf.DUMMYFUNCTION("""COMPUTED_VALUE"""),194300.0)</f>
        <v>194300</v>
      </c>
      <c r="F1629" s="3" t="str">
        <f>IFERROR(__xludf.DUMMYFUNCTION("""COMPUTED_VALUE"""),"Syrah")</f>
        <v>Syrah</v>
      </c>
      <c r="G1629" s="3"/>
      <c r="H1629" s="3"/>
      <c r="I1629" s="3"/>
      <c r="J1629" s="3"/>
      <c r="K1629" s="3"/>
      <c r="L1629" s="54">
        <f>IFERROR(__xludf.DUMMYFUNCTION("""COMPUTED_VALUE"""),40.0)</f>
        <v>40</v>
      </c>
      <c r="M1629" s="3">
        <f>IFERROR(__xludf.DUMMYFUNCTION("""COMPUTED_VALUE"""),140.0)</f>
        <v>140</v>
      </c>
      <c r="N1629" s="3"/>
      <c r="O1629" s="3"/>
      <c r="P1629" s="3"/>
      <c r="Q1629" s="3"/>
      <c r="R1629" s="3">
        <f>IFERROR(__xludf.DUMMYFUNCTION("""COMPUTED_VALUE"""),0.0)</f>
        <v>0</v>
      </c>
      <c r="S1629" s="3"/>
      <c r="T1629" s="5"/>
      <c r="U1629" s="5"/>
      <c r="V1629" s="5"/>
      <c r="W1629" s="5"/>
    </row>
    <row r="1630" ht="15.75" customHeight="1">
      <c r="A1630" s="3">
        <f>IFERROR(__xludf.DUMMYFUNCTION("""COMPUTED_VALUE"""),1630.0)</f>
        <v>1630</v>
      </c>
      <c r="B1630" s="53">
        <f>IFERROR(__xludf.DUMMYFUNCTION("""COMPUTED_VALUE"""),45825.0)</f>
        <v>45825</v>
      </c>
      <c r="C1630" s="3">
        <f>IFERROR(__xludf.DUMMYFUNCTION("""COMPUTED_VALUE"""),104.0)</f>
        <v>104</v>
      </c>
      <c r="D1630" s="3" t="str">
        <f>IFERROR(__xludf.DUMMYFUNCTION("""COMPUTED_VALUE"""),"029c104a")</f>
        <v>029c104a</v>
      </c>
      <c r="E1630" s="54">
        <f>IFERROR(__xludf.DUMMYFUNCTION("""COMPUTED_VALUE"""),31000.0)</f>
        <v>31000</v>
      </c>
      <c r="F1630" s="3" t="str">
        <f>IFERROR(__xludf.DUMMYFUNCTION("""COMPUTED_VALUE"""),"Bonarda")</f>
        <v>Bonarda</v>
      </c>
      <c r="G1630" s="3"/>
      <c r="H1630" s="3"/>
      <c r="I1630" s="3"/>
      <c r="J1630" s="3"/>
      <c r="K1630" s="3"/>
      <c r="L1630" s="54">
        <f>IFERROR(__xludf.DUMMYFUNCTION("""COMPUTED_VALUE"""),38.0)</f>
        <v>38</v>
      </c>
      <c r="M1630" s="3">
        <f>IFERROR(__xludf.DUMMYFUNCTION("""COMPUTED_VALUE"""),147.0)</f>
        <v>147</v>
      </c>
      <c r="N1630" s="3"/>
      <c r="O1630" s="3"/>
      <c r="P1630" s="3"/>
      <c r="Q1630" s="3"/>
      <c r="R1630" s="3">
        <f>IFERROR(__xludf.DUMMYFUNCTION("""COMPUTED_VALUE"""),0.0)</f>
        <v>0</v>
      </c>
      <c r="S1630" s="3"/>
      <c r="T1630" s="5"/>
      <c r="U1630" s="5"/>
      <c r="V1630" s="5"/>
      <c r="W1630" s="5"/>
    </row>
    <row r="1631" ht="15.75" customHeight="1">
      <c r="A1631" s="3">
        <f>IFERROR(__xludf.DUMMYFUNCTION("""COMPUTED_VALUE"""),1631.0)</f>
        <v>1631</v>
      </c>
      <c r="B1631" s="53">
        <f>IFERROR(__xludf.DUMMYFUNCTION("""COMPUTED_VALUE"""),45825.0)</f>
        <v>45825</v>
      </c>
      <c r="C1631" s="3">
        <f>IFERROR(__xludf.DUMMYFUNCTION("""COMPUTED_VALUE"""),24.0)</f>
        <v>24</v>
      </c>
      <c r="D1631" s="3" t="str">
        <f>IFERROR(__xludf.DUMMYFUNCTION("""COMPUTED_VALUE"""),"b3a40361")</f>
        <v>b3a40361</v>
      </c>
      <c r="E1631" s="54">
        <f>IFERROR(__xludf.DUMMYFUNCTION("""COMPUTED_VALUE"""),186600.0)</f>
        <v>186600</v>
      </c>
      <c r="F1631" s="3" t="str">
        <f>IFERROR(__xludf.DUMMYFUNCTION("""COMPUTED_VALUE"""),"Malbec")</f>
        <v>Malbec</v>
      </c>
      <c r="G1631" s="3"/>
      <c r="H1631" s="3"/>
      <c r="I1631" s="3"/>
      <c r="J1631" s="3"/>
      <c r="K1631" s="3"/>
      <c r="L1631" s="54">
        <f>IFERROR(__xludf.DUMMYFUNCTION("""COMPUTED_VALUE"""),34.0)</f>
        <v>34</v>
      </c>
      <c r="M1631" s="3">
        <f>IFERROR(__xludf.DUMMYFUNCTION("""COMPUTED_VALUE"""),174.0)</f>
        <v>174</v>
      </c>
      <c r="N1631" s="3"/>
      <c r="O1631" s="3"/>
      <c r="P1631" s="3"/>
      <c r="Q1631" s="3"/>
      <c r="R1631" s="3">
        <f>IFERROR(__xludf.DUMMYFUNCTION("""COMPUTED_VALUE"""),0.0)</f>
        <v>0</v>
      </c>
      <c r="S1631" s="3"/>
      <c r="T1631" s="5"/>
      <c r="U1631" s="5"/>
      <c r="V1631" s="5"/>
      <c r="W1631" s="5"/>
    </row>
    <row r="1632" ht="15.75" customHeight="1">
      <c r="A1632" s="3">
        <f>IFERROR(__xludf.DUMMYFUNCTION("""COMPUTED_VALUE"""),1632.0)</f>
        <v>1632</v>
      </c>
      <c r="B1632" s="53">
        <f>IFERROR(__xludf.DUMMYFUNCTION("""COMPUTED_VALUE"""),45825.0)</f>
        <v>45825</v>
      </c>
      <c r="C1632" s="3">
        <f>IFERROR(__xludf.DUMMYFUNCTION("""COMPUTED_VALUE"""),103.0)</f>
        <v>103</v>
      </c>
      <c r="D1632" s="3" t="str">
        <f>IFERROR(__xludf.DUMMYFUNCTION("""COMPUTED_VALUE"""),"eb5a88ac")</f>
        <v>eb5a88ac</v>
      </c>
      <c r="E1632" s="54">
        <f>IFERROR(__xludf.DUMMYFUNCTION("""COMPUTED_VALUE"""),31000.0)</f>
        <v>31000</v>
      </c>
      <c r="F1632" s="3" t="str">
        <f>IFERROR(__xludf.DUMMYFUNCTION("""COMPUTED_VALUE"""),"Bonarda")</f>
        <v>Bonarda</v>
      </c>
      <c r="G1632" s="3"/>
      <c r="H1632" s="3"/>
      <c r="I1632" s="3"/>
      <c r="J1632" s="3"/>
      <c r="K1632" s="3"/>
      <c r="L1632" s="54">
        <f>IFERROR(__xludf.DUMMYFUNCTION("""COMPUTED_VALUE"""),34.0)</f>
        <v>34</v>
      </c>
      <c r="M1632" s="3">
        <f>IFERROR(__xludf.DUMMYFUNCTION("""COMPUTED_VALUE"""),158.0)</f>
        <v>158</v>
      </c>
      <c r="N1632" s="3"/>
      <c r="O1632" s="3"/>
      <c r="P1632" s="3"/>
      <c r="Q1632" s="3"/>
      <c r="R1632" s="3">
        <f>IFERROR(__xludf.DUMMYFUNCTION("""COMPUTED_VALUE"""),0.0)</f>
        <v>0</v>
      </c>
      <c r="S1632" s="3"/>
      <c r="T1632" s="5"/>
      <c r="U1632" s="5"/>
      <c r="V1632" s="5"/>
      <c r="W1632" s="5"/>
    </row>
    <row r="1633" ht="15.75" customHeight="1">
      <c r="A1633" s="3">
        <f>IFERROR(__xludf.DUMMYFUNCTION("""COMPUTED_VALUE"""),1633.0)</f>
        <v>1633</v>
      </c>
      <c r="B1633" s="53">
        <f>IFERROR(__xludf.DUMMYFUNCTION("""COMPUTED_VALUE"""),45825.0)</f>
        <v>45825</v>
      </c>
      <c r="C1633" s="3">
        <f>IFERROR(__xludf.DUMMYFUNCTION("""COMPUTED_VALUE"""),105.0)</f>
        <v>105</v>
      </c>
      <c r="D1633" s="3" t="str">
        <f>IFERROR(__xludf.DUMMYFUNCTION("""COMPUTED_VALUE"""),"57a4fe30")</f>
        <v>57a4fe30</v>
      </c>
      <c r="E1633" s="54">
        <f>IFERROR(__xludf.DUMMYFUNCTION("""COMPUTED_VALUE"""),31000.0)</f>
        <v>31000</v>
      </c>
      <c r="F1633" s="3" t="str">
        <f>IFERROR(__xludf.DUMMYFUNCTION("""COMPUTED_VALUE"""),"Bonarda")</f>
        <v>Bonarda</v>
      </c>
      <c r="G1633" s="3"/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>
        <f>IFERROR(__xludf.DUMMYFUNCTION("""COMPUTED_VALUE"""),0.0)</f>
        <v>0</v>
      </c>
      <c r="S1633" s="3"/>
      <c r="T1633" s="5"/>
      <c r="U1633" s="5"/>
      <c r="V1633" s="5"/>
      <c r="W1633" s="5"/>
    </row>
    <row r="1634" ht="15.75" customHeight="1">
      <c r="A1634" s="3">
        <f>IFERROR(__xludf.DUMMYFUNCTION("""COMPUTED_VALUE"""),1634.0)</f>
        <v>1634</v>
      </c>
      <c r="B1634" s="53">
        <f>IFERROR(__xludf.DUMMYFUNCTION("""COMPUTED_VALUE"""),45825.0)</f>
        <v>45825</v>
      </c>
      <c r="C1634" s="3">
        <f>IFERROR(__xludf.DUMMYFUNCTION("""COMPUTED_VALUE"""),66.0)</f>
        <v>66</v>
      </c>
      <c r="D1634" s="3" t="str">
        <f>IFERROR(__xludf.DUMMYFUNCTION("""COMPUTED_VALUE"""),"c67f70aa")</f>
        <v>c67f70aa</v>
      </c>
      <c r="E1634" s="54">
        <f>IFERROR(__xludf.DUMMYFUNCTION("""COMPUTED_VALUE"""),23000.0)</f>
        <v>23000</v>
      </c>
      <c r="F1634" s="3" t="str">
        <f>IFERROR(__xludf.DUMMYFUNCTION("""COMPUTED_VALUE"""),"Syrah")</f>
        <v>Syrah</v>
      </c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>
        <f>IFERROR(__xludf.DUMMYFUNCTION("""COMPUTED_VALUE"""),0.0)</f>
        <v>0</v>
      </c>
      <c r="S1634" s="3"/>
      <c r="T1634" s="5"/>
      <c r="U1634" s="5"/>
      <c r="V1634" s="5"/>
      <c r="W1634" s="5"/>
    </row>
    <row r="1635" ht="15.75" customHeight="1">
      <c r="A1635" s="3">
        <f>IFERROR(__xludf.DUMMYFUNCTION("""COMPUTED_VALUE"""),1635.0)</f>
        <v>1635</v>
      </c>
      <c r="B1635" s="53">
        <f>IFERROR(__xludf.DUMMYFUNCTION("""COMPUTED_VALUE"""),45826.0)</f>
        <v>45826</v>
      </c>
      <c r="C1635" s="3">
        <f>IFERROR(__xludf.DUMMYFUNCTION("""COMPUTED_VALUE"""),109.0)</f>
        <v>109</v>
      </c>
      <c r="D1635" s="3" t="str">
        <f>IFERROR(__xludf.DUMMYFUNCTION("""COMPUTED_VALUE"""),"605416fd")</f>
        <v>605416fd</v>
      </c>
      <c r="E1635" s="54">
        <f>IFERROR(__xludf.DUMMYFUNCTION("""COMPUTED_VALUE"""),15600.0)</f>
        <v>15600</v>
      </c>
      <c r="F1635" s="3" t="str">
        <f>IFERROR(__xludf.DUMMYFUNCTION("""COMPUTED_VALUE"""),"Bonarda")</f>
        <v>Bonarda</v>
      </c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>
        <f>IFERROR(__xludf.DUMMYFUNCTION("""COMPUTED_VALUE"""),0.0)</f>
        <v>0</v>
      </c>
      <c r="S1635" s="3"/>
      <c r="T1635" s="5"/>
      <c r="U1635" s="5"/>
      <c r="V1635" s="5"/>
      <c r="W1635" s="5"/>
    </row>
    <row r="1636" ht="15.75" customHeight="1">
      <c r="A1636" s="3">
        <f>IFERROR(__xludf.DUMMYFUNCTION("""COMPUTED_VALUE"""),1636.0)</f>
        <v>1636</v>
      </c>
      <c r="B1636" s="53">
        <f>IFERROR(__xludf.DUMMYFUNCTION("""COMPUTED_VALUE"""),45826.0)</f>
        <v>45826</v>
      </c>
      <c r="C1636" s="3">
        <f>IFERROR(__xludf.DUMMYFUNCTION("""COMPUTED_VALUE"""),33.0)</f>
        <v>33</v>
      </c>
      <c r="D1636" s="3" t="str">
        <f>IFERROR(__xludf.DUMMYFUNCTION("""COMPUTED_VALUE"""),"7def2139")</f>
        <v>7def2139</v>
      </c>
      <c r="E1636" s="54">
        <f>IFERROR(__xludf.DUMMYFUNCTION("""COMPUTED_VALUE"""),25300.0)</f>
        <v>25300</v>
      </c>
      <c r="F1636" s="3" t="str">
        <f>IFERROR(__xludf.DUMMYFUNCTION("""COMPUTED_VALUE"""),"Chardonnay")</f>
        <v>Chardonnay</v>
      </c>
      <c r="G1636" s="3"/>
      <c r="H1636" s="3"/>
      <c r="I1636" s="3"/>
      <c r="J1636" s="3"/>
      <c r="K1636" s="57">
        <f>IFERROR(__xludf.DUMMYFUNCTION("""COMPUTED_VALUE"""),3.38)</f>
        <v>3.38</v>
      </c>
      <c r="L1636" s="54">
        <f>IFERROR(__xludf.DUMMYFUNCTION("""COMPUTED_VALUE"""),38.0)</f>
        <v>38</v>
      </c>
      <c r="M1636" s="3"/>
      <c r="N1636" s="3"/>
      <c r="O1636" s="3"/>
      <c r="P1636" s="3"/>
      <c r="Q1636" s="3"/>
      <c r="R1636" s="3">
        <f>IFERROR(__xludf.DUMMYFUNCTION("""COMPUTED_VALUE"""),0.0)</f>
        <v>0</v>
      </c>
      <c r="S1636" s="3"/>
      <c r="T1636" s="5"/>
      <c r="U1636" s="5"/>
      <c r="V1636" s="5"/>
      <c r="W1636" s="5" t="str">
        <f>IFERROR(__xludf.DUMMYFUNCTION("""COMPUTED_VALUE"""),"Dato de Bag in Box  ( CO2 1200 PPM) + Correccion a 45 mg/l SO2L")</f>
        <v>Dato de Bag in Box  ( CO2 1200 PPM) + Correccion a 45 mg/l SO2L</v>
      </c>
    </row>
    <row r="1637" ht="15.75" customHeight="1">
      <c r="A1637" s="3">
        <f>IFERROR(__xludf.DUMMYFUNCTION("""COMPUTED_VALUE"""),1637.0)</f>
        <v>1637</v>
      </c>
      <c r="B1637" s="53">
        <f>IFERROR(__xludf.DUMMYFUNCTION("""COMPUTED_VALUE"""),45826.0)</f>
        <v>45826</v>
      </c>
      <c r="C1637" s="3">
        <f>IFERROR(__xludf.DUMMYFUNCTION("""COMPUTED_VALUE"""),34.0)</f>
        <v>34</v>
      </c>
      <c r="D1637" s="3" t="str">
        <f>IFERROR(__xludf.DUMMYFUNCTION("""COMPUTED_VALUE"""),"08cd1438")</f>
        <v>08cd1438</v>
      </c>
      <c r="E1637" s="54">
        <f>IFERROR(__xludf.DUMMYFUNCTION("""COMPUTED_VALUE"""),39500.0)</f>
        <v>39500</v>
      </c>
      <c r="F1637" s="3" t="str">
        <f>IFERROR(__xludf.DUMMYFUNCTION("""COMPUTED_VALUE"""),"Malbec")</f>
        <v>Malbec</v>
      </c>
      <c r="G1637" s="3"/>
      <c r="H1637" s="3"/>
      <c r="I1637" s="3"/>
      <c r="J1637" s="3"/>
      <c r="K1637" s="3"/>
      <c r="L1637" s="54">
        <f>IFERROR(__xludf.DUMMYFUNCTION("""COMPUTED_VALUE"""),32.0)</f>
        <v>32</v>
      </c>
      <c r="M1637" s="3">
        <f>IFERROR(__xludf.DUMMYFUNCTION("""COMPUTED_VALUE"""),153.0)</f>
        <v>153</v>
      </c>
      <c r="N1637" s="3"/>
      <c r="O1637" s="3"/>
      <c r="P1637" s="3"/>
      <c r="Q1637" s="3"/>
      <c r="R1637" s="3">
        <f>IFERROR(__xludf.DUMMYFUNCTION("""COMPUTED_VALUE"""),0.0)</f>
        <v>0</v>
      </c>
      <c r="S1637" s="3"/>
      <c r="T1637" s="5"/>
      <c r="U1637" s="5"/>
      <c r="V1637" s="5"/>
      <c r="W1637" s="5"/>
    </row>
    <row r="1638" ht="15.75" customHeight="1">
      <c r="A1638" s="3">
        <f>IFERROR(__xludf.DUMMYFUNCTION("""COMPUTED_VALUE"""),1638.0)</f>
        <v>1638</v>
      </c>
      <c r="B1638" s="53">
        <f>IFERROR(__xludf.DUMMYFUNCTION("""COMPUTED_VALUE"""),45826.0)</f>
        <v>45826</v>
      </c>
      <c r="C1638" s="3">
        <f>IFERROR(__xludf.DUMMYFUNCTION("""COMPUTED_VALUE"""),116.0)</f>
        <v>116</v>
      </c>
      <c r="D1638" s="3" t="str">
        <f>IFERROR(__xludf.DUMMYFUNCTION("""COMPUTED_VALUE"""),"b4fedb16")</f>
        <v>b4fedb16</v>
      </c>
      <c r="E1638" s="54">
        <f>IFERROR(__xludf.DUMMYFUNCTION("""COMPUTED_VALUE"""),99600.0)</f>
        <v>99600</v>
      </c>
      <c r="F1638" s="3" t="str">
        <f>IFERROR(__xludf.DUMMYFUNCTION("""COMPUTED_VALUE"""),"Malbec")</f>
        <v>Malbec</v>
      </c>
      <c r="G1638" s="3"/>
      <c r="H1638" s="3"/>
      <c r="I1638" s="3"/>
      <c r="J1638" s="3"/>
      <c r="K1638" s="3"/>
      <c r="L1638" s="54">
        <f>IFERROR(__xludf.DUMMYFUNCTION("""COMPUTED_VALUE"""),40.0)</f>
        <v>40</v>
      </c>
      <c r="M1638" s="3">
        <f>IFERROR(__xludf.DUMMYFUNCTION("""COMPUTED_VALUE"""),180.0)</f>
        <v>180</v>
      </c>
      <c r="N1638" s="3"/>
      <c r="O1638" s="3"/>
      <c r="P1638" s="3"/>
      <c r="Q1638" s="3"/>
      <c r="R1638" s="3">
        <f>IFERROR(__xludf.DUMMYFUNCTION("""COMPUTED_VALUE"""),0.0)</f>
        <v>0</v>
      </c>
      <c r="S1638" s="3"/>
      <c r="T1638" s="5"/>
      <c r="U1638" s="5"/>
      <c r="V1638" s="5"/>
      <c r="W1638" s="5"/>
    </row>
    <row r="1639" ht="15.75" customHeight="1">
      <c r="A1639" s="3">
        <f>IFERROR(__xludf.DUMMYFUNCTION("""COMPUTED_VALUE"""),1639.0)</f>
        <v>1639</v>
      </c>
      <c r="B1639" s="53">
        <f>IFERROR(__xludf.DUMMYFUNCTION("""COMPUTED_VALUE"""),45826.0)</f>
        <v>45826</v>
      </c>
      <c r="C1639" s="3">
        <f>IFERROR(__xludf.DUMMYFUNCTION("""COMPUTED_VALUE"""),118.0)</f>
        <v>118</v>
      </c>
      <c r="D1639" s="3" t="str">
        <f>IFERROR(__xludf.DUMMYFUNCTION("""COMPUTED_VALUE"""),"ea27bb38")</f>
        <v>ea27bb38</v>
      </c>
      <c r="E1639" s="54">
        <f>IFERROR(__xludf.DUMMYFUNCTION("""COMPUTED_VALUE"""),154720.0)</f>
        <v>154720</v>
      </c>
      <c r="F1639" s="3" t="str">
        <f>IFERROR(__xludf.DUMMYFUNCTION("""COMPUTED_VALUE"""),"Cabernet Sauvignon")</f>
        <v>Cabernet Sauvignon</v>
      </c>
      <c r="G1639" s="3"/>
      <c r="H1639" s="3"/>
      <c r="I1639" s="3"/>
      <c r="J1639" s="3"/>
      <c r="K1639" s="3"/>
      <c r="L1639" s="54">
        <f>IFERROR(__xludf.DUMMYFUNCTION("""COMPUTED_VALUE"""),30.0)</f>
        <v>30</v>
      </c>
      <c r="M1639" s="3">
        <f>IFERROR(__xludf.DUMMYFUNCTION("""COMPUTED_VALUE"""),142.0)</f>
        <v>142</v>
      </c>
      <c r="N1639" s="3"/>
      <c r="O1639" s="3"/>
      <c r="P1639" s="3"/>
      <c r="Q1639" s="3"/>
      <c r="R1639" s="3">
        <f>IFERROR(__xludf.DUMMYFUNCTION("""COMPUTED_VALUE"""),0.0)</f>
        <v>0</v>
      </c>
      <c r="S1639" s="3"/>
      <c r="T1639" s="5"/>
      <c r="U1639" s="5"/>
      <c r="V1639" s="5"/>
      <c r="W1639" s="5"/>
    </row>
    <row r="1640" ht="15.75" customHeight="1">
      <c r="A1640" s="3">
        <f>IFERROR(__xludf.DUMMYFUNCTION("""COMPUTED_VALUE"""),1640.0)</f>
        <v>1640</v>
      </c>
      <c r="B1640" s="53">
        <f>IFERROR(__xludf.DUMMYFUNCTION("""COMPUTED_VALUE"""),45826.0)</f>
        <v>45826</v>
      </c>
      <c r="C1640" s="3">
        <f>IFERROR(__xludf.DUMMYFUNCTION("""COMPUTED_VALUE"""),121.0)</f>
        <v>121</v>
      </c>
      <c r="D1640" s="3" t="str">
        <f>IFERROR(__xludf.DUMMYFUNCTION("""COMPUTED_VALUE"""),"589807bc")</f>
        <v>589807bc</v>
      </c>
      <c r="E1640" s="54">
        <f>IFERROR(__xludf.DUMMYFUNCTION("""COMPUTED_VALUE"""),85800.0)</f>
        <v>85800</v>
      </c>
      <c r="F1640" s="3" t="str">
        <f>IFERROR(__xludf.DUMMYFUNCTION("""COMPUTED_VALUE"""),"Malbec")</f>
        <v>Malbec</v>
      </c>
      <c r="G1640" s="3"/>
      <c r="H1640" s="3"/>
      <c r="I1640" s="3"/>
      <c r="J1640" s="3"/>
      <c r="K1640" s="3"/>
      <c r="L1640" s="54">
        <f>IFERROR(__xludf.DUMMYFUNCTION("""COMPUTED_VALUE"""),31.0)</f>
        <v>31</v>
      </c>
      <c r="M1640" s="3">
        <f>IFERROR(__xludf.DUMMYFUNCTION("""COMPUTED_VALUE"""),166.0)</f>
        <v>166</v>
      </c>
      <c r="N1640" s="3"/>
      <c r="O1640" s="3"/>
      <c r="P1640" s="3"/>
      <c r="Q1640" s="3"/>
      <c r="R1640" s="3">
        <f>IFERROR(__xludf.DUMMYFUNCTION("""COMPUTED_VALUE"""),0.0)</f>
        <v>0</v>
      </c>
      <c r="S1640" s="3"/>
      <c r="T1640" s="5"/>
      <c r="U1640" s="5"/>
      <c r="V1640" s="5"/>
      <c r="W1640" s="5"/>
    </row>
    <row r="1641" ht="15.75" customHeight="1">
      <c r="A1641" s="3">
        <f>IFERROR(__xludf.DUMMYFUNCTION("""COMPUTED_VALUE"""),1641.0)</f>
        <v>1641</v>
      </c>
      <c r="B1641" s="53">
        <f>IFERROR(__xludf.DUMMYFUNCTION("""COMPUTED_VALUE"""),45826.0)</f>
        <v>45826</v>
      </c>
      <c r="C1641" s="3">
        <f>IFERROR(__xludf.DUMMYFUNCTION("""COMPUTED_VALUE"""),9.0)</f>
        <v>9</v>
      </c>
      <c r="D1641" s="3" t="str">
        <f>IFERROR(__xludf.DUMMYFUNCTION("""COMPUTED_VALUE"""),"b73d8cd1")</f>
        <v>b73d8cd1</v>
      </c>
      <c r="E1641" s="54">
        <f>IFERROR(__xludf.DUMMYFUNCTION("""COMPUTED_VALUE"""),30000.0)</f>
        <v>30000</v>
      </c>
      <c r="F1641" s="3" t="str">
        <f>IFERROR(__xludf.DUMMYFUNCTION("""COMPUTED_VALUE"""),"Chardonnay")</f>
        <v>Chardonnay</v>
      </c>
      <c r="G1641" s="3"/>
      <c r="H1641" s="3"/>
      <c r="I1641" s="3"/>
      <c r="J1641" s="3"/>
      <c r="K1641" s="3"/>
      <c r="L1641" s="54">
        <f>IFERROR(__xludf.DUMMYFUNCTION("""COMPUTED_VALUE"""),42.0)</f>
        <v>42</v>
      </c>
      <c r="M1641" s="3">
        <f>IFERROR(__xludf.DUMMYFUNCTION("""COMPUTED_VALUE"""),166.0)</f>
        <v>166</v>
      </c>
      <c r="N1641" s="3"/>
      <c r="O1641" s="3"/>
      <c r="P1641" s="3"/>
      <c r="Q1641" s="3"/>
      <c r="R1641" s="3">
        <f>IFERROR(__xludf.DUMMYFUNCTION("""COMPUTED_VALUE"""),0.0)</f>
        <v>0</v>
      </c>
      <c r="S1641" s="3"/>
      <c r="T1641" s="5"/>
      <c r="U1641" s="5"/>
      <c r="V1641" s="5"/>
      <c r="W1641" s="5"/>
    </row>
    <row r="1642" ht="15.75" customHeight="1">
      <c r="A1642" s="3">
        <f>IFERROR(__xludf.DUMMYFUNCTION("""COMPUTED_VALUE"""),1642.0)</f>
        <v>1642</v>
      </c>
      <c r="B1642" s="53">
        <f>IFERROR(__xludf.DUMMYFUNCTION("""COMPUTED_VALUE"""),45826.0)</f>
        <v>45826</v>
      </c>
      <c r="C1642" s="3">
        <f>IFERROR(__xludf.DUMMYFUNCTION("""COMPUTED_VALUE"""),40.0)</f>
        <v>40</v>
      </c>
      <c r="D1642" s="3" t="str">
        <f>IFERROR(__xludf.DUMMYFUNCTION("""COMPUTED_VALUE"""),"7c5390c8")</f>
        <v>7c5390c8</v>
      </c>
      <c r="E1642" s="54">
        <f>IFERROR(__xludf.DUMMYFUNCTION("""COMPUTED_VALUE"""),24000.0)</f>
        <v>24000</v>
      </c>
      <c r="F1642" s="3" t="str">
        <f>IFERROR(__xludf.DUMMYFUNCTION("""COMPUTED_VALUE"""),"Chardonnay")</f>
        <v>Chardonnay</v>
      </c>
      <c r="G1642" s="3"/>
      <c r="H1642" s="3"/>
      <c r="I1642" s="3"/>
      <c r="J1642" s="3"/>
      <c r="K1642" s="3"/>
      <c r="L1642" s="54">
        <f>IFERROR(__xludf.DUMMYFUNCTION("""COMPUTED_VALUE"""),43.0)</f>
        <v>43</v>
      </c>
      <c r="M1642" s="3">
        <f>IFERROR(__xludf.DUMMYFUNCTION("""COMPUTED_VALUE"""),120.0)</f>
        <v>120</v>
      </c>
      <c r="N1642" s="3"/>
      <c r="O1642" s="3"/>
      <c r="P1642" s="3"/>
      <c r="Q1642" s="3"/>
      <c r="R1642" s="3">
        <f>IFERROR(__xludf.DUMMYFUNCTION("""COMPUTED_VALUE"""),0.0)</f>
        <v>0</v>
      </c>
      <c r="S1642" s="3"/>
      <c r="T1642" s="5"/>
      <c r="U1642" s="5"/>
      <c r="V1642" s="5"/>
      <c r="W1642" s="5"/>
    </row>
    <row r="1643" ht="15.75" customHeight="1">
      <c r="A1643" s="3">
        <f>IFERROR(__xludf.DUMMYFUNCTION("""COMPUTED_VALUE"""),1643.0)</f>
        <v>1643</v>
      </c>
      <c r="B1643" s="53">
        <f>IFERROR(__xludf.DUMMYFUNCTION("""COMPUTED_VALUE"""),45826.0)</f>
        <v>45826</v>
      </c>
      <c r="C1643" s="3">
        <f>IFERROR(__xludf.DUMMYFUNCTION("""COMPUTED_VALUE"""),111.0)</f>
        <v>111</v>
      </c>
      <c r="D1643" s="3" t="str">
        <f>IFERROR(__xludf.DUMMYFUNCTION("""COMPUTED_VALUE"""),"3f3e8ee6")</f>
        <v>3f3e8ee6</v>
      </c>
      <c r="E1643" s="54">
        <f>IFERROR(__xludf.DUMMYFUNCTION("""COMPUTED_VALUE"""),4000.0)</f>
        <v>4000</v>
      </c>
      <c r="F1643" s="3" t="str">
        <f>IFERROR(__xludf.DUMMYFUNCTION("""COMPUTED_VALUE"""),"Malbec Magneta")</f>
        <v>Malbec Magneta</v>
      </c>
      <c r="G1643" s="3"/>
      <c r="H1643" s="3"/>
      <c r="I1643" s="3"/>
      <c r="J1643" s="3"/>
      <c r="K1643" s="3"/>
      <c r="L1643" s="54">
        <f>IFERROR(__xludf.DUMMYFUNCTION("""COMPUTED_VALUE"""),39.0)</f>
        <v>39</v>
      </c>
      <c r="M1643" s="3">
        <f>IFERROR(__xludf.DUMMYFUNCTION("""COMPUTED_VALUE"""),134.0)</f>
        <v>134</v>
      </c>
      <c r="N1643" s="3"/>
      <c r="O1643" s="3"/>
      <c r="P1643" s="3"/>
      <c r="Q1643" s="3"/>
      <c r="R1643" s="3">
        <f>IFERROR(__xludf.DUMMYFUNCTION("""COMPUTED_VALUE"""),0.0)</f>
        <v>0</v>
      </c>
      <c r="S1643" s="3"/>
      <c r="T1643" s="5"/>
      <c r="U1643" s="5"/>
      <c r="V1643" s="5"/>
      <c r="W1643" s="5"/>
    </row>
    <row r="1644" ht="15.75" customHeight="1">
      <c r="A1644" s="3">
        <f>IFERROR(__xludf.DUMMYFUNCTION("""COMPUTED_VALUE"""),1644.0)</f>
        <v>1644</v>
      </c>
      <c r="B1644" s="53">
        <f>IFERROR(__xludf.DUMMYFUNCTION("""COMPUTED_VALUE"""),45826.0)</f>
        <v>45826</v>
      </c>
      <c r="C1644" s="3">
        <f>IFERROR(__xludf.DUMMYFUNCTION("""COMPUTED_VALUE"""),105.0)</f>
        <v>105</v>
      </c>
      <c r="D1644" s="3" t="str">
        <f>IFERROR(__xludf.DUMMYFUNCTION("""COMPUTED_VALUE"""),"57a4fe30")</f>
        <v>57a4fe30</v>
      </c>
      <c r="E1644" s="54">
        <f>IFERROR(__xludf.DUMMYFUNCTION("""COMPUTED_VALUE"""),31000.0)</f>
        <v>31000</v>
      </c>
      <c r="F1644" s="3" t="str">
        <f>IFERROR(__xludf.DUMMYFUNCTION("""COMPUTED_VALUE"""),"Bonarda")</f>
        <v>Bonarda</v>
      </c>
      <c r="G1644" s="3"/>
      <c r="H1644" s="3"/>
      <c r="I1644" s="3"/>
      <c r="J1644" s="3"/>
      <c r="K1644" s="3"/>
      <c r="L1644" s="54">
        <f>IFERROR(__xludf.DUMMYFUNCTION("""COMPUTED_VALUE"""),38.0)</f>
        <v>38</v>
      </c>
      <c r="M1644" s="3">
        <f>IFERROR(__xludf.DUMMYFUNCTION("""COMPUTED_VALUE"""),173.0)</f>
        <v>173</v>
      </c>
      <c r="N1644" s="3"/>
      <c r="O1644" s="3"/>
      <c r="P1644" s="3"/>
      <c r="Q1644" s="3"/>
      <c r="R1644" s="3">
        <f>IFERROR(__xludf.DUMMYFUNCTION("""COMPUTED_VALUE"""),0.0)</f>
        <v>0</v>
      </c>
      <c r="S1644" s="3"/>
      <c r="T1644" s="5"/>
      <c r="U1644" s="5"/>
      <c r="V1644" s="5"/>
      <c r="W1644" s="5"/>
    </row>
    <row r="1645" ht="15.75" customHeight="1">
      <c r="A1645" s="3">
        <f>IFERROR(__xludf.DUMMYFUNCTION("""COMPUTED_VALUE"""),1645.0)</f>
        <v>1645</v>
      </c>
      <c r="B1645" s="53">
        <f>IFERROR(__xludf.DUMMYFUNCTION("""COMPUTED_VALUE"""),45826.0)</f>
        <v>45826</v>
      </c>
      <c r="C1645" s="3">
        <f>IFERROR(__xludf.DUMMYFUNCTION("""COMPUTED_VALUE"""),66.0)</f>
        <v>66</v>
      </c>
      <c r="D1645" s="3" t="str">
        <f>IFERROR(__xludf.DUMMYFUNCTION("""COMPUTED_VALUE"""),"c67f70aa")</f>
        <v>c67f70aa</v>
      </c>
      <c r="E1645" s="54">
        <f>IFERROR(__xludf.DUMMYFUNCTION("""COMPUTED_VALUE"""),23000.0)</f>
        <v>23000</v>
      </c>
      <c r="F1645" s="3" t="str">
        <f>IFERROR(__xludf.DUMMYFUNCTION("""COMPUTED_VALUE"""),"Syrah")</f>
        <v>Syrah</v>
      </c>
      <c r="G1645" s="3"/>
      <c r="H1645" s="3"/>
      <c r="I1645" s="3"/>
      <c r="J1645" s="3"/>
      <c r="K1645" s="3"/>
      <c r="L1645" s="54">
        <f>IFERROR(__xludf.DUMMYFUNCTION("""COMPUTED_VALUE"""),40.0)</f>
        <v>40</v>
      </c>
      <c r="M1645" s="3">
        <f>IFERROR(__xludf.DUMMYFUNCTION("""COMPUTED_VALUE"""),115.0)</f>
        <v>115</v>
      </c>
      <c r="N1645" s="3"/>
      <c r="O1645" s="3"/>
      <c r="P1645" s="3"/>
      <c r="Q1645" s="3"/>
      <c r="R1645" s="3">
        <f>IFERROR(__xludf.DUMMYFUNCTION("""COMPUTED_VALUE"""),0.0)</f>
        <v>0</v>
      </c>
      <c r="S1645" s="3"/>
      <c r="T1645" s="5"/>
      <c r="U1645" s="5"/>
      <c r="V1645" s="5"/>
      <c r="W1645" s="5"/>
    </row>
    <row r="1646" ht="15.75" customHeight="1">
      <c r="A1646" s="3">
        <f>IFERROR(__xludf.DUMMYFUNCTION("""COMPUTED_VALUE"""),1646.0)</f>
        <v>1646</v>
      </c>
      <c r="B1646" s="53">
        <f>IFERROR(__xludf.DUMMYFUNCTION("""COMPUTED_VALUE"""),45826.0)</f>
        <v>45826</v>
      </c>
      <c r="C1646" s="3">
        <f>IFERROR(__xludf.DUMMYFUNCTION("""COMPUTED_VALUE"""),109.0)</f>
        <v>109</v>
      </c>
      <c r="D1646" s="3" t="str">
        <f>IFERROR(__xludf.DUMMYFUNCTION("""COMPUTED_VALUE"""),"605416fd")</f>
        <v>605416fd</v>
      </c>
      <c r="E1646" s="54">
        <f>IFERROR(__xludf.DUMMYFUNCTION("""COMPUTED_VALUE"""),15600.0)</f>
        <v>15600</v>
      </c>
      <c r="F1646" s="3" t="str">
        <f>IFERROR(__xludf.DUMMYFUNCTION("""COMPUTED_VALUE"""),"Bonarda")</f>
        <v>Bonarda</v>
      </c>
      <c r="G1646" s="3"/>
      <c r="H1646" s="3"/>
      <c r="I1646" s="3"/>
      <c r="J1646" s="3"/>
      <c r="K1646" s="3"/>
      <c r="L1646" s="54">
        <f>IFERROR(__xludf.DUMMYFUNCTION("""COMPUTED_VALUE"""),42.0)</f>
        <v>42</v>
      </c>
      <c r="M1646" s="3">
        <f>IFERROR(__xludf.DUMMYFUNCTION("""COMPUTED_VALUE"""),160.0)</f>
        <v>160</v>
      </c>
      <c r="N1646" s="3"/>
      <c r="O1646" s="3"/>
      <c r="P1646" s="3"/>
      <c r="Q1646" s="3"/>
      <c r="R1646" s="3">
        <f>IFERROR(__xludf.DUMMYFUNCTION("""COMPUTED_VALUE"""),0.0)</f>
        <v>0</v>
      </c>
      <c r="S1646" s="3"/>
      <c r="T1646" s="5"/>
      <c r="U1646" s="5"/>
      <c r="V1646" s="5"/>
      <c r="W1646" s="5"/>
    </row>
    <row r="1647" ht="15.75" customHeight="1">
      <c r="A1647" s="3">
        <f>IFERROR(__xludf.DUMMYFUNCTION("""COMPUTED_VALUE"""),1647.0)</f>
        <v>1647</v>
      </c>
      <c r="B1647" s="53">
        <f>IFERROR(__xludf.DUMMYFUNCTION("""COMPUTED_VALUE"""),45826.0)</f>
        <v>45826</v>
      </c>
      <c r="C1647" s="3">
        <f>IFERROR(__xludf.DUMMYFUNCTION("""COMPUTED_VALUE"""),89.0)</f>
        <v>89</v>
      </c>
      <c r="D1647" s="3" t="str">
        <f>IFERROR(__xludf.DUMMYFUNCTION("""COMPUTED_VALUE"""),"dddbf851")</f>
        <v>dddbf851</v>
      </c>
      <c r="E1647" s="54">
        <f>IFERROR(__xludf.DUMMYFUNCTION("""COMPUTED_VALUE"""),83500.0)</f>
        <v>83500</v>
      </c>
      <c r="F1647" s="3" t="str">
        <f>IFERROR(__xludf.DUMMYFUNCTION("""COMPUTED_VALUE"""),"Syrah Tempranillo")</f>
        <v>Syrah Tempranillo</v>
      </c>
      <c r="G1647" s="55">
        <f>IFERROR(__xludf.DUMMYFUNCTION("""COMPUTED_VALUE"""),14.0)</f>
        <v>14</v>
      </c>
      <c r="H1647" s="56">
        <f>IFERROR(__xludf.DUMMYFUNCTION("""COMPUTED_VALUE"""),4.51)</f>
        <v>4.51</v>
      </c>
      <c r="I1647" s="57">
        <f>IFERROR(__xludf.DUMMYFUNCTION("""COMPUTED_VALUE"""),0.6)</f>
        <v>0.6</v>
      </c>
      <c r="J1647" s="57">
        <f>IFERROR(__xludf.DUMMYFUNCTION("""COMPUTED_VALUE"""),5.47)</f>
        <v>5.47</v>
      </c>
      <c r="K1647" s="3"/>
      <c r="L1647" s="3"/>
      <c r="M1647" s="3"/>
      <c r="N1647" s="3"/>
      <c r="O1647" s="3"/>
      <c r="P1647" s="3"/>
      <c r="Q1647" s="3"/>
      <c r="R1647" s="3">
        <f>IFERROR(__xludf.DUMMYFUNCTION("""COMPUTED_VALUE"""),0.0)</f>
        <v>0</v>
      </c>
      <c r="S1647" s="3"/>
      <c r="T1647" s="5"/>
      <c r="U1647" s="5"/>
      <c r="V1647" s="5"/>
      <c r="W1647" s="5" t="str">
        <f>IFERROR(__xludf.DUMMYFUNCTION("""COMPUTED_VALUE"""),"Simón")</f>
        <v>Simón</v>
      </c>
    </row>
    <row r="1648" ht="15.75" customHeight="1">
      <c r="A1648" s="3">
        <f>IFERROR(__xludf.DUMMYFUNCTION("""COMPUTED_VALUE"""),1648.0)</f>
        <v>1648</v>
      </c>
      <c r="B1648" s="53">
        <f>IFERROR(__xludf.DUMMYFUNCTION("""COMPUTED_VALUE"""),45835.0)</f>
        <v>45835</v>
      </c>
      <c r="C1648" s="3">
        <f>IFERROR(__xludf.DUMMYFUNCTION("""COMPUTED_VALUE"""),25.0)</f>
        <v>25</v>
      </c>
      <c r="D1648" s="3" t="str">
        <f>IFERROR(__xludf.DUMMYFUNCTION("""COMPUTED_VALUE"""),"d8fb0b2f")</f>
        <v>d8fb0b2f</v>
      </c>
      <c r="E1648" s="54">
        <f>IFERROR(__xludf.DUMMYFUNCTION("""COMPUTED_VALUE"""),194300.0)</f>
        <v>194300</v>
      </c>
      <c r="F1648" s="3" t="str">
        <f>IFERROR(__xludf.DUMMYFUNCTION("""COMPUTED_VALUE"""),"Syrah")</f>
        <v>Syrah</v>
      </c>
      <c r="G1648" s="55">
        <f>IFERROR(__xludf.DUMMYFUNCTION("""COMPUTED_VALUE"""),14.0)</f>
        <v>14</v>
      </c>
      <c r="H1648" s="56">
        <f>IFERROR(__xludf.DUMMYFUNCTION("""COMPUTED_VALUE"""),2.5)</f>
        <v>2.5</v>
      </c>
      <c r="I1648" s="57">
        <f>IFERROR(__xludf.DUMMYFUNCTION("""COMPUTED_VALUE"""),0.63)</f>
        <v>0.63</v>
      </c>
      <c r="J1648" s="57">
        <f>IFERROR(__xludf.DUMMYFUNCTION("""COMPUTED_VALUE"""),5.35)</f>
        <v>5.35</v>
      </c>
      <c r="K1648" s="57">
        <f>IFERROR(__xludf.DUMMYFUNCTION("""COMPUTED_VALUE"""),3.61)</f>
        <v>3.61</v>
      </c>
      <c r="L1648" s="54">
        <f>IFERROR(__xludf.DUMMYFUNCTION("""COMPUTED_VALUE"""),43.0)</f>
        <v>43</v>
      </c>
      <c r="M1648" s="3">
        <f>IFERROR(__xludf.DUMMYFUNCTION("""COMPUTED_VALUE"""),121.0)</f>
        <v>121</v>
      </c>
      <c r="N1648" s="3"/>
      <c r="O1648" s="3"/>
      <c r="P1648" s="3"/>
      <c r="Q1648" s="3"/>
      <c r="R1648" s="3">
        <f>IFERROR(__xludf.DUMMYFUNCTION("""COMPUTED_VALUE"""),0.0)</f>
        <v>0</v>
      </c>
      <c r="S1648" s="3"/>
      <c r="T1648" s="5"/>
      <c r="U1648" s="5"/>
      <c r="V1648" s="5"/>
      <c r="W1648" s="5"/>
    </row>
    <row r="1649" ht="15.75" customHeight="1">
      <c r="A1649" s="3">
        <f>IFERROR(__xludf.DUMMYFUNCTION("""COMPUTED_VALUE"""),1649.0)</f>
        <v>1649</v>
      </c>
      <c r="B1649" s="53">
        <f>IFERROR(__xludf.DUMMYFUNCTION("""COMPUTED_VALUE"""),45835.0)</f>
        <v>45835</v>
      </c>
      <c r="C1649" s="3">
        <f>IFERROR(__xludf.DUMMYFUNCTION("""COMPUTED_VALUE"""),87.0)</f>
        <v>87</v>
      </c>
      <c r="D1649" s="3" t="str">
        <f>IFERROR(__xludf.DUMMYFUNCTION("""COMPUTED_VALUE"""),"502df566")</f>
        <v>502df566</v>
      </c>
      <c r="E1649" s="54">
        <f>IFERROR(__xludf.DUMMYFUNCTION("""COMPUTED_VALUE"""),93700.0)</f>
        <v>93700</v>
      </c>
      <c r="F1649" s="3" t="str">
        <f>IFERROR(__xludf.DUMMYFUNCTION("""COMPUTED_VALUE"""),"Syrah")</f>
        <v>Syrah</v>
      </c>
      <c r="G1649" s="55">
        <f>IFERROR(__xludf.DUMMYFUNCTION("""COMPUTED_VALUE"""),14.1)</f>
        <v>14.1</v>
      </c>
      <c r="H1649" s="56">
        <f>IFERROR(__xludf.DUMMYFUNCTION("""COMPUTED_VALUE"""),2.4)</f>
        <v>2.4</v>
      </c>
      <c r="I1649" s="57">
        <f>IFERROR(__xludf.DUMMYFUNCTION("""COMPUTED_VALUE"""),0.65)</f>
        <v>0.65</v>
      </c>
      <c r="J1649" s="57">
        <f>IFERROR(__xludf.DUMMYFUNCTION("""COMPUTED_VALUE"""),5.4)</f>
        <v>5.4</v>
      </c>
      <c r="K1649" s="57">
        <f>IFERROR(__xludf.DUMMYFUNCTION("""COMPUTED_VALUE"""),3.63)</f>
        <v>3.63</v>
      </c>
      <c r="L1649" s="54">
        <f>IFERROR(__xludf.DUMMYFUNCTION("""COMPUTED_VALUE"""),44.0)</f>
        <v>44</v>
      </c>
      <c r="M1649" s="3">
        <f>IFERROR(__xludf.DUMMYFUNCTION("""COMPUTED_VALUE"""),128.0)</f>
        <v>128</v>
      </c>
      <c r="N1649" s="3"/>
      <c r="O1649" s="3"/>
      <c r="P1649" s="3"/>
      <c r="Q1649" s="3"/>
      <c r="R1649" s="3">
        <f>IFERROR(__xludf.DUMMYFUNCTION("""COMPUTED_VALUE"""),0.0)</f>
        <v>0</v>
      </c>
      <c r="S1649" s="3"/>
      <c r="T1649" s="5"/>
      <c r="U1649" s="5"/>
      <c r="V1649" s="5"/>
      <c r="W1649" s="5"/>
    </row>
    <row r="1650" ht="15.75" customHeight="1">
      <c r="A1650" s="3">
        <f>IFERROR(__xludf.DUMMYFUNCTION("""COMPUTED_VALUE"""),1650.0)</f>
        <v>1650</v>
      </c>
      <c r="B1650" s="53">
        <f>IFERROR(__xludf.DUMMYFUNCTION("""COMPUTED_VALUE"""),45838.0)</f>
        <v>45838</v>
      </c>
      <c r="C1650" s="3">
        <f>IFERROR(__xludf.DUMMYFUNCTION("""COMPUTED_VALUE"""),86.0)</f>
        <v>86</v>
      </c>
      <c r="D1650" s="3" t="str">
        <f>IFERROR(__xludf.DUMMYFUNCTION("""COMPUTED_VALUE"""),"aa02cc0a")</f>
        <v>aa02cc0a</v>
      </c>
      <c r="E1650" s="54">
        <f>IFERROR(__xludf.DUMMYFUNCTION("""COMPUTED_VALUE"""),72000.0)</f>
        <v>72000</v>
      </c>
      <c r="F1650" s="3" t="str">
        <f>IFERROR(__xludf.DUMMYFUNCTION("""COMPUTED_VALUE"""),"Syrah")</f>
        <v>Syrah</v>
      </c>
      <c r="G1650" s="55">
        <f>IFERROR(__xludf.DUMMYFUNCTION("""COMPUTED_VALUE"""),14.0)</f>
        <v>14</v>
      </c>
      <c r="H1650" s="56">
        <f>IFERROR(__xludf.DUMMYFUNCTION("""COMPUTED_VALUE"""),2.7)</f>
        <v>2.7</v>
      </c>
      <c r="I1650" s="57">
        <f>IFERROR(__xludf.DUMMYFUNCTION("""COMPUTED_VALUE"""),0.66)</f>
        <v>0.66</v>
      </c>
      <c r="J1650" s="57">
        <f>IFERROR(__xludf.DUMMYFUNCTION("""COMPUTED_VALUE"""),5.3)</f>
        <v>5.3</v>
      </c>
      <c r="K1650" s="57">
        <f>IFERROR(__xludf.DUMMYFUNCTION("""COMPUTED_VALUE"""),3.64)</f>
        <v>3.64</v>
      </c>
      <c r="L1650" s="54">
        <f>IFERROR(__xludf.DUMMYFUNCTION("""COMPUTED_VALUE"""),45.0)</f>
        <v>45</v>
      </c>
      <c r="M1650" s="3">
        <f>IFERROR(__xludf.DUMMYFUNCTION("""COMPUTED_VALUE"""),126.0)</f>
        <v>126</v>
      </c>
      <c r="N1650" s="3"/>
      <c r="O1650" s="3"/>
      <c r="P1650" s="3"/>
      <c r="Q1650" s="3"/>
      <c r="R1650" s="3">
        <f>IFERROR(__xludf.DUMMYFUNCTION("""COMPUTED_VALUE"""),0.0)</f>
        <v>0</v>
      </c>
      <c r="S1650" s="3"/>
      <c r="T1650" s="5"/>
      <c r="U1650" s="5"/>
      <c r="V1650" s="5"/>
      <c r="W1650" s="5"/>
    </row>
    <row r="1651" ht="15.75" customHeight="1">
      <c r="A1651" s="3">
        <f>IFERROR(__xludf.DUMMYFUNCTION("""COMPUTED_VALUE"""),1651.0)</f>
        <v>1651</v>
      </c>
      <c r="B1651" s="53">
        <f>IFERROR(__xludf.DUMMYFUNCTION("""COMPUTED_VALUE"""),45838.0)</f>
        <v>45838</v>
      </c>
      <c r="C1651" s="3">
        <f>IFERROR(__xludf.DUMMYFUNCTION("""COMPUTED_VALUE"""),89.0)</f>
        <v>89</v>
      </c>
      <c r="D1651" s="3" t="str">
        <f>IFERROR(__xludf.DUMMYFUNCTION("""COMPUTED_VALUE"""),"eed09ba0")</f>
        <v>eed09ba0</v>
      </c>
      <c r="E1651" s="54">
        <f>IFERROR(__xludf.DUMMYFUNCTION("""COMPUTED_VALUE"""),83500.0)</f>
        <v>83500</v>
      </c>
      <c r="F1651" s="3" t="str">
        <f>IFERROR(__xludf.DUMMYFUNCTION("""COMPUTED_VALUE"""),"Syrah Tempranillo")</f>
        <v>Syrah Tempranillo</v>
      </c>
      <c r="G1651" s="55">
        <f>IFERROR(__xludf.DUMMYFUNCTION("""COMPUTED_VALUE"""),13.9)</f>
        <v>13.9</v>
      </c>
      <c r="H1651" s="56">
        <f>IFERROR(__xludf.DUMMYFUNCTION("""COMPUTED_VALUE"""),4.3)</f>
        <v>4.3</v>
      </c>
      <c r="I1651" s="57">
        <f>IFERROR(__xludf.DUMMYFUNCTION("""COMPUTED_VALUE"""),0.67)</f>
        <v>0.67</v>
      </c>
      <c r="J1651" s="57">
        <f>IFERROR(__xludf.DUMMYFUNCTION("""COMPUTED_VALUE"""),5.58)</f>
        <v>5.58</v>
      </c>
      <c r="K1651" s="57">
        <f>IFERROR(__xludf.DUMMYFUNCTION("""COMPUTED_VALUE"""),3.58)</f>
        <v>3.58</v>
      </c>
      <c r="L1651" s="54">
        <f>IFERROR(__xludf.DUMMYFUNCTION("""COMPUTED_VALUE"""),35.0)</f>
        <v>35</v>
      </c>
      <c r="M1651" s="3">
        <f>IFERROR(__xludf.DUMMYFUNCTION("""COMPUTED_VALUE"""),130.0)</f>
        <v>130</v>
      </c>
      <c r="N1651" s="3"/>
      <c r="O1651" s="3"/>
      <c r="P1651" s="3"/>
      <c r="Q1651" s="3"/>
      <c r="R1651" s="3">
        <f>IFERROR(__xludf.DUMMYFUNCTION("""COMPUTED_VALUE"""),0.0)</f>
        <v>0</v>
      </c>
      <c r="S1651" s="3"/>
      <c r="T1651" s="5"/>
      <c r="U1651" s="5"/>
      <c r="V1651" s="5"/>
      <c r="W1651" s="5"/>
    </row>
    <row r="1652" ht="15.75" customHeight="1">
      <c r="A1652" s="3">
        <f>IFERROR(__xludf.DUMMYFUNCTION("""COMPUTED_VALUE"""),1652.0)</f>
        <v>1652</v>
      </c>
      <c r="B1652" s="53">
        <f>IFERROR(__xludf.DUMMYFUNCTION("""COMPUTED_VALUE"""),45839.0)</f>
        <v>45839</v>
      </c>
      <c r="C1652" s="3">
        <f>IFERROR(__xludf.DUMMYFUNCTION("""COMPUTED_VALUE"""),72.0)</f>
        <v>72</v>
      </c>
      <c r="D1652" s="3" t="str">
        <f>IFERROR(__xludf.DUMMYFUNCTION("""COMPUTED_VALUE"""),"5f7e8218")</f>
        <v>5f7e8218</v>
      </c>
      <c r="E1652" s="54">
        <f>IFERROR(__xludf.DUMMYFUNCTION("""COMPUTED_VALUE"""),13000.0)</f>
        <v>13000</v>
      </c>
      <c r="F1652" s="3" t="str">
        <f>IFERROR(__xludf.DUMMYFUNCTION("""COMPUTED_VALUE"""),"Syrah Tempranillo")</f>
        <v>Syrah Tempranillo</v>
      </c>
      <c r="G1652" s="55">
        <f>IFERROR(__xludf.DUMMYFUNCTION("""COMPUTED_VALUE"""),14.0)</f>
        <v>14</v>
      </c>
      <c r="H1652" s="56">
        <f>IFERROR(__xludf.DUMMYFUNCTION("""COMPUTED_VALUE"""),4.0)</f>
        <v>4</v>
      </c>
      <c r="I1652" s="57">
        <f>IFERROR(__xludf.DUMMYFUNCTION("""COMPUTED_VALUE"""),0.64)</f>
        <v>0.64</v>
      </c>
      <c r="J1652" s="57">
        <f>IFERROR(__xludf.DUMMYFUNCTION("""COMPUTED_VALUE"""),5.4)</f>
        <v>5.4</v>
      </c>
      <c r="K1652" s="57">
        <f>IFERROR(__xludf.DUMMYFUNCTION("""COMPUTED_VALUE"""),3.67)</f>
        <v>3.67</v>
      </c>
      <c r="L1652" s="54">
        <f>IFERROR(__xludf.DUMMYFUNCTION("""COMPUTED_VALUE"""),32.0)</f>
        <v>32</v>
      </c>
      <c r="M1652" s="3">
        <f>IFERROR(__xludf.DUMMYFUNCTION("""COMPUTED_VALUE"""),115.0)</f>
        <v>115</v>
      </c>
      <c r="N1652" s="3"/>
      <c r="O1652" s="3"/>
      <c r="P1652" s="3"/>
      <c r="Q1652" s="3"/>
      <c r="R1652" s="3">
        <f>IFERROR(__xludf.DUMMYFUNCTION("""COMPUTED_VALUE"""),0.0)</f>
        <v>0</v>
      </c>
      <c r="S1652" s="3"/>
      <c r="T1652" s="5"/>
      <c r="U1652" s="5"/>
      <c r="V1652" s="5"/>
      <c r="W1652" s="5"/>
    </row>
    <row r="1653" ht="15.75" customHeight="1">
      <c r="A1653" s="3">
        <f>IFERROR(__xludf.DUMMYFUNCTION("""COMPUTED_VALUE"""),1653.0)</f>
        <v>1653</v>
      </c>
      <c r="B1653" s="53">
        <f>IFERROR(__xludf.DUMMYFUNCTION("""COMPUTED_VALUE"""),45840.0)</f>
        <v>45840</v>
      </c>
      <c r="C1653" s="3">
        <f>IFERROR(__xludf.DUMMYFUNCTION("""COMPUTED_VALUE"""),11.0)</f>
        <v>11</v>
      </c>
      <c r="D1653" s="3" t="str">
        <f>IFERROR(__xludf.DUMMYFUNCTION("""COMPUTED_VALUE"""),"dcaf5b39")</f>
        <v>dcaf5b39</v>
      </c>
      <c r="E1653" s="54">
        <f>IFERROR(__xludf.DUMMYFUNCTION("""COMPUTED_VALUE"""),36000.0)</f>
        <v>36000</v>
      </c>
      <c r="F1653" s="3" t="str">
        <f>IFERROR(__xludf.DUMMYFUNCTION("""COMPUTED_VALUE"""),"Chardonnay")</f>
        <v>Chardonnay</v>
      </c>
      <c r="G1653" s="3"/>
      <c r="H1653" s="3"/>
      <c r="I1653" s="3"/>
      <c r="J1653" s="3"/>
      <c r="K1653" s="3"/>
      <c r="L1653" s="54">
        <f>IFERROR(__xludf.DUMMYFUNCTION("""COMPUTED_VALUE"""),32.0)</f>
        <v>32</v>
      </c>
      <c r="M1653" s="3">
        <f>IFERROR(__xludf.DUMMYFUNCTION("""COMPUTED_VALUE"""),130.0)</f>
        <v>130</v>
      </c>
      <c r="N1653" s="3"/>
      <c r="O1653" s="3"/>
      <c r="P1653" s="3"/>
      <c r="Q1653" s="3"/>
      <c r="R1653" s="3">
        <f>IFERROR(__xludf.DUMMYFUNCTION("""COMPUTED_VALUE"""),0.0)</f>
        <v>0</v>
      </c>
      <c r="S1653" s="3"/>
      <c r="T1653" s="5"/>
      <c r="U1653" s="5"/>
      <c r="V1653" s="5"/>
      <c r="W1653" s="5"/>
    </row>
    <row r="1654" ht="15.75" customHeight="1">
      <c r="A1654" s="3">
        <f>IFERROR(__xludf.DUMMYFUNCTION("""COMPUTED_VALUE"""),1654.0)</f>
        <v>1654</v>
      </c>
      <c r="B1654" s="53">
        <f>IFERROR(__xludf.DUMMYFUNCTION("""COMPUTED_VALUE"""),45840.0)</f>
        <v>45840</v>
      </c>
      <c r="C1654" s="3">
        <f>IFERROR(__xludf.DUMMYFUNCTION("""COMPUTED_VALUE"""),24.0)</f>
        <v>24</v>
      </c>
      <c r="D1654" s="3" t="str">
        <f>IFERROR(__xludf.DUMMYFUNCTION("""COMPUTED_VALUE"""),"b3a40361")</f>
        <v>b3a40361</v>
      </c>
      <c r="E1654" s="54">
        <f>IFERROR(__xludf.DUMMYFUNCTION("""COMPUTED_VALUE"""),186600.0)</f>
        <v>186600</v>
      </c>
      <c r="F1654" s="3" t="str">
        <f>IFERROR(__xludf.DUMMYFUNCTION("""COMPUTED_VALUE"""),"Malbec")</f>
        <v>Malbec</v>
      </c>
      <c r="G1654" s="3"/>
      <c r="H1654" s="3"/>
      <c r="I1654" s="3"/>
      <c r="J1654" s="3"/>
      <c r="K1654" s="3"/>
      <c r="L1654" s="54">
        <f>IFERROR(__xludf.DUMMYFUNCTION("""COMPUTED_VALUE"""),36.0)</f>
        <v>36</v>
      </c>
      <c r="M1654" s="3">
        <f>IFERROR(__xludf.DUMMYFUNCTION("""COMPUTED_VALUE"""),172.0)</f>
        <v>172</v>
      </c>
      <c r="N1654" s="3"/>
      <c r="O1654" s="3"/>
      <c r="P1654" s="3"/>
      <c r="Q1654" s="3"/>
      <c r="R1654" s="3">
        <f>IFERROR(__xludf.DUMMYFUNCTION("""COMPUTED_VALUE"""),0.0)</f>
        <v>0</v>
      </c>
      <c r="S1654" s="3"/>
      <c r="T1654" s="5"/>
      <c r="U1654" s="5"/>
      <c r="V1654" s="5"/>
      <c r="W1654" s="5"/>
    </row>
    <row r="1655" ht="15.75" customHeight="1">
      <c r="A1655" s="3">
        <f>IFERROR(__xludf.DUMMYFUNCTION("""COMPUTED_VALUE"""),1655.0)</f>
        <v>1655</v>
      </c>
      <c r="B1655" s="53">
        <f>IFERROR(__xludf.DUMMYFUNCTION("""COMPUTED_VALUE"""),45840.0)</f>
        <v>45840</v>
      </c>
      <c r="C1655" s="3">
        <f>IFERROR(__xludf.DUMMYFUNCTION("""COMPUTED_VALUE"""),26.0)</f>
        <v>26</v>
      </c>
      <c r="D1655" s="3" t="str">
        <f>IFERROR(__xludf.DUMMYFUNCTION("""COMPUTED_VALUE"""),"a37dae6b")</f>
        <v>a37dae6b</v>
      </c>
      <c r="E1655" s="54">
        <f>IFERROR(__xludf.DUMMYFUNCTION("""COMPUTED_VALUE"""),207600.0)</f>
        <v>207600</v>
      </c>
      <c r="F1655" s="3" t="str">
        <f>IFERROR(__xludf.DUMMYFUNCTION("""COMPUTED_VALUE"""),"Tinto")</f>
        <v>Tinto</v>
      </c>
      <c r="G1655" s="3"/>
      <c r="H1655" s="3"/>
      <c r="I1655" s="3"/>
      <c r="J1655" s="3"/>
      <c r="K1655" s="3"/>
      <c r="L1655" s="54">
        <f>IFERROR(__xludf.DUMMYFUNCTION("""COMPUTED_VALUE"""),23.0)</f>
        <v>23</v>
      </c>
      <c r="M1655" s="3">
        <f>IFERROR(__xludf.DUMMYFUNCTION("""COMPUTED_VALUE"""),166.0)</f>
        <v>166</v>
      </c>
      <c r="N1655" s="3"/>
      <c r="O1655" s="3"/>
      <c r="P1655" s="3"/>
      <c r="Q1655" s="3"/>
      <c r="R1655" s="3">
        <f>IFERROR(__xludf.DUMMYFUNCTION("""COMPUTED_VALUE"""),0.0)</f>
        <v>0</v>
      </c>
      <c r="S1655" s="3"/>
      <c r="T1655" s="5"/>
      <c r="U1655" s="5"/>
      <c r="V1655" s="5"/>
      <c r="W1655" s="5"/>
    </row>
    <row r="1656" ht="15.75" customHeight="1">
      <c r="A1656" s="3">
        <f>IFERROR(__xludf.DUMMYFUNCTION("""COMPUTED_VALUE"""),1656.0)</f>
        <v>1656</v>
      </c>
      <c r="B1656" s="53">
        <f>IFERROR(__xludf.DUMMYFUNCTION("""COMPUTED_VALUE"""),45840.0)</f>
        <v>45840</v>
      </c>
      <c r="C1656" s="3">
        <f>IFERROR(__xludf.DUMMYFUNCTION("""COMPUTED_VALUE"""),34.0)</f>
        <v>34</v>
      </c>
      <c r="D1656" s="3" t="str">
        <f>IFERROR(__xludf.DUMMYFUNCTION("""COMPUTED_VALUE"""),"08cd1438")</f>
        <v>08cd1438</v>
      </c>
      <c r="E1656" s="54">
        <f>IFERROR(__xludf.DUMMYFUNCTION("""COMPUTED_VALUE"""),39500.0)</f>
        <v>39500</v>
      </c>
      <c r="F1656" s="3" t="str">
        <f>IFERROR(__xludf.DUMMYFUNCTION("""COMPUTED_VALUE"""),"Malbec")</f>
        <v>Malbec</v>
      </c>
      <c r="G1656" s="3"/>
      <c r="H1656" s="3"/>
      <c r="I1656" s="3"/>
      <c r="J1656" s="3"/>
      <c r="K1656" s="3"/>
      <c r="L1656" s="54">
        <f>IFERROR(__xludf.DUMMYFUNCTION("""COMPUTED_VALUE"""),32.0)</f>
        <v>32</v>
      </c>
      <c r="M1656" s="3">
        <f>IFERROR(__xludf.DUMMYFUNCTION("""COMPUTED_VALUE"""),156.0)</f>
        <v>156</v>
      </c>
      <c r="N1656" s="3"/>
      <c r="O1656" s="3"/>
      <c r="P1656" s="3"/>
      <c r="Q1656" s="3"/>
      <c r="R1656" s="3">
        <f>IFERROR(__xludf.DUMMYFUNCTION("""COMPUTED_VALUE"""),0.0)</f>
        <v>0</v>
      </c>
      <c r="S1656" s="3"/>
      <c r="T1656" s="5"/>
      <c r="U1656" s="5"/>
      <c r="V1656" s="5"/>
      <c r="W1656" s="5"/>
    </row>
    <row r="1657" ht="15.75" customHeight="1">
      <c r="A1657" s="3">
        <f>IFERROR(__xludf.DUMMYFUNCTION("""COMPUTED_VALUE"""),1657.0)</f>
        <v>1657</v>
      </c>
      <c r="B1657" s="53">
        <f>IFERROR(__xludf.DUMMYFUNCTION("""COMPUTED_VALUE"""),45840.0)</f>
        <v>45840</v>
      </c>
      <c r="C1657" s="3">
        <f>IFERROR(__xludf.DUMMYFUNCTION("""COMPUTED_VALUE"""),46.0)</f>
        <v>46</v>
      </c>
      <c r="D1657" s="3" t="str">
        <f>IFERROR(__xludf.DUMMYFUNCTION("""COMPUTED_VALUE"""),"9b47717c")</f>
        <v>9b47717c</v>
      </c>
      <c r="E1657" s="54">
        <f>IFERROR(__xludf.DUMMYFUNCTION("""COMPUTED_VALUE"""),29000.0)</f>
        <v>29000</v>
      </c>
      <c r="F1657" s="3" t="str">
        <f>IFERROR(__xludf.DUMMYFUNCTION("""COMPUTED_VALUE"""),"Bonarda")</f>
        <v>Bonarda</v>
      </c>
      <c r="G1657" s="3"/>
      <c r="H1657" s="3"/>
      <c r="I1657" s="3"/>
      <c r="J1657" s="3"/>
      <c r="K1657" s="3"/>
      <c r="L1657" s="54">
        <f>IFERROR(__xludf.DUMMYFUNCTION("""COMPUTED_VALUE"""),40.0)</f>
        <v>40</v>
      </c>
      <c r="M1657" s="3">
        <f>IFERROR(__xludf.DUMMYFUNCTION("""COMPUTED_VALUE"""),120.0)</f>
        <v>120</v>
      </c>
      <c r="N1657" s="3"/>
      <c r="O1657" s="3"/>
      <c r="P1657" s="3"/>
      <c r="Q1657" s="3"/>
      <c r="R1657" s="3">
        <f>IFERROR(__xludf.DUMMYFUNCTION("""COMPUTED_VALUE"""),0.0)</f>
        <v>0</v>
      </c>
      <c r="S1657" s="3"/>
      <c r="T1657" s="5"/>
      <c r="U1657" s="5"/>
      <c r="V1657" s="5"/>
      <c r="W1657" s="5"/>
    </row>
    <row r="1658" ht="15.75" customHeight="1">
      <c r="A1658" s="3">
        <f>IFERROR(__xludf.DUMMYFUNCTION("""COMPUTED_VALUE"""),1658.0)</f>
        <v>1658</v>
      </c>
      <c r="B1658" s="53">
        <f>IFERROR(__xludf.DUMMYFUNCTION("""COMPUTED_VALUE"""),45840.0)</f>
        <v>45840</v>
      </c>
      <c r="C1658" s="3">
        <f>IFERROR(__xludf.DUMMYFUNCTION("""COMPUTED_VALUE"""),55.0)</f>
        <v>55</v>
      </c>
      <c r="D1658" s="3" t="str">
        <f>IFERROR(__xludf.DUMMYFUNCTION("""COMPUTED_VALUE"""),"2d412906")</f>
        <v>2d412906</v>
      </c>
      <c r="E1658" s="54">
        <f>IFERROR(__xludf.DUMMYFUNCTION("""COMPUTED_VALUE"""),3000.0)</f>
        <v>3000</v>
      </c>
      <c r="F1658" s="3" t="str">
        <f>IFERROR(__xludf.DUMMYFUNCTION("""COMPUTED_VALUE"""),"Chardonnay")</f>
        <v>Chardonnay</v>
      </c>
      <c r="G1658" s="3"/>
      <c r="H1658" s="3"/>
      <c r="I1658" s="3"/>
      <c r="J1658" s="3"/>
      <c r="K1658" s="3"/>
      <c r="L1658" s="54">
        <f>IFERROR(__xludf.DUMMYFUNCTION("""COMPUTED_VALUE"""),30.0)</f>
        <v>30</v>
      </c>
      <c r="M1658" s="3">
        <f>IFERROR(__xludf.DUMMYFUNCTION("""COMPUTED_VALUE"""),137.0)</f>
        <v>137</v>
      </c>
      <c r="N1658" s="3"/>
      <c r="O1658" s="3"/>
      <c r="P1658" s="3"/>
      <c r="Q1658" s="3"/>
      <c r="R1658" s="3">
        <f>IFERROR(__xludf.DUMMYFUNCTION("""COMPUTED_VALUE"""),0.0)</f>
        <v>0</v>
      </c>
      <c r="S1658" s="3"/>
      <c r="T1658" s="5"/>
      <c r="U1658" s="5"/>
      <c r="V1658" s="5"/>
      <c r="W1658" s="5"/>
    </row>
    <row r="1659" ht="15.75" customHeight="1">
      <c r="A1659" s="3">
        <f>IFERROR(__xludf.DUMMYFUNCTION("""COMPUTED_VALUE"""),1659.0)</f>
        <v>1659</v>
      </c>
      <c r="B1659" s="53">
        <f>IFERROR(__xludf.DUMMYFUNCTION("""COMPUTED_VALUE"""),45840.0)</f>
        <v>45840</v>
      </c>
      <c r="C1659" s="3">
        <f>IFERROR(__xludf.DUMMYFUNCTION("""COMPUTED_VALUE"""),75.0)</f>
        <v>75</v>
      </c>
      <c r="D1659" s="3" t="str">
        <f>IFERROR(__xludf.DUMMYFUNCTION("""COMPUTED_VALUE"""),"7a9e7f06")</f>
        <v>7a9e7f06</v>
      </c>
      <c r="E1659" s="54">
        <f>IFERROR(__xludf.DUMMYFUNCTION("""COMPUTED_VALUE"""),7000.0)</f>
        <v>7000</v>
      </c>
      <c r="F1659" s="3" t="str">
        <f>IFERROR(__xludf.DUMMYFUNCTION("""COMPUTED_VALUE"""),"Tanat")</f>
        <v>Tanat</v>
      </c>
      <c r="G1659" s="3"/>
      <c r="H1659" s="3"/>
      <c r="I1659" s="3"/>
      <c r="J1659" s="3"/>
      <c r="K1659" s="3"/>
      <c r="L1659" s="54">
        <f>IFERROR(__xludf.DUMMYFUNCTION("""COMPUTED_VALUE"""),31.0)</f>
        <v>31</v>
      </c>
      <c r="M1659" s="3">
        <f>IFERROR(__xludf.DUMMYFUNCTION("""COMPUTED_VALUE"""),102.0)</f>
        <v>102</v>
      </c>
      <c r="N1659" s="3"/>
      <c r="O1659" s="3"/>
      <c r="P1659" s="3"/>
      <c r="Q1659" s="3"/>
      <c r="R1659" s="3">
        <f>IFERROR(__xludf.DUMMYFUNCTION("""COMPUTED_VALUE"""),0.0)</f>
        <v>0</v>
      </c>
      <c r="S1659" s="3"/>
      <c r="T1659" s="5"/>
      <c r="U1659" s="5"/>
      <c r="V1659" s="5"/>
      <c r="W1659" s="5"/>
    </row>
    <row r="1660" ht="15.75" customHeight="1">
      <c r="A1660" s="3">
        <f>IFERROR(__xludf.DUMMYFUNCTION("""COMPUTED_VALUE"""),1660.0)</f>
        <v>1660</v>
      </c>
      <c r="B1660" s="53">
        <f>IFERROR(__xludf.DUMMYFUNCTION("""COMPUTED_VALUE"""),45840.0)</f>
        <v>45840</v>
      </c>
      <c r="C1660" s="3">
        <f>IFERROR(__xludf.DUMMYFUNCTION("""COMPUTED_VALUE"""),89.0)</f>
        <v>89</v>
      </c>
      <c r="D1660" s="3" t="str">
        <f>IFERROR(__xludf.DUMMYFUNCTION("""COMPUTED_VALUE"""),"eed09ba0")</f>
        <v>eed09ba0</v>
      </c>
      <c r="E1660" s="54">
        <f>IFERROR(__xludf.DUMMYFUNCTION("""COMPUTED_VALUE"""),83500.0)</f>
        <v>83500</v>
      </c>
      <c r="F1660" s="3" t="str">
        <f>IFERROR(__xludf.DUMMYFUNCTION("""COMPUTED_VALUE"""),"Syrah Tempranillo")</f>
        <v>Syrah Tempranillo</v>
      </c>
      <c r="G1660" s="3"/>
      <c r="H1660" s="3"/>
      <c r="I1660" s="3"/>
      <c r="J1660" s="3"/>
      <c r="K1660" s="3"/>
      <c r="L1660" s="54">
        <f>IFERROR(__xludf.DUMMYFUNCTION("""COMPUTED_VALUE"""),35.0)</f>
        <v>35</v>
      </c>
      <c r="M1660" s="3">
        <f>IFERROR(__xludf.DUMMYFUNCTION("""COMPUTED_VALUE"""),134.0)</f>
        <v>134</v>
      </c>
      <c r="N1660" s="3"/>
      <c r="O1660" s="3"/>
      <c r="P1660" s="3"/>
      <c r="Q1660" s="3"/>
      <c r="R1660" s="3">
        <f>IFERROR(__xludf.DUMMYFUNCTION("""COMPUTED_VALUE"""),0.0)</f>
        <v>0</v>
      </c>
      <c r="S1660" s="3"/>
      <c r="T1660" s="5"/>
      <c r="U1660" s="5"/>
      <c r="V1660" s="5"/>
      <c r="W1660" s="5"/>
    </row>
    <row r="1661" ht="15.75" customHeight="1">
      <c r="A1661" s="3">
        <f>IFERROR(__xludf.DUMMYFUNCTION("""COMPUTED_VALUE"""),1661.0)</f>
        <v>1661</v>
      </c>
      <c r="B1661" s="53">
        <f>IFERROR(__xludf.DUMMYFUNCTION("""COMPUTED_VALUE"""),45840.0)</f>
        <v>45840</v>
      </c>
      <c r="C1661" s="3">
        <f>IFERROR(__xludf.DUMMYFUNCTION("""COMPUTED_VALUE"""),90.0)</f>
        <v>90</v>
      </c>
      <c r="D1661" s="3" t="str">
        <f>IFERROR(__xludf.DUMMYFUNCTION("""COMPUTED_VALUE"""),"e62f11a1")</f>
        <v>e62f11a1</v>
      </c>
      <c r="E1661" s="54">
        <f>IFERROR(__xludf.DUMMYFUNCTION("""COMPUTED_VALUE"""),97500.0)</f>
        <v>97500</v>
      </c>
      <c r="F1661" s="3" t="str">
        <f>IFERROR(__xludf.DUMMYFUNCTION("""COMPUTED_VALUE"""),"Bonarda")</f>
        <v>Bonarda</v>
      </c>
      <c r="G1661" s="3"/>
      <c r="H1661" s="3"/>
      <c r="I1661" s="3"/>
      <c r="J1661" s="3"/>
      <c r="K1661" s="3"/>
      <c r="L1661" s="54">
        <f>IFERROR(__xludf.DUMMYFUNCTION("""COMPUTED_VALUE"""),35.0)</f>
        <v>35</v>
      </c>
      <c r="M1661" s="3">
        <f>IFERROR(__xludf.DUMMYFUNCTION("""COMPUTED_VALUE"""),135.0)</f>
        <v>135</v>
      </c>
      <c r="N1661" s="3"/>
      <c r="O1661" s="3"/>
      <c r="P1661" s="3"/>
      <c r="Q1661" s="3"/>
      <c r="R1661" s="3">
        <f>IFERROR(__xludf.DUMMYFUNCTION("""COMPUTED_VALUE"""),0.0)</f>
        <v>0</v>
      </c>
      <c r="S1661" s="3"/>
      <c r="T1661" s="5"/>
      <c r="U1661" s="5"/>
      <c r="V1661" s="5"/>
      <c r="W1661" s="5"/>
    </row>
    <row r="1662" ht="15.75" customHeight="1">
      <c r="A1662" s="3">
        <f>IFERROR(__xludf.DUMMYFUNCTION("""COMPUTED_VALUE"""),1662.0)</f>
        <v>1662</v>
      </c>
      <c r="B1662" s="53">
        <f>IFERROR(__xludf.DUMMYFUNCTION("""COMPUTED_VALUE"""),45840.0)</f>
        <v>45840</v>
      </c>
      <c r="C1662" s="3">
        <f>IFERROR(__xludf.DUMMYFUNCTION("""COMPUTED_VALUE"""),107.0)</f>
        <v>107</v>
      </c>
      <c r="D1662" s="3" t="str">
        <f>IFERROR(__xludf.DUMMYFUNCTION("""COMPUTED_VALUE"""),"3f5178fd")</f>
        <v>3f5178fd</v>
      </c>
      <c r="E1662" s="54">
        <f>IFERROR(__xludf.DUMMYFUNCTION("""COMPUTED_VALUE"""),31000.0)</f>
        <v>31000</v>
      </c>
      <c r="F1662" s="3" t="str">
        <f>IFERROR(__xludf.DUMMYFUNCTION("""COMPUTED_VALUE"""),"Bonarda")</f>
        <v>Bonarda</v>
      </c>
      <c r="G1662" s="3"/>
      <c r="H1662" s="3"/>
      <c r="I1662" s="3"/>
      <c r="J1662" s="3"/>
      <c r="K1662" s="3"/>
      <c r="L1662" s="54">
        <f>IFERROR(__xludf.DUMMYFUNCTION("""COMPUTED_VALUE"""),38.0)</f>
        <v>38</v>
      </c>
      <c r="M1662" s="3">
        <f>IFERROR(__xludf.DUMMYFUNCTION("""COMPUTED_VALUE"""),173.0)</f>
        <v>173</v>
      </c>
      <c r="N1662" s="3"/>
      <c r="O1662" s="3"/>
      <c r="P1662" s="3"/>
      <c r="Q1662" s="3"/>
      <c r="R1662" s="3">
        <f>IFERROR(__xludf.DUMMYFUNCTION("""COMPUTED_VALUE"""),0.0)</f>
        <v>0</v>
      </c>
      <c r="S1662" s="3"/>
      <c r="T1662" s="5"/>
      <c r="U1662" s="5"/>
      <c r="V1662" s="5"/>
      <c r="W1662" s="5"/>
    </row>
    <row r="1663" ht="15.75" customHeight="1">
      <c r="A1663" s="3">
        <f>IFERROR(__xludf.DUMMYFUNCTION("""COMPUTED_VALUE"""),1663.0)</f>
        <v>1663</v>
      </c>
      <c r="B1663" s="53">
        <f>IFERROR(__xludf.DUMMYFUNCTION("""COMPUTED_VALUE"""),45840.0)</f>
        <v>45840</v>
      </c>
      <c r="C1663" s="3">
        <f>IFERROR(__xludf.DUMMYFUNCTION("""COMPUTED_VALUE"""),115.0)</f>
        <v>115</v>
      </c>
      <c r="D1663" s="3" t="str">
        <f>IFERROR(__xludf.DUMMYFUNCTION("""COMPUTED_VALUE"""),"5b15cadb")</f>
        <v>5b15cadb</v>
      </c>
      <c r="E1663" s="54">
        <f>IFERROR(__xludf.DUMMYFUNCTION("""COMPUTED_VALUE"""),120200.0)</f>
        <v>120200</v>
      </c>
      <c r="F1663" s="3" t="str">
        <f>IFERROR(__xludf.DUMMYFUNCTION("""COMPUTED_VALUE"""),"Tinto")</f>
        <v>Tinto</v>
      </c>
      <c r="G1663" s="3"/>
      <c r="H1663" s="3"/>
      <c r="I1663" s="3"/>
      <c r="J1663" s="3"/>
      <c r="K1663" s="3"/>
      <c r="L1663" s="54">
        <f>IFERROR(__xludf.DUMMYFUNCTION("""COMPUTED_VALUE"""),23.0)</f>
        <v>23</v>
      </c>
      <c r="M1663" s="3">
        <f>IFERROR(__xludf.DUMMYFUNCTION("""COMPUTED_VALUE"""),165.0)</f>
        <v>165</v>
      </c>
      <c r="N1663" s="3"/>
      <c r="O1663" s="3"/>
      <c r="P1663" s="3"/>
      <c r="Q1663" s="3"/>
      <c r="R1663" s="3">
        <f>IFERROR(__xludf.DUMMYFUNCTION("""COMPUTED_VALUE"""),0.0)</f>
        <v>0</v>
      </c>
      <c r="S1663" s="3"/>
      <c r="T1663" s="5"/>
      <c r="U1663" s="5"/>
      <c r="V1663" s="5"/>
      <c r="W1663" s="5"/>
    </row>
    <row r="1664" ht="15.75" customHeight="1">
      <c r="A1664" s="3">
        <f>IFERROR(__xludf.DUMMYFUNCTION("""COMPUTED_VALUE"""),1664.0)</f>
        <v>1664</v>
      </c>
      <c r="B1664" s="53">
        <f>IFERROR(__xludf.DUMMYFUNCTION("""COMPUTED_VALUE"""),45840.0)</f>
        <v>45840</v>
      </c>
      <c r="C1664" s="3">
        <f>IFERROR(__xludf.DUMMYFUNCTION("""COMPUTED_VALUE"""),118.0)</f>
        <v>118</v>
      </c>
      <c r="D1664" s="3" t="str">
        <f>IFERROR(__xludf.DUMMYFUNCTION("""COMPUTED_VALUE"""),"ea27bb38")</f>
        <v>ea27bb38</v>
      </c>
      <c r="E1664" s="54">
        <f>IFERROR(__xludf.DUMMYFUNCTION("""COMPUTED_VALUE"""),154720.0)</f>
        <v>154720</v>
      </c>
      <c r="F1664" s="3" t="str">
        <f>IFERROR(__xludf.DUMMYFUNCTION("""COMPUTED_VALUE"""),"Cabernet Sauvignon")</f>
        <v>Cabernet Sauvignon</v>
      </c>
      <c r="G1664" s="3"/>
      <c r="H1664" s="3"/>
      <c r="I1664" s="3"/>
      <c r="J1664" s="3"/>
      <c r="K1664" s="3"/>
      <c r="L1664" s="54">
        <f>IFERROR(__xludf.DUMMYFUNCTION("""COMPUTED_VALUE"""),25.0)</f>
        <v>25</v>
      </c>
      <c r="M1664" s="3">
        <f>IFERROR(__xludf.DUMMYFUNCTION("""COMPUTED_VALUE"""),146.0)</f>
        <v>146</v>
      </c>
      <c r="N1664" s="3"/>
      <c r="O1664" s="3"/>
      <c r="P1664" s="3"/>
      <c r="Q1664" s="3"/>
      <c r="R1664" s="3">
        <f>IFERROR(__xludf.DUMMYFUNCTION("""COMPUTED_VALUE"""),0.0)</f>
        <v>0</v>
      </c>
      <c r="S1664" s="3"/>
      <c r="T1664" s="5"/>
      <c r="U1664" s="5"/>
      <c r="V1664" s="5"/>
      <c r="W1664" s="5"/>
    </row>
    <row r="1665" ht="15.75" customHeight="1">
      <c r="A1665" s="3">
        <f>IFERROR(__xludf.DUMMYFUNCTION("""COMPUTED_VALUE"""),1665.0)</f>
        <v>1665</v>
      </c>
      <c r="B1665" s="53">
        <f>IFERROR(__xludf.DUMMYFUNCTION("""COMPUTED_VALUE"""),45838.0)</f>
        <v>45838</v>
      </c>
      <c r="C1665" s="3">
        <f>IFERROR(__xludf.DUMMYFUNCTION("""COMPUTED_VALUE"""),82.0)</f>
        <v>82</v>
      </c>
      <c r="D1665" s="3" t="str">
        <f>IFERROR(__xludf.DUMMYFUNCTION("""COMPUTED_VALUE"""),"539224d6")</f>
        <v>539224d6</v>
      </c>
      <c r="E1665" s="54">
        <f>IFERROR(__xludf.DUMMYFUNCTION("""COMPUTED_VALUE"""),42600.0)</f>
        <v>42600</v>
      </c>
      <c r="F1665" s="3" t="str">
        <f>IFERROR(__xludf.DUMMYFUNCTION("""COMPUTED_VALUE"""),"Tinto")</f>
        <v>Tinto</v>
      </c>
      <c r="G1665" s="55">
        <f>IFERROR(__xludf.DUMMYFUNCTION("""COMPUTED_VALUE"""),13.8)</f>
        <v>13.8</v>
      </c>
      <c r="H1665" s="56">
        <f>IFERROR(__xludf.DUMMYFUNCTION("""COMPUTED_VALUE"""),2.5)</f>
        <v>2.5</v>
      </c>
      <c r="I1665" s="57">
        <f>IFERROR(__xludf.DUMMYFUNCTION("""COMPUTED_VALUE"""),0.56)</f>
        <v>0.56</v>
      </c>
      <c r="J1665" s="57">
        <f>IFERROR(__xludf.DUMMYFUNCTION("""COMPUTED_VALUE"""),5.35)</f>
        <v>5.35</v>
      </c>
      <c r="K1665" s="57">
        <f>IFERROR(__xludf.DUMMYFUNCTION("""COMPUTED_VALUE"""),3.66)</f>
        <v>3.66</v>
      </c>
      <c r="L1665" s="54">
        <f>IFERROR(__xludf.DUMMYFUNCTION("""COMPUTED_VALUE"""),30.0)</f>
        <v>30</v>
      </c>
      <c r="M1665" s="3">
        <f>IFERROR(__xludf.DUMMYFUNCTION("""COMPUTED_VALUE"""),170.0)</f>
        <v>170</v>
      </c>
      <c r="N1665" s="3"/>
      <c r="O1665" s="3"/>
      <c r="P1665" s="3"/>
      <c r="Q1665" s="3"/>
      <c r="R1665" s="3">
        <f>IFERROR(__xludf.DUMMYFUNCTION("""COMPUTED_VALUE"""),0.0)</f>
        <v>0</v>
      </c>
      <c r="S1665" s="3"/>
      <c r="T1665" s="5"/>
      <c r="U1665" s="5"/>
      <c r="V1665" s="5"/>
      <c r="W1665" s="5"/>
    </row>
    <row r="1666" ht="15.75" customHeight="1">
      <c r="A1666" s="3">
        <f>IFERROR(__xludf.DUMMYFUNCTION("""COMPUTED_VALUE"""),1666.0)</f>
        <v>1666</v>
      </c>
      <c r="B1666" s="53">
        <f>IFERROR(__xludf.DUMMYFUNCTION("""COMPUTED_VALUE"""),45840.0)</f>
        <v>45840</v>
      </c>
      <c r="C1666" s="3">
        <f>IFERROR(__xludf.DUMMYFUNCTION("""COMPUTED_VALUE"""),12.0)</f>
        <v>12</v>
      </c>
      <c r="D1666" s="3" t="str">
        <f>IFERROR(__xludf.DUMMYFUNCTION("""COMPUTED_VALUE"""),"c441bbfa")</f>
        <v>c441bbfa</v>
      </c>
      <c r="E1666" s="54">
        <f>IFERROR(__xludf.DUMMYFUNCTION("""COMPUTED_VALUE"""),20000.0)</f>
        <v>20000</v>
      </c>
      <c r="F1666" s="3" t="str">
        <f>IFERROR(__xludf.DUMMYFUNCTION("""COMPUTED_VALUE"""),"Claro de Filtro")</f>
        <v>Claro de Filtro</v>
      </c>
      <c r="G1666" s="3"/>
      <c r="H1666" s="3"/>
      <c r="I1666" s="57">
        <f>IFERROR(__xludf.DUMMYFUNCTION("""COMPUTED_VALUE"""),0.71)</f>
        <v>0.71</v>
      </c>
      <c r="J1666" s="3"/>
      <c r="K1666" s="3"/>
      <c r="L1666" s="54">
        <f>IFERROR(__xludf.DUMMYFUNCTION("""COMPUTED_VALUE"""),43.0)</f>
        <v>43</v>
      </c>
      <c r="M1666" s="3"/>
      <c r="N1666" s="3"/>
      <c r="O1666" s="3"/>
      <c r="P1666" s="3"/>
      <c r="Q1666" s="3"/>
      <c r="R1666" s="3">
        <f>IFERROR(__xludf.DUMMYFUNCTION("""COMPUTED_VALUE"""),0.0)</f>
        <v>0</v>
      </c>
      <c r="S1666" s="3"/>
      <c r="T1666" s="5"/>
      <c r="U1666" s="5"/>
      <c r="V1666" s="5"/>
      <c r="W1666" s="5"/>
    </row>
    <row r="1667" ht="15.75" customHeight="1">
      <c r="A1667" s="3">
        <f>IFERROR(__xludf.DUMMYFUNCTION("""COMPUTED_VALUE"""),1667.0)</f>
        <v>1667</v>
      </c>
      <c r="B1667" s="53">
        <f>IFERROR(__xludf.DUMMYFUNCTION("""COMPUTED_VALUE"""),45840.0)</f>
        <v>45840</v>
      </c>
      <c r="C1667" s="3">
        <f>IFERROR(__xludf.DUMMYFUNCTION("""COMPUTED_VALUE"""),30.0)</f>
        <v>30</v>
      </c>
      <c r="D1667" s="3" t="str">
        <f>IFERROR(__xludf.DUMMYFUNCTION("""COMPUTED_VALUE"""),"eec28962")</f>
        <v>eec28962</v>
      </c>
      <c r="E1667" s="54">
        <f>IFERROR(__xludf.DUMMYFUNCTION("""COMPUTED_VALUE"""),38800.0)</f>
        <v>38800</v>
      </c>
      <c r="F1667" s="3" t="str">
        <f>IFERROR(__xludf.DUMMYFUNCTION("""COMPUTED_VALUE"""),"Aspirant 24")</f>
        <v>Aspirant 24</v>
      </c>
      <c r="G1667" s="55">
        <f>IFERROR(__xludf.DUMMYFUNCTION("""COMPUTED_VALUE"""),11.8)</f>
        <v>11.8</v>
      </c>
      <c r="H1667" s="56">
        <f>IFERROR(__xludf.DUMMYFUNCTION("""COMPUTED_VALUE"""),2.3)</f>
        <v>2.3</v>
      </c>
      <c r="I1667" s="57">
        <f>IFERROR(__xludf.DUMMYFUNCTION("""COMPUTED_VALUE"""),0.35)</f>
        <v>0.35</v>
      </c>
      <c r="J1667" s="57">
        <f>IFERROR(__xludf.DUMMYFUNCTION("""COMPUTED_VALUE"""),5.7)</f>
        <v>5.7</v>
      </c>
      <c r="K1667" s="57">
        <f>IFERROR(__xludf.DUMMYFUNCTION("""COMPUTED_VALUE"""),3.43)</f>
        <v>3.43</v>
      </c>
      <c r="L1667" s="54">
        <f>IFERROR(__xludf.DUMMYFUNCTION("""COMPUTED_VALUE"""),38.0)</f>
        <v>38</v>
      </c>
      <c r="M1667" s="3">
        <f>IFERROR(__xludf.DUMMYFUNCTION("""COMPUTED_VALUE"""),100.0)</f>
        <v>100</v>
      </c>
      <c r="N1667" s="3"/>
      <c r="O1667" s="3"/>
      <c r="P1667" s="3"/>
      <c r="Q1667" s="3"/>
      <c r="R1667" s="3">
        <f>IFERROR(__xludf.DUMMYFUNCTION("""COMPUTED_VALUE"""),0.0)</f>
        <v>0</v>
      </c>
      <c r="S1667" s="3"/>
      <c r="T1667" s="5"/>
      <c r="U1667" s="5"/>
      <c r="V1667" s="5"/>
      <c r="W1667" s="5"/>
    </row>
    <row r="1668" ht="15.75" customHeight="1">
      <c r="A1668" s="3">
        <f>IFERROR(__xludf.DUMMYFUNCTION("""COMPUTED_VALUE"""),1668.0)</f>
        <v>1668</v>
      </c>
      <c r="B1668" s="53">
        <f>IFERROR(__xludf.DUMMYFUNCTION("""COMPUTED_VALUE"""),45842.0)</f>
        <v>45842</v>
      </c>
      <c r="C1668" s="3">
        <f>IFERROR(__xludf.DUMMYFUNCTION("""COMPUTED_VALUE"""),118.0)</f>
        <v>118</v>
      </c>
      <c r="D1668" s="3" t="str">
        <f>IFERROR(__xludf.DUMMYFUNCTION("""COMPUTED_VALUE"""),"ea27bb38")</f>
        <v>ea27bb38</v>
      </c>
      <c r="E1668" s="54">
        <f>IFERROR(__xludf.DUMMYFUNCTION("""COMPUTED_VALUE"""),154720.0)</f>
        <v>154720</v>
      </c>
      <c r="F1668" s="3" t="str">
        <f>IFERROR(__xludf.DUMMYFUNCTION("""COMPUTED_VALUE"""),"Cabernet Sauvignon")</f>
        <v>Cabernet Sauvignon</v>
      </c>
      <c r="G1668" s="3"/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>
        <f>IFERROR(__xludf.DUMMYFUNCTION("""COMPUTED_VALUE"""),0.0)</f>
        <v>0</v>
      </c>
      <c r="S1668" s="3"/>
      <c r="T1668" s="5"/>
      <c r="U1668" s="5"/>
      <c r="V1668" s="5"/>
      <c r="W1668" s="5"/>
    </row>
    <row r="1669" ht="15.75" customHeight="1">
      <c r="A1669" s="3">
        <f>IFERROR(__xludf.DUMMYFUNCTION("""COMPUTED_VALUE"""),1669.0)</f>
        <v>1669</v>
      </c>
      <c r="B1669" s="53">
        <f>IFERROR(__xludf.DUMMYFUNCTION("""COMPUTED_VALUE"""),45842.0)</f>
        <v>45842</v>
      </c>
      <c r="C1669" s="3">
        <f>IFERROR(__xludf.DUMMYFUNCTION("""COMPUTED_VALUE"""),86.0)</f>
        <v>86</v>
      </c>
      <c r="D1669" s="3" t="str">
        <f>IFERROR(__xludf.DUMMYFUNCTION("""COMPUTED_VALUE"""),"aa02cc0a")</f>
        <v>aa02cc0a</v>
      </c>
      <c r="E1669" s="54">
        <f>IFERROR(__xludf.DUMMYFUNCTION("""COMPUTED_VALUE"""),88000.0)</f>
        <v>88000</v>
      </c>
      <c r="F1669" s="3" t="str">
        <f>IFERROR(__xludf.DUMMYFUNCTION("""COMPUTED_VALUE"""),"Syrah")</f>
        <v>Syrah</v>
      </c>
      <c r="G1669" s="3"/>
      <c r="H1669" s="3"/>
      <c r="I1669" s="3"/>
      <c r="J1669" s="3"/>
      <c r="K1669" s="3"/>
      <c r="L1669" s="3"/>
      <c r="M1669" s="3"/>
      <c r="N1669" s="3"/>
      <c r="O1669" s="3">
        <f>IFERROR(__xludf.DUMMYFUNCTION("""COMPUTED_VALUE"""),318.0)</f>
        <v>318</v>
      </c>
      <c r="P1669" s="3">
        <f>IFERROR(__xludf.DUMMYFUNCTION("""COMPUTED_VALUE"""),470.0)</f>
        <v>470</v>
      </c>
      <c r="Q1669" s="3"/>
      <c r="R1669" s="3">
        <f>IFERROR(__xludf.DUMMYFUNCTION("""COMPUTED_VALUE"""),788.0)</f>
        <v>788</v>
      </c>
      <c r="S1669" s="54">
        <f>IFERROR(__xludf.DUMMYFUNCTION("""COMPUTED_VALUE"""),1164.6540880503146)</f>
        <v>1164.654088</v>
      </c>
      <c r="T1669" s="5"/>
      <c r="U1669" s="5"/>
      <c r="V1669" s="5"/>
      <c r="W1669" s="5"/>
    </row>
    <row r="1670" ht="15.75" customHeight="1">
      <c r="A1670" s="3">
        <f>IFERROR(__xludf.DUMMYFUNCTION("""COMPUTED_VALUE"""),1670.0)</f>
        <v>1670</v>
      </c>
      <c r="B1670" s="53">
        <f>IFERROR(__xludf.DUMMYFUNCTION("""COMPUTED_VALUE"""),45842.0)</f>
        <v>45842</v>
      </c>
      <c r="C1670" s="3">
        <f>IFERROR(__xludf.DUMMYFUNCTION("""COMPUTED_VALUE"""),115.0)</f>
        <v>115</v>
      </c>
      <c r="D1670" s="3" t="str">
        <f>IFERROR(__xludf.DUMMYFUNCTION("""COMPUTED_VALUE"""),"5b15cadb")</f>
        <v>5b15cadb</v>
      </c>
      <c r="E1670" s="54">
        <f>IFERROR(__xludf.DUMMYFUNCTION("""COMPUTED_VALUE"""),120200.0)</f>
        <v>120200</v>
      </c>
      <c r="F1670" s="3" t="str">
        <f>IFERROR(__xludf.DUMMYFUNCTION("""COMPUTED_VALUE"""),"Tinto")</f>
        <v>Tinto</v>
      </c>
      <c r="G1670" s="3"/>
      <c r="H1670" s="3"/>
      <c r="I1670" s="3"/>
      <c r="J1670" s="3"/>
      <c r="K1670" s="3"/>
      <c r="L1670" s="3"/>
      <c r="M1670" s="3"/>
      <c r="N1670" s="3"/>
      <c r="O1670" s="3">
        <f>IFERROR(__xludf.DUMMYFUNCTION("""COMPUTED_VALUE"""),182.0)</f>
        <v>182</v>
      </c>
      <c r="P1670" s="3">
        <f>IFERROR(__xludf.DUMMYFUNCTION("""COMPUTED_VALUE"""),271.0)</f>
        <v>271</v>
      </c>
      <c r="Q1670" s="3"/>
      <c r="R1670" s="3">
        <f>IFERROR(__xludf.DUMMYFUNCTION("""COMPUTED_VALUE"""),453.0)</f>
        <v>453</v>
      </c>
      <c r="S1670" s="54">
        <f>IFERROR(__xludf.DUMMYFUNCTION("""COMPUTED_VALUE"""),674.521978021978)</f>
        <v>674.521978</v>
      </c>
      <c r="T1670" s="5"/>
      <c r="U1670" s="5"/>
      <c r="V1670" s="5"/>
      <c r="W1670" s="5"/>
    </row>
    <row r="1671" ht="15.75" customHeight="1">
      <c r="A1671" s="3">
        <f>IFERROR(__xludf.DUMMYFUNCTION("""COMPUTED_VALUE"""),1671.0)</f>
        <v>1671</v>
      </c>
      <c r="B1671" s="53">
        <f>IFERROR(__xludf.DUMMYFUNCTION("""COMPUTED_VALUE"""),45846.0)</f>
        <v>45846</v>
      </c>
      <c r="C1671" s="3">
        <f>IFERROR(__xludf.DUMMYFUNCTION("""COMPUTED_VALUE"""),25.0)</f>
        <v>25</v>
      </c>
      <c r="D1671" s="3" t="str">
        <f>IFERROR(__xludf.DUMMYFUNCTION("""COMPUTED_VALUE"""),"d8fb0b2f")</f>
        <v>d8fb0b2f</v>
      </c>
      <c r="E1671" s="54">
        <f>IFERROR(__xludf.DUMMYFUNCTION("""COMPUTED_VALUE"""),194300.0)</f>
        <v>194300</v>
      </c>
      <c r="F1671" s="3" t="str">
        <f>IFERROR(__xludf.DUMMYFUNCTION("""COMPUTED_VALUE"""),"Syrah")</f>
        <v>Syrah</v>
      </c>
      <c r="G1671" s="3"/>
      <c r="H1671" s="3"/>
      <c r="I1671" s="3"/>
      <c r="J1671" s="3"/>
      <c r="K1671" s="3"/>
      <c r="L1671" s="54">
        <f>IFERROR(__xludf.DUMMYFUNCTION("""COMPUTED_VALUE"""),40.0)</f>
        <v>40</v>
      </c>
      <c r="M1671" s="3">
        <f>IFERROR(__xludf.DUMMYFUNCTION("""COMPUTED_VALUE"""),134.0)</f>
        <v>134</v>
      </c>
      <c r="N1671" s="3"/>
      <c r="O1671" s="3">
        <f>IFERROR(__xludf.DUMMYFUNCTION("""COMPUTED_VALUE"""),3.1)</f>
        <v>3.1</v>
      </c>
      <c r="P1671" s="3"/>
      <c r="Q1671" s="3"/>
      <c r="R1671" s="3"/>
      <c r="S1671" s="3"/>
      <c r="T1671" s="5"/>
      <c r="U1671" s="5"/>
      <c r="V1671" s="5"/>
      <c r="W1671" s="5"/>
    </row>
    <row r="1672" ht="15.75" customHeight="1">
      <c r="A1672" s="3">
        <f>IFERROR(__xludf.DUMMYFUNCTION("""COMPUTED_VALUE"""),1672.0)</f>
        <v>1672</v>
      </c>
      <c r="B1672" s="53">
        <f>IFERROR(__xludf.DUMMYFUNCTION("""COMPUTED_VALUE"""),45846.0)</f>
        <v>45846</v>
      </c>
      <c r="C1672" s="3">
        <f>IFERROR(__xludf.DUMMYFUNCTION("""COMPUTED_VALUE"""),115.0)</f>
        <v>115</v>
      </c>
      <c r="D1672" s="3" t="str">
        <f>IFERROR(__xludf.DUMMYFUNCTION("""COMPUTED_VALUE"""),"5b15cadb")</f>
        <v>5b15cadb</v>
      </c>
      <c r="E1672" s="54">
        <f>IFERROR(__xludf.DUMMYFUNCTION("""COMPUTED_VALUE"""),120200.0)</f>
        <v>120200</v>
      </c>
      <c r="F1672" s="3" t="str">
        <f>IFERROR(__xludf.DUMMYFUNCTION("""COMPUTED_VALUE"""),"Tinto")</f>
        <v>Tinto</v>
      </c>
      <c r="G1672" s="3"/>
      <c r="H1672" s="3"/>
      <c r="I1672" s="3"/>
      <c r="J1672" s="3"/>
      <c r="K1672" s="3"/>
      <c r="L1672" s="54">
        <f>IFERROR(__xludf.DUMMYFUNCTION("""COMPUTED_VALUE"""),31.0)</f>
        <v>31</v>
      </c>
      <c r="M1672" s="3">
        <f>IFERROR(__xludf.DUMMYFUNCTION("""COMPUTED_VALUE"""),180.0)</f>
        <v>180</v>
      </c>
      <c r="N1672" s="3"/>
      <c r="O1672" s="3">
        <f>IFERROR(__xludf.DUMMYFUNCTION("""COMPUTED_VALUE"""),5.5)</f>
        <v>5.5</v>
      </c>
      <c r="P1672" s="3">
        <f>IFERROR(__xludf.DUMMYFUNCTION("""COMPUTED_VALUE"""),2.4)</f>
        <v>2.4</v>
      </c>
      <c r="Q1672" s="3">
        <f>IFERROR(__xludf.DUMMYFUNCTION("""COMPUTED_VALUE"""),30.72)</f>
        <v>30.72</v>
      </c>
      <c r="R1672" s="3"/>
      <c r="S1672" s="54">
        <f>IFERROR(__xludf.DUMMYFUNCTION("""COMPUTED_VALUE"""),0.0)</f>
        <v>0</v>
      </c>
      <c r="T1672" s="5"/>
      <c r="U1672" s="5"/>
      <c r="V1672" s="5"/>
      <c r="W1672" s="5"/>
    </row>
    <row r="1673" ht="15.75" customHeight="1">
      <c r="A1673" s="3">
        <f>IFERROR(__xludf.DUMMYFUNCTION("""COMPUTED_VALUE"""),1673.0)</f>
        <v>1673</v>
      </c>
      <c r="B1673" s="53">
        <f>IFERROR(__xludf.DUMMYFUNCTION("""COMPUTED_VALUE"""),45846.0)</f>
        <v>45846</v>
      </c>
      <c r="C1673" s="3">
        <f>IFERROR(__xludf.DUMMYFUNCTION("""COMPUTED_VALUE"""),26.0)</f>
        <v>26</v>
      </c>
      <c r="D1673" s="3" t="str">
        <f>IFERROR(__xludf.DUMMYFUNCTION("""COMPUTED_VALUE"""),"a37dae6b")</f>
        <v>a37dae6b</v>
      </c>
      <c r="E1673" s="54">
        <f>IFERROR(__xludf.DUMMYFUNCTION("""COMPUTED_VALUE"""),207600.0)</f>
        <v>207600</v>
      </c>
      <c r="F1673" s="3" t="str">
        <f>IFERROR(__xludf.DUMMYFUNCTION("""COMPUTED_VALUE"""),"Tinto")</f>
        <v>Tinto</v>
      </c>
      <c r="G1673" s="3"/>
      <c r="H1673" s="3"/>
      <c r="I1673" s="3"/>
      <c r="J1673" s="3"/>
      <c r="K1673" s="3"/>
      <c r="L1673" s="54">
        <f>IFERROR(__xludf.DUMMYFUNCTION("""COMPUTED_VALUE"""),25.0)</f>
        <v>25</v>
      </c>
      <c r="M1673" s="3">
        <f>IFERROR(__xludf.DUMMYFUNCTION("""COMPUTED_VALUE"""),185.0)</f>
        <v>185</v>
      </c>
      <c r="N1673" s="3"/>
      <c r="O1673" s="3">
        <f>IFERROR(__xludf.DUMMYFUNCTION("""COMPUTED_VALUE"""),7.5)</f>
        <v>7.5</v>
      </c>
      <c r="P1673" s="3">
        <f>IFERROR(__xludf.DUMMYFUNCTION("""COMPUTED_VALUE"""),2.0)</f>
        <v>2</v>
      </c>
      <c r="Q1673" s="3">
        <f>IFERROR(__xludf.DUMMYFUNCTION("""COMPUTED_VALUE"""),25.6)</f>
        <v>25.6</v>
      </c>
      <c r="R1673" s="3"/>
      <c r="S1673" s="54">
        <f>IFERROR(__xludf.DUMMYFUNCTION("""COMPUTED_VALUE"""),0.0)</f>
        <v>0</v>
      </c>
      <c r="T1673" s="5"/>
      <c r="U1673" s="5"/>
      <c r="V1673" s="5"/>
      <c r="W1673" s="5"/>
    </row>
    <row r="1674" ht="15.75" customHeight="1">
      <c r="A1674" s="3">
        <f>IFERROR(__xludf.DUMMYFUNCTION("""COMPUTED_VALUE"""),1674.0)</f>
        <v>1674</v>
      </c>
      <c r="B1674" s="53">
        <f>IFERROR(__xludf.DUMMYFUNCTION("""COMPUTED_VALUE"""),45846.0)</f>
        <v>45846</v>
      </c>
      <c r="C1674" s="3">
        <f>IFERROR(__xludf.DUMMYFUNCTION("""COMPUTED_VALUE"""),90.0)</f>
        <v>90</v>
      </c>
      <c r="D1674" s="3" t="str">
        <f>IFERROR(__xludf.DUMMYFUNCTION("""COMPUTED_VALUE"""),"e62f11a1")</f>
        <v>e62f11a1</v>
      </c>
      <c r="E1674" s="54">
        <f>IFERROR(__xludf.DUMMYFUNCTION("""COMPUTED_VALUE"""),97500.0)</f>
        <v>97500</v>
      </c>
      <c r="F1674" s="3" t="str">
        <f>IFERROR(__xludf.DUMMYFUNCTION("""COMPUTED_VALUE"""),"Bonarda")</f>
        <v>Bonarda</v>
      </c>
      <c r="G1674" s="3"/>
      <c r="H1674" s="3"/>
      <c r="I1674" s="3"/>
      <c r="J1674" s="3"/>
      <c r="K1674" s="3"/>
      <c r="L1674" s="54">
        <f>IFERROR(__xludf.DUMMYFUNCTION("""COMPUTED_VALUE"""),40.0)</f>
        <v>40</v>
      </c>
      <c r="M1674" s="3">
        <f>IFERROR(__xludf.DUMMYFUNCTION("""COMPUTED_VALUE"""),140.0)</f>
        <v>140</v>
      </c>
      <c r="N1674" s="3"/>
      <c r="O1674" s="3">
        <f>IFERROR(__xludf.DUMMYFUNCTION("""COMPUTED_VALUE"""),10.6)</f>
        <v>10.6</v>
      </c>
      <c r="P1674" s="3">
        <f>IFERROR(__xludf.DUMMYFUNCTION("""COMPUTED_VALUE"""),3.0999999999999996)</f>
        <v>3.1</v>
      </c>
      <c r="Q1674" s="3">
        <f>IFERROR(__xludf.DUMMYFUNCTION("""COMPUTED_VALUE"""),39.68)</f>
        <v>39.68</v>
      </c>
      <c r="R1674" s="3"/>
      <c r="S1674" s="54">
        <f>IFERROR(__xludf.DUMMYFUNCTION("""COMPUTED_VALUE"""),0.0)</f>
        <v>0</v>
      </c>
      <c r="T1674" s="5"/>
      <c r="U1674" s="5"/>
      <c r="V1674" s="5"/>
      <c r="W1674" s="5"/>
    </row>
    <row r="1675" ht="15.75" customHeight="1">
      <c r="A1675" s="3">
        <f>IFERROR(__xludf.DUMMYFUNCTION("""COMPUTED_VALUE"""),1675.0)</f>
        <v>1675</v>
      </c>
      <c r="B1675" s="53">
        <f>IFERROR(__xludf.DUMMYFUNCTION("""COMPUTED_VALUE"""),45846.0)</f>
        <v>45846</v>
      </c>
      <c r="C1675" s="3">
        <f>IFERROR(__xludf.DUMMYFUNCTION("""COMPUTED_VALUE"""),30.0)</f>
        <v>30</v>
      </c>
      <c r="D1675" s="3" t="str">
        <f>IFERROR(__xludf.DUMMYFUNCTION("""COMPUTED_VALUE"""),"eec28962")</f>
        <v>eec28962</v>
      </c>
      <c r="E1675" s="54">
        <f>IFERROR(__xludf.DUMMYFUNCTION("""COMPUTED_VALUE"""),38800.0)</f>
        <v>38800</v>
      </c>
      <c r="F1675" s="3" t="str">
        <f>IFERROR(__xludf.DUMMYFUNCTION("""COMPUTED_VALUE"""),"Aspirant 24")</f>
        <v>Aspirant 24</v>
      </c>
      <c r="G1675" s="3"/>
      <c r="H1675" s="3"/>
      <c r="I1675" s="3"/>
      <c r="J1675" s="3"/>
      <c r="K1675" s="3"/>
      <c r="L1675" s="54">
        <f>IFERROR(__xludf.DUMMYFUNCTION("""COMPUTED_VALUE"""),38.0)</f>
        <v>38</v>
      </c>
      <c r="M1675" s="3">
        <f>IFERROR(__xludf.DUMMYFUNCTION("""COMPUTED_VALUE"""),102.0)</f>
        <v>102</v>
      </c>
      <c r="N1675" s="3"/>
      <c r="O1675" s="3">
        <f>IFERROR(__xludf.DUMMYFUNCTION("""COMPUTED_VALUE"""),13.6)</f>
        <v>13.6</v>
      </c>
      <c r="P1675" s="3">
        <f>IFERROR(__xludf.DUMMYFUNCTION("""COMPUTED_VALUE"""),3.0)</f>
        <v>3</v>
      </c>
      <c r="Q1675" s="3">
        <f>IFERROR(__xludf.DUMMYFUNCTION("""COMPUTED_VALUE"""),38.400000000000006)</f>
        <v>38.4</v>
      </c>
      <c r="R1675" s="3"/>
      <c r="S1675" s="54">
        <f>IFERROR(__xludf.DUMMYFUNCTION("""COMPUTED_VALUE"""),0.0)</f>
        <v>0</v>
      </c>
      <c r="T1675" s="5"/>
      <c r="U1675" s="5"/>
      <c r="V1675" s="5"/>
      <c r="W1675" s="5"/>
    </row>
    <row r="1676" ht="15.75" customHeight="1">
      <c r="A1676" s="3">
        <f>IFERROR(__xludf.DUMMYFUNCTION("""COMPUTED_VALUE"""),1676.0)</f>
        <v>1676</v>
      </c>
      <c r="B1676" s="53">
        <f>IFERROR(__xludf.DUMMYFUNCTION("""COMPUTED_VALUE"""),45849.0)</f>
        <v>45849</v>
      </c>
      <c r="C1676" s="3">
        <f>IFERROR(__xludf.DUMMYFUNCTION("""COMPUTED_VALUE"""),11.0)</f>
        <v>11</v>
      </c>
      <c r="D1676" s="3" t="str">
        <f>IFERROR(__xludf.DUMMYFUNCTION("""COMPUTED_VALUE"""),"dcaf5b39")</f>
        <v>dcaf5b39</v>
      </c>
      <c r="E1676" s="54">
        <f>IFERROR(__xludf.DUMMYFUNCTION("""COMPUTED_VALUE"""),36000.0)</f>
        <v>36000</v>
      </c>
      <c r="F1676" s="3" t="str">
        <f>IFERROR(__xludf.DUMMYFUNCTION("""COMPUTED_VALUE"""),"Chardonnay")</f>
        <v>Chardonnay</v>
      </c>
      <c r="G1676" s="3"/>
      <c r="H1676" s="3"/>
      <c r="I1676" s="3"/>
      <c r="J1676" s="3"/>
      <c r="K1676" s="3"/>
      <c r="L1676" s="54">
        <f>IFERROR(__xludf.DUMMYFUNCTION("""COMPUTED_VALUE"""),39.0)</f>
        <v>39</v>
      </c>
      <c r="M1676" s="3">
        <f>IFERROR(__xludf.DUMMYFUNCTION("""COMPUTED_VALUE"""),130.0)</f>
        <v>130</v>
      </c>
      <c r="N1676" s="3"/>
      <c r="O1676" s="3"/>
      <c r="P1676" s="3"/>
      <c r="Q1676" s="3"/>
      <c r="R1676" s="3">
        <f>IFERROR(__xludf.DUMMYFUNCTION("""COMPUTED_VALUE"""),0.0)</f>
        <v>0</v>
      </c>
      <c r="S1676" s="3"/>
      <c r="T1676" s="5"/>
      <c r="U1676" s="5"/>
      <c r="V1676" s="5"/>
      <c r="W1676" s="5"/>
    </row>
    <row r="1677" ht="15.75" customHeight="1">
      <c r="A1677" s="3">
        <f>IFERROR(__xludf.DUMMYFUNCTION("""COMPUTED_VALUE"""),1677.0)</f>
        <v>1677</v>
      </c>
      <c r="B1677" s="53">
        <f>IFERROR(__xludf.DUMMYFUNCTION("""COMPUTED_VALUE"""),45849.0)</f>
        <v>45849</v>
      </c>
      <c r="C1677" s="3">
        <f>IFERROR(__xludf.DUMMYFUNCTION("""COMPUTED_VALUE"""),55.0)</f>
        <v>55</v>
      </c>
      <c r="D1677" s="3" t="str">
        <f>IFERROR(__xludf.DUMMYFUNCTION("""COMPUTED_VALUE"""),"2d412906")</f>
        <v>2d412906</v>
      </c>
      <c r="E1677" s="54">
        <f>IFERROR(__xludf.DUMMYFUNCTION("""COMPUTED_VALUE"""),3000.0)</f>
        <v>3000</v>
      </c>
      <c r="F1677" s="3" t="str">
        <f>IFERROR(__xludf.DUMMYFUNCTION("""COMPUTED_VALUE"""),"Chardonnay")</f>
        <v>Chardonnay</v>
      </c>
      <c r="G1677" s="3"/>
      <c r="H1677" s="3"/>
      <c r="I1677" s="3"/>
      <c r="J1677" s="3"/>
      <c r="K1677" s="3"/>
      <c r="L1677" s="54">
        <f>IFERROR(__xludf.DUMMYFUNCTION("""COMPUTED_VALUE"""),40.0)</f>
        <v>40</v>
      </c>
      <c r="M1677" s="3">
        <f>IFERROR(__xludf.DUMMYFUNCTION("""COMPUTED_VALUE"""),160.0)</f>
        <v>160</v>
      </c>
      <c r="N1677" s="3"/>
      <c r="O1677" s="3"/>
      <c r="P1677" s="3"/>
      <c r="Q1677" s="3"/>
      <c r="R1677" s="3">
        <f>IFERROR(__xludf.DUMMYFUNCTION("""COMPUTED_VALUE"""),0.0)</f>
        <v>0</v>
      </c>
      <c r="S1677" s="3"/>
      <c r="T1677" s="5"/>
      <c r="U1677" s="5"/>
      <c r="V1677" s="5"/>
      <c r="W1677" s="5"/>
    </row>
    <row r="1678" ht="15.75" customHeight="1">
      <c r="A1678" s="3">
        <f>IFERROR(__xludf.DUMMYFUNCTION("""COMPUTED_VALUE"""),1678.0)</f>
        <v>1678</v>
      </c>
      <c r="B1678" s="53">
        <f>IFERROR(__xludf.DUMMYFUNCTION("""COMPUTED_VALUE"""),45849.0)</f>
        <v>45849</v>
      </c>
      <c r="C1678" s="3">
        <f>IFERROR(__xludf.DUMMYFUNCTION("""COMPUTED_VALUE"""),24.0)</f>
        <v>24</v>
      </c>
      <c r="D1678" s="3" t="str">
        <f>IFERROR(__xludf.DUMMYFUNCTION("""COMPUTED_VALUE"""),"b3a40361")</f>
        <v>b3a40361</v>
      </c>
      <c r="E1678" s="54">
        <f>IFERROR(__xludf.DUMMYFUNCTION("""COMPUTED_VALUE"""),186600.0)</f>
        <v>186600</v>
      </c>
      <c r="F1678" s="3" t="str">
        <f>IFERROR(__xludf.DUMMYFUNCTION("""COMPUTED_VALUE"""),"Malbec")</f>
        <v>Malbec</v>
      </c>
      <c r="G1678" s="3"/>
      <c r="H1678" s="3"/>
      <c r="I1678" s="3"/>
      <c r="J1678" s="3"/>
      <c r="K1678" s="3"/>
      <c r="L1678" s="54">
        <f>IFERROR(__xludf.DUMMYFUNCTION("""COMPUTED_VALUE"""),42.0)</f>
        <v>42</v>
      </c>
      <c r="M1678" s="3">
        <f>IFERROR(__xludf.DUMMYFUNCTION("""COMPUTED_VALUE"""),185.0)</f>
        <v>185</v>
      </c>
      <c r="N1678" s="3"/>
      <c r="O1678" s="3"/>
      <c r="P1678" s="3"/>
      <c r="Q1678" s="3"/>
      <c r="R1678" s="3">
        <f>IFERROR(__xludf.DUMMYFUNCTION("""COMPUTED_VALUE"""),0.0)</f>
        <v>0</v>
      </c>
      <c r="S1678" s="3"/>
      <c r="T1678" s="5"/>
      <c r="U1678" s="5"/>
      <c r="V1678" s="5"/>
      <c r="W1678" s="5"/>
    </row>
    <row r="1679" ht="15.75" customHeight="1">
      <c r="A1679" s="3">
        <f>IFERROR(__xludf.DUMMYFUNCTION("""COMPUTED_VALUE"""),1679.0)</f>
        <v>1679</v>
      </c>
      <c r="B1679" s="53">
        <f>IFERROR(__xludf.DUMMYFUNCTION("""COMPUTED_VALUE"""),45849.0)</f>
        <v>45849</v>
      </c>
      <c r="C1679" s="3">
        <f>IFERROR(__xludf.DUMMYFUNCTION("""COMPUTED_VALUE"""),34.0)</f>
        <v>34</v>
      </c>
      <c r="D1679" s="3" t="str">
        <f>IFERROR(__xludf.DUMMYFUNCTION("""COMPUTED_VALUE"""),"08cd1438")</f>
        <v>08cd1438</v>
      </c>
      <c r="E1679" s="54">
        <f>IFERROR(__xludf.DUMMYFUNCTION("""COMPUTED_VALUE"""),39500.0)</f>
        <v>39500</v>
      </c>
      <c r="F1679" s="3" t="str">
        <f>IFERROR(__xludf.DUMMYFUNCTION("""COMPUTED_VALUE"""),"Malbec")</f>
        <v>Malbec</v>
      </c>
      <c r="G1679" s="3"/>
      <c r="H1679" s="3"/>
      <c r="I1679" s="3"/>
      <c r="J1679" s="3"/>
      <c r="K1679" s="3"/>
      <c r="L1679" s="54">
        <f>IFERROR(__xludf.DUMMYFUNCTION("""COMPUTED_VALUE"""),40.0)</f>
        <v>40</v>
      </c>
      <c r="M1679" s="3">
        <f>IFERROR(__xludf.DUMMYFUNCTION("""COMPUTED_VALUE"""),150.0)</f>
        <v>150</v>
      </c>
      <c r="N1679" s="3"/>
      <c r="O1679" s="3"/>
      <c r="P1679" s="3"/>
      <c r="Q1679" s="3"/>
      <c r="R1679" s="3">
        <f>IFERROR(__xludf.DUMMYFUNCTION("""COMPUTED_VALUE"""),0.0)</f>
        <v>0</v>
      </c>
      <c r="S1679" s="3"/>
      <c r="T1679" s="5"/>
      <c r="U1679" s="5"/>
      <c r="V1679" s="5"/>
      <c r="W1679" s="5"/>
    </row>
    <row r="1680" ht="15.75" customHeight="1">
      <c r="A1680" s="3">
        <f>IFERROR(__xludf.DUMMYFUNCTION("""COMPUTED_VALUE"""),1680.0)</f>
        <v>1680</v>
      </c>
      <c r="B1680" s="53">
        <f>IFERROR(__xludf.DUMMYFUNCTION("""COMPUTED_VALUE"""),45849.0)</f>
        <v>45849</v>
      </c>
      <c r="C1680" s="3">
        <f>IFERROR(__xludf.DUMMYFUNCTION("""COMPUTED_VALUE"""),72.0)</f>
        <v>72</v>
      </c>
      <c r="D1680" s="3" t="str">
        <f>IFERROR(__xludf.DUMMYFUNCTION("""COMPUTED_VALUE"""),"5f7e8218")</f>
        <v>5f7e8218</v>
      </c>
      <c r="E1680" s="54">
        <f>IFERROR(__xludf.DUMMYFUNCTION("""COMPUTED_VALUE"""),13000.0)</f>
        <v>13000</v>
      </c>
      <c r="F1680" s="3" t="str">
        <f>IFERROR(__xludf.DUMMYFUNCTION("""COMPUTED_VALUE"""),"Syrah Tempranillo")</f>
        <v>Syrah Tempranillo</v>
      </c>
      <c r="G1680" s="3"/>
      <c r="H1680" s="3"/>
      <c r="I1680" s="3"/>
      <c r="J1680" s="3"/>
      <c r="K1680" s="3"/>
      <c r="L1680" s="54">
        <f>IFERROR(__xludf.DUMMYFUNCTION("""COMPUTED_VALUE"""),39.0)</f>
        <v>39</v>
      </c>
      <c r="M1680" s="3">
        <f>IFERROR(__xludf.DUMMYFUNCTION("""COMPUTED_VALUE"""),177.0)</f>
        <v>177</v>
      </c>
      <c r="N1680" s="3"/>
      <c r="O1680" s="3"/>
      <c r="P1680" s="3"/>
      <c r="Q1680" s="3"/>
      <c r="R1680" s="3">
        <f>IFERROR(__xludf.DUMMYFUNCTION("""COMPUTED_VALUE"""),0.0)</f>
        <v>0</v>
      </c>
      <c r="S1680" s="3"/>
      <c r="T1680" s="5"/>
      <c r="U1680" s="5"/>
      <c r="V1680" s="5"/>
      <c r="W1680" s="5"/>
    </row>
    <row r="1681" ht="15.75" customHeight="1">
      <c r="A1681" s="3">
        <f>IFERROR(__xludf.DUMMYFUNCTION("""COMPUTED_VALUE"""),1681.0)</f>
        <v>1681</v>
      </c>
      <c r="B1681" s="53">
        <f>IFERROR(__xludf.DUMMYFUNCTION("""COMPUTED_VALUE"""),45849.0)</f>
        <v>45849</v>
      </c>
      <c r="C1681" s="3">
        <f>IFERROR(__xludf.DUMMYFUNCTION("""COMPUTED_VALUE"""),75.0)</f>
        <v>75</v>
      </c>
      <c r="D1681" s="3" t="str">
        <f>IFERROR(__xludf.DUMMYFUNCTION("""COMPUTED_VALUE"""),"7a9e7f06")</f>
        <v>7a9e7f06</v>
      </c>
      <c r="E1681" s="54">
        <f>IFERROR(__xludf.DUMMYFUNCTION("""COMPUTED_VALUE"""),7000.0)</f>
        <v>7000</v>
      </c>
      <c r="F1681" s="3" t="str">
        <f>IFERROR(__xludf.DUMMYFUNCTION("""COMPUTED_VALUE"""),"Tanat")</f>
        <v>Tanat</v>
      </c>
      <c r="G1681" s="3"/>
      <c r="H1681" s="3"/>
      <c r="I1681" s="3"/>
      <c r="J1681" s="3"/>
      <c r="K1681" s="3"/>
      <c r="L1681" s="54">
        <f>IFERROR(__xludf.DUMMYFUNCTION("""COMPUTED_VALUE"""),40.0)</f>
        <v>40</v>
      </c>
      <c r="M1681" s="3">
        <f>IFERROR(__xludf.DUMMYFUNCTION("""COMPUTED_VALUE"""),140.0)</f>
        <v>140</v>
      </c>
      <c r="N1681" s="3"/>
      <c r="O1681" s="3"/>
      <c r="P1681" s="3"/>
      <c r="Q1681" s="3"/>
      <c r="R1681" s="3">
        <f>IFERROR(__xludf.DUMMYFUNCTION("""COMPUTED_VALUE"""),0.0)</f>
        <v>0</v>
      </c>
      <c r="S1681" s="3"/>
      <c r="T1681" s="5"/>
      <c r="U1681" s="5"/>
      <c r="V1681" s="5"/>
      <c r="W1681" s="5"/>
    </row>
    <row r="1682" ht="15.75" customHeight="1">
      <c r="A1682" s="3">
        <f>IFERROR(__xludf.DUMMYFUNCTION("""COMPUTED_VALUE"""),1682.0)</f>
        <v>1682</v>
      </c>
      <c r="B1682" s="53">
        <f>IFERROR(__xludf.DUMMYFUNCTION("""COMPUTED_VALUE"""),45849.0)</f>
        <v>45849</v>
      </c>
      <c r="C1682" s="3">
        <f>IFERROR(__xludf.DUMMYFUNCTION("""COMPUTED_VALUE"""),82.0)</f>
        <v>82</v>
      </c>
      <c r="D1682" s="3" t="str">
        <f>IFERROR(__xludf.DUMMYFUNCTION("""COMPUTED_VALUE"""),"539224d6")</f>
        <v>539224d6</v>
      </c>
      <c r="E1682" s="54">
        <f>IFERROR(__xludf.DUMMYFUNCTION("""COMPUTED_VALUE"""),42600.0)</f>
        <v>42600</v>
      </c>
      <c r="F1682" s="3" t="str">
        <f>IFERROR(__xludf.DUMMYFUNCTION("""COMPUTED_VALUE"""),"Tinto")</f>
        <v>Tinto</v>
      </c>
      <c r="G1682" s="3"/>
      <c r="H1682" s="3"/>
      <c r="I1682" s="3"/>
      <c r="J1682" s="3"/>
      <c r="K1682" s="3"/>
      <c r="L1682" s="54">
        <f>IFERROR(__xludf.DUMMYFUNCTION("""COMPUTED_VALUE"""),32.0)</f>
        <v>32</v>
      </c>
      <c r="M1682" s="3">
        <f>IFERROR(__xludf.DUMMYFUNCTION("""COMPUTED_VALUE"""),190.0)</f>
        <v>190</v>
      </c>
      <c r="N1682" s="3"/>
      <c r="O1682" s="3"/>
      <c r="P1682" s="3"/>
      <c r="Q1682" s="3"/>
      <c r="R1682" s="3">
        <f>IFERROR(__xludf.DUMMYFUNCTION("""COMPUTED_VALUE"""),0.0)</f>
        <v>0</v>
      </c>
      <c r="S1682" s="3"/>
      <c r="T1682" s="5"/>
      <c r="U1682" s="5"/>
      <c r="V1682" s="5"/>
      <c r="W1682" s="5"/>
    </row>
    <row r="1683" ht="15.75" customHeight="1">
      <c r="A1683" s="3">
        <f>IFERROR(__xludf.DUMMYFUNCTION("""COMPUTED_VALUE"""),1683.0)</f>
        <v>1683</v>
      </c>
      <c r="B1683" s="53">
        <f>IFERROR(__xludf.DUMMYFUNCTION("""COMPUTED_VALUE"""),45849.0)</f>
        <v>45849</v>
      </c>
      <c r="C1683" s="3">
        <f>IFERROR(__xludf.DUMMYFUNCTION("""COMPUTED_VALUE"""),89.0)</f>
        <v>89</v>
      </c>
      <c r="D1683" s="3" t="str">
        <f>IFERROR(__xludf.DUMMYFUNCTION("""COMPUTED_VALUE"""),"eed09ba0")</f>
        <v>eed09ba0</v>
      </c>
      <c r="E1683" s="54">
        <f>IFERROR(__xludf.DUMMYFUNCTION("""COMPUTED_VALUE"""),83500.0)</f>
        <v>83500</v>
      </c>
      <c r="F1683" s="3" t="str">
        <f>IFERROR(__xludf.DUMMYFUNCTION("""COMPUTED_VALUE"""),"Syrah Tempranillo")</f>
        <v>Syrah Tempranillo</v>
      </c>
      <c r="G1683" s="3"/>
      <c r="H1683" s="3"/>
      <c r="I1683" s="3"/>
      <c r="J1683" s="3"/>
      <c r="K1683" s="3"/>
      <c r="L1683" s="54">
        <f>IFERROR(__xludf.DUMMYFUNCTION("""COMPUTED_VALUE"""),35.0)</f>
        <v>35</v>
      </c>
      <c r="M1683" s="3">
        <f>IFERROR(__xludf.DUMMYFUNCTION("""COMPUTED_VALUE"""),153.0)</f>
        <v>153</v>
      </c>
      <c r="N1683" s="3"/>
      <c r="O1683" s="3"/>
      <c r="P1683" s="3"/>
      <c r="Q1683" s="3"/>
      <c r="R1683" s="3">
        <f>IFERROR(__xludf.DUMMYFUNCTION("""COMPUTED_VALUE"""),0.0)</f>
        <v>0</v>
      </c>
      <c r="S1683" s="3"/>
      <c r="T1683" s="5"/>
      <c r="U1683" s="5"/>
      <c r="V1683" s="5"/>
      <c r="W1683" s="5"/>
    </row>
    <row r="1684" ht="15.75" customHeight="1">
      <c r="A1684" s="3">
        <f>IFERROR(__xludf.DUMMYFUNCTION("""COMPUTED_VALUE"""),1684.0)</f>
        <v>1684</v>
      </c>
      <c r="B1684" s="53">
        <f>IFERROR(__xludf.DUMMYFUNCTION("""COMPUTED_VALUE"""),45849.0)</f>
        <v>45849</v>
      </c>
      <c r="C1684" s="3">
        <f>IFERROR(__xludf.DUMMYFUNCTION("""COMPUTED_VALUE"""),103.0)</f>
        <v>103</v>
      </c>
      <c r="D1684" s="3" t="str">
        <f>IFERROR(__xludf.DUMMYFUNCTION("""COMPUTED_VALUE"""),"eb5a88ac")</f>
        <v>eb5a88ac</v>
      </c>
      <c r="E1684" s="54">
        <f>IFERROR(__xludf.DUMMYFUNCTION("""COMPUTED_VALUE"""),31000.0)</f>
        <v>31000</v>
      </c>
      <c r="F1684" s="3" t="str">
        <f>IFERROR(__xludf.DUMMYFUNCTION("""COMPUTED_VALUE"""),"Bonarda")</f>
        <v>Bonarda</v>
      </c>
      <c r="G1684" s="3"/>
      <c r="H1684" s="3"/>
      <c r="I1684" s="3"/>
      <c r="J1684" s="3"/>
      <c r="K1684" s="3"/>
      <c r="L1684" s="54">
        <f>IFERROR(__xludf.DUMMYFUNCTION("""COMPUTED_VALUE"""),38.0)</f>
        <v>38</v>
      </c>
      <c r="M1684" s="3">
        <f>IFERROR(__xludf.DUMMYFUNCTION("""COMPUTED_VALUE"""),164.0)</f>
        <v>164</v>
      </c>
      <c r="N1684" s="3"/>
      <c r="O1684" s="3"/>
      <c r="P1684" s="3"/>
      <c r="Q1684" s="3"/>
      <c r="R1684" s="3">
        <f>IFERROR(__xludf.DUMMYFUNCTION("""COMPUTED_VALUE"""),0.0)</f>
        <v>0</v>
      </c>
      <c r="S1684" s="3"/>
      <c r="T1684" s="5"/>
      <c r="U1684" s="5"/>
      <c r="V1684" s="5"/>
      <c r="W1684" s="5"/>
    </row>
    <row r="1685" ht="15.75" customHeight="1">
      <c r="A1685" s="3">
        <f>IFERROR(__xludf.DUMMYFUNCTION("""COMPUTED_VALUE"""),1685.0)</f>
        <v>1685</v>
      </c>
      <c r="B1685" s="53">
        <f>IFERROR(__xludf.DUMMYFUNCTION("""COMPUTED_VALUE"""),45849.0)</f>
        <v>45849</v>
      </c>
      <c r="C1685" s="3">
        <f>IFERROR(__xludf.DUMMYFUNCTION("""COMPUTED_VALUE"""),118.0)</f>
        <v>118</v>
      </c>
      <c r="D1685" s="3" t="str">
        <f>IFERROR(__xludf.DUMMYFUNCTION("""COMPUTED_VALUE"""),"ea27bb38")</f>
        <v>ea27bb38</v>
      </c>
      <c r="E1685" s="54">
        <f>IFERROR(__xludf.DUMMYFUNCTION("""COMPUTED_VALUE"""),154720.0)</f>
        <v>154720</v>
      </c>
      <c r="F1685" s="3" t="str">
        <f>IFERROR(__xludf.DUMMYFUNCTION("""COMPUTED_VALUE"""),"Cabernet Sauvignon")</f>
        <v>Cabernet Sauvignon</v>
      </c>
      <c r="G1685" s="3"/>
      <c r="H1685" s="3"/>
      <c r="I1685" s="3"/>
      <c r="J1685" s="3"/>
      <c r="K1685" s="3"/>
      <c r="L1685" s="54">
        <f>IFERROR(__xludf.DUMMYFUNCTION("""COMPUTED_VALUE"""),29.0)</f>
        <v>29</v>
      </c>
      <c r="M1685" s="3">
        <f>IFERROR(__xludf.DUMMYFUNCTION("""COMPUTED_VALUE"""),166.0)</f>
        <v>166</v>
      </c>
      <c r="N1685" s="3"/>
      <c r="O1685" s="3"/>
      <c r="P1685" s="3"/>
      <c r="Q1685" s="3"/>
      <c r="R1685" s="3">
        <f>IFERROR(__xludf.DUMMYFUNCTION("""COMPUTED_VALUE"""),0.0)</f>
        <v>0</v>
      </c>
      <c r="S1685" s="3"/>
      <c r="T1685" s="5"/>
      <c r="U1685" s="5"/>
      <c r="V1685" s="5"/>
      <c r="W1685" s="5"/>
    </row>
    <row r="1686" ht="15.75" customHeight="1">
      <c r="A1686" s="3">
        <f>IFERROR(__xludf.DUMMYFUNCTION("""COMPUTED_VALUE"""),1686.0)</f>
        <v>1686</v>
      </c>
      <c r="B1686" s="53">
        <f>IFERROR(__xludf.DUMMYFUNCTION("""COMPUTED_VALUE"""),45849.0)</f>
        <v>45849</v>
      </c>
      <c r="C1686" s="3">
        <f>IFERROR(__xludf.DUMMYFUNCTION("""COMPUTED_VALUE"""),121.0)</f>
        <v>121</v>
      </c>
      <c r="D1686" s="3" t="str">
        <f>IFERROR(__xludf.DUMMYFUNCTION("""COMPUTED_VALUE"""),"589807bc")</f>
        <v>589807bc</v>
      </c>
      <c r="E1686" s="54">
        <f>IFERROR(__xludf.DUMMYFUNCTION("""COMPUTED_VALUE"""),85800.0)</f>
        <v>85800</v>
      </c>
      <c r="F1686" s="3" t="str">
        <f>IFERROR(__xludf.DUMMYFUNCTION("""COMPUTED_VALUE"""),"Malbec")</f>
        <v>Malbec</v>
      </c>
      <c r="G1686" s="3"/>
      <c r="H1686" s="3"/>
      <c r="I1686" s="3"/>
      <c r="J1686" s="3"/>
      <c r="K1686" s="3"/>
      <c r="L1686" s="54">
        <f>IFERROR(__xludf.DUMMYFUNCTION("""COMPUTED_VALUE"""),33.0)</f>
        <v>33</v>
      </c>
      <c r="M1686" s="3">
        <f>IFERROR(__xludf.DUMMYFUNCTION("""COMPUTED_VALUE"""),180.0)</f>
        <v>180</v>
      </c>
      <c r="N1686" s="3"/>
      <c r="O1686" s="3"/>
      <c r="P1686" s="3"/>
      <c r="Q1686" s="3"/>
      <c r="R1686" s="3">
        <f>IFERROR(__xludf.DUMMYFUNCTION("""COMPUTED_VALUE"""),0.0)</f>
        <v>0</v>
      </c>
      <c r="S1686" s="3"/>
      <c r="T1686" s="5"/>
      <c r="U1686" s="5"/>
      <c r="V1686" s="5"/>
      <c r="W1686" s="5"/>
    </row>
    <row r="1687" ht="15.75" customHeight="1">
      <c r="A1687" s="3">
        <f>IFERROR(__xludf.DUMMYFUNCTION("""COMPUTED_VALUE"""),1687.0)</f>
        <v>1687</v>
      </c>
      <c r="B1687" s="53">
        <f>IFERROR(__xludf.DUMMYFUNCTION("""COMPUTED_VALUE"""),45849.0)</f>
        <v>45849</v>
      </c>
      <c r="C1687" s="3">
        <f>IFERROR(__xludf.DUMMYFUNCTION("""COMPUTED_VALUE"""),931.0)</f>
        <v>931</v>
      </c>
      <c r="D1687" s="3" t="str">
        <f>IFERROR(__xludf.DUMMYFUNCTION("""COMPUTED_VALUE"""),"90fc33de")</f>
        <v>90fc33de</v>
      </c>
      <c r="E1687" s="54">
        <f>IFERROR(__xludf.DUMMYFUNCTION("""COMPUTED_VALUE"""),11200.0)</f>
        <v>11200</v>
      </c>
      <c r="F1687" s="3" t="str">
        <f>IFERROR(__xludf.DUMMYFUNCTION("""COMPUTED_VALUE"""),"Claro de Filtro")</f>
        <v>Claro de Filtro</v>
      </c>
      <c r="G1687" s="55">
        <f>IFERROR(__xludf.DUMMYFUNCTION("""COMPUTED_VALUE"""),12.8)</f>
        <v>12.8</v>
      </c>
      <c r="H1687" s="56">
        <f>IFERROR(__xludf.DUMMYFUNCTION("""COMPUTED_VALUE"""),2.0)</f>
        <v>2</v>
      </c>
      <c r="I1687" s="57">
        <f>IFERROR(__xludf.DUMMYFUNCTION("""COMPUTED_VALUE"""),0.74)</f>
        <v>0.74</v>
      </c>
      <c r="J1687" s="57">
        <f>IFERROR(__xludf.DUMMYFUNCTION("""COMPUTED_VALUE"""),4.74)</f>
        <v>4.74</v>
      </c>
      <c r="K1687" s="57">
        <f>IFERROR(__xludf.DUMMYFUNCTION("""COMPUTED_VALUE"""),3.86)</f>
        <v>3.86</v>
      </c>
      <c r="L1687" s="54">
        <f>IFERROR(__xludf.DUMMYFUNCTION("""COMPUTED_VALUE"""),51.0)</f>
        <v>51</v>
      </c>
      <c r="M1687" s="3">
        <f>IFERROR(__xludf.DUMMYFUNCTION("""COMPUTED_VALUE"""),150.0)</f>
        <v>150</v>
      </c>
      <c r="N1687" s="3"/>
      <c r="O1687" s="3"/>
      <c r="P1687" s="3"/>
      <c r="Q1687" s="3"/>
      <c r="R1687" s="3">
        <f>IFERROR(__xludf.DUMMYFUNCTION("""COMPUTED_VALUE"""),0.0)</f>
        <v>0</v>
      </c>
      <c r="S1687" s="3"/>
      <c r="T1687" s="5"/>
      <c r="U1687" s="5"/>
      <c r="V1687" s="5"/>
      <c r="W1687" s="5"/>
    </row>
    <row r="1688" ht="15.75" customHeight="1">
      <c r="A1688" s="3">
        <f>IFERROR(__xludf.DUMMYFUNCTION("""COMPUTED_VALUE"""),1688.0)</f>
        <v>1688</v>
      </c>
      <c r="B1688" s="53">
        <f>IFERROR(__xludf.DUMMYFUNCTION("""COMPUTED_VALUE"""),45849.0)</f>
        <v>45849</v>
      </c>
      <c r="C1688" s="3">
        <f>IFERROR(__xludf.DUMMYFUNCTION("""COMPUTED_VALUE"""),935.0)</f>
        <v>935</v>
      </c>
      <c r="D1688" s="3" t="str">
        <f>IFERROR(__xludf.DUMMYFUNCTION("""COMPUTED_VALUE"""),"a774778b")</f>
        <v>a774778b</v>
      </c>
      <c r="E1688" s="54">
        <f>IFERROR(__xludf.DUMMYFUNCTION("""COMPUTED_VALUE"""),11200.0)</f>
        <v>11200</v>
      </c>
      <c r="F1688" s="3" t="str">
        <f>IFERROR(__xludf.DUMMYFUNCTION("""COMPUTED_VALUE"""),"Claro de Filtro")</f>
        <v>Claro de Filtro</v>
      </c>
      <c r="G1688" s="55">
        <f>IFERROR(__xludf.DUMMYFUNCTION("""COMPUTED_VALUE"""),12.8)</f>
        <v>12.8</v>
      </c>
      <c r="H1688" s="56">
        <f>IFERROR(__xludf.DUMMYFUNCTION("""COMPUTED_VALUE"""),2.0)</f>
        <v>2</v>
      </c>
      <c r="I1688" s="57">
        <f>IFERROR(__xludf.DUMMYFUNCTION("""COMPUTED_VALUE"""),0.74)</f>
        <v>0.74</v>
      </c>
      <c r="J1688" s="57">
        <f>IFERROR(__xludf.DUMMYFUNCTION("""COMPUTED_VALUE"""),4.74)</f>
        <v>4.74</v>
      </c>
      <c r="K1688" s="57">
        <f>IFERROR(__xludf.DUMMYFUNCTION("""COMPUTED_VALUE"""),3.86)</f>
        <v>3.86</v>
      </c>
      <c r="L1688" s="54">
        <f>IFERROR(__xludf.DUMMYFUNCTION("""COMPUTED_VALUE"""),51.0)</f>
        <v>51</v>
      </c>
      <c r="M1688" s="3">
        <f>IFERROR(__xludf.DUMMYFUNCTION("""COMPUTED_VALUE"""),150.0)</f>
        <v>150</v>
      </c>
      <c r="N1688" s="3"/>
      <c r="O1688" s="3"/>
      <c r="P1688" s="3"/>
      <c r="Q1688" s="3"/>
      <c r="R1688" s="3">
        <f>IFERROR(__xludf.DUMMYFUNCTION("""COMPUTED_VALUE"""),0.0)</f>
        <v>0</v>
      </c>
      <c r="S1688" s="3"/>
      <c r="T1688" s="5"/>
      <c r="U1688" s="5"/>
      <c r="V1688" s="5"/>
      <c r="W1688" s="5"/>
    </row>
    <row r="1689" ht="15.75" customHeight="1">
      <c r="A1689" s="3">
        <f>IFERROR(__xludf.DUMMYFUNCTION("""COMPUTED_VALUE"""),1689.0)</f>
        <v>1689</v>
      </c>
      <c r="B1689" s="53">
        <f>IFERROR(__xludf.DUMMYFUNCTION("""COMPUTED_VALUE"""),45853.0)</f>
        <v>45853</v>
      </c>
      <c r="C1689" s="3">
        <f>IFERROR(__xludf.DUMMYFUNCTION("""COMPUTED_VALUE"""),26.0)</f>
        <v>26</v>
      </c>
      <c r="D1689" s="3" t="str">
        <f>IFERROR(__xludf.DUMMYFUNCTION("""COMPUTED_VALUE"""),"a37dae6b")</f>
        <v>a37dae6b</v>
      </c>
      <c r="E1689" s="54">
        <f>IFERROR(__xludf.DUMMYFUNCTION("""COMPUTED_VALUE"""),207600.0)</f>
        <v>207600</v>
      </c>
      <c r="F1689" s="3" t="str">
        <f>IFERROR(__xludf.DUMMYFUNCTION("""COMPUTED_VALUE"""),"Tinto")</f>
        <v>Tinto</v>
      </c>
      <c r="G1689" s="3"/>
      <c r="H1689" s="3"/>
      <c r="I1689" s="3"/>
      <c r="J1689" s="3"/>
      <c r="K1689" s="3"/>
      <c r="L1689" s="54">
        <f>IFERROR(__xludf.DUMMYFUNCTION("""COMPUTED_VALUE"""),25.0)</f>
        <v>25</v>
      </c>
      <c r="M1689" s="3">
        <f>IFERROR(__xludf.DUMMYFUNCTION("""COMPUTED_VALUE"""),172.0)</f>
        <v>172</v>
      </c>
      <c r="N1689" s="3"/>
      <c r="O1689" s="3"/>
      <c r="P1689" s="3"/>
      <c r="Q1689" s="3"/>
      <c r="R1689" s="3">
        <f>IFERROR(__xludf.DUMMYFUNCTION("""COMPUTED_VALUE"""),0.0)</f>
        <v>0</v>
      </c>
      <c r="S1689" s="3"/>
      <c r="T1689" s="5"/>
      <c r="U1689" s="5"/>
      <c r="V1689" s="5"/>
      <c r="W1689" s="5"/>
    </row>
    <row r="1690" ht="15.75" customHeight="1">
      <c r="A1690" s="3">
        <f>IFERROR(__xludf.DUMMYFUNCTION("""COMPUTED_VALUE"""),1690.0)</f>
        <v>1690</v>
      </c>
      <c r="B1690" s="53">
        <f>IFERROR(__xludf.DUMMYFUNCTION("""COMPUTED_VALUE"""),45855.0)</f>
        <v>45855</v>
      </c>
      <c r="C1690" s="3">
        <f>IFERROR(__xludf.DUMMYFUNCTION("""COMPUTED_VALUE"""),26.0)</f>
        <v>26</v>
      </c>
      <c r="D1690" s="3" t="str">
        <f>IFERROR(__xludf.DUMMYFUNCTION("""COMPUTED_VALUE"""),"a37dae6b")</f>
        <v>a37dae6b</v>
      </c>
      <c r="E1690" s="54">
        <f>IFERROR(__xludf.DUMMYFUNCTION("""COMPUTED_VALUE"""),207600.0)</f>
        <v>207600</v>
      </c>
      <c r="F1690" s="3" t="str">
        <f>IFERROR(__xludf.DUMMYFUNCTION("""COMPUTED_VALUE"""),"Tinto")</f>
        <v>Tinto</v>
      </c>
      <c r="G1690" s="3"/>
      <c r="H1690" s="3"/>
      <c r="I1690" s="3"/>
      <c r="J1690" s="3"/>
      <c r="K1690" s="3"/>
      <c r="L1690" s="54">
        <f>IFERROR(__xludf.DUMMYFUNCTION("""COMPUTED_VALUE"""),32.0)</f>
        <v>32</v>
      </c>
      <c r="M1690" s="3">
        <f>IFERROR(__xludf.DUMMYFUNCTION("""COMPUTED_VALUE"""),200.0)</f>
        <v>200</v>
      </c>
      <c r="N1690" s="3"/>
      <c r="O1690" s="3"/>
      <c r="P1690" s="3"/>
      <c r="Q1690" s="3"/>
      <c r="R1690" s="3">
        <f>IFERROR(__xludf.DUMMYFUNCTION("""COMPUTED_VALUE"""),0.0)</f>
        <v>0</v>
      </c>
      <c r="S1690" s="3"/>
      <c r="T1690" s="5"/>
      <c r="U1690" s="5"/>
      <c r="V1690" s="5"/>
      <c r="W1690" s="5"/>
    </row>
    <row r="1691" ht="15.75" customHeight="1">
      <c r="A1691" s="3">
        <f>IFERROR(__xludf.DUMMYFUNCTION("""COMPUTED_VALUE"""),1691.0)</f>
        <v>1691</v>
      </c>
      <c r="B1691" s="53">
        <f>IFERROR(__xludf.DUMMYFUNCTION("""COMPUTED_VALUE"""),45855.0)</f>
        <v>45855</v>
      </c>
      <c r="C1691" s="3">
        <f>IFERROR(__xludf.DUMMYFUNCTION("""COMPUTED_VALUE"""),82.0)</f>
        <v>82</v>
      </c>
      <c r="D1691" s="3" t="str">
        <f>IFERROR(__xludf.DUMMYFUNCTION("""COMPUTED_VALUE"""),"539224d6")</f>
        <v>539224d6</v>
      </c>
      <c r="E1691" s="54">
        <f>IFERROR(__xludf.DUMMYFUNCTION("""COMPUTED_VALUE"""),42600.0)</f>
        <v>42600</v>
      </c>
      <c r="F1691" s="3" t="str">
        <f>IFERROR(__xludf.DUMMYFUNCTION("""COMPUTED_VALUE"""),"Tinto")</f>
        <v>Tinto</v>
      </c>
      <c r="G1691" s="3"/>
      <c r="H1691" s="3"/>
      <c r="I1691" s="3"/>
      <c r="J1691" s="3"/>
      <c r="K1691" s="3"/>
      <c r="L1691" s="54">
        <f>IFERROR(__xludf.DUMMYFUNCTION("""COMPUTED_VALUE"""),36.0)</f>
        <v>36</v>
      </c>
      <c r="M1691" s="3">
        <f>IFERROR(__xludf.DUMMYFUNCTION("""COMPUTED_VALUE"""),205.0)</f>
        <v>205</v>
      </c>
      <c r="N1691" s="3"/>
      <c r="O1691" s="3"/>
      <c r="P1691" s="3"/>
      <c r="Q1691" s="3"/>
      <c r="R1691" s="3">
        <f>IFERROR(__xludf.DUMMYFUNCTION("""COMPUTED_VALUE"""),0.0)</f>
        <v>0</v>
      </c>
      <c r="S1691" s="3"/>
      <c r="T1691" s="5"/>
      <c r="U1691" s="5"/>
      <c r="V1691" s="5"/>
      <c r="W1691" s="5"/>
    </row>
    <row r="1692" ht="15.75" customHeight="1">
      <c r="A1692" s="3">
        <f>IFERROR(__xludf.DUMMYFUNCTION("""COMPUTED_VALUE"""),1692.0)</f>
        <v>1692</v>
      </c>
      <c r="B1692" s="53">
        <f>IFERROR(__xludf.DUMMYFUNCTION("""COMPUTED_VALUE"""),45859.0)</f>
        <v>45859</v>
      </c>
      <c r="C1692" s="3">
        <f>IFERROR(__xludf.DUMMYFUNCTION("""COMPUTED_VALUE"""),26.0)</f>
        <v>26</v>
      </c>
      <c r="D1692" s="3" t="str">
        <f>IFERROR(__xludf.DUMMYFUNCTION("""COMPUTED_VALUE"""),"a37dae6b")</f>
        <v>a37dae6b</v>
      </c>
      <c r="E1692" s="54">
        <f>IFERROR(__xludf.DUMMYFUNCTION("""COMPUTED_VALUE"""),207600.0)</f>
        <v>207600</v>
      </c>
      <c r="F1692" s="3" t="str">
        <f>IFERROR(__xludf.DUMMYFUNCTION("""COMPUTED_VALUE"""),"Tinto")</f>
        <v>Tinto</v>
      </c>
      <c r="G1692" s="3"/>
      <c r="H1692" s="3"/>
      <c r="I1692" s="3"/>
      <c r="J1692" s="3"/>
      <c r="K1692" s="3"/>
      <c r="L1692" s="54">
        <f>IFERROR(__xludf.DUMMYFUNCTION("""COMPUTED_VALUE"""),34.0)</f>
        <v>34</v>
      </c>
      <c r="M1692" s="3">
        <f>IFERROR(__xludf.DUMMYFUNCTION("""COMPUTED_VALUE"""),205.0)</f>
        <v>205</v>
      </c>
      <c r="N1692" s="3"/>
      <c r="O1692" s="3"/>
      <c r="P1692" s="3"/>
      <c r="Q1692" s="3"/>
      <c r="R1692" s="3">
        <f>IFERROR(__xludf.DUMMYFUNCTION("""COMPUTED_VALUE"""),0.0)</f>
        <v>0</v>
      </c>
      <c r="S1692" s="3"/>
      <c r="T1692" s="5"/>
      <c r="U1692" s="5"/>
      <c r="V1692" s="5"/>
      <c r="W1692" s="5"/>
    </row>
    <row r="1693" ht="15.75" customHeight="1">
      <c r="A1693" s="3">
        <f>IFERROR(__xludf.DUMMYFUNCTION("""COMPUTED_VALUE"""),1693.0)</f>
        <v>1693</v>
      </c>
      <c r="B1693" s="53">
        <f>IFERROR(__xludf.DUMMYFUNCTION("""COMPUTED_VALUE"""),45859.0)</f>
        <v>45859</v>
      </c>
      <c r="C1693" s="3">
        <f>IFERROR(__xludf.DUMMYFUNCTION("""COMPUTED_VALUE"""),82.0)</f>
        <v>82</v>
      </c>
      <c r="D1693" s="3" t="str">
        <f>IFERROR(__xludf.DUMMYFUNCTION("""COMPUTED_VALUE"""),"539224d6")</f>
        <v>539224d6</v>
      </c>
      <c r="E1693" s="54">
        <f>IFERROR(__xludf.DUMMYFUNCTION("""COMPUTED_VALUE"""),42600.0)</f>
        <v>42600</v>
      </c>
      <c r="F1693" s="3" t="str">
        <f>IFERROR(__xludf.DUMMYFUNCTION("""COMPUTED_VALUE"""),"Tinto")</f>
        <v>Tinto</v>
      </c>
      <c r="G1693" s="3"/>
      <c r="H1693" s="3"/>
      <c r="I1693" s="3"/>
      <c r="J1693" s="3"/>
      <c r="K1693" s="3"/>
      <c r="L1693" s="54">
        <f>IFERROR(__xludf.DUMMYFUNCTION("""COMPUTED_VALUE"""),37.0)</f>
        <v>37</v>
      </c>
      <c r="M1693" s="3">
        <f>IFERROR(__xludf.DUMMYFUNCTION("""COMPUTED_VALUE"""),200.0)</f>
        <v>200</v>
      </c>
      <c r="N1693" s="3"/>
      <c r="O1693" s="3"/>
      <c r="P1693" s="3"/>
      <c r="Q1693" s="3"/>
      <c r="R1693" s="3">
        <f>IFERROR(__xludf.DUMMYFUNCTION("""COMPUTED_VALUE"""),0.0)</f>
        <v>0</v>
      </c>
      <c r="S1693" s="3"/>
      <c r="T1693" s="5"/>
      <c r="U1693" s="5"/>
      <c r="V1693" s="5"/>
      <c r="W1693" s="5"/>
    </row>
    <row r="1694" ht="15.75" customHeight="1">
      <c r="A1694" s="3">
        <f>IFERROR(__xludf.DUMMYFUNCTION("""COMPUTED_VALUE"""),1694.0)</f>
        <v>1694</v>
      </c>
      <c r="B1694" s="53">
        <f>IFERROR(__xludf.DUMMYFUNCTION("""COMPUTED_VALUE"""),45859.0)</f>
        <v>45859</v>
      </c>
      <c r="C1694" s="3">
        <f>IFERROR(__xludf.DUMMYFUNCTION("""COMPUTED_VALUE"""),68.0)</f>
        <v>68</v>
      </c>
      <c r="D1694" s="3" t="str">
        <f>IFERROR(__xludf.DUMMYFUNCTION("""COMPUTED_VALUE"""),"22a75cd4")</f>
        <v>22a75cd4</v>
      </c>
      <c r="E1694" s="54">
        <f>IFERROR(__xludf.DUMMYFUNCTION("""COMPUTED_VALUE"""),13000.0)</f>
        <v>13000</v>
      </c>
      <c r="F1694" s="3" t="str">
        <f>IFERROR(__xludf.DUMMYFUNCTION("""COMPUTED_VALUE"""),"Malbec Montecepas 24")</f>
        <v>Malbec Montecepas 24</v>
      </c>
      <c r="G1694" s="55">
        <f>IFERROR(__xludf.DUMMYFUNCTION("""COMPUTED_VALUE"""),13.5)</f>
        <v>13.5</v>
      </c>
      <c r="H1694" s="56">
        <f>IFERROR(__xludf.DUMMYFUNCTION("""COMPUTED_VALUE"""),3.0)</f>
        <v>3</v>
      </c>
      <c r="I1694" s="57">
        <f>IFERROR(__xludf.DUMMYFUNCTION("""COMPUTED_VALUE"""),0.52)</f>
        <v>0.52</v>
      </c>
      <c r="J1694" s="3"/>
      <c r="K1694" s="3"/>
      <c r="L1694" s="54">
        <f>IFERROR(__xludf.DUMMYFUNCTION("""COMPUTED_VALUE"""),41.0)</f>
        <v>41</v>
      </c>
      <c r="M1694" s="3">
        <f>IFERROR(__xludf.DUMMYFUNCTION("""COMPUTED_VALUE"""),150.0)</f>
        <v>150</v>
      </c>
      <c r="N1694" s="3"/>
      <c r="O1694" s="3"/>
      <c r="P1694" s="3"/>
      <c r="Q1694" s="3"/>
      <c r="R1694" s="3">
        <f>IFERROR(__xludf.DUMMYFUNCTION("""COMPUTED_VALUE"""),0.0)</f>
        <v>0</v>
      </c>
      <c r="S1694" s="3"/>
      <c r="T1694" s="5"/>
      <c r="U1694" s="5"/>
      <c r="V1694" s="5"/>
      <c r="W1694" s="5"/>
    </row>
    <row r="1695" ht="15.75" customHeight="1">
      <c r="A1695" s="3">
        <f>IFERROR(__xludf.DUMMYFUNCTION("""COMPUTED_VALUE"""),1695.0)</f>
        <v>1695</v>
      </c>
      <c r="B1695" s="53">
        <f>IFERROR(__xludf.DUMMYFUNCTION("""COMPUTED_VALUE"""),45861.0)</f>
        <v>45861</v>
      </c>
      <c r="C1695" s="3">
        <f>IFERROR(__xludf.DUMMYFUNCTION("""COMPUTED_VALUE"""),111.0)</f>
        <v>111</v>
      </c>
      <c r="D1695" s="3" t="str">
        <f>IFERROR(__xludf.DUMMYFUNCTION("""COMPUTED_VALUE"""),"f8287724")</f>
        <v>f8287724</v>
      </c>
      <c r="E1695" s="54">
        <f>IFERROR(__xludf.DUMMYFUNCTION("""COMPUTED_VALUE"""),4000.0)</f>
        <v>4000</v>
      </c>
      <c r="F1695" s="3" t="str">
        <f>IFERROR(__xludf.DUMMYFUNCTION("""COMPUTED_VALUE"""),"Malbec Magneta")</f>
        <v>Malbec Magneta</v>
      </c>
      <c r="G1695" s="55">
        <f>IFERROR(__xludf.DUMMYFUNCTION("""COMPUTED_VALUE"""),13.4)</f>
        <v>13.4</v>
      </c>
      <c r="H1695" s="56">
        <f>IFERROR(__xludf.DUMMYFUNCTION("""COMPUTED_VALUE"""),3.0)</f>
        <v>3</v>
      </c>
      <c r="I1695" s="57">
        <f>IFERROR(__xludf.DUMMYFUNCTION("""COMPUTED_VALUE"""),0.59)</f>
        <v>0.59</v>
      </c>
      <c r="J1695" s="57">
        <f>IFERROR(__xludf.DUMMYFUNCTION("""COMPUTED_VALUE"""),5.35)</f>
        <v>5.35</v>
      </c>
      <c r="K1695" s="3"/>
      <c r="L1695" s="54">
        <f>IFERROR(__xludf.DUMMYFUNCTION("""COMPUTED_VALUE"""),38.0)</f>
        <v>38</v>
      </c>
      <c r="M1695" s="3">
        <f>IFERROR(__xludf.DUMMYFUNCTION("""COMPUTED_VALUE"""),140.0)</f>
        <v>140</v>
      </c>
      <c r="N1695" s="3"/>
      <c r="O1695" s="3"/>
      <c r="P1695" s="3"/>
      <c r="Q1695" s="3"/>
      <c r="R1695" s="3">
        <f>IFERROR(__xludf.DUMMYFUNCTION("""COMPUTED_VALUE"""),0.0)</f>
        <v>0</v>
      </c>
      <c r="S1695" s="3"/>
      <c r="T1695" s="5"/>
      <c r="U1695" s="5"/>
      <c r="V1695" s="5"/>
      <c r="W1695" s="5"/>
    </row>
    <row r="1696" ht="15.75" customHeight="1">
      <c r="A1696" s="3">
        <f>IFERROR(__xludf.DUMMYFUNCTION("""COMPUTED_VALUE"""),1696.0)</f>
        <v>1696</v>
      </c>
      <c r="B1696" s="53">
        <f>IFERROR(__xludf.DUMMYFUNCTION("""COMPUTED_VALUE"""),45862.0)</f>
        <v>45862</v>
      </c>
      <c r="C1696" s="3">
        <f>IFERROR(__xludf.DUMMYFUNCTION("""COMPUTED_VALUE"""),47.0)</f>
        <v>47</v>
      </c>
      <c r="D1696" s="3" t="str">
        <f>IFERROR(__xludf.DUMMYFUNCTION("""COMPUTED_VALUE"""),"5cdb12ce")</f>
        <v>5cdb12ce</v>
      </c>
      <c r="E1696" s="54">
        <f>IFERROR(__xludf.DUMMYFUNCTION("""COMPUTED_VALUE"""),20000.0)</f>
        <v>20000</v>
      </c>
      <c r="F1696" s="3" t="str">
        <f>IFERROR(__xludf.DUMMYFUNCTION("""COMPUTED_VALUE"""),"Chenin")</f>
        <v>Chenin</v>
      </c>
      <c r="G1696" s="55">
        <f>IFERROR(__xludf.DUMMYFUNCTION("""COMPUTED_VALUE"""),11.4)</f>
        <v>11.4</v>
      </c>
      <c r="H1696" s="56">
        <f>IFERROR(__xludf.DUMMYFUNCTION("""COMPUTED_VALUE"""),2.0)</f>
        <v>2</v>
      </c>
      <c r="I1696" s="57">
        <f>IFERROR(__xludf.DUMMYFUNCTION("""COMPUTED_VALUE"""),0.24)</f>
        <v>0.24</v>
      </c>
      <c r="J1696" s="57">
        <f>IFERROR(__xludf.DUMMYFUNCTION("""COMPUTED_VALUE"""),5.5)</f>
        <v>5.5</v>
      </c>
      <c r="K1696" s="3"/>
      <c r="L1696" s="54">
        <f>IFERROR(__xludf.DUMMYFUNCTION("""COMPUTED_VALUE"""),35.0)</f>
        <v>35</v>
      </c>
      <c r="M1696" s="3">
        <f>IFERROR(__xludf.DUMMYFUNCTION("""COMPUTED_VALUE"""),116.0)</f>
        <v>116</v>
      </c>
      <c r="N1696" s="3"/>
      <c r="O1696" s="3"/>
      <c r="P1696" s="3"/>
      <c r="Q1696" s="3"/>
      <c r="R1696" s="3">
        <f>IFERROR(__xludf.DUMMYFUNCTION("""COMPUTED_VALUE"""),0.0)</f>
        <v>0</v>
      </c>
      <c r="S1696" s="3"/>
      <c r="T1696" s="5"/>
      <c r="U1696" s="5"/>
      <c r="V1696" s="5"/>
      <c r="W1696" s="5"/>
    </row>
    <row r="1697" ht="15.75" customHeight="1">
      <c r="A1697" s="3">
        <f>IFERROR(__xludf.DUMMYFUNCTION("""COMPUTED_VALUE"""),1697.0)</f>
        <v>1697</v>
      </c>
      <c r="B1697" s="53">
        <f>IFERROR(__xludf.DUMMYFUNCTION("""COMPUTED_VALUE"""),45862.0)</f>
        <v>45862</v>
      </c>
      <c r="C1697" s="3">
        <f>IFERROR(__xludf.DUMMYFUNCTION("""COMPUTED_VALUE"""),40.0)</f>
        <v>40</v>
      </c>
      <c r="D1697" s="3" t="str">
        <f>IFERROR(__xludf.DUMMYFUNCTION("""COMPUTED_VALUE"""),"7c5390c8")</f>
        <v>7c5390c8</v>
      </c>
      <c r="E1697" s="54">
        <f>IFERROR(__xludf.DUMMYFUNCTION("""COMPUTED_VALUE"""),24000.0)</f>
        <v>24000</v>
      </c>
      <c r="F1697" s="3" t="str">
        <f>IFERROR(__xludf.DUMMYFUNCTION("""COMPUTED_VALUE"""),"Chardonnay")</f>
        <v>Chardonnay</v>
      </c>
      <c r="G1697" s="55">
        <f>IFERROR(__xludf.DUMMYFUNCTION("""COMPUTED_VALUE"""),12.0)</f>
        <v>12</v>
      </c>
      <c r="H1697" s="56">
        <f>IFERROR(__xludf.DUMMYFUNCTION("""COMPUTED_VALUE"""),2.0)</f>
        <v>2</v>
      </c>
      <c r="I1697" s="57">
        <f>IFERROR(__xludf.DUMMYFUNCTION("""COMPUTED_VALUE"""),0.25)</f>
        <v>0.25</v>
      </c>
      <c r="J1697" s="57">
        <f>IFERROR(__xludf.DUMMYFUNCTION("""COMPUTED_VALUE"""),6.37)</f>
        <v>6.37</v>
      </c>
      <c r="K1697" s="3"/>
      <c r="L1697" s="54">
        <f>IFERROR(__xludf.DUMMYFUNCTION("""COMPUTED_VALUE"""),43.0)</f>
        <v>43</v>
      </c>
      <c r="M1697" s="3">
        <f>IFERROR(__xludf.DUMMYFUNCTION("""COMPUTED_VALUE"""),120.0)</f>
        <v>120</v>
      </c>
      <c r="N1697" s="3"/>
      <c r="O1697" s="3"/>
      <c r="P1697" s="3"/>
      <c r="Q1697" s="3"/>
      <c r="R1697" s="3">
        <f>IFERROR(__xludf.DUMMYFUNCTION("""COMPUTED_VALUE"""),0.0)</f>
        <v>0</v>
      </c>
      <c r="S1697" s="3"/>
      <c r="T1697" s="5"/>
      <c r="U1697" s="5"/>
      <c r="V1697" s="5"/>
      <c r="W1697" s="5"/>
    </row>
    <row r="1698" ht="15.75" customHeight="1">
      <c r="A1698" s="3">
        <f>IFERROR(__xludf.DUMMYFUNCTION("""COMPUTED_VALUE"""),1698.0)</f>
        <v>1698</v>
      </c>
      <c r="B1698" s="53">
        <f>IFERROR(__xludf.DUMMYFUNCTION("""COMPUTED_VALUE"""),45131.0)</f>
        <v>45131</v>
      </c>
      <c r="C1698" s="3">
        <f>IFERROR(__xludf.DUMMYFUNCTION("""COMPUTED_VALUE"""),32.0)</f>
        <v>32</v>
      </c>
      <c r="D1698" s="3" t="str">
        <f>IFERROR(__xludf.DUMMYFUNCTION("""COMPUTED_VALUE"""),"a1e13111")</f>
        <v>a1e13111</v>
      </c>
      <c r="E1698" s="54">
        <f>IFERROR(__xludf.DUMMYFUNCTION("""COMPUTED_VALUE"""),36300.0)</f>
        <v>36300</v>
      </c>
      <c r="F1698" s="3" t="str">
        <f>IFERROR(__xludf.DUMMYFUNCTION("""COMPUTED_VALUE"""),"Chardonnay (Filtra)")</f>
        <v>Chardonnay (Filtra)</v>
      </c>
      <c r="G1698" s="55">
        <f>IFERROR(__xludf.DUMMYFUNCTION("""COMPUTED_VALUE"""),11.4)</f>
        <v>11.4</v>
      </c>
      <c r="H1698" s="56">
        <f>IFERROR(__xludf.DUMMYFUNCTION("""COMPUTED_VALUE"""),2.0)</f>
        <v>2</v>
      </c>
      <c r="I1698" s="57">
        <f>IFERROR(__xludf.DUMMYFUNCTION("""COMPUTED_VALUE"""),0.25)</f>
        <v>0.25</v>
      </c>
      <c r="J1698" s="57">
        <f>IFERROR(__xludf.DUMMYFUNCTION("""COMPUTED_VALUE"""),5.77)</f>
        <v>5.77</v>
      </c>
      <c r="K1698" s="3"/>
      <c r="L1698" s="54">
        <f>IFERROR(__xludf.DUMMYFUNCTION("""COMPUTED_VALUE"""),34.0)</f>
        <v>34</v>
      </c>
      <c r="M1698" s="3">
        <f>IFERROR(__xludf.DUMMYFUNCTION("""COMPUTED_VALUE"""),93.0)</f>
        <v>93</v>
      </c>
      <c r="N1698" s="3"/>
      <c r="O1698" s="3"/>
      <c r="P1698" s="3"/>
      <c r="Q1698" s="3"/>
      <c r="R1698" s="3">
        <f>IFERROR(__xludf.DUMMYFUNCTION("""COMPUTED_VALUE"""),0.0)</f>
        <v>0</v>
      </c>
      <c r="S1698" s="3"/>
      <c r="T1698" s="5"/>
      <c r="U1698" s="5"/>
      <c r="V1698" s="5"/>
      <c r="W1698" s="5"/>
    </row>
    <row r="1699" ht="15.75" customHeight="1">
      <c r="A1699" s="3">
        <f>IFERROR(__xludf.DUMMYFUNCTION("""COMPUTED_VALUE"""),1699.0)</f>
        <v>1699</v>
      </c>
      <c r="B1699" s="53">
        <f>IFERROR(__xludf.DUMMYFUNCTION("""COMPUTED_VALUE"""),45862.0)</f>
        <v>45862</v>
      </c>
      <c r="C1699" s="3">
        <f>IFERROR(__xludf.DUMMYFUNCTION("""COMPUTED_VALUE"""),11.0)</f>
        <v>11</v>
      </c>
      <c r="D1699" s="3" t="str">
        <f>IFERROR(__xludf.DUMMYFUNCTION("""COMPUTED_VALUE"""),"dcaf5b39")</f>
        <v>dcaf5b39</v>
      </c>
      <c r="E1699" s="54">
        <f>IFERROR(__xludf.DUMMYFUNCTION("""COMPUTED_VALUE"""),25700.0)</f>
        <v>25700</v>
      </c>
      <c r="F1699" s="3" t="str">
        <f>IFERROR(__xludf.DUMMYFUNCTION("""COMPUTED_VALUE"""),"Chardonnay")</f>
        <v>Chardonnay</v>
      </c>
      <c r="G1699" s="55">
        <f>IFERROR(__xludf.DUMMYFUNCTION("""COMPUTED_VALUE"""),12.4)</f>
        <v>12.4</v>
      </c>
      <c r="H1699" s="56">
        <f>IFERROR(__xludf.DUMMYFUNCTION("""COMPUTED_VALUE"""),2.0)</f>
        <v>2</v>
      </c>
      <c r="I1699" s="57">
        <f>IFERROR(__xludf.DUMMYFUNCTION("""COMPUTED_VALUE"""),0.26)</f>
        <v>0.26</v>
      </c>
      <c r="J1699" s="57">
        <f>IFERROR(__xludf.DUMMYFUNCTION("""COMPUTED_VALUE"""),6.37)</f>
        <v>6.37</v>
      </c>
      <c r="K1699" s="3"/>
      <c r="L1699" s="54">
        <f>IFERROR(__xludf.DUMMYFUNCTION("""COMPUTED_VALUE"""),39.0)</f>
        <v>39</v>
      </c>
      <c r="M1699" s="3">
        <f>IFERROR(__xludf.DUMMYFUNCTION("""COMPUTED_VALUE"""),130.0)</f>
        <v>130</v>
      </c>
      <c r="N1699" s="3"/>
      <c r="O1699" s="3"/>
      <c r="P1699" s="3"/>
      <c r="Q1699" s="3"/>
      <c r="R1699" s="3">
        <f>IFERROR(__xludf.DUMMYFUNCTION("""COMPUTED_VALUE"""),0.0)</f>
        <v>0</v>
      </c>
      <c r="S1699" s="3"/>
      <c r="T1699" s="5"/>
      <c r="U1699" s="5"/>
      <c r="V1699" s="5"/>
      <c r="W1699" s="5"/>
    </row>
    <row r="1700" ht="15.75" customHeight="1">
      <c r="A1700" s="3">
        <f>IFERROR(__xludf.DUMMYFUNCTION("""COMPUTED_VALUE"""),1700.0)</f>
        <v>1700</v>
      </c>
      <c r="B1700" s="3"/>
      <c r="C1700" s="3">
        <f>IFERROR(__xludf.DUMMYFUNCTION("""COMPUTED_VALUE"""),9.0)</f>
        <v>9</v>
      </c>
      <c r="D1700" s="3" t="str">
        <f>IFERROR(__xludf.DUMMYFUNCTION("""COMPUTED_VALUE"""),"b73d8cd1")</f>
        <v>b73d8cd1</v>
      </c>
      <c r="E1700" s="54">
        <f>IFERROR(__xludf.DUMMYFUNCTION("""COMPUTED_VALUE"""),30000.0)</f>
        <v>30000</v>
      </c>
      <c r="F1700" s="3" t="str">
        <f>IFERROR(__xludf.DUMMYFUNCTION("""COMPUTED_VALUE"""),"chardonnay")</f>
        <v>chardonnay</v>
      </c>
      <c r="G1700" s="55">
        <f>IFERROR(__xludf.DUMMYFUNCTION("""COMPUTED_VALUE"""),12.1)</f>
        <v>12.1</v>
      </c>
      <c r="H1700" s="56">
        <f>IFERROR(__xludf.DUMMYFUNCTION("""COMPUTED_VALUE"""),2.0)</f>
        <v>2</v>
      </c>
      <c r="I1700" s="57">
        <f>IFERROR(__xludf.DUMMYFUNCTION("""COMPUTED_VALUE"""),0.36)</f>
        <v>0.36</v>
      </c>
      <c r="J1700" s="57">
        <f>IFERROR(__xludf.DUMMYFUNCTION("""COMPUTED_VALUE"""),6.3)</f>
        <v>6.3</v>
      </c>
      <c r="K1700" s="3"/>
      <c r="L1700" s="54">
        <f>IFERROR(__xludf.DUMMYFUNCTION("""COMPUTED_VALUE"""),42.0)</f>
        <v>42</v>
      </c>
      <c r="M1700" s="3">
        <f>IFERROR(__xludf.DUMMYFUNCTION("""COMPUTED_VALUE"""),166.0)</f>
        <v>166</v>
      </c>
      <c r="N1700" s="3"/>
      <c r="O1700" s="3"/>
      <c r="P1700" s="3"/>
      <c r="Q1700" s="3"/>
      <c r="R1700" s="3">
        <f>IFERROR(__xludf.DUMMYFUNCTION("""COMPUTED_VALUE"""),0.0)</f>
        <v>0</v>
      </c>
      <c r="S1700" s="3"/>
      <c r="T1700" s="5"/>
      <c r="U1700" s="5"/>
      <c r="V1700" s="5"/>
      <c r="W1700" s="5"/>
    </row>
    <row r="1701" ht="15.75" customHeight="1">
      <c r="A1701" s="3">
        <f>IFERROR(__xludf.DUMMYFUNCTION("""COMPUTED_VALUE"""),1701.0)</f>
        <v>1701</v>
      </c>
      <c r="B1701" s="53">
        <f>IFERROR(__xludf.DUMMYFUNCTION("""COMPUTED_VALUE"""),45866.0)</f>
        <v>45866</v>
      </c>
      <c r="C1701" s="3">
        <f>IFERROR(__xludf.DUMMYFUNCTION("""COMPUTED_VALUE"""),114.0)</f>
        <v>114</v>
      </c>
      <c r="D1701" s="3" t="str">
        <f>IFERROR(__xludf.DUMMYFUNCTION("""COMPUTED_VALUE"""),"2f7b2de3")</f>
        <v>2f7b2de3</v>
      </c>
      <c r="E1701" s="54">
        <f>IFERROR(__xludf.DUMMYFUNCTION("""COMPUTED_VALUE"""),125300.0)</f>
        <v>125300</v>
      </c>
      <c r="F1701" s="3" t="str">
        <f>IFERROR(__xludf.DUMMYFUNCTION("""COMPUTED_VALUE"""),"Cabernet Sauvignon")</f>
        <v>Cabernet Sauvignon</v>
      </c>
      <c r="G1701" s="55">
        <f>IFERROR(__xludf.DUMMYFUNCTION("""COMPUTED_VALUE"""),13.0)</f>
        <v>13</v>
      </c>
      <c r="H1701" s="56">
        <f>IFERROR(__xludf.DUMMYFUNCTION("""COMPUTED_VALUE"""),2.8)</f>
        <v>2.8</v>
      </c>
      <c r="I1701" s="57">
        <f>IFERROR(__xludf.DUMMYFUNCTION("""COMPUTED_VALUE"""),0.63)</f>
        <v>0.63</v>
      </c>
      <c r="J1701" s="57">
        <f>IFERROR(__xludf.DUMMYFUNCTION("""COMPUTED_VALUE"""),5.5)</f>
        <v>5.5</v>
      </c>
      <c r="K1701" s="57">
        <f>IFERROR(__xludf.DUMMYFUNCTION("""COMPUTED_VALUE"""),3.65)</f>
        <v>3.65</v>
      </c>
      <c r="L1701" s="54">
        <f>IFERROR(__xludf.DUMMYFUNCTION("""COMPUTED_VALUE"""),32.0)</f>
        <v>32</v>
      </c>
      <c r="M1701" s="3">
        <f>IFERROR(__xludf.DUMMYFUNCTION("""COMPUTED_VALUE"""),150.0)</f>
        <v>150</v>
      </c>
      <c r="N1701" s="3"/>
      <c r="O1701" s="3"/>
      <c r="P1701" s="3"/>
      <c r="Q1701" s="3"/>
      <c r="R1701" s="3">
        <f>IFERROR(__xludf.DUMMYFUNCTION("""COMPUTED_VALUE"""),0.0)</f>
        <v>0</v>
      </c>
      <c r="S1701" s="3"/>
      <c r="T1701" s="5"/>
      <c r="U1701" s="5"/>
      <c r="V1701" s="5"/>
      <c r="W1701" s="5"/>
    </row>
    <row r="1702" ht="15.75" customHeight="1">
      <c r="A1702" s="3">
        <f>IFERROR(__xludf.DUMMYFUNCTION("""COMPUTED_VALUE"""),1702.0)</f>
        <v>1702</v>
      </c>
      <c r="B1702" s="53">
        <f>IFERROR(__xludf.DUMMYFUNCTION("""COMPUTED_VALUE"""),45867.0)</f>
        <v>45867</v>
      </c>
      <c r="C1702" s="3">
        <f>IFERROR(__xludf.DUMMYFUNCTION("""COMPUTED_VALUE"""),65.0)</f>
        <v>65</v>
      </c>
      <c r="D1702" s="3" t="str">
        <f>IFERROR(__xludf.DUMMYFUNCTION("""COMPUTED_VALUE"""),"4d3f24b6")</f>
        <v>4d3f24b6</v>
      </c>
      <c r="E1702" s="54">
        <f>IFERROR(__xludf.DUMMYFUNCTION("""COMPUTED_VALUE"""),35500.0)</f>
        <v>35500</v>
      </c>
      <c r="F1702" s="3" t="str">
        <f>IFERROR(__xludf.DUMMYFUNCTION("""COMPUTED_VALUE"""),"Cabernet Sauvignon")</f>
        <v>Cabernet Sauvignon</v>
      </c>
      <c r="G1702" s="55">
        <f>IFERROR(__xludf.DUMMYFUNCTION("""COMPUTED_VALUE"""),13.2)</f>
        <v>13.2</v>
      </c>
      <c r="H1702" s="56">
        <f>IFERROR(__xludf.DUMMYFUNCTION("""COMPUTED_VALUE"""),2.7)</f>
        <v>2.7</v>
      </c>
      <c r="I1702" s="57">
        <f>IFERROR(__xludf.DUMMYFUNCTION("""COMPUTED_VALUE"""),0.68)</f>
        <v>0.68</v>
      </c>
      <c r="J1702" s="57">
        <f>IFERROR(__xludf.DUMMYFUNCTION("""COMPUTED_VALUE"""),5.6)</f>
        <v>5.6</v>
      </c>
      <c r="K1702" s="57">
        <f>IFERROR(__xludf.DUMMYFUNCTION("""COMPUTED_VALUE"""),3.63)</f>
        <v>3.63</v>
      </c>
      <c r="L1702" s="54">
        <f>IFERROR(__xludf.DUMMYFUNCTION("""COMPUTED_VALUE"""),29.0)</f>
        <v>29</v>
      </c>
      <c r="M1702" s="3">
        <f>IFERROR(__xludf.DUMMYFUNCTION("""COMPUTED_VALUE"""),152.0)</f>
        <v>152</v>
      </c>
      <c r="N1702" s="3"/>
      <c r="O1702" s="3"/>
      <c r="P1702" s="3"/>
      <c r="Q1702" s="3"/>
      <c r="R1702" s="3">
        <f>IFERROR(__xludf.DUMMYFUNCTION("""COMPUTED_VALUE"""),0.0)</f>
        <v>0</v>
      </c>
      <c r="S1702" s="3"/>
      <c r="T1702" s="5"/>
      <c r="U1702" s="5"/>
      <c r="V1702" s="5"/>
      <c r="W1702" s="5"/>
    </row>
    <row r="1703" ht="15.75" customHeight="1">
      <c r="A1703" s="3">
        <f>IFERROR(__xludf.DUMMYFUNCTION("""COMPUTED_VALUE"""),1703.0)</f>
        <v>1703</v>
      </c>
      <c r="B1703" s="53">
        <f>IFERROR(__xludf.DUMMYFUNCTION("""COMPUTED_VALUE"""),45869.0)</f>
        <v>45869</v>
      </c>
      <c r="C1703" s="3">
        <f>IFERROR(__xludf.DUMMYFUNCTION("""COMPUTED_VALUE"""),66.0)</f>
        <v>66</v>
      </c>
      <c r="D1703" s="3" t="str">
        <f>IFERROR(__xludf.DUMMYFUNCTION("""COMPUTED_VALUE"""),"d52c4944")</f>
        <v>d52c4944</v>
      </c>
      <c r="E1703" s="54">
        <f>IFERROR(__xludf.DUMMYFUNCTION("""COMPUTED_VALUE"""),23000.0)</f>
        <v>23000</v>
      </c>
      <c r="F1703" s="3" t="str">
        <f>IFERROR(__xludf.DUMMYFUNCTION("""COMPUTED_VALUE"""),"Cabernet Sauvignon")</f>
        <v>Cabernet Sauvignon</v>
      </c>
      <c r="G1703" s="55">
        <f>IFERROR(__xludf.DUMMYFUNCTION("""COMPUTED_VALUE"""),13.3)</f>
        <v>13.3</v>
      </c>
      <c r="H1703" s="56">
        <f>IFERROR(__xludf.DUMMYFUNCTION("""COMPUTED_VALUE"""),2.5)</f>
        <v>2.5</v>
      </c>
      <c r="I1703" s="57">
        <f>IFERROR(__xludf.DUMMYFUNCTION("""COMPUTED_VALUE"""),0.6)</f>
        <v>0.6</v>
      </c>
      <c r="J1703" s="57">
        <f>IFERROR(__xludf.DUMMYFUNCTION("""COMPUTED_VALUE"""),5.7)</f>
        <v>5.7</v>
      </c>
      <c r="K1703" s="57">
        <f>IFERROR(__xludf.DUMMYFUNCTION("""COMPUTED_VALUE"""),3.62)</f>
        <v>3.62</v>
      </c>
      <c r="L1703" s="54">
        <f>IFERROR(__xludf.DUMMYFUNCTION("""COMPUTED_VALUE"""),32.0)</f>
        <v>32</v>
      </c>
      <c r="M1703" s="3">
        <f>IFERROR(__xludf.DUMMYFUNCTION("""COMPUTED_VALUE"""),151.0)</f>
        <v>151</v>
      </c>
      <c r="N1703" s="3"/>
      <c r="O1703" s="3"/>
      <c r="P1703" s="3"/>
      <c r="Q1703" s="3"/>
      <c r="R1703" s="3">
        <f>IFERROR(__xludf.DUMMYFUNCTION("""COMPUTED_VALUE"""),0.0)</f>
        <v>0</v>
      </c>
      <c r="S1703" s="3"/>
      <c r="T1703" s="5"/>
      <c r="U1703" s="5"/>
      <c r="V1703" s="5"/>
      <c r="W1703" s="5"/>
    </row>
    <row r="1704" ht="15.75" customHeight="1">
      <c r="A1704" s="3">
        <f>IFERROR(__xludf.DUMMYFUNCTION("""COMPUTED_VALUE"""),1704.0)</f>
        <v>1704</v>
      </c>
      <c r="B1704" s="53">
        <f>IFERROR(__xludf.DUMMYFUNCTION("""COMPUTED_VALUE"""),45869.0)</f>
        <v>45869</v>
      </c>
      <c r="C1704" s="3">
        <f>IFERROR(__xludf.DUMMYFUNCTION("""COMPUTED_VALUE"""),106.0)</f>
        <v>106</v>
      </c>
      <c r="D1704" s="3" t="str">
        <f>IFERROR(__xludf.DUMMYFUNCTION("""COMPUTED_VALUE"""),"32fe7ee0")</f>
        <v>32fe7ee0</v>
      </c>
      <c r="E1704" s="54">
        <f>IFERROR(__xludf.DUMMYFUNCTION("""COMPUTED_VALUE"""),11000.0)</f>
        <v>11000</v>
      </c>
      <c r="F1704" s="3" t="str">
        <f>IFERROR(__xludf.DUMMYFUNCTION("""COMPUTED_VALUE"""),"Aspirant 24")</f>
        <v>Aspirant 24</v>
      </c>
      <c r="G1704" s="55">
        <f>IFERROR(__xludf.DUMMYFUNCTION("""COMPUTED_VALUE"""),11.9)</f>
        <v>11.9</v>
      </c>
      <c r="H1704" s="56">
        <f>IFERROR(__xludf.DUMMYFUNCTION("""COMPUTED_VALUE"""),2.0)</f>
        <v>2</v>
      </c>
      <c r="I1704" s="57">
        <f>IFERROR(__xludf.DUMMYFUNCTION("""COMPUTED_VALUE"""),0.57)</f>
        <v>0.57</v>
      </c>
      <c r="J1704" s="57">
        <f>IFERROR(__xludf.DUMMYFUNCTION("""COMPUTED_VALUE"""),5.7)</f>
        <v>5.7</v>
      </c>
      <c r="K1704" s="57">
        <f>IFERROR(__xludf.DUMMYFUNCTION("""COMPUTED_VALUE"""),3.5)</f>
        <v>3.5</v>
      </c>
      <c r="L1704" s="54">
        <f>IFERROR(__xludf.DUMMYFUNCTION("""COMPUTED_VALUE"""),38.0)</f>
        <v>38</v>
      </c>
      <c r="M1704" s="3">
        <f>IFERROR(__xludf.DUMMYFUNCTION("""COMPUTED_VALUE"""),90.0)</f>
        <v>90</v>
      </c>
      <c r="N1704" s="3"/>
      <c r="O1704" s="3"/>
      <c r="P1704" s="3"/>
      <c r="Q1704" s="3"/>
      <c r="R1704" s="3">
        <f>IFERROR(__xludf.DUMMYFUNCTION("""COMPUTED_VALUE"""),0.0)</f>
        <v>0</v>
      </c>
      <c r="S1704" s="3"/>
      <c r="T1704" s="5"/>
      <c r="U1704" s="5"/>
      <c r="V1704" s="5"/>
      <c r="W1704" s="5"/>
    </row>
    <row r="1705" ht="15.75" customHeight="1">
      <c r="A1705" s="3">
        <f>IFERROR(__xludf.DUMMYFUNCTION("""COMPUTED_VALUE"""),1705.0)</f>
        <v>1705</v>
      </c>
      <c r="B1705" s="53">
        <f>IFERROR(__xludf.DUMMYFUNCTION("""COMPUTED_VALUE"""),45870.0)</f>
        <v>45870</v>
      </c>
      <c r="C1705" s="3">
        <f>IFERROR(__xludf.DUMMYFUNCTION("""COMPUTED_VALUE"""),85.0)</f>
        <v>85</v>
      </c>
      <c r="D1705" s="3" t="str">
        <f>IFERROR(__xludf.DUMMYFUNCTION("""COMPUTED_VALUE"""),"dc08aecd")</f>
        <v>dc08aecd</v>
      </c>
      <c r="E1705" s="54">
        <f>IFERROR(__xludf.DUMMYFUNCTION("""COMPUTED_VALUE"""),84000.0)</f>
        <v>84000</v>
      </c>
      <c r="F1705" s="3" t="str">
        <f>IFERROR(__xludf.DUMMYFUNCTION("""COMPUTED_VALUE"""),"Malbec")</f>
        <v>Malbec</v>
      </c>
      <c r="G1705" s="55">
        <f>IFERROR(__xludf.DUMMYFUNCTION("""COMPUTED_VALUE"""),13.3)</f>
        <v>13.3</v>
      </c>
      <c r="H1705" s="56">
        <f>IFERROR(__xludf.DUMMYFUNCTION("""COMPUTED_VALUE"""),2.5)</f>
        <v>2.5</v>
      </c>
      <c r="I1705" s="57">
        <f>IFERROR(__xludf.DUMMYFUNCTION("""COMPUTED_VALUE"""),0.7)</f>
        <v>0.7</v>
      </c>
      <c r="J1705" s="57">
        <f>IFERROR(__xludf.DUMMYFUNCTION("""COMPUTED_VALUE"""),5.73)</f>
        <v>5.73</v>
      </c>
      <c r="K1705" s="57">
        <f>IFERROR(__xludf.DUMMYFUNCTION("""COMPUTED_VALUE"""),3.64)</f>
        <v>3.64</v>
      </c>
      <c r="L1705" s="54">
        <f>IFERROR(__xludf.DUMMYFUNCTION("""COMPUTED_VALUE"""),38.0)</f>
        <v>38</v>
      </c>
      <c r="M1705" s="3">
        <f>IFERROR(__xludf.DUMMYFUNCTION("""COMPUTED_VALUE"""),166.0)</f>
        <v>166</v>
      </c>
      <c r="N1705" s="3"/>
      <c r="O1705" s="3"/>
      <c r="P1705" s="3"/>
      <c r="Q1705" s="3"/>
      <c r="R1705" s="3">
        <f>IFERROR(__xludf.DUMMYFUNCTION("""COMPUTED_VALUE"""),0.0)</f>
        <v>0</v>
      </c>
      <c r="S1705" s="3"/>
      <c r="T1705" s="5"/>
      <c r="U1705" s="5"/>
      <c r="V1705" s="5"/>
      <c r="W1705" s="5"/>
    </row>
    <row r="1706" ht="15.75" customHeight="1">
      <c r="A1706" s="3">
        <f>IFERROR(__xludf.DUMMYFUNCTION("""COMPUTED_VALUE"""),1706.0)</f>
        <v>1706</v>
      </c>
      <c r="B1706" s="53">
        <f>IFERROR(__xludf.DUMMYFUNCTION("""COMPUTED_VALUE"""),45874.0)</f>
        <v>45874</v>
      </c>
      <c r="C1706" s="3">
        <f>IFERROR(__xludf.DUMMYFUNCTION("""COMPUTED_VALUE"""),118.0)</f>
        <v>118</v>
      </c>
      <c r="D1706" s="3"/>
      <c r="E1706" s="3"/>
      <c r="F1706" s="3" t="str">
        <f>IFERROR(__xludf.DUMMYFUNCTION("""COMPUTED_VALUE"""),"corte Malbec Lopez")</f>
        <v>corte Malbec Lopez</v>
      </c>
      <c r="G1706" s="55">
        <f>IFERROR(__xludf.DUMMYFUNCTION("""COMPUTED_VALUE"""),13.9)</f>
        <v>13.9</v>
      </c>
      <c r="H1706" s="56">
        <f>IFERROR(__xludf.DUMMYFUNCTION("""COMPUTED_VALUE"""),3.0)</f>
        <v>3</v>
      </c>
      <c r="I1706" s="57">
        <f>IFERROR(__xludf.DUMMYFUNCTION("""COMPUTED_VALUE"""),0.54)</f>
        <v>0.54</v>
      </c>
      <c r="J1706" s="57">
        <f>IFERROR(__xludf.DUMMYFUNCTION("""COMPUTED_VALUE"""),5.12)</f>
        <v>5.12</v>
      </c>
      <c r="K1706" s="57">
        <f>IFERROR(__xludf.DUMMYFUNCTION("""COMPUTED_VALUE"""),3.73)</f>
        <v>3.73</v>
      </c>
      <c r="L1706" s="54">
        <f>IFERROR(__xludf.DUMMYFUNCTION("""COMPUTED_VALUE"""),36.0)</f>
        <v>36</v>
      </c>
      <c r="M1706" s="3">
        <f>IFERROR(__xludf.DUMMYFUNCTION("""COMPUTED_VALUE"""),164.0)</f>
        <v>164</v>
      </c>
      <c r="N1706" s="3"/>
      <c r="O1706" s="3">
        <f>IFERROR(__xludf.DUMMYFUNCTION("""COMPUTED_VALUE"""),343.0)</f>
        <v>343</v>
      </c>
      <c r="P1706" s="3">
        <f>IFERROR(__xludf.DUMMYFUNCTION("""COMPUTED_VALUE"""),512.0)</f>
        <v>512</v>
      </c>
      <c r="Q1706" s="3"/>
      <c r="R1706" s="3">
        <f>IFERROR(__xludf.DUMMYFUNCTION("""COMPUTED_VALUE"""),855.0)</f>
        <v>855</v>
      </c>
      <c r="S1706" s="3"/>
      <c r="T1706" s="5"/>
      <c r="U1706" s="5"/>
      <c r="V1706" s="5"/>
      <c r="W1706" s="5"/>
    </row>
    <row r="1707" ht="15.75" customHeight="1">
      <c r="A1707" s="3">
        <f>IFERROR(__xludf.DUMMYFUNCTION("""COMPUTED_VALUE"""),1707.0)</f>
        <v>1707</v>
      </c>
      <c r="B1707" s="53">
        <f>IFERROR(__xludf.DUMMYFUNCTION("""COMPUTED_VALUE"""),45874.0)</f>
        <v>45874</v>
      </c>
      <c r="C1707" s="3">
        <f>IFERROR(__xludf.DUMMYFUNCTION("""COMPUTED_VALUE"""),84.0)</f>
        <v>84</v>
      </c>
      <c r="D1707" s="3" t="str">
        <f>IFERROR(__xludf.DUMMYFUNCTION("""COMPUTED_VALUE"""),"52e2d0ea")</f>
        <v>52e2d0ea</v>
      </c>
      <c r="E1707" s="54">
        <f>IFERROR(__xludf.DUMMYFUNCTION("""COMPUTED_VALUE"""),83000.0)</f>
        <v>83000</v>
      </c>
      <c r="F1707" s="3" t="str">
        <f>IFERROR(__xludf.DUMMYFUNCTION("""COMPUTED_VALUE"""),"Malbec")</f>
        <v>Malbec</v>
      </c>
      <c r="G1707" s="55">
        <f>IFERROR(__xludf.DUMMYFUNCTION("""COMPUTED_VALUE"""),13.5)</f>
        <v>13.5</v>
      </c>
      <c r="H1707" s="56">
        <f>IFERROR(__xludf.DUMMYFUNCTION("""COMPUTED_VALUE"""),2.6)</f>
        <v>2.6</v>
      </c>
      <c r="I1707" s="57">
        <f>IFERROR(__xludf.DUMMYFUNCTION("""COMPUTED_VALUE"""),0.61)</f>
        <v>0.61</v>
      </c>
      <c r="J1707" s="57">
        <f>IFERROR(__xludf.DUMMYFUNCTION("""COMPUTED_VALUE"""),4.8)</f>
        <v>4.8</v>
      </c>
      <c r="K1707" s="57">
        <f>IFERROR(__xludf.DUMMYFUNCTION("""COMPUTED_VALUE"""),3.72)</f>
        <v>3.72</v>
      </c>
      <c r="L1707" s="54">
        <f>IFERROR(__xludf.DUMMYFUNCTION("""COMPUTED_VALUE"""),43.0)</f>
        <v>43</v>
      </c>
      <c r="M1707" s="3">
        <f>IFERROR(__xludf.DUMMYFUNCTION("""COMPUTED_VALUE"""),192.0)</f>
        <v>192</v>
      </c>
      <c r="N1707" s="3"/>
      <c r="O1707" s="3"/>
      <c r="P1707" s="3"/>
      <c r="Q1707" s="3"/>
      <c r="R1707" s="3">
        <f>IFERROR(__xludf.DUMMYFUNCTION("""COMPUTED_VALUE"""),0.0)</f>
        <v>0</v>
      </c>
      <c r="S1707" s="3"/>
      <c r="T1707" s="5"/>
      <c r="U1707" s="5"/>
      <c r="V1707" s="5"/>
      <c r="W1707" s="5"/>
    </row>
    <row r="1708" ht="15.75" customHeight="1">
      <c r="A1708" s="3">
        <f>IFERROR(__xludf.DUMMYFUNCTION("""COMPUTED_VALUE"""),1708.0)</f>
        <v>1708</v>
      </c>
      <c r="B1708" s="53">
        <f>IFERROR(__xludf.DUMMYFUNCTION("""COMPUTED_VALUE"""),45882.0)</f>
        <v>45882</v>
      </c>
      <c r="C1708" s="3">
        <f>IFERROR(__xludf.DUMMYFUNCTION("""COMPUTED_VALUE"""),86.0)</f>
        <v>86</v>
      </c>
      <c r="D1708" s="3" t="str">
        <f>IFERROR(__xludf.DUMMYFUNCTION("""COMPUTED_VALUE"""),"734aedeb")</f>
        <v>734aedeb</v>
      </c>
      <c r="E1708" s="54">
        <f>IFERROR(__xludf.DUMMYFUNCTION("""COMPUTED_VALUE"""),88000.0)</f>
        <v>88000</v>
      </c>
      <c r="F1708" s="3" t="str">
        <f>IFERROR(__xludf.DUMMYFUNCTION("""COMPUTED_VALUE"""),"Malbec")</f>
        <v>Malbec</v>
      </c>
      <c r="G1708" s="55">
        <f>IFERROR(__xludf.DUMMYFUNCTION("""COMPUTED_VALUE"""),13.7)</f>
        <v>13.7</v>
      </c>
      <c r="H1708" s="56">
        <f>IFERROR(__xludf.DUMMYFUNCTION("""COMPUTED_VALUE"""),2.9)</f>
        <v>2.9</v>
      </c>
      <c r="I1708" s="57">
        <f>IFERROR(__xludf.DUMMYFUNCTION("""COMPUTED_VALUE"""),0.71)</f>
        <v>0.71</v>
      </c>
      <c r="J1708" s="57">
        <f>IFERROR(__xludf.DUMMYFUNCTION("""COMPUTED_VALUE"""),5.2)</f>
        <v>5.2</v>
      </c>
      <c r="K1708" s="3"/>
      <c r="L1708" s="54">
        <f>IFERROR(__xludf.DUMMYFUNCTION("""COMPUTED_VALUE"""),38.0)</f>
        <v>38</v>
      </c>
      <c r="M1708" s="3">
        <f>IFERROR(__xludf.DUMMYFUNCTION("""COMPUTED_VALUE"""),185.0)</f>
        <v>185</v>
      </c>
      <c r="N1708" s="3"/>
      <c r="O1708" s="3"/>
      <c r="P1708" s="3"/>
      <c r="Q1708" s="3"/>
      <c r="R1708" s="3">
        <f>IFERROR(__xludf.DUMMYFUNCTION("""COMPUTED_VALUE"""),0.0)</f>
        <v>0</v>
      </c>
      <c r="S1708" s="3"/>
      <c r="T1708" s="5"/>
      <c r="U1708" s="5"/>
      <c r="V1708" s="5"/>
      <c r="W1708" s="5"/>
    </row>
    <row r="1709" ht="15.75" customHeight="1">
      <c r="A1709" s="3">
        <f>IFERROR(__xludf.DUMMYFUNCTION("""COMPUTED_VALUE"""),1709.0)</f>
        <v>1709</v>
      </c>
      <c r="B1709" s="53">
        <f>IFERROR(__xludf.DUMMYFUNCTION("""COMPUTED_VALUE"""),45882.0)</f>
        <v>45882</v>
      </c>
      <c r="C1709" s="3">
        <f>IFERROR(__xludf.DUMMYFUNCTION("""COMPUTED_VALUE"""),83.0)</f>
        <v>83</v>
      </c>
      <c r="D1709" s="3" t="str">
        <f>IFERROR(__xludf.DUMMYFUNCTION("""COMPUTED_VALUE"""),"32396d27")</f>
        <v>32396d27</v>
      </c>
      <c r="E1709" s="54">
        <f>IFERROR(__xludf.DUMMYFUNCTION("""COMPUTED_VALUE"""),81500.0)</f>
        <v>81500</v>
      </c>
      <c r="F1709" s="3" t="str">
        <f>IFERROR(__xludf.DUMMYFUNCTION("""COMPUTED_VALUE"""),"Malbec")</f>
        <v>Malbec</v>
      </c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>
        <f>IFERROR(__xludf.DUMMYFUNCTION("""COMPUTED_VALUE"""),0.0)</f>
        <v>0</v>
      </c>
      <c r="S1709" s="3"/>
      <c r="T1709" s="5"/>
      <c r="U1709" s="5"/>
      <c r="V1709" s="5"/>
      <c r="W1709" s="5"/>
    </row>
    <row r="1710" ht="15.75" customHeight="1">
      <c r="A1710" s="3">
        <f>IFERROR(__xludf.DUMMYFUNCTION("""COMPUTED_VALUE"""),1710.0)</f>
        <v>1710</v>
      </c>
      <c r="B1710" s="53">
        <f>IFERROR(__xludf.DUMMYFUNCTION("""COMPUTED_VALUE"""),45883.0)</f>
        <v>45883</v>
      </c>
      <c r="C1710" s="3">
        <f>IFERROR(__xludf.DUMMYFUNCTION("""COMPUTED_VALUE"""),5.0)</f>
        <v>5</v>
      </c>
      <c r="D1710" s="3" t="str">
        <f>IFERROR(__xludf.DUMMYFUNCTION("""COMPUTED_VALUE"""),"ebf08055")</f>
        <v>ebf08055</v>
      </c>
      <c r="E1710" s="54">
        <f>IFERROR(__xludf.DUMMYFUNCTION("""COMPUTED_VALUE"""),30000.0)</f>
        <v>30000</v>
      </c>
      <c r="F1710" s="3" t="str">
        <f>IFERROR(__xludf.DUMMYFUNCTION("""COMPUTED_VALUE"""),"Chardonnay")</f>
        <v>Chardonnay</v>
      </c>
      <c r="G1710" s="3"/>
      <c r="H1710" s="3"/>
      <c r="I1710" s="57">
        <f>IFERROR(__xludf.DUMMYFUNCTION("""COMPUTED_VALUE"""),0.37)</f>
        <v>0.37</v>
      </c>
      <c r="J1710" s="3"/>
      <c r="K1710" s="3"/>
      <c r="L1710" s="54">
        <f>IFERROR(__xludf.DUMMYFUNCTION("""COMPUTED_VALUE"""),27.0)</f>
        <v>27</v>
      </c>
      <c r="M1710" s="3">
        <f>IFERROR(__xludf.DUMMYFUNCTION("""COMPUTED_VALUE"""),123.0)</f>
        <v>123</v>
      </c>
      <c r="N1710" s="3"/>
      <c r="O1710" s="3"/>
      <c r="P1710" s="3"/>
      <c r="Q1710" s="3"/>
      <c r="R1710" s="3">
        <f>IFERROR(__xludf.DUMMYFUNCTION("""COMPUTED_VALUE"""),0.0)</f>
        <v>0</v>
      </c>
      <c r="S1710" s="3"/>
      <c r="T1710" s="5"/>
      <c r="U1710" s="5"/>
      <c r="V1710" s="5"/>
      <c r="W1710" s="5"/>
    </row>
    <row r="1711" ht="15.75" customHeight="1">
      <c r="A1711" s="3">
        <f>IFERROR(__xludf.DUMMYFUNCTION("""COMPUTED_VALUE"""),1711.0)</f>
        <v>1711</v>
      </c>
      <c r="B1711" s="53">
        <f>IFERROR(__xludf.DUMMYFUNCTION("""COMPUTED_VALUE"""),45883.0)</f>
        <v>45883</v>
      </c>
      <c r="C1711" s="3">
        <f>IFERROR(__xludf.DUMMYFUNCTION("""COMPUTED_VALUE"""),6.0)</f>
        <v>6</v>
      </c>
      <c r="D1711" s="3" t="str">
        <f>IFERROR(__xludf.DUMMYFUNCTION("""COMPUTED_VALUE"""),"63b0e73c")</f>
        <v>63b0e73c</v>
      </c>
      <c r="E1711" s="54">
        <f>IFERROR(__xludf.DUMMYFUNCTION("""COMPUTED_VALUE"""),32000.0)</f>
        <v>32000</v>
      </c>
      <c r="F1711" s="3" t="str">
        <f>IFERROR(__xludf.DUMMYFUNCTION("""COMPUTED_VALUE"""),"Aspirant Anccelota Gota")</f>
        <v>Aspirant Anccelota Gota</v>
      </c>
      <c r="G1711" s="3"/>
      <c r="H1711" s="3"/>
      <c r="I1711" s="57">
        <f>IFERROR(__xludf.DUMMYFUNCTION("""COMPUTED_VALUE"""),0.49)</f>
        <v>0.49</v>
      </c>
      <c r="J1711" s="3"/>
      <c r="K1711" s="3"/>
      <c r="L1711" s="54">
        <f>IFERROR(__xludf.DUMMYFUNCTION("""COMPUTED_VALUE"""),42.0)</f>
        <v>42</v>
      </c>
      <c r="M1711" s="3">
        <f>IFERROR(__xludf.DUMMYFUNCTION("""COMPUTED_VALUE"""),100.0)</f>
        <v>100</v>
      </c>
      <c r="N1711" s="3"/>
      <c r="O1711" s="3"/>
      <c r="P1711" s="3"/>
      <c r="Q1711" s="3"/>
      <c r="R1711" s="3">
        <f>IFERROR(__xludf.DUMMYFUNCTION("""COMPUTED_VALUE"""),0.0)</f>
        <v>0</v>
      </c>
      <c r="S1711" s="3"/>
      <c r="T1711" s="5"/>
      <c r="U1711" s="5"/>
      <c r="V1711" s="5"/>
      <c r="W1711" s="5"/>
    </row>
    <row r="1712" ht="15.75" customHeight="1">
      <c r="A1712" s="3">
        <f>IFERROR(__xludf.DUMMYFUNCTION("""COMPUTED_VALUE"""),1712.0)</f>
        <v>1712</v>
      </c>
      <c r="B1712" s="53">
        <f>IFERROR(__xludf.DUMMYFUNCTION("""COMPUTED_VALUE"""),45883.0)</f>
        <v>45883</v>
      </c>
      <c r="C1712" s="3">
        <f>IFERROR(__xludf.DUMMYFUNCTION("""COMPUTED_VALUE"""),8.0)</f>
        <v>8</v>
      </c>
      <c r="D1712" s="3" t="str">
        <f>IFERROR(__xludf.DUMMYFUNCTION("""COMPUTED_VALUE"""),"376dbee6")</f>
        <v>376dbee6</v>
      </c>
      <c r="E1712" s="54">
        <f>IFERROR(__xludf.DUMMYFUNCTION("""COMPUTED_VALUE"""),22000.0)</f>
        <v>22000</v>
      </c>
      <c r="F1712" s="3" t="str">
        <f>IFERROR(__xludf.DUMMYFUNCTION("""COMPUTED_VALUE"""),"Chardonnay")</f>
        <v>Chardonnay</v>
      </c>
      <c r="G1712" s="3"/>
      <c r="H1712" s="3"/>
      <c r="I1712" s="57">
        <f>IFERROR(__xludf.DUMMYFUNCTION("""COMPUTED_VALUE"""),0.26)</f>
        <v>0.26</v>
      </c>
      <c r="J1712" s="3"/>
      <c r="K1712" s="3"/>
      <c r="L1712" s="54">
        <f>IFERROR(__xludf.DUMMYFUNCTION("""COMPUTED_VALUE"""),32.0)</f>
        <v>32</v>
      </c>
      <c r="M1712" s="3">
        <f>IFERROR(__xludf.DUMMYFUNCTION("""COMPUTED_VALUE"""),110.0)</f>
        <v>110</v>
      </c>
      <c r="N1712" s="3"/>
      <c r="O1712" s="3"/>
      <c r="P1712" s="3"/>
      <c r="Q1712" s="3"/>
      <c r="R1712" s="3">
        <f>IFERROR(__xludf.DUMMYFUNCTION("""COMPUTED_VALUE"""),0.0)</f>
        <v>0</v>
      </c>
      <c r="S1712" s="3"/>
      <c r="T1712" s="5"/>
      <c r="U1712" s="5"/>
      <c r="V1712" s="5"/>
      <c r="W1712" s="5"/>
    </row>
    <row r="1713" ht="15.75" customHeight="1">
      <c r="A1713" s="3">
        <f>IFERROR(__xludf.DUMMYFUNCTION("""COMPUTED_VALUE"""),1713.0)</f>
        <v>1713</v>
      </c>
      <c r="B1713" s="53">
        <f>IFERROR(__xludf.DUMMYFUNCTION("""COMPUTED_VALUE"""),45883.0)</f>
        <v>45883</v>
      </c>
      <c r="C1713" s="3">
        <f>IFERROR(__xludf.DUMMYFUNCTION("""COMPUTED_VALUE"""),10.0)</f>
        <v>10</v>
      </c>
      <c r="D1713" s="3" t="str">
        <f>IFERROR(__xludf.DUMMYFUNCTION("""COMPUTED_VALUE"""),"f9bf68a3")</f>
        <v>f9bf68a3</v>
      </c>
      <c r="E1713" s="54">
        <f>IFERROR(__xludf.DUMMYFUNCTION("""COMPUTED_VALUE"""),21000.0)</f>
        <v>21000</v>
      </c>
      <c r="F1713" s="3" t="str">
        <f>IFERROR(__xludf.DUMMYFUNCTION("""COMPUTED_VALUE"""),"Chardonnay")</f>
        <v>Chardonnay</v>
      </c>
      <c r="G1713" s="3"/>
      <c r="H1713" s="3"/>
      <c r="I1713" s="57">
        <f>IFERROR(__xludf.DUMMYFUNCTION("""COMPUTED_VALUE"""),0.2)</f>
        <v>0.2</v>
      </c>
      <c r="J1713" s="3"/>
      <c r="K1713" s="3"/>
      <c r="L1713" s="54">
        <f>IFERROR(__xludf.DUMMYFUNCTION("""COMPUTED_VALUE"""),30.0)</f>
        <v>30</v>
      </c>
      <c r="M1713" s="3">
        <f>IFERROR(__xludf.DUMMYFUNCTION("""COMPUTED_VALUE"""),133.0)</f>
        <v>133</v>
      </c>
      <c r="N1713" s="3"/>
      <c r="O1713" s="3"/>
      <c r="P1713" s="3"/>
      <c r="Q1713" s="3"/>
      <c r="R1713" s="3">
        <f>IFERROR(__xludf.DUMMYFUNCTION("""COMPUTED_VALUE"""),0.0)</f>
        <v>0</v>
      </c>
      <c r="S1713" s="3"/>
      <c r="T1713" s="5"/>
      <c r="U1713" s="5"/>
      <c r="V1713" s="5"/>
      <c r="W1713" s="5"/>
    </row>
    <row r="1714" ht="15.75" customHeight="1">
      <c r="A1714" s="3">
        <f>IFERROR(__xludf.DUMMYFUNCTION("""COMPUTED_VALUE"""),1714.0)</f>
        <v>1714</v>
      </c>
      <c r="B1714" s="53">
        <f>IFERROR(__xludf.DUMMYFUNCTION("""COMPUTED_VALUE"""),45883.0)</f>
        <v>45883</v>
      </c>
      <c r="C1714" s="3">
        <f>IFERROR(__xludf.DUMMYFUNCTION("""COMPUTED_VALUE"""),14.0)</f>
        <v>14</v>
      </c>
      <c r="D1714" s="3" t="str">
        <f>IFERROR(__xludf.DUMMYFUNCTION("""COMPUTED_VALUE"""),"10b87434")</f>
        <v>10b87434</v>
      </c>
      <c r="E1714" s="54">
        <f>IFERROR(__xludf.DUMMYFUNCTION("""COMPUTED_VALUE"""),37000.0)</f>
        <v>37000</v>
      </c>
      <c r="F1714" s="3" t="str">
        <f>IFERROR(__xludf.DUMMYFUNCTION("""COMPUTED_VALUE"""),"Aspirant")</f>
        <v>Aspirant</v>
      </c>
      <c r="G1714" s="3"/>
      <c r="H1714" s="3"/>
      <c r="I1714" s="57">
        <f>IFERROR(__xludf.DUMMYFUNCTION("""COMPUTED_VALUE"""),0.39)</f>
        <v>0.39</v>
      </c>
      <c r="J1714" s="3"/>
      <c r="K1714" s="3"/>
      <c r="L1714" s="54">
        <f>IFERROR(__xludf.DUMMYFUNCTION("""COMPUTED_VALUE"""),43.0)</f>
        <v>43</v>
      </c>
      <c r="M1714" s="3">
        <f>IFERROR(__xludf.DUMMYFUNCTION("""COMPUTED_VALUE"""),77.0)</f>
        <v>77</v>
      </c>
      <c r="N1714" s="3"/>
      <c r="O1714" s="3"/>
      <c r="P1714" s="3"/>
      <c r="Q1714" s="3"/>
      <c r="R1714" s="3">
        <f>IFERROR(__xludf.DUMMYFUNCTION("""COMPUTED_VALUE"""),0.0)</f>
        <v>0</v>
      </c>
      <c r="S1714" s="3"/>
      <c r="T1714" s="5"/>
      <c r="U1714" s="5"/>
      <c r="V1714" s="5"/>
      <c r="W1714" s="5"/>
    </row>
    <row r="1715" ht="15.75" customHeight="1">
      <c r="A1715" s="3">
        <f>IFERROR(__xludf.DUMMYFUNCTION("""COMPUTED_VALUE"""),1715.0)</f>
        <v>1715</v>
      </c>
      <c r="B1715" s="53">
        <f>IFERROR(__xludf.DUMMYFUNCTION("""COMPUTED_VALUE"""),45883.0)</f>
        <v>45883</v>
      </c>
      <c r="C1715" s="3">
        <f>IFERROR(__xludf.DUMMYFUNCTION("""COMPUTED_VALUE"""),16.0)</f>
        <v>16</v>
      </c>
      <c r="D1715" s="3" t="str">
        <f>IFERROR(__xludf.DUMMYFUNCTION("""COMPUTED_VALUE"""),"869e8a1b")</f>
        <v>869e8a1b</v>
      </c>
      <c r="E1715" s="54">
        <f>IFERROR(__xludf.DUMMYFUNCTION("""COMPUTED_VALUE"""),19500.0)</f>
        <v>19500</v>
      </c>
      <c r="F1715" s="3" t="str">
        <f>IFERROR(__xludf.DUMMYFUNCTION("""COMPUTED_VALUE"""),"Syrah")</f>
        <v>Syrah</v>
      </c>
      <c r="G1715" s="3"/>
      <c r="H1715" s="3"/>
      <c r="I1715" s="57">
        <f>IFERROR(__xludf.DUMMYFUNCTION("""COMPUTED_VALUE"""),0.49)</f>
        <v>0.49</v>
      </c>
      <c r="J1715" s="3"/>
      <c r="K1715" s="3"/>
      <c r="L1715" s="54">
        <f>IFERROR(__xludf.DUMMYFUNCTION("""COMPUTED_VALUE"""),38.0)</f>
        <v>38</v>
      </c>
      <c r="M1715" s="3">
        <f>IFERROR(__xludf.DUMMYFUNCTION("""COMPUTED_VALUE"""),144.0)</f>
        <v>144</v>
      </c>
      <c r="N1715" s="3"/>
      <c r="O1715" s="3"/>
      <c r="P1715" s="3"/>
      <c r="Q1715" s="3"/>
      <c r="R1715" s="3">
        <f>IFERROR(__xludf.DUMMYFUNCTION("""COMPUTED_VALUE"""),0.0)</f>
        <v>0</v>
      </c>
      <c r="S1715" s="3"/>
      <c r="T1715" s="5"/>
      <c r="U1715" s="5"/>
      <c r="V1715" s="5"/>
      <c r="W1715" s="5"/>
    </row>
    <row r="1716" ht="15.75" customHeight="1">
      <c r="A1716" s="3">
        <f>IFERROR(__xludf.DUMMYFUNCTION("""COMPUTED_VALUE"""),1716.0)</f>
        <v>1716</v>
      </c>
      <c r="B1716" s="53">
        <f>IFERROR(__xludf.DUMMYFUNCTION("""COMPUTED_VALUE"""),45883.0)</f>
        <v>45883</v>
      </c>
      <c r="C1716" s="3">
        <f>IFERROR(__xludf.DUMMYFUNCTION("""COMPUTED_VALUE"""),25.0)</f>
        <v>25</v>
      </c>
      <c r="D1716" s="3" t="str">
        <f>IFERROR(__xludf.DUMMYFUNCTION("""COMPUTED_VALUE"""),"a2728d01")</f>
        <v>a2728d01</v>
      </c>
      <c r="E1716" s="54">
        <f>IFERROR(__xludf.DUMMYFUNCTION("""COMPUTED_VALUE"""),194300.0)</f>
        <v>194300</v>
      </c>
      <c r="F1716" s="3" t="str">
        <f>IFERROR(__xludf.DUMMYFUNCTION("""COMPUTED_VALUE"""),"Syrah")</f>
        <v>Syrah</v>
      </c>
      <c r="G1716" s="3"/>
      <c r="H1716" s="3"/>
      <c r="I1716" s="57">
        <f>IFERROR(__xludf.DUMMYFUNCTION("""COMPUTED_VALUE"""),0.58)</f>
        <v>0.58</v>
      </c>
      <c r="J1716" s="3"/>
      <c r="K1716" s="3"/>
      <c r="L1716" s="54">
        <f>IFERROR(__xludf.DUMMYFUNCTION("""COMPUTED_VALUE"""),40.0)</f>
        <v>40</v>
      </c>
      <c r="M1716" s="3">
        <f>IFERROR(__xludf.DUMMYFUNCTION("""COMPUTED_VALUE"""),120.0)</f>
        <v>120</v>
      </c>
      <c r="N1716" s="3"/>
      <c r="O1716" s="3"/>
      <c r="P1716" s="3"/>
      <c r="Q1716" s="3"/>
      <c r="R1716" s="3">
        <f>IFERROR(__xludf.DUMMYFUNCTION("""COMPUTED_VALUE"""),0.0)</f>
        <v>0</v>
      </c>
      <c r="S1716" s="3"/>
      <c r="T1716" s="5"/>
      <c r="U1716" s="5"/>
      <c r="V1716" s="5"/>
      <c r="W1716" s="5"/>
    </row>
    <row r="1717" ht="15.75" customHeight="1">
      <c r="A1717" s="3">
        <f>IFERROR(__xludf.DUMMYFUNCTION("""COMPUTED_VALUE"""),1717.0)</f>
        <v>1717</v>
      </c>
      <c r="B1717" s="53">
        <f>IFERROR(__xludf.DUMMYFUNCTION("""COMPUTED_VALUE"""),45883.0)</f>
        <v>45883</v>
      </c>
      <c r="C1717" s="3">
        <f>IFERROR(__xludf.DUMMYFUNCTION("""COMPUTED_VALUE"""),33.0)</f>
        <v>33</v>
      </c>
      <c r="D1717" s="3" t="str">
        <f>IFERROR(__xludf.DUMMYFUNCTION("""COMPUTED_VALUE"""),"7def2139")</f>
        <v>7def2139</v>
      </c>
      <c r="E1717" s="54">
        <f>IFERROR(__xludf.DUMMYFUNCTION("""COMPUTED_VALUE"""),25300.0)</f>
        <v>25300</v>
      </c>
      <c r="F1717" s="3" t="str">
        <f>IFERROR(__xludf.DUMMYFUNCTION("""COMPUTED_VALUE"""),"Chardonnay")</f>
        <v>Chardonnay</v>
      </c>
      <c r="G1717" s="3"/>
      <c r="H1717" s="3"/>
      <c r="I1717" s="57">
        <f>IFERROR(__xludf.DUMMYFUNCTION("""COMPUTED_VALUE"""),0.15)</f>
        <v>0.15</v>
      </c>
      <c r="J1717" s="3"/>
      <c r="K1717" s="3"/>
      <c r="L1717" s="54">
        <f>IFERROR(__xludf.DUMMYFUNCTION("""COMPUTED_VALUE"""),37.0)</f>
        <v>37</v>
      </c>
      <c r="M1717" s="3">
        <f>IFERROR(__xludf.DUMMYFUNCTION("""COMPUTED_VALUE"""),118.0)</f>
        <v>118</v>
      </c>
      <c r="N1717" s="3"/>
      <c r="O1717" s="3"/>
      <c r="P1717" s="3"/>
      <c r="Q1717" s="3"/>
      <c r="R1717" s="3">
        <f>IFERROR(__xludf.DUMMYFUNCTION("""COMPUTED_VALUE"""),0.0)</f>
        <v>0</v>
      </c>
      <c r="S1717" s="3"/>
      <c r="T1717" s="5"/>
      <c r="U1717" s="5"/>
      <c r="V1717" s="5"/>
      <c r="W1717" s="5"/>
    </row>
    <row r="1718" ht="15.75" customHeight="1">
      <c r="A1718" s="3">
        <f>IFERROR(__xludf.DUMMYFUNCTION("""COMPUTED_VALUE"""),1718.0)</f>
        <v>1718</v>
      </c>
      <c r="B1718" s="53">
        <f>IFERROR(__xludf.DUMMYFUNCTION("""COMPUTED_VALUE"""),45883.0)</f>
        <v>45883</v>
      </c>
      <c r="C1718" s="3">
        <f>IFERROR(__xludf.DUMMYFUNCTION("""COMPUTED_VALUE"""),34.0)</f>
        <v>34</v>
      </c>
      <c r="D1718" s="3" t="str">
        <f>IFERROR(__xludf.DUMMYFUNCTION("""COMPUTED_VALUE"""),"08cd1438")</f>
        <v>08cd1438</v>
      </c>
      <c r="E1718" s="54">
        <f>IFERROR(__xludf.DUMMYFUNCTION("""COMPUTED_VALUE"""),39500.0)</f>
        <v>39500</v>
      </c>
      <c r="F1718" s="3" t="str">
        <f>IFERROR(__xludf.DUMMYFUNCTION("""COMPUTED_VALUE"""),"Malbec")</f>
        <v>Malbec</v>
      </c>
      <c r="G1718" s="3"/>
      <c r="H1718" s="3"/>
      <c r="I1718" s="57">
        <f>IFERROR(__xludf.DUMMYFUNCTION("""COMPUTED_VALUE"""),0.53)</f>
        <v>0.53</v>
      </c>
      <c r="J1718" s="3"/>
      <c r="K1718" s="3"/>
      <c r="L1718" s="54">
        <f>IFERROR(__xludf.DUMMYFUNCTION("""COMPUTED_VALUE"""),38.0)</f>
        <v>38</v>
      </c>
      <c r="M1718" s="3">
        <f>IFERROR(__xludf.DUMMYFUNCTION("""COMPUTED_VALUE"""),171.0)</f>
        <v>171</v>
      </c>
      <c r="N1718" s="3"/>
      <c r="O1718" s="3"/>
      <c r="P1718" s="3"/>
      <c r="Q1718" s="3"/>
      <c r="R1718" s="3">
        <f>IFERROR(__xludf.DUMMYFUNCTION("""COMPUTED_VALUE"""),0.0)</f>
        <v>0</v>
      </c>
      <c r="S1718" s="3"/>
      <c r="T1718" s="5"/>
      <c r="U1718" s="5"/>
      <c r="V1718" s="5"/>
      <c r="W1718" s="5"/>
    </row>
    <row r="1719" ht="15.75" customHeight="1">
      <c r="A1719" s="3">
        <f>IFERROR(__xludf.DUMMYFUNCTION("""COMPUTED_VALUE"""),1719.0)</f>
        <v>1719</v>
      </c>
      <c r="B1719" s="53">
        <f>IFERROR(__xludf.DUMMYFUNCTION("""COMPUTED_VALUE"""),45883.0)</f>
        <v>45883</v>
      </c>
      <c r="C1719" s="3">
        <f>IFERROR(__xludf.DUMMYFUNCTION("""COMPUTED_VALUE"""),36.0)</f>
        <v>36</v>
      </c>
      <c r="D1719" s="3" t="str">
        <f>IFERROR(__xludf.DUMMYFUNCTION("""COMPUTED_VALUE"""),"0997a77d")</f>
        <v>0997a77d</v>
      </c>
      <c r="E1719" s="54">
        <f>IFERROR(__xludf.DUMMYFUNCTION("""COMPUTED_VALUE"""),19700.0)</f>
        <v>19700</v>
      </c>
      <c r="F1719" s="3" t="str">
        <f>IFERROR(__xludf.DUMMYFUNCTION("""COMPUTED_VALUE"""),"Torrontes")</f>
        <v>Torrontes</v>
      </c>
      <c r="G1719" s="3"/>
      <c r="H1719" s="3"/>
      <c r="I1719" s="57">
        <f>IFERROR(__xludf.DUMMYFUNCTION("""COMPUTED_VALUE"""),0.27)</f>
        <v>0.27</v>
      </c>
      <c r="J1719" s="3"/>
      <c r="K1719" s="3"/>
      <c r="L1719" s="54">
        <f>IFERROR(__xludf.DUMMYFUNCTION("""COMPUTED_VALUE"""),26.0)</f>
        <v>26</v>
      </c>
      <c r="M1719" s="3">
        <f>IFERROR(__xludf.DUMMYFUNCTION("""COMPUTED_VALUE"""),134.0)</f>
        <v>134</v>
      </c>
      <c r="N1719" s="3"/>
      <c r="O1719" s="3"/>
      <c r="P1719" s="3"/>
      <c r="Q1719" s="3"/>
      <c r="R1719" s="3">
        <f>IFERROR(__xludf.DUMMYFUNCTION("""COMPUTED_VALUE"""),0.0)</f>
        <v>0</v>
      </c>
      <c r="S1719" s="3"/>
      <c r="T1719" s="5"/>
      <c r="U1719" s="5"/>
      <c r="V1719" s="5"/>
      <c r="W1719" s="5"/>
    </row>
    <row r="1720" ht="15.75" customHeight="1">
      <c r="A1720" s="3">
        <f>IFERROR(__xludf.DUMMYFUNCTION("""COMPUTED_VALUE"""),1720.0)</f>
        <v>1720</v>
      </c>
      <c r="B1720" s="3"/>
      <c r="C1720" s="3">
        <f>IFERROR(__xludf.DUMMYFUNCTION("""COMPUTED_VALUE"""),42.0)</f>
        <v>42</v>
      </c>
      <c r="D1720" s="3" t="str">
        <f>IFERROR(__xludf.DUMMYFUNCTION("""COMPUTED_VALUE"""),"dccd4f5e")</f>
        <v>dccd4f5e</v>
      </c>
      <c r="E1720" s="54">
        <f>IFERROR(__xludf.DUMMYFUNCTION("""COMPUTED_VALUE"""),35900.0)</f>
        <v>35900</v>
      </c>
      <c r="F1720" s="3" t="str">
        <f>IFERROR(__xludf.DUMMYFUNCTION("""COMPUTED_VALUE"""),"Bonarda")</f>
        <v>Bonarda</v>
      </c>
      <c r="G1720" s="3"/>
      <c r="H1720" s="3"/>
      <c r="I1720" s="57">
        <f>IFERROR(__xludf.DUMMYFUNCTION("""COMPUTED_VALUE"""),0.45)</f>
        <v>0.45</v>
      </c>
      <c r="J1720" s="3"/>
      <c r="K1720" s="3"/>
      <c r="L1720" s="54">
        <f>IFERROR(__xludf.DUMMYFUNCTION("""COMPUTED_VALUE"""),38.0)</f>
        <v>38</v>
      </c>
      <c r="M1720" s="3">
        <f>IFERROR(__xludf.DUMMYFUNCTION("""COMPUTED_VALUE"""),153.0)</f>
        <v>153</v>
      </c>
      <c r="N1720" s="3"/>
      <c r="O1720" s="3"/>
      <c r="P1720" s="3"/>
      <c r="Q1720" s="3"/>
      <c r="R1720" s="3">
        <f>IFERROR(__xludf.DUMMYFUNCTION("""COMPUTED_VALUE"""),0.0)</f>
        <v>0</v>
      </c>
      <c r="S1720" s="3"/>
      <c r="T1720" s="5"/>
      <c r="U1720" s="5"/>
      <c r="V1720" s="5"/>
      <c r="W1720" s="5"/>
    </row>
    <row r="1721" ht="15.75" customHeight="1">
      <c r="A1721" s="3">
        <f>IFERROR(__xludf.DUMMYFUNCTION("""COMPUTED_VALUE"""),1721.0)</f>
        <v>1721</v>
      </c>
      <c r="B1721" s="53">
        <f>IFERROR(__xludf.DUMMYFUNCTION("""COMPUTED_VALUE"""),45883.0)</f>
        <v>45883</v>
      </c>
      <c r="C1721" s="3">
        <f>IFERROR(__xludf.DUMMYFUNCTION("""COMPUTED_VALUE"""),44.0)</f>
        <v>44</v>
      </c>
      <c r="D1721" s="3" t="str">
        <f>IFERROR(__xludf.DUMMYFUNCTION("""COMPUTED_VALUE"""),"7ae457f1")</f>
        <v>7ae457f1</v>
      </c>
      <c r="E1721" s="54">
        <f>IFERROR(__xludf.DUMMYFUNCTION("""COMPUTED_VALUE"""),19100.0)</f>
        <v>19100</v>
      </c>
      <c r="F1721" s="3" t="str">
        <f>IFERROR(__xludf.DUMMYFUNCTION("""COMPUTED_VALUE"""),"Torrontes")</f>
        <v>Torrontes</v>
      </c>
      <c r="G1721" s="3"/>
      <c r="H1721" s="3"/>
      <c r="I1721" s="57">
        <f>IFERROR(__xludf.DUMMYFUNCTION("""COMPUTED_VALUE"""),0.5)</f>
        <v>0.5</v>
      </c>
      <c r="J1721" s="3"/>
      <c r="K1721" s="3"/>
      <c r="L1721" s="54">
        <f>IFERROR(__xludf.DUMMYFUNCTION("""COMPUTED_VALUE"""),29.0)</f>
        <v>29</v>
      </c>
      <c r="M1721" s="3">
        <f>IFERROR(__xludf.DUMMYFUNCTION("""COMPUTED_VALUE"""),166.0)</f>
        <v>166</v>
      </c>
      <c r="N1721" s="3"/>
      <c r="O1721" s="3"/>
      <c r="P1721" s="3"/>
      <c r="Q1721" s="3"/>
      <c r="R1721" s="3">
        <f>IFERROR(__xludf.DUMMYFUNCTION("""COMPUTED_VALUE"""),0.0)</f>
        <v>0</v>
      </c>
      <c r="S1721" s="3"/>
      <c r="T1721" s="5"/>
      <c r="U1721" s="5"/>
      <c r="V1721" s="5"/>
      <c r="W1721" s="5"/>
    </row>
    <row r="1722" ht="15.75" customHeight="1">
      <c r="A1722" s="3">
        <f>IFERROR(__xludf.DUMMYFUNCTION("""COMPUTED_VALUE"""),1722.0)</f>
        <v>1722</v>
      </c>
      <c r="B1722" s="53">
        <f>IFERROR(__xludf.DUMMYFUNCTION("""COMPUTED_VALUE"""),45883.0)</f>
        <v>45883</v>
      </c>
      <c r="C1722" s="3">
        <f>IFERROR(__xludf.DUMMYFUNCTION("""COMPUTED_VALUE"""),46.0)</f>
        <v>46</v>
      </c>
      <c r="D1722" s="3" t="str">
        <f>IFERROR(__xludf.DUMMYFUNCTION("""COMPUTED_VALUE"""),"9b47717c")</f>
        <v>9b47717c</v>
      </c>
      <c r="E1722" s="54">
        <f>IFERROR(__xludf.DUMMYFUNCTION("""COMPUTED_VALUE"""),29000.0)</f>
        <v>29000</v>
      </c>
      <c r="F1722" s="3" t="str">
        <f>IFERROR(__xludf.DUMMYFUNCTION("""COMPUTED_VALUE"""),"Bonarda")</f>
        <v>Bonarda</v>
      </c>
      <c r="G1722" s="3"/>
      <c r="H1722" s="3"/>
      <c r="I1722" s="57">
        <f>IFERROR(__xludf.DUMMYFUNCTION("""COMPUTED_VALUE"""),0.58)</f>
        <v>0.58</v>
      </c>
      <c r="J1722" s="3"/>
      <c r="K1722" s="3"/>
      <c r="L1722" s="54">
        <f>IFERROR(__xludf.DUMMYFUNCTION("""COMPUTED_VALUE"""),37.0)</f>
        <v>37</v>
      </c>
      <c r="M1722" s="3">
        <f>IFERROR(__xludf.DUMMYFUNCTION("""COMPUTED_VALUE"""),121.0)</f>
        <v>121</v>
      </c>
      <c r="N1722" s="3"/>
      <c r="O1722" s="3"/>
      <c r="P1722" s="3"/>
      <c r="Q1722" s="3"/>
      <c r="R1722" s="3">
        <f>IFERROR(__xludf.DUMMYFUNCTION("""COMPUTED_VALUE"""),0.0)</f>
        <v>0</v>
      </c>
      <c r="S1722" s="3"/>
      <c r="T1722" s="5"/>
      <c r="U1722" s="5"/>
      <c r="V1722" s="5"/>
      <c r="W1722" s="5"/>
    </row>
    <row r="1723" ht="15.75" customHeight="1">
      <c r="A1723" s="3">
        <f>IFERROR(__xludf.DUMMYFUNCTION("""COMPUTED_VALUE"""),1723.0)</f>
        <v>1723</v>
      </c>
      <c r="B1723" s="53">
        <f>IFERROR(__xludf.DUMMYFUNCTION("""COMPUTED_VALUE"""),45883.0)</f>
        <v>45883</v>
      </c>
      <c r="C1723" s="3">
        <f>IFERROR(__xludf.DUMMYFUNCTION("""COMPUTED_VALUE"""),48.0)</f>
        <v>48</v>
      </c>
      <c r="D1723" s="3" t="str">
        <f>IFERROR(__xludf.DUMMYFUNCTION("""COMPUTED_VALUE"""),"ef198a97")</f>
        <v>ef198a97</v>
      </c>
      <c r="E1723" s="54">
        <f>IFERROR(__xludf.DUMMYFUNCTION("""COMPUTED_VALUE"""),26000.0)</f>
        <v>26000</v>
      </c>
      <c r="F1723" s="3" t="str">
        <f>IFERROR(__xludf.DUMMYFUNCTION("""COMPUTED_VALUE"""),"Pedro Gimenez")</f>
        <v>Pedro Gimenez</v>
      </c>
      <c r="G1723" s="3"/>
      <c r="H1723" s="3"/>
      <c r="I1723" s="57">
        <f>IFERROR(__xludf.DUMMYFUNCTION("""COMPUTED_VALUE"""),0.29)</f>
        <v>0.29</v>
      </c>
      <c r="J1723" s="3"/>
      <c r="K1723" s="3"/>
      <c r="L1723" s="54">
        <f>IFERROR(__xludf.DUMMYFUNCTION("""COMPUTED_VALUE"""),26.0)</f>
        <v>26</v>
      </c>
      <c r="M1723" s="3">
        <f>IFERROR(__xludf.DUMMYFUNCTION("""COMPUTED_VALUE"""),115.0)</f>
        <v>115</v>
      </c>
      <c r="N1723" s="3"/>
      <c r="O1723" s="3"/>
      <c r="P1723" s="3"/>
      <c r="Q1723" s="3"/>
      <c r="R1723" s="3">
        <f>IFERROR(__xludf.DUMMYFUNCTION("""COMPUTED_VALUE"""),0.0)</f>
        <v>0</v>
      </c>
      <c r="S1723" s="3"/>
      <c r="T1723" s="5"/>
      <c r="U1723" s="5"/>
      <c r="V1723" s="5"/>
      <c r="W1723" s="5"/>
    </row>
    <row r="1724" ht="15.75" customHeight="1">
      <c r="A1724" s="3">
        <f>IFERROR(__xludf.DUMMYFUNCTION("""COMPUTED_VALUE"""),1724.0)</f>
        <v>1724</v>
      </c>
      <c r="B1724" s="53">
        <f>IFERROR(__xludf.DUMMYFUNCTION("""COMPUTED_VALUE"""),45888.0)</f>
        <v>45888</v>
      </c>
      <c r="C1724" s="3">
        <f>IFERROR(__xludf.DUMMYFUNCTION("""COMPUTED_VALUE"""),53.0)</f>
        <v>53</v>
      </c>
      <c r="D1724" s="3" t="str">
        <f>IFERROR(__xludf.DUMMYFUNCTION("""COMPUTED_VALUE"""),"da5fcb21")</f>
        <v>da5fcb21</v>
      </c>
      <c r="E1724" s="54">
        <f>IFERROR(__xludf.DUMMYFUNCTION("""COMPUTED_VALUE"""),22000.0)</f>
        <v>22000</v>
      </c>
      <c r="F1724" s="3" t="str">
        <f>IFERROR(__xludf.DUMMYFUNCTION("""COMPUTED_VALUE"""),"Tanat")</f>
        <v>Tanat</v>
      </c>
      <c r="G1724" s="3"/>
      <c r="H1724" s="3"/>
      <c r="I1724" s="3"/>
      <c r="J1724" s="3"/>
      <c r="K1724" s="3"/>
      <c r="L1724" s="54">
        <f>IFERROR(__xludf.DUMMYFUNCTION("""COMPUTED_VALUE"""),38.0)</f>
        <v>38</v>
      </c>
      <c r="M1724" s="3">
        <f>IFERROR(__xludf.DUMMYFUNCTION("""COMPUTED_VALUE"""),115.0)</f>
        <v>115</v>
      </c>
      <c r="N1724" s="3"/>
      <c r="O1724" s="3"/>
      <c r="P1724" s="3"/>
      <c r="Q1724" s="3"/>
      <c r="R1724" s="3">
        <f>IFERROR(__xludf.DUMMYFUNCTION("""COMPUTED_VALUE"""),0.0)</f>
        <v>0</v>
      </c>
      <c r="S1724" s="3"/>
      <c r="T1724" s="5"/>
      <c r="U1724" s="5"/>
      <c r="V1724" s="5"/>
      <c r="W1724" s="5"/>
    </row>
    <row r="1725" ht="15.75" customHeight="1">
      <c r="A1725" s="3">
        <f>IFERROR(__xludf.DUMMYFUNCTION("""COMPUTED_VALUE"""),1725.0)</f>
        <v>1725</v>
      </c>
      <c r="B1725" s="53">
        <f>IFERROR(__xludf.DUMMYFUNCTION("""COMPUTED_VALUE"""),45888.0)</f>
        <v>45888</v>
      </c>
      <c r="C1725" s="3">
        <f>IFERROR(__xludf.DUMMYFUNCTION("""COMPUTED_VALUE"""),54.0)</f>
        <v>54</v>
      </c>
      <c r="D1725" s="3" t="str">
        <f>IFERROR(__xludf.DUMMYFUNCTION("""COMPUTED_VALUE"""),"5c87f162")</f>
        <v>5c87f162</v>
      </c>
      <c r="E1725" s="54">
        <f>IFERROR(__xludf.DUMMYFUNCTION("""COMPUTED_VALUE"""),22900.0)</f>
        <v>22900</v>
      </c>
      <c r="F1725" s="3" t="str">
        <f>IFERROR(__xludf.DUMMYFUNCTION("""COMPUTED_VALUE"""),"Syrah")</f>
        <v>Syrah</v>
      </c>
      <c r="G1725" s="3"/>
      <c r="H1725" s="3"/>
      <c r="I1725" s="3"/>
      <c r="J1725" s="3"/>
      <c r="K1725" s="3"/>
      <c r="L1725" s="54">
        <f>IFERROR(__xludf.DUMMYFUNCTION("""COMPUTED_VALUE"""),40.0)</f>
        <v>40</v>
      </c>
      <c r="M1725" s="3">
        <f>IFERROR(__xludf.DUMMYFUNCTION("""COMPUTED_VALUE"""),106.0)</f>
        <v>106</v>
      </c>
      <c r="N1725" s="3"/>
      <c r="O1725" s="3"/>
      <c r="P1725" s="3"/>
      <c r="Q1725" s="3"/>
      <c r="R1725" s="3">
        <f>IFERROR(__xludf.DUMMYFUNCTION("""COMPUTED_VALUE"""),0.0)</f>
        <v>0</v>
      </c>
      <c r="S1725" s="3"/>
      <c r="T1725" s="5"/>
      <c r="U1725" s="5"/>
      <c r="V1725" s="5"/>
      <c r="W1725" s="5"/>
    </row>
    <row r="1726" ht="15.75" customHeight="1">
      <c r="A1726" s="3">
        <f>IFERROR(__xludf.DUMMYFUNCTION("""COMPUTED_VALUE"""),1726.0)</f>
        <v>1726</v>
      </c>
      <c r="B1726" s="53">
        <f>IFERROR(__xludf.DUMMYFUNCTION("""COMPUTED_VALUE"""),45888.0)</f>
        <v>45888</v>
      </c>
      <c r="C1726" s="3">
        <f>IFERROR(__xludf.DUMMYFUNCTION("""COMPUTED_VALUE"""),55.0)</f>
        <v>55</v>
      </c>
      <c r="D1726" s="3" t="str">
        <f>IFERROR(__xludf.DUMMYFUNCTION("""COMPUTED_VALUE"""),"2d412906")</f>
        <v>2d412906</v>
      </c>
      <c r="E1726" s="54">
        <f>IFERROR(__xludf.DUMMYFUNCTION("""COMPUTED_VALUE"""),3000.0)</f>
        <v>3000</v>
      </c>
      <c r="F1726" s="3" t="str">
        <f>IFERROR(__xludf.DUMMYFUNCTION("""COMPUTED_VALUE"""),"Chardonnay")</f>
        <v>Chardonnay</v>
      </c>
      <c r="G1726" s="3"/>
      <c r="H1726" s="3"/>
      <c r="I1726" s="3"/>
      <c r="J1726" s="3"/>
      <c r="K1726" s="3"/>
      <c r="L1726" s="54">
        <f>IFERROR(__xludf.DUMMYFUNCTION("""COMPUTED_VALUE"""),38.0)</f>
        <v>38</v>
      </c>
      <c r="M1726" s="3">
        <f>IFERROR(__xludf.DUMMYFUNCTION("""COMPUTED_VALUE"""),130.0)</f>
        <v>130</v>
      </c>
      <c r="N1726" s="3"/>
      <c r="O1726" s="3"/>
      <c r="P1726" s="3"/>
      <c r="Q1726" s="3"/>
      <c r="R1726" s="3">
        <f>IFERROR(__xludf.DUMMYFUNCTION("""COMPUTED_VALUE"""),0.0)</f>
        <v>0</v>
      </c>
      <c r="S1726" s="3"/>
      <c r="T1726" s="5"/>
      <c r="U1726" s="5"/>
      <c r="V1726" s="5"/>
      <c r="W1726" s="5"/>
    </row>
    <row r="1727" ht="15.75" customHeight="1">
      <c r="A1727" s="3">
        <f>IFERROR(__xludf.DUMMYFUNCTION("""COMPUTED_VALUE"""),1727.0)</f>
        <v>1727</v>
      </c>
      <c r="B1727" s="53">
        <f>IFERROR(__xludf.DUMMYFUNCTION("""COMPUTED_VALUE"""),45888.0)</f>
        <v>45888</v>
      </c>
      <c r="C1727" s="3">
        <f>IFERROR(__xludf.DUMMYFUNCTION("""COMPUTED_VALUE"""),65.0)</f>
        <v>65</v>
      </c>
      <c r="D1727" s="3" t="str">
        <f>IFERROR(__xludf.DUMMYFUNCTION("""COMPUTED_VALUE"""),"4d3f24b6")</f>
        <v>4d3f24b6</v>
      </c>
      <c r="E1727" s="54">
        <f>IFERROR(__xludf.DUMMYFUNCTION("""COMPUTED_VALUE"""),35500.0)</f>
        <v>35500</v>
      </c>
      <c r="F1727" s="3" t="str">
        <f>IFERROR(__xludf.DUMMYFUNCTION("""COMPUTED_VALUE"""),"Cabernet Sauvignon")</f>
        <v>Cabernet Sauvignon</v>
      </c>
      <c r="G1727" s="3"/>
      <c r="H1727" s="3"/>
      <c r="I1727" s="3"/>
      <c r="J1727" s="3"/>
      <c r="K1727" s="3"/>
      <c r="L1727" s="54">
        <f>IFERROR(__xludf.DUMMYFUNCTION("""COMPUTED_VALUE"""),39.0)</f>
        <v>39</v>
      </c>
      <c r="M1727" s="3">
        <f>IFERROR(__xludf.DUMMYFUNCTION("""COMPUTED_VALUE"""),140.0)</f>
        <v>140</v>
      </c>
      <c r="N1727" s="3"/>
      <c r="O1727" s="3"/>
      <c r="P1727" s="3"/>
      <c r="Q1727" s="3"/>
      <c r="R1727" s="3">
        <f>IFERROR(__xludf.DUMMYFUNCTION("""COMPUTED_VALUE"""),0.0)</f>
        <v>0</v>
      </c>
      <c r="S1727" s="3"/>
      <c r="T1727" s="5"/>
      <c r="U1727" s="5"/>
      <c r="V1727" s="5"/>
      <c r="W1727" s="5"/>
    </row>
    <row r="1728" ht="15.75" customHeight="1">
      <c r="A1728" s="3">
        <f>IFERROR(__xludf.DUMMYFUNCTION("""COMPUTED_VALUE"""),1728.0)</f>
        <v>1728</v>
      </c>
      <c r="B1728" s="53">
        <f>IFERROR(__xludf.DUMMYFUNCTION("""COMPUTED_VALUE"""),45888.0)</f>
        <v>45888</v>
      </c>
      <c r="C1728" s="3">
        <f>IFERROR(__xludf.DUMMYFUNCTION("""COMPUTED_VALUE"""),66.0)</f>
        <v>66</v>
      </c>
      <c r="D1728" s="3" t="str">
        <f>IFERROR(__xludf.DUMMYFUNCTION("""COMPUTED_VALUE"""),"d52c4944")</f>
        <v>d52c4944</v>
      </c>
      <c r="E1728" s="54">
        <f>IFERROR(__xludf.DUMMYFUNCTION("""COMPUTED_VALUE"""),23000.0)</f>
        <v>23000</v>
      </c>
      <c r="F1728" s="3" t="str">
        <f>IFERROR(__xludf.DUMMYFUNCTION("""COMPUTED_VALUE"""),"Cabernet Sauvignon")</f>
        <v>Cabernet Sauvignon</v>
      </c>
      <c r="G1728" s="3"/>
      <c r="H1728" s="3"/>
      <c r="I1728" s="3"/>
      <c r="J1728" s="3"/>
      <c r="K1728" s="3"/>
      <c r="L1728" s="54">
        <f>IFERROR(__xludf.DUMMYFUNCTION("""COMPUTED_VALUE"""),40.0)</f>
        <v>40</v>
      </c>
      <c r="M1728" s="3">
        <f>IFERROR(__xludf.DUMMYFUNCTION("""COMPUTED_VALUE"""),140.0)</f>
        <v>140</v>
      </c>
      <c r="N1728" s="3"/>
      <c r="O1728" s="3"/>
      <c r="P1728" s="3"/>
      <c r="Q1728" s="3"/>
      <c r="R1728" s="3">
        <f>IFERROR(__xludf.DUMMYFUNCTION("""COMPUTED_VALUE"""),0.0)</f>
        <v>0</v>
      </c>
      <c r="S1728" s="3"/>
      <c r="T1728" s="5"/>
      <c r="U1728" s="5"/>
      <c r="V1728" s="5"/>
      <c r="W1728" s="5"/>
    </row>
    <row r="1729" ht="15.75" customHeight="1">
      <c r="A1729" s="3">
        <f>IFERROR(__xludf.DUMMYFUNCTION("""COMPUTED_VALUE"""),1729.0)</f>
        <v>1729</v>
      </c>
      <c r="B1729" s="53">
        <f>IFERROR(__xludf.DUMMYFUNCTION("""COMPUTED_VALUE"""),45888.0)</f>
        <v>45888</v>
      </c>
      <c r="C1729" s="3">
        <f>IFERROR(__xludf.DUMMYFUNCTION("""COMPUTED_VALUE"""),67.0)</f>
        <v>67</v>
      </c>
      <c r="D1729" s="3" t="str">
        <f>IFERROR(__xludf.DUMMYFUNCTION("""COMPUTED_VALUE"""),"eb6cce4f")</f>
        <v>eb6cce4f</v>
      </c>
      <c r="E1729" s="54">
        <f>IFERROR(__xludf.DUMMYFUNCTION("""COMPUTED_VALUE"""),23000.0)</f>
        <v>23000</v>
      </c>
      <c r="F1729" s="3" t="str">
        <f>IFERROR(__xludf.DUMMYFUNCTION("""COMPUTED_VALUE"""),"Anccelotta")</f>
        <v>Anccelotta</v>
      </c>
      <c r="G1729" s="3"/>
      <c r="H1729" s="3"/>
      <c r="I1729" s="3"/>
      <c r="J1729" s="3"/>
      <c r="K1729" s="3"/>
      <c r="L1729" s="54">
        <f>IFERROR(__xludf.DUMMYFUNCTION("""COMPUTED_VALUE"""),46.0)</f>
        <v>46</v>
      </c>
      <c r="M1729" s="3">
        <f>IFERROR(__xludf.DUMMYFUNCTION("""COMPUTED_VALUE"""),130.0)</f>
        <v>130</v>
      </c>
      <c r="N1729" s="3"/>
      <c r="O1729" s="3"/>
      <c r="P1729" s="3"/>
      <c r="Q1729" s="3"/>
      <c r="R1729" s="3">
        <f>IFERROR(__xludf.DUMMYFUNCTION("""COMPUTED_VALUE"""),0.0)</f>
        <v>0</v>
      </c>
      <c r="S1729" s="3"/>
      <c r="T1729" s="5"/>
      <c r="U1729" s="5"/>
      <c r="V1729" s="5"/>
      <c r="W1729" s="5"/>
    </row>
    <row r="1730" ht="15.75" customHeight="1">
      <c r="A1730" s="3">
        <f>IFERROR(__xludf.DUMMYFUNCTION("""COMPUTED_VALUE"""),1730.0)</f>
        <v>1730</v>
      </c>
      <c r="B1730" s="53">
        <f>IFERROR(__xludf.DUMMYFUNCTION("""COMPUTED_VALUE"""),45888.0)</f>
        <v>45888</v>
      </c>
      <c r="C1730" s="3">
        <f>IFERROR(__xludf.DUMMYFUNCTION("""COMPUTED_VALUE"""),71.0)</f>
        <v>71</v>
      </c>
      <c r="D1730" s="3" t="str">
        <f>IFERROR(__xludf.DUMMYFUNCTION("""COMPUTED_VALUE"""),"7a61df09")</f>
        <v>7a61df09</v>
      </c>
      <c r="E1730" s="54">
        <f>IFERROR(__xludf.DUMMYFUNCTION("""COMPUTED_VALUE"""),11500.0)</f>
        <v>11500</v>
      </c>
      <c r="F1730" s="3" t="str">
        <f>IFERROR(__xludf.DUMMYFUNCTION("""COMPUTED_VALUE"""),"Tinto")</f>
        <v>Tinto</v>
      </c>
      <c r="G1730" s="3"/>
      <c r="H1730" s="3"/>
      <c r="I1730" s="3"/>
      <c r="J1730" s="3"/>
      <c r="K1730" s="3"/>
      <c r="L1730" s="54">
        <f>IFERROR(__xludf.DUMMYFUNCTION("""COMPUTED_VALUE"""),46.0)</f>
        <v>46</v>
      </c>
      <c r="M1730" s="3">
        <f>IFERROR(__xludf.DUMMYFUNCTION("""COMPUTED_VALUE"""),145.0)</f>
        <v>145</v>
      </c>
      <c r="N1730" s="3"/>
      <c r="O1730" s="3"/>
      <c r="P1730" s="3"/>
      <c r="Q1730" s="3"/>
      <c r="R1730" s="3">
        <f>IFERROR(__xludf.DUMMYFUNCTION("""COMPUTED_VALUE"""),0.0)</f>
        <v>0</v>
      </c>
      <c r="S1730" s="3"/>
      <c r="T1730" s="5"/>
      <c r="U1730" s="5"/>
      <c r="V1730" s="5"/>
      <c r="W1730" s="5"/>
    </row>
    <row r="1731" ht="15.75" customHeight="1">
      <c r="A1731" s="3">
        <f>IFERROR(__xludf.DUMMYFUNCTION("""COMPUTED_VALUE"""),1731.0)</f>
        <v>1731</v>
      </c>
      <c r="B1731" s="53">
        <f>IFERROR(__xludf.DUMMYFUNCTION("""COMPUTED_VALUE"""),45888.0)</f>
        <v>45888</v>
      </c>
      <c r="C1731" s="3">
        <f>IFERROR(__xludf.DUMMYFUNCTION("""COMPUTED_VALUE"""),75.0)</f>
        <v>75</v>
      </c>
      <c r="D1731" s="3" t="str">
        <f>IFERROR(__xludf.DUMMYFUNCTION("""COMPUTED_VALUE"""),"7a9e7f06")</f>
        <v>7a9e7f06</v>
      </c>
      <c r="E1731" s="54">
        <f>IFERROR(__xludf.DUMMYFUNCTION("""COMPUTED_VALUE"""),7000.0)</f>
        <v>7000</v>
      </c>
      <c r="F1731" s="3" t="str">
        <f>IFERROR(__xludf.DUMMYFUNCTION("""COMPUTED_VALUE"""),"Tanat")</f>
        <v>Tanat</v>
      </c>
      <c r="G1731" s="3"/>
      <c r="H1731" s="3"/>
      <c r="I1731" s="3"/>
      <c r="J1731" s="3"/>
      <c r="K1731" s="3"/>
      <c r="L1731" s="54">
        <f>IFERROR(__xludf.DUMMYFUNCTION("""COMPUTED_VALUE"""),43.0)</f>
        <v>43</v>
      </c>
      <c r="M1731" s="3">
        <f>IFERROR(__xludf.DUMMYFUNCTION("""COMPUTED_VALUE"""),120.0)</f>
        <v>120</v>
      </c>
      <c r="N1731" s="3"/>
      <c r="O1731" s="3"/>
      <c r="P1731" s="3"/>
      <c r="Q1731" s="3"/>
      <c r="R1731" s="3">
        <f>IFERROR(__xludf.DUMMYFUNCTION("""COMPUTED_VALUE"""),0.0)</f>
        <v>0</v>
      </c>
      <c r="S1731" s="3"/>
      <c r="T1731" s="5"/>
      <c r="U1731" s="5"/>
      <c r="V1731" s="5"/>
      <c r="W1731" s="5"/>
    </row>
    <row r="1732" ht="15.75" customHeight="1">
      <c r="A1732" s="3">
        <f>IFERROR(__xludf.DUMMYFUNCTION("""COMPUTED_VALUE"""),1732.0)</f>
        <v>1732</v>
      </c>
      <c r="B1732" s="53">
        <f>IFERROR(__xludf.DUMMYFUNCTION("""COMPUTED_VALUE"""),45888.0)</f>
        <v>45888</v>
      </c>
      <c r="C1732" s="3">
        <f>IFERROR(__xludf.DUMMYFUNCTION("""COMPUTED_VALUE"""),83.0)</f>
        <v>83</v>
      </c>
      <c r="D1732" s="3" t="str">
        <f>IFERROR(__xludf.DUMMYFUNCTION("""COMPUTED_VALUE"""),"32396d27")</f>
        <v>32396d27</v>
      </c>
      <c r="E1732" s="54">
        <f>IFERROR(__xludf.DUMMYFUNCTION("""COMPUTED_VALUE"""),81500.0)</f>
        <v>81500</v>
      </c>
      <c r="F1732" s="3" t="str">
        <f>IFERROR(__xludf.DUMMYFUNCTION("""COMPUTED_VALUE"""),"Malbec")</f>
        <v>Malbec</v>
      </c>
      <c r="G1732" s="3"/>
      <c r="H1732" s="3"/>
      <c r="I1732" s="3"/>
      <c r="J1732" s="3"/>
      <c r="K1732" s="3"/>
      <c r="L1732" s="54">
        <f>IFERROR(__xludf.DUMMYFUNCTION("""COMPUTED_VALUE"""),40.0)</f>
        <v>40</v>
      </c>
      <c r="M1732" s="3">
        <f>IFERROR(__xludf.DUMMYFUNCTION("""COMPUTED_VALUE"""),135.0)</f>
        <v>135</v>
      </c>
      <c r="N1732" s="3"/>
      <c r="O1732" s="3"/>
      <c r="P1732" s="3"/>
      <c r="Q1732" s="3"/>
      <c r="R1732" s="3">
        <f>IFERROR(__xludf.DUMMYFUNCTION("""COMPUTED_VALUE"""),0.0)</f>
        <v>0</v>
      </c>
      <c r="S1732" s="3"/>
      <c r="T1732" s="5"/>
      <c r="U1732" s="5"/>
      <c r="V1732" s="5"/>
      <c r="W1732" s="5"/>
    </row>
    <row r="1733" ht="15.75" customHeight="1">
      <c r="A1733" s="3">
        <f>IFERROR(__xludf.DUMMYFUNCTION("""COMPUTED_VALUE"""),1733.0)</f>
        <v>1733</v>
      </c>
      <c r="B1733" s="53">
        <f>IFERROR(__xludf.DUMMYFUNCTION("""COMPUTED_VALUE"""),45888.0)</f>
        <v>45888</v>
      </c>
      <c r="C1733" s="3">
        <f>IFERROR(__xludf.DUMMYFUNCTION("""COMPUTED_VALUE"""),84.0)</f>
        <v>84</v>
      </c>
      <c r="D1733" s="3" t="str">
        <f>IFERROR(__xludf.DUMMYFUNCTION("""COMPUTED_VALUE"""),"52e2d0ea")</f>
        <v>52e2d0ea</v>
      </c>
      <c r="E1733" s="54">
        <f>IFERROR(__xludf.DUMMYFUNCTION("""COMPUTED_VALUE"""),83000.0)</f>
        <v>83000</v>
      </c>
      <c r="F1733" s="3" t="str">
        <f>IFERROR(__xludf.DUMMYFUNCTION("""COMPUTED_VALUE"""),"Malbec")</f>
        <v>Malbec</v>
      </c>
      <c r="G1733" s="3"/>
      <c r="H1733" s="3"/>
      <c r="I1733" s="3"/>
      <c r="J1733" s="3"/>
      <c r="K1733" s="3"/>
      <c r="L1733" s="54">
        <f>IFERROR(__xludf.DUMMYFUNCTION("""COMPUTED_VALUE"""),39.0)</f>
        <v>39</v>
      </c>
      <c r="M1733" s="3">
        <f>IFERROR(__xludf.DUMMYFUNCTION("""COMPUTED_VALUE"""),130.0)</f>
        <v>130</v>
      </c>
      <c r="N1733" s="3"/>
      <c r="O1733" s="3"/>
      <c r="P1733" s="3"/>
      <c r="Q1733" s="3"/>
      <c r="R1733" s="3">
        <f>IFERROR(__xludf.DUMMYFUNCTION("""COMPUTED_VALUE"""),0.0)</f>
        <v>0</v>
      </c>
      <c r="S1733" s="3"/>
      <c r="T1733" s="5"/>
      <c r="U1733" s="5"/>
      <c r="V1733" s="5"/>
      <c r="W1733" s="5"/>
    </row>
    <row r="1734" ht="15.75" customHeight="1">
      <c r="A1734" s="3">
        <f>IFERROR(__xludf.DUMMYFUNCTION("""COMPUTED_VALUE"""),1734.0)</f>
        <v>1734</v>
      </c>
      <c r="B1734" s="53">
        <f>IFERROR(__xludf.DUMMYFUNCTION("""COMPUTED_VALUE"""),45888.0)</f>
        <v>45888</v>
      </c>
      <c r="C1734" s="3">
        <f>IFERROR(__xludf.DUMMYFUNCTION("""COMPUTED_VALUE"""),85.0)</f>
        <v>85</v>
      </c>
      <c r="D1734" s="3" t="str">
        <f>IFERROR(__xludf.DUMMYFUNCTION("""COMPUTED_VALUE"""),"dc08aecd")</f>
        <v>dc08aecd</v>
      </c>
      <c r="E1734" s="54">
        <f>IFERROR(__xludf.DUMMYFUNCTION("""COMPUTED_VALUE"""),84000.0)</f>
        <v>84000</v>
      </c>
      <c r="F1734" s="3" t="str">
        <f>IFERROR(__xludf.DUMMYFUNCTION("""COMPUTED_VALUE"""),"Malbec")</f>
        <v>Malbec</v>
      </c>
      <c r="G1734" s="3"/>
      <c r="H1734" s="3"/>
      <c r="I1734" s="3"/>
      <c r="J1734" s="3"/>
      <c r="K1734" s="3"/>
      <c r="L1734" s="54">
        <f>IFERROR(__xludf.DUMMYFUNCTION("""COMPUTED_VALUE"""),40.0)</f>
        <v>40</v>
      </c>
      <c r="M1734" s="3">
        <f>IFERROR(__xludf.DUMMYFUNCTION("""COMPUTED_VALUE"""),140.0)</f>
        <v>140</v>
      </c>
      <c r="N1734" s="3"/>
      <c r="O1734" s="3"/>
      <c r="P1734" s="3"/>
      <c r="Q1734" s="3"/>
      <c r="R1734" s="3">
        <f>IFERROR(__xludf.DUMMYFUNCTION("""COMPUTED_VALUE"""),0.0)</f>
        <v>0</v>
      </c>
      <c r="S1734" s="3"/>
      <c r="T1734" s="5"/>
      <c r="U1734" s="5"/>
      <c r="V1734" s="5"/>
      <c r="W1734" s="5"/>
    </row>
    <row r="1735" ht="15.75" customHeight="1">
      <c r="A1735" s="3">
        <f>IFERROR(__xludf.DUMMYFUNCTION("""COMPUTED_VALUE"""),1735.0)</f>
        <v>1735</v>
      </c>
      <c r="B1735" s="53">
        <f>IFERROR(__xludf.DUMMYFUNCTION("""COMPUTED_VALUE"""),45888.0)</f>
        <v>45888</v>
      </c>
      <c r="C1735" s="3">
        <f>IFERROR(__xludf.DUMMYFUNCTION("""COMPUTED_VALUE"""),86.0)</f>
        <v>86</v>
      </c>
      <c r="D1735" s="3" t="str">
        <f>IFERROR(__xludf.DUMMYFUNCTION("""COMPUTED_VALUE"""),"734aedeb")</f>
        <v>734aedeb</v>
      </c>
      <c r="E1735" s="54">
        <f>IFERROR(__xludf.DUMMYFUNCTION("""COMPUTED_VALUE"""),88000.0)</f>
        <v>88000</v>
      </c>
      <c r="F1735" s="3" t="str">
        <f>IFERROR(__xludf.DUMMYFUNCTION("""COMPUTED_VALUE"""),"Malbec")</f>
        <v>Malbec</v>
      </c>
      <c r="G1735" s="3"/>
      <c r="H1735" s="3"/>
      <c r="I1735" s="3"/>
      <c r="J1735" s="3"/>
      <c r="K1735" s="3"/>
      <c r="L1735" s="54">
        <f>IFERROR(__xludf.DUMMYFUNCTION("""COMPUTED_VALUE"""),41.0)</f>
        <v>41</v>
      </c>
      <c r="M1735" s="3">
        <f>IFERROR(__xludf.DUMMYFUNCTION("""COMPUTED_VALUE"""),160.0)</f>
        <v>160</v>
      </c>
      <c r="N1735" s="3"/>
      <c r="O1735" s="3"/>
      <c r="P1735" s="3"/>
      <c r="Q1735" s="3"/>
      <c r="R1735" s="3">
        <f>IFERROR(__xludf.DUMMYFUNCTION("""COMPUTED_VALUE"""),0.0)</f>
        <v>0</v>
      </c>
      <c r="S1735" s="3"/>
      <c r="T1735" s="5"/>
      <c r="U1735" s="5"/>
      <c r="V1735" s="5"/>
      <c r="W1735" s="5"/>
    </row>
    <row r="1736" ht="15.75" customHeight="1">
      <c r="A1736" s="3">
        <f>IFERROR(__xludf.DUMMYFUNCTION("""COMPUTED_VALUE"""),1736.0)</f>
        <v>1736</v>
      </c>
      <c r="B1736" s="53">
        <f>IFERROR(__xludf.DUMMYFUNCTION("""COMPUTED_VALUE"""),45889.0)</f>
        <v>45889</v>
      </c>
      <c r="C1736" s="3">
        <f>IFERROR(__xludf.DUMMYFUNCTION("""COMPUTED_VALUE"""),24.0)</f>
        <v>24</v>
      </c>
      <c r="D1736" s="3"/>
      <c r="E1736" s="3"/>
      <c r="F1736" s="3" t="str">
        <f>IFERROR(__xludf.DUMMYFUNCTION("""COMPUTED_VALUE"""),"Corte Garbin Tinto")</f>
        <v>Corte Garbin Tinto</v>
      </c>
      <c r="G1736" s="55">
        <f>IFERROR(__xludf.DUMMYFUNCTION("""COMPUTED_VALUE"""),13.9)</f>
        <v>13.9</v>
      </c>
      <c r="H1736" s="56">
        <f>IFERROR(__xludf.DUMMYFUNCTION("""COMPUTED_VALUE"""),2.0)</f>
        <v>2</v>
      </c>
      <c r="I1736" s="57">
        <f>IFERROR(__xludf.DUMMYFUNCTION("""COMPUTED_VALUE"""),0.58)</f>
        <v>0.58</v>
      </c>
      <c r="J1736" s="57">
        <f>IFERROR(__xludf.DUMMYFUNCTION("""COMPUTED_VALUE"""),5.0)</f>
        <v>5</v>
      </c>
      <c r="K1736" s="3"/>
      <c r="L1736" s="54">
        <f>IFERROR(__xludf.DUMMYFUNCTION("""COMPUTED_VALUE"""),37.0)</f>
        <v>37</v>
      </c>
      <c r="M1736" s="3"/>
      <c r="N1736" s="3"/>
      <c r="O1736" s="3">
        <f>IFERROR(__xludf.DUMMYFUNCTION("""COMPUTED_VALUE"""),302.0)</f>
        <v>302</v>
      </c>
      <c r="P1736" s="3">
        <f>IFERROR(__xludf.DUMMYFUNCTION("""COMPUTED_VALUE"""),490.0)</f>
        <v>490</v>
      </c>
      <c r="Q1736" s="3"/>
      <c r="R1736" s="3">
        <f>IFERROR(__xludf.DUMMYFUNCTION("""COMPUTED_VALUE"""),792.0)</f>
        <v>792</v>
      </c>
      <c r="S1736" s="54">
        <f>IFERROR(__xludf.DUMMYFUNCTION("""COMPUTED_VALUE"""),1285.0331125827815)</f>
        <v>1285.033113</v>
      </c>
      <c r="T1736" s="5"/>
      <c r="U1736" s="5"/>
      <c r="V1736" s="5"/>
      <c r="W1736" s="5"/>
    </row>
    <row r="1737" ht="15.75" customHeight="1">
      <c r="A1737" s="3">
        <f>IFERROR(__xludf.DUMMYFUNCTION("""COMPUTED_VALUE"""),1737.0)</f>
        <v>1737</v>
      </c>
      <c r="B1737" s="53">
        <f>IFERROR(__xludf.DUMMYFUNCTION("""COMPUTED_VALUE"""),45891.0)</f>
        <v>45891</v>
      </c>
      <c r="C1737" s="3">
        <f>IFERROR(__xludf.DUMMYFUNCTION("""COMPUTED_VALUE"""),24.0)</f>
        <v>24</v>
      </c>
      <c r="D1737" s="3" t="str">
        <f>IFERROR(__xludf.DUMMYFUNCTION("""COMPUTED_VALUE"""),"#REF!")</f>
        <v>#REF!</v>
      </c>
      <c r="E1737" s="54">
        <f>IFERROR(__xludf.DUMMYFUNCTION("""COMPUTED_VALUE"""),186600.0)</f>
        <v>186600</v>
      </c>
      <c r="F1737" s="3" t="str">
        <f>IFERROR(__xludf.DUMMYFUNCTION("""COMPUTED_VALUE"""),"Corte Malbec Millán")</f>
        <v>Corte Malbec Millán</v>
      </c>
      <c r="G1737" s="3"/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>
        <f>IFERROR(__xludf.DUMMYFUNCTION("""COMPUTED_VALUE"""),0.0)</f>
        <v>0</v>
      </c>
      <c r="S1737" s="3"/>
      <c r="T1737" s="5"/>
      <c r="U1737" s="5"/>
      <c r="V1737" s="5"/>
      <c r="W1737" s="5"/>
    </row>
    <row r="1738" ht="15.75" customHeight="1">
      <c r="A1738" s="3">
        <f>IFERROR(__xludf.DUMMYFUNCTION("""COMPUTED_VALUE"""),1738.0)</f>
        <v>1738</v>
      </c>
      <c r="B1738" s="53">
        <f>IFERROR(__xludf.DUMMYFUNCTION("""COMPUTED_VALUE"""),45891.0)</f>
        <v>45891</v>
      </c>
      <c r="C1738" s="3">
        <f>IFERROR(__xludf.DUMMYFUNCTION("""COMPUTED_VALUE"""),53.0)</f>
        <v>53</v>
      </c>
      <c r="D1738" s="3" t="str">
        <f>IFERROR(__xludf.DUMMYFUNCTION("""COMPUTED_VALUE"""),"da5fcb21")</f>
        <v>da5fcb21</v>
      </c>
      <c r="E1738" s="54">
        <f>IFERROR(__xludf.DUMMYFUNCTION("""COMPUTED_VALUE"""),22000.0)</f>
        <v>22000</v>
      </c>
      <c r="F1738" s="3" t="str">
        <f>IFERROR(__xludf.DUMMYFUNCTION("""COMPUTED_VALUE"""),"Tanat")</f>
        <v>Tanat</v>
      </c>
      <c r="G1738" s="3"/>
      <c r="H1738" s="3"/>
      <c r="I1738" s="57">
        <f>IFERROR(__xludf.DUMMYFUNCTION("""COMPUTED_VALUE"""),0.56)</f>
        <v>0.56</v>
      </c>
      <c r="J1738" s="3"/>
      <c r="K1738" s="3"/>
      <c r="L1738" s="3"/>
      <c r="M1738" s="3"/>
      <c r="N1738" s="3"/>
      <c r="O1738" s="3"/>
      <c r="P1738" s="3"/>
      <c r="Q1738" s="3"/>
      <c r="R1738" s="3">
        <f>IFERROR(__xludf.DUMMYFUNCTION("""COMPUTED_VALUE"""),0.0)</f>
        <v>0</v>
      </c>
      <c r="S1738" s="3"/>
      <c r="T1738" s="5"/>
      <c r="U1738" s="5"/>
      <c r="V1738" s="5"/>
      <c r="W1738" s="5" t="str">
        <f>IFERROR(__xludf.DUMMYFUNCTION("""COMPUTED_VALUE"""),"SIMON")</f>
        <v>SIMON</v>
      </c>
    </row>
    <row r="1739" ht="15.75" customHeight="1">
      <c r="A1739" s="3">
        <f>IFERROR(__xludf.DUMMYFUNCTION("""COMPUTED_VALUE"""),1739.0)</f>
        <v>1739</v>
      </c>
      <c r="B1739" s="53">
        <f>IFERROR(__xludf.DUMMYFUNCTION("""COMPUTED_VALUE"""),45891.0)</f>
        <v>45891</v>
      </c>
      <c r="C1739" s="3">
        <f>IFERROR(__xludf.DUMMYFUNCTION("""COMPUTED_VALUE"""),54.0)</f>
        <v>54</v>
      </c>
      <c r="D1739" s="3" t="str">
        <f>IFERROR(__xludf.DUMMYFUNCTION("""COMPUTED_VALUE"""),"5c87f162")</f>
        <v>5c87f162</v>
      </c>
      <c r="E1739" s="54">
        <f>IFERROR(__xludf.DUMMYFUNCTION("""COMPUTED_VALUE"""),22900.0)</f>
        <v>22900</v>
      </c>
      <c r="F1739" s="3" t="str">
        <f>IFERROR(__xludf.DUMMYFUNCTION("""COMPUTED_VALUE"""),"Syrah")</f>
        <v>Syrah</v>
      </c>
      <c r="G1739" s="3"/>
      <c r="H1739" s="3"/>
      <c r="I1739" s="57">
        <f>IFERROR(__xludf.DUMMYFUNCTION("""COMPUTED_VALUE"""),0.49)</f>
        <v>0.49</v>
      </c>
      <c r="J1739" s="3"/>
      <c r="K1739" s="3"/>
      <c r="L1739" s="3"/>
      <c r="M1739" s="3"/>
      <c r="N1739" s="3"/>
      <c r="O1739" s="3"/>
      <c r="P1739" s="3"/>
      <c r="Q1739" s="3"/>
      <c r="R1739" s="3">
        <f>IFERROR(__xludf.DUMMYFUNCTION("""COMPUTED_VALUE"""),0.0)</f>
        <v>0</v>
      </c>
      <c r="S1739" s="3"/>
      <c r="T1739" s="5"/>
      <c r="U1739" s="5"/>
      <c r="V1739" s="5"/>
      <c r="W1739" s="5" t="str">
        <f>IFERROR(__xludf.DUMMYFUNCTION("""COMPUTED_VALUE"""),"SIMON")</f>
        <v>SIMON</v>
      </c>
    </row>
    <row r="1740" ht="15.75" customHeight="1">
      <c r="A1740" s="3">
        <f>IFERROR(__xludf.DUMMYFUNCTION("""COMPUTED_VALUE"""),1740.0)</f>
        <v>1740</v>
      </c>
      <c r="B1740" s="53">
        <f>IFERROR(__xludf.DUMMYFUNCTION("""COMPUTED_VALUE"""),45891.0)</f>
        <v>45891</v>
      </c>
      <c r="C1740" s="3">
        <f>IFERROR(__xludf.DUMMYFUNCTION("""COMPUTED_VALUE"""),55.0)</f>
        <v>55</v>
      </c>
      <c r="D1740" s="3" t="str">
        <f>IFERROR(__xludf.DUMMYFUNCTION("""COMPUTED_VALUE"""),"2d412906")</f>
        <v>2d412906</v>
      </c>
      <c r="E1740" s="54">
        <f>IFERROR(__xludf.DUMMYFUNCTION("""COMPUTED_VALUE"""),3000.0)</f>
        <v>3000</v>
      </c>
      <c r="F1740" s="3" t="str">
        <f>IFERROR(__xludf.DUMMYFUNCTION("""COMPUTED_VALUE"""),"Chardonnay")</f>
        <v>Chardonnay</v>
      </c>
      <c r="G1740" s="3"/>
      <c r="H1740" s="3"/>
      <c r="I1740" s="57">
        <f>IFERROR(__xludf.DUMMYFUNCTION("""COMPUTED_VALUE"""),0.28)</f>
        <v>0.28</v>
      </c>
      <c r="J1740" s="3"/>
      <c r="K1740" s="3"/>
      <c r="L1740" s="3"/>
      <c r="M1740" s="3"/>
      <c r="N1740" s="3"/>
      <c r="O1740" s="3"/>
      <c r="P1740" s="3"/>
      <c r="Q1740" s="3"/>
      <c r="R1740" s="3">
        <f>IFERROR(__xludf.DUMMYFUNCTION("""COMPUTED_VALUE"""),0.0)</f>
        <v>0</v>
      </c>
      <c r="S1740" s="3"/>
      <c r="T1740" s="5"/>
      <c r="U1740" s="5"/>
      <c r="V1740" s="5"/>
      <c r="W1740" s="5" t="str">
        <f>IFERROR(__xludf.DUMMYFUNCTION("""COMPUTED_VALUE"""),"SIMON")</f>
        <v>SIMON</v>
      </c>
    </row>
    <row r="1741" ht="15.75" customHeight="1">
      <c r="A1741" s="3">
        <f>IFERROR(__xludf.DUMMYFUNCTION("""COMPUTED_VALUE"""),1741.0)</f>
        <v>1741</v>
      </c>
      <c r="B1741" s="53">
        <f>IFERROR(__xludf.DUMMYFUNCTION("""COMPUTED_VALUE"""),45891.0)</f>
        <v>45891</v>
      </c>
      <c r="C1741" s="3">
        <f>IFERROR(__xludf.DUMMYFUNCTION("""COMPUTED_VALUE"""),65.0)</f>
        <v>65</v>
      </c>
      <c r="D1741" s="3" t="str">
        <f>IFERROR(__xludf.DUMMYFUNCTION("""COMPUTED_VALUE"""),"4d3f24b6")</f>
        <v>4d3f24b6</v>
      </c>
      <c r="E1741" s="54">
        <f>IFERROR(__xludf.DUMMYFUNCTION("""COMPUTED_VALUE"""),35500.0)</f>
        <v>35500</v>
      </c>
      <c r="F1741" s="3" t="str">
        <f>IFERROR(__xludf.DUMMYFUNCTION("""COMPUTED_VALUE"""),"Cabernet Sauvignon")</f>
        <v>Cabernet Sauvignon</v>
      </c>
      <c r="G1741" s="3"/>
      <c r="H1741" s="3"/>
      <c r="I1741" s="57">
        <f>IFERROR(__xludf.DUMMYFUNCTION("""COMPUTED_VALUE"""),0.45)</f>
        <v>0.45</v>
      </c>
      <c r="J1741" s="3"/>
      <c r="K1741" s="3"/>
      <c r="L1741" s="3"/>
      <c r="M1741" s="3"/>
      <c r="N1741" s="3"/>
      <c r="O1741" s="3"/>
      <c r="P1741" s="3"/>
      <c r="Q1741" s="3"/>
      <c r="R1741" s="3">
        <f>IFERROR(__xludf.DUMMYFUNCTION("""COMPUTED_VALUE"""),0.0)</f>
        <v>0</v>
      </c>
      <c r="S1741" s="3"/>
      <c r="T1741" s="5"/>
      <c r="U1741" s="5"/>
      <c r="V1741" s="5"/>
      <c r="W1741" s="5" t="str">
        <f>IFERROR(__xludf.DUMMYFUNCTION("""COMPUTED_VALUE"""),"SIMON")</f>
        <v>SIMON</v>
      </c>
    </row>
    <row r="1742" ht="15.75" customHeight="1">
      <c r="A1742" s="3">
        <f>IFERROR(__xludf.DUMMYFUNCTION("""COMPUTED_VALUE"""),1742.0)</f>
        <v>1742</v>
      </c>
      <c r="B1742" s="53">
        <f>IFERROR(__xludf.DUMMYFUNCTION("""COMPUTED_VALUE"""),45891.0)</f>
        <v>45891</v>
      </c>
      <c r="C1742" s="3">
        <f>IFERROR(__xludf.DUMMYFUNCTION("""COMPUTED_VALUE"""),66.0)</f>
        <v>66</v>
      </c>
      <c r="D1742" s="3" t="str">
        <f>IFERROR(__xludf.DUMMYFUNCTION("""COMPUTED_VALUE"""),"d52c4944")</f>
        <v>d52c4944</v>
      </c>
      <c r="E1742" s="54">
        <f>IFERROR(__xludf.DUMMYFUNCTION("""COMPUTED_VALUE"""),23000.0)</f>
        <v>23000</v>
      </c>
      <c r="F1742" s="3" t="str">
        <f>IFERROR(__xludf.DUMMYFUNCTION("""COMPUTED_VALUE"""),"Cabernet Sauvignon")</f>
        <v>Cabernet Sauvignon</v>
      </c>
      <c r="G1742" s="3"/>
      <c r="H1742" s="3"/>
      <c r="I1742" s="57">
        <f>IFERROR(__xludf.DUMMYFUNCTION("""COMPUTED_VALUE"""),0.49)</f>
        <v>0.49</v>
      </c>
      <c r="J1742" s="3"/>
      <c r="K1742" s="3"/>
      <c r="L1742" s="3"/>
      <c r="M1742" s="3"/>
      <c r="N1742" s="3"/>
      <c r="O1742" s="3"/>
      <c r="P1742" s="3"/>
      <c r="Q1742" s="3"/>
      <c r="R1742" s="3">
        <f>IFERROR(__xludf.DUMMYFUNCTION("""COMPUTED_VALUE"""),0.0)</f>
        <v>0</v>
      </c>
      <c r="S1742" s="3"/>
      <c r="T1742" s="5"/>
      <c r="U1742" s="5"/>
      <c r="V1742" s="5"/>
      <c r="W1742" s="5" t="str">
        <f>IFERROR(__xludf.DUMMYFUNCTION("""COMPUTED_VALUE"""),"SIMON")</f>
        <v>SIMON</v>
      </c>
    </row>
    <row r="1743" ht="15.75" customHeight="1">
      <c r="A1743" s="3">
        <f>IFERROR(__xludf.DUMMYFUNCTION("""COMPUTED_VALUE"""),1743.0)</f>
        <v>1743</v>
      </c>
      <c r="B1743" s="53">
        <f>IFERROR(__xludf.DUMMYFUNCTION("""COMPUTED_VALUE"""),45891.0)</f>
        <v>45891</v>
      </c>
      <c r="C1743" s="3">
        <f>IFERROR(__xludf.DUMMYFUNCTION("""COMPUTED_VALUE"""),71.0)</f>
        <v>71</v>
      </c>
      <c r="D1743" s="3" t="str">
        <f>IFERROR(__xludf.DUMMYFUNCTION("""COMPUTED_VALUE"""),"7a61df09")</f>
        <v>7a61df09</v>
      </c>
      <c r="E1743" s="54">
        <f>IFERROR(__xludf.DUMMYFUNCTION("""COMPUTED_VALUE"""),11500.0)</f>
        <v>11500</v>
      </c>
      <c r="F1743" s="3" t="str">
        <f>IFERROR(__xludf.DUMMYFUNCTION("""COMPUTED_VALUE"""),"Tinto")</f>
        <v>Tinto</v>
      </c>
      <c r="G1743" s="3"/>
      <c r="H1743" s="3"/>
      <c r="I1743" s="57">
        <f>IFERROR(__xludf.DUMMYFUNCTION("""COMPUTED_VALUE"""),0.57)</f>
        <v>0.57</v>
      </c>
      <c r="J1743" s="3"/>
      <c r="K1743" s="3"/>
      <c r="L1743" s="3"/>
      <c r="M1743" s="3"/>
      <c r="N1743" s="3"/>
      <c r="O1743" s="3"/>
      <c r="P1743" s="3"/>
      <c r="Q1743" s="3"/>
      <c r="R1743" s="3">
        <f>IFERROR(__xludf.DUMMYFUNCTION("""COMPUTED_VALUE"""),0.0)</f>
        <v>0</v>
      </c>
      <c r="S1743" s="3"/>
      <c r="T1743" s="5"/>
      <c r="U1743" s="5"/>
      <c r="V1743" s="5"/>
      <c r="W1743" s="5" t="str">
        <f>IFERROR(__xludf.DUMMYFUNCTION("""COMPUTED_VALUE"""),"SIMON")</f>
        <v>SIMON</v>
      </c>
    </row>
    <row r="1744" ht="15.75" customHeight="1">
      <c r="A1744" s="3">
        <f>IFERROR(__xludf.DUMMYFUNCTION("""COMPUTED_VALUE"""),1744.0)</f>
        <v>1744</v>
      </c>
      <c r="B1744" s="53">
        <f>IFERROR(__xludf.DUMMYFUNCTION("""COMPUTED_VALUE"""),45891.0)</f>
        <v>45891</v>
      </c>
      <c r="C1744" s="3">
        <f>IFERROR(__xludf.DUMMYFUNCTION("""COMPUTED_VALUE"""),67.0)</f>
        <v>67</v>
      </c>
      <c r="D1744" s="3" t="str">
        <f>IFERROR(__xludf.DUMMYFUNCTION("""COMPUTED_VALUE"""),"eb6cce4f")</f>
        <v>eb6cce4f</v>
      </c>
      <c r="E1744" s="54">
        <f>IFERROR(__xludf.DUMMYFUNCTION("""COMPUTED_VALUE"""),23000.0)</f>
        <v>23000</v>
      </c>
      <c r="F1744" s="3" t="str">
        <f>IFERROR(__xludf.DUMMYFUNCTION("""COMPUTED_VALUE"""),"Anccelotta")</f>
        <v>Anccelotta</v>
      </c>
      <c r="G1744" s="3"/>
      <c r="H1744" s="3"/>
      <c r="I1744" s="57">
        <f>IFERROR(__xludf.DUMMYFUNCTION("""COMPUTED_VALUE"""),0.59)</f>
        <v>0.59</v>
      </c>
      <c r="J1744" s="3"/>
      <c r="K1744" s="3"/>
      <c r="L1744" s="3"/>
      <c r="M1744" s="3"/>
      <c r="N1744" s="3"/>
      <c r="O1744" s="3"/>
      <c r="P1744" s="3"/>
      <c r="Q1744" s="3"/>
      <c r="R1744" s="3">
        <f>IFERROR(__xludf.DUMMYFUNCTION("""COMPUTED_VALUE"""),0.0)</f>
        <v>0</v>
      </c>
      <c r="S1744" s="3"/>
      <c r="T1744" s="5"/>
      <c r="U1744" s="5"/>
      <c r="V1744" s="5"/>
      <c r="W1744" s="5" t="str">
        <f>IFERROR(__xludf.DUMMYFUNCTION("""COMPUTED_VALUE"""),"SIMON")</f>
        <v>SIMON</v>
      </c>
    </row>
    <row r="1745" ht="15.75" customHeight="1">
      <c r="A1745" s="3">
        <f>IFERROR(__xludf.DUMMYFUNCTION("""COMPUTED_VALUE"""),1745.0)</f>
        <v>1745</v>
      </c>
      <c r="B1745" s="53">
        <f>IFERROR(__xludf.DUMMYFUNCTION("""COMPUTED_VALUE"""),45891.0)</f>
        <v>45891</v>
      </c>
      <c r="C1745" s="3">
        <f>IFERROR(__xludf.DUMMYFUNCTION("""COMPUTED_VALUE"""),75.0)</f>
        <v>75</v>
      </c>
      <c r="D1745" s="3" t="str">
        <f>IFERROR(__xludf.DUMMYFUNCTION("""COMPUTED_VALUE"""),"7a9e7f06")</f>
        <v>7a9e7f06</v>
      </c>
      <c r="E1745" s="54">
        <f>IFERROR(__xludf.DUMMYFUNCTION("""COMPUTED_VALUE"""),7000.0)</f>
        <v>7000</v>
      </c>
      <c r="F1745" s="3" t="str">
        <f>IFERROR(__xludf.DUMMYFUNCTION("""COMPUTED_VALUE"""),"Tanat")</f>
        <v>Tanat</v>
      </c>
      <c r="G1745" s="3"/>
      <c r="H1745" s="3"/>
      <c r="I1745" s="57">
        <f>IFERROR(__xludf.DUMMYFUNCTION("""COMPUTED_VALUE"""),0.56)</f>
        <v>0.56</v>
      </c>
      <c r="J1745" s="3"/>
      <c r="K1745" s="3"/>
      <c r="L1745" s="3"/>
      <c r="M1745" s="3"/>
      <c r="N1745" s="3"/>
      <c r="O1745" s="3"/>
      <c r="P1745" s="3"/>
      <c r="Q1745" s="3"/>
      <c r="R1745" s="3">
        <f>IFERROR(__xludf.DUMMYFUNCTION("""COMPUTED_VALUE"""),0.0)</f>
        <v>0</v>
      </c>
      <c r="S1745" s="3"/>
      <c r="T1745" s="5"/>
      <c r="U1745" s="5"/>
      <c r="V1745" s="5"/>
      <c r="W1745" s="5" t="str">
        <f>IFERROR(__xludf.DUMMYFUNCTION("""COMPUTED_VALUE"""),"SIMON")</f>
        <v>SIMON</v>
      </c>
    </row>
    <row r="1746" ht="15.75" customHeight="1">
      <c r="A1746" s="3">
        <f>IFERROR(__xludf.DUMMYFUNCTION("""COMPUTED_VALUE"""),1746.0)</f>
        <v>1746</v>
      </c>
      <c r="B1746" s="53">
        <f>IFERROR(__xludf.DUMMYFUNCTION("""COMPUTED_VALUE"""),45891.0)</f>
        <v>45891</v>
      </c>
      <c r="C1746" s="3">
        <f>IFERROR(__xludf.DUMMYFUNCTION("""COMPUTED_VALUE"""),83.0)</f>
        <v>83</v>
      </c>
      <c r="D1746" s="3" t="str">
        <f>IFERROR(__xludf.DUMMYFUNCTION("""COMPUTED_VALUE"""),"32396d27")</f>
        <v>32396d27</v>
      </c>
      <c r="E1746" s="54">
        <f>IFERROR(__xludf.DUMMYFUNCTION("""COMPUTED_VALUE"""),81500.0)</f>
        <v>81500</v>
      </c>
      <c r="F1746" s="3" t="str">
        <f>IFERROR(__xludf.DUMMYFUNCTION("""COMPUTED_VALUE"""),"Malbec")</f>
        <v>Malbec</v>
      </c>
      <c r="G1746" s="3"/>
      <c r="H1746" s="3"/>
      <c r="I1746" s="57">
        <f>IFERROR(__xludf.DUMMYFUNCTION("""COMPUTED_VALUE"""),0.45)</f>
        <v>0.45</v>
      </c>
      <c r="J1746" s="3"/>
      <c r="K1746" s="3"/>
      <c r="L1746" s="3"/>
      <c r="M1746" s="3"/>
      <c r="N1746" s="3"/>
      <c r="O1746" s="3"/>
      <c r="P1746" s="3"/>
      <c r="Q1746" s="3"/>
      <c r="R1746" s="3">
        <f>IFERROR(__xludf.DUMMYFUNCTION("""COMPUTED_VALUE"""),0.0)</f>
        <v>0</v>
      </c>
      <c r="S1746" s="3"/>
      <c r="T1746" s="5"/>
      <c r="U1746" s="5"/>
      <c r="V1746" s="5"/>
      <c r="W1746" s="5" t="str">
        <f>IFERROR(__xludf.DUMMYFUNCTION("""COMPUTED_VALUE"""),"SIMON")</f>
        <v>SIMON</v>
      </c>
    </row>
    <row r="1747" ht="15.75" customHeight="1">
      <c r="A1747" s="3">
        <f>IFERROR(__xludf.DUMMYFUNCTION("""COMPUTED_VALUE"""),1747.0)</f>
        <v>1747</v>
      </c>
      <c r="B1747" s="53">
        <f>IFERROR(__xludf.DUMMYFUNCTION("""COMPUTED_VALUE"""),45891.0)</f>
        <v>45891</v>
      </c>
      <c r="C1747" s="3">
        <f>IFERROR(__xludf.DUMMYFUNCTION("""COMPUTED_VALUE"""),84.0)</f>
        <v>84</v>
      </c>
      <c r="D1747" s="3" t="str">
        <f>IFERROR(__xludf.DUMMYFUNCTION("""COMPUTED_VALUE"""),"52e2d0ea")</f>
        <v>52e2d0ea</v>
      </c>
      <c r="E1747" s="54">
        <f>IFERROR(__xludf.DUMMYFUNCTION("""COMPUTED_VALUE"""),83000.0)</f>
        <v>83000</v>
      </c>
      <c r="F1747" s="3" t="str">
        <f>IFERROR(__xludf.DUMMYFUNCTION("""COMPUTED_VALUE"""),"Malbec")</f>
        <v>Malbec</v>
      </c>
      <c r="G1747" s="3"/>
      <c r="H1747" s="3"/>
      <c r="I1747" s="57">
        <f>IFERROR(__xludf.DUMMYFUNCTION("""COMPUTED_VALUE"""),0.41)</f>
        <v>0.41</v>
      </c>
      <c r="J1747" s="3"/>
      <c r="K1747" s="3"/>
      <c r="L1747" s="3"/>
      <c r="M1747" s="3"/>
      <c r="N1747" s="3"/>
      <c r="O1747" s="3"/>
      <c r="P1747" s="3"/>
      <c r="Q1747" s="3"/>
      <c r="R1747" s="3">
        <f>IFERROR(__xludf.DUMMYFUNCTION("""COMPUTED_VALUE"""),0.0)</f>
        <v>0</v>
      </c>
      <c r="S1747" s="3"/>
      <c r="T1747" s="5"/>
      <c r="U1747" s="5"/>
      <c r="V1747" s="5"/>
      <c r="W1747" s="5" t="str">
        <f>IFERROR(__xludf.DUMMYFUNCTION("""COMPUTED_VALUE"""),"SIMON")</f>
        <v>SIMON</v>
      </c>
    </row>
    <row r="1748" ht="15.75" customHeight="1">
      <c r="A1748" s="3">
        <f>IFERROR(__xludf.DUMMYFUNCTION("""COMPUTED_VALUE"""),1748.0)</f>
        <v>1748</v>
      </c>
      <c r="B1748" s="53">
        <f>IFERROR(__xludf.DUMMYFUNCTION("""COMPUTED_VALUE"""),45891.0)</f>
        <v>45891</v>
      </c>
      <c r="C1748" s="3">
        <f>IFERROR(__xludf.DUMMYFUNCTION("""COMPUTED_VALUE"""),85.0)</f>
        <v>85</v>
      </c>
      <c r="D1748" s="3" t="str">
        <f>IFERROR(__xludf.DUMMYFUNCTION("""COMPUTED_VALUE"""),"dc08aecd")</f>
        <v>dc08aecd</v>
      </c>
      <c r="E1748" s="54">
        <f>IFERROR(__xludf.DUMMYFUNCTION("""COMPUTED_VALUE"""),84000.0)</f>
        <v>84000</v>
      </c>
      <c r="F1748" s="3" t="str">
        <f>IFERROR(__xludf.DUMMYFUNCTION("""COMPUTED_VALUE"""),"Malbec")</f>
        <v>Malbec</v>
      </c>
      <c r="G1748" s="3"/>
      <c r="H1748" s="3"/>
      <c r="I1748" s="57">
        <f>IFERROR(__xludf.DUMMYFUNCTION("""COMPUTED_VALUE"""),0.45)</f>
        <v>0.45</v>
      </c>
      <c r="J1748" s="3"/>
      <c r="K1748" s="3"/>
      <c r="L1748" s="3"/>
      <c r="M1748" s="3"/>
      <c r="N1748" s="3"/>
      <c r="O1748" s="3"/>
      <c r="P1748" s="3"/>
      <c r="Q1748" s="3"/>
      <c r="R1748" s="3">
        <f>IFERROR(__xludf.DUMMYFUNCTION("""COMPUTED_VALUE"""),0.0)</f>
        <v>0</v>
      </c>
      <c r="S1748" s="3"/>
      <c r="T1748" s="5"/>
      <c r="U1748" s="5"/>
      <c r="V1748" s="5"/>
      <c r="W1748" s="5" t="str">
        <f>IFERROR(__xludf.DUMMYFUNCTION("""COMPUTED_VALUE"""),"SIMON")</f>
        <v>SIMON</v>
      </c>
    </row>
    <row r="1749" ht="15.75" customHeight="1">
      <c r="A1749" s="3">
        <f>IFERROR(__xludf.DUMMYFUNCTION("""COMPUTED_VALUE"""),1749.0)</f>
        <v>1749</v>
      </c>
      <c r="B1749" s="53">
        <f>IFERROR(__xludf.DUMMYFUNCTION("""COMPUTED_VALUE"""),45891.0)</f>
        <v>45891</v>
      </c>
      <c r="C1749" s="3">
        <f>IFERROR(__xludf.DUMMYFUNCTION("""COMPUTED_VALUE"""),86.0)</f>
        <v>86</v>
      </c>
      <c r="D1749" s="3" t="str">
        <f>IFERROR(__xludf.DUMMYFUNCTION("""COMPUTED_VALUE"""),"734aedeb")</f>
        <v>734aedeb</v>
      </c>
      <c r="E1749" s="54">
        <f>IFERROR(__xludf.DUMMYFUNCTION("""COMPUTED_VALUE"""),88000.0)</f>
        <v>88000</v>
      </c>
      <c r="F1749" s="3" t="str">
        <f>IFERROR(__xludf.DUMMYFUNCTION("""COMPUTED_VALUE"""),"Malbec")</f>
        <v>Malbec</v>
      </c>
      <c r="G1749" s="3"/>
      <c r="H1749" s="3"/>
      <c r="I1749" s="57">
        <f>IFERROR(__xludf.DUMMYFUNCTION("""COMPUTED_VALUE"""),0.52)</f>
        <v>0.52</v>
      </c>
      <c r="J1749" s="3"/>
      <c r="K1749" s="3"/>
      <c r="L1749" s="3"/>
      <c r="M1749" s="3"/>
      <c r="N1749" s="3"/>
      <c r="O1749" s="3"/>
      <c r="P1749" s="3"/>
      <c r="Q1749" s="3"/>
      <c r="R1749" s="3">
        <f>IFERROR(__xludf.DUMMYFUNCTION("""COMPUTED_VALUE"""),0.0)</f>
        <v>0</v>
      </c>
      <c r="S1749" s="3"/>
      <c r="T1749" s="5"/>
      <c r="U1749" s="5"/>
      <c r="V1749" s="5"/>
      <c r="W1749" s="5" t="str">
        <f>IFERROR(__xludf.DUMMYFUNCTION("""COMPUTED_VALUE"""),"SIMON")</f>
        <v>SIMON</v>
      </c>
    </row>
    <row r="1750" ht="15.75" customHeight="1">
      <c r="A1750" s="3">
        <f>IFERROR(__xludf.DUMMYFUNCTION("""COMPUTED_VALUE"""),1750.0)</f>
        <v>1750</v>
      </c>
      <c r="B1750" s="53">
        <f>IFERROR(__xludf.DUMMYFUNCTION("""COMPUTED_VALUE"""),45895.0)</f>
        <v>45895</v>
      </c>
      <c r="C1750" s="3">
        <f>IFERROR(__xludf.DUMMYFUNCTION("""COMPUTED_VALUE"""),25.0)</f>
        <v>25</v>
      </c>
      <c r="D1750" s="3"/>
      <c r="E1750" s="54">
        <f>IFERROR(__xludf.DUMMYFUNCTION("""COMPUTED_VALUE"""),194300.0)</f>
        <v>194300</v>
      </c>
      <c r="F1750" s="3" t="str">
        <f>IFERROR(__xludf.DUMMYFUNCTION("""COMPUTED_VALUE"""),"Tinto Millán")</f>
        <v>Tinto Millán</v>
      </c>
      <c r="G1750" s="55">
        <f>IFERROR(__xludf.DUMMYFUNCTION("""COMPUTED_VALUE"""),14.0)</f>
        <v>14</v>
      </c>
      <c r="H1750" s="3"/>
      <c r="I1750" s="3"/>
      <c r="J1750" s="3"/>
      <c r="K1750" s="3"/>
      <c r="L1750" s="3"/>
      <c r="M1750" s="3"/>
      <c r="N1750" s="3"/>
      <c r="O1750" s="3">
        <f>IFERROR(__xludf.DUMMYFUNCTION("""COMPUTED_VALUE"""),230.0)</f>
        <v>230</v>
      </c>
      <c r="P1750" s="3">
        <f>IFERROR(__xludf.DUMMYFUNCTION("""COMPUTED_VALUE"""),360.0)</f>
        <v>360</v>
      </c>
      <c r="Q1750" s="3"/>
      <c r="R1750" s="3">
        <f>IFERROR(__xludf.DUMMYFUNCTION("""COMPUTED_VALUE"""),590.0)</f>
        <v>590</v>
      </c>
      <c r="S1750" s="54">
        <f>IFERROR(__xludf.DUMMYFUNCTION("""COMPUTED_VALUE"""),923.4782608695652)</f>
        <v>923.4782609</v>
      </c>
      <c r="T1750" s="5"/>
      <c r="U1750" s="5"/>
      <c r="V1750" s="5"/>
      <c r="W1750" s="5"/>
    </row>
    <row r="1751" ht="15.75" customHeight="1">
      <c r="A1751" s="3">
        <f>IFERROR(__xludf.DUMMYFUNCTION("""COMPUTED_VALUE"""),1751.0)</f>
        <v>1751</v>
      </c>
      <c r="B1751" s="53">
        <f>IFERROR(__xludf.DUMMYFUNCTION("""COMPUTED_VALUE"""),45902.0)</f>
        <v>45902</v>
      </c>
      <c r="C1751" s="3">
        <f>IFERROR(__xludf.DUMMYFUNCTION("""COMPUTED_VALUE"""),42.0)</f>
        <v>42</v>
      </c>
      <c r="D1751" s="3" t="str">
        <f>IFERROR(__xludf.DUMMYFUNCTION("""COMPUTED_VALUE"""),"dccd4f5e")</f>
        <v>dccd4f5e</v>
      </c>
      <c r="E1751" s="54">
        <f>IFERROR(__xludf.DUMMYFUNCTION("""COMPUTED_VALUE"""),35900.0)</f>
        <v>35900</v>
      </c>
      <c r="F1751" s="3" t="str">
        <f>IFERROR(__xludf.DUMMYFUNCTION("""COMPUTED_VALUE"""),"Bonarda")</f>
        <v>Bonarda</v>
      </c>
      <c r="G1751" s="3"/>
      <c r="H1751" s="3"/>
      <c r="I1751" s="3"/>
      <c r="J1751" s="3"/>
      <c r="K1751" s="57">
        <f>IFERROR(__xludf.DUMMYFUNCTION("""COMPUTED_VALUE"""),3.67)</f>
        <v>3.67</v>
      </c>
      <c r="L1751" s="54">
        <f>IFERROR(__xludf.DUMMYFUNCTION("""COMPUTED_VALUE"""),41.0)</f>
        <v>41</v>
      </c>
      <c r="M1751" s="3">
        <f>IFERROR(__xludf.DUMMYFUNCTION("""COMPUTED_VALUE"""),151.0)</f>
        <v>151</v>
      </c>
      <c r="N1751" s="3"/>
      <c r="O1751" s="3"/>
      <c r="P1751" s="3"/>
      <c r="Q1751" s="3"/>
      <c r="R1751" s="3">
        <f>IFERROR(__xludf.DUMMYFUNCTION("""COMPUTED_VALUE"""),0.0)</f>
        <v>0</v>
      </c>
      <c r="S1751" s="3"/>
      <c r="T1751" s="5"/>
      <c r="U1751" s="5"/>
      <c r="V1751" s="5"/>
      <c r="W1751" s="5"/>
    </row>
    <row r="1752" ht="15.75" customHeight="1">
      <c r="A1752" s="3">
        <f>IFERROR(__xludf.DUMMYFUNCTION("""COMPUTED_VALUE"""),1752.0)</f>
        <v>1752</v>
      </c>
      <c r="B1752" s="53">
        <f>IFERROR(__xludf.DUMMYFUNCTION("""COMPUTED_VALUE"""),45902.0)</f>
        <v>45902</v>
      </c>
      <c r="C1752" s="3">
        <f>IFERROR(__xludf.DUMMYFUNCTION("""COMPUTED_VALUE"""),89.0)</f>
        <v>89</v>
      </c>
      <c r="D1752" s="3" t="str">
        <f>IFERROR(__xludf.DUMMYFUNCTION("""COMPUTED_VALUE"""),"f8ffe3ae")</f>
        <v>f8ffe3ae</v>
      </c>
      <c r="E1752" s="54">
        <f>IFERROR(__xludf.DUMMYFUNCTION("""COMPUTED_VALUE"""),83500.0)</f>
        <v>83500</v>
      </c>
      <c r="F1752" s="3" t="str">
        <f>IFERROR(__xludf.DUMMYFUNCTION("""COMPUTED_VALUE"""),"Syrah")</f>
        <v>Syrah</v>
      </c>
      <c r="G1752" s="3"/>
      <c r="H1752" s="3"/>
      <c r="I1752" s="3"/>
      <c r="J1752" s="3"/>
      <c r="K1752" s="57">
        <f>IFERROR(__xludf.DUMMYFUNCTION("""COMPUTED_VALUE"""),3.7)</f>
        <v>3.7</v>
      </c>
      <c r="L1752" s="54">
        <f>IFERROR(__xludf.DUMMYFUNCTION("""COMPUTED_VALUE"""),39.0)</f>
        <v>39</v>
      </c>
      <c r="M1752" s="3">
        <f>IFERROR(__xludf.DUMMYFUNCTION("""COMPUTED_VALUE"""),142.0)</f>
        <v>142</v>
      </c>
      <c r="N1752" s="3"/>
      <c r="O1752" s="3"/>
      <c r="P1752" s="3"/>
      <c r="Q1752" s="3"/>
      <c r="R1752" s="3">
        <f>IFERROR(__xludf.DUMMYFUNCTION("""COMPUTED_VALUE"""),0.0)</f>
        <v>0</v>
      </c>
      <c r="S1752" s="3"/>
      <c r="T1752" s="5"/>
      <c r="U1752" s="5"/>
      <c r="V1752" s="5"/>
      <c r="W1752" s="5"/>
    </row>
    <row r="1753" ht="15.75" customHeight="1">
      <c r="A1753" s="3">
        <f>IFERROR(__xludf.DUMMYFUNCTION("""COMPUTED_VALUE"""),1753.0)</f>
        <v>1753</v>
      </c>
      <c r="B1753" s="53">
        <f>IFERROR(__xludf.DUMMYFUNCTION("""COMPUTED_VALUE"""),45902.0)</f>
        <v>45902</v>
      </c>
      <c r="C1753" s="3">
        <f>IFERROR(__xludf.DUMMYFUNCTION("""COMPUTED_VALUE"""),106.0)</f>
        <v>106</v>
      </c>
      <c r="D1753" s="3" t="str">
        <f>IFERROR(__xludf.DUMMYFUNCTION("""COMPUTED_VALUE"""),"32fe7ee0")</f>
        <v>32fe7ee0</v>
      </c>
      <c r="E1753" s="54">
        <f>IFERROR(__xludf.DUMMYFUNCTION("""COMPUTED_VALUE"""),11000.0)</f>
        <v>11000</v>
      </c>
      <c r="F1753" s="3" t="str">
        <f>IFERROR(__xludf.DUMMYFUNCTION("""COMPUTED_VALUE"""),"Aspirant 24")</f>
        <v>Aspirant 24</v>
      </c>
      <c r="G1753" s="3"/>
      <c r="H1753" s="3"/>
      <c r="I1753" s="3"/>
      <c r="J1753" s="3"/>
      <c r="K1753" s="57">
        <f>IFERROR(__xludf.DUMMYFUNCTION("""COMPUTED_VALUE"""),3.49)</f>
        <v>3.49</v>
      </c>
      <c r="L1753" s="54">
        <f>IFERROR(__xludf.DUMMYFUNCTION("""COMPUTED_VALUE"""),32.0)</f>
        <v>32</v>
      </c>
      <c r="M1753" s="3">
        <f>IFERROR(__xludf.DUMMYFUNCTION("""COMPUTED_VALUE"""),90.0)</f>
        <v>90</v>
      </c>
      <c r="N1753" s="3"/>
      <c r="O1753" s="3"/>
      <c r="P1753" s="3"/>
      <c r="Q1753" s="3"/>
      <c r="R1753" s="3">
        <f>IFERROR(__xludf.DUMMYFUNCTION("""COMPUTED_VALUE"""),0.0)</f>
        <v>0</v>
      </c>
      <c r="S1753" s="3"/>
      <c r="T1753" s="5"/>
      <c r="U1753" s="5"/>
      <c r="V1753" s="5"/>
      <c r="W1753" s="5"/>
    </row>
    <row r="1754" ht="15.75" customHeight="1">
      <c r="A1754" s="3">
        <f>IFERROR(__xludf.DUMMYFUNCTION("""COMPUTED_VALUE"""),1754.0)</f>
        <v>1754</v>
      </c>
      <c r="B1754" s="53">
        <f>IFERROR(__xludf.DUMMYFUNCTION("""COMPUTED_VALUE"""),45902.0)</f>
        <v>45902</v>
      </c>
      <c r="C1754" s="3">
        <f>IFERROR(__xludf.DUMMYFUNCTION("""COMPUTED_VALUE"""),107.0)</f>
        <v>107</v>
      </c>
      <c r="D1754" s="3" t="str">
        <f>IFERROR(__xludf.DUMMYFUNCTION("""COMPUTED_VALUE"""),"3f5178fd")</f>
        <v>3f5178fd</v>
      </c>
      <c r="E1754" s="54">
        <f>IFERROR(__xludf.DUMMYFUNCTION("""COMPUTED_VALUE"""),31000.0)</f>
        <v>31000</v>
      </c>
      <c r="F1754" s="3" t="str">
        <f>IFERROR(__xludf.DUMMYFUNCTION("""COMPUTED_VALUE"""),"Bonarda")</f>
        <v>Bonarda</v>
      </c>
      <c r="G1754" s="3"/>
      <c r="H1754" s="3"/>
      <c r="I1754" s="3"/>
      <c r="J1754" s="3"/>
      <c r="K1754" s="57">
        <f>IFERROR(__xludf.DUMMYFUNCTION("""COMPUTED_VALUE"""),3.61)</f>
        <v>3.61</v>
      </c>
      <c r="L1754" s="54">
        <f>IFERROR(__xludf.DUMMYFUNCTION("""COMPUTED_VALUE"""),45.0)</f>
        <v>45</v>
      </c>
      <c r="M1754" s="3">
        <f>IFERROR(__xludf.DUMMYFUNCTION("""COMPUTED_VALUE"""),173.0)</f>
        <v>173</v>
      </c>
      <c r="N1754" s="3"/>
      <c r="O1754" s="3"/>
      <c r="P1754" s="3"/>
      <c r="Q1754" s="3"/>
      <c r="R1754" s="3">
        <f>IFERROR(__xludf.DUMMYFUNCTION("""COMPUTED_VALUE"""),0.0)</f>
        <v>0</v>
      </c>
      <c r="S1754" s="3"/>
      <c r="T1754" s="5"/>
      <c r="U1754" s="5"/>
      <c r="V1754" s="5"/>
      <c r="W1754" s="5"/>
    </row>
    <row r="1755" ht="15.75" customHeight="1">
      <c r="A1755" s="3">
        <f>IFERROR(__xludf.DUMMYFUNCTION("""COMPUTED_VALUE"""),1755.0)</f>
        <v>1755</v>
      </c>
      <c r="B1755" s="53">
        <f>IFERROR(__xludf.DUMMYFUNCTION("""COMPUTED_VALUE"""),45902.0)</f>
        <v>45902</v>
      </c>
      <c r="C1755" s="3">
        <f>IFERROR(__xludf.DUMMYFUNCTION("""COMPUTED_VALUE"""),109.0)</f>
        <v>109</v>
      </c>
      <c r="D1755" s="3" t="str">
        <f>IFERROR(__xludf.DUMMYFUNCTION("""COMPUTED_VALUE"""),"605416fd")</f>
        <v>605416fd</v>
      </c>
      <c r="E1755" s="54">
        <f>IFERROR(__xludf.DUMMYFUNCTION("""COMPUTED_VALUE"""),15600.0)</f>
        <v>15600</v>
      </c>
      <c r="F1755" s="3" t="str">
        <f>IFERROR(__xludf.DUMMYFUNCTION("""COMPUTED_VALUE"""),"Bonarda")</f>
        <v>Bonarda</v>
      </c>
      <c r="G1755" s="3"/>
      <c r="H1755" s="3"/>
      <c r="I1755" s="3"/>
      <c r="J1755" s="3"/>
      <c r="K1755" s="57">
        <f>IFERROR(__xludf.DUMMYFUNCTION("""COMPUTED_VALUE"""),3.59)</f>
        <v>3.59</v>
      </c>
      <c r="L1755" s="54">
        <f>IFERROR(__xludf.DUMMYFUNCTION("""COMPUTED_VALUE"""),42.0)</f>
        <v>42</v>
      </c>
      <c r="M1755" s="3">
        <f>IFERROR(__xludf.DUMMYFUNCTION("""COMPUTED_VALUE"""),166.0)</f>
        <v>166</v>
      </c>
      <c r="N1755" s="3"/>
      <c r="O1755" s="3"/>
      <c r="P1755" s="3"/>
      <c r="Q1755" s="3"/>
      <c r="R1755" s="3">
        <f>IFERROR(__xludf.DUMMYFUNCTION("""COMPUTED_VALUE"""),0.0)</f>
        <v>0</v>
      </c>
      <c r="S1755" s="3"/>
      <c r="T1755" s="5"/>
      <c r="U1755" s="5"/>
      <c r="V1755" s="5"/>
      <c r="W1755" s="5"/>
    </row>
    <row r="1756" ht="15.75" customHeight="1">
      <c r="A1756" s="3">
        <f>IFERROR(__xludf.DUMMYFUNCTION("""COMPUTED_VALUE"""),1756.0)</f>
        <v>1756</v>
      </c>
      <c r="B1756" s="53">
        <f>IFERROR(__xludf.DUMMYFUNCTION("""COMPUTED_VALUE"""),45902.0)</f>
        <v>45902</v>
      </c>
      <c r="C1756" s="3">
        <f>IFERROR(__xludf.DUMMYFUNCTION("""COMPUTED_VALUE"""),9.0)</f>
        <v>9</v>
      </c>
      <c r="D1756" s="3" t="str">
        <f>IFERROR(__xludf.DUMMYFUNCTION("""COMPUTED_VALUE"""),"df5a7884")</f>
        <v>df5a7884</v>
      </c>
      <c r="E1756" s="54">
        <f>IFERROR(__xludf.DUMMYFUNCTION("""COMPUTED_VALUE"""),30000.0)</f>
        <v>30000</v>
      </c>
      <c r="F1756" s="3" t="str">
        <f>IFERROR(__xludf.DUMMYFUNCTION("""COMPUTED_VALUE"""),"Tanat")</f>
        <v>Tanat</v>
      </c>
      <c r="G1756" s="3"/>
      <c r="H1756" s="3"/>
      <c r="I1756" s="3"/>
      <c r="J1756" s="3"/>
      <c r="K1756" s="57">
        <f>IFERROR(__xludf.DUMMYFUNCTION("""COMPUTED_VALUE"""),3.56)</f>
        <v>3.56</v>
      </c>
      <c r="L1756" s="54">
        <f>IFERROR(__xludf.DUMMYFUNCTION("""COMPUTED_VALUE"""),33.0)</f>
        <v>33</v>
      </c>
      <c r="M1756" s="3">
        <f>IFERROR(__xludf.DUMMYFUNCTION("""COMPUTED_VALUE"""),110.0)</f>
        <v>110</v>
      </c>
      <c r="N1756" s="3"/>
      <c r="O1756" s="3"/>
      <c r="P1756" s="3"/>
      <c r="Q1756" s="3"/>
      <c r="R1756" s="3">
        <f>IFERROR(__xludf.DUMMYFUNCTION("""COMPUTED_VALUE"""),0.0)</f>
        <v>0</v>
      </c>
      <c r="S1756" s="3"/>
      <c r="T1756" s="5"/>
      <c r="U1756" s="5"/>
      <c r="V1756" s="5"/>
      <c r="W1756" s="5"/>
    </row>
    <row r="1757" ht="15.75" customHeight="1">
      <c r="A1757" s="3">
        <f>IFERROR(__xludf.DUMMYFUNCTION("""COMPUTED_VALUE"""),1757.0)</f>
        <v>1757</v>
      </c>
      <c r="B1757" s="53">
        <f>IFERROR(__xludf.DUMMYFUNCTION("""COMPUTED_VALUE"""),45902.0)</f>
        <v>45902</v>
      </c>
      <c r="C1757" s="3">
        <f>IFERROR(__xludf.DUMMYFUNCTION("""COMPUTED_VALUE"""),69.0)</f>
        <v>69</v>
      </c>
      <c r="D1757" s="3" t="str">
        <f>IFERROR(__xludf.DUMMYFUNCTION("""COMPUTED_VALUE"""),"fdb74546")</f>
        <v>fdb74546</v>
      </c>
      <c r="E1757" s="54">
        <f>IFERROR(__xludf.DUMMYFUNCTION("""COMPUTED_VALUE"""),13000.0)</f>
        <v>13000</v>
      </c>
      <c r="F1757" s="3" t="str">
        <f>IFERROR(__xludf.DUMMYFUNCTION("""COMPUTED_VALUE"""),"Chardonnay")</f>
        <v>Chardonnay</v>
      </c>
      <c r="G1757" s="3"/>
      <c r="H1757" s="3"/>
      <c r="I1757" s="3"/>
      <c r="J1757" s="3"/>
      <c r="K1757" s="57">
        <f>IFERROR(__xludf.DUMMYFUNCTION("""COMPUTED_VALUE"""),3.26)</f>
        <v>3.26</v>
      </c>
      <c r="L1757" s="54">
        <f>IFERROR(__xludf.DUMMYFUNCTION("""COMPUTED_VALUE"""),36.0)</f>
        <v>36</v>
      </c>
      <c r="M1757" s="3">
        <f>IFERROR(__xludf.DUMMYFUNCTION("""COMPUTED_VALUE"""),134.0)</f>
        <v>134</v>
      </c>
      <c r="N1757" s="3"/>
      <c r="O1757" s="3"/>
      <c r="P1757" s="3"/>
      <c r="Q1757" s="3"/>
      <c r="R1757" s="3">
        <f>IFERROR(__xludf.DUMMYFUNCTION("""COMPUTED_VALUE"""),0.0)</f>
        <v>0</v>
      </c>
      <c r="S1757" s="3"/>
      <c r="T1757" s="5"/>
      <c r="U1757" s="5"/>
      <c r="V1757" s="5"/>
      <c r="W1757" s="5"/>
    </row>
    <row r="1758" ht="15.75" customHeight="1">
      <c r="A1758" s="3">
        <f>IFERROR(__xludf.DUMMYFUNCTION("""COMPUTED_VALUE"""),1758.0)</f>
        <v>1758</v>
      </c>
      <c r="B1758" s="53">
        <f>IFERROR(__xludf.DUMMYFUNCTION("""COMPUTED_VALUE"""),45902.0)</f>
        <v>45902</v>
      </c>
      <c r="C1758" s="3">
        <f>IFERROR(__xludf.DUMMYFUNCTION("""COMPUTED_VALUE"""),72.0)</f>
        <v>72</v>
      </c>
      <c r="D1758" s="3" t="str">
        <f>IFERROR(__xludf.DUMMYFUNCTION("""COMPUTED_VALUE"""),"b9a9005f")</f>
        <v>b9a9005f</v>
      </c>
      <c r="E1758" s="54">
        <f>IFERROR(__xludf.DUMMYFUNCTION("""COMPUTED_VALUE"""),13000.0)</f>
        <v>13000</v>
      </c>
      <c r="F1758" s="3" t="str">
        <f>IFERROR(__xludf.DUMMYFUNCTION("""COMPUTED_VALUE"""),"Aspirant Anccelota Gota")</f>
        <v>Aspirant Anccelota Gota</v>
      </c>
      <c r="G1758" s="3"/>
      <c r="H1758" s="3"/>
      <c r="I1758" s="3"/>
      <c r="J1758" s="3"/>
      <c r="K1758" s="57">
        <f>IFERROR(__xludf.DUMMYFUNCTION("""COMPUTED_VALUE"""),3.65)</f>
        <v>3.65</v>
      </c>
      <c r="L1758" s="54">
        <f>IFERROR(__xludf.DUMMYFUNCTION("""COMPUTED_VALUE"""),38.0)</f>
        <v>38</v>
      </c>
      <c r="M1758" s="3">
        <f>IFERROR(__xludf.DUMMYFUNCTION("""COMPUTED_VALUE"""),85.0)</f>
        <v>85</v>
      </c>
      <c r="N1758" s="3"/>
      <c r="O1758" s="3"/>
      <c r="P1758" s="3"/>
      <c r="Q1758" s="3"/>
      <c r="R1758" s="3">
        <f>IFERROR(__xludf.DUMMYFUNCTION("""COMPUTED_VALUE"""),0.0)</f>
        <v>0</v>
      </c>
      <c r="S1758" s="3"/>
      <c r="T1758" s="5"/>
      <c r="U1758" s="5"/>
      <c r="V1758" s="5"/>
      <c r="W1758" s="5"/>
    </row>
    <row r="1759" ht="15.75" customHeight="1">
      <c r="A1759" s="3">
        <f>IFERROR(__xludf.DUMMYFUNCTION("""COMPUTED_VALUE"""),1759.0)</f>
        <v>1759</v>
      </c>
      <c r="B1759" s="53">
        <f>IFERROR(__xludf.DUMMYFUNCTION("""COMPUTED_VALUE"""),45902.0)</f>
        <v>45902</v>
      </c>
      <c r="C1759" s="3">
        <f>IFERROR(__xludf.DUMMYFUNCTION("""COMPUTED_VALUE"""),75.0)</f>
        <v>75</v>
      </c>
      <c r="D1759" s="3" t="str">
        <f>IFERROR(__xludf.DUMMYFUNCTION("""COMPUTED_VALUE"""),"1ec2fae4")</f>
        <v>1ec2fae4</v>
      </c>
      <c r="E1759" s="54">
        <f>IFERROR(__xludf.DUMMYFUNCTION("""COMPUTED_VALUE"""),7000.0)</f>
        <v>7000</v>
      </c>
      <c r="F1759" s="3" t="str">
        <f>IFERROR(__xludf.DUMMYFUNCTION("""COMPUTED_VALUE"""),"Malbec Montecepas 24")</f>
        <v>Malbec Montecepas 24</v>
      </c>
      <c r="G1759" s="3"/>
      <c r="H1759" s="3"/>
      <c r="I1759" s="3"/>
      <c r="J1759" s="3"/>
      <c r="K1759" s="57">
        <f>IFERROR(__xludf.DUMMYFUNCTION("""COMPUTED_VALUE"""),3.62)</f>
        <v>3.62</v>
      </c>
      <c r="L1759" s="54">
        <f>IFERROR(__xludf.DUMMYFUNCTION("""COMPUTED_VALUE"""),47.0)</f>
        <v>47</v>
      </c>
      <c r="M1759" s="3">
        <f>IFERROR(__xludf.DUMMYFUNCTION("""COMPUTED_VALUE"""),160.0)</f>
        <v>160</v>
      </c>
      <c r="N1759" s="3"/>
      <c r="O1759" s="3"/>
      <c r="P1759" s="3"/>
      <c r="Q1759" s="3"/>
      <c r="R1759" s="3">
        <f>IFERROR(__xludf.DUMMYFUNCTION("""COMPUTED_VALUE"""),0.0)</f>
        <v>0</v>
      </c>
      <c r="S1759" s="3"/>
      <c r="T1759" s="5"/>
      <c r="U1759" s="5"/>
      <c r="V1759" s="5"/>
      <c r="W1759" s="5"/>
    </row>
    <row r="1760" ht="15.75" customHeight="1">
      <c r="A1760" s="3">
        <f>IFERROR(__xludf.DUMMYFUNCTION("""COMPUTED_VALUE"""),1760.0)</f>
        <v>1760</v>
      </c>
      <c r="B1760" s="53">
        <f>IFERROR(__xludf.DUMMYFUNCTION("""COMPUTED_VALUE"""),45902.0)</f>
        <v>45902</v>
      </c>
      <c r="C1760" s="3">
        <f>IFERROR(__xludf.DUMMYFUNCTION("""COMPUTED_VALUE"""),82.0)</f>
        <v>82</v>
      </c>
      <c r="D1760" s="3" t="str">
        <f>IFERROR(__xludf.DUMMYFUNCTION("""COMPUTED_VALUE"""),"872fc1c6")</f>
        <v>872fc1c6</v>
      </c>
      <c r="E1760" s="54">
        <f>IFERROR(__xludf.DUMMYFUNCTION("""COMPUTED_VALUE"""),42600.0)</f>
        <v>42600</v>
      </c>
      <c r="F1760" s="3" t="str">
        <f>IFERROR(__xludf.DUMMYFUNCTION("""COMPUTED_VALUE"""),"Syrah")</f>
        <v>Syrah</v>
      </c>
      <c r="G1760" s="3"/>
      <c r="H1760" s="3"/>
      <c r="I1760" s="3"/>
      <c r="J1760" s="3"/>
      <c r="K1760" s="57">
        <f>IFERROR(__xludf.DUMMYFUNCTION("""COMPUTED_VALUE"""),3.65)</f>
        <v>3.65</v>
      </c>
      <c r="L1760" s="54">
        <f>IFERROR(__xludf.DUMMYFUNCTION("""COMPUTED_VALUE"""),38.0)</f>
        <v>38</v>
      </c>
      <c r="M1760" s="3">
        <f>IFERROR(__xludf.DUMMYFUNCTION("""COMPUTED_VALUE"""),130.0)</f>
        <v>130</v>
      </c>
      <c r="N1760" s="3"/>
      <c r="O1760" s="3"/>
      <c r="P1760" s="3"/>
      <c r="Q1760" s="3"/>
      <c r="R1760" s="3">
        <f>IFERROR(__xludf.DUMMYFUNCTION("""COMPUTED_VALUE"""),0.0)</f>
        <v>0</v>
      </c>
      <c r="S1760" s="3"/>
      <c r="T1760" s="5"/>
      <c r="U1760" s="5"/>
      <c r="V1760" s="5"/>
      <c r="W1760" s="5"/>
    </row>
    <row r="1761" ht="15.75" customHeight="1">
      <c r="A1761" s="3">
        <f>IFERROR(__xludf.DUMMYFUNCTION("""COMPUTED_VALUE"""),1761.0)</f>
        <v>1761</v>
      </c>
      <c r="B1761" s="53">
        <f>IFERROR(__xludf.DUMMYFUNCTION("""COMPUTED_VALUE"""),45902.0)</f>
        <v>45902</v>
      </c>
      <c r="C1761" s="3">
        <f>IFERROR(__xludf.DUMMYFUNCTION("""COMPUTED_VALUE"""),83.0)</f>
        <v>83</v>
      </c>
      <c r="D1761" s="3" t="str">
        <f>IFERROR(__xludf.DUMMYFUNCTION("""COMPUTED_VALUE"""),"32396d27")</f>
        <v>32396d27</v>
      </c>
      <c r="E1761" s="54">
        <f>IFERROR(__xludf.DUMMYFUNCTION("""COMPUTED_VALUE"""),81500.0)</f>
        <v>81500</v>
      </c>
      <c r="F1761" s="3" t="str">
        <f>IFERROR(__xludf.DUMMYFUNCTION("""COMPUTED_VALUE"""),"Malbec")</f>
        <v>Malbec</v>
      </c>
      <c r="G1761" s="3"/>
      <c r="H1761" s="3"/>
      <c r="I1761" s="3"/>
      <c r="J1761" s="3"/>
      <c r="K1761" s="57">
        <f>IFERROR(__xludf.DUMMYFUNCTION("""COMPUTED_VALUE"""),3.7)</f>
        <v>3.7</v>
      </c>
      <c r="L1761" s="54">
        <f>IFERROR(__xludf.DUMMYFUNCTION("""COMPUTED_VALUE"""),36.0)</f>
        <v>36</v>
      </c>
      <c r="M1761" s="3">
        <f>IFERROR(__xludf.DUMMYFUNCTION("""COMPUTED_VALUE"""),176.0)</f>
        <v>176</v>
      </c>
      <c r="N1761" s="3"/>
      <c r="O1761" s="3"/>
      <c r="P1761" s="3"/>
      <c r="Q1761" s="3"/>
      <c r="R1761" s="3">
        <f>IFERROR(__xludf.DUMMYFUNCTION("""COMPUTED_VALUE"""),0.0)</f>
        <v>0</v>
      </c>
      <c r="S1761" s="3"/>
      <c r="T1761" s="5"/>
      <c r="U1761" s="5"/>
      <c r="V1761" s="5"/>
      <c r="W1761" s="5"/>
    </row>
    <row r="1762" ht="15.75" customHeight="1">
      <c r="A1762" s="3">
        <f>IFERROR(__xludf.DUMMYFUNCTION("""COMPUTED_VALUE"""),1762.0)</f>
        <v>1762</v>
      </c>
      <c r="B1762" s="53">
        <f>IFERROR(__xludf.DUMMYFUNCTION("""COMPUTED_VALUE"""),45902.0)</f>
        <v>45902</v>
      </c>
      <c r="C1762" s="3">
        <f>IFERROR(__xludf.DUMMYFUNCTION("""COMPUTED_VALUE"""),115.0)</f>
        <v>115</v>
      </c>
      <c r="D1762" s="3" t="str">
        <f>IFERROR(__xludf.DUMMYFUNCTION("""COMPUTED_VALUE"""),"8ef62a8f")</f>
        <v>8ef62a8f</v>
      </c>
      <c r="E1762" s="54">
        <f>IFERROR(__xludf.DUMMYFUNCTION("""COMPUTED_VALUE"""),94445.0)</f>
        <v>94445</v>
      </c>
      <c r="F1762" s="3" t="str">
        <f>IFERROR(__xludf.DUMMYFUNCTION("""COMPUTED_VALUE"""),"Syrah")</f>
        <v>Syrah</v>
      </c>
      <c r="G1762" s="3"/>
      <c r="H1762" s="3"/>
      <c r="I1762" s="3"/>
      <c r="J1762" s="3"/>
      <c r="K1762" s="57">
        <f>IFERROR(__xludf.DUMMYFUNCTION("""COMPUTED_VALUE"""),3.66)</f>
        <v>3.66</v>
      </c>
      <c r="L1762" s="54">
        <f>IFERROR(__xludf.DUMMYFUNCTION("""COMPUTED_VALUE"""),32.0)</f>
        <v>32</v>
      </c>
      <c r="M1762" s="3">
        <f>IFERROR(__xludf.DUMMYFUNCTION("""COMPUTED_VALUE"""),130.0)</f>
        <v>130</v>
      </c>
      <c r="N1762" s="3"/>
      <c r="O1762" s="3"/>
      <c r="P1762" s="3"/>
      <c r="Q1762" s="3"/>
      <c r="R1762" s="3">
        <f>IFERROR(__xludf.DUMMYFUNCTION("""COMPUTED_VALUE"""),0.0)</f>
        <v>0</v>
      </c>
      <c r="S1762" s="3"/>
      <c r="T1762" s="5"/>
      <c r="U1762" s="5"/>
      <c r="V1762" s="5"/>
      <c r="W1762" s="5"/>
    </row>
    <row r="1763" ht="15.75" customHeight="1">
      <c r="A1763" s="3">
        <f>IFERROR(__xludf.DUMMYFUNCTION("""COMPUTED_VALUE"""),1763.0)</f>
        <v>1763</v>
      </c>
      <c r="B1763" s="53">
        <f>IFERROR(__xludf.DUMMYFUNCTION("""COMPUTED_VALUE"""),45902.0)</f>
        <v>45902</v>
      </c>
      <c r="C1763" s="3">
        <f>IFERROR(__xludf.DUMMYFUNCTION("""COMPUTED_VALUE"""),116.0)</f>
        <v>116</v>
      </c>
      <c r="D1763" s="3" t="str">
        <f>IFERROR(__xludf.DUMMYFUNCTION("""COMPUTED_VALUE"""),"bf1abf21")</f>
        <v>bf1abf21</v>
      </c>
      <c r="E1763" s="54">
        <f>IFERROR(__xludf.DUMMYFUNCTION("""COMPUTED_VALUE"""),99600.0)</f>
        <v>99600</v>
      </c>
      <c r="F1763" s="3" t="str">
        <f>IFERROR(__xludf.DUMMYFUNCTION("""COMPUTED_VALUE"""),"Malbec")</f>
        <v>Malbec</v>
      </c>
      <c r="G1763" s="3"/>
      <c r="H1763" s="3"/>
      <c r="I1763" s="3"/>
      <c r="J1763" s="3"/>
      <c r="K1763" s="57">
        <f>IFERROR(__xludf.DUMMYFUNCTION("""COMPUTED_VALUE"""),3.6)</f>
        <v>3.6</v>
      </c>
      <c r="L1763" s="54">
        <f>IFERROR(__xludf.DUMMYFUNCTION("""COMPUTED_VALUE"""),32.0)</f>
        <v>32</v>
      </c>
      <c r="M1763" s="3">
        <f>IFERROR(__xludf.DUMMYFUNCTION("""COMPUTED_VALUE"""),153.0)</f>
        <v>153</v>
      </c>
      <c r="N1763" s="3"/>
      <c r="O1763" s="3"/>
      <c r="P1763" s="3"/>
      <c r="Q1763" s="3"/>
      <c r="R1763" s="3">
        <f>IFERROR(__xludf.DUMMYFUNCTION("""COMPUTED_VALUE"""),0.0)</f>
        <v>0</v>
      </c>
      <c r="S1763" s="3"/>
      <c r="T1763" s="5"/>
      <c r="U1763" s="5"/>
      <c r="V1763" s="5"/>
      <c r="W1763" s="5"/>
    </row>
    <row r="1764" ht="15.75" customHeight="1">
      <c r="A1764" s="3">
        <f>IFERROR(__xludf.DUMMYFUNCTION("""COMPUTED_VALUE"""),1764.0)</f>
        <v>1764</v>
      </c>
      <c r="B1764" s="53">
        <f>IFERROR(__xludf.DUMMYFUNCTION("""COMPUTED_VALUE"""),45902.0)</f>
        <v>45902</v>
      </c>
      <c r="C1764" s="3">
        <f>IFERROR(__xludf.DUMMYFUNCTION("""COMPUTED_VALUE"""),118.0)</f>
        <v>118</v>
      </c>
      <c r="D1764" s="3" t="str">
        <f>IFERROR(__xludf.DUMMYFUNCTION("""COMPUTED_VALUE"""),"76fe7029")</f>
        <v>76fe7029</v>
      </c>
      <c r="E1764" s="54">
        <f>IFERROR(__xludf.DUMMYFUNCTION("""COMPUTED_VALUE"""),155600.0)</f>
        <v>155600</v>
      </c>
      <c r="F1764" s="3" t="str">
        <f>IFERROR(__xludf.DUMMYFUNCTION("""COMPUTED_VALUE"""),"Tinto")</f>
        <v>Tinto</v>
      </c>
      <c r="G1764" s="3"/>
      <c r="H1764" s="3"/>
      <c r="I1764" s="3"/>
      <c r="J1764" s="3"/>
      <c r="K1764" s="57">
        <f>IFERROR(__xludf.DUMMYFUNCTION("""COMPUTED_VALUE"""),3.68)</f>
        <v>3.68</v>
      </c>
      <c r="L1764" s="54">
        <f>IFERROR(__xludf.DUMMYFUNCTION("""COMPUTED_VALUE"""),33.0)</f>
        <v>33</v>
      </c>
      <c r="M1764" s="3">
        <f>IFERROR(__xludf.DUMMYFUNCTION("""COMPUTED_VALUE"""),180.0)</f>
        <v>180</v>
      </c>
      <c r="N1764" s="3"/>
      <c r="O1764" s="3"/>
      <c r="P1764" s="3"/>
      <c r="Q1764" s="3"/>
      <c r="R1764" s="3">
        <f>IFERROR(__xludf.DUMMYFUNCTION("""COMPUTED_VALUE"""),0.0)</f>
        <v>0</v>
      </c>
      <c r="S1764" s="3"/>
      <c r="T1764" s="5"/>
      <c r="U1764" s="5"/>
      <c r="V1764" s="5"/>
      <c r="W1764" s="5"/>
    </row>
    <row r="1765" ht="15.75" customHeight="1">
      <c r="A1765" s="3">
        <f>IFERROR(__xludf.DUMMYFUNCTION("""COMPUTED_VALUE"""),1765.0)</f>
        <v>1765</v>
      </c>
      <c r="B1765" s="53">
        <f>IFERROR(__xludf.DUMMYFUNCTION("""COMPUTED_VALUE"""),45902.0)</f>
        <v>45902</v>
      </c>
      <c r="C1765" s="3">
        <f>IFERROR(__xludf.DUMMYFUNCTION("""COMPUTED_VALUE"""),121.0)</f>
        <v>121</v>
      </c>
      <c r="D1765" s="3" t="str">
        <f>IFERROR(__xludf.DUMMYFUNCTION("""COMPUTED_VALUE"""),"887268c3")</f>
        <v>887268c3</v>
      </c>
      <c r="E1765" s="54">
        <f>IFERROR(__xludf.DUMMYFUNCTION("""COMPUTED_VALUE"""),85800.0)</f>
        <v>85800</v>
      </c>
      <c r="F1765" s="3" t="str">
        <f>IFERROR(__xludf.DUMMYFUNCTION("""COMPUTED_VALUE"""),"Malbec")</f>
        <v>Malbec</v>
      </c>
      <c r="G1765" s="3"/>
      <c r="H1765" s="3"/>
      <c r="I1765" s="3"/>
      <c r="J1765" s="3"/>
      <c r="K1765" s="57">
        <f>IFERROR(__xludf.DUMMYFUNCTION("""COMPUTED_VALUE"""),3.59)</f>
        <v>3.59</v>
      </c>
      <c r="L1765" s="54">
        <f>IFERROR(__xludf.DUMMYFUNCTION("""COMPUTED_VALUE"""),26.0)</f>
        <v>26</v>
      </c>
      <c r="M1765" s="3">
        <f>IFERROR(__xludf.DUMMYFUNCTION("""COMPUTED_VALUE"""),160.0)</f>
        <v>160</v>
      </c>
      <c r="N1765" s="3"/>
      <c r="O1765" s="3"/>
      <c r="P1765" s="3"/>
      <c r="Q1765" s="3"/>
      <c r="R1765" s="3">
        <f>IFERROR(__xludf.DUMMYFUNCTION("""COMPUTED_VALUE"""),0.0)</f>
        <v>0</v>
      </c>
      <c r="S1765" s="3"/>
      <c r="T1765" s="5"/>
      <c r="U1765" s="5"/>
      <c r="V1765" s="5"/>
      <c r="W1765" s="5"/>
    </row>
    <row r="1766" ht="15.75" customHeight="1">
      <c r="A1766" s="3">
        <f>IFERROR(__xludf.DUMMYFUNCTION("""COMPUTED_VALUE"""),1766.0)</f>
        <v>1766</v>
      </c>
      <c r="B1766" s="53">
        <f>IFERROR(__xludf.DUMMYFUNCTION("""COMPUTED_VALUE"""),45902.0)</f>
        <v>45902</v>
      </c>
      <c r="C1766" s="3">
        <f>IFERROR(__xludf.DUMMYFUNCTION("""COMPUTED_VALUE"""),5.0)</f>
        <v>5</v>
      </c>
      <c r="D1766" s="3" t="str">
        <f>IFERROR(__xludf.DUMMYFUNCTION("""COMPUTED_VALUE"""),"ebf08055")</f>
        <v>ebf08055</v>
      </c>
      <c r="E1766" s="54">
        <f>IFERROR(__xludf.DUMMYFUNCTION("""COMPUTED_VALUE"""),30000.0)</f>
        <v>30000</v>
      </c>
      <c r="F1766" s="3" t="str">
        <f>IFERROR(__xludf.DUMMYFUNCTION("""COMPUTED_VALUE"""),"Chardonnay")</f>
        <v>Chardonnay</v>
      </c>
      <c r="G1766" s="3"/>
      <c r="H1766" s="3"/>
      <c r="I1766" s="3"/>
      <c r="J1766" s="3"/>
      <c r="K1766" s="57">
        <f>IFERROR(__xludf.DUMMYFUNCTION("""COMPUTED_VALUE"""),3.35)</f>
        <v>3.35</v>
      </c>
      <c r="L1766" s="54">
        <f>IFERROR(__xludf.DUMMYFUNCTION("""COMPUTED_VALUE"""),35.0)</f>
        <v>35</v>
      </c>
      <c r="M1766" s="3">
        <f>IFERROR(__xludf.DUMMYFUNCTION("""COMPUTED_VALUE"""),140.0)</f>
        <v>140</v>
      </c>
      <c r="N1766" s="3"/>
      <c r="O1766" s="3"/>
      <c r="P1766" s="3"/>
      <c r="Q1766" s="3"/>
      <c r="R1766" s="3">
        <f>IFERROR(__xludf.DUMMYFUNCTION("""COMPUTED_VALUE"""),0.0)</f>
        <v>0</v>
      </c>
      <c r="S1766" s="3"/>
      <c r="T1766" s="5"/>
      <c r="U1766" s="5"/>
      <c r="V1766" s="5"/>
      <c r="W1766" s="5"/>
    </row>
    <row r="1767" ht="15.75" customHeight="1">
      <c r="A1767" s="3">
        <f>IFERROR(__xludf.DUMMYFUNCTION("""COMPUTED_VALUE"""),1767.0)</f>
        <v>1767</v>
      </c>
      <c r="B1767" s="53">
        <f>IFERROR(__xludf.DUMMYFUNCTION("""COMPUTED_VALUE"""),45902.0)</f>
        <v>45902</v>
      </c>
      <c r="C1767" s="3">
        <f>IFERROR(__xludf.DUMMYFUNCTION("""COMPUTED_VALUE"""),10.0)</f>
        <v>10</v>
      </c>
      <c r="D1767" s="3" t="str">
        <f>IFERROR(__xludf.DUMMYFUNCTION("""COMPUTED_VALUE"""),"f9bf68a3")</f>
        <v>f9bf68a3</v>
      </c>
      <c r="E1767" s="54">
        <f>IFERROR(__xludf.DUMMYFUNCTION("""COMPUTED_VALUE"""),21000.0)</f>
        <v>21000</v>
      </c>
      <c r="F1767" s="3" t="str">
        <f>IFERROR(__xludf.DUMMYFUNCTION("""COMPUTED_VALUE"""),"Chardonnay")</f>
        <v>Chardonnay</v>
      </c>
      <c r="G1767" s="3"/>
      <c r="H1767" s="3"/>
      <c r="I1767" s="3"/>
      <c r="J1767" s="3"/>
      <c r="K1767" s="57">
        <f>IFERROR(__xludf.DUMMYFUNCTION("""COMPUTED_VALUE"""),3.25)</f>
        <v>3.25</v>
      </c>
      <c r="L1767" s="54">
        <f>IFERROR(__xludf.DUMMYFUNCTION("""COMPUTED_VALUE"""),38.0)</f>
        <v>38</v>
      </c>
      <c r="M1767" s="3">
        <f>IFERROR(__xludf.DUMMYFUNCTION("""COMPUTED_VALUE"""),150.0)</f>
        <v>150</v>
      </c>
      <c r="N1767" s="3"/>
      <c r="O1767" s="3"/>
      <c r="P1767" s="3"/>
      <c r="Q1767" s="3"/>
      <c r="R1767" s="3">
        <f>IFERROR(__xludf.DUMMYFUNCTION("""COMPUTED_VALUE"""),0.0)</f>
        <v>0</v>
      </c>
      <c r="S1767" s="3"/>
      <c r="T1767" s="5"/>
      <c r="U1767" s="5"/>
      <c r="V1767" s="5"/>
      <c r="W1767" s="5"/>
    </row>
    <row r="1768" ht="15.75" customHeight="1">
      <c r="A1768" s="3">
        <f>IFERROR(__xludf.DUMMYFUNCTION("""COMPUTED_VALUE"""),1768.0)</f>
        <v>1768</v>
      </c>
      <c r="B1768" s="53">
        <f>IFERROR(__xludf.DUMMYFUNCTION("""COMPUTED_VALUE"""),45902.0)</f>
        <v>45902</v>
      </c>
      <c r="C1768" s="3">
        <f>IFERROR(__xludf.DUMMYFUNCTION("""COMPUTED_VALUE"""),48.0)</f>
        <v>48</v>
      </c>
      <c r="D1768" s="3" t="str">
        <f>IFERROR(__xludf.DUMMYFUNCTION("""COMPUTED_VALUE"""),"ef198a97")</f>
        <v>ef198a97</v>
      </c>
      <c r="E1768" s="54">
        <f>IFERROR(__xludf.DUMMYFUNCTION("""COMPUTED_VALUE"""),26000.0)</f>
        <v>26000</v>
      </c>
      <c r="F1768" s="3" t="str">
        <f>IFERROR(__xludf.DUMMYFUNCTION("""COMPUTED_VALUE"""),"Pedro Gimenez")</f>
        <v>Pedro Gimenez</v>
      </c>
      <c r="G1768" s="3"/>
      <c r="H1768" s="3"/>
      <c r="I1768" s="3"/>
      <c r="J1768" s="3"/>
      <c r="K1768" s="57">
        <f>IFERROR(__xludf.DUMMYFUNCTION("""COMPUTED_VALUE"""),3.49)</f>
        <v>3.49</v>
      </c>
      <c r="L1768" s="54">
        <f>IFERROR(__xludf.DUMMYFUNCTION("""COMPUTED_VALUE"""),34.0)</f>
        <v>34</v>
      </c>
      <c r="M1768" s="3">
        <f>IFERROR(__xludf.DUMMYFUNCTION("""COMPUTED_VALUE"""),130.0)</f>
        <v>130</v>
      </c>
      <c r="N1768" s="3"/>
      <c r="O1768" s="3"/>
      <c r="P1768" s="3"/>
      <c r="Q1768" s="3"/>
      <c r="R1768" s="3">
        <f>IFERROR(__xludf.DUMMYFUNCTION("""COMPUTED_VALUE"""),0.0)</f>
        <v>0</v>
      </c>
      <c r="S1768" s="3"/>
      <c r="T1768" s="5"/>
      <c r="U1768" s="5"/>
      <c r="V1768" s="5"/>
      <c r="W1768" s="5"/>
    </row>
    <row r="1769" ht="15.75" customHeight="1">
      <c r="A1769" s="3">
        <f>IFERROR(__xludf.DUMMYFUNCTION("""COMPUTED_VALUE"""),1769.0)</f>
        <v>1769</v>
      </c>
      <c r="B1769" s="53">
        <f>IFERROR(__xludf.DUMMYFUNCTION("""COMPUTED_VALUE"""),45903.0)</f>
        <v>45903</v>
      </c>
      <c r="C1769" s="3">
        <f>IFERROR(__xludf.DUMMYFUNCTION("""COMPUTED_VALUE"""),8.0)</f>
        <v>8</v>
      </c>
      <c r="D1769" s="3" t="str">
        <f>IFERROR(__xludf.DUMMYFUNCTION("""COMPUTED_VALUE"""),"376dbee6")</f>
        <v>376dbee6</v>
      </c>
      <c r="E1769" s="54">
        <f>IFERROR(__xludf.DUMMYFUNCTION("""COMPUTED_VALUE"""),22000.0)</f>
        <v>22000</v>
      </c>
      <c r="F1769" s="3" t="str">
        <f>IFERROR(__xludf.DUMMYFUNCTION("""COMPUTED_VALUE"""),"Chardonnay Almix")</f>
        <v>Chardonnay Almix</v>
      </c>
      <c r="G1769" s="55">
        <f>IFERROR(__xludf.DUMMYFUNCTION("""COMPUTED_VALUE"""),13.0)</f>
        <v>13</v>
      </c>
      <c r="H1769" s="56">
        <f>IFERROR(__xludf.DUMMYFUNCTION("""COMPUTED_VALUE"""),2.0)</f>
        <v>2</v>
      </c>
      <c r="I1769" s="57">
        <f>IFERROR(__xludf.DUMMYFUNCTION("""COMPUTED_VALUE"""),0.33)</f>
        <v>0.33</v>
      </c>
      <c r="J1769" s="57">
        <f>IFERROR(__xludf.DUMMYFUNCTION("""COMPUTED_VALUE"""),5.7)</f>
        <v>5.7</v>
      </c>
      <c r="K1769" s="57">
        <f>IFERROR(__xludf.DUMMYFUNCTION("""COMPUTED_VALUE"""),3.3)</f>
        <v>3.3</v>
      </c>
      <c r="L1769" s="54">
        <f>IFERROR(__xludf.DUMMYFUNCTION("""COMPUTED_VALUE"""),32.0)</f>
        <v>32</v>
      </c>
      <c r="M1769" s="3">
        <f>IFERROR(__xludf.DUMMYFUNCTION("""COMPUTED_VALUE"""),110.0)</f>
        <v>110</v>
      </c>
      <c r="N1769" s="3"/>
      <c r="O1769" s="3"/>
      <c r="P1769" s="3"/>
      <c r="Q1769" s="3"/>
      <c r="R1769" s="3">
        <f>IFERROR(__xludf.DUMMYFUNCTION("""COMPUTED_VALUE"""),0.0)</f>
        <v>0</v>
      </c>
      <c r="S1769" s="3"/>
      <c r="T1769" s="5"/>
      <c r="U1769" s="5"/>
      <c r="V1769" s="5"/>
      <c r="W1769" s="5"/>
    </row>
    <row r="1770" ht="15.75" customHeight="1">
      <c r="A1770" s="3">
        <f>IFERROR(__xludf.DUMMYFUNCTION("""COMPUTED_VALUE"""),1770.0)</f>
        <v>1770</v>
      </c>
      <c r="B1770" s="53">
        <f>IFERROR(__xludf.DUMMYFUNCTION("""COMPUTED_VALUE"""),45903.0)</f>
        <v>45903</v>
      </c>
      <c r="C1770" s="3">
        <f>IFERROR(__xludf.DUMMYFUNCTION("""COMPUTED_VALUE"""),88.0)</f>
        <v>88</v>
      </c>
      <c r="D1770" s="3" t="str">
        <f>IFERROR(__xludf.DUMMYFUNCTION("""COMPUTED_VALUE"""),"ee5b5592")</f>
        <v>ee5b5592</v>
      </c>
      <c r="E1770" s="54">
        <f>IFERROR(__xludf.DUMMYFUNCTION("""COMPUTED_VALUE"""),78900.0)</f>
        <v>78900</v>
      </c>
      <c r="F1770" s="3" t="str">
        <f>IFERROR(__xludf.DUMMYFUNCTION("""COMPUTED_VALUE"""),"Bonarda")</f>
        <v>Bonarda</v>
      </c>
      <c r="G1770" s="55">
        <f>IFERROR(__xludf.DUMMYFUNCTION("""COMPUTED_VALUE"""),13.4)</f>
        <v>13.4</v>
      </c>
      <c r="H1770" s="56">
        <f>IFERROR(__xludf.DUMMYFUNCTION("""COMPUTED_VALUE"""),2.0)</f>
        <v>2</v>
      </c>
      <c r="I1770" s="57">
        <f>IFERROR(__xludf.DUMMYFUNCTION("""COMPUTED_VALUE"""),0.66)</f>
        <v>0.66</v>
      </c>
      <c r="J1770" s="57">
        <f>IFERROR(__xludf.DUMMYFUNCTION("""COMPUTED_VALUE"""),5.5)</f>
        <v>5.5</v>
      </c>
      <c r="K1770" s="57">
        <f>IFERROR(__xludf.DUMMYFUNCTION("""COMPUTED_VALUE"""),3.68)</f>
        <v>3.68</v>
      </c>
      <c r="L1770" s="54">
        <f>IFERROR(__xludf.DUMMYFUNCTION("""COMPUTED_VALUE"""),36.0)</f>
        <v>36</v>
      </c>
      <c r="M1770" s="3"/>
      <c r="N1770" s="3"/>
      <c r="O1770" s="3"/>
      <c r="P1770" s="3"/>
      <c r="Q1770" s="3"/>
      <c r="R1770" s="3">
        <f>IFERROR(__xludf.DUMMYFUNCTION("""COMPUTED_VALUE"""),0.0)</f>
        <v>0</v>
      </c>
      <c r="S1770" s="3"/>
      <c r="T1770" s="5"/>
      <c r="U1770" s="5"/>
      <c r="V1770" s="5"/>
      <c r="W1770" s="5"/>
    </row>
    <row r="1771" ht="15.75" customHeight="1">
      <c r="A1771" s="3">
        <f>IFERROR(__xludf.DUMMYFUNCTION("""COMPUTED_VALUE"""),1771.0)</f>
        <v>1771</v>
      </c>
      <c r="B1771" s="53">
        <f>IFERROR(__xludf.DUMMYFUNCTION("""COMPUTED_VALUE"""),45903.0)</f>
        <v>45903</v>
      </c>
      <c r="C1771" s="3">
        <f>IFERROR(__xludf.DUMMYFUNCTION("""COMPUTED_VALUE"""),114.0)</f>
        <v>114</v>
      </c>
      <c r="D1771" s="3" t="str">
        <f>IFERROR(__xludf.DUMMYFUNCTION("""COMPUTED_VALUE"""),"2f7b2de3")</f>
        <v>2f7b2de3</v>
      </c>
      <c r="E1771" s="54">
        <f>IFERROR(__xludf.DUMMYFUNCTION("""COMPUTED_VALUE"""),125300.0)</f>
        <v>125300</v>
      </c>
      <c r="F1771" s="3" t="str">
        <f>IFERROR(__xludf.DUMMYFUNCTION("""COMPUTED_VALUE"""),"Cabernet Sauvignon")</f>
        <v>Cabernet Sauvignon</v>
      </c>
      <c r="G1771" s="3"/>
      <c r="H1771" s="3"/>
      <c r="I1771" s="3"/>
      <c r="J1771" s="3"/>
      <c r="K1771" s="3"/>
      <c r="L1771" s="54">
        <f>IFERROR(__xludf.DUMMYFUNCTION("""COMPUTED_VALUE"""),32.0)</f>
        <v>32</v>
      </c>
      <c r="M1771" s="3">
        <f>IFERROR(__xludf.DUMMYFUNCTION("""COMPUTED_VALUE"""),160.0)</f>
        <v>160</v>
      </c>
      <c r="N1771" s="3"/>
      <c r="O1771" s="3"/>
      <c r="P1771" s="3"/>
      <c r="Q1771" s="3"/>
      <c r="R1771" s="3">
        <f>IFERROR(__xludf.DUMMYFUNCTION("""COMPUTED_VALUE"""),0.0)</f>
        <v>0</v>
      </c>
      <c r="S1771" s="3"/>
      <c r="T1771" s="5"/>
      <c r="U1771" s="5"/>
      <c r="V1771" s="5"/>
      <c r="W1771" s="5"/>
    </row>
    <row r="1772" ht="15.75" customHeight="1">
      <c r="A1772" s="3">
        <f>IFERROR(__xludf.DUMMYFUNCTION("""COMPUTED_VALUE"""),1772.0)</f>
        <v>1772</v>
      </c>
      <c r="B1772" s="53">
        <f>IFERROR(__xludf.DUMMYFUNCTION("""COMPUTED_VALUE"""),45905.0)</f>
        <v>45905</v>
      </c>
      <c r="C1772" s="3">
        <f>IFERROR(__xludf.DUMMYFUNCTION("""COMPUTED_VALUE"""),9.0)</f>
        <v>9</v>
      </c>
      <c r="D1772" s="3" t="str">
        <f>IFERROR(__xludf.DUMMYFUNCTION("""COMPUTED_VALUE"""),"df5a7884")</f>
        <v>df5a7884</v>
      </c>
      <c r="E1772" s="54">
        <f>IFERROR(__xludf.DUMMYFUNCTION("""COMPUTED_VALUE"""),30000.0)</f>
        <v>30000</v>
      </c>
      <c r="F1772" s="3" t="str">
        <f>IFERROR(__xludf.DUMMYFUNCTION("""COMPUTED_VALUE"""),"Tanat")</f>
        <v>Tanat</v>
      </c>
      <c r="G1772" s="55">
        <f>IFERROR(__xludf.DUMMYFUNCTION("""COMPUTED_VALUE"""),13.6)</f>
        <v>13.6</v>
      </c>
      <c r="H1772" s="56">
        <f>IFERROR(__xludf.DUMMYFUNCTION("""COMPUTED_VALUE"""),2.51)</f>
        <v>2.51</v>
      </c>
      <c r="I1772" s="57">
        <f>IFERROR(__xludf.DUMMYFUNCTION("""COMPUTED_VALUE"""),0.51)</f>
        <v>0.51</v>
      </c>
      <c r="J1772" s="57">
        <f>IFERROR(__xludf.DUMMYFUNCTION("""COMPUTED_VALUE"""),5.55)</f>
        <v>5.55</v>
      </c>
      <c r="K1772" s="3"/>
      <c r="L1772" s="3"/>
      <c r="M1772" s="3"/>
      <c r="N1772" s="3"/>
      <c r="O1772" s="3"/>
      <c r="P1772" s="3"/>
      <c r="Q1772" s="3"/>
      <c r="R1772" s="3">
        <f>IFERROR(__xludf.DUMMYFUNCTION("""COMPUTED_VALUE"""),0.0)</f>
        <v>0</v>
      </c>
      <c r="S1772" s="3"/>
      <c r="T1772" s="5"/>
      <c r="U1772" s="5"/>
      <c r="V1772" s="5"/>
      <c r="W1772" s="5" t="str">
        <f>IFERROR(__xludf.DUMMYFUNCTION("""COMPUTED_VALUE"""),"analisis de R simón")</f>
        <v>analisis de R simón</v>
      </c>
    </row>
    <row r="1773" ht="15.75" customHeight="1">
      <c r="A1773" s="3">
        <f>IFERROR(__xludf.DUMMYFUNCTION("""COMPUTED_VALUE"""),1773.0)</f>
        <v>1773</v>
      </c>
      <c r="B1773" s="53">
        <f>IFERROR(__xludf.DUMMYFUNCTION("""COMPUTED_VALUE"""),45905.0)</f>
        <v>45905</v>
      </c>
      <c r="C1773" s="3">
        <f>IFERROR(__xludf.DUMMYFUNCTION("""COMPUTED_VALUE"""),42.0)</f>
        <v>42</v>
      </c>
      <c r="D1773" s="3" t="str">
        <f>IFERROR(__xludf.DUMMYFUNCTION("""COMPUTED_VALUE"""),"dccd4f5e")</f>
        <v>dccd4f5e</v>
      </c>
      <c r="E1773" s="54">
        <f>IFERROR(__xludf.DUMMYFUNCTION("""COMPUTED_VALUE"""),35900.0)</f>
        <v>35900</v>
      </c>
      <c r="F1773" s="3" t="str">
        <f>IFERROR(__xludf.DUMMYFUNCTION("""COMPUTED_VALUE"""),"Bonarda")</f>
        <v>Bonarda</v>
      </c>
      <c r="G1773" s="55">
        <f>IFERROR(__xludf.DUMMYFUNCTION("""COMPUTED_VALUE"""),13.3)</f>
        <v>13.3</v>
      </c>
      <c r="H1773" s="56">
        <f>IFERROR(__xludf.DUMMYFUNCTION("""COMPUTED_VALUE"""),2.5)</f>
        <v>2.5</v>
      </c>
      <c r="I1773" s="57">
        <f>IFERROR(__xludf.DUMMYFUNCTION("""COMPUTED_VALUE"""),0.47)</f>
        <v>0.47</v>
      </c>
      <c r="J1773" s="57">
        <f>IFERROR(__xludf.DUMMYFUNCTION("""COMPUTED_VALUE"""),5.7)</f>
        <v>5.7</v>
      </c>
      <c r="K1773" s="3"/>
      <c r="L1773" s="3"/>
      <c r="M1773" s="3"/>
      <c r="N1773" s="3"/>
      <c r="O1773" s="3"/>
      <c r="P1773" s="3"/>
      <c r="Q1773" s="3"/>
      <c r="R1773" s="3">
        <f>IFERROR(__xludf.DUMMYFUNCTION("""COMPUTED_VALUE"""),0.0)</f>
        <v>0</v>
      </c>
      <c r="S1773" s="3"/>
      <c r="T1773" s="5"/>
      <c r="U1773" s="5"/>
      <c r="V1773" s="5"/>
      <c r="W1773" s="5" t="str">
        <f>IFERROR(__xludf.DUMMYFUNCTION("""COMPUTED_VALUE"""),"analisis de R simón")</f>
        <v>analisis de R simón</v>
      </c>
    </row>
    <row r="1774" ht="15.75" customHeight="1">
      <c r="A1774" s="3">
        <f>IFERROR(__xludf.DUMMYFUNCTION("""COMPUTED_VALUE"""),1774.0)</f>
        <v>1774</v>
      </c>
      <c r="B1774" s="53">
        <f>IFERROR(__xludf.DUMMYFUNCTION("""COMPUTED_VALUE"""),45905.0)</f>
        <v>45905</v>
      </c>
      <c r="C1774" s="3">
        <f>IFERROR(__xludf.DUMMYFUNCTION("""COMPUTED_VALUE"""),69.0)</f>
        <v>69</v>
      </c>
      <c r="D1774" s="3" t="str">
        <f>IFERROR(__xludf.DUMMYFUNCTION("""COMPUTED_VALUE"""),"fdb74546")</f>
        <v>fdb74546</v>
      </c>
      <c r="E1774" s="54">
        <f>IFERROR(__xludf.DUMMYFUNCTION("""COMPUTED_VALUE"""),13000.0)</f>
        <v>13000</v>
      </c>
      <c r="F1774" s="3" t="str">
        <f>IFERROR(__xludf.DUMMYFUNCTION("""COMPUTED_VALUE"""),"Chardonnay")</f>
        <v>Chardonnay</v>
      </c>
      <c r="G1774" s="55">
        <f>IFERROR(__xludf.DUMMYFUNCTION("""COMPUTED_VALUE"""),11.9)</f>
        <v>11.9</v>
      </c>
      <c r="H1774" s="56">
        <f>IFERROR(__xludf.DUMMYFUNCTION("""COMPUTED_VALUE"""),1.8)</f>
        <v>1.8</v>
      </c>
      <c r="I1774" s="57">
        <f>IFERROR(__xludf.DUMMYFUNCTION("""COMPUTED_VALUE"""),0.23)</f>
        <v>0.23</v>
      </c>
      <c r="J1774" s="57">
        <f>IFERROR(__xludf.DUMMYFUNCTION("""COMPUTED_VALUE"""),5.77)</f>
        <v>5.77</v>
      </c>
      <c r="K1774" s="3"/>
      <c r="L1774" s="3"/>
      <c r="M1774" s="3"/>
      <c r="N1774" s="3"/>
      <c r="O1774" s="3"/>
      <c r="P1774" s="3"/>
      <c r="Q1774" s="3"/>
      <c r="R1774" s="3">
        <f>IFERROR(__xludf.DUMMYFUNCTION("""COMPUTED_VALUE"""),0.0)</f>
        <v>0</v>
      </c>
      <c r="S1774" s="3"/>
      <c r="T1774" s="5"/>
      <c r="U1774" s="5"/>
      <c r="V1774" s="5"/>
      <c r="W1774" s="5" t="str">
        <f>IFERROR(__xludf.DUMMYFUNCTION("""COMPUTED_VALUE"""),"analisis de R simón")</f>
        <v>analisis de R simón</v>
      </c>
    </row>
    <row r="1775" ht="15.75" customHeight="1">
      <c r="A1775" s="3">
        <f>IFERROR(__xludf.DUMMYFUNCTION("""COMPUTED_VALUE"""),1775.0)</f>
        <v>1775</v>
      </c>
      <c r="B1775" s="53">
        <f>IFERROR(__xludf.DUMMYFUNCTION("""COMPUTED_VALUE"""),45905.0)</f>
        <v>45905</v>
      </c>
      <c r="C1775" s="3">
        <f>IFERROR(__xludf.DUMMYFUNCTION("""COMPUTED_VALUE"""),72.0)</f>
        <v>72</v>
      </c>
      <c r="D1775" s="3" t="str">
        <f>IFERROR(__xludf.DUMMYFUNCTION("""COMPUTED_VALUE"""),"b9a9005f")</f>
        <v>b9a9005f</v>
      </c>
      <c r="E1775" s="54">
        <f>IFERROR(__xludf.DUMMYFUNCTION("""COMPUTED_VALUE"""),13000.0)</f>
        <v>13000</v>
      </c>
      <c r="F1775" s="3" t="str">
        <f>IFERROR(__xludf.DUMMYFUNCTION("""COMPUTED_VALUE"""),"Aspirant Anccelota Gota")</f>
        <v>Aspirant Anccelota Gota</v>
      </c>
      <c r="G1775" s="55">
        <f>IFERROR(__xludf.DUMMYFUNCTION("""COMPUTED_VALUE"""),12.9)</f>
        <v>12.9</v>
      </c>
      <c r="H1775" s="56">
        <f>IFERROR(__xludf.DUMMYFUNCTION("""COMPUTED_VALUE"""),1.8)</f>
        <v>1.8</v>
      </c>
      <c r="I1775" s="57">
        <f>IFERROR(__xludf.DUMMYFUNCTION("""COMPUTED_VALUE"""),0.46)</f>
        <v>0.46</v>
      </c>
      <c r="J1775" s="57">
        <f>IFERROR(__xludf.DUMMYFUNCTION("""COMPUTED_VALUE"""),5.47)</f>
        <v>5.47</v>
      </c>
      <c r="K1775" s="3"/>
      <c r="L1775" s="3"/>
      <c r="M1775" s="3"/>
      <c r="N1775" s="3"/>
      <c r="O1775" s="3"/>
      <c r="P1775" s="3"/>
      <c r="Q1775" s="3"/>
      <c r="R1775" s="3">
        <f>IFERROR(__xludf.DUMMYFUNCTION("""COMPUTED_VALUE"""),0.0)</f>
        <v>0</v>
      </c>
      <c r="S1775" s="3"/>
      <c r="T1775" s="5"/>
      <c r="U1775" s="5"/>
      <c r="V1775" s="5"/>
      <c r="W1775" s="5" t="str">
        <f>IFERROR(__xludf.DUMMYFUNCTION("""COMPUTED_VALUE"""),"analisis de R simón")</f>
        <v>analisis de R simón</v>
      </c>
    </row>
    <row r="1776" ht="15.75" customHeight="1">
      <c r="A1776" s="3">
        <f>IFERROR(__xludf.DUMMYFUNCTION("""COMPUTED_VALUE"""),1776.0)</f>
        <v>1776</v>
      </c>
      <c r="B1776" s="53">
        <f>IFERROR(__xludf.DUMMYFUNCTION("""COMPUTED_VALUE"""),45905.0)</f>
        <v>45905</v>
      </c>
      <c r="C1776" s="3">
        <f>IFERROR(__xludf.DUMMYFUNCTION("""COMPUTED_VALUE"""),75.0)</f>
        <v>75</v>
      </c>
      <c r="D1776" s="3" t="str">
        <f>IFERROR(__xludf.DUMMYFUNCTION("""COMPUTED_VALUE"""),"1ec2fae4")</f>
        <v>1ec2fae4</v>
      </c>
      <c r="E1776" s="54">
        <f>IFERROR(__xludf.DUMMYFUNCTION("""COMPUTED_VALUE"""),7000.0)</f>
        <v>7000</v>
      </c>
      <c r="F1776" s="3" t="str">
        <f>IFERROR(__xludf.DUMMYFUNCTION("""COMPUTED_VALUE"""),"Malbec Montecepas 24")</f>
        <v>Malbec Montecepas 24</v>
      </c>
      <c r="G1776" s="55">
        <f>IFERROR(__xludf.DUMMYFUNCTION("""COMPUTED_VALUE"""),13.1)</f>
        <v>13.1</v>
      </c>
      <c r="H1776" s="56">
        <f>IFERROR(__xludf.DUMMYFUNCTION("""COMPUTED_VALUE"""),2.65)</f>
        <v>2.65</v>
      </c>
      <c r="I1776" s="57">
        <f>IFERROR(__xludf.DUMMYFUNCTION("""COMPUTED_VALUE"""),0.47)</f>
        <v>0.47</v>
      </c>
      <c r="J1776" s="57">
        <f>IFERROR(__xludf.DUMMYFUNCTION("""COMPUTED_VALUE"""),5.25)</f>
        <v>5.25</v>
      </c>
      <c r="K1776" s="3"/>
      <c r="L1776" s="3"/>
      <c r="M1776" s="3"/>
      <c r="N1776" s="3"/>
      <c r="O1776" s="3"/>
      <c r="P1776" s="3"/>
      <c r="Q1776" s="3"/>
      <c r="R1776" s="3">
        <f>IFERROR(__xludf.DUMMYFUNCTION("""COMPUTED_VALUE"""),0.0)</f>
        <v>0</v>
      </c>
      <c r="S1776" s="3"/>
      <c r="T1776" s="5"/>
      <c r="U1776" s="5"/>
      <c r="V1776" s="5"/>
      <c r="W1776" s="5" t="str">
        <f>IFERROR(__xludf.DUMMYFUNCTION("""COMPUTED_VALUE"""),"analisis de R simón")</f>
        <v>analisis de R simón</v>
      </c>
    </row>
    <row r="1777" ht="15.75" customHeight="1">
      <c r="A1777" s="3">
        <f>IFERROR(__xludf.DUMMYFUNCTION("""COMPUTED_VALUE"""),1777.0)</f>
        <v>1777</v>
      </c>
      <c r="B1777" s="53">
        <f>IFERROR(__xludf.DUMMYFUNCTION("""COMPUTED_VALUE"""),45905.0)</f>
        <v>45905</v>
      </c>
      <c r="C1777" s="3">
        <f>IFERROR(__xludf.DUMMYFUNCTION("""COMPUTED_VALUE"""),82.0)</f>
        <v>82</v>
      </c>
      <c r="D1777" s="3" t="str">
        <f>IFERROR(__xludf.DUMMYFUNCTION("""COMPUTED_VALUE"""),"872fc1c6")</f>
        <v>872fc1c6</v>
      </c>
      <c r="E1777" s="54">
        <f>IFERROR(__xludf.DUMMYFUNCTION("""COMPUTED_VALUE"""),42600.0)</f>
        <v>42600</v>
      </c>
      <c r="F1777" s="3" t="str">
        <f>IFERROR(__xludf.DUMMYFUNCTION("""COMPUTED_VALUE"""),"Syrah")</f>
        <v>Syrah</v>
      </c>
      <c r="G1777" s="55">
        <f>IFERROR(__xludf.DUMMYFUNCTION("""COMPUTED_VALUE"""),13.8)</f>
        <v>13.8</v>
      </c>
      <c r="H1777" s="56">
        <f>IFERROR(__xludf.DUMMYFUNCTION("""COMPUTED_VALUE"""),3.46)</f>
        <v>3.46</v>
      </c>
      <c r="I1777" s="57">
        <f>IFERROR(__xludf.DUMMYFUNCTION("""COMPUTED_VALUE"""),0.5)</f>
        <v>0.5</v>
      </c>
      <c r="J1777" s="57">
        <f>IFERROR(__xludf.DUMMYFUNCTION("""COMPUTED_VALUE"""),5.25)</f>
        <v>5.25</v>
      </c>
      <c r="K1777" s="3"/>
      <c r="L1777" s="3"/>
      <c r="M1777" s="3"/>
      <c r="N1777" s="3"/>
      <c r="O1777" s="3"/>
      <c r="P1777" s="3"/>
      <c r="Q1777" s="3"/>
      <c r="R1777" s="3">
        <f>IFERROR(__xludf.DUMMYFUNCTION("""COMPUTED_VALUE"""),0.0)</f>
        <v>0</v>
      </c>
      <c r="S1777" s="3"/>
      <c r="T1777" s="5"/>
      <c r="U1777" s="5"/>
      <c r="V1777" s="5"/>
      <c r="W1777" s="5" t="str">
        <f>IFERROR(__xludf.DUMMYFUNCTION("""COMPUTED_VALUE"""),"analisis de R simón")</f>
        <v>analisis de R simón</v>
      </c>
    </row>
    <row r="1778" ht="15.75" customHeight="1">
      <c r="A1778" s="3">
        <f>IFERROR(__xludf.DUMMYFUNCTION("""COMPUTED_VALUE"""),1778.0)</f>
        <v>1778</v>
      </c>
      <c r="B1778" s="53">
        <f>IFERROR(__xludf.DUMMYFUNCTION("""COMPUTED_VALUE"""),45905.0)</f>
        <v>45905</v>
      </c>
      <c r="C1778" s="3">
        <f>IFERROR(__xludf.DUMMYFUNCTION("""COMPUTED_VALUE"""),89.0)</f>
        <v>89</v>
      </c>
      <c r="D1778" s="3" t="str">
        <f>IFERROR(__xludf.DUMMYFUNCTION("""COMPUTED_VALUE"""),"f8ffe3ae")</f>
        <v>f8ffe3ae</v>
      </c>
      <c r="E1778" s="54">
        <f>IFERROR(__xludf.DUMMYFUNCTION("""COMPUTED_VALUE"""),83500.0)</f>
        <v>83500</v>
      </c>
      <c r="F1778" s="3" t="str">
        <f>IFERROR(__xludf.DUMMYFUNCTION("""COMPUTED_VALUE"""),"Syrah")</f>
        <v>Syrah</v>
      </c>
      <c r="G1778" s="55">
        <f>IFERROR(__xludf.DUMMYFUNCTION("""COMPUTED_VALUE"""),14.0)</f>
        <v>14</v>
      </c>
      <c r="H1778" s="56">
        <f>IFERROR(__xludf.DUMMYFUNCTION("""COMPUTED_VALUE"""),2.83)</f>
        <v>2.83</v>
      </c>
      <c r="I1778" s="57">
        <f>IFERROR(__xludf.DUMMYFUNCTION("""COMPUTED_VALUE"""),0.47)</f>
        <v>0.47</v>
      </c>
      <c r="J1778" s="57">
        <f>IFERROR(__xludf.DUMMYFUNCTION("""COMPUTED_VALUE"""),5.25)</f>
        <v>5.25</v>
      </c>
      <c r="K1778" s="3"/>
      <c r="L1778" s="3"/>
      <c r="M1778" s="3"/>
      <c r="N1778" s="3"/>
      <c r="O1778" s="3"/>
      <c r="P1778" s="3"/>
      <c r="Q1778" s="3"/>
      <c r="R1778" s="3">
        <f>IFERROR(__xludf.DUMMYFUNCTION("""COMPUTED_VALUE"""),0.0)</f>
        <v>0</v>
      </c>
      <c r="S1778" s="3"/>
      <c r="T1778" s="5"/>
      <c r="U1778" s="5"/>
      <c r="V1778" s="5"/>
      <c r="W1778" s="5" t="str">
        <f>IFERROR(__xludf.DUMMYFUNCTION("""COMPUTED_VALUE"""),"analisis de R simón")</f>
        <v>analisis de R simón</v>
      </c>
    </row>
    <row r="1779" ht="15.75" customHeight="1">
      <c r="A1779" s="3">
        <f>IFERROR(__xludf.DUMMYFUNCTION("""COMPUTED_VALUE"""),1779.0)</f>
        <v>1779</v>
      </c>
      <c r="B1779" s="53">
        <f>IFERROR(__xludf.DUMMYFUNCTION("""COMPUTED_VALUE"""),45905.0)</f>
        <v>45905</v>
      </c>
      <c r="C1779" s="3">
        <f>IFERROR(__xludf.DUMMYFUNCTION("""COMPUTED_VALUE"""),106.0)</f>
        <v>106</v>
      </c>
      <c r="D1779" s="3" t="str">
        <f>IFERROR(__xludf.DUMMYFUNCTION("""COMPUTED_VALUE"""),"32fe7ee0")</f>
        <v>32fe7ee0</v>
      </c>
      <c r="E1779" s="54">
        <f>IFERROR(__xludf.DUMMYFUNCTION("""COMPUTED_VALUE"""),11000.0)</f>
        <v>11000</v>
      </c>
      <c r="F1779" s="3" t="str">
        <f>IFERROR(__xludf.DUMMYFUNCTION("""COMPUTED_VALUE"""),"Aspirant 24")</f>
        <v>Aspirant 24</v>
      </c>
      <c r="G1779" s="55">
        <f>IFERROR(__xludf.DUMMYFUNCTION("""COMPUTED_VALUE"""),11.8)</f>
        <v>11.8</v>
      </c>
      <c r="H1779" s="56">
        <f>IFERROR(__xludf.DUMMYFUNCTION("""COMPUTED_VALUE"""),2.13)</f>
        <v>2.13</v>
      </c>
      <c r="I1779" s="57">
        <f>IFERROR(__xludf.DUMMYFUNCTION("""COMPUTED_VALUE"""),0.39)</f>
        <v>0.39</v>
      </c>
      <c r="J1779" s="57">
        <f>IFERROR(__xludf.DUMMYFUNCTION("""COMPUTED_VALUE"""),5.62)</f>
        <v>5.62</v>
      </c>
      <c r="K1779" s="3"/>
      <c r="L1779" s="3"/>
      <c r="M1779" s="3"/>
      <c r="N1779" s="3"/>
      <c r="O1779" s="3"/>
      <c r="P1779" s="3"/>
      <c r="Q1779" s="3"/>
      <c r="R1779" s="3">
        <f>IFERROR(__xludf.DUMMYFUNCTION("""COMPUTED_VALUE"""),0.0)</f>
        <v>0</v>
      </c>
      <c r="S1779" s="3"/>
      <c r="T1779" s="5"/>
      <c r="U1779" s="5"/>
      <c r="V1779" s="5"/>
      <c r="W1779" s="5" t="str">
        <f>IFERROR(__xludf.DUMMYFUNCTION("""COMPUTED_VALUE"""),"analisis de R simón")</f>
        <v>analisis de R simón</v>
      </c>
    </row>
    <row r="1780" ht="15.75" customHeight="1">
      <c r="A1780" s="3">
        <f>IFERROR(__xludf.DUMMYFUNCTION("""COMPUTED_VALUE"""),1780.0)</f>
        <v>1780</v>
      </c>
      <c r="B1780" s="53">
        <f>IFERROR(__xludf.DUMMYFUNCTION("""COMPUTED_VALUE"""),45905.0)</f>
        <v>45905</v>
      </c>
      <c r="C1780" s="3">
        <f>IFERROR(__xludf.DUMMYFUNCTION("""COMPUTED_VALUE"""),107.0)</f>
        <v>107</v>
      </c>
      <c r="D1780" s="3" t="str">
        <f>IFERROR(__xludf.DUMMYFUNCTION("""COMPUTED_VALUE"""),"3f5178fd")</f>
        <v>3f5178fd</v>
      </c>
      <c r="E1780" s="54">
        <f>IFERROR(__xludf.DUMMYFUNCTION("""COMPUTED_VALUE"""),31000.0)</f>
        <v>31000</v>
      </c>
      <c r="F1780" s="3" t="str">
        <f>IFERROR(__xludf.DUMMYFUNCTION("""COMPUTED_VALUE"""),"Bonarda")</f>
        <v>Bonarda</v>
      </c>
      <c r="G1780" s="55">
        <f>IFERROR(__xludf.DUMMYFUNCTION("""COMPUTED_VALUE"""),13.5)</f>
        <v>13.5</v>
      </c>
      <c r="H1780" s="56">
        <f>IFERROR(__xludf.DUMMYFUNCTION("""COMPUTED_VALUE"""),3.46)</f>
        <v>3.46</v>
      </c>
      <c r="I1780" s="57">
        <f>IFERROR(__xludf.DUMMYFUNCTION("""COMPUTED_VALUE"""),0.45)</f>
        <v>0.45</v>
      </c>
      <c r="J1780" s="57">
        <f>IFERROR(__xludf.DUMMYFUNCTION("""COMPUTED_VALUE"""),6.52)</f>
        <v>6.52</v>
      </c>
      <c r="K1780" s="3"/>
      <c r="L1780" s="3"/>
      <c r="M1780" s="3"/>
      <c r="N1780" s="3"/>
      <c r="O1780" s="3"/>
      <c r="P1780" s="3"/>
      <c r="Q1780" s="3"/>
      <c r="R1780" s="3">
        <f>IFERROR(__xludf.DUMMYFUNCTION("""COMPUTED_VALUE"""),0.0)</f>
        <v>0</v>
      </c>
      <c r="S1780" s="3"/>
      <c r="T1780" s="5"/>
      <c r="U1780" s="5"/>
      <c r="V1780" s="5"/>
      <c r="W1780" s="5" t="str">
        <f>IFERROR(__xludf.DUMMYFUNCTION("""COMPUTED_VALUE"""),"analisis de R simón")</f>
        <v>analisis de R simón</v>
      </c>
    </row>
    <row r="1781" ht="15.75" customHeight="1">
      <c r="A1781" s="3">
        <f>IFERROR(__xludf.DUMMYFUNCTION("""COMPUTED_VALUE"""),1781.0)</f>
        <v>1781</v>
      </c>
      <c r="B1781" s="53">
        <f>IFERROR(__xludf.DUMMYFUNCTION("""COMPUTED_VALUE"""),45905.0)</f>
        <v>45905</v>
      </c>
      <c r="C1781" s="3">
        <f>IFERROR(__xludf.DUMMYFUNCTION("""COMPUTED_VALUE"""),109.0)</f>
        <v>109</v>
      </c>
      <c r="D1781" s="3" t="str">
        <f>IFERROR(__xludf.DUMMYFUNCTION("""COMPUTED_VALUE"""),"605416fd")</f>
        <v>605416fd</v>
      </c>
      <c r="E1781" s="54">
        <f>IFERROR(__xludf.DUMMYFUNCTION("""COMPUTED_VALUE"""),15600.0)</f>
        <v>15600</v>
      </c>
      <c r="F1781" s="3" t="str">
        <f>IFERROR(__xludf.DUMMYFUNCTION("""COMPUTED_VALUE"""),"Bonarda")</f>
        <v>Bonarda</v>
      </c>
      <c r="G1781" s="55">
        <f>IFERROR(__xludf.DUMMYFUNCTION("""COMPUTED_VALUE"""),13.6)</f>
        <v>13.6</v>
      </c>
      <c r="H1781" s="56">
        <f>IFERROR(__xludf.DUMMYFUNCTION("""COMPUTED_VALUE"""),3.47)</f>
        <v>3.47</v>
      </c>
      <c r="I1781" s="57">
        <f>IFERROR(__xludf.DUMMYFUNCTION("""COMPUTED_VALUE"""),0.46)</f>
        <v>0.46</v>
      </c>
      <c r="J1781" s="57">
        <f>IFERROR(__xludf.DUMMYFUNCTION("""COMPUTED_VALUE"""),6.6)</f>
        <v>6.6</v>
      </c>
      <c r="K1781" s="3"/>
      <c r="L1781" s="3"/>
      <c r="M1781" s="3"/>
      <c r="N1781" s="3"/>
      <c r="O1781" s="3"/>
      <c r="P1781" s="3"/>
      <c r="Q1781" s="3"/>
      <c r="R1781" s="3">
        <f>IFERROR(__xludf.DUMMYFUNCTION("""COMPUTED_VALUE"""),0.0)</f>
        <v>0</v>
      </c>
      <c r="S1781" s="3"/>
      <c r="T1781" s="5"/>
      <c r="U1781" s="5"/>
      <c r="V1781" s="5"/>
      <c r="W1781" s="5" t="str">
        <f>IFERROR(__xludf.DUMMYFUNCTION("""COMPUTED_VALUE"""),"analisis de R simón")</f>
        <v>analisis de R simón</v>
      </c>
    </row>
    <row r="1782" ht="15.75" customHeight="1">
      <c r="A1782" s="3">
        <f>IFERROR(__xludf.DUMMYFUNCTION("""COMPUTED_VALUE"""),1782.0)</f>
        <v>1782</v>
      </c>
      <c r="B1782" s="53">
        <f>IFERROR(__xludf.DUMMYFUNCTION("""COMPUTED_VALUE"""),45905.0)</f>
        <v>45905</v>
      </c>
      <c r="C1782" s="3">
        <f>IFERROR(__xludf.DUMMYFUNCTION("""COMPUTED_VALUE"""),5.0)</f>
        <v>5</v>
      </c>
      <c r="D1782" s="3" t="str">
        <f>IFERROR(__xludf.DUMMYFUNCTION("""COMPUTED_VALUE"""),"ebf08055")</f>
        <v>ebf08055</v>
      </c>
      <c r="E1782" s="54">
        <f>IFERROR(__xludf.DUMMYFUNCTION("""COMPUTED_VALUE"""),30000.0)</f>
        <v>30000</v>
      </c>
      <c r="F1782" s="3" t="str">
        <f>IFERROR(__xludf.DUMMYFUNCTION("""COMPUTED_VALUE"""),"Chardonnay")</f>
        <v>Chardonnay</v>
      </c>
      <c r="G1782" s="55">
        <f>IFERROR(__xludf.DUMMYFUNCTION("""COMPUTED_VALUE"""),13.1)</f>
        <v>13.1</v>
      </c>
      <c r="H1782" s="56">
        <f>IFERROR(__xludf.DUMMYFUNCTION("""COMPUTED_VALUE"""),1.8)</f>
        <v>1.8</v>
      </c>
      <c r="I1782" s="57">
        <f>IFERROR(__xludf.DUMMYFUNCTION("""COMPUTED_VALUE"""),0.3)</f>
        <v>0.3</v>
      </c>
      <c r="J1782" s="57">
        <f>IFERROR(__xludf.DUMMYFUNCTION("""COMPUTED_VALUE"""),5.7)</f>
        <v>5.7</v>
      </c>
      <c r="K1782" s="3"/>
      <c r="L1782" s="3"/>
      <c r="M1782" s="3"/>
      <c r="N1782" s="3"/>
      <c r="O1782" s="3"/>
      <c r="P1782" s="3"/>
      <c r="Q1782" s="3"/>
      <c r="R1782" s="3">
        <f>IFERROR(__xludf.DUMMYFUNCTION("""COMPUTED_VALUE"""),0.0)</f>
        <v>0</v>
      </c>
      <c r="S1782" s="3"/>
      <c r="T1782" s="5"/>
      <c r="U1782" s="5"/>
      <c r="V1782" s="5"/>
      <c r="W1782" s="5" t="str">
        <f>IFERROR(__xludf.DUMMYFUNCTION("""COMPUTED_VALUE"""),"analisis de R simón")</f>
        <v>analisis de R simón</v>
      </c>
    </row>
    <row r="1783" ht="15.75" customHeight="1">
      <c r="A1783" s="3">
        <f>IFERROR(__xludf.DUMMYFUNCTION("""COMPUTED_VALUE"""),1783.0)</f>
        <v>1783</v>
      </c>
      <c r="B1783" s="53">
        <f>IFERROR(__xludf.DUMMYFUNCTION("""COMPUTED_VALUE"""),45905.0)</f>
        <v>45905</v>
      </c>
      <c r="C1783" s="3">
        <f>IFERROR(__xludf.DUMMYFUNCTION("""COMPUTED_VALUE"""),10.0)</f>
        <v>10</v>
      </c>
      <c r="D1783" s="3" t="str">
        <f>IFERROR(__xludf.DUMMYFUNCTION("""COMPUTED_VALUE"""),"f9bf68a3")</f>
        <v>f9bf68a3</v>
      </c>
      <c r="E1783" s="54">
        <f>IFERROR(__xludf.DUMMYFUNCTION("""COMPUTED_VALUE"""),21000.0)</f>
        <v>21000</v>
      </c>
      <c r="F1783" s="3" t="str">
        <f>IFERROR(__xludf.DUMMYFUNCTION("""COMPUTED_VALUE"""),"Chardonnay")</f>
        <v>Chardonnay</v>
      </c>
      <c r="G1783" s="55">
        <f>IFERROR(__xludf.DUMMYFUNCTION("""COMPUTED_VALUE"""),11.7)</f>
        <v>11.7</v>
      </c>
      <c r="H1783" s="56">
        <f>IFERROR(__xludf.DUMMYFUNCTION("""COMPUTED_VALUE"""),1.8)</f>
        <v>1.8</v>
      </c>
      <c r="I1783" s="57">
        <f>IFERROR(__xludf.DUMMYFUNCTION("""COMPUTED_VALUE"""),0.26)</f>
        <v>0.26</v>
      </c>
      <c r="J1783" s="57">
        <f>IFERROR(__xludf.DUMMYFUNCTION("""COMPUTED_VALUE"""),5.85)</f>
        <v>5.85</v>
      </c>
      <c r="K1783" s="3"/>
      <c r="L1783" s="3"/>
      <c r="M1783" s="3"/>
      <c r="N1783" s="3"/>
      <c r="O1783" s="3"/>
      <c r="P1783" s="3"/>
      <c r="Q1783" s="3"/>
      <c r="R1783" s="3">
        <f>IFERROR(__xludf.DUMMYFUNCTION("""COMPUTED_VALUE"""),0.0)</f>
        <v>0</v>
      </c>
      <c r="S1783" s="3"/>
      <c r="T1783" s="5"/>
      <c r="U1783" s="5"/>
      <c r="V1783" s="5"/>
      <c r="W1783" s="5" t="str">
        <f>IFERROR(__xludf.DUMMYFUNCTION("""COMPUTED_VALUE"""),"analisis de R simón")</f>
        <v>analisis de R simón</v>
      </c>
    </row>
    <row r="1784" ht="15.75" customHeight="1">
      <c r="A1784" s="3">
        <f>IFERROR(__xludf.DUMMYFUNCTION("""COMPUTED_VALUE"""),1784.0)</f>
        <v>1784</v>
      </c>
      <c r="B1784" s="53">
        <f>IFERROR(__xludf.DUMMYFUNCTION("""COMPUTED_VALUE"""),45905.0)</f>
        <v>45905</v>
      </c>
      <c r="C1784" s="3">
        <f>IFERROR(__xludf.DUMMYFUNCTION("""COMPUTED_VALUE"""),48.0)</f>
        <v>48</v>
      </c>
      <c r="D1784" s="3" t="str">
        <f>IFERROR(__xludf.DUMMYFUNCTION("""COMPUTED_VALUE"""),"ef198a97")</f>
        <v>ef198a97</v>
      </c>
      <c r="E1784" s="54">
        <f>IFERROR(__xludf.DUMMYFUNCTION("""COMPUTED_VALUE"""),26000.0)</f>
        <v>26000</v>
      </c>
      <c r="F1784" s="3" t="str">
        <f>IFERROR(__xludf.DUMMYFUNCTION("""COMPUTED_VALUE"""),"Pedro Gimenez")</f>
        <v>Pedro Gimenez</v>
      </c>
      <c r="G1784" s="55">
        <f>IFERROR(__xludf.DUMMYFUNCTION("""COMPUTED_VALUE"""),12.1)</f>
        <v>12.1</v>
      </c>
      <c r="H1784" s="56">
        <f>IFERROR(__xludf.DUMMYFUNCTION("""COMPUTED_VALUE"""),1.8)</f>
        <v>1.8</v>
      </c>
      <c r="I1784" s="57">
        <f>IFERROR(__xludf.DUMMYFUNCTION("""COMPUTED_VALUE"""),0.28)</f>
        <v>0.28</v>
      </c>
      <c r="J1784" s="57">
        <f>IFERROR(__xludf.DUMMYFUNCTION("""COMPUTED_VALUE"""),4.65)</f>
        <v>4.65</v>
      </c>
      <c r="K1784" s="3"/>
      <c r="L1784" s="3"/>
      <c r="M1784" s="3"/>
      <c r="N1784" s="3"/>
      <c r="O1784" s="3"/>
      <c r="P1784" s="3"/>
      <c r="Q1784" s="3"/>
      <c r="R1784" s="3">
        <f>IFERROR(__xludf.DUMMYFUNCTION("""COMPUTED_VALUE"""),0.0)</f>
        <v>0</v>
      </c>
      <c r="S1784" s="3"/>
      <c r="T1784" s="5"/>
      <c r="U1784" s="5"/>
      <c r="V1784" s="5"/>
      <c r="W1784" s="5" t="str">
        <f>IFERROR(__xludf.DUMMYFUNCTION("""COMPUTED_VALUE"""),"analisis de R simón")</f>
        <v>analisis de R simón</v>
      </c>
    </row>
    <row r="1785" ht="15.75" customHeight="1">
      <c r="A1785" s="3">
        <f>IFERROR(__xludf.DUMMYFUNCTION("""COMPUTED_VALUE"""),1785.0)</f>
        <v>1785</v>
      </c>
      <c r="B1785" s="53">
        <f>IFERROR(__xludf.DUMMYFUNCTION("""COMPUTED_VALUE"""),45905.0)</f>
        <v>45905</v>
      </c>
      <c r="C1785" s="3">
        <f>IFERROR(__xludf.DUMMYFUNCTION("""COMPUTED_VALUE"""),83.0)</f>
        <v>83</v>
      </c>
      <c r="D1785" s="3" t="str">
        <f>IFERROR(__xludf.DUMMYFUNCTION("""COMPUTED_VALUE"""),"32396d27")</f>
        <v>32396d27</v>
      </c>
      <c r="E1785" s="54">
        <f>IFERROR(__xludf.DUMMYFUNCTION("""COMPUTED_VALUE"""),81500.0)</f>
        <v>81500</v>
      </c>
      <c r="F1785" s="3" t="str">
        <f>IFERROR(__xludf.DUMMYFUNCTION("""COMPUTED_VALUE"""),"Malbec")</f>
        <v>Malbec</v>
      </c>
      <c r="G1785" s="55">
        <f>IFERROR(__xludf.DUMMYFUNCTION("""COMPUTED_VALUE"""),13.2)</f>
        <v>13.2</v>
      </c>
      <c r="H1785" s="56">
        <f>IFERROR(__xludf.DUMMYFUNCTION("""COMPUTED_VALUE"""),2.81)</f>
        <v>2.81</v>
      </c>
      <c r="I1785" s="57">
        <f>IFERROR(__xludf.DUMMYFUNCTION("""COMPUTED_VALUE"""),0.4)</f>
        <v>0.4</v>
      </c>
      <c r="J1785" s="57">
        <f>IFERROR(__xludf.DUMMYFUNCTION("""COMPUTED_VALUE"""),4.87)</f>
        <v>4.87</v>
      </c>
      <c r="K1785" s="3"/>
      <c r="L1785" s="3"/>
      <c r="M1785" s="3"/>
      <c r="N1785" s="3"/>
      <c r="O1785" s="3"/>
      <c r="P1785" s="3"/>
      <c r="Q1785" s="3"/>
      <c r="R1785" s="3">
        <f>IFERROR(__xludf.DUMMYFUNCTION("""COMPUTED_VALUE"""),0.0)</f>
        <v>0</v>
      </c>
      <c r="S1785" s="3"/>
      <c r="T1785" s="5"/>
      <c r="U1785" s="5"/>
      <c r="V1785" s="5"/>
      <c r="W1785" s="5" t="str">
        <f>IFERROR(__xludf.DUMMYFUNCTION("""COMPUTED_VALUE"""),"analisis de R simón")</f>
        <v>analisis de R simón</v>
      </c>
    </row>
    <row r="1786" ht="15.75" customHeight="1">
      <c r="A1786" s="3">
        <f>IFERROR(__xludf.DUMMYFUNCTION("""COMPUTED_VALUE"""),1786.0)</f>
        <v>1786</v>
      </c>
      <c r="B1786" s="53">
        <f>IFERROR(__xludf.DUMMYFUNCTION("""COMPUTED_VALUE"""),45905.0)</f>
        <v>45905</v>
      </c>
      <c r="C1786" s="3">
        <f>IFERROR(__xludf.DUMMYFUNCTION("""COMPUTED_VALUE"""),115.0)</f>
        <v>115</v>
      </c>
      <c r="D1786" s="3" t="str">
        <f>IFERROR(__xludf.DUMMYFUNCTION("""COMPUTED_VALUE"""),"97e4f782")</f>
        <v>97e4f782</v>
      </c>
      <c r="E1786" s="54">
        <f>IFERROR(__xludf.DUMMYFUNCTION("""COMPUTED_VALUE"""),120200.0)</f>
        <v>120200</v>
      </c>
      <c r="F1786" s="3" t="str">
        <f>IFERROR(__xludf.DUMMYFUNCTION("""COMPUTED_VALUE"""),"Syrah")</f>
        <v>Syrah</v>
      </c>
      <c r="G1786" s="55">
        <f>IFERROR(__xludf.DUMMYFUNCTION("""COMPUTED_VALUE"""),13.9)</f>
        <v>13.9</v>
      </c>
      <c r="H1786" s="56">
        <f>IFERROR(__xludf.DUMMYFUNCTION("""COMPUTED_VALUE"""),2.65)</f>
        <v>2.65</v>
      </c>
      <c r="I1786" s="57">
        <f>IFERROR(__xludf.DUMMYFUNCTION("""COMPUTED_VALUE"""),0.48)</f>
        <v>0.48</v>
      </c>
      <c r="J1786" s="57">
        <f>IFERROR(__xludf.DUMMYFUNCTION("""COMPUTED_VALUE"""),5.25)</f>
        <v>5.25</v>
      </c>
      <c r="K1786" s="3"/>
      <c r="L1786" s="3"/>
      <c r="M1786" s="3"/>
      <c r="N1786" s="3"/>
      <c r="O1786" s="3"/>
      <c r="P1786" s="3"/>
      <c r="Q1786" s="3"/>
      <c r="R1786" s="3">
        <f>IFERROR(__xludf.DUMMYFUNCTION("""COMPUTED_VALUE"""),0.0)</f>
        <v>0</v>
      </c>
      <c r="S1786" s="3"/>
      <c r="T1786" s="5"/>
      <c r="U1786" s="5"/>
      <c r="V1786" s="5"/>
      <c r="W1786" s="5" t="str">
        <f>IFERROR(__xludf.DUMMYFUNCTION("""COMPUTED_VALUE"""),"analisis de R simón")</f>
        <v>analisis de R simón</v>
      </c>
    </row>
    <row r="1787" ht="15.75" customHeight="1">
      <c r="A1787" s="3">
        <f>IFERROR(__xludf.DUMMYFUNCTION("""COMPUTED_VALUE"""),1787.0)</f>
        <v>1787</v>
      </c>
      <c r="B1787" s="53">
        <f>IFERROR(__xludf.DUMMYFUNCTION("""COMPUTED_VALUE"""),45905.0)</f>
        <v>45905</v>
      </c>
      <c r="C1787" s="3">
        <f>IFERROR(__xludf.DUMMYFUNCTION("""COMPUTED_VALUE"""),116.0)</f>
        <v>116</v>
      </c>
      <c r="D1787" s="3" t="str">
        <f>IFERROR(__xludf.DUMMYFUNCTION("""COMPUTED_VALUE"""),"bf1abf21")</f>
        <v>bf1abf21</v>
      </c>
      <c r="E1787" s="54">
        <f>IFERROR(__xludf.DUMMYFUNCTION("""COMPUTED_VALUE"""),99600.0)</f>
        <v>99600</v>
      </c>
      <c r="F1787" s="3" t="str">
        <f>IFERROR(__xludf.DUMMYFUNCTION("""COMPUTED_VALUE"""),"Malbec")</f>
        <v>Malbec</v>
      </c>
      <c r="G1787" s="55">
        <f>IFERROR(__xludf.DUMMYFUNCTION("""COMPUTED_VALUE"""),13.8)</f>
        <v>13.8</v>
      </c>
      <c r="H1787" s="56">
        <f>IFERROR(__xludf.DUMMYFUNCTION("""COMPUTED_VALUE"""),3.0)</f>
        <v>3</v>
      </c>
      <c r="I1787" s="57">
        <f>IFERROR(__xludf.DUMMYFUNCTION("""COMPUTED_VALUE"""),0.45)</f>
        <v>0.45</v>
      </c>
      <c r="J1787" s="57">
        <f>IFERROR(__xludf.DUMMYFUNCTION("""COMPUTED_VALUE"""),5.25)</f>
        <v>5.25</v>
      </c>
      <c r="K1787" s="3"/>
      <c r="L1787" s="3"/>
      <c r="M1787" s="3"/>
      <c r="N1787" s="3"/>
      <c r="O1787" s="3"/>
      <c r="P1787" s="3"/>
      <c r="Q1787" s="3"/>
      <c r="R1787" s="3">
        <f>IFERROR(__xludf.DUMMYFUNCTION("""COMPUTED_VALUE"""),0.0)</f>
        <v>0</v>
      </c>
      <c r="S1787" s="3"/>
      <c r="T1787" s="5"/>
      <c r="U1787" s="5"/>
      <c r="V1787" s="5"/>
      <c r="W1787" s="5" t="str">
        <f>IFERROR(__xludf.DUMMYFUNCTION("""COMPUTED_VALUE"""),"analisis de R simón")</f>
        <v>analisis de R simón</v>
      </c>
    </row>
    <row r="1788" ht="15.75" customHeight="1">
      <c r="A1788" s="3">
        <f>IFERROR(__xludf.DUMMYFUNCTION("""COMPUTED_VALUE"""),1788.0)</f>
        <v>1788</v>
      </c>
      <c r="B1788" s="53">
        <f>IFERROR(__xludf.DUMMYFUNCTION("""COMPUTED_VALUE"""),45905.0)</f>
        <v>45905</v>
      </c>
      <c r="C1788" s="3">
        <f>IFERROR(__xludf.DUMMYFUNCTION("""COMPUTED_VALUE"""),118.0)</f>
        <v>118</v>
      </c>
      <c r="D1788" s="3" t="str">
        <f>IFERROR(__xludf.DUMMYFUNCTION("""COMPUTED_VALUE"""),"76fe7029")</f>
        <v>76fe7029</v>
      </c>
      <c r="E1788" s="54">
        <f>IFERROR(__xludf.DUMMYFUNCTION("""COMPUTED_VALUE"""),155600.0)</f>
        <v>155600</v>
      </c>
      <c r="F1788" s="3" t="str">
        <f>IFERROR(__xludf.DUMMYFUNCTION("""COMPUTED_VALUE"""),"Tinto")</f>
        <v>Tinto</v>
      </c>
      <c r="G1788" s="55">
        <f>IFERROR(__xludf.DUMMYFUNCTION("""COMPUTED_VALUE"""),13.9)</f>
        <v>13.9</v>
      </c>
      <c r="H1788" s="56">
        <f>IFERROR(__xludf.DUMMYFUNCTION("""COMPUTED_VALUE"""),3.0)</f>
        <v>3</v>
      </c>
      <c r="I1788" s="57">
        <f>IFERROR(__xludf.DUMMYFUNCTION("""COMPUTED_VALUE"""),0.54)</f>
        <v>0.54</v>
      </c>
      <c r="J1788" s="57">
        <f>IFERROR(__xludf.DUMMYFUNCTION("""COMPUTED_VALUE"""),5.4)</f>
        <v>5.4</v>
      </c>
      <c r="K1788" s="3"/>
      <c r="L1788" s="3"/>
      <c r="M1788" s="3"/>
      <c r="N1788" s="3"/>
      <c r="O1788" s="3"/>
      <c r="P1788" s="3"/>
      <c r="Q1788" s="3"/>
      <c r="R1788" s="3">
        <f>IFERROR(__xludf.DUMMYFUNCTION("""COMPUTED_VALUE"""),0.0)</f>
        <v>0</v>
      </c>
      <c r="S1788" s="3"/>
      <c r="T1788" s="5"/>
      <c r="U1788" s="5"/>
      <c r="V1788" s="5"/>
      <c r="W1788" s="5" t="str">
        <f>IFERROR(__xludf.DUMMYFUNCTION("""COMPUTED_VALUE"""),"analisis de R simón")</f>
        <v>analisis de R simón</v>
      </c>
    </row>
    <row r="1789" ht="15.75" customHeight="1">
      <c r="A1789" s="3">
        <f>IFERROR(__xludf.DUMMYFUNCTION("""COMPUTED_VALUE"""),1789.0)</f>
        <v>1789</v>
      </c>
      <c r="B1789" s="53">
        <f>IFERROR(__xludf.DUMMYFUNCTION("""COMPUTED_VALUE"""),45905.0)</f>
        <v>45905</v>
      </c>
      <c r="C1789" s="3">
        <f>IFERROR(__xludf.DUMMYFUNCTION("""COMPUTED_VALUE"""),121.0)</f>
        <v>121</v>
      </c>
      <c r="D1789" s="3" t="str">
        <f>IFERROR(__xludf.DUMMYFUNCTION("""COMPUTED_VALUE"""),"887268c3")</f>
        <v>887268c3</v>
      </c>
      <c r="E1789" s="54">
        <f>IFERROR(__xludf.DUMMYFUNCTION("""COMPUTED_VALUE"""),85800.0)</f>
        <v>85800</v>
      </c>
      <c r="F1789" s="3" t="str">
        <f>IFERROR(__xludf.DUMMYFUNCTION("""COMPUTED_VALUE"""),"Malbec")</f>
        <v>Malbec</v>
      </c>
      <c r="G1789" s="55">
        <f>IFERROR(__xludf.DUMMYFUNCTION("""COMPUTED_VALUE"""),13.9)</f>
        <v>13.9</v>
      </c>
      <c r="H1789" s="56">
        <f>IFERROR(__xludf.DUMMYFUNCTION("""COMPUTED_VALUE"""),3.0)</f>
        <v>3</v>
      </c>
      <c r="I1789" s="57">
        <f>IFERROR(__xludf.DUMMYFUNCTION("""COMPUTED_VALUE"""),0.54)</f>
        <v>0.54</v>
      </c>
      <c r="J1789" s="57">
        <f>IFERROR(__xludf.DUMMYFUNCTION("""COMPUTED_VALUE"""),5.32)</f>
        <v>5.32</v>
      </c>
      <c r="K1789" s="3"/>
      <c r="L1789" s="3"/>
      <c r="M1789" s="3"/>
      <c r="N1789" s="3"/>
      <c r="O1789" s="3"/>
      <c r="P1789" s="3"/>
      <c r="Q1789" s="3"/>
      <c r="R1789" s="3">
        <f>IFERROR(__xludf.DUMMYFUNCTION("""COMPUTED_VALUE"""),0.0)</f>
        <v>0</v>
      </c>
      <c r="S1789" s="3"/>
      <c r="T1789" s="5"/>
      <c r="U1789" s="5"/>
      <c r="V1789" s="5"/>
      <c r="W1789" s="5" t="str">
        <f>IFERROR(__xludf.DUMMYFUNCTION("""COMPUTED_VALUE"""),"analisis de R simón")</f>
        <v>analisis de R simón</v>
      </c>
    </row>
    <row r="1790" ht="15.75" customHeight="1">
      <c r="A1790" s="3">
        <f>IFERROR(__xludf.DUMMYFUNCTION("""COMPUTED_VALUE"""),1790.0)</f>
        <v>1790</v>
      </c>
      <c r="B1790" s="53">
        <f>IFERROR(__xludf.DUMMYFUNCTION("""COMPUTED_VALUE"""),45911.0)</f>
        <v>45911</v>
      </c>
      <c r="C1790" s="3">
        <f>IFERROR(__xludf.DUMMYFUNCTION("""COMPUTED_VALUE"""),5.0)</f>
        <v>5</v>
      </c>
      <c r="D1790" s="3" t="str">
        <f>IFERROR(__xludf.DUMMYFUNCTION("""COMPUTED_VALUE"""),"ebf08055")</f>
        <v>ebf08055</v>
      </c>
      <c r="E1790" s="54">
        <f>IFERROR(__xludf.DUMMYFUNCTION("""COMPUTED_VALUE"""),30000.0)</f>
        <v>30000</v>
      </c>
      <c r="F1790" s="3" t="str">
        <f>IFERROR(__xludf.DUMMYFUNCTION("""COMPUTED_VALUE"""),"Chardonnay")</f>
        <v>Chardonnay</v>
      </c>
      <c r="G1790" s="3"/>
      <c r="H1790" s="3"/>
      <c r="I1790" s="3"/>
      <c r="J1790" s="3"/>
      <c r="K1790" s="3"/>
      <c r="L1790" s="54">
        <f>IFERROR(__xludf.DUMMYFUNCTION("""COMPUTED_VALUE"""),40.0)</f>
        <v>40</v>
      </c>
      <c r="M1790" s="3">
        <f>IFERROR(__xludf.DUMMYFUNCTION("""COMPUTED_VALUE"""),150.0)</f>
        <v>150</v>
      </c>
      <c r="N1790" s="3"/>
      <c r="O1790" s="3"/>
      <c r="P1790" s="3"/>
      <c r="Q1790" s="3"/>
      <c r="R1790" s="3"/>
      <c r="S1790" s="3"/>
      <c r="T1790" s="5"/>
      <c r="U1790" s="5"/>
      <c r="V1790" s="5"/>
      <c r="W1790" s="5"/>
    </row>
    <row r="1791" ht="15.75" customHeight="1">
      <c r="A1791" s="3">
        <f>IFERROR(__xludf.DUMMYFUNCTION("""COMPUTED_VALUE"""),1791.0)</f>
        <v>1791</v>
      </c>
      <c r="B1791" s="53">
        <f>IFERROR(__xludf.DUMMYFUNCTION("""COMPUTED_VALUE"""),45911.0)</f>
        <v>45911</v>
      </c>
      <c r="C1791" s="3">
        <f>IFERROR(__xludf.DUMMYFUNCTION("""COMPUTED_VALUE"""),10.0)</f>
        <v>10</v>
      </c>
      <c r="D1791" s="3" t="str">
        <f>IFERROR(__xludf.DUMMYFUNCTION("""COMPUTED_VALUE"""),"f9bf68a3")</f>
        <v>f9bf68a3</v>
      </c>
      <c r="E1791" s="54">
        <f>IFERROR(__xludf.DUMMYFUNCTION("""COMPUTED_VALUE"""),21000.0)</f>
        <v>21000</v>
      </c>
      <c r="F1791" s="3" t="str">
        <f>IFERROR(__xludf.DUMMYFUNCTION("""COMPUTED_VALUE"""),"Chardonnay")</f>
        <v>Chardonnay</v>
      </c>
      <c r="G1791" s="3"/>
      <c r="H1791" s="3"/>
      <c r="I1791" s="3"/>
      <c r="J1791" s="3"/>
      <c r="K1791" s="3"/>
      <c r="L1791" s="54">
        <f>IFERROR(__xludf.DUMMYFUNCTION("""COMPUTED_VALUE"""),41.0)</f>
        <v>41</v>
      </c>
      <c r="M1791" s="3">
        <f>IFERROR(__xludf.DUMMYFUNCTION("""COMPUTED_VALUE"""),155.0)</f>
        <v>155</v>
      </c>
      <c r="N1791" s="3"/>
      <c r="O1791" s="3"/>
      <c r="P1791" s="3"/>
      <c r="Q1791" s="3"/>
      <c r="R1791" s="3"/>
      <c r="S1791" s="3"/>
      <c r="T1791" s="5"/>
      <c r="U1791" s="5"/>
      <c r="V1791" s="5"/>
      <c r="W1791" s="5"/>
    </row>
    <row r="1792" ht="15.75" customHeight="1">
      <c r="A1792" s="3">
        <f>IFERROR(__xludf.DUMMYFUNCTION("""COMPUTED_VALUE"""),1792.0)</f>
        <v>1792</v>
      </c>
      <c r="B1792" s="53">
        <f>IFERROR(__xludf.DUMMYFUNCTION("""COMPUTED_VALUE"""),45911.0)</f>
        <v>45911</v>
      </c>
      <c r="C1792" s="3">
        <f>IFERROR(__xludf.DUMMYFUNCTION("""COMPUTED_VALUE"""),48.0)</f>
        <v>48</v>
      </c>
      <c r="D1792" s="3" t="str">
        <f>IFERROR(__xludf.DUMMYFUNCTION("""COMPUTED_VALUE"""),"ef198a97")</f>
        <v>ef198a97</v>
      </c>
      <c r="E1792" s="54">
        <f>IFERROR(__xludf.DUMMYFUNCTION("""COMPUTED_VALUE"""),26000.0)</f>
        <v>26000</v>
      </c>
      <c r="F1792" s="3" t="str">
        <f>IFERROR(__xludf.DUMMYFUNCTION("""COMPUTED_VALUE"""),"Pedro Gimenez")</f>
        <v>Pedro Gimenez</v>
      </c>
      <c r="G1792" s="3"/>
      <c r="H1792" s="3"/>
      <c r="I1792" s="3"/>
      <c r="J1792" s="3"/>
      <c r="K1792" s="3"/>
      <c r="L1792" s="54">
        <f>IFERROR(__xludf.DUMMYFUNCTION("""COMPUTED_VALUE"""),38.0)</f>
        <v>38</v>
      </c>
      <c r="M1792" s="3">
        <f>IFERROR(__xludf.DUMMYFUNCTION("""COMPUTED_VALUE"""),140.0)</f>
        <v>140</v>
      </c>
      <c r="N1792" s="3"/>
      <c r="O1792" s="3"/>
      <c r="P1792" s="3"/>
      <c r="Q1792" s="3"/>
      <c r="R1792" s="3"/>
      <c r="S1792" s="3"/>
      <c r="T1792" s="5"/>
      <c r="U1792" s="5"/>
      <c r="V1792" s="5"/>
      <c r="W1792" s="5"/>
    </row>
    <row r="1793" ht="15.75" customHeight="1">
      <c r="A1793" s="3">
        <f>IFERROR(__xludf.DUMMYFUNCTION("""COMPUTED_VALUE"""),1793.0)</f>
        <v>1793</v>
      </c>
      <c r="B1793" s="53">
        <f>IFERROR(__xludf.DUMMYFUNCTION("""COMPUTED_VALUE"""),45911.0)</f>
        <v>45911</v>
      </c>
      <c r="C1793" s="3">
        <f>IFERROR(__xludf.DUMMYFUNCTION("""COMPUTED_VALUE"""),69.0)</f>
        <v>69</v>
      </c>
      <c r="D1793" s="3" t="str">
        <f>IFERROR(__xludf.DUMMYFUNCTION("""COMPUTED_VALUE"""),"fdb74546")</f>
        <v>fdb74546</v>
      </c>
      <c r="E1793" s="54">
        <f>IFERROR(__xludf.DUMMYFUNCTION("""COMPUTED_VALUE"""),13000.0)</f>
        <v>13000</v>
      </c>
      <c r="F1793" s="3" t="str">
        <f>IFERROR(__xludf.DUMMYFUNCTION("""COMPUTED_VALUE"""),"Chardonnay")</f>
        <v>Chardonnay</v>
      </c>
      <c r="G1793" s="3"/>
      <c r="H1793" s="3"/>
      <c r="I1793" s="3"/>
      <c r="J1793" s="3"/>
      <c r="K1793" s="3"/>
      <c r="L1793" s="54">
        <f>IFERROR(__xludf.DUMMYFUNCTION("""COMPUTED_VALUE"""),42.0)</f>
        <v>42</v>
      </c>
      <c r="M1793" s="3">
        <f>IFERROR(__xludf.DUMMYFUNCTION("""COMPUTED_VALUE"""),141.0)</f>
        <v>141</v>
      </c>
      <c r="N1793" s="3"/>
      <c r="O1793" s="3"/>
      <c r="P1793" s="3"/>
      <c r="Q1793" s="3"/>
      <c r="R1793" s="3"/>
      <c r="S1793" s="3"/>
      <c r="T1793" s="5"/>
      <c r="U1793" s="5"/>
      <c r="V1793" s="5"/>
      <c r="W1793" s="5"/>
    </row>
    <row r="1794" ht="15.75" customHeight="1">
      <c r="A1794" s="3">
        <f>IFERROR(__xludf.DUMMYFUNCTION("""COMPUTED_VALUE"""),1794.0)</f>
        <v>1794</v>
      </c>
      <c r="B1794" s="53">
        <f>IFERROR(__xludf.DUMMYFUNCTION("""COMPUTED_VALUE"""),45911.0)</f>
        <v>45911</v>
      </c>
      <c r="C1794" s="3">
        <f>IFERROR(__xludf.DUMMYFUNCTION("""COMPUTED_VALUE"""),9.0)</f>
        <v>9</v>
      </c>
      <c r="D1794" s="3" t="str">
        <f>IFERROR(__xludf.DUMMYFUNCTION("""COMPUTED_VALUE"""),"df5a7884")</f>
        <v>df5a7884</v>
      </c>
      <c r="E1794" s="54">
        <f>IFERROR(__xludf.DUMMYFUNCTION("""COMPUTED_VALUE"""),30000.0)</f>
        <v>30000</v>
      </c>
      <c r="F1794" s="3" t="str">
        <f>IFERROR(__xludf.DUMMYFUNCTION("""COMPUTED_VALUE"""),"Tanat")</f>
        <v>Tanat</v>
      </c>
      <c r="G1794" s="3"/>
      <c r="H1794" s="3"/>
      <c r="I1794" s="3"/>
      <c r="J1794" s="3"/>
      <c r="K1794" s="3"/>
      <c r="L1794" s="54">
        <f>IFERROR(__xludf.DUMMYFUNCTION("""COMPUTED_VALUE"""),39.0)</f>
        <v>39</v>
      </c>
      <c r="M1794" s="3">
        <f>IFERROR(__xludf.DUMMYFUNCTION("""COMPUTED_VALUE"""),130.0)</f>
        <v>130</v>
      </c>
      <c r="N1794" s="3"/>
      <c r="O1794" s="3"/>
      <c r="P1794" s="3"/>
      <c r="Q1794" s="3"/>
      <c r="R1794" s="3"/>
      <c r="S1794" s="3"/>
      <c r="T1794" s="5"/>
      <c r="U1794" s="5"/>
      <c r="V1794" s="5"/>
      <c r="W1794" s="5"/>
    </row>
    <row r="1795" ht="15.75" customHeight="1">
      <c r="A1795" s="3">
        <f>IFERROR(__xludf.DUMMYFUNCTION("""COMPUTED_VALUE"""),1795.0)</f>
        <v>1795</v>
      </c>
      <c r="B1795" s="53">
        <f>IFERROR(__xludf.DUMMYFUNCTION("""COMPUTED_VALUE"""),45911.0)</f>
        <v>45911</v>
      </c>
      <c r="C1795" s="3">
        <f>IFERROR(__xludf.DUMMYFUNCTION("""COMPUTED_VALUE"""),72.0)</f>
        <v>72</v>
      </c>
      <c r="D1795" s="3" t="str">
        <f>IFERROR(__xludf.DUMMYFUNCTION("""COMPUTED_VALUE"""),"b9a9005f")</f>
        <v>b9a9005f</v>
      </c>
      <c r="E1795" s="54">
        <f>IFERROR(__xludf.DUMMYFUNCTION("""COMPUTED_VALUE"""),13000.0)</f>
        <v>13000</v>
      </c>
      <c r="F1795" s="3" t="str">
        <f>IFERROR(__xludf.DUMMYFUNCTION("""COMPUTED_VALUE"""),"Aspirant Anccelota Gota")</f>
        <v>Aspirant Anccelota Gota</v>
      </c>
      <c r="G1795" s="3"/>
      <c r="H1795" s="3"/>
      <c r="I1795" s="3"/>
      <c r="J1795" s="3"/>
      <c r="K1795" s="3"/>
      <c r="L1795" s="54">
        <f>IFERROR(__xludf.DUMMYFUNCTION("""COMPUTED_VALUE"""),51.0)</f>
        <v>51</v>
      </c>
      <c r="M1795" s="3">
        <f>IFERROR(__xludf.DUMMYFUNCTION("""COMPUTED_VALUE"""),105.0)</f>
        <v>105</v>
      </c>
      <c r="N1795" s="3"/>
      <c r="O1795" s="3"/>
      <c r="P1795" s="3"/>
      <c r="Q1795" s="3"/>
      <c r="R1795" s="3"/>
      <c r="S1795" s="3"/>
      <c r="T1795" s="5"/>
      <c r="U1795" s="5"/>
      <c r="V1795" s="5"/>
      <c r="W1795" s="5"/>
    </row>
    <row r="1796" ht="15.75" customHeight="1">
      <c r="A1796" s="3">
        <f>IFERROR(__xludf.DUMMYFUNCTION("""COMPUTED_VALUE"""),1796.0)</f>
        <v>1796</v>
      </c>
      <c r="B1796" s="53">
        <f>IFERROR(__xludf.DUMMYFUNCTION("""COMPUTED_VALUE"""),45911.0)</f>
        <v>45911</v>
      </c>
      <c r="C1796" s="3">
        <f>IFERROR(__xludf.DUMMYFUNCTION("""COMPUTED_VALUE"""),82.0)</f>
        <v>82</v>
      </c>
      <c r="D1796" s="3" t="str">
        <f>IFERROR(__xludf.DUMMYFUNCTION("""COMPUTED_VALUE"""),"872fc1c6")</f>
        <v>872fc1c6</v>
      </c>
      <c r="E1796" s="54">
        <f>IFERROR(__xludf.DUMMYFUNCTION("""COMPUTED_VALUE"""),42600.0)</f>
        <v>42600</v>
      </c>
      <c r="F1796" s="3" t="str">
        <f>IFERROR(__xludf.DUMMYFUNCTION("""COMPUTED_VALUE"""),"Syrah")</f>
        <v>Syrah</v>
      </c>
      <c r="G1796" s="3"/>
      <c r="H1796" s="3"/>
      <c r="I1796" s="3"/>
      <c r="J1796" s="3"/>
      <c r="K1796" s="3"/>
      <c r="L1796" s="54">
        <f>IFERROR(__xludf.DUMMYFUNCTION("""COMPUTED_VALUE"""),37.0)</f>
        <v>37</v>
      </c>
      <c r="M1796" s="3">
        <f>IFERROR(__xludf.DUMMYFUNCTION("""COMPUTED_VALUE"""),134.0)</f>
        <v>134</v>
      </c>
      <c r="N1796" s="3"/>
      <c r="O1796" s="3"/>
      <c r="P1796" s="3"/>
      <c r="Q1796" s="3"/>
      <c r="R1796" s="3"/>
      <c r="S1796" s="3"/>
      <c r="T1796" s="5"/>
      <c r="U1796" s="5"/>
      <c r="V1796" s="5"/>
      <c r="W1796" s="5"/>
    </row>
    <row r="1797" ht="15.75" customHeight="1">
      <c r="A1797" s="3">
        <f>IFERROR(__xludf.DUMMYFUNCTION("""COMPUTED_VALUE"""),1797.0)</f>
        <v>1797</v>
      </c>
      <c r="B1797" s="53">
        <f>IFERROR(__xludf.DUMMYFUNCTION("""COMPUTED_VALUE"""),45911.0)</f>
        <v>45911</v>
      </c>
      <c r="C1797" s="3">
        <f>IFERROR(__xludf.DUMMYFUNCTION("""COMPUTED_VALUE"""),83.0)</f>
        <v>83</v>
      </c>
      <c r="D1797" s="3" t="str">
        <f>IFERROR(__xludf.DUMMYFUNCTION("""COMPUTED_VALUE"""),"32396d27")</f>
        <v>32396d27</v>
      </c>
      <c r="E1797" s="54">
        <f>IFERROR(__xludf.DUMMYFUNCTION("""COMPUTED_VALUE"""),81500.0)</f>
        <v>81500</v>
      </c>
      <c r="F1797" s="3" t="str">
        <f>IFERROR(__xludf.DUMMYFUNCTION("""COMPUTED_VALUE"""),"Malbec")</f>
        <v>Malbec</v>
      </c>
      <c r="G1797" s="3"/>
      <c r="H1797" s="3"/>
      <c r="I1797" s="3"/>
      <c r="J1797" s="3"/>
      <c r="K1797" s="3"/>
      <c r="L1797" s="54">
        <f>IFERROR(__xludf.DUMMYFUNCTION("""COMPUTED_VALUE"""),38.0)</f>
        <v>38</v>
      </c>
      <c r="M1797" s="3">
        <f>IFERROR(__xludf.DUMMYFUNCTION("""COMPUTED_VALUE"""),182.0)</f>
        <v>182</v>
      </c>
      <c r="N1797" s="3"/>
      <c r="O1797" s="3"/>
      <c r="P1797" s="3"/>
      <c r="Q1797" s="3"/>
      <c r="R1797" s="3"/>
      <c r="S1797" s="3"/>
      <c r="T1797" s="5"/>
      <c r="U1797" s="5"/>
      <c r="V1797" s="5"/>
      <c r="W1797" s="5"/>
    </row>
    <row r="1798" ht="15.75" customHeight="1">
      <c r="A1798" s="3">
        <f>IFERROR(__xludf.DUMMYFUNCTION("""COMPUTED_VALUE"""),1798.0)</f>
        <v>1798</v>
      </c>
      <c r="B1798" s="53">
        <f>IFERROR(__xludf.DUMMYFUNCTION("""COMPUTED_VALUE"""),45911.0)</f>
        <v>45911</v>
      </c>
      <c r="C1798" s="3">
        <f>IFERROR(__xludf.DUMMYFUNCTION("""COMPUTED_VALUE"""),88.0)</f>
        <v>88</v>
      </c>
      <c r="D1798" s="3" t="str">
        <f>IFERROR(__xludf.DUMMYFUNCTION("""COMPUTED_VALUE"""),"ee5b5592")</f>
        <v>ee5b5592</v>
      </c>
      <c r="E1798" s="54">
        <f>IFERROR(__xludf.DUMMYFUNCTION("""COMPUTED_VALUE"""),78900.0)</f>
        <v>78900</v>
      </c>
      <c r="F1798" s="3" t="str">
        <f>IFERROR(__xludf.DUMMYFUNCTION("""COMPUTED_VALUE"""),"Bonarda")</f>
        <v>Bonarda</v>
      </c>
      <c r="G1798" s="3"/>
      <c r="H1798" s="3"/>
      <c r="I1798" s="3"/>
      <c r="J1798" s="3"/>
      <c r="K1798" s="3"/>
      <c r="L1798" s="54">
        <f>IFERROR(__xludf.DUMMYFUNCTION("""COMPUTED_VALUE"""),37.0)</f>
        <v>37</v>
      </c>
      <c r="M1798" s="3">
        <f>IFERROR(__xludf.DUMMYFUNCTION("""COMPUTED_VALUE"""),140.0)</f>
        <v>140</v>
      </c>
      <c r="N1798" s="3"/>
      <c r="O1798" s="3"/>
      <c r="P1798" s="3"/>
      <c r="Q1798" s="3"/>
      <c r="R1798" s="3"/>
      <c r="S1798" s="3"/>
      <c r="T1798" s="5"/>
      <c r="U1798" s="5"/>
      <c r="V1798" s="5"/>
      <c r="W1798" s="5"/>
    </row>
    <row r="1799" ht="15.75" customHeight="1">
      <c r="A1799" s="3">
        <f>IFERROR(__xludf.DUMMYFUNCTION("""COMPUTED_VALUE"""),1799.0)</f>
        <v>1799</v>
      </c>
      <c r="B1799" s="53">
        <f>IFERROR(__xludf.DUMMYFUNCTION("""COMPUTED_VALUE"""),45911.0)</f>
        <v>45911</v>
      </c>
      <c r="C1799" s="3">
        <f>IFERROR(__xludf.DUMMYFUNCTION("""COMPUTED_VALUE"""),87.0)</f>
        <v>87</v>
      </c>
      <c r="D1799" s="3" t="str">
        <f>IFERROR(__xludf.DUMMYFUNCTION("""COMPUTED_VALUE"""),"4ecb7cfe")</f>
        <v>4ecb7cfe</v>
      </c>
      <c r="E1799" s="54">
        <f>IFERROR(__xludf.DUMMYFUNCTION("""COMPUTED_VALUE"""),93700.0)</f>
        <v>93700</v>
      </c>
      <c r="F1799" s="3" t="str">
        <f>IFERROR(__xludf.DUMMYFUNCTION("""COMPUTED_VALUE"""),"Syrah")</f>
        <v>Syrah</v>
      </c>
      <c r="G1799" s="3"/>
      <c r="H1799" s="3"/>
      <c r="I1799" s="3"/>
      <c r="J1799" s="3"/>
      <c r="K1799" s="3"/>
      <c r="L1799" s="54">
        <f>IFERROR(__xludf.DUMMYFUNCTION("""COMPUTED_VALUE"""),33.0)</f>
        <v>33</v>
      </c>
      <c r="M1799" s="3">
        <f>IFERROR(__xludf.DUMMYFUNCTION("""COMPUTED_VALUE"""),140.0)</f>
        <v>140</v>
      </c>
      <c r="N1799" s="3"/>
      <c r="O1799" s="3"/>
      <c r="P1799" s="3"/>
      <c r="Q1799" s="3"/>
      <c r="R1799" s="3"/>
      <c r="S1799" s="3"/>
      <c r="T1799" s="5"/>
      <c r="U1799" s="5"/>
      <c r="V1799" s="5"/>
      <c r="W1799" s="5"/>
    </row>
    <row r="1800" ht="15.75" customHeight="1">
      <c r="A1800" s="3">
        <f>IFERROR(__xludf.DUMMYFUNCTION("""COMPUTED_VALUE"""),1800.0)</f>
        <v>1800</v>
      </c>
      <c r="B1800" s="53">
        <f>IFERROR(__xludf.DUMMYFUNCTION("""COMPUTED_VALUE"""),45911.0)</f>
        <v>45911</v>
      </c>
      <c r="C1800" s="3">
        <f>IFERROR(__xludf.DUMMYFUNCTION("""COMPUTED_VALUE"""),106.0)</f>
        <v>106</v>
      </c>
      <c r="D1800" s="3" t="str">
        <f>IFERROR(__xludf.DUMMYFUNCTION("""COMPUTED_VALUE"""),"32fe7ee0")</f>
        <v>32fe7ee0</v>
      </c>
      <c r="E1800" s="54">
        <f>IFERROR(__xludf.DUMMYFUNCTION("""COMPUTED_VALUE"""),11000.0)</f>
        <v>11000</v>
      </c>
      <c r="F1800" s="3" t="str">
        <f>IFERROR(__xludf.DUMMYFUNCTION("""COMPUTED_VALUE"""),"Aspirant 24")</f>
        <v>Aspirant 24</v>
      </c>
      <c r="G1800" s="3"/>
      <c r="H1800" s="3"/>
      <c r="I1800" s="3"/>
      <c r="J1800" s="3"/>
      <c r="K1800" s="3"/>
      <c r="L1800" s="54">
        <f>IFERROR(__xludf.DUMMYFUNCTION("""COMPUTED_VALUE"""),38.0)</f>
        <v>38</v>
      </c>
      <c r="M1800" s="3"/>
      <c r="N1800" s="3"/>
      <c r="O1800" s="3"/>
      <c r="P1800" s="3"/>
      <c r="Q1800" s="3"/>
      <c r="R1800" s="3"/>
      <c r="S1800" s="3"/>
      <c r="T1800" s="5"/>
      <c r="U1800" s="5"/>
      <c r="V1800" s="5"/>
      <c r="W1800" s="5" t="str">
        <f>IFERROR(__xludf.DUMMYFUNCTION("""COMPUTED_VALUE"""),"d=0,9945")</f>
        <v>d=0,9945</v>
      </c>
    </row>
    <row r="1801" ht="15.75" customHeight="1">
      <c r="A1801" s="3">
        <f>IFERROR(__xludf.DUMMYFUNCTION("""COMPUTED_VALUE"""),1801.0)</f>
        <v>1801</v>
      </c>
      <c r="B1801" s="53">
        <f>IFERROR(__xludf.DUMMYFUNCTION("""COMPUTED_VALUE"""),45911.0)</f>
        <v>45911</v>
      </c>
      <c r="C1801" s="3">
        <f>IFERROR(__xludf.DUMMYFUNCTION("""COMPUTED_VALUE"""),114.0)</f>
        <v>114</v>
      </c>
      <c r="D1801" s="3" t="str">
        <f>IFERROR(__xludf.DUMMYFUNCTION("""COMPUTED_VALUE"""),"2f7b2de3")</f>
        <v>2f7b2de3</v>
      </c>
      <c r="E1801" s="54">
        <f>IFERROR(__xludf.DUMMYFUNCTION("""COMPUTED_VALUE"""),125300.0)</f>
        <v>125300</v>
      </c>
      <c r="F1801" s="3" t="str">
        <f>IFERROR(__xludf.DUMMYFUNCTION("""COMPUTED_VALUE"""),"Cabernet Sauvignon")</f>
        <v>Cabernet Sauvignon</v>
      </c>
      <c r="G1801" s="3"/>
      <c r="H1801" s="3"/>
      <c r="I1801" s="3"/>
      <c r="J1801" s="3"/>
      <c r="K1801" s="3"/>
      <c r="L1801" s="54">
        <f>IFERROR(__xludf.DUMMYFUNCTION("""COMPUTED_VALUE"""),40.0)</f>
        <v>40</v>
      </c>
      <c r="M1801" s="3"/>
      <c r="N1801" s="3"/>
      <c r="O1801" s="3"/>
      <c r="P1801" s="3"/>
      <c r="Q1801" s="3"/>
      <c r="R1801" s="3"/>
      <c r="S1801" s="3"/>
      <c r="T1801" s="5"/>
      <c r="U1801" s="5"/>
      <c r="V1801" s="5"/>
      <c r="W1801" s="5"/>
    </row>
    <row r="1802" ht="15.75" customHeight="1">
      <c r="A1802" s="3">
        <f>IFERROR(__xludf.DUMMYFUNCTION("""COMPUTED_VALUE"""),1802.0)</f>
        <v>1802</v>
      </c>
      <c r="B1802" s="53">
        <f>IFERROR(__xludf.DUMMYFUNCTION("""COMPUTED_VALUE"""),45911.0)</f>
        <v>45911</v>
      </c>
      <c r="C1802" s="3">
        <f>IFERROR(__xludf.DUMMYFUNCTION("""COMPUTED_VALUE"""),115.0)</f>
        <v>115</v>
      </c>
      <c r="D1802" s="3" t="str">
        <f>IFERROR(__xludf.DUMMYFUNCTION("""COMPUTED_VALUE"""),"97e4f782")</f>
        <v>97e4f782</v>
      </c>
      <c r="E1802" s="54">
        <f>IFERROR(__xludf.DUMMYFUNCTION("""COMPUTED_VALUE"""),120200.0)</f>
        <v>120200</v>
      </c>
      <c r="F1802" s="3" t="str">
        <f>IFERROR(__xludf.DUMMYFUNCTION("""COMPUTED_VALUE"""),"Syrah")</f>
        <v>Syrah</v>
      </c>
      <c r="G1802" s="3"/>
      <c r="H1802" s="3"/>
      <c r="I1802" s="3"/>
      <c r="J1802" s="3"/>
      <c r="K1802" s="3"/>
      <c r="L1802" s="54">
        <f>IFERROR(__xludf.DUMMYFUNCTION("""COMPUTED_VALUE"""),42.0)</f>
        <v>42</v>
      </c>
      <c r="M1802" s="3"/>
      <c r="N1802" s="3"/>
      <c r="O1802" s="3"/>
      <c r="P1802" s="3"/>
      <c r="Q1802" s="3"/>
      <c r="R1802" s="3"/>
      <c r="S1802" s="3"/>
      <c r="T1802" s="5"/>
      <c r="U1802" s="5"/>
      <c r="V1802" s="5"/>
      <c r="W1802" s="5"/>
    </row>
    <row r="1803" ht="15.75" customHeight="1">
      <c r="A1803" s="3">
        <f>IFERROR(__xludf.DUMMYFUNCTION("""COMPUTED_VALUE"""),1803.0)</f>
        <v>1803</v>
      </c>
      <c r="B1803" s="53">
        <f>IFERROR(__xludf.DUMMYFUNCTION("""COMPUTED_VALUE"""),45911.0)</f>
        <v>45911</v>
      </c>
      <c r="C1803" s="3">
        <f>IFERROR(__xludf.DUMMYFUNCTION("""COMPUTED_VALUE"""),116.0)</f>
        <v>116</v>
      </c>
      <c r="D1803" s="3" t="str">
        <f>IFERROR(__xludf.DUMMYFUNCTION("""COMPUTED_VALUE"""),"bf1abf21")</f>
        <v>bf1abf21</v>
      </c>
      <c r="E1803" s="54">
        <f>IFERROR(__xludf.DUMMYFUNCTION("""COMPUTED_VALUE"""),99600.0)</f>
        <v>99600</v>
      </c>
      <c r="F1803" s="3" t="str">
        <f>IFERROR(__xludf.DUMMYFUNCTION("""COMPUTED_VALUE"""),"Malbec")</f>
        <v>Malbec</v>
      </c>
      <c r="G1803" s="3"/>
      <c r="H1803" s="3"/>
      <c r="I1803" s="3"/>
      <c r="J1803" s="3"/>
      <c r="K1803" s="3"/>
      <c r="L1803" s="54">
        <f>IFERROR(__xludf.DUMMYFUNCTION("""COMPUTED_VALUE"""),38.0)</f>
        <v>38</v>
      </c>
      <c r="M1803" s="3"/>
      <c r="N1803" s="3"/>
      <c r="O1803" s="3"/>
      <c r="P1803" s="3"/>
      <c r="Q1803" s="3"/>
      <c r="R1803" s="3">
        <f>IFERROR(__xludf.DUMMYFUNCTION("""COMPUTED_VALUE"""),0.0)</f>
        <v>0</v>
      </c>
      <c r="S1803" s="3"/>
      <c r="T1803" s="5"/>
      <c r="U1803" s="5"/>
      <c r="V1803" s="5"/>
      <c r="W1803" s="5"/>
    </row>
    <row r="1804" ht="15.75" customHeight="1">
      <c r="A1804" s="3">
        <f>IFERROR(__xludf.DUMMYFUNCTION("""COMPUTED_VALUE"""),1804.0)</f>
        <v>1804</v>
      </c>
      <c r="B1804" s="53">
        <f>IFERROR(__xludf.DUMMYFUNCTION("""COMPUTED_VALUE"""),45911.0)</f>
        <v>45911</v>
      </c>
      <c r="C1804" s="3">
        <f>IFERROR(__xludf.DUMMYFUNCTION("""COMPUTED_VALUE"""),121.0)</f>
        <v>121</v>
      </c>
      <c r="D1804" s="3" t="str">
        <f>IFERROR(__xludf.DUMMYFUNCTION("""COMPUTED_VALUE"""),"887268c3")</f>
        <v>887268c3</v>
      </c>
      <c r="E1804" s="54">
        <f>IFERROR(__xludf.DUMMYFUNCTION("""COMPUTED_VALUE"""),85800.0)</f>
        <v>85800</v>
      </c>
      <c r="F1804" s="3" t="str">
        <f>IFERROR(__xludf.DUMMYFUNCTION("""COMPUTED_VALUE"""),"Malbec")</f>
        <v>Malbec</v>
      </c>
      <c r="G1804" s="3"/>
      <c r="H1804" s="3"/>
      <c r="I1804" s="3"/>
      <c r="J1804" s="3"/>
      <c r="K1804" s="3"/>
      <c r="L1804" s="54">
        <f>IFERROR(__xludf.DUMMYFUNCTION("""COMPUTED_VALUE"""),38.0)</f>
        <v>38</v>
      </c>
      <c r="M1804" s="3"/>
      <c r="N1804" s="3"/>
      <c r="O1804" s="3"/>
      <c r="P1804" s="3"/>
      <c r="Q1804" s="3"/>
      <c r="R1804" s="3">
        <f>IFERROR(__xludf.DUMMYFUNCTION("""COMPUTED_VALUE"""),0.0)</f>
        <v>0</v>
      </c>
      <c r="S1804" s="3"/>
      <c r="T1804" s="5"/>
      <c r="U1804" s="5"/>
      <c r="V1804" s="5"/>
      <c r="W1804" s="5"/>
    </row>
    <row r="1805" ht="15.75" customHeight="1">
      <c r="A1805" s="3">
        <f>IFERROR(__xludf.DUMMYFUNCTION("""COMPUTED_VALUE"""),1805.0)</f>
        <v>1805</v>
      </c>
      <c r="B1805" s="53">
        <f>IFERROR(__xludf.DUMMYFUNCTION("""COMPUTED_VALUE"""),45911.0)</f>
        <v>45911</v>
      </c>
      <c r="C1805" s="3">
        <f>IFERROR(__xludf.DUMMYFUNCTION("""COMPUTED_VALUE"""),74.0)</f>
        <v>74</v>
      </c>
      <c r="D1805" s="3" t="str">
        <f>IFERROR(__xludf.DUMMYFUNCTION("""COMPUTED_VALUE"""),"82553e9b")</f>
        <v>82553e9b</v>
      </c>
      <c r="E1805" s="54">
        <f>IFERROR(__xludf.DUMMYFUNCTION("""COMPUTED_VALUE"""),36600.0)</f>
        <v>36600</v>
      </c>
      <c r="F1805" s="3" t="str">
        <f>IFERROR(__xludf.DUMMYFUNCTION("""COMPUTED_VALUE"""),"Tinto Caroyense")</f>
        <v>Tinto Caroyense</v>
      </c>
      <c r="G1805" s="55">
        <f>IFERROR(__xludf.DUMMYFUNCTION("""COMPUTED_VALUE"""),13.6)</f>
        <v>13.6</v>
      </c>
      <c r="H1805" s="56">
        <f>IFERROR(__xludf.DUMMYFUNCTION("""COMPUTED_VALUE"""),3.0)</f>
        <v>3</v>
      </c>
      <c r="I1805" s="57">
        <f>IFERROR(__xludf.DUMMYFUNCTION("""COMPUTED_VALUE"""),0.55)</f>
        <v>0.55</v>
      </c>
      <c r="J1805" s="57">
        <f>IFERROR(__xludf.DUMMYFUNCTION("""COMPUTED_VALUE"""),5.2)</f>
        <v>5.2</v>
      </c>
      <c r="K1805" s="57">
        <f>IFERROR(__xludf.DUMMYFUNCTION("""COMPUTED_VALUE"""),3.7)</f>
        <v>3.7</v>
      </c>
      <c r="L1805" s="54">
        <f>IFERROR(__xludf.DUMMYFUNCTION("""COMPUTED_VALUE"""),32.0)</f>
        <v>32</v>
      </c>
      <c r="M1805" s="3">
        <f>IFERROR(__xludf.DUMMYFUNCTION("""COMPUTED_VALUE"""),159.0)</f>
        <v>159</v>
      </c>
      <c r="N1805" s="3">
        <f>IFERROR(__xludf.DUMMYFUNCTION("""COMPUTED_VALUE"""),34.4)</f>
        <v>34.4</v>
      </c>
      <c r="O1805" s="3"/>
      <c r="P1805" s="3"/>
      <c r="Q1805" s="3"/>
      <c r="R1805" s="3"/>
      <c r="S1805" s="3"/>
      <c r="T1805" s="5"/>
      <c r="U1805" s="5"/>
      <c r="V1805" s="5"/>
      <c r="W1805" s="5" t="str">
        <f>IFERROR(__xludf.DUMMYFUNCTION("""COMPUTED_VALUE"""),"d=0,9945")</f>
        <v>d=0,9945</v>
      </c>
    </row>
    <row r="1806" ht="15.75" customHeight="1">
      <c r="A1806" s="3">
        <f>IFERROR(__xludf.DUMMYFUNCTION("""COMPUTED_VALUE"""),1806.0)</f>
        <v>1806</v>
      </c>
      <c r="B1806" s="53">
        <f>IFERROR(__xludf.DUMMYFUNCTION("""COMPUTED_VALUE"""),45919.0)</f>
        <v>45919</v>
      </c>
      <c r="C1806" s="3">
        <f>IFERROR(__xludf.DUMMYFUNCTION("""COMPUTED_VALUE"""),26.0)</f>
        <v>26</v>
      </c>
      <c r="D1806" s="3" t="str">
        <f>IFERROR(__xludf.DUMMYFUNCTION("""COMPUTED_VALUE"""),"#REF!")</f>
        <v>#REF!</v>
      </c>
      <c r="E1806" s="54">
        <f>IFERROR(__xludf.DUMMYFUNCTION("""COMPUTED_VALUE"""),207600.0)</f>
        <v>207600</v>
      </c>
      <c r="F1806" s="3" t="str">
        <f>IFERROR(__xludf.DUMMYFUNCTION("""COMPUTED_VALUE"""),"corte Malbec Arizu")</f>
        <v>corte Malbec Arizu</v>
      </c>
      <c r="G1806" s="55">
        <f>IFERROR(__xludf.DUMMYFUNCTION("""COMPUTED_VALUE"""),13.9)</f>
        <v>13.9</v>
      </c>
      <c r="H1806" s="3"/>
      <c r="I1806" s="3"/>
      <c r="J1806" s="3"/>
      <c r="K1806" s="3"/>
      <c r="L1806" s="3"/>
      <c r="M1806" s="3"/>
      <c r="N1806" s="3"/>
      <c r="O1806" s="3">
        <f>IFERROR(__xludf.DUMMYFUNCTION("""COMPUTED_VALUE"""),360.0)</f>
        <v>360</v>
      </c>
      <c r="P1806" s="3">
        <f>IFERROR(__xludf.DUMMYFUNCTION("""COMPUTED_VALUE"""),541.0)</f>
        <v>541</v>
      </c>
      <c r="Q1806" s="3"/>
      <c r="R1806" s="3">
        <f>IFERROR(__xludf.DUMMYFUNCTION("""COMPUTED_VALUE"""),901.0)</f>
        <v>901</v>
      </c>
      <c r="S1806" s="54">
        <f>IFERROR(__xludf.DUMMYFUNCTION("""COMPUTED_VALUE"""),1354.0027777777777)</f>
        <v>1354.002778</v>
      </c>
      <c r="T1806" s="5"/>
      <c r="U1806" s="5"/>
      <c r="V1806" s="5"/>
      <c r="W1806" s="5"/>
    </row>
    <row r="1807" ht="15.75" customHeight="1">
      <c r="A1807" s="3">
        <f>IFERROR(__xludf.DUMMYFUNCTION("""COMPUTED_VALUE"""),1807.0)</f>
        <v>1807</v>
      </c>
      <c r="B1807" s="53">
        <f>IFERROR(__xludf.DUMMYFUNCTION("""COMPUTED_VALUE"""),45925.0)</f>
        <v>45925</v>
      </c>
      <c r="C1807" s="3">
        <f>IFERROR(__xludf.DUMMYFUNCTION("""COMPUTED_VALUE"""),7.0)</f>
        <v>7</v>
      </c>
      <c r="D1807" s="3" t="str">
        <f>IFERROR(__xludf.DUMMYFUNCTION("""COMPUTED_VALUE"""),"bf5eb775")</f>
        <v>bf5eb775</v>
      </c>
      <c r="E1807" s="54">
        <f>IFERROR(__xludf.DUMMYFUNCTION("""COMPUTED_VALUE"""),30000.0)</f>
        <v>30000</v>
      </c>
      <c r="F1807" s="3" t="str">
        <f>IFERROR(__xludf.DUMMYFUNCTION("""COMPUTED_VALUE"""),"Cabernet Sauvignon")</f>
        <v>Cabernet Sauvignon</v>
      </c>
      <c r="G1807" s="3"/>
      <c r="H1807" s="3"/>
      <c r="I1807" s="3"/>
      <c r="J1807" s="3"/>
      <c r="K1807" s="57">
        <f>IFERROR(__xludf.DUMMYFUNCTION("""COMPUTED_VALUE"""),2.35)</f>
        <v>2.35</v>
      </c>
      <c r="L1807" s="54">
        <f>IFERROR(__xludf.DUMMYFUNCTION("""COMPUTED_VALUE"""),20.0)</f>
        <v>20</v>
      </c>
      <c r="M1807" s="3"/>
      <c r="N1807" s="3"/>
      <c r="O1807" s="3"/>
      <c r="P1807" s="3"/>
      <c r="Q1807" s="3"/>
      <c r="R1807" s="3">
        <f>IFERROR(__xludf.DUMMYFUNCTION("""COMPUTED_VALUE"""),0.0)</f>
        <v>0</v>
      </c>
      <c r="S1807" s="3"/>
      <c r="T1807" s="5"/>
      <c r="U1807" s="5"/>
      <c r="V1807" s="5"/>
      <c r="W1807" s="5"/>
    </row>
    <row r="1808" ht="15.75" customHeight="1">
      <c r="A1808" s="3">
        <f>IFERROR(__xludf.DUMMYFUNCTION("""COMPUTED_VALUE"""),1808.0)</f>
        <v>1808</v>
      </c>
      <c r="B1808" s="53">
        <f>IFERROR(__xludf.DUMMYFUNCTION("""COMPUTED_VALUE"""),45945.0)</f>
        <v>45945</v>
      </c>
      <c r="C1808" s="3">
        <f>IFERROR(__xludf.DUMMYFUNCTION("""COMPUTED_VALUE"""),6.0)</f>
        <v>6</v>
      </c>
      <c r="D1808" s="3" t="str">
        <f>IFERROR(__xludf.DUMMYFUNCTION("""COMPUTED_VALUE"""),"7471d673")</f>
        <v>7471d673</v>
      </c>
      <c r="E1808" s="54">
        <f>IFERROR(__xludf.DUMMYFUNCTION("""COMPUTED_VALUE"""),32000.0)</f>
        <v>32000</v>
      </c>
      <c r="F1808" s="3" t="str">
        <f>IFERROR(__xludf.DUMMYFUNCTION("""COMPUTED_VALUE"""),"Cabernet Sauvignon")</f>
        <v>Cabernet Sauvignon</v>
      </c>
      <c r="G1808" s="3"/>
      <c r="H1808" s="3"/>
      <c r="I1808" s="3"/>
      <c r="J1808" s="3"/>
      <c r="K1808" s="57">
        <f>IFERROR(__xludf.DUMMYFUNCTION("""COMPUTED_VALUE"""),2.42)</f>
        <v>2.42</v>
      </c>
      <c r="L1808" s="54">
        <f>IFERROR(__xludf.DUMMYFUNCTION("""COMPUTED_VALUE"""),22.0)</f>
        <v>22</v>
      </c>
      <c r="M1808" s="3"/>
      <c r="N1808" s="3"/>
      <c r="O1808" s="3"/>
      <c r="P1808" s="3"/>
      <c r="Q1808" s="3"/>
      <c r="R1808" s="3">
        <f>IFERROR(__xludf.DUMMYFUNCTION("""COMPUTED_VALUE"""),0.0)</f>
        <v>0</v>
      </c>
      <c r="S1808" s="3"/>
      <c r="T1808" s="5"/>
      <c r="U1808" s="5"/>
      <c r="V1808" s="5"/>
      <c r="W1808" s="5"/>
    </row>
    <row r="1809" ht="15.75" customHeight="1">
      <c r="A1809" s="3">
        <f>IFERROR(__xludf.DUMMYFUNCTION("""COMPUTED_VALUE"""),1809.0)</f>
        <v>1809</v>
      </c>
      <c r="B1809" s="53">
        <f>IFERROR(__xludf.DUMMYFUNCTION("""COMPUTED_VALUE"""),45945.0)</f>
        <v>45945</v>
      </c>
      <c r="C1809" s="3">
        <f>IFERROR(__xludf.DUMMYFUNCTION("""COMPUTED_VALUE"""),7.0)</f>
        <v>7</v>
      </c>
      <c r="D1809" s="3" t="str">
        <f>IFERROR(__xludf.DUMMYFUNCTION("""COMPUTED_VALUE"""),"bf5eb775")</f>
        <v>bf5eb775</v>
      </c>
      <c r="E1809" s="54">
        <f>IFERROR(__xludf.DUMMYFUNCTION("""COMPUTED_VALUE"""),30000.0)</f>
        <v>30000</v>
      </c>
      <c r="F1809" s="3" t="str">
        <f>IFERROR(__xludf.DUMMYFUNCTION("""COMPUTED_VALUE"""),"Cabernet Sauvignon")</f>
        <v>Cabernet Sauvignon</v>
      </c>
      <c r="G1809" s="3"/>
      <c r="H1809" s="3"/>
      <c r="I1809" s="3"/>
      <c r="J1809" s="3"/>
      <c r="K1809" s="57">
        <f>IFERROR(__xludf.DUMMYFUNCTION("""COMPUTED_VALUE"""),2.38)</f>
        <v>2.38</v>
      </c>
      <c r="L1809" s="54">
        <f>IFERROR(__xludf.DUMMYFUNCTION("""COMPUTED_VALUE"""),18.0)</f>
        <v>18</v>
      </c>
      <c r="M1809" s="3"/>
      <c r="N1809" s="3"/>
      <c r="O1809" s="3"/>
      <c r="P1809" s="3"/>
      <c r="Q1809" s="3"/>
      <c r="R1809" s="3">
        <f>IFERROR(__xludf.DUMMYFUNCTION("""COMPUTED_VALUE"""),0.0)</f>
        <v>0</v>
      </c>
      <c r="S1809" s="3"/>
      <c r="T1809" s="5"/>
      <c r="U1809" s="5"/>
      <c r="V1809" s="5"/>
      <c r="W1809" s="5"/>
    </row>
    <row r="1810" ht="15.75" customHeight="1">
      <c r="A1810" s="3">
        <f>IFERROR(__xludf.DUMMYFUNCTION("""COMPUTED_VALUE"""),1810.0)</f>
        <v>1810</v>
      </c>
      <c r="B1810" s="53">
        <f>IFERROR(__xludf.DUMMYFUNCTION("""COMPUTED_VALUE"""),45945.0)</f>
        <v>45945</v>
      </c>
      <c r="C1810" s="3">
        <f>IFERROR(__xludf.DUMMYFUNCTION("""COMPUTED_VALUE"""),45.0)</f>
        <v>45</v>
      </c>
      <c r="D1810" s="3" t="str">
        <f>IFERROR(__xludf.DUMMYFUNCTION("""COMPUTED_VALUE"""),"56985b33")</f>
        <v>56985b33</v>
      </c>
      <c r="E1810" s="54">
        <f>IFERROR(__xludf.DUMMYFUNCTION("""COMPUTED_VALUE"""),30000.0)</f>
        <v>30000</v>
      </c>
      <c r="F1810" s="3" t="str">
        <f>IFERROR(__xludf.DUMMYFUNCTION("""COMPUTED_VALUE"""),"Malbec")</f>
        <v>Malbec</v>
      </c>
      <c r="G1810" s="3"/>
      <c r="H1810" s="3"/>
      <c r="I1810" s="3"/>
      <c r="J1810" s="3"/>
      <c r="K1810" s="57">
        <f>IFERROR(__xludf.DUMMYFUNCTION("""COMPUTED_VALUE"""),2.3)</f>
        <v>2.3</v>
      </c>
      <c r="L1810" s="54">
        <f>IFERROR(__xludf.DUMMYFUNCTION("""COMPUTED_VALUE"""),25.0)</f>
        <v>25</v>
      </c>
      <c r="M1810" s="3"/>
      <c r="N1810" s="3"/>
      <c r="O1810" s="3"/>
      <c r="P1810" s="3"/>
      <c r="Q1810" s="3"/>
      <c r="R1810" s="3">
        <f>IFERROR(__xludf.DUMMYFUNCTION("""COMPUTED_VALUE"""),0.0)</f>
        <v>0</v>
      </c>
      <c r="S1810" s="3"/>
      <c r="T1810" s="5"/>
      <c r="U1810" s="5"/>
      <c r="V1810" s="5"/>
      <c r="W1810" s="5"/>
    </row>
    <row r="1811" ht="15.75" customHeight="1">
      <c r="A1811" s="3">
        <f>IFERROR(__xludf.DUMMYFUNCTION("""COMPUTED_VALUE"""),1811.0)</f>
        <v>1811</v>
      </c>
      <c r="B1811" s="53">
        <f>IFERROR(__xludf.DUMMYFUNCTION("""COMPUTED_VALUE"""),45945.0)</f>
        <v>45945</v>
      </c>
      <c r="C1811" s="3">
        <f>IFERROR(__xludf.DUMMYFUNCTION("""COMPUTED_VALUE"""),49.0)</f>
        <v>49</v>
      </c>
      <c r="D1811" s="3" t="str">
        <f>IFERROR(__xludf.DUMMYFUNCTION("""COMPUTED_VALUE"""),"d420eb11")</f>
        <v>d420eb11</v>
      </c>
      <c r="E1811" s="54">
        <f>IFERROR(__xludf.DUMMYFUNCTION("""COMPUTED_VALUE"""),2000.0)</f>
        <v>2000</v>
      </c>
      <c r="F1811" s="3" t="str">
        <f>IFERROR(__xludf.DUMMYFUNCTION("""COMPUTED_VALUE"""),"Malbec Rectificado")</f>
        <v>Malbec Rectificado</v>
      </c>
      <c r="G1811" s="3"/>
      <c r="H1811" s="3"/>
      <c r="I1811" s="3"/>
      <c r="J1811" s="3"/>
      <c r="K1811" s="57">
        <f>IFERROR(__xludf.DUMMYFUNCTION("""COMPUTED_VALUE"""),2.35)</f>
        <v>2.35</v>
      </c>
      <c r="L1811" s="54">
        <f>IFERROR(__xludf.DUMMYFUNCTION("""COMPUTED_VALUE"""),22.0)</f>
        <v>22</v>
      </c>
      <c r="M1811" s="3"/>
      <c r="N1811" s="3"/>
      <c r="O1811" s="3"/>
      <c r="P1811" s="3"/>
      <c r="Q1811" s="3"/>
      <c r="R1811" s="3">
        <f>IFERROR(__xludf.DUMMYFUNCTION("""COMPUTED_VALUE"""),0.0)</f>
        <v>0</v>
      </c>
      <c r="S1811" s="3"/>
      <c r="T1811" s="5"/>
      <c r="U1811" s="5"/>
      <c r="V1811" s="5"/>
      <c r="W1811" s="5"/>
    </row>
    <row r="1812" ht="15.75" customHeight="1">
      <c r="A1812" s="3">
        <f>IFERROR(__xludf.DUMMYFUNCTION("""COMPUTED_VALUE"""),1812.0)</f>
        <v>1812</v>
      </c>
      <c r="B1812" s="53">
        <f>IFERROR(__xludf.DUMMYFUNCTION("""COMPUTED_VALUE"""),45945.0)</f>
        <v>45945</v>
      </c>
      <c r="C1812" s="3">
        <f>IFERROR(__xludf.DUMMYFUNCTION("""COMPUTED_VALUE"""),44.0)</f>
        <v>44</v>
      </c>
      <c r="D1812" s="3"/>
      <c r="E1812" s="3"/>
      <c r="F1812" s="3" t="str">
        <f>IFERROR(__xludf.DUMMYFUNCTION("""COMPUTED_VALUE"""),"Malbec Rectificado")</f>
        <v>Malbec Rectificado</v>
      </c>
      <c r="G1812" s="3"/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>
        <f>IFERROR(__xludf.DUMMYFUNCTION("""COMPUTED_VALUE"""),0.0)</f>
        <v>0</v>
      </c>
      <c r="S1812" s="3"/>
      <c r="T1812" s="5"/>
      <c r="U1812" s="5"/>
      <c r="V1812" s="5"/>
      <c r="W1812" s="5"/>
    </row>
    <row r="1813" ht="15.75" customHeight="1">
      <c r="A1813" s="3">
        <f>IFERROR(__xludf.DUMMYFUNCTION("""COMPUTED_VALUE"""),1813.0)</f>
        <v>1813</v>
      </c>
      <c r="B1813" s="53">
        <f>IFERROR(__xludf.DUMMYFUNCTION("""COMPUTED_VALUE"""),45932.0)</f>
        <v>45932</v>
      </c>
      <c r="C1813" s="3">
        <f>IFERROR(__xludf.DUMMYFUNCTION("""COMPUTED_VALUE"""),46.0)</f>
        <v>46</v>
      </c>
      <c r="D1813" s="3" t="str">
        <f>IFERROR(__xludf.DUMMYFUNCTION("""COMPUTED_VALUE"""),"c205e72b")</f>
        <v>c205e72b</v>
      </c>
      <c r="E1813" s="54">
        <f>IFERROR(__xludf.DUMMYFUNCTION("""COMPUTED_VALUE"""),29000.0)</f>
        <v>29000</v>
      </c>
      <c r="F1813" s="3" t="str">
        <f>IFERROR(__xludf.DUMMYFUNCTION("""COMPUTED_VALUE"""),"Bonarda")</f>
        <v>Bonarda</v>
      </c>
      <c r="G1813" s="55">
        <f>IFERROR(__xludf.DUMMYFUNCTION("""COMPUTED_VALUE"""),13.6)</f>
        <v>13.6</v>
      </c>
      <c r="H1813" s="56">
        <f>IFERROR(__xludf.DUMMYFUNCTION("""COMPUTED_VALUE"""),2.0)</f>
        <v>2</v>
      </c>
      <c r="I1813" s="57">
        <f>IFERROR(__xludf.DUMMYFUNCTION("""COMPUTED_VALUE"""),0.59)</f>
        <v>0.59</v>
      </c>
      <c r="J1813" s="57">
        <f>IFERROR(__xludf.DUMMYFUNCTION("""COMPUTED_VALUE"""),6.5)</f>
        <v>6.5</v>
      </c>
      <c r="K1813" s="3"/>
      <c r="L1813" s="54">
        <f>IFERROR(__xludf.DUMMYFUNCTION("""COMPUTED_VALUE"""),45.0)</f>
        <v>45</v>
      </c>
      <c r="M1813" s="3">
        <f>IFERROR(__xludf.DUMMYFUNCTION("""COMPUTED_VALUE"""),185.0)</f>
        <v>185</v>
      </c>
      <c r="N1813" s="3"/>
      <c r="O1813" s="3"/>
      <c r="P1813" s="3"/>
      <c r="Q1813" s="3"/>
      <c r="R1813" s="3">
        <f>IFERROR(__xludf.DUMMYFUNCTION("""COMPUTED_VALUE"""),0.0)</f>
        <v>0</v>
      </c>
      <c r="S1813" s="3"/>
      <c r="T1813" s="5"/>
      <c r="U1813" s="5"/>
      <c r="V1813" s="5"/>
      <c r="W1813" s="5"/>
    </row>
    <row r="1814" ht="15.75" customHeight="1">
      <c r="A1814" s="3">
        <f>IFERROR(__xludf.DUMMYFUNCTION("""COMPUTED_VALUE"""),1814.0)</f>
        <v>1814</v>
      </c>
      <c r="B1814" s="53">
        <f>IFERROR(__xludf.DUMMYFUNCTION("""COMPUTED_VALUE"""),45938.0)</f>
        <v>45938</v>
      </c>
      <c r="C1814" s="3">
        <f>IFERROR(__xludf.DUMMYFUNCTION("""COMPUTED_VALUE"""),50.0)</f>
        <v>50</v>
      </c>
      <c r="D1814" s="3" t="str">
        <f>IFERROR(__xludf.DUMMYFUNCTION("""COMPUTED_VALUE"""),"ffcf4de6")</f>
        <v>ffcf4de6</v>
      </c>
      <c r="E1814" s="54">
        <f>IFERROR(__xludf.DUMMYFUNCTION("""COMPUTED_VALUE"""),5100.0)</f>
        <v>5100</v>
      </c>
      <c r="F1814" s="3" t="str">
        <f>IFERROR(__xludf.DUMMYFUNCTION("""COMPUTED_VALUE"""),"Aspirant 24")</f>
        <v>Aspirant 24</v>
      </c>
      <c r="G1814" s="55">
        <f>IFERROR(__xludf.DUMMYFUNCTION("""COMPUTED_VALUE"""),13.0)</f>
        <v>13</v>
      </c>
      <c r="H1814" s="56">
        <f>IFERROR(__xludf.DUMMYFUNCTION("""COMPUTED_VALUE"""),2.0)</f>
        <v>2</v>
      </c>
      <c r="I1814" s="57">
        <f>IFERROR(__xludf.DUMMYFUNCTION("""COMPUTED_VALUE"""),0.47)</f>
        <v>0.47</v>
      </c>
      <c r="J1814" s="3"/>
      <c r="K1814" s="57">
        <f>IFERROR(__xludf.DUMMYFUNCTION("""COMPUTED_VALUE"""),3.52)</f>
        <v>3.52</v>
      </c>
      <c r="L1814" s="54">
        <f>IFERROR(__xludf.DUMMYFUNCTION("""COMPUTED_VALUE"""),38.0)</f>
        <v>38</v>
      </c>
      <c r="M1814" s="3">
        <f>IFERROR(__xludf.DUMMYFUNCTION("""COMPUTED_VALUE"""),185.0)</f>
        <v>185</v>
      </c>
      <c r="N1814" s="3"/>
      <c r="O1814" s="3"/>
      <c r="P1814" s="3"/>
      <c r="Q1814" s="3"/>
      <c r="R1814" s="3">
        <f>IFERROR(__xludf.DUMMYFUNCTION("""COMPUTED_VALUE"""),0.0)</f>
        <v>0</v>
      </c>
      <c r="S1814" s="3"/>
      <c r="T1814" s="5"/>
      <c r="U1814" s="5"/>
      <c r="V1814" s="5"/>
      <c r="W1814" s="5"/>
    </row>
    <row r="1815" ht="15.75" customHeight="1">
      <c r="A1815" s="3">
        <f>IFERROR(__xludf.DUMMYFUNCTION("""COMPUTED_VALUE"""),1815.0)</f>
        <v>1815</v>
      </c>
      <c r="B1815" s="53">
        <f>IFERROR(__xludf.DUMMYFUNCTION("""COMPUTED_VALUE"""),45943.0)</f>
        <v>45943</v>
      </c>
      <c r="C1815" s="3">
        <f>IFERROR(__xludf.DUMMYFUNCTION("""COMPUTED_VALUE"""),51.0)</f>
        <v>51</v>
      </c>
      <c r="D1815" s="3" t="str">
        <f>IFERROR(__xludf.DUMMYFUNCTION("""COMPUTED_VALUE"""),"80e8c28e")</f>
        <v>80e8c28e</v>
      </c>
      <c r="E1815" s="54">
        <f>IFERROR(__xludf.DUMMYFUNCTION("""COMPUTED_VALUE"""),3900.0)</f>
        <v>3900</v>
      </c>
      <c r="F1815" s="3" t="str">
        <f>IFERROR(__xludf.DUMMYFUNCTION("""COMPUTED_VALUE"""),"Aspirant 24")</f>
        <v>Aspirant 24</v>
      </c>
      <c r="G1815" s="3"/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3">
        <f>IFERROR(__xludf.DUMMYFUNCTION("""COMPUTED_VALUE"""),0.0)</f>
        <v>0</v>
      </c>
      <c r="S1815" s="3"/>
      <c r="T1815" s="5"/>
      <c r="U1815" s="5"/>
      <c r="V1815" s="5"/>
      <c r="W1815" s="5"/>
    </row>
    <row r="1816" ht="15.75" customHeight="1">
      <c r="A1816" s="3">
        <f>IFERROR(__xludf.DUMMYFUNCTION("""COMPUTED_VALUE"""),1816.0)</f>
        <v>1816</v>
      </c>
      <c r="B1816" s="53">
        <f>IFERROR(__xludf.DUMMYFUNCTION("""COMPUTED_VALUE"""),45938.0)</f>
        <v>45938</v>
      </c>
      <c r="C1816" s="3">
        <f>IFERROR(__xludf.DUMMYFUNCTION("""COMPUTED_VALUE"""),74.0)</f>
        <v>74</v>
      </c>
      <c r="D1816" s="3" t="str">
        <f>IFERROR(__xludf.DUMMYFUNCTION("""COMPUTED_VALUE"""),"cdfb4c74")</f>
        <v>cdfb4c74</v>
      </c>
      <c r="E1816" s="54">
        <f>IFERROR(__xludf.DUMMYFUNCTION("""COMPUTED_VALUE"""),13000.0)</f>
        <v>13000</v>
      </c>
      <c r="F1816" s="3" t="str">
        <f>IFERROR(__xludf.DUMMYFUNCTION("""COMPUTED_VALUE"""),"Cabernet Sauvignon")</f>
        <v>Cabernet Sauvignon</v>
      </c>
      <c r="G1816" s="55">
        <f>IFERROR(__xludf.DUMMYFUNCTION("""COMPUTED_VALUE"""),13.5)</f>
        <v>13.5</v>
      </c>
      <c r="H1816" s="56">
        <f>IFERROR(__xludf.DUMMYFUNCTION("""COMPUTED_VALUE"""),2.0)</f>
        <v>2</v>
      </c>
      <c r="I1816" s="57">
        <f>IFERROR(__xludf.DUMMYFUNCTION("""COMPUTED_VALUE"""),0.63)</f>
        <v>0.63</v>
      </c>
      <c r="J1816" s="57">
        <f>IFERROR(__xludf.DUMMYFUNCTION("""COMPUTED_VALUE"""),5.35)</f>
        <v>5.35</v>
      </c>
      <c r="K1816" s="57">
        <f>IFERROR(__xludf.DUMMYFUNCTION("""COMPUTED_VALUE"""),3.62)</f>
        <v>3.62</v>
      </c>
      <c r="L1816" s="54">
        <f>IFERROR(__xludf.DUMMYFUNCTION("""COMPUTED_VALUE"""),33.0)</f>
        <v>33</v>
      </c>
      <c r="M1816" s="3">
        <f>IFERROR(__xludf.DUMMYFUNCTION("""COMPUTED_VALUE"""),160.0)</f>
        <v>160</v>
      </c>
      <c r="N1816" s="3"/>
      <c r="O1816" s="3"/>
      <c r="P1816" s="3"/>
      <c r="Q1816" s="3"/>
      <c r="R1816" s="3">
        <f>IFERROR(__xludf.DUMMYFUNCTION("""COMPUTED_VALUE"""),0.0)</f>
        <v>0</v>
      </c>
      <c r="S1816" s="3"/>
      <c r="T1816" s="5"/>
      <c r="U1816" s="5"/>
      <c r="V1816" s="5"/>
      <c r="W1816" s="5"/>
    </row>
    <row r="1817" ht="15.75" customHeight="1">
      <c r="A1817" s="3">
        <f>IFERROR(__xludf.DUMMYFUNCTION("""COMPUTED_VALUE"""),1817.0)</f>
        <v>1817</v>
      </c>
      <c r="B1817" s="53">
        <f>IFERROR(__xludf.DUMMYFUNCTION("""COMPUTED_VALUE"""),45933.0)</f>
        <v>45933</v>
      </c>
      <c r="C1817" s="3">
        <f>IFERROR(__xludf.DUMMYFUNCTION("""COMPUTED_VALUE"""),76.0)</f>
        <v>76</v>
      </c>
      <c r="D1817" s="3" t="str">
        <f>IFERROR(__xludf.DUMMYFUNCTION("""COMPUTED_VALUE"""),"e454d4b3")</f>
        <v>e454d4b3</v>
      </c>
      <c r="E1817" s="54">
        <f>IFERROR(__xludf.DUMMYFUNCTION("""COMPUTED_VALUE"""),25500.0)</f>
        <v>25500</v>
      </c>
      <c r="F1817" s="3" t="str">
        <f>IFERROR(__xludf.DUMMYFUNCTION("""COMPUTED_VALUE"""),"Tanat")</f>
        <v>Tanat</v>
      </c>
      <c r="G1817" s="55">
        <f>IFERROR(__xludf.DUMMYFUNCTION("""COMPUTED_VALUE"""),13.3)</f>
        <v>13.3</v>
      </c>
      <c r="H1817" s="56">
        <f>IFERROR(__xludf.DUMMYFUNCTION("""COMPUTED_VALUE"""),2.0)</f>
        <v>2</v>
      </c>
      <c r="I1817" s="57">
        <f>IFERROR(__xludf.DUMMYFUNCTION("""COMPUTED_VALUE"""),0.57)</f>
        <v>0.57</v>
      </c>
      <c r="J1817" s="57">
        <f>IFERROR(__xludf.DUMMYFUNCTION("""COMPUTED_VALUE"""),5.35)</f>
        <v>5.35</v>
      </c>
      <c r="K1817" s="57">
        <f>IFERROR(__xludf.DUMMYFUNCTION("""COMPUTED_VALUE"""),3.58)</f>
        <v>3.58</v>
      </c>
      <c r="L1817" s="54">
        <f>IFERROR(__xludf.DUMMYFUNCTION("""COMPUTED_VALUE"""),40.0)</f>
        <v>40</v>
      </c>
      <c r="M1817" s="3">
        <f>IFERROR(__xludf.DUMMYFUNCTION("""COMPUTED_VALUE"""),120.0)</f>
        <v>120</v>
      </c>
      <c r="N1817" s="3"/>
      <c r="O1817" s="3"/>
      <c r="P1817" s="3"/>
      <c r="Q1817" s="3"/>
      <c r="R1817" s="3">
        <f>IFERROR(__xludf.DUMMYFUNCTION("""COMPUTED_VALUE"""),0.0)</f>
        <v>0</v>
      </c>
      <c r="S1817" s="3"/>
      <c r="T1817" s="5"/>
      <c r="U1817" s="5"/>
      <c r="V1817" s="5"/>
      <c r="W1817" s="5"/>
    </row>
    <row r="1818" ht="15.75" customHeight="1">
      <c r="A1818" s="3">
        <f>IFERROR(__xludf.DUMMYFUNCTION("""COMPUTED_VALUE"""),1818.0)</f>
        <v>1818</v>
      </c>
      <c r="B1818" s="53">
        <f>IFERROR(__xludf.DUMMYFUNCTION("""COMPUTED_VALUE"""),45937.0)</f>
        <v>45937</v>
      </c>
      <c r="C1818" s="3">
        <f>IFERROR(__xludf.DUMMYFUNCTION("""COMPUTED_VALUE"""),87.0)</f>
        <v>87</v>
      </c>
      <c r="D1818" s="3" t="str">
        <f>IFERROR(__xludf.DUMMYFUNCTION("""COMPUTED_VALUE"""),"4ecb7cfe")</f>
        <v>4ecb7cfe</v>
      </c>
      <c r="E1818" s="54">
        <f>IFERROR(__xludf.DUMMYFUNCTION("""COMPUTED_VALUE"""),93700.0)</f>
        <v>93700</v>
      </c>
      <c r="F1818" s="3" t="str">
        <f>IFERROR(__xludf.DUMMYFUNCTION("""COMPUTED_VALUE"""),"Syrah")</f>
        <v>Syrah</v>
      </c>
      <c r="G1818" s="55">
        <f>IFERROR(__xludf.DUMMYFUNCTION("""COMPUTED_VALUE"""),14.1)</f>
        <v>14.1</v>
      </c>
      <c r="H1818" s="56">
        <f>IFERROR(__xludf.DUMMYFUNCTION("""COMPUTED_VALUE"""),2.0)</f>
        <v>2</v>
      </c>
      <c r="I1818" s="57">
        <f>IFERROR(__xludf.DUMMYFUNCTION("""COMPUTED_VALUE"""),0.56)</f>
        <v>0.56</v>
      </c>
      <c r="J1818" s="57">
        <f>IFERROR(__xludf.DUMMYFUNCTION("""COMPUTED_VALUE"""),5.12)</f>
        <v>5.12</v>
      </c>
      <c r="K1818" s="57">
        <f>IFERROR(__xludf.DUMMYFUNCTION("""COMPUTED_VALUE"""),3.65)</f>
        <v>3.65</v>
      </c>
      <c r="L1818" s="54">
        <f>IFERROR(__xludf.DUMMYFUNCTION("""COMPUTED_VALUE"""),37.0)</f>
        <v>37</v>
      </c>
      <c r="M1818" s="3">
        <f>IFERROR(__xludf.DUMMYFUNCTION("""COMPUTED_VALUE"""),134.0)</f>
        <v>134</v>
      </c>
      <c r="N1818" s="3"/>
      <c r="O1818" s="3"/>
      <c r="P1818" s="3"/>
      <c r="Q1818" s="3"/>
      <c r="R1818" s="3">
        <f>IFERROR(__xludf.DUMMYFUNCTION("""COMPUTED_VALUE"""),0.0)</f>
        <v>0</v>
      </c>
      <c r="S1818" s="3"/>
      <c r="T1818" s="5"/>
      <c r="U1818" s="5"/>
      <c r="V1818" s="5"/>
      <c r="W1818" s="5"/>
    </row>
    <row r="1819" ht="15.75" customHeight="1">
      <c r="A1819" s="3">
        <f>IFERROR(__xludf.DUMMYFUNCTION("""COMPUTED_VALUE"""),1819.0)</f>
        <v>1819</v>
      </c>
      <c r="B1819" s="53">
        <f>IFERROR(__xludf.DUMMYFUNCTION("""COMPUTED_VALUE"""),45937.0)</f>
        <v>45937</v>
      </c>
      <c r="C1819" s="3">
        <f>IFERROR(__xludf.DUMMYFUNCTION("""COMPUTED_VALUE"""),92.0)</f>
        <v>92</v>
      </c>
      <c r="D1819" s="3" t="str">
        <f>IFERROR(__xludf.DUMMYFUNCTION("""COMPUTED_VALUE"""),"98de285d")</f>
        <v>98de285d</v>
      </c>
      <c r="E1819" s="54">
        <f>IFERROR(__xludf.DUMMYFUNCTION("""COMPUTED_VALUE"""),76000.0)</f>
        <v>76000</v>
      </c>
      <c r="F1819" s="3" t="str">
        <f>IFERROR(__xludf.DUMMYFUNCTION("""COMPUTED_VALUE"""),"Anccelotta Aspirant")</f>
        <v>Anccelotta Aspirant</v>
      </c>
      <c r="G1819" s="55">
        <f>IFERROR(__xludf.DUMMYFUNCTION("""COMPUTED_VALUE"""),13.0)</f>
        <v>13</v>
      </c>
      <c r="H1819" s="56">
        <f>IFERROR(__xludf.DUMMYFUNCTION("""COMPUTED_VALUE"""),2.0)</f>
        <v>2</v>
      </c>
      <c r="I1819" s="57">
        <f>IFERROR(__xludf.DUMMYFUNCTION("""COMPUTED_VALUE"""),0.54)</f>
        <v>0.54</v>
      </c>
      <c r="J1819" s="57">
        <f>IFERROR(__xludf.DUMMYFUNCTION("""COMPUTED_VALUE"""),5.4)</f>
        <v>5.4</v>
      </c>
      <c r="K1819" s="57">
        <f>IFERROR(__xludf.DUMMYFUNCTION("""COMPUTED_VALUE"""),3.63)</f>
        <v>3.63</v>
      </c>
      <c r="L1819" s="54">
        <f>IFERROR(__xludf.DUMMYFUNCTION("""COMPUTED_VALUE"""),42.0)</f>
        <v>42</v>
      </c>
      <c r="M1819" s="3">
        <f>IFERROR(__xludf.DUMMYFUNCTION("""COMPUTED_VALUE"""),102.0)</f>
        <v>102</v>
      </c>
      <c r="N1819" s="3"/>
      <c r="O1819" s="3"/>
      <c r="P1819" s="3"/>
      <c r="Q1819" s="3"/>
      <c r="R1819" s="3">
        <f>IFERROR(__xludf.DUMMYFUNCTION("""COMPUTED_VALUE"""),0.0)</f>
        <v>0</v>
      </c>
      <c r="S1819" s="3"/>
      <c r="T1819" s="5"/>
      <c r="U1819" s="5"/>
      <c r="V1819" s="5"/>
      <c r="W1819" s="5"/>
    </row>
    <row r="1820" ht="15.75" customHeight="1">
      <c r="A1820" s="3">
        <f>IFERROR(__xludf.DUMMYFUNCTION("""COMPUTED_VALUE"""),1820.0)</f>
        <v>1820</v>
      </c>
      <c r="B1820" s="53">
        <f>IFERROR(__xludf.DUMMYFUNCTION("""COMPUTED_VALUE"""),45936.0)</f>
        <v>45936</v>
      </c>
      <c r="C1820" s="3">
        <f>IFERROR(__xludf.DUMMYFUNCTION("""COMPUTED_VALUE"""),95.0)</f>
        <v>95</v>
      </c>
      <c r="D1820" s="3" t="str">
        <f>IFERROR(__xludf.DUMMYFUNCTION("""COMPUTED_VALUE"""),"83dc62c7")</f>
        <v>83dc62c7</v>
      </c>
      <c r="E1820" s="54">
        <f>IFERROR(__xludf.DUMMYFUNCTION("""COMPUTED_VALUE"""),77100.0)</f>
        <v>77100</v>
      </c>
      <c r="F1820" s="3" t="str">
        <f>IFERROR(__xludf.DUMMYFUNCTION("""COMPUTED_VALUE"""),"Syrah")</f>
        <v>Syrah</v>
      </c>
      <c r="G1820" s="55">
        <f>IFERROR(__xludf.DUMMYFUNCTION("""COMPUTED_VALUE"""),14.0)</f>
        <v>14</v>
      </c>
      <c r="H1820" s="56">
        <f>IFERROR(__xludf.DUMMYFUNCTION("""COMPUTED_VALUE"""),2.0)</f>
        <v>2</v>
      </c>
      <c r="I1820" s="57">
        <f>IFERROR(__xludf.DUMMYFUNCTION("""COMPUTED_VALUE"""),0.61)</f>
        <v>0.61</v>
      </c>
      <c r="J1820" s="57">
        <f>IFERROR(__xludf.DUMMYFUNCTION("""COMPUTED_VALUE"""),5.35)</f>
        <v>5.35</v>
      </c>
      <c r="K1820" s="57">
        <f>IFERROR(__xludf.DUMMYFUNCTION("""COMPUTED_VALUE"""),3.69)</f>
        <v>3.69</v>
      </c>
      <c r="L1820" s="54">
        <f>IFERROR(__xludf.DUMMYFUNCTION("""COMPUTED_VALUE"""),40.0)</f>
        <v>40</v>
      </c>
      <c r="M1820" s="3">
        <f>IFERROR(__xludf.DUMMYFUNCTION("""COMPUTED_VALUE"""),150.0)</f>
        <v>150</v>
      </c>
      <c r="N1820" s="3"/>
      <c r="O1820" s="3"/>
      <c r="P1820" s="3"/>
      <c r="Q1820" s="3"/>
      <c r="R1820" s="3">
        <f>IFERROR(__xludf.DUMMYFUNCTION("""COMPUTED_VALUE"""),0.0)</f>
        <v>0</v>
      </c>
      <c r="S1820" s="3"/>
      <c r="T1820" s="5"/>
      <c r="U1820" s="5"/>
      <c r="V1820" s="5"/>
      <c r="W1820" s="5"/>
    </row>
    <row r="1821" ht="15.75" customHeight="1">
      <c r="A1821" s="3">
        <f>IFERROR(__xludf.DUMMYFUNCTION("""COMPUTED_VALUE"""),1821.0)</f>
        <v>1821</v>
      </c>
      <c r="B1821" s="53">
        <f>IFERROR(__xludf.DUMMYFUNCTION("""COMPUTED_VALUE"""),45936.0)</f>
        <v>45936</v>
      </c>
      <c r="C1821" s="3">
        <f>IFERROR(__xludf.DUMMYFUNCTION("""COMPUTED_VALUE"""),115.0)</f>
        <v>115</v>
      </c>
      <c r="D1821" s="3" t="str">
        <f>IFERROR(__xludf.DUMMYFUNCTION("""COMPUTED_VALUE"""),"5c576664")</f>
        <v>5c576664</v>
      </c>
      <c r="E1821" s="54">
        <f>IFERROR(__xludf.DUMMYFUNCTION("""COMPUTED_VALUE"""),120200.0)</f>
        <v>120200</v>
      </c>
      <c r="F1821" s="3" t="str">
        <f>IFERROR(__xludf.DUMMYFUNCTION("""COMPUTED_VALUE"""),"Malbec")</f>
        <v>Malbec</v>
      </c>
      <c r="G1821" s="55">
        <f>IFERROR(__xludf.DUMMYFUNCTION("""COMPUTED_VALUE"""),14.0)</f>
        <v>14</v>
      </c>
      <c r="H1821" s="56">
        <f>IFERROR(__xludf.DUMMYFUNCTION("""COMPUTED_VALUE"""),2.0)</f>
        <v>2</v>
      </c>
      <c r="I1821" s="57">
        <f>IFERROR(__xludf.DUMMYFUNCTION("""COMPUTED_VALUE"""),0.62)</f>
        <v>0.62</v>
      </c>
      <c r="J1821" s="57">
        <f>IFERROR(__xludf.DUMMYFUNCTION("""COMPUTED_VALUE"""),6.04)</f>
        <v>6.04</v>
      </c>
      <c r="K1821" s="57">
        <f>IFERROR(__xludf.DUMMYFUNCTION("""COMPUTED_VALUE"""),3.69)</f>
        <v>3.69</v>
      </c>
      <c r="L1821" s="54">
        <f>IFERROR(__xludf.DUMMYFUNCTION("""COMPUTED_VALUE"""),36.0)</f>
        <v>36</v>
      </c>
      <c r="M1821" s="3">
        <f>IFERROR(__xludf.DUMMYFUNCTION("""COMPUTED_VALUE"""),160.0)</f>
        <v>160</v>
      </c>
      <c r="N1821" s="3"/>
      <c r="O1821" s="3"/>
      <c r="P1821" s="3"/>
      <c r="Q1821" s="3"/>
      <c r="R1821" s="3">
        <f>IFERROR(__xludf.DUMMYFUNCTION("""COMPUTED_VALUE"""),0.0)</f>
        <v>0</v>
      </c>
      <c r="S1821" s="3"/>
      <c r="T1821" s="5"/>
      <c r="U1821" s="5"/>
      <c r="V1821" s="5"/>
      <c r="W1821" s="5"/>
    </row>
    <row r="1822" ht="15.75" customHeight="1">
      <c r="A1822" s="3">
        <f>IFERROR(__xludf.DUMMYFUNCTION("""COMPUTED_VALUE"""),1822.0)</f>
        <v>1822</v>
      </c>
      <c r="B1822" s="53">
        <f>IFERROR(__xludf.DUMMYFUNCTION("""COMPUTED_VALUE"""),45932.0)</f>
        <v>45932</v>
      </c>
      <c r="C1822" s="3">
        <f>IFERROR(__xludf.DUMMYFUNCTION("""COMPUTED_VALUE"""),8.0)</f>
        <v>8</v>
      </c>
      <c r="D1822" s="3" t="str">
        <f>IFERROR(__xludf.DUMMYFUNCTION("""COMPUTED_VALUE"""),"376dbee6")</f>
        <v>376dbee6</v>
      </c>
      <c r="E1822" s="54">
        <f>IFERROR(__xludf.DUMMYFUNCTION("""COMPUTED_VALUE"""),22000.0)</f>
        <v>22000</v>
      </c>
      <c r="F1822" s="3" t="str">
        <f>IFERROR(__xludf.DUMMYFUNCTION("""COMPUTED_VALUE"""),"Chardonnay")</f>
        <v>Chardonnay</v>
      </c>
      <c r="G1822" s="55">
        <f>IFERROR(__xludf.DUMMYFUNCTION("""COMPUTED_VALUE"""),13.5)</f>
        <v>13.5</v>
      </c>
      <c r="H1822" s="56">
        <f>IFERROR(__xludf.DUMMYFUNCTION("""COMPUTED_VALUE"""),2.1)</f>
        <v>2.1</v>
      </c>
      <c r="I1822" s="57">
        <f>IFERROR(__xludf.DUMMYFUNCTION("""COMPUTED_VALUE"""),0.25)</f>
        <v>0.25</v>
      </c>
      <c r="J1822" s="57">
        <f>IFERROR(__xludf.DUMMYFUNCTION("""COMPUTED_VALUE"""),5.4)</f>
        <v>5.4</v>
      </c>
      <c r="K1822" s="57">
        <f>IFERROR(__xludf.DUMMYFUNCTION("""COMPUTED_VALUE"""),3.5)</f>
        <v>3.5</v>
      </c>
      <c r="L1822" s="54">
        <f>IFERROR(__xludf.DUMMYFUNCTION("""COMPUTED_VALUE"""),25.0)</f>
        <v>25</v>
      </c>
      <c r="M1822" s="3">
        <f>IFERROR(__xludf.DUMMYFUNCTION("""COMPUTED_VALUE"""),115.0)</f>
        <v>115</v>
      </c>
      <c r="N1822" s="3">
        <f>IFERROR(__xludf.DUMMYFUNCTION("""COMPUTED_VALUE"""),22.09)</f>
        <v>22.09</v>
      </c>
      <c r="O1822" s="3"/>
      <c r="P1822" s="3"/>
      <c r="Q1822" s="3"/>
      <c r="R1822" s="3">
        <f>IFERROR(__xludf.DUMMYFUNCTION("""COMPUTED_VALUE"""),0.0)</f>
        <v>0</v>
      </c>
      <c r="S1822" s="3"/>
      <c r="T1822" s="5"/>
      <c r="U1822" s="5"/>
      <c r="V1822" s="5"/>
      <c r="W1822" s="5"/>
    </row>
    <row r="1823" ht="15.75" customHeight="1">
      <c r="A1823" s="3">
        <f>IFERROR(__xludf.DUMMYFUNCTION("""COMPUTED_VALUE"""),1823.0)</f>
        <v>1823</v>
      </c>
      <c r="B1823" s="53">
        <f>IFERROR(__xludf.DUMMYFUNCTION("""COMPUTED_VALUE"""),45951.0)</f>
        <v>45951</v>
      </c>
      <c r="C1823" s="3">
        <f>IFERROR(__xludf.DUMMYFUNCTION("""COMPUTED_VALUE"""),46.0)</f>
        <v>46</v>
      </c>
      <c r="D1823" s="3" t="str">
        <f>IFERROR(__xludf.DUMMYFUNCTION("""COMPUTED_VALUE"""),"c205e72b")</f>
        <v>c205e72b</v>
      </c>
      <c r="E1823" s="54">
        <f>IFERROR(__xludf.DUMMYFUNCTION("""COMPUTED_VALUE"""),29000.0)</f>
        <v>29000</v>
      </c>
      <c r="F1823" s="3" t="str">
        <f>IFERROR(__xludf.DUMMYFUNCTION("""COMPUTED_VALUE"""),"Bonarda")</f>
        <v>Bonarda</v>
      </c>
      <c r="G1823" s="3"/>
      <c r="H1823" s="3"/>
      <c r="I1823" s="3"/>
      <c r="J1823" s="3"/>
      <c r="K1823" s="3"/>
      <c r="L1823" s="54">
        <f>IFERROR(__xludf.DUMMYFUNCTION("""COMPUTED_VALUE"""),45.0)</f>
        <v>45</v>
      </c>
      <c r="M1823" s="3">
        <f>IFERROR(__xludf.DUMMYFUNCTION("""COMPUTED_VALUE"""),200.0)</f>
        <v>200</v>
      </c>
      <c r="N1823" s="3"/>
      <c r="O1823" s="3"/>
      <c r="P1823" s="3"/>
      <c r="Q1823" s="3"/>
      <c r="R1823" s="3">
        <f>IFERROR(__xludf.DUMMYFUNCTION("""COMPUTED_VALUE"""),0.0)</f>
        <v>0</v>
      </c>
      <c r="S1823" s="3"/>
      <c r="T1823" s="5"/>
      <c r="U1823" s="5"/>
      <c r="V1823" s="5"/>
      <c r="W1823" s="5"/>
    </row>
    <row r="1824" ht="15.75" customHeight="1">
      <c r="A1824" s="3">
        <f>IFERROR(__xludf.DUMMYFUNCTION("""COMPUTED_VALUE"""),1824.0)</f>
        <v>1824</v>
      </c>
      <c r="B1824" s="53">
        <f>IFERROR(__xludf.DUMMYFUNCTION("""COMPUTED_VALUE"""),45951.0)</f>
        <v>45951</v>
      </c>
      <c r="C1824" s="3">
        <f>IFERROR(__xludf.DUMMYFUNCTION("""COMPUTED_VALUE"""),49.0)</f>
        <v>49</v>
      </c>
      <c r="D1824" s="3" t="str">
        <f>IFERROR(__xludf.DUMMYFUNCTION("""COMPUTED_VALUE"""),"ee0770a6")</f>
        <v>ee0770a6</v>
      </c>
      <c r="E1824" s="54">
        <f>IFERROR(__xludf.DUMMYFUNCTION("""COMPUTED_VALUE"""),26000.0)</f>
        <v>26000</v>
      </c>
      <c r="F1824" s="3" t="str">
        <f>IFERROR(__xludf.DUMMYFUNCTION("""COMPUTED_VALUE"""),"Malbec Rectificado")</f>
        <v>Malbec Rectificado</v>
      </c>
      <c r="G1824" s="3"/>
      <c r="H1824" s="3"/>
      <c r="I1824" s="3"/>
      <c r="J1824" s="3"/>
      <c r="K1824" s="3"/>
      <c r="L1824" s="54">
        <f>IFERROR(__xludf.DUMMYFUNCTION("""COMPUTED_VALUE"""),27.0)</f>
        <v>27</v>
      </c>
      <c r="M1824" s="3">
        <f>IFERROR(__xludf.DUMMYFUNCTION("""COMPUTED_VALUE"""),180.0)</f>
        <v>180</v>
      </c>
      <c r="N1824" s="3"/>
      <c r="O1824" s="3"/>
      <c r="P1824" s="3"/>
      <c r="Q1824" s="3"/>
      <c r="R1824" s="3">
        <f>IFERROR(__xludf.DUMMYFUNCTION("""COMPUTED_VALUE"""),0.0)</f>
        <v>0</v>
      </c>
      <c r="S1824" s="3"/>
      <c r="T1824" s="5"/>
      <c r="U1824" s="5"/>
      <c r="V1824" s="5"/>
      <c r="W1824" s="5"/>
    </row>
    <row r="1825" ht="15.75" customHeight="1">
      <c r="A1825" s="3">
        <f>IFERROR(__xludf.DUMMYFUNCTION("""COMPUTED_VALUE"""),1825.0)</f>
        <v>1825</v>
      </c>
      <c r="B1825" s="53">
        <f>IFERROR(__xludf.DUMMYFUNCTION("""COMPUTED_VALUE"""),45951.0)</f>
        <v>45951</v>
      </c>
      <c r="C1825" s="3">
        <f>IFERROR(__xludf.DUMMYFUNCTION("""COMPUTED_VALUE"""),51.0)</f>
        <v>51</v>
      </c>
      <c r="D1825" s="3" t="str">
        <f>IFERROR(__xludf.DUMMYFUNCTION("""COMPUTED_VALUE"""),"80e8c28e")</f>
        <v>80e8c28e</v>
      </c>
      <c r="E1825" s="54">
        <f>IFERROR(__xludf.DUMMYFUNCTION("""COMPUTED_VALUE"""),3900.0)</f>
        <v>3900</v>
      </c>
      <c r="F1825" s="3" t="str">
        <f>IFERROR(__xludf.DUMMYFUNCTION("""COMPUTED_VALUE"""),"Aspirant 24")</f>
        <v>Aspirant 24</v>
      </c>
      <c r="G1825" s="3"/>
      <c r="H1825" s="3"/>
      <c r="I1825" s="3"/>
      <c r="J1825" s="3"/>
      <c r="K1825" s="3"/>
      <c r="L1825" s="54">
        <f>IFERROR(__xludf.DUMMYFUNCTION("""COMPUTED_VALUE"""),46.0)</f>
        <v>46</v>
      </c>
      <c r="M1825" s="3">
        <f>IFERROR(__xludf.DUMMYFUNCTION("""COMPUTED_VALUE"""),153.0)</f>
        <v>153</v>
      </c>
      <c r="N1825" s="3"/>
      <c r="O1825" s="3"/>
      <c r="P1825" s="3"/>
      <c r="Q1825" s="3"/>
      <c r="R1825" s="3">
        <f>IFERROR(__xludf.DUMMYFUNCTION("""COMPUTED_VALUE"""),0.0)</f>
        <v>0</v>
      </c>
      <c r="S1825" s="3"/>
      <c r="T1825" s="5"/>
      <c r="U1825" s="5"/>
      <c r="V1825" s="5"/>
      <c r="W1825" s="5"/>
    </row>
    <row r="1826" ht="15.75" customHeight="1">
      <c r="A1826" s="3">
        <f>IFERROR(__xludf.DUMMYFUNCTION("""COMPUTED_VALUE"""),1826.0)</f>
        <v>1826</v>
      </c>
      <c r="B1826" s="53">
        <f>IFERROR(__xludf.DUMMYFUNCTION("""COMPUTED_VALUE"""),45951.0)</f>
        <v>45951</v>
      </c>
      <c r="C1826" s="3">
        <f>IFERROR(__xludf.DUMMYFUNCTION("""COMPUTED_VALUE"""),82.0)</f>
        <v>82</v>
      </c>
      <c r="D1826" s="3" t="str">
        <f>IFERROR(__xludf.DUMMYFUNCTION("""COMPUTED_VALUE"""),"872fc1c6")</f>
        <v>872fc1c6</v>
      </c>
      <c r="E1826" s="54">
        <f>IFERROR(__xludf.DUMMYFUNCTION("""COMPUTED_VALUE"""),42600.0)</f>
        <v>42600</v>
      </c>
      <c r="F1826" s="3" t="str">
        <f>IFERROR(__xludf.DUMMYFUNCTION("""COMPUTED_VALUE"""),"Syrah")</f>
        <v>Syrah</v>
      </c>
      <c r="G1826" s="3"/>
      <c r="H1826" s="3"/>
      <c r="I1826" s="3"/>
      <c r="J1826" s="3"/>
      <c r="K1826" s="3"/>
      <c r="L1826" s="54">
        <f>IFERROR(__xludf.DUMMYFUNCTION("""COMPUTED_VALUE"""),47.0)</f>
        <v>47</v>
      </c>
      <c r="M1826" s="3">
        <f>IFERROR(__xludf.DUMMYFUNCTION("""COMPUTED_VALUE"""),153.0)</f>
        <v>153</v>
      </c>
      <c r="N1826" s="3"/>
      <c r="O1826" s="3"/>
      <c r="P1826" s="3"/>
      <c r="Q1826" s="3"/>
      <c r="R1826" s="3">
        <f>IFERROR(__xludf.DUMMYFUNCTION("""COMPUTED_VALUE"""),0.0)</f>
        <v>0</v>
      </c>
      <c r="S1826" s="3"/>
      <c r="T1826" s="5"/>
      <c r="U1826" s="5"/>
      <c r="V1826" s="5"/>
      <c r="W1826" s="5"/>
    </row>
    <row r="1827" ht="15.75" customHeight="1">
      <c r="A1827" s="3">
        <f>IFERROR(__xludf.DUMMYFUNCTION("""COMPUTED_VALUE"""),1827.0)</f>
        <v>1827</v>
      </c>
      <c r="B1827" s="53">
        <f>IFERROR(__xludf.DUMMYFUNCTION("""COMPUTED_VALUE"""),45951.0)</f>
        <v>45951</v>
      </c>
      <c r="C1827" s="3">
        <f>IFERROR(__xludf.DUMMYFUNCTION("""COMPUTED_VALUE"""),85.0)</f>
        <v>85</v>
      </c>
      <c r="D1827" s="3" t="str">
        <f>IFERROR(__xludf.DUMMYFUNCTION("""COMPUTED_VALUE"""),"dc08aecd")</f>
        <v>dc08aecd</v>
      </c>
      <c r="E1827" s="54">
        <f>IFERROR(__xludf.DUMMYFUNCTION("""COMPUTED_VALUE"""),84000.0)</f>
        <v>84000</v>
      </c>
      <c r="F1827" s="3" t="str">
        <f>IFERROR(__xludf.DUMMYFUNCTION("""COMPUTED_VALUE"""),"Malbec")</f>
        <v>Malbec</v>
      </c>
      <c r="G1827" s="3"/>
      <c r="H1827" s="3"/>
      <c r="I1827" s="3"/>
      <c r="J1827" s="3"/>
      <c r="K1827" s="3"/>
      <c r="L1827" s="54">
        <f>IFERROR(__xludf.DUMMYFUNCTION("""COMPUTED_VALUE"""),38.0)</f>
        <v>38</v>
      </c>
      <c r="M1827" s="3">
        <f>IFERROR(__xludf.DUMMYFUNCTION("""COMPUTED_VALUE"""),180.0)</f>
        <v>180</v>
      </c>
      <c r="N1827" s="3"/>
      <c r="O1827" s="3"/>
      <c r="P1827" s="3"/>
      <c r="Q1827" s="3"/>
      <c r="R1827" s="3">
        <f>IFERROR(__xludf.DUMMYFUNCTION("""COMPUTED_VALUE"""),0.0)</f>
        <v>0</v>
      </c>
      <c r="S1827" s="3"/>
      <c r="T1827" s="5"/>
      <c r="U1827" s="5"/>
      <c r="V1827" s="5"/>
      <c r="W1827" s="5"/>
    </row>
    <row r="1828" ht="15.75" customHeight="1">
      <c r="A1828" s="3">
        <f>IFERROR(__xludf.DUMMYFUNCTION("""COMPUTED_VALUE"""),1828.0)</f>
        <v>1828</v>
      </c>
      <c r="B1828" s="53">
        <f>IFERROR(__xludf.DUMMYFUNCTION("""COMPUTED_VALUE"""),45951.0)</f>
        <v>45951</v>
      </c>
      <c r="C1828" s="3">
        <f>IFERROR(__xludf.DUMMYFUNCTION("""COMPUTED_VALUE"""),88.0)</f>
        <v>88</v>
      </c>
      <c r="D1828" s="3" t="str">
        <f>IFERROR(__xludf.DUMMYFUNCTION("""COMPUTED_VALUE"""),"ee5b5592")</f>
        <v>ee5b5592</v>
      </c>
      <c r="E1828" s="54">
        <f>IFERROR(__xludf.DUMMYFUNCTION("""COMPUTED_VALUE"""),78900.0)</f>
        <v>78900</v>
      </c>
      <c r="F1828" s="3" t="str">
        <f>IFERROR(__xludf.DUMMYFUNCTION("""COMPUTED_VALUE"""),"Bonarda")</f>
        <v>Bonarda</v>
      </c>
      <c r="G1828" s="3"/>
      <c r="H1828" s="3"/>
      <c r="I1828" s="3"/>
      <c r="J1828" s="3"/>
      <c r="K1828" s="3"/>
      <c r="L1828" s="54">
        <f>IFERROR(__xludf.DUMMYFUNCTION("""COMPUTED_VALUE"""),40.0)</f>
        <v>40</v>
      </c>
      <c r="M1828" s="3">
        <f>IFERROR(__xludf.DUMMYFUNCTION("""COMPUTED_VALUE"""),170.0)</f>
        <v>170</v>
      </c>
      <c r="N1828" s="3"/>
      <c r="O1828" s="3"/>
      <c r="P1828" s="3"/>
      <c r="Q1828" s="3"/>
      <c r="R1828" s="3">
        <f>IFERROR(__xludf.DUMMYFUNCTION("""COMPUTED_VALUE"""),0.0)</f>
        <v>0</v>
      </c>
      <c r="S1828" s="3"/>
      <c r="T1828" s="5"/>
      <c r="U1828" s="5"/>
      <c r="V1828" s="5"/>
      <c r="W1828" s="5"/>
    </row>
    <row r="1829" ht="15.75" customHeight="1">
      <c r="A1829" s="3">
        <f>IFERROR(__xludf.DUMMYFUNCTION("""COMPUTED_VALUE"""),1829.0)</f>
        <v>1829</v>
      </c>
      <c r="B1829" s="53">
        <f>IFERROR(__xludf.DUMMYFUNCTION("""COMPUTED_VALUE"""),45951.0)</f>
        <v>45951</v>
      </c>
      <c r="C1829" s="3">
        <f>IFERROR(__xludf.DUMMYFUNCTION("""COMPUTED_VALUE"""),114.0)</f>
        <v>114</v>
      </c>
      <c r="D1829" s="3" t="str">
        <f>IFERROR(__xludf.DUMMYFUNCTION("""COMPUTED_VALUE"""),"2f7b2de3")</f>
        <v>2f7b2de3</v>
      </c>
      <c r="E1829" s="54">
        <f>IFERROR(__xludf.DUMMYFUNCTION("""COMPUTED_VALUE"""),125300.0)</f>
        <v>125300</v>
      </c>
      <c r="F1829" s="3" t="str">
        <f>IFERROR(__xludf.DUMMYFUNCTION("""COMPUTED_VALUE"""),"Cabernet Sauvignon")</f>
        <v>Cabernet Sauvignon</v>
      </c>
      <c r="G1829" s="3"/>
      <c r="H1829" s="3"/>
      <c r="I1829" s="3"/>
      <c r="J1829" s="3"/>
      <c r="K1829" s="3"/>
      <c r="L1829" s="54">
        <f>IFERROR(__xludf.DUMMYFUNCTION("""COMPUTED_VALUE"""),35.0)</f>
        <v>35</v>
      </c>
      <c r="M1829" s="3">
        <f>IFERROR(__xludf.DUMMYFUNCTION("""COMPUTED_VALUE"""),185.0)</f>
        <v>185</v>
      </c>
      <c r="N1829" s="3"/>
      <c r="O1829" s="3"/>
      <c r="P1829" s="3"/>
      <c r="Q1829" s="3"/>
      <c r="R1829" s="3">
        <f>IFERROR(__xludf.DUMMYFUNCTION("""COMPUTED_VALUE"""),0.0)</f>
        <v>0</v>
      </c>
      <c r="S1829" s="3"/>
      <c r="T1829" s="5"/>
      <c r="U1829" s="5"/>
      <c r="V1829" s="5"/>
      <c r="W1829" s="5"/>
    </row>
    <row r="1830" ht="15.75" customHeight="1">
      <c r="A1830" s="3">
        <f>IFERROR(__xludf.DUMMYFUNCTION("""COMPUTED_VALUE"""),1830.0)</f>
        <v>1830</v>
      </c>
      <c r="B1830" s="53">
        <f>IFERROR(__xludf.DUMMYFUNCTION("""COMPUTED_VALUE"""),45951.0)</f>
        <v>45951</v>
      </c>
      <c r="C1830" s="3">
        <f>IFERROR(__xludf.DUMMYFUNCTION("""COMPUTED_VALUE"""),121.0)</f>
        <v>121</v>
      </c>
      <c r="D1830" s="3" t="str">
        <f>IFERROR(__xludf.DUMMYFUNCTION("""COMPUTED_VALUE"""),"887268c3")</f>
        <v>887268c3</v>
      </c>
      <c r="E1830" s="54">
        <f>IFERROR(__xludf.DUMMYFUNCTION("""COMPUTED_VALUE"""),85800.0)</f>
        <v>85800</v>
      </c>
      <c r="F1830" s="3" t="str">
        <f>IFERROR(__xludf.DUMMYFUNCTION("""COMPUTED_VALUE"""),"Malbec")</f>
        <v>Malbec</v>
      </c>
      <c r="G1830" s="3"/>
      <c r="H1830" s="3"/>
      <c r="I1830" s="3"/>
      <c r="J1830" s="3"/>
      <c r="K1830" s="3"/>
      <c r="L1830" s="54">
        <f>IFERROR(__xludf.DUMMYFUNCTION("""COMPUTED_VALUE"""),42.0)</f>
        <v>42</v>
      </c>
      <c r="M1830" s="3">
        <f>IFERROR(__xludf.DUMMYFUNCTION("""COMPUTED_VALUE"""),224.0)</f>
        <v>224</v>
      </c>
      <c r="N1830" s="3"/>
      <c r="O1830" s="3"/>
      <c r="P1830" s="3"/>
      <c r="Q1830" s="3"/>
      <c r="R1830" s="3">
        <f>IFERROR(__xludf.DUMMYFUNCTION("""COMPUTED_VALUE"""),0.0)</f>
        <v>0</v>
      </c>
      <c r="S1830" s="3"/>
      <c r="T1830" s="5"/>
      <c r="U1830" s="5"/>
      <c r="V1830" s="5"/>
      <c r="W1830" s="5"/>
    </row>
    <row r="1831" ht="15.75" customHeight="1">
      <c r="A1831" s="3">
        <f>IFERROR(__xludf.DUMMYFUNCTION("""COMPUTED_VALUE"""),1831.0)</f>
        <v>1831</v>
      </c>
      <c r="B1831" s="53">
        <f>IFERROR(__xludf.DUMMYFUNCTION("""COMPUTED_VALUE"""),45951.0)</f>
        <v>45951</v>
      </c>
      <c r="C1831" s="3">
        <f>IFERROR(__xludf.DUMMYFUNCTION("""COMPUTED_VALUE"""),116.0)</f>
        <v>116</v>
      </c>
      <c r="D1831" s="3" t="str">
        <f>IFERROR(__xludf.DUMMYFUNCTION("""COMPUTED_VALUE"""),"bf1abf21")</f>
        <v>bf1abf21</v>
      </c>
      <c r="E1831" s="54">
        <f>IFERROR(__xludf.DUMMYFUNCTION("""COMPUTED_VALUE"""),99600.0)</f>
        <v>99600</v>
      </c>
      <c r="F1831" s="3" t="str">
        <f>IFERROR(__xludf.DUMMYFUNCTION("""COMPUTED_VALUE"""),"Malbec")</f>
        <v>Malbec</v>
      </c>
      <c r="G1831" s="3"/>
      <c r="H1831" s="3"/>
      <c r="I1831" s="3"/>
      <c r="J1831" s="3"/>
      <c r="K1831" s="3"/>
      <c r="L1831" s="54">
        <f>IFERROR(__xludf.DUMMYFUNCTION("""COMPUTED_VALUE"""),45.0)</f>
        <v>45</v>
      </c>
      <c r="M1831" s="3">
        <f>IFERROR(__xludf.DUMMYFUNCTION("""COMPUTED_VALUE"""),200.0)</f>
        <v>200</v>
      </c>
      <c r="N1831" s="3"/>
      <c r="O1831" s="3"/>
      <c r="P1831" s="3"/>
      <c r="Q1831" s="3"/>
      <c r="R1831" s="3">
        <f>IFERROR(__xludf.DUMMYFUNCTION("""COMPUTED_VALUE"""),0.0)</f>
        <v>0</v>
      </c>
      <c r="S1831" s="3"/>
      <c r="T1831" s="5"/>
      <c r="U1831" s="5"/>
      <c r="V1831" s="5"/>
      <c r="W1831" s="5"/>
    </row>
    <row r="1832" ht="15.75" customHeight="1">
      <c r="A1832" s="3">
        <f>IFERROR(__xludf.DUMMYFUNCTION("""COMPUTED_VALUE"""),1832.0)</f>
        <v>1832</v>
      </c>
      <c r="B1832" s="53">
        <f>IFERROR(__xludf.DUMMYFUNCTION("""COMPUTED_VALUE"""),45951.0)</f>
        <v>45951</v>
      </c>
      <c r="C1832" s="3">
        <f>IFERROR(__xludf.DUMMYFUNCTION("""COMPUTED_VALUE"""),84.0)</f>
        <v>84</v>
      </c>
      <c r="D1832" s="3" t="str">
        <f>IFERROR(__xludf.DUMMYFUNCTION("""COMPUTED_VALUE"""),"52e2d0ea")</f>
        <v>52e2d0ea</v>
      </c>
      <c r="E1832" s="54">
        <f>IFERROR(__xludf.DUMMYFUNCTION("""COMPUTED_VALUE"""),83000.0)</f>
        <v>83000</v>
      </c>
      <c r="F1832" s="3" t="str">
        <f>IFERROR(__xludf.DUMMYFUNCTION("""COMPUTED_VALUE"""),"Malbec")</f>
        <v>Malbec</v>
      </c>
      <c r="G1832" s="3"/>
      <c r="H1832" s="3"/>
      <c r="I1832" s="3"/>
      <c r="J1832" s="3"/>
      <c r="K1832" s="3"/>
      <c r="L1832" s="54">
        <f>IFERROR(__xludf.DUMMYFUNCTION("""COMPUTED_VALUE"""),44.0)</f>
        <v>44</v>
      </c>
      <c r="M1832" s="3">
        <f>IFERROR(__xludf.DUMMYFUNCTION("""COMPUTED_VALUE"""),204.0)</f>
        <v>204</v>
      </c>
      <c r="N1832" s="3"/>
      <c r="O1832" s="3"/>
      <c r="P1832" s="3"/>
      <c r="Q1832" s="3"/>
      <c r="R1832" s="3">
        <f>IFERROR(__xludf.DUMMYFUNCTION("""COMPUTED_VALUE"""),0.0)</f>
        <v>0</v>
      </c>
      <c r="S1832" s="3"/>
      <c r="T1832" s="5"/>
      <c r="U1832" s="5"/>
      <c r="V1832" s="5"/>
      <c r="W1832" s="5"/>
    </row>
    <row r="1833" ht="15.75" customHeight="1">
      <c r="A1833" s="3">
        <f>IFERROR(__xludf.DUMMYFUNCTION("""COMPUTED_VALUE"""),1833.0)</f>
        <v>1833</v>
      </c>
      <c r="B1833" s="53">
        <f>IFERROR(__xludf.DUMMYFUNCTION("""COMPUTED_VALUE"""),45953.0)</f>
        <v>45953</v>
      </c>
      <c r="C1833" s="3">
        <f>IFERROR(__xludf.DUMMYFUNCTION("""COMPUTED_VALUE"""),52.0)</f>
        <v>52</v>
      </c>
      <c r="D1833" s="3" t="str">
        <f>IFERROR(__xludf.DUMMYFUNCTION("""COMPUTED_VALUE"""),"57cfae09")</f>
        <v>57cfae09</v>
      </c>
      <c r="E1833" s="54">
        <f>IFERROR(__xludf.DUMMYFUNCTION("""COMPUTED_VALUE"""),27000.0)</f>
        <v>27000</v>
      </c>
      <c r="F1833" s="3" t="str">
        <f>IFERROR(__xludf.DUMMYFUNCTION("""COMPUTED_VALUE"""),"Chardonnay")</f>
        <v>Chardonnay</v>
      </c>
      <c r="G1833" s="55">
        <f>IFERROR(__xludf.DUMMYFUNCTION("""COMPUTED_VALUE"""),12.3)</f>
        <v>12.3</v>
      </c>
      <c r="H1833" s="56">
        <f>IFERROR(__xludf.DUMMYFUNCTION("""COMPUTED_VALUE"""),2.0)</f>
        <v>2</v>
      </c>
      <c r="I1833" s="57">
        <f>IFERROR(__xludf.DUMMYFUNCTION("""COMPUTED_VALUE"""),0.4)</f>
        <v>0.4</v>
      </c>
      <c r="J1833" s="57">
        <f>IFERROR(__xludf.DUMMYFUNCTION("""COMPUTED_VALUE"""),5.2)</f>
        <v>5.2</v>
      </c>
      <c r="K1833" s="57">
        <f>IFERROR(__xludf.DUMMYFUNCTION("""COMPUTED_VALUE"""),3.4)</f>
        <v>3.4</v>
      </c>
      <c r="L1833" s="54">
        <f>IFERROR(__xludf.DUMMYFUNCTION("""COMPUTED_VALUE"""),38.0)</f>
        <v>38</v>
      </c>
      <c r="M1833" s="3">
        <f>IFERROR(__xludf.DUMMYFUNCTION("""COMPUTED_VALUE"""),112.0)</f>
        <v>112</v>
      </c>
      <c r="N1833" s="3"/>
      <c r="O1833" s="3"/>
      <c r="P1833" s="3"/>
      <c r="Q1833" s="3"/>
      <c r="R1833" s="3">
        <f>IFERROR(__xludf.DUMMYFUNCTION("""COMPUTED_VALUE"""),0.0)</f>
        <v>0</v>
      </c>
      <c r="S1833" s="3"/>
      <c r="T1833" s="5"/>
      <c r="U1833" s="5"/>
      <c r="V1833" s="5"/>
      <c r="W1833" s="5"/>
    </row>
    <row r="1834" ht="15.75" customHeight="1">
      <c r="A1834" s="3">
        <f>IFERROR(__xludf.DUMMYFUNCTION("""COMPUTED_VALUE"""),1834.0)</f>
        <v>1834</v>
      </c>
      <c r="B1834" s="53">
        <f>IFERROR(__xludf.DUMMYFUNCTION("""COMPUTED_VALUE"""),45953.0)</f>
        <v>45953</v>
      </c>
      <c r="C1834" s="3">
        <f>IFERROR(__xludf.DUMMYFUNCTION("""COMPUTED_VALUE"""),111.0)</f>
        <v>111</v>
      </c>
      <c r="D1834" s="3" t="str">
        <f>IFERROR(__xludf.DUMMYFUNCTION("""COMPUTED_VALUE"""),"086af607")</f>
        <v>086af607</v>
      </c>
      <c r="E1834" s="54">
        <f>IFERROR(__xludf.DUMMYFUNCTION("""COMPUTED_VALUE"""),4000.0)</f>
        <v>4000</v>
      </c>
      <c r="F1834" s="3" t="str">
        <f>IFERROR(__xludf.DUMMYFUNCTION("""COMPUTED_VALUE"""),"Syrah")</f>
        <v>Syrah</v>
      </c>
      <c r="G1834" s="3"/>
      <c r="H1834" s="3"/>
      <c r="I1834" s="3"/>
      <c r="J1834" s="3"/>
      <c r="K1834" s="57">
        <f>IFERROR(__xludf.DUMMYFUNCTION("""COMPUTED_VALUE"""),3.68)</f>
        <v>3.68</v>
      </c>
      <c r="L1834" s="54">
        <f>IFERROR(__xludf.DUMMYFUNCTION("""COMPUTED_VALUE"""),37.0)</f>
        <v>37</v>
      </c>
      <c r="M1834" s="3">
        <f>IFERROR(__xludf.DUMMYFUNCTION("""COMPUTED_VALUE"""),120.0)</f>
        <v>120</v>
      </c>
      <c r="N1834" s="3"/>
      <c r="O1834" s="3"/>
      <c r="P1834" s="3"/>
      <c r="Q1834" s="3"/>
      <c r="R1834" s="3">
        <f>IFERROR(__xludf.DUMMYFUNCTION("""COMPUTED_VALUE"""),0.0)</f>
        <v>0</v>
      </c>
      <c r="S1834" s="3"/>
      <c r="T1834" s="5"/>
      <c r="U1834" s="5"/>
      <c r="V1834" s="5"/>
      <c r="W1834" s="5"/>
    </row>
    <row r="1835" ht="15.75" customHeight="1">
      <c r="A1835" s="3">
        <f>IFERROR(__xludf.DUMMYFUNCTION("""COMPUTED_VALUE"""),1835.0)</f>
        <v>1835</v>
      </c>
      <c r="B1835" s="53">
        <f>IFERROR(__xludf.DUMMYFUNCTION("""COMPUTED_VALUE"""),45954.0)</f>
        <v>45954</v>
      </c>
      <c r="C1835" s="3">
        <f>IFERROR(__xludf.DUMMYFUNCTION("""COMPUTED_VALUE"""),116.0)</f>
        <v>116</v>
      </c>
      <c r="D1835" s="3" t="str">
        <f>IFERROR(__xludf.DUMMYFUNCTION("""COMPUTED_VALUE"""),"bf1abf21")</f>
        <v>bf1abf21</v>
      </c>
      <c r="E1835" s="54">
        <f>IFERROR(__xludf.DUMMYFUNCTION("""COMPUTED_VALUE"""),99600.0)</f>
        <v>99600</v>
      </c>
      <c r="F1835" s="3" t="str">
        <f>IFERROR(__xludf.DUMMYFUNCTION("""COMPUTED_VALUE"""),"Malbec")</f>
        <v>Malbec</v>
      </c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>
        <f>IFERROR(__xludf.DUMMYFUNCTION("""COMPUTED_VALUE"""),0.0)</f>
        <v>0</v>
      </c>
      <c r="S1835" s="3"/>
      <c r="T1835" s="5"/>
      <c r="U1835" s="5"/>
      <c r="V1835" s="5"/>
      <c r="W1835" s="5"/>
    </row>
    <row r="1836" ht="15.75" customHeight="1">
      <c r="A1836" s="3">
        <f>IFERROR(__xludf.DUMMYFUNCTION("""COMPUTED_VALUE"""),1836.0)</f>
        <v>1836</v>
      </c>
      <c r="B1836" s="53">
        <f>IFERROR(__xludf.DUMMYFUNCTION("""COMPUTED_VALUE"""),45954.0)</f>
        <v>45954</v>
      </c>
      <c r="C1836" s="3">
        <f>IFERROR(__xludf.DUMMYFUNCTION("""COMPUTED_VALUE"""),46.0)</f>
        <v>46</v>
      </c>
      <c r="D1836" s="3" t="str">
        <f>IFERROR(__xludf.DUMMYFUNCTION("""COMPUTED_VALUE"""),"c205e72b")</f>
        <v>c205e72b</v>
      </c>
      <c r="E1836" s="54">
        <f>IFERROR(__xludf.DUMMYFUNCTION("""COMPUTED_VALUE"""),29000.0)</f>
        <v>29000</v>
      </c>
      <c r="F1836" s="3" t="str">
        <f>IFERROR(__xludf.DUMMYFUNCTION("""COMPUTED_VALUE"""),"Bonarda")</f>
        <v>Bonarda</v>
      </c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>
        <f>IFERROR(__xludf.DUMMYFUNCTION("""COMPUTED_VALUE"""),0.0)</f>
        <v>0</v>
      </c>
      <c r="S1836" s="3"/>
      <c r="T1836" s="5"/>
      <c r="U1836" s="5"/>
      <c r="V1836" s="5"/>
      <c r="W1836" s="5"/>
    </row>
    <row r="1837" ht="15.75" customHeight="1">
      <c r="A1837" s="3">
        <f>IFERROR(__xludf.DUMMYFUNCTION("""COMPUTED_VALUE"""),1837.0)</f>
        <v>1837</v>
      </c>
      <c r="B1837" s="53">
        <f>IFERROR(__xludf.DUMMYFUNCTION("""COMPUTED_VALUE"""),45954.0)</f>
        <v>45954</v>
      </c>
      <c r="C1837" s="3">
        <f>IFERROR(__xludf.DUMMYFUNCTION("""COMPUTED_VALUE"""),85.0)</f>
        <v>85</v>
      </c>
      <c r="D1837" s="3" t="str">
        <f>IFERROR(__xludf.DUMMYFUNCTION("""COMPUTED_VALUE"""),"dc08aecd")</f>
        <v>dc08aecd</v>
      </c>
      <c r="E1837" s="54">
        <f>IFERROR(__xludf.DUMMYFUNCTION("""COMPUTED_VALUE"""),84000.0)</f>
        <v>84000</v>
      </c>
      <c r="F1837" s="3" t="str">
        <f>IFERROR(__xludf.DUMMYFUNCTION("""COMPUTED_VALUE"""),"Malbec")</f>
        <v>Malbec</v>
      </c>
      <c r="G1837" s="3"/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>
        <f>IFERROR(__xludf.DUMMYFUNCTION("""COMPUTED_VALUE"""),0.0)</f>
        <v>0</v>
      </c>
      <c r="S1837" s="3"/>
      <c r="T1837" s="5"/>
      <c r="U1837" s="5"/>
      <c r="V1837" s="5"/>
      <c r="W1837" s="5"/>
    </row>
    <row r="1838" ht="15.75" customHeight="1">
      <c r="A1838" s="3">
        <f>IFERROR(__xludf.DUMMYFUNCTION("""COMPUTED_VALUE"""),1838.0)</f>
        <v>1838</v>
      </c>
      <c r="B1838" s="53">
        <f>IFERROR(__xludf.DUMMYFUNCTION("""COMPUTED_VALUE"""),45954.0)</f>
        <v>45954</v>
      </c>
      <c r="C1838" s="3">
        <f>IFERROR(__xludf.DUMMYFUNCTION("""COMPUTED_VALUE"""),121.0)</f>
        <v>121</v>
      </c>
      <c r="D1838" s="3" t="str">
        <f>IFERROR(__xludf.DUMMYFUNCTION("""COMPUTED_VALUE"""),"887268c3")</f>
        <v>887268c3</v>
      </c>
      <c r="E1838" s="54">
        <f>IFERROR(__xludf.DUMMYFUNCTION("""COMPUTED_VALUE"""),85800.0)</f>
        <v>85800</v>
      </c>
      <c r="F1838" s="3" t="str">
        <f>IFERROR(__xludf.DUMMYFUNCTION("""COMPUTED_VALUE"""),"Malbec")</f>
        <v>Malbec</v>
      </c>
      <c r="G1838" s="3"/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>
        <f>IFERROR(__xludf.DUMMYFUNCTION("""COMPUTED_VALUE"""),0.0)</f>
        <v>0</v>
      </c>
      <c r="S1838" s="3"/>
      <c r="T1838" s="5"/>
      <c r="U1838" s="5"/>
      <c r="V1838" s="5"/>
      <c r="W1838" s="5"/>
    </row>
    <row r="1839" ht="15.75" customHeight="1">
      <c r="A1839" s="3">
        <f>IFERROR(__xludf.DUMMYFUNCTION("""COMPUTED_VALUE"""),1839.0)</f>
        <v>1839</v>
      </c>
      <c r="B1839" s="53">
        <f>IFERROR(__xludf.DUMMYFUNCTION("""COMPUTED_VALUE"""),45972.0)</f>
        <v>45972</v>
      </c>
      <c r="C1839" s="3">
        <f>IFERROR(__xludf.DUMMYFUNCTION("""COMPUTED_VALUE"""),5.0)</f>
        <v>5</v>
      </c>
      <c r="D1839" s="3" t="str">
        <f>IFERROR(__xludf.DUMMYFUNCTION("""COMPUTED_VALUE"""),"200f92f0")</f>
        <v>200f92f0</v>
      </c>
      <c r="E1839" s="54">
        <f>IFERROR(__xludf.DUMMYFUNCTION("""COMPUTED_VALUE"""),30000.0)</f>
        <v>30000</v>
      </c>
      <c r="F1839" s="3" t="str">
        <f>IFERROR(__xludf.DUMMYFUNCTION("""COMPUTED_VALUE"""),"Cabernet Sauvignon")</f>
        <v>Cabernet Sauvignon</v>
      </c>
      <c r="G1839" s="3"/>
      <c r="H1839" s="3"/>
      <c r="I1839" s="57">
        <f>IFERROR(__xludf.DUMMYFUNCTION("""COMPUTED_VALUE"""),0.51)</f>
        <v>0.51</v>
      </c>
      <c r="J1839" s="3"/>
      <c r="K1839" s="57">
        <f>IFERROR(__xludf.DUMMYFUNCTION("""COMPUTED_VALUE"""),2.43)</f>
        <v>2.43</v>
      </c>
      <c r="L1839" s="54">
        <f>IFERROR(__xludf.DUMMYFUNCTION("""COMPUTED_VALUE"""),23.0)</f>
        <v>23</v>
      </c>
      <c r="M1839" s="3">
        <f>IFERROR(__xludf.DUMMYFUNCTION("""COMPUTED_VALUE"""),92.0)</f>
        <v>92</v>
      </c>
      <c r="N1839" s="3"/>
      <c r="O1839" s="3"/>
      <c r="P1839" s="3"/>
      <c r="Q1839" s="3"/>
      <c r="R1839" s="3">
        <f>IFERROR(__xludf.DUMMYFUNCTION("""COMPUTED_VALUE"""),0.0)</f>
        <v>0</v>
      </c>
      <c r="S1839" s="3"/>
      <c r="T1839" s="5"/>
      <c r="U1839" s="5"/>
      <c r="V1839" s="5"/>
      <c r="W1839" s="5"/>
    </row>
    <row r="1840" ht="15.75" customHeight="1">
      <c r="A1840" s="3">
        <f>IFERROR(__xludf.DUMMYFUNCTION("""COMPUTED_VALUE"""),1840.0)</f>
        <v>1840</v>
      </c>
      <c r="B1840" s="53">
        <f>IFERROR(__xludf.DUMMYFUNCTION("""COMPUTED_VALUE"""),45972.0)</f>
        <v>45972</v>
      </c>
      <c r="C1840" s="3">
        <f>IFERROR(__xludf.DUMMYFUNCTION("""COMPUTED_VALUE"""),7.0)</f>
        <v>7</v>
      </c>
      <c r="D1840" s="3" t="str">
        <f>IFERROR(__xludf.DUMMYFUNCTION("""COMPUTED_VALUE"""),"bf5eb775")</f>
        <v>bf5eb775</v>
      </c>
      <c r="E1840" s="54">
        <f>IFERROR(__xludf.DUMMYFUNCTION("""COMPUTED_VALUE"""),30000.0)</f>
        <v>30000</v>
      </c>
      <c r="F1840" s="3" t="str">
        <f>IFERROR(__xludf.DUMMYFUNCTION("""COMPUTED_VALUE"""),"Cabernet Sauvignon")</f>
        <v>Cabernet Sauvignon</v>
      </c>
      <c r="G1840" s="3"/>
      <c r="H1840" s="3"/>
      <c r="I1840" s="57">
        <f>IFERROR(__xludf.DUMMYFUNCTION("""COMPUTED_VALUE"""),0.54)</f>
        <v>0.54</v>
      </c>
      <c r="J1840" s="3"/>
      <c r="K1840" s="57">
        <f>IFERROR(__xludf.DUMMYFUNCTION("""COMPUTED_VALUE"""),2.35)</f>
        <v>2.35</v>
      </c>
      <c r="L1840" s="54">
        <f>IFERROR(__xludf.DUMMYFUNCTION("""COMPUTED_VALUE"""),23.0)</f>
        <v>23</v>
      </c>
      <c r="M1840" s="3">
        <f>IFERROR(__xludf.DUMMYFUNCTION("""COMPUTED_VALUE"""),138.0)</f>
        <v>138</v>
      </c>
      <c r="N1840" s="3"/>
      <c r="O1840" s="3"/>
      <c r="P1840" s="3"/>
      <c r="Q1840" s="3"/>
      <c r="R1840" s="3">
        <f>IFERROR(__xludf.DUMMYFUNCTION("""COMPUTED_VALUE"""),0.0)</f>
        <v>0</v>
      </c>
      <c r="S1840" s="3"/>
      <c r="T1840" s="5"/>
      <c r="U1840" s="5"/>
      <c r="V1840" s="5"/>
      <c r="W1840" s="5"/>
    </row>
    <row r="1841" ht="15.75" customHeight="1">
      <c r="A1841" s="3">
        <f>IFERROR(__xludf.DUMMYFUNCTION("""COMPUTED_VALUE"""),1841.0)</f>
        <v>1841</v>
      </c>
      <c r="B1841" s="53">
        <f>IFERROR(__xludf.DUMMYFUNCTION("""COMPUTED_VALUE"""),45972.0)</f>
        <v>45972</v>
      </c>
      <c r="C1841" s="3">
        <f>IFERROR(__xludf.DUMMYFUNCTION("""COMPUTED_VALUE"""),10.0)</f>
        <v>10</v>
      </c>
      <c r="D1841" s="3" t="str">
        <f>IFERROR(__xludf.DUMMYFUNCTION("""COMPUTED_VALUE"""),"f2d3bd3e")</f>
        <v>f2d3bd3e</v>
      </c>
      <c r="E1841" s="54">
        <f>IFERROR(__xludf.DUMMYFUNCTION("""COMPUTED_VALUE"""),15000.0)</f>
        <v>15000</v>
      </c>
      <c r="F1841" s="3" t="str">
        <f>IFERROR(__xludf.DUMMYFUNCTION("""COMPUTED_VALUE"""),"Cabernet Sauvignon")</f>
        <v>Cabernet Sauvignon</v>
      </c>
      <c r="G1841" s="3"/>
      <c r="H1841" s="3"/>
      <c r="I1841" s="57">
        <f>IFERROR(__xludf.DUMMYFUNCTION("""COMPUTED_VALUE"""),0.56)</f>
        <v>0.56</v>
      </c>
      <c r="J1841" s="3"/>
      <c r="K1841" s="57">
        <f>IFERROR(__xludf.DUMMYFUNCTION("""COMPUTED_VALUE"""),2.34)</f>
        <v>2.34</v>
      </c>
      <c r="L1841" s="54">
        <f>IFERROR(__xludf.DUMMYFUNCTION("""COMPUTED_VALUE"""),24.0)</f>
        <v>24</v>
      </c>
      <c r="M1841" s="3">
        <f>IFERROR(__xludf.DUMMYFUNCTION("""COMPUTED_VALUE"""),143.0)</f>
        <v>143</v>
      </c>
      <c r="N1841" s="3"/>
      <c r="O1841" s="3"/>
      <c r="P1841" s="3"/>
      <c r="Q1841" s="3"/>
      <c r="R1841" s="3">
        <f>IFERROR(__xludf.DUMMYFUNCTION("""COMPUTED_VALUE"""),0.0)</f>
        <v>0</v>
      </c>
      <c r="S1841" s="3"/>
      <c r="T1841" s="5"/>
      <c r="U1841" s="5"/>
      <c r="V1841" s="5"/>
      <c r="W1841" s="5"/>
    </row>
    <row r="1842" ht="15.75" customHeight="1">
      <c r="A1842" s="3">
        <f>IFERROR(__xludf.DUMMYFUNCTION("""COMPUTED_VALUE"""),1842.0)</f>
        <v>1842</v>
      </c>
      <c r="B1842" s="53">
        <f>IFERROR(__xludf.DUMMYFUNCTION("""COMPUTED_VALUE"""),45972.0)</f>
        <v>45972</v>
      </c>
      <c r="C1842" s="3">
        <f>IFERROR(__xludf.DUMMYFUNCTION("""COMPUTED_VALUE"""),44.0)</f>
        <v>44</v>
      </c>
      <c r="D1842" s="3" t="str">
        <f>IFERROR(__xludf.DUMMYFUNCTION("""COMPUTED_VALUE"""),"4bdef056")</f>
        <v>4bdef056</v>
      </c>
      <c r="E1842" s="54">
        <f>IFERROR(__xludf.DUMMYFUNCTION("""COMPUTED_VALUE"""),19100.0)</f>
        <v>19100</v>
      </c>
      <c r="F1842" s="3" t="str">
        <f>IFERROR(__xludf.DUMMYFUNCTION("""COMPUTED_VALUE"""),"Cabernet Sauvignon")</f>
        <v>Cabernet Sauvignon</v>
      </c>
      <c r="G1842" s="3"/>
      <c r="H1842" s="3"/>
      <c r="I1842" s="57">
        <f>IFERROR(__xludf.DUMMYFUNCTION("""COMPUTED_VALUE"""),0.57)</f>
        <v>0.57</v>
      </c>
      <c r="J1842" s="3"/>
      <c r="K1842" s="57">
        <f>IFERROR(__xludf.DUMMYFUNCTION("""COMPUTED_VALUE"""),2.35)</f>
        <v>2.35</v>
      </c>
      <c r="L1842" s="54">
        <f>IFERROR(__xludf.DUMMYFUNCTION("""COMPUTED_VALUE"""),23.0)</f>
        <v>23</v>
      </c>
      <c r="M1842" s="3">
        <f>IFERROR(__xludf.DUMMYFUNCTION("""COMPUTED_VALUE"""),130.0)</f>
        <v>130</v>
      </c>
      <c r="N1842" s="3"/>
      <c r="O1842" s="3"/>
      <c r="P1842" s="3"/>
      <c r="Q1842" s="3"/>
      <c r="R1842" s="3">
        <f>IFERROR(__xludf.DUMMYFUNCTION("""COMPUTED_VALUE"""),0.0)</f>
        <v>0</v>
      </c>
      <c r="S1842" s="3"/>
      <c r="T1842" s="5"/>
      <c r="U1842" s="5"/>
      <c r="V1842" s="5"/>
      <c r="W1842" s="5"/>
    </row>
    <row r="1843" ht="15.75" customHeight="1">
      <c r="A1843" s="3">
        <f>IFERROR(__xludf.DUMMYFUNCTION("""COMPUTED_VALUE"""),1843.0)</f>
        <v>1843</v>
      </c>
      <c r="B1843" s="53">
        <f>IFERROR(__xludf.DUMMYFUNCTION("""COMPUTED_VALUE"""),45972.0)</f>
        <v>45972</v>
      </c>
      <c r="C1843" s="3">
        <f>IFERROR(__xludf.DUMMYFUNCTION("""COMPUTED_VALUE"""),45.0)</f>
        <v>45</v>
      </c>
      <c r="D1843" s="3" t="str">
        <f>IFERROR(__xludf.DUMMYFUNCTION("""COMPUTED_VALUE"""),"56985b33")</f>
        <v>56985b33</v>
      </c>
      <c r="E1843" s="54">
        <f>IFERROR(__xludf.DUMMYFUNCTION("""COMPUTED_VALUE"""),30000.0)</f>
        <v>30000</v>
      </c>
      <c r="F1843" s="3" t="str">
        <f>IFERROR(__xludf.DUMMYFUNCTION("""COMPUTED_VALUE"""),"Malbec")</f>
        <v>Malbec</v>
      </c>
      <c r="G1843" s="3"/>
      <c r="H1843" s="3"/>
      <c r="I1843" s="57">
        <f>IFERROR(__xludf.DUMMYFUNCTION("""COMPUTED_VALUE"""),0.54)</f>
        <v>0.54</v>
      </c>
      <c r="J1843" s="3"/>
      <c r="K1843" s="57">
        <f>IFERROR(__xludf.DUMMYFUNCTION("""COMPUTED_VALUE"""),2.27)</f>
        <v>2.27</v>
      </c>
      <c r="L1843" s="54">
        <f>IFERROR(__xludf.DUMMYFUNCTION("""COMPUTED_VALUE"""),20.0)</f>
        <v>20</v>
      </c>
      <c r="M1843" s="3">
        <f>IFERROR(__xludf.DUMMYFUNCTION("""COMPUTED_VALUE"""),134.0)</f>
        <v>134</v>
      </c>
      <c r="N1843" s="3"/>
      <c r="O1843" s="3"/>
      <c r="P1843" s="3"/>
      <c r="Q1843" s="3"/>
      <c r="R1843" s="3">
        <f>IFERROR(__xludf.DUMMYFUNCTION("""COMPUTED_VALUE"""),0.0)</f>
        <v>0</v>
      </c>
      <c r="S1843" s="3"/>
      <c r="T1843" s="5"/>
      <c r="U1843" s="5"/>
      <c r="V1843" s="5"/>
      <c r="W1843" s="5"/>
    </row>
    <row r="1844" ht="15.75" customHeight="1">
      <c r="A1844" s="3">
        <f>IFERROR(__xludf.DUMMYFUNCTION("""COMPUTED_VALUE"""),1844.0)</f>
        <v>1844</v>
      </c>
      <c r="B1844" s="53">
        <f>IFERROR(__xludf.DUMMYFUNCTION("""COMPUTED_VALUE"""),45972.0)</f>
        <v>45972</v>
      </c>
      <c r="C1844" s="3">
        <f>IFERROR(__xludf.DUMMYFUNCTION("""COMPUTED_VALUE"""),46.0)</f>
        <v>46</v>
      </c>
      <c r="D1844" s="3" t="str">
        <f>IFERROR(__xludf.DUMMYFUNCTION("""COMPUTED_VALUE"""),"c205e72b")</f>
        <v>c205e72b</v>
      </c>
      <c r="E1844" s="54">
        <f>IFERROR(__xludf.DUMMYFUNCTION("""COMPUTED_VALUE"""),29000.0)</f>
        <v>29000</v>
      </c>
      <c r="F1844" s="3" t="str">
        <f>IFERROR(__xludf.DUMMYFUNCTION("""COMPUTED_VALUE"""),"Bonarda")</f>
        <v>Bonarda</v>
      </c>
      <c r="G1844" s="3"/>
      <c r="H1844" s="3"/>
      <c r="I1844" s="57">
        <f>IFERROR(__xludf.DUMMYFUNCTION("""COMPUTED_VALUE"""),0.45)</f>
        <v>0.45</v>
      </c>
      <c r="J1844" s="3"/>
      <c r="K1844" s="57">
        <f>IFERROR(__xludf.DUMMYFUNCTION("""COMPUTED_VALUE"""),3.58)</f>
        <v>3.58</v>
      </c>
      <c r="L1844" s="54">
        <f>IFERROR(__xludf.DUMMYFUNCTION("""COMPUTED_VALUE"""),31.0)</f>
        <v>31</v>
      </c>
      <c r="M1844" s="3">
        <f>IFERROR(__xludf.DUMMYFUNCTION("""COMPUTED_VALUE"""),153.0)</f>
        <v>153</v>
      </c>
      <c r="N1844" s="3"/>
      <c r="O1844" s="3"/>
      <c r="P1844" s="3"/>
      <c r="Q1844" s="3"/>
      <c r="R1844" s="3">
        <f>IFERROR(__xludf.DUMMYFUNCTION("""COMPUTED_VALUE"""),0.0)</f>
        <v>0</v>
      </c>
      <c r="S1844" s="3"/>
      <c r="T1844" s="5"/>
      <c r="U1844" s="5"/>
      <c r="V1844" s="5"/>
      <c r="W1844" s="5"/>
    </row>
    <row r="1845" ht="15.75" customHeight="1">
      <c r="A1845" s="3">
        <f>IFERROR(__xludf.DUMMYFUNCTION("""COMPUTED_VALUE"""),1845.0)</f>
        <v>1845</v>
      </c>
      <c r="B1845" s="53">
        <f>IFERROR(__xludf.DUMMYFUNCTION("""COMPUTED_VALUE"""),45974.0)</f>
        <v>45974</v>
      </c>
      <c r="C1845" s="3">
        <f>IFERROR(__xludf.DUMMYFUNCTION("""COMPUTED_VALUE"""),47.0)</f>
        <v>47</v>
      </c>
      <c r="D1845" s="3" t="str">
        <f>IFERROR(__xludf.DUMMYFUNCTION("""COMPUTED_VALUE"""),"7e87134c")</f>
        <v>7e87134c</v>
      </c>
      <c r="E1845" s="54">
        <f>IFERROR(__xludf.DUMMYFUNCTION("""COMPUTED_VALUE"""),20000.0)</f>
        <v>20000</v>
      </c>
      <c r="F1845" s="3" t="str">
        <f>IFERROR(__xludf.DUMMYFUNCTION("""COMPUTED_VALUE"""),"Cabernet Sauvignon")</f>
        <v>Cabernet Sauvignon</v>
      </c>
      <c r="G1845" s="3"/>
      <c r="H1845" s="3"/>
      <c r="I1845" s="57">
        <f>IFERROR(__xludf.DUMMYFUNCTION("""COMPUTED_VALUE"""),0.55)</f>
        <v>0.55</v>
      </c>
      <c r="J1845" s="3"/>
      <c r="K1845" s="57">
        <f>IFERROR(__xludf.DUMMYFUNCTION("""COMPUTED_VALUE"""),2.51)</f>
        <v>2.51</v>
      </c>
      <c r="L1845" s="54">
        <f>IFERROR(__xludf.DUMMYFUNCTION("""COMPUTED_VALUE"""),18.0)</f>
        <v>18</v>
      </c>
      <c r="M1845" s="3">
        <f>IFERROR(__xludf.DUMMYFUNCTION("""COMPUTED_VALUE"""),130.0)</f>
        <v>130</v>
      </c>
      <c r="N1845" s="3"/>
      <c r="O1845" s="3"/>
      <c r="P1845" s="3"/>
      <c r="Q1845" s="3"/>
      <c r="R1845" s="3">
        <f>IFERROR(__xludf.DUMMYFUNCTION("""COMPUTED_VALUE"""),0.0)</f>
        <v>0</v>
      </c>
      <c r="S1845" s="3"/>
      <c r="T1845" s="5"/>
      <c r="U1845" s="5"/>
      <c r="V1845" s="5"/>
      <c r="W1845" s="5"/>
    </row>
    <row r="1846" ht="15.75" customHeight="1">
      <c r="A1846" s="3">
        <f>IFERROR(__xludf.DUMMYFUNCTION("""COMPUTED_VALUE"""),1846.0)</f>
        <v>1846</v>
      </c>
      <c r="B1846" s="53">
        <f>IFERROR(__xludf.DUMMYFUNCTION("""COMPUTED_VALUE"""),45974.0)</f>
        <v>45974</v>
      </c>
      <c r="C1846" s="3">
        <f>IFERROR(__xludf.DUMMYFUNCTION("""COMPUTED_VALUE"""),48.0)</f>
        <v>48</v>
      </c>
      <c r="D1846" s="3" t="str">
        <f>IFERROR(__xludf.DUMMYFUNCTION("""COMPUTED_VALUE"""),"f98c39b0")</f>
        <v>f98c39b0</v>
      </c>
      <c r="E1846" s="54">
        <f>IFERROR(__xludf.DUMMYFUNCTION("""COMPUTED_VALUE"""),26000.0)</f>
        <v>26000</v>
      </c>
      <c r="F1846" s="3" t="str">
        <f>IFERROR(__xludf.DUMMYFUNCTION("""COMPUTED_VALUE"""),"Cabernet Sauvignon")</f>
        <v>Cabernet Sauvignon</v>
      </c>
      <c r="G1846" s="3"/>
      <c r="H1846" s="3"/>
      <c r="I1846" s="57">
        <f>IFERROR(__xludf.DUMMYFUNCTION("""COMPUTED_VALUE"""),0.5)</f>
        <v>0.5</v>
      </c>
      <c r="J1846" s="3"/>
      <c r="K1846" s="57">
        <f>IFERROR(__xludf.DUMMYFUNCTION("""COMPUTED_VALUE"""),2.34)</f>
        <v>2.34</v>
      </c>
      <c r="L1846" s="54">
        <f>IFERROR(__xludf.DUMMYFUNCTION("""COMPUTED_VALUE"""),20.0)</f>
        <v>20</v>
      </c>
      <c r="M1846" s="3">
        <f>IFERROR(__xludf.DUMMYFUNCTION("""COMPUTED_VALUE"""),130.0)</f>
        <v>130</v>
      </c>
      <c r="N1846" s="3"/>
      <c r="O1846" s="3"/>
      <c r="P1846" s="3"/>
      <c r="Q1846" s="3"/>
      <c r="R1846" s="3">
        <f>IFERROR(__xludf.DUMMYFUNCTION("""COMPUTED_VALUE"""),0.0)</f>
        <v>0</v>
      </c>
      <c r="S1846" s="3"/>
      <c r="T1846" s="5"/>
      <c r="U1846" s="5"/>
      <c r="V1846" s="5"/>
      <c r="W1846" s="5"/>
    </row>
    <row r="1847" ht="15.75" customHeight="1">
      <c r="A1847" s="3">
        <f>IFERROR(__xludf.DUMMYFUNCTION("""COMPUTED_VALUE"""),1847.0)</f>
        <v>1847</v>
      </c>
      <c r="B1847" s="53">
        <f>IFERROR(__xludf.DUMMYFUNCTION("""COMPUTED_VALUE"""),45980.0)</f>
        <v>45980</v>
      </c>
      <c r="C1847" s="3">
        <f>IFERROR(__xludf.DUMMYFUNCTION("""COMPUTED_VALUE"""),49.0)</f>
        <v>49</v>
      </c>
      <c r="D1847" s="3" t="str">
        <f>IFERROR(__xludf.DUMMYFUNCTION("""COMPUTED_VALUE"""),"ee0770a6")</f>
        <v>ee0770a6</v>
      </c>
      <c r="E1847" s="54">
        <f>IFERROR(__xludf.DUMMYFUNCTION("""COMPUTED_VALUE"""),26000.0)</f>
        <v>26000</v>
      </c>
      <c r="F1847" s="3" t="str">
        <f>IFERROR(__xludf.DUMMYFUNCTION("""COMPUTED_VALUE"""),"Malbec Rectificado")</f>
        <v>Malbec Rectificado</v>
      </c>
      <c r="G1847" s="3"/>
      <c r="H1847" s="3"/>
      <c r="I1847" s="57">
        <f>IFERROR(__xludf.DUMMYFUNCTION("""COMPUTED_VALUE"""),0.57)</f>
        <v>0.57</v>
      </c>
      <c r="J1847" s="3"/>
      <c r="K1847" s="57">
        <f>IFERROR(__xludf.DUMMYFUNCTION("""COMPUTED_VALUE"""),2.59)</f>
        <v>2.59</v>
      </c>
      <c r="L1847" s="54">
        <f>IFERROR(__xludf.DUMMYFUNCTION("""COMPUTED_VALUE"""),25.0)</f>
        <v>25</v>
      </c>
      <c r="M1847" s="3">
        <f>IFERROR(__xludf.DUMMYFUNCTION("""COMPUTED_VALUE"""),136.0)</f>
        <v>136</v>
      </c>
      <c r="N1847" s="3"/>
      <c r="O1847" s="3"/>
      <c r="P1847" s="3"/>
      <c r="Q1847" s="3"/>
      <c r="R1847" s="3">
        <f>IFERROR(__xludf.DUMMYFUNCTION("""COMPUTED_VALUE"""),0.0)</f>
        <v>0</v>
      </c>
      <c r="S1847" s="3"/>
      <c r="T1847" s="5"/>
      <c r="U1847" s="5"/>
      <c r="V1847" s="5"/>
      <c r="W1847" s="5"/>
    </row>
    <row r="1848" ht="15.75" customHeight="1">
      <c r="A1848" s="3">
        <f>IFERROR(__xludf.DUMMYFUNCTION("""COMPUTED_VALUE"""),1848.0)</f>
        <v>1848</v>
      </c>
      <c r="B1848" s="53">
        <f>IFERROR(__xludf.DUMMYFUNCTION("""COMPUTED_VALUE"""),45980.0)</f>
        <v>45980</v>
      </c>
      <c r="C1848" s="3">
        <f>IFERROR(__xludf.DUMMYFUNCTION("""COMPUTED_VALUE"""),50.0)</f>
        <v>50</v>
      </c>
      <c r="D1848" s="3" t="str">
        <f>IFERROR(__xludf.DUMMYFUNCTION("""COMPUTED_VALUE"""),"ffcf4de6")</f>
        <v>ffcf4de6</v>
      </c>
      <c r="E1848" s="54">
        <f>IFERROR(__xludf.DUMMYFUNCTION("""COMPUTED_VALUE"""),5100.0)</f>
        <v>5100</v>
      </c>
      <c r="F1848" s="3" t="str">
        <f>IFERROR(__xludf.DUMMYFUNCTION("""COMPUTED_VALUE"""),"Aspirant 24")</f>
        <v>Aspirant 24</v>
      </c>
      <c r="G1848" s="3"/>
      <c r="H1848" s="3"/>
      <c r="I1848" s="57">
        <f>IFERROR(__xludf.DUMMYFUNCTION("""COMPUTED_VALUE"""),0.54)</f>
        <v>0.54</v>
      </c>
      <c r="J1848" s="3"/>
      <c r="K1848" s="57">
        <f>IFERROR(__xludf.DUMMYFUNCTION("""COMPUTED_VALUE"""),3.5)</f>
        <v>3.5</v>
      </c>
      <c r="L1848" s="54">
        <f>IFERROR(__xludf.DUMMYFUNCTION("""COMPUTED_VALUE"""),23.0)</f>
        <v>23</v>
      </c>
      <c r="M1848" s="3">
        <f>IFERROR(__xludf.DUMMYFUNCTION("""COMPUTED_VALUE"""),183.0)</f>
        <v>183</v>
      </c>
      <c r="N1848" s="3"/>
      <c r="O1848" s="3"/>
      <c r="P1848" s="3"/>
      <c r="Q1848" s="3"/>
      <c r="R1848" s="3">
        <f>IFERROR(__xludf.DUMMYFUNCTION("""COMPUTED_VALUE"""),0.0)</f>
        <v>0</v>
      </c>
      <c r="S1848" s="3"/>
      <c r="T1848" s="5"/>
      <c r="U1848" s="5"/>
      <c r="V1848" s="5"/>
      <c r="W1848" s="5"/>
    </row>
    <row r="1849" ht="15.75" customHeight="1">
      <c r="A1849" s="3">
        <f>IFERROR(__xludf.DUMMYFUNCTION("""COMPUTED_VALUE"""),1849.0)</f>
        <v>1849</v>
      </c>
      <c r="B1849" s="53">
        <f>IFERROR(__xludf.DUMMYFUNCTION("""COMPUTED_VALUE"""),45980.0)</f>
        <v>45980</v>
      </c>
      <c r="C1849" s="3">
        <f>IFERROR(__xludf.DUMMYFUNCTION("""COMPUTED_VALUE"""),51.0)</f>
        <v>51</v>
      </c>
      <c r="D1849" s="3" t="str">
        <f>IFERROR(__xludf.DUMMYFUNCTION("""COMPUTED_VALUE"""),"80e8c28e")</f>
        <v>80e8c28e</v>
      </c>
      <c r="E1849" s="54">
        <f>IFERROR(__xludf.DUMMYFUNCTION("""COMPUTED_VALUE"""),3900.0)</f>
        <v>3900</v>
      </c>
      <c r="F1849" s="3" t="str">
        <f>IFERROR(__xludf.DUMMYFUNCTION("""COMPUTED_VALUE"""),"Aspirant 24")</f>
        <v>Aspirant 24</v>
      </c>
      <c r="G1849" s="3"/>
      <c r="H1849" s="3"/>
      <c r="I1849" s="57">
        <f>IFERROR(__xludf.DUMMYFUNCTION("""COMPUTED_VALUE"""),0.47)</f>
        <v>0.47</v>
      </c>
      <c r="J1849" s="3"/>
      <c r="K1849" s="57">
        <f>IFERROR(__xludf.DUMMYFUNCTION("""COMPUTED_VALUE"""),3.35)</f>
        <v>3.35</v>
      </c>
      <c r="L1849" s="54">
        <f>IFERROR(__xludf.DUMMYFUNCTION("""COMPUTED_VALUE"""),25.0)</f>
        <v>25</v>
      </c>
      <c r="M1849" s="3">
        <f>IFERROR(__xludf.DUMMYFUNCTION("""COMPUTED_VALUE"""),90.0)</f>
        <v>90</v>
      </c>
      <c r="N1849" s="3"/>
      <c r="O1849" s="3"/>
      <c r="P1849" s="3"/>
      <c r="Q1849" s="3"/>
      <c r="R1849" s="3">
        <f>IFERROR(__xludf.DUMMYFUNCTION("""COMPUTED_VALUE"""),0.0)</f>
        <v>0</v>
      </c>
      <c r="S1849" s="3"/>
      <c r="T1849" s="5"/>
      <c r="U1849" s="5"/>
      <c r="V1849" s="5"/>
      <c r="W1849" s="5"/>
    </row>
    <row r="1850" ht="15.75" customHeight="1">
      <c r="A1850" s="3">
        <f>IFERROR(__xludf.DUMMYFUNCTION("""COMPUTED_VALUE"""),1850.0)</f>
        <v>1850</v>
      </c>
      <c r="B1850" s="53">
        <f>IFERROR(__xludf.DUMMYFUNCTION("""COMPUTED_VALUE"""),45980.0)</f>
        <v>45980</v>
      </c>
      <c r="C1850" s="3">
        <f>IFERROR(__xludf.DUMMYFUNCTION("""COMPUTED_VALUE"""),67.0)</f>
        <v>67</v>
      </c>
      <c r="D1850" s="3" t="str">
        <f>IFERROR(__xludf.DUMMYFUNCTION("""COMPUTED_VALUE"""),"57cfae09")</f>
        <v>57cfae09</v>
      </c>
      <c r="E1850" s="54">
        <f>IFERROR(__xludf.DUMMYFUNCTION("""COMPUTED_VALUE"""),27000.0)</f>
        <v>27000</v>
      </c>
      <c r="F1850" s="3" t="str">
        <f>IFERROR(__xludf.DUMMYFUNCTION("""COMPUTED_VALUE"""),"Chardonnay")</f>
        <v>Chardonnay</v>
      </c>
      <c r="G1850" s="55">
        <f>IFERROR(__xludf.DUMMYFUNCTION("""COMPUTED_VALUE"""),12.1)</f>
        <v>12.1</v>
      </c>
      <c r="H1850" s="56">
        <f>IFERROR(__xludf.DUMMYFUNCTION("""COMPUTED_VALUE"""),2.0)</f>
        <v>2</v>
      </c>
      <c r="I1850" s="57">
        <f>IFERROR(__xludf.DUMMYFUNCTION("""COMPUTED_VALUE"""),0.4)</f>
        <v>0.4</v>
      </c>
      <c r="J1850" s="3"/>
      <c r="K1850" s="57">
        <f>IFERROR(__xludf.DUMMYFUNCTION("""COMPUTED_VALUE"""),3.39)</f>
        <v>3.39</v>
      </c>
      <c r="L1850" s="54">
        <f>IFERROR(__xludf.DUMMYFUNCTION("""COMPUTED_VALUE"""),27.0)</f>
        <v>27</v>
      </c>
      <c r="M1850" s="3">
        <f>IFERROR(__xludf.DUMMYFUNCTION("""COMPUTED_VALUE"""),110.0)</f>
        <v>110</v>
      </c>
      <c r="N1850" s="3"/>
      <c r="O1850" s="3"/>
      <c r="P1850" s="3"/>
      <c r="Q1850" s="3"/>
      <c r="R1850" s="3">
        <f>IFERROR(__xludf.DUMMYFUNCTION("""COMPUTED_VALUE"""),0.0)</f>
        <v>0</v>
      </c>
      <c r="S1850" s="3"/>
      <c r="T1850" s="5"/>
      <c r="U1850" s="5"/>
      <c r="V1850" s="5"/>
      <c r="W1850" s="5"/>
    </row>
    <row r="1851" ht="15.75" customHeight="1">
      <c r="A1851" s="3">
        <f>IFERROR(__xludf.DUMMYFUNCTION("""COMPUTED_VALUE"""),1851.0)</f>
        <v>1851</v>
      </c>
      <c r="B1851" s="53">
        <f>IFERROR(__xludf.DUMMYFUNCTION("""COMPUTED_VALUE"""),45987.0)</f>
        <v>45987</v>
      </c>
      <c r="C1851" s="3">
        <f>IFERROR(__xludf.DUMMYFUNCTION("""COMPUTED_VALUE"""),74.0)</f>
        <v>74</v>
      </c>
      <c r="D1851" s="3" t="str">
        <f>IFERROR(__xludf.DUMMYFUNCTION("""COMPUTED_VALUE"""),"cdfb4c74")</f>
        <v>cdfb4c74</v>
      </c>
      <c r="E1851" s="54">
        <f>IFERROR(__xludf.DUMMYFUNCTION("""COMPUTED_VALUE"""),13000.0)</f>
        <v>13000</v>
      </c>
      <c r="F1851" s="3" t="str">
        <f>IFERROR(__xludf.DUMMYFUNCTION("""COMPUTED_VALUE"""),"Cabernet Sauvignon")</f>
        <v>Cabernet Sauvignon</v>
      </c>
      <c r="G1851" s="55">
        <f>IFERROR(__xludf.DUMMYFUNCTION("""COMPUTED_VALUE"""),13.3)</f>
        <v>13.3</v>
      </c>
      <c r="H1851" s="3"/>
      <c r="I1851" s="57">
        <f>IFERROR(__xludf.DUMMYFUNCTION("""COMPUTED_VALUE"""),0.5)</f>
        <v>0.5</v>
      </c>
      <c r="J1851" s="3"/>
      <c r="K1851" s="57">
        <f>IFERROR(__xludf.DUMMYFUNCTION("""COMPUTED_VALUE"""),3.6)</f>
        <v>3.6</v>
      </c>
      <c r="L1851" s="54">
        <f>IFERROR(__xludf.DUMMYFUNCTION("""COMPUTED_VALUE"""),28.0)</f>
        <v>28</v>
      </c>
      <c r="M1851" s="3">
        <f>IFERROR(__xludf.DUMMYFUNCTION("""COMPUTED_VALUE"""),140.0)</f>
        <v>140</v>
      </c>
      <c r="N1851" s="3"/>
      <c r="O1851" s="3"/>
      <c r="P1851" s="3"/>
      <c r="Q1851" s="3"/>
      <c r="R1851" s="3">
        <f>IFERROR(__xludf.DUMMYFUNCTION("""COMPUTED_VALUE"""),0.0)</f>
        <v>0</v>
      </c>
      <c r="S1851" s="3"/>
      <c r="T1851" s="5"/>
      <c r="U1851" s="5"/>
      <c r="V1851" s="5"/>
      <c r="W1851" s="5"/>
    </row>
    <row r="1852" ht="15.75" customHeight="1">
      <c r="A1852" s="3">
        <f>IFERROR(__xludf.DUMMYFUNCTION("""COMPUTED_VALUE"""),1852.0)</f>
        <v>1852</v>
      </c>
      <c r="B1852" s="53">
        <f>IFERROR(__xludf.DUMMYFUNCTION("""COMPUTED_VALUE"""),45987.0)</f>
        <v>45987</v>
      </c>
      <c r="C1852" s="3">
        <f>IFERROR(__xludf.DUMMYFUNCTION("""COMPUTED_VALUE"""),76.0)</f>
        <v>76</v>
      </c>
      <c r="D1852" s="3" t="str">
        <f>IFERROR(__xludf.DUMMYFUNCTION("""COMPUTED_VALUE"""),"e454d4b3")</f>
        <v>e454d4b3</v>
      </c>
      <c r="E1852" s="54">
        <f>IFERROR(__xludf.DUMMYFUNCTION("""COMPUTED_VALUE"""),25500.0)</f>
        <v>25500</v>
      </c>
      <c r="F1852" s="3" t="str">
        <f>IFERROR(__xludf.DUMMYFUNCTION("""COMPUTED_VALUE"""),"Tanat")</f>
        <v>Tanat</v>
      </c>
      <c r="G1852" s="55">
        <f>IFERROR(__xludf.DUMMYFUNCTION("""COMPUTED_VALUE"""),13.3)</f>
        <v>13.3</v>
      </c>
      <c r="H1852" s="3"/>
      <c r="I1852" s="57">
        <f>IFERROR(__xludf.DUMMYFUNCTION("""COMPUTED_VALUE"""),0.62)</f>
        <v>0.62</v>
      </c>
      <c r="J1852" s="3"/>
      <c r="K1852" s="57">
        <f>IFERROR(__xludf.DUMMYFUNCTION("""COMPUTED_VALUE"""),3.54)</f>
        <v>3.54</v>
      </c>
      <c r="L1852" s="54">
        <f>IFERROR(__xludf.DUMMYFUNCTION("""COMPUTED_VALUE"""),30.0)</f>
        <v>30</v>
      </c>
      <c r="M1852" s="3">
        <f>IFERROR(__xludf.DUMMYFUNCTION("""COMPUTED_VALUE"""),112.0)</f>
        <v>112</v>
      </c>
      <c r="N1852" s="3"/>
      <c r="O1852" s="3"/>
      <c r="P1852" s="3"/>
      <c r="Q1852" s="3"/>
      <c r="R1852" s="3">
        <f>IFERROR(__xludf.DUMMYFUNCTION("""COMPUTED_VALUE"""),0.0)</f>
        <v>0</v>
      </c>
      <c r="S1852" s="3"/>
      <c r="T1852" s="5"/>
      <c r="U1852" s="5"/>
      <c r="V1852" s="5"/>
      <c r="W1852" s="5"/>
    </row>
    <row r="1853" ht="15.75" customHeight="1">
      <c r="A1853" s="3">
        <f>IFERROR(__xludf.DUMMYFUNCTION("""COMPUTED_VALUE"""),1853.0)</f>
        <v>1853</v>
      </c>
      <c r="B1853" s="53">
        <f>IFERROR(__xludf.DUMMYFUNCTION("""COMPUTED_VALUE"""),45987.0)</f>
        <v>45987</v>
      </c>
      <c r="C1853" s="3">
        <f>IFERROR(__xludf.DUMMYFUNCTION("""COMPUTED_VALUE"""),82.0)</f>
        <v>82</v>
      </c>
      <c r="D1853" s="3" t="str">
        <f>IFERROR(__xludf.DUMMYFUNCTION("""COMPUTED_VALUE"""),"93a8c465")</f>
        <v>93a8c465</v>
      </c>
      <c r="E1853" s="54">
        <f>IFERROR(__xludf.DUMMYFUNCTION("""COMPUTED_VALUE"""),42600.0)</f>
        <v>42600</v>
      </c>
      <c r="F1853" s="3" t="str">
        <f>IFERROR(__xludf.DUMMYFUNCTION("""COMPUTED_VALUE"""),"Syrah")</f>
        <v>Syrah</v>
      </c>
      <c r="G1853" s="55">
        <f>IFERROR(__xludf.DUMMYFUNCTION("""COMPUTED_VALUE"""),13.5)</f>
        <v>13.5</v>
      </c>
      <c r="H1853" s="3"/>
      <c r="I1853" s="57">
        <f>IFERROR(__xludf.DUMMYFUNCTION("""COMPUTED_VALUE"""),0.62)</f>
        <v>0.62</v>
      </c>
      <c r="J1853" s="3"/>
      <c r="K1853" s="57">
        <f>IFERROR(__xludf.DUMMYFUNCTION("""COMPUTED_VALUE"""),3.6)</f>
        <v>3.6</v>
      </c>
      <c r="L1853" s="54">
        <f>IFERROR(__xludf.DUMMYFUNCTION("""COMPUTED_VALUE"""),31.0)</f>
        <v>31</v>
      </c>
      <c r="M1853" s="3">
        <f>IFERROR(__xludf.DUMMYFUNCTION("""COMPUTED_VALUE"""),160.0)</f>
        <v>160</v>
      </c>
      <c r="N1853" s="3"/>
      <c r="O1853" s="3"/>
      <c r="P1853" s="3"/>
      <c r="Q1853" s="3"/>
      <c r="R1853" s="3">
        <f>IFERROR(__xludf.DUMMYFUNCTION("""COMPUTED_VALUE"""),0.0)</f>
        <v>0</v>
      </c>
      <c r="S1853" s="3"/>
      <c r="T1853" s="5"/>
      <c r="U1853" s="5"/>
      <c r="V1853" s="5"/>
      <c r="W1853" s="5"/>
    </row>
    <row r="1854" ht="15.75" customHeight="1">
      <c r="A1854" s="3">
        <f>IFERROR(__xludf.DUMMYFUNCTION("""COMPUTED_VALUE"""),1854.0)</f>
        <v>1854</v>
      </c>
      <c r="B1854" s="53">
        <f>IFERROR(__xludf.DUMMYFUNCTION("""COMPUTED_VALUE"""),45972.0)</f>
        <v>45972</v>
      </c>
      <c r="C1854" s="3">
        <f>IFERROR(__xludf.DUMMYFUNCTION("""COMPUTED_VALUE"""),111.0)</f>
        <v>111</v>
      </c>
      <c r="D1854" s="3" t="str">
        <f>IFERROR(__xludf.DUMMYFUNCTION("""COMPUTED_VALUE"""),"086af607")</f>
        <v>086af607</v>
      </c>
      <c r="E1854" s="54">
        <f>IFERROR(__xludf.DUMMYFUNCTION("""COMPUTED_VALUE"""),4000.0)</f>
        <v>4000</v>
      </c>
      <c r="F1854" s="3" t="str">
        <f>IFERROR(__xludf.DUMMYFUNCTION("""COMPUTED_VALUE"""),"Syrah")</f>
        <v>Syrah</v>
      </c>
      <c r="G1854" s="55">
        <f>IFERROR(__xludf.DUMMYFUNCTION("""COMPUTED_VALUE"""),13.8)</f>
        <v>13.8</v>
      </c>
      <c r="H1854" s="56">
        <f>IFERROR(__xludf.DUMMYFUNCTION("""COMPUTED_VALUE"""),2.9)</f>
        <v>2.9</v>
      </c>
      <c r="I1854" s="57">
        <f>IFERROR(__xludf.DUMMYFUNCTION("""COMPUTED_VALUE"""),0.61)</f>
        <v>0.61</v>
      </c>
      <c r="J1854" s="57">
        <f>IFERROR(__xludf.DUMMYFUNCTION("""COMPUTED_VALUE"""),5.2)</f>
        <v>5.2</v>
      </c>
      <c r="K1854" s="57">
        <f>IFERROR(__xludf.DUMMYFUNCTION("""COMPUTED_VALUE"""),3.69)</f>
        <v>3.69</v>
      </c>
      <c r="L1854" s="54">
        <f>IFERROR(__xludf.DUMMYFUNCTION("""COMPUTED_VALUE"""),32.0)</f>
        <v>32</v>
      </c>
      <c r="M1854" s="3">
        <f>IFERROR(__xludf.DUMMYFUNCTION("""COMPUTED_VALUE"""),117.0)</f>
        <v>117</v>
      </c>
      <c r="N1854" s="3"/>
      <c r="O1854" s="3"/>
      <c r="P1854" s="3"/>
      <c r="Q1854" s="3"/>
      <c r="R1854" s="3">
        <f>IFERROR(__xludf.DUMMYFUNCTION("""COMPUTED_VALUE"""),0.0)</f>
        <v>0</v>
      </c>
      <c r="S1854" s="3"/>
      <c r="T1854" s="5"/>
      <c r="U1854" s="5"/>
      <c r="V1854" s="5"/>
      <c r="W1854" s="5"/>
    </row>
    <row r="1855" ht="15.75" customHeight="1">
      <c r="A1855" s="3">
        <f>IFERROR(__xludf.DUMMYFUNCTION("""COMPUTED_VALUE"""),1855.0)</f>
        <v>1855</v>
      </c>
      <c r="B1855" s="53">
        <f>IFERROR(__xludf.DUMMYFUNCTION("""COMPUTED_VALUE"""),45988.0)</f>
        <v>45988</v>
      </c>
      <c r="C1855" s="3">
        <f>IFERROR(__xludf.DUMMYFUNCTION("""COMPUTED_VALUE"""),6.0)</f>
        <v>6</v>
      </c>
      <c r="D1855" s="3" t="str">
        <f>IFERROR(__xludf.DUMMYFUNCTION("""COMPUTED_VALUE"""),"4e87c697")</f>
        <v>4e87c697</v>
      </c>
      <c r="E1855" s="54">
        <f>IFERROR(__xludf.DUMMYFUNCTION("""COMPUTED_VALUE"""),32000.0)</f>
        <v>32000</v>
      </c>
      <c r="F1855" s="3" t="str">
        <f>IFERROR(__xludf.DUMMYFUNCTION("""COMPUTED_VALUE"""),"Cabernet Sauvignon Rect")</f>
        <v>Cabernet Sauvignon Rect</v>
      </c>
      <c r="G1855" s="3"/>
      <c r="H1855" s="3"/>
      <c r="I1855" s="57">
        <f>IFERROR(__xludf.DUMMYFUNCTION("""COMPUTED_VALUE"""),0.5)</f>
        <v>0.5</v>
      </c>
      <c r="J1855" s="3"/>
      <c r="K1855" s="57">
        <f>IFERROR(__xludf.DUMMYFUNCTION("""COMPUTED_VALUE"""),2.49)</f>
        <v>2.49</v>
      </c>
      <c r="L1855" s="54">
        <f>IFERROR(__xludf.DUMMYFUNCTION("""COMPUTED_VALUE"""),25.0)</f>
        <v>25</v>
      </c>
      <c r="M1855" s="3">
        <f>IFERROR(__xludf.DUMMYFUNCTION("""COMPUTED_VALUE"""),115.0)</f>
        <v>115</v>
      </c>
      <c r="N1855" s="3"/>
      <c r="O1855" s="3"/>
      <c r="P1855" s="3"/>
      <c r="Q1855" s="3"/>
      <c r="R1855" s="3">
        <f>IFERROR(__xludf.DUMMYFUNCTION("""COMPUTED_VALUE"""),0.0)</f>
        <v>0</v>
      </c>
      <c r="S1855" s="3"/>
      <c r="T1855" s="5"/>
      <c r="U1855" s="5"/>
      <c r="V1855" s="5"/>
      <c r="W1855" s="5"/>
    </row>
    <row r="1856" ht="15.75" customHeight="1">
      <c r="A1856" s="3">
        <f>IFERROR(__xludf.DUMMYFUNCTION("""COMPUTED_VALUE"""),1856.0)</f>
        <v>1856</v>
      </c>
      <c r="B1856" s="53">
        <f>IFERROR(__xludf.DUMMYFUNCTION("""COMPUTED_VALUE"""),45988.0)</f>
        <v>45988</v>
      </c>
      <c r="C1856" s="3">
        <f>IFERROR(__xludf.DUMMYFUNCTION("""COMPUTED_VALUE"""),54.0)</f>
        <v>54</v>
      </c>
      <c r="D1856" s="3" t="str">
        <f>IFERROR(__xludf.DUMMYFUNCTION("""COMPUTED_VALUE"""),"9b04723e")</f>
        <v>9b04723e</v>
      </c>
      <c r="E1856" s="54">
        <f>IFERROR(__xludf.DUMMYFUNCTION("""COMPUTED_VALUE"""),22900.0)</f>
        <v>22900</v>
      </c>
      <c r="F1856" s="3" t="str">
        <f>IFERROR(__xludf.DUMMYFUNCTION("""COMPUTED_VALUE"""),"Cabernet Sauvignon Rect")</f>
        <v>Cabernet Sauvignon Rect</v>
      </c>
      <c r="G1856" s="3"/>
      <c r="H1856" s="3"/>
      <c r="I1856" s="57">
        <f>IFERROR(__xludf.DUMMYFUNCTION("""COMPUTED_VALUE"""),0.54)</f>
        <v>0.54</v>
      </c>
      <c r="J1856" s="3"/>
      <c r="K1856" s="57">
        <f>IFERROR(__xludf.DUMMYFUNCTION("""COMPUTED_VALUE"""),2.24)</f>
        <v>2.24</v>
      </c>
      <c r="L1856" s="54">
        <f>IFERROR(__xludf.DUMMYFUNCTION("""COMPUTED_VALUE"""),18.0)</f>
        <v>18</v>
      </c>
      <c r="M1856" s="3">
        <f>IFERROR(__xludf.DUMMYFUNCTION("""COMPUTED_VALUE"""),130.0)</f>
        <v>130</v>
      </c>
      <c r="N1856" s="3"/>
      <c r="O1856" s="3"/>
      <c r="P1856" s="3"/>
      <c r="Q1856" s="3"/>
      <c r="R1856" s="3">
        <f>IFERROR(__xludf.DUMMYFUNCTION("""COMPUTED_VALUE"""),0.0)</f>
        <v>0</v>
      </c>
      <c r="S1856" s="3"/>
      <c r="T1856" s="5"/>
      <c r="U1856" s="5"/>
      <c r="V1856" s="5"/>
      <c r="W1856" s="5"/>
    </row>
    <row r="1857" ht="15.75" customHeight="1">
      <c r="A1857" s="3">
        <f>IFERROR(__xludf.DUMMYFUNCTION("""COMPUTED_VALUE"""),1857.0)</f>
        <v>1857</v>
      </c>
      <c r="B1857" s="53">
        <f>IFERROR(__xludf.DUMMYFUNCTION("""COMPUTED_VALUE"""),45988.0)</f>
        <v>45988</v>
      </c>
      <c r="C1857" s="3">
        <f>IFERROR(__xludf.DUMMYFUNCTION("""COMPUTED_VALUE"""),79.0)</f>
        <v>79</v>
      </c>
      <c r="D1857" s="3" t="str">
        <f>IFERROR(__xludf.DUMMYFUNCTION("""COMPUTED_VALUE"""),"aa2704ae")</f>
        <v>aa2704ae</v>
      </c>
      <c r="E1857" s="54">
        <f>IFERROR(__xludf.DUMMYFUNCTION("""COMPUTED_VALUE"""),26000.0)</f>
        <v>26000</v>
      </c>
      <c r="F1857" s="3" t="str">
        <f>IFERROR(__xludf.DUMMYFUNCTION("""COMPUTED_VALUE"""),"Malbec Rect")</f>
        <v>Malbec Rect</v>
      </c>
      <c r="G1857" s="3"/>
      <c r="H1857" s="3"/>
      <c r="I1857" s="57">
        <f>IFERROR(__xludf.DUMMYFUNCTION("""COMPUTED_VALUE"""),0.65)</f>
        <v>0.65</v>
      </c>
      <c r="J1857" s="3"/>
      <c r="K1857" s="57">
        <f>IFERROR(__xludf.DUMMYFUNCTION("""COMPUTED_VALUE"""),2.24)</f>
        <v>2.24</v>
      </c>
      <c r="L1857" s="54">
        <f>IFERROR(__xludf.DUMMYFUNCTION("""COMPUTED_VALUE"""),0.0)</f>
        <v>0</v>
      </c>
      <c r="M1857" s="3">
        <f>IFERROR(__xludf.DUMMYFUNCTION("""COMPUTED_VALUE"""),110.0)</f>
        <v>110</v>
      </c>
      <c r="N1857" s="3"/>
      <c r="O1857" s="3"/>
      <c r="P1857" s="3"/>
      <c r="Q1857" s="3"/>
      <c r="R1857" s="3">
        <f>IFERROR(__xludf.DUMMYFUNCTION("""COMPUTED_VALUE"""),0.0)</f>
        <v>0</v>
      </c>
      <c r="S1857" s="3"/>
      <c r="T1857" s="5"/>
      <c r="U1857" s="5"/>
      <c r="V1857" s="5"/>
      <c r="W1857" s="5"/>
    </row>
    <row r="1858" ht="15.75" customHeight="1">
      <c r="A1858" s="3">
        <f>IFERROR(__xludf.DUMMYFUNCTION("""COMPUTED_VALUE"""),1858.0)</f>
        <v>1858</v>
      </c>
      <c r="B1858" s="53">
        <f>IFERROR(__xludf.DUMMYFUNCTION("""COMPUTED_VALUE"""),45986.0)</f>
        <v>45986</v>
      </c>
      <c r="C1858" s="3">
        <f>IFERROR(__xludf.DUMMYFUNCTION("""COMPUTED_VALUE"""),121.0)</f>
        <v>121</v>
      </c>
      <c r="D1858" s="3" t="str">
        <f>IFERROR(__xludf.DUMMYFUNCTION("""COMPUTED_VALUE"""),"887268c3")</f>
        <v>887268c3</v>
      </c>
      <c r="E1858" s="54">
        <f>IFERROR(__xludf.DUMMYFUNCTION("""COMPUTED_VALUE"""),85800.0)</f>
        <v>85800</v>
      </c>
      <c r="F1858" s="3" t="str">
        <f>IFERROR(__xludf.DUMMYFUNCTION("""COMPUTED_VALUE"""),"tinto varietal garbin/Lopez")</f>
        <v>tinto varietal garbin/Lopez</v>
      </c>
      <c r="G1858" s="3"/>
      <c r="H1858" s="3"/>
      <c r="I1858" s="57">
        <f>IFERROR(__xludf.DUMMYFUNCTION("""COMPUTED_VALUE"""),0.7)</f>
        <v>0.7</v>
      </c>
      <c r="J1858" s="3"/>
      <c r="K1858" s="57">
        <f>IFERROR(__xludf.DUMMYFUNCTION("""COMPUTED_VALUE"""),3.6)</f>
        <v>3.6</v>
      </c>
      <c r="L1858" s="54">
        <f>IFERROR(__xludf.DUMMYFUNCTION("""COMPUTED_VALUE"""),37.0)</f>
        <v>37</v>
      </c>
      <c r="M1858" s="3">
        <f>IFERROR(__xludf.DUMMYFUNCTION("""COMPUTED_VALUE"""),171.0)</f>
        <v>171</v>
      </c>
      <c r="N1858" s="3"/>
      <c r="O1858" s="3">
        <f>IFERROR(__xludf.DUMMYFUNCTION("""COMPUTED_VALUE"""),295.0)</f>
        <v>295</v>
      </c>
      <c r="P1858" s="3">
        <f>IFERROR(__xludf.DUMMYFUNCTION("""COMPUTED_VALUE"""),431.0)</f>
        <v>431</v>
      </c>
      <c r="Q1858" s="3"/>
      <c r="R1858" s="3">
        <f>IFERROR(__xludf.DUMMYFUNCTION("""COMPUTED_VALUE"""),726.0)</f>
        <v>726</v>
      </c>
      <c r="S1858" s="54">
        <f>IFERROR(__xludf.DUMMYFUNCTION("""COMPUTED_VALUE"""),1060.6983050847457)</f>
        <v>1060.698305</v>
      </c>
      <c r="T1858" s="5"/>
      <c r="U1858" s="5"/>
      <c r="V1858" s="5"/>
      <c r="W1858" s="5"/>
    </row>
    <row r="1859" ht="15.75" customHeight="1">
      <c r="A1859" s="3">
        <f>IFERROR(__xludf.DUMMYFUNCTION("""COMPUTED_VALUE"""),1859.0)</f>
        <v>1859</v>
      </c>
      <c r="B1859" s="53">
        <f>IFERROR(__xludf.DUMMYFUNCTION("""COMPUTED_VALUE"""),45988.0)</f>
        <v>45988</v>
      </c>
      <c r="C1859" s="3">
        <f>IFERROR(__xludf.DUMMYFUNCTION("""COMPUTED_VALUE"""),9.0)</f>
        <v>9</v>
      </c>
      <c r="D1859" s="3" t="str">
        <f>IFERROR(__xludf.DUMMYFUNCTION("""COMPUTED_VALUE"""),"8c8c2ed7")</f>
        <v>8c8c2ed7</v>
      </c>
      <c r="E1859" s="54">
        <f>IFERROR(__xludf.DUMMYFUNCTION("""COMPUTED_VALUE"""),30000.0)</f>
        <v>30000</v>
      </c>
      <c r="F1859" s="3" t="str">
        <f>IFERROR(__xludf.DUMMYFUNCTION("""COMPUTED_VALUE"""),"Malbec Rect")</f>
        <v>Malbec Rect</v>
      </c>
      <c r="G1859" s="3"/>
      <c r="H1859" s="3"/>
      <c r="I1859" s="57">
        <f>IFERROR(__xludf.DUMMYFUNCTION("""COMPUTED_VALUE"""),0.66)</f>
        <v>0.66</v>
      </c>
      <c r="J1859" s="3"/>
      <c r="K1859" s="57">
        <f>IFERROR(__xludf.DUMMYFUNCTION("""COMPUTED_VALUE"""),2.23)</f>
        <v>2.23</v>
      </c>
      <c r="L1859" s="54">
        <f>IFERROR(__xludf.DUMMYFUNCTION("""COMPUTED_VALUE"""),16.0)</f>
        <v>16</v>
      </c>
      <c r="M1859" s="3">
        <f>IFERROR(__xludf.DUMMYFUNCTION("""COMPUTED_VALUE"""),125.0)</f>
        <v>125</v>
      </c>
      <c r="N1859" s="3"/>
      <c r="O1859" s="3"/>
      <c r="P1859" s="3"/>
      <c r="Q1859" s="3"/>
      <c r="R1859" s="3">
        <f>IFERROR(__xludf.DUMMYFUNCTION("""COMPUTED_VALUE"""),0.0)</f>
        <v>0</v>
      </c>
      <c r="S1859" s="3"/>
      <c r="T1859" s="5"/>
      <c r="U1859" s="5"/>
      <c r="V1859" s="5"/>
      <c r="W1859" s="5"/>
    </row>
    <row r="1860" ht="15.75" customHeight="1">
      <c r="A1860" s="3">
        <f>IFERROR(__xludf.DUMMYFUNCTION("""COMPUTED_VALUE"""),1860.0)</f>
        <v>1860</v>
      </c>
      <c r="B1860" s="53">
        <f>IFERROR(__xludf.DUMMYFUNCTION("""COMPUTED_VALUE"""),45993.0)</f>
        <v>45993</v>
      </c>
      <c r="C1860" s="3">
        <f>IFERROR(__xludf.DUMMYFUNCTION("""COMPUTED_VALUE"""),84.0)</f>
        <v>84</v>
      </c>
      <c r="D1860" s="3" t="str">
        <f>IFERROR(__xludf.DUMMYFUNCTION("""COMPUTED_VALUE"""),"52e2d0ea")</f>
        <v>52e2d0ea</v>
      </c>
      <c r="E1860" s="54">
        <f>IFERROR(__xludf.DUMMYFUNCTION("""COMPUTED_VALUE"""),83000.0)</f>
        <v>83000</v>
      </c>
      <c r="F1860" s="3" t="str">
        <f>IFERROR(__xludf.DUMMYFUNCTION("""COMPUTED_VALUE"""),"Malbec")</f>
        <v>Malbec</v>
      </c>
      <c r="G1860" s="55">
        <f>IFERROR(__xludf.DUMMYFUNCTION("""COMPUTED_VALUE"""),13.3)</f>
        <v>13.3</v>
      </c>
      <c r="H1860" s="3"/>
      <c r="I1860" s="57">
        <f>IFERROR(__xludf.DUMMYFUNCTION("""COMPUTED_VALUE"""),0.61)</f>
        <v>0.61</v>
      </c>
      <c r="J1860" s="3"/>
      <c r="K1860" s="57">
        <f>IFERROR(__xludf.DUMMYFUNCTION("""COMPUTED_VALUE"""),3.68)</f>
        <v>3.68</v>
      </c>
      <c r="L1860" s="54">
        <f>IFERROR(__xludf.DUMMYFUNCTION("""COMPUTED_VALUE"""),36.0)</f>
        <v>36</v>
      </c>
      <c r="M1860" s="3">
        <f>IFERROR(__xludf.DUMMYFUNCTION("""COMPUTED_VALUE"""),153.0)</f>
        <v>153</v>
      </c>
      <c r="N1860" s="3"/>
      <c r="O1860" s="3"/>
      <c r="P1860" s="3"/>
      <c r="Q1860" s="3"/>
      <c r="R1860" s="3">
        <f>IFERROR(__xludf.DUMMYFUNCTION("""COMPUTED_VALUE"""),0.0)</f>
        <v>0</v>
      </c>
      <c r="S1860" s="3"/>
      <c r="T1860" s="5"/>
      <c r="U1860" s="5"/>
      <c r="V1860" s="5"/>
      <c r="W1860" s="5"/>
    </row>
    <row r="1861" ht="15.75" customHeight="1">
      <c r="A1861" s="3">
        <f>IFERROR(__xludf.DUMMYFUNCTION("""COMPUTED_VALUE"""),1861.0)</f>
        <v>1861</v>
      </c>
      <c r="B1861" s="53">
        <f>IFERROR(__xludf.DUMMYFUNCTION("""COMPUTED_VALUE"""),45993.0)</f>
        <v>45993</v>
      </c>
      <c r="C1861" s="3">
        <f>IFERROR(__xludf.DUMMYFUNCTION("""COMPUTED_VALUE"""),87.0)</f>
        <v>87</v>
      </c>
      <c r="D1861" s="3" t="str">
        <f>IFERROR(__xludf.DUMMYFUNCTION("""COMPUTED_VALUE"""),"4ecb7cfe")</f>
        <v>4ecb7cfe</v>
      </c>
      <c r="E1861" s="54">
        <f>IFERROR(__xludf.DUMMYFUNCTION("""COMPUTED_VALUE"""),93700.0)</f>
        <v>93700</v>
      </c>
      <c r="F1861" s="3" t="str">
        <f>IFERROR(__xludf.DUMMYFUNCTION("""COMPUTED_VALUE"""),"Syrah")</f>
        <v>Syrah</v>
      </c>
      <c r="G1861" s="55">
        <f>IFERROR(__xludf.DUMMYFUNCTION("""COMPUTED_VALUE"""),13.9)</f>
        <v>13.9</v>
      </c>
      <c r="H1861" s="3"/>
      <c r="I1861" s="57">
        <f>IFERROR(__xludf.DUMMYFUNCTION("""COMPUTED_VALUE"""),0.65)</f>
        <v>0.65</v>
      </c>
      <c r="J1861" s="3"/>
      <c r="K1861" s="57">
        <f>IFERROR(__xludf.DUMMYFUNCTION("""COMPUTED_VALUE"""),3.65)</f>
        <v>3.65</v>
      </c>
      <c r="L1861" s="54">
        <f>IFERROR(__xludf.DUMMYFUNCTION("""COMPUTED_VALUE"""),33.0)</f>
        <v>33</v>
      </c>
      <c r="M1861" s="3">
        <f>IFERROR(__xludf.DUMMYFUNCTION("""COMPUTED_VALUE"""),121.0)</f>
        <v>121</v>
      </c>
      <c r="N1861" s="3"/>
      <c r="O1861" s="3"/>
      <c r="P1861" s="3"/>
      <c r="Q1861" s="3"/>
      <c r="R1861" s="3">
        <f>IFERROR(__xludf.DUMMYFUNCTION("""COMPUTED_VALUE"""),0.0)</f>
        <v>0</v>
      </c>
      <c r="S1861" s="3"/>
      <c r="T1861" s="5"/>
      <c r="U1861" s="5"/>
      <c r="V1861" s="5"/>
      <c r="W1861" s="5"/>
    </row>
    <row r="1862" ht="15.75" customHeight="1">
      <c r="A1862" s="3">
        <f>IFERROR(__xludf.DUMMYFUNCTION("""COMPUTED_VALUE"""),1862.0)</f>
        <v>1862</v>
      </c>
      <c r="B1862" s="53">
        <f>IFERROR(__xludf.DUMMYFUNCTION("""COMPUTED_VALUE"""),45993.0)</f>
        <v>45993</v>
      </c>
      <c r="C1862" s="3">
        <f>IFERROR(__xludf.DUMMYFUNCTION("""COMPUTED_VALUE"""),88.0)</f>
        <v>88</v>
      </c>
      <c r="D1862" s="3" t="str">
        <f>IFERROR(__xludf.DUMMYFUNCTION("""COMPUTED_VALUE"""),"ee5b5592")</f>
        <v>ee5b5592</v>
      </c>
      <c r="E1862" s="54">
        <f>IFERROR(__xludf.DUMMYFUNCTION("""COMPUTED_VALUE"""),78900.0)</f>
        <v>78900</v>
      </c>
      <c r="F1862" s="3" t="str">
        <f>IFERROR(__xludf.DUMMYFUNCTION("""COMPUTED_VALUE"""),"Bonarda")</f>
        <v>Bonarda</v>
      </c>
      <c r="G1862" s="55">
        <f>IFERROR(__xludf.DUMMYFUNCTION("""COMPUTED_VALUE"""),13.2)</f>
        <v>13.2</v>
      </c>
      <c r="H1862" s="3"/>
      <c r="I1862" s="57">
        <f>IFERROR(__xludf.DUMMYFUNCTION("""COMPUTED_VALUE"""),0.66)</f>
        <v>0.66</v>
      </c>
      <c r="J1862" s="3"/>
      <c r="K1862" s="57">
        <f>IFERROR(__xludf.DUMMYFUNCTION("""COMPUTED_VALUE"""),3.7)</f>
        <v>3.7</v>
      </c>
      <c r="L1862" s="54">
        <f>IFERROR(__xludf.DUMMYFUNCTION("""COMPUTED_VALUE"""),35.0)</f>
        <v>35</v>
      </c>
      <c r="M1862" s="3">
        <f>IFERROR(__xludf.DUMMYFUNCTION("""COMPUTED_VALUE"""),130.0)</f>
        <v>130</v>
      </c>
      <c r="N1862" s="3"/>
      <c r="O1862" s="3"/>
      <c r="P1862" s="3"/>
      <c r="Q1862" s="3"/>
      <c r="R1862" s="3">
        <f>IFERROR(__xludf.DUMMYFUNCTION("""COMPUTED_VALUE"""),0.0)</f>
        <v>0</v>
      </c>
      <c r="S1862" s="3"/>
      <c r="T1862" s="5"/>
      <c r="U1862" s="5"/>
      <c r="V1862" s="5"/>
      <c r="W1862" s="5"/>
    </row>
    <row r="1863" ht="15.75" customHeight="1">
      <c r="A1863" s="3">
        <f>IFERROR(__xludf.DUMMYFUNCTION("""COMPUTED_VALUE"""),1863.0)</f>
        <v>1863</v>
      </c>
      <c r="B1863" s="53">
        <f>IFERROR(__xludf.DUMMYFUNCTION("""COMPUTED_VALUE"""),45993.0)</f>
        <v>45993</v>
      </c>
      <c r="C1863" s="3">
        <f>IFERROR(__xludf.DUMMYFUNCTION("""COMPUTED_VALUE"""),92.0)</f>
        <v>92</v>
      </c>
      <c r="D1863" s="3" t="str">
        <f>IFERROR(__xludf.DUMMYFUNCTION("""COMPUTED_VALUE"""),"98de285d")</f>
        <v>98de285d</v>
      </c>
      <c r="E1863" s="54">
        <f>IFERROR(__xludf.DUMMYFUNCTION("""COMPUTED_VALUE"""),76000.0)</f>
        <v>76000</v>
      </c>
      <c r="F1863" s="3" t="str">
        <f>IFERROR(__xludf.DUMMYFUNCTION("""COMPUTED_VALUE"""),"Anccelotta Aspirant")</f>
        <v>Anccelotta Aspirant</v>
      </c>
      <c r="G1863" s="55">
        <f>IFERROR(__xludf.DUMMYFUNCTION("""COMPUTED_VALUE"""),12.9)</f>
        <v>12.9</v>
      </c>
      <c r="H1863" s="3"/>
      <c r="I1863" s="57">
        <f>IFERROR(__xludf.DUMMYFUNCTION("""COMPUTED_VALUE"""),0.55)</f>
        <v>0.55</v>
      </c>
      <c r="J1863" s="3"/>
      <c r="K1863" s="57">
        <f>IFERROR(__xludf.DUMMYFUNCTION("""COMPUTED_VALUE"""),3.66)</f>
        <v>3.66</v>
      </c>
      <c r="L1863" s="54">
        <f>IFERROR(__xludf.DUMMYFUNCTION("""COMPUTED_VALUE"""),38.0)</f>
        <v>38</v>
      </c>
      <c r="M1863" s="3">
        <f>IFERROR(__xludf.DUMMYFUNCTION("""COMPUTED_VALUE"""),102.0)</f>
        <v>102</v>
      </c>
      <c r="N1863" s="3"/>
      <c r="O1863" s="3"/>
      <c r="P1863" s="3"/>
      <c r="Q1863" s="3"/>
      <c r="R1863" s="3">
        <f>IFERROR(__xludf.DUMMYFUNCTION("""COMPUTED_VALUE"""),0.0)</f>
        <v>0</v>
      </c>
      <c r="S1863" s="3"/>
      <c r="T1863" s="5"/>
      <c r="U1863" s="5"/>
      <c r="V1863" s="5"/>
      <c r="W1863" s="5"/>
    </row>
    <row r="1864" ht="15.75" customHeight="1">
      <c r="A1864" s="3">
        <f>IFERROR(__xludf.DUMMYFUNCTION("""COMPUTED_VALUE"""),1864.0)</f>
        <v>1864</v>
      </c>
      <c r="B1864" s="53">
        <f>IFERROR(__xludf.DUMMYFUNCTION("""COMPUTED_VALUE"""),45988.0)</f>
        <v>45988</v>
      </c>
      <c r="C1864" s="3">
        <f>IFERROR(__xludf.DUMMYFUNCTION("""COMPUTED_VALUE"""),116.0)</f>
        <v>116</v>
      </c>
      <c r="D1864" s="3" t="str">
        <f>IFERROR(__xludf.DUMMYFUNCTION("""COMPUTED_VALUE"""),"bf1abf21")</f>
        <v>bf1abf21</v>
      </c>
      <c r="E1864" s="54">
        <f>IFERROR(__xludf.DUMMYFUNCTION("""COMPUTED_VALUE"""),99600.0)</f>
        <v>99600</v>
      </c>
      <c r="F1864" s="3" t="str">
        <f>IFERROR(__xludf.DUMMYFUNCTION("""COMPUTED_VALUE"""),"Malbec")</f>
        <v>Malbec</v>
      </c>
      <c r="G1864" s="3"/>
      <c r="H1864" s="3"/>
      <c r="I1864" s="3"/>
      <c r="J1864" s="3"/>
      <c r="K1864" s="57">
        <f>IFERROR(__xludf.DUMMYFUNCTION("""COMPUTED_VALUE"""),3.62)</f>
        <v>3.62</v>
      </c>
      <c r="L1864" s="3"/>
      <c r="M1864" s="3"/>
      <c r="N1864" s="3"/>
      <c r="O1864" s="3"/>
      <c r="P1864" s="3"/>
      <c r="Q1864" s="3"/>
      <c r="R1864" s="3">
        <f>IFERROR(__xludf.DUMMYFUNCTION("""COMPUTED_VALUE"""),0.0)</f>
        <v>0</v>
      </c>
      <c r="S1864" s="3"/>
      <c r="T1864" s="5"/>
      <c r="U1864" s="5"/>
      <c r="V1864" s="5"/>
      <c r="W1864" s="5"/>
    </row>
    <row r="1865" ht="15.75" customHeight="1">
      <c r="A1865" s="3">
        <f>IFERROR(__xludf.DUMMYFUNCTION("""COMPUTED_VALUE"""),1865.0)</f>
        <v>1865</v>
      </c>
      <c r="B1865" s="53">
        <f>IFERROR(__xludf.DUMMYFUNCTION("""COMPUTED_VALUE"""),45988.0)</f>
        <v>45988</v>
      </c>
      <c r="C1865" s="3">
        <f>IFERROR(__xludf.DUMMYFUNCTION("""COMPUTED_VALUE"""),121.0)</f>
        <v>121</v>
      </c>
      <c r="D1865" s="3" t="str">
        <f>IFERROR(__xludf.DUMMYFUNCTION("""COMPUTED_VALUE"""),"887268c3")</f>
        <v>887268c3</v>
      </c>
      <c r="E1865" s="54">
        <f>IFERROR(__xludf.DUMMYFUNCTION("""COMPUTED_VALUE"""),85800.0)</f>
        <v>85800</v>
      </c>
      <c r="F1865" s="3" t="str">
        <f>IFERROR(__xludf.DUMMYFUNCTION("""COMPUTED_VALUE"""),"Malbec")</f>
        <v>Malbec</v>
      </c>
      <c r="G1865" s="3"/>
      <c r="H1865" s="3"/>
      <c r="I1865" s="3"/>
      <c r="J1865" s="3"/>
      <c r="K1865" s="57">
        <f>IFERROR(__xludf.DUMMYFUNCTION("""COMPUTED_VALUE"""),3.59)</f>
        <v>3.59</v>
      </c>
      <c r="L1865" s="3"/>
      <c r="M1865" s="3"/>
      <c r="N1865" s="3"/>
      <c r="O1865" s="3"/>
      <c r="P1865" s="3"/>
      <c r="Q1865" s="3"/>
      <c r="R1865" s="3">
        <f>IFERROR(__xludf.DUMMYFUNCTION("""COMPUTED_VALUE"""),0.0)</f>
        <v>0</v>
      </c>
      <c r="S1865" s="3"/>
      <c r="T1865" s="5"/>
      <c r="U1865" s="5"/>
      <c r="V1865" s="5"/>
      <c r="W1865" s="5"/>
    </row>
    <row r="1866" ht="15.75" customHeight="1">
      <c r="A1866" s="3">
        <f>IFERROR(__xludf.DUMMYFUNCTION("""COMPUTED_VALUE"""),1866.0)</f>
        <v>1866</v>
      </c>
      <c r="B1866" s="53">
        <f>IFERROR(__xludf.DUMMYFUNCTION("""COMPUTED_VALUE"""),45989.0)</f>
        <v>45989</v>
      </c>
      <c r="C1866" s="3">
        <f>IFERROR(__xludf.DUMMYFUNCTION("""COMPUTED_VALUE"""),46.0)</f>
        <v>46</v>
      </c>
      <c r="D1866" s="3" t="str">
        <f>IFERROR(__xludf.DUMMYFUNCTION("""COMPUTED_VALUE"""),"c205e72b")</f>
        <v>c205e72b</v>
      </c>
      <c r="E1866" s="54">
        <f>IFERROR(__xludf.DUMMYFUNCTION("""COMPUTED_VALUE"""),29000.0)</f>
        <v>29000</v>
      </c>
      <c r="F1866" s="3" t="str">
        <f>IFERROR(__xludf.DUMMYFUNCTION("""COMPUTED_VALUE"""),"Bonarda")</f>
        <v>Bonarda</v>
      </c>
      <c r="G1866" s="3"/>
      <c r="H1866" s="3"/>
      <c r="I1866" s="3"/>
      <c r="J1866" s="3"/>
      <c r="K1866" s="3"/>
      <c r="L1866" s="54">
        <f>IFERROR(__xludf.DUMMYFUNCTION("""COMPUTED_VALUE"""),37.12)</f>
        <v>37.12</v>
      </c>
      <c r="M1866" s="3"/>
      <c r="N1866" s="3"/>
      <c r="O1866" s="3"/>
      <c r="P1866" s="3"/>
      <c r="Q1866" s="3"/>
      <c r="R1866" s="3">
        <f>IFERROR(__xludf.DUMMYFUNCTION("""COMPUTED_VALUE"""),0.0)</f>
        <v>0</v>
      </c>
      <c r="S1866" s="3"/>
      <c r="T1866" s="5"/>
      <c r="U1866" s="5"/>
      <c r="V1866" s="5"/>
      <c r="W1866" s="5"/>
    </row>
    <row r="1867" ht="15.75" customHeight="1">
      <c r="A1867" s="3">
        <f>IFERROR(__xludf.DUMMYFUNCTION("""COMPUTED_VALUE"""),1867.0)</f>
        <v>1867</v>
      </c>
      <c r="B1867" s="53">
        <f>IFERROR(__xludf.DUMMYFUNCTION("""COMPUTED_VALUE"""),45989.0)</f>
        <v>45989</v>
      </c>
      <c r="C1867" s="3">
        <f>IFERROR(__xludf.DUMMYFUNCTION("""COMPUTED_VALUE"""),92.0)</f>
        <v>92</v>
      </c>
      <c r="D1867" s="3" t="str">
        <f>IFERROR(__xludf.DUMMYFUNCTION("""COMPUTED_VALUE"""),"98de285d")</f>
        <v>98de285d</v>
      </c>
      <c r="E1867" s="54">
        <f>IFERROR(__xludf.DUMMYFUNCTION("""COMPUTED_VALUE"""),76000.0)</f>
        <v>76000</v>
      </c>
      <c r="F1867" s="3" t="str">
        <f>IFERROR(__xludf.DUMMYFUNCTION("""COMPUTED_VALUE"""),"Anccelotta Aspirant")</f>
        <v>Anccelotta Aspirant</v>
      </c>
      <c r="G1867" s="3"/>
      <c r="H1867" s="3"/>
      <c r="I1867" s="3"/>
      <c r="J1867" s="3"/>
      <c r="K1867" s="3"/>
      <c r="L1867" s="3"/>
      <c r="M1867" s="3"/>
      <c r="N1867" s="3"/>
      <c r="O1867" s="3">
        <f>IFERROR(__xludf.DUMMYFUNCTION("""COMPUTED_VALUE"""),925.0)</f>
        <v>925</v>
      </c>
      <c r="P1867" s="3">
        <f>IFERROR(__xludf.DUMMYFUNCTION("""COMPUTED_VALUE"""),1509.0)</f>
        <v>1509</v>
      </c>
      <c r="Q1867" s="3"/>
      <c r="R1867" s="3">
        <f>IFERROR(__xludf.DUMMYFUNCTION("""COMPUTED_VALUE"""),2434.0)</f>
        <v>2434</v>
      </c>
      <c r="S1867" s="54">
        <f>IFERROR(__xludf.DUMMYFUNCTION("""COMPUTED_VALUE"""),3970.7091891891887)</f>
        <v>3970.709189</v>
      </c>
      <c r="T1867" s="5"/>
      <c r="U1867" s="5"/>
      <c r="V1867" s="5"/>
      <c r="W1867" s="5"/>
    </row>
    <row r="1868" ht="15.75" customHeight="1">
      <c r="A1868" s="3">
        <f>IFERROR(__xludf.DUMMYFUNCTION("""COMPUTED_VALUE"""),1868.0)</f>
        <v>1868</v>
      </c>
      <c r="B1868" s="53">
        <f>IFERROR(__xludf.DUMMYFUNCTION("""COMPUTED_VALUE"""),45992.0)</f>
        <v>45992</v>
      </c>
      <c r="C1868" s="3">
        <f>IFERROR(__xludf.DUMMYFUNCTION("""COMPUTED_VALUE"""),92.0)</f>
        <v>92</v>
      </c>
      <c r="D1868" s="3" t="str">
        <f>IFERROR(__xludf.DUMMYFUNCTION("""COMPUTED_VALUE"""),"98de285d")</f>
        <v>98de285d</v>
      </c>
      <c r="E1868" s="54">
        <f>IFERROR(__xludf.DUMMYFUNCTION("""COMPUTED_VALUE"""),76000.0)</f>
        <v>76000</v>
      </c>
      <c r="F1868" s="3" t="str">
        <f>IFERROR(__xludf.DUMMYFUNCTION("""COMPUTED_VALUE"""),"Anccelotta Aspirant")</f>
        <v>Anccelotta Aspirant</v>
      </c>
      <c r="G1868" s="55">
        <f>IFERROR(__xludf.DUMMYFUNCTION("""COMPUTED_VALUE"""),12.8)</f>
        <v>12.8</v>
      </c>
      <c r="H1868" s="3"/>
      <c r="I1868" s="57">
        <f>IFERROR(__xludf.DUMMYFUNCTION("""COMPUTED_VALUE"""),0.53)</f>
        <v>0.53</v>
      </c>
      <c r="J1868" s="57">
        <f>IFERROR(__xludf.DUMMYFUNCTION("""COMPUTED_VALUE"""),5.4)</f>
        <v>5.4</v>
      </c>
      <c r="K1868" s="3"/>
      <c r="L1868" s="3"/>
      <c r="M1868" s="3">
        <f>IFERROR(__xludf.DUMMYFUNCTION("""COMPUTED_VALUE"""),110.0)</f>
        <v>110</v>
      </c>
      <c r="N1868" s="3"/>
      <c r="O1868" s="3"/>
      <c r="P1868" s="3"/>
      <c r="Q1868" s="3"/>
      <c r="R1868" s="3">
        <f>IFERROR(__xludf.DUMMYFUNCTION("""COMPUTED_VALUE"""),0.0)</f>
        <v>0</v>
      </c>
      <c r="S1868" s="3"/>
      <c r="T1868" s="5"/>
      <c r="U1868" s="5"/>
      <c r="V1868" s="5"/>
      <c r="W1868" s="5"/>
    </row>
    <row r="1869" ht="15.75" customHeight="1">
      <c r="A1869" s="3">
        <f>IFERROR(__xludf.DUMMYFUNCTION("""COMPUTED_VALUE"""),1869.0)</f>
        <v>1869</v>
      </c>
      <c r="B1869" s="53">
        <f>IFERROR(__xludf.DUMMYFUNCTION("""COMPUTED_VALUE"""),45994.0)</f>
        <v>45994</v>
      </c>
      <c r="C1869" s="3">
        <f>IFERROR(__xludf.DUMMYFUNCTION("""COMPUTED_VALUE"""),90.0)</f>
        <v>90</v>
      </c>
      <c r="D1869" s="3" t="str">
        <f>IFERROR(__xludf.DUMMYFUNCTION("""COMPUTED_VALUE"""),"974d59a2")</f>
        <v>974d59a2</v>
      </c>
      <c r="E1869" s="54">
        <f>IFERROR(__xludf.DUMMYFUNCTION("""COMPUTED_VALUE"""),97500.0)</f>
        <v>97500</v>
      </c>
      <c r="F1869" s="3" t="str">
        <f>IFERROR(__xludf.DUMMYFUNCTION("""COMPUTED_VALUE"""),"Malbec")</f>
        <v>Malbec</v>
      </c>
      <c r="G1869" s="55">
        <f>IFERROR(__xludf.DUMMYFUNCTION("""COMPUTED_VALUE"""),13.5)</f>
        <v>13.5</v>
      </c>
      <c r="H1869" s="3"/>
      <c r="I1869" s="57">
        <f>IFERROR(__xludf.DUMMYFUNCTION("""COMPUTED_VALUE"""),0.65)</f>
        <v>0.65</v>
      </c>
      <c r="J1869" s="57">
        <f>IFERROR(__xludf.DUMMYFUNCTION("""COMPUTED_VALUE"""),5.5)</f>
        <v>5.5</v>
      </c>
      <c r="K1869" s="57">
        <f>IFERROR(__xludf.DUMMYFUNCTION("""COMPUTED_VALUE"""),3.63)</f>
        <v>3.63</v>
      </c>
      <c r="L1869" s="54">
        <f>IFERROR(__xludf.DUMMYFUNCTION("""COMPUTED_VALUE"""),40.0)</f>
        <v>40</v>
      </c>
      <c r="M1869" s="3">
        <f>IFERROR(__xludf.DUMMYFUNCTION("""COMPUTED_VALUE"""),163.0)</f>
        <v>163</v>
      </c>
      <c r="N1869" s="3"/>
      <c r="O1869" s="3"/>
      <c r="P1869" s="3"/>
      <c r="Q1869" s="3"/>
      <c r="R1869" s="3">
        <f>IFERROR(__xludf.DUMMYFUNCTION("""COMPUTED_VALUE"""),0.0)</f>
        <v>0</v>
      </c>
      <c r="S1869" s="3"/>
      <c r="T1869" s="5"/>
      <c r="U1869" s="5"/>
      <c r="V1869" s="5"/>
      <c r="W1869" s="5"/>
    </row>
    <row r="1870" ht="15.75" customHeight="1">
      <c r="A1870" s="3">
        <f>IFERROR(__xludf.DUMMYFUNCTION("""COMPUTED_VALUE"""),1870.0)</f>
        <v>1870</v>
      </c>
      <c r="B1870" s="53">
        <f>IFERROR(__xludf.DUMMYFUNCTION("""COMPUTED_VALUE"""),45995.0)</f>
        <v>45995</v>
      </c>
      <c r="C1870" s="3">
        <f>IFERROR(__xludf.DUMMYFUNCTION("""COMPUTED_VALUE"""),96.0)</f>
        <v>96</v>
      </c>
      <c r="D1870" s="3" t="str">
        <f>IFERROR(__xludf.DUMMYFUNCTION("""COMPUTED_VALUE"""),"5eb0ebea")</f>
        <v>5eb0ebea</v>
      </c>
      <c r="E1870" s="54">
        <f>IFERROR(__xludf.DUMMYFUNCTION("""COMPUTED_VALUE"""),85600.0)</f>
        <v>85600</v>
      </c>
      <c r="F1870" s="3" t="str">
        <f>IFERROR(__xludf.DUMMYFUNCTION("""COMPUTED_VALUE"""),"Syrah")</f>
        <v>Syrah</v>
      </c>
      <c r="G1870" s="55">
        <f>IFERROR(__xludf.DUMMYFUNCTION("""COMPUTED_VALUE"""),13.7)</f>
        <v>13.7</v>
      </c>
      <c r="H1870" s="3"/>
      <c r="I1870" s="57">
        <f>IFERROR(__xludf.DUMMYFUNCTION("""COMPUTED_VALUE"""),0.55)</f>
        <v>0.55</v>
      </c>
      <c r="J1870" s="57">
        <f>IFERROR(__xludf.DUMMYFUNCTION("""COMPUTED_VALUE"""),5.12)</f>
        <v>5.12</v>
      </c>
      <c r="K1870" s="57">
        <f>IFERROR(__xludf.DUMMYFUNCTION("""COMPUTED_VALUE"""),3.71)</f>
        <v>3.71</v>
      </c>
      <c r="L1870" s="54">
        <f>IFERROR(__xludf.DUMMYFUNCTION("""COMPUTED_VALUE"""),35.0)</f>
        <v>35</v>
      </c>
      <c r="M1870" s="3">
        <f>IFERROR(__xludf.DUMMYFUNCTION("""COMPUTED_VALUE"""),130.0)</f>
        <v>130</v>
      </c>
      <c r="N1870" s="3"/>
      <c r="O1870" s="3"/>
      <c r="P1870" s="3"/>
      <c r="Q1870" s="3"/>
      <c r="R1870" s="3">
        <f>IFERROR(__xludf.DUMMYFUNCTION("""COMPUTED_VALUE"""),0.0)</f>
        <v>0</v>
      </c>
      <c r="S1870" s="3"/>
      <c r="T1870" s="5"/>
      <c r="U1870" s="5"/>
      <c r="V1870" s="5"/>
      <c r="W1870" s="5"/>
    </row>
    <row r="1871" ht="15.75" customHeight="1">
      <c r="A1871" s="3">
        <f>IFERROR(__xludf.DUMMYFUNCTION("""COMPUTED_VALUE"""),1871.0)</f>
        <v>1871</v>
      </c>
      <c r="B1871" s="53">
        <f>IFERROR(__xludf.DUMMYFUNCTION("""COMPUTED_VALUE"""),45995.0)</f>
        <v>45995</v>
      </c>
      <c r="C1871" s="3">
        <f>IFERROR(__xludf.DUMMYFUNCTION("""COMPUTED_VALUE"""),94.0)</f>
        <v>94</v>
      </c>
      <c r="D1871" s="3" t="str">
        <f>IFERROR(__xludf.DUMMYFUNCTION("""COMPUTED_VALUE"""),"7da5825a")</f>
        <v>7da5825a</v>
      </c>
      <c r="E1871" s="54">
        <f>IFERROR(__xludf.DUMMYFUNCTION("""COMPUTED_VALUE"""),10200.0)</f>
        <v>10200</v>
      </c>
      <c r="F1871" s="3" t="str">
        <f>IFERROR(__xludf.DUMMYFUNCTION("""COMPUTED_VALUE"""),"Malbec")</f>
        <v>Malbec</v>
      </c>
      <c r="G1871" s="3"/>
      <c r="H1871" s="3"/>
      <c r="I1871" s="57">
        <f>IFERROR(__xludf.DUMMYFUNCTION("""COMPUTED_VALUE"""),0.61)</f>
        <v>0.61</v>
      </c>
      <c r="J1871" s="57">
        <f>IFERROR(__xludf.DUMMYFUNCTION("""COMPUTED_VALUE"""),5.73)</f>
        <v>5.73</v>
      </c>
      <c r="K1871" s="3"/>
      <c r="L1871" s="54">
        <f>IFERROR(__xludf.DUMMYFUNCTION("""COMPUTED_VALUE"""),38.0)</f>
        <v>38</v>
      </c>
      <c r="M1871" s="3">
        <f>IFERROR(__xludf.DUMMYFUNCTION("""COMPUTED_VALUE"""),160.0)</f>
        <v>160</v>
      </c>
      <c r="N1871" s="3"/>
      <c r="O1871" s="3"/>
      <c r="P1871" s="3"/>
      <c r="Q1871" s="3"/>
      <c r="R1871" s="3">
        <f>IFERROR(__xludf.DUMMYFUNCTION("""COMPUTED_VALUE"""),0.0)</f>
        <v>0</v>
      </c>
      <c r="S1871" s="3"/>
      <c r="T1871" s="5"/>
      <c r="U1871" s="5"/>
      <c r="V1871" s="5"/>
      <c r="W1871" s="5"/>
    </row>
    <row r="1872" ht="15.75" customHeight="1">
      <c r="A1872" s="3">
        <f>IFERROR(__xludf.DUMMYFUNCTION("""COMPUTED_VALUE"""),1872.0)</f>
        <v>1872</v>
      </c>
      <c r="B1872" s="53">
        <f>IFERROR(__xludf.DUMMYFUNCTION("""COMPUTED_VALUE"""),45996.0)</f>
        <v>45996</v>
      </c>
      <c r="C1872" s="3">
        <f>IFERROR(__xludf.DUMMYFUNCTION("""COMPUTED_VALUE"""),111.0)</f>
        <v>111</v>
      </c>
      <c r="D1872" s="3" t="str">
        <f>IFERROR(__xludf.DUMMYFUNCTION("""COMPUTED_VALUE"""),"3ba92525")</f>
        <v>3ba92525</v>
      </c>
      <c r="E1872" s="54">
        <f>IFERROR(__xludf.DUMMYFUNCTION("""COMPUTED_VALUE"""),4000.0)</f>
        <v>4000</v>
      </c>
      <c r="F1872" s="3" t="str">
        <f>IFERROR(__xludf.DUMMYFUNCTION("""COMPUTED_VALUE"""),"Syrah con Madera")</f>
        <v>Syrah con Madera</v>
      </c>
      <c r="G1872" s="3"/>
      <c r="H1872" s="3"/>
      <c r="I1872" s="3"/>
      <c r="J1872" s="3"/>
      <c r="K1872" s="3"/>
      <c r="L1872" s="54">
        <f>IFERROR(__xludf.DUMMYFUNCTION("""COMPUTED_VALUE"""),40.0)</f>
        <v>40</v>
      </c>
      <c r="M1872" s="3"/>
      <c r="N1872" s="3"/>
      <c r="O1872" s="3"/>
      <c r="P1872" s="3"/>
      <c r="Q1872" s="3"/>
      <c r="R1872" s="3">
        <f>IFERROR(__xludf.DUMMYFUNCTION("""COMPUTED_VALUE"""),0.0)</f>
        <v>0</v>
      </c>
      <c r="S1872" s="3"/>
      <c r="T1872" s="5"/>
      <c r="U1872" s="5"/>
      <c r="V1872" s="5"/>
      <c r="W1872" s="5"/>
    </row>
    <row r="1873" ht="15.75" customHeight="1">
      <c r="A1873" s="3">
        <f>IFERROR(__xludf.DUMMYFUNCTION("""COMPUTED_VALUE"""),1873.0)</f>
        <v>1873</v>
      </c>
      <c r="B1873" s="53">
        <f>IFERROR(__xludf.DUMMYFUNCTION("""COMPUTED_VALUE"""),46001.0)</f>
        <v>46001</v>
      </c>
      <c r="C1873" s="3">
        <f>IFERROR(__xludf.DUMMYFUNCTION("""COMPUTED_VALUE"""),82.0)</f>
        <v>82</v>
      </c>
      <c r="D1873" s="3" t="str">
        <f>IFERROR(__xludf.DUMMYFUNCTION("""COMPUTED_VALUE"""),"f3a40125")</f>
        <v>f3a40125</v>
      </c>
      <c r="E1873" s="54">
        <f>IFERROR(__xludf.DUMMYFUNCTION("""COMPUTED_VALUE"""),42600.0)</f>
        <v>42600</v>
      </c>
      <c r="F1873" s="3" t="str">
        <f>IFERROR(__xludf.DUMMYFUNCTION("""COMPUTED_VALUE"""),"Syrah")</f>
        <v>Syrah</v>
      </c>
      <c r="G1873" s="3"/>
      <c r="H1873" s="3"/>
      <c r="I1873" s="3"/>
      <c r="J1873" s="3"/>
      <c r="K1873" s="3"/>
      <c r="L1873" s="54">
        <f>IFERROR(__xludf.DUMMYFUNCTION("""COMPUTED_VALUE"""),32.0)</f>
        <v>32</v>
      </c>
      <c r="M1873" s="3"/>
      <c r="N1873" s="3"/>
      <c r="O1873" s="3"/>
      <c r="P1873" s="3"/>
      <c r="Q1873" s="3"/>
      <c r="R1873" s="3">
        <f>IFERROR(__xludf.DUMMYFUNCTION("""COMPUTED_VALUE"""),0.0)</f>
        <v>0</v>
      </c>
      <c r="S1873" s="3"/>
      <c r="T1873" s="5"/>
      <c r="U1873" s="5"/>
      <c r="V1873" s="5"/>
      <c r="W1873" s="5"/>
    </row>
    <row r="1874" ht="15.75" customHeight="1">
      <c r="A1874" s="3">
        <f>IFERROR(__xludf.DUMMYFUNCTION("""COMPUTED_VALUE"""),1874.0)</f>
        <v>1874</v>
      </c>
      <c r="B1874" s="53">
        <f>IFERROR(__xludf.DUMMYFUNCTION("""COMPUTED_VALUE"""),46001.0)</f>
        <v>46001</v>
      </c>
      <c r="C1874" s="3">
        <f>IFERROR(__xludf.DUMMYFUNCTION("""COMPUTED_VALUE"""),82.0)</f>
        <v>82</v>
      </c>
      <c r="D1874" s="3" t="str">
        <f>IFERROR(__xludf.DUMMYFUNCTION("""COMPUTED_VALUE"""),"f3a40125")</f>
        <v>f3a40125</v>
      </c>
      <c r="E1874" s="54">
        <f>IFERROR(__xludf.DUMMYFUNCTION("""COMPUTED_VALUE"""),42600.0)</f>
        <v>42600</v>
      </c>
      <c r="F1874" s="3" t="str">
        <f>IFERROR(__xludf.DUMMYFUNCTION("""COMPUTED_VALUE"""),"Syrah")</f>
        <v>Syrah</v>
      </c>
      <c r="G1874" s="3"/>
      <c r="H1874" s="3"/>
      <c r="I1874" s="3"/>
      <c r="J1874" s="3"/>
      <c r="K1874" s="3"/>
      <c r="L1874" s="54">
        <f>IFERROR(__xludf.DUMMYFUNCTION("""COMPUTED_VALUE"""),40.0)</f>
        <v>40</v>
      </c>
      <c r="M1874" s="3"/>
      <c r="N1874" s="3"/>
      <c r="O1874" s="3"/>
      <c r="P1874" s="3"/>
      <c r="Q1874" s="3"/>
      <c r="R1874" s="3">
        <f>IFERROR(__xludf.DUMMYFUNCTION("""COMPUTED_VALUE"""),0.0)</f>
        <v>0</v>
      </c>
      <c r="S1874" s="3"/>
      <c r="T1874" s="5"/>
      <c r="U1874" s="5"/>
      <c r="V1874" s="5"/>
      <c r="W1874" s="5"/>
    </row>
    <row r="1875" ht="15.75" customHeight="1">
      <c r="A1875" s="3">
        <f>IFERROR(__xludf.DUMMYFUNCTION("""COMPUTED_VALUE"""),1875.0)</f>
        <v>1875</v>
      </c>
      <c r="B1875" s="53">
        <f>IFERROR(__xludf.DUMMYFUNCTION("""COMPUTED_VALUE"""),46017.0)</f>
        <v>46017</v>
      </c>
      <c r="C1875" s="3">
        <f>IFERROR(__xludf.DUMMYFUNCTION("""COMPUTED_VALUE"""),74.0)</f>
        <v>74</v>
      </c>
      <c r="D1875" s="3" t="str">
        <f>IFERROR(__xludf.DUMMYFUNCTION("""COMPUTED_VALUE"""),"cdfb4c74")</f>
        <v>cdfb4c74</v>
      </c>
      <c r="E1875" s="54">
        <f>IFERROR(__xludf.DUMMYFUNCTION("""COMPUTED_VALUE"""),13000.0)</f>
        <v>13000</v>
      </c>
      <c r="F1875" s="3" t="str">
        <f>IFERROR(__xludf.DUMMYFUNCTION("""COMPUTED_VALUE"""),"Cabernet Sauvignon")</f>
        <v>Cabernet Sauvignon</v>
      </c>
      <c r="G1875" s="3"/>
      <c r="H1875" s="3"/>
      <c r="I1875" s="3"/>
      <c r="J1875" s="3"/>
      <c r="K1875" s="3"/>
      <c r="L1875" s="54">
        <f>IFERROR(__xludf.DUMMYFUNCTION("""COMPUTED_VALUE"""),32.0)</f>
        <v>32</v>
      </c>
      <c r="M1875" s="3"/>
      <c r="N1875" s="3"/>
      <c r="O1875" s="3"/>
      <c r="P1875" s="3"/>
      <c r="Q1875" s="3"/>
      <c r="R1875" s="3">
        <f>IFERROR(__xludf.DUMMYFUNCTION("""COMPUTED_VALUE"""),0.0)</f>
        <v>0</v>
      </c>
      <c r="S1875" s="3"/>
      <c r="T1875" s="5"/>
      <c r="U1875" s="5"/>
      <c r="V1875" s="5"/>
      <c r="W1875" s="5"/>
    </row>
    <row r="1876" ht="15.75" customHeight="1">
      <c r="A1876" s="3">
        <f>IFERROR(__xludf.DUMMYFUNCTION("""COMPUTED_VALUE"""),1876.0)</f>
        <v>1876</v>
      </c>
      <c r="B1876" s="53">
        <f>IFERROR(__xludf.DUMMYFUNCTION("""COMPUTED_VALUE"""),46028.0)</f>
        <v>46028</v>
      </c>
      <c r="C1876" s="3">
        <f>IFERROR(__xludf.DUMMYFUNCTION("""COMPUTED_VALUE"""),15.0)</f>
        <v>15</v>
      </c>
      <c r="D1876" s="3" t="str">
        <f>IFERROR(__xludf.DUMMYFUNCTION("""COMPUTED_VALUE"""),"cda56963")</f>
        <v>cda56963</v>
      </c>
      <c r="E1876" s="54">
        <f>IFERROR(__xludf.DUMMYFUNCTION("""COMPUTED_VALUE"""),33000.0)</f>
        <v>33000</v>
      </c>
      <c r="F1876" s="3" t="str">
        <f>IFERROR(__xludf.DUMMYFUNCTION("""COMPUTED_VALUE"""),"Anccelotta Aspirant")</f>
        <v>Anccelotta Aspirant</v>
      </c>
      <c r="G1876" s="55">
        <f>IFERROR(__xludf.DUMMYFUNCTION("""COMPUTED_VALUE"""),12.8)</f>
        <v>12.8</v>
      </c>
      <c r="H1876" s="56">
        <f>IFERROR(__xludf.DUMMYFUNCTION("""COMPUTED_VALUE"""),2.0)</f>
        <v>2</v>
      </c>
      <c r="I1876" s="57">
        <f>IFERROR(__xludf.DUMMYFUNCTION("""COMPUTED_VALUE"""),0.61)</f>
        <v>0.61</v>
      </c>
      <c r="J1876" s="57">
        <f>IFERROR(__xludf.DUMMYFUNCTION("""COMPUTED_VALUE"""),6.12)</f>
        <v>6.12</v>
      </c>
      <c r="K1876" s="57">
        <f>IFERROR(__xludf.DUMMYFUNCTION("""COMPUTED_VALUE"""),3.6)</f>
        <v>3.6</v>
      </c>
      <c r="L1876" s="54">
        <f>IFERROR(__xludf.DUMMYFUNCTION("""COMPUTED_VALUE"""),45.0)</f>
        <v>45</v>
      </c>
      <c r="M1876" s="3">
        <f>IFERROR(__xludf.DUMMYFUNCTION("""COMPUTED_VALUE"""),130.0)</f>
        <v>130</v>
      </c>
      <c r="N1876" s="3"/>
      <c r="O1876" s="3"/>
      <c r="P1876" s="3"/>
      <c r="Q1876" s="3"/>
      <c r="R1876" s="3">
        <f>IFERROR(__xludf.DUMMYFUNCTION("""COMPUTED_VALUE"""),0.0)</f>
        <v>0</v>
      </c>
      <c r="S1876" s="3"/>
      <c r="T1876" s="5"/>
      <c r="U1876" s="5"/>
      <c r="V1876" s="5"/>
      <c r="W1876" s="5"/>
    </row>
    <row r="1877" ht="15.75" customHeight="1">
      <c r="A1877" s="3">
        <f>IFERROR(__xludf.DUMMYFUNCTION("""COMPUTED_VALUE"""),1877.0)</f>
        <v>1877</v>
      </c>
      <c r="B1877" s="53">
        <f>IFERROR(__xludf.DUMMYFUNCTION("""COMPUTED_VALUE"""),46028.0)</f>
        <v>46028</v>
      </c>
      <c r="C1877" s="3">
        <f>IFERROR(__xludf.DUMMYFUNCTION("""COMPUTED_VALUE"""),5.0)</f>
        <v>5</v>
      </c>
      <c r="D1877" s="3" t="str">
        <f>IFERROR(__xludf.DUMMYFUNCTION("""COMPUTED_VALUE"""),"200f92f0")</f>
        <v>200f92f0</v>
      </c>
      <c r="E1877" s="54">
        <f>IFERROR(__xludf.DUMMYFUNCTION("""COMPUTED_VALUE"""),30000.0)</f>
        <v>30000</v>
      </c>
      <c r="F1877" s="3" t="str">
        <f>IFERROR(__xludf.DUMMYFUNCTION("""COMPUTED_VALUE"""),"Cabernet Sauvignon")</f>
        <v>Cabernet Sauvignon</v>
      </c>
      <c r="G1877" s="55">
        <f>IFERROR(__xludf.DUMMYFUNCTION("""COMPUTED_VALUE"""),12.7)</f>
        <v>12.7</v>
      </c>
      <c r="H1877" s="56">
        <f>IFERROR(__xludf.DUMMYFUNCTION("""COMPUTED_VALUE"""),2.0)</f>
        <v>2</v>
      </c>
      <c r="I1877" s="57">
        <f>IFERROR(__xludf.DUMMYFUNCTION("""COMPUTED_VALUE"""),0.44)</f>
        <v>0.44</v>
      </c>
      <c r="J1877" s="57">
        <f>IFERROR(__xludf.DUMMYFUNCTION("""COMPUTED_VALUE"""),6.6)</f>
        <v>6.6</v>
      </c>
      <c r="K1877" s="57">
        <f>IFERROR(__xludf.DUMMYFUNCTION("""COMPUTED_VALUE"""),2.45)</f>
        <v>2.45</v>
      </c>
      <c r="L1877" s="54">
        <f>IFERROR(__xludf.DUMMYFUNCTION("""COMPUTED_VALUE"""),32.0)</f>
        <v>32</v>
      </c>
      <c r="M1877" s="3">
        <f>IFERROR(__xludf.DUMMYFUNCTION("""COMPUTED_VALUE"""),150.0)</f>
        <v>150</v>
      </c>
      <c r="N1877" s="3"/>
      <c r="O1877" s="3"/>
      <c r="P1877" s="3"/>
      <c r="Q1877" s="3"/>
      <c r="R1877" s="3">
        <f>IFERROR(__xludf.DUMMYFUNCTION("""COMPUTED_VALUE"""),0.0)</f>
        <v>0</v>
      </c>
      <c r="S1877" s="3"/>
      <c r="T1877" s="5"/>
      <c r="U1877" s="5"/>
      <c r="V1877" s="5"/>
      <c r="W1877" s="5"/>
    </row>
    <row r="1878" ht="15.75" customHeight="1">
      <c r="A1878" s="3">
        <f>IFERROR(__xludf.DUMMYFUNCTION("""COMPUTED_VALUE"""),1878.0)</f>
        <v>1878</v>
      </c>
      <c r="B1878" s="53">
        <f>IFERROR(__xludf.DUMMYFUNCTION("""COMPUTED_VALUE"""),46028.0)</f>
        <v>46028</v>
      </c>
      <c r="C1878" s="3">
        <f>IFERROR(__xludf.DUMMYFUNCTION("""COMPUTED_VALUE"""),6.0)</f>
        <v>6</v>
      </c>
      <c r="D1878" s="3" t="str">
        <f>IFERROR(__xludf.DUMMYFUNCTION("""COMPUTED_VALUE"""),"4e87c697")</f>
        <v>4e87c697</v>
      </c>
      <c r="E1878" s="54">
        <f>IFERROR(__xludf.DUMMYFUNCTION("""COMPUTED_VALUE"""),32000.0)</f>
        <v>32000</v>
      </c>
      <c r="F1878" s="3" t="str">
        <f>IFERROR(__xludf.DUMMYFUNCTION("""COMPUTED_VALUE"""),"Cabernet Sauvignon Rect")</f>
        <v>Cabernet Sauvignon Rect</v>
      </c>
      <c r="G1878" s="55">
        <f>IFERROR(__xludf.DUMMYFUNCTION("""COMPUTED_VALUE"""),12.8)</f>
        <v>12.8</v>
      </c>
      <c r="H1878" s="56">
        <f>IFERROR(__xludf.DUMMYFUNCTION("""COMPUTED_VALUE"""),2.0)</f>
        <v>2</v>
      </c>
      <c r="I1878" s="57">
        <f>IFERROR(__xludf.DUMMYFUNCTION("""COMPUTED_VALUE"""),0.47)</f>
        <v>0.47</v>
      </c>
      <c r="J1878" s="57">
        <f>IFERROR(__xludf.DUMMYFUNCTION("""COMPUTED_VALUE"""),6.7)</f>
        <v>6.7</v>
      </c>
      <c r="K1878" s="57">
        <f>IFERROR(__xludf.DUMMYFUNCTION("""COMPUTED_VALUE"""),2.42)</f>
        <v>2.42</v>
      </c>
      <c r="L1878" s="54">
        <f>IFERROR(__xludf.DUMMYFUNCTION("""COMPUTED_VALUE"""),20.0)</f>
        <v>20</v>
      </c>
      <c r="M1878" s="3">
        <f>IFERROR(__xludf.DUMMYFUNCTION("""COMPUTED_VALUE"""),140.0)</f>
        <v>140</v>
      </c>
      <c r="N1878" s="3"/>
      <c r="O1878" s="3"/>
      <c r="P1878" s="3"/>
      <c r="Q1878" s="3"/>
      <c r="R1878" s="3">
        <f>IFERROR(__xludf.DUMMYFUNCTION("""COMPUTED_VALUE"""),0.0)</f>
        <v>0</v>
      </c>
      <c r="S1878" s="3"/>
      <c r="T1878" s="5"/>
      <c r="U1878" s="5"/>
      <c r="V1878" s="5"/>
      <c r="W1878" s="5"/>
    </row>
    <row r="1879" ht="15.75" customHeight="1">
      <c r="A1879" s="3">
        <f>IFERROR(__xludf.DUMMYFUNCTION("""COMPUTED_VALUE"""),1879.0)</f>
        <v>1879</v>
      </c>
      <c r="B1879" s="53">
        <f>IFERROR(__xludf.DUMMYFUNCTION("""COMPUTED_VALUE"""),46028.0)</f>
        <v>46028</v>
      </c>
      <c r="C1879" s="3">
        <f>IFERROR(__xludf.DUMMYFUNCTION("""COMPUTED_VALUE"""),7.0)</f>
        <v>7</v>
      </c>
      <c r="D1879" s="3" t="str">
        <f>IFERROR(__xludf.DUMMYFUNCTION("""COMPUTED_VALUE"""),"bf5eb775")</f>
        <v>bf5eb775</v>
      </c>
      <c r="E1879" s="54">
        <f>IFERROR(__xludf.DUMMYFUNCTION("""COMPUTED_VALUE"""),30000.0)</f>
        <v>30000</v>
      </c>
      <c r="F1879" s="3" t="str">
        <f>IFERROR(__xludf.DUMMYFUNCTION("""COMPUTED_VALUE"""),"Cabernet Sauvignon")</f>
        <v>Cabernet Sauvignon</v>
      </c>
      <c r="G1879" s="55">
        <f>IFERROR(__xludf.DUMMYFUNCTION("""COMPUTED_VALUE"""),12.8)</f>
        <v>12.8</v>
      </c>
      <c r="H1879" s="56">
        <f>IFERROR(__xludf.DUMMYFUNCTION("""COMPUTED_VALUE"""),2.0)</f>
        <v>2</v>
      </c>
      <c r="I1879" s="57">
        <f>IFERROR(__xludf.DUMMYFUNCTION("""COMPUTED_VALUE"""),0.48)</f>
        <v>0.48</v>
      </c>
      <c r="J1879" s="57">
        <f>IFERROR(__xludf.DUMMYFUNCTION("""COMPUTED_VALUE"""),6.6)</f>
        <v>6.6</v>
      </c>
      <c r="K1879" s="57">
        <f>IFERROR(__xludf.DUMMYFUNCTION("""COMPUTED_VALUE"""),2.38)</f>
        <v>2.38</v>
      </c>
      <c r="L1879" s="54">
        <f>IFERROR(__xludf.DUMMYFUNCTION("""COMPUTED_VALUE"""),22.0)</f>
        <v>22</v>
      </c>
      <c r="M1879" s="3">
        <f>IFERROR(__xludf.DUMMYFUNCTION("""COMPUTED_VALUE"""),164.0)</f>
        <v>164</v>
      </c>
      <c r="N1879" s="3"/>
      <c r="O1879" s="3"/>
      <c r="P1879" s="3"/>
      <c r="Q1879" s="3"/>
      <c r="R1879" s="3">
        <f>IFERROR(__xludf.DUMMYFUNCTION("""COMPUTED_VALUE"""),0.0)</f>
        <v>0</v>
      </c>
      <c r="S1879" s="3"/>
      <c r="T1879" s="5"/>
      <c r="U1879" s="5"/>
      <c r="V1879" s="5"/>
      <c r="W1879" s="5"/>
    </row>
    <row r="1880" ht="15.75" customHeight="1">
      <c r="A1880" s="3">
        <f>IFERROR(__xludf.DUMMYFUNCTION("""COMPUTED_VALUE"""),1880.0)</f>
        <v>1880</v>
      </c>
      <c r="B1880" s="53">
        <f>IFERROR(__xludf.DUMMYFUNCTION("""COMPUTED_VALUE"""),46028.0)</f>
        <v>46028</v>
      </c>
      <c r="C1880" s="3">
        <f>IFERROR(__xludf.DUMMYFUNCTION("""COMPUTED_VALUE"""),9.0)</f>
        <v>9</v>
      </c>
      <c r="D1880" s="3" t="str">
        <f>IFERROR(__xludf.DUMMYFUNCTION("""COMPUTED_VALUE"""),"8c8c2ed7")</f>
        <v>8c8c2ed7</v>
      </c>
      <c r="E1880" s="54">
        <f>IFERROR(__xludf.DUMMYFUNCTION("""COMPUTED_VALUE"""),30000.0)</f>
        <v>30000</v>
      </c>
      <c r="F1880" s="3" t="str">
        <f>IFERROR(__xludf.DUMMYFUNCTION("""COMPUTED_VALUE"""),"Malbec Rect")</f>
        <v>Malbec Rect</v>
      </c>
      <c r="G1880" s="55">
        <f>IFERROR(__xludf.DUMMYFUNCTION("""COMPUTED_VALUE"""),13.0)</f>
        <v>13</v>
      </c>
      <c r="H1880" s="56">
        <f>IFERROR(__xludf.DUMMYFUNCTION("""COMPUTED_VALUE"""),2.0)</f>
        <v>2</v>
      </c>
      <c r="I1880" s="57">
        <f>IFERROR(__xludf.DUMMYFUNCTION("""COMPUTED_VALUE"""),0.57)</f>
        <v>0.57</v>
      </c>
      <c r="J1880" s="57">
        <f>IFERROR(__xludf.DUMMYFUNCTION("""COMPUTED_VALUE"""),6.8)</f>
        <v>6.8</v>
      </c>
      <c r="K1880" s="57">
        <f>IFERROR(__xludf.DUMMYFUNCTION("""COMPUTED_VALUE"""),2.28)</f>
        <v>2.28</v>
      </c>
      <c r="L1880" s="54">
        <f>IFERROR(__xludf.DUMMYFUNCTION("""COMPUTED_VALUE"""),20.0)</f>
        <v>20</v>
      </c>
      <c r="M1880" s="3">
        <f>IFERROR(__xludf.DUMMYFUNCTION("""COMPUTED_VALUE"""),130.0)</f>
        <v>130</v>
      </c>
      <c r="N1880" s="3"/>
      <c r="O1880" s="3"/>
      <c r="P1880" s="3"/>
      <c r="Q1880" s="3"/>
      <c r="R1880" s="3">
        <f>IFERROR(__xludf.DUMMYFUNCTION("""COMPUTED_VALUE"""),0.0)</f>
        <v>0</v>
      </c>
      <c r="S1880" s="3"/>
      <c r="T1880" s="5"/>
      <c r="U1880" s="5"/>
      <c r="V1880" s="5"/>
      <c r="W1880" s="5"/>
    </row>
    <row r="1881" ht="15.75" customHeight="1">
      <c r="A1881" s="3">
        <f>IFERROR(__xludf.DUMMYFUNCTION("""COMPUTED_VALUE"""),1881.0)</f>
        <v>1881</v>
      </c>
      <c r="B1881" s="53">
        <f>IFERROR(__xludf.DUMMYFUNCTION("""COMPUTED_VALUE"""),46028.0)</f>
        <v>46028</v>
      </c>
      <c r="C1881" s="3">
        <f>IFERROR(__xludf.DUMMYFUNCTION("""COMPUTED_VALUE"""),10.0)</f>
        <v>10</v>
      </c>
      <c r="D1881" s="3" t="str">
        <f>IFERROR(__xludf.DUMMYFUNCTION("""COMPUTED_VALUE"""),"bf803f5c")</f>
        <v>bf803f5c</v>
      </c>
      <c r="E1881" s="54">
        <f>IFERROR(__xludf.DUMMYFUNCTION("""COMPUTED_VALUE"""),21000.0)</f>
        <v>21000</v>
      </c>
      <c r="F1881" s="3" t="str">
        <f>IFERROR(__xludf.DUMMYFUNCTION("""COMPUTED_VALUE"""),"Cabernet Sauvignon")</f>
        <v>Cabernet Sauvignon</v>
      </c>
      <c r="G1881" s="55">
        <f>IFERROR(__xludf.DUMMYFUNCTION("""COMPUTED_VALUE"""),12.9)</f>
        <v>12.9</v>
      </c>
      <c r="H1881" s="56">
        <f>IFERROR(__xludf.DUMMYFUNCTION("""COMPUTED_VALUE"""),2.0)</f>
        <v>2</v>
      </c>
      <c r="I1881" s="57">
        <f>IFERROR(__xludf.DUMMYFUNCTION("""COMPUTED_VALUE"""),0.54)</f>
        <v>0.54</v>
      </c>
      <c r="J1881" s="57">
        <f>IFERROR(__xludf.DUMMYFUNCTION("""COMPUTED_VALUE"""),7.0)</f>
        <v>7</v>
      </c>
      <c r="K1881" s="57">
        <f>IFERROR(__xludf.DUMMYFUNCTION("""COMPUTED_VALUE"""),2.44)</f>
        <v>2.44</v>
      </c>
      <c r="L1881" s="54">
        <f>IFERROR(__xludf.DUMMYFUNCTION("""COMPUTED_VALUE"""),25.0)</f>
        <v>25</v>
      </c>
      <c r="M1881" s="3">
        <f>IFERROR(__xludf.DUMMYFUNCTION("""COMPUTED_VALUE"""),163.0)</f>
        <v>163</v>
      </c>
      <c r="N1881" s="3"/>
      <c r="O1881" s="3"/>
      <c r="P1881" s="3"/>
      <c r="Q1881" s="3"/>
      <c r="R1881" s="3">
        <f>IFERROR(__xludf.DUMMYFUNCTION("""COMPUTED_VALUE"""),0.0)</f>
        <v>0</v>
      </c>
      <c r="S1881" s="3"/>
      <c r="T1881" s="5"/>
      <c r="U1881" s="5"/>
      <c r="V1881" s="5"/>
      <c r="W1881" s="5"/>
    </row>
    <row r="1882" ht="15.75" customHeight="1">
      <c r="A1882" s="3">
        <f>IFERROR(__xludf.DUMMYFUNCTION("""COMPUTED_VALUE"""),1882.0)</f>
        <v>1882</v>
      </c>
      <c r="B1882" s="53">
        <f>IFERROR(__xludf.DUMMYFUNCTION("""COMPUTED_VALUE"""),46028.0)</f>
        <v>46028</v>
      </c>
      <c r="C1882" s="3">
        <f>IFERROR(__xludf.DUMMYFUNCTION("""COMPUTED_VALUE"""),11.0)</f>
        <v>11</v>
      </c>
      <c r="D1882" s="3" t="str">
        <f>IFERROR(__xludf.DUMMYFUNCTION("""COMPUTED_VALUE"""),"f063695a")</f>
        <v>f063695a</v>
      </c>
      <c r="E1882" s="54">
        <f>IFERROR(__xludf.DUMMYFUNCTION("""COMPUTED_VALUE"""),36000.0)</f>
        <v>36000</v>
      </c>
      <c r="F1882" s="3" t="str">
        <f>IFERROR(__xludf.DUMMYFUNCTION("""COMPUTED_VALUE"""),"Anccellota Aspirant Rect")</f>
        <v>Anccellota Aspirant Rect</v>
      </c>
      <c r="G1882" s="55">
        <f>IFERROR(__xludf.DUMMYFUNCTION("""COMPUTED_VALUE"""),12.8)</f>
        <v>12.8</v>
      </c>
      <c r="H1882" s="56">
        <f>IFERROR(__xludf.DUMMYFUNCTION("""COMPUTED_VALUE"""),2.0)</f>
        <v>2</v>
      </c>
      <c r="I1882" s="57">
        <f>IFERROR(__xludf.DUMMYFUNCTION("""COMPUTED_VALUE"""),0.45)</f>
        <v>0.45</v>
      </c>
      <c r="J1882" s="57">
        <f>IFERROR(__xludf.DUMMYFUNCTION("""COMPUTED_VALUE"""),6.8)</f>
        <v>6.8</v>
      </c>
      <c r="K1882" s="57">
        <f>IFERROR(__xludf.DUMMYFUNCTION("""COMPUTED_VALUE"""),2.5)</f>
        <v>2.5</v>
      </c>
      <c r="L1882" s="54">
        <f>IFERROR(__xludf.DUMMYFUNCTION("""COMPUTED_VALUE"""),28.0)</f>
        <v>28</v>
      </c>
      <c r="M1882" s="3">
        <f>IFERROR(__xludf.DUMMYFUNCTION("""COMPUTED_VALUE"""),86.0)</f>
        <v>86</v>
      </c>
      <c r="N1882" s="3"/>
      <c r="O1882" s="3"/>
      <c r="P1882" s="3"/>
      <c r="Q1882" s="3"/>
      <c r="R1882" s="3">
        <f>IFERROR(__xludf.DUMMYFUNCTION("""COMPUTED_VALUE"""),0.0)</f>
        <v>0</v>
      </c>
      <c r="S1882" s="3"/>
      <c r="T1882" s="5"/>
      <c r="U1882" s="5"/>
      <c r="V1882" s="5"/>
      <c r="W1882" s="5"/>
    </row>
    <row r="1883" ht="15.75" customHeight="1">
      <c r="A1883" s="3">
        <f>IFERROR(__xludf.DUMMYFUNCTION("""COMPUTED_VALUE"""),1883.0)</f>
        <v>1883</v>
      </c>
      <c r="B1883" s="53">
        <f>IFERROR(__xludf.DUMMYFUNCTION("""COMPUTED_VALUE"""),46029.0)</f>
        <v>46029</v>
      </c>
      <c r="C1883" s="3">
        <f>IFERROR(__xludf.DUMMYFUNCTION("""COMPUTED_VALUE"""),44.0)</f>
        <v>44</v>
      </c>
      <c r="D1883" s="3" t="str">
        <f>IFERROR(__xludf.DUMMYFUNCTION("""COMPUTED_VALUE"""),"4bdef056")</f>
        <v>4bdef056</v>
      </c>
      <c r="E1883" s="54">
        <f>IFERROR(__xludf.DUMMYFUNCTION("""COMPUTED_VALUE"""),19100.0)</f>
        <v>19100</v>
      </c>
      <c r="F1883" s="3" t="str">
        <f>IFERROR(__xludf.DUMMYFUNCTION("""COMPUTED_VALUE"""),"Cabernet Sauvignon")</f>
        <v>Cabernet Sauvignon</v>
      </c>
      <c r="G1883" s="55">
        <f>IFERROR(__xludf.DUMMYFUNCTION("""COMPUTED_VALUE"""),12.8)</f>
        <v>12.8</v>
      </c>
      <c r="H1883" s="56">
        <f>IFERROR(__xludf.DUMMYFUNCTION("""COMPUTED_VALUE"""),2.0)</f>
        <v>2</v>
      </c>
      <c r="I1883" s="57">
        <f>IFERROR(__xludf.DUMMYFUNCTION("""COMPUTED_VALUE"""),0.46)</f>
        <v>0.46</v>
      </c>
      <c r="J1883" s="57">
        <f>IFERROR(__xludf.DUMMYFUNCTION("""COMPUTED_VALUE"""),6.85)</f>
        <v>6.85</v>
      </c>
      <c r="K1883" s="57">
        <f>IFERROR(__xludf.DUMMYFUNCTION("""COMPUTED_VALUE"""),2.41)</f>
        <v>2.41</v>
      </c>
      <c r="L1883" s="54">
        <f>IFERROR(__xludf.DUMMYFUNCTION("""COMPUTED_VALUE"""),26.0)</f>
        <v>26</v>
      </c>
      <c r="M1883" s="3">
        <f>IFERROR(__xludf.DUMMYFUNCTION("""COMPUTED_VALUE"""),164.0)</f>
        <v>164</v>
      </c>
      <c r="N1883" s="3"/>
      <c r="O1883" s="3"/>
      <c r="P1883" s="3"/>
      <c r="Q1883" s="3"/>
      <c r="R1883" s="3">
        <f>IFERROR(__xludf.DUMMYFUNCTION("""COMPUTED_VALUE"""),0.0)</f>
        <v>0</v>
      </c>
      <c r="S1883" s="3"/>
      <c r="T1883" s="5"/>
      <c r="U1883" s="5"/>
      <c r="V1883" s="5"/>
      <c r="W1883" s="5"/>
    </row>
    <row r="1884" ht="15.75" customHeight="1">
      <c r="A1884" s="3">
        <f>IFERROR(__xludf.DUMMYFUNCTION("""COMPUTED_VALUE"""),1884.0)</f>
        <v>1884</v>
      </c>
      <c r="B1884" s="53">
        <f>IFERROR(__xludf.DUMMYFUNCTION("""COMPUTED_VALUE"""),46029.0)</f>
        <v>46029</v>
      </c>
      <c r="C1884" s="3">
        <f>IFERROR(__xludf.DUMMYFUNCTION("""COMPUTED_VALUE"""),45.0)</f>
        <v>45</v>
      </c>
      <c r="D1884" s="3" t="str">
        <f>IFERROR(__xludf.DUMMYFUNCTION("""COMPUTED_VALUE"""),"56985b33")</f>
        <v>56985b33</v>
      </c>
      <c r="E1884" s="54">
        <f>IFERROR(__xludf.DUMMYFUNCTION("""COMPUTED_VALUE"""),30000.0)</f>
        <v>30000</v>
      </c>
      <c r="F1884" s="3" t="str">
        <f>IFERROR(__xludf.DUMMYFUNCTION("""COMPUTED_VALUE"""),"Malbec")</f>
        <v>Malbec</v>
      </c>
      <c r="G1884" s="55">
        <f>IFERROR(__xludf.DUMMYFUNCTION("""COMPUTED_VALUE"""),13.1)</f>
        <v>13.1</v>
      </c>
      <c r="H1884" s="56">
        <f>IFERROR(__xludf.DUMMYFUNCTION("""COMPUTED_VALUE"""),2.0)</f>
        <v>2</v>
      </c>
      <c r="I1884" s="57">
        <f>IFERROR(__xludf.DUMMYFUNCTION("""COMPUTED_VALUE"""),0.49)</f>
        <v>0.49</v>
      </c>
      <c r="J1884" s="57">
        <f>IFERROR(__xludf.DUMMYFUNCTION("""COMPUTED_VALUE"""),6.9)</f>
        <v>6.9</v>
      </c>
      <c r="K1884" s="57">
        <f>IFERROR(__xludf.DUMMYFUNCTION("""COMPUTED_VALUE"""),2.32)</f>
        <v>2.32</v>
      </c>
      <c r="L1884" s="54">
        <f>IFERROR(__xludf.DUMMYFUNCTION("""COMPUTED_VALUE"""),22.0)</f>
        <v>22</v>
      </c>
      <c r="M1884" s="3">
        <f>IFERROR(__xludf.DUMMYFUNCTION("""COMPUTED_VALUE"""),153.0)</f>
        <v>153</v>
      </c>
      <c r="N1884" s="3"/>
      <c r="O1884" s="3"/>
      <c r="P1884" s="3"/>
      <c r="Q1884" s="3"/>
      <c r="R1884" s="3">
        <f>IFERROR(__xludf.DUMMYFUNCTION("""COMPUTED_VALUE"""),0.0)</f>
        <v>0</v>
      </c>
      <c r="S1884" s="3"/>
      <c r="T1884" s="5"/>
      <c r="U1884" s="5"/>
      <c r="V1884" s="5"/>
      <c r="W1884" s="5"/>
    </row>
    <row r="1885" ht="15.75" customHeight="1">
      <c r="A1885" s="3">
        <f>IFERROR(__xludf.DUMMYFUNCTION("""COMPUTED_VALUE"""),1885.0)</f>
        <v>1885</v>
      </c>
      <c r="B1885" s="53">
        <f>IFERROR(__xludf.DUMMYFUNCTION("""COMPUTED_VALUE"""),46029.0)</f>
        <v>46029</v>
      </c>
      <c r="C1885" s="3">
        <f>IFERROR(__xludf.DUMMYFUNCTION("""COMPUTED_VALUE"""),46.0)</f>
        <v>46</v>
      </c>
      <c r="D1885" s="3" t="str">
        <f>IFERROR(__xludf.DUMMYFUNCTION("""COMPUTED_VALUE"""),"c205e72b")</f>
        <v>c205e72b</v>
      </c>
      <c r="E1885" s="54">
        <f>IFERROR(__xludf.DUMMYFUNCTION("""COMPUTED_VALUE"""),29000.0)</f>
        <v>29000</v>
      </c>
      <c r="F1885" s="3" t="str">
        <f>IFERROR(__xludf.DUMMYFUNCTION("""COMPUTED_VALUE"""),"Bonarda")</f>
        <v>Bonarda</v>
      </c>
      <c r="G1885" s="55">
        <f>IFERROR(__xludf.DUMMYFUNCTION("""COMPUTED_VALUE"""),13.4)</f>
        <v>13.4</v>
      </c>
      <c r="H1885" s="56">
        <f>IFERROR(__xludf.DUMMYFUNCTION("""COMPUTED_VALUE"""),2.0)</f>
        <v>2</v>
      </c>
      <c r="I1885" s="57">
        <f>IFERROR(__xludf.DUMMYFUNCTION("""COMPUTED_VALUE"""),0.54)</f>
        <v>0.54</v>
      </c>
      <c r="J1885" s="57">
        <f>IFERROR(__xludf.DUMMYFUNCTION("""COMPUTED_VALUE"""),5.2)</f>
        <v>5.2</v>
      </c>
      <c r="K1885" s="57">
        <f>IFERROR(__xludf.DUMMYFUNCTION("""COMPUTED_VALUE"""),3.64)</f>
        <v>3.64</v>
      </c>
      <c r="L1885" s="54">
        <f>IFERROR(__xludf.DUMMYFUNCTION("""COMPUTED_VALUE"""),43.0)</f>
        <v>43</v>
      </c>
      <c r="M1885" s="3">
        <f>IFERROR(__xludf.DUMMYFUNCTION("""COMPUTED_VALUE"""),202.0)</f>
        <v>202</v>
      </c>
      <c r="N1885" s="3"/>
      <c r="O1885" s="3"/>
      <c r="P1885" s="3"/>
      <c r="Q1885" s="3"/>
      <c r="R1885" s="3">
        <f>IFERROR(__xludf.DUMMYFUNCTION("""COMPUTED_VALUE"""),0.0)</f>
        <v>0</v>
      </c>
      <c r="S1885" s="3"/>
      <c r="T1885" s="5"/>
      <c r="U1885" s="5"/>
      <c r="V1885" s="5"/>
      <c r="W1885" s="5"/>
    </row>
    <row r="1886" ht="15.75" customHeight="1">
      <c r="A1886" s="3">
        <f>IFERROR(__xludf.DUMMYFUNCTION("""COMPUTED_VALUE"""),1886.0)</f>
        <v>1886</v>
      </c>
      <c r="B1886" s="53">
        <f>IFERROR(__xludf.DUMMYFUNCTION("""COMPUTED_VALUE"""),46030.0)</f>
        <v>46030</v>
      </c>
      <c r="C1886" s="3">
        <f>IFERROR(__xludf.DUMMYFUNCTION("""COMPUTED_VALUE"""),47.0)</f>
        <v>47</v>
      </c>
      <c r="D1886" s="3" t="str">
        <f>IFERROR(__xludf.DUMMYFUNCTION("""COMPUTED_VALUE"""),"7e87134c")</f>
        <v>7e87134c</v>
      </c>
      <c r="E1886" s="54">
        <f>IFERROR(__xludf.DUMMYFUNCTION("""COMPUTED_VALUE"""),20000.0)</f>
        <v>20000</v>
      </c>
      <c r="F1886" s="3" t="str">
        <f>IFERROR(__xludf.DUMMYFUNCTION("""COMPUTED_VALUE"""),"Cabernet Sauvignon")</f>
        <v>Cabernet Sauvignon</v>
      </c>
      <c r="G1886" s="55">
        <f>IFERROR(__xludf.DUMMYFUNCTION("""COMPUTED_VALUE"""),12.7)</f>
        <v>12.7</v>
      </c>
      <c r="H1886" s="56">
        <f>IFERROR(__xludf.DUMMYFUNCTION("""COMPUTED_VALUE"""),2.0)</f>
        <v>2</v>
      </c>
      <c r="I1886" s="57">
        <f>IFERROR(__xludf.DUMMYFUNCTION("""COMPUTED_VALUE"""),0.55)</f>
        <v>0.55</v>
      </c>
      <c r="J1886" s="57">
        <f>IFERROR(__xludf.DUMMYFUNCTION("""COMPUTED_VALUE"""),7.2)</f>
        <v>7.2</v>
      </c>
      <c r="K1886" s="57">
        <f>IFERROR(__xludf.DUMMYFUNCTION("""COMPUTED_VALUE"""),2.55)</f>
        <v>2.55</v>
      </c>
      <c r="L1886" s="54">
        <f>IFERROR(__xludf.DUMMYFUNCTION("""COMPUTED_VALUE"""),22.0)</f>
        <v>22</v>
      </c>
      <c r="M1886" s="3">
        <f>IFERROR(__xludf.DUMMYFUNCTION("""COMPUTED_VALUE"""),166.0)</f>
        <v>166</v>
      </c>
      <c r="N1886" s="3"/>
      <c r="O1886" s="3"/>
      <c r="P1886" s="3"/>
      <c r="Q1886" s="3"/>
      <c r="R1886" s="3">
        <f>IFERROR(__xludf.DUMMYFUNCTION("""COMPUTED_VALUE"""),0.0)</f>
        <v>0</v>
      </c>
      <c r="S1886" s="3"/>
      <c r="T1886" s="5"/>
      <c r="U1886" s="5"/>
      <c r="V1886" s="5"/>
      <c r="W1886" s="5"/>
    </row>
    <row r="1887" ht="15.75" customHeight="1">
      <c r="A1887" s="3">
        <f>IFERROR(__xludf.DUMMYFUNCTION("""COMPUTED_VALUE"""),1887.0)</f>
        <v>1887</v>
      </c>
      <c r="B1887" s="53">
        <f>IFERROR(__xludf.DUMMYFUNCTION("""COMPUTED_VALUE"""),46030.0)</f>
        <v>46030</v>
      </c>
      <c r="C1887" s="3">
        <f>IFERROR(__xludf.DUMMYFUNCTION("""COMPUTED_VALUE"""),48.0)</f>
        <v>48</v>
      </c>
      <c r="D1887" s="3" t="str">
        <f>IFERROR(__xludf.DUMMYFUNCTION("""COMPUTED_VALUE"""),"f98c39b0")</f>
        <v>f98c39b0</v>
      </c>
      <c r="E1887" s="54">
        <f>IFERROR(__xludf.DUMMYFUNCTION("""COMPUTED_VALUE"""),26000.0)</f>
        <v>26000</v>
      </c>
      <c r="F1887" s="3" t="str">
        <f>IFERROR(__xludf.DUMMYFUNCTION("""COMPUTED_VALUE"""),"Cabernet Sauvignon")</f>
        <v>Cabernet Sauvignon</v>
      </c>
      <c r="G1887" s="55">
        <f>IFERROR(__xludf.DUMMYFUNCTION("""COMPUTED_VALUE"""),12.7)</f>
        <v>12.7</v>
      </c>
      <c r="H1887" s="56">
        <f>IFERROR(__xludf.DUMMYFUNCTION("""COMPUTED_VALUE"""),2.0)</f>
        <v>2</v>
      </c>
      <c r="I1887" s="57">
        <f>IFERROR(__xludf.DUMMYFUNCTION("""COMPUTED_VALUE"""),0.61)</f>
        <v>0.61</v>
      </c>
      <c r="J1887" s="57">
        <f>IFERROR(__xludf.DUMMYFUNCTION("""COMPUTED_VALUE"""),7.3)</f>
        <v>7.3</v>
      </c>
      <c r="K1887" s="57">
        <f>IFERROR(__xludf.DUMMYFUNCTION("""COMPUTED_VALUE"""),2.4)</f>
        <v>2.4</v>
      </c>
      <c r="L1887" s="54">
        <f>IFERROR(__xludf.DUMMYFUNCTION("""COMPUTED_VALUE"""),20.0)</f>
        <v>20</v>
      </c>
      <c r="M1887" s="3">
        <f>IFERROR(__xludf.DUMMYFUNCTION("""COMPUTED_VALUE"""),156.0)</f>
        <v>156</v>
      </c>
      <c r="N1887" s="3"/>
      <c r="O1887" s="3"/>
      <c r="P1887" s="3"/>
      <c r="Q1887" s="3"/>
      <c r="R1887" s="3">
        <f>IFERROR(__xludf.DUMMYFUNCTION("""COMPUTED_VALUE"""),0.0)</f>
        <v>0</v>
      </c>
      <c r="S1887" s="3"/>
      <c r="T1887" s="5"/>
      <c r="U1887" s="5"/>
      <c r="V1887" s="5"/>
      <c r="W1887" s="5"/>
    </row>
    <row r="1888" ht="15.75" customHeight="1">
      <c r="A1888" s="3">
        <f>IFERROR(__xludf.DUMMYFUNCTION("""COMPUTED_VALUE"""),1888.0)</f>
        <v>1888</v>
      </c>
      <c r="B1888" s="53">
        <f>IFERROR(__xludf.DUMMYFUNCTION("""COMPUTED_VALUE"""),46030.0)</f>
        <v>46030</v>
      </c>
      <c r="C1888" s="3">
        <f>IFERROR(__xludf.DUMMYFUNCTION("""COMPUTED_VALUE"""),49.0)</f>
        <v>49</v>
      </c>
      <c r="D1888" s="3" t="str">
        <f>IFERROR(__xludf.DUMMYFUNCTION("""COMPUTED_VALUE"""),"ee0770a6")</f>
        <v>ee0770a6</v>
      </c>
      <c r="E1888" s="54">
        <f>IFERROR(__xludf.DUMMYFUNCTION("""COMPUTED_VALUE"""),26000.0)</f>
        <v>26000</v>
      </c>
      <c r="F1888" s="3" t="str">
        <f>IFERROR(__xludf.DUMMYFUNCTION("""COMPUTED_VALUE"""),"Malbec Rectificado")</f>
        <v>Malbec Rectificado</v>
      </c>
      <c r="G1888" s="55">
        <f>IFERROR(__xludf.DUMMYFUNCTION("""COMPUTED_VALUE"""),13.0)</f>
        <v>13</v>
      </c>
      <c r="H1888" s="56">
        <f>IFERROR(__xludf.DUMMYFUNCTION("""COMPUTED_VALUE"""),2.0)</f>
        <v>2</v>
      </c>
      <c r="I1888" s="57">
        <f>IFERROR(__xludf.DUMMYFUNCTION("""COMPUTED_VALUE"""),0.56)</f>
        <v>0.56</v>
      </c>
      <c r="J1888" s="3"/>
      <c r="K1888" s="57">
        <f>IFERROR(__xludf.DUMMYFUNCTION("""COMPUTED_VALUE"""),2.56)</f>
        <v>2.56</v>
      </c>
      <c r="L1888" s="54">
        <f>IFERROR(__xludf.DUMMYFUNCTION("""COMPUTED_VALUE"""),25.0)</f>
        <v>25</v>
      </c>
      <c r="M1888" s="3">
        <f>IFERROR(__xludf.DUMMYFUNCTION("""COMPUTED_VALUE"""),180.0)</f>
        <v>180</v>
      </c>
      <c r="N1888" s="3"/>
      <c r="O1888" s="3"/>
      <c r="P1888" s="3"/>
      <c r="Q1888" s="3"/>
      <c r="R1888" s="3">
        <f>IFERROR(__xludf.DUMMYFUNCTION("""COMPUTED_VALUE"""),0.0)</f>
        <v>0</v>
      </c>
      <c r="S1888" s="3"/>
      <c r="T1888" s="5"/>
      <c r="U1888" s="5"/>
      <c r="V1888" s="5"/>
      <c r="W1888" s="5"/>
    </row>
    <row r="1889" ht="15.75" customHeight="1">
      <c r="A1889" s="3">
        <f>IFERROR(__xludf.DUMMYFUNCTION("""COMPUTED_VALUE"""),1889.0)</f>
        <v>1889</v>
      </c>
      <c r="B1889" s="53">
        <f>IFERROR(__xludf.DUMMYFUNCTION("""COMPUTED_VALUE"""),46031.0)</f>
        <v>46031</v>
      </c>
      <c r="C1889" s="3">
        <f>IFERROR(__xludf.DUMMYFUNCTION("""COMPUTED_VALUE"""),50.0)</f>
        <v>50</v>
      </c>
      <c r="D1889" s="3" t="str">
        <f>IFERROR(__xludf.DUMMYFUNCTION("""COMPUTED_VALUE"""),"#REF!")</f>
        <v>#REF!</v>
      </c>
      <c r="E1889" s="3"/>
      <c r="F1889" s="3" t="str">
        <f>IFERROR(__xludf.DUMMYFUNCTION("""COMPUTED_VALUE"""),"Angelotta-Aspirant")</f>
        <v>Angelotta-Aspirant</v>
      </c>
      <c r="G1889" s="55">
        <f>IFERROR(__xludf.DUMMYFUNCTION("""COMPUTED_VALUE"""),12.8)</f>
        <v>12.8</v>
      </c>
      <c r="H1889" s="56">
        <f>IFERROR(__xludf.DUMMYFUNCTION("""COMPUTED_VALUE"""),2.0)</f>
        <v>2</v>
      </c>
      <c r="I1889" s="57">
        <f>IFERROR(__xludf.DUMMYFUNCTION("""COMPUTED_VALUE"""),0.61)</f>
        <v>0.61</v>
      </c>
      <c r="J1889" s="57">
        <f>IFERROR(__xludf.DUMMYFUNCTION("""COMPUTED_VALUE"""),6.12)</f>
        <v>6.12</v>
      </c>
      <c r="K1889" s="57">
        <f>IFERROR(__xludf.DUMMYFUNCTION("""COMPUTED_VALUE"""),3.6)</f>
        <v>3.6</v>
      </c>
      <c r="L1889" s="54">
        <f>IFERROR(__xludf.DUMMYFUNCTION("""COMPUTED_VALUE"""),45.0)</f>
        <v>45</v>
      </c>
      <c r="M1889" s="3">
        <f>IFERROR(__xludf.DUMMYFUNCTION("""COMPUTED_VALUE"""),130.0)</f>
        <v>130</v>
      </c>
      <c r="N1889" s="3"/>
      <c r="O1889" s="3"/>
      <c r="P1889" s="3"/>
      <c r="Q1889" s="3"/>
      <c r="R1889" s="3">
        <f>IFERROR(__xludf.DUMMYFUNCTION("""COMPUTED_VALUE"""),0.0)</f>
        <v>0</v>
      </c>
      <c r="S1889" s="3"/>
      <c r="T1889" s="5"/>
      <c r="U1889" s="5"/>
      <c r="V1889" s="5"/>
      <c r="W1889" s="5"/>
    </row>
    <row r="1890" ht="15.75" customHeight="1">
      <c r="A1890" s="3">
        <f>IFERROR(__xludf.DUMMYFUNCTION("""COMPUTED_VALUE"""),1890.0)</f>
        <v>1890</v>
      </c>
      <c r="B1890" s="53">
        <f>IFERROR(__xludf.DUMMYFUNCTION("""COMPUTED_VALUE"""),46031.0)</f>
        <v>46031</v>
      </c>
      <c r="C1890" s="3">
        <f>IFERROR(__xludf.DUMMYFUNCTION("""COMPUTED_VALUE"""),54.0)</f>
        <v>54</v>
      </c>
      <c r="D1890" s="3" t="str">
        <f>IFERROR(__xludf.DUMMYFUNCTION("""COMPUTED_VALUE"""),"9b04723e")</f>
        <v>9b04723e</v>
      </c>
      <c r="E1890" s="54">
        <f>IFERROR(__xludf.DUMMYFUNCTION("""COMPUTED_VALUE"""),22900.0)</f>
        <v>22900</v>
      </c>
      <c r="F1890" s="3" t="str">
        <f>IFERROR(__xludf.DUMMYFUNCTION("""COMPUTED_VALUE"""),"Cabernet Sauvignon Rect")</f>
        <v>Cabernet Sauvignon Rect</v>
      </c>
      <c r="G1890" s="55">
        <f>IFERROR(__xludf.DUMMYFUNCTION("""COMPUTED_VALUE"""),12.6)</f>
        <v>12.6</v>
      </c>
      <c r="H1890" s="56">
        <f>IFERROR(__xludf.DUMMYFUNCTION("""COMPUTED_VALUE"""),2.0)</f>
        <v>2</v>
      </c>
      <c r="I1890" s="57">
        <f>IFERROR(__xludf.DUMMYFUNCTION("""COMPUTED_VALUE"""),0.57)</f>
        <v>0.57</v>
      </c>
      <c r="J1890" s="57">
        <f>IFERROR(__xludf.DUMMYFUNCTION("""COMPUTED_VALUE"""),7.0)</f>
        <v>7</v>
      </c>
      <c r="K1890" s="57">
        <f>IFERROR(__xludf.DUMMYFUNCTION("""COMPUTED_VALUE"""),2.34)</f>
        <v>2.34</v>
      </c>
      <c r="L1890" s="54">
        <f>IFERROR(__xludf.DUMMYFUNCTION("""COMPUTED_VALUE"""),18.0)</f>
        <v>18</v>
      </c>
      <c r="M1890" s="3">
        <f>IFERROR(__xludf.DUMMYFUNCTION("""COMPUTED_VALUE"""),153.0)</f>
        <v>153</v>
      </c>
      <c r="N1890" s="3"/>
      <c r="O1890" s="3"/>
      <c r="P1890" s="3"/>
      <c r="Q1890" s="3"/>
      <c r="R1890" s="3">
        <f>IFERROR(__xludf.DUMMYFUNCTION("""COMPUTED_VALUE"""),0.0)</f>
        <v>0</v>
      </c>
      <c r="S1890" s="3"/>
      <c r="T1890" s="5"/>
      <c r="U1890" s="5"/>
      <c r="V1890" s="5"/>
      <c r="W1890" s="5"/>
    </row>
    <row r="1891" ht="15.75" customHeight="1">
      <c r="A1891" s="3">
        <f>IFERROR(__xludf.DUMMYFUNCTION("""COMPUTED_VALUE"""),1891.0)</f>
        <v>1891</v>
      </c>
      <c r="B1891" s="53">
        <f>IFERROR(__xludf.DUMMYFUNCTION("""COMPUTED_VALUE"""),46031.0)</f>
        <v>46031</v>
      </c>
      <c r="C1891" s="3">
        <f>IFERROR(__xludf.DUMMYFUNCTION("""COMPUTED_VALUE"""),67.0)</f>
        <v>67</v>
      </c>
      <c r="D1891" s="3" t="str">
        <f>IFERROR(__xludf.DUMMYFUNCTION("""COMPUTED_VALUE"""),"15c4b406")</f>
        <v>15c4b406</v>
      </c>
      <c r="E1891" s="54">
        <f>IFERROR(__xludf.DUMMYFUNCTION("""COMPUTED_VALUE"""),23000.0)</f>
        <v>23000</v>
      </c>
      <c r="F1891" s="3" t="str">
        <f>IFERROR(__xludf.DUMMYFUNCTION("""COMPUTED_VALUE"""),"Chardonnay")</f>
        <v>Chardonnay</v>
      </c>
      <c r="G1891" s="55">
        <f>IFERROR(__xludf.DUMMYFUNCTION("""COMPUTED_VALUE"""),12.4)</f>
        <v>12.4</v>
      </c>
      <c r="H1891" s="56">
        <f>IFERROR(__xludf.DUMMYFUNCTION("""COMPUTED_VALUE"""),2.0)</f>
        <v>2</v>
      </c>
      <c r="I1891" s="57">
        <f>IFERROR(__xludf.DUMMYFUNCTION("""COMPUTED_VALUE"""),0.4)</f>
        <v>0.4</v>
      </c>
      <c r="J1891" s="57">
        <f>IFERROR(__xludf.DUMMYFUNCTION("""COMPUTED_VALUE"""),5.8)</f>
        <v>5.8</v>
      </c>
      <c r="K1891" s="57">
        <f>IFERROR(__xludf.DUMMYFUNCTION("""COMPUTED_VALUE"""),3.38)</f>
        <v>3.38</v>
      </c>
      <c r="L1891" s="54">
        <f>IFERROR(__xludf.DUMMYFUNCTION("""COMPUTED_VALUE"""),40.0)</f>
        <v>40</v>
      </c>
      <c r="M1891" s="3">
        <f>IFERROR(__xludf.DUMMYFUNCTION("""COMPUTED_VALUE"""),140.0)</f>
        <v>140</v>
      </c>
      <c r="N1891" s="3"/>
      <c r="O1891" s="3"/>
      <c r="P1891" s="3"/>
      <c r="Q1891" s="3"/>
      <c r="R1891" s="3">
        <f>IFERROR(__xludf.DUMMYFUNCTION("""COMPUTED_VALUE"""),0.0)</f>
        <v>0</v>
      </c>
      <c r="S1891" s="3"/>
      <c r="T1891" s="5"/>
      <c r="U1891" s="5"/>
      <c r="V1891" s="5"/>
      <c r="W1891" s="5"/>
    </row>
    <row r="1892" ht="15.75" customHeight="1">
      <c r="A1892" s="3">
        <f>IFERROR(__xludf.DUMMYFUNCTION("""COMPUTED_VALUE"""),1892.0)</f>
        <v>1892</v>
      </c>
      <c r="B1892" s="53">
        <f>IFERROR(__xludf.DUMMYFUNCTION("""COMPUTED_VALUE"""),46031.0)</f>
        <v>46031</v>
      </c>
      <c r="C1892" s="3">
        <f>IFERROR(__xludf.DUMMYFUNCTION("""COMPUTED_VALUE"""),68.0)</f>
        <v>68</v>
      </c>
      <c r="D1892" s="3" t="str">
        <f>IFERROR(__xludf.DUMMYFUNCTION("""COMPUTED_VALUE"""),"af8d0a82")</f>
        <v>af8d0a82</v>
      </c>
      <c r="E1892" s="54">
        <f>IFERROR(__xludf.DUMMYFUNCTION("""COMPUTED_VALUE"""),13000.0)</f>
        <v>13000</v>
      </c>
      <c r="F1892" s="3" t="str">
        <f>IFERROR(__xludf.DUMMYFUNCTION("""COMPUTED_VALUE"""),"Aspirant  Malbec Rect")</f>
        <v>Aspirant  Malbec Rect</v>
      </c>
      <c r="G1892" s="55">
        <f>IFERROR(__xludf.DUMMYFUNCTION("""COMPUTED_VALUE"""),12.9)</f>
        <v>12.9</v>
      </c>
      <c r="H1892" s="56">
        <f>IFERROR(__xludf.DUMMYFUNCTION("""COMPUTED_VALUE"""),2.0)</f>
        <v>2</v>
      </c>
      <c r="I1892" s="57">
        <f>IFERROR(__xludf.DUMMYFUNCTION("""COMPUTED_VALUE"""),0.51)</f>
        <v>0.51</v>
      </c>
      <c r="J1892" s="57">
        <f>IFERROR(__xludf.DUMMYFUNCTION("""COMPUTED_VALUE"""),6.9)</f>
        <v>6.9</v>
      </c>
      <c r="K1892" s="57">
        <f>IFERROR(__xludf.DUMMYFUNCTION("""COMPUTED_VALUE"""),2.2)</f>
        <v>2.2</v>
      </c>
      <c r="L1892" s="54">
        <f>IFERROR(__xludf.DUMMYFUNCTION("""COMPUTED_VALUE"""),16.0)</f>
        <v>16</v>
      </c>
      <c r="M1892" s="3">
        <f>IFERROR(__xludf.DUMMYFUNCTION("""COMPUTED_VALUE"""),110.0)</f>
        <v>110</v>
      </c>
      <c r="N1892" s="3"/>
      <c r="O1892" s="3"/>
      <c r="P1892" s="3"/>
      <c r="Q1892" s="3"/>
      <c r="R1892" s="3">
        <f>IFERROR(__xludf.DUMMYFUNCTION("""COMPUTED_VALUE"""),0.0)</f>
        <v>0</v>
      </c>
      <c r="S1892" s="3"/>
      <c r="T1892" s="5"/>
      <c r="U1892" s="5"/>
      <c r="V1892" s="5"/>
      <c r="W1892" s="5"/>
    </row>
    <row r="1893" ht="15.75" customHeight="1">
      <c r="A1893" s="3">
        <f>IFERROR(__xludf.DUMMYFUNCTION("""COMPUTED_VALUE"""),1893.0)</f>
        <v>1893</v>
      </c>
      <c r="B1893" s="53">
        <f>IFERROR(__xludf.DUMMYFUNCTION("""COMPUTED_VALUE"""),46031.0)</f>
        <v>46031</v>
      </c>
      <c r="C1893" s="3">
        <f>IFERROR(__xludf.DUMMYFUNCTION("""COMPUTED_VALUE"""),74.0)</f>
        <v>74</v>
      </c>
      <c r="D1893" s="3" t="str">
        <f>IFERROR(__xludf.DUMMYFUNCTION("""COMPUTED_VALUE"""),"cdfb4c74")</f>
        <v>cdfb4c74</v>
      </c>
      <c r="E1893" s="54">
        <f>IFERROR(__xludf.DUMMYFUNCTION("""COMPUTED_VALUE"""),13000.0)</f>
        <v>13000</v>
      </c>
      <c r="F1893" s="3" t="str">
        <f>IFERROR(__xludf.DUMMYFUNCTION("""COMPUTED_VALUE"""),"Cabernet Sauvignon")</f>
        <v>Cabernet Sauvignon</v>
      </c>
      <c r="G1893" s="55">
        <f>IFERROR(__xludf.DUMMYFUNCTION("""COMPUTED_VALUE"""),13.1)</f>
        <v>13.1</v>
      </c>
      <c r="H1893" s="56">
        <f>IFERROR(__xludf.DUMMYFUNCTION("""COMPUTED_VALUE"""),2.0)</f>
        <v>2</v>
      </c>
      <c r="I1893" s="57">
        <f>IFERROR(__xludf.DUMMYFUNCTION("""COMPUTED_VALUE"""),0.59)</f>
        <v>0.59</v>
      </c>
      <c r="J1893" s="57">
        <f>IFERROR(__xludf.DUMMYFUNCTION("""COMPUTED_VALUE"""),5.2)</f>
        <v>5.2</v>
      </c>
      <c r="K1893" s="57">
        <f>IFERROR(__xludf.DUMMYFUNCTION("""COMPUTED_VALUE"""),3.6)</f>
        <v>3.6</v>
      </c>
      <c r="L1893" s="54">
        <f>IFERROR(__xludf.DUMMYFUNCTION("""COMPUTED_VALUE"""),40.0)</f>
        <v>40</v>
      </c>
      <c r="M1893" s="3">
        <f>IFERROR(__xludf.DUMMYFUNCTION("""COMPUTED_VALUE"""),176.0)</f>
        <v>176</v>
      </c>
      <c r="N1893" s="3"/>
      <c r="O1893" s="3"/>
      <c r="P1893" s="3"/>
      <c r="Q1893" s="3"/>
      <c r="R1893" s="3">
        <f>IFERROR(__xludf.DUMMYFUNCTION("""COMPUTED_VALUE"""),0.0)</f>
        <v>0</v>
      </c>
      <c r="S1893" s="3"/>
      <c r="T1893" s="5"/>
      <c r="U1893" s="5"/>
      <c r="V1893" s="5"/>
      <c r="W1893" s="5"/>
    </row>
    <row r="1894" ht="15.75" customHeight="1">
      <c r="A1894" s="3">
        <f>IFERROR(__xludf.DUMMYFUNCTION("""COMPUTED_VALUE"""),1894.0)</f>
        <v>1894</v>
      </c>
      <c r="B1894" s="53">
        <f>IFERROR(__xludf.DUMMYFUNCTION("""COMPUTED_VALUE"""),46034.0)</f>
        <v>46034</v>
      </c>
      <c r="C1894" s="3">
        <f>IFERROR(__xludf.DUMMYFUNCTION("""COMPUTED_VALUE"""),76.0)</f>
        <v>76</v>
      </c>
      <c r="D1894" s="3" t="str">
        <f>IFERROR(__xludf.DUMMYFUNCTION("""COMPUTED_VALUE"""),"e454d4b3")</f>
        <v>e454d4b3</v>
      </c>
      <c r="E1894" s="54">
        <f>IFERROR(__xludf.DUMMYFUNCTION("""COMPUTED_VALUE"""),25500.0)</f>
        <v>25500</v>
      </c>
      <c r="F1894" s="3" t="str">
        <f>IFERROR(__xludf.DUMMYFUNCTION("""COMPUTED_VALUE"""),"Tannat")</f>
        <v>Tannat</v>
      </c>
      <c r="G1894" s="55">
        <f>IFERROR(__xludf.DUMMYFUNCTION("""COMPUTED_VALUE"""),13.2)</f>
        <v>13.2</v>
      </c>
      <c r="H1894" s="56">
        <f>IFERROR(__xludf.DUMMYFUNCTION("""COMPUTED_VALUE"""),2.0)</f>
        <v>2</v>
      </c>
      <c r="I1894" s="57">
        <f>IFERROR(__xludf.DUMMYFUNCTION("""COMPUTED_VALUE"""),0.56)</f>
        <v>0.56</v>
      </c>
      <c r="J1894" s="57">
        <f>IFERROR(__xludf.DUMMYFUNCTION("""COMPUTED_VALUE"""),5.0)</f>
        <v>5</v>
      </c>
      <c r="K1894" s="57">
        <f>IFERROR(__xludf.DUMMYFUNCTION("""COMPUTED_VALUE"""),3.61)</f>
        <v>3.61</v>
      </c>
      <c r="L1894" s="54">
        <f>IFERROR(__xludf.DUMMYFUNCTION("""COMPUTED_VALUE"""),30.0)</f>
        <v>30</v>
      </c>
      <c r="M1894" s="3">
        <f>IFERROR(__xludf.DUMMYFUNCTION("""COMPUTED_VALUE"""),108.0)</f>
        <v>108</v>
      </c>
      <c r="N1894" s="3"/>
      <c r="O1894" s="3"/>
      <c r="P1894" s="3"/>
      <c r="Q1894" s="3"/>
      <c r="R1894" s="3">
        <f>IFERROR(__xludf.DUMMYFUNCTION("""COMPUTED_VALUE"""),0.0)</f>
        <v>0</v>
      </c>
      <c r="S1894" s="3"/>
      <c r="T1894" s="5"/>
      <c r="U1894" s="5"/>
      <c r="V1894" s="5"/>
      <c r="W1894" s="5"/>
    </row>
    <row r="1895" ht="15.75" customHeight="1">
      <c r="A1895" s="3">
        <f>IFERROR(__xludf.DUMMYFUNCTION("""COMPUTED_VALUE"""),1895.0)</f>
        <v>1895</v>
      </c>
      <c r="B1895" s="53">
        <f>IFERROR(__xludf.DUMMYFUNCTION("""COMPUTED_VALUE"""),46034.0)</f>
        <v>46034</v>
      </c>
      <c r="C1895" s="3">
        <f>IFERROR(__xludf.DUMMYFUNCTION("""COMPUTED_VALUE"""),79.0)</f>
        <v>79</v>
      </c>
      <c r="D1895" s="3" t="str">
        <f>IFERROR(__xludf.DUMMYFUNCTION("""COMPUTED_VALUE"""),"aa2704ae")</f>
        <v>aa2704ae</v>
      </c>
      <c r="E1895" s="54">
        <f>IFERROR(__xludf.DUMMYFUNCTION("""COMPUTED_VALUE"""),26000.0)</f>
        <v>26000</v>
      </c>
      <c r="F1895" s="3" t="str">
        <f>IFERROR(__xludf.DUMMYFUNCTION("""COMPUTED_VALUE"""),"Malbec Rect")</f>
        <v>Malbec Rect</v>
      </c>
      <c r="G1895" s="55">
        <f>IFERROR(__xludf.DUMMYFUNCTION("""COMPUTED_VALUE"""),12.9)</f>
        <v>12.9</v>
      </c>
      <c r="H1895" s="56">
        <f>IFERROR(__xludf.DUMMYFUNCTION("""COMPUTED_VALUE"""),2.0)</f>
        <v>2</v>
      </c>
      <c r="I1895" s="57">
        <f>IFERROR(__xludf.DUMMYFUNCTION("""COMPUTED_VALUE"""),0.55)</f>
        <v>0.55</v>
      </c>
      <c r="J1895" s="57">
        <f>IFERROR(__xludf.DUMMYFUNCTION("""COMPUTED_VALUE"""),6.0)</f>
        <v>6</v>
      </c>
      <c r="K1895" s="57">
        <f>IFERROR(__xludf.DUMMYFUNCTION("""COMPUTED_VALUE"""),2.4)</f>
        <v>2.4</v>
      </c>
      <c r="L1895" s="54">
        <f>IFERROR(__xludf.DUMMYFUNCTION("""COMPUTED_VALUE"""),20.0)</f>
        <v>20</v>
      </c>
      <c r="M1895" s="3">
        <f>IFERROR(__xludf.DUMMYFUNCTION("""COMPUTED_VALUE"""),113.0)</f>
        <v>113</v>
      </c>
      <c r="N1895" s="3"/>
      <c r="O1895" s="3"/>
      <c r="P1895" s="3"/>
      <c r="Q1895" s="3"/>
      <c r="R1895" s="3">
        <f>IFERROR(__xludf.DUMMYFUNCTION("""COMPUTED_VALUE"""),0.0)</f>
        <v>0</v>
      </c>
      <c r="S1895" s="3"/>
      <c r="T1895" s="5"/>
      <c r="U1895" s="5"/>
      <c r="V1895" s="5"/>
      <c r="W1895" s="5"/>
    </row>
    <row r="1896" ht="15.75" customHeight="1">
      <c r="A1896" s="3">
        <f>IFERROR(__xludf.DUMMYFUNCTION("""COMPUTED_VALUE"""),1896.0)</f>
        <v>1896</v>
      </c>
      <c r="B1896" s="53">
        <f>IFERROR(__xludf.DUMMYFUNCTION("""COMPUTED_VALUE"""),46034.0)</f>
        <v>46034</v>
      </c>
      <c r="C1896" s="3">
        <f>IFERROR(__xludf.DUMMYFUNCTION("""COMPUTED_VALUE"""),82.0)</f>
        <v>82</v>
      </c>
      <c r="D1896" s="3" t="str">
        <f>IFERROR(__xludf.DUMMYFUNCTION("""COMPUTED_VALUE"""),"f3a40125")</f>
        <v>f3a40125</v>
      </c>
      <c r="E1896" s="54">
        <f>IFERROR(__xludf.DUMMYFUNCTION("""COMPUTED_VALUE"""),42600.0)</f>
        <v>42600</v>
      </c>
      <c r="F1896" s="3" t="str">
        <f>IFERROR(__xludf.DUMMYFUNCTION("""COMPUTED_VALUE"""),"Syrah")</f>
        <v>Syrah</v>
      </c>
      <c r="G1896" s="55">
        <f>IFERROR(__xludf.DUMMYFUNCTION("""COMPUTED_VALUE"""),13.4)</f>
        <v>13.4</v>
      </c>
      <c r="H1896" s="56">
        <f>IFERROR(__xludf.DUMMYFUNCTION("""COMPUTED_VALUE"""),2.0)</f>
        <v>2</v>
      </c>
      <c r="I1896" s="57">
        <f>IFERROR(__xludf.DUMMYFUNCTION("""COMPUTED_VALUE"""),0.55)</f>
        <v>0.55</v>
      </c>
      <c r="J1896" s="57">
        <f>IFERROR(__xludf.DUMMYFUNCTION("""COMPUTED_VALUE"""),5.3)</f>
        <v>5.3</v>
      </c>
      <c r="K1896" s="57">
        <f>IFERROR(__xludf.DUMMYFUNCTION("""COMPUTED_VALUE"""),3.55)</f>
        <v>3.55</v>
      </c>
      <c r="L1896" s="54">
        <f>IFERROR(__xludf.DUMMYFUNCTION("""COMPUTED_VALUE"""),30.0)</f>
        <v>30</v>
      </c>
      <c r="M1896" s="3">
        <f>IFERROR(__xludf.DUMMYFUNCTION("""COMPUTED_VALUE"""),133.0)</f>
        <v>133</v>
      </c>
      <c r="N1896" s="3"/>
      <c r="O1896" s="3"/>
      <c r="P1896" s="3"/>
      <c r="Q1896" s="3"/>
      <c r="R1896" s="3">
        <f>IFERROR(__xludf.DUMMYFUNCTION("""COMPUTED_VALUE"""),0.0)</f>
        <v>0</v>
      </c>
      <c r="S1896" s="3"/>
      <c r="T1896" s="5"/>
      <c r="U1896" s="5"/>
      <c r="V1896" s="5"/>
      <c r="W1896" s="5"/>
    </row>
    <row r="1897" ht="15.75" customHeight="1">
      <c r="A1897" s="3">
        <f>IFERROR(__xludf.DUMMYFUNCTION("""COMPUTED_VALUE"""),1897.0)</f>
        <v>1897</v>
      </c>
      <c r="B1897" s="53">
        <f>IFERROR(__xludf.DUMMYFUNCTION("""COMPUTED_VALUE"""),46034.0)</f>
        <v>46034</v>
      </c>
      <c r="C1897" s="3">
        <f>IFERROR(__xludf.DUMMYFUNCTION("""COMPUTED_VALUE"""),84.0)</f>
        <v>84</v>
      </c>
      <c r="D1897" s="3" t="str">
        <f>IFERROR(__xludf.DUMMYFUNCTION("""COMPUTED_VALUE"""),"52e2d0ea")</f>
        <v>52e2d0ea</v>
      </c>
      <c r="E1897" s="54">
        <f>IFERROR(__xludf.DUMMYFUNCTION("""COMPUTED_VALUE"""),83000.0)</f>
        <v>83000</v>
      </c>
      <c r="F1897" s="3" t="str">
        <f>IFERROR(__xludf.DUMMYFUNCTION("""COMPUTED_VALUE"""),"Malbec")</f>
        <v>Malbec</v>
      </c>
      <c r="G1897" s="55">
        <f>IFERROR(__xludf.DUMMYFUNCTION("""COMPUTED_VALUE"""),13.1)</f>
        <v>13.1</v>
      </c>
      <c r="H1897" s="56">
        <f>IFERROR(__xludf.DUMMYFUNCTION("""COMPUTED_VALUE"""),2.0)</f>
        <v>2</v>
      </c>
      <c r="I1897" s="57">
        <f>IFERROR(__xludf.DUMMYFUNCTION("""COMPUTED_VALUE"""),0.57)</f>
        <v>0.57</v>
      </c>
      <c r="J1897" s="57">
        <f>IFERROR(__xludf.DUMMYFUNCTION("""COMPUTED_VALUE"""),5.7)</f>
        <v>5.7</v>
      </c>
      <c r="K1897" s="57">
        <f>IFERROR(__xludf.DUMMYFUNCTION("""COMPUTED_VALUE"""),3.65)</f>
        <v>3.65</v>
      </c>
      <c r="L1897" s="54">
        <f>IFERROR(__xludf.DUMMYFUNCTION("""COMPUTED_VALUE"""),25.0)</f>
        <v>25</v>
      </c>
      <c r="M1897" s="3">
        <f>IFERROR(__xludf.DUMMYFUNCTION("""COMPUTED_VALUE"""),150.0)</f>
        <v>150</v>
      </c>
      <c r="N1897" s="3"/>
      <c r="O1897" s="3"/>
      <c r="P1897" s="3"/>
      <c r="Q1897" s="3"/>
      <c r="R1897" s="3">
        <f>IFERROR(__xludf.DUMMYFUNCTION("""COMPUTED_VALUE"""),0.0)</f>
        <v>0</v>
      </c>
      <c r="S1897" s="3"/>
      <c r="T1897" s="5"/>
      <c r="U1897" s="5"/>
      <c r="V1897" s="5"/>
      <c r="W1897" s="5"/>
    </row>
    <row r="1898" ht="15.75" customHeight="1">
      <c r="A1898" s="3">
        <f>IFERROR(__xludf.DUMMYFUNCTION("""COMPUTED_VALUE"""),1898.0)</f>
        <v>1898</v>
      </c>
      <c r="B1898" s="53">
        <f>IFERROR(__xludf.DUMMYFUNCTION("""COMPUTED_VALUE"""),46036.0)</f>
        <v>46036</v>
      </c>
      <c r="C1898" s="3">
        <f>IFERROR(__xludf.DUMMYFUNCTION("""COMPUTED_VALUE"""),88.0)</f>
        <v>88</v>
      </c>
      <c r="D1898" s="3" t="str">
        <f>IFERROR(__xludf.DUMMYFUNCTION("""COMPUTED_VALUE"""),"ee5b5592")</f>
        <v>ee5b5592</v>
      </c>
      <c r="E1898" s="54">
        <f>IFERROR(__xludf.DUMMYFUNCTION("""COMPUTED_VALUE"""),78900.0)</f>
        <v>78900</v>
      </c>
      <c r="F1898" s="3" t="str">
        <f>IFERROR(__xludf.DUMMYFUNCTION("""COMPUTED_VALUE"""),"Bonarda")</f>
        <v>Bonarda</v>
      </c>
      <c r="G1898" s="55">
        <f>IFERROR(__xludf.DUMMYFUNCTION("""COMPUTED_VALUE"""),13.1)</f>
        <v>13.1</v>
      </c>
      <c r="H1898" s="56">
        <f>IFERROR(__xludf.DUMMYFUNCTION("""COMPUTED_VALUE"""),2.0)</f>
        <v>2</v>
      </c>
      <c r="I1898" s="57">
        <f>IFERROR(__xludf.DUMMYFUNCTION("""COMPUTED_VALUE"""),0.51)</f>
        <v>0.51</v>
      </c>
      <c r="J1898" s="57">
        <f>IFERROR(__xludf.DUMMYFUNCTION("""COMPUTED_VALUE"""),5.2)</f>
        <v>5.2</v>
      </c>
      <c r="K1898" s="57">
        <f>IFERROR(__xludf.DUMMYFUNCTION("""COMPUTED_VALUE"""),3.72)</f>
        <v>3.72</v>
      </c>
      <c r="L1898" s="54">
        <f>IFERROR(__xludf.DUMMYFUNCTION("""COMPUTED_VALUE"""),33.0)</f>
        <v>33</v>
      </c>
      <c r="M1898" s="3">
        <f>IFERROR(__xludf.DUMMYFUNCTION("""COMPUTED_VALUE"""),124.0)</f>
        <v>124</v>
      </c>
      <c r="N1898" s="3"/>
      <c r="O1898" s="3"/>
      <c r="P1898" s="3"/>
      <c r="Q1898" s="3"/>
      <c r="R1898" s="3">
        <f>IFERROR(__xludf.DUMMYFUNCTION("""COMPUTED_VALUE"""),0.0)</f>
        <v>0</v>
      </c>
      <c r="S1898" s="3"/>
      <c r="T1898" s="5"/>
      <c r="U1898" s="5"/>
      <c r="V1898" s="5"/>
      <c r="W1898" s="5"/>
    </row>
    <row r="1899" ht="15.75" customHeight="1">
      <c r="A1899" s="3">
        <f>IFERROR(__xludf.DUMMYFUNCTION("""COMPUTED_VALUE"""),1899.0)</f>
        <v>1899</v>
      </c>
      <c r="B1899" s="53">
        <f>IFERROR(__xludf.DUMMYFUNCTION("""COMPUTED_VALUE"""),46036.0)</f>
        <v>46036</v>
      </c>
      <c r="C1899" s="3">
        <f>IFERROR(__xludf.DUMMYFUNCTION("""COMPUTED_VALUE"""),90.0)</f>
        <v>90</v>
      </c>
      <c r="D1899" s="3" t="str">
        <f>IFERROR(__xludf.DUMMYFUNCTION("""COMPUTED_VALUE"""),"974d59a2")</f>
        <v>974d59a2</v>
      </c>
      <c r="E1899" s="54">
        <f>IFERROR(__xludf.DUMMYFUNCTION("""COMPUTED_VALUE"""),97500.0)</f>
        <v>97500</v>
      </c>
      <c r="F1899" s="3" t="str">
        <f>IFERROR(__xludf.DUMMYFUNCTION("""COMPUTED_VALUE"""),"Malbec")</f>
        <v>Malbec</v>
      </c>
      <c r="G1899" s="55">
        <f>IFERROR(__xludf.DUMMYFUNCTION("""COMPUTED_VALUE"""),13.3)</f>
        <v>13.3</v>
      </c>
      <c r="H1899" s="56">
        <f>IFERROR(__xludf.DUMMYFUNCTION("""COMPUTED_VALUE"""),2.0)</f>
        <v>2</v>
      </c>
      <c r="I1899" s="57">
        <f>IFERROR(__xludf.DUMMYFUNCTION("""COMPUTED_VALUE"""),0.57)</f>
        <v>0.57</v>
      </c>
      <c r="J1899" s="57">
        <f>IFERROR(__xludf.DUMMYFUNCTION("""COMPUTED_VALUE"""),5.5)</f>
        <v>5.5</v>
      </c>
      <c r="K1899" s="57">
        <f>IFERROR(__xludf.DUMMYFUNCTION("""COMPUTED_VALUE"""),3.64)</f>
        <v>3.64</v>
      </c>
      <c r="L1899" s="54">
        <f>IFERROR(__xludf.DUMMYFUNCTION("""COMPUTED_VALUE"""),40.0)</f>
        <v>40</v>
      </c>
      <c r="M1899" s="3">
        <f>IFERROR(__xludf.DUMMYFUNCTION("""COMPUTED_VALUE"""),161.0)</f>
        <v>161</v>
      </c>
      <c r="N1899" s="3"/>
      <c r="O1899" s="3"/>
      <c r="P1899" s="3"/>
      <c r="Q1899" s="3"/>
      <c r="R1899" s="3">
        <f>IFERROR(__xludf.DUMMYFUNCTION("""COMPUTED_VALUE"""),0.0)</f>
        <v>0</v>
      </c>
      <c r="S1899" s="3"/>
      <c r="T1899" s="5"/>
      <c r="U1899" s="5"/>
      <c r="V1899" s="5"/>
      <c r="W1899" s="5"/>
    </row>
    <row r="1900" ht="15.75" customHeight="1">
      <c r="A1900" s="3">
        <f>IFERROR(__xludf.DUMMYFUNCTION("""COMPUTED_VALUE"""),1900.0)</f>
        <v>1900</v>
      </c>
      <c r="B1900" s="53">
        <f>IFERROR(__xludf.DUMMYFUNCTION("""COMPUTED_VALUE"""),46036.0)</f>
        <v>46036</v>
      </c>
      <c r="C1900" s="3">
        <f>IFERROR(__xludf.DUMMYFUNCTION("""COMPUTED_VALUE"""),94.0)</f>
        <v>94</v>
      </c>
      <c r="D1900" s="3" t="str">
        <f>IFERROR(__xludf.DUMMYFUNCTION("""COMPUTED_VALUE"""),"7da5825a")</f>
        <v>7da5825a</v>
      </c>
      <c r="E1900" s="54">
        <f>IFERROR(__xludf.DUMMYFUNCTION("""COMPUTED_VALUE"""),10200.0)</f>
        <v>10200</v>
      </c>
      <c r="F1900" s="3" t="str">
        <f>IFERROR(__xludf.DUMMYFUNCTION("""COMPUTED_VALUE"""),"Malbec")</f>
        <v>Malbec</v>
      </c>
      <c r="G1900" s="55">
        <f>IFERROR(__xludf.DUMMYFUNCTION("""COMPUTED_VALUE"""),13.2)</f>
        <v>13.2</v>
      </c>
      <c r="H1900" s="56">
        <f>IFERROR(__xludf.DUMMYFUNCTION("""COMPUTED_VALUE"""),2.0)</f>
        <v>2</v>
      </c>
      <c r="I1900" s="57">
        <f>IFERROR(__xludf.DUMMYFUNCTION("""COMPUTED_VALUE"""),0.6)</f>
        <v>0.6</v>
      </c>
      <c r="J1900" s="57">
        <f>IFERROR(__xludf.DUMMYFUNCTION("""COMPUTED_VALUE"""),5.6)</f>
        <v>5.6</v>
      </c>
      <c r="K1900" s="57">
        <f>IFERROR(__xludf.DUMMYFUNCTION("""COMPUTED_VALUE"""),3.68)</f>
        <v>3.68</v>
      </c>
      <c r="L1900" s="54">
        <f>IFERROR(__xludf.DUMMYFUNCTION("""COMPUTED_VALUE"""),26.0)</f>
        <v>26</v>
      </c>
      <c r="M1900" s="3">
        <f>IFERROR(__xludf.DUMMYFUNCTION("""COMPUTED_VALUE"""),133.0)</f>
        <v>133</v>
      </c>
      <c r="N1900" s="3"/>
      <c r="O1900" s="3"/>
      <c r="P1900" s="3"/>
      <c r="Q1900" s="3"/>
      <c r="R1900" s="3">
        <f>IFERROR(__xludf.DUMMYFUNCTION("""COMPUTED_VALUE"""),0.0)</f>
        <v>0</v>
      </c>
      <c r="S1900" s="3"/>
      <c r="T1900" s="5"/>
      <c r="U1900" s="5"/>
      <c r="V1900" s="5"/>
      <c r="W1900" s="5"/>
    </row>
    <row r="1901" ht="15.75" customHeight="1">
      <c r="A1901" s="3">
        <f>IFERROR(__xludf.DUMMYFUNCTION("""COMPUTED_VALUE"""),1901.0)</f>
        <v>1901</v>
      </c>
      <c r="B1901" s="53">
        <f>IFERROR(__xludf.DUMMYFUNCTION("""COMPUTED_VALUE"""),46036.0)</f>
        <v>46036</v>
      </c>
      <c r="C1901" s="3">
        <f>IFERROR(__xludf.DUMMYFUNCTION("""COMPUTED_VALUE"""),95.0)</f>
        <v>95</v>
      </c>
      <c r="D1901" s="3" t="str">
        <f>IFERROR(__xludf.DUMMYFUNCTION("""COMPUTED_VALUE"""),"83dc62c7")</f>
        <v>83dc62c7</v>
      </c>
      <c r="E1901" s="54">
        <f>IFERROR(__xludf.DUMMYFUNCTION("""COMPUTED_VALUE"""),77100.0)</f>
        <v>77100</v>
      </c>
      <c r="F1901" s="3" t="str">
        <f>IFERROR(__xludf.DUMMYFUNCTION("""COMPUTED_VALUE"""),"Malbec")</f>
        <v>Malbec</v>
      </c>
      <c r="G1901" s="55">
        <f>IFERROR(__xludf.DUMMYFUNCTION("""COMPUTED_VALUE"""),13.7)</f>
        <v>13.7</v>
      </c>
      <c r="H1901" s="56">
        <f>IFERROR(__xludf.DUMMYFUNCTION("""COMPUTED_VALUE"""),2.0)</f>
        <v>2</v>
      </c>
      <c r="I1901" s="57">
        <f>IFERROR(__xludf.DUMMYFUNCTION("""COMPUTED_VALUE"""),0.58)</f>
        <v>0.58</v>
      </c>
      <c r="J1901" s="57">
        <f>IFERROR(__xludf.DUMMYFUNCTION("""COMPUTED_VALUE"""),5.2)</f>
        <v>5.2</v>
      </c>
      <c r="K1901" s="57">
        <f>IFERROR(__xludf.DUMMYFUNCTION("""COMPUTED_VALUE"""),3.67)</f>
        <v>3.67</v>
      </c>
      <c r="L1901" s="54">
        <f>IFERROR(__xludf.DUMMYFUNCTION("""COMPUTED_VALUE"""),32.0)</f>
        <v>32</v>
      </c>
      <c r="M1901" s="3">
        <f>IFERROR(__xludf.DUMMYFUNCTION("""COMPUTED_VALUE"""),150.0)</f>
        <v>150</v>
      </c>
      <c r="N1901" s="3"/>
      <c r="O1901" s="3"/>
      <c r="P1901" s="3"/>
      <c r="Q1901" s="3"/>
      <c r="R1901" s="3">
        <f>IFERROR(__xludf.DUMMYFUNCTION("""COMPUTED_VALUE"""),0.0)</f>
        <v>0</v>
      </c>
      <c r="S1901" s="3"/>
      <c r="T1901" s="5"/>
      <c r="U1901" s="5"/>
      <c r="V1901" s="5"/>
      <c r="W1901" s="5"/>
    </row>
    <row r="1902" ht="15.75" customHeight="1">
      <c r="A1902" s="3">
        <f>IFERROR(__xludf.DUMMYFUNCTION("""COMPUTED_VALUE"""),1902.0)</f>
        <v>1902</v>
      </c>
      <c r="B1902" s="53">
        <f>IFERROR(__xludf.DUMMYFUNCTION("""COMPUTED_VALUE"""),46036.0)</f>
        <v>46036</v>
      </c>
      <c r="C1902" s="3">
        <f>IFERROR(__xludf.DUMMYFUNCTION("""COMPUTED_VALUE"""),96.0)</f>
        <v>96</v>
      </c>
      <c r="D1902" s="3" t="str">
        <f>IFERROR(__xludf.DUMMYFUNCTION("""COMPUTED_VALUE"""),"5eb0ebea")</f>
        <v>5eb0ebea</v>
      </c>
      <c r="E1902" s="54">
        <f>IFERROR(__xludf.DUMMYFUNCTION("""COMPUTED_VALUE"""),85600.0)</f>
        <v>85600</v>
      </c>
      <c r="F1902" s="3" t="str">
        <f>IFERROR(__xludf.DUMMYFUNCTION("""COMPUTED_VALUE"""),"Syrah")</f>
        <v>Syrah</v>
      </c>
      <c r="G1902" s="55">
        <f>IFERROR(__xludf.DUMMYFUNCTION("""COMPUTED_VALUE"""),13.7)</f>
        <v>13.7</v>
      </c>
      <c r="H1902" s="56">
        <f>IFERROR(__xludf.DUMMYFUNCTION("""COMPUTED_VALUE"""),2.0)</f>
        <v>2</v>
      </c>
      <c r="I1902" s="57">
        <f>IFERROR(__xludf.DUMMYFUNCTION("""COMPUTED_VALUE"""),0.54)</f>
        <v>0.54</v>
      </c>
      <c r="J1902" s="57">
        <f>IFERROR(__xludf.DUMMYFUNCTION("""COMPUTED_VALUE"""),5.2)</f>
        <v>5.2</v>
      </c>
      <c r="K1902" s="57">
        <f>IFERROR(__xludf.DUMMYFUNCTION("""COMPUTED_VALUE"""),3.74)</f>
        <v>3.74</v>
      </c>
      <c r="L1902" s="54">
        <f>IFERROR(__xludf.DUMMYFUNCTION("""COMPUTED_VALUE"""),25.0)</f>
        <v>25</v>
      </c>
      <c r="M1902" s="3">
        <f>IFERROR(__xludf.DUMMYFUNCTION("""COMPUTED_VALUE"""),115.0)</f>
        <v>115</v>
      </c>
      <c r="N1902" s="3"/>
      <c r="O1902" s="3"/>
      <c r="P1902" s="3"/>
      <c r="Q1902" s="3"/>
      <c r="R1902" s="3">
        <f>IFERROR(__xludf.DUMMYFUNCTION("""COMPUTED_VALUE"""),0.0)</f>
        <v>0</v>
      </c>
      <c r="S1902" s="3"/>
      <c r="T1902" s="5"/>
      <c r="U1902" s="5"/>
      <c r="V1902" s="5"/>
      <c r="W1902" s="5"/>
    </row>
    <row r="1903" ht="15.75" customHeight="1">
      <c r="A1903" s="3">
        <f>IFERROR(__xludf.DUMMYFUNCTION("""COMPUTED_VALUE"""),1903.0)</f>
        <v>1903</v>
      </c>
      <c r="B1903" s="53">
        <f>IFERROR(__xludf.DUMMYFUNCTION("""COMPUTED_VALUE"""),46036.0)</f>
        <v>46036</v>
      </c>
      <c r="C1903" s="3">
        <f>IFERROR(__xludf.DUMMYFUNCTION("""COMPUTED_VALUE"""),111.0)</f>
        <v>111</v>
      </c>
      <c r="D1903" s="3" t="str">
        <f>IFERROR(__xludf.DUMMYFUNCTION("""COMPUTED_VALUE"""),"3ba92525")</f>
        <v>3ba92525</v>
      </c>
      <c r="E1903" s="54">
        <f>IFERROR(__xludf.DUMMYFUNCTION("""COMPUTED_VALUE"""),4000.0)</f>
        <v>4000</v>
      </c>
      <c r="F1903" s="3" t="str">
        <f>IFERROR(__xludf.DUMMYFUNCTION("""COMPUTED_VALUE"""),"Syrah con Madera")</f>
        <v>Syrah con Madera</v>
      </c>
      <c r="G1903" s="55">
        <f>IFERROR(__xludf.DUMMYFUNCTION("""COMPUTED_VALUE"""),13.4)</f>
        <v>13.4</v>
      </c>
      <c r="H1903" s="56">
        <f>IFERROR(__xludf.DUMMYFUNCTION("""COMPUTED_VALUE"""),2.0)</f>
        <v>2</v>
      </c>
      <c r="I1903" s="57">
        <f>IFERROR(__xludf.DUMMYFUNCTION("""COMPUTED_VALUE"""),0.6)</f>
        <v>0.6</v>
      </c>
      <c r="J1903" s="57">
        <f>IFERROR(__xludf.DUMMYFUNCTION("""COMPUTED_VALUE"""),5.3)</f>
        <v>5.3</v>
      </c>
      <c r="K1903" s="57">
        <f>IFERROR(__xludf.DUMMYFUNCTION("""COMPUTED_VALUE"""),3.71)</f>
        <v>3.71</v>
      </c>
      <c r="L1903" s="54">
        <f>IFERROR(__xludf.DUMMYFUNCTION("""COMPUTED_VALUE"""),45.0)</f>
        <v>45</v>
      </c>
      <c r="M1903" s="3">
        <f>IFERROR(__xludf.DUMMYFUNCTION("""COMPUTED_VALUE"""),150.0)</f>
        <v>150</v>
      </c>
      <c r="N1903" s="3"/>
      <c r="O1903" s="3"/>
      <c r="P1903" s="3"/>
      <c r="Q1903" s="3"/>
      <c r="R1903" s="3">
        <f>IFERROR(__xludf.DUMMYFUNCTION("""COMPUTED_VALUE"""),0.0)</f>
        <v>0</v>
      </c>
      <c r="S1903" s="3"/>
      <c r="T1903" s="5"/>
      <c r="U1903" s="5"/>
      <c r="V1903" s="5"/>
      <c r="W1903" s="5"/>
    </row>
    <row r="1904" ht="15.75" customHeight="1">
      <c r="A1904" s="3">
        <f>IFERROR(__xludf.DUMMYFUNCTION("""COMPUTED_VALUE"""),1904.0)</f>
        <v>1904</v>
      </c>
      <c r="B1904" s="53">
        <f>IFERROR(__xludf.DUMMYFUNCTION("""COMPUTED_VALUE"""),46036.0)</f>
        <v>46036</v>
      </c>
      <c r="C1904" s="3">
        <f>IFERROR(__xludf.DUMMYFUNCTION("""COMPUTED_VALUE"""),121.0)</f>
        <v>121</v>
      </c>
      <c r="D1904" s="3" t="str">
        <f>IFERROR(__xludf.DUMMYFUNCTION("""COMPUTED_VALUE"""),"887268c3")</f>
        <v>887268c3</v>
      </c>
      <c r="E1904" s="54">
        <f>IFERROR(__xludf.DUMMYFUNCTION("""COMPUTED_VALUE"""),85800.0)</f>
        <v>85800</v>
      </c>
      <c r="F1904" s="3" t="str">
        <f>IFERROR(__xludf.DUMMYFUNCTION("""COMPUTED_VALUE"""),"Malbec")</f>
        <v>Malbec</v>
      </c>
      <c r="G1904" s="55">
        <f>IFERROR(__xludf.DUMMYFUNCTION("""COMPUTED_VALUE"""),13.8)</f>
        <v>13.8</v>
      </c>
      <c r="H1904" s="56">
        <f>IFERROR(__xludf.DUMMYFUNCTION("""COMPUTED_VALUE"""),2.0)</f>
        <v>2</v>
      </c>
      <c r="I1904" s="57">
        <f>IFERROR(__xludf.DUMMYFUNCTION("""COMPUTED_VALUE"""),0.55)</f>
        <v>0.55</v>
      </c>
      <c r="J1904" s="57">
        <f>IFERROR(__xludf.DUMMYFUNCTION("""COMPUTED_VALUE"""),5.4)</f>
        <v>5.4</v>
      </c>
      <c r="K1904" s="57">
        <f>IFERROR(__xludf.DUMMYFUNCTION("""COMPUTED_VALUE"""),3.65)</f>
        <v>3.65</v>
      </c>
      <c r="L1904" s="54">
        <f>IFERROR(__xludf.DUMMYFUNCTION("""COMPUTED_VALUE"""),41.0)</f>
        <v>41</v>
      </c>
      <c r="M1904" s="3">
        <f>IFERROR(__xludf.DUMMYFUNCTION("""COMPUTED_VALUE"""),173.0)</f>
        <v>173</v>
      </c>
      <c r="N1904" s="3"/>
      <c r="O1904" s="3"/>
      <c r="P1904" s="3"/>
      <c r="Q1904" s="3"/>
      <c r="R1904" s="3">
        <f>IFERROR(__xludf.DUMMYFUNCTION("""COMPUTED_VALUE"""),0.0)</f>
        <v>0</v>
      </c>
      <c r="S1904" s="3"/>
      <c r="T1904" s="5"/>
      <c r="U1904" s="5"/>
      <c r="V1904" s="5"/>
      <c r="W1904" s="5"/>
    </row>
    <row r="1905" ht="15.75" customHeight="1">
      <c r="A1905" s="3">
        <f>IFERROR(__xludf.DUMMYFUNCTION("""COMPUTED_VALUE"""),1905.0)</f>
        <v>1905</v>
      </c>
      <c r="B1905" s="53">
        <f>IFERROR(__xludf.DUMMYFUNCTION("""COMPUTED_VALUE"""),46043.0)</f>
        <v>46043</v>
      </c>
      <c r="C1905" s="3">
        <f>IFERROR(__xludf.DUMMYFUNCTION("""COMPUTED_VALUE"""),120.0)</f>
        <v>120</v>
      </c>
      <c r="D1905" s="3" t="str">
        <f>IFERROR(__xludf.DUMMYFUNCTION("""COMPUTED_VALUE"""),"#REF!")</f>
        <v>#REF!</v>
      </c>
      <c r="E1905" s="54">
        <f>IFERROR(__xludf.DUMMYFUNCTION("""COMPUTED_VALUE"""),88800.0)</f>
        <v>88800</v>
      </c>
      <c r="F1905" s="3" t="str">
        <f>IFERROR(__xludf.DUMMYFUNCTION("""COMPUTED_VALUE"""),"Ratificacion Malbec Lopez")</f>
        <v>Ratificacion Malbec Lopez</v>
      </c>
      <c r="G1905" s="55">
        <f>IFERROR(__xludf.DUMMYFUNCTION("""COMPUTED_VALUE"""),13.6)</f>
        <v>13.6</v>
      </c>
      <c r="H1905" s="56">
        <f>IFERROR(__xludf.DUMMYFUNCTION("""COMPUTED_VALUE"""),3.8)</f>
        <v>3.8</v>
      </c>
      <c r="I1905" s="57">
        <f>IFERROR(__xludf.DUMMYFUNCTION("""COMPUTED_VALUE"""),0.58)</f>
        <v>0.58</v>
      </c>
      <c r="J1905" s="57">
        <f>IFERROR(__xludf.DUMMYFUNCTION("""COMPUTED_VALUE"""),5.58)</f>
        <v>5.58</v>
      </c>
      <c r="K1905" s="57">
        <f>IFERROR(__xludf.DUMMYFUNCTION("""COMPUTED_VALUE"""),3.72)</f>
        <v>3.72</v>
      </c>
      <c r="L1905" s="54">
        <f>IFERROR(__xludf.DUMMYFUNCTION("""COMPUTED_VALUE"""),35.0)</f>
        <v>35</v>
      </c>
      <c r="M1905" s="3">
        <f>IFERROR(__xludf.DUMMYFUNCTION("""COMPUTED_VALUE"""),163.0)</f>
        <v>163</v>
      </c>
      <c r="N1905" s="3"/>
      <c r="O1905" s="3">
        <f>IFERROR(__xludf.DUMMYFUNCTION("""COMPUTED_VALUE"""),394.0)</f>
        <v>394</v>
      </c>
      <c r="P1905" s="3">
        <f>IFERROR(__xludf.DUMMYFUNCTION("""COMPUTED_VALUE"""),562.0)</f>
        <v>562</v>
      </c>
      <c r="Q1905" s="3"/>
      <c r="R1905" s="3">
        <f>IFERROR(__xludf.DUMMYFUNCTION("""COMPUTED_VALUE"""),0.0)</f>
        <v>0</v>
      </c>
      <c r="S1905" s="3"/>
      <c r="T1905" s="5"/>
      <c r="U1905" s="5"/>
      <c r="V1905" s="5"/>
      <c r="W1905" s="5"/>
    </row>
    <row r="1906" ht="15.75" customHeight="1">
      <c r="A1906" s="3">
        <f>IFERROR(__xludf.DUMMYFUNCTION("""COMPUTED_VALUE"""),1906.0)</f>
        <v>1906</v>
      </c>
      <c r="B1906" s="53">
        <f>IFERROR(__xludf.DUMMYFUNCTION("""COMPUTED_VALUE"""),46043.0)</f>
        <v>46043</v>
      </c>
      <c r="C1906" s="3">
        <f>IFERROR(__xludf.DUMMYFUNCTION("""COMPUTED_VALUE"""),69.0)</f>
        <v>69</v>
      </c>
      <c r="D1906" s="3" t="str">
        <f>IFERROR(__xludf.DUMMYFUNCTION("""COMPUTED_VALUE"""),"#REF!")</f>
        <v>#REF!</v>
      </c>
      <c r="E1906" s="54">
        <f>IFERROR(__xludf.DUMMYFUNCTION("""COMPUTED_VALUE"""),13000.0)</f>
        <v>13000</v>
      </c>
      <c r="F1906" s="3" t="str">
        <f>IFERROR(__xludf.DUMMYFUNCTION("""COMPUTED_VALUE"""),"Ratificacion Malbec Lopez")</f>
        <v>Ratificacion Malbec Lopez</v>
      </c>
      <c r="G1906" s="55">
        <f>IFERROR(__xludf.DUMMYFUNCTION("""COMPUTED_VALUE"""),13.7)</f>
        <v>13.7</v>
      </c>
      <c r="H1906" s="56">
        <f>IFERROR(__xludf.DUMMYFUNCTION("""COMPUTED_VALUE"""),3.6)</f>
        <v>3.6</v>
      </c>
      <c r="I1906" s="57">
        <f>IFERROR(__xludf.DUMMYFUNCTION("""COMPUTED_VALUE"""),0.62)</f>
        <v>0.62</v>
      </c>
      <c r="J1906" s="57">
        <f>IFERROR(__xludf.DUMMYFUNCTION("""COMPUTED_VALUE"""),5.7)</f>
        <v>5.7</v>
      </c>
      <c r="K1906" s="57">
        <f>IFERROR(__xludf.DUMMYFUNCTION("""COMPUTED_VALUE"""),3.7)</f>
        <v>3.7</v>
      </c>
      <c r="L1906" s="54">
        <f>IFERROR(__xludf.DUMMYFUNCTION("""COMPUTED_VALUE"""),33.0)</f>
        <v>33</v>
      </c>
      <c r="M1906" s="3">
        <f>IFERROR(__xludf.DUMMYFUNCTION("""COMPUTED_VALUE"""),156.0)</f>
        <v>156</v>
      </c>
      <c r="N1906" s="3"/>
      <c r="O1906" s="3"/>
      <c r="P1906" s="3"/>
      <c r="Q1906" s="3"/>
      <c r="R1906" s="3">
        <f>IFERROR(__xludf.DUMMYFUNCTION("""COMPUTED_VALUE"""),0.0)</f>
        <v>0</v>
      </c>
      <c r="S1906" s="3"/>
      <c r="T1906" s="5"/>
      <c r="U1906" s="5"/>
      <c r="V1906" s="5"/>
      <c r="W1906" s="5"/>
    </row>
    <row r="1907" ht="15.75" customHeight="1">
      <c r="A1907" s="3">
        <f>IFERROR(__xludf.DUMMYFUNCTION("""COMPUTED_VALUE"""),1907.0)</f>
        <v>1907</v>
      </c>
      <c r="B1907" s="53">
        <f>IFERROR(__xludf.DUMMYFUNCTION("""COMPUTED_VALUE"""),46042.0)</f>
        <v>46042</v>
      </c>
      <c r="C1907" s="3">
        <f>IFERROR(__xludf.DUMMYFUNCTION("""COMPUTED_VALUE"""),6.0)</f>
        <v>6</v>
      </c>
      <c r="D1907" s="3" t="str">
        <f>IFERROR(__xludf.DUMMYFUNCTION("""COMPUTED_VALUE"""),"4e87c697")</f>
        <v>4e87c697</v>
      </c>
      <c r="E1907" s="54">
        <f>IFERROR(__xludf.DUMMYFUNCTION("""COMPUTED_VALUE"""),32000.0)</f>
        <v>32000</v>
      </c>
      <c r="F1907" s="3" t="str">
        <f>IFERROR(__xludf.DUMMYFUNCTION("""COMPUTED_VALUE"""),"Cabernet Sauvignon Rect")</f>
        <v>Cabernet Sauvignon Rect</v>
      </c>
      <c r="G1907" s="3"/>
      <c r="H1907" s="3"/>
      <c r="I1907" s="3"/>
      <c r="J1907" s="3"/>
      <c r="K1907" s="3"/>
      <c r="L1907" s="54">
        <f>IFERROR(__xludf.DUMMYFUNCTION("""COMPUTED_VALUE"""),29.0)</f>
        <v>29</v>
      </c>
      <c r="M1907" s="3">
        <f>IFERROR(__xludf.DUMMYFUNCTION("""COMPUTED_VALUE"""),140.0)</f>
        <v>140</v>
      </c>
      <c r="N1907" s="3"/>
      <c r="O1907" s="3"/>
      <c r="P1907" s="3"/>
      <c r="Q1907" s="3"/>
      <c r="R1907" s="3">
        <f>IFERROR(__xludf.DUMMYFUNCTION("""COMPUTED_VALUE"""),0.0)</f>
        <v>0</v>
      </c>
      <c r="S1907" s="3"/>
      <c r="T1907" s="5"/>
      <c r="U1907" s="5"/>
      <c r="V1907" s="5"/>
      <c r="W1907" s="5"/>
    </row>
    <row r="1908" ht="15.75" customHeight="1">
      <c r="A1908" s="3">
        <f>IFERROR(__xludf.DUMMYFUNCTION("""COMPUTED_VALUE"""),1908.0)</f>
        <v>1908</v>
      </c>
      <c r="B1908" s="53">
        <f>IFERROR(__xludf.DUMMYFUNCTION("""COMPUTED_VALUE"""),46042.0)</f>
        <v>46042</v>
      </c>
      <c r="C1908" s="3">
        <f>IFERROR(__xludf.DUMMYFUNCTION("""COMPUTED_VALUE"""),7.0)</f>
        <v>7</v>
      </c>
      <c r="D1908" s="3" t="str">
        <f>IFERROR(__xludf.DUMMYFUNCTION("""COMPUTED_VALUE"""),"bf5eb775")</f>
        <v>bf5eb775</v>
      </c>
      <c r="E1908" s="54">
        <f>IFERROR(__xludf.DUMMYFUNCTION("""COMPUTED_VALUE"""),30000.0)</f>
        <v>30000</v>
      </c>
      <c r="F1908" s="3" t="str">
        <f>IFERROR(__xludf.DUMMYFUNCTION("""COMPUTED_VALUE"""),"Cabernet Sauvignon")</f>
        <v>Cabernet Sauvignon</v>
      </c>
      <c r="G1908" s="3"/>
      <c r="H1908" s="3"/>
      <c r="I1908" s="3"/>
      <c r="J1908" s="3"/>
      <c r="K1908" s="3"/>
      <c r="L1908" s="54">
        <f>IFERROR(__xludf.DUMMYFUNCTION("""COMPUTED_VALUE"""),31.0)</f>
        <v>31</v>
      </c>
      <c r="M1908" s="3">
        <f>IFERROR(__xludf.DUMMYFUNCTION("""COMPUTED_VALUE"""),166.0)</f>
        <v>166</v>
      </c>
      <c r="N1908" s="3"/>
      <c r="O1908" s="3"/>
      <c r="P1908" s="3"/>
      <c r="Q1908" s="3"/>
      <c r="R1908" s="3">
        <f>IFERROR(__xludf.DUMMYFUNCTION("""COMPUTED_VALUE"""),0.0)</f>
        <v>0</v>
      </c>
      <c r="S1908" s="3"/>
      <c r="T1908" s="5"/>
      <c r="U1908" s="5"/>
      <c r="V1908" s="5"/>
      <c r="W1908" s="5"/>
    </row>
    <row r="1909" ht="15.75" customHeight="1">
      <c r="A1909" s="3">
        <f>IFERROR(__xludf.DUMMYFUNCTION("""COMPUTED_VALUE"""),1909.0)</f>
        <v>1909</v>
      </c>
      <c r="B1909" s="53">
        <f>IFERROR(__xludf.DUMMYFUNCTION("""COMPUTED_VALUE"""),46042.0)</f>
        <v>46042</v>
      </c>
      <c r="C1909" s="3">
        <f>IFERROR(__xludf.DUMMYFUNCTION("""COMPUTED_VALUE"""),9.0)</f>
        <v>9</v>
      </c>
      <c r="D1909" s="3" t="str">
        <f>IFERROR(__xludf.DUMMYFUNCTION("""COMPUTED_VALUE"""),"8c8c2ed7")</f>
        <v>8c8c2ed7</v>
      </c>
      <c r="E1909" s="54">
        <f>IFERROR(__xludf.DUMMYFUNCTION("""COMPUTED_VALUE"""),30000.0)</f>
        <v>30000</v>
      </c>
      <c r="F1909" s="3" t="str">
        <f>IFERROR(__xludf.DUMMYFUNCTION("""COMPUTED_VALUE"""),"Malbec Rect")</f>
        <v>Malbec Rect</v>
      </c>
      <c r="G1909" s="3"/>
      <c r="H1909" s="3"/>
      <c r="I1909" s="3"/>
      <c r="J1909" s="3"/>
      <c r="K1909" s="3"/>
      <c r="L1909" s="54">
        <f>IFERROR(__xludf.DUMMYFUNCTION("""COMPUTED_VALUE"""),27.0)</f>
        <v>27</v>
      </c>
      <c r="M1909" s="3">
        <f>IFERROR(__xludf.DUMMYFUNCTION("""COMPUTED_VALUE"""),147.0)</f>
        <v>147</v>
      </c>
      <c r="N1909" s="3"/>
      <c r="O1909" s="3"/>
      <c r="P1909" s="3"/>
      <c r="Q1909" s="3"/>
      <c r="R1909" s="3">
        <f>IFERROR(__xludf.DUMMYFUNCTION("""COMPUTED_VALUE"""),0.0)</f>
        <v>0</v>
      </c>
      <c r="S1909" s="3"/>
      <c r="T1909" s="5"/>
      <c r="U1909" s="5"/>
      <c r="V1909" s="5"/>
      <c r="W1909" s="5"/>
    </row>
    <row r="1910" ht="15.75" customHeight="1">
      <c r="A1910" s="3">
        <f>IFERROR(__xludf.DUMMYFUNCTION("""COMPUTED_VALUE"""),1910.0)</f>
        <v>1910</v>
      </c>
      <c r="B1910" s="53">
        <f>IFERROR(__xludf.DUMMYFUNCTION("""COMPUTED_VALUE"""),46042.0)</f>
        <v>46042</v>
      </c>
      <c r="C1910" s="3">
        <f>IFERROR(__xludf.DUMMYFUNCTION("""COMPUTED_VALUE"""),10.0)</f>
        <v>10</v>
      </c>
      <c r="D1910" s="3" t="str">
        <f>IFERROR(__xludf.DUMMYFUNCTION("""COMPUTED_VALUE"""),"bf803f5c")</f>
        <v>bf803f5c</v>
      </c>
      <c r="E1910" s="54">
        <f>IFERROR(__xludf.DUMMYFUNCTION("""COMPUTED_VALUE"""),21000.0)</f>
        <v>21000</v>
      </c>
      <c r="F1910" s="3" t="str">
        <f>IFERROR(__xludf.DUMMYFUNCTION("""COMPUTED_VALUE"""),"Cabernet Sauvignon")</f>
        <v>Cabernet Sauvignon</v>
      </c>
      <c r="G1910" s="3"/>
      <c r="H1910" s="3"/>
      <c r="I1910" s="3"/>
      <c r="J1910" s="3"/>
      <c r="K1910" s="3"/>
      <c r="L1910" s="54">
        <f>IFERROR(__xludf.DUMMYFUNCTION("""COMPUTED_VALUE"""),30.0)</f>
        <v>30</v>
      </c>
      <c r="M1910" s="3">
        <f>IFERROR(__xludf.DUMMYFUNCTION("""COMPUTED_VALUE"""),185.0)</f>
        <v>185</v>
      </c>
      <c r="N1910" s="3"/>
      <c r="O1910" s="3"/>
      <c r="P1910" s="3"/>
      <c r="Q1910" s="3"/>
      <c r="R1910" s="3">
        <f>IFERROR(__xludf.DUMMYFUNCTION("""COMPUTED_VALUE"""),0.0)</f>
        <v>0</v>
      </c>
      <c r="S1910" s="3"/>
      <c r="T1910" s="5"/>
      <c r="U1910" s="5"/>
      <c r="V1910" s="5"/>
      <c r="W1910" s="5"/>
    </row>
    <row r="1911" ht="15.75" customHeight="1">
      <c r="A1911" s="3">
        <f>IFERROR(__xludf.DUMMYFUNCTION("""COMPUTED_VALUE"""),1911.0)</f>
        <v>1911</v>
      </c>
      <c r="B1911" s="53">
        <f>IFERROR(__xludf.DUMMYFUNCTION("""COMPUTED_VALUE"""),46042.0)</f>
        <v>46042</v>
      </c>
      <c r="C1911" s="3">
        <f>IFERROR(__xludf.DUMMYFUNCTION("""COMPUTED_VALUE"""),11.0)</f>
        <v>11</v>
      </c>
      <c r="D1911" s="3" t="str">
        <f>IFERROR(__xludf.DUMMYFUNCTION("""COMPUTED_VALUE"""),"f063695a")</f>
        <v>f063695a</v>
      </c>
      <c r="E1911" s="54">
        <f>IFERROR(__xludf.DUMMYFUNCTION("""COMPUTED_VALUE"""),36000.0)</f>
        <v>36000</v>
      </c>
      <c r="F1911" s="3" t="str">
        <f>IFERROR(__xludf.DUMMYFUNCTION("""COMPUTED_VALUE"""),"Anccellota Aspirant Rect")</f>
        <v>Anccellota Aspirant Rect</v>
      </c>
      <c r="G1911" s="3"/>
      <c r="H1911" s="3"/>
      <c r="I1911" s="3"/>
      <c r="J1911" s="3"/>
      <c r="K1911" s="3"/>
      <c r="L1911" s="54">
        <f>IFERROR(__xludf.DUMMYFUNCTION("""COMPUTED_VALUE"""),27.0)</f>
        <v>27</v>
      </c>
      <c r="M1911" s="3">
        <f>IFERROR(__xludf.DUMMYFUNCTION("""COMPUTED_VALUE"""),120.0)</f>
        <v>120</v>
      </c>
      <c r="N1911" s="3"/>
      <c r="O1911" s="3"/>
      <c r="P1911" s="3"/>
      <c r="Q1911" s="3"/>
      <c r="R1911" s="3">
        <f>IFERROR(__xludf.DUMMYFUNCTION("""COMPUTED_VALUE"""),0.0)</f>
        <v>0</v>
      </c>
      <c r="S1911" s="3"/>
      <c r="T1911" s="5"/>
      <c r="U1911" s="5"/>
      <c r="V1911" s="5"/>
      <c r="W1911" s="5"/>
    </row>
    <row r="1912" ht="15.75" customHeight="1">
      <c r="A1912" s="3">
        <f>IFERROR(__xludf.DUMMYFUNCTION("""COMPUTED_VALUE"""),1912.0)</f>
        <v>1912</v>
      </c>
      <c r="B1912" s="53">
        <f>IFERROR(__xludf.DUMMYFUNCTION("""COMPUTED_VALUE"""),46042.0)</f>
        <v>46042</v>
      </c>
      <c r="C1912" s="3">
        <f>IFERROR(__xludf.DUMMYFUNCTION("""COMPUTED_VALUE"""),44.0)</f>
        <v>44</v>
      </c>
      <c r="D1912" s="3" t="str">
        <f>IFERROR(__xludf.DUMMYFUNCTION("""COMPUTED_VALUE"""),"4bdef056")</f>
        <v>4bdef056</v>
      </c>
      <c r="E1912" s="54">
        <f>IFERROR(__xludf.DUMMYFUNCTION("""COMPUTED_VALUE"""),19100.0)</f>
        <v>19100</v>
      </c>
      <c r="F1912" s="3" t="str">
        <f>IFERROR(__xludf.DUMMYFUNCTION("""COMPUTED_VALUE"""),"Cabernet Sauvignon")</f>
        <v>Cabernet Sauvignon</v>
      </c>
      <c r="G1912" s="3"/>
      <c r="H1912" s="3"/>
      <c r="I1912" s="3"/>
      <c r="J1912" s="3"/>
      <c r="K1912" s="3"/>
      <c r="L1912" s="54">
        <f>IFERROR(__xludf.DUMMYFUNCTION("""COMPUTED_VALUE"""),35.0)</f>
        <v>35</v>
      </c>
      <c r="M1912" s="3">
        <f>IFERROR(__xludf.DUMMYFUNCTION("""COMPUTED_VALUE"""),150.0)</f>
        <v>150</v>
      </c>
      <c r="N1912" s="3"/>
      <c r="O1912" s="3"/>
      <c r="P1912" s="3"/>
      <c r="Q1912" s="3"/>
      <c r="R1912" s="3">
        <f>IFERROR(__xludf.DUMMYFUNCTION("""COMPUTED_VALUE"""),0.0)</f>
        <v>0</v>
      </c>
      <c r="S1912" s="3"/>
      <c r="T1912" s="5"/>
      <c r="U1912" s="5"/>
      <c r="V1912" s="5"/>
      <c r="W1912" s="5"/>
    </row>
    <row r="1913" ht="15.75" customHeight="1">
      <c r="A1913" s="3">
        <f>IFERROR(__xludf.DUMMYFUNCTION("""COMPUTED_VALUE"""),1913.0)</f>
        <v>1913</v>
      </c>
      <c r="B1913" s="53">
        <f>IFERROR(__xludf.DUMMYFUNCTION("""COMPUTED_VALUE"""),46042.0)</f>
        <v>46042</v>
      </c>
      <c r="C1913" s="3">
        <f>IFERROR(__xludf.DUMMYFUNCTION("""COMPUTED_VALUE"""),45.0)</f>
        <v>45</v>
      </c>
      <c r="D1913" s="3" t="str">
        <f>IFERROR(__xludf.DUMMYFUNCTION("""COMPUTED_VALUE"""),"56985b33")</f>
        <v>56985b33</v>
      </c>
      <c r="E1913" s="54">
        <f>IFERROR(__xludf.DUMMYFUNCTION("""COMPUTED_VALUE"""),30000.0)</f>
        <v>30000</v>
      </c>
      <c r="F1913" s="3" t="str">
        <f>IFERROR(__xludf.DUMMYFUNCTION("""COMPUTED_VALUE"""),"Malbec")</f>
        <v>Malbec</v>
      </c>
      <c r="G1913" s="3"/>
      <c r="H1913" s="3"/>
      <c r="I1913" s="3"/>
      <c r="J1913" s="3"/>
      <c r="K1913" s="3"/>
      <c r="L1913" s="54">
        <f>IFERROR(__xludf.DUMMYFUNCTION("""COMPUTED_VALUE"""),27.0)</f>
        <v>27</v>
      </c>
      <c r="M1913" s="3">
        <f>IFERROR(__xludf.DUMMYFUNCTION("""COMPUTED_VALUE"""),180.0)</f>
        <v>180</v>
      </c>
      <c r="N1913" s="3"/>
      <c r="O1913" s="3"/>
      <c r="P1913" s="3"/>
      <c r="Q1913" s="3"/>
      <c r="R1913" s="3">
        <f>IFERROR(__xludf.DUMMYFUNCTION("""COMPUTED_VALUE"""),0.0)</f>
        <v>0</v>
      </c>
      <c r="S1913" s="3"/>
      <c r="T1913" s="5"/>
      <c r="U1913" s="5"/>
      <c r="V1913" s="5"/>
      <c r="W1913" s="5"/>
    </row>
    <row r="1914" ht="15.75" customHeight="1">
      <c r="A1914" s="3">
        <f>IFERROR(__xludf.DUMMYFUNCTION("""COMPUTED_VALUE"""),1914.0)</f>
        <v>1914</v>
      </c>
      <c r="B1914" s="53">
        <f>IFERROR(__xludf.DUMMYFUNCTION("""COMPUTED_VALUE"""),46042.0)</f>
        <v>46042</v>
      </c>
      <c r="C1914" s="3">
        <f>IFERROR(__xludf.DUMMYFUNCTION("""COMPUTED_VALUE"""),47.0)</f>
        <v>47</v>
      </c>
      <c r="D1914" s="3" t="str">
        <f>IFERROR(__xludf.DUMMYFUNCTION("""COMPUTED_VALUE"""),"7e87134c")</f>
        <v>7e87134c</v>
      </c>
      <c r="E1914" s="54">
        <f>IFERROR(__xludf.DUMMYFUNCTION("""COMPUTED_VALUE"""),20000.0)</f>
        <v>20000</v>
      </c>
      <c r="F1914" s="3" t="str">
        <f>IFERROR(__xludf.DUMMYFUNCTION("""COMPUTED_VALUE"""),"Cabernet Sauvignon")</f>
        <v>Cabernet Sauvignon</v>
      </c>
      <c r="G1914" s="3"/>
      <c r="H1914" s="3"/>
      <c r="I1914" s="3"/>
      <c r="J1914" s="3"/>
      <c r="K1914" s="3"/>
      <c r="L1914" s="54">
        <f>IFERROR(__xludf.DUMMYFUNCTION("""COMPUTED_VALUE"""),27.0)</f>
        <v>27</v>
      </c>
      <c r="M1914" s="3">
        <f>IFERROR(__xludf.DUMMYFUNCTION("""COMPUTED_VALUE"""),150.0)</f>
        <v>150</v>
      </c>
      <c r="N1914" s="3"/>
      <c r="O1914" s="3"/>
      <c r="P1914" s="3"/>
      <c r="Q1914" s="3"/>
      <c r="R1914" s="3">
        <f>IFERROR(__xludf.DUMMYFUNCTION("""COMPUTED_VALUE"""),0.0)</f>
        <v>0</v>
      </c>
      <c r="S1914" s="3"/>
      <c r="T1914" s="5"/>
      <c r="U1914" s="5"/>
      <c r="V1914" s="5"/>
      <c r="W1914" s="5"/>
    </row>
    <row r="1915" ht="15.75" customHeight="1">
      <c r="A1915" s="3">
        <f>IFERROR(__xludf.DUMMYFUNCTION("""COMPUTED_VALUE"""),1915.0)</f>
        <v>1915</v>
      </c>
      <c r="B1915" s="53">
        <f>IFERROR(__xludf.DUMMYFUNCTION("""COMPUTED_VALUE"""),46044.0)</f>
        <v>46044</v>
      </c>
      <c r="C1915" s="3">
        <f>IFERROR(__xludf.DUMMYFUNCTION("""COMPUTED_VALUE"""),48.0)</f>
        <v>48</v>
      </c>
      <c r="D1915" s="3" t="str">
        <f>IFERROR(__xludf.DUMMYFUNCTION("""COMPUTED_VALUE"""),"f98c39b0")</f>
        <v>f98c39b0</v>
      </c>
      <c r="E1915" s="54">
        <f>IFERROR(__xludf.DUMMYFUNCTION("""COMPUTED_VALUE"""),26000.0)</f>
        <v>26000</v>
      </c>
      <c r="F1915" s="3" t="str">
        <f>IFERROR(__xludf.DUMMYFUNCTION("""COMPUTED_VALUE"""),"Cabernet Sauvignon")</f>
        <v>Cabernet Sauvignon</v>
      </c>
      <c r="G1915" s="3"/>
      <c r="H1915" s="3"/>
      <c r="I1915" s="3"/>
      <c r="J1915" s="3"/>
      <c r="K1915" s="3"/>
      <c r="L1915" s="54">
        <f>IFERROR(__xludf.DUMMYFUNCTION("""COMPUTED_VALUE"""),28.0)</f>
        <v>28</v>
      </c>
      <c r="M1915" s="3">
        <f>IFERROR(__xludf.DUMMYFUNCTION("""COMPUTED_VALUE"""),185.0)</f>
        <v>185</v>
      </c>
      <c r="N1915" s="3"/>
      <c r="O1915" s="3"/>
      <c r="P1915" s="3"/>
      <c r="Q1915" s="3"/>
      <c r="R1915" s="3">
        <f>IFERROR(__xludf.DUMMYFUNCTION("""COMPUTED_VALUE"""),0.0)</f>
        <v>0</v>
      </c>
      <c r="S1915" s="3"/>
      <c r="T1915" s="5"/>
      <c r="U1915" s="5"/>
      <c r="V1915" s="5"/>
      <c r="W1915" s="5"/>
    </row>
    <row r="1916" ht="15.75" customHeight="1">
      <c r="A1916" s="3">
        <f>IFERROR(__xludf.DUMMYFUNCTION("""COMPUTED_VALUE"""),1916.0)</f>
        <v>1916</v>
      </c>
      <c r="B1916" s="53">
        <f>IFERROR(__xludf.DUMMYFUNCTION("""COMPUTED_VALUE"""),46044.0)</f>
        <v>46044</v>
      </c>
      <c r="C1916" s="3">
        <f>IFERROR(__xludf.DUMMYFUNCTION("""COMPUTED_VALUE"""),49.0)</f>
        <v>49</v>
      </c>
      <c r="D1916" s="3" t="str">
        <f>IFERROR(__xludf.DUMMYFUNCTION("""COMPUTED_VALUE"""),"ee0770a6")</f>
        <v>ee0770a6</v>
      </c>
      <c r="E1916" s="54">
        <f>IFERROR(__xludf.DUMMYFUNCTION("""COMPUTED_VALUE"""),26000.0)</f>
        <v>26000</v>
      </c>
      <c r="F1916" s="3" t="str">
        <f>IFERROR(__xludf.DUMMYFUNCTION("""COMPUTED_VALUE"""),"Malbec Rectificado")</f>
        <v>Malbec Rectificado</v>
      </c>
      <c r="G1916" s="3"/>
      <c r="H1916" s="3"/>
      <c r="I1916" s="3"/>
      <c r="J1916" s="3"/>
      <c r="K1916" s="3"/>
      <c r="L1916" s="54">
        <f>IFERROR(__xludf.DUMMYFUNCTION("""COMPUTED_VALUE"""),29.0)</f>
        <v>29</v>
      </c>
      <c r="M1916" s="3">
        <f>IFERROR(__xludf.DUMMYFUNCTION("""COMPUTED_VALUE"""),204.0)</f>
        <v>204</v>
      </c>
      <c r="N1916" s="3"/>
      <c r="O1916" s="3"/>
      <c r="P1916" s="3"/>
      <c r="Q1916" s="3"/>
      <c r="R1916" s="3">
        <f>IFERROR(__xludf.DUMMYFUNCTION("""COMPUTED_VALUE"""),0.0)</f>
        <v>0</v>
      </c>
      <c r="S1916" s="3"/>
      <c r="T1916" s="5"/>
      <c r="U1916" s="5"/>
      <c r="V1916" s="5"/>
      <c r="W1916" s="5"/>
    </row>
    <row r="1917" ht="15.75" customHeight="1">
      <c r="A1917" s="3">
        <f>IFERROR(__xludf.DUMMYFUNCTION("""COMPUTED_VALUE"""),1917.0)</f>
        <v>1917</v>
      </c>
      <c r="B1917" s="53">
        <f>IFERROR(__xludf.DUMMYFUNCTION("""COMPUTED_VALUE"""),46044.0)</f>
        <v>46044</v>
      </c>
      <c r="C1917" s="3">
        <f>IFERROR(__xludf.DUMMYFUNCTION("""COMPUTED_VALUE"""),54.0)</f>
        <v>54</v>
      </c>
      <c r="D1917" s="3" t="str">
        <f>IFERROR(__xludf.DUMMYFUNCTION("""COMPUTED_VALUE"""),"9b04723e")</f>
        <v>9b04723e</v>
      </c>
      <c r="E1917" s="54">
        <f>IFERROR(__xludf.DUMMYFUNCTION("""COMPUTED_VALUE"""),22900.0)</f>
        <v>22900</v>
      </c>
      <c r="F1917" s="3" t="str">
        <f>IFERROR(__xludf.DUMMYFUNCTION("""COMPUTED_VALUE"""),"Cabernet Sauvignon Rect")</f>
        <v>Cabernet Sauvignon Rect</v>
      </c>
      <c r="G1917" s="3"/>
      <c r="H1917" s="3"/>
      <c r="I1917" s="3"/>
      <c r="J1917" s="3"/>
      <c r="K1917" s="3"/>
      <c r="L1917" s="54">
        <f>IFERROR(__xludf.DUMMYFUNCTION("""COMPUTED_VALUE"""),33.0)</f>
        <v>33</v>
      </c>
      <c r="M1917" s="3">
        <f>IFERROR(__xludf.DUMMYFUNCTION("""COMPUTED_VALUE"""),184.0)</f>
        <v>184</v>
      </c>
      <c r="N1917" s="3"/>
      <c r="O1917" s="3"/>
      <c r="P1917" s="3"/>
      <c r="Q1917" s="3"/>
      <c r="R1917" s="3">
        <f>IFERROR(__xludf.DUMMYFUNCTION("""COMPUTED_VALUE"""),0.0)</f>
        <v>0</v>
      </c>
      <c r="S1917" s="3"/>
      <c r="T1917" s="5"/>
      <c r="U1917" s="5"/>
      <c r="V1917" s="5"/>
      <c r="W1917" s="5"/>
    </row>
    <row r="1918" ht="15.75" customHeight="1">
      <c r="A1918" s="3">
        <f>IFERROR(__xludf.DUMMYFUNCTION("""COMPUTED_VALUE"""),1918.0)</f>
        <v>1918</v>
      </c>
      <c r="B1918" s="53">
        <f>IFERROR(__xludf.DUMMYFUNCTION("""COMPUTED_VALUE"""),46044.0)</f>
        <v>46044</v>
      </c>
      <c r="C1918" s="3">
        <f>IFERROR(__xludf.DUMMYFUNCTION("""COMPUTED_VALUE"""),68.0)</f>
        <v>68</v>
      </c>
      <c r="D1918" s="3" t="str">
        <f>IFERROR(__xludf.DUMMYFUNCTION("""COMPUTED_VALUE"""),"af8d0a82")</f>
        <v>af8d0a82</v>
      </c>
      <c r="E1918" s="54">
        <f>IFERROR(__xludf.DUMMYFUNCTION("""COMPUTED_VALUE"""),13000.0)</f>
        <v>13000</v>
      </c>
      <c r="F1918" s="3" t="str">
        <f>IFERROR(__xludf.DUMMYFUNCTION("""COMPUTED_VALUE"""),"Aspirant  Malbec Rect")</f>
        <v>Aspirant  Malbec Rect</v>
      </c>
      <c r="G1918" s="3"/>
      <c r="H1918" s="3"/>
      <c r="I1918" s="3"/>
      <c r="J1918" s="3"/>
      <c r="K1918" s="3"/>
      <c r="L1918" s="54">
        <f>IFERROR(__xludf.DUMMYFUNCTION("""COMPUTED_VALUE"""),26.0)</f>
        <v>26</v>
      </c>
      <c r="M1918" s="3">
        <f>IFERROR(__xludf.DUMMYFUNCTION("""COMPUTED_VALUE"""),130.0)</f>
        <v>130</v>
      </c>
      <c r="N1918" s="3"/>
      <c r="O1918" s="3"/>
      <c r="P1918" s="3"/>
      <c r="Q1918" s="3"/>
      <c r="R1918" s="3">
        <f>IFERROR(__xludf.DUMMYFUNCTION("""COMPUTED_VALUE"""),0.0)</f>
        <v>0</v>
      </c>
      <c r="S1918" s="3"/>
      <c r="T1918" s="5"/>
      <c r="U1918" s="5"/>
      <c r="V1918" s="5"/>
      <c r="W1918" s="5"/>
    </row>
    <row r="1919" ht="15.75" customHeight="1">
      <c r="A1919" s="3">
        <f>IFERROR(__xludf.DUMMYFUNCTION("""COMPUTED_VALUE"""),1919.0)</f>
        <v>1919</v>
      </c>
      <c r="B1919" s="53">
        <f>IFERROR(__xludf.DUMMYFUNCTION("""COMPUTED_VALUE"""),46044.0)</f>
        <v>46044</v>
      </c>
      <c r="C1919" s="3">
        <f>IFERROR(__xludf.DUMMYFUNCTION("""COMPUTED_VALUE"""),76.0)</f>
        <v>76</v>
      </c>
      <c r="D1919" s="3" t="str">
        <f>IFERROR(__xludf.DUMMYFUNCTION("""COMPUTED_VALUE"""),"e454d4b3")</f>
        <v>e454d4b3</v>
      </c>
      <c r="E1919" s="54">
        <f>IFERROR(__xludf.DUMMYFUNCTION("""COMPUTED_VALUE"""),25500.0)</f>
        <v>25500</v>
      </c>
      <c r="F1919" s="3" t="str">
        <f>IFERROR(__xludf.DUMMYFUNCTION("""COMPUTED_VALUE"""),"Tannat")</f>
        <v>Tannat</v>
      </c>
      <c r="G1919" s="3"/>
      <c r="H1919" s="3"/>
      <c r="I1919" s="3"/>
      <c r="J1919" s="3"/>
      <c r="K1919" s="3"/>
      <c r="L1919" s="54">
        <f>IFERROR(__xludf.DUMMYFUNCTION("""COMPUTED_VALUE"""),40.0)</f>
        <v>40</v>
      </c>
      <c r="M1919" s="3">
        <f>IFERROR(__xludf.DUMMYFUNCTION("""COMPUTED_VALUE"""),150.0)</f>
        <v>150</v>
      </c>
      <c r="N1919" s="3"/>
      <c r="O1919" s="3"/>
      <c r="P1919" s="3"/>
      <c r="Q1919" s="3"/>
      <c r="R1919" s="3">
        <f>IFERROR(__xludf.DUMMYFUNCTION("""COMPUTED_VALUE"""),0.0)</f>
        <v>0</v>
      </c>
      <c r="S1919" s="3"/>
      <c r="T1919" s="5"/>
      <c r="U1919" s="5"/>
      <c r="V1919" s="5"/>
      <c r="W1919" s="5"/>
    </row>
    <row r="1920" ht="15.75" customHeight="1">
      <c r="A1920" s="3">
        <f>IFERROR(__xludf.DUMMYFUNCTION("""COMPUTED_VALUE"""),1920.0)</f>
        <v>1920</v>
      </c>
      <c r="B1920" s="53">
        <f>IFERROR(__xludf.DUMMYFUNCTION("""COMPUTED_VALUE"""),46044.0)</f>
        <v>46044</v>
      </c>
      <c r="C1920" s="3">
        <f>IFERROR(__xludf.DUMMYFUNCTION("""COMPUTED_VALUE"""),79.0)</f>
        <v>79</v>
      </c>
      <c r="D1920" s="3" t="str">
        <f>IFERROR(__xludf.DUMMYFUNCTION("""COMPUTED_VALUE"""),"aa2704ae")</f>
        <v>aa2704ae</v>
      </c>
      <c r="E1920" s="54">
        <f>IFERROR(__xludf.DUMMYFUNCTION("""COMPUTED_VALUE"""),26000.0)</f>
        <v>26000</v>
      </c>
      <c r="F1920" s="3" t="str">
        <f>IFERROR(__xludf.DUMMYFUNCTION("""COMPUTED_VALUE"""),"Malbec Rect")</f>
        <v>Malbec Rect</v>
      </c>
      <c r="G1920" s="3"/>
      <c r="H1920" s="3"/>
      <c r="I1920" s="3"/>
      <c r="J1920" s="3"/>
      <c r="K1920" s="3"/>
      <c r="L1920" s="54">
        <f>IFERROR(__xludf.DUMMYFUNCTION("""COMPUTED_VALUE"""),30.0)</f>
        <v>30</v>
      </c>
      <c r="M1920" s="3">
        <f>IFERROR(__xludf.DUMMYFUNCTION("""COMPUTED_VALUE"""),153.0)</f>
        <v>153</v>
      </c>
      <c r="N1920" s="3"/>
      <c r="O1920" s="3"/>
      <c r="P1920" s="3"/>
      <c r="Q1920" s="3"/>
      <c r="R1920" s="3">
        <f>IFERROR(__xludf.DUMMYFUNCTION("""COMPUTED_VALUE"""),0.0)</f>
        <v>0</v>
      </c>
      <c r="S1920" s="3"/>
      <c r="T1920" s="5"/>
      <c r="U1920" s="5"/>
      <c r="V1920" s="5"/>
      <c r="W1920" s="5"/>
    </row>
    <row r="1921" ht="15.75" customHeight="1">
      <c r="A1921" s="3">
        <f>IFERROR(__xludf.DUMMYFUNCTION("""COMPUTED_VALUE"""),1921.0)</f>
        <v>1921</v>
      </c>
      <c r="B1921" s="53">
        <f>IFERROR(__xludf.DUMMYFUNCTION("""COMPUTED_VALUE"""),46044.0)</f>
        <v>46044</v>
      </c>
      <c r="C1921" s="3">
        <f>IFERROR(__xludf.DUMMYFUNCTION("""COMPUTED_VALUE"""),82.0)</f>
        <v>82</v>
      </c>
      <c r="D1921" s="3" t="str">
        <f>IFERROR(__xludf.DUMMYFUNCTION("""COMPUTED_VALUE"""),"f3a40125")</f>
        <v>f3a40125</v>
      </c>
      <c r="E1921" s="54">
        <f>IFERROR(__xludf.DUMMYFUNCTION("""COMPUTED_VALUE"""),42600.0)</f>
        <v>42600</v>
      </c>
      <c r="F1921" s="3" t="str">
        <f>IFERROR(__xludf.DUMMYFUNCTION("""COMPUTED_VALUE"""),"Syrah")</f>
        <v>Syrah</v>
      </c>
      <c r="G1921" s="3"/>
      <c r="H1921" s="3"/>
      <c r="I1921" s="3"/>
      <c r="J1921" s="3"/>
      <c r="K1921" s="3"/>
      <c r="L1921" s="54">
        <f>IFERROR(__xludf.DUMMYFUNCTION("""COMPUTED_VALUE"""),40.0)</f>
        <v>40</v>
      </c>
      <c r="M1921" s="3">
        <f>IFERROR(__xludf.DUMMYFUNCTION("""COMPUTED_VALUE"""),166.0)</f>
        <v>166</v>
      </c>
      <c r="N1921" s="3"/>
      <c r="O1921" s="3"/>
      <c r="P1921" s="3"/>
      <c r="Q1921" s="3"/>
      <c r="R1921" s="3">
        <f>IFERROR(__xludf.DUMMYFUNCTION("""COMPUTED_VALUE"""),0.0)</f>
        <v>0</v>
      </c>
      <c r="S1921" s="3"/>
      <c r="T1921" s="5"/>
      <c r="U1921" s="5"/>
      <c r="V1921" s="5"/>
      <c r="W1921" s="5"/>
    </row>
    <row r="1922" ht="15.75" customHeight="1">
      <c r="A1922" s="3">
        <f>IFERROR(__xludf.DUMMYFUNCTION("""COMPUTED_VALUE"""),1922.0)</f>
        <v>1922</v>
      </c>
      <c r="B1922" s="53">
        <f>IFERROR(__xludf.DUMMYFUNCTION("""COMPUTED_VALUE"""),46044.0)</f>
        <v>46044</v>
      </c>
      <c r="C1922" s="3">
        <f>IFERROR(__xludf.DUMMYFUNCTION("""COMPUTED_VALUE"""),35.0)</f>
        <v>35</v>
      </c>
      <c r="D1922" s="3" t="str">
        <f>IFERROR(__xludf.DUMMYFUNCTION("""COMPUTED_VALUE"""),"52e2d0ea")</f>
        <v>52e2d0ea</v>
      </c>
      <c r="E1922" s="54">
        <f>IFERROR(__xludf.DUMMYFUNCTION("""COMPUTED_VALUE"""),83000.0)</f>
        <v>83000</v>
      </c>
      <c r="F1922" s="3" t="str">
        <f>IFERROR(__xludf.DUMMYFUNCTION("""COMPUTED_VALUE"""),"Malbec")</f>
        <v>Malbec</v>
      </c>
      <c r="G1922" s="3"/>
      <c r="H1922" s="3"/>
      <c r="I1922" s="3"/>
      <c r="J1922" s="3"/>
      <c r="K1922" s="3"/>
      <c r="L1922" s="54">
        <f>IFERROR(__xludf.DUMMYFUNCTION("""COMPUTED_VALUE"""),40.0)</f>
        <v>40</v>
      </c>
      <c r="M1922" s="3">
        <f>IFERROR(__xludf.DUMMYFUNCTION("""COMPUTED_VALUE"""),204.0)</f>
        <v>204</v>
      </c>
      <c r="N1922" s="3"/>
      <c r="O1922" s="3"/>
      <c r="P1922" s="3"/>
      <c r="Q1922" s="3"/>
      <c r="R1922" s="3">
        <f>IFERROR(__xludf.DUMMYFUNCTION("""COMPUTED_VALUE"""),0.0)</f>
        <v>0</v>
      </c>
      <c r="S1922" s="3"/>
      <c r="T1922" s="5"/>
      <c r="U1922" s="5"/>
      <c r="V1922" s="5"/>
      <c r="W1922" s="5"/>
    </row>
    <row r="1923" ht="15.75" customHeight="1">
      <c r="A1923" s="3">
        <f>IFERROR(__xludf.DUMMYFUNCTION("""COMPUTED_VALUE"""),1923.0)</f>
        <v>1923</v>
      </c>
      <c r="B1923" s="53">
        <f>IFERROR(__xludf.DUMMYFUNCTION("""COMPUTED_VALUE"""),46045.0)</f>
        <v>46045</v>
      </c>
      <c r="C1923" s="3">
        <f>IFERROR(__xludf.DUMMYFUNCTION("""COMPUTED_VALUE"""),88.0)</f>
        <v>88</v>
      </c>
      <c r="D1923" s="3" t="str">
        <f>IFERROR(__xludf.DUMMYFUNCTION("""COMPUTED_VALUE"""),"ee5b5592")</f>
        <v>ee5b5592</v>
      </c>
      <c r="E1923" s="54">
        <f>IFERROR(__xludf.DUMMYFUNCTION("""COMPUTED_VALUE"""),78900.0)</f>
        <v>78900</v>
      </c>
      <c r="F1923" s="3" t="str">
        <f>IFERROR(__xludf.DUMMYFUNCTION("""COMPUTED_VALUE"""),"Bonarda")</f>
        <v>Bonarda</v>
      </c>
      <c r="G1923" s="3"/>
      <c r="H1923" s="3"/>
      <c r="I1923" s="3"/>
      <c r="J1923" s="3"/>
      <c r="K1923" s="3"/>
      <c r="L1923" s="54">
        <f>IFERROR(__xludf.DUMMYFUNCTION("""COMPUTED_VALUE"""),41.0)</f>
        <v>41</v>
      </c>
      <c r="M1923" s="3"/>
      <c r="N1923" s="3"/>
      <c r="O1923" s="3"/>
      <c r="P1923" s="3"/>
      <c r="Q1923" s="3"/>
      <c r="R1923" s="3">
        <f>IFERROR(__xludf.DUMMYFUNCTION("""COMPUTED_VALUE"""),0.0)</f>
        <v>0</v>
      </c>
      <c r="S1923" s="3"/>
      <c r="T1923" s="5"/>
      <c r="U1923" s="5"/>
      <c r="V1923" s="5"/>
      <c r="W1923" s="5"/>
    </row>
    <row r="1924" ht="15.75" customHeight="1">
      <c r="A1924" s="3">
        <f>IFERROR(__xludf.DUMMYFUNCTION("""COMPUTED_VALUE"""),1924.0)</f>
        <v>1924</v>
      </c>
      <c r="B1924" s="53">
        <f>IFERROR(__xludf.DUMMYFUNCTION("""COMPUTED_VALUE"""),46043.0)</f>
        <v>46043</v>
      </c>
      <c r="C1924" s="3">
        <f>IFERROR(__xludf.DUMMYFUNCTION("""COMPUTED_VALUE"""),95.0)</f>
        <v>95</v>
      </c>
      <c r="D1924" s="3" t="str">
        <f>IFERROR(__xludf.DUMMYFUNCTION("""COMPUTED_VALUE"""),"83dc62c7")</f>
        <v>83dc62c7</v>
      </c>
      <c r="E1924" s="54">
        <f>IFERROR(__xludf.DUMMYFUNCTION("""COMPUTED_VALUE"""),77100.0)</f>
        <v>77100</v>
      </c>
      <c r="F1924" s="3" t="str">
        <f>IFERROR(__xludf.DUMMYFUNCTION("""COMPUTED_VALUE"""),"Malbec")</f>
        <v>Malbec</v>
      </c>
      <c r="G1924" s="3"/>
      <c r="H1924" s="3"/>
      <c r="I1924" s="3"/>
      <c r="J1924" s="3"/>
      <c r="K1924" s="3"/>
      <c r="L1924" s="54">
        <f>IFERROR(__xludf.DUMMYFUNCTION("""COMPUTED_VALUE"""),40.0)</f>
        <v>40</v>
      </c>
      <c r="M1924" s="3"/>
      <c r="N1924" s="3"/>
      <c r="O1924" s="3"/>
      <c r="P1924" s="3"/>
      <c r="Q1924" s="3"/>
      <c r="R1924" s="3">
        <f>IFERROR(__xludf.DUMMYFUNCTION("""COMPUTED_VALUE"""),0.0)</f>
        <v>0</v>
      </c>
      <c r="S1924" s="3"/>
      <c r="T1924" s="5"/>
      <c r="U1924" s="5"/>
      <c r="V1924" s="5"/>
      <c r="W1924" s="5"/>
    </row>
    <row r="1925" ht="15.75" customHeight="1">
      <c r="A1925" s="3">
        <f>IFERROR(__xludf.DUMMYFUNCTION("""COMPUTED_VALUE"""),1925.0)</f>
        <v>1925</v>
      </c>
      <c r="B1925" s="53">
        <f>IFERROR(__xludf.DUMMYFUNCTION("""COMPUTED_VALUE"""),45679.0)</f>
        <v>45679</v>
      </c>
      <c r="C1925" s="3">
        <f>IFERROR(__xludf.DUMMYFUNCTION("""COMPUTED_VALUE"""),51.0)</f>
        <v>51</v>
      </c>
      <c r="D1925" s="3" t="str">
        <f>IFERROR(__xludf.DUMMYFUNCTION("""COMPUTED_VALUE"""),"27f50d27")</f>
        <v>27f50d27</v>
      </c>
      <c r="E1925" s="54">
        <f>IFERROR(__xludf.DUMMYFUNCTION("""COMPUTED_VALUE"""),3900.0)</f>
        <v>3900</v>
      </c>
      <c r="F1925" s="3" t="str">
        <f>IFERROR(__xludf.DUMMYFUNCTION("""COMPUTED_VALUE"""),"aspirant/ancelotta")</f>
        <v>aspirant/ancelotta</v>
      </c>
      <c r="G1925" s="55">
        <f>IFERROR(__xludf.DUMMYFUNCTION("""COMPUTED_VALUE"""),12.2)</f>
        <v>12.2</v>
      </c>
      <c r="H1925" s="56">
        <f>IFERROR(__xludf.DUMMYFUNCTION("""COMPUTED_VALUE"""),2.0)</f>
        <v>2</v>
      </c>
      <c r="I1925" s="57">
        <f>IFERROR(__xludf.DUMMYFUNCTION("""COMPUTED_VALUE"""),0.61)</f>
        <v>0.61</v>
      </c>
      <c r="J1925" s="57">
        <f>IFERROR(__xludf.DUMMYFUNCTION("""COMPUTED_VALUE"""),5.5)</f>
        <v>5.5</v>
      </c>
      <c r="K1925" s="57">
        <f>IFERROR(__xludf.DUMMYFUNCTION("""COMPUTED_VALUE"""),3.4)</f>
        <v>3.4</v>
      </c>
      <c r="L1925" s="54">
        <f>IFERROR(__xludf.DUMMYFUNCTION("""COMPUTED_VALUE"""),25.0)</f>
        <v>25</v>
      </c>
      <c r="M1925" s="3"/>
      <c r="N1925" s="3"/>
      <c r="O1925" s="3"/>
      <c r="P1925" s="3"/>
      <c r="Q1925" s="3"/>
      <c r="R1925" s="3">
        <f>IFERROR(__xludf.DUMMYFUNCTION("""COMPUTED_VALUE"""),0.0)</f>
        <v>0</v>
      </c>
      <c r="S1925" s="3"/>
      <c r="T1925" s="5"/>
      <c r="U1925" s="5"/>
      <c r="V1925" s="5"/>
      <c r="W1925" s="5"/>
    </row>
    <row r="1926" ht="15.75" customHeight="1">
      <c r="A1926" s="3">
        <f>IFERROR(__xludf.DUMMYFUNCTION("""COMPUTED_VALUE"""),1926.0)</f>
        <v>1926</v>
      </c>
      <c r="B1926" s="53">
        <f>IFERROR(__xludf.DUMMYFUNCTION("""COMPUTED_VALUE"""),46055.0)</f>
        <v>46055</v>
      </c>
      <c r="C1926" s="3">
        <f>IFERROR(__xludf.DUMMYFUNCTION("""COMPUTED_VALUE"""),33.0)</f>
        <v>33</v>
      </c>
      <c r="D1926" s="3" t="str">
        <f>IFERROR(__xludf.DUMMYFUNCTION("""COMPUTED_VALUE"""),"26df23e4")</f>
        <v>26df23e4</v>
      </c>
      <c r="E1926" s="54">
        <f>IFERROR(__xludf.DUMMYFUNCTION("""COMPUTED_VALUE"""),25300.0)</f>
        <v>25300</v>
      </c>
      <c r="F1926" s="3" t="str">
        <f>IFERROR(__xludf.DUMMYFUNCTION("""COMPUTED_VALUE"""),"Malbec")</f>
        <v>Malbec</v>
      </c>
      <c r="G1926" s="55">
        <f>IFERROR(__xludf.DUMMYFUNCTION("""COMPUTED_VALUE"""),13.5)</f>
        <v>13.5</v>
      </c>
      <c r="H1926" s="56">
        <f>IFERROR(__xludf.DUMMYFUNCTION("""COMPUTED_VALUE"""),2.0)</f>
        <v>2</v>
      </c>
      <c r="I1926" s="57">
        <f>IFERROR(__xludf.DUMMYFUNCTION("""COMPUTED_VALUE"""),0.58)</f>
        <v>0.58</v>
      </c>
      <c r="J1926" s="57">
        <f>IFERROR(__xludf.DUMMYFUNCTION("""COMPUTED_VALUE"""),5.58)</f>
        <v>5.58</v>
      </c>
      <c r="K1926" s="57">
        <f>IFERROR(__xludf.DUMMYFUNCTION("""COMPUTED_VALUE"""),3.7)</f>
        <v>3.7</v>
      </c>
      <c r="L1926" s="54">
        <f>IFERROR(__xludf.DUMMYFUNCTION("""COMPUTED_VALUE"""),40.0)</f>
        <v>40</v>
      </c>
      <c r="M1926" s="3">
        <f>IFERROR(__xludf.DUMMYFUNCTION("""COMPUTED_VALUE"""),161.0)</f>
        <v>161</v>
      </c>
      <c r="N1926" s="3"/>
      <c r="O1926" s="3"/>
      <c r="P1926" s="3"/>
      <c r="Q1926" s="3"/>
      <c r="R1926" s="3">
        <f>IFERROR(__xludf.DUMMYFUNCTION("""COMPUTED_VALUE"""),0.0)</f>
        <v>0</v>
      </c>
      <c r="S1926" s="3"/>
      <c r="T1926" s="5"/>
      <c r="U1926" s="5"/>
      <c r="V1926" s="5"/>
      <c r="W1926" s="5"/>
    </row>
    <row r="1927" ht="15.75" customHeight="1">
      <c r="A1927" s="3">
        <f>IFERROR(__xludf.DUMMYFUNCTION("""COMPUTED_VALUE"""),1927.0)</f>
        <v>1927</v>
      </c>
      <c r="B1927" s="53">
        <f>IFERROR(__xludf.DUMMYFUNCTION("""COMPUTED_VALUE"""),46052.0)</f>
        <v>46052</v>
      </c>
      <c r="C1927" s="3">
        <f>IFERROR(__xludf.DUMMYFUNCTION("""COMPUTED_VALUE"""),34.0)</f>
        <v>34</v>
      </c>
      <c r="D1927" s="3" t="str">
        <f>IFERROR(__xludf.DUMMYFUNCTION("""COMPUTED_VALUE"""),"ef525c55")</f>
        <v>ef525c55</v>
      </c>
      <c r="E1927" s="54">
        <f>IFERROR(__xludf.DUMMYFUNCTION("""COMPUTED_VALUE"""),39500.0)</f>
        <v>39500</v>
      </c>
      <c r="F1927" s="3" t="str">
        <f>IFERROR(__xludf.DUMMYFUNCTION("""COMPUTED_VALUE"""),"Malbec")</f>
        <v>Malbec</v>
      </c>
      <c r="G1927" s="3"/>
      <c r="H1927" s="3"/>
      <c r="I1927" s="3"/>
      <c r="J1927" s="3"/>
      <c r="K1927" s="3"/>
      <c r="L1927" s="54">
        <f>IFERROR(__xludf.DUMMYFUNCTION("""COMPUTED_VALUE"""),32.0)</f>
        <v>32</v>
      </c>
      <c r="M1927" s="3"/>
      <c r="N1927" s="3"/>
      <c r="O1927" s="3"/>
      <c r="P1927" s="3"/>
      <c r="Q1927" s="3"/>
      <c r="R1927" s="3">
        <f>IFERROR(__xludf.DUMMYFUNCTION("""COMPUTED_VALUE"""),0.0)</f>
        <v>0</v>
      </c>
      <c r="S1927" s="3"/>
      <c r="T1927" s="5"/>
      <c r="U1927" s="5"/>
      <c r="V1927" s="5"/>
      <c r="W1927" s="5"/>
    </row>
    <row r="1928" ht="15.75" customHeight="1">
      <c r="A1928" s="3">
        <f>IFERROR(__xludf.DUMMYFUNCTION("""COMPUTED_VALUE"""),1928.0)</f>
        <v>1928</v>
      </c>
      <c r="B1928" s="53">
        <f>IFERROR(__xludf.DUMMYFUNCTION("""COMPUTED_VALUE"""),46052.0)</f>
        <v>46052</v>
      </c>
      <c r="C1928" s="3">
        <f>IFERROR(__xludf.DUMMYFUNCTION("""COMPUTED_VALUE"""),35.0)</f>
        <v>35</v>
      </c>
      <c r="D1928" s="3" t="str">
        <f>IFERROR(__xludf.DUMMYFUNCTION("""COMPUTED_VALUE"""),"2a1b9079")</f>
        <v>2a1b9079</v>
      </c>
      <c r="E1928" s="54">
        <f>IFERROR(__xludf.DUMMYFUNCTION("""COMPUTED_VALUE"""),39300.0)</f>
        <v>39300</v>
      </c>
      <c r="F1928" s="3" t="str">
        <f>IFERROR(__xludf.DUMMYFUNCTION("""COMPUTED_VALUE"""),"Malbec")</f>
        <v>Malbec</v>
      </c>
      <c r="G1928" s="3"/>
      <c r="H1928" s="3"/>
      <c r="I1928" s="3"/>
      <c r="J1928" s="3"/>
      <c r="K1928" s="3"/>
      <c r="L1928" s="54">
        <f>IFERROR(__xludf.DUMMYFUNCTION("""COMPUTED_VALUE"""),40.0)</f>
        <v>40</v>
      </c>
      <c r="M1928" s="3"/>
      <c r="N1928" s="3"/>
      <c r="O1928" s="3"/>
      <c r="P1928" s="3"/>
      <c r="Q1928" s="3"/>
      <c r="R1928" s="3">
        <f>IFERROR(__xludf.DUMMYFUNCTION("""COMPUTED_VALUE"""),0.0)</f>
        <v>0</v>
      </c>
      <c r="S1928" s="3"/>
      <c r="T1928" s="5"/>
      <c r="U1928" s="5"/>
      <c r="V1928" s="5"/>
      <c r="W1928" s="5"/>
    </row>
    <row r="1929" ht="15.75" customHeight="1">
      <c r="A1929" s="3">
        <f>IFERROR(__xludf.DUMMYFUNCTION("""COMPUTED_VALUE"""),1929.0)</f>
        <v>1929</v>
      </c>
      <c r="B1929" s="53">
        <f>IFERROR(__xludf.DUMMYFUNCTION("""COMPUTED_VALUE"""),46052.0)</f>
        <v>46052</v>
      </c>
      <c r="C1929" s="3">
        <f>IFERROR(__xludf.DUMMYFUNCTION("""COMPUTED_VALUE"""),51.0)</f>
        <v>51</v>
      </c>
      <c r="D1929" s="3" t="str">
        <f>IFERROR(__xludf.DUMMYFUNCTION("""COMPUTED_VALUE"""),"27f50d27")</f>
        <v>27f50d27</v>
      </c>
      <c r="E1929" s="54">
        <f>IFERROR(__xludf.DUMMYFUNCTION("""COMPUTED_VALUE"""),3900.0)</f>
        <v>3900</v>
      </c>
      <c r="F1929" s="3" t="str">
        <f>IFERROR(__xludf.DUMMYFUNCTION("""COMPUTED_VALUE"""),"Anccelotta Aspirant")</f>
        <v>Anccelotta Aspirant</v>
      </c>
      <c r="G1929" s="3"/>
      <c r="H1929" s="3"/>
      <c r="I1929" s="3"/>
      <c r="J1929" s="3"/>
      <c r="K1929" s="3"/>
      <c r="L1929" s="54">
        <f>IFERROR(__xludf.DUMMYFUNCTION("""COMPUTED_VALUE"""),50.0)</f>
        <v>50</v>
      </c>
      <c r="M1929" s="3"/>
      <c r="N1929" s="3"/>
      <c r="O1929" s="3"/>
      <c r="P1929" s="3"/>
      <c r="Q1929" s="3"/>
      <c r="R1929" s="3">
        <f>IFERROR(__xludf.DUMMYFUNCTION("""COMPUTED_VALUE"""),0.0)</f>
        <v>0</v>
      </c>
      <c r="S1929" s="3"/>
      <c r="T1929" s="5"/>
      <c r="U1929" s="5"/>
      <c r="V1929" s="5"/>
      <c r="W1929" s="5"/>
    </row>
    <row r="1930" ht="15.75" customHeight="1">
      <c r="A1930" s="3">
        <f>IFERROR(__xludf.DUMMYFUNCTION("""COMPUTED_VALUE"""),1930.0)</f>
        <v>1930</v>
      </c>
      <c r="B1930" s="53">
        <f>IFERROR(__xludf.DUMMYFUNCTION("""COMPUTED_VALUE"""),46052.0)</f>
        <v>46052</v>
      </c>
      <c r="C1930" s="3">
        <f>IFERROR(__xludf.DUMMYFUNCTION("""COMPUTED_VALUE"""),52.0)</f>
        <v>52</v>
      </c>
      <c r="D1930" s="3" t="str">
        <f>IFERROR(__xludf.DUMMYFUNCTION("""COMPUTED_VALUE"""),"60d69641")</f>
        <v>60d69641</v>
      </c>
      <c r="E1930" s="54">
        <f>IFERROR(__xludf.DUMMYFUNCTION("""COMPUTED_VALUE"""),27000.0)</f>
        <v>27000</v>
      </c>
      <c r="F1930" s="3" t="str">
        <f>IFERROR(__xludf.DUMMYFUNCTION("""COMPUTED_VALUE"""),"Anccelotta Aspirant")</f>
        <v>Anccelotta Aspirant</v>
      </c>
      <c r="G1930" s="3"/>
      <c r="H1930" s="3"/>
      <c r="I1930" s="3"/>
      <c r="J1930" s="3"/>
      <c r="K1930" s="3"/>
      <c r="L1930" s="54">
        <f>IFERROR(__xludf.DUMMYFUNCTION("""COMPUTED_VALUE"""),51.0)</f>
        <v>51</v>
      </c>
      <c r="M1930" s="3"/>
      <c r="N1930" s="3"/>
      <c r="O1930" s="3"/>
      <c r="P1930" s="3"/>
      <c r="Q1930" s="3"/>
      <c r="R1930" s="3">
        <f>IFERROR(__xludf.DUMMYFUNCTION("""COMPUTED_VALUE"""),0.0)</f>
        <v>0</v>
      </c>
      <c r="S1930" s="3"/>
      <c r="T1930" s="5"/>
      <c r="U1930" s="5"/>
      <c r="V1930" s="5"/>
      <c r="W1930" s="5"/>
    </row>
    <row r="1931" ht="15.75" customHeight="1">
      <c r="A1931" s="3">
        <f>IFERROR(__xludf.DUMMYFUNCTION("""COMPUTED_VALUE"""),1931.0)</f>
        <v>1931</v>
      </c>
      <c r="B1931" s="53">
        <f>IFERROR(__xludf.DUMMYFUNCTION("""COMPUTED_VALUE"""),46056.0)</f>
        <v>46056</v>
      </c>
      <c r="C1931" s="3">
        <f>IFERROR(__xludf.DUMMYFUNCTION("""COMPUTED_VALUE"""),116.0)</f>
        <v>116</v>
      </c>
      <c r="D1931" s="3" t="str">
        <f>IFERROR(__xludf.DUMMYFUNCTION("""COMPUTED_VALUE"""),"cc790276")</f>
        <v>cc790276</v>
      </c>
      <c r="E1931" s="54">
        <f>IFERROR(__xludf.DUMMYFUNCTION("""COMPUTED_VALUE"""),99600.0)</f>
        <v>99600</v>
      </c>
      <c r="F1931" s="3" t="str">
        <f>IFERROR(__xludf.DUMMYFUNCTION("""COMPUTED_VALUE"""),"Malbec Lopez")</f>
        <v>Malbec Lopez</v>
      </c>
      <c r="G1931" s="55">
        <f>IFERROR(__xludf.DUMMYFUNCTION("""COMPUTED_VALUE"""),13.8)</f>
        <v>13.8</v>
      </c>
      <c r="H1931" s="56">
        <f>IFERROR(__xludf.DUMMYFUNCTION("""COMPUTED_VALUE"""),3.5)</f>
        <v>3.5</v>
      </c>
      <c r="I1931" s="57">
        <f>IFERROR(__xludf.DUMMYFUNCTION("""COMPUTED_VALUE"""),0.59)</f>
        <v>0.59</v>
      </c>
      <c r="J1931" s="57">
        <f>IFERROR(__xludf.DUMMYFUNCTION("""COMPUTED_VALUE"""),5.7)</f>
        <v>5.7</v>
      </c>
      <c r="K1931" s="57">
        <f>IFERROR(__xludf.DUMMYFUNCTION("""COMPUTED_VALUE"""),3.72)</f>
        <v>3.72</v>
      </c>
      <c r="L1931" s="54">
        <f>IFERROR(__xludf.DUMMYFUNCTION("""COMPUTED_VALUE"""),32.0)</f>
        <v>32</v>
      </c>
      <c r="M1931" s="3">
        <f>IFERROR(__xludf.DUMMYFUNCTION("""COMPUTED_VALUE"""),160.0)</f>
        <v>160</v>
      </c>
      <c r="N1931" s="3"/>
      <c r="O1931" s="3"/>
      <c r="P1931" s="3"/>
      <c r="Q1931" s="3"/>
      <c r="R1931" s="3">
        <f>IFERROR(__xludf.DUMMYFUNCTION("""COMPUTED_VALUE"""),0.0)</f>
        <v>0</v>
      </c>
      <c r="S1931" s="3"/>
      <c r="T1931" s="5"/>
      <c r="U1931" s="5"/>
      <c r="V1931" s="5"/>
      <c r="W1931" s="5"/>
    </row>
    <row r="1932" ht="15.75" customHeight="1">
      <c r="A1932" s="3">
        <f>IFERROR(__xludf.DUMMYFUNCTION("""COMPUTED_VALUE"""),1932.0)</f>
        <v>1932</v>
      </c>
      <c r="B1932" s="53">
        <f>IFERROR(__xludf.DUMMYFUNCTION("""COMPUTED_VALUE"""),46055.0)</f>
        <v>46055</v>
      </c>
      <c r="C1932" s="3">
        <f>IFERROR(__xludf.DUMMYFUNCTION("""COMPUTED_VALUE"""),76.0)</f>
        <v>76</v>
      </c>
      <c r="D1932" s="3" t="str">
        <f>IFERROR(__xludf.DUMMYFUNCTION("""COMPUTED_VALUE"""),"e454d4b3")</f>
        <v>e454d4b3</v>
      </c>
      <c r="E1932" s="54">
        <f>IFERROR(__xludf.DUMMYFUNCTION("""COMPUTED_VALUE"""),25500.0)</f>
        <v>25500</v>
      </c>
      <c r="F1932" s="3" t="str">
        <f>IFERROR(__xludf.DUMMYFUNCTION("""COMPUTED_VALUE"""),"Tannat ratificacion Arizu")</f>
        <v>Tannat ratificacion Arizu</v>
      </c>
      <c r="G1932" s="55">
        <f>IFERROR(__xludf.DUMMYFUNCTION("""COMPUTED_VALUE"""),13.4)</f>
        <v>13.4</v>
      </c>
      <c r="H1932" s="56">
        <f>IFERROR(__xludf.DUMMYFUNCTION("""COMPUTED_VALUE"""),3.24)</f>
        <v>3.24</v>
      </c>
      <c r="I1932" s="57">
        <f>IFERROR(__xludf.DUMMYFUNCTION("""COMPUTED_VALUE"""),0.55)</f>
        <v>0.55</v>
      </c>
      <c r="J1932" s="57">
        <f>IFERROR(__xludf.DUMMYFUNCTION("""COMPUTED_VALUE"""),5.3)</f>
        <v>5.3</v>
      </c>
      <c r="K1932" s="57">
        <f>IFERROR(__xludf.DUMMYFUNCTION("""COMPUTED_VALUE"""),3.58)</f>
        <v>3.58</v>
      </c>
      <c r="L1932" s="54">
        <f>IFERROR(__xludf.DUMMYFUNCTION("""COMPUTED_VALUE"""),45.0)</f>
        <v>45</v>
      </c>
      <c r="M1932" s="3">
        <f>IFERROR(__xludf.DUMMYFUNCTION("""COMPUTED_VALUE"""),121.0)</f>
        <v>121</v>
      </c>
      <c r="N1932" s="3">
        <f>IFERROR(__xludf.DUMMYFUNCTION("""COMPUTED_VALUE"""),32.6)</f>
        <v>32.6</v>
      </c>
      <c r="O1932" s="3">
        <f>IFERROR(__xludf.DUMMYFUNCTION("""COMPUTED_VALUE"""),449.0)</f>
        <v>449</v>
      </c>
      <c r="P1932" s="3">
        <f>IFERROR(__xludf.DUMMYFUNCTION("""COMPUTED_VALUE"""),722.0)</f>
        <v>722</v>
      </c>
      <c r="Q1932" s="3"/>
      <c r="R1932" s="3">
        <f>IFERROR(__xludf.DUMMYFUNCTION("""COMPUTED_VALUE"""),1171.0)</f>
        <v>1171</v>
      </c>
      <c r="S1932" s="54">
        <f>IFERROR(__xludf.DUMMYFUNCTION("""COMPUTED_VALUE"""),1882.9888641425391)</f>
        <v>1882.988864</v>
      </c>
      <c r="T1932" s="5"/>
      <c r="U1932" s="5"/>
      <c r="V1932" s="5"/>
      <c r="W1932" s="5"/>
    </row>
    <row r="1933" ht="15.75" customHeight="1">
      <c r="A1933" s="3">
        <f>IFERROR(__xludf.DUMMYFUNCTION("""COMPUTED_VALUE"""),1933.0)</f>
        <v>1933</v>
      </c>
      <c r="B1933" s="53">
        <f>IFERROR(__xludf.DUMMYFUNCTION("""COMPUTED_VALUE"""),46056.0)</f>
        <v>46056</v>
      </c>
      <c r="C1933" s="3">
        <f>IFERROR(__xludf.DUMMYFUNCTION("""COMPUTED_VALUE"""),34.0)</f>
        <v>34</v>
      </c>
      <c r="D1933" s="3" t="str">
        <f>IFERROR(__xludf.DUMMYFUNCTION("""COMPUTED_VALUE"""),"ef525c55")</f>
        <v>ef525c55</v>
      </c>
      <c r="E1933" s="54">
        <f>IFERROR(__xludf.DUMMYFUNCTION("""COMPUTED_VALUE"""),39500.0)</f>
        <v>39500</v>
      </c>
      <c r="F1933" s="3" t="str">
        <f>IFERROR(__xludf.DUMMYFUNCTION("""COMPUTED_VALUE"""),"Malbec")</f>
        <v>Malbec</v>
      </c>
      <c r="G1933" s="55">
        <f>IFERROR(__xludf.DUMMYFUNCTION("""COMPUTED_VALUE"""),13.7)</f>
        <v>13.7</v>
      </c>
      <c r="H1933" s="56">
        <f>IFERROR(__xludf.DUMMYFUNCTION("""COMPUTED_VALUE"""),2.8)</f>
        <v>2.8</v>
      </c>
      <c r="I1933" s="57">
        <f>IFERROR(__xludf.DUMMYFUNCTION("""COMPUTED_VALUE"""),0.5)</f>
        <v>0.5</v>
      </c>
      <c r="J1933" s="57">
        <f>IFERROR(__xludf.DUMMYFUNCTION("""COMPUTED_VALUE"""),5.4)</f>
        <v>5.4</v>
      </c>
      <c r="K1933" s="57">
        <f>IFERROR(__xludf.DUMMYFUNCTION("""COMPUTED_VALUE"""),3.69)</f>
        <v>3.69</v>
      </c>
      <c r="L1933" s="54">
        <f>IFERROR(__xludf.DUMMYFUNCTION("""COMPUTED_VALUE"""),32.0)</f>
        <v>32</v>
      </c>
      <c r="M1933" s="3">
        <f>IFERROR(__xludf.DUMMYFUNCTION("""COMPUTED_VALUE"""),133.0)</f>
        <v>133</v>
      </c>
      <c r="N1933" s="3"/>
      <c r="O1933" s="3"/>
      <c r="P1933" s="3"/>
      <c r="Q1933" s="3"/>
      <c r="R1933" s="3">
        <f>IFERROR(__xludf.DUMMYFUNCTION("""COMPUTED_VALUE"""),0.0)</f>
        <v>0</v>
      </c>
      <c r="S1933" s="3"/>
      <c r="T1933" s="5"/>
      <c r="U1933" s="5"/>
      <c r="V1933" s="5"/>
      <c r="W1933" s="5"/>
    </row>
    <row r="1934" ht="15.75" customHeight="1">
      <c r="A1934" s="3">
        <f>IFERROR(__xludf.DUMMYFUNCTION("""COMPUTED_VALUE"""),1934.0)</f>
        <v>1934</v>
      </c>
      <c r="B1934" s="53">
        <f>IFERROR(__xludf.DUMMYFUNCTION("""COMPUTED_VALUE"""),46057.0)</f>
        <v>46057</v>
      </c>
      <c r="C1934" s="3">
        <f>IFERROR(__xludf.DUMMYFUNCTION("""COMPUTED_VALUE"""),35.0)</f>
        <v>35</v>
      </c>
      <c r="D1934" s="3" t="str">
        <f>IFERROR(__xludf.DUMMYFUNCTION("""COMPUTED_VALUE"""),"2a1b9079")</f>
        <v>2a1b9079</v>
      </c>
      <c r="E1934" s="54">
        <f>IFERROR(__xludf.DUMMYFUNCTION("""COMPUTED_VALUE"""),39300.0)</f>
        <v>39300</v>
      </c>
      <c r="F1934" s="3" t="str">
        <f>IFERROR(__xludf.DUMMYFUNCTION("""COMPUTED_VALUE"""),"Malbec")</f>
        <v>Malbec</v>
      </c>
      <c r="G1934" s="55">
        <f>IFERROR(__xludf.DUMMYFUNCTION("""COMPUTED_VALUE"""),13.4)</f>
        <v>13.4</v>
      </c>
      <c r="H1934" s="56">
        <f>IFERROR(__xludf.DUMMYFUNCTION("""COMPUTED_VALUE"""),2.0)</f>
        <v>2</v>
      </c>
      <c r="I1934" s="57">
        <f>IFERROR(__xludf.DUMMYFUNCTION("""COMPUTED_VALUE"""),0.57)</f>
        <v>0.57</v>
      </c>
      <c r="J1934" s="57">
        <f>IFERROR(__xludf.DUMMYFUNCTION("""COMPUTED_VALUE"""),5.43)</f>
        <v>5.43</v>
      </c>
      <c r="K1934" s="57">
        <f>IFERROR(__xludf.DUMMYFUNCTION("""COMPUTED_VALUE"""),3.68)</f>
        <v>3.68</v>
      </c>
      <c r="L1934" s="54">
        <f>IFERROR(__xludf.DUMMYFUNCTION("""COMPUTED_VALUE"""),38.0)</f>
        <v>38</v>
      </c>
      <c r="M1934" s="3">
        <f>IFERROR(__xludf.DUMMYFUNCTION("""COMPUTED_VALUE"""),160.0)</f>
        <v>160</v>
      </c>
      <c r="N1934" s="3"/>
      <c r="O1934" s="3"/>
      <c r="P1934" s="3"/>
      <c r="Q1934" s="3"/>
      <c r="R1934" s="3">
        <f>IFERROR(__xludf.DUMMYFUNCTION("""COMPUTED_VALUE"""),0.0)</f>
        <v>0</v>
      </c>
      <c r="S1934" s="3"/>
      <c r="T1934" s="5"/>
      <c r="U1934" s="5"/>
      <c r="V1934" s="5"/>
      <c r="W1934" s="5"/>
    </row>
    <row r="1935" ht="15.75" customHeight="1">
      <c r="A1935" s="3">
        <f>IFERROR(__xludf.DUMMYFUNCTION("""COMPUTED_VALUE"""),1935.0)</f>
        <v>1935</v>
      </c>
      <c r="B1935" s="53">
        <f>IFERROR(__xludf.DUMMYFUNCTION("""COMPUTED_VALUE"""),46058.0)</f>
        <v>46058</v>
      </c>
      <c r="C1935" s="3">
        <f>IFERROR(__xludf.DUMMYFUNCTION("""COMPUTED_VALUE"""),12.0)</f>
        <v>12</v>
      </c>
      <c r="D1935" s="3" t="str">
        <f>IFERROR(__xludf.DUMMYFUNCTION("""COMPUTED_VALUE"""),"4c4ed750")</f>
        <v>4c4ed750</v>
      </c>
      <c r="E1935" s="3"/>
      <c r="F1935" s="3" t="str">
        <f>IFERROR(__xludf.DUMMYFUNCTION("""COMPUTED_VALUE"""),"Chardonnay 2026")</f>
        <v>Chardonnay 2026</v>
      </c>
      <c r="G1935" s="3"/>
      <c r="H1935" s="56">
        <f>IFERROR(__xludf.DUMMYFUNCTION("""COMPUTED_VALUE"""),209.0)</f>
        <v>209</v>
      </c>
      <c r="I1935" s="3"/>
      <c r="J1935" s="57">
        <f>IFERROR(__xludf.DUMMYFUNCTION("""COMPUTED_VALUE"""),5.3)</f>
        <v>5.3</v>
      </c>
      <c r="K1935" s="57">
        <f>IFERROR(__xludf.DUMMYFUNCTION("""COMPUTED_VALUE"""),3.69)</f>
        <v>3.69</v>
      </c>
      <c r="L1935" s="54">
        <f>IFERROR(__xludf.DUMMYFUNCTION("""COMPUTED_VALUE"""),12.0)</f>
        <v>12</v>
      </c>
      <c r="M1935" s="3">
        <f>IFERROR(__xludf.DUMMYFUNCTION("""COMPUTED_VALUE"""),38.0)</f>
        <v>38</v>
      </c>
      <c r="N1935" s="3"/>
      <c r="O1935" s="3"/>
      <c r="P1935" s="3"/>
      <c r="Q1935" s="3"/>
      <c r="R1935" s="3">
        <f>IFERROR(__xludf.DUMMYFUNCTION("""COMPUTED_VALUE"""),0.0)</f>
        <v>0</v>
      </c>
      <c r="S1935" s="3"/>
      <c r="T1935" s="5"/>
      <c r="U1935" s="5"/>
      <c r="V1935" s="5"/>
      <c r="W1935" s="5"/>
    </row>
    <row r="1936" ht="15.75" customHeight="1">
      <c r="A1936" s="3">
        <f>IFERROR(__xludf.DUMMYFUNCTION("""COMPUTED_VALUE"""),1936.0)</f>
        <v>1936</v>
      </c>
      <c r="B1936" s="53">
        <f>IFERROR(__xludf.DUMMYFUNCTION("""COMPUTED_VALUE"""),46059.0)</f>
        <v>46059</v>
      </c>
      <c r="C1936" s="3">
        <f>IFERROR(__xludf.DUMMYFUNCTION("""COMPUTED_VALUE"""),8.0)</f>
        <v>8</v>
      </c>
      <c r="D1936" s="3" t="str">
        <f>IFERROR(__xludf.DUMMYFUNCTION("""COMPUTED_VALUE"""),"bc31113b")</f>
        <v>bc31113b</v>
      </c>
      <c r="E1936" s="54">
        <f>IFERROR(__xludf.DUMMYFUNCTION("""COMPUTED_VALUE"""),20000.0)</f>
        <v>20000</v>
      </c>
      <c r="F1936" s="3" t="str">
        <f>IFERROR(__xludf.DUMMYFUNCTION("""COMPUTED_VALUE"""),"Chardonnay Mosto Rect")</f>
        <v>Chardonnay Mosto Rect</v>
      </c>
      <c r="G1936" s="3"/>
      <c r="H1936" s="56">
        <f>IFERROR(__xludf.DUMMYFUNCTION("""COMPUTED_VALUE"""),180.0)</f>
        <v>180</v>
      </c>
      <c r="I1936" s="3"/>
      <c r="J1936" s="3"/>
      <c r="K1936" s="57">
        <f>IFERROR(__xludf.DUMMYFUNCTION("""COMPUTED_VALUE"""),1.95)</f>
        <v>1.95</v>
      </c>
      <c r="L1936" s="54">
        <f>IFERROR(__xludf.DUMMYFUNCTION("""COMPUTED_VALUE"""),12.0)</f>
        <v>12</v>
      </c>
      <c r="M1936" s="3">
        <f>IFERROR(__xludf.DUMMYFUNCTION("""COMPUTED_VALUE"""),73.0)</f>
        <v>73</v>
      </c>
      <c r="N1936" s="3"/>
      <c r="O1936" s="3"/>
      <c r="P1936" s="3"/>
      <c r="Q1936" s="3"/>
      <c r="R1936" s="3">
        <f>IFERROR(__xludf.DUMMYFUNCTION("""COMPUTED_VALUE"""),0.0)</f>
        <v>0</v>
      </c>
      <c r="S1936" s="3"/>
      <c r="T1936" s="5"/>
      <c r="U1936" s="5"/>
      <c r="V1936" s="5"/>
      <c r="W1936" s="5"/>
    </row>
    <row r="1937" ht="15.75" customHeight="1">
      <c r="A1937" s="3">
        <f>IFERROR(__xludf.DUMMYFUNCTION("""COMPUTED_VALUE"""),1937.0)</f>
        <v>1937</v>
      </c>
      <c r="B1937" s="53">
        <f>IFERROR(__xludf.DUMMYFUNCTION("""COMPUTED_VALUE"""),46060.0)</f>
        <v>46060</v>
      </c>
      <c r="C1937" s="3">
        <f>IFERROR(__xludf.DUMMYFUNCTION("""COMPUTED_VALUE"""),77.0)</f>
        <v>77</v>
      </c>
      <c r="D1937" s="3" t="str">
        <f>IFERROR(__xludf.DUMMYFUNCTION("""COMPUTED_VALUE"""),"6925ca3a")</f>
        <v>6925ca3a</v>
      </c>
      <c r="E1937" s="3"/>
      <c r="F1937" s="3" t="str">
        <f>IFERROR(__xludf.DUMMYFUNCTION("""COMPUTED_VALUE"""),"chardonnay base+30 % recti")</f>
        <v>chardonnay base+30 % recti</v>
      </c>
      <c r="G1937" s="3"/>
      <c r="H1937" s="3"/>
      <c r="I1937" s="3"/>
      <c r="J1937" s="3"/>
      <c r="K1937" s="57">
        <f>IFERROR(__xludf.DUMMYFUNCTION("""COMPUTED_VALUE"""),3.3)</f>
        <v>3.3</v>
      </c>
      <c r="L1937" s="3"/>
      <c r="M1937" s="3"/>
      <c r="N1937" s="3"/>
      <c r="O1937" s="3"/>
      <c r="P1937" s="3"/>
      <c r="Q1937" s="3"/>
      <c r="R1937" s="3">
        <f>IFERROR(__xludf.DUMMYFUNCTION("""COMPUTED_VALUE"""),0.0)</f>
        <v>0</v>
      </c>
      <c r="S1937" s="3"/>
      <c r="T1937" s="5"/>
      <c r="U1937" s="5"/>
      <c r="V1937" s="5"/>
      <c r="W1937" s="5"/>
    </row>
    <row r="1938" ht="15.75" customHeight="1">
      <c r="A1938" s="3">
        <f>IFERROR(__xludf.DUMMYFUNCTION("""COMPUTED_VALUE"""),1938.0)</f>
        <v>1938</v>
      </c>
      <c r="B1938" s="53">
        <f>IFERROR(__xludf.DUMMYFUNCTION("""COMPUTED_VALUE"""),46062.0)</f>
        <v>46062</v>
      </c>
      <c r="C1938" s="3">
        <f>IFERROR(__xludf.DUMMYFUNCTION("""COMPUTED_VALUE"""),77.0)</f>
        <v>77</v>
      </c>
      <c r="D1938" s="3" t="str">
        <f>IFERROR(__xludf.DUMMYFUNCTION("""COMPUTED_VALUE"""),"6925ca3a")</f>
        <v>6925ca3a</v>
      </c>
      <c r="E1938" s="3"/>
      <c r="F1938" s="3" t="str">
        <f>IFERROR(__xludf.DUMMYFUNCTION("""COMPUTED_VALUE"""),"chardonay 25%rectific")</f>
        <v>chardonay 25%rectific</v>
      </c>
      <c r="G1938" s="3"/>
      <c r="H1938" s="3"/>
      <c r="I1938" s="3"/>
      <c r="J1938" s="57">
        <f>IFERROR(__xludf.DUMMYFUNCTION("""COMPUTED_VALUE"""),6.45)</f>
        <v>6.45</v>
      </c>
      <c r="K1938" s="57">
        <f>IFERROR(__xludf.DUMMYFUNCTION("""COMPUTED_VALUE"""),3.27)</f>
        <v>3.27</v>
      </c>
      <c r="L1938" s="3"/>
      <c r="M1938" s="3"/>
      <c r="N1938" s="3"/>
      <c r="O1938" s="3"/>
      <c r="P1938" s="3"/>
      <c r="Q1938" s="3"/>
      <c r="R1938" s="3">
        <f>IFERROR(__xludf.DUMMYFUNCTION("""COMPUTED_VALUE"""),0.0)</f>
        <v>0</v>
      </c>
      <c r="S1938" s="3"/>
      <c r="T1938" s="5"/>
      <c r="U1938" s="5"/>
      <c r="V1938" s="5"/>
      <c r="W1938" s="5"/>
    </row>
    <row r="1939" ht="15.75" customHeight="1">
      <c r="A1939" s="3">
        <f>IFERROR(__xludf.DUMMYFUNCTION("""COMPUTED_VALUE"""),1939.0)</f>
        <v>1939</v>
      </c>
      <c r="B1939" s="53">
        <f>IFERROR(__xludf.DUMMYFUNCTION("""COMPUTED_VALUE"""),46063.0)</f>
        <v>46063</v>
      </c>
      <c r="C1939" s="3">
        <f>IFERROR(__xludf.DUMMYFUNCTION("""COMPUTED_VALUE"""),78.0)</f>
        <v>78</v>
      </c>
      <c r="D1939" s="3" t="str">
        <f>IFERROR(__xludf.DUMMYFUNCTION("""COMPUTED_VALUE"""),"403b7669")</f>
        <v>403b7669</v>
      </c>
      <c r="E1939" s="54">
        <f>IFERROR(__xludf.DUMMYFUNCTION("""COMPUTED_VALUE"""),19000.0)</f>
        <v>19000</v>
      </c>
      <c r="F1939" s="3" t="str">
        <f>IFERROR(__xludf.DUMMYFUNCTION("""COMPUTED_VALUE"""),"chardonay 30%rectific")</f>
        <v>chardonay 30%rectific</v>
      </c>
      <c r="G1939" s="3"/>
      <c r="H1939" s="56">
        <f>IFERROR(__xludf.DUMMYFUNCTION("""COMPUTED_VALUE"""),196.0)</f>
        <v>196</v>
      </c>
      <c r="I1939" s="3"/>
      <c r="J1939" s="3"/>
      <c r="K1939" s="57">
        <f>IFERROR(__xludf.DUMMYFUNCTION("""COMPUTED_VALUE"""),3.27)</f>
        <v>3.27</v>
      </c>
      <c r="L1939" s="54">
        <f>IFERROR(__xludf.DUMMYFUNCTION("""COMPUTED_VALUE"""),25.0)</f>
        <v>25</v>
      </c>
      <c r="M1939" s="3">
        <f>IFERROR(__xludf.DUMMYFUNCTION("""COMPUTED_VALUE"""),77.0)</f>
        <v>77</v>
      </c>
      <c r="N1939" s="3"/>
      <c r="O1939" s="3"/>
      <c r="P1939" s="3"/>
      <c r="Q1939" s="3"/>
      <c r="R1939" s="3">
        <f>IFERROR(__xludf.DUMMYFUNCTION("""COMPUTED_VALUE"""),0.0)</f>
        <v>0</v>
      </c>
      <c r="S1939" s="3"/>
      <c r="T1939" s="5"/>
      <c r="U1939" s="5"/>
      <c r="V1939" s="5"/>
      <c r="W1939" s="5"/>
    </row>
    <row r="1940" ht="15.75" customHeight="1">
      <c r="A1940" s="3">
        <f>IFERROR(__xludf.DUMMYFUNCTION("""COMPUTED_VALUE"""),1940.0)</f>
        <v>1940</v>
      </c>
      <c r="B1940" s="53">
        <f>IFERROR(__xludf.DUMMYFUNCTION("""COMPUTED_VALUE"""),46063.0)</f>
        <v>46063</v>
      </c>
      <c r="C1940" s="3">
        <f>IFERROR(__xludf.DUMMYFUNCTION("""COMPUTED_VALUE"""),14.0)</f>
        <v>14</v>
      </c>
      <c r="D1940" s="3" t="str">
        <f>IFERROR(__xludf.DUMMYFUNCTION("""COMPUTED_VALUE"""),"#REF!")</f>
        <v>#REF!</v>
      </c>
      <c r="E1940" s="54">
        <f>IFERROR(__xludf.DUMMYFUNCTION("""COMPUTED_VALUE"""),2000.0)</f>
        <v>2000</v>
      </c>
      <c r="F1940" s="3" t="str">
        <f>IFERROR(__xludf.DUMMYFUNCTION("""COMPUTED_VALUE"""),"chardonnay prensa")</f>
        <v>chardonnay prensa</v>
      </c>
      <c r="G1940" s="3"/>
      <c r="H1940" s="56">
        <f>IFERROR(__xludf.DUMMYFUNCTION("""COMPUTED_VALUE"""),203.0)</f>
        <v>203</v>
      </c>
      <c r="I1940" s="3"/>
      <c r="J1940" s="3"/>
      <c r="K1940" s="57">
        <f>IFERROR(__xludf.DUMMYFUNCTION("""COMPUTED_VALUE"""),3.82)</f>
        <v>3.82</v>
      </c>
      <c r="L1940" s="3"/>
      <c r="M1940" s="3"/>
      <c r="N1940" s="3"/>
      <c r="O1940" s="3"/>
      <c r="P1940" s="3"/>
      <c r="Q1940" s="3"/>
      <c r="R1940" s="3">
        <f>IFERROR(__xludf.DUMMYFUNCTION("""COMPUTED_VALUE"""),0.0)</f>
        <v>0</v>
      </c>
      <c r="S1940" s="3"/>
      <c r="T1940" s="5"/>
      <c r="U1940" s="5"/>
      <c r="V1940" s="5"/>
      <c r="W1940" s="5"/>
    </row>
    <row r="1941" ht="15.75" customHeight="1">
      <c r="A1941" s="3">
        <f>IFERROR(__xludf.DUMMYFUNCTION("""COMPUTED_VALUE"""),1941.0)</f>
        <v>1941</v>
      </c>
      <c r="B1941" s="53">
        <f>IFERROR(__xludf.DUMMYFUNCTION("""COMPUTED_VALUE"""),46063.0)</f>
        <v>46063</v>
      </c>
      <c r="C1941" s="3">
        <f>IFERROR(__xludf.DUMMYFUNCTION("""COMPUTED_VALUE"""),46.0)</f>
        <v>46</v>
      </c>
      <c r="D1941" s="3" t="str">
        <f>IFERROR(__xludf.DUMMYFUNCTION("""COMPUTED_VALUE"""),"f47daeb3")</f>
        <v>f47daeb3</v>
      </c>
      <c r="E1941" s="54">
        <f>IFERROR(__xludf.DUMMYFUNCTION("""COMPUTED_VALUE"""),21800.0)</f>
        <v>21800</v>
      </c>
      <c r="F1941" s="3" t="str">
        <f>IFERROR(__xludf.DUMMYFUNCTION("""COMPUTED_VALUE"""),"chardonnay rectificado")</f>
        <v>chardonnay rectificado</v>
      </c>
      <c r="G1941" s="3"/>
      <c r="H1941" s="56">
        <f>IFERROR(__xludf.DUMMYFUNCTION("""COMPUTED_VALUE"""),178.0)</f>
        <v>178</v>
      </c>
      <c r="I1941" s="3"/>
      <c r="J1941" s="3"/>
      <c r="K1941" s="57">
        <f>IFERROR(__xludf.DUMMYFUNCTION("""COMPUTED_VALUE"""),2.09)</f>
        <v>2.09</v>
      </c>
      <c r="L1941" s="3"/>
      <c r="M1941" s="3"/>
      <c r="N1941" s="3"/>
      <c r="O1941" s="3"/>
      <c r="P1941" s="3"/>
      <c r="Q1941" s="3"/>
      <c r="R1941" s="3">
        <f>IFERROR(__xludf.DUMMYFUNCTION("""COMPUTED_VALUE"""),0.0)</f>
        <v>0</v>
      </c>
      <c r="S1941" s="3"/>
      <c r="T1941" s="5"/>
      <c r="U1941" s="5"/>
      <c r="V1941" s="5"/>
      <c r="W1941" s="5"/>
    </row>
    <row r="1942" ht="15.75" customHeight="1">
      <c r="A1942" s="3">
        <f>IFERROR(__xludf.DUMMYFUNCTION("""COMPUTED_VALUE"""),1942.0)</f>
        <v>1942</v>
      </c>
      <c r="B1942" s="53">
        <f>IFERROR(__xludf.DUMMYFUNCTION("""COMPUTED_VALUE"""),46064.0)</f>
        <v>46064</v>
      </c>
      <c r="C1942" s="3">
        <f>IFERROR(__xludf.DUMMYFUNCTION("""COMPUTED_VALUE"""),80.0)</f>
        <v>80</v>
      </c>
      <c r="D1942" s="3" t="str">
        <f>IFERROR(__xludf.DUMMYFUNCTION("""COMPUTED_VALUE"""),"bdb48937")</f>
        <v>bdb48937</v>
      </c>
      <c r="E1942" s="54">
        <f>IFERROR(__xludf.DUMMYFUNCTION("""COMPUTED_VALUE"""),17700.0)</f>
        <v>17700</v>
      </c>
      <c r="F1942" s="3" t="str">
        <f>IFERROR(__xludf.DUMMYFUNCTION("""COMPUTED_VALUE"""),"Chardonnay 70/30 retificado")</f>
        <v>Chardonnay 70/30 retificado</v>
      </c>
      <c r="G1942" s="3"/>
      <c r="H1942" s="56">
        <f>IFERROR(__xludf.DUMMYFUNCTION("""COMPUTED_VALUE"""),200.0)</f>
        <v>200</v>
      </c>
      <c r="I1942" s="57">
        <f>IFERROR(__xludf.DUMMYFUNCTION("""COMPUTED_VALUE"""),0.0)</f>
        <v>0</v>
      </c>
      <c r="J1942" s="3"/>
      <c r="K1942" s="57">
        <f>IFERROR(__xludf.DUMMYFUNCTION("""COMPUTED_VALUE"""),3.25)</f>
        <v>3.25</v>
      </c>
      <c r="L1942" s="54">
        <f>IFERROR(__xludf.DUMMYFUNCTION("""COMPUTED_VALUE"""),27.0)</f>
        <v>27</v>
      </c>
      <c r="M1942" s="3">
        <f>IFERROR(__xludf.DUMMYFUNCTION("""COMPUTED_VALUE"""),90.0)</f>
        <v>90</v>
      </c>
      <c r="N1942" s="3"/>
      <c r="O1942" s="3"/>
      <c r="P1942" s="3"/>
      <c r="Q1942" s="3"/>
      <c r="R1942" s="3">
        <f>IFERROR(__xludf.DUMMYFUNCTION("""COMPUTED_VALUE"""),0.0)</f>
        <v>0</v>
      </c>
      <c r="S1942" s="3"/>
      <c r="T1942" s="5"/>
      <c r="U1942" s="5"/>
      <c r="V1942" s="5"/>
      <c r="W1942" s="5"/>
    </row>
    <row r="1943" ht="15.75" customHeight="1">
      <c r="A1943" s="3">
        <f>IFERROR(__xludf.DUMMYFUNCTION("""COMPUTED_VALUE"""),1943.0)</f>
        <v>1943</v>
      </c>
      <c r="B1943" s="53">
        <f>IFERROR(__xludf.DUMMYFUNCTION("""COMPUTED_VALUE"""),46064.0)</f>
        <v>46064</v>
      </c>
      <c r="C1943" s="3">
        <f>IFERROR(__xludf.DUMMYFUNCTION("""COMPUTED_VALUE"""),69.0)</f>
        <v>69</v>
      </c>
      <c r="D1943" s="3" t="str">
        <f>IFERROR(__xludf.DUMMYFUNCTION("""COMPUTED_VALUE"""),"6394eca7")</f>
        <v>6394eca7</v>
      </c>
      <c r="E1943" s="54">
        <f>IFERROR(__xludf.DUMMYFUNCTION("""COMPUTED_VALUE"""),9000.0)</f>
        <v>9000</v>
      </c>
      <c r="F1943" s="3" t="str">
        <f>IFERROR(__xludf.DUMMYFUNCTION("""COMPUTED_VALUE"""),"Chardonnay")</f>
        <v>Chardonnay</v>
      </c>
      <c r="G1943" s="3"/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>
        <f>IFERROR(__xludf.DUMMYFUNCTION("""COMPUTED_VALUE"""),0.0)</f>
        <v>0</v>
      </c>
      <c r="S1943" s="3"/>
      <c r="T1943" s="5"/>
      <c r="U1943" s="5"/>
      <c r="V1943" s="5"/>
      <c r="W1943" s="5"/>
    </row>
    <row r="1944" ht="15.75" customHeight="1">
      <c r="A1944" s="3">
        <f>IFERROR(__xludf.DUMMYFUNCTION("""COMPUTED_VALUE"""),1944.0)</f>
        <v>1944</v>
      </c>
      <c r="B1944" s="53">
        <f>IFERROR(__xludf.DUMMYFUNCTION("""COMPUTED_VALUE"""),46064.0)</f>
        <v>46064</v>
      </c>
      <c r="C1944" s="3">
        <f>IFERROR(__xludf.DUMMYFUNCTION("""COMPUTED_VALUE"""),73.0)</f>
        <v>73</v>
      </c>
      <c r="D1944" s="3" t="str">
        <f>IFERROR(__xludf.DUMMYFUNCTION("""COMPUTED_VALUE"""),"eb29fd07")</f>
        <v>eb29fd07</v>
      </c>
      <c r="E1944" s="54">
        <f>IFERROR(__xludf.DUMMYFUNCTION("""COMPUTED_VALUE"""),600.0)</f>
        <v>600</v>
      </c>
      <c r="F1944" s="3" t="str">
        <f>IFERROR(__xludf.DUMMYFUNCTION("""COMPUTED_VALUE"""),"Chardonnay borra")</f>
        <v>Chardonnay borra</v>
      </c>
      <c r="G1944" s="3"/>
      <c r="H1944" s="3"/>
      <c r="I1944" s="3"/>
      <c r="J1944" s="3"/>
      <c r="K1944" s="3"/>
      <c r="L1944" s="3"/>
      <c r="M1944" s="3"/>
      <c r="N1944" s="3"/>
      <c r="O1944" s="3"/>
      <c r="P1944" s="3"/>
      <c r="Q1944" s="3"/>
      <c r="R1944" s="3">
        <f>IFERROR(__xludf.DUMMYFUNCTION("""COMPUTED_VALUE"""),0.0)</f>
        <v>0</v>
      </c>
      <c r="S1944" s="3"/>
      <c r="T1944" s="5"/>
      <c r="U1944" s="5"/>
      <c r="V1944" s="5"/>
      <c r="W1944" s="5"/>
    </row>
    <row r="1945" ht="15.75" customHeight="1">
      <c r="A1945" s="3">
        <f>IFERROR(__xludf.DUMMYFUNCTION("""COMPUTED_VALUE"""),1945.0)</f>
        <v>1945</v>
      </c>
      <c r="B1945" s="53">
        <f>IFERROR(__xludf.DUMMYFUNCTION("""COMPUTED_VALUE"""),46065.0)</f>
        <v>46065</v>
      </c>
      <c r="C1945" s="3">
        <f>IFERROR(__xludf.DUMMYFUNCTION("""COMPUTED_VALUE"""),70.0)</f>
        <v>70</v>
      </c>
      <c r="D1945" s="3" t="str">
        <f>IFERROR(__xludf.DUMMYFUNCTION("""COMPUTED_VALUE"""),"98184b4c")</f>
        <v>98184b4c</v>
      </c>
      <c r="E1945" s="54">
        <f>IFERROR(__xludf.DUMMYFUNCTION("""COMPUTED_VALUE"""),10100.0)</f>
        <v>10100</v>
      </c>
      <c r="F1945" s="3" t="str">
        <f>IFERROR(__xludf.DUMMYFUNCTION("""COMPUTED_VALUE"""),"Chardonnay Ch")</f>
        <v>Chardonnay Ch</v>
      </c>
      <c r="G1945" s="3"/>
      <c r="H1945" s="3"/>
      <c r="I1945" s="3"/>
      <c r="J1945" s="3"/>
      <c r="K1945" s="3"/>
      <c r="L1945" s="54">
        <f>IFERROR(__xludf.DUMMYFUNCTION("""COMPUTED_VALUE"""),35.0)</f>
        <v>35</v>
      </c>
      <c r="M1945" s="3">
        <f>IFERROR(__xludf.DUMMYFUNCTION("""COMPUTED_VALUE"""),90.0)</f>
        <v>90</v>
      </c>
      <c r="N1945" s="3"/>
      <c r="O1945" s="3"/>
      <c r="P1945" s="3"/>
      <c r="Q1945" s="3"/>
      <c r="R1945" s="3">
        <f>IFERROR(__xludf.DUMMYFUNCTION("""COMPUTED_VALUE"""),0.0)</f>
        <v>0</v>
      </c>
      <c r="S1945" s="3"/>
      <c r="T1945" s="5"/>
      <c r="U1945" s="5"/>
      <c r="V1945" s="5"/>
      <c r="W1945" s="5"/>
    </row>
    <row r="1946" ht="15.75" customHeight="1">
      <c r="A1946" s="3">
        <f>IFERROR(__xludf.DUMMYFUNCTION("""COMPUTED_VALUE"""),1946.0)</f>
        <v>1946</v>
      </c>
      <c r="B1946" s="53">
        <f>IFERROR(__xludf.DUMMYFUNCTION("""COMPUTED_VALUE"""),46066.0)</f>
        <v>46066</v>
      </c>
      <c r="C1946" s="3">
        <f>IFERROR(__xludf.DUMMYFUNCTION("""COMPUTED_VALUE"""),8.0)</f>
        <v>8</v>
      </c>
      <c r="D1946" s="3" t="str">
        <f>IFERROR(__xludf.DUMMYFUNCTION("""COMPUTED_VALUE"""),"f239cd0f")</f>
        <v>f239cd0f</v>
      </c>
      <c r="E1946" s="54">
        <f>IFERROR(__xludf.DUMMYFUNCTION("""COMPUTED_VALUE"""),20000.0)</f>
        <v>20000</v>
      </c>
      <c r="F1946" s="3" t="str">
        <f>IFERROR(__xludf.DUMMYFUNCTION("""COMPUTED_VALUE"""),"Chardonnay Ch")</f>
        <v>Chardonnay Ch</v>
      </c>
      <c r="G1946" s="3"/>
      <c r="H1946" s="56">
        <f>IFERROR(__xludf.DUMMYFUNCTION("""COMPUTED_VALUE"""),180.0)</f>
        <v>180</v>
      </c>
      <c r="I1946" s="3"/>
      <c r="J1946" s="3"/>
      <c r="K1946" s="57">
        <f>IFERROR(__xludf.DUMMYFUNCTION("""COMPUTED_VALUE"""),2.75)</f>
        <v>2.75</v>
      </c>
      <c r="L1946" s="54">
        <f>IFERROR(__xludf.DUMMYFUNCTION("""COMPUTED_VALUE"""),12.0)</f>
        <v>12</v>
      </c>
      <c r="M1946" s="3">
        <f>IFERROR(__xludf.DUMMYFUNCTION("""COMPUTED_VALUE"""),50.0)</f>
        <v>50</v>
      </c>
      <c r="N1946" s="3"/>
      <c r="O1946" s="3"/>
      <c r="P1946" s="3"/>
      <c r="Q1946" s="3"/>
      <c r="R1946" s="3">
        <f>IFERROR(__xludf.DUMMYFUNCTION("""COMPUTED_VALUE"""),0.0)</f>
        <v>0</v>
      </c>
      <c r="S1946" s="3"/>
      <c r="T1946" s="5"/>
      <c r="U1946" s="5"/>
      <c r="V1946" s="5"/>
      <c r="W1946" s="5"/>
    </row>
    <row r="1947" ht="15.75" customHeight="1">
      <c r="A1947" s="3">
        <f>IFERROR(__xludf.DUMMYFUNCTION("""COMPUTED_VALUE"""),1947.0)</f>
        <v>1947</v>
      </c>
      <c r="B1947" s="53">
        <f>IFERROR(__xludf.DUMMYFUNCTION("""COMPUTED_VALUE"""),46066.0)</f>
        <v>46066</v>
      </c>
      <c r="C1947" s="3">
        <f>IFERROR(__xludf.DUMMYFUNCTION("""COMPUTED_VALUE"""),76.0)</f>
        <v>76</v>
      </c>
      <c r="D1947" s="3" t="str">
        <f>IFERROR(__xludf.DUMMYFUNCTION("""COMPUTED_VALUE"""),"d0e76b7a")</f>
        <v>d0e76b7a</v>
      </c>
      <c r="E1947" s="54">
        <f>IFERROR(__xludf.DUMMYFUNCTION("""COMPUTED_VALUE"""),15000.0)</f>
        <v>15000</v>
      </c>
      <c r="F1947" s="3" t="str">
        <f>IFERROR(__xludf.DUMMYFUNCTION("""COMPUTED_VALUE"""),"Chardonnay")</f>
        <v>Chardonnay</v>
      </c>
      <c r="G1947" s="3"/>
      <c r="H1947" s="56">
        <f>IFERROR(__xludf.DUMMYFUNCTION("""COMPUTED_VALUE"""),185.0)</f>
        <v>185</v>
      </c>
      <c r="I1947" s="3"/>
      <c r="J1947" s="3"/>
      <c r="K1947" s="57">
        <f>IFERROR(__xludf.DUMMYFUNCTION("""COMPUTED_VALUE"""),3.5)</f>
        <v>3.5</v>
      </c>
      <c r="L1947" s="54">
        <f>IFERROR(__xludf.DUMMYFUNCTION("""COMPUTED_VALUE"""),5.0)</f>
        <v>5</v>
      </c>
      <c r="M1947" s="3">
        <f>IFERROR(__xludf.DUMMYFUNCTION("""COMPUTED_VALUE"""),30.0)</f>
        <v>30</v>
      </c>
      <c r="N1947" s="3"/>
      <c r="O1947" s="3"/>
      <c r="P1947" s="3"/>
      <c r="Q1947" s="3"/>
      <c r="R1947" s="3">
        <f>IFERROR(__xludf.DUMMYFUNCTION("""COMPUTED_VALUE"""),0.0)</f>
        <v>0</v>
      </c>
      <c r="S1947" s="3"/>
      <c r="T1947" s="5"/>
      <c r="U1947" s="5"/>
      <c r="V1947" s="5"/>
      <c r="W1947" s="5"/>
    </row>
    <row r="1948" ht="15.75" customHeight="1">
      <c r="A1948" s="3">
        <f>IFERROR(__xludf.DUMMYFUNCTION("""COMPUTED_VALUE"""),1948.0)</f>
        <v>1948</v>
      </c>
      <c r="B1948" s="53">
        <f>IFERROR(__xludf.DUMMYFUNCTION("""COMPUTED_VALUE"""),46066.0)</f>
        <v>46066</v>
      </c>
      <c r="C1948" s="3">
        <f>IFERROR(__xludf.DUMMYFUNCTION("""COMPUTED_VALUE"""),81.0)</f>
        <v>81</v>
      </c>
      <c r="D1948" s="3" t="str">
        <f>IFERROR(__xludf.DUMMYFUNCTION("""COMPUTED_VALUE"""),"f3de4bc0")</f>
        <v>f3de4bc0</v>
      </c>
      <c r="E1948" s="54">
        <f>IFERROR(__xludf.DUMMYFUNCTION("""COMPUTED_VALUE"""),20400.0)</f>
        <v>20400</v>
      </c>
      <c r="F1948" s="3" t="str">
        <f>IFERROR(__xludf.DUMMYFUNCTION("""COMPUTED_VALUE"""),"Merlot")</f>
        <v>Merlot</v>
      </c>
      <c r="G1948" s="3"/>
      <c r="H1948" s="56">
        <f>IFERROR(__xludf.DUMMYFUNCTION("""COMPUTED_VALUE"""),228.0)</f>
        <v>228</v>
      </c>
      <c r="I1948" s="3"/>
      <c r="J1948" s="3"/>
      <c r="K1948" s="57">
        <f>IFERROR(__xludf.DUMMYFUNCTION("""COMPUTED_VALUE"""),3.75)</f>
        <v>3.75</v>
      </c>
      <c r="L1948" s="54">
        <f>IFERROR(__xludf.DUMMYFUNCTION("""COMPUTED_VALUE"""),35.0)</f>
        <v>35</v>
      </c>
      <c r="M1948" s="3">
        <f>IFERROR(__xludf.DUMMYFUNCTION("""COMPUTED_VALUE"""),70.0)</f>
        <v>70</v>
      </c>
      <c r="N1948" s="3"/>
      <c r="O1948" s="3"/>
      <c r="P1948" s="3"/>
      <c r="Q1948" s="3"/>
      <c r="R1948" s="3">
        <f>IFERROR(__xludf.DUMMYFUNCTION("""COMPUTED_VALUE"""),0.0)</f>
        <v>0</v>
      </c>
      <c r="S1948" s="3"/>
      <c r="T1948" s="5"/>
      <c r="U1948" s="5"/>
      <c r="V1948" s="5"/>
      <c r="W1948" s="5"/>
    </row>
    <row r="1949" ht="15.75" customHeight="1">
      <c r="A1949" s="3">
        <f>IFERROR(__xludf.DUMMYFUNCTION("""COMPUTED_VALUE"""),1949.0)</f>
        <v>1949</v>
      </c>
      <c r="B1949" s="53">
        <f>IFERROR(__xludf.DUMMYFUNCTION("""COMPUTED_VALUE"""),46067.0)</f>
        <v>46067</v>
      </c>
      <c r="C1949" s="3">
        <f>IFERROR(__xludf.DUMMYFUNCTION("""COMPUTED_VALUE"""),66.0)</f>
        <v>66</v>
      </c>
      <c r="D1949" s="3" t="str">
        <f>IFERROR(__xludf.DUMMYFUNCTION("""COMPUTED_VALUE"""),"5a47168a")</f>
        <v>5a47168a</v>
      </c>
      <c r="E1949" s="54">
        <f>IFERROR(__xludf.DUMMYFUNCTION("""COMPUTED_VALUE"""),15500.0)</f>
        <v>15500</v>
      </c>
      <c r="F1949" s="3" t="str">
        <f>IFERROR(__xludf.DUMMYFUNCTION("""COMPUTED_VALUE"""),"Aspirant")</f>
        <v>Aspirant</v>
      </c>
      <c r="G1949" s="3"/>
      <c r="H1949" s="56">
        <f>IFERROR(__xludf.DUMMYFUNCTION("""COMPUTED_VALUE"""),215.0)</f>
        <v>215</v>
      </c>
      <c r="I1949" s="3"/>
      <c r="J1949" s="3"/>
      <c r="K1949" s="57">
        <f>IFERROR(__xludf.DUMMYFUNCTION("""COMPUTED_VALUE"""),3.59)</f>
        <v>3.59</v>
      </c>
      <c r="L1949" s="54">
        <f>IFERROR(__xludf.DUMMYFUNCTION("""COMPUTED_VALUE"""),27.0)</f>
        <v>27</v>
      </c>
      <c r="M1949" s="3">
        <f>IFERROR(__xludf.DUMMYFUNCTION("""COMPUTED_VALUE"""),53.0)</f>
        <v>53</v>
      </c>
      <c r="N1949" s="3"/>
      <c r="O1949" s="3"/>
      <c r="P1949" s="3"/>
      <c r="Q1949" s="3"/>
      <c r="R1949" s="3">
        <f>IFERROR(__xludf.DUMMYFUNCTION("""COMPUTED_VALUE"""),0.0)</f>
        <v>0</v>
      </c>
      <c r="S1949" s="3"/>
      <c r="T1949" s="5"/>
      <c r="U1949" s="5"/>
      <c r="V1949" s="5"/>
      <c r="W1949" s="5"/>
    </row>
    <row r="1950" ht="15.75" customHeight="1">
      <c r="A1950" s="3">
        <f>IFERROR(__xludf.DUMMYFUNCTION("""COMPUTED_VALUE"""),1950.0)</f>
        <v>1950</v>
      </c>
      <c r="B1950" s="53">
        <f>IFERROR(__xludf.DUMMYFUNCTION("""COMPUTED_VALUE"""),46067.0)</f>
        <v>46067</v>
      </c>
      <c r="C1950" s="3">
        <f>IFERROR(__xludf.DUMMYFUNCTION("""COMPUTED_VALUE"""),79.0)</f>
        <v>79</v>
      </c>
      <c r="D1950" s="3" t="str">
        <f>IFERROR(__xludf.DUMMYFUNCTION("""COMPUTED_VALUE"""),"c83c39f8")</f>
        <v>c83c39f8</v>
      </c>
      <c r="E1950" s="54">
        <f>IFERROR(__xludf.DUMMYFUNCTION("""COMPUTED_VALUE"""),14800.0)</f>
        <v>14800</v>
      </c>
      <c r="F1950" s="3" t="str">
        <f>IFERROR(__xludf.DUMMYFUNCTION("""COMPUTED_VALUE"""),"Aspirant")</f>
        <v>Aspirant</v>
      </c>
      <c r="G1950" s="3"/>
      <c r="H1950" s="56">
        <f>IFERROR(__xludf.DUMMYFUNCTION("""COMPUTED_VALUE"""),215.0)</f>
        <v>215</v>
      </c>
      <c r="I1950" s="3"/>
      <c r="J1950" s="3"/>
      <c r="K1950" s="57">
        <f>IFERROR(__xludf.DUMMYFUNCTION("""COMPUTED_VALUE"""),3.58)</f>
        <v>3.58</v>
      </c>
      <c r="L1950" s="54">
        <f>IFERROR(__xludf.DUMMYFUNCTION("""COMPUTED_VALUE"""),35.0)</f>
        <v>35</v>
      </c>
      <c r="M1950" s="3">
        <f>IFERROR(__xludf.DUMMYFUNCTION("""COMPUTED_VALUE"""),70.0)</f>
        <v>70</v>
      </c>
      <c r="N1950" s="3"/>
      <c r="O1950" s="3"/>
      <c r="P1950" s="3"/>
      <c r="Q1950" s="3"/>
      <c r="R1950" s="3">
        <f>IFERROR(__xludf.DUMMYFUNCTION("""COMPUTED_VALUE"""),0.0)</f>
        <v>0</v>
      </c>
      <c r="S1950" s="3"/>
      <c r="T1950" s="5"/>
      <c r="U1950" s="5"/>
      <c r="V1950" s="5"/>
      <c r="W1950" s="5"/>
    </row>
    <row r="1951" ht="15.75" customHeight="1">
      <c r="A1951" s="3">
        <f>IFERROR(__xludf.DUMMYFUNCTION("""COMPUTED_VALUE"""),1951.0)</f>
        <v>1951</v>
      </c>
      <c r="B1951" s="53">
        <f>IFERROR(__xludf.DUMMYFUNCTION("""COMPUTED_VALUE"""),46067.0)</f>
        <v>46067</v>
      </c>
      <c r="C1951" s="3">
        <f>IFERROR(__xludf.DUMMYFUNCTION("""COMPUTED_VALUE"""),65.0)</f>
        <v>65</v>
      </c>
      <c r="D1951" s="3" t="str">
        <f>IFERROR(__xludf.DUMMYFUNCTION("""COMPUTED_VALUE"""),"3ab1fef1")</f>
        <v>3ab1fef1</v>
      </c>
      <c r="E1951" s="54">
        <f>IFERROR(__xludf.DUMMYFUNCTION("""COMPUTED_VALUE"""),25200.0)</f>
        <v>25200</v>
      </c>
      <c r="F1951" s="3" t="str">
        <f>IFERROR(__xludf.DUMMYFUNCTION("""COMPUTED_VALUE"""),"Chardonnay")</f>
        <v>Chardonnay</v>
      </c>
      <c r="G1951" s="3"/>
      <c r="H1951" s="56">
        <f>IFERROR(__xludf.DUMMYFUNCTION("""COMPUTED_VALUE"""),210.0)</f>
        <v>210</v>
      </c>
      <c r="I1951" s="3"/>
      <c r="J1951" s="3"/>
      <c r="K1951" s="57">
        <f>IFERROR(__xludf.DUMMYFUNCTION("""COMPUTED_VALUE"""),3.73)</f>
        <v>3.73</v>
      </c>
      <c r="L1951" s="54">
        <f>IFERROR(__xludf.DUMMYFUNCTION("""COMPUTED_VALUE"""),26.0)</f>
        <v>26</v>
      </c>
      <c r="M1951" s="3">
        <f>IFERROR(__xludf.DUMMYFUNCTION("""COMPUTED_VALUE"""),90.0)</f>
        <v>90</v>
      </c>
      <c r="N1951" s="3"/>
      <c r="O1951" s="3"/>
      <c r="P1951" s="3"/>
      <c r="Q1951" s="3"/>
      <c r="R1951" s="3">
        <f>IFERROR(__xludf.DUMMYFUNCTION("""COMPUTED_VALUE"""),0.0)</f>
        <v>0</v>
      </c>
      <c r="S1951" s="3"/>
      <c r="T1951" s="5"/>
      <c r="U1951" s="5"/>
      <c r="V1951" s="5"/>
      <c r="W1951" s="5"/>
    </row>
    <row r="1952" ht="15.75" customHeight="1">
      <c r="A1952" s="3">
        <f>IFERROR(__xludf.DUMMYFUNCTION("""COMPUTED_VALUE"""),1952.0)</f>
        <v>1952</v>
      </c>
      <c r="B1952" s="53">
        <f>IFERROR(__xludf.DUMMYFUNCTION("""COMPUTED_VALUE"""),46071.0)</f>
        <v>46071</v>
      </c>
      <c r="C1952" s="3">
        <f>IFERROR(__xludf.DUMMYFUNCTION("""COMPUTED_VALUE"""),77.0)</f>
        <v>77</v>
      </c>
      <c r="D1952" s="3" t="str">
        <f>IFERROR(__xludf.DUMMYFUNCTION("""COMPUTED_VALUE"""),"6925ca3a")</f>
        <v>6925ca3a</v>
      </c>
      <c r="E1952" s="54">
        <f>IFERROR(__xludf.DUMMYFUNCTION("""COMPUTED_VALUE"""),25500.0)</f>
        <v>25500</v>
      </c>
      <c r="F1952" s="3" t="str">
        <f>IFERROR(__xludf.DUMMYFUNCTION("""COMPUTED_VALUE"""),"Chardonnay")</f>
        <v>Chardonnay</v>
      </c>
      <c r="G1952" s="55">
        <f>IFERROR(__xludf.DUMMYFUNCTION("""COMPUTED_VALUE"""),11.8)</f>
        <v>11.8</v>
      </c>
      <c r="H1952" s="56">
        <f>IFERROR(__xludf.DUMMYFUNCTION("""COMPUTED_VALUE"""),2.0)</f>
        <v>2</v>
      </c>
      <c r="I1952" s="57">
        <f>IFERROR(__xludf.DUMMYFUNCTION("""COMPUTED_VALUE"""),0.34)</f>
        <v>0.34</v>
      </c>
      <c r="J1952" s="57">
        <f>IFERROR(__xludf.DUMMYFUNCTION("""COMPUTED_VALUE"""),6.3)</f>
        <v>6.3</v>
      </c>
      <c r="K1952" s="57">
        <f>IFERROR(__xludf.DUMMYFUNCTION("""COMPUTED_VALUE"""),3.39)</f>
        <v>3.39</v>
      </c>
      <c r="L1952" s="54">
        <f>IFERROR(__xludf.DUMMYFUNCTION("""COMPUTED_VALUE"""),25.0)</f>
        <v>25</v>
      </c>
      <c r="M1952" s="3">
        <f>IFERROR(__xludf.DUMMYFUNCTION("""COMPUTED_VALUE"""),90.0)</f>
        <v>90</v>
      </c>
      <c r="N1952" s="3"/>
      <c r="O1952" s="3"/>
      <c r="P1952" s="3"/>
      <c r="Q1952" s="3"/>
      <c r="R1952" s="3">
        <f>IFERROR(__xludf.DUMMYFUNCTION("""COMPUTED_VALUE"""),0.0)</f>
        <v>0</v>
      </c>
      <c r="S1952" s="3"/>
      <c r="T1952" s="5"/>
      <c r="U1952" s="5"/>
      <c r="V1952" s="5"/>
      <c r="W1952" s="5"/>
    </row>
    <row r="1953" ht="15.75" customHeight="1">
      <c r="A1953" s="3">
        <f>IFERROR(__xludf.DUMMYFUNCTION("""COMPUTED_VALUE"""),1953.0)</f>
        <v>1953</v>
      </c>
      <c r="B1953" s="53">
        <f>IFERROR(__xludf.DUMMYFUNCTION("""COMPUTED_VALUE"""),46071.0)</f>
        <v>46071</v>
      </c>
      <c r="C1953" s="3">
        <f>IFERROR(__xludf.DUMMYFUNCTION("""COMPUTED_VALUE"""),65.0)</f>
        <v>65</v>
      </c>
      <c r="D1953" s="3" t="str">
        <f>IFERROR(__xludf.DUMMYFUNCTION("""COMPUTED_VALUE"""),"3ab1fef1")</f>
        <v>3ab1fef1</v>
      </c>
      <c r="E1953" s="54">
        <f>IFERROR(__xludf.DUMMYFUNCTION("""COMPUTED_VALUE"""),25200.0)</f>
        <v>25200</v>
      </c>
      <c r="F1953" s="3" t="str">
        <f>IFERROR(__xludf.DUMMYFUNCTION("""COMPUTED_VALUE"""),"Chardonnay")</f>
        <v>Chardonnay</v>
      </c>
      <c r="G1953" s="3"/>
      <c r="H1953" s="3"/>
      <c r="I1953" s="3"/>
      <c r="J1953" s="3"/>
      <c r="K1953" s="57">
        <f>IFERROR(__xludf.DUMMYFUNCTION("""COMPUTED_VALUE"""),3.45)</f>
        <v>3.45</v>
      </c>
      <c r="L1953" s="3"/>
      <c r="M1953" s="3"/>
      <c r="N1953" s="3"/>
      <c r="O1953" s="3"/>
      <c r="P1953" s="3"/>
      <c r="Q1953" s="3"/>
      <c r="R1953" s="3">
        <f>IFERROR(__xludf.DUMMYFUNCTION("""COMPUTED_VALUE"""),0.0)</f>
        <v>0</v>
      </c>
      <c r="S1953" s="3"/>
      <c r="T1953" s="5"/>
      <c r="U1953" s="5"/>
      <c r="V1953" s="5"/>
      <c r="W1953" s="5"/>
    </row>
    <row r="1954" ht="15.75" customHeight="1">
      <c r="A1954" s="3">
        <f>IFERROR(__xludf.DUMMYFUNCTION("""COMPUTED_VALUE"""),1954.0)</f>
        <v>1954</v>
      </c>
      <c r="B1954" s="53">
        <f>IFERROR(__xludf.DUMMYFUNCTION("""COMPUTED_VALUE"""),46071.0)</f>
        <v>46071</v>
      </c>
      <c r="C1954" s="3">
        <f>IFERROR(__xludf.DUMMYFUNCTION("""COMPUTED_VALUE"""),71.0)</f>
        <v>71</v>
      </c>
      <c r="D1954" s="3" t="str">
        <f>IFERROR(__xludf.DUMMYFUNCTION("""COMPUTED_VALUE"""),"a5f14d91")</f>
        <v>a5f14d91</v>
      </c>
      <c r="E1954" s="54">
        <f>IFERROR(__xludf.DUMMYFUNCTION("""COMPUTED_VALUE"""),6500.0)</f>
        <v>6500</v>
      </c>
      <c r="F1954" s="3" t="str">
        <f>IFERROR(__xludf.DUMMYFUNCTION("""COMPUTED_VALUE"""),"Chardonnay")</f>
        <v>Chardonnay</v>
      </c>
      <c r="G1954" s="3"/>
      <c r="H1954" s="56">
        <f>IFERROR(__xludf.DUMMYFUNCTION("""COMPUTED_VALUE"""),198.0)</f>
        <v>198</v>
      </c>
      <c r="I1954" s="3"/>
      <c r="J1954" s="3"/>
      <c r="K1954" s="57">
        <f>IFERROR(__xludf.DUMMYFUNCTION("""COMPUTED_VALUE"""),3.7)</f>
        <v>3.7</v>
      </c>
      <c r="L1954" s="54">
        <f>IFERROR(__xludf.DUMMYFUNCTION("""COMPUTED_VALUE"""),30.0)</f>
        <v>30</v>
      </c>
      <c r="M1954" s="3">
        <f>IFERROR(__xludf.DUMMYFUNCTION("""COMPUTED_VALUE"""),90.0)</f>
        <v>90</v>
      </c>
      <c r="N1954" s="3"/>
      <c r="O1954" s="3"/>
      <c r="P1954" s="3"/>
      <c r="Q1954" s="3"/>
      <c r="R1954" s="3">
        <f>IFERROR(__xludf.DUMMYFUNCTION("""COMPUTED_VALUE"""),0.0)</f>
        <v>0</v>
      </c>
      <c r="S1954" s="3"/>
      <c r="T1954" s="5"/>
      <c r="U1954" s="5"/>
      <c r="V1954" s="5"/>
      <c r="W1954" s="5"/>
    </row>
    <row r="1955" ht="15.75" customHeight="1">
      <c r="A1955" s="3">
        <f>IFERROR(__xludf.DUMMYFUNCTION("""COMPUTED_VALUE"""),1955.0)</f>
        <v>1955</v>
      </c>
      <c r="B1955" s="53">
        <f>IFERROR(__xludf.DUMMYFUNCTION("""COMPUTED_VALUE"""),46071.0)</f>
        <v>46071</v>
      </c>
      <c r="C1955" s="3">
        <f>IFERROR(__xludf.DUMMYFUNCTION("""COMPUTED_VALUE"""),78.0)</f>
        <v>78</v>
      </c>
      <c r="D1955" s="3" t="str">
        <f>IFERROR(__xludf.DUMMYFUNCTION("""COMPUTED_VALUE"""),"879ad271")</f>
        <v>879ad271</v>
      </c>
      <c r="E1955" s="54">
        <f>IFERROR(__xludf.DUMMYFUNCTION("""COMPUTED_VALUE"""),25000.0)</f>
        <v>25000</v>
      </c>
      <c r="F1955" s="3" t="str">
        <f>IFERROR(__xludf.DUMMYFUNCTION("""COMPUTED_VALUE"""),"Chardonnay")</f>
        <v>Chardonnay</v>
      </c>
      <c r="G1955" s="55">
        <f>IFERROR(__xludf.DUMMYFUNCTION("""COMPUTED_VALUE"""),12.1)</f>
        <v>12.1</v>
      </c>
      <c r="H1955" s="56">
        <f>IFERROR(__xludf.DUMMYFUNCTION("""COMPUTED_VALUE"""),2.0)</f>
        <v>2</v>
      </c>
      <c r="I1955" s="57">
        <f>IFERROR(__xludf.DUMMYFUNCTION("""COMPUTED_VALUE"""),0.3)</f>
        <v>0.3</v>
      </c>
      <c r="J1955" s="57">
        <f>IFERROR(__xludf.DUMMYFUNCTION("""COMPUTED_VALUE"""),6.5)</f>
        <v>6.5</v>
      </c>
      <c r="K1955" s="57">
        <f>IFERROR(__xludf.DUMMYFUNCTION("""COMPUTED_VALUE"""),3.45)</f>
        <v>3.45</v>
      </c>
      <c r="L1955" s="54">
        <f>IFERROR(__xludf.DUMMYFUNCTION("""COMPUTED_VALUE"""),19.0)</f>
        <v>19</v>
      </c>
      <c r="M1955" s="3">
        <f>IFERROR(__xludf.DUMMYFUNCTION("""COMPUTED_VALUE"""),77.0)</f>
        <v>77</v>
      </c>
      <c r="N1955" s="3"/>
      <c r="O1955" s="3"/>
      <c r="P1955" s="3"/>
      <c r="Q1955" s="3"/>
      <c r="R1955" s="3">
        <f>IFERROR(__xludf.DUMMYFUNCTION("""COMPUTED_VALUE"""),0.0)</f>
        <v>0</v>
      </c>
      <c r="S1955" s="3"/>
      <c r="T1955" s="5"/>
      <c r="U1955" s="5"/>
      <c r="V1955" s="5"/>
      <c r="W1955" s="5"/>
    </row>
    <row r="1956" ht="15.75" customHeight="1">
      <c r="A1956" s="3">
        <f>IFERROR(__xludf.DUMMYFUNCTION("""COMPUTED_VALUE"""),1956.0)</f>
        <v>1956</v>
      </c>
      <c r="B1956" s="53">
        <f>IFERROR(__xludf.DUMMYFUNCTION("""COMPUTED_VALUE"""),46072.0)</f>
        <v>46072</v>
      </c>
      <c r="C1956" s="3">
        <f>IFERROR(__xludf.DUMMYFUNCTION("""COMPUTED_VALUE"""),83.0)</f>
        <v>83</v>
      </c>
      <c r="D1956" s="3" t="str">
        <f>IFERROR(__xludf.DUMMYFUNCTION("""COMPUTED_VALUE"""),"6666d5b4")</f>
        <v>6666d5b4</v>
      </c>
      <c r="E1956" s="54">
        <f>IFERROR(__xludf.DUMMYFUNCTION("""COMPUTED_VALUE"""),37600.0)</f>
        <v>37600</v>
      </c>
      <c r="F1956" s="3" t="str">
        <f>IFERROR(__xludf.DUMMYFUNCTION("""COMPUTED_VALUE"""),"Aspirant Anccelota")</f>
        <v>Aspirant Anccelota</v>
      </c>
      <c r="G1956" s="3"/>
      <c r="H1956" s="56">
        <f>IFERROR(__xludf.DUMMYFUNCTION("""COMPUTED_VALUE"""),230.0)</f>
        <v>230</v>
      </c>
      <c r="I1956" s="3"/>
      <c r="J1956" s="3"/>
      <c r="K1956" s="3"/>
      <c r="L1956" s="3"/>
      <c r="M1956" s="3"/>
      <c r="N1956" s="3"/>
      <c r="O1956" s="3"/>
      <c r="P1956" s="3"/>
      <c r="Q1956" s="3"/>
      <c r="R1956" s="3">
        <f>IFERROR(__xludf.DUMMYFUNCTION("""COMPUTED_VALUE"""),0.0)</f>
        <v>0</v>
      </c>
      <c r="S1956" s="3"/>
      <c r="T1956" s="5"/>
      <c r="U1956" s="5"/>
      <c r="V1956" s="5"/>
      <c r="W1956" s="5"/>
    </row>
    <row r="1957" ht="15.75" customHeight="1">
      <c r="A1957" s="3">
        <f>IFERROR(__xludf.DUMMYFUNCTION("""COMPUTED_VALUE"""),1957.0)</f>
        <v>1957</v>
      </c>
      <c r="B1957" s="53">
        <f>IFERROR(__xludf.DUMMYFUNCTION("""COMPUTED_VALUE"""),46073.0)</f>
        <v>46073</v>
      </c>
      <c r="C1957" s="3">
        <f>IFERROR(__xludf.DUMMYFUNCTION("""COMPUTED_VALUE"""),69.0)</f>
        <v>69</v>
      </c>
      <c r="D1957" s="3" t="str">
        <f>IFERROR(__xludf.DUMMYFUNCTION("""COMPUTED_VALUE"""),"6394eca7")</f>
        <v>6394eca7</v>
      </c>
      <c r="E1957" s="54">
        <f>IFERROR(__xludf.DUMMYFUNCTION("""COMPUTED_VALUE"""),9000.0)</f>
        <v>9000</v>
      </c>
      <c r="F1957" s="3" t="str">
        <f>IFERROR(__xludf.DUMMYFUNCTION("""COMPUTED_VALUE"""),"Chardonnay")</f>
        <v>Chardonnay</v>
      </c>
      <c r="G1957" s="3"/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>
        <f>IFERROR(__xludf.DUMMYFUNCTION("""COMPUTED_VALUE"""),0.0)</f>
        <v>0</v>
      </c>
      <c r="S1957" s="3"/>
      <c r="T1957" s="5"/>
      <c r="U1957" s="5"/>
      <c r="V1957" s="5"/>
      <c r="W1957" s="5"/>
    </row>
    <row r="1958" ht="15.75" customHeight="1">
      <c r="A1958" s="3">
        <f>IFERROR(__xludf.DUMMYFUNCTION("""COMPUTED_VALUE"""),1958.0)</f>
        <v>1958</v>
      </c>
      <c r="B1958" s="53">
        <f>IFERROR(__xludf.DUMMYFUNCTION("""COMPUTED_VALUE"""),46076.0)</f>
        <v>46076</v>
      </c>
      <c r="C1958" s="3">
        <f>IFERROR(__xludf.DUMMYFUNCTION("""COMPUTED_VALUE"""),70.0)</f>
        <v>70</v>
      </c>
      <c r="D1958" s="3" t="str">
        <f>IFERROR(__xludf.DUMMYFUNCTION("""COMPUTED_VALUE"""),"579168cd")</f>
        <v>579168cd</v>
      </c>
      <c r="E1958" s="54">
        <f>IFERROR(__xludf.DUMMYFUNCTION("""COMPUTED_VALUE"""),12500.0)</f>
        <v>12500</v>
      </c>
      <c r="F1958" s="3" t="str">
        <f>IFERROR(__xludf.DUMMYFUNCTION("""COMPUTED_VALUE"""),"Chardonnay Ch")</f>
        <v>Chardonnay Ch</v>
      </c>
      <c r="G1958" s="3"/>
      <c r="H1958" s="56">
        <f>IFERROR(__xludf.DUMMYFUNCTION("""COMPUTED_VALUE"""),2.0)</f>
        <v>2</v>
      </c>
      <c r="I1958" s="3"/>
      <c r="J1958" s="3"/>
      <c r="K1958" s="3"/>
      <c r="L1958" s="54">
        <f>IFERROR(__xludf.DUMMYFUNCTION("""COMPUTED_VALUE"""),13.0)</f>
        <v>13</v>
      </c>
      <c r="M1958" s="3">
        <f>IFERROR(__xludf.DUMMYFUNCTION("""COMPUTED_VALUE"""),77.0)</f>
        <v>77</v>
      </c>
      <c r="N1958" s="3"/>
      <c r="O1958" s="3"/>
      <c r="P1958" s="3"/>
      <c r="Q1958" s="3"/>
      <c r="R1958" s="3">
        <f>IFERROR(__xludf.DUMMYFUNCTION("""COMPUTED_VALUE"""),0.0)</f>
        <v>0</v>
      </c>
      <c r="S1958" s="3"/>
      <c r="T1958" s="5"/>
      <c r="U1958" s="5"/>
      <c r="V1958" s="5"/>
      <c r="W1958" s="5"/>
    </row>
    <row r="1959" ht="15.75" customHeight="1">
      <c r="A1959" s="3">
        <f>IFERROR(__xludf.DUMMYFUNCTION("""COMPUTED_VALUE"""),1959.0)</f>
        <v>1959</v>
      </c>
      <c r="B1959" s="53">
        <f>IFERROR(__xludf.DUMMYFUNCTION("""COMPUTED_VALUE"""),46077.0)</f>
        <v>46077</v>
      </c>
      <c r="C1959" s="3">
        <f>IFERROR(__xludf.DUMMYFUNCTION("""COMPUTED_VALUE"""),81.0)</f>
        <v>81</v>
      </c>
      <c r="D1959" s="3" t="str">
        <f>IFERROR(__xludf.DUMMYFUNCTION("""COMPUTED_VALUE"""),"f3de4bc0")</f>
        <v>f3de4bc0</v>
      </c>
      <c r="E1959" s="54">
        <f>IFERROR(__xludf.DUMMYFUNCTION("""COMPUTED_VALUE"""),20400.0)</f>
        <v>20400</v>
      </c>
      <c r="F1959" s="3" t="str">
        <f>IFERROR(__xludf.DUMMYFUNCTION("""COMPUTED_VALUE"""),"Merlot")</f>
        <v>Merlot</v>
      </c>
      <c r="G1959" s="3"/>
      <c r="H1959" s="3"/>
      <c r="I1959" s="3"/>
      <c r="J1959" s="3"/>
      <c r="K1959" s="3"/>
      <c r="L1959" s="3"/>
      <c r="M1959" s="3"/>
      <c r="N1959" s="3"/>
      <c r="O1959" s="3"/>
      <c r="P1959" s="3"/>
      <c r="Q1959" s="3"/>
      <c r="R1959" s="3">
        <f>IFERROR(__xludf.DUMMYFUNCTION("""COMPUTED_VALUE"""),0.0)</f>
        <v>0</v>
      </c>
      <c r="S1959" s="3"/>
      <c r="T1959" s="5"/>
      <c r="U1959" s="5"/>
      <c r="V1959" s="5"/>
      <c r="W1959" s="5"/>
    </row>
    <row r="1960" ht="15.75" customHeight="1">
      <c r="A1960" s="3">
        <f>IFERROR(__xludf.DUMMYFUNCTION("""COMPUTED_VALUE"""),1960.0)</f>
        <v>1960</v>
      </c>
      <c r="B1960" s="53">
        <f>IFERROR(__xludf.DUMMYFUNCTION("""COMPUTED_VALUE"""),46077.0)</f>
        <v>46077</v>
      </c>
      <c r="C1960" s="3">
        <f>IFERROR(__xludf.DUMMYFUNCTION("""COMPUTED_VALUE"""),79.0)</f>
        <v>79</v>
      </c>
      <c r="D1960" s="3" t="str">
        <f>IFERROR(__xludf.DUMMYFUNCTION("""COMPUTED_VALUE"""),"c83c39f8")</f>
        <v>c83c39f8</v>
      </c>
      <c r="E1960" s="54">
        <f>IFERROR(__xludf.DUMMYFUNCTION("""COMPUTED_VALUE"""),14800.0)</f>
        <v>14800</v>
      </c>
      <c r="F1960" s="3" t="str">
        <f>IFERROR(__xludf.DUMMYFUNCTION("""COMPUTED_VALUE"""),"Aspirant")</f>
        <v>Aspirant</v>
      </c>
      <c r="G1960" s="3"/>
      <c r="H1960" s="3"/>
      <c r="I1960" s="3"/>
      <c r="J1960" s="3"/>
      <c r="K1960" s="3"/>
      <c r="L1960" s="3"/>
      <c r="M1960" s="3"/>
      <c r="N1960" s="3"/>
      <c r="O1960" s="3"/>
      <c r="P1960" s="3"/>
      <c r="Q1960" s="3"/>
      <c r="R1960" s="3">
        <f>IFERROR(__xludf.DUMMYFUNCTION("""COMPUTED_VALUE"""),0.0)</f>
        <v>0</v>
      </c>
      <c r="S1960" s="3"/>
      <c r="T1960" s="5"/>
      <c r="U1960" s="5"/>
      <c r="V1960" s="5"/>
      <c r="W1960" s="5"/>
    </row>
    <row r="1961" ht="15.75" customHeight="1">
      <c r="A1961" s="3">
        <f>IFERROR(__xludf.DUMMYFUNCTION("""COMPUTED_VALUE"""),1961.0)</f>
        <v>1961</v>
      </c>
      <c r="B1961" s="53">
        <f>IFERROR(__xludf.DUMMYFUNCTION("""COMPUTED_VALUE"""),46077.0)</f>
        <v>46077</v>
      </c>
      <c r="C1961" s="3">
        <f>IFERROR(__xludf.DUMMYFUNCTION("""COMPUTED_VALUE"""),66.0)</f>
        <v>66</v>
      </c>
      <c r="D1961" s="3" t="str">
        <f>IFERROR(__xludf.DUMMYFUNCTION("""COMPUTED_VALUE"""),"5a47168a")</f>
        <v>5a47168a</v>
      </c>
      <c r="E1961" s="54">
        <f>IFERROR(__xludf.DUMMYFUNCTION("""COMPUTED_VALUE"""),15500.0)</f>
        <v>15500</v>
      </c>
      <c r="F1961" s="3" t="str">
        <f>IFERROR(__xludf.DUMMYFUNCTION("""COMPUTED_VALUE"""),"Aspirant")</f>
        <v>Aspirant</v>
      </c>
      <c r="G1961" s="3"/>
      <c r="H1961" s="3"/>
      <c r="I1961" s="3"/>
      <c r="J1961" s="3"/>
      <c r="K1961" s="3"/>
      <c r="L1961" s="3"/>
      <c r="M1961" s="3"/>
      <c r="N1961" s="3"/>
      <c r="O1961" s="3"/>
      <c r="P1961" s="3"/>
      <c r="Q1961" s="3"/>
      <c r="R1961" s="3">
        <f>IFERROR(__xludf.DUMMYFUNCTION("""COMPUTED_VALUE"""),0.0)</f>
        <v>0</v>
      </c>
      <c r="S1961" s="3"/>
      <c r="T1961" s="5"/>
      <c r="U1961" s="5"/>
      <c r="V1961" s="5"/>
      <c r="W1961" s="5"/>
    </row>
    <row r="1962" ht="15.75" customHeight="1">
      <c r="A1962" s="3">
        <f>IFERROR(__xludf.DUMMYFUNCTION("""COMPUTED_VALUE"""),1962.0)</f>
        <v>1962</v>
      </c>
      <c r="B1962" s="53">
        <f>IFERROR(__xludf.DUMMYFUNCTION("""COMPUTED_VALUE"""),46074.0)</f>
        <v>46074</v>
      </c>
      <c r="C1962" s="3">
        <f>IFERROR(__xludf.DUMMYFUNCTION("""COMPUTED_VALUE"""),84.0)</f>
        <v>84</v>
      </c>
      <c r="D1962" s="3" t="str">
        <f>IFERROR(__xludf.DUMMYFUNCTION("""COMPUTED_VALUE"""),"84d6a310")</f>
        <v>84d6a310</v>
      </c>
      <c r="E1962" s="54">
        <f>IFERROR(__xludf.DUMMYFUNCTION("""COMPUTED_VALUE"""),33800.0)</f>
        <v>33800</v>
      </c>
      <c r="F1962" s="3" t="str">
        <f>IFERROR(__xludf.DUMMYFUNCTION("""COMPUTED_VALUE"""),"Aspirant Ancelotta")</f>
        <v>Aspirant Ancelotta</v>
      </c>
      <c r="G1962" s="3"/>
      <c r="H1962" s="56">
        <f>IFERROR(__xludf.DUMMYFUNCTION("""COMPUTED_VALUE"""),225.0)</f>
        <v>225</v>
      </c>
      <c r="I1962" s="3"/>
      <c r="J1962" s="3"/>
      <c r="K1962" s="57">
        <f>IFERROR(__xludf.DUMMYFUNCTION("""COMPUTED_VALUE"""),3.68)</f>
        <v>3.68</v>
      </c>
      <c r="L1962" s="54">
        <f>IFERROR(__xludf.DUMMYFUNCTION("""COMPUTED_VALUE"""),30.0)</f>
        <v>30</v>
      </c>
      <c r="M1962" s="3">
        <f>IFERROR(__xludf.DUMMYFUNCTION("""COMPUTED_VALUE"""),110.0)</f>
        <v>110</v>
      </c>
      <c r="N1962" s="3"/>
      <c r="O1962" s="3"/>
      <c r="P1962" s="3"/>
      <c r="Q1962" s="3"/>
      <c r="R1962" s="3">
        <f>IFERROR(__xludf.DUMMYFUNCTION("""COMPUTED_VALUE"""),0.0)</f>
        <v>0</v>
      </c>
      <c r="S1962" s="3"/>
      <c r="T1962" s="5"/>
      <c r="U1962" s="5"/>
      <c r="V1962" s="5"/>
      <c r="W1962" s="5"/>
    </row>
    <row r="1963" ht="15.75" customHeight="1">
      <c r="A1963" s="3">
        <f>IFERROR(__xludf.DUMMYFUNCTION("""COMPUTED_VALUE"""),1963.0)</f>
        <v>1963</v>
      </c>
      <c r="B1963" s="53">
        <f>IFERROR(__xludf.DUMMYFUNCTION("""COMPUTED_VALUE"""),46076.0)</f>
        <v>46076</v>
      </c>
      <c r="C1963" s="3">
        <f>IFERROR(__xludf.DUMMYFUNCTION("""COMPUTED_VALUE"""),76.0)</f>
        <v>76</v>
      </c>
      <c r="D1963" s="3" t="str">
        <f>IFERROR(__xludf.DUMMYFUNCTION("""COMPUTED_VALUE"""),"d0e76b7a")</f>
        <v>d0e76b7a</v>
      </c>
      <c r="E1963" s="54">
        <f>IFERROR(__xludf.DUMMYFUNCTION("""COMPUTED_VALUE"""),15000.0)</f>
        <v>15000</v>
      </c>
      <c r="F1963" s="3" t="str">
        <f>IFERROR(__xludf.DUMMYFUNCTION("""COMPUTED_VALUE"""),"Chardonnay")</f>
        <v>Chardonnay</v>
      </c>
      <c r="G1963" s="55">
        <f>IFERROR(__xludf.DUMMYFUNCTION("""COMPUTED_VALUE"""),11.4)</f>
        <v>11.4</v>
      </c>
      <c r="H1963" s="56">
        <f>IFERROR(__xludf.DUMMYFUNCTION("""COMPUTED_VALUE"""),2.0)</f>
        <v>2</v>
      </c>
      <c r="I1963" s="3"/>
      <c r="J1963" s="3"/>
      <c r="K1963" s="3"/>
      <c r="L1963" s="54">
        <f>IFERROR(__xludf.DUMMYFUNCTION("""COMPUTED_VALUE"""),12.0)</f>
        <v>12</v>
      </c>
      <c r="M1963" s="3">
        <f>IFERROR(__xludf.DUMMYFUNCTION("""COMPUTED_VALUE"""),113.0)</f>
        <v>113</v>
      </c>
      <c r="N1963" s="3"/>
      <c r="O1963" s="3"/>
      <c r="P1963" s="3"/>
      <c r="Q1963" s="3"/>
      <c r="R1963" s="3">
        <f>IFERROR(__xludf.DUMMYFUNCTION("""COMPUTED_VALUE"""),0.0)</f>
        <v>0</v>
      </c>
      <c r="S1963" s="3"/>
      <c r="T1963" s="5"/>
      <c r="U1963" s="5"/>
      <c r="V1963" s="5"/>
      <c r="W1963" s="5"/>
    </row>
    <row r="1964" ht="15.75" customHeight="1">
      <c r="A1964" s="3">
        <f>IFERROR(__xludf.DUMMYFUNCTION("""COMPUTED_VALUE"""),1964.0)</f>
        <v>1964</v>
      </c>
      <c r="B1964" s="53">
        <f>IFERROR(__xludf.DUMMYFUNCTION("""COMPUTED_VALUE"""),46076.0)</f>
        <v>46076</v>
      </c>
      <c r="C1964" s="3">
        <f>IFERROR(__xludf.DUMMYFUNCTION("""COMPUTED_VALUE"""),69.0)</f>
        <v>69</v>
      </c>
      <c r="D1964" s="3" t="str">
        <f>IFERROR(__xludf.DUMMYFUNCTION("""COMPUTED_VALUE"""),"6394eca7")</f>
        <v>6394eca7</v>
      </c>
      <c r="E1964" s="54">
        <f>IFERROR(__xludf.DUMMYFUNCTION("""COMPUTED_VALUE"""),9000.0)</f>
        <v>9000</v>
      </c>
      <c r="F1964" s="3" t="str">
        <f>IFERROR(__xludf.DUMMYFUNCTION("""COMPUTED_VALUE"""),"Chardonnay")</f>
        <v>Chardonnay</v>
      </c>
      <c r="G1964" s="55">
        <f>IFERROR(__xludf.DUMMYFUNCTION("""COMPUTED_VALUE"""),11.5)</f>
        <v>11.5</v>
      </c>
      <c r="H1964" s="56">
        <f>IFERROR(__xludf.DUMMYFUNCTION("""COMPUTED_VALUE"""),2.0)</f>
        <v>2</v>
      </c>
      <c r="I1964" s="3"/>
      <c r="J1964" s="3"/>
      <c r="K1964" s="3"/>
      <c r="L1964" s="3"/>
      <c r="M1964" s="3">
        <f>IFERROR(__xludf.DUMMYFUNCTION("""COMPUTED_VALUE"""),77.0)</f>
        <v>77</v>
      </c>
      <c r="N1964" s="3"/>
      <c r="O1964" s="3"/>
      <c r="P1964" s="3"/>
      <c r="Q1964" s="3"/>
      <c r="R1964" s="3">
        <f>IFERROR(__xludf.DUMMYFUNCTION("""COMPUTED_VALUE"""),0.0)</f>
        <v>0</v>
      </c>
      <c r="S1964" s="3"/>
      <c r="T1964" s="5"/>
      <c r="U1964" s="5"/>
      <c r="V1964" s="5"/>
      <c r="W1964" s="5"/>
    </row>
    <row r="1965" ht="15.75" customHeight="1">
      <c r="A1965" s="3">
        <f>IFERROR(__xludf.DUMMYFUNCTION("""COMPUTED_VALUE"""),1965.0)</f>
        <v>1965</v>
      </c>
      <c r="B1965" s="53">
        <f>IFERROR(__xludf.DUMMYFUNCTION("""COMPUTED_VALUE"""),46076.0)</f>
        <v>46076</v>
      </c>
      <c r="C1965" s="3">
        <f>IFERROR(__xludf.DUMMYFUNCTION("""COMPUTED_VALUE"""),80.0)</f>
        <v>80</v>
      </c>
      <c r="D1965" s="3" t="str">
        <f>IFERROR(__xludf.DUMMYFUNCTION("""COMPUTED_VALUE"""),"bdb48937")</f>
        <v>bdb48937</v>
      </c>
      <c r="E1965" s="54">
        <f>IFERROR(__xludf.DUMMYFUNCTION("""COMPUTED_VALUE"""),18100.0)</f>
        <v>18100</v>
      </c>
      <c r="F1965" s="3" t="str">
        <f>IFERROR(__xludf.DUMMYFUNCTION("""COMPUTED_VALUE"""),"Chardonnay")</f>
        <v>Chardonnay</v>
      </c>
      <c r="G1965" s="55">
        <f>IFERROR(__xludf.DUMMYFUNCTION("""COMPUTED_VALUE"""),11.6)</f>
        <v>11.6</v>
      </c>
      <c r="H1965" s="56">
        <f>IFERROR(__xludf.DUMMYFUNCTION("""COMPUTED_VALUE"""),2.0)</f>
        <v>2</v>
      </c>
      <c r="I1965" s="3"/>
      <c r="J1965" s="3"/>
      <c r="K1965" s="3"/>
      <c r="L1965" s="54">
        <f>IFERROR(__xludf.DUMMYFUNCTION("""COMPUTED_VALUE"""),15.0)</f>
        <v>15</v>
      </c>
      <c r="M1965" s="3">
        <f>IFERROR(__xludf.DUMMYFUNCTION("""COMPUTED_VALUE"""),83.0)</f>
        <v>83</v>
      </c>
      <c r="N1965" s="3"/>
      <c r="O1965" s="3"/>
      <c r="P1965" s="3"/>
      <c r="Q1965" s="3"/>
      <c r="R1965" s="3">
        <f>IFERROR(__xludf.DUMMYFUNCTION("""COMPUTED_VALUE"""),0.0)</f>
        <v>0</v>
      </c>
      <c r="S1965" s="3"/>
      <c r="T1965" s="5"/>
      <c r="U1965" s="5"/>
      <c r="V1965" s="5"/>
      <c r="W1965" s="5"/>
    </row>
    <row r="1966" ht="15.75" customHeight="1">
      <c r="A1966" s="3">
        <f>IFERROR(__xludf.DUMMYFUNCTION("""COMPUTED_VALUE"""),1966.0)</f>
        <v>1966</v>
      </c>
      <c r="B1966" s="53">
        <f>IFERROR(__xludf.DUMMYFUNCTION("""COMPUTED_VALUE"""),46077.0)</f>
        <v>46077</v>
      </c>
      <c r="C1966" s="3">
        <f>IFERROR(__xludf.DUMMYFUNCTION("""COMPUTED_VALUE"""),66.0)</f>
        <v>66</v>
      </c>
      <c r="D1966" s="3" t="str">
        <f>IFERROR(__xludf.DUMMYFUNCTION("""COMPUTED_VALUE"""),"5a47168a")</f>
        <v>5a47168a</v>
      </c>
      <c r="E1966" s="54">
        <f>IFERROR(__xludf.DUMMYFUNCTION("""COMPUTED_VALUE"""),15500.0)</f>
        <v>15500</v>
      </c>
      <c r="F1966" s="3" t="str">
        <f>IFERROR(__xludf.DUMMYFUNCTION("""COMPUTED_VALUE"""),"Aspirant")</f>
        <v>Aspirant</v>
      </c>
      <c r="G1966" s="3"/>
      <c r="H1966" s="56">
        <f>IFERROR(__xludf.DUMMYFUNCTION("""COMPUTED_VALUE"""),2.0)</f>
        <v>2</v>
      </c>
      <c r="I1966" s="3"/>
      <c r="J1966" s="3"/>
      <c r="K1966" s="3"/>
      <c r="L1966" s="3"/>
      <c r="M1966" s="3"/>
      <c r="N1966" s="3"/>
      <c r="O1966" s="3"/>
      <c r="P1966" s="3"/>
      <c r="Q1966" s="3"/>
      <c r="R1966" s="3">
        <f>IFERROR(__xludf.DUMMYFUNCTION("""COMPUTED_VALUE"""),0.0)</f>
        <v>0</v>
      </c>
      <c r="S1966" s="3"/>
      <c r="T1966" s="5"/>
      <c r="U1966" s="5"/>
      <c r="V1966" s="5"/>
      <c r="W1966" s="5"/>
    </row>
    <row r="1967" ht="15.75" customHeight="1">
      <c r="A1967" s="3">
        <f>IFERROR(__xludf.DUMMYFUNCTION("""COMPUTED_VALUE"""),1967.0)</f>
        <v>1967</v>
      </c>
      <c r="B1967" s="53">
        <f>IFERROR(__xludf.DUMMYFUNCTION("""COMPUTED_VALUE"""),46077.0)</f>
        <v>46077</v>
      </c>
      <c r="C1967" s="3">
        <f>IFERROR(__xludf.DUMMYFUNCTION("""COMPUTED_VALUE"""),76.0)</f>
        <v>76</v>
      </c>
      <c r="D1967" s="3" t="str">
        <f>IFERROR(__xludf.DUMMYFUNCTION("""COMPUTED_VALUE"""),"d0e76b7a")</f>
        <v>d0e76b7a</v>
      </c>
      <c r="E1967" s="54">
        <f>IFERROR(__xludf.DUMMYFUNCTION("""COMPUTED_VALUE"""),15000.0)</f>
        <v>15000</v>
      </c>
      <c r="F1967" s="3" t="str">
        <f>IFERROR(__xludf.DUMMYFUNCTION("""COMPUTED_VALUE"""),"Chardonnay")</f>
        <v>Chardonnay</v>
      </c>
      <c r="G1967" s="3"/>
      <c r="H1967" s="3"/>
      <c r="I1967" s="3"/>
      <c r="J1967" s="3"/>
      <c r="K1967" s="57">
        <f>IFERROR(__xludf.DUMMYFUNCTION("""COMPUTED_VALUE"""),3.42)</f>
        <v>3.42</v>
      </c>
      <c r="L1967" s="3"/>
      <c r="M1967" s="3"/>
      <c r="N1967" s="3"/>
      <c r="O1967" s="3"/>
      <c r="P1967" s="3"/>
      <c r="Q1967" s="3"/>
      <c r="R1967" s="3">
        <f>IFERROR(__xludf.DUMMYFUNCTION("""COMPUTED_VALUE"""),0.0)</f>
        <v>0</v>
      </c>
      <c r="S1967" s="3"/>
      <c r="T1967" s="5"/>
      <c r="U1967" s="5"/>
      <c r="V1967" s="5"/>
      <c r="W1967" s="5"/>
    </row>
    <row r="1968" ht="15.75" customHeight="1">
      <c r="A1968" s="3">
        <f>IFERROR(__xludf.DUMMYFUNCTION("""COMPUTED_VALUE"""),1968.0)</f>
        <v>1968</v>
      </c>
      <c r="B1968" s="53">
        <f>IFERROR(__xludf.DUMMYFUNCTION("""COMPUTED_VALUE"""),46077.0)</f>
        <v>46077</v>
      </c>
      <c r="C1968" s="3">
        <f>IFERROR(__xludf.DUMMYFUNCTION("""COMPUTED_VALUE"""),80.0)</f>
        <v>80</v>
      </c>
      <c r="D1968" s="3" t="str">
        <f>IFERROR(__xludf.DUMMYFUNCTION("""COMPUTED_VALUE"""),"bdb48937")</f>
        <v>bdb48937</v>
      </c>
      <c r="E1968" s="54">
        <f>IFERROR(__xludf.DUMMYFUNCTION("""COMPUTED_VALUE"""),18100.0)</f>
        <v>18100</v>
      </c>
      <c r="F1968" s="3" t="str">
        <f>IFERROR(__xludf.DUMMYFUNCTION("""COMPUTED_VALUE"""),"Chardonnay")</f>
        <v>Chardonnay</v>
      </c>
      <c r="G1968" s="3"/>
      <c r="H1968" s="3"/>
      <c r="I1968" s="3"/>
      <c r="J1968" s="3"/>
      <c r="K1968" s="57">
        <f>IFERROR(__xludf.DUMMYFUNCTION("""COMPUTED_VALUE"""),3.33)</f>
        <v>3.33</v>
      </c>
      <c r="L1968" s="3"/>
      <c r="M1968" s="3"/>
      <c r="N1968" s="3"/>
      <c r="O1968" s="3"/>
      <c r="P1968" s="3"/>
      <c r="Q1968" s="3"/>
      <c r="R1968" s="3">
        <f>IFERROR(__xludf.DUMMYFUNCTION("""COMPUTED_VALUE"""),0.0)</f>
        <v>0</v>
      </c>
      <c r="S1968" s="3"/>
      <c r="T1968" s="5"/>
      <c r="U1968" s="5"/>
      <c r="V1968" s="5"/>
      <c r="W1968" s="5"/>
    </row>
    <row r="1969" ht="15.75" customHeight="1">
      <c r="A1969" s="3">
        <f>IFERROR(__xludf.DUMMYFUNCTION("""COMPUTED_VALUE"""),1969.0)</f>
        <v>1969</v>
      </c>
      <c r="B1969" s="53">
        <f>IFERROR(__xludf.DUMMYFUNCTION("""COMPUTED_VALUE"""),46077.0)</f>
        <v>46077</v>
      </c>
      <c r="C1969" s="3">
        <f>IFERROR(__xludf.DUMMYFUNCTION("""COMPUTED_VALUE"""),69.0)</f>
        <v>69</v>
      </c>
      <c r="D1969" s="3" t="str">
        <f>IFERROR(__xludf.DUMMYFUNCTION("""COMPUTED_VALUE"""),"6394eca7")</f>
        <v>6394eca7</v>
      </c>
      <c r="E1969" s="54">
        <f>IFERROR(__xludf.DUMMYFUNCTION("""COMPUTED_VALUE"""),9000.0)</f>
        <v>9000</v>
      </c>
      <c r="F1969" s="3" t="str">
        <f>IFERROR(__xludf.DUMMYFUNCTION("""COMPUTED_VALUE"""),"Chardonnay")</f>
        <v>Chardonnay</v>
      </c>
      <c r="G1969" s="3"/>
      <c r="H1969" s="3"/>
      <c r="I1969" s="3"/>
      <c r="J1969" s="3"/>
      <c r="K1969" s="57">
        <f>IFERROR(__xludf.DUMMYFUNCTION("""COMPUTED_VALUE"""),3.43)</f>
        <v>3.43</v>
      </c>
      <c r="L1969" s="3"/>
      <c r="M1969" s="3"/>
      <c r="N1969" s="3"/>
      <c r="O1969" s="3"/>
      <c r="P1969" s="3"/>
      <c r="Q1969" s="3"/>
      <c r="R1969" s="3">
        <f>IFERROR(__xludf.DUMMYFUNCTION("""COMPUTED_VALUE"""),0.0)</f>
        <v>0</v>
      </c>
      <c r="S1969" s="3"/>
      <c r="T1969" s="5"/>
      <c r="U1969" s="5"/>
      <c r="V1969" s="5"/>
      <c r="W1969" s="5"/>
    </row>
    <row r="1970" ht="15.75" customHeight="1">
      <c r="A1970" s="3">
        <f>IFERROR(__xludf.DUMMYFUNCTION("""COMPUTED_VALUE"""),1970.0)</f>
        <v>1970</v>
      </c>
      <c r="B1970" s="53">
        <f>IFERROR(__xludf.DUMMYFUNCTION("""COMPUTED_VALUE"""),46077.0)</f>
        <v>46077</v>
      </c>
      <c r="C1970" s="3">
        <f>IFERROR(__xludf.DUMMYFUNCTION("""COMPUTED_VALUE"""),70.0)</f>
        <v>70</v>
      </c>
      <c r="D1970" s="3" t="str">
        <f>IFERROR(__xludf.DUMMYFUNCTION("""COMPUTED_VALUE"""),"579168cd")</f>
        <v>579168cd</v>
      </c>
      <c r="E1970" s="54">
        <f>IFERROR(__xludf.DUMMYFUNCTION("""COMPUTED_VALUE"""),12500.0)</f>
        <v>12500</v>
      </c>
      <c r="F1970" s="3" t="str">
        <f>IFERROR(__xludf.DUMMYFUNCTION("""COMPUTED_VALUE"""),"Chardonnay Ch")</f>
        <v>Chardonnay Ch</v>
      </c>
      <c r="G1970" s="3"/>
      <c r="H1970" s="3"/>
      <c r="I1970" s="3"/>
      <c r="J1970" s="3"/>
      <c r="K1970" s="57">
        <f>IFERROR(__xludf.DUMMYFUNCTION("""COMPUTED_VALUE"""),3.32)</f>
        <v>3.32</v>
      </c>
      <c r="L1970" s="3"/>
      <c r="M1970" s="3"/>
      <c r="N1970" s="3"/>
      <c r="O1970" s="3"/>
      <c r="P1970" s="3"/>
      <c r="Q1970" s="3"/>
      <c r="R1970" s="3">
        <f>IFERROR(__xludf.DUMMYFUNCTION("""COMPUTED_VALUE"""),0.0)</f>
        <v>0</v>
      </c>
      <c r="S1970" s="3"/>
      <c r="T1970" s="5"/>
      <c r="U1970" s="5"/>
      <c r="V1970" s="5"/>
      <c r="W1970" s="5"/>
    </row>
    <row r="1971" ht="15.75" customHeight="1">
      <c r="A1971" s="3">
        <f>IFERROR(__xludf.DUMMYFUNCTION("""COMPUTED_VALUE"""),1971.0)</f>
        <v>1971</v>
      </c>
      <c r="B1971" s="53">
        <f>IFERROR(__xludf.DUMMYFUNCTION("""COMPUTED_VALUE"""),46077.0)</f>
        <v>46077</v>
      </c>
      <c r="C1971" s="3">
        <f>IFERROR(__xludf.DUMMYFUNCTION("""COMPUTED_VALUE"""),66.0)</f>
        <v>66</v>
      </c>
      <c r="D1971" s="3" t="str">
        <f>IFERROR(__xludf.DUMMYFUNCTION("""COMPUTED_VALUE"""),"5a47168a")</f>
        <v>5a47168a</v>
      </c>
      <c r="E1971" s="54">
        <f>IFERROR(__xludf.DUMMYFUNCTION("""COMPUTED_VALUE"""),15500.0)</f>
        <v>15500</v>
      </c>
      <c r="F1971" s="3" t="str">
        <f>IFERROR(__xludf.DUMMYFUNCTION("""COMPUTED_VALUE"""),"Aspirant")</f>
        <v>Aspirant</v>
      </c>
      <c r="G1971" s="55">
        <f>IFERROR(__xludf.DUMMYFUNCTION("""COMPUTED_VALUE"""),12.2)</f>
        <v>12.2</v>
      </c>
      <c r="H1971" s="56">
        <f>IFERROR(__xludf.DUMMYFUNCTION("""COMPUTED_VALUE"""),2.0)</f>
        <v>2</v>
      </c>
      <c r="I1971" s="57">
        <f>IFERROR(__xludf.DUMMYFUNCTION("""COMPUTED_VALUE"""),0.3)</f>
        <v>0.3</v>
      </c>
      <c r="J1971" s="3"/>
      <c r="K1971" s="57">
        <f>IFERROR(__xludf.DUMMYFUNCTION("""COMPUTED_VALUE"""),3.45)</f>
        <v>3.45</v>
      </c>
      <c r="L1971" s="3"/>
      <c r="M1971" s="3"/>
      <c r="N1971" s="3"/>
      <c r="O1971" s="3"/>
      <c r="P1971" s="3"/>
      <c r="Q1971" s="3"/>
      <c r="R1971" s="3">
        <f>IFERROR(__xludf.DUMMYFUNCTION("""COMPUTED_VALUE"""),0.0)</f>
        <v>0</v>
      </c>
      <c r="S1971" s="3"/>
      <c r="T1971" s="5"/>
      <c r="U1971" s="5"/>
      <c r="V1971" s="5"/>
      <c r="W1971" s="5"/>
    </row>
    <row r="1972" ht="15.75" customHeight="1">
      <c r="A1972" s="3">
        <f>IFERROR(__xludf.DUMMYFUNCTION("""COMPUTED_VALUE"""),1972.0)</f>
        <v>1972</v>
      </c>
      <c r="B1972" s="53">
        <f>IFERROR(__xludf.DUMMYFUNCTION("""COMPUTED_VALUE"""),46077.0)</f>
        <v>46077</v>
      </c>
      <c r="C1972" s="3">
        <f>IFERROR(__xludf.DUMMYFUNCTION("""COMPUTED_VALUE"""),79.0)</f>
        <v>79</v>
      </c>
      <c r="D1972" s="3" t="str">
        <f>IFERROR(__xludf.DUMMYFUNCTION("""COMPUTED_VALUE"""),"c83c39f8")</f>
        <v>c83c39f8</v>
      </c>
      <c r="E1972" s="54">
        <f>IFERROR(__xludf.DUMMYFUNCTION("""COMPUTED_VALUE"""),14800.0)</f>
        <v>14800</v>
      </c>
      <c r="F1972" s="3" t="str">
        <f>IFERROR(__xludf.DUMMYFUNCTION("""COMPUTED_VALUE"""),"Aspirant")</f>
        <v>Aspirant</v>
      </c>
      <c r="G1972" s="55">
        <f>IFERROR(__xludf.DUMMYFUNCTION("""COMPUTED_VALUE"""),12.3)</f>
        <v>12.3</v>
      </c>
      <c r="H1972" s="56">
        <f>IFERROR(__xludf.DUMMYFUNCTION("""COMPUTED_VALUE"""),3.0)</f>
        <v>3</v>
      </c>
      <c r="I1972" s="57">
        <f>IFERROR(__xludf.DUMMYFUNCTION("""COMPUTED_VALUE"""),0.27)</f>
        <v>0.27</v>
      </c>
      <c r="J1972" s="3"/>
      <c r="K1972" s="57">
        <f>IFERROR(__xludf.DUMMYFUNCTION("""COMPUTED_VALUE"""),3.47)</f>
        <v>3.47</v>
      </c>
      <c r="L1972" s="3"/>
      <c r="M1972" s="3"/>
      <c r="N1972" s="3"/>
      <c r="O1972" s="3"/>
      <c r="P1972" s="3"/>
      <c r="Q1972" s="3"/>
      <c r="R1972" s="3">
        <f>IFERROR(__xludf.DUMMYFUNCTION("""COMPUTED_VALUE"""),0.0)</f>
        <v>0</v>
      </c>
      <c r="S1972" s="3"/>
      <c r="T1972" s="5"/>
      <c r="U1972" s="5"/>
      <c r="V1972" s="5"/>
      <c r="W1972" s="5"/>
    </row>
    <row r="1973" ht="15.75" customHeight="1">
      <c r="A1973" s="3">
        <f>IFERROR(__xludf.DUMMYFUNCTION("""COMPUTED_VALUE"""),1973.0)</f>
        <v>1973</v>
      </c>
      <c r="B1973" s="53">
        <f>IFERROR(__xludf.DUMMYFUNCTION("""COMPUTED_VALUE"""),46077.0)</f>
        <v>46077</v>
      </c>
      <c r="C1973" s="3">
        <f>IFERROR(__xludf.DUMMYFUNCTION("""COMPUTED_VALUE"""),81.0)</f>
        <v>81</v>
      </c>
      <c r="D1973" s="3" t="str">
        <f>IFERROR(__xludf.DUMMYFUNCTION("""COMPUTED_VALUE"""),"f3de4bc0")</f>
        <v>f3de4bc0</v>
      </c>
      <c r="E1973" s="54">
        <f>IFERROR(__xludf.DUMMYFUNCTION("""COMPUTED_VALUE"""),20400.0)</f>
        <v>20400</v>
      </c>
      <c r="F1973" s="3" t="str">
        <f>IFERROR(__xludf.DUMMYFUNCTION("""COMPUTED_VALUE"""),"Merlot")</f>
        <v>Merlot</v>
      </c>
      <c r="G1973" s="55">
        <f>IFERROR(__xludf.DUMMYFUNCTION("""COMPUTED_VALUE"""),13.0)</f>
        <v>13</v>
      </c>
      <c r="H1973" s="56">
        <f>IFERROR(__xludf.DUMMYFUNCTION("""COMPUTED_VALUE"""),1.8)</f>
        <v>1.8</v>
      </c>
      <c r="I1973" s="57">
        <f>IFERROR(__xludf.DUMMYFUNCTION("""COMPUTED_VALUE"""),0.3)</f>
        <v>0.3</v>
      </c>
      <c r="J1973" s="3"/>
      <c r="K1973" s="57">
        <f>IFERROR(__xludf.DUMMYFUNCTION("""COMPUTED_VALUE"""),3.6)</f>
        <v>3.6</v>
      </c>
      <c r="L1973" s="3"/>
      <c r="M1973" s="3"/>
      <c r="N1973" s="3"/>
      <c r="O1973" s="3"/>
      <c r="P1973" s="3"/>
      <c r="Q1973" s="3"/>
      <c r="R1973" s="3">
        <f>IFERROR(__xludf.DUMMYFUNCTION("""COMPUTED_VALUE"""),0.0)</f>
        <v>0</v>
      </c>
      <c r="S1973" s="3"/>
      <c r="T1973" s="5"/>
      <c r="U1973" s="5"/>
      <c r="V1973" s="5"/>
      <c r="W1973" s="5"/>
    </row>
    <row r="1974" ht="15.75" customHeight="1">
      <c r="A1974" s="3">
        <f>IFERROR(__xludf.DUMMYFUNCTION("""COMPUTED_VALUE"""),1974.0)</f>
        <v>1974</v>
      </c>
      <c r="B1974" s="53">
        <f>IFERROR(__xludf.DUMMYFUNCTION("""COMPUTED_VALUE"""),46078.0)</f>
        <v>46078</v>
      </c>
      <c r="C1974" s="3">
        <f>IFERROR(__xludf.DUMMYFUNCTION("""COMPUTED_VALUE"""),77.0)</f>
        <v>77</v>
      </c>
      <c r="D1974" s="3" t="str">
        <f>IFERROR(__xludf.DUMMYFUNCTION("""COMPUTED_VALUE"""),"bb65fd1b")</f>
        <v>bb65fd1b</v>
      </c>
      <c r="E1974" s="54">
        <f>IFERROR(__xludf.DUMMYFUNCTION("""COMPUTED_VALUE"""),26000.0)</f>
        <v>26000</v>
      </c>
      <c r="F1974" s="3" t="str">
        <f>IFERROR(__xludf.DUMMYFUNCTION("""COMPUTED_VALUE"""),"Chardonnay")</f>
        <v>Chardonnay</v>
      </c>
      <c r="G1974" s="3"/>
      <c r="H1974" s="3"/>
      <c r="I1974" s="3"/>
      <c r="J1974" s="3"/>
      <c r="K1974" s="3"/>
      <c r="L1974" s="54">
        <f>IFERROR(__xludf.DUMMYFUNCTION("""COMPUTED_VALUE"""),28.0)</f>
        <v>28</v>
      </c>
      <c r="M1974" s="3"/>
      <c r="N1974" s="3"/>
      <c r="O1974" s="3"/>
      <c r="P1974" s="3"/>
      <c r="Q1974" s="3"/>
      <c r="R1974" s="3">
        <f>IFERROR(__xludf.DUMMYFUNCTION("""COMPUTED_VALUE"""),0.0)</f>
        <v>0</v>
      </c>
      <c r="S1974" s="3"/>
      <c r="T1974" s="5"/>
      <c r="U1974" s="5"/>
      <c r="V1974" s="5"/>
      <c r="W1974" s="5"/>
    </row>
    <row r="1975" ht="15.75" customHeight="1">
      <c r="A1975" s="3">
        <f>IFERROR(__xludf.DUMMYFUNCTION("""COMPUTED_VALUE"""),1975.0)</f>
        <v>1975</v>
      </c>
      <c r="B1975" s="53">
        <f>IFERROR(__xludf.DUMMYFUNCTION("""COMPUTED_VALUE"""),46078.0)</f>
        <v>46078</v>
      </c>
      <c r="C1975" s="3">
        <f>IFERROR(__xludf.DUMMYFUNCTION("""COMPUTED_VALUE"""),78.0)</f>
        <v>78</v>
      </c>
      <c r="D1975" s="3" t="str">
        <f>IFERROR(__xludf.DUMMYFUNCTION("""COMPUTED_VALUE"""),"1301e66e")</f>
        <v>1301e66e</v>
      </c>
      <c r="E1975" s="54">
        <f>IFERROR(__xludf.DUMMYFUNCTION("""COMPUTED_VALUE"""),25800.0)</f>
        <v>25800</v>
      </c>
      <c r="F1975" s="3" t="str">
        <f>IFERROR(__xludf.DUMMYFUNCTION("""COMPUTED_VALUE"""),"Chardonnay")</f>
        <v>Chardonnay</v>
      </c>
      <c r="G1975" s="3"/>
      <c r="H1975" s="3"/>
      <c r="I1975" s="3"/>
      <c r="J1975" s="3"/>
      <c r="K1975" s="3"/>
      <c r="L1975" s="54">
        <f>IFERROR(__xludf.DUMMYFUNCTION("""COMPUTED_VALUE"""),27.0)</f>
        <v>27</v>
      </c>
      <c r="M1975" s="3"/>
      <c r="N1975" s="3"/>
      <c r="O1975" s="3"/>
      <c r="P1975" s="3"/>
      <c r="Q1975" s="3"/>
      <c r="R1975" s="3">
        <f>IFERROR(__xludf.DUMMYFUNCTION("""COMPUTED_VALUE"""),0.0)</f>
        <v>0</v>
      </c>
      <c r="S1975" s="3"/>
      <c r="T1975" s="5"/>
      <c r="U1975" s="5"/>
      <c r="V1975" s="5"/>
      <c r="W1975" s="5"/>
    </row>
    <row r="1976" ht="15.75" customHeight="1">
      <c r="A1976" s="3">
        <f>IFERROR(__xludf.DUMMYFUNCTION("""COMPUTED_VALUE"""),1976.0)</f>
        <v>1976</v>
      </c>
      <c r="B1976" s="53">
        <f>IFERROR(__xludf.DUMMYFUNCTION("""COMPUTED_VALUE"""),46078.0)</f>
        <v>46078</v>
      </c>
      <c r="C1976" s="3">
        <f>IFERROR(__xludf.DUMMYFUNCTION("""COMPUTED_VALUE"""),65.0)</f>
        <v>65</v>
      </c>
      <c r="D1976" s="3" t="str">
        <f>IFERROR(__xludf.DUMMYFUNCTION("""COMPUTED_VALUE"""),"3ab1fef1")</f>
        <v>3ab1fef1</v>
      </c>
      <c r="E1976" s="54">
        <f>IFERROR(__xludf.DUMMYFUNCTION("""COMPUTED_VALUE"""),25200.0)</f>
        <v>25200</v>
      </c>
      <c r="F1976" s="3" t="str">
        <f>IFERROR(__xludf.DUMMYFUNCTION("""COMPUTED_VALUE"""),"Chardonnay")</f>
        <v>Chardonnay</v>
      </c>
      <c r="G1976" s="3"/>
      <c r="H1976" s="56">
        <f>IFERROR(__xludf.DUMMYFUNCTION("""COMPUTED_VALUE"""),2.0)</f>
        <v>2</v>
      </c>
      <c r="I1976" s="3"/>
      <c r="J1976" s="3"/>
      <c r="K1976" s="3"/>
      <c r="L1976" s="3"/>
      <c r="M1976" s="3"/>
      <c r="N1976" s="3"/>
      <c r="O1976" s="3"/>
      <c r="P1976" s="3"/>
      <c r="Q1976" s="3"/>
      <c r="R1976" s="3">
        <f>IFERROR(__xludf.DUMMYFUNCTION("""COMPUTED_VALUE"""),0.0)</f>
        <v>0</v>
      </c>
      <c r="S1976" s="3"/>
      <c r="T1976" s="5"/>
      <c r="U1976" s="5"/>
      <c r="V1976" s="5"/>
      <c r="W1976" s="5"/>
    </row>
    <row r="1977" ht="15.75" customHeight="1">
      <c r="A1977" s="3">
        <f>IFERROR(__xludf.DUMMYFUNCTION("""COMPUTED_VALUE"""),1977.0)</f>
        <v>1977</v>
      </c>
      <c r="B1977" s="53">
        <f>IFERROR(__xludf.DUMMYFUNCTION("""COMPUTED_VALUE"""),46078.0)</f>
        <v>46078</v>
      </c>
      <c r="C1977" s="3">
        <f>IFERROR(__xludf.DUMMYFUNCTION("""COMPUTED_VALUE"""),82.0)</f>
        <v>82</v>
      </c>
      <c r="D1977" s="3" t="str">
        <f>IFERROR(__xludf.DUMMYFUNCTION("""COMPUTED_VALUE"""),"0c02f3ad")</f>
        <v>0c02f3ad</v>
      </c>
      <c r="E1977" s="54">
        <f>IFERROR(__xludf.DUMMYFUNCTION("""COMPUTED_VALUE"""),28500.0)</f>
        <v>28500</v>
      </c>
      <c r="F1977" s="3" t="str">
        <f>IFERROR(__xludf.DUMMYFUNCTION("""COMPUTED_VALUE"""),"Aspirant Ancc")</f>
        <v>Aspirant Ancc</v>
      </c>
      <c r="G1977" s="3"/>
      <c r="H1977" s="56">
        <f>IFERROR(__xludf.DUMMYFUNCTION("""COMPUTED_VALUE"""),2.0)</f>
        <v>2</v>
      </c>
      <c r="I1977" s="3"/>
      <c r="J1977" s="3"/>
      <c r="K1977" s="3"/>
      <c r="L1977" s="3"/>
      <c r="M1977" s="3"/>
      <c r="N1977" s="3"/>
      <c r="O1977" s="3"/>
      <c r="P1977" s="3"/>
      <c r="Q1977" s="3"/>
      <c r="R1977" s="3">
        <f>IFERROR(__xludf.DUMMYFUNCTION("""COMPUTED_VALUE"""),0.0)</f>
        <v>0</v>
      </c>
      <c r="S1977" s="3"/>
      <c r="T1977" s="5"/>
      <c r="U1977" s="5"/>
      <c r="V1977" s="5"/>
      <c r="W1977" s="5"/>
    </row>
    <row r="1978" ht="15.75" customHeight="1">
      <c r="A1978" s="3">
        <f>IFERROR(__xludf.DUMMYFUNCTION("""COMPUTED_VALUE"""),1978.0)</f>
        <v>1978</v>
      </c>
      <c r="B1978" s="53">
        <f>IFERROR(__xludf.DUMMYFUNCTION("""COMPUTED_VALUE"""),46078.0)</f>
        <v>46078</v>
      </c>
      <c r="C1978" s="3">
        <f>IFERROR(__xludf.DUMMYFUNCTION("""COMPUTED_VALUE"""),24.0)</f>
        <v>24</v>
      </c>
      <c r="D1978" s="3" t="str">
        <f>IFERROR(__xludf.DUMMYFUNCTION("""COMPUTED_VALUE"""),"797c1148")</f>
        <v>797c1148</v>
      </c>
      <c r="E1978" s="54">
        <f>IFERROR(__xludf.DUMMYFUNCTION("""COMPUTED_VALUE"""),186600.0)</f>
        <v>186600</v>
      </c>
      <c r="F1978" s="3" t="str">
        <f>IFERROR(__xludf.DUMMYFUNCTION("""COMPUTED_VALUE"""),"Tinto Varietal A")</f>
        <v>Tinto Varietal A</v>
      </c>
      <c r="G1978" s="55">
        <f>IFERROR(__xludf.DUMMYFUNCTION("""COMPUTED_VALUE"""),13.4)</f>
        <v>13.4</v>
      </c>
      <c r="H1978" s="56">
        <f>IFERROR(__xludf.DUMMYFUNCTION("""COMPUTED_VALUE"""),2.0)</f>
        <v>2</v>
      </c>
      <c r="I1978" s="57">
        <f>IFERROR(__xludf.DUMMYFUNCTION("""COMPUTED_VALUE"""),0.65)</f>
        <v>0.65</v>
      </c>
      <c r="J1978" s="57">
        <f>IFERROR(__xludf.DUMMYFUNCTION("""COMPUTED_VALUE"""),5.9)</f>
        <v>5.9</v>
      </c>
      <c r="K1978" s="57">
        <f>IFERROR(__xludf.DUMMYFUNCTION("""COMPUTED_VALUE"""),3.65)</f>
        <v>3.65</v>
      </c>
      <c r="L1978" s="54">
        <f>IFERROR(__xludf.DUMMYFUNCTION("""COMPUTED_VALUE"""),38.0)</f>
        <v>38</v>
      </c>
      <c r="M1978" s="3">
        <f>IFERROR(__xludf.DUMMYFUNCTION("""COMPUTED_VALUE"""),124.0)</f>
        <v>124</v>
      </c>
      <c r="N1978" s="3"/>
      <c r="O1978" s="3">
        <f>IFERROR(__xludf.DUMMYFUNCTION("""COMPUTED_VALUE"""),452.0)</f>
        <v>452</v>
      </c>
      <c r="P1978" s="3">
        <f>IFERROR(__xludf.DUMMYFUNCTION("""COMPUTED_VALUE"""),603.0)</f>
        <v>603</v>
      </c>
      <c r="Q1978" s="3"/>
      <c r="R1978" s="3">
        <f>IFERROR(__xludf.DUMMYFUNCTION("""COMPUTED_VALUE"""),1055.0)</f>
        <v>1055</v>
      </c>
      <c r="S1978" s="3"/>
      <c r="T1978" s="5"/>
      <c r="U1978" s="5"/>
      <c r="V1978" s="5"/>
      <c r="W1978" s="5"/>
    </row>
    <row r="1979" ht="15.75" customHeight="1">
      <c r="A1979" s="3">
        <f>IFERROR(__xludf.DUMMYFUNCTION("""COMPUTED_VALUE"""),1979.0)</f>
        <v>1979</v>
      </c>
      <c r="B1979" s="53">
        <f>IFERROR(__xludf.DUMMYFUNCTION("""COMPUTED_VALUE"""),46078.0)</f>
        <v>46078</v>
      </c>
      <c r="C1979" s="3">
        <f>IFERROR(__xludf.DUMMYFUNCTION("""COMPUTED_VALUE"""),8.0)</f>
        <v>8</v>
      </c>
      <c r="D1979" s="3" t="str">
        <f>IFERROR(__xludf.DUMMYFUNCTION("""COMPUTED_VALUE"""),"0103419e")</f>
        <v>0103419e</v>
      </c>
      <c r="E1979" s="54">
        <f>IFERROR(__xludf.DUMMYFUNCTION("""COMPUTED_VALUE"""),14500.0)</f>
        <v>14500</v>
      </c>
      <c r="F1979" s="3" t="str">
        <f>IFERROR(__xludf.DUMMYFUNCTION("""COMPUTED_VALUE"""),"Chardonnay Mosto Rect")</f>
        <v>Chardonnay Mosto Rect</v>
      </c>
      <c r="G1979" s="3"/>
      <c r="H1979" s="56">
        <f>IFERROR(__xludf.DUMMYFUNCTION("""COMPUTED_VALUE"""),200.0)</f>
        <v>200</v>
      </c>
      <c r="I1979" s="3"/>
      <c r="J1979" s="3"/>
      <c r="K1979" s="57">
        <f>IFERROR(__xludf.DUMMYFUNCTION("""COMPUTED_VALUE"""),2.8)</f>
        <v>2.8</v>
      </c>
      <c r="L1979" s="3"/>
      <c r="M1979" s="3"/>
      <c r="N1979" s="3"/>
      <c r="O1979" s="3"/>
      <c r="P1979" s="3"/>
      <c r="Q1979" s="3"/>
      <c r="R1979" s="3">
        <f>IFERROR(__xludf.DUMMYFUNCTION("""COMPUTED_VALUE"""),0.0)</f>
        <v>0</v>
      </c>
      <c r="S1979" s="3"/>
      <c r="T1979" s="5"/>
      <c r="U1979" s="5"/>
      <c r="V1979" s="5"/>
      <c r="W1979" s="5"/>
    </row>
    <row r="1980" ht="15.75" customHeight="1">
      <c r="A1980" s="3">
        <f>IFERROR(__xludf.DUMMYFUNCTION("""COMPUTED_VALUE"""),1980.0)</f>
        <v>1980</v>
      </c>
      <c r="B1980" s="53">
        <f>IFERROR(__xludf.DUMMYFUNCTION("""COMPUTED_VALUE"""),46078.0)</f>
        <v>46078</v>
      </c>
      <c r="C1980" s="3">
        <f>IFERROR(__xludf.DUMMYFUNCTION("""COMPUTED_VALUE"""),25.0)</f>
        <v>25</v>
      </c>
      <c r="D1980" s="3" t="str">
        <f>IFERROR(__xludf.DUMMYFUNCTION("""COMPUTED_VALUE"""),"9373e0cf")</f>
        <v>9373e0cf</v>
      </c>
      <c r="E1980" s="54">
        <f>IFERROR(__xludf.DUMMYFUNCTION("""COMPUTED_VALUE"""),194300.0)</f>
        <v>194300</v>
      </c>
      <c r="F1980" s="3" t="str">
        <f>IFERROR(__xludf.DUMMYFUNCTION("""COMPUTED_VALUE"""),"Tinto Varietal B")</f>
        <v>Tinto Varietal B</v>
      </c>
      <c r="G1980" s="55">
        <f>IFERROR(__xludf.DUMMYFUNCTION("""COMPUTED_VALUE"""),13.5)</f>
        <v>13.5</v>
      </c>
      <c r="H1980" s="56">
        <f>IFERROR(__xludf.DUMMYFUNCTION("""COMPUTED_VALUE"""),2.0)</f>
        <v>2</v>
      </c>
      <c r="I1980" s="57">
        <f>IFERROR(__xludf.DUMMYFUNCTION("""COMPUTED_VALUE"""),0.53)</f>
        <v>0.53</v>
      </c>
      <c r="J1980" s="57">
        <f>IFERROR(__xludf.DUMMYFUNCTION("""COMPUTED_VALUE"""),5.6)</f>
        <v>5.6</v>
      </c>
      <c r="K1980" s="57">
        <f>IFERROR(__xludf.DUMMYFUNCTION("""COMPUTED_VALUE"""),3.62)</f>
        <v>3.62</v>
      </c>
      <c r="L1980" s="54">
        <f>IFERROR(__xludf.DUMMYFUNCTION("""COMPUTED_VALUE"""),35.0)</f>
        <v>35</v>
      </c>
      <c r="M1980" s="3">
        <f>IFERROR(__xludf.DUMMYFUNCTION("""COMPUTED_VALUE"""),138.0)</f>
        <v>138</v>
      </c>
      <c r="N1980" s="3"/>
      <c r="O1980" s="3">
        <f>IFERROR(__xludf.DUMMYFUNCTION("""COMPUTED_VALUE"""),416.0)</f>
        <v>416</v>
      </c>
      <c r="P1980" s="3">
        <f>IFERROR(__xludf.DUMMYFUNCTION("""COMPUTED_VALUE"""),542.0)</f>
        <v>542</v>
      </c>
      <c r="Q1980" s="3"/>
      <c r="R1980" s="3">
        <f>IFERROR(__xludf.DUMMYFUNCTION("""COMPUTED_VALUE"""),958.0)</f>
        <v>958</v>
      </c>
      <c r="S1980" s="3"/>
      <c r="T1980" s="5"/>
      <c r="U1980" s="5"/>
      <c r="V1980" s="5"/>
      <c r="W1980" s="5"/>
    </row>
    <row r="1981" ht="15.75" customHeight="1">
      <c r="A1981" s="3">
        <f>IFERROR(__xludf.DUMMYFUNCTION("""COMPUTED_VALUE"""),1981.0)</f>
        <v>1981</v>
      </c>
      <c r="B1981" s="53">
        <f>IFERROR(__xludf.DUMMYFUNCTION("""COMPUTED_VALUE"""),46078.0)</f>
        <v>46078</v>
      </c>
      <c r="C1981" s="3">
        <f>IFERROR(__xludf.DUMMYFUNCTION("""COMPUTED_VALUE"""),26.0)</f>
        <v>26</v>
      </c>
      <c r="D1981" s="3" t="str">
        <f>IFERROR(__xludf.DUMMYFUNCTION("""COMPUTED_VALUE"""),"d588820c")</f>
        <v>d588820c</v>
      </c>
      <c r="E1981" s="54">
        <f>IFERROR(__xludf.DUMMYFUNCTION("""COMPUTED_VALUE"""),207600.0)</f>
        <v>207600</v>
      </c>
      <c r="F1981" s="3" t="str">
        <f>IFERROR(__xludf.DUMMYFUNCTION("""COMPUTED_VALUE"""),"Tinto Varietal B")</f>
        <v>Tinto Varietal B</v>
      </c>
      <c r="G1981" s="55">
        <f>IFERROR(__xludf.DUMMYFUNCTION("""COMPUTED_VALUE"""),13.5)</f>
        <v>13.5</v>
      </c>
      <c r="H1981" s="56">
        <f>IFERROR(__xludf.DUMMYFUNCTION("""COMPUTED_VALUE"""),2.0)</f>
        <v>2</v>
      </c>
      <c r="I1981" s="57">
        <f>IFERROR(__xludf.DUMMYFUNCTION("""COMPUTED_VALUE"""),0.55)</f>
        <v>0.55</v>
      </c>
      <c r="J1981" s="57">
        <f>IFERROR(__xludf.DUMMYFUNCTION("""COMPUTED_VALUE"""),5.7)</f>
        <v>5.7</v>
      </c>
      <c r="K1981" s="57">
        <f>IFERROR(__xludf.DUMMYFUNCTION("""COMPUTED_VALUE"""),3.63)</f>
        <v>3.63</v>
      </c>
      <c r="L1981" s="54">
        <f>IFERROR(__xludf.DUMMYFUNCTION("""COMPUTED_VALUE"""),36.0)</f>
        <v>36</v>
      </c>
      <c r="M1981" s="3">
        <f>IFERROR(__xludf.DUMMYFUNCTION("""COMPUTED_VALUE"""),145.0)</f>
        <v>145</v>
      </c>
      <c r="N1981" s="3"/>
      <c r="O1981" s="3">
        <f>IFERROR(__xludf.DUMMYFUNCTION("""COMPUTED_VALUE"""),415.0)</f>
        <v>415</v>
      </c>
      <c r="P1981" s="3">
        <f>IFERROR(__xludf.DUMMYFUNCTION("""COMPUTED_VALUE"""),548.0)</f>
        <v>548</v>
      </c>
      <c r="Q1981" s="3"/>
      <c r="R1981" s="3">
        <f>IFERROR(__xludf.DUMMYFUNCTION("""COMPUTED_VALUE"""),963.0)</f>
        <v>963</v>
      </c>
      <c r="S1981" s="3"/>
      <c r="T1981" s="5"/>
      <c r="U1981" s="5"/>
      <c r="V1981" s="5"/>
      <c r="W1981" s="5"/>
    </row>
    <row r="1982" ht="15.75" customHeight="1">
      <c r="A1982" s="3">
        <f>IFERROR(__xludf.DUMMYFUNCTION("""COMPUTED_VALUE"""),1982.0)</f>
        <v>1982</v>
      </c>
      <c r="B1982" s="53">
        <f>IFERROR(__xludf.DUMMYFUNCTION("""COMPUTED_VALUE"""),46078.0)</f>
        <v>46078</v>
      </c>
      <c r="C1982" s="3">
        <f>IFERROR(__xludf.DUMMYFUNCTION("""COMPUTED_VALUE"""),95.0)</f>
        <v>95</v>
      </c>
      <c r="D1982" s="3" t="str">
        <f>IFERROR(__xludf.DUMMYFUNCTION("""COMPUTED_VALUE"""),"83dc62c7")</f>
        <v>83dc62c7</v>
      </c>
      <c r="E1982" s="54">
        <f>IFERROR(__xludf.DUMMYFUNCTION("""COMPUTED_VALUE"""),77100.0)</f>
        <v>77100</v>
      </c>
      <c r="F1982" s="3" t="str">
        <f>IFERROR(__xludf.DUMMYFUNCTION("""COMPUTED_VALUE"""),"Malbec BIB")</f>
        <v>Malbec BIB</v>
      </c>
      <c r="G1982" s="3"/>
      <c r="H1982" s="3"/>
      <c r="I1982" s="3"/>
      <c r="J1982" s="3"/>
      <c r="K1982" s="3"/>
      <c r="L1982" s="54">
        <f>IFERROR(__xludf.DUMMYFUNCTION("""COMPUTED_VALUE"""),42.0)</f>
        <v>42</v>
      </c>
      <c r="M1982" s="3"/>
      <c r="N1982" s="3"/>
      <c r="O1982" s="3"/>
      <c r="P1982" s="3"/>
      <c r="Q1982" s="3"/>
      <c r="R1982" s="3">
        <f>IFERROR(__xludf.DUMMYFUNCTION("""COMPUTED_VALUE"""),0.0)</f>
        <v>0</v>
      </c>
      <c r="S1982" s="3"/>
      <c r="T1982" s="5"/>
      <c r="U1982" s="5"/>
      <c r="V1982" s="5"/>
      <c r="W1982" s="5"/>
    </row>
    <row r="1983" ht="15.75" customHeight="1">
      <c r="A1983" s="3">
        <f>IFERROR(__xludf.DUMMYFUNCTION("""COMPUTED_VALUE"""),1983.0)</f>
        <v>1983</v>
      </c>
      <c r="B1983" s="53">
        <f>IFERROR(__xludf.DUMMYFUNCTION("""COMPUTED_VALUE"""),46079.0)</f>
        <v>46079</v>
      </c>
      <c r="C1983" s="3">
        <f>IFERROR(__xludf.DUMMYFUNCTION("""COMPUTED_VALUE"""),85.0)</f>
        <v>85</v>
      </c>
      <c r="D1983" s="3" t="str">
        <f>IFERROR(__xludf.DUMMYFUNCTION("""COMPUTED_VALUE"""),"564607ff")</f>
        <v>564607ff</v>
      </c>
      <c r="E1983" s="54">
        <f>IFERROR(__xludf.DUMMYFUNCTION("""COMPUTED_VALUE"""),31800.0)</f>
        <v>31800</v>
      </c>
      <c r="F1983" s="3" t="str">
        <f>IFERROR(__xludf.DUMMYFUNCTION("""COMPUTED_VALUE"""),"Syrah")</f>
        <v>Syrah</v>
      </c>
      <c r="G1983" s="3"/>
      <c r="H1983" s="56">
        <f>IFERROR(__xludf.DUMMYFUNCTION("""COMPUTED_VALUE"""),228.0)</f>
        <v>228</v>
      </c>
      <c r="I1983" s="3"/>
      <c r="J1983" s="3"/>
      <c r="K1983" s="57">
        <f>IFERROR(__xludf.DUMMYFUNCTION("""COMPUTED_VALUE"""),3.7)</f>
        <v>3.7</v>
      </c>
      <c r="L1983" s="54">
        <f>IFERROR(__xludf.DUMMYFUNCTION("""COMPUTED_VALUE"""),25.0)</f>
        <v>25</v>
      </c>
      <c r="M1983" s="3">
        <f>IFERROR(__xludf.DUMMYFUNCTION("""COMPUTED_VALUE"""),90.0)</f>
        <v>90</v>
      </c>
      <c r="N1983" s="3"/>
      <c r="O1983" s="3"/>
      <c r="P1983" s="3"/>
      <c r="Q1983" s="3"/>
      <c r="R1983" s="3">
        <f>IFERROR(__xludf.DUMMYFUNCTION("""COMPUTED_VALUE"""),0.0)</f>
        <v>0</v>
      </c>
      <c r="S1983" s="3"/>
      <c r="T1983" s="5"/>
      <c r="U1983" s="5"/>
      <c r="V1983" s="5"/>
      <c r="W1983" s="5"/>
    </row>
    <row r="1984" ht="15.75" customHeight="1">
      <c r="A1984" s="3">
        <f>IFERROR(__xludf.DUMMYFUNCTION("""COMPUTED_VALUE"""),1984.0)</f>
        <v>1984</v>
      </c>
      <c r="B1984" s="53">
        <f>IFERROR(__xludf.DUMMYFUNCTION("""COMPUTED_VALUE"""),46079.0)</f>
        <v>46079</v>
      </c>
      <c r="C1984" s="3">
        <f>IFERROR(__xludf.DUMMYFUNCTION("""COMPUTED_VALUE"""),76.0)</f>
        <v>76</v>
      </c>
      <c r="D1984" s="3" t="str">
        <f>IFERROR(__xludf.DUMMYFUNCTION("""COMPUTED_VALUE"""),"d0e76b7a")</f>
        <v>d0e76b7a</v>
      </c>
      <c r="E1984" s="54">
        <f>IFERROR(__xludf.DUMMYFUNCTION("""COMPUTED_VALUE"""),15000.0)</f>
        <v>15000</v>
      </c>
      <c r="F1984" s="3" t="str">
        <f>IFERROR(__xludf.DUMMYFUNCTION("""COMPUTED_VALUE"""),"Chardonnay")</f>
        <v>Chardonnay</v>
      </c>
      <c r="G1984" s="3"/>
      <c r="H1984" s="56">
        <f>IFERROR(__xludf.DUMMYFUNCTION("""COMPUTED_VALUE"""),220.0)</f>
        <v>220</v>
      </c>
      <c r="I1984" s="3"/>
      <c r="J1984" s="3"/>
      <c r="K1984" s="57">
        <f>IFERROR(__xludf.DUMMYFUNCTION("""COMPUTED_VALUE"""),3.74)</f>
        <v>3.74</v>
      </c>
      <c r="L1984" s="54">
        <f>IFERROR(__xludf.DUMMYFUNCTION("""COMPUTED_VALUE"""),26.0)</f>
        <v>26</v>
      </c>
      <c r="M1984" s="3">
        <f>IFERROR(__xludf.DUMMYFUNCTION("""COMPUTED_VALUE"""),85.0)</f>
        <v>85</v>
      </c>
      <c r="N1984" s="3"/>
      <c r="O1984" s="3"/>
      <c r="P1984" s="3"/>
      <c r="Q1984" s="3"/>
      <c r="R1984" s="3">
        <f>IFERROR(__xludf.DUMMYFUNCTION("""COMPUTED_VALUE"""),0.0)</f>
        <v>0</v>
      </c>
      <c r="S1984" s="3"/>
      <c r="T1984" s="5"/>
      <c r="U1984" s="5"/>
      <c r="V1984" s="5"/>
      <c r="W1984" s="5"/>
    </row>
    <row r="1985" ht="15.75" customHeight="1">
      <c r="A1985" s="3">
        <f>IFERROR(__xludf.DUMMYFUNCTION("""COMPUTED_VALUE"""),1985.0)</f>
        <v>1985</v>
      </c>
      <c r="B1985" s="53">
        <f>IFERROR(__xludf.DUMMYFUNCTION("""COMPUTED_VALUE"""),46079.0)</f>
        <v>46079</v>
      </c>
      <c r="C1985" s="3">
        <f>IFERROR(__xludf.DUMMYFUNCTION("""COMPUTED_VALUE"""),8.0)</f>
        <v>8</v>
      </c>
      <c r="D1985" s="3" t="str">
        <f>IFERROR(__xludf.DUMMYFUNCTION("""COMPUTED_VALUE"""),"0103419e")</f>
        <v>0103419e</v>
      </c>
      <c r="E1985" s="54">
        <f>IFERROR(__xludf.DUMMYFUNCTION("""COMPUTED_VALUE"""),14500.0)</f>
        <v>14500</v>
      </c>
      <c r="F1985" s="3" t="str">
        <f>IFERROR(__xludf.DUMMYFUNCTION("""COMPUTED_VALUE"""),"Chardonnay Mosto Rect")</f>
        <v>Chardonnay Mosto Rect</v>
      </c>
      <c r="G1985" s="3"/>
      <c r="H1985" s="3"/>
      <c r="I1985" s="3"/>
      <c r="J1985" s="3"/>
      <c r="K1985" s="57">
        <f>IFERROR(__xludf.DUMMYFUNCTION("""COMPUTED_VALUE"""),2.58)</f>
        <v>2.58</v>
      </c>
      <c r="L1985" s="54">
        <f>IFERROR(__xludf.DUMMYFUNCTION("""COMPUTED_VALUE"""),40.0)</f>
        <v>40</v>
      </c>
      <c r="M1985" s="3"/>
      <c r="N1985" s="3"/>
      <c r="O1985" s="3"/>
      <c r="P1985" s="3"/>
      <c r="Q1985" s="3"/>
      <c r="R1985" s="3">
        <f>IFERROR(__xludf.DUMMYFUNCTION("""COMPUTED_VALUE"""),0.0)</f>
        <v>0</v>
      </c>
      <c r="S1985" s="3"/>
      <c r="T1985" s="5"/>
      <c r="U1985" s="5"/>
      <c r="V1985" s="5"/>
      <c r="W1985" s="5"/>
    </row>
    <row r="1986" ht="15.75" customHeight="1">
      <c r="A1986" s="3">
        <f>IFERROR(__xludf.DUMMYFUNCTION("""COMPUTED_VALUE"""),1986.0)</f>
        <v>1986</v>
      </c>
      <c r="B1986" s="53">
        <f>IFERROR(__xludf.DUMMYFUNCTION("""COMPUTED_VALUE"""),46079.0)</f>
        <v>46079</v>
      </c>
      <c r="C1986" s="3">
        <f>IFERROR(__xludf.DUMMYFUNCTION("""COMPUTED_VALUE"""),71.0)</f>
        <v>71</v>
      </c>
      <c r="D1986" s="3" t="str">
        <f>IFERROR(__xludf.DUMMYFUNCTION("""COMPUTED_VALUE"""),"a5f14d91")</f>
        <v>a5f14d91</v>
      </c>
      <c r="E1986" s="54">
        <f>IFERROR(__xludf.DUMMYFUNCTION("""COMPUTED_VALUE"""),6500.0)</f>
        <v>6500</v>
      </c>
      <c r="F1986" s="3" t="str">
        <f>IFERROR(__xludf.DUMMYFUNCTION("""COMPUTED_VALUE"""),"Chardonnay")</f>
        <v>Chardonnay</v>
      </c>
      <c r="G1986" s="3"/>
      <c r="H1986" s="56">
        <f>IFERROR(__xludf.DUMMYFUNCTION("""COMPUTED_VALUE"""),3.11)</f>
        <v>3.11</v>
      </c>
      <c r="I1986" s="3"/>
      <c r="J1986" s="3"/>
      <c r="K1986" s="3"/>
      <c r="L1986" s="3"/>
      <c r="M1986" s="3"/>
      <c r="N1986" s="3"/>
      <c r="O1986" s="3"/>
      <c r="P1986" s="3"/>
      <c r="Q1986" s="3"/>
      <c r="R1986" s="3">
        <f>IFERROR(__xludf.DUMMYFUNCTION("""COMPUTED_VALUE"""),0.0)</f>
        <v>0</v>
      </c>
      <c r="S1986" s="3"/>
      <c r="T1986" s="5"/>
      <c r="U1986" s="5"/>
      <c r="V1986" s="5"/>
      <c r="W1986" s="5"/>
    </row>
    <row r="1987" ht="15.75" customHeight="1">
      <c r="A1987" s="3">
        <f>IFERROR(__xludf.DUMMYFUNCTION("""COMPUTED_VALUE"""),1987.0)</f>
        <v>1987</v>
      </c>
      <c r="B1987" s="53">
        <f>IFERROR(__xludf.DUMMYFUNCTION("""COMPUTED_VALUE"""),46080.0)</f>
        <v>46080</v>
      </c>
      <c r="C1987" s="3">
        <f>IFERROR(__xludf.DUMMYFUNCTION("""COMPUTED_VALUE"""),77.0)</f>
        <v>77</v>
      </c>
      <c r="D1987" s="3" t="str">
        <f>IFERROR(__xludf.DUMMYFUNCTION("""COMPUTED_VALUE"""),"bb65fd1b")</f>
        <v>bb65fd1b</v>
      </c>
      <c r="E1987" s="3"/>
      <c r="F1987" s="3" t="str">
        <f>IFERROR(__xludf.DUMMYFUNCTION("""COMPUTED_VALUE"""),"x")</f>
        <v>x</v>
      </c>
      <c r="G1987" s="3"/>
      <c r="H1987" s="56">
        <f>IFERROR(__xludf.DUMMYFUNCTION("""COMPUTED_VALUE"""),238.0)</f>
        <v>238</v>
      </c>
      <c r="I1987" s="3"/>
      <c r="J1987" s="3"/>
      <c r="K1987" s="57">
        <f>IFERROR(__xludf.DUMMYFUNCTION("""COMPUTED_VALUE"""),3.88)</f>
        <v>3.88</v>
      </c>
      <c r="L1987" s="54">
        <f>IFERROR(__xludf.DUMMYFUNCTION("""COMPUTED_VALUE"""),5.0)</f>
        <v>5</v>
      </c>
      <c r="M1987" s="3"/>
      <c r="N1987" s="3"/>
      <c r="O1987" s="3"/>
      <c r="P1987" s="3"/>
      <c r="Q1987" s="3"/>
      <c r="R1987" s="3">
        <f>IFERROR(__xludf.DUMMYFUNCTION("""COMPUTED_VALUE"""),0.0)</f>
        <v>0</v>
      </c>
      <c r="S1987" s="3"/>
      <c r="T1987" s="5"/>
      <c r="U1987" s="5"/>
      <c r="V1987" s="5"/>
      <c r="W1987" s="5"/>
    </row>
    <row r="1988" ht="15.75" customHeight="1">
      <c r="A1988" s="3">
        <f>IFERROR(__xludf.DUMMYFUNCTION("""COMPUTED_VALUE"""),1988.0)</f>
        <v>1988</v>
      </c>
      <c r="B1988" s="53">
        <f>IFERROR(__xludf.DUMMYFUNCTION("""COMPUTED_VALUE"""),46081.0)</f>
        <v>46081</v>
      </c>
      <c r="C1988" s="3">
        <f>IFERROR(__xludf.DUMMYFUNCTION("""COMPUTED_VALUE"""),87.0)</f>
        <v>87</v>
      </c>
      <c r="D1988" s="3" t="str">
        <f>IFERROR(__xludf.DUMMYFUNCTION("""COMPUTED_VALUE"""),"3d1614e3")</f>
        <v>3d1614e3</v>
      </c>
      <c r="E1988" s="54">
        <f>IFERROR(__xludf.DUMMYFUNCTION("""COMPUTED_VALUE"""),30000.0)</f>
        <v>30000</v>
      </c>
      <c r="F1988" s="3" t="str">
        <f>IFERROR(__xludf.DUMMYFUNCTION("""COMPUTED_VALUE"""),"Syrah")</f>
        <v>Syrah</v>
      </c>
      <c r="G1988" s="3"/>
      <c r="H1988" s="56">
        <f>IFERROR(__xludf.DUMMYFUNCTION("""COMPUTED_VALUE"""),218.0)</f>
        <v>218</v>
      </c>
      <c r="I1988" s="3"/>
      <c r="J1988" s="3"/>
      <c r="K1988" s="57">
        <f>IFERROR(__xludf.DUMMYFUNCTION("""COMPUTED_VALUE"""),3.71)</f>
        <v>3.71</v>
      </c>
      <c r="L1988" s="54">
        <f>IFERROR(__xludf.DUMMYFUNCTION("""COMPUTED_VALUE"""),23.0)</f>
        <v>23</v>
      </c>
      <c r="M1988" s="3">
        <f>IFERROR(__xludf.DUMMYFUNCTION("""COMPUTED_VALUE"""),100.0)</f>
        <v>100</v>
      </c>
      <c r="N1988" s="3"/>
      <c r="O1988" s="3"/>
      <c r="P1988" s="3"/>
      <c r="Q1988" s="3"/>
      <c r="R1988" s="3">
        <f>IFERROR(__xludf.DUMMYFUNCTION("""COMPUTED_VALUE"""),0.0)</f>
        <v>0</v>
      </c>
      <c r="S1988" s="3"/>
      <c r="T1988" s="5"/>
      <c r="U1988" s="5"/>
      <c r="V1988" s="5"/>
      <c r="W1988" s="5"/>
    </row>
    <row r="1989" ht="15.75" customHeight="1">
      <c r="A1989" s="3">
        <f>IFERROR(__xludf.DUMMYFUNCTION("""COMPUTED_VALUE"""),1989.0)</f>
        <v>1989</v>
      </c>
      <c r="B1989" s="53">
        <f>IFERROR(__xludf.DUMMYFUNCTION("""COMPUTED_VALUE"""),46081.0)</f>
        <v>46081</v>
      </c>
      <c r="C1989" s="3">
        <f>IFERROR(__xludf.DUMMYFUNCTION("""COMPUTED_VALUE"""),78.0)</f>
        <v>78</v>
      </c>
      <c r="D1989" s="3" t="str">
        <f>IFERROR(__xludf.DUMMYFUNCTION("""COMPUTED_VALUE"""),"df8c63ee")</f>
        <v>df8c63ee</v>
      </c>
      <c r="E1989" s="54">
        <f>IFERROR(__xludf.DUMMYFUNCTION("""COMPUTED_VALUE"""),19000.0)</f>
        <v>19000</v>
      </c>
      <c r="F1989" s="3" t="str">
        <f>IFERROR(__xludf.DUMMYFUNCTION("""COMPUTED_VALUE"""),"Torrontes Viog")</f>
        <v>Torrontes Viog</v>
      </c>
      <c r="G1989" s="3"/>
      <c r="H1989" s="56">
        <f>IFERROR(__xludf.DUMMYFUNCTION("""COMPUTED_VALUE"""),190.0)</f>
        <v>190</v>
      </c>
      <c r="I1989" s="3"/>
      <c r="J1989" s="3"/>
      <c r="K1989" s="57">
        <f>IFERROR(__xludf.DUMMYFUNCTION("""COMPUTED_VALUE"""),3.75)</f>
        <v>3.75</v>
      </c>
      <c r="L1989" s="54">
        <f>IFERROR(__xludf.DUMMYFUNCTION("""COMPUTED_VALUE"""),30.0)</f>
        <v>30</v>
      </c>
      <c r="M1989" s="3">
        <f>IFERROR(__xludf.DUMMYFUNCTION("""COMPUTED_VALUE"""),75.0)</f>
        <v>75</v>
      </c>
      <c r="N1989" s="3"/>
      <c r="O1989" s="3"/>
      <c r="P1989" s="3"/>
      <c r="Q1989" s="3"/>
      <c r="R1989" s="3">
        <f>IFERROR(__xludf.DUMMYFUNCTION("""COMPUTED_VALUE"""),0.0)</f>
        <v>0</v>
      </c>
      <c r="S1989" s="3"/>
      <c r="T1989" s="5"/>
      <c r="U1989" s="5"/>
      <c r="V1989" s="5"/>
      <c r="W1989" s="5"/>
    </row>
    <row r="1990" ht="15.75" customHeight="1">
      <c r="A1990" s="3">
        <f>IFERROR(__xludf.DUMMYFUNCTION("""COMPUTED_VALUE"""),1990.0)</f>
        <v>1990</v>
      </c>
      <c r="B1990" s="53">
        <f>IFERROR(__xludf.DUMMYFUNCTION("""COMPUTED_VALUE"""),46083.0)</f>
        <v>46083</v>
      </c>
      <c r="C1990" s="3">
        <f>IFERROR(__xludf.DUMMYFUNCTION("""COMPUTED_VALUE"""),83.0)</f>
        <v>83</v>
      </c>
      <c r="D1990" s="3" t="str">
        <f>IFERROR(__xludf.DUMMYFUNCTION("""COMPUTED_VALUE"""),"4f1c28ac")</f>
        <v>4f1c28ac</v>
      </c>
      <c r="E1990" s="54">
        <f>IFERROR(__xludf.DUMMYFUNCTION("""COMPUTED_VALUE"""),51100.0)</f>
        <v>51100</v>
      </c>
      <c r="F1990" s="3" t="str">
        <f>IFERROR(__xludf.DUMMYFUNCTION("""COMPUTED_VALUE"""),"Aspirant Anccelota PC")</f>
        <v>Aspirant Anccelota PC</v>
      </c>
      <c r="G1990" s="55">
        <f>IFERROR(__xludf.DUMMYFUNCTION("""COMPUTED_VALUE"""),12.3)</f>
        <v>12.3</v>
      </c>
      <c r="H1990" s="56">
        <f>IFERROR(__xludf.DUMMYFUNCTION("""COMPUTED_VALUE"""),2.4)</f>
        <v>2.4</v>
      </c>
      <c r="I1990" s="3"/>
      <c r="J1990" s="3"/>
      <c r="K1990" s="57">
        <f>IFERROR(__xludf.DUMMYFUNCTION("""COMPUTED_VALUE"""),3.65)</f>
        <v>3.65</v>
      </c>
      <c r="L1990" s="3"/>
      <c r="M1990" s="3"/>
      <c r="N1990" s="3"/>
      <c r="O1990" s="3"/>
      <c r="P1990" s="3"/>
      <c r="Q1990" s="3"/>
      <c r="R1990" s="3">
        <f>IFERROR(__xludf.DUMMYFUNCTION("""COMPUTED_VALUE"""),0.0)</f>
        <v>0</v>
      </c>
      <c r="S1990" s="3"/>
      <c r="T1990" s="5"/>
      <c r="U1990" s="5"/>
      <c r="V1990" s="5"/>
      <c r="W1990" s="5"/>
    </row>
    <row r="1991" ht="15.75" customHeight="1">
      <c r="A1991" s="3">
        <f>IFERROR(__xludf.DUMMYFUNCTION("""COMPUTED_VALUE"""),1991.0)</f>
        <v>1991</v>
      </c>
      <c r="B1991" s="53">
        <f>IFERROR(__xludf.DUMMYFUNCTION("""COMPUTED_VALUE"""),46083.0)</f>
        <v>46083</v>
      </c>
      <c r="C1991" s="3">
        <f>IFERROR(__xludf.DUMMYFUNCTION("""COMPUTED_VALUE"""),84.0)</f>
        <v>84</v>
      </c>
      <c r="D1991" s="3" t="str">
        <f>IFERROR(__xludf.DUMMYFUNCTION("""COMPUTED_VALUE"""),"84d6a310")</f>
        <v>84d6a310</v>
      </c>
      <c r="E1991" s="54">
        <f>IFERROR(__xludf.DUMMYFUNCTION("""COMPUTED_VALUE"""),33800.0)</f>
        <v>33800</v>
      </c>
      <c r="F1991" s="3" t="str">
        <f>IFERROR(__xludf.DUMMYFUNCTION("""COMPUTED_VALUE"""),"Aspirant Ancelotta")</f>
        <v>Aspirant Ancelotta</v>
      </c>
      <c r="G1991" s="55">
        <f>IFERROR(__xludf.DUMMYFUNCTION("""COMPUTED_VALUE"""),12.2)</f>
        <v>12.2</v>
      </c>
      <c r="H1991" s="56">
        <f>IFERROR(__xludf.DUMMYFUNCTION("""COMPUTED_VALUE"""),2.53)</f>
        <v>2.53</v>
      </c>
      <c r="I1991" s="3"/>
      <c r="J1991" s="3"/>
      <c r="K1991" s="57">
        <f>IFERROR(__xludf.DUMMYFUNCTION("""COMPUTED_VALUE"""),3.6)</f>
        <v>3.6</v>
      </c>
      <c r="L1991" s="3"/>
      <c r="M1991" s="3"/>
      <c r="N1991" s="3"/>
      <c r="O1991" s="3"/>
      <c r="P1991" s="3"/>
      <c r="Q1991" s="3"/>
      <c r="R1991" s="3">
        <f>IFERROR(__xludf.DUMMYFUNCTION("""COMPUTED_VALUE"""),0.0)</f>
        <v>0</v>
      </c>
      <c r="S1991" s="3"/>
      <c r="T1991" s="5"/>
      <c r="U1991" s="5"/>
      <c r="V1991" s="5"/>
      <c r="W1991" s="5"/>
    </row>
    <row r="1992" ht="15.75" customHeight="1">
      <c r="A1992" s="3">
        <f>IFERROR(__xludf.DUMMYFUNCTION("""COMPUTED_VALUE"""),1992.0)</f>
        <v>1992</v>
      </c>
      <c r="B1992" s="53">
        <f>IFERROR(__xludf.DUMMYFUNCTION("""COMPUTED_VALUE"""),46083.0)</f>
        <v>46083</v>
      </c>
      <c r="C1992" s="3">
        <f>IFERROR(__xludf.DUMMYFUNCTION("""COMPUTED_VALUE"""),86.0)</f>
        <v>86</v>
      </c>
      <c r="D1992" s="3" t="str">
        <f>IFERROR(__xludf.DUMMYFUNCTION("""COMPUTED_VALUE"""),"e636c09f")</f>
        <v>e636c09f</v>
      </c>
      <c r="E1992" s="54">
        <f>IFERROR(__xludf.DUMMYFUNCTION("""COMPUTED_VALUE"""),39900.0)</f>
        <v>39900</v>
      </c>
      <c r="F1992" s="3" t="str">
        <f>IFERROR(__xludf.DUMMYFUNCTION("""COMPUTED_VALUE"""),"Aspirant Anccelota")</f>
        <v>Aspirant Anccelota</v>
      </c>
      <c r="G1992" s="55">
        <f>IFERROR(__xludf.DUMMYFUNCTION("""COMPUTED_VALUE"""),12.4)</f>
        <v>12.4</v>
      </c>
      <c r="H1992" s="56">
        <f>IFERROR(__xludf.DUMMYFUNCTION("""COMPUTED_VALUE"""),11.7)</f>
        <v>11.7</v>
      </c>
      <c r="I1992" s="3"/>
      <c r="J1992" s="3"/>
      <c r="K1992" s="57">
        <f>IFERROR(__xludf.DUMMYFUNCTION("""COMPUTED_VALUE"""),3.6)</f>
        <v>3.6</v>
      </c>
      <c r="L1992" s="3"/>
      <c r="M1992" s="3"/>
      <c r="N1992" s="3"/>
      <c r="O1992" s="3"/>
      <c r="P1992" s="3"/>
      <c r="Q1992" s="3"/>
      <c r="R1992" s="3">
        <f>IFERROR(__xludf.DUMMYFUNCTION("""COMPUTED_VALUE"""),0.0)</f>
        <v>0</v>
      </c>
      <c r="S1992" s="3"/>
      <c r="T1992" s="5"/>
      <c r="U1992" s="5"/>
      <c r="V1992" s="5"/>
      <c r="W1992" s="5"/>
    </row>
    <row r="1993" ht="15.75" customHeight="1">
      <c r="A1993" s="3">
        <f>IFERROR(__xludf.DUMMYFUNCTION("""COMPUTED_VALUE"""),1993.0)</f>
        <v>1993</v>
      </c>
      <c r="B1993" s="53">
        <f>IFERROR(__xludf.DUMMYFUNCTION("""COMPUTED_VALUE"""),46084.0)</f>
        <v>46084</v>
      </c>
      <c r="C1993" s="3">
        <f>IFERROR(__xludf.DUMMYFUNCTION("""COMPUTED_VALUE"""),44.0)</f>
        <v>44</v>
      </c>
      <c r="D1993" s="3" t="str">
        <f>IFERROR(__xludf.DUMMYFUNCTION("""COMPUTED_VALUE"""),"b4d0796a")</f>
        <v>b4d0796a</v>
      </c>
      <c r="E1993" s="54">
        <f>IFERROR(__xludf.DUMMYFUNCTION("""COMPUTED_VALUE"""),19100.0)</f>
        <v>19100</v>
      </c>
      <c r="F1993" s="3" t="str">
        <f>IFERROR(__xludf.DUMMYFUNCTION("""COMPUTED_VALUE"""),"Chardonnay")</f>
        <v>Chardonnay</v>
      </c>
      <c r="G1993" s="55">
        <f>IFERROR(__xludf.DUMMYFUNCTION("""COMPUTED_VALUE"""),12.1)</f>
        <v>12.1</v>
      </c>
      <c r="H1993" s="56">
        <f>IFERROR(__xludf.DUMMYFUNCTION("""COMPUTED_VALUE"""),2.0)</f>
        <v>2</v>
      </c>
      <c r="I1993" s="3"/>
      <c r="J1993" s="57">
        <f>IFERROR(__xludf.DUMMYFUNCTION("""COMPUTED_VALUE"""),6.9)</f>
        <v>6.9</v>
      </c>
      <c r="K1993" s="57">
        <f>IFERROR(__xludf.DUMMYFUNCTION("""COMPUTED_VALUE"""),3.4)</f>
        <v>3.4</v>
      </c>
      <c r="L1993" s="54">
        <f>IFERROR(__xludf.DUMMYFUNCTION("""COMPUTED_VALUE"""),28.0)</f>
        <v>28</v>
      </c>
      <c r="M1993" s="3">
        <f>IFERROR(__xludf.DUMMYFUNCTION("""COMPUTED_VALUE"""),140.0)</f>
        <v>140</v>
      </c>
      <c r="N1993" s="3"/>
      <c r="O1993" s="3"/>
      <c r="P1993" s="3"/>
      <c r="Q1993" s="3"/>
      <c r="R1993" s="3">
        <f>IFERROR(__xludf.DUMMYFUNCTION("""COMPUTED_VALUE"""),0.0)</f>
        <v>0</v>
      </c>
      <c r="S1993" s="3"/>
      <c r="T1993" s="5"/>
      <c r="U1993" s="5"/>
      <c r="V1993" s="5"/>
      <c r="W1993" s="5"/>
    </row>
    <row r="1994" ht="15.75" customHeight="1">
      <c r="A1994" s="3">
        <f>IFERROR(__xludf.DUMMYFUNCTION("""COMPUTED_VALUE"""),1994.0)</f>
        <v>1994</v>
      </c>
      <c r="B1994" s="53">
        <f>IFERROR(__xludf.DUMMYFUNCTION("""COMPUTED_VALUE"""),46084.0)</f>
        <v>46084</v>
      </c>
      <c r="C1994" s="3">
        <f>IFERROR(__xludf.DUMMYFUNCTION("""COMPUTED_VALUE"""),33.0)</f>
        <v>33</v>
      </c>
      <c r="D1994" s="3" t="str">
        <f>IFERROR(__xludf.DUMMYFUNCTION("""COMPUTED_VALUE"""),"7a77b210")</f>
        <v>7a77b210</v>
      </c>
      <c r="E1994" s="54">
        <f>IFERROR(__xludf.DUMMYFUNCTION("""COMPUTED_VALUE"""),25300.0)</f>
        <v>25300</v>
      </c>
      <c r="F1994" s="3" t="str">
        <f>IFERROR(__xludf.DUMMYFUNCTION("""COMPUTED_VALUE"""),"Chardonnay")</f>
        <v>Chardonnay</v>
      </c>
      <c r="G1994" s="55">
        <f>IFERROR(__xludf.DUMMYFUNCTION("""COMPUTED_VALUE"""),12.2)</f>
        <v>12.2</v>
      </c>
      <c r="H1994" s="56">
        <f>IFERROR(__xludf.DUMMYFUNCTION("""COMPUTED_VALUE"""),2.0)</f>
        <v>2</v>
      </c>
      <c r="I1994" s="3"/>
      <c r="J1994" s="57">
        <f>IFERROR(__xludf.DUMMYFUNCTION("""COMPUTED_VALUE"""),6.3)</f>
        <v>6.3</v>
      </c>
      <c r="K1994" s="57">
        <f>IFERROR(__xludf.DUMMYFUNCTION("""COMPUTED_VALUE"""),3.39)</f>
        <v>3.39</v>
      </c>
      <c r="L1994" s="54">
        <f>IFERROR(__xludf.DUMMYFUNCTION("""COMPUTED_VALUE"""),25.0)</f>
        <v>25</v>
      </c>
      <c r="M1994" s="3">
        <f>IFERROR(__xludf.DUMMYFUNCTION("""COMPUTED_VALUE"""),100.0)</f>
        <v>100</v>
      </c>
      <c r="N1994" s="3"/>
      <c r="O1994" s="3"/>
      <c r="P1994" s="3"/>
      <c r="Q1994" s="3"/>
      <c r="R1994" s="3">
        <f>IFERROR(__xludf.DUMMYFUNCTION("""COMPUTED_VALUE"""),0.0)</f>
        <v>0</v>
      </c>
      <c r="S1994" s="3"/>
      <c r="T1994" s="5"/>
      <c r="U1994" s="5"/>
      <c r="V1994" s="5"/>
      <c r="W1994" s="5"/>
    </row>
    <row r="1995" ht="15.75" customHeight="1">
      <c r="A1995" s="3">
        <f>IFERROR(__xludf.DUMMYFUNCTION("""COMPUTED_VALUE"""),1995.0)</f>
        <v>1995</v>
      </c>
      <c r="B1995" s="53">
        <f>IFERROR(__xludf.DUMMYFUNCTION("""COMPUTED_VALUE"""),46084.0)</f>
        <v>46084</v>
      </c>
      <c r="C1995" s="3">
        <f>IFERROR(__xludf.DUMMYFUNCTION("""COMPUTED_VALUE"""),30.0)</f>
        <v>30</v>
      </c>
      <c r="D1995" s="3" t="str">
        <f>IFERROR(__xludf.DUMMYFUNCTION("""COMPUTED_VALUE"""),"05a173ae")</f>
        <v>05a173ae</v>
      </c>
      <c r="E1995" s="54">
        <f>IFERROR(__xludf.DUMMYFUNCTION("""COMPUTED_VALUE"""),31000.0)</f>
        <v>31000</v>
      </c>
      <c r="F1995" s="3" t="str">
        <f>IFERROR(__xludf.DUMMYFUNCTION("""COMPUTED_VALUE"""),"Chardonnay Ch")</f>
        <v>Chardonnay Ch</v>
      </c>
      <c r="G1995" s="55">
        <f>IFERROR(__xludf.DUMMYFUNCTION("""COMPUTED_VALUE"""),11.9)</f>
        <v>11.9</v>
      </c>
      <c r="H1995" s="56">
        <f>IFERROR(__xludf.DUMMYFUNCTION("""COMPUTED_VALUE"""),2.0)</f>
        <v>2</v>
      </c>
      <c r="I1995" s="3"/>
      <c r="J1995" s="57">
        <f>IFERROR(__xludf.DUMMYFUNCTION("""COMPUTED_VALUE"""),6.9)</f>
        <v>6.9</v>
      </c>
      <c r="K1995" s="57">
        <f>IFERROR(__xludf.DUMMYFUNCTION("""COMPUTED_VALUE"""),3.38)</f>
        <v>3.38</v>
      </c>
      <c r="L1995" s="54">
        <f>IFERROR(__xludf.DUMMYFUNCTION("""COMPUTED_VALUE"""),18.0)</f>
        <v>18</v>
      </c>
      <c r="M1995" s="3">
        <f>IFERROR(__xludf.DUMMYFUNCTION("""COMPUTED_VALUE"""),93.0)</f>
        <v>93</v>
      </c>
      <c r="N1995" s="3"/>
      <c r="O1995" s="3"/>
      <c r="P1995" s="3"/>
      <c r="Q1995" s="3"/>
      <c r="R1995" s="3">
        <f>IFERROR(__xludf.DUMMYFUNCTION("""COMPUTED_VALUE"""),0.0)</f>
        <v>0</v>
      </c>
      <c r="S1995" s="3"/>
      <c r="T1995" s="5"/>
      <c r="U1995" s="5"/>
      <c r="V1995" s="5"/>
      <c r="W1995" s="5"/>
    </row>
    <row r="1996" ht="15.75" customHeight="1">
      <c r="A1996" s="3">
        <f>IFERROR(__xludf.DUMMYFUNCTION("""COMPUTED_VALUE"""),1996.0)</f>
        <v>1996</v>
      </c>
      <c r="B1996" s="53">
        <f>IFERROR(__xludf.DUMMYFUNCTION("""COMPUTED_VALUE"""),46084.0)</f>
        <v>46084</v>
      </c>
      <c r="C1996" s="3">
        <f>IFERROR(__xludf.DUMMYFUNCTION("""COMPUTED_VALUE"""),40.0)</f>
        <v>40</v>
      </c>
      <c r="D1996" s="3" t="str">
        <f>IFERROR(__xludf.DUMMYFUNCTION("""COMPUTED_VALUE"""),"964bb1ba")</f>
        <v>964bb1ba</v>
      </c>
      <c r="E1996" s="54">
        <f>IFERROR(__xludf.DUMMYFUNCTION("""COMPUTED_VALUE"""),24000.0)</f>
        <v>24000</v>
      </c>
      <c r="F1996" s="3" t="str">
        <f>IFERROR(__xludf.DUMMYFUNCTION("""COMPUTED_VALUE"""),"Chardonnay")</f>
        <v>Chardonnay</v>
      </c>
      <c r="G1996" s="55">
        <f>IFERROR(__xludf.DUMMYFUNCTION("""COMPUTED_VALUE"""),12.3)</f>
        <v>12.3</v>
      </c>
      <c r="H1996" s="56">
        <f>IFERROR(__xludf.DUMMYFUNCTION("""COMPUTED_VALUE"""),2.0)</f>
        <v>2</v>
      </c>
      <c r="I1996" s="3"/>
      <c r="J1996" s="57">
        <f>IFERROR(__xludf.DUMMYFUNCTION("""COMPUTED_VALUE"""),6.12)</f>
        <v>6.12</v>
      </c>
      <c r="K1996" s="57">
        <f>IFERROR(__xludf.DUMMYFUNCTION("""COMPUTED_VALUE"""),3.444)</f>
        <v>3.444</v>
      </c>
      <c r="L1996" s="54">
        <f>IFERROR(__xludf.DUMMYFUNCTION("""COMPUTED_VALUE"""),25.0)</f>
        <v>25</v>
      </c>
      <c r="M1996" s="3">
        <f>IFERROR(__xludf.DUMMYFUNCTION("""COMPUTED_VALUE"""),105.0)</f>
        <v>105</v>
      </c>
      <c r="N1996" s="3"/>
      <c r="O1996" s="3"/>
      <c r="P1996" s="3"/>
      <c r="Q1996" s="3"/>
      <c r="R1996" s="3">
        <f>IFERROR(__xludf.DUMMYFUNCTION("""COMPUTED_VALUE"""),0.0)</f>
        <v>0</v>
      </c>
      <c r="S1996" s="3"/>
      <c r="T1996" s="5"/>
      <c r="U1996" s="5"/>
      <c r="V1996" s="5"/>
      <c r="W1996" s="5"/>
    </row>
    <row r="1997" ht="15.75" customHeight="1">
      <c r="A1997" s="3">
        <f>IFERROR(__xludf.DUMMYFUNCTION("""COMPUTED_VALUE"""),1997.0)</f>
        <v>1997</v>
      </c>
      <c r="B1997" s="53">
        <f>IFERROR(__xludf.DUMMYFUNCTION("""COMPUTED_VALUE"""),46084.0)</f>
        <v>46084</v>
      </c>
      <c r="C1997" s="3">
        <f>IFERROR(__xludf.DUMMYFUNCTION("""COMPUTED_VALUE"""),46.0)</f>
        <v>46</v>
      </c>
      <c r="D1997" s="3" t="str">
        <f>IFERROR(__xludf.DUMMYFUNCTION("""COMPUTED_VALUE"""),"555ad119")</f>
        <v>555ad119</v>
      </c>
      <c r="E1997" s="54">
        <f>IFERROR(__xludf.DUMMYFUNCTION("""COMPUTED_VALUE"""),29000.0)</f>
        <v>29000</v>
      </c>
      <c r="F1997" s="3" t="str">
        <f>IFERROR(__xludf.DUMMYFUNCTION("""COMPUTED_VALUE"""),"Aspirant")</f>
        <v>Aspirant</v>
      </c>
      <c r="G1997" s="55">
        <f>IFERROR(__xludf.DUMMYFUNCTION("""COMPUTED_VALUE"""),12.7)</f>
        <v>12.7</v>
      </c>
      <c r="H1997" s="56">
        <f>IFERROR(__xludf.DUMMYFUNCTION("""COMPUTED_VALUE"""),2.0)</f>
        <v>2</v>
      </c>
      <c r="I1997" s="3"/>
      <c r="J1997" s="57">
        <f>IFERROR(__xludf.DUMMYFUNCTION("""COMPUTED_VALUE"""),8.5)</f>
        <v>8.5</v>
      </c>
      <c r="K1997" s="57">
        <f>IFERROR(__xludf.DUMMYFUNCTION("""COMPUTED_VALUE"""),3.5)</f>
        <v>3.5</v>
      </c>
      <c r="L1997" s="54">
        <f>IFERROR(__xludf.DUMMYFUNCTION("""COMPUTED_VALUE"""),40.0)</f>
        <v>40</v>
      </c>
      <c r="M1997" s="3">
        <f>IFERROR(__xludf.DUMMYFUNCTION("""COMPUTED_VALUE"""),96.0)</f>
        <v>96</v>
      </c>
      <c r="N1997" s="3"/>
      <c r="O1997" s="3"/>
      <c r="P1997" s="3"/>
      <c r="Q1997" s="3"/>
      <c r="R1997" s="3">
        <f>IFERROR(__xludf.DUMMYFUNCTION("""COMPUTED_VALUE"""),0.0)</f>
        <v>0</v>
      </c>
      <c r="S1997" s="3"/>
      <c r="T1997" s="5"/>
      <c r="U1997" s="5"/>
      <c r="V1997" s="5"/>
      <c r="W1997" s="5"/>
    </row>
    <row r="1998" ht="15.75" customHeight="1">
      <c r="A1998" s="3">
        <f>IFERROR(__xludf.DUMMYFUNCTION("""COMPUTED_VALUE"""),1998.0)</f>
        <v>1998</v>
      </c>
      <c r="B1998" s="53">
        <f>IFERROR(__xludf.DUMMYFUNCTION("""COMPUTED_VALUE"""),46084.0)</f>
        <v>46084</v>
      </c>
      <c r="C1998" s="3">
        <f>IFERROR(__xludf.DUMMYFUNCTION("""COMPUTED_VALUE"""),74.0)</f>
        <v>74</v>
      </c>
      <c r="D1998" s="3" t="str">
        <f>IFERROR(__xludf.DUMMYFUNCTION("""COMPUTED_VALUE"""),"f5ce46f7")</f>
        <v>f5ce46f7</v>
      </c>
      <c r="E1998" s="54">
        <f>IFERROR(__xludf.DUMMYFUNCTION("""COMPUTED_VALUE"""),13000.0)</f>
        <v>13000</v>
      </c>
      <c r="F1998" s="3" t="str">
        <f>IFERROR(__xludf.DUMMYFUNCTION("""COMPUTED_VALUE"""),"Merlot s/Asp")</f>
        <v>Merlot s/Asp</v>
      </c>
      <c r="G1998" s="55">
        <f>IFERROR(__xludf.DUMMYFUNCTION("""COMPUTED_VALUE"""),13.0)</f>
        <v>13</v>
      </c>
      <c r="H1998" s="56">
        <f>IFERROR(__xludf.DUMMYFUNCTION("""COMPUTED_VALUE"""),2.0)</f>
        <v>2</v>
      </c>
      <c r="I1998" s="3"/>
      <c r="J1998" s="57">
        <f>IFERROR(__xludf.DUMMYFUNCTION("""COMPUTED_VALUE"""),6.9)</f>
        <v>6.9</v>
      </c>
      <c r="K1998" s="57">
        <f>IFERROR(__xludf.DUMMYFUNCTION("""COMPUTED_VALUE"""),3.6)</f>
        <v>3.6</v>
      </c>
      <c r="L1998" s="54">
        <f>IFERROR(__xludf.DUMMYFUNCTION("""COMPUTED_VALUE"""),25.0)</f>
        <v>25</v>
      </c>
      <c r="M1998" s="3">
        <f>IFERROR(__xludf.DUMMYFUNCTION("""COMPUTED_VALUE"""),80.0)</f>
        <v>80</v>
      </c>
      <c r="N1998" s="3"/>
      <c r="O1998" s="3"/>
      <c r="P1998" s="3"/>
      <c r="Q1998" s="3"/>
      <c r="R1998" s="3">
        <f>IFERROR(__xludf.DUMMYFUNCTION("""COMPUTED_VALUE"""),0.0)</f>
        <v>0</v>
      </c>
      <c r="S1998" s="3"/>
      <c r="T1998" s="5"/>
      <c r="U1998" s="5"/>
      <c r="V1998" s="5"/>
      <c r="W1998" s="5"/>
    </row>
    <row r="1999" ht="15.75" customHeight="1">
      <c r="A1999" s="3">
        <f>IFERROR(__xludf.DUMMYFUNCTION("""COMPUTED_VALUE"""),1999.0)</f>
        <v>1999</v>
      </c>
      <c r="B1999" s="53">
        <f>IFERROR(__xludf.DUMMYFUNCTION("""COMPUTED_VALUE"""),46084.0)</f>
        <v>46084</v>
      </c>
      <c r="C1999" s="3">
        <f>IFERROR(__xludf.DUMMYFUNCTION("""COMPUTED_VALUE"""),16.0)</f>
        <v>16</v>
      </c>
      <c r="D1999" s="3" t="str">
        <f>IFERROR(__xludf.DUMMYFUNCTION("""COMPUTED_VALUE"""),"59dbc8fe")</f>
        <v>59dbc8fe</v>
      </c>
      <c r="E1999" s="54">
        <f>IFERROR(__xludf.DUMMYFUNCTION("""COMPUTED_VALUE"""),14000.0)</f>
        <v>14000</v>
      </c>
      <c r="F1999" s="3" t="str">
        <f>IFERROR(__xludf.DUMMYFUNCTION("""COMPUTED_VALUE"""),"Aspirant Ancc")</f>
        <v>Aspirant Ancc</v>
      </c>
      <c r="G1999" s="3"/>
      <c r="H1999" s="56">
        <f>IFERROR(__xludf.DUMMYFUNCTION("""COMPUTED_VALUE"""),2.0)</f>
        <v>2</v>
      </c>
      <c r="I1999" s="3"/>
      <c r="J1999" s="57">
        <f>IFERROR(__xludf.DUMMYFUNCTION("""COMPUTED_VALUE"""),8.5)</f>
        <v>8.5</v>
      </c>
      <c r="K1999" s="57">
        <f>IFERROR(__xludf.DUMMYFUNCTION("""COMPUTED_VALUE"""),3.55)</f>
        <v>3.55</v>
      </c>
      <c r="L1999" s="54">
        <f>IFERROR(__xludf.DUMMYFUNCTION("""COMPUTED_VALUE"""),30.0)</f>
        <v>30</v>
      </c>
      <c r="M1999" s="3">
        <f>IFERROR(__xludf.DUMMYFUNCTION("""COMPUTED_VALUE"""),87.0)</f>
        <v>87</v>
      </c>
      <c r="N1999" s="3"/>
      <c r="O1999" s="3"/>
      <c r="P1999" s="3"/>
      <c r="Q1999" s="3"/>
      <c r="R1999" s="3">
        <f>IFERROR(__xludf.DUMMYFUNCTION("""COMPUTED_VALUE"""),0.0)</f>
        <v>0</v>
      </c>
      <c r="S1999" s="3"/>
      <c r="T1999" s="5"/>
      <c r="U1999" s="5"/>
      <c r="V1999" s="5"/>
      <c r="W1999" s="5"/>
    </row>
    <row r="2000" ht="15.75" customHeight="1">
      <c r="A2000" s="3">
        <f>IFERROR(__xludf.DUMMYFUNCTION("""COMPUTED_VALUE"""),2000.0)</f>
        <v>2000</v>
      </c>
      <c r="B2000" s="53">
        <f>IFERROR(__xludf.DUMMYFUNCTION("""COMPUTED_VALUE"""),46085.0)</f>
        <v>46085</v>
      </c>
      <c r="C2000" s="3">
        <f>IFERROR(__xludf.DUMMYFUNCTION("""COMPUTED_VALUE"""),79.0)</f>
        <v>79</v>
      </c>
      <c r="D2000" s="3" t="str">
        <f>IFERROR(__xludf.DUMMYFUNCTION("""COMPUTED_VALUE"""),"5fb8b8c6")</f>
        <v>5fb8b8c6</v>
      </c>
      <c r="E2000" s="54">
        <f>IFERROR(__xludf.DUMMYFUNCTION("""COMPUTED_VALUE"""),21750.0)</f>
        <v>21750</v>
      </c>
      <c r="F2000" s="3" t="str">
        <f>IFERROR(__xludf.DUMMYFUNCTION("""COMPUTED_VALUE"""),"Syrah s/Asp 2")</f>
        <v>Syrah s/Asp 2</v>
      </c>
      <c r="G2000" s="3"/>
      <c r="H2000" s="56">
        <f>IFERROR(__xludf.DUMMYFUNCTION("""COMPUTED_VALUE"""),6.7)</f>
        <v>6.7</v>
      </c>
      <c r="I2000" s="3"/>
      <c r="J2000" s="3"/>
      <c r="K2000" s="3"/>
      <c r="L2000" s="3"/>
      <c r="M2000" s="3"/>
      <c r="N2000" s="3"/>
      <c r="O2000" s="3"/>
      <c r="P2000" s="3"/>
      <c r="Q2000" s="3"/>
      <c r="R2000" s="3">
        <f>IFERROR(__xludf.DUMMYFUNCTION("""COMPUTED_VALUE"""),0.0)</f>
        <v>0</v>
      </c>
      <c r="S2000" s="3"/>
      <c r="T2000" s="5"/>
      <c r="U2000" s="5"/>
      <c r="V2000" s="5"/>
      <c r="W2000" s="5"/>
    </row>
    <row r="2001" ht="15.75" customHeight="1">
      <c r="A2001" s="3">
        <f>IFERROR(__xludf.DUMMYFUNCTION("""COMPUTED_VALUE"""),2001.0)</f>
        <v>2001</v>
      </c>
      <c r="B2001" s="53">
        <f>IFERROR(__xludf.DUMMYFUNCTION("""COMPUTED_VALUE"""),46085.0)</f>
        <v>46085</v>
      </c>
      <c r="C2001" s="3">
        <f>IFERROR(__xludf.DUMMYFUNCTION("""COMPUTED_VALUE"""),66.0)</f>
        <v>66</v>
      </c>
      <c r="D2001" s="3" t="str">
        <f>IFERROR(__xludf.DUMMYFUNCTION("""COMPUTED_VALUE"""),"fdccbcf1")</f>
        <v>fdccbcf1</v>
      </c>
      <c r="E2001" s="54">
        <f>IFERROR(__xludf.DUMMYFUNCTION("""COMPUTED_VALUE"""),19000.0)</f>
        <v>19000</v>
      </c>
      <c r="F2001" s="3" t="str">
        <f>IFERROR(__xludf.DUMMYFUNCTION("""COMPUTED_VALUE"""),"Syrah s/Asp 2")</f>
        <v>Syrah s/Asp 2</v>
      </c>
      <c r="G2001" s="3"/>
      <c r="H2001" s="56">
        <f>IFERROR(__xludf.DUMMYFUNCTION("""COMPUTED_VALUE"""),6.12)</f>
        <v>6.12</v>
      </c>
      <c r="I2001" s="3"/>
      <c r="J2001" s="3"/>
      <c r="K2001" s="3"/>
      <c r="L2001" s="3"/>
      <c r="M2001" s="3"/>
      <c r="N2001" s="3"/>
      <c r="O2001" s="3"/>
      <c r="P2001" s="3"/>
      <c r="Q2001" s="3"/>
      <c r="R2001" s="3">
        <f>IFERROR(__xludf.DUMMYFUNCTION("""COMPUTED_VALUE"""),0.0)</f>
        <v>0</v>
      </c>
      <c r="S2001" s="3"/>
      <c r="T2001" s="5"/>
      <c r="U2001" s="5"/>
      <c r="V2001" s="5"/>
      <c r="W2001" s="5"/>
    </row>
    <row r="2002" ht="15.75" customHeight="1">
      <c r="A2002" s="3">
        <f>IFERROR(__xludf.DUMMYFUNCTION("""COMPUTED_VALUE"""),2002.0)</f>
        <v>2002</v>
      </c>
      <c r="B2002" s="53">
        <f>IFERROR(__xludf.DUMMYFUNCTION("""COMPUTED_VALUE"""),46085.0)</f>
        <v>46085</v>
      </c>
      <c r="C2002" s="3">
        <f>IFERROR(__xludf.DUMMYFUNCTION("""COMPUTED_VALUE"""),88.0)</f>
        <v>88</v>
      </c>
      <c r="D2002" s="3" t="str">
        <f>IFERROR(__xludf.DUMMYFUNCTION("""COMPUTED_VALUE"""),"6bb3342c")</f>
        <v>6bb3342c</v>
      </c>
      <c r="E2002" s="54">
        <f>IFERROR(__xludf.DUMMYFUNCTION("""COMPUTED_VALUE"""),41600.0)</f>
        <v>41600</v>
      </c>
      <c r="F2002" s="3" t="str">
        <f>IFERROR(__xludf.DUMMYFUNCTION("""COMPUTED_VALUE"""),"Malbec Mer")</f>
        <v>Malbec Mer</v>
      </c>
      <c r="G2002" s="3"/>
      <c r="H2002" s="3"/>
      <c r="I2002" s="3"/>
      <c r="J2002" s="3"/>
      <c r="K2002" s="57">
        <f>IFERROR(__xludf.DUMMYFUNCTION("""COMPUTED_VALUE"""),3.73)</f>
        <v>3.73</v>
      </c>
      <c r="L2002" s="54">
        <f>IFERROR(__xludf.DUMMYFUNCTION("""COMPUTED_VALUE"""),20.0)</f>
        <v>20</v>
      </c>
      <c r="M2002" s="3">
        <f>IFERROR(__xludf.DUMMYFUNCTION("""COMPUTED_VALUE"""),90.0)</f>
        <v>90</v>
      </c>
      <c r="N2002" s="3"/>
      <c r="O2002" s="3"/>
      <c r="P2002" s="3"/>
      <c r="Q2002" s="3"/>
      <c r="R2002" s="3">
        <f>IFERROR(__xludf.DUMMYFUNCTION("""COMPUTED_VALUE"""),0.0)</f>
        <v>0</v>
      </c>
      <c r="S2002" s="3"/>
      <c r="T2002" s="5"/>
      <c r="U2002" s="5"/>
      <c r="V2002" s="5"/>
      <c r="W2002" s="5"/>
    </row>
    <row r="2003" ht="15.75" customHeight="1">
      <c r="A2003" s="3">
        <f>IFERROR(__xludf.DUMMYFUNCTION("""COMPUTED_VALUE"""),2003.0)</f>
        <v>2003</v>
      </c>
      <c r="B2003" s="53">
        <f>IFERROR(__xludf.DUMMYFUNCTION("""COMPUTED_VALUE"""),46085.0)</f>
        <v>46085</v>
      </c>
      <c r="C2003" s="3">
        <f>IFERROR(__xludf.DUMMYFUNCTION("""COMPUTED_VALUE"""),89.0)</f>
        <v>89</v>
      </c>
      <c r="D2003" s="3" t="str">
        <f>IFERROR(__xludf.DUMMYFUNCTION("""COMPUTED_VALUE"""),"c17f715b")</f>
        <v>c17f715b</v>
      </c>
      <c r="E2003" s="54">
        <f>IFERROR(__xludf.DUMMYFUNCTION("""COMPUTED_VALUE"""),53000.0)</f>
        <v>53000</v>
      </c>
      <c r="F2003" s="3" t="str">
        <f>IFERROR(__xludf.DUMMYFUNCTION("""COMPUTED_VALUE"""),"Syrah Anc PC")</f>
        <v>Syrah Anc PC</v>
      </c>
      <c r="G2003" s="3"/>
      <c r="H2003" s="3"/>
      <c r="I2003" s="3"/>
      <c r="J2003" s="3"/>
      <c r="K2003" s="57">
        <f>IFERROR(__xludf.DUMMYFUNCTION("""COMPUTED_VALUE"""),3.71)</f>
        <v>3.71</v>
      </c>
      <c r="L2003" s="54">
        <f>IFERROR(__xludf.DUMMYFUNCTION("""COMPUTED_VALUE"""),18.0)</f>
        <v>18</v>
      </c>
      <c r="M2003" s="3">
        <f>IFERROR(__xludf.DUMMYFUNCTION("""COMPUTED_VALUE"""),93.0)</f>
        <v>93</v>
      </c>
      <c r="N2003" s="3"/>
      <c r="O2003" s="3"/>
      <c r="P2003" s="3"/>
      <c r="Q2003" s="3"/>
      <c r="R2003" s="3">
        <f>IFERROR(__xludf.DUMMYFUNCTION("""COMPUTED_VALUE"""),0.0)</f>
        <v>0</v>
      </c>
      <c r="S2003" s="3"/>
      <c r="T2003" s="5"/>
      <c r="U2003" s="5"/>
      <c r="V2003" s="5"/>
      <c r="W2003" s="5"/>
    </row>
    <row r="2004" ht="15.75" customHeight="1">
      <c r="A2004" s="3">
        <f>IFERROR(__xludf.DUMMYFUNCTION("""COMPUTED_VALUE"""),2004.0)</f>
        <v>2004</v>
      </c>
      <c r="B2004" s="53">
        <f>IFERROR(__xludf.DUMMYFUNCTION("""COMPUTED_VALUE"""),46085.0)</f>
        <v>46085</v>
      </c>
      <c r="C2004" s="3">
        <f>IFERROR(__xludf.DUMMYFUNCTION("""COMPUTED_VALUE"""),53.0)</f>
        <v>53</v>
      </c>
      <c r="D2004" s="3" t="str">
        <f>IFERROR(__xludf.DUMMYFUNCTION("""COMPUTED_VALUE"""),"ba499da1")</f>
        <v>ba499da1</v>
      </c>
      <c r="E2004" s="54">
        <f>IFERROR(__xludf.DUMMYFUNCTION("""COMPUTED_VALUE"""),22000.0)</f>
        <v>22000</v>
      </c>
      <c r="F2004" s="3" t="str">
        <f>IFERROR(__xludf.DUMMYFUNCTION("""COMPUTED_VALUE"""),"Malbec")</f>
        <v>Malbec</v>
      </c>
      <c r="G2004" s="3"/>
      <c r="H2004" s="3"/>
      <c r="I2004" s="3"/>
      <c r="J2004" s="3"/>
      <c r="K2004" s="3"/>
      <c r="L2004" s="3"/>
      <c r="M2004" s="3"/>
      <c r="N2004" s="3"/>
      <c r="O2004" s="3">
        <f>IFERROR(__xludf.DUMMYFUNCTION("""COMPUTED_VALUE"""),350.0)</f>
        <v>350</v>
      </c>
      <c r="P2004" s="3">
        <f>IFERROR(__xludf.DUMMYFUNCTION("""COMPUTED_VALUE"""),472.0)</f>
        <v>472</v>
      </c>
      <c r="Q2004" s="3"/>
      <c r="R2004" s="3">
        <f>IFERROR(__xludf.DUMMYFUNCTION("""COMPUTED_VALUE"""),822.0)</f>
        <v>822</v>
      </c>
      <c r="S2004" s="54">
        <f>IFERROR(__xludf.DUMMYFUNCTION("""COMPUTED_VALUE"""),1108.5257142857142)</f>
        <v>1108.525714</v>
      </c>
      <c r="T2004" s="5"/>
      <c r="U2004" s="5"/>
      <c r="V2004" s="5"/>
      <c r="W2004" s="5"/>
    </row>
    <row r="2005" ht="15.75" customHeight="1">
      <c r="A2005" s="3">
        <f>IFERROR(__xludf.DUMMYFUNCTION("""COMPUTED_VALUE"""),2005.0)</f>
        <v>2005</v>
      </c>
      <c r="B2005" s="53">
        <f>IFERROR(__xludf.DUMMYFUNCTION("""COMPUTED_VALUE"""),46086.0)</f>
        <v>46086</v>
      </c>
      <c r="C2005" s="3">
        <f>IFERROR(__xludf.DUMMYFUNCTION("""COMPUTED_VALUE"""),85.0)</f>
        <v>85</v>
      </c>
      <c r="D2005" s="3" t="str">
        <f>IFERROR(__xludf.DUMMYFUNCTION("""COMPUTED_VALUE"""),"b0ae0a62")</f>
        <v>b0ae0a62</v>
      </c>
      <c r="E2005" s="54">
        <f>IFERROR(__xludf.DUMMYFUNCTION("""COMPUTED_VALUE"""),53000.0)</f>
        <v>53000</v>
      </c>
      <c r="F2005" s="3" t="str">
        <f>IFERROR(__xludf.DUMMYFUNCTION("""COMPUTED_VALUE"""),"Syrah Malbec")</f>
        <v>Syrah Malbec</v>
      </c>
      <c r="G2005" s="3"/>
      <c r="H2005" s="56">
        <f>IFERROR(__xludf.DUMMYFUNCTION("""COMPUTED_VALUE"""),230.0)</f>
        <v>230</v>
      </c>
      <c r="I2005" s="3"/>
      <c r="J2005" s="3"/>
      <c r="K2005" s="57">
        <f>IFERROR(__xludf.DUMMYFUNCTION("""COMPUTED_VALUE"""),3.79)</f>
        <v>3.79</v>
      </c>
      <c r="L2005" s="54">
        <f>IFERROR(__xludf.DUMMYFUNCTION("""COMPUTED_VALUE"""),40.0)</f>
        <v>40</v>
      </c>
      <c r="M2005" s="3">
        <f>IFERROR(__xludf.DUMMYFUNCTION("""COMPUTED_VALUE"""),70.0)</f>
        <v>70</v>
      </c>
      <c r="N2005" s="3"/>
      <c r="O2005" s="3"/>
      <c r="P2005" s="3"/>
      <c r="Q2005" s="3"/>
      <c r="R2005" s="3">
        <f>IFERROR(__xludf.DUMMYFUNCTION("""COMPUTED_VALUE"""),0.0)</f>
        <v>0</v>
      </c>
      <c r="S2005" s="3"/>
      <c r="T2005" s="5"/>
      <c r="U2005" s="5"/>
      <c r="V2005" s="5"/>
      <c r="W2005" s="5"/>
    </row>
    <row r="2006" ht="15.75" customHeight="1">
      <c r="A2006" s="3">
        <f>IFERROR(__xludf.DUMMYFUNCTION("""COMPUTED_VALUE"""),2006.0)</f>
        <v>2006</v>
      </c>
      <c r="B2006" s="53">
        <f>IFERROR(__xludf.DUMMYFUNCTION("""COMPUTED_VALUE"""),46086.0)</f>
        <v>46086</v>
      </c>
      <c r="C2006" s="3">
        <f>IFERROR(__xludf.DUMMYFUNCTION("""COMPUTED_VALUE"""),66.0)</f>
        <v>66</v>
      </c>
      <c r="D2006" s="3" t="str">
        <f>IFERROR(__xludf.DUMMYFUNCTION("""COMPUTED_VALUE"""),"f45cc2c7")</f>
        <v>f45cc2c7</v>
      </c>
      <c r="E2006" s="54">
        <f>IFERROR(__xludf.DUMMYFUNCTION("""COMPUTED_VALUE"""),19000.0)</f>
        <v>19000</v>
      </c>
      <c r="F2006" s="3" t="str">
        <f>IFERROR(__xludf.DUMMYFUNCTION("""COMPUTED_VALUE"""),"Syrah Anc PC s/Asp 3")</f>
        <v>Syrah Anc PC s/Asp 3</v>
      </c>
      <c r="G2006" s="3"/>
      <c r="H2006" s="56">
        <f>IFERROR(__xludf.DUMMYFUNCTION("""COMPUTED_VALUE"""),2.0)</f>
        <v>2</v>
      </c>
      <c r="I2006" s="3"/>
      <c r="J2006" s="3"/>
      <c r="K2006" s="57">
        <f>IFERROR(__xludf.DUMMYFUNCTION("""COMPUTED_VALUE"""),3.65)</f>
        <v>3.65</v>
      </c>
      <c r="L2006" s="3"/>
      <c r="M2006" s="3"/>
      <c r="N2006" s="3"/>
      <c r="O2006" s="3"/>
      <c r="P2006" s="3"/>
      <c r="Q2006" s="3"/>
      <c r="R2006" s="3">
        <f>IFERROR(__xludf.DUMMYFUNCTION("""COMPUTED_VALUE"""),0.0)</f>
        <v>0</v>
      </c>
      <c r="S2006" s="3"/>
      <c r="T2006" s="5"/>
      <c r="U2006" s="5"/>
      <c r="V2006" s="5"/>
      <c r="W2006" s="5"/>
    </row>
    <row r="2007" ht="15.75" customHeight="1">
      <c r="A2007" s="3">
        <f>IFERROR(__xludf.DUMMYFUNCTION("""COMPUTED_VALUE"""),2007.0)</f>
        <v>2007</v>
      </c>
      <c r="B2007" s="53">
        <f>IFERROR(__xludf.DUMMYFUNCTION("""COMPUTED_VALUE"""),46086.0)</f>
        <v>46086</v>
      </c>
      <c r="C2007" s="3">
        <f>IFERROR(__xludf.DUMMYFUNCTION("""COMPUTED_VALUE"""),79.0)</f>
        <v>79</v>
      </c>
      <c r="D2007" s="3" t="str">
        <f>IFERROR(__xludf.DUMMYFUNCTION("""COMPUTED_VALUE"""),"aeb3f134")</f>
        <v>aeb3f134</v>
      </c>
      <c r="E2007" s="54">
        <f>IFERROR(__xludf.DUMMYFUNCTION("""COMPUTED_VALUE"""),20750.0)</f>
        <v>20750</v>
      </c>
      <c r="F2007" s="3" t="str">
        <f>IFERROR(__xludf.DUMMYFUNCTION("""COMPUTED_VALUE"""),"Malbec Mer s/Asp 3")</f>
        <v>Malbec Mer s/Asp 3</v>
      </c>
      <c r="G2007" s="3"/>
      <c r="H2007" s="56">
        <f>IFERROR(__xludf.DUMMYFUNCTION("""COMPUTED_VALUE"""),2.53)</f>
        <v>2.53</v>
      </c>
      <c r="I2007" s="3"/>
      <c r="J2007" s="3"/>
      <c r="K2007" s="57">
        <f>IFERROR(__xludf.DUMMYFUNCTION("""COMPUTED_VALUE"""),3.63)</f>
        <v>3.63</v>
      </c>
      <c r="L2007" s="3"/>
      <c r="M2007" s="3"/>
      <c r="N2007" s="3"/>
      <c r="O2007" s="3"/>
      <c r="P2007" s="3"/>
      <c r="Q2007" s="3"/>
      <c r="R2007" s="3">
        <f>IFERROR(__xludf.DUMMYFUNCTION("""COMPUTED_VALUE"""),0.0)</f>
        <v>0</v>
      </c>
      <c r="S2007" s="3"/>
      <c r="T2007" s="5"/>
      <c r="U2007" s="5"/>
      <c r="V2007" s="5"/>
      <c r="W2007" s="5"/>
    </row>
    <row r="2008" ht="15.75" customHeight="1">
      <c r="A2008" s="3">
        <f>IFERROR(__xludf.DUMMYFUNCTION("""COMPUTED_VALUE"""),2008.0)</f>
        <v>2008</v>
      </c>
      <c r="B2008" s="53">
        <f>IFERROR(__xludf.DUMMYFUNCTION("""COMPUTED_VALUE"""),46090.0)</f>
        <v>46090</v>
      </c>
      <c r="C2008" s="3">
        <f>IFERROR(__xludf.DUMMYFUNCTION("""COMPUTED_VALUE"""),79.0)</f>
        <v>79</v>
      </c>
      <c r="D2008" s="3" t="str">
        <f>IFERROR(__xludf.DUMMYFUNCTION("""COMPUTED_VALUE"""),"aeb3f134")</f>
        <v>aeb3f134</v>
      </c>
      <c r="E2008" s="54">
        <f>IFERROR(__xludf.DUMMYFUNCTION("""COMPUTED_VALUE"""),20750.0)</f>
        <v>20750</v>
      </c>
      <c r="F2008" s="3" t="str">
        <f>IFERROR(__xludf.DUMMYFUNCTION("""COMPUTED_VALUE"""),"Malbec Mer s/Asp 3")</f>
        <v>Malbec Mer s/Asp 3</v>
      </c>
      <c r="G2008" s="55">
        <f>IFERROR(__xludf.DUMMYFUNCTION("""COMPUTED_VALUE"""),13.7)</f>
        <v>13.7</v>
      </c>
      <c r="H2008" s="56">
        <f>IFERROR(__xludf.DUMMYFUNCTION("""COMPUTED_VALUE"""),2.0)</f>
        <v>2</v>
      </c>
      <c r="I2008" s="3"/>
      <c r="J2008" s="3"/>
      <c r="K2008" s="3"/>
      <c r="L2008" s="3"/>
      <c r="M2008" s="3"/>
      <c r="N2008" s="3"/>
      <c r="O2008" s="3"/>
      <c r="P2008" s="3"/>
      <c r="Q2008" s="3"/>
      <c r="R2008" s="3">
        <f>IFERROR(__xludf.DUMMYFUNCTION("""COMPUTED_VALUE"""),0.0)</f>
        <v>0</v>
      </c>
      <c r="S2008" s="3"/>
      <c r="T2008" s="5"/>
      <c r="U2008" s="5"/>
      <c r="V2008" s="5"/>
      <c r="W2008" s="5"/>
    </row>
    <row r="2009" ht="15.75" customHeight="1">
      <c r="A2009" s="3">
        <f>IFERROR(__xludf.DUMMYFUNCTION("""COMPUTED_VALUE"""),2009.0)</f>
        <v>2009</v>
      </c>
      <c r="B2009" s="53">
        <f>IFERROR(__xludf.DUMMYFUNCTION("""COMPUTED_VALUE"""),46090.0)</f>
        <v>46090</v>
      </c>
      <c r="C2009" s="3">
        <f>IFERROR(__xludf.DUMMYFUNCTION("""COMPUTED_VALUE"""),66.0)</f>
        <v>66</v>
      </c>
      <c r="D2009" s="3" t="str">
        <f>IFERROR(__xludf.DUMMYFUNCTION("""COMPUTED_VALUE"""),"f45cc2c7")</f>
        <v>f45cc2c7</v>
      </c>
      <c r="E2009" s="54">
        <f>IFERROR(__xludf.DUMMYFUNCTION("""COMPUTED_VALUE"""),19000.0)</f>
        <v>19000</v>
      </c>
      <c r="F2009" s="3" t="str">
        <f>IFERROR(__xludf.DUMMYFUNCTION("""COMPUTED_VALUE"""),"Syrah Anc PC s/Asp 3")</f>
        <v>Syrah Anc PC s/Asp 3</v>
      </c>
      <c r="G2009" s="55">
        <f>IFERROR(__xludf.DUMMYFUNCTION("""COMPUTED_VALUE"""),13.5)</f>
        <v>13.5</v>
      </c>
      <c r="H2009" s="56">
        <f>IFERROR(__xludf.DUMMYFUNCTION("""COMPUTED_VALUE"""),2.0)</f>
        <v>2</v>
      </c>
      <c r="I2009" s="3"/>
      <c r="J2009" s="3"/>
      <c r="K2009" s="3"/>
      <c r="L2009" s="3"/>
      <c r="M2009" s="3"/>
      <c r="N2009" s="3"/>
      <c r="O2009" s="3"/>
      <c r="P2009" s="3"/>
      <c r="Q2009" s="3"/>
      <c r="R2009" s="3">
        <f>IFERROR(__xludf.DUMMYFUNCTION("""COMPUTED_VALUE"""),0.0)</f>
        <v>0</v>
      </c>
      <c r="S2009" s="3"/>
      <c r="T2009" s="5"/>
      <c r="U2009" s="5"/>
      <c r="V2009" s="5"/>
      <c r="W2009" s="5"/>
    </row>
    <row r="2010" ht="15.75" customHeight="1">
      <c r="A2010" s="3">
        <f>IFERROR(__xludf.DUMMYFUNCTION("""COMPUTED_VALUE"""),2010.0)</f>
        <v>2010</v>
      </c>
      <c r="B2010" s="53">
        <f>IFERROR(__xludf.DUMMYFUNCTION("""COMPUTED_VALUE"""),46090.0)</f>
        <v>46090</v>
      </c>
      <c r="C2010" s="3">
        <f>IFERROR(__xludf.DUMMYFUNCTION("""COMPUTED_VALUE"""),83.0)</f>
        <v>83</v>
      </c>
      <c r="D2010" s="3" t="str">
        <f>IFERROR(__xludf.DUMMYFUNCTION("""COMPUTED_VALUE"""),"aad6a585")</f>
        <v>aad6a585</v>
      </c>
      <c r="E2010" s="54">
        <f>IFERROR(__xludf.DUMMYFUNCTION("""COMPUTED_VALUE"""),71900.0)</f>
        <v>71900</v>
      </c>
      <c r="F2010" s="3" t="str">
        <f>IFERROR(__xludf.DUMMYFUNCTION("""COMPUTED_VALUE"""),"Syrah Anc PC s/Asp 2")</f>
        <v>Syrah Anc PC s/Asp 2</v>
      </c>
      <c r="G2010" s="55">
        <f>IFERROR(__xludf.DUMMYFUNCTION("""COMPUTED_VALUE"""),13.3)</f>
        <v>13.3</v>
      </c>
      <c r="H2010" s="56">
        <f>IFERROR(__xludf.DUMMYFUNCTION("""COMPUTED_VALUE"""),2.9)</f>
        <v>2.9</v>
      </c>
      <c r="I2010" s="3"/>
      <c r="J2010" s="3"/>
      <c r="K2010" s="3"/>
      <c r="L2010" s="3"/>
      <c r="M2010" s="3"/>
      <c r="N2010" s="3"/>
      <c r="O2010" s="3"/>
      <c r="P2010" s="3"/>
      <c r="Q2010" s="3"/>
      <c r="R2010" s="3">
        <f>IFERROR(__xludf.DUMMYFUNCTION("""COMPUTED_VALUE"""),0.0)</f>
        <v>0</v>
      </c>
      <c r="S2010" s="3"/>
      <c r="T2010" s="5"/>
      <c r="U2010" s="5"/>
      <c r="V2010" s="5"/>
      <c r="W2010" s="5"/>
    </row>
    <row r="2011" ht="15.75" customHeight="1">
      <c r="A2011" s="3">
        <f>IFERROR(__xludf.DUMMYFUNCTION("""COMPUTED_VALUE"""),2011.0)</f>
        <v>2011</v>
      </c>
      <c r="B2011" s="53">
        <f>IFERROR(__xludf.DUMMYFUNCTION("""COMPUTED_VALUE"""),46090.0)</f>
        <v>46090</v>
      </c>
      <c r="C2011" s="3">
        <f>IFERROR(__xludf.DUMMYFUNCTION("""COMPUTED_VALUE"""),84.0)</f>
        <v>84</v>
      </c>
      <c r="D2011" s="3" t="str">
        <f>IFERROR(__xludf.DUMMYFUNCTION("""COMPUTED_VALUE"""),"f607b045")</f>
        <v>f607b045</v>
      </c>
      <c r="E2011" s="54">
        <f>IFERROR(__xludf.DUMMYFUNCTION("""COMPUTED_VALUE"""),59500.0)</f>
        <v>59500</v>
      </c>
      <c r="F2011" s="3" t="str">
        <f>IFERROR(__xludf.DUMMYFUNCTION("""COMPUTED_VALUE"""),"Malbec Mer s/Asp")</f>
        <v>Malbec Mer s/Asp</v>
      </c>
      <c r="G2011" s="55">
        <f>IFERROR(__xludf.DUMMYFUNCTION("""COMPUTED_VALUE"""),13.4)</f>
        <v>13.4</v>
      </c>
      <c r="H2011" s="56">
        <f>IFERROR(__xludf.DUMMYFUNCTION("""COMPUTED_VALUE"""),2.0)</f>
        <v>2</v>
      </c>
      <c r="I2011" s="3"/>
      <c r="J2011" s="3"/>
      <c r="K2011" s="3"/>
      <c r="L2011" s="3"/>
      <c r="M2011" s="3"/>
      <c r="N2011" s="3"/>
      <c r="O2011" s="3"/>
      <c r="P2011" s="3"/>
      <c r="Q2011" s="3"/>
      <c r="R2011" s="3">
        <f>IFERROR(__xludf.DUMMYFUNCTION("""COMPUTED_VALUE"""),0.0)</f>
        <v>0</v>
      </c>
      <c r="S2011" s="3"/>
      <c r="T2011" s="5"/>
      <c r="U2011" s="5"/>
      <c r="V2011" s="5"/>
      <c r="W2011" s="5"/>
    </row>
    <row r="2012" ht="15.75" customHeight="1">
      <c r="A2012" s="3">
        <f>IFERROR(__xludf.DUMMYFUNCTION("""COMPUTED_VALUE"""),2012.0)</f>
        <v>2012</v>
      </c>
      <c r="B2012" s="53">
        <f>IFERROR(__xludf.DUMMYFUNCTION("""COMPUTED_VALUE"""),46090.0)</f>
        <v>46090</v>
      </c>
      <c r="C2012" s="3">
        <f>IFERROR(__xludf.DUMMYFUNCTION("""COMPUTED_VALUE"""),86.0)</f>
        <v>86</v>
      </c>
      <c r="D2012" s="3" t="str">
        <f>IFERROR(__xludf.DUMMYFUNCTION("""COMPUTED_VALUE"""),"1e90a5fc")</f>
        <v>1e90a5fc</v>
      </c>
      <c r="E2012" s="54">
        <f>IFERROR(__xludf.DUMMYFUNCTION("""COMPUTED_VALUE"""),60000.0)</f>
        <v>60000</v>
      </c>
      <c r="F2012" s="3" t="str">
        <f>IFERROR(__xludf.DUMMYFUNCTION("""COMPUTED_VALUE"""),"Syrah Anc s/Asp 2")</f>
        <v>Syrah Anc s/Asp 2</v>
      </c>
      <c r="G2012" s="55">
        <f>IFERROR(__xludf.DUMMYFUNCTION("""COMPUTED_VALUE"""),13.5)</f>
        <v>13.5</v>
      </c>
      <c r="H2012" s="56">
        <f>IFERROR(__xludf.DUMMYFUNCTION("""COMPUTED_VALUE"""),3.0)</f>
        <v>3</v>
      </c>
      <c r="I2012" s="3"/>
      <c r="J2012" s="3"/>
      <c r="K2012" s="3"/>
      <c r="L2012" s="3"/>
      <c r="M2012" s="3"/>
      <c r="N2012" s="3"/>
      <c r="O2012" s="3"/>
      <c r="P2012" s="3"/>
      <c r="Q2012" s="3"/>
      <c r="R2012" s="3">
        <f>IFERROR(__xludf.DUMMYFUNCTION("""COMPUTED_VALUE"""),0.0)</f>
        <v>0</v>
      </c>
      <c r="S2012" s="3"/>
      <c r="T2012" s="5"/>
      <c r="U2012" s="5"/>
      <c r="V2012" s="5"/>
      <c r="W2012" s="5"/>
    </row>
    <row r="2013" ht="15.75" customHeight="1">
      <c r="A2013" s="3">
        <f>IFERROR(__xludf.DUMMYFUNCTION("""COMPUTED_VALUE"""),2013.0)</f>
        <v>2013</v>
      </c>
      <c r="B2013" s="53">
        <f>IFERROR(__xludf.DUMMYFUNCTION("""COMPUTED_VALUE"""),46090.0)</f>
        <v>46090</v>
      </c>
      <c r="C2013" s="3">
        <f>IFERROR(__xludf.DUMMYFUNCTION("""COMPUTED_VALUE"""),81.0)</f>
        <v>81</v>
      </c>
      <c r="D2013" s="3" t="str">
        <f>IFERROR(__xludf.DUMMYFUNCTION("""COMPUTED_VALUE"""),"c9f8a480")</f>
        <v>c9f8a480</v>
      </c>
      <c r="E2013" s="54">
        <f>IFERROR(__xludf.DUMMYFUNCTION("""COMPUTED_VALUE"""),15000.0)</f>
        <v>15000</v>
      </c>
      <c r="F2013" s="3" t="str">
        <f>IFERROR(__xludf.DUMMYFUNCTION("""COMPUTED_VALUE"""),"Syrah")</f>
        <v>Syrah</v>
      </c>
      <c r="G2013" s="3"/>
      <c r="H2013" s="56">
        <f>IFERROR(__xludf.DUMMYFUNCTION("""COMPUTED_VALUE"""),240.0)</f>
        <v>240</v>
      </c>
      <c r="I2013" s="3"/>
      <c r="J2013" s="3"/>
      <c r="K2013" s="57">
        <f>IFERROR(__xludf.DUMMYFUNCTION("""COMPUTED_VALUE"""),3.8)</f>
        <v>3.8</v>
      </c>
      <c r="L2013" s="54">
        <f>IFERROR(__xludf.DUMMYFUNCTION("""COMPUTED_VALUE"""),20.0)</f>
        <v>20</v>
      </c>
      <c r="M2013" s="3">
        <f>IFERROR(__xludf.DUMMYFUNCTION("""COMPUTED_VALUE"""),77.0)</f>
        <v>77</v>
      </c>
      <c r="N2013" s="3"/>
      <c r="O2013" s="3"/>
      <c r="P2013" s="3"/>
      <c r="Q2013" s="3"/>
      <c r="R2013" s="3">
        <f>IFERROR(__xludf.DUMMYFUNCTION("""COMPUTED_VALUE"""),0.0)</f>
        <v>0</v>
      </c>
      <c r="S2013" s="3"/>
      <c r="T2013" s="5"/>
      <c r="U2013" s="5"/>
      <c r="V2013" s="5"/>
      <c r="W2013" s="5"/>
    </row>
    <row r="2014" ht="15.75" customHeight="1">
      <c r="A2014" s="3">
        <f>IFERROR(__xludf.DUMMYFUNCTION("""COMPUTED_VALUE"""),2014.0)</f>
        <v>2014</v>
      </c>
      <c r="B2014" s="53">
        <f>IFERROR(__xludf.DUMMYFUNCTION("""COMPUTED_VALUE"""),46091.0)</f>
        <v>46091</v>
      </c>
      <c r="C2014" s="3">
        <f>IFERROR(__xludf.DUMMYFUNCTION("""COMPUTED_VALUE"""),72.0)</f>
        <v>72</v>
      </c>
      <c r="D2014" s="3" t="str">
        <f>IFERROR(__xludf.DUMMYFUNCTION("""COMPUTED_VALUE"""),"d0f8eef2")</f>
        <v>d0f8eef2</v>
      </c>
      <c r="E2014" s="54">
        <f>IFERROR(__xludf.DUMMYFUNCTION("""COMPUTED_VALUE"""),9200.0)</f>
        <v>9200</v>
      </c>
      <c r="F2014" s="3" t="str">
        <f>IFERROR(__xludf.DUMMYFUNCTION("""COMPUTED_VALUE"""),"Chardonnay")</f>
        <v>Chardonnay</v>
      </c>
      <c r="G2014" s="55">
        <f>IFERROR(__xludf.DUMMYFUNCTION("""COMPUTED_VALUE"""),12.0)</f>
        <v>12</v>
      </c>
      <c r="H2014" s="56">
        <f>IFERROR(__xludf.DUMMYFUNCTION("""COMPUTED_VALUE"""),22.0)</f>
        <v>22</v>
      </c>
      <c r="I2014" s="3"/>
      <c r="J2014" s="3"/>
      <c r="K2014" s="57">
        <f>IFERROR(__xludf.DUMMYFUNCTION("""COMPUTED_VALUE"""),3.34)</f>
        <v>3.34</v>
      </c>
      <c r="L2014" s="3"/>
      <c r="M2014" s="3"/>
      <c r="N2014" s="3"/>
      <c r="O2014" s="3"/>
      <c r="P2014" s="3"/>
      <c r="Q2014" s="3"/>
      <c r="R2014" s="3">
        <f>IFERROR(__xludf.DUMMYFUNCTION("""COMPUTED_VALUE"""),0.0)</f>
        <v>0</v>
      </c>
      <c r="S2014" s="3"/>
      <c r="T2014" s="5"/>
      <c r="U2014" s="5"/>
      <c r="V2014" s="5"/>
      <c r="W2014" s="5"/>
    </row>
    <row r="2015" ht="15.75" customHeight="1">
      <c r="A2015" s="3">
        <f>IFERROR(__xludf.DUMMYFUNCTION("""COMPUTED_VALUE"""),2015.0)</f>
        <v>2015</v>
      </c>
      <c r="B2015" s="53">
        <f>IFERROR(__xludf.DUMMYFUNCTION("""COMPUTED_VALUE"""),46091.0)</f>
        <v>46091</v>
      </c>
      <c r="C2015" s="3">
        <f>IFERROR(__xludf.DUMMYFUNCTION("""COMPUTED_VALUE"""),76.0)</f>
        <v>76</v>
      </c>
      <c r="D2015" s="3" t="str">
        <f>IFERROR(__xludf.DUMMYFUNCTION("""COMPUTED_VALUE"""),"24592bd2")</f>
        <v>24592bd2</v>
      </c>
      <c r="E2015" s="54">
        <f>IFERROR(__xludf.DUMMYFUNCTION("""COMPUTED_VALUE"""),17000.0)</f>
        <v>17000</v>
      </c>
      <c r="F2015" s="3" t="str">
        <f>IFERROR(__xludf.DUMMYFUNCTION("""COMPUTED_VALUE"""),"Chardonnay")</f>
        <v>Chardonnay</v>
      </c>
      <c r="G2015" s="3"/>
      <c r="H2015" s="56">
        <f>IFERROR(__xludf.DUMMYFUNCTION("""COMPUTED_VALUE"""),22.0)</f>
        <v>22</v>
      </c>
      <c r="I2015" s="3"/>
      <c r="J2015" s="3"/>
      <c r="K2015" s="57">
        <f>IFERROR(__xludf.DUMMYFUNCTION("""COMPUTED_VALUE"""),3.2)</f>
        <v>3.2</v>
      </c>
      <c r="L2015" s="3"/>
      <c r="M2015" s="3"/>
      <c r="N2015" s="3"/>
      <c r="O2015" s="3"/>
      <c r="P2015" s="3"/>
      <c r="Q2015" s="3"/>
      <c r="R2015" s="3">
        <f>IFERROR(__xludf.DUMMYFUNCTION("""COMPUTED_VALUE"""),0.0)</f>
        <v>0</v>
      </c>
      <c r="S2015" s="3"/>
      <c r="T2015" s="5"/>
      <c r="U2015" s="5"/>
      <c r="V2015" s="5"/>
      <c r="W2015" s="5"/>
    </row>
    <row r="2016" ht="15.75" customHeight="1">
      <c r="A2016" s="3">
        <f>IFERROR(__xludf.DUMMYFUNCTION("""COMPUTED_VALUE"""),2016.0)</f>
        <v>2016</v>
      </c>
      <c r="B2016" s="53">
        <f>IFERROR(__xludf.DUMMYFUNCTION("""COMPUTED_VALUE"""),46091.0)</f>
        <v>46091</v>
      </c>
      <c r="C2016" s="3">
        <f>IFERROR(__xludf.DUMMYFUNCTION("""COMPUTED_VALUE"""),78.0)</f>
        <v>78</v>
      </c>
      <c r="D2016" s="3" t="str">
        <f>IFERROR(__xludf.DUMMYFUNCTION("""COMPUTED_VALUE"""),"af88deee")</f>
        <v>af88deee</v>
      </c>
      <c r="E2016" s="54">
        <f>IFERROR(__xludf.DUMMYFUNCTION("""COMPUTED_VALUE"""),20000.0)</f>
        <v>20000</v>
      </c>
      <c r="F2016" s="3" t="str">
        <f>IFERROR(__xludf.DUMMYFUNCTION("""COMPUTED_VALUE"""),"Torrontes Viog")</f>
        <v>Torrontes Viog</v>
      </c>
      <c r="G2016" s="3"/>
      <c r="H2016" s="56">
        <f>IFERROR(__xludf.DUMMYFUNCTION("""COMPUTED_VALUE"""),2.0)</f>
        <v>2</v>
      </c>
      <c r="I2016" s="3"/>
      <c r="J2016" s="3"/>
      <c r="K2016" s="57">
        <f>IFERROR(__xludf.DUMMYFUNCTION("""COMPUTED_VALUE"""),3.4)</f>
        <v>3.4</v>
      </c>
      <c r="L2016" s="3"/>
      <c r="M2016" s="3"/>
      <c r="N2016" s="3"/>
      <c r="O2016" s="3"/>
      <c r="P2016" s="3"/>
      <c r="Q2016" s="3"/>
      <c r="R2016" s="3">
        <f>IFERROR(__xludf.DUMMYFUNCTION("""COMPUTED_VALUE"""),0.0)</f>
        <v>0</v>
      </c>
      <c r="S2016" s="3"/>
      <c r="T2016" s="5"/>
      <c r="U2016" s="5"/>
      <c r="V2016" s="5"/>
      <c r="W2016" s="5"/>
    </row>
    <row r="2017" ht="15.75" customHeight="1">
      <c r="A2017" s="3">
        <f>IFERROR(__xludf.DUMMYFUNCTION("""COMPUTED_VALUE"""),2017.0)</f>
        <v>2017</v>
      </c>
      <c r="B2017" s="53">
        <f>IFERROR(__xludf.DUMMYFUNCTION("""COMPUTED_VALUE"""),46091.0)</f>
        <v>46091</v>
      </c>
      <c r="C2017" s="3">
        <f>IFERROR(__xludf.DUMMYFUNCTION("""COMPUTED_VALUE"""),120.0)</f>
        <v>120</v>
      </c>
      <c r="D2017" s="3" t="str">
        <f>IFERROR(__xludf.DUMMYFUNCTION("""COMPUTED_VALUE"""),"0763aa8e")</f>
        <v>0763aa8e</v>
      </c>
      <c r="E2017" s="54">
        <f>IFERROR(__xludf.DUMMYFUNCTION("""COMPUTED_VALUE"""),88800.0)</f>
        <v>88800</v>
      </c>
      <c r="F2017" s="3" t="str">
        <f>IFERROR(__xludf.DUMMYFUNCTION("""COMPUTED_VALUE"""),"Syrah Anc PC s/Asp 2")</f>
        <v>Syrah Anc PC s/Asp 2</v>
      </c>
      <c r="G2017" s="55">
        <f>IFERROR(__xludf.DUMMYFUNCTION("""COMPUTED_VALUE"""),13.2)</f>
        <v>13.2</v>
      </c>
      <c r="H2017" s="56">
        <f>IFERROR(__xludf.DUMMYFUNCTION("""COMPUTED_VALUE"""),2.4)</f>
        <v>2.4</v>
      </c>
      <c r="I2017" s="57">
        <f>IFERROR(__xludf.DUMMYFUNCTION("""COMPUTED_VALUE"""),0.44)</f>
        <v>0.44</v>
      </c>
      <c r="J2017" s="57">
        <f>IFERROR(__xludf.DUMMYFUNCTION("""COMPUTED_VALUE"""),5.6)</f>
        <v>5.6</v>
      </c>
      <c r="K2017" s="57">
        <f>IFERROR(__xludf.DUMMYFUNCTION("""COMPUTED_VALUE"""),3.67)</f>
        <v>3.67</v>
      </c>
      <c r="L2017" s="54">
        <f>IFERROR(__xludf.DUMMYFUNCTION("""COMPUTED_VALUE"""),32.0)</f>
        <v>32</v>
      </c>
      <c r="M2017" s="3">
        <f>IFERROR(__xludf.DUMMYFUNCTION("""COMPUTED_VALUE"""),115.0)</f>
        <v>115</v>
      </c>
      <c r="N2017" s="3"/>
      <c r="O2017" s="3"/>
      <c r="P2017" s="3"/>
      <c r="Q2017" s="3"/>
      <c r="R2017" s="3">
        <f>IFERROR(__xludf.DUMMYFUNCTION("""COMPUTED_VALUE"""),0.0)</f>
        <v>0</v>
      </c>
      <c r="S2017" s="3"/>
      <c r="T2017" s="5"/>
      <c r="U2017" s="5"/>
      <c r="V2017" s="5"/>
      <c r="W2017" s="5"/>
    </row>
    <row r="2018" ht="15.75" customHeight="1">
      <c r="A2018" s="3">
        <f>IFERROR(__xludf.DUMMYFUNCTION("""COMPUTED_VALUE"""),2018.0)</f>
        <v>2018</v>
      </c>
      <c r="B2018" s="53">
        <f>IFERROR(__xludf.DUMMYFUNCTION("""COMPUTED_VALUE"""),46091.0)</f>
        <v>46091</v>
      </c>
      <c r="C2018" s="3">
        <f>IFERROR(__xludf.DUMMYFUNCTION("""COMPUTED_VALUE"""),121.0)</f>
        <v>121</v>
      </c>
      <c r="D2018" s="3" t="str">
        <f>IFERROR(__xludf.DUMMYFUNCTION("""COMPUTED_VALUE"""),"b41b9422")</f>
        <v>b41b9422</v>
      </c>
      <c r="E2018" s="54">
        <f>IFERROR(__xludf.DUMMYFUNCTION("""COMPUTED_VALUE"""),85800.0)</f>
        <v>85800</v>
      </c>
      <c r="F2018" s="3" t="str">
        <f>IFERROR(__xludf.DUMMYFUNCTION("""COMPUTED_VALUE"""),"Aspirant Anccelota PC")</f>
        <v>Aspirant Anccelota PC</v>
      </c>
      <c r="G2018" s="55">
        <f>IFERROR(__xludf.DUMMYFUNCTION("""COMPUTED_VALUE"""),12.6)</f>
        <v>12.6</v>
      </c>
      <c r="H2018" s="56">
        <f>IFERROR(__xludf.DUMMYFUNCTION("""COMPUTED_VALUE"""),2.0)</f>
        <v>2</v>
      </c>
      <c r="I2018" s="57">
        <f>IFERROR(__xludf.DUMMYFUNCTION("""COMPUTED_VALUE"""),0.47)</f>
        <v>0.47</v>
      </c>
      <c r="J2018" s="57">
        <f>IFERROR(__xludf.DUMMYFUNCTION("""COMPUTED_VALUE"""),5.7)</f>
        <v>5.7</v>
      </c>
      <c r="K2018" s="57">
        <f>IFERROR(__xludf.DUMMYFUNCTION("""COMPUTED_VALUE"""),3.63)</f>
        <v>3.63</v>
      </c>
      <c r="L2018" s="54">
        <f>IFERROR(__xludf.DUMMYFUNCTION("""COMPUTED_VALUE"""),30.0)</f>
        <v>30</v>
      </c>
      <c r="M2018" s="3">
        <f>IFERROR(__xludf.DUMMYFUNCTION("""COMPUTED_VALUE"""),87.0)</f>
        <v>87</v>
      </c>
      <c r="N2018" s="3"/>
      <c r="O2018" s="3"/>
      <c r="P2018" s="3"/>
      <c r="Q2018" s="3"/>
      <c r="R2018" s="3">
        <f>IFERROR(__xludf.DUMMYFUNCTION("""COMPUTED_VALUE"""),0.0)</f>
        <v>0</v>
      </c>
      <c r="S2018" s="3"/>
      <c r="T2018" s="5"/>
      <c r="U2018" s="5"/>
      <c r="V2018" s="5"/>
      <c r="W2018" s="5"/>
    </row>
    <row r="2019" ht="15.75" customHeight="1">
      <c r="A2019" s="3">
        <f>IFERROR(__xludf.DUMMYFUNCTION("""COMPUTED_VALUE"""),2019.0)</f>
        <v>2019</v>
      </c>
      <c r="B2019" s="53">
        <f>IFERROR(__xludf.DUMMYFUNCTION("""COMPUTED_VALUE"""),46091.0)</f>
        <v>46091</v>
      </c>
      <c r="C2019" s="3">
        <f>IFERROR(__xludf.DUMMYFUNCTION("""COMPUTED_VALUE"""),82.0)</f>
        <v>82</v>
      </c>
      <c r="D2019" s="3" t="str">
        <f>IFERROR(__xludf.DUMMYFUNCTION("""COMPUTED_VALUE"""),"d9c4d0aa")</f>
        <v>d9c4d0aa</v>
      </c>
      <c r="E2019" s="54">
        <f>IFERROR(__xludf.DUMMYFUNCTION("""COMPUTED_VALUE"""),36750.0)</f>
        <v>36750</v>
      </c>
      <c r="F2019" s="3" t="str">
        <f>IFERROR(__xludf.DUMMYFUNCTION("""COMPUTED_VALUE"""),"Syrah s/Asp")</f>
        <v>Syrah s/Asp</v>
      </c>
      <c r="G2019" s="3"/>
      <c r="H2019" s="56">
        <f>IFERROR(__xludf.DUMMYFUNCTION("""COMPUTED_VALUE"""),2.0)</f>
        <v>2</v>
      </c>
      <c r="I2019" s="57">
        <f>IFERROR(__xludf.DUMMYFUNCTION("""COMPUTED_VALUE"""),0.46)</f>
        <v>0.46</v>
      </c>
      <c r="J2019" s="57">
        <f>IFERROR(__xludf.DUMMYFUNCTION("""COMPUTED_VALUE"""),5.5)</f>
        <v>5.5</v>
      </c>
      <c r="K2019" s="57">
        <f>IFERROR(__xludf.DUMMYFUNCTION("""COMPUTED_VALUE"""),3.62)</f>
        <v>3.62</v>
      </c>
      <c r="L2019" s="54">
        <f>IFERROR(__xludf.DUMMYFUNCTION("""COMPUTED_VALUE"""),32.0)</f>
        <v>32</v>
      </c>
      <c r="M2019" s="3">
        <f>IFERROR(__xludf.DUMMYFUNCTION("""COMPUTED_VALUE"""),102.0)</f>
        <v>102</v>
      </c>
      <c r="N2019" s="3"/>
      <c r="O2019" s="3"/>
      <c r="P2019" s="3"/>
      <c r="Q2019" s="3"/>
      <c r="R2019" s="3">
        <f>IFERROR(__xludf.DUMMYFUNCTION("""COMPUTED_VALUE"""),0.0)</f>
        <v>0</v>
      </c>
      <c r="S2019" s="3"/>
      <c r="T2019" s="5"/>
      <c r="U2019" s="5"/>
      <c r="V2019" s="5"/>
      <c r="W2019" s="5"/>
    </row>
    <row r="2020" ht="15.75" customHeight="1">
      <c r="A2020" s="3">
        <f>IFERROR(__xludf.DUMMYFUNCTION("""COMPUTED_VALUE"""),2020.0)</f>
        <v>2020</v>
      </c>
      <c r="B2020" s="53">
        <f>IFERROR(__xludf.DUMMYFUNCTION("""COMPUTED_VALUE"""),46092.0)</f>
        <v>46092</v>
      </c>
      <c r="C2020" s="3">
        <f>IFERROR(__xludf.DUMMYFUNCTION("""COMPUTED_VALUE"""),33.0)</f>
        <v>33</v>
      </c>
      <c r="D2020" s="3" t="str">
        <f>IFERROR(__xludf.DUMMYFUNCTION("""COMPUTED_VALUE"""),"7a77b210")</f>
        <v>7a77b210</v>
      </c>
      <c r="E2020" s="54">
        <f>IFERROR(__xludf.DUMMYFUNCTION("""COMPUTED_VALUE"""),25300.0)</f>
        <v>25300</v>
      </c>
      <c r="F2020" s="3" t="str">
        <f>IFERROR(__xludf.DUMMYFUNCTION("""COMPUTED_VALUE"""),"Chardonnay")</f>
        <v>Chardonnay</v>
      </c>
      <c r="G2020" s="3"/>
      <c r="H2020" s="3"/>
      <c r="I2020" s="3"/>
      <c r="J2020" s="57">
        <f>IFERROR(__xludf.DUMMYFUNCTION("""COMPUTED_VALUE"""),6.6)</f>
        <v>6.6</v>
      </c>
      <c r="K2020" s="57">
        <f>IFERROR(__xludf.DUMMYFUNCTION("""COMPUTED_VALUE"""),3.45)</f>
        <v>3.45</v>
      </c>
      <c r="L2020" s="54">
        <f>IFERROR(__xludf.DUMMYFUNCTION("""COMPUTED_VALUE"""),20.0)</f>
        <v>20</v>
      </c>
      <c r="M2020" s="3"/>
      <c r="N2020" s="3"/>
      <c r="O2020" s="3"/>
      <c r="P2020" s="3"/>
      <c r="Q2020" s="3"/>
      <c r="R2020" s="3">
        <f>IFERROR(__xludf.DUMMYFUNCTION("""COMPUTED_VALUE"""),0.0)</f>
        <v>0</v>
      </c>
      <c r="S2020" s="3"/>
      <c r="T2020" s="5"/>
      <c r="U2020" s="5"/>
      <c r="V2020" s="5"/>
      <c r="W2020" s="5"/>
    </row>
    <row r="2021" ht="15.75" customHeight="1">
      <c r="A2021" s="3">
        <f>IFERROR(__xludf.DUMMYFUNCTION("""COMPUTED_VALUE"""),2021.0)</f>
        <v>2021</v>
      </c>
      <c r="B2021" s="53">
        <f>IFERROR(__xludf.DUMMYFUNCTION("""COMPUTED_VALUE"""),46092.0)</f>
        <v>46092</v>
      </c>
      <c r="C2021" s="3">
        <f>IFERROR(__xludf.DUMMYFUNCTION("""COMPUTED_VALUE"""),40.0)</f>
        <v>40</v>
      </c>
      <c r="D2021" s="3" t="str">
        <f>IFERROR(__xludf.DUMMYFUNCTION("""COMPUTED_VALUE"""),"964bb1ba")</f>
        <v>964bb1ba</v>
      </c>
      <c r="E2021" s="54">
        <f>IFERROR(__xludf.DUMMYFUNCTION("""COMPUTED_VALUE"""),24000.0)</f>
        <v>24000</v>
      </c>
      <c r="F2021" s="3" t="str">
        <f>IFERROR(__xludf.DUMMYFUNCTION("""COMPUTED_VALUE"""),"Chardonnay")</f>
        <v>Chardonnay</v>
      </c>
      <c r="G2021" s="3"/>
      <c r="H2021" s="3"/>
      <c r="I2021" s="3"/>
      <c r="J2021" s="57">
        <f>IFERROR(__xludf.DUMMYFUNCTION("""COMPUTED_VALUE"""),6.5)</f>
        <v>6.5</v>
      </c>
      <c r="K2021" s="57">
        <f>IFERROR(__xludf.DUMMYFUNCTION("""COMPUTED_VALUE"""),3.39)</f>
        <v>3.39</v>
      </c>
      <c r="L2021" s="54">
        <f>IFERROR(__xludf.DUMMYFUNCTION("""COMPUTED_VALUE"""),22.0)</f>
        <v>22</v>
      </c>
      <c r="M2021" s="3"/>
      <c r="N2021" s="3"/>
      <c r="O2021" s="3"/>
      <c r="P2021" s="3"/>
      <c r="Q2021" s="3"/>
      <c r="R2021" s="3">
        <f>IFERROR(__xludf.DUMMYFUNCTION("""COMPUTED_VALUE"""),0.0)</f>
        <v>0</v>
      </c>
      <c r="S2021" s="3"/>
      <c r="T2021" s="5"/>
      <c r="U2021" s="5"/>
      <c r="V2021" s="5"/>
      <c r="W2021" s="5"/>
    </row>
    <row r="2022" ht="15.75" customHeight="1">
      <c r="A2022" s="3">
        <f>IFERROR(__xludf.DUMMYFUNCTION("""COMPUTED_VALUE"""),2022.0)</f>
        <v>2022</v>
      </c>
      <c r="B2022" s="53">
        <f>IFERROR(__xludf.DUMMYFUNCTION("""COMPUTED_VALUE"""),46092.0)</f>
        <v>46092</v>
      </c>
      <c r="C2022" s="3">
        <f>IFERROR(__xludf.DUMMYFUNCTION("""COMPUTED_VALUE"""),30.0)</f>
        <v>30</v>
      </c>
      <c r="D2022" s="3" t="str">
        <f>IFERROR(__xludf.DUMMYFUNCTION("""COMPUTED_VALUE"""),"0432aaa0")</f>
        <v>0432aaa0</v>
      </c>
      <c r="E2022" s="54">
        <f>IFERROR(__xludf.DUMMYFUNCTION("""COMPUTED_VALUE"""),38800.0)</f>
        <v>38800</v>
      </c>
      <c r="F2022" s="3" t="str">
        <f>IFERROR(__xludf.DUMMYFUNCTION("""COMPUTED_VALUE"""),"Chardonnay Ch")</f>
        <v>Chardonnay Ch</v>
      </c>
      <c r="G2022" s="3"/>
      <c r="H2022" s="3"/>
      <c r="I2022" s="3"/>
      <c r="J2022" s="57">
        <f>IFERROR(__xludf.DUMMYFUNCTION("""COMPUTED_VALUE"""),6.4)</f>
        <v>6.4</v>
      </c>
      <c r="K2022" s="57">
        <f>IFERROR(__xludf.DUMMYFUNCTION("""COMPUTED_VALUE"""),3.39)</f>
        <v>3.39</v>
      </c>
      <c r="L2022" s="54">
        <f>IFERROR(__xludf.DUMMYFUNCTION("""COMPUTED_VALUE"""),18.0)</f>
        <v>18</v>
      </c>
      <c r="M2022" s="3"/>
      <c r="N2022" s="3"/>
      <c r="O2022" s="3"/>
      <c r="P2022" s="3"/>
      <c r="Q2022" s="3"/>
      <c r="R2022" s="3">
        <f>IFERROR(__xludf.DUMMYFUNCTION("""COMPUTED_VALUE"""),0.0)</f>
        <v>0</v>
      </c>
      <c r="S2022" s="3"/>
      <c r="T2022" s="5"/>
      <c r="U2022" s="5"/>
      <c r="V2022" s="5"/>
      <c r="W2022" s="5"/>
    </row>
    <row r="2023" ht="15.75" customHeight="1">
      <c r="A2023" s="3">
        <f>IFERROR(__xludf.DUMMYFUNCTION("""COMPUTED_VALUE"""),2023.0)</f>
        <v>2023</v>
      </c>
      <c r="B2023" s="53">
        <f>IFERROR(__xludf.DUMMYFUNCTION("""COMPUTED_VALUE"""),46092.0)</f>
        <v>46092</v>
      </c>
      <c r="C2023" s="3">
        <f>IFERROR(__xludf.DUMMYFUNCTION("""COMPUTED_VALUE"""),44.0)</f>
        <v>44</v>
      </c>
      <c r="D2023" s="3" t="str">
        <f>IFERROR(__xludf.DUMMYFUNCTION("""COMPUTED_VALUE"""),"b4d0796a")</f>
        <v>b4d0796a</v>
      </c>
      <c r="E2023" s="54">
        <f>IFERROR(__xludf.DUMMYFUNCTION("""COMPUTED_VALUE"""),19100.0)</f>
        <v>19100</v>
      </c>
      <c r="F2023" s="3" t="str">
        <f>IFERROR(__xludf.DUMMYFUNCTION("""COMPUTED_VALUE"""),"Chardonnay")</f>
        <v>Chardonnay</v>
      </c>
      <c r="G2023" s="3"/>
      <c r="H2023" s="3"/>
      <c r="I2023" s="3"/>
      <c r="J2023" s="57">
        <f>IFERROR(__xludf.DUMMYFUNCTION("""COMPUTED_VALUE"""),6.5)</f>
        <v>6.5</v>
      </c>
      <c r="K2023" s="57">
        <f>IFERROR(__xludf.DUMMYFUNCTION("""COMPUTED_VALUE"""),3.38)</f>
        <v>3.38</v>
      </c>
      <c r="L2023" s="54">
        <f>IFERROR(__xludf.DUMMYFUNCTION("""COMPUTED_VALUE"""),23.0)</f>
        <v>23</v>
      </c>
      <c r="M2023" s="3"/>
      <c r="N2023" s="3"/>
      <c r="O2023" s="3"/>
      <c r="P2023" s="3"/>
      <c r="Q2023" s="3"/>
      <c r="R2023" s="3">
        <f>IFERROR(__xludf.DUMMYFUNCTION("""COMPUTED_VALUE"""),0.0)</f>
        <v>0</v>
      </c>
      <c r="S2023" s="3"/>
      <c r="T2023" s="5"/>
      <c r="U2023" s="5"/>
      <c r="V2023" s="5"/>
      <c r="W2023" s="5"/>
    </row>
    <row r="2024" ht="15.75" customHeight="1">
      <c r="A2024" s="3">
        <f>IFERROR(__xludf.DUMMYFUNCTION("""COMPUTED_VALUE"""),2024.0)</f>
        <v>2024</v>
      </c>
      <c r="B2024" s="53">
        <f>IFERROR(__xludf.DUMMYFUNCTION("""COMPUTED_VALUE"""),46093.0)</f>
        <v>46093</v>
      </c>
      <c r="C2024" s="3">
        <f>IFERROR(__xludf.DUMMYFUNCTION("""COMPUTED_VALUE"""),24.0)</f>
        <v>24</v>
      </c>
      <c r="D2024" s="3" t="str">
        <f>IFERROR(__xludf.DUMMYFUNCTION("""COMPUTED_VALUE"""),"4ecbdfc2")</f>
        <v>4ecbdfc2</v>
      </c>
      <c r="E2024" s="54">
        <f>IFERROR(__xludf.DUMMYFUNCTION("""COMPUTED_VALUE"""),186600.0)</f>
        <v>186600</v>
      </c>
      <c r="F2024" s="3" t="str">
        <f>IFERROR(__xludf.DUMMYFUNCTION("""COMPUTED_VALUE"""),"Corte Millan")</f>
        <v>Corte Millan</v>
      </c>
      <c r="G2024" s="55">
        <f>IFERROR(__xludf.DUMMYFUNCTION("""COMPUTED_VALUE"""),13.5)</f>
        <v>13.5</v>
      </c>
      <c r="H2024" s="3"/>
      <c r="I2024" s="57">
        <f>IFERROR(__xludf.DUMMYFUNCTION("""COMPUTED_VALUE"""),0.55)</f>
        <v>0.55</v>
      </c>
      <c r="J2024" s="57">
        <f>IFERROR(__xludf.DUMMYFUNCTION("""COMPUTED_VALUE"""),5.73)</f>
        <v>5.73</v>
      </c>
      <c r="K2024" s="57">
        <f>IFERROR(__xludf.DUMMYFUNCTION("""COMPUTED_VALUE"""),3.56)</f>
        <v>3.56</v>
      </c>
      <c r="L2024" s="54">
        <f>IFERROR(__xludf.DUMMYFUNCTION("""COMPUTED_VALUE"""),28.0)</f>
        <v>28</v>
      </c>
      <c r="M2024" s="3"/>
      <c r="N2024" s="3"/>
      <c r="O2024" s="3">
        <f>IFERROR(__xludf.DUMMYFUNCTION("""COMPUTED_VALUE"""),448.0)</f>
        <v>448</v>
      </c>
      <c r="P2024" s="3">
        <f>IFERROR(__xludf.DUMMYFUNCTION("""COMPUTED_VALUE"""),618.0)</f>
        <v>618</v>
      </c>
      <c r="Q2024" s="3"/>
      <c r="R2024" s="3">
        <f>IFERROR(__xludf.DUMMYFUNCTION("""COMPUTED_VALUE"""),1066.0)</f>
        <v>1066</v>
      </c>
      <c r="S2024" s="54">
        <f>IFERROR(__xludf.DUMMYFUNCTION("""COMPUTED_VALUE"""),1470.5089285714284)</f>
        <v>1470.508929</v>
      </c>
      <c r="T2024" s="5"/>
      <c r="U2024" s="5"/>
      <c r="V2024" s="5"/>
      <c r="W2024" s="5"/>
    </row>
    <row r="2025" ht="15.75" customHeight="1">
      <c r="A2025" s="3">
        <f>IFERROR(__xludf.DUMMYFUNCTION("""COMPUTED_VALUE"""),2025.0)</f>
        <v>2025</v>
      </c>
      <c r="B2025" s="53">
        <f>IFERROR(__xludf.DUMMYFUNCTION("""COMPUTED_VALUE"""),46093.0)</f>
        <v>46093</v>
      </c>
      <c r="C2025" s="3">
        <f>IFERROR(__xludf.DUMMYFUNCTION("""COMPUTED_VALUE"""),25.0)</f>
        <v>25</v>
      </c>
      <c r="D2025" s="3" t="str">
        <f>IFERROR(__xludf.DUMMYFUNCTION("""COMPUTED_VALUE"""),"d6a24ea6")</f>
        <v>d6a24ea6</v>
      </c>
      <c r="E2025" s="54">
        <f>IFERROR(__xludf.DUMMYFUNCTION("""COMPUTED_VALUE"""),136800.0)</f>
        <v>136800</v>
      </c>
      <c r="F2025" s="3" t="str">
        <f>IFERROR(__xludf.DUMMYFUNCTION("""COMPUTED_VALUE"""),"Corte Millan")</f>
        <v>Corte Millan</v>
      </c>
      <c r="G2025" s="55">
        <f>IFERROR(__xludf.DUMMYFUNCTION("""COMPUTED_VALUE"""),13.5)</f>
        <v>13.5</v>
      </c>
      <c r="H2025" s="3"/>
      <c r="I2025" s="57">
        <f>IFERROR(__xludf.DUMMYFUNCTION("""COMPUTED_VALUE"""),0.55)</f>
        <v>0.55</v>
      </c>
      <c r="J2025" s="57">
        <f>IFERROR(__xludf.DUMMYFUNCTION("""COMPUTED_VALUE"""),5.73)</f>
        <v>5.73</v>
      </c>
      <c r="K2025" s="57">
        <f>IFERROR(__xludf.DUMMYFUNCTION("""COMPUTED_VALUE"""),3.56)</f>
        <v>3.56</v>
      </c>
      <c r="L2025" s="54">
        <f>IFERROR(__xludf.DUMMYFUNCTION("""COMPUTED_VALUE"""),28.0)</f>
        <v>28</v>
      </c>
      <c r="M2025" s="3"/>
      <c r="N2025" s="3"/>
      <c r="O2025" s="3">
        <f>IFERROR(__xludf.DUMMYFUNCTION("""COMPUTED_VALUE"""),459.0)</f>
        <v>459</v>
      </c>
      <c r="P2025" s="3">
        <f>IFERROR(__xludf.DUMMYFUNCTION("""COMPUTED_VALUE"""),641.0)</f>
        <v>641</v>
      </c>
      <c r="Q2025" s="3"/>
      <c r="R2025" s="3">
        <f>IFERROR(__xludf.DUMMYFUNCTION("""COMPUTED_VALUE"""),1100.0)</f>
        <v>1100</v>
      </c>
      <c r="S2025" s="54">
        <f>IFERROR(__xludf.DUMMYFUNCTION("""COMPUTED_VALUE"""),1536.165577342048)</f>
        <v>1536.165577</v>
      </c>
      <c r="T2025" s="5"/>
      <c r="U2025" s="5"/>
      <c r="V2025" s="5"/>
      <c r="W2025" s="5"/>
    </row>
    <row r="2026" ht="15.75" customHeight="1">
      <c r="A2026" s="3">
        <f>IFERROR(__xludf.DUMMYFUNCTION("""COMPUTED_VALUE"""),2026.0)</f>
        <v>2026</v>
      </c>
      <c r="B2026" s="53">
        <f>IFERROR(__xludf.DUMMYFUNCTION("""COMPUTED_VALUE"""),46093.0)</f>
        <v>46093</v>
      </c>
      <c r="C2026" s="3">
        <f>IFERROR(__xludf.DUMMYFUNCTION("""COMPUTED_VALUE"""),78.0)</f>
        <v>78</v>
      </c>
      <c r="D2026" s="3" t="str">
        <f>IFERROR(__xludf.DUMMYFUNCTION("""COMPUTED_VALUE"""),"af88deee")</f>
        <v>af88deee</v>
      </c>
      <c r="E2026" s="54">
        <f>IFERROR(__xludf.DUMMYFUNCTION("""COMPUTED_VALUE"""),20000.0)</f>
        <v>20000</v>
      </c>
      <c r="F2026" s="3" t="str">
        <f>IFERROR(__xludf.DUMMYFUNCTION("""COMPUTED_VALUE"""),"Torrontes Viog")</f>
        <v>Torrontes Viog</v>
      </c>
      <c r="G2026" s="3"/>
      <c r="H2026" s="56">
        <f>IFERROR(__xludf.DUMMYFUNCTION("""COMPUTED_VALUE"""),2.0)</f>
        <v>2</v>
      </c>
      <c r="I2026" s="3"/>
      <c r="J2026" s="3"/>
      <c r="K2026" s="3"/>
      <c r="L2026" s="54">
        <f>IFERROR(__xludf.DUMMYFUNCTION("""COMPUTED_VALUE"""),15.0)</f>
        <v>15</v>
      </c>
      <c r="M2026" s="3"/>
      <c r="N2026" s="3"/>
      <c r="O2026" s="3"/>
      <c r="P2026" s="3"/>
      <c r="Q2026" s="3"/>
      <c r="R2026" s="3">
        <f>IFERROR(__xludf.DUMMYFUNCTION("""COMPUTED_VALUE"""),0.0)</f>
        <v>0</v>
      </c>
      <c r="S2026" s="3"/>
      <c r="T2026" s="5"/>
      <c r="U2026" s="5"/>
      <c r="V2026" s="5"/>
      <c r="W2026" s="5"/>
    </row>
    <row r="2027" ht="15.75" customHeight="1">
      <c r="A2027" s="3">
        <f>IFERROR(__xludf.DUMMYFUNCTION("""COMPUTED_VALUE"""),2027.0)</f>
        <v>2027</v>
      </c>
      <c r="B2027" s="53">
        <f>IFERROR(__xludf.DUMMYFUNCTION("""COMPUTED_VALUE"""),46093.0)</f>
        <v>46093</v>
      </c>
      <c r="C2027" s="3">
        <f>IFERROR(__xludf.DUMMYFUNCTION("""COMPUTED_VALUE"""),83.0)</f>
        <v>83</v>
      </c>
      <c r="D2027" s="3" t="str">
        <f>IFERROR(__xludf.DUMMYFUNCTION("""COMPUTED_VALUE"""),"9c60e76b")</f>
        <v>9c60e76b</v>
      </c>
      <c r="E2027" s="54">
        <f>IFERROR(__xludf.DUMMYFUNCTION("""COMPUTED_VALUE"""),81500.0)</f>
        <v>81500</v>
      </c>
      <c r="F2027" s="3" t="str">
        <f>IFERROR(__xludf.DUMMYFUNCTION("""COMPUTED_VALUE"""),"Syrah Merlot s/Asp 3")</f>
        <v>Syrah Merlot s/Asp 3</v>
      </c>
      <c r="G2027" s="3"/>
      <c r="H2027" s="56">
        <f>IFERROR(__xludf.DUMMYFUNCTION("""COMPUTED_VALUE"""),10.0)</f>
        <v>10</v>
      </c>
      <c r="I2027" s="3"/>
      <c r="J2027" s="3"/>
      <c r="K2027" s="3"/>
      <c r="L2027" s="3"/>
      <c r="M2027" s="3"/>
      <c r="N2027" s="3"/>
      <c r="O2027" s="3"/>
      <c r="P2027" s="3"/>
      <c r="Q2027" s="3"/>
      <c r="R2027" s="3">
        <f>IFERROR(__xludf.DUMMYFUNCTION("""COMPUTED_VALUE"""),0.0)</f>
        <v>0</v>
      </c>
      <c r="S2027" s="3"/>
      <c r="T2027" s="5"/>
      <c r="U2027" s="5"/>
      <c r="V2027" s="5"/>
      <c r="W2027" s="5"/>
    </row>
    <row r="2028" ht="15.75" customHeight="1">
      <c r="A2028" s="3">
        <f>IFERROR(__xludf.DUMMYFUNCTION("""COMPUTED_VALUE"""),2028.0)</f>
        <v>2028</v>
      </c>
      <c r="B2028" s="53">
        <f>IFERROR(__xludf.DUMMYFUNCTION("""COMPUTED_VALUE"""),46093.0)</f>
        <v>46093</v>
      </c>
      <c r="C2028" s="3">
        <f>IFERROR(__xludf.DUMMYFUNCTION("""COMPUTED_VALUE"""),84.0)</f>
        <v>84</v>
      </c>
      <c r="D2028" s="3" t="str">
        <f>IFERROR(__xludf.DUMMYFUNCTION("""COMPUTED_VALUE"""),"3b6cbb3c")</f>
        <v>3b6cbb3c</v>
      </c>
      <c r="E2028" s="54">
        <f>IFERROR(__xludf.DUMMYFUNCTION("""COMPUTED_VALUE"""),40900.0)</f>
        <v>40900</v>
      </c>
      <c r="F2028" s="3" t="str">
        <f>IFERROR(__xludf.DUMMYFUNCTION("""COMPUTED_VALUE"""),"Syrah Merlot s/Asp 2")</f>
        <v>Syrah Merlot s/Asp 2</v>
      </c>
      <c r="G2028" s="3"/>
      <c r="H2028" s="56">
        <f>IFERROR(__xludf.DUMMYFUNCTION("""COMPUTED_VALUE"""),3.15)</f>
        <v>3.15</v>
      </c>
      <c r="I2028" s="3"/>
      <c r="J2028" s="3"/>
      <c r="K2028" s="3"/>
      <c r="L2028" s="3"/>
      <c r="M2028" s="3"/>
      <c r="N2028" s="3"/>
      <c r="O2028" s="3"/>
      <c r="P2028" s="3"/>
      <c r="Q2028" s="3"/>
      <c r="R2028" s="3">
        <f>IFERROR(__xludf.DUMMYFUNCTION("""COMPUTED_VALUE"""),0.0)</f>
        <v>0</v>
      </c>
      <c r="S2028" s="3"/>
      <c r="T2028" s="5"/>
      <c r="U2028" s="5"/>
      <c r="V2028" s="5"/>
      <c r="W2028" s="5"/>
    </row>
    <row r="2029" ht="15.75" customHeight="1">
      <c r="A2029" s="3">
        <f>IFERROR(__xludf.DUMMYFUNCTION("""COMPUTED_VALUE"""),2029.0)</f>
        <v>2029</v>
      </c>
      <c r="B2029" s="53">
        <f>IFERROR(__xludf.DUMMYFUNCTION("""COMPUTED_VALUE"""),46093.0)</f>
        <v>46093</v>
      </c>
      <c r="C2029" s="3">
        <f>IFERROR(__xludf.DUMMYFUNCTION("""COMPUTED_VALUE"""),88.0)</f>
        <v>88</v>
      </c>
      <c r="D2029" s="3"/>
      <c r="E2029" s="3"/>
      <c r="F2029" s="3"/>
      <c r="G2029" s="3"/>
      <c r="H2029" s="56">
        <f>IFERROR(__xludf.DUMMYFUNCTION("""COMPUTED_VALUE"""),240.0)</f>
        <v>240</v>
      </c>
      <c r="I2029" s="3"/>
      <c r="J2029" s="3"/>
      <c r="K2029" s="57">
        <f>IFERROR(__xludf.DUMMYFUNCTION("""COMPUTED_VALUE"""),3.96)</f>
        <v>3.96</v>
      </c>
      <c r="L2029" s="54">
        <f>IFERROR(__xludf.DUMMYFUNCTION("""COMPUTED_VALUE"""),26.0)</f>
        <v>26</v>
      </c>
      <c r="M2029" s="3">
        <f>IFERROR(__xludf.DUMMYFUNCTION("""COMPUTED_VALUE"""),80.0)</f>
        <v>80</v>
      </c>
      <c r="N2029" s="3"/>
      <c r="O2029" s="3"/>
      <c r="P2029" s="3"/>
      <c r="Q2029" s="3"/>
      <c r="R2029" s="3">
        <f>IFERROR(__xludf.DUMMYFUNCTION("""COMPUTED_VALUE"""),0.0)</f>
        <v>0</v>
      </c>
      <c r="S2029" s="3"/>
      <c r="T2029" s="5"/>
      <c r="U2029" s="5"/>
      <c r="V2029" s="5"/>
      <c r="W2029" s="5"/>
    </row>
    <row r="2030" ht="15.75" customHeight="1">
      <c r="A2030" s="3">
        <f>IFERROR(__xludf.DUMMYFUNCTION("""COMPUTED_VALUE"""),2030.0)</f>
        <v>2030</v>
      </c>
      <c r="B2030" s="53">
        <f>IFERROR(__xludf.DUMMYFUNCTION("""COMPUTED_VALUE"""),46093.0)</f>
        <v>46093</v>
      </c>
      <c r="C2030" s="3">
        <f>IFERROR(__xludf.DUMMYFUNCTION("""COMPUTED_VALUE"""),89.0)</f>
        <v>89</v>
      </c>
      <c r="D2030" s="3" t="str">
        <f>IFERROR(__xludf.DUMMYFUNCTION("""COMPUTED_VALUE"""),"95b82903")</f>
        <v>95b82903</v>
      </c>
      <c r="E2030" s="54">
        <f>IFERROR(__xludf.DUMMYFUNCTION("""COMPUTED_VALUE"""),38200.0)</f>
        <v>38200</v>
      </c>
      <c r="F2030" s="3" t="str">
        <f>IFERROR(__xludf.DUMMYFUNCTION("""COMPUTED_VALUE"""),"Syrah")</f>
        <v>Syrah</v>
      </c>
      <c r="G2030" s="3"/>
      <c r="H2030" s="56">
        <f>IFERROR(__xludf.DUMMYFUNCTION("""COMPUTED_VALUE"""),235.0)</f>
        <v>235</v>
      </c>
      <c r="I2030" s="3"/>
      <c r="J2030" s="3"/>
      <c r="K2030" s="57">
        <f>IFERROR(__xludf.DUMMYFUNCTION("""COMPUTED_VALUE"""),3.84)</f>
        <v>3.84</v>
      </c>
      <c r="L2030" s="54">
        <f>IFERROR(__xludf.DUMMYFUNCTION("""COMPUTED_VALUE"""),22.0)</f>
        <v>22</v>
      </c>
      <c r="M2030" s="3">
        <f>IFERROR(__xludf.DUMMYFUNCTION("""COMPUTED_VALUE"""),75.0)</f>
        <v>75</v>
      </c>
      <c r="N2030" s="3"/>
      <c r="O2030" s="3"/>
      <c r="P2030" s="3"/>
      <c r="Q2030" s="3"/>
      <c r="R2030" s="3">
        <f>IFERROR(__xludf.DUMMYFUNCTION("""COMPUTED_VALUE"""),0.0)</f>
        <v>0</v>
      </c>
      <c r="S2030" s="3"/>
      <c r="T2030" s="5"/>
      <c r="U2030" s="5"/>
      <c r="V2030" s="5"/>
      <c r="W2030" s="5"/>
    </row>
    <row r="2031" ht="15.75" customHeight="1">
      <c r="A2031" s="3">
        <f>IFERROR(__xludf.DUMMYFUNCTION("""COMPUTED_VALUE"""),2031.0)</f>
        <v>2031</v>
      </c>
      <c r="B2031" s="53">
        <f>IFERROR(__xludf.DUMMYFUNCTION("""COMPUTED_VALUE"""),46093.0)</f>
        <v>46093</v>
      </c>
      <c r="C2031" s="3">
        <f>IFERROR(__xludf.DUMMYFUNCTION("""COMPUTED_VALUE"""),88.0)</f>
        <v>88</v>
      </c>
      <c r="D2031" s="3" t="str">
        <f>IFERROR(__xludf.DUMMYFUNCTION("""COMPUTED_VALUE"""),"69a8bead")</f>
        <v>69a8bead</v>
      </c>
      <c r="E2031" s="54">
        <f>IFERROR(__xludf.DUMMYFUNCTION("""COMPUTED_VALUE"""),46800.0)</f>
        <v>46800</v>
      </c>
      <c r="F2031" s="3" t="str">
        <f>IFERROR(__xludf.DUMMYFUNCTION("""COMPUTED_VALUE"""),"Syrah pc")</f>
        <v>Syrah pc</v>
      </c>
      <c r="G2031" s="3"/>
      <c r="H2031" s="3"/>
      <c r="I2031" s="3"/>
      <c r="J2031" s="3"/>
      <c r="K2031" s="57">
        <f>IFERROR(__xludf.DUMMYFUNCTION("""COMPUTED_VALUE"""),3.88)</f>
        <v>3.88</v>
      </c>
      <c r="L2031" s="3"/>
      <c r="M2031" s="3"/>
      <c r="N2031" s="3"/>
      <c r="O2031" s="3"/>
      <c r="P2031" s="3"/>
      <c r="Q2031" s="3"/>
      <c r="R2031" s="3">
        <f>IFERROR(__xludf.DUMMYFUNCTION("""COMPUTED_VALUE"""),0.0)</f>
        <v>0</v>
      </c>
      <c r="S2031" s="3"/>
      <c r="T2031" s="5"/>
      <c r="U2031" s="5"/>
      <c r="V2031" s="5"/>
      <c r="W2031" s="5"/>
    </row>
    <row r="2032" ht="15.75" customHeight="1">
      <c r="A2032" s="3">
        <f>IFERROR(__xludf.DUMMYFUNCTION("""COMPUTED_VALUE"""),2032.0)</f>
        <v>2032</v>
      </c>
      <c r="B2032" s="53">
        <f>IFERROR(__xludf.DUMMYFUNCTION("""COMPUTED_VALUE"""),46093.0)</f>
        <v>46093</v>
      </c>
      <c r="C2032" s="3">
        <f>IFERROR(__xludf.DUMMYFUNCTION("""COMPUTED_VALUE"""),89.0)</f>
        <v>89</v>
      </c>
      <c r="D2032" s="3" t="str">
        <f>IFERROR(__xludf.DUMMYFUNCTION("""COMPUTED_VALUE"""),"ed448032")</f>
        <v>ed448032</v>
      </c>
      <c r="E2032" s="54">
        <f>IFERROR(__xludf.DUMMYFUNCTION("""COMPUTED_VALUE"""),42200.0)</f>
        <v>42200</v>
      </c>
      <c r="F2032" s="3" t="str">
        <f>IFERROR(__xludf.DUMMYFUNCTION("""COMPUTED_VALUE"""),"Syrah pc")</f>
        <v>Syrah pc</v>
      </c>
      <c r="G2032" s="3"/>
      <c r="H2032" s="3"/>
      <c r="I2032" s="3"/>
      <c r="J2032" s="3"/>
      <c r="K2032" s="57">
        <f>IFERROR(__xludf.DUMMYFUNCTION("""COMPUTED_VALUE"""),3.76)</f>
        <v>3.76</v>
      </c>
      <c r="L2032" s="3"/>
      <c r="M2032" s="3"/>
      <c r="N2032" s="3"/>
      <c r="O2032" s="3"/>
      <c r="P2032" s="3"/>
      <c r="Q2032" s="3"/>
      <c r="R2032" s="3">
        <f>IFERROR(__xludf.DUMMYFUNCTION("""COMPUTED_VALUE"""),0.0)</f>
        <v>0</v>
      </c>
      <c r="S2032" s="3"/>
      <c r="T2032" s="5"/>
      <c r="U2032" s="5"/>
      <c r="V2032" s="5"/>
      <c r="W2032" s="5"/>
    </row>
    <row r="2033" ht="15.75" customHeight="1">
      <c r="A2033" s="3">
        <f>IFERROR(__xludf.DUMMYFUNCTION("""COMPUTED_VALUE"""),2033.0)</f>
        <v>2033</v>
      </c>
      <c r="B2033" s="53">
        <f>IFERROR(__xludf.DUMMYFUNCTION("""COMPUTED_VALUE"""),46094.0)</f>
        <v>46094</v>
      </c>
      <c r="C2033" s="3">
        <f>IFERROR(__xludf.DUMMYFUNCTION("""COMPUTED_VALUE"""),71.0)</f>
        <v>71</v>
      </c>
      <c r="D2033" s="3" t="str">
        <f>IFERROR(__xludf.DUMMYFUNCTION("""COMPUTED_VALUE"""),"9cbd78b9")</f>
        <v>9cbd78b9</v>
      </c>
      <c r="E2033" s="54">
        <f>IFERROR(__xludf.DUMMYFUNCTION("""COMPUTED_VALUE"""),11000.0)</f>
        <v>11000</v>
      </c>
      <c r="F2033" s="3" t="str">
        <f>IFERROR(__xludf.DUMMYFUNCTION("""COMPUTED_VALUE"""),"Syrah s/Asp 2")</f>
        <v>Syrah s/Asp 2</v>
      </c>
      <c r="G2033" s="3"/>
      <c r="H2033" s="3"/>
      <c r="I2033" s="3"/>
      <c r="J2033" s="3"/>
      <c r="K2033" s="57">
        <f>IFERROR(__xludf.DUMMYFUNCTION("""COMPUTED_VALUE"""),3.6)</f>
        <v>3.6</v>
      </c>
      <c r="L2033" s="54">
        <f>IFERROR(__xludf.DUMMYFUNCTION("""COMPUTED_VALUE"""),34.0)</f>
        <v>34</v>
      </c>
      <c r="M2033" s="3">
        <f>IFERROR(__xludf.DUMMYFUNCTION("""COMPUTED_VALUE"""),102.0)</f>
        <v>102</v>
      </c>
      <c r="N2033" s="3"/>
      <c r="O2033" s="3"/>
      <c r="P2033" s="3"/>
      <c r="Q2033" s="3"/>
      <c r="R2033" s="3">
        <f>IFERROR(__xludf.DUMMYFUNCTION("""COMPUTED_VALUE"""),0.0)</f>
        <v>0</v>
      </c>
      <c r="S2033" s="3"/>
      <c r="T2033" s="5"/>
      <c r="U2033" s="5"/>
      <c r="V2033" s="5"/>
      <c r="W2033" s="5"/>
    </row>
    <row r="2034" ht="15.75" customHeight="1">
      <c r="A2034" s="3">
        <f>IFERROR(__xludf.DUMMYFUNCTION("""COMPUTED_VALUE"""),2034.0)</f>
        <v>2034</v>
      </c>
      <c r="B2034" s="53">
        <f>IFERROR(__xludf.DUMMYFUNCTION("""COMPUTED_VALUE"""),46094.0)</f>
        <v>46094</v>
      </c>
      <c r="C2034" s="3">
        <f>IFERROR(__xludf.DUMMYFUNCTION("""COMPUTED_VALUE"""),72.0)</f>
        <v>72</v>
      </c>
      <c r="D2034" s="3" t="str">
        <f>IFERROR(__xludf.DUMMYFUNCTION("""COMPUTED_VALUE"""),"d0f8eef2")</f>
        <v>d0f8eef2</v>
      </c>
      <c r="E2034" s="54">
        <f>IFERROR(__xludf.DUMMYFUNCTION("""COMPUTED_VALUE"""),9200.0)</f>
        <v>9200</v>
      </c>
      <c r="F2034" s="3" t="str">
        <f>IFERROR(__xludf.DUMMYFUNCTION("""COMPUTED_VALUE"""),"Chardonnay")</f>
        <v>Chardonnay</v>
      </c>
      <c r="G2034" s="3"/>
      <c r="H2034" s="56">
        <f>IFERROR(__xludf.DUMMYFUNCTION("""COMPUTED_VALUE"""),2.0)</f>
        <v>2</v>
      </c>
      <c r="I2034" s="3"/>
      <c r="J2034" s="3"/>
      <c r="K2034" s="57">
        <f>IFERROR(__xludf.DUMMYFUNCTION("""COMPUTED_VALUE"""),3.42)</f>
        <v>3.42</v>
      </c>
      <c r="L2034" s="54">
        <f>IFERROR(__xludf.DUMMYFUNCTION("""COMPUTED_VALUE"""),17.0)</f>
        <v>17</v>
      </c>
      <c r="M2034" s="3">
        <f>IFERROR(__xludf.DUMMYFUNCTION("""COMPUTED_VALUE"""),100.0)</f>
        <v>100</v>
      </c>
      <c r="N2034" s="3"/>
      <c r="O2034" s="3"/>
      <c r="P2034" s="3"/>
      <c r="Q2034" s="3"/>
      <c r="R2034" s="3">
        <f>IFERROR(__xludf.DUMMYFUNCTION("""COMPUTED_VALUE"""),0.0)</f>
        <v>0</v>
      </c>
      <c r="S2034" s="3"/>
      <c r="T2034" s="5"/>
      <c r="U2034" s="5"/>
      <c r="V2034" s="5"/>
      <c r="W2034" s="5"/>
    </row>
    <row r="2035" ht="15.75" customHeight="1">
      <c r="A2035" s="3">
        <f>IFERROR(__xludf.DUMMYFUNCTION("""COMPUTED_VALUE"""),2035.0)</f>
        <v>2035</v>
      </c>
      <c r="B2035" s="53">
        <f>IFERROR(__xludf.DUMMYFUNCTION("""COMPUTED_VALUE"""),46094.0)</f>
        <v>46094</v>
      </c>
      <c r="C2035" s="3">
        <f>IFERROR(__xludf.DUMMYFUNCTION("""COMPUTED_VALUE"""),73.0)</f>
        <v>73</v>
      </c>
      <c r="D2035" s="3" t="str">
        <f>IFERROR(__xludf.DUMMYFUNCTION("""COMPUTED_VALUE"""),"95936008")</f>
        <v>95936008</v>
      </c>
      <c r="E2035" s="54">
        <f>IFERROR(__xludf.DUMMYFUNCTION("""COMPUTED_VALUE"""),13000.0)</f>
        <v>13000</v>
      </c>
      <c r="F2035" s="3" t="str">
        <f>IFERROR(__xludf.DUMMYFUNCTION("""COMPUTED_VALUE"""),"Syrah s/Asp 2")</f>
        <v>Syrah s/Asp 2</v>
      </c>
      <c r="G2035" s="3"/>
      <c r="H2035" s="3"/>
      <c r="I2035" s="3"/>
      <c r="J2035" s="3"/>
      <c r="K2035" s="57">
        <f>IFERROR(__xludf.DUMMYFUNCTION("""COMPUTED_VALUE"""),3.59)</f>
        <v>3.59</v>
      </c>
      <c r="L2035" s="54">
        <f>IFERROR(__xludf.DUMMYFUNCTION("""COMPUTED_VALUE"""),40.0)</f>
        <v>40</v>
      </c>
      <c r="M2035" s="3">
        <f>IFERROR(__xludf.DUMMYFUNCTION("""COMPUTED_VALUE"""),102.0)</f>
        <v>102</v>
      </c>
      <c r="N2035" s="3"/>
      <c r="O2035" s="3"/>
      <c r="P2035" s="3"/>
      <c r="Q2035" s="3"/>
      <c r="R2035" s="3">
        <f>IFERROR(__xludf.DUMMYFUNCTION("""COMPUTED_VALUE"""),0.0)</f>
        <v>0</v>
      </c>
      <c r="S2035" s="3"/>
      <c r="T2035" s="5"/>
      <c r="U2035" s="5"/>
      <c r="V2035" s="5"/>
      <c r="W2035" s="5"/>
    </row>
    <row r="2036" ht="15.75" customHeight="1">
      <c r="A2036" s="3">
        <f>IFERROR(__xludf.DUMMYFUNCTION("""COMPUTED_VALUE"""),2036.0)</f>
        <v>2036</v>
      </c>
      <c r="B2036" s="53">
        <f>IFERROR(__xludf.DUMMYFUNCTION("""COMPUTED_VALUE"""),46094.0)</f>
        <v>46094</v>
      </c>
      <c r="C2036" s="3">
        <f>IFERROR(__xludf.DUMMYFUNCTION("""COMPUTED_VALUE"""),76.0)</f>
        <v>76</v>
      </c>
      <c r="D2036" s="3" t="str">
        <f>IFERROR(__xludf.DUMMYFUNCTION("""COMPUTED_VALUE"""),"24592bd2")</f>
        <v>24592bd2</v>
      </c>
      <c r="E2036" s="54">
        <f>IFERROR(__xludf.DUMMYFUNCTION("""COMPUTED_VALUE"""),17000.0)</f>
        <v>17000</v>
      </c>
      <c r="F2036" s="3" t="str">
        <f>IFERROR(__xludf.DUMMYFUNCTION("""COMPUTED_VALUE"""),"Chardonnay")</f>
        <v>Chardonnay</v>
      </c>
      <c r="G2036" s="3"/>
      <c r="H2036" s="56">
        <f>IFERROR(__xludf.DUMMYFUNCTION("""COMPUTED_VALUE"""),2.0)</f>
        <v>2</v>
      </c>
      <c r="I2036" s="3"/>
      <c r="J2036" s="3"/>
      <c r="K2036" s="57">
        <f>IFERROR(__xludf.DUMMYFUNCTION("""COMPUTED_VALUE"""),3.22)</f>
        <v>3.22</v>
      </c>
      <c r="L2036" s="54">
        <f>IFERROR(__xludf.DUMMYFUNCTION("""COMPUTED_VALUE"""),13.0)</f>
        <v>13</v>
      </c>
      <c r="M2036" s="3">
        <f>IFERROR(__xludf.DUMMYFUNCTION("""COMPUTED_VALUE"""),83.0)</f>
        <v>83</v>
      </c>
      <c r="N2036" s="3"/>
      <c r="O2036" s="3"/>
      <c r="P2036" s="3"/>
      <c r="Q2036" s="3"/>
      <c r="R2036" s="3">
        <f>IFERROR(__xludf.DUMMYFUNCTION("""COMPUTED_VALUE"""),0.0)</f>
        <v>0</v>
      </c>
      <c r="S2036" s="3"/>
      <c r="T2036" s="5"/>
      <c r="U2036" s="5"/>
      <c r="V2036" s="5"/>
      <c r="W2036" s="5"/>
    </row>
    <row r="2037" ht="15.75" customHeight="1">
      <c r="A2037" s="3">
        <f>IFERROR(__xludf.DUMMYFUNCTION("""COMPUTED_VALUE"""),2037.0)</f>
        <v>2037</v>
      </c>
      <c r="B2037" s="53">
        <f>IFERROR(__xludf.DUMMYFUNCTION("""COMPUTED_VALUE"""),46094.0)</f>
        <v>46094</v>
      </c>
      <c r="C2037" s="3">
        <f>IFERROR(__xludf.DUMMYFUNCTION("""COMPUTED_VALUE"""),102.0)</f>
        <v>102</v>
      </c>
      <c r="D2037" s="3" t="str">
        <f>IFERROR(__xludf.DUMMYFUNCTION("""COMPUTED_VALUE"""),"15c1aa14")</f>
        <v>15c1aa14</v>
      </c>
      <c r="E2037" s="54">
        <f>IFERROR(__xludf.DUMMYFUNCTION("""COMPUTED_VALUE"""),31000.0)</f>
        <v>31000</v>
      </c>
      <c r="F2037" s="3" t="str">
        <f>IFERROR(__xludf.DUMMYFUNCTION("""COMPUTED_VALUE"""),"Syrah Anc s/Asp 2")</f>
        <v>Syrah Anc s/Asp 2</v>
      </c>
      <c r="G2037" s="3"/>
      <c r="H2037" s="3"/>
      <c r="I2037" s="3"/>
      <c r="J2037" s="3"/>
      <c r="K2037" s="57">
        <f>IFERROR(__xludf.DUMMYFUNCTION("""COMPUTED_VALUE"""),3.66)</f>
        <v>3.66</v>
      </c>
      <c r="L2037" s="54">
        <f>IFERROR(__xludf.DUMMYFUNCTION("""COMPUTED_VALUE"""),40.0)</f>
        <v>40</v>
      </c>
      <c r="M2037" s="3">
        <f>IFERROR(__xludf.DUMMYFUNCTION("""COMPUTED_VALUE"""),120.0)</f>
        <v>120</v>
      </c>
      <c r="N2037" s="3"/>
      <c r="O2037" s="3"/>
      <c r="P2037" s="3"/>
      <c r="Q2037" s="3"/>
      <c r="R2037" s="3">
        <f>IFERROR(__xludf.DUMMYFUNCTION("""COMPUTED_VALUE"""),0.0)</f>
        <v>0</v>
      </c>
      <c r="S2037" s="3"/>
      <c r="T2037" s="5"/>
      <c r="U2037" s="5"/>
      <c r="V2037" s="5"/>
      <c r="W2037" s="5"/>
    </row>
    <row r="2038" ht="15.75" customHeight="1">
      <c r="A2038" s="3">
        <f>IFERROR(__xludf.DUMMYFUNCTION("""COMPUTED_VALUE"""),2038.0)</f>
        <v>2038</v>
      </c>
      <c r="B2038" s="53">
        <f>IFERROR(__xludf.DUMMYFUNCTION("""COMPUTED_VALUE"""),46094.0)</f>
        <v>46094</v>
      </c>
      <c r="C2038" s="3">
        <f>IFERROR(__xludf.DUMMYFUNCTION("""COMPUTED_VALUE"""),103.0)</f>
        <v>103</v>
      </c>
      <c r="D2038" s="3" t="str">
        <f>IFERROR(__xludf.DUMMYFUNCTION("""COMPUTED_VALUE"""),"a8f01ef9")</f>
        <v>a8f01ef9</v>
      </c>
      <c r="E2038" s="54">
        <f>IFERROR(__xludf.DUMMYFUNCTION("""COMPUTED_VALUE"""),28000.0)</f>
        <v>28000</v>
      </c>
      <c r="F2038" s="3" t="str">
        <f>IFERROR(__xludf.DUMMYFUNCTION("""COMPUTED_VALUE"""),"Syrah Anc s/Asp 2")</f>
        <v>Syrah Anc s/Asp 2</v>
      </c>
      <c r="G2038" s="3"/>
      <c r="H2038" s="3"/>
      <c r="I2038" s="3"/>
      <c r="J2038" s="3"/>
      <c r="K2038" s="57">
        <f>IFERROR(__xludf.DUMMYFUNCTION("""COMPUTED_VALUE"""),3.64)</f>
        <v>3.64</v>
      </c>
      <c r="L2038" s="54">
        <f>IFERROR(__xludf.DUMMYFUNCTION("""COMPUTED_VALUE"""),40.0)</f>
        <v>40</v>
      </c>
      <c r="M2038" s="3">
        <f>IFERROR(__xludf.DUMMYFUNCTION("""COMPUTED_VALUE"""),110.0)</f>
        <v>110</v>
      </c>
      <c r="N2038" s="3"/>
      <c r="O2038" s="3"/>
      <c r="P2038" s="3"/>
      <c r="Q2038" s="3"/>
      <c r="R2038" s="3">
        <f>IFERROR(__xludf.DUMMYFUNCTION("""COMPUTED_VALUE"""),0.0)</f>
        <v>0</v>
      </c>
      <c r="S2038" s="3"/>
      <c r="T2038" s="5"/>
      <c r="U2038" s="5"/>
      <c r="V2038" s="5"/>
      <c r="W2038" s="5"/>
    </row>
    <row r="2039" ht="15.75" customHeight="1">
      <c r="A2039" s="3">
        <f>IFERROR(__xludf.DUMMYFUNCTION("""COMPUTED_VALUE"""),2039.0)</f>
        <v>2039</v>
      </c>
      <c r="B2039" s="53">
        <f>IFERROR(__xludf.DUMMYFUNCTION("""COMPUTED_VALUE"""),46094.0)</f>
        <v>46094</v>
      </c>
      <c r="C2039" s="3">
        <f>IFERROR(__xludf.DUMMYFUNCTION("""COMPUTED_VALUE"""),104.0)</f>
        <v>104</v>
      </c>
      <c r="D2039" s="3" t="str">
        <f>IFERROR(__xludf.DUMMYFUNCTION("""COMPUTED_VALUE"""),"c85ad333")</f>
        <v>c85ad333</v>
      </c>
      <c r="E2039" s="54">
        <f>IFERROR(__xludf.DUMMYFUNCTION("""COMPUTED_VALUE"""),9000.0)</f>
        <v>9000</v>
      </c>
      <c r="F2039" s="3" t="str">
        <f>IFERROR(__xludf.DUMMYFUNCTION("""COMPUTED_VALUE"""),"Syrah s/Asp")</f>
        <v>Syrah s/Asp</v>
      </c>
      <c r="G2039" s="3"/>
      <c r="H2039" s="3"/>
      <c r="I2039" s="3"/>
      <c r="J2039" s="3"/>
      <c r="K2039" s="3"/>
      <c r="L2039" s="3"/>
      <c r="M2039" s="3"/>
      <c r="N2039" s="3"/>
      <c r="O2039" s="3"/>
      <c r="P2039" s="3"/>
      <c r="Q2039" s="3"/>
      <c r="R2039" s="3">
        <f>IFERROR(__xludf.DUMMYFUNCTION("""COMPUTED_VALUE"""),0.0)</f>
        <v>0</v>
      </c>
      <c r="S2039" s="3"/>
      <c r="T2039" s="5"/>
      <c r="U2039" s="5"/>
      <c r="V2039" s="5"/>
      <c r="W2039" s="5"/>
    </row>
    <row r="2040" ht="15.75" customHeight="1">
      <c r="A2040" s="3">
        <f>IFERROR(__xludf.DUMMYFUNCTION("""COMPUTED_VALUE"""),2040.0)</f>
        <v>2040</v>
      </c>
      <c r="B2040" s="53">
        <f>IFERROR(__xludf.DUMMYFUNCTION("""COMPUTED_VALUE"""),46094.0)</f>
        <v>46094</v>
      </c>
      <c r="C2040" s="3">
        <f>IFERROR(__xludf.DUMMYFUNCTION("""COMPUTED_VALUE"""),41.0)</f>
        <v>41</v>
      </c>
      <c r="D2040" s="3" t="str">
        <f>IFERROR(__xludf.DUMMYFUNCTION("""COMPUTED_VALUE"""),"ee47bf75")</f>
        <v>ee47bf75</v>
      </c>
      <c r="E2040" s="54">
        <f>IFERROR(__xludf.DUMMYFUNCTION("""COMPUTED_VALUE"""),35100.0)</f>
        <v>35100</v>
      </c>
      <c r="F2040" s="3" t="str">
        <f>IFERROR(__xludf.DUMMYFUNCTION("""COMPUTED_VALUE"""),"Malbec Mer s/Asp 3")</f>
        <v>Malbec Mer s/Asp 3</v>
      </c>
      <c r="G2040" s="3"/>
      <c r="H2040" s="3"/>
      <c r="I2040" s="3"/>
      <c r="J2040" s="3"/>
      <c r="K2040" s="3"/>
      <c r="L2040" s="3"/>
      <c r="M2040" s="3"/>
      <c r="N2040" s="3"/>
      <c r="O2040" s="3"/>
      <c r="P2040" s="3"/>
      <c r="Q2040" s="3"/>
      <c r="R2040" s="3">
        <f>IFERROR(__xludf.DUMMYFUNCTION("""COMPUTED_VALUE"""),0.0)</f>
        <v>0</v>
      </c>
      <c r="S2040" s="3"/>
      <c r="T2040" s="5"/>
      <c r="U2040" s="5"/>
      <c r="V2040" s="5"/>
      <c r="W2040" s="5"/>
    </row>
    <row r="2041" ht="15.75" customHeight="1">
      <c r="A2041" s="3">
        <f>IFERROR(__xludf.DUMMYFUNCTION("""COMPUTED_VALUE"""),2041.0)</f>
        <v>2041</v>
      </c>
      <c r="B2041" s="53">
        <f>IFERROR(__xludf.DUMMYFUNCTION("""COMPUTED_VALUE"""),46095.0)</f>
        <v>46095</v>
      </c>
      <c r="C2041" s="3">
        <f>IFERROR(__xludf.DUMMYFUNCTION("""COMPUTED_VALUE"""),65.0)</f>
        <v>65</v>
      </c>
      <c r="D2041" s="3" t="str">
        <f>IFERROR(__xludf.DUMMYFUNCTION("""COMPUTED_VALUE"""),"181268cf")</f>
        <v>181268cf</v>
      </c>
      <c r="E2041" s="54">
        <f>IFERROR(__xludf.DUMMYFUNCTION("""COMPUTED_VALUE"""),20100.0)</f>
        <v>20100</v>
      </c>
      <c r="F2041" s="3" t="str">
        <f>IFERROR(__xludf.DUMMYFUNCTION("""COMPUTED_VALUE"""),"Syrah Temp")</f>
        <v>Syrah Temp</v>
      </c>
      <c r="G2041" s="3"/>
      <c r="H2041" s="56">
        <f>IFERROR(__xludf.DUMMYFUNCTION("""COMPUTED_VALUE"""),245.0)</f>
        <v>245</v>
      </c>
      <c r="I2041" s="3"/>
      <c r="J2041" s="3"/>
      <c r="K2041" s="57">
        <f>IFERROR(__xludf.DUMMYFUNCTION("""COMPUTED_VALUE"""),3.9)</f>
        <v>3.9</v>
      </c>
      <c r="L2041" s="54">
        <f>IFERROR(__xludf.DUMMYFUNCTION("""COMPUTED_VALUE"""),38.0)</f>
        <v>38</v>
      </c>
      <c r="M2041" s="3">
        <f>IFERROR(__xludf.DUMMYFUNCTION("""COMPUTED_VALUE"""),50.0)</f>
        <v>50</v>
      </c>
      <c r="N2041" s="3"/>
      <c r="O2041" s="3"/>
      <c r="P2041" s="3"/>
      <c r="Q2041" s="3"/>
      <c r="R2041" s="3">
        <f>IFERROR(__xludf.DUMMYFUNCTION("""COMPUTED_VALUE"""),0.0)</f>
        <v>0</v>
      </c>
      <c r="S2041" s="3"/>
      <c r="T2041" s="5"/>
      <c r="U2041" s="5"/>
      <c r="V2041" s="5"/>
      <c r="W2041" s="5"/>
    </row>
    <row r="2042" ht="15.75" customHeight="1">
      <c r="A2042" s="3">
        <f>IFERROR(__xludf.DUMMYFUNCTION("""COMPUTED_VALUE"""),2042.0)</f>
        <v>2042</v>
      </c>
      <c r="B2042" s="53">
        <f>IFERROR(__xludf.DUMMYFUNCTION("""COMPUTED_VALUE"""),46095.0)</f>
        <v>46095</v>
      </c>
      <c r="C2042" s="3">
        <f>IFERROR(__xludf.DUMMYFUNCTION("""COMPUTED_VALUE"""),66.0)</f>
        <v>66</v>
      </c>
      <c r="D2042" s="3" t="str">
        <f>IFERROR(__xludf.DUMMYFUNCTION("""COMPUTED_VALUE"""),"94ab543f")</f>
        <v>94ab543f</v>
      </c>
      <c r="E2042" s="54">
        <f>IFERROR(__xludf.DUMMYFUNCTION("""COMPUTED_VALUE"""),11500.0)</f>
        <v>11500</v>
      </c>
      <c r="F2042" s="3" t="str">
        <f>IFERROR(__xludf.DUMMYFUNCTION("""COMPUTED_VALUE"""),"Bonarda")</f>
        <v>Bonarda</v>
      </c>
      <c r="G2042" s="3"/>
      <c r="H2042" s="56">
        <f>IFERROR(__xludf.DUMMYFUNCTION("""COMPUTED_VALUE"""),240.0)</f>
        <v>240</v>
      </c>
      <c r="I2042" s="3"/>
      <c r="J2042" s="3"/>
      <c r="K2042" s="57">
        <f>IFERROR(__xludf.DUMMYFUNCTION("""COMPUTED_VALUE"""),3.82)</f>
        <v>3.82</v>
      </c>
      <c r="L2042" s="54">
        <f>IFERROR(__xludf.DUMMYFUNCTION("""COMPUTED_VALUE"""),50.0)</f>
        <v>50</v>
      </c>
      <c r="M2042" s="3">
        <f>IFERROR(__xludf.DUMMYFUNCTION("""COMPUTED_VALUE"""),180.0)</f>
        <v>180</v>
      </c>
      <c r="N2042" s="3"/>
      <c r="O2042" s="3"/>
      <c r="P2042" s="3"/>
      <c r="Q2042" s="3"/>
      <c r="R2042" s="3">
        <f>IFERROR(__xludf.DUMMYFUNCTION("""COMPUTED_VALUE"""),0.0)</f>
        <v>0</v>
      </c>
      <c r="S2042" s="3"/>
      <c r="T2042" s="5"/>
      <c r="U2042" s="5"/>
      <c r="V2042" s="5"/>
      <c r="W2042" s="5"/>
    </row>
    <row r="2043" ht="15.75" customHeight="1">
      <c r="A2043" s="3">
        <f>IFERROR(__xludf.DUMMYFUNCTION("""COMPUTED_VALUE"""),2043.0)</f>
        <v>2043</v>
      </c>
      <c r="B2043" s="53">
        <f>IFERROR(__xludf.DUMMYFUNCTION("""COMPUTED_VALUE"""),46095.0)</f>
        <v>46095</v>
      </c>
      <c r="C2043" s="3">
        <f>IFERROR(__xludf.DUMMYFUNCTION("""COMPUTED_VALUE"""),67.0)</f>
        <v>67</v>
      </c>
      <c r="D2043" s="3" t="str">
        <f>IFERROR(__xludf.DUMMYFUNCTION("""COMPUTED_VALUE"""),"f3173f78")</f>
        <v>f3173f78</v>
      </c>
      <c r="E2043" s="54">
        <f>IFERROR(__xludf.DUMMYFUNCTION("""COMPUTED_VALUE"""),11500.0)</f>
        <v>11500</v>
      </c>
      <c r="F2043" s="3" t="str">
        <f>IFERROR(__xludf.DUMMYFUNCTION("""COMPUTED_VALUE"""),"Bonarda Sy")</f>
        <v>Bonarda Sy</v>
      </c>
      <c r="G2043" s="3"/>
      <c r="H2043" s="56">
        <f>IFERROR(__xludf.DUMMYFUNCTION("""COMPUTED_VALUE"""),210.0)</f>
        <v>210</v>
      </c>
      <c r="I2043" s="3"/>
      <c r="J2043" s="3"/>
      <c r="K2043" s="57">
        <f>IFERROR(__xludf.DUMMYFUNCTION("""COMPUTED_VALUE"""),3.9)</f>
        <v>3.9</v>
      </c>
      <c r="L2043" s="54">
        <f>IFERROR(__xludf.DUMMYFUNCTION("""COMPUTED_VALUE"""),40.0)</f>
        <v>40</v>
      </c>
      <c r="M2043" s="3">
        <f>IFERROR(__xludf.DUMMYFUNCTION("""COMPUTED_VALUE"""),100.0)</f>
        <v>100</v>
      </c>
      <c r="N2043" s="3"/>
      <c r="O2043" s="3"/>
      <c r="P2043" s="3"/>
      <c r="Q2043" s="3"/>
      <c r="R2043" s="3">
        <f>IFERROR(__xludf.DUMMYFUNCTION("""COMPUTED_VALUE"""),0.0)</f>
        <v>0</v>
      </c>
      <c r="S2043" s="3"/>
      <c r="T2043" s="5"/>
      <c r="U2043" s="5"/>
      <c r="V2043" s="5"/>
      <c r="W2043" s="5"/>
    </row>
    <row r="2044" ht="15.75" customHeight="1">
      <c r="A2044" s="3">
        <f>IFERROR(__xludf.DUMMYFUNCTION("""COMPUTED_VALUE"""),2044.0)</f>
        <v>2044</v>
      </c>
      <c r="B2044" s="53">
        <f>IFERROR(__xludf.DUMMYFUNCTION("""COMPUTED_VALUE"""),46098.0)</f>
        <v>46098</v>
      </c>
      <c r="C2044" s="3">
        <f>IFERROR(__xludf.DUMMYFUNCTION("""COMPUTED_VALUE"""),49.0)</f>
        <v>49</v>
      </c>
      <c r="D2044" s="3" t="str">
        <f>IFERROR(__xludf.DUMMYFUNCTION("""COMPUTED_VALUE"""),"f2237628")</f>
        <v>f2237628</v>
      </c>
      <c r="E2044" s="54">
        <f>IFERROR(__xludf.DUMMYFUNCTION("""COMPUTED_VALUE"""),26000.0)</f>
        <v>26000</v>
      </c>
      <c r="F2044" s="3" t="str">
        <f>IFERROR(__xludf.DUMMYFUNCTION("""COMPUTED_VALUE"""),"Chardonnay")</f>
        <v>Chardonnay</v>
      </c>
      <c r="G2044" s="3"/>
      <c r="H2044" s="3"/>
      <c r="I2044" s="3"/>
      <c r="J2044" s="3"/>
      <c r="K2044" s="57">
        <f>IFERROR(__xludf.DUMMYFUNCTION("""COMPUTED_VALUE"""),3.43)</f>
        <v>3.43</v>
      </c>
      <c r="L2044" s="54">
        <f>IFERROR(__xludf.DUMMYFUNCTION("""COMPUTED_VALUE"""),27.0)</f>
        <v>27</v>
      </c>
      <c r="M2044" s="3">
        <f>IFERROR(__xludf.DUMMYFUNCTION("""COMPUTED_VALUE"""),102.0)</f>
        <v>102</v>
      </c>
      <c r="N2044" s="3"/>
      <c r="O2044" s="3"/>
      <c r="P2044" s="3"/>
      <c r="Q2044" s="3"/>
      <c r="R2044" s="3">
        <f>IFERROR(__xludf.DUMMYFUNCTION("""COMPUTED_VALUE"""),0.0)</f>
        <v>0</v>
      </c>
      <c r="S2044" s="3"/>
      <c r="T2044" s="5"/>
      <c r="U2044" s="5"/>
      <c r="V2044" s="5"/>
      <c r="W2044" s="5"/>
    </row>
    <row r="2045" ht="15.75" customHeight="1">
      <c r="A2045" s="3">
        <f>IFERROR(__xludf.DUMMYFUNCTION("""COMPUTED_VALUE"""),2045.0)</f>
        <v>2045</v>
      </c>
      <c r="B2045" s="53">
        <f>IFERROR(__xludf.DUMMYFUNCTION("""COMPUTED_VALUE"""),46098.0)</f>
        <v>46098</v>
      </c>
      <c r="C2045" s="3">
        <f>IFERROR(__xludf.DUMMYFUNCTION("""COMPUTED_VALUE"""),30.0)</f>
        <v>30</v>
      </c>
      <c r="D2045" s="3" t="str">
        <f>IFERROR(__xludf.DUMMYFUNCTION("""COMPUTED_VALUE"""),"0432aaa0")</f>
        <v>0432aaa0</v>
      </c>
      <c r="E2045" s="54">
        <f>IFERROR(__xludf.DUMMYFUNCTION("""COMPUTED_VALUE"""),38800.0)</f>
        <v>38800</v>
      </c>
      <c r="F2045" s="3" t="str">
        <f>IFERROR(__xludf.DUMMYFUNCTION("""COMPUTED_VALUE"""),"Chardonnay Ch")</f>
        <v>Chardonnay Ch</v>
      </c>
      <c r="G2045" s="3"/>
      <c r="H2045" s="3"/>
      <c r="I2045" s="3"/>
      <c r="J2045" s="3"/>
      <c r="K2045" s="57">
        <f>IFERROR(__xludf.DUMMYFUNCTION("""COMPUTED_VALUE"""),3.4)</f>
        <v>3.4</v>
      </c>
      <c r="L2045" s="54">
        <f>IFERROR(__xludf.DUMMYFUNCTION("""COMPUTED_VALUE"""),32.0)</f>
        <v>32</v>
      </c>
      <c r="M2045" s="3">
        <f>IFERROR(__xludf.DUMMYFUNCTION("""COMPUTED_VALUE"""),104.0)</f>
        <v>104</v>
      </c>
      <c r="N2045" s="3"/>
      <c r="O2045" s="3"/>
      <c r="P2045" s="3"/>
      <c r="Q2045" s="3"/>
      <c r="R2045" s="3">
        <f>IFERROR(__xludf.DUMMYFUNCTION("""COMPUTED_VALUE"""),0.0)</f>
        <v>0</v>
      </c>
      <c r="S2045" s="3"/>
      <c r="T2045" s="5"/>
      <c r="U2045" s="5"/>
      <c r="V2045" s="5"/>
      <c r="W2045" s="5"/>
    </row>
    <row r="2046" ht="15.75" customHeight="1">
      <c r="A2046" s="3">
        <f>IFERROR(__xludf.DUMMYFUNCTION("""COMPUTED_VALUE"""),2046.0)</f>
        <v>2046</v>
      </c>
      <c r="B2046" s="53">
        <f>IFERROR(__xludf.DUMMYFUNCTION("""COMPUTED_VALUE"""),46098.0)</f>
        <v>46098</v>
      </c>
      <c r="C2046" s="3">
        <f>IFERROR(__xludf.DUMMYFUNCTION("""COMPUTED_VALUE"""),52.0)</f>
        <v>52</v>
      </c>
      <c r="D2046" s="3" t="str">
        <f>IFERROR(__xludf.DUMMYFUNCTION("""COMPUTED_VALUE"""),"057306c8")</f>
        <v>057306c8</v>
      </c>
      <c r="E2046" s="54">
        <f>IFERROR(__xludf.DUMMYFUNCTION("""COMPUTED_VALUE"""),27000.0)</f>
        <v>27000</v>
      </c>
      <c r="F2046" s="3" t="str">
        <f>IFERROR(__xludf.DUMMYFUNCTION("""COMPUTED_VALUE"""),"Chardonnay")</f>
        <v>Chardonnay</v>
      </c>
      <c r="G2046" s="3"/>
      <c r="H2046" s="3"/>
      <c r="I2046" s="3"/>
      <c r="J2046" s="3"/>
      <c r="K2046" s="57">
        <f>IFERROR(__xludf.DUMMYFUNCTION("""COMPUTED_VALUE"""),3.51)</f>
        <v>3.51</v>
      </c>
      <c r="L2046" s="54">
        <f>IFERROR(__xludf.DUMMYFUNCTION("""COMPUTED_VALUE"""),26.0)</f>
        <v>26</v>
      </c>
      <c r="M2046" s="3">
        <f>IFERROR(__xludf.DUMMYFUNCTION("""COMPUTED_VALUE"""),103.0)</f>
        <v>103</v>
      </c>
      <c r="N2046" s="3"/>
      <c r="O2046" s="3"/>
      <c r="P2046" s="3"/>
      <c r="Q2046" s="3"/>
      <c r="R2046" s="3">
        <f>IFERROR(__xludf.DUMMYFUNCTION("""COMPUTED_VALUE"""),0.0)</f>
        <v>0</v>
      </c>
      <c r="S2046" s="3"/>
      <c r="T2046" s="5"/>
      <c r="U2046" s="5"/>
      <c r="V2046" s="5"/>
      <c r="W2046" s="5"/>
    </row>
    <row r="2047" ht="15.75" customHeight="1">
      <c r="A2047" s="3">
        <f>IFERROR(__xludf.DUMMYFUNCTION("""COMPUTED_VALUE"""),2047.0)</f>
        <v>2047</v>
      </c>
      <c r="B2047" s="53">
        <f>IFERROR(__xludf.DUMMYFUNCTION("""COMPUTED_VALUE"""),46098.0)</f>
        <v>46098</v>
      </c>
      <c r="C2047" s="3">
        <f>IFERROR(__xludf.DUMMYFUNCTION("""COMPUTED_VALUE"""),53.0)</f>
        <v>53</v>
      </c>
      <c r="D2047" s="3" t="str">
        <f>IFERROR(__xludf.DUMMYFUNCTION("""COMPUTED_VALUE"""),"ba499da1")</f>
        <v>ba499da1</v>
      </c>
      <c r="E2047" s="54">
        <f>IFERROR(__xludf.DUMMYFUNCTION("""COMPUTED_VALUE"""),22000.0)</f>
        <v>22000</v>
      </c>
      <c r="F2047" s="3" t="str">
        <f>IFERROR(__xludf.DUMMYFUNCTION("""COMPUTED_VALUE"""),"Malbec")</f>
        <v>Malbec</v>
      </c>
      <c r="G2047" s="3"/>
      <c r="H2047" s="3"/>
      <c r="I2047" s="3"/>
      <c r="J2047" s="3"/>
      <c r="K2047" s="57">
        <f>IFERROR(__xludf.DUMMYFUNCTION("""COMPUTED_VALUE"""),3.63)</f>
        <v>3.63</v>
      </c>
      <c r="L2047" s="54">
        <f>IFERROR(__xludf.DUMMYFUNCTION("""COMPUTED_VALUE"""),33.0)</f>
        <v>33</v>
      </c>
      <c r="M2047" s="3">
        <f>IFERROR(__xludf.DUMMYFUNCTION("""COMPUTED_VALUE"""),139.0)</f>
        <v>139</v>
      </c>
      <c r="N2047" s="3"/>
      <c r="O2047" s="3"/>
      <c r="P2047" s="3"/>
      <c r="Q2047" s="3"/>
      <c r="R2047" s="3">
        <f>IFERROR(__xludf.DUMMYFUNCTION("""COMPUTED_VALUE"""),0.0)</f>
        <v>0</v>
      </c>
      <c r="S2047" s="3"/>
      <c r="T2047" s="5"/>
      <c r="U2047" s="5"/>
      <c r="V2047" s="5"/>
      <c r="W2047" s="5"/>
    </row>
    <row r="2048" ht="15.75" customHeight="1">
      <c r="A2048" s="3">
        <f>IFERROR(__xludf.DUMMYFUNCTION("""COMPUTED_VALUE"""),2048.0)</f>
        <v>2048</v>
      </c>
      <c r="B2048" s="53">
        <f>IFERROR(__xludf.DUMMYFUNCTION("""COMPUTED_VALUE"""),46098.0)</f>
        <v>46098</v>
      </c>
      <c r="C2048" s="3">
        <f>IFERROR(__xludf.DUMMYFUNCTION("""COMPUTED_VALUE"""),96.0)</f>
        <v>96</v>
      </c>
      <c r="D2048" s="3" t="str">
        <f>IFERROR(__xludf.DUMMYFUNCTION("""COMPUTED_VALUE"""),"e6286b68")</f>
        <v>e6286b68</v>
      </c>
      <c r="E2048" s="54">
        <f>IFERROR(__xludf.DUMMYFUNCTION("""COMPUTED_VALUE"""),85600.0)</f>
        <v>85600</v>
      </c>
      <c r="F2048" s="3" t="str">
        <f>IFERROR(__xludf.DUMMYFUNCTION("""COMPUTED_VALUE"""),"Tinto Varietal B")</f>
        <v>Tinto Varietal B</v>
      </c>
      <c r="G2048" s="3"/>
      <c r="H2048" s="3"/>
      <c r="I2048" s="3"/>
      <c r="J2048" s="3"/>
      <c r="K2048" s="57">
        <f>IFERROR(__xludf.DUMMYFUNCTION("""COMPUTED_VALUE"""),3.62)</f>
        <v>3.62</v>
      </c>
      <c r="L2048" s="54">
        <f>IFERROR(__xludf.DUMMYFUNCTION("""COMPUTED_VALUE"""),34.0)</f>
        <v>34</v>
      </c>
      <c r="M2048" s="3">
        <f>IFERROR(__xludf.DUMMYFUNCTION("""COMPUTED_VALUE"""),142.0)</f>
        <v>142</v>
      </c>
      <c r="N2048" s="3"/>
      <c r="O2048" s="3"/>
      <c r="P2048" s="3"/>
      <c r="Q2048" s="3"/>
      <c r="R2048" s="3">
        <f>IFERROR(__xludf.DUMMYFUNCTION("""COMPUTED_VALUE"""),0.0)</f>
        <v>0</v>
      </c>
      <c r="S2048" s="3"/>
      <c r="T2048" s="5"/>
      <c r="U2048" s="5"/>
      <c r="V2048" s="5"/>
      <c r="W2048" s="5"/>
    </row>
    <row r="2049" ht="15.75" customHeight="1">
      <c r="A2049" s="3">
        <f>IFERROR(__xludf.DUMMYFUNCTION("""COMPUTED_VALUE"""),2049.0)</f>
        <v>2049</v>
      </c>
      <c r="B2049" s="53">
        <f>IFERROR(__xludf.DUMMYFUNCTION("""COMPUTED_VALUE"""),46098.0)</f>
        <v>46098</v>
      </c>
      <c r="C2049" s="3">
        <f>IFERROR(__xludf.DUMMYFUNCTION("""COMPUTED_VALUE"""),73.0)</f>
        <v>73</v>
      </c>
      <c r="D2049" s="3" t="str">
        <f>IFERROR(__xludf.DUMMYFUNCTION("""COMPUTED_VALUE"""),"95936008")</f>
        <v>95936008</v>
      </c>
      <c r="E2049" s="54">
        <f>IFERROR(__xludf.DUMMYFUNCTION("""COMPUTED_VALUE"""),13000.0)</f>
        <v>13000</v>
      </c>
      <c r="F2049" s="3" t="str">
        <f>IFERROR(__xludf.DUMMYFUNCTION("""COMPUTED_VALUE"""),"Syrah s/Asp 2")</f>
        <v>Syrah s/Asp 2</v>
      </c>
      <c r="G2049" s="3"/>
      <c r="H2049" s="3"/>
      <c r="I2049" s="3"/>
      <c r="J2049" s="3"/>
      <c r="K2049" s="57">
        <f>IFERROR(__xludf.DUMMYFUNCTION("""COMPUTED_VALUE"""),3.61)</f>
        <v>3.61</v>
      </c>
      <c r="L2049" s="54">
        <f>IFERROR(__xludf.DUMMYFUNCTION("""COMPUTED_VALUE"""),40.0)</f>
        <v>40</v>
      </c>
      <c r="M2049" s="3">
        <f>IFERROR(__xludf.DUMMYFUNCTION("""COMPUTED_VALUE"""),102.0)</f>
        <v>102</v>
      </c>
      <c r="N2049" s="3"/>
      <c r="O2049" s="3"/>
      <c r="P2049" s="3"/>
      <c r="Q2049" s="3"/>
      <c r="R2049" s="3">
        <f>IFERROR(__xludf.DUMMYFUNCTION("""COMPUTED_VALUE"""),0.0)</f>
        <v>0</v>
      </c>
      <c r="S2049" s="3"/>
      <c r="T2049" s="5"/>
      <c r="U2049" s="5"/>
      <c r="V2049" s="5"/>
      <c r="W2049" s="5"/>
    </row>
    <row r="2050" ht="15.75" customHeight="1">
      <c r="A2050" s="3">
        <f>IFERROR(__xludf.DUMMYFUNCTION("""COMPUTED_VALUE"""),2050.0)</f>
        <v>2050</v>
      </c>
      <c r="B2050" s="53">
        <f>IFERROR(__xludf.DUMMYFUNCTION("""COMPUTED_VALUE"""),46098.0)</f>
        <v>46098</v>
      </c>
      <c r="C2050" s="3">
        <f>IFERROR(__xludf.DUMMYFUNCTION("""COMPUTED_VALUE"""),71.0)</f>
        <v>71</v>
      </c>
      <c r="D2050" s="3" t="str">
        <f>IFERROR(__xludf.DUMMYFUNCTION("""COMPUTED_VALUE"""),"42662ec0")</f>
        <v>42662ec0</v>
      </c>
      <c r="E2050" s="54">
        <f>IFERROR(__xludf.DUMMYFUNCTION("""COMPUTED_VALUE"""),13000.0)</f>
        <v>13000</v>
      </c>
      <c r="F2050" s="3" t="str">
        <f>IFERROR(__xludf.DUMMYFUNCTION("""COMPUTED_VALUE"""),"Syrah s/Asp 2")</f>
        <v>Syrah s/Asp 2</v>
      </c>
      <c r="G2050" s="3"/>
      <c r="H2050" s="3"/>
      <c r="I2050" s="3"/>
      <c r="J2050" s="3"/>
      <c r="K2050" s="57">
        <f>IFERROR(__xludf.DUMMYFUNCTION("""COMPUTED_VALUE"""),3.6)</f>
        <v>3.6</v>
      </c>
      <c r="L2050" s="54">
        <f>IFERROR(__xludf.DUMMYFUNCTION("""COMPUTED_VALUE"""),39.0)</f>
        <v>39</v>
      </c>
      <c r="M2050" s="3">
        <f>IFERROR(__xludf.DUMMYFUNCTION("""COMPUTED_VALUE"""),97.0)</f>
        <v>97</v>
      </c>
      <c r="N2050" s="3"/>
      <c r="O2050" s="3"/>
      <c r="P2050" s="3"/>
      <c r="Q2050" s="3"/>
      <c r="R2050" s="3">
        <f>IFERROR(__xludf.DUMMYFUNCTION("""COMPUTED_VALUE"""),0.0)</f>
        <v>0</v>
      </c>
      <c r="S2050" s="3"/>
      <c r="T2050" s="5"/>
      <c r="U2050" s="5"/>
      <c r="V2050" s="5"/>
      <c r="W2050" s="5"/>
    </row>
    <row r="2051" ht="15.75" customHeight="1">
      <c r="A2051" s="3">
        <f>IFERROR(__xludf.DUMMYFUNCTION("""COMPUTED_VALUE"""),2051.0)</f>
        <v>2051</v>
      </c>
      <c r="B2051" s="53">
        <f>IFERROR(__xludf.DUMMYFUNCTION("""COMPUTED_VALUE"""),46098.0)</f>
        <v>46098</v>
      </c>
      <c r="C2051" s="3">
        <f>IFERROR(__xludf.DUMMYFUNCTION("""COMPUTED_VALUE"""),46.0)</f>
        <v>46</v>
      </c>
      <c r="D2051" s="3" t="str">
        <f>IFERROR(__xludf.DUMMYFUNCTION("""COMPUTED_VALUE"""),"0f375d43")</f>
        <v>0f375d43</v>
      </c>
      <c r="E2051" s="54">
        <f>IFERROR(__xludf.DUMMYFUNCTION("""COMPUTED_VALUE"""),29000.0)</f>
        <v>29000</v>
      </c>
      <c r="F2051" s="3" t="str">
        <f>IFERROR(__xludf.DUMMYFUNCTION("""COMPUTED_VALUE"""),"Aspirant")</f>
        <v>Aspirant</v>
      </c>
      <c r="G2051" s="3"/>
      <c r="H2051" s="3"/>
      <c r="I2051" s="3"/>
      <c r="J2051" s="3"/>
      <c r="K2051" s="57">
        <f>IFERROR(__xludf.DUMMYFUNCTION("""COMPUTED_VALUE"""),3.54)</f>
        <v>3.54</v>
      </c>
      <c r="L2051" s="54">
        <f>IFERROR(__xludf.DUMMYFUNCTION("""COMPUTED_VALUE"""),50.0)</f>
        <v>50</v>
      </c>
      <c r="M2051" s="3">
        <f>IFERROR(__xludf.DUMMYFUNCTION("""COMPUTED_VALUE"""),99.0)</f>
        <v>99</v>
      </c>
      <c r="N2051" s="3"/>
      <c r="O2051" s="3"/>
      <c r="P2051" s="3"/>
      <c r="Q2051" s="3"/>
      <c r="R2051" s="3">
        <f>IFERROR(__xludf.DUMMYFUNCTION("""COMPUTED_VALUE"""),0.0)</f>
        <v>0</v>
      </c>
      <c r="S2051" s="3"/>
      <c r="T2051" s="5"/>
      <c r="U2051" s="5"/>
      <c r="V2051" s="5"/>
      <c r="W2051" s="5"/>
    </row>
    <row r="2052" ht="15.75" customHeight="1">
      <c r="A2052" s="3">
        <f>IFERROR(__xludf.DUMMYFUNCTION("""COMPUTED_VALUE"""),2052.0)</f>
        <v>2052</v>
      </c>
      <c r="B2052" s="53">
        <f>IFERROR(__xludf.DUMMYFUNCTION("""COMPUTED_VALUE"""),46098.0)</f>
        <v>46098</v>
      </c>
      <c r="C2052" s="3">
        <f>IFERROR(__xludf.DUMMYFUNCTION("""COMPUTED_VALUE"""),41.0)</f>
        <v>41</v>
      </c>
      <c r="D2052" s="3" t="str">
        <f>IFERROR(__xludf.DUMMYFUNCTION("""COMPUTED_VALUE"""),"ee47bf75")</f>
        <v>ee47bf75</v>
      </c>
      <c r="E2052" s="54">
        <f>IFERROR(__xludf.DUMMYFUNCTION("""COMPUTED_VALUE"""),35100.0)</f>
        <v>35100</v>
      </c>
      <c r="F2052" s="3" t="str">
        <f>IFERROR(__xludf.DUMMYFUNCTION("""COMPUTED_VALUE"""),"Malbec Mer s/Asp 3")</f>
        <v>Malbec Mer s/Asp 3</v>
      </c>
      <c r="G2052" s="3"/>
      <c r="H2052" s="3"/>
      <c r="I2052" s="3"/>
      <c r="J2052" s="3"/>
      <c r="K2052" s="57">
        <f>IFERROR(__xludf.DUMMYFUNCTION("""COMPUTED_VALUE"""),3.7)</f>
        <v>3.7</v>
      </c>
      <c r="L2052" s="54">
        <f>IFERROR(__xludf.DUMMYFUNCTION("""COMPUTED_VALUE"""),39.0)</f>
        <v>39</v>
      </c>
      <c r="M2052" s="3">
        <f>IFERROR(__xludf.DUMMYFUNCTION("""COMPUTED_VALUE"""),104.0)</f>
        <v>104</v>
      </c>
      <c r="N2052" s="3"/>
      <c r="O2052" s="3"/>
      <c r="P2052" s="3"/>
      <c r="Q2052" s="3"/>
      <c r="R2052" s="3">
        <f>IFERROR(__xludf.DUMMYFUNCTION("""COMPUTED_VALUE"""),0.0)</f>
        <v>0</v>
      </c>
      <c r="S2052" s="3"/>
      <c r="T2052" s="5"/>
      <c r="U2052" s="5"/>
      <c r="V2052" s="5"/>
      <c r="W2052" s="5"/>
    </row>
    <row r="2053" ht="15.75" customHeight="1">
      <c r="A2053" s="3">
        <f>IFERROR(__xludf.DUMMYFUNCTION("""COMPUTED_VALUE"""),2053.0)</f>
        <v>2053</v>
      </c>
      <c r="B2053" s="53">
        <f>IFERROR(__xludf.DUMMYFUNCTION("""COMPUTED_VALUE"""),46098.0)</f>
        <v>46098</v>
      </c>
      <c r="C2053" s="3">
        <f>IFERROR(__xludf.DUMMYFUNCTION("""COMPUTED_VALUE"""),16.0)</f>
        <v>16</v>
      </c>
      <c r="D2053" s="3" t="str">
        <f>IFERROR(__xludf.DUMMYFUNCTION("""COMPUTED_VALUE"""),"eed6b107")</f>
        <v>eed6b107</v>
      </c>
      <c r="E2053" s="54">
        <f>IFERROR(__xludf.DUMMYFUNCTION("""COMPUTED_VALUE"""),19500.0)</f>
        <v>19500</v>
      </c>
      <c r="F2053" s="3" t="str">
        <f>IFERROR(__xludf.DUMMYFUNCTION("""COMPUTED_VALUE"""),"Tinto Varielta (corte Millan)")</f>
        <v>Tinto Varielta (corte Millan)</v>
      </c>
      <c r="G2053" s="3"/>
      <c r="H2053" s="3"/>
      <c r="I2053" s="3"/>
      <c r="J2053" s="3"/>
      <c r="K2053" s="57">
        <f>IFERROR(__xludf.DUMMYFUNCTION("""COMPUTED_VALUE"""),3.6)</f>
        <v>3.6</v>
      </c>
      <c r="L2053" s="54">
        <f>IFERROR(__xludf.DUMMYFUNCTION("""COMPUTED_VALUE"""),32.0)</f>
        <v>32</v>
      </c>
      <c r="M2053" s="3">
        <f>IFERROR(__xludf.DUMMYFUNCTION("""COMPUTED_VALUE"""),131.0)</f>
        <v>131</v>
      </c>
      <c r="N2053" s="3"/>
      <c r="O2053" s="3"/>
      <c r="P2053" s="3"/>
      <c r="Q2053" s="3"/>
      <c r="R2053" s="3">
        <f>IFERROR(__xludf.DUMMYFUNCTION("""COMPUTED_VALUE"""),0.0)</f>
        <v>0</v>
      </c>
      <c r="S2053" s="3"/>
      <c r="T2053" s="5"/>
      <c r="U2053" s="5"/>
      <c r="V2053" s="5"/>
      <c r="W2053" s="5"/>
    </row>
    <row r="2054" ht="15.75" customHeight="1">
      <c r="A2054" s="3">
        <f>IFERROR(__xludf.DUMMYFUNCTION("""COMPUTED_VALUE"""),2054.0)</f>
        <v>2054</v>
      </c>
      <c r="B2054" s="53">
        <f>IFERROR(__xludf.DUMMYFUNCTION("""COMPUTED_VALUE"""),46099.0)</f>
        <v>46099</v>
      </c>
      <c r="C2054" s="3">
        <f>IFERROR(__xludf.DUMMYFUNCTION("""COMPUTED_VALUE"""),81.0)</f>
        <v>81</v>
      </c>
      <c r="D2054" s="3" t="str">
        <f>IFERROR(__xludf.DUMMYFUNCTION("""COMPUTED_VALUE"""),"fa24ada7")</f>
        <v>fa24ada7</v>
      </c>
      <c r="E2054" s="54">
        <f>IFERROR(__xludf.DUMMYFUNCTION("""COMPUTED_VALUE"""),18000.0)</f>
        <v>18000</v>
      </c>
      <c r="F2054" s="3" t="str">
        <f>IFERROR(__xludf.DUMMYFUNCTION("""COMPUTED_VALUE"""),"Syrah")</f>
        <v>Syrah</v>
      </c>
      <c r="G2054" s="55">
        <f>IFERROR(__xludf.DUMMYFUNCTION("""COMPUTED_VALUE"""),13.8)</f>
        <v>13.8</v>
      </c>
      <c r="H2054" s="56">
        <f>IFERROR(__xludf.DUMMYFUNCTION("""COMPUTED_VALUE"""),2.0)</f>
        <v>2</v>
      </c>
      <c r="I2054" s="3"/>
      <c r="J2054" s="3"/>
      <c r="K2054" s="57">
        <f>IFERROR(__xludf.DUMMYFUNCTION("""COMPUTED_VALUE"""),3.68)</f>
        <v>3.68</v>
      </c>
      <c r="L2054" s="54">
        <f>IFERROR(__xludf.DUMMYFUNCTION("""COMPUTED_VALUE"""),32.0)</f>
        <v>32</v>
      </c>
      <c r="M2054" s="3">
        <f>IFERROR(__xludf.DUMMYFUNCTION("""COMPUTED_VALUE"""),102.0)</f>
        <v>102</v>
      </c>
      <c r="N2054" s="3"/>
      <c r="O2054" s="3"/>
      <c r="P2054" s="3"/>
      <c r="Q2054" s="3"/>
      <c r="R2054" s="3">
        <f>IFERROR(__xludf.DUMMYFUNCTION("""COMPUTED_VALUE"""),0.0)</f>
        <v>0</v>
      </c>
      <c r="S2054" s="3"/>
      <c r="T2054" s="5"/>
      <c r="U2054" s="5"/>
      <c r="V2054" s="5"/>
      <c r="W2054" s="5"/>
    </row>
    <row r="2055" ht="15.75" customHeight="1">
      <c r="A2055" s="3">
        <f>IFERROR(__xludf.DUMMYFUNCTION("""COMPUTED_VALUE"""),2055.0)</f>
        <v>2055</v>
      </c>
      <c r="B2055" s="53">
        <f>IFERROR(__xludf.DUMMYFUNCTION("""COMPUTED_VALUE"""),46099.0)</f>
        <v>46099</v>
      </c>
      <c r="C2055" s="3">
        <f>IFERROR(__xludf.DUMMYFUNCTION("""COMPUTED_VALUE"""),82.0)</f>
        <v>82</v>
      </c>
      <c r="D2055" s="3" t="str">
        <f>IFERROR(__xludf.DUMMYFUNCTION("""COMPUTED_VALUE"""),"6a072a2b")</f>
        <v>6a072a2b</v>
      </c>
      <c r="E2055" s="54">
        <f>IFERROR(__xludf.DUMMYFUNCTION("""COMPUTED_VALUE"""),35250.0)</f>
        <v>35250</v>
      </c>
      <c r="F2055" s="3" t="str">
        <f>IFERROR(__xludf.DUMMYFUNCTION("""COMPUTED_VALUE"""),"Syrah Malbec s/Asp 2")</f>
        <v>Syrah Malbec s/Asp 2</v>
      </c>
      <c r="G2055" s="55">
        <f>IFERROR(__xludf.DUMMYFUNCTION("""COMPUTED_VALUE"""),13.3)</f>
        <v>13.3</v>
      </c>
      <c r="H2055" s="56">
        <f>IFERROR(__xludf.DUMMYFUNCTION("""COMPUTED_VALUE"""),2.0)</f>
        <v>2</v>
      </c>
      <c r="I2055" s="3"/>
      <c r="J2055" s="3"/>
      <c r="K2055" s="57">
        <f>IFERROR(__xludf.DUMMYFUNCTION("""COMPUTED_VALUE"""),3.61)</f>
        <v>3.61</v>
      </c>
      <c r="L2055" s="54">
        <f>IFERROR(__xludf.DUMMYFUNCTION("""COMPUTED_VALUE"""),31.0)</f>
        <v>31</v>
      </c>
      <c r="M2055" s="3">
        <f>IFERROR(__xludf.DUMMYFUNCTION("""COMPUTED_VALUE"""),100.0)</f>
        <v>100</v>
      </c>
      <c r="N2055" s="3"/>
      <c r="O2055" s="3"/>
      <c r="P2055" s="3"/>
      <c r="Q2055" s="3"/>
      <c r="R2055" s="3">
        <f>IFERROR(__xludf.DUMMYFUNCTION("""COMPUTED_VALUE"""),0.0)</f>
        <v>0</v>
      </c>
      <c r="S2055" s="3"/>
      <c r="T2055" s="5"/>
      <c r="U2055" s="5"/>
      <c r="V2055" s="5"/>
      <c r="W2055" s="5"/>
    </row>
    <row r="2056" ht="15.75" customHeight="1">
      <c r="A2056" s="3">
        <f>IFERROR(__xludf.DUMMYFUNCTION("""COMPUTED_VALUE"""),2056.0)</f>
        <v>2056</v>
      </c>
      <c r="B2056" s="53">
        <f>IFERROR(__xludf.DUMMYFUNCTION("""COMPUTED_VALUE"""),46099.0)</f>
        <v>46099</v>
      </c>
      <c r="C2056" s="3">
        <f>IFERROR(__xludf.DUMMYFUNCTION("""COMPUTED_VALUE"""),83.0)</f>
        <v>83</v>
      </c>
      <c r="D2056" s="3" t="str">
        <f>IFERROR(__xludf.DUMMYFUNCTION("""COMPUTED_VALUE"""),"9c60e76b")</f>
        <v>9c60e76b</v>
      </c>
      <c r="E2056" s="54">
        <f>IFERROR(__xludf.DUMMYFUNCTION("""COMPUTED_VALUE"""),81500.0)</f>
        <v>81500</v>
      </c>
      <c r="F2056" s="3" t="str">
        <f>IFERROR(__xludf.DUMMYFUNCTION("""COMPUTED_VALUE"""),"Syrah Merlot s/Asp 3")</f>
        <v>Syrah Merlot s/Asp 3</v>
      </c>
      <c r="G2056" s="55">
        <f>IFERROR(__xludf.DUMMYFUNCTION("""COMPUTED_VALUE"""),13.4)</f>
        <v>13.4</v>
      </c>
      <c r="H2056" s="56">
        <f>IFERROR(__xludf.DUMMYFUNCTION("""COMPUTED_VALUE"""),2.0)</f>
        <v>2</v>
      </c>
      <c r="I2056" s="3"/>
      <c r="J2056" s="3"/>
      <c r="K2056" s="57">
        <f>IFERROR(__xludf.DUMMYFUNCTION("""COMPUTED_VALUE"""),3.7)</f>
        <v>3.7</v>
      </c>
      <c r="L2056" s="54">
        <f>IFERROR(__xludf.DUMMYFUNCTION("""COMPUTED_VALUE"""),38.0)</f>
        <v>38</v>
      </c>
      <c r="M2056" s="3">
        <f>IFERROR(__xludf.DUMMYFUNCTION("""COMPUTED_VALUE"""),110.0)</f>
        <v>110</v>
      </c>
      <c r="N2056" s="3"/>
      <c r="O2056" s="3"/>
      <c r="P2056" s="3"/>
      <c r="Q2056" s="3"/>
      <c r="R2056" s="3">
        <f>IFERROR(__xludf.DUMMYFUNCTION("""COMPUTED_VALUE"""),0.0)</f>
        <v>0</v>
      </c>
      <c r="S2056" s="3"/>
      <c r="T2056" s="5"/>
      <c r="U2056" s="5"/>
      <c r="V2056" s="5"/>
      <c r="W2056" s="5"/>
    </row>
    <row r="2057" ht="15.75" customHeight="1">
      <c r="A2057" s="3">
        <f>IFERROR(__xludf.DUMMYFUNCTION("""COMPUTED_VALUE"""),2057.0)</f>
        <v>2057</v>
      </c>
      <c r="B2057" s="53">
        <f>IFERROR(__xludf.DUMMYFUNCTION("""COMPUTED_VALUE"""),46099.0)</f>
        <v>46099</v>
      </c>
      <c r="C2057" s="3">
        <f>IFERROR(__xludf.DUMMYFUNCTION("""COMPUTED_VALUE"""),86.0)</f>
        <v>86</v>
      </c>
      <c r="D2057" s="3" t="str">
        <f>IFERROR(__xludf.DUMMYFUNCTION("""COMPUTED_VALUE"""),"d08aca8e")</f>
        <v>d08aca8e</v>
      </c>
      <c r="E2057" s="54">
        <f>IFERROR(__xludf.DUMMYFUNCTION("""COMPUTED_VALUE"""),61900.0)</f>
        <v>61900</v>
      </c>
      <c r="F2057" s="3" t="str">
        <f>IFERROR(__xludf.DUMMYFUNCTION("""COMPUTED_VALUE"""),"Syrah Malbec s/Asp 2")</f>
        <v>Syrah Malbec s/Asp 2</v>
      </c>
      <c r="G2057" s="55">
        <f>IFERROR(__xludf.DUMMYFUNCTION("""COMPUTED_VALUE"""),13.5)</f>
        <v>13.5</v>
      </c>
      <c r="H2057" s="56">
        <f>IFERROR(__xludf.DUMMYFUNCTION("""COMPUTED_VALUE"""),2.0)</f>
        <v>2</v>
      </c>
      <c r="I2057" s="3"/>
      <c r="J2057" s="3"/>
      <c r="K2057" s="57">
        <f>IFERROR(__xludf.DUMMYFUNCTION("""COMPUTED_VALUE"""),3.68)</f>
        <v>3.68</v>
      </c>
      <c r="L2057" s="54">
        <f>IFERROR(__xludf.DUMMYFUNCTION("""COMPUTED_VALUE"""),32.0)</f>
        <v>32</v>
      </c>
      <c r="M2057" s="3">
        <f>IFERROR(__xludf.DUMMYFUNCTION("""COMPUTED_VALUE"""),99.0)</f>
        <v>99</v>
      </c>
      <c r="N2057" s="3"/>
      <c r="O2057" s="3"/>
      <c r="P2057" s="3"/>
      <c r="Q2057" s="3"/>
      <c r="R2057" s="3">
        <f>IFERROR(__xludf.DUMMYFUNCTION("""COMPUTED_VALUE"""),0.0)</f>
        <v>0</v>
      </c>
      <c r="S2057" s="3"/>
      <c r="T2057" s="5"/>
      <c r="U2057" s="5"/>
      <c r="V2057" s="5"/>
      <c r="W2057" s="5"/>
    </row>
    <row r="2058" ht="15.75" customHeight="1">
      <c r="A2058" s="3">
        <f>IFERROR(__xludf.DUMMYFUNCTION("""COMPUTED_VALUE"""),2058.0)</f>
        <v>2058</v>
      </c>
      <c r="B2058" s="53">
        <f>IFERROR(__xludf.DUMMYFUNCTION("""COMPUTED_VALUE"""),46099.0)</f>
        <v>46099</v>
      </c>
      <c r="C2058" s="3">
        <f>IFERROR(__xludf.DUMMYFUNCTION("""COMPUTED_VALUE"""),88.0)</f>
        <v>88</v>
      </c>
      <c r="D2058" s="3" t="str">
        <f>IFERROR(__xludf.DUMMYFUNCTION("""COMPUTED_VALUE"""),"69a8bead")</f>
        <v>69a8bead</v>
      </c>
      <c r="E2058" s="54">
        <f>IFERROR(__xludf.DUMMYFUNCTION("""COMPUTED_VALUE"""),46800.0)</f>
        <v>46800</v>
      </c>
      <c r="F2058" s="3" t="str">
        <f>IFERROR(__xludf.DUMMYFUNCTION("""COMPUTED_VALUE"""),"Syrah pc")</f>
        <v>Syrah pc</v>
      </c>
      <c r="G2058" s="55">
        <f>IFERROR(__xludf.DUMMYFUNCTION("""COMPUTED_VALUE"""),14.0)</f>
        <v>14</v>
      </c>
      <c r="H2058" s="56">
        <f>IFERROR(__xludf.DUMMYFUNCTION("""COMPUTED_VALUE"""),2.0)</f>
        <v>2</v>
      </c>
      <c r="I2058" s="3"/>
      <c r="J2058" s="3"/>
      <c r="K2058" s="57">
        <f>IFERROR(__xludf.DUMMYFUNCTION("""COMPUTED_VALUE"""),3.69)</f>
        <v>3.69</v>
      </c>
      <c r="L2058" s="54">
        <f>IFERROR(__xludf.DUMMYFUNCTION("""COMPUTED_VALUE"""),33.0)</f>
        <v>33</v>
      </c>
      <c r="M2058" s="3">
        <f>IFERROR(__xludf.DUMMYFUNCTION("""COMPUTED_VALUE"""),130.0)</f>
        <v>130</v>
      </c>
      <c r="N2058" s="3"/>
      <c r="O2058" s="3"/>
      <c r="P2058" s="3"/>
      <c r="Q2058" s="3"/>
      <c r="R2058" s="3">
        <f>IFERROR(__xludf.DUMMYFUNCTION("""COMPUTED_VALUE"""),0.0)</f>
        <v>0</v>
      </c>
      <c r="S2058" s="3"/>
      <c r="T2058" s="5"/>
      <c r="U2058" s="5"/>
      <c r="V2058" s="5"/>
      <c r="W2058" s="5"/>
    </row>
    <row r="2059" ht="15.75" customHeight="1">
      <c r="A2059" s="3">
        <f>IFERROR(__xludf.DUMMYFUNCTION("""COMPUTED_VALUE"""),2059.0)</f>
        <v>2059</v>
      </c>
      <c r="B2059" s="53">
        <f>IFERROR(__xludf.DUMMYFUNCTION("""COMPUTED_VALUE"""),46099.0)</f>
        <v>46099</v>
      </c>
      <c r="C2059" s="3">
        <f>IFERROR(__xludf.DUMMYFUNCTION("""COMPUTED_VALUE"""),89.0)</f>
        <v>89</v>
      </c>
      <c r="D2059" s="3" t="str">
        <f>IFERROR(__xludf.DUMMYFUNCTION("""COMPUTED_VALUE"""),"ed448032")</f>
        <v>ed448032</v>
      </c>
      <c r="E2059" s="54">
        <f>IFERROR(__xludf.DUMMYFUNCTION("""COMPUTED_VALUE"""),42200.0)</f>
        <v>42200</v>
      </c>
      <c r="F2059" s="3" t="str">
        <f>IFERROR(__xludf.DUMMYFUNCTION("""COMPUTED_VALUE"""),"Syrah pc")</f>
        <v>Syrah pc</v>
      </c>
      <c r="G2059" s="55">
        <f>IFERROR(__xludf.DUMMYFUNCTION("""COMPUTED_VALUE"""),13.3)</f>
        <v>13.3</v>
      </c>
      <c r="H2059" s="56">
        <f>IFERROR(__xludf.DUMMYFUNCTION("""COMPUTED_VALUE"""),7.0)</f>
        <v>7</v>
      </c>
      <c r="I2059" s="3"/>
      <c r="J2059" s="3"/>
      <c r="K2059" s="57">
        <f>IFERROR(__xludf.DUMMYFUNCTION("""COMPUTED_VALUE"""),3.7)</f>
        <v>3.7</v>
      </c>
      <c r="L2059" s="54">
        <f>IFERROR(__xludf.DUMMYFUNCTION("""COMPUTED_VALUE"""),25.0)</f>
        <v>25</v>
      </c>
      <c r="M2059" s="3">
        <f>IFERROR(__xludf.DUMMYFUNCTION("""COMPUTED_VALUE"""),130.0)</f>
        <v>130</v>
      </c>
      <c r="N2059" s="3"/>
      <c r="O2059" s="3"/>
      <c r="P2059" s="3"/>
      <c r="Q2059" s="3"/>
      <c r="R2059" s="3">
        <f>IFERROR(__xludf.DUMMYFUNCTION("""COMPUTED_VALUE"""),0.0)</f>
        <v>0</v>
      </c>
      <c r="S2059" s="3"/>
      <c r="T2059" s="5"/>
      <c r="U2059" s="5"/>
      <c r="V2059" s="5"/>
      <c r="W2059" s="5"/>
    </row>
    <row r="2060" ht="15.75" customHeight="1">
      <c r="A2060" s="3">
        <f>IFERROR(__xludf.DUMMYFUNCTION("""COMPUTED_VALUE"""),2060.0)</f>
        <v>2060</v>
      </c>
      <c r="B2060" s="53">
        <f>IFERROR(__xludf.DUMMYFUNCTION("""COMPUTED_VALUE"""),46099.0)</f>
        <v>46099</v>
      </c>
      <c r="C2060" s="3">
        <f>IFERROR(__xludf.DUMMYFUNCTION("""COMPUTED_VALUE"""),77.0)</f>
        <v>77</v>
      </c>
      <c r="D2060" s="3"/>
      <c r="E2060" s="3"/>
      <c r="F2060" s="3" t="str">
        <f>IFERROR(__xludf.DUMMYFUNCTION("""COMPUTED_VALUE"""),"Torrontes ")</f>
        <v>Torrontes </v>
      </c>
      <c r="G2060" s="3"/>
      <c r="H2060" s="56">
        <f>IFERROR(__xludf.DUMMYFUNCTION("""COMPUTED_VALUE"""),230.0)</f>
        <v>230</v>
      </c>
      <c r="I2060" s="3"/>
      <c r="J2060" s="3"/>
      <c r="K2060" s="57">
        <f>IFERROR(__xludf.DUMMYFUNCTION("""COMPUTED_VALUE"""),3.91)</f>
        <v>3.91</v>
      </c>
      <c r="L2060" s="54">
        <f>IFERROR(__xludf.DUMMYFUNCTION("""COMPUTED_VALUE"""),25.0)</f>
        <v>25</v>
      </c>
      <c r="M2060" s="3">
        <f>IFERROR(__xludf.DUMMYFUNCTION("""COMPUTED_VALUE"""),60.0)</f>
        <v>60</v>
      </c>
      <c r="N2060" s="3"/>
      <c r="O2060" s="3"/>
      <c r="P2060" s="3">
        <f>IFERROR(__xludf.DUMMYFUNCTION("""COMPUTED_VALUE"""),625.0)</f>
        <v>625</v>
      </c>
      <c r="Q2060" s="3"/>
      <c r="R2060" s="3">
        <f>IFERROR(__xludf.DUMMYFUNCTION("""COMPUTED_VALUE"""),625.0)</f>
        <v>625</v>
      </c>
      <c r="S2060" s="3"/>
      <c r="T2060" s="5"/>
      <c r="U2060" s="5"/>
      <c r="V2060" s="5"/>
      <c r="W2060" s="5"/>
    </row>
    <row r="2061" ht="15.75" customHeight="1">
      <c r="A2061" s="3">
        <f>IFERROR(__xludf.DUMMYFUNCTION("""COMPUTED_VALUE"""),2061.0)</f>
        <v>2061</v>
      </c>
      <c r="B2061" s="53">
        <f>IFERROR(__xludf.DUMMYFUNCTION("""COMPUTED_VALUE"""),46099.0)</f>
        <v>46099</v>
      </c>
      <c r="C2061" s="3">
        <f>IFERROR(__xludf.DUMMYFUNCTION("""COMPUTED_VALUE"""),8.0)</f>
        <v>8</v>
      </c>
      <c r="D2061" s="3"/>
      <c r="E2061" s="3"/>
      <c r="F2061" s="3" t="str">
        <f>IFERROR(__xludf.DUMMYFUNCTION("""COMPUTED_VALUE"""),"Torrontes")</f>
        <v>Torrontes</v>
      </c>
      <c r="G2061" s="3"/>
      <c r="H2061" s="56">
        <f>IFERROR(__xludf.DUMMYFUNCTION("""COMPUTED_VALUE"""),229.0)</f>
        <v>229</v>
      </c>
      <c r="I2061" s="3"/>
      <c r="J2061" s="3"/>
      <c r="K2061" s="57">
        <f>IFERROR(__xludf.DUMMYFUNCTION("""COMPUTED_VALUE"""),3.15)</f>
        <v>3.15</v>
      </c>
      <c r="L2061" s="3"/>
      <c r="M2061" s="3"/>
      <c r="N2061" s="3"/>
      <c r="O2061" s="3"/>
      <c r="P2061" s="3"/>
      <c r="Q2061" s="3"/>
      <c r="R2061" s="3">
        <f>IFERROR(__xludf.DUMMYFUNCTION("""COMPUTED_VALUE"""),0.0)</f>
        <v>0</v>
      </c>
      <c r="S2061" s="3"/>
      <c r="T2061" s="5"/>
      <c r="U2061" s="5"/>
      <c r="V2061" s="5"/>
      <c r="W2061" s="5"/>
    </row>
    <row r="2062" ht="15.75" customHeight="1">
      <c r="A2062" s="3">
        <f>IFERROR(__xludf.DUMMYFUNCTION("""COMPUTED_VALUE"""),2062.0)</f>
        <v>2062</v>
      </c>
      <c r="B2062" s="53">
        <f>IFERROR(__xludf.DUMMYFUNCTION("""COMPUTED_VALUE"""),32950.0)</f>
        <v>32950</v>
      </c>
      <c r="C2062" s="3">
        <f>IFERROR(__xludf.DUMMYFUNCTION("""COMPUTED_VALUE"""),90.0)</f>
        <v>90</v>
      </c>
      <c r="D2062" s="3"/>
      <c r="E2062" s="3"/>
      <c r="F2062" s="3" t="str">
        <f>IFERROR(__xludf.DUMMYFUNCTION("""COMPUTED_VALUE"""),"Syrah")</f>
        <v>Syrah</v>
      </c>
      <c r="G2062" s="3"/>
      <c r="H2062" s="56">
        <f>IFERROR(__xludf.DUMMYFUNCTION("""COMPUTED_VALUE"""),228.0)</f>
        <v>228</v>
      </c>
      <c r="I2062" s="3"/>
      <c r="J2062" s="3"/>
      <c r="K2062" s="57">
        <f>IFERROR(__xludf.DUMMYFUNCTION("""COMPUTED_VALUE"""),4.04)</f>
        <v>4.04</v>
      </c>
      <c r="L2062" s="54">
        <f>IFERROR(__xludf.DUMMYFUNCTION("""COMPUTED_VALUE"""),26.0)</f>
        <v>26</v>
      </c>
      <c r="M2062" s="3">
        <f>IFERROR(__xludf.DUMMYFUNCTION("""COMPUTED_VALUE"""),80.0)</f>
        <v>80</v>
      </c>
      <c r="N2062" s="3"/>
      <c r="O2062" s="3"/>
      <c r="P2062" s="3"/>
      <c r="Q2062" s="3"/>
      <c r="R2062" s="3">
        <f>IFERROR(__xludf.DUMMYFUNCTION("""COMPUTED_VALUE"""),0.0)</f>
        <v>0</v>
      </c>
      <c r="S2062" s="3"/>
      <c r="T2062" s="5"/>
      <c r="U2062" s="5"/>
      <c r="V2062" s="5"/>
      <c r="W2062" s="5"/>
    </row>
    <row r="2063" ht="15.75" customHeight="1">
      <c r="A2063" s="3">
        <f>IFERROR(__xludf.DUMMYFUNCTION("""COMPUTED_VALUE"""),2063.0)</f>
        <v>2063</v>
      </c>
      <c r="B2063" s="53">
        <f>IFERROR(__xludf.DUMMYFUNCTION("""COMPUTED_VALUE"""),46100.0)</f>
        <v>46100</v>
      </c>
      <c r="C2063" s="3">
        <f>IFERROR(__xludf.DUMMYFUNCTION("""COMPUTED_VALUE"""),80.0)</f>
        <v>80</v>
      </c>
      <c r="D2063" s="3" t="str">
        <f>IFERROR(__xludf.DUMMYFUNCTION("""COMPUTED_VALUE"""),"b6cb38ec")</f>
        <v>b6cb38ec</v>
      </c>
      <c r="E2063" s="54">
        <f>IFERROR(__xludf.DUMMYFUNCTION("""COMPUTED_VALUE"""),16000.0)</f>
        <v>16000</v>
      </c>
      <c r="F2063" s="3" t="str">
        <f>IFERROR(__xludf.DUMMYFUNCTION("""COMPUTED_VALUE"""),"Pedro Gimenez")</f>
        <v>Pedro Gimenez</v>
      </c>
      <c r="G2063" s="3"/>
      <c r="H2063" s="56">
        <f>IFERROR(__xludf.DUMMYFUNCTION("""COMPUTED_VALUE"""),220.0)</f>
        <v>220</v>
      </c>
      <c r="I2063" s="3"/>
      <c r="J2063" s="3"/>
      <c r="K2063" s="57">
        <f>IFERROR(__xludf.DUMMYFUNCTION("""COMPUTED_VALUE"""),3.8)</f>
        <v>3.8</v>
      </c>
      <c r="L2063" s="54">
        <f>IFERROR(__xludf.DUMMYFUNCTION("""COMPUTED_VALUE"""),15.0)</f>
        <v>15</v>
      </c>
      <c r="M2063" s="3">
        <f>IFERROR(__xludf.DUMMYFUNCTION("""COMPUTED_VALUE"""),50.0)</f>
        <v>50</v>
      </c>
      <c r="N2063" s="3"/>
      <c r="O2063" s="3"/>
      <c r="P2063" s="3"/>
      <c r="Q2063" s="3"/>
      <c r="R2063" s="3">
        <f>IFERROR(__xludf.DUMMYFUNCTION("""COMPUTED_VALUE"""),0.0)</f>
        <v>0</v>
      </c>
      <c r="S2063" s="3"/>
      <c r="T2063" s="5"/>
      <c r="U2063" s="5"/>
      <c r="V2063" s="5"/>
      <c r="W2063" s="5"/>
    </row>
    <row r="2064" ht="15.75" customHeight="1">
      <c r="A2064" s="3">
        <f>IFERROR(__xludf.DUMMYFUNCTION("""COMPUTED_VALUE"""),2064.0)</f>
        <v>2064</v>
      </c>
      <c r="B2064" s="53">
        <f>IFERROR(__xludf.DUMMYFUNCTION("""COMPUTED_VALUE"""),46100.0)</f>
        <v>46100</v>
      </c>
      <c r="C2064" s="3">
        <f>IFERROR(__xludf.DUMMYFUNCTION("""COMPUTED_VALUE"""),84.0)</f>
        <v>84</v>
      </c>
      <c r="D2064" s="3" t="str">
        <f>IFERROR(__xludf.DUMMYFUNCTION("""COMPUTED_VALUE"""),"b21af4e4")</f>
        <v>b21af4e4</v>
      </c>
      <c r="E2064" s="54">
        <f>IFERROR(__xludf.DUMMYFUNCTION("""COMPUTED_VALUE"""),1.0)</f>
        <v>1</v>
      </c>
      <c r="F2064" s="3" t="str">
        <f>IFERROR(__xludf.DUMMYFUNCTION("""COMPUTED_VALUE"""),"Malbec")</f>
        <v>Malbec</v>
      </c>
      <c r="G2064" s="3"/>
      <c r="H2064" s="56">
        <f>IFERROR(__xludf.DUMMYFUNCTION("""COMPUTED_VALUE"""),221.0)</f>
        <v>221</v>
      </c>
      <c r="I2064" s="3"/>
      <c r="J2064" s="3"/>
      <c r="K2064" s="3"/>
      <c r="L2064" s="54">
        <f>IFERROR(__xludf.DUMMYFUNCTION("""COMPUTED_VALUE"""),17.0)</f>
        <v>17</v>
      </c>
      <c r="M2064" s="3"/>
      <c r="N2064" s="3"/>
      <c r="O2064" s="3"/>
      <c r="P2064" s="3"/>
      <c r="Q2064" s="3"/>
      <c r="R2064" s="3">
        <f>IFERROR(__xludf.DUMMYFUNCTION("""COMPUTED_VALUE"""),0.0)</f>
        <v>0</v>
      </c>
      <c r="S2064" s="3"/>
      <c r="T2064" s="5"/>
      <c r="U2064" s="5"/>
      <c r="V2064" s="5"/>
      <c r="W2064" s="5"/>
    </row>
    <row r="2065" ht="15.75" customHeight="1">
      <c r="A2065" s="3">
        <f>IFERROR(__xludf.DUMMYFUNCTION("""COMPUTED_VALUE"""),2065.0)</f>
        <v>2065</v>
      </c>
      <c r="B2065" s="53">
        <f>IFERROR(__xludf.DUMMYFUNCTION("""COMPUTED_VALUE"""),46100.0)</f>
        <v>46100</v>
      </c>
      <c r="C2065" s="3">
        <f>IFERROR(__xludf.DUMMYFUNCTION("""COMPUTED_VALUE"""),91.0)</f>
        <v>91</v>
      </c>
      <c r="D2065" s="3" t="str">
        <f>IFERROR(__xludf.DUMMYFUNCTION("""COMPUTED_VALUE"""),"77b128c1")</f>
        <v>77b128c1</v>
      </c>
      <c r="E2065" s="54">
        <f>IFERROR(__xludf.DUMMYFUNCTION("""COMPUTED_VALUE"""),1.0)</f>
        <v>1</v>
      </c>
      <c r="F2065" s="3" t="str">
        <f>IFERROR(__xludf.DUMMYFUNCTION("""COMPUTED_VALUE"""),"Cabernet Sauvignon")</f>
        <v>Cabernet Sauvignon</v>
      </c>
      <c r="G2065" s="3"/>
      <c r="H2065" s="56">
        <f>IFERROR(__xludf.DUMMYFUNCTION("""COMPUTED_VALUE"""),240.0)</f>
        <v>240</v>
      </c>
      <c r="I2065" s="3"/>
      <c r="J2065" s="3"/>
      <c r="K2065" s="3"/>
      <c r="L2065" s="54">
        <f>IFERROR(__xludf.DUMMYFUNCTION("""COMPUTED_VALUE"""),20.0)</f>
        <v>20</v>
      </c>
      <c r="M2065" s="3">
        <f>IFERROR(__xludf.DUMMYFUNCTION("""COMPUTED_VALUE"""),50.0)</f>
        <v>50</v>
      </c>
      <c r="N2065" s="3"/>
      <c r="O2065" s="3"/>
      <c r="P2065" s="3"/>
      <c r="Q2065" s="3"/>
      <c r="R2065" s="3">
        <f>IFERROR(__xludf.DUMMYFUNCTION("""COMPUTED_VALUE"""),0.0)</f>
        <v>0</v>
      </c>
      <c r="S2065" s="3"/>
      <c r="T2065" s="5"/>
      <c r="U2065" s="5"/>
      <c r="V2065" s="5"/>
      <c r="W2065" s="5" t="str">
        <f>IFERROR(__xludf.DUMMYFUNCTION("""COMPUTED_VALUE"""),"Simon")</f>
        <v>Simon</v>
      </c>
    </row>
    <row r="2066" ht="15.75" customHeight="1">
      <c r="A2066" s="3">
        <f>IFERROR(__xludf.DUMMYFUNCTION("""COMPUTED_VALUE"""),2066.0)</f>
        <v>2066</v>
      </c>
      <c r="B2066" s="53">
        <f>IFERROR(__xludf.DUMMYFUNCTION("""COMPUTED_VALUE"""),46099.0)</f>
        <v>46099</v>
      </c>
      <c r="C2066" s="3">
        <f>IFERROR(__xludf.DUMMYFUNCTION("""COMPUTED_VALUE"""),30.0)</f>
        <v>30</v>
      </c>
      <c r="D2066" s="3" t="str">
        <f>IFERROR(__xludf.DUMMYFUNCTION("""COMPUTED_VALUE"""),"0432aaa0")</f>
        <v>0432aaa0</v>
      </c>
      <c r="E2066" s="54">
        <f>IFERROR(__xludf.DUMMYFUNCTION("""COMPUTED_VALUE"""),38800.0)</f>
        <v>38800</v>
      </c>
      <c r="F2066" s="3" t="str">
        <f>IFERROR(__xludf.DUMMYFUNCTION("""COMPUTED_VALUE"""),"Chardonnay Ch")</f>
        <v>Chardonnay Ch</v>
      </c>
      <c r="G2066" s="3"/>
      <c r="H2066" s="3"/>
      <c r="I2066" s="3"/>
      <c r="J2066" s="3"/>
      <c r="K2066" s="3"/>
      <c r="L2066" s="54">
        <f>IFERROR(__xludf.DUMMYFUNCTION("""COMPUTED_VALUE"""),33.0)</f>
        <v>33</v>
      </c>
      <c r="M2066" s="3">
        <f>IFERROR(__xludf.DUMMYFUNCTION("""COMPUTED_VALUE"""),107.0)</f>
        <v>107</v>
      </c>
      <c r="N2066" s="3"/>
      <c r="O2066" s="3"/>
      <c r="P2066" s="3"/>
      <c r="Q2066" s="3"/>
      <c r="R2066" s="3">
        <f>IFERROR(__xludf.DUMMYFUNCTION("""COMPUTED_VALUE"""),0.0)</f>
        <v>0</v>
      </c>
      <c r="S2066" s="3"/>
      <c r="T2066" s="5"/>
      <c r="U2066" s="5"/>
      <c r="V2066" s="5"/>
      <c r="W2066" s="5" t="str">
        <f>IFERROR(__xludf.DUMMYFUNCTION("""COMPUTED_VALUE"""),"Simon")</f>
        <v>Simon</v>
      </c>
    </row>
    <row r="2067" ht="15.75" customHeight="1">
      <c r="A2067" s="3">
        <f>IFERROR(__xludf.DUMMYFUNCTION("""COMPUTED_VALUE"""),2067.0)</f>
        <v>2067</v>
      </c>
      <c r="B2067" s="53">
        <f>IFERROR(__xludf.DUMMYFUNCTION("""COMPUTED_VALUE"""),46099.0)</f>
        <v>46099</v>
      </c>
      <c r="C2067" s="3">
        <f>IFERROR(__xludf.DUMMYFUNCTION("""COMPUTED_VALUE"""),33.0)</f>
        <v>33</v>
      </c>
      <c r="D2067" s="3" t="str">
        <f>IFERROR(__xludf.DUMMYFUNCTION("""COMPUTED_VALUE"""),"7a77b210")</f>
        <v>7a77b210</v>
      </c>
      <c r="E2067" s="54">
        <f>IFERROR(__xludf.DUMMYFUNCTION("""COMPUTED_VALUE"""),25300.0)</f>
        <v>25300</v>
      </c>
      <c r="F2067" s="3" t="str">
        <f>IFERROR(__xludf.DUMMYFUNCTION("""COMPUTED_VALUE"""),"Chardonnay")</f>
        <v>Chardonnay</v>
      </c>
      <c r="G2067" s="3"/>
      <c r="H2067" s="3"/>
      <c r="I2067" s="3"/>
      <c r="J2067" s="3"/>
      <c r="K2067" s="3"/>
      <c r="L2067" s="54">
        <f>IFERROR(__xludf.DUMMYFUNCTION("""COMPUTED_VALUE"""),43.0)</f>
        <v>43</v>
      </c>
      <c r="M2067" s="3">
        <f>IFERROR(__xludf.DUMMYFUNCTION("""COMPUTED_VALUE"""),120.0)</f>
        <v>120</v>
      </c>
      <c r="N2067" s="3"/>
      <c r="O2067" s="3"/>
      <c r="P2067" s="3"/>
      <c r="Q2067" s="3"/>
      <c r="R2067" s="3">
        <f>IFERROR(__xludf.DUMMYFUNCTION("""COMPUTED_VALUE"""),0.0)</f>
        <v>0</v>
      </c>
      <c r="S2067" s="3"/>
      <c r="T2067" s="5"/>
      <c r="U2067" s="5"/>
      <c r="V2067" s="5"/>
      <c r="W2067" s="5" t="str">
        <f>IFERROR(__xludf.DUMMYFUNCTION("""COMPUTED_VALUE"""),"Simon")</f>
        <v>Simon</v>
      </c>
    </row>
    <row r="2068" ht="15.75" customHeight="1">
      <c r="A2068" s="3">
        <f>IFERROR(__xludf.DUMMYFUNCTION("""COMPUTED_VALUE"""),2068.0)</f>
        <v>2068</v>
      </c>
      <c r="B2068" s="53">
        <f>IFERROR(__xludf.DUMMYFUNCTION("""COMPUTED_VALUE"""),46099.0)</f>
        <v>46099</v>
      </c>
      <c r="C2068" s="3">
        <f>IFERROR(__xludf.DUMMYFUNCTION("""COMPUTED_VALUE"""),40.0)</f>
        <v>40</v>
      </c>
      <c r="D2068" s="3" t="str">
        <f>IFERROR(__xludf.DUMMYFUNCTION("""COMPUTED_VALUE"""),"964bb1ba")</f>
        <v>964bb1ba</v>
      </c>
      <c r="E2068" s="54">
        <f>IFERROR(__xludf.DUMMYFUNCTION("""COMPUTED_VALUE"""),24000.0)</f>
        <v>24000</v>
      </c>
      <c r="F2068" s="3" t="str">
        <f>IFERROR(__xludf.DUMMYFUNCTION("""COMPUTED_VALUE"""),"Chardonnay")</f>
        <v>Chardonnay</v>
      </c>
      <c r="G2068" s="3"/>
      <c r="H2068" s="3"/>
      <c r="I2068" s="3"/>
      <c r="J2068" s="3"/>
      <c r="K2068" s="3"/>
      <c r="L2068" s="54">
        <f>IFERROR(__xludf.DUMMYFUNCTION("""COMPUTED_VALUE"""),25.0)</f>
        <v>25</v>
      </c>
      <c r="M2068" s="3">
        <f>IFERROR(__xludf.DUMMYFUNCTION("""COMPUTED_VALUE"""),107.0)</f>
        <v>107</v>
      </c>
      <c r="N2068" s="3"/>
      <c r="O2068" s="3"/>
      <c r="P2068" s="3"/>
      <c r="Q2068" s="3"/>
      <c r="R2068" s="3">
        <f>IFERROR(__xludf.DUMMYFUNCTION("""COMPUTED_VALUE"""),0.0)</f>
        <v>0</v>
      </c>
      <c r="S2068" s="3"/>
      <c r="T2068" s="5"/>
      <c r="U2068" s="5"/>
      <c r="V2068" s="5"/>
      <c r="W2068" s="5" t="str">
        <f>IFERROR(__xludf.DUMMYFUNCTION("""COMPUTED_VALUE"""),"Simon")</f>
        <v>Simon</v>
      </c>
    </row>
    <row r="2069" ht="15.75" customHeight="1">
      <c r="A2069" s="3">
        <f>IFERROR(__xludf.DUMMYFUNCTION("""COMPUTED_VALUE"""),2069.0)</f>
        <v>2069</v>
      </c>
      <c r="B2069" s="53">
        <f>IFERROR(__xludf.DUMMYFUNCTION("""COMPUTED_VALUE"""),46099.0)</f>
        <v>46099</v>
      </c>
      <c r="C2069" s="3">
        <f>IFERROR(__xludf.DUMMYFUNCTION("""COMPUTED_VALUE"""),44.0)</f>
        <v>44</v>
      </c>
      <c r="D2069" s="3" t="str">
        <f>IFERROR(__xludf.DUMMYFUNCTION("""COMPUTED_VALUE"""),"b4d0796a")</f>
        <v>b4d0796a</v>
      </c>
      <c r="E2069" s="54">
        <f>IFERROR(__xludf.DUMMYFUNCTION("""COMPUTED_VALUE"""),19100.0)</f>
        <v>19100</v>
      </c>
      <c r="F2069" s="3" t="str">
        <f>IFERROR(__xludf.DUMMYFUNCTION("""COMPUTED_VALUE"""),"Chardonnay")</f>
        <v>Chardonnay</v>
      </c>
      <c r="G2069" s="3"/>
      <c r="H2069" s="3"/>
      <c r="I2069" s="3"/>
      <c r="J2069" s="3"/>
      <c r="K2069" s="3"/>
      <c r="L2069" s="54">
        <f>IFERROR(__xludf.DUMMYFUNCTION("""COMPUTED_VALUE"""),38.0)</f>
        <v>38</v>
      </c>
      <c r="M2069" s="3">
        <f>IFERROR(__xludf.DUMMYFUNCTION("""COMPUTED_VALUE"""),148.0)</f>
        <v>148</v>
      </c>
      <c r="N2069" s="3"/>
      <c r="O2069" s="3"/>
      <c r="P2069" s="3"/>
      <c r="Q2069" s="3"/>
      <c r="R2069" s="3">
        <f>IFERROR(__xludf.DUMMYFUNCTION("""COMPUTED_VALUE"""),0.0)</f>
        <v>0</v>
      </c>
      <c r="S2069" s="3"/>
      <c r="T2069" s="5"/>
      <c r="U2069" s="5"/>
      <c r="V2069" s="5"/>
      <c r="W2069" s="5" t="str">
        <f>IFERROR(__xludf.DUMMYFUNCTION("""COMPUTED_VALUE"""),"Simon")</f>
        <v>Simon</v>
      </c>
    </row>
    <row r="2070" ht="15.75" customHeight="1">
      <c r="A2070" s="3">
        <f>IFERROR(__xludf.DUMMYFUNCTION("""COMPUTED_VALUE"""),2070.0)</f>
        <v>2070</v>
      </c>
      <c r="B2070" s="53">
        <f>IFERROR(__xludf.DUMMYFUNCTION("""COMPUTED_VALUE"""),46099.0)</f>
        <v>46099</v>
      </c>
      <c r="C2070" s="3">
        <f>IFERROR(__xludf.DUMMYFUNCTION("""COMPUTED_VALUE"""),49.0)</f>
        <v>49</v>
      </c>
      <c r="D2070" s="3" t="str">
        <f>IFERROR(__xludf.DUMMYFUNCTION("""COMPUTED_VALUE"""),"f2237628")</f>
        <v>f2237628</v>
      </c>
      <c r="E2070" s="54">
        <f>IFERROR(__xludf.DUMMYFUNCTION("""COMPUTED_VALUE"""),26000.0)</f>
        <v>26000</v>
      </c>
      <c r="F2070" s="3" t="str">
        <f>IFERROR(__xludf.DUMMYFUNCTION("""COMPUTED_VALUE"""),"Chardonnay")</f>
        <v>Chardonnay</v>
      </c>
      <c r="G2070" s="3"/>
      <c r="H2070" s="3"/>
      <c r="I2070" s="3"/>
      <c r="J2070" s="3"/>
      <c r="K2070" s="3"/>
      <c r="L2070" s="54">
        <f>IFERROR(__xludf.DUMMYFUNCTION("""COMPUTED_VALUE"""),25.0)</f>
        <v>25</v>
      </c>
      <c r="M2070" s="3">
        <f>IFERROR(__xludf.DUMMYFUNCTION("""COMPUTED_VALUE"""),102.0)</f>
        <v>102</v>
      </c>
      <c r="N2070" s="3"/>
      <c r="O2070" s="3"/>
      <c r="P2070" s="3"/>
      <c r="Q2070" s="3"/>
      <c r="R2070" s="3">
        <f>IFERROR(__xludf.DUMMYFUNCTION("""COMPUTED_VALUE"""),0.0)</f>
        <v>0</v>
      </c>
      <c r="S2070" s="3"/>
      <c r="T2070" s="5"/>
      <c r="U2070" s="5"/>
      <c r="V2070" s="5"/>
      <c r="W2070" s="5" t="str">
        <f>IFERROR(__xludf.DUMMYFUNCTION("""COMPUTED_VALUE"""),"Simon")</f>
        <v>Simon</v>
      </c>
    </row>
    <row r="2071" ht="15.75" customHeight="1">
      <c r="A2071" s="3">
        <f>IFERROR(__xludf.DUMMYFUNCTION("""COMPUTED_VALUE"""),2071.0)</f>
        <v>2071</v>
      </c>
      <c r="B2071" s="53">
        <f>IFERROR(__xludf.DUMMYFUNCTION("""COMPUTED_VALUE"""),46099.0)</f>
        <v>46099</v>
      </c>
      <c r="C2071" s="3">
        <f>IFERROR(__xludf.DUMMYFUNCTION("""COMPUTED_VALUE"""),52.0)</f>
        <v>52</v>
      </c>
      <c r="D2071" s="3" t="str">
        <f>IFERROR(__xludf.DUMMYFUNCTION("""COMPUTED_VALUE"""),"057306c8")</f>
        <v>057306c8</v>
      </c>
      <c r="E2071" s="54">
        <f>IFERROR(__xludf.DUMMYFUNCTION("""COMPUTED_VALUE"""),27000.0)</f>
        <v>27000</v>
      </c>
      <c r="F2071" s="3" t="str">
        <f>IFERROR(__xludf.DUMMYFUNCTION("""COMPUTED_VALUE"""),"Chardonnay")</f>
        <v>Chardonnay</v>
      </c>
      <c r="G2071" s="3"/>
      <c r="H2071" s="3"/>
      <c r="I2071" s="3"/>
      <c r="J2071" s="3"/>
      <c r="K2071" s="3"/>
      <c r="L2071" s="54">
        <f>IFERROR(__xludf.DUMMYFUNCTION("""COMPUTED_VALUE"""),25.0)</f>
        <v>25</v>
      </c>
      <c r="M2071" s="3">
        <f>IFERROR(__xludf.DUMMYFUNCTION("""COMPUTED_VALUE"""),95.0)</f>
        <v>95</v>
      </c>
      <c r="N2071" s="3"/>
      <c r="O2071" s="3"/>
      <c r="P2071" s="3"/>
      <c r="Q2071" s="3"/>
      <c r="R2071" s="3">
        <f>IFERROR(__xludf.DUMMYFUNCTION("""COMPUTED_VALUE"""),0.0)</f>
        <v>0</v>
      </c>
      <c r="S2071" s="3"/>
      <c r="T2071" s="5"/>
      <c r="U2071" s="5"/>
      <c r="V2071" s="5"/>
      <c r="W2071" s="5" t="str">
        <f>IFERROR(__xludf.DUMMYFUNCTION("""COMPUTED_VALUE"""),"Simon")</f>
        <v>Simon</v>
      </c>
    </row>
    <row r="2072" ht="15.75" customHeight="1">
      <c r="A2072" s="3">
        <f>IFERROR(__xludf.DUMMYFUNCTION("""COMPUTED_VALUE"""),2072.0)</f>
        <v>2072</v>
      </c>
      <c r="B2072" s="53">
        <f>IFERROR(__xludf.DUMMYFUNCTION("""COMPUTED_VALUE"""),46099.0)</f>
        <v>46099</v>
      </c>
      <c r="C2072" s="3">
        <f>IFERROR(__xludf.DUMMYFUNCTION("""COMPUTED_VALUE"""),72.0)</f>
        <v>72</v>
      </c>
      <c r="D2072" s="3" t="str">
        <f>IFERROR(__xludf.DUMMYFUNCTION("""COMPUTED_VALUE"""),"d0f8eef2")</f>
        <v>d0f8eef2</v>
      </c>
      <c r="E2072" s="54">
        <f>IFERROR(__xludf.DUMMYFUNCTION("""COMPUTED_VALUE"""),9200.0)</f>
        <v>9200</v>
      </c>
      <c r="F2072" s="3" t="str">
        <f>IFERROR(__xludf.DUMMYFUNCTION("""COMPUTED_VALUE"""),"Chardonnay Oak")</f>
        <v>Chardonnay Oak</v>
      </c>
      <c r="G2072" s="3"/>
      <c r="H2072" s="3"/>
      <c r="I2072" s="3"/>
      <c r="J2072" s="3"/>
      <c r="K2072" s="3"/>
      <c r="L2072" s="54">
        <f>IFERROR(__xludf.DUMMYFUNCTION("""COMPUTED_VALUE"""),20.0)</f>
        <v>20</v>
      </c>
      <c r="M2072" s="3">
        <f>IFERROR(__xludf.DUMMYFUNCTION("""COMPUTED_VALUE"""),95.0)</f>
        <v>95</v>
      </c>
      <c r="N2072" s="3"/>
      <c r="O2072" s="3"/>
      <c r="P2072" s="3"/>
      <c r="Q2072" s="3"/>
      <c r="R2072" s="3">
        <f>IFERROR(__xludf.DUMMYFUNCTION("""COMPUTED_VALUE"""),0.0)</f>
        <v>0</v>
      </c>
      <c r="S2072" s="3"/>
      <c r="T2072" s="5"/>
      <c r="U2072" s="5"/>
      <c r="V2072" s="5"/>
      <c r="W2072" s="5" t="str">
        <f>IFERROR(__xludf.DUMMYFUNCTION("""COMPUTED_VALUE"""),"Simon")</f>
        <v>Simon</v>
      </c>
    </row>
    <row r="2073" ht="15.75" customHeight="1">
      <c r="A2073" s="3">
        <f>IFERROR(__xludf.DUMMYFUNCTION("""COMPUTED_VALUE"""),2073.0)</f>
        <v>2073</v>
      </c>
      <c r="B2073" s="53">
        <f>IFERROR(__xludf.DUMMYFUNCTION("""COMPUTED_VALUE"""),46099.0)</f>
        <v>46099</v>
      </c>
      <c r="C2073" s="3">
        <f>IFERROR(__xludf.DUMMYFUNCTION("""COMPUTED_VALUE"""),76.0)</f>
        <v>76</v>
      </c>
      <c r="D2073" s="3"/>
      <c r="E2073" s="3"/>
      <c r="F2073" s="3"/>
      <c r="G2073" s="3"/>
      <c r="H2073" s="3"/>
      <c r="I2073" s="3"/>
      <c r="J2073" s="3"/>
      <c r="K2073" s="3"/>
      <c r="L2073" s="54">
        <f>IFERROR(__xludf.DUMMYFUNCTION("""COMPUTED_VALUE"""),25.0)</f>
        <v>25</v>
      </c>
      <c r="M2073" s="3">
        <f>IFERROR(__xludf.DUMMYFUNCTION("""COMPUTED_VALUE"""),77.0)</f>
        <v>77</v>
      </c>
      <c r="N2073" s="3"/>
      <c r="O2073" s="3"/>
      <c r="P2073" s="3"/>
      <c r="Q2073" s="3"/>
      <c r="R2073" s="3">
        <f>IFERROR(__xludf.DUMMYFUNCTION("""COMPUTED_VALUE"""),0.0)</f>
        <v>0</v>
      </c>
      <c r="S2073" s="3"/>
      <c r="T2073" s="5"/>
      <c r="U2073" s="5"/>
      <c r="V2073" s="5"/>
      <c r="W2073" s="5" t="str">
        <f>IFERROR(__xludf.DUMMYFUNCTION("""COMPUTED_VALUE"""),"Simon")</f>
        <v>Simon</v>
      </c>
    </row>
    <row r="2074" ht="15.75" customHeight="1">
      <c r="A2074" s="3">
        <f>IFERROR(__xludf.DUMMYFUNCTION("""COMPUTED_VALUE"""),2074.0)</f>
        <v>2074</v>
      </c>
      <c r="B2074" s="53">
        <f>IFERROR(__xludf.DUMMYFUNCTION("""COMPUTED_VALUE"""),46099.0)</f>
        <v>46099</v>
      </c>
      <c r="C2074" s="3">
        <f>IFERROR(__xludf.DUMMYFUNCTION("""COMPUTED_VALUE"""),78.0)</f>
        <v>78</v>
      </c>
      <c r="D2074" s="3"/>
      <c r="E2074" s="3"/>
      <c r="F2074" s="3"/>
      <c r="G2074" s="3"/>
      <c r="H2074" s="3"/>
      <c r="I2074" s="3"/>
      <c r="J2074" s="3"/>
      <c r="K2074" s="3"/>
      <c r="L2074" s="54">
        <f>IFERROR(__xludf.DUMMYFUNCTION("""COMPUTED_VALUE"""),25.0)</f>
        <v>25</v>
      </c>
      <c r="M2074" s="3">
        <f>IFERROR(__xludf.DUMMYFUNCTION("""COMPUTED_VALUE"""),84.0)</f>
        <v>84</v>
      </c>
      <c r="N2074" s="3"/>
      <c r="O2074" s="3"/>
      <c r="P2074" s="3"/>
      <c r="Q2074" s="3"/>
      <c r="R2074" s="3">
        <f>IFERROR(__xludf.DUMMYFUNCTION("""COMPUTED_VALUE"""),0.0)</f>
        <v>0</v>
      </c>
      <c r="S2074" s="3"/>
      <c r="T2074" s="5"/>
      <c r="U2074" s="5"/>
      <c r="V2074" s="5"/>
      <c r="W2074" s="5" t="str">
        <f>IFERROR(__xludf.DUMMYFUNCTION("""COMPUTED_VALUE"""),"Simon")</f>
        <v>Simon</v>
      </c>
    </row>
    <row r="2075" ht="15.75" customHeight="1">
      <c r="A2075" s="3">
        <f>IFERROR(__xludf.DUMMYFUNCTION("""COMPUTED_VALUE"""),2075.0)</f>
        <v>2075</v>
      </c>
      <c r="B2075" s="53">
        <f>IFERROR(__xludf.DUMMYFUNCTION("""COMPUTED_VALUE"""),46099.0)</f>
        <v>46099</v>
      </c>
      <c r="C2075" s="3">
        <f>IFERROR(__xludf.DUMMYFUNCTION("""COMPUTED_VALUE"""),16.0)</f>
        <v>16</v>
      </c>
      <c r="D2075" s="3" t="str">
        <f>IFERROR(__xludf.DUMMYFUNCTION("""COMPUTED_VALUE"""),"eed6b107")</f>
        <v>eed6b107</v>
      </c>
      <c r="E2075" s="54">
        <f>IFERROR(__xludf.DUMMYFUNCTION("""COMPUTED_VALUE"""),19500.0)</f>
        <v>19500</v>
      </c>
      <c r="F2075" s="3" t="str">
        <f>IFERROR(__xludf.DUMMYFUNCTION("""COMPUTED_VALUE"""),"Tinto Varielta (corte Millan)")</f>
        <v>Tinto Varielta (corte Millan)</v>
      </c>
      <c r="G2075" s="55">
        <f>IFERROR(__xludf.DUMMYFUNCTION("""COMPUTED_VALUE"""),13.3)</f>
        <v>13.3</v>
      </c>
      <c r="H2075" s="56">
        <f>IFERROR(__xludf.DUMMYFUNCTION("""COMPUTED_VALUE"""),2.9)</f>
        <v>2.9</v>
      </c>
      <c r="I2075" s="57">
        <f>IFERROR(__xludf.DUMMYFUNCTION("""COMPUTED_VALUE"""),0.53)</f>
        <v>0.53</v>
      </c>
      <c r="J2075" s="57">
        <f>IFERROR(__xludf.DUMMYFUNCTION("""COMPUTED_VALUE"""),5.47)</f>
        <v>5.47</v>
      </c>
      <c r="K2075" s="3"/>
      <c r="L2075" s="3"/>
      <c r="M2075" s="3"/>
      <c r="N2075" s="3"/>
      <c r="O2075" s="3"/>
      <c r="P2075" s="3"/>
      <c r="Q2075" s="3"/>
      <c r="R2075" s="3">
        <f>IFERROR(__xludf.DUMMYFUNCTION("""COMPUTED_VALUE"""),0.0)</f>
        <v>0</v>
      </c>
      <c r="S2075" s="3"/>
      <c r="T2075" s="5"/>
      <c r="U2075" s="5"/>
      <c r="V2075" s="5"/>
      <c r="W2075" s="5" t="str">
        <f>IFERROR(__xludf.DUMMYFUNCTION("""COMPUTED_VALUE"""),"Simon")</f>
        <v>Simon</v>
      </c>
    </row>
    <row r="2076" ht="15.75" customHeight="1">
      <c r="A2076" s="3">
        <f>IFERROR(__xludf.DUMMYFUNCTION("""COMPUTED_VALUE"""),2076.0)</f>
        <v>2076</v>
      </c>
      <c r="B2076" s="53">
        <f>IFERROR(__xludf.DUMMYFUNCTION("""COMPUTED_VALUE"""),46099.0)</f>
        <v>46099</v>
      </c>
      <c r="C2076" s="3">
        <f>IFERROR(__xludf.DUMMYFUNCTION("""COMPUTED_VALUE"""),30.0)</f>
        <v>30</v>
      </c>
      <c r="D2076" s="3" t="str">
        <f>IFERROR(__xludf.DUMMYFUNCTION("""COMPUTED_VALUE"""),"0432aaa0")</f>
        <v>0432aaa0</v>
      </c>
      <c r="E2076" s="54">
        <f>IFERROR(__xludf.DUMMYFUNCTION("""COMPUTED_VALUE"""),38800.0)</f>
        <v>38800</v>
      </c>
      <c r="F2076" s="3" t="str">
        <f>IFERROR(__xludf.DUMMYFUNCTION("""COMPUTED_VALUE"""),"Chardonnay Ch")</f>
        <v>Chardonnay Ch</v>
      </c>
      <c r="G2076" s="55">
        <f>IFERROR(__xludf.DUMMYFUNCTION("""COMPUTED_VALUE"""),11.6)</f>
        <v>11.6</v>
      </c>
      <c r="H2076" s="56">
        <f>IFERROR(__xludf.DUMMYFUNCTION("""COMPUTED_VALUE"""),1.8)</f>
        <v>1.8</v>
      </c>
      <c r="I2076" s="57">
        <f>IFERROR(__xludf.DUMMYFUNCTION("""COMPUTED_VALUE"""),0.28)</f>
        <v>0.28</v>
      </c>
      <c r="J2076" s="57">
        <f>IFERROR(__xludf.DUMMYFUNCTION("""COMPUTED_VALUE"""),6.22)</f>
        <v>6.22</v>
      </c>
      <c r="K2076" s="3"/>
      <c r="L2076" s="3"/>
      <c r="M2076" s="3"/>
      <c r="N2076" s="3"/>
      <c r="O2076" s="3"/>
      <c r="P2076" s="3"/>
      <c r="Q2076" s="3"/>
      <c r="R2076" s="3">
        <f>IFERROR(__xludf.DUMMYFUNCTION("""COMPUTED_VALUE"""),0.0)</f>
        <v>0</v>
      </c>
      <c r="S2076" s="3"/>
      <c r="T2076" s="5"/>
      <c r="U2076" s="5"/>
      <c r="V2076" s="5"/>
      <c r="W2076" s="5" t="str">
        <f>IFERROR(__xludf.DUMMYFUNCTION("""COMPUTED_VALUE"""),"Simon")</f>
        <v>Simon</v>
      </c>
    </row>
    <row r="2077" ht="15.75" customHeight="1">
      <c r="A2077" s="3">
        <f>IFERROR(__xludf.DUMMYFUNCTION("""COMPUTED_VALUE"""),2077.0)</f>
        <v>2077</v>
      </c>
      <c r="B2077" s="53">
        <f>IFERROR(__xludf.DUMMYFUNCTION("""COMPUTED_VALUE"""),46099.0)</f>
        <v>46099</v>
      </c>
      <c r="C2077" s="3">
        <f>IFERROR(__xludf.DUMMYFUNCTION("""COMPUTED_VALUE"""),41.0)</f>
        <v>41</v>
      </c>
      <c r="D2077" s="3" t="str">
        <f>IFERROR(__xludf.DUMMYFUNCTION("""COMPUTED_VALUE"""),"ee47bf75")</f>
        <v>ee47bf75</v>
      </c>
      <c r="E2077" s="54">
        <f>IFERROR(__xludf.DUMMYFUNCTION("""COMPUTED_VALUE"""),35100.0)</f>
        <v>35100</v>
      </c>
      <c r="F2077" s="3" t="str">
        <f>IFERROR(__xludf.DUMMYFUNCTION("""COMPUTED_VALUE"""),"Malbec Mer s/Asp 3")</f>
        <v>Malbec Mer s/Asp 3</v>
      </c>
      <c r="G2077" s="55">
        <f>IFERROR(__xludf.DUMMYFUNCTION("""COMPUTED_VALUE"""),13.4)</f>
        <v>13.4</v>
      </c>
      <c r="H2077" s="56">
        <f>IFERROR(__xludf.DUMMYFUNCTION("""COMPUTED_VALUE"""),1.8)</f>
        <v>1.8</v>
      </c>
      <c r="I2077" s="57">
        <f>IFERROR(__xludf.DUMMYFUNCTION("""COMPUTED_VALUE"""),0.33)</f>
        <v>0.33</v>
      </c>
      <c r="J2077" s="57">
        <f>IFERROR(__xludf.DUMMYFUNCTION("""COMPUTED_VALUE"""),5.42)</f>
        <v>5.42</v>
      </c>
      <c r="K2077" s="3"/>
      <c r="L2077" s="3"/>
      <c r="M2077" s="3"/>
      <c r="N2077" s="3"/>
      <c r="O2077" s="3"/>
      <c r="P2077" s="3"/>
      <c r="Q2077" s="3"/>
      <c r="R2077" s="3">
        <f>IFERROR(__xludf.DUMMYFUNCTION("""COMPUTED_VALUE"""),0.0)</f>
        <v>0</v>
      </c>
      <c r="S2077" s="3"/>
      <c r="T2077" s="5"/>
      <c r="U2077" s="5"/>
      <c r="V2077" s="5"/>
      <c r="W2077" s="5" t="str">
        <f>IFERROR(__xludf.DUMMYFUNCTION("""COMPUTED_VALUE"""),"Simon")</f>
        <v>Simon</v>
      </c>
    </row>
    <row r="2078" ht="15.75" customHeight="1">
      <c r="A2078" s="3">
        <f>IFERROR(__xludf.DUMMYFUNCTION("""COMPUTED_VALUE"""),2078.0)</f>
        <v>2078</v>
      </c>
      <c r="B2078" s="53">
        <f>IFERROR(__xludf.DUMMYFUNCTION("""COMPUTED_VALUE"""),46099.0)</f>
        <v>46099</v>
      </c>
      <c r="C2078" s="3">
        <f>IFERROR(__xludf.DUMMYFUNCTION("""COMPUTED_VALUE"""),46.0)</f>
        <v>46</v>
      </c>
      <c r="D2078" s="3" t="str">
        <f>IFERROR(__xludf.DUMMYFUNCTION("""COMPUTED_VALUE"""),"0f375d43")</f>
        <v>0f375d43</v>
      </c>
      <c r="E2078" s="54">
        <f>IFERROR(__xludf.DUMMYFUNCTION("""COMPUTED_VALUE"""),29000.0)</f>
        <v>29000</v>
      </c>
      <c r="F2078" s="3" t="str">
        <f>IFERROR(__xludf.DUMMYFUNCTION("""COMPUTED_VALUE"""),"Aspirant")</f>
        <v>Aspirant</v>
      </c>
      <c r="G2078" s="55">
        <f>IFERROR(__xludf.DUMMYFUNCTION("""COMPUTED_VALUE"""),12.7)</f>
        <v>12.7</v>
      </c>
      <c r="H2078" s="56">
        <f>IFERROR(__xludf.DUMMYFUNCTION("""COMPUTED_VALUE"""),1.8)</f>
        <v>1.8</v>
      </c>
      <c r="I2078" s="57">
        <f>IFERROR(__xludf.DUMMYFUNCTION("""COMPUTED_VALUE"""),0.29)</f>
        <v>0.29</v>
      </c>
      <c r="J2078" s="57">
        <f>IFERROR(__xludf.DUMMYFUNCTION("""COMPUTED_VALUE"""),6.9)</f>
        <v>6.9</v>
      </c>
      <c r="K2078" s="3"/>
      <c r="L2078" s="3"/>
      <c r="M2078" s="3"/>
      <c r="N2078" s="3"/>
      <c r="O2078" s="3"/>
      <c r="P2078" s="3"/>
      <c r="Q2078" s="3"/>
      <c r="R2078" s="3">
        <f>IFERROR(__xludf.DUMMYFUNCTION("""COMPUTED_VALUE"""),0.0)</f>
        <v>0</v>
      </c>
      <c r="S2078" s="3"/>
      <c r="T2078" s="5"/>
      <c r="U2078" s="5"/>
      <c r="V2078" s="5"/>
      <c r="W2078" s="5" t="str">
        <f>IFERROR(__xludf.DUMMYFUNCTION("""COMPUTED_VALUE"""),"Simon")</f>
        <v>Simon</v>
      </c>
    </row>
    <row r="2079" ht="15.75" customHeight="1">
      <c r="A2079" s="3">
        <f>IFERROR(__xludf.DUMMYFUNCTION("""COMPUTED_VALUE"""),2079.0)</f>
        <v>2079</v>
      </c>
      <c r="B2079" s="53">
        <f>IFERROR(__xludf.DUMMYFUNCTION("""COMPUTED_VALUE"""),46099.0)</f>
        <v>46099</v>
      </c>
      <c r="C2079" s="3">
        <f>IFERROR(__xludf.DUMMYFUNCTION("""COMPUTED_VALUE"""),49.0)</f>
        <v>49</v>
      </c>
      <c r="D2079" s="3" t="str">
        <f>IFERROR(__xludf.DUMMYFUNCTION("""COMPUTED_VALUE"""),"f2237628")</f>
        <v>f2237628</v>
      </c>
      <c r="E2079" s="54">
        <f>IFERROR(__xludf.DUMMYFUNCTION("""COMPUTED_VALUE"""),26000.0)</f>
        <v>26000</v>
      </c>
      <c r="F2079" s="3" t="str">
        <f>IFERROR(__xludf.DUMMYFUNCTION("""COMPUTED_VALUE"""),"Chardonnay")</f>
        <v>Chardonnay</v>
      </c>
      <c r="G2079" s="55">
        <f>IFERROR(__xludf.DUMMYFUNCTION("""COMPUTED_VALUE"""),11.9)</f>
        <v>11.9</v>
      </c>
      <c r="H2079" s="56">
        <f>IFERROR(__xludf.DUMMYFUNCTION("""COMPUTED_VALUE"""),1.8)</f>
        <v>1.8</v>
      </c>
      <c r="I2079" s="57">
        <f>IFERROR(__xludf.DUMMYFUNCTION("""COMPUTED_VALUE"""),0.37)</f>
        <v>0.37</v>
      </c>
      <c r="J2079" s="57">
        <f>IFERROR(__xludf.DUMMYFUNCTION("""COMPUTED_VALUE"""),6.37)</f>
        <v>6.37</v>
      </c>
      <c r="K2079" s="3"/>
      <c r="L2079" s="3"/>
      <c r="M2079" s="3"/>
      <c r="N2079" s="3"/>
      <c r="O2079" s="3"/>
      <c r="P2079" s="3"/>
      <c r="Q2079" s="3"/>
      <c r="R2079" s="3">
        <f>IFERROR(__xludf.DUMMYFUNCTION("""COMPUTED_VALUE"""),0.0)</f>
        <v>0</v>
      </c>
      <c r="S2079" s="3"/>
      <c r="T2079" s="5"/>
      <c r="U2079" s="5"/>
      <c r="V2079" s="5"/>
      <c r="W2079" s="5" t="str">
        <f>IFERROR(__xludf.DUMMYFUNCTION("""COMPUTED_VALUE"""),"Simon")</f>
        <v>Simon</v>
      </c>
    </row>
    <row r="2080" ht="15.75" customHeight="1">
      <c r="A2080" s="3">
        <f>IFERROR(__xludf.DUMMYFUNCTION("""COMPUTED_VALUE"""),2080.0)</f>
        <v>2080</v>
      </c>
      <c r="B2080" s="53">
        <f>IFERROR(__xludf.DUMMYFUNCTION("""COMPUTED_VALUE"""),46099.0)</f>
        <v>46099</v>
      </c>
      <c r="C2080" s="3">
        <f>IFERROR(__xludf.DUMMYFUNCTION("""COMPUTED_VALUE"""),52.0)</f>
        <v>52</v>
      </c>
      <c r="D2080" s="3" t="str">
        <f>IFERROR(__xludf.DUMMYFUNCTION("""COMPUTED_VALUE"""),"057306c8")</f>
        <v>057306c8</v>
      </c>
      <c r="E2080" s="54">
        <f>IFERROR(__xludf.DUMMYFUNCTION("""COMPUTED_VALUE"""),27000.0)</f>
        <v>27000</v>
      </c>
      <c r="F2080" s="3" t="str">
        <f>IFERROR(__xludf.DUMMYFUNCTION("""COMPUTED_VALUE"""),"Chardonnay")</f>
        <v>Chardonnay</v>
      </c>
      <c r="G2080" s="55">
        <f>IFERROR(__xludf.DUMMYFUNCTION("""COMPUTED_VALUE"""),12.2)</f>
        <v>12.2</v>
      </c>
      <c r="H2080" s="56">
        <f>IFERROR(__xludf.DUMMYFUNCTION("""COMPUTED_VALUE"""),1.8)</f>
        <v>1.8</v>
      </c>
      <c r="I2080" s="57">
        <f>IFERROR(__xludf.DUMMYFUNCTION("""COMPUTED_VALUE"""),0.28)</f>
        <v>0.28</v>
      </c>
      <c r="J2080" s="57">
        <f>IFERROR(__xludf.DUMMYFUNCTION("""COMPUTED_VALUE"""),5.92)</f>
        <v>5.92</v>
      </c>
      <c r="K2080" s="3"/>
      <c r="L2080" s="3"/>
      <c r="M2080" s="3"/>
      <c r="N2080" s="3"/>
      <c r="O2080" s="3"/>
      <c r="P2080" s="3"/>
      <c r="Q2080" s="3"/>
      <c r="R2080" s="3">
        <f>IFERROR(__xludf.DUMMYFUNCTION("""COMPUTED_VALUE"""),0.0)</f>
        <v>0</v>
      </c>
      <c r="S2080" s="3"/>
      <c r="T2080" s="5"/>
      <c r="U2080" s="5"/>
      <c r="V2080" s="5"/>
      <c r="W2080" s="5" t="str">
        <f>IFERROR(__xludf.DUMMYFUNCTION("""COMPUTED_VALUE"""),"Simon")</f>
        <v>Simon</v>
      </c>
    </row>
    <row r="2081" ht="15.75" customHeight="1">
      <c r="A2081" s="3">
        <f>IFERROR(__xludf.DUMMYFUNCTION("""COMPUTED_VALUE"""),2081.0)</f>
        <v>2081</v>
      </c>
      <c r="B2081" s="53">
        <f>IFERROR(__xludf.DUMMYFUNCTION("""COMPUTED_VALUE"""),46099.0)</f>
        <v>46099</v>
      </c>
      <c r="C2081" s="3">
        <f>IFERROR(__xludf.DUMMYFUNCTION("""COMPUTED_VALUE"""),53.0)</f>
        <v>53</v>
      </c>
      <c r="D2081" s="3" t="str">
        <f>IFERROR(__xludf.DUMMYFUNCTION("""COMPUTED_VALUE"""),"ba499da1")</f>
        <v>ba499da1</v>
      </c>
      <c r="E2081" s="54">
        <f>IFERROR(__xludf.DUMMYFUNCTION("""COMPUTED_VALUE"""),22000.0)</f>
        <v>22000</v>
      </c>
      <c r="F2081" s="3" t="str">
        <f>IFERROR(__xludf.DUMMYFUNCTION("""COMPUTED_VALUE"""),"Malbec")</f>
        <v>Malbec</v>
      </c>
      <c r="G2081" s="55">
        <f>IFERROR(__xludf.DUMMYFUNCTION("""COMPUTED_VALUE"""),13.6)</f>
        <v>13.6</v>
      </c>
      <c r="H2081" s="56">
        <f>IFERROR(__xludf.DUMMYFUNCTION("""COMPUTED_VALUE"""),3.2)</f>
        <v>3.2</v>
      </c>
      <c r="I2081" s="57">
        <f>IFERROR(__xludf.DUMMYFUNCTION("""COMPUTED_VALUE"""),0.45)</f>
        <v>0.45</v>
      </c>
      <c r="J2081" s="57">
        <f>IFERROR(__xludf.DUMMYFUNCTION("""COMPUTED_VALUE"""),5.4)</f>
        <v>5.4</v>
      </c>
      <c r="K2081" s="3"/>
      <c r="L2081" s="3"/>
      <c r="M2081" s="3"/>
      <c r="N2081" s="3"/>
      <c r="O2081" s="3"/>
      <c r="P2081" s="3"/>
      <c r="Q2081" s="3"/>
      <c r="R2081" s="3">
        <f>IFERROR(__xludf.DUMMYFUNCTION("""COMPUTED_VALUE"""),0.0)</f>
        <v>0</v>
      </c>
      <c r="S2081" s="3"/>
      <c r="T2081" s="5"/>
      <c r="U2081" s="5"/>
      <c r="V2081" s="5"/>
      <c r="W2081" s="5" t="str">
        <f>IFERROR(__xludf.DUMMYFUNCTION("""COMPUTED_VALUE"""),"Simon")</f>
        <v>Simon</v>
      </c>
    </row>
    <row r="2082" ht="15.75" customHeight="1">
      <c r="A2082" s="3">
        <f>IFERROR(__xludf.DUMMYFUNCTION("""COMPUTED_VALUE"""),2082.0)</f>
        <v>2082</v>
      </c>
      <c r="B2082" s="53">
        <f>IFERROR(__xludf.DUMMYFUNCTION("""COMPUTED_VALUE"""),46099.0)</f>
        <v>46099</v>
      </c>
      <c r="C2082" s="3">
        <f>IFERROR(__xludf.DUMMYFUNCTION("""COMPUTED_VALUE"""),71.0)</f>
        <v>71</v>
      </c>
      <c r="D2082" s="3" t="str">
        <f>IFERROR(__xludf.DUMMYFUNCTION("""COMPUTED_VALUE"""),"42662ec0")</f>
        <v>42662ec0</v>
      </c>
      <c r="E2082" s="54">
        <f>IFERROR(__xludf.DUMMYFUNCTION("""COMPUTED_VALUE"""),13000.0)</f>
        <v>13000</v>
      </c>
      <c r="F2082" s="3" t="str">
        <f>IFERROR(__xludf.DUMMYFUNCTION("""COMPUTED_VALUE"""),"Syrah s/Asp 2")</f>
        <v>Syrah s/Asp 2</v>
      </c>
      <c r="G2082" s="55">
        <f>IFERROR(__xludf.DUMMYFUNCTION("""COMPUTED_VALUE"""),13.2)</f>
        <v>13.2</v>
      </c>
      <c r="H2082" s="56">
        <f>IFERROR(__xludf.DUMMYFUNCTION("""COMPUTED_VALUE"""),2.1)</f>
        <v>2.1</v>
      </c>
      <c r="I2082" s="57">
        <f>IFERROR(__xludf.DUMMYFUNCTION("""COMPUTED_VALUE"""),0.32)</f>
        <v>0.32</v>
      </c>
      <c r="J2082" s="57">
        <f>IFERROR(__xludf.DUMMYFUNCTION("""COMPUTED_VALUE"""),6.6)</f>
        <v>6.6</v>
      </c>
      <c r="K2082" s="3"/>
      <c r="L2082" s="3"/>
      <c r="M2082" s="3"/>
      <c r="N2082" s="3"/>
      <c r="O2082" s="3"/>
      <c r="P2082" s="3"/>
      <c r="Q2082" s="3"/>
      <c r="R2082" s="3">
        <f>IFERROR(__xludf.DUMMYFUNCTION("""COMPUTED_VALUE"""),0.0)</f>
        <v>0</v>
      </c>
      <c r="S2082" s="3"/>
      <c r="T2082" s="5"/>
      <c r="U2082" s="5"/>
      <c r="V2082" s="5"/>
      <c r="W2082" s="5" t="str">
        <f>IFERROR(__xludf.DUMMYFUNCTION("""COMPUTED_VALUE"""),"Simon")</f>
        <v>Simon</v>
      </c>
    </row>
    <row r="2083" ht="15.75" customHeight="1">
      <c r="A2083" s="3">
        <f>IFERROR(__xludf.DUMMYFUNCTION("""COMPUTED_VALUE"""),2083.0)</f>
        <v>2083</v>
      </c>
      <c r="B2083" s="53">
        <f>IFERROR(__xludf.DUMMYFUNCTION("""COMPUTED_VALUE"""),46099.0)</f>
        <v>46099</v>
      </c>
      <c r="C2083" s="3">
        <f>IFERROR(__xludf.DUMMYFUNCTION("""COMPUTED_VALUE"""),73.0)</f>
        <v>73</v>
      </c>
      <c r="D2083" s="3" t="str">
        <f>IFERROR(__xludf.DUMMYFUNCTION("""COMPUTED_VALUE"""),"95936008")</f>
        <v>95936008</v>
      </c>
      <c r="E2083" s="54">
        <f>IFERROR(__xludf.DUMMYFUNCTION("""COMPUTED_VALUE"""),13000.0)</f>
        <v>13000</v>
      </c>
      <c r="F2083" s="3" t="str">
        <f>IFERROR(__xludf.DUMMYFUNCTION("""COMPUTED_VALUE"""),"Syrah s/Asp 2")</f>
        <v>Syrah s/Asp 2</v>
      </c>
      <c r="G2083" s="55">
        <f>IFERROR(__xludf.DUMMYFUNCTION("""COMPUTED_VALUE"""),13.2)</f>
        <v>13.2</v>
      </c>
      <c r="H2083" s="56">
        <f>IFERROR(__xludf.DUMMYFUNCTION("""COMPUTED_VALUE"""),2.4)</f>
        <v>2.4</v>
      </c>
      <c r="I2083" s="57">
        <f>IFERROR(__xludf.DUMMYFUNCTION("""COMPUTED_VALUE"""),0.35)</f>
        <v>0.35</v>
      </c>
      <c r="J2083" s="57">
        <f>IFERROR(__xludf.DUMMYFUNCTION("""COMPUTED_VALUE"""),6.45)</f>
        <v>6.45</v>
      </c>
      <c r="K2083" s="3"/>
      <c r="L2083" s="3"/>
      <c r="M2083" s="3"/>
      <c r="N2083" s="3"/>
      <c r="O2083" s="3"/>
      <c r="P2083" s="3"/>
      <c r="Q2083" s="3"/>
      <c r="R2083" s="3">
        <f>IFERROR(__xludf.DUMMYFUNCTION("""COMPUTED_VALUE"""),0.0)</f>
        <v>0</v>
      </c>
      <c r="S2083" s="3"/>
      <c r="T2083" s="5"/>
      <c r="U2083" s="5"/>
      <c r="V2083" s="5"/>
      <c r="W2083" s="5" t="str">
        <f>IFERROR(__xludf.DUMMYFUNCTION("""COMPUTED_VALUE"""),"Simon")</f>
        <v>Simon</v>
      </c>
    </row>
    <row r="2084" ht="15.75" customHeight="1">
      <c r="A2084" s="3">
        <f>IFERROR(__xludf.DUMMYFUNCTION("""COMPUTED_VALUE"""),2084.0)</f>
        <v>2084</v>
      </c>
      <c r="B2084" s="53">
        <f>IFERROR(__xludf.DUMMYFUNCTION("""COMPUTED_VALUE"""),46099.0)</f>
        <v>46099</v>
      </c>
      <c r="C2084" s="3">
        <f>IFERROR(__xludf.DUMMYFUNCTION("""COMPUTED_VALUE"""),96.0)</f>
        <v>96</v>
      </c>
      <c r="D2084" s="3" t="str">
        <f>IFERROR(__xludf.DUMMYFUNCTION("""COMPUTED_VALUE"""),"e6286b68")</f>
        <v>e6286b68</v>
      </c>
      <c r="E2084" s="54">
        <f>IFERROR(__xludf.DUMMYFUNCTION("""COMPUTED_VALUE"""),85600.0)</f>
        <v>85600</v>
      </c>
      <c r="F2084" s="3" t="str">
        <f>IFERROR(__xludf.DUMMYFUNCTION("""COMPUTED_VALUE"""),"Tinto Varietal B")</f>
        <v>Tinto Varietal B</v>
      </c>
      <c r="G2084" s="55">
        <f>IFERROR(__xludf.DUMMYFUNCTION("""COMPUTED_VALUE"""),13.5)</f>
        <v>13.5</v>
      </c>
      <c r="H2084" s="56">
        <f>IFERROR(__xludf.DUMMYFUNCTION("""COMPUTED_VALUE"""),3.4)</f>
        <v>3.4</v>
      </c>
      <c r="I2084" s="57">
        <f>IFERROR(__xludf.DUMMYFUNCTION("""COMPUTED_VALUE"""),0.52)</f>
        <v>0.52</v>
      </c>
      <c r="J2084" s="57">
        <f>IFERROR(__xludf.DUMMYFUNCTION("""COMPUTED_VALUE"""),5.6)</f>
        <v>5.6</v>
      </c>
      <c r="K2084" s="3"/>
      <c r="L2084" s="3"/>
      <c r="M2084" s="3"/>
      <c r="N2084" s="3"/>
      <c r="O2084" s="3"/>
      <c r="P2084" s="3"/>
      <c r="Q2084" s="3"/>
      <c r="R2084" s="3">
        <f>IFERROR(__xludf.DUMMYFUNCTION("""COMPUTED_VALUE"""),0.0)</f>
        <v>0</v>
      </c>
      <c r="S2084" s="3"/>
      <c r="T2084" s="5"/>
      <c r="U2084" s="5"/>
      <c r="V2084" s="5"/>
      <c r="W2084" s="5" t="str">
        <f>IFERROR(__xludf.DUMMYFUNCTION("""COMPUTED_VALUE"""),"Simon")</f>
        <v>Simon</v>
      </c>
    </row>
    <row r="2085" ht="15.75" customHeight="1">
      <c r="A2085" s="3">
        <f>IFERROR(__xludf.DUMMYFUNCTION("""COMPUTED_VALUE"""),2085.0)</f>
        <v>2085</v>
      </c>
      <c r="B2085" s="53">
        <f>IFERROR(__xludf.DUMMYFUNCTION("""COMPUTED_VALUE"""),46101.0)</f>
        <v>46101</v>
      </c>
      <c r="C2085" s="3">
        <f>IFERROR(__xludf.DUMMYFUNCTION("""COMPUTED_VALUE"""),78.0)</f>
        <v>78</v>
      </c>
      <c r="D2085" s="3" t="str">
        <f>IFERROR(__xludf.DUMMYFUNCTION("""COMPUTED_VALUE"""),"#REF!")</f>
        <v>#REF!</v>
      </c>
      <c r="E2085" s="3"/>
      <c r="F2085" s="3" t="str">
        <f>IFERROR(__xludf.DUMMYFUNCTION("""COMPUTED_VALUE"""),"criolla")</f>
        <v>criolla</v>
      </c>
      <c r="G2085" s="3"/>
      <c r="H2085" s="56">
        <f>IFERROR(__xludf.DUMMYFUNCTION("""COMPUTED_VALUE"""),208.0)</f>
        <v>208</v>
      </c>
      <c r="I2085" s="3"/>
      <c r="J2085" s="3"/>
      <c r="K2085" s="57">
        <f>IFERROR(__xludf.DUMMYFUNCTION("""COMPUTED_VALUE"""),3.92)</f>
        <v>3.92</v>
      </c>
      <c r="L2085" s="54">
        <f>IFERROR(__xludf.DUMMYFUNCTION("""COMPUTED_VALUE"""),15.0)</f>
        <v>15</v>
      </c>
      <c r="M2085" s="3">
        <f>IFERROR(__xludf.DUMMYFUNCTION("""COMPUTED_VALUE"""),64.0)</f>
        <v>64</v>
      </c>
      <c r="N2085" s="3"/>
      <c r="O2085" s="3"/>
      <c r="P2085" s="3"/>
      <c r="Q2085" s="3"/>
      <c r="R2085" s="3">
        <f>IFERROR(__xludf.DUMMYFUNCTION("""COMPUTED_VALUE"""),0.0)</f>
        <v>0</v>
      </c>
      <c r="S2085" s="3"/>
      <c r="T2085" s="5"/>
      <c r="U2085" s="5"/>
      <c r="V2085" s="5"/>
      <c r="W2085" s="5"/>
    </row>
    <row r="2086" ht="15.75" customHeight="1">
      <c r="A2086" s="3">
        <f>IFERROR(__xludf.DUMMYFUNCTION("""COMPUTED_VALUE"""),2086.0)</f>
        <v>2086</v>
      </c>
      <c r="B2086" s="53">
        <f>IFERROR(__xludf.DUMMYFUNCTION("""COMPUTED_VALUE"""),46101.0)</f>
        <v>46101</v>
      </c>
      <c r="C2086" s="3">
        <f>IFERROR(__xludf.DUMMYFUNCTION("""COMPUTED_VALUE"""),65.0)</f>
        <v>65</v>
      </c>
      <c r="D2086" s="3" t="str">
        <f>IFERROR(__xludf.DUMMYFUNCTION("""COMPUTED_VALUE"""),"181268cf")</f>
        <v>181268cf</v>
      </c>
      <c r="E2086" s="54">
        <f>IFERROR(__xludf.DUMMYFUNCTION("""COMPUTED_VALUE"""),20100.0)</f>
        <v>20100</v>
      </c>
      <c r="F2086" s="3" t="str">
        <f>IFERROR(__xludf.DUMMYFUNCTION("""COMPUTED_VALUE"""),"Syrah Temp")</f>
        <v>Syrah Temp</v>
      </c>
      <c r="G2086" s="55">
        <f>IFERROR(__xludf.DUMMYFUNCTION("""COMPUTED_VALUE"""),13.5)</f>
        <v>13.5</v>
      </c>
      <c r="H2086" s="56">
        <f>IFERROR(__xludf.DUMMYFUNCTION("""COMPUTED_VALUE"""),5.22)</f>
        <v>5.22</v>
      </c>
      <c r="I2086" s="3"/>
      <c r="J2086" s="3"/>
      <c r="K2086" s="57">
        <f>IFERROR(__xludf.DUMMYFUNCTION("""COMPUTED_VALUE"""),3.91)</f>
        <v>3.91</v>
      </c>
      <c r="L2086" s="54">
        <f>IFERROR(__xludf.DUMMYFUNCTION("""COMPUTED_VALUE"""),27.0)</f>
        <v>27</v>
      </c>
      <c r="M2086" s="3"/>
      <c r="N2086" s="3"/>
      <c r="O2086" s="3"/>
      <c r="P2086" s="3"/>
      <c r="Q2086" s="3"/>
      <c r="R2086" s="3">
        <f>IFERROR(__xludf.DUMMYFUNCTION("""COMPUTED_VALUE"""),0.0)</f>
        <v>0</v>
      </c>
      <c r="S2086" s="3"/>
      <c r="T2086" s="5"/>
      <c r="U2086" s="5"/>
      <c r="V2086" s="5"/>
      <c r="W2086" s="5"/>
    </row>
    <row r="2087" ht="15.75" customHeight="1">
      <c r="A2087" s="3">
        <f>IFERROR(__xludf.DUMMYFUNCTION("""COMPUTED_VALUE"""),2087.0)</f>
        <v>2087</v>
      </c>
      <c r="B2087" s="53">
        <f>IFERROR(__xludf.DUMMYFUNCTION("""COMPUTED_VALUE"""),46101.0)</f>
        <v>46101</v>
      </c>
      <c r="C2087" s="3">
        <f>IFERROR(__xludf.DUMMYFUNCTION("""COMPUTED_VALUE"""),66.0)</f>
        <v>66</v>
      </c>
      <c r="D2087" s="3" t="str">
        <f>IFERROR(__xludf.DUMMYFUNCTION("""COMPUTED_VALUE"""),"94ab543f")</f>
        <v>94ab543f</v>
      </c>
      <c r="E2087" s="54">
        <f>IFERROR(__xludf.DUMMYFUNCTION("""COMPUTED_VALUE"""),11500.0)</f>
        <v>11500</v>
      </c>
      <c r="F2087" s="3" t="str">
        <f>IFERROR(__xludf.DUMMYFUNCTION("""COMPUTED_VALUE"""),"Bonarda")</f>
        <v>Bonarda</v>
      </c>
      <c r="G2087" s="55">
        <f>IFERROR(__xludf.DUMMYFUNCTION("""COMPUTED_VALUE"""),13.4)</f>
        <v>13.4</v>
      </c>
      <c r="H2087" s="56">
        <f>IFERROR(__xludf.DUMMYFUNCTION("""COMPUTED_VALUE"""),11.0)</f>
        <v>11</v>
      </c>
      <c r="I2087" s="3"/>
      <c r="J2087" s="3"/>
      <c r="K2087" s="57">
        <f>IFERROR(__xludf.DUMMYFUNCTION("""COMPUTED_VALUE"""),3.74)</f>
        <v>3.74</v>
      </c>
      <c r="L2087" s="3"/>
      <c r="M2087" s="3"/>
      <c r="N2087" s="3"/>
      <c r="O2087" s="3"/>
      <c r="P2087" s="3"/>
      <c r="Q2087" s="3"/>
      <c r="R2087" s="3">
        <f>IFERROR(__xludf.DUMMYFUNCTION("""COMPUTED_VALUE"""),0.0)</f>
        <v>0</v>
      </c>
      <c r="S2087" s="3"/>
      <c r="T2087" s="5"/>
      <c r="U2087" s="5"/>
      <c r="V2087" s="5"/>
      <c r="W2087" s="5"/>
    </row>
    <row r="2088" ht="15.75" customHeight="1">
      <c r="A2088" s="3">
        <f>IFERROR(__xludf.DUMMYFUNCTION("""COMPUTED_VALUE"""),2088.0)</f>
        <v>2088</v>
      </c>
      <c r="B2088" s="53">
        <f>IFERROR(__xludf.DUMMYFUNCTION("""COMPUTED_VALUE"""),46101.0)</f>
        <v>46101</v>
      </c>
      <c r="C2088" s="3">
        <f>IFERROR(__xludf.DUMMYFUNCTION("""COMPUTED_VALUE"""),67.0)</f>
        <v>67</v>
      </c>
      <c r="D2088" s="3" t="str">
        <f>IFERROR(__xludf.DUMMYFUNCTION("""COMPUTED_VALUE"""),"f3173f78")</f>
        <v>f3173f78</v>
      </c>
      <c r="E2088" s="54">
        <f>IFERROR(__xludf.DUMMYFUNCTION("""COMPUTED_VALUE"""),11500.0)</f>
        <v>11500</v>
      </c>
      <c r="F2088" s="3" t="str">
        <f>IFERROR(__xludf.DUMMYFUNCTION("""COMPUTED_VALUE"""),"Bonarda Sy")</f>
        <v>Bonarda Sy</v>
      </c>
      <c r="G2088" s="55">
        <f>IFERROR(__xludf.DUMMYFUNCTION("""COMPUTED_VALUE"""),13.2)</f>
        <v>13.2</v>
      </c>
      <c r="H2088" s="56">
        <f>IFERROR(__xludf.DUMMYFUNCTION("""COMPUTED_VALUE"""),8.8)</f>
        <v>8.8</v>
      </c>
      <c r="I2088" s="3"/>
      <c r="J2088" s="3"/>
      <c r="K2088" s="57">
        <f>IFERROR(__xludf.DUMMYFUNCTION("""COMPUTED_VALUE"""),3.66)</f>
        <v>3.66</v>
      </c>
      <c r="L2088" s="3"/>
      <c r="M2088" s="3"/>
      <c r="N2088" s="3"/>
      <c r="O2088" s="3"/>
      <c r="P2088" s="3"/>
      <c r="Q2088" s="3"/>
      <c r="R2088" s="3">
        <f>IFERROR(__xludf.DUMMYFUNCTION("""COMPUTED_VALUE"""),0.0)</f>
        <v>0</v>
      </c>
      <c r="S2088" s="3"/>
      <c r="T2088" s="5"/>
      <c r="U2088" s="5"/>
      <c r="V2088" s="5"/>
      <c r="W2088" s="5"/>
    </row>
    <row r="2089" ht="15.75" customHeight="1">
      <c r="A2089" s="3">
        <f>IFERROR(__xludf.DUMMYFUNCTION("""COMPUTED_VALUE"""),2089.0)</f>
        <v>2089</v>
      </c>
      <c r="B2089" s="53">
        <f>IFERROR(__xludf.DUMMYFUNCTION("""COMPUTED_VALUE"""),46101.0)</f>
        <v>46101</v>
      </c>
      <c r="C2089" s="3">
        <f>IFERROR(__xludf.DUMMYFUNCTION("""COMPUTED_VALUE"""),85.0)</f>
        <v>85</v>
      </c>
      <c r="D2089" s="3" t="str">
        <f>IFERROR(__xludf.DUMMYFUNCTION("""COMPUTED_VALUE"""),"1670daf6")</f>
        <v>1670daf6</v>
      </c>
      <c r="E2089" s="54">
        <f>IFERROR(__xludf.DUMMYFUNCTION("""COMPUTED_VALUE"""),55100.0)</f>
        <v>55100</v>
      </c>
      <c r="F2089" s="3" t="str">
        <f>IFERROR(__xludf.DUMMYFUNCTION("""COMPUTED_VALUE"""),"Syrah")</f>
        <v>Syrah</v>
      </c>
      <c r="G2089" s="3"/>
      <c r="H2089" s="56">
        <f>IFERROR(__xludf.DUMMYFUNCTION("""COMPUTED_VALUE"""),5.0)</f>
        <v>5</v>
      </c>
      <c r="I2089" s="3"/>
      <c r="J2089" s="3"/>
      <c r="K2089" s="57">
        <f>IFERROR(__xludf.DUMMYFUNCTION("""COMPUTED_VALUE"""),3.78)</f>
        <v>3.78</v>
      </c>
      <c r="L2089" s="3"/>
      <c r="M2089" s="3"/>
      <c r="N2089" s="3"/>
      <c r="O2089" s="3"/>
      <c r="P2089" s="3"/>
      <c r="Q2089" s="3"/>
      <c r="R2089" s="3">
        <f>IFERROR(__xludf.DUMMYFUNCTION("""COMPUTED_VALUE"""),0.0)</f>
        <v>0</v>
      </c>
      <c r="S2089" s="3"/>
      <c r="T2089" s="5"/>
      <c r="U2089" s="5"/>
      <c r="V2089" s="5"/>
      <c r="W2089" s="5"/>
    </row>
    <row r="2090" ht="15.75" customHeight="1">
      <c r="A2090" s="3">
        <f>IFERROR(__xludf.DUMMYFUNCTION("""COMPUTED_VALUE"""),2090.0)</f>
        <v>2090</v>
      </c>
      <c r="B2090" s="53">
        <f>IFERROR(__xludf.DUMMYFUNCTION("""COMPUTED_VALUE"""),46101.0)</f>
        <v>46101</v>
      </c>
      <c r="C2090" s="3">
        <f>IFERROR(__xludf.DUMMYFUNCTION("""COMPUTED_VALUE"""),87.0)</f>
        <v>87</v>
      </c>
      <c r="D2090" s="3" t="str">
        <f>IFERROR(__xludf.DUMMYFUNCTION("""COMPUTED_VALUE"""),"d03cb183")</f>
        <v>d03cb183</v>
      </c>
      <c r="E2090" s="54">
        <f>IFERROR(__xludf.DUMMYFUNCTION("""COMPUTED_VALUE"""),43800.0)</f>
        <v>43800</v>
      </c>
      <c r="F2090" s="3" t="str">
        <f>IFERROR(__xludf.DUMMYFUNCTION("""COMPUTED_VALUE"""),"Syrah Tempranillo")</f>
        <v>Syrah Tempranillo</v>
      </c>
      <c r="G2090" s="3"/>
      <c r="H2090" s="56">
        <f>IFERROR(__xludf.DUMMYFUNCTION("""COMPUTED_VALUE"""),2.7)</f>
        <v>2.7</v>
      </c>
      <c r="I2090" s="3"/>
      <c r="J2090" s="3"/>
      <c r="K2090" s="57">
        <f>IFERROR(__xludf.DUMMYFUNCTION("""COMPUTED_VALUE"""),3.78)</f>
        <v>3.78</v>
      </c>
      <c r="L2090" s="3"/>
      <c r="M2090" s="3"/>
      <c r="N2090" s="3"/>
      <c r="O2090" s="3"/>
      <c r="P2090" s="3"/>
      <c r="Q2090" s="3"/>
      <c r="R2090" s="3">
        <f>IFERROR(__xludf.DUMMYFUNCTION("""COMPUTED_VALUE"""),0.0)</f>
        <v>0</v>
      </c>
      <c r="S2090" s="3"/>
      <c r="T2090" s="5"/>
      <c r="U2090" s="5"/>
      <c r="V2090" s="5"/>
      <c r="W2090" s="5"/>
    </row>
    <row r="2091" ht="15.75" customHeight="1">
      <c r="A2091" s="3">
        <f>IFERROR(__xludf.DUMMYFUNCTION("""COMPUTED_VALUE"""),2091.0)</f>
        <v>2091</v>
      </c>
      <c r="B2091" s="53">
        <f>IFERROR(__xludf.DUMMYFUNCTION("""COMPUTED_VALUE"""),46101.0)</f>
        <v>46101</v>
      </c>
      <c r="C2091" s="3">
        <f>IFERROR(__xludf.DUMMYFUNCTION("""COMPUTED_VALUE"""),92.0)</f>
        <v>92</v>
      </c>
      <c r="D2091" s="3" t="str">
        <f>IFERROR(__xludf.DUMMYFUNCTION("""COMPUTED_VALUE"""),"067d11e7")</f>
        <v>067d11e7</v>
      </c>
      <c r="E2091" s="54">
        <f>IFERROR(__xludf.DUMMYFUNCTION("""COMPUTED_VALUE"""),48000.0)</f>
        <v>48000</v>
      </c>
      <c r="F2091" s="3" t="str">
        <f>IFERROR(__xludf.DUMMYFUNCTION("""COMPUTED_VALUE"""),"Cabernet Sauv")</f>
        <v>Cabernet Sauv</v>
      </c>
      <c r="G2091" s="3"/>
      <c r="H2091" s="56">
        <f>IFERROR(__xludf.DUMMYFUNCTION("""COMPUTED_VALUE"""),244.0)</f>
        <v>244</v>
      </c>
      <c r="I2091" s="3"/>
      <c r="J2091" s="3"/>
      <c r="K2091" s="57">
        <f>IFERROR(__xludf.DUMMYFUNCTION("""COMPUTED_VALUE"""),3.84)</f>
        <v>3.84</v>
      </c>
      <c r="L2091" s="3"/>
      <c r="M2091" s="3"/>
      <c r="N2091" s="3"/>
      <c r="O2091" s="3"/>
      <c r="P2091" s="3"/>
      <c r="Q2091" s="3"/>
      <c r="R2091" s="3">
        <f>IFERROR(__xludf.DUMMYFUNCTION("""COMPUTED_VALUE"""),0.0)</f>
        <v>0</v>
      </c>
      <c r="S2091" s="3"/>
      <c r="T2091" s="5"/>
      <c r="U2091" s="5"/>
      <c r="V2091" s="5"/>
      <c r="W2091" s="5"/>
    </row>
    <row r="2092" ht="15.75" customHeight="1">
      <c r="A2092" s="3">
        <f>IFERROR(__xludf.DUMMYFUNCTION("""COMPUTED_VALUE"""),2092.0)</f>
        <v>2092</v>
      </c>
      <c r="B2092" s="53">
        <f>IFERROR(__xludf.DUMMYFUNCTION("""COMPUTED_VALUE"""),46102.0)</f>
        <v>46102</v>
      </c>
      <c r="C2092" s="3">
        <f>IFERROR(__xludf.DUMMYFUNCTION("""COMPUTED_VALUE"""),95.0)</f>
        <v>95</v>
      </c>
      <c r="D2092" s="3" t="str">
        <f>IFERROR(__xludf.DUMMYFUNCTION("""COMPUTED_VALUE"""),"0684c059")</f>
        <v>0684c059</v>
      </c>
      <c r="E2092" s="54">
        <f>IFERROR(__xludf.DUMMYFUNCTION("""COMPUTED_VALUE"""),5900.0)</f>
        <v>5900</v>
      </c>
      <c r="F2092" s="3" t="str">
        <f>IFERROR(__xludf.DUMMYFUNCTION("""COMPUTED_VALUE"""),"Cabernet Sauvignon")</f>
        <v>Cabernet Sauvignon</v>
      </c>
      <c r="G2092" s="3"/>
      <c r="H2092" s="56">
        <f>IFERROR(__xludf.DUMMYFUNCTION("""COMPUTED_VALUE"""),240.0)</f>
        <v>240</v>
      </c>
      <c r="I2092" s="3"/>
      <c r="J2092" s="3"/>
      <c r="K2092" s="57">
        <f>IFERROR(__xludf.DUMMYFUNCTION("""COMPUTED_VALUE"""),3.9)</f>
        <v>3.9</v>
      </c>
      <c r="L2092" s="54">
        <f>IFERROR(__xludf.DUMMYFUNCTION("""COMPUTED_VALUE"""),15.0)</f>
        <v>15</v>
      </c>
      <c r="M2092" s="3">
        <f>IFERROR(__xludf.DUMMYFUNCTION("""COMPUTED_VALUE"""),50.0)</f>
        <v>50</v>
      </c>
      <c r="N2092" s="3"/>
      <c r="O2092" s="3"/>
      <c r="P2092" s="3"/>
      <c r="Q2092" s="3"/>
      <c r="R2092" s="3">
        <f>IFERROR(__xludf.DUMMYFUNCTION("""COMPUTED_VALUE"""),0.0)</f>
        <v>0</v>
      </c>
      <c r="S2092" s="3"/>
      <c r="T2092" s="5"/>
      <c r="U2092" s="5"/>
      <c r="V2092" s="5"/>
      <c r="W2092" s="5"/>
    </row>
    <row r="2093" ht="15.75" customHeight="1">
      <c r="A2093" s="3">
        <f>IFERROR(__xludf.DUMMYFUNCTION("""COMPUTED_VALUE"""),2093.0)</f>
        <v>2093</v>
      </c>
      <c r="B2093" s="53">
        <f>IFERROR(__xludf.DUMMYFUNCTION("""COMPUTED_VALUE"""),46104.0)</f>
        <v>46104</v>
      </c>
      <c r="C2093" s="3">
        <f>IFERROR(__xludf.DUMMYFUNCTION("""COMPUTED_VALUE"""),65.0)</f>
        <v>65</v>
      </c>
      <c r="D2093" s="3" t="str">
        <f>IFERROR(__xludf.DUMMYFUNCTION("""COMPUTED_VALUE"""),"181268cf")</f>
        <v>181268cf</v>
      </c>
      <c r="E2093" s="54">
        <f>IFERROR(__xludf.DUMMYFUNCTION("""COMPUTED_VALUE"""),20100.0)</f>
        <v>20100</v>
      </c>
      <c r="F2093" s="3" t="str">
        <f>IFERROR(__xludf.DUMMYFUNCTION("""COMPUTED_VALUE"""),"Syrah Temp")</f>
        <v>Syrah Temp</v>
      </c>
      <c r="G2093" s="3"/>
      <c r="H2093" s="3"/>
      <c r="I2093" s="3"/>
      <c r="J2093" s="3"/>
      <c r="K2093" s="3"/>
      <c r="L2093" s="3"/>
      <c r="M2093" s="3"/>
      <c r="N2093" s="3"/>
      <c r="O2093" s="3"/>
      <c r="P2093" s="3"/>
      <c r="Q2093" s="3"/>
      <c r="R2093" s="3">
        <f>IFERROR(__xludf.DUMMYFUNCTION("""COMPUTED_VALUE"""),0.0)</f>
        <v>0</v>
      </c>
      <c r="S2093" s="3"/>
      <c r="T2093" s="5"/>
      <c r="U2093" s="5"/>
      <c r="V2093" s="5"/>
      <c r="W2093" s="5"/>
    </row>
    <row r="2094" ht="15.75" customHeight="1">
      <c r="A2094" s="3">
        <f>IFERROR(__xludf.DUMMYFUNCTION("""COMPUTED_VALUE"""),2094.0)</f>
        <v>2094</v>
      </c>
      <c r="B2094" s="53">
        <f>IFERROR(__xludf.DUMMYFUNCTION("""COMPUTED_VALUE"""),46106.0)</f>
        <v>46106</v>
      </c>
      <c r="C2094" s="3">
        <f>IFERROR(__xludf.DUMMYFUNCTION("""COMPUTED_VALUE"""),102.0)</f>
        <v>102</v>
      </c>
      <c r="D2094" s="3" t="str">
        <f>IFERROR(__xludf.DUMMYFUNCTION("""COMPUTED_VALUE"""),"bc1c84db")</f>
        <v>bc1c84db</v>
      </c>
      <c r="E2094" s="54">
        <f>IFERROR(__xludf.DUMMYFUNCTION("""COMPUTED_VALUE"""),31000.0)</f>
        <v>31000</v>
      </c>
      <c r="F2094" s="3" t="str">
        <f>IFERROR(__xludf.DUMMYFUNCTION("""COMPUTED_VALUE"""),"Syrah Anc s/Asp 2")</f>
        <v>Syrah Anc s/Asp 2</v>
      </c>
      <c r="G2094" s="3"/>
      <c r="H2094" s="3"/>
      <c r="I2094" s="3"/>
      <c r="J2094" s="3"/>
      <c r="K2094" s="57">
        <f>IFERROR(__xludf.DUMMYFUNCTION("""COMPUTED_VALUE"""),3.66)</f>
        <v>3.66</v>
      </c>
      <c r="L2094" s="54">
        <f>IFERROR(__xludf.DUMMYFUNCTION("""COMPUTED_VALUE"""),32.0)</f>
        <v>32</v>
      </c>
      <c r="M2094" s="3">
        <f>IFERROR(__xludf.DUMMYFUNCTION("""COMPUTED_VALUE"""),107.0)</f>
        <v>107</v>
      </c>
      <c r="N2094" s="3"/>
      <c r="O2094" s="3"/>
      <c r="P2094" s="3"/>
      <c r="Q2094" s="3"/>
      <c r="R2094" s="3"/>
      <c r="S2094" s="54">
        <f>IFERROR(__xludf.DUMMYFUNCTION("""COMPUTED_VALUE"""),0.0)</f>
        <v>0</v>
      </c>
      <c r="T2094" s="5"/>
      <c r="U2094" s="5"/>
      <c r="V2094" s="5"/>
      <c r="W2094" s="5"/>
    </row>
    <row r="2095" ht="15.75" customHeight="1">
      <c r="A2095" s="3">
        <f>IFERROR(__xludf.DUMMYFUNCTION("""COMPUTED_VALUE"""),2095.0)</f>
        <v>2095</v>
      </c>
      <c r="B2095" s="53">
        <f>IFERROR(__xludf.DUMMYFUNCTION("""COMPUTED_VALUE"""),46106.0)</f>
        <v>46106</v>
      </c>
      <c r="C2095" s="3">
        <f>IFERROR(__xludf.DUMMYFUNCTION("""COMPUTED_VALUE"""),103.0)</f>
        <v>103</v>
      </c>
      <c r="D2095" s="3" t="str">
        <f>IFERROR(__xludf.DUMMYFUNCTION("""COMPUTED_VALUE"""),"a8f01ef9")</f>
        <v>a8f01ef9</v>
      </c>
      <c r="E2095" s="54">
        <f>IFERROR(__xludf.DUMMYFUNCTION("""COMPUTED_VALUE"""),28000.0)</f>
        <v>28000</v>
      </c>
      <c r="F2095" s="3" t="str">
        <f>IFERROR(__xludf.DUMMYFUNCTION("""COMPUTED_VALUE"""),"Syrah Anc s/Asp 2")</f>
        <v>Syrah Anc s/Asp 2</v>
      </c>
      <c r="G2095" s="3"/>
      <c r="H2095" s="3"/>
      <c r="I2095" s="3"/>
      <c r="J2095" s="3"/>
      <c r="K2095" s="57">
        <f>IFERROR(__xludf.DUMMYFUNCTION("""COMPUTED_VALUE"""),3.64)</f>
        <v>3.64</v>
      </c>
      <c r="L2095" s="54">
        <f>IFERROR(__xludf.DUMMYFUNCTION("""COMPUTED_VALUE"""),35.0)</f>
        <v>35</v>
      </c>
      <c r="M2095" s="3">
        <f>IFERROR(__xludf.DUMMYFUNCTION("""COMPUTED_VALUE"""),82.0)</f>
        <v>82</v>
      </c>
      <c r="N2095" s="3"/>
      <c r="O2095" s="3"/>
      <c r="P2095" s="3"/>
      <c r="Q2095" s="3"/>
      <c r="R2095" s="3"/>
      <c r="S2095" s="54">
        <f>IFERROR(__xludf.DUMMYFUNCTION("""COMPUTED_VALUE"""),0.0)</f>
        <v>0</v>
      </c>
      <c r="T2095" s="5"/>
      <c r="U2095" s="5"/>
      <c r="V2095" s="5"/>
      <c r="W2095" s="5"/>
    </row>
    <row r="2096" ht="15.75" customHeight="1">
      <c r="A2096" s="3">
        <f>IFERROR(__xludf.DUMMYFUNCTION("""COMPUTED_VALUE"""),2096.0)</f>
        <v>2096</v>
      </c>
      <c r="B2096" s="53">
        <f>IFERROR(__xludf.DUMMYFUNCTION("""COMPUTED_VALUE"""),46106.0)</f>
        <v>46106</v>
      </c>
      <c r="C2096" s="3">
        <f>IFERROR(__xludf.DUMMYFUNCTION("""COMPUTED_VALUE"""),104.0)</f>
        <v>104</v>
      </c>
      <c r="D2096" s="3" t="str">
        <f>IFERROR(__xludf.DUMMYFUNCTION("""COMPUTED_VALUE"""),"7831ca4f")</f>
        <v>7831ca4f</v>
      </c>
      <c r="E2096" s="54">
        <f>IFERROR(__xludf.DUMMYFUNCTION("""COMPUTED_VALUE"""),31000.0)</f>
        <v>31000</v>
      </c>
      <c r="F2096" s="3" t="str">
        <f>IFERROR(__xludf.DUMMYFUNCTION("""COMPUTED_VALUE"""),"Syrah s/Asp")</f>
        <v>Syrah s/Asp</v>
      </c>
      <c r="G2096" s="3"/>
      <c r="H2096" s="3"/>
      <c r="I2096" s="3"/>
      <c r="J2096" s="3"/>
      <c r="K2096" s="57">
        <f>IFERROR(__xludf.DUMMYFUNCTION("""COMPUTED_VALUE"""),3.7)</f>
        <v>3.7</v>
      </c>
      <c r="L2096" s="54">
        <f>IFERROR(__xludf.DUMMYFUNCTION("""COMPUTED_VALUE"""),34.0)</f>
        <v>34</v>
      </c>
      <c r="M2096" s="3">
        <f>IFERROR(__xludf.DUMMYFUNCTION("""COMPUTED_VALUE"""),83.0)</f>
        <v>83</v>
      </c>
      <c r="N2096" s="3"/>
      <c r="O2096" s="3"/>
      <c r="P2096" s="3"/>
      <c r="Q2096" s="3"/>
      <c r="R2096" s="3"/>
      <c r="S2096" s="3"/>
      <c r="T2096" s="5"/>
      <c r="U2096" s="5"/>
      <c r="V2096" s="5"/>
      <c r="W2096" s="5"/>
    </row>
    <row r="2097" ht="15.75" customHeight="1">
      <c r="A2097" s="3">
        <f>IFERROR(__xludf.DUMMYFUNCTION("""COMPUTED_VALUE"""),2097.0)</f>
        <v>2097</v>
      </c>
      <c r="B2097" s="53">
        <f>IFERROR(__xludf.DUMMYFUNCTION("""COMPUTED_VALUE"""),46106.0)</f>
        <v>46106</v>
      </c>
      <c r="C2097" s="3">
        <f>IFERROR(__xludf.DUMMYFUNCTION("""COMPUTED_VALUE"""),105.0)</f>
        <v>105</v>
      </c>
      <c r="D2097" s="3" t="str">
        <f>IFERROR(__xludf.DUMMYFUNCTION("""COMPUTED_VALUE"""),"c904d65f")</f>
        <v>c904d65f</v>
      </c>
      <c r="E2097" s="54">
        <f>IFERROR(__xludf.DUMMYFUNCTION("""COMPUTED_VALUE"""),29000.0)</f>
        <v>29000</v>
      </c>
      <c r="F2097" s="3" t="str">
        <f>IFERROR(__xludf.DUMMYFUNCTION("""COMPUTED_VALUE"""),"Syrah Merlot s/Asp 3")</f>
        <v>Syrah Merlot s/Asp 3</v>
      </c>
      <c r="G2097" s="3"/>
      <c r="H2097" s="3"/>
      <c r="I2097" s="3"/>
      <c r="J2097" s="3"/>
      <c r="K2097" s="57">
        <f>IFERROR(__xludf.DUMMYFUNCTION("""COMPUTED_VALUE"""),3.71)</f>
        <v>3.71</v>
      </c>
      <c r="L2097" s="54">
        <f>IFERROR(__xludf.DUMMYFUNCTION("""COMPUTED_VALUE"""),32.0)</f>
        <v>32</v>
      </c>
      <c r="M2097" s="3">
        <f>IFERROR(__xludf.DUMMYFUNCTION("""COMPUTED_VALUE"""),98.0)</f>
        <v>98</v>
      </c>
      <c r="N2097" s="3"/>
      <c r="O2097" s="3"/>
      <c r="P2097" s="3"/>
      <c r="Q2097" s="3"/>
      <c r="R2097" s="3"/>
      <c r="S2097" s="54">
        <f>IFERROR(__xludf.DUMMYFUNCTION("""COMPUTED_VALUE"""),0.0)</f>
        <v>0</v>
      </c>
      <c r="T2097" s="5"/>
      <c r="U2097" s="5"/>
      <c r="V2097" s="5"/>
      <c r="W2097" s="5"/>
    </row>
    <row r="2098" ht="15.75" customHeight="1">
      <c r="A2098" s="3">
        <f>IFERROR(__xludf.DUMMYFUNCTION("""COMPUTED_VALUE"""),2098.0)</f>
        <v>2098</v>
      </c>
      <c r="B2098" s="53">
        <f>IFERROR(__xludf.DUMMYFUNCTION("""COMPUTED_VALUE"""),46106.0)</f>
        <v>46106</v>
      </c>
      <c r="C2098" s="3">
        <f>IFERROR(__xludf.DUMMYFUNCTION("""COMPUTED_VALUE"""),106.0)</f>
        <v>106</v>
      </c>
      <c r="D2098" s="3" t="str">
        <f>IFERROR(__xludf.DUMMYFUNCTION("""COMPUTED_VALUE"""),"a55a2b1c")</f>
        <v>a55a2b1c</v>
      </c>
      <c r="E2098" s="54">
        <f>IFERROR(__xludf.DUMMYFUNCTION("""COMPUTED_VALUE"""),10010.0)</f>
        <v>10010</v>
      </c>
      <c r="F2098" s="3" t="str">
        <f>IFERROR(__xludf.DUMMYFUNCTION("""COMPUTED_VALUE"""),"Syrah Merlot s/Asp 3")</f>
        <v>Syrah Merlot s/Asp 3</v>
      </c>
      <c r="G2098" s="3"/>
      <c r="H2098" s="3"/>
      <c r="I2098" s="3"/>
      <c r="J2098" s="3"/>
      <c r="K2098" s="57">
        <f>IFERROR(__xludf.DUMMYFUNCTION("""COMPUTED_VALUE"""),3.7)</f>
        <v>3.7</v>
      </c>
      <c r="L2098" s="54">
        <f>IFERROR(__xludf.DUMMYFUNCTION("""COMPUTED_VALUE"""),34.0)</f>
        <v>34</v>
      </c>
      <c r="M2098" s="3">
        <f>IFERROR(__xludf.DUMMYFUNCTION("""COMPUTED_VALUE"""),92.0)</f>
        <v>92</v>
      </c>
      <c r="N2098" s="3"/>
      <c r="O2098" s="3"/>
      <c r="P2098" s="3"/>
      <c r="Q2098" s="3"/>
      <c r="R2098" s="3"/>
      <c r="S2098" s="54">
        <f>IFERROR(__xludf.DUMMYFUNCTION("""COMPUTED_VALUE"""),0.0)</f>
        <v>0</v>
      </c>
      <c r="T2098" s="5"/>
      <c r="U2098" s="5"/>
      <c r="V2098" s="5"/>
      <c r="W2098" s="5"/>
    </row>
    <row r="2099" ht="15.75" customHeight="1">
      <c r="A2099" s="3">
        <f>IFERROR(__xludf.DUMMYFUNCTION("""COMPUTED_VALUE"""),2099.0)</f>
        <v>2099</v>
      </c>
      <c r="B2099" s="53">
        <f>IFERROR(__xludf.DUMMYFUNCTION("""COMPUTED_VALUE"""),46106.0)</f>
        <v>46106</v>
      </c>
      <c r="C2099" s="3">
        <f>IFERROR(__xludf.DUMMYFUNCTION("""COMPUTED_VALUE"""),107.0)</f>
        <v>107</v>
      </c>
      <c r="D2099" s="3" t="str">
        <f>IFERROR(__xludf.DUMMYFUNCTION("""COMPUTED_VALUE"""),"5b072ae5")</f>
        <v>5b072ae5</v>
      </c>
      <c r="E2099" s="54">
        <f>IFERROR(__xludf.DUMMYFUNCTION("""COMPUTED_VALUE"""),29000.0)</f>
        <v>29000</v>
      </c>
      <c r="F2099" s="3" t="str">
        <f>IFERROR(__xludf.DUMMYFUNCTION("""COMPUTED_VALUE"""),"Syrah Merlot s/Asp 3")</f>
        <v>Syrah Merlot s/Asp 3</v>
      </c>
      <c r="G2099" s="3"/>
      <c r="H2099" s="3"/>
      <c r="I2099" s="3"/>
      <c r="J2099" s="3"/>
      <c r="K2099" s="57">
        <f>IFERROR(__xludf.DUMMYFUNCTION("""COMPUTED_VALUE"""),3.71)</f>
        <v>3.71</v>
      </c>
      <c r="L2099" s="54">
        <f>IFERROR(__xludf.DUMMYFUNCTION("""COMPUTED_VALUE"""),29.0)</f>
        <v>29</v>
      </c>
      <c r="M2099" s="3">
        <f>IFERROR(__xludf.DUMMYFUNCTION("""COMPUTED_VALUE"""),78.0)</f>
        <v>78</v>
      </c>
      <c r="N2099" s="3"/>
      <c r="O2099" s="3"/>
      <c r="P2099" s="3"/>
      <c r="Q2099" s="3"/>
      <c r="R2099" s="3"/>
      <c r="S2099" s="3"/>
      <c r="T2099" s="5"/>
      <c r="U2099" s="5"/>
      <c r="V2099" s="5"/>
      <c r="W2099" s="5"/>
    </row>
    <row r="2100" ht="15.75" customHeight="1">
      <c r="A2100" s="3">
        <f>IFERROR(__xludf.DUMMYFUNCTION("""COMPUTED_VALUE"""),2100.0)</f>
        <v>2100</v>
      </c>
      <c r="B2100" s="53">
        <f>IFERROR(__xludf.DUMMYFUNCTION("""COMPUTED_VALUE"""),46106.0)</f>
        <v>46106</v>
      </c>
      <c r="C2100" s="3">
        <f>IFERROR(__xludf.DUMMYFUNCTION("""COMPUTED_VALUE"""),108.0)</f>
        <v>108</v>
      </c>
      <c r="D2100" s="3" t="str">
        <f>IFERROR(__xludf.DUMMYFUNCTION("""COMPUTED_VALUE"""),"8cabfa9f")</f>
        <v>8cabfa9f</v>
      </c>
      <c r="E2100" s="54">
        <f>IFERROR(__xludf.DUMMYFUNCTION("""COMPUTED_VALUE"""),29490.0)</f>
        <v>29490</v>
      </c>
      <c r="F2100" s="3" t="str">
        <f>IFERROR(__xludf.DUMMYFUNCTION("""COMPUTED_VALUE"""),"Syrah Malbec s/Asp 2")</f>
        <v>Syrah Malbec s/Asp 2</v>
      </c>
      <c r="G2100" s="3"/>
      <c r="H2100" s="3"/>
      <c r="I2100" s="3"/>
      <c r="J2100" s="3"/>
      <c r="K2100" s="57">
        <f>IFERROR(__xludf.DUMMYFUNCTION("""COMPUTED_VALUE"""),3.69)</f>
        <v>3.69</v>
      </c>
      <c r="L2100" s="54">
        <f>IFERROR(__xludf.DUMMYFUNCTION("""COMPUTED_VALUE"""),30.0)</f>
        <v>30</v>
      </c>
      <c r="M2100" s="3">
        <f>IFERROR(__xludf.DUMMYFUNCTION("""COMPUTED_VALUE"""),77.0)</f>
        <v>77</v>
      </c>
      <c r="N2100" s="3"/>
      <c r="O2100" s="3"/>
      <c r="P2100" s="3"/>
      <c r="Q2100" s="3"/>
      <c r="R2100" s="3"/>
      <c r="S2100" s="54">
        <f>IFERROR(__xludf.DUMMYFUNCTION("""COMPUTED_VALUE"""),0.0)</f>
        <v>0</v>
      </c>
      <c r="T2100" s="5"/>
      <c r="U2100" s="5"/>
      <c r="V2100" s="5"/>
      <c r="W2100" s="5"/>
    </row>
    <row r="2101" ht="15.75" customHeight="1">
      <c r="A2101" s="3">
        <f>IFERROR(__xludf.DUMMYFUNCTION("""COMPUTED_VALUE"""),2101.0)</f>
        <v>2101</v>
      </c>
      <c r="B2101" s="53">
        <f>IFERROR(__xludf.DUMMYFUNCTION("""COMPUTED_VALUE"""),46106.0)</f>
        <v>46106</v>
      </c>
      <c r="C2101" s="3">
        <f>IFERROR(__xludf.DUMMYFUNCTION("""COMPUTED_VALUE"""),109.0)</f>
        <v>109</v>
      </c>
      <c r="D2101" s="3" t="str">
        <f>IFERROR(__xludf.DUMMYFUNCTION("""COMPUTED_VALUE"""),"61b89555")</f>
        <v>61b89555</v>
      </c>
      <c r="E2101" s="54">
        <f>IFERROR(__xludf.DUMMYFUNCTION("""COMPUTED_VALUE"""),15600.0)</f>
        <v>15600</v>
      </c>
      <c r="F2101" s="3" t="str">
        <f>IFERROR(__xludf.DUMMYFUNCTION("""COMPUTED_VALUE"""),"Syrah Malbec s/Asp 2")</f>
        <v>Syrah Malbec s/Asp 2</v>
      </c>
      <c r="G2101" s="3"/>
      <c r="H2101" s="3"/>
      <c r="I2101" s="3"/>
      <c r="J2101" s="3"/>
      <c r="K2101" s="57">
        <f>IFERROR(__xludf.DUMMYFUNCTION("""COMPUTED_VALUE"""),3.72)</f>
        <v>3.72</v>
      </c>
      <c r="L2101" s="54">
        <f>IFERROR(__xludf.DUMMYFUNCTION("""COMPUTED_VALUE"""),25.0)</f>
        <v>25</v>
      </c>
      <c r="M2101" s="3">
        <f>IFERROR(__xludf.DUMMYFUNCTION("""COMPUTED_VALUE"""),74.0)</f>
        <v>74</v>
      </c>
      <c r="N2101" s="3"/>
      <c r="O2101" s="3"/>
      <c r="P2101" s="3"/>
      <c r="Q2101" s="3"/>
      <c r="R2101" s="3"/>
      <c r="S2101" s="54">
        <f>IFERROR(__xludf.DUMMYFUNCTION("""COMPUTED_VALUE"""),0.0)</f>
        <v>0</v>
      </c>
      <c r="T2101" s="5"/>
      <c r="U2101" s="5"/>
      <c r="V2101" s="5"/>
      <c r="W2101" s="5"/>
    </row>
    <row r="2102" ht="15.75" customHeight="1">
      <c r="A2102" s="3">
        <f>IFERROR(__xludf.DUMMYFUNCTION("""COMPUTED_VALUE"""),2102.0)</f>
        <v>2102</v>
      </c>
      <c r="B2102" s="53">
        <f>IFERROR(__xludf.DUMMYFUNCTION("""COMPUTED_VALUE"""),46106.0)</f>
        <v>46106</v>
      </c>
      <c r="C2102" s="3">
        <f>IFERROR(__xludf.DUMMYFUNCTION("""COMPUTED_VALUE"""),110.0)</f>
        <v>110</v>
      </c>
      <c r="D2102" s="3" t="str">
        <f>IFERROR(__xludf.DUMMYFUNCTION("""COMPUTED_VALUE"""),"8a8cc2d8")</f>
        <v>8a8cc2d8</v>
      </c>
      <c r="E2102" s="54">
        <f>IFERROR(__xludf.DUMMYFUNCTION("""COMPUTED_VALUE"""),15600.0)</f>
        <v>15600</v>
      </c>
      <c r="F2102" s="3" t="str">
        <f>IFERROR(__xludf.DUMMYFUNCTION("""COMPUTED_VALUE"""),"Syrah Malbec s/Asp 2")</f>
        <v>Syrah Malbec s/Asp 2</v>
      </c>
      <c r="G2102" s="3"/>
      <c r="H2102" s="3"/>
      <c r="I2102" s="3"/>
      <c r="J2102" s="3"/>
      <c r="K2102" s="57">
        <f>IFERROR(__xludf.DUMMYFUNCTION("""COMPUTED_VALUE"""),3.65)</f>
        <v>3.65</v>
      </c>
      <c r="L2102" s="54">
        <f>IFERROR(__xludf.DUMMYFUNCTION("""COMPUTED_VALUE"""),27.0)</f>
        <v>27</v>
      </c>
      <c r="M2102" s="3">
        <f>IFERROR(__xludf.DUMMYFUNCTION("""COMPUTED_VALUE"""),79.0)</f>
        <v>79</v>
      </c>
      <c r="N2102" s="3"/>
      <c r="O2102" s="3"/>
      <c r="P2102" s="3"/>
      <c r="Q2102" s="3"/>
      <c r="R2102" s="3"/>
      <c r="S2102" s="3"/>
      <c r="T2102" s="5"/>
      <c r="U2102" s="5"/>
      <c r="V2102" s="5"/>
      <c r="W2102" s="5"/>
    </row>
    <row r="2103" ht="15.75" customHeight="1">
      <c r="A2103" s="3">
        <f>IFERROR(__xludf.DUMMYFUNCTION("""COMPUTED_VALUE"""),2103.0)</f>
        <v>2103</v>
      </c>
      <c r="B2103" s="53">
        <f>IFERROR(__xludf.DUMMYFUNCTION("""COMPUTED_VALUE"""),46106.0)</f>
        <v>46106</v>
      </c>
      <c r="C2103" s="3">
        <f>IFERROR(__xludf.DUMMYFUNCTION("""COMPUTED_VALUE"""),47.0)</f>
        <v>47</v>
      </c>
      <c r="D2103" s="3" t="str">
        <f>IFERROR(__xludf.DUMMYFUNCTION("""COMPUTED_VALUE"""),"5d1f812a")</f>
        <v>5d1f812a</v>
      </c>
      <c r="E2103" s="54">
        <f>IFERROR(__xludf.DUMMYFUNCTION("""COMPUTED_VALUE"""),20000.0)</f>
        <v>20000</v>
      </c>
      <c r="F2103" s="3" t="str">
        <f>IFERROR(__xludf.DUMMYFUNCTION("""COMPUTED_VALUE"""),"Chardonnay")</f>
        <v>Chardonnay</v>
      </c>
      <c r="G2103" s="3"/>
      <c r="H2103" s="3"/>
      <c r="I2103" s="3"/>
      <c r="J2103" s="3"/>
      <c r="K2103" s="57">
        <f>IFERROR(__xludf.DUMMYFUNCTION("""COMPUTED_VALUE"""),3.21)</f>
        <v>3.21</v>
      </c>
      <c r="L2103" s="54">
        <f>IFERROR(__xludf.DUMMYFUNCTION("""COMPUTED_VALUE"""),14.0)</f>
        <v>14</v>
      </c>
      <c r="M2103" s="3">
        <f>IFERROR(__xludf.DUMMYFUNCTION("""COMPUTED_VALUE"""),70.0)</f>
        <v>70</v>
      </c>
      <c r="N2103" s="3"/>
      <c r="O2103" s="3"/>
      <c r="P2103" s="3"/>
      <c r="Q2103" s="3"/>
      <c r="R2103" s="3"/>
      <c r="S2103" s="54">
        <f>IFERROR(__xludf.DUMMYFUNCTION("""COMPUTED_VALUE"""),0.0)</f>
        <v>0</v>
      </c>
      <c r="T2103" s="5"/>
      <c r="U2103" s="5"/>
      <c r="V2103" s="5"/>
      <c r="W2103" s="5"/>
    </row>
    <row r="2104" ht="15.75" customHeight="1">
      <c r="A2104" s="3">
        <f>IFERROR(__xludf.DUMMYFUNCTION("""COMPUTED_VALUE"""),2104.0)</f>
        <v>2104</v>
      </c>
      <c r="B2104" s="53">
        <f>IFERROR(__xludf.DUMMYFUNCTION("""COMPUTED_VALUE"""),46106.0)</f>
        <v>46106</v>
      </c>
      <c r="C2104" s="3">
        <f>IFERROR(__xludf.DUMMYFUNCTION("""COMPUTED_VALUE"""),48.0)</f>
        <v>48</v>
      </c>
      <c r="D2104" s="3" t="str">
        <f>IFERROR(__xludf.DUMMYFUNCTION("""COMPUTED_VALUE"""),"7cb704de")</f>
        <v>7cb704de</v>
      </c>
      <c r="E2104" s="54">
        <f>IFERROR(__xludf.DUMMYFUNCTION("""COMPUTED_VALUE"""),26000.0)</f>
        <v>26000</v>
      </c>
      <c r="F2104" s="3" t="str">
        <f>IFERROR(__xludf.DUMMYFUNCTION("""COMPUTED_VALUE"""),"Torrontes Viog")</f>
        <v>Torrontes Viog</v>
      </c>
      <c r="G2104" s="3"/>
      <c r="H2104" s="3"/>
      <c r="I2104" s="3"/>
      <c r="J2104" s="3"/>
      <c r="K2104" s="57">
        <f>IFERROR(__xludf.DUMMYFUNCTION("""COMPUTED_VALUE"""),3.41)</f>
        <v>3.41</v>
      </c>
      <c r="L2104" s="54">
        <f>IFERROR(__xludf.DUMMYFUNCTION("""COMPUTED_VALUE"""),18.0)</f>
        <v>18</v>
      </c>
      <c r="M2104" s="3"/>
      <c r="N2104" s="3"/>
      <c r="O2104" s="3"/>
      <c r="P2104" s="3"/>
      <c r="Q2104" s="3"/>
      <c r="R2104" s="3"/>
      <c r="S2104" s="54">
        <f>IFERROR(__xludf.DUMMYFUNCTION("""COMPUTED_VALUE"""),0.0)</f>
        <v>0</v>
      </c>
      <c r="T2104" s="5"/>
      <c r="U2104" s="5"/>
      <c r="V2104" s="5"/>
      <c r="W2104" s="5"/>
    </row>
    <row r="2105" ht="15.75" customHeight="1">
      <c r="A2105" s="3">
        <f>IFERROR(__xludf.DUMMYFUNCTION("""COMPUTED_VALUE"""),2105.0)</f>
        <v>2105</v>
      </c>
      <c r="B2105" s="53">
        <f>IFERROR(__xludf.DUMMYFUNCTION("""COMPUTED_VALUE"""),46107.0)</f>
        <v>46107</v>
      </c>
      <c r="C2105" s="3">
        <f>IFERROR(__xludf.DUMMYFUNCTION("""COMPUTED_VALUE"""),86.0)</f>
        <v>86</v>
      </c>
      <c r="D2105" s="3" t="str">
        <f>IFERROR(__xludf.DUMMYFUNCTION("""COMPUTED_VALUE"""),"53cc4912")</f>
        <v>53cc4912</v>
      </c>
      <c r="E2105" s="54">
        <f>IFERROR(__xludf.DUMMYFUNCTION("""COMPUTED_VALUE"""),46600.0)</f>
        <v>46600</v>
      </c>
      <c r="F2105" s="3" t="str">
        <f>IFERROR(__xludf.DUMMYFUNCTION("""COMPUTED_VALUE"""),"Malbec PC")</f>
        <v>Malbec PC</v>
      </c>
      <c r="G2105" s="3"/>
      <c r="H2105" s="56">
        <f>IFERROR(__xludf.DUMMYFUNCTION("""COMPUTED_VALUE"""),224.0)</f>
        <v>224</v>
      </c>
      <c r="I2105" s="3"/>
      <c r="J2105" s="3"/>
      <c r="K2105" s="57">
        <f>IFERROR(__xludf.DUMMYFUNCTION("""COMPUTED_VALUE"""),3.95)</f>
        <v>3.95</v>
      </c>
      <c r="L2105" s="54">
        <f>IFERROR(__xludf.DUMMYFUNCTION("""COMPUTED_VALUE"""),21.0)</f>
        <v>21</v>
      </c>
      <c r="M2105" s="3">
        <f>IFERROR(__xludf.DUMMYFUNCTION("""COMPUTED_VALUE"""),40.0)</f>
        <v>40</v>
      </c>
      <c r="N2105" s="3"/>
      <c r="O2105" s="3"/>
      <c r="P2105" s="3"/>
      <c r="Q2105" s="3"/>
      <c r="R2105" s="3"/>
      <c r="S2105" s="3"/>
      <c r="T2105" s="5"/>
      <c r="U2105" s="5"/>
      <c r="V2105" s="5"/>
      <c r="W2105" s="5"/>
    </row>
    <row r="2106" ht="15.75" customHeight="1">
      <c r="A2106" s="3">
        <f>IFERROR(__xludf.DUMMYFUNCTION("""COMPUTED_VALUE"""),2106.0)</f>
        <v>2106</v>
      </c>
      <c r="B2106" s="53">
        <f>IFERROR(__xludf.DUMMYFUNCTION("""COMPUTED_VALUE"""),46107.0)</f>
        <v>46107</v>
      </c>
      <c r="C2106" s="3">
        <f>IFERROR(__xludf.DUMMYFUNCTION("""COMPUTED_VALUE"""),79.0)</f>
        <v>79</v>
      </c>
      <c r="D2106" s="3" t="str">
        <f>IFERROR(__xludf.DUMMYFUNCTION("""COMPUTED_VALUE"""),"f3f41b27")</f>
        <v>f3f41b27</v>
      </c>
      <c r="E2106" s="54">
        <f>IFERROR(__xludf.DUMMYFUNCTION("""COMPUTED_VALUE"""),31820.0)</f>
        <v>31820</v>
      </c>
      <c r="F2106" s="3" t="str">
        <f>IFERROR(__xludf.DUMMYFUNCTION("""COMPUTED_VALUE"""),"Criolla")</f>
        <v>Criolla</v>
      </c>
      <c r="G2106" s="3"/>
      <c r="H2106" s="56">
        <f>IFERROR(__xludf.DUMMYFUNCTION("""COMPUTED_VALUE"""),214.0)</f>
        <v>214</v>
      </c>
      <c r="I2106" s="3"/>
      <c r="J2106" s="3"/>
      <c r="K2106" s="57">
        <f>IFERROR(__xludf.DUMMYFUNCTION("""COMPUTED_VALUE"""),3.82)</f>
        <v>3.82</v>
      </c>
      <c r="L2106" s="54">
        <f>IFERROR(__xludf.DUMMYFUNCTION("""COMPUTED_VALUE"""),25.0)</f>
        <v>25</v>
      </c>
      <c r="M2106" s="3">
        <f>IFERROR(__xludf.DUMMYFUNCTION("""COMPUTED_VALUE"""),99.0)</f>
        <v>99</v>
      </c>
      <c r="N2106" s="3"/>
      <c r="O2106" s="3"/>
      <c r="P2106" s="3"/>
      <c r="Q2106" s="3"/>
      <c r="R2106" s="3">
        <f>IFERROR(__xludf.DUMMYFUNCTION("""COMPUTED_VALUE"""),0.0)</f>
        <v>0</v>
      </c>
      <c r="S2106" s="3"/>
      <c r="T2106" s="5"/>
      <c r="U2106" s="5"/>
      <c r="V2106" s="5"/>
      <c r="W2106" s="5"/>
    </row>
    <row r="2107" ht="15.75" customHeight="1">
      <c r="A2107" s="3">
        <f>IFERROR(__xludf.DUMMYFUNCTION("""COMPUTED_VALUE"""),2107.0)</f>
        <v>2107</v>
      </c>
      <c r="B2107" s="53">
        <f>IFERROR(__xludf.DUMMYFUNCTION("""COMPUTED_VALUE"""),46107.0)</f>
        <v>46107</v>
      </c>
      <c r="C2107" s="3">
        <f>IFERROR(__xludf.DUMMYFUNCTION("""COMPUTED_VALUE"""),90.0)</f>
        <v>90</v>
      </c>
      <c r="D2107" s="3" t="str">
        <f>IFERROR(__xludf.DUMMYFUNCTION("""COMPUTED_VALUE"""),"990d3af1")</f>
        <v>990d3af1</v>
      </c>
      <c r="E2107" s="54">
        <f>IFERROR(__xludf.DUMMYFUNCTION("""COMPUTED_VALUE"""),50600.0)</f>
        <v>50600</v>
      </c>
      <c r="F2107" s="3" t="str">
        <f>IFERROR(__xludf.DUMMYFUNCTION("""COMPUTED_VALUE"""),"Syrah Bonarda")</f>
        <v>Syrah Bonarda</v>
      </c>
      <c r="G2107" s="3"/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>
        <f>IFERROR(__xludf.DUMMYFUNCTION("""COMPUTED_VALUE"""),0.0)</f>
        <v>0</v>
      </c>
      <c r="S2107" s="3"/>
      <c r="T2107" s="5"/>
      <c r="U2107" s="5"/>
      <c r="V2107" s="5"/>
      <c r="W2107" s="5"/>
    </row>
    <row r="2108" ht="15.75" customHeight="1">
      <c r="A2108" s="3">
        <f>IFERROR(__xludf.DUMMYFUNCTION("""COMPUTED_VALUE"""),2108.0)</f>
        <v>2108</v>
      </c>
      <c r="B2108" s="53">
        <f>IFERROR(__xludf.DUMMYFUNCTION("""COMPUTED_VALUE"""),46107.0)</f>
        <v>46107</v>
      </c>
      <c r="C2108" s="3">
        <f>IFERROR(__xludf.DUMMYFUNCTION("""COMPUTED_VALUE"""),90.0)</f>
        <v>90</v>
      </c>
      <c r="D2108" s="3" t="str">
        <f>IFERROR(__xludf.DUMMYFUNCTION("""COMPUTED_VALUE"""),"990d3af1")</f>
        <v>990d3af1</v>
      </c>
      <c r="E2108" s="54">
        <f>IFERROR(__xludf.DUMMYFUNCTION("""COMPUTED_VALUE"""),50600.0)</f>
        <v>50600</v>
      </c>
      <c r="F2108" s="3" t="str">
        <f>IFERROR(__xludf.DUMMYFUNCTION("""COMPUTED_VALUE"""),"Syrah Bonarda")</f>
        <v>Syrah Bonarda</v>
      </c>
      <c r="G2108" s="55">
        <f>IFERROR(__xludf.DUMMYFUNCTION("""COMPUTED_VALUE"""),13.5)</f>
        <v>13.5</v>
      </c>
      <c r="H2108" s="56">
        <f>IFERROR(__xludf.DUMMYFUNCTION("""COMPUTED_VALUE"""),4.0)</f>
        <v>4</v>
      </c>
      <c r="I2108" s="3"/>
      <c r="J2108" s="3"/>
      <c r="K2108" s="3"/>
      <c r="L2108" s="3"/>
      <c r="M2108" s="3"/>
      <c r="N2108" s="3"/>
      <c r="O2108" s="3"/>
      <c r="P2108" s="3"/>
      <c r="Q2108" s="3"/>
      <c r="R2108" s="3">
        <f>IFERROR(__xludf.DUMMYFUNCTION("""COMPUTED_VALUE"""),0.0)</f>
        <v>0</v>
      </c>
      <c r="S2108" s="3"/>
      <c r="T2108" s="5"/>
      <c r="U2108" s="5"/>
      <c r="V2108" s="5"/>
      <c r="W2108" s="5"/>
    </row>
    <row r="2109" ht="15.75" customHeight="1">
      <c r="A2109" s="3">
        <f>IFERROR(__xludf.DUMMYFUNCTION("""COMPUTED_VALUE"""),2109.0)</f>
        <v>2109</v>
      </c>
      <c r="B2109" s="53">
        <f>IFERROR(__xludf.DUMMYFUNCTION("""COMPUTED_VALUE"""),46109.0)</f>
        <v>46109</v>
      </c>
      <c r="C2109" s="3">
        <f>IFERROR(__xludf.DUMMYFUNCTION("""COMPUTED_VALUE"""),67.0)</f>
        <v>67</v>
      </c>
      <c r="D2109" s="3" t="str">
        <f>IFERROR(__xludf.DUMMYFUNCTION("""COMPUTED_VALUE"""),"a08798fe")</f>
        <v>a08798fe</v>
      </c>
      <c r="E2109" s="54">
        <f>IFERROR(__xludf.DUMMYFUNCTION("""COMPUTED_VALUE"""),1000.0)</f>
        <v>1000</v>
      </c>
      <c r="F2109" s="3" t="str">
        <f>IFERROR(__xludf.DUMMYFUNCTION("""COMPUTED_VALUE"""),"Bonarda")</f>
        <v>Bonarda</v>
      </c>
      <c r="G2109" s="3"/>
      <c r="H2109" s="56">
        <f>IFERROR(__xludf.DUMMYFUNCTION("""COMPUTED_VALUE"""),230.0)</f>
        <v>230</v>
      </c>
      <c r="I2109" s="3"/>
      <c r="J2109" s="3"/>
      <c r="K2109" s="57">
        <f>IFERROR(__xludf.DUMMYFUNCTION("""COMPUTED_VALUE"""),4.04)</f>
        <v>4.04</v>
      </c>
      <c r="L2109" s="54">
        <f>IFERROR(__xludf.DUMMYFUNCTION("""COMPUTED_VALUE"""),33.0)</f>
        <v>33</v>
      </c>
      <c r="M2109" s="3">
        <f>IFERROR(__xludf.DUMMYFUNCTION("""COMPUTED_VALUE"""),85.0)</f>
        <v>85</v>
      </c>
      <c r="N2109" s="3"/>
      <c r="O2109" s="3"/>
      <c r="P2109" s="3"/>
      <c r="Q2109" s="3"/>
      <c r="R2109" s="3">
        <f>IFERROR(__xludf.DUMMYFUNCTION("""COMPUTED_VALUE"""),0.0)</f>
        <v>0</v>
      </c>
      <c r="S2109" s="3"/>
      <c r="T2109" s="5"/>
      <c r="U2109" s="5"/>
      <c r="V2109" s="5"/>
      <c r="W2109" s="5"/>
    </row>
    <row r="2110" ht="15.75" customHeight="1">
      <c r="A2110" s="3">
        <f>IFERROR(__xludf.DUMMYFUNCTION("""COMPUTED_VALUE"""),2110.0)</f>
        <v>2110</v>
      </c>
      <c r="B2110" s="53">
        <f>IFERROR(__xludf.DUMMYFUNCTION("""COMPUTED_VALUE"""),46081.0)</f>
        <v>46081</v>
      </c>
      <c r="C2110" s="3">
        <f>IFERROR(__xludf.DUMMYFUNCTION("""COMPUTED_VALUE"""),89.0)</f>
        <v>89</v>
      </c>
      <c r="D2110" s="3" t="str">
        <f>IFERROR(__xludf.DUMMYFUNCTION("""COMPUTED_VALUE"""),"aedafca4")</f>
        <v>aedafca4</v>
      </c>
      <c r="E2110" s="54">
        <f>IFERROR(__xludf.DUMMYFUNCTION("""COMPUTED_VALUE"""),34400.0)</f>
        <v>34400</v>
      </c>
      <c r="F2110" s="3" t="str">
        <f>IFERROR(__xludf.DUMMYFUNCTION("""COMPUTED_VALUE"""),"Malbec")</f>
        <v>Malbec</v>
      </c>
      <c r="G2110" s="3"/>
      <c r="H2110" s="56">
        <f>IFERROR(__xludf.DUMMYFUNCTION("""COMPUTED_VALUE"""),225.0)</f>
        <v>225</v>
      </c>
      <c r="I2110" s="3"/>
      <c r="J2110" s="3"/>
      <c r="K2110" s="57">
        <f>IFERROR(__xludf.DUMMYFUNCTION("""COMPUTED_VALUE"""),3.84)</f>
        <v>3.84</v>
      </c>
      <c r="L2110" s="54">
        <f>IFERROR(__xludf.DUMMYFUNCTION("""COMPUTED_VALUE"""),20.0)</f>
        <v>20</v>
      </c>
      <c r="M2110" s="3">
        <f>IFERROR(__xludf.DUMMYFUNCTION("""COMPUTED_VALUE"""),110.0)</f>
        <v>110</v>
      </c>
      <c r="N2110" s="3"/>
      <c r="O2110" s="3"/>
      <c r="P2110" s="3"/>
      <c r="Q2110" s="3"/>
      <c r="R2110" s="3">
        <f>IFERROR(__xludf.DUMMYFUNCTION("""COMPUTED_VALUE"""),0.0)</f>
        <v>0</v>
      </c>
      <c r="S2110" s="3"/>
      <c r="T2110" s="5"/>
      <c r="U2110" s="5"/>
      <c r="V2110" s="5"/>
      <c r="W2110" s="5"/>
    </row>
    <row r="2111" ht="15.75" customHeight="1">
      <c r="A2111" s="3">
        <f>IFERROR(__xludf.DUMMYFUNCTION("""COMPUTED_VALUE"""),2111.0)</f>
        <v>2111</v>
      </c>
      <c r="B2111" s="53">
        <f>IFERROR(__xludf.DUMMYFUNCTION("""COMPUTED_VALUE"""),46109.0)</f>
        <v>46109</v>
      </c>
      <c r="C2111" s="3">
        <f>IFERROR(__xludf.DUMMYFUNCTION("""COMPUTED_VALUE"""),82.0)</f>
        <v>82</v>
      </c>
      <c r="D2111" s="3"/>
      <c r="E2111" s="3"/>
      <c r="F2111" s="3"/>
      <c r="G2111" s="3"/>
      <c r="H2111" s="56">
        <f>IFERROR(__xludf.DUMMYFUNCTION("""COMPUTED_VALUE"""),208.0)</f>
        <v>208</v>
      </c>
      <c r="I2111" s="3"/>
      <c r="J2111" s="3"/>
      <c r="K2111" s="57">
        <f>IFERROR(__xludf.DUMMYFUNCTION("""COMPUTED_VALUE"""),3.82)</f>
        <v>3.82</v>
      </c>
      <c r="L2111" s="54">
        <f>IFERROR(__xludf.DUMMYFUNCTION("""COMPUTED_VALUE"""),21.0)</f>
        <v>21</v>
      </c>
      <c r="M2111" s="3">
        <f>IFERROR(__xludf.DUMMYFUNCTION("""COMPUTED_VALUE"""),120.0)</f>
        <v>120</v>
      </c>
      <c r="N2111" s="3"/>
      <c r="O2111" s="3"/>
      <c r="P2111" s="3"/>
      <c r="Q2111" s="3"/>
      <c r="R2111" s="3">
        <f>IFERROR(__xludf.DUMMYFUNCTION("""COMPUTED_VALUE"""),0.0)</f>
        <v>0</v>
      </c>
      <c r="S2111" s="3"/>
      <c r="T2111" s="5"/>
      <c r="U2111" s="5"/>
      <c r="V2111" s="5"/>
      <c r="W2111" s="5"/>
    </row>
    <row r="2112" ht="15.75" customHeight="1">
      <c r="A2112" s="3">
        <f>IFERROR(__xludf.DUMMYFUNCTION("""COMPUTED_VALUE"""),2112.0)</f>
        <v>2112</v>
      </c>
      <c r="B2112" s="53">
        <f>IFERROR(__xludf.DUMMYFUNCTION("""COMPUTED_VALUE"""),46109.0)</f>
        <v>46109</v>
      </c>
      <c r="C2112" s="3">
        <f>IFERROR(__xludf.DUMMYFUNCTION("""COMPUTED_VALUE"""),81.0)</f>
        <v>81</v>
      </c>
      <c r="D2112" s="3" t="str">
        <f>IFERROR(__xludf.DUMMYFUNCTION("""COMPUTED_VALUE"""),"51258d47")</f>
        <v>51258d47</v>
      </c>
      <c r="E2112" s="54">
        <f>IFERROR(__xludf.DUMMYFUNCTION("""COMPUTED_VALUE"""),14500.0)</f>
        <v>14500</v>
      </c>
      <c r="F2112" s="3" t="str">
        <f>IFERROR(__xludf.DUMMYFUNCTION("""COMPUTED_VALUE"""),"Malbec")</f>
        <v>Malbec</v>
      </c>
      <c r="G2112" s="3"/>
      <c r="H2112" s="3"/>
      <c r="I2112" s="3"/>
      <c r="J2112" s="3"/>
      <c r="K2112" s="57">
        <f>IFERROR(__xludf.DUMMYFUNCTION("""COMPUTED_VALUE"""),3.85)</f>
        <v>3.85</v>
      </c>
      <c r="L2112" s="54">
        <f>IFERROR(__xludf.DUMMYFUNCTION("""COMPUTED_VALUE"""),19.0)</f>
        <v>19</v>
      </c>
      <c r="M2112" s="3">
        <f>IFERROR(__xludf.DUMMYFUNCTION("""COMPUTED_VALUE"""),115.0)</f>
        <v>115</v>
      </c>
      <c r="N2112" s="3"/>
      <c r="O2112" s="3"/>
      <c r="P2112" s="3"/>
      <c r="Q2112" s="3"/>
      <c r="R2112" s="3">
        <f>IFERROR(__xludf.DUMMYFUNCTION("""COMPUTED_VALUE"""),0.0)</f>
        <v>0</v>
      </c>
      <c r="S2112" s="3"/>
      <c r="T2112" s="5"/>
      <c r="U2112" s="5"/>
      <c r="V2112" s="5"/>
      <c r="W2112" s="5"/>
    </row>
    <row r="2113" ht="15.75" customHeight="1">
      <c r="A2113" s="3">
        <f>IFERROR(__xludf.DUMMYFUNCTION("""COMPUTED_VALUE"""),2113.0)</f>
        <v>2113</v>
      </c>
      <c r="B2113" s="53">
        <f>IFERROR(__xludf.DUMMYFUNCTION("""COMPUTED_VALUE"""),46109.0)</f>
        <v>46109</v>
      </c>
      <c r="C2113" s="3">
        <f>IFERROR(__xludf.DUMMYFUNCTION("""COMPUTED_VALUE"""),88.0)</f>
        <v>88</v>
      </c>
      <c r="D2113" s="3" t="str">
        <f>IFERROR(__xludf.DUMMYFUNCTION("""COMPUTED_VALUE"""),"4930e6d3")</f>
        <v>4930e6d3</v>
      </c>
      <c r="E2113" s="54">
        <f>IFERROR(__xludf.DUMMYFUNCTION("""COMPUTED_VALUE"""),40000.0)</f>
        <v>40000</v>
      </c>
      <c r="F2113" s="3" t="str">
        <f>IFERROR(__xludf.DUMMYFUNCTION("""COMPUTED_VALUE"""),"Malbec")</f>
        <v>Malbec</v>
      </c>
      <c r="G2113" s="3"/>
      <c r="H2113" s="56">
        <f>IFERROR(__xludf.DUMMYFUNCTION("""COMPUTED_VALUE"""),225.0)</f>
        <v>225</v>
      </c>
      <c r="I2113" s="3"/>
      <c r="J2113" s="3"/>
      <c r="K2113" s="57">
        <f>IFERROR(__xludf.DUMMYFUNCTION("""COMPUTED_VALUE"""),3.88)</f>
        <v>3.88</v>
      </c>
      <c r="L2113" s="54">
        <f>IFERROR(__xludf.DUMMYFUNCTION("""COMPUTED_VALUE"""),20.0)</f>
        <v>20</v>
      </c>
      <c r="M2113" s="3">
        <f>IFERROR(__xludf.DUMMYFUNCTION("""COMPUTED_VALUE"""),120.0)</f>
        <v>120</v>
      </c>
      <c r="N2113" s="3"/>
      <c r="O2113" s="3"/>
      <c r="P2113" s="3"/>
      <c r="Q2113" s="3"/>
      <c r="R2113" s="3">
        <f>IFERROR(__xludf.DUMMYFUNCTION("""COMPUTED_VALUE"""),0.0)</f>
        <v>0</v>
      </c>
      <c r="S2113" s="3"/>
      <c r="T2113" s="5"/>
      <c r="U2113" s="5"/>
      <c r="V2113" s="5"/>
      <c r="W2113" s="5"/>
    </row>
    <row r="2114" ht="15.75" customHeight="1">
      <c r="A2114" s="3">
        <f>IFERROR(__xludf.DUMMYFUNCTION("""COMPUTED_VALUE"""),2114.0)</f>
        <v>2114</v>
      </c>
      <c r="B2114" s="53">
        <f>IFERROR(__xludf.DUMMYFUNCTION("""COMPUTED_VALUE"""),46109.0)</f>
        <v>46109</v>
      </c>
      <c r="C2114" s="3">
        <f>IFERROR(__xludf.DUMMYFUNCTION("""COMPUTED_VALUE"""),91.0)</f>
        <v>91</v>
      </c>
      <c r="D2114" s="3" t="str">
        <f>IFERROR(__xludf.DUMMYFUNCTION("""COMPUTED_VALUE"""),"44461346")</f>
        <v>44461346</v>
      </c>
      <c r="E2114" s="54">
        <f>IFERROR(__xludf.DUMMYFUNCTION("""COMPUTED_VALUE"""),43400.0)</f>
        <v>43400</v>
      </c>
      <c r="F2114" s="3" t="str">
        <f>IFERROR(__xludf.DUMMYFUNCTION("""COMPUTED_VALUE"""),"Cabernet Sauv")</f>
        <v>Cabernet Sauv</v>
      </c>
      <c r="G2114" s="3"/>
      <c r="H2114" s="56">
        <f>IFERROR(__xludf.DUMMYFUNCTION("""COMPUTED_VALUE"""),5.0)</f>
        <v>5</v>
      </c>
      <c r="I2114" s="3"/>
      <c r="J2114" s="3"/>
      <c r="K2114" s="57">
        <f>IFERROR(__xludf.DUMMYFUNCTION("""COMPUTED_VALUE"""),3.97)</f>
        <v>3.97</v>
      </c>
      <c r="L2114" s="3"/>
      <c r="M2114" s="3"/>
      <c r="N2114" s="3"/>
      <c r="O2114" s="3"/>
      <c r="P2114" s="3"/>
      <c r="Q2114" s="3"/>
      <c r="R2114" s="3">
        <f>IFERROR(__xludf.DUMMYFUNCTION("""COMPUTED_VALUE"""),0.0)</f>
        <v>0</v>
      </c>
      <c r="S2114" s="3"/>
      <c r="T2114" s="5"/>
      <c r="U2114" s="5"/>
      <c r="V2114" s="5"/>
      <c r="W2114" s="5"/>
    </row>
    <row r="2115" ht="15.75" customHeight="1">
      <c r="A2115" s="3">
        <f>IFERROR(__xludf.DUMMYFUNCTION("""COMPUTED_VALUE"""),2115.0)</f>
        <v>2115</v>
      </c>
      <c r="B2115" s="53">
        <f>IFERROR(__xludf.DUMMYFUNCTION("""COMPUTED_VALUE"""),46108.0)</f>
        <v>46108</v>
      </c>
      <c r="C2115" s="3">
        <f>IFERROR(__xludf.DUMMYFUNCTION("""COMPUTED_VALUE"""),47.0)</f>
        <v>47</v>
      </c>
      <c r="D2115" s="3" t="str">
        <f>IFERROR(__xludf.DUMMYFUNCTION("""COMPUTED_VALUE"""),"5d1f812a")</f>
        <v>5d1f812a</v>
      </c>
      <c r="E2115" s="54">
        <f>IFERROR(__xludf.DUMMYFUNCTION("""COMPUTED_VALUE"""),20000.0)</f>
        <v>20000</v>
      </c>
      <c r="F2115" s="3" t="str">
        <f>IFERROR(__xludf.DUMMYFUNCTION("""COMPUTED_VALUE"""),"Chardonnay")</f>
        <v>Chardonnay</v>
      </c>
      <c r="G2115" s="55">
        <f>IFERROR(__xludf.DUMMYFUNCTION("""COMPUTED_VALUE"""),12.9)</f>
        <v>12.9</v>
      </c>
      <c r="H2115" s="56">
        <f>IFERROR(__xludf.DUMMYFUNCTION("""COMPUTED_VALUE"""),-1.8)</f>
        <v>-1.8</v>
      </c>
      <c r="I2115" s="57">
        <f>IFERROR(__xludf.DUMMYFUNCTION("""COMPUTED_VALUE"""),0.15)</f>
        <v>0.15</v>
      </c>
      <c r="J2115" s="57">
        <f>IFERROR(__xludf.DUMMYFUNCTION("""COMPUTED_VALUE"""),6.52)</f>
        <v>6.52</v>
      </c>
      <c r="K2115" s="3"/>
      <c r="L2115" s="3"/>
      <c r="M2115" s="3"/>
      <c r="N2115" s="3"/>
      <c r="O2115" s="3"/>
      <c r="P2115" s="3"/>
      <c r="Q2115" s="3"/>
      <c r="R2115" s="3">
        <f>IFERROR(__xludf.DUMMYFUNCTION("""COMPUTED_VALUE"""),0.0)</f>
        <v>0</v>
      </c>
      <c r="S2115" s="3"/>
      <c r="T2115" s="5"/>
      <c r="U2115" s="5"/>
      <c r="V2115" s="5"/>
      <c r="W2115" s="5" t="str">
        <f>IFERROR(__xludf.DUMMYFUNCTION("""COMPUTED_VALUE"""),"Simon")</f>
        <v>Simon</v>
      </c>
    </row>
    <row r="2116" ht="15.75" customHeight="1">
      <c r="A2116" s="3">
        <f>IFERROR(__xludf.DUMMYFUNCTION("""COMPUTED_VALUE"""),2116.0)</f>
        <v>2116</v>
      </c>
      <c r="B2116" s="53">
        <f>IFERROR(__xludf.DUMMYFUNCTION("""COMPUTED_VALUE"""),46108.0)</f>
        <v>46108</v>
      </c>
      <c r="C2116" s="3">
        <f>IFERROR(__xludf.DUMMYFUNCTION("""COMPUTED_VALUE"""),48.0)</f>
        <v>48</v>
      </c>
      <c r="D2116" s="3" t="str">
        <f>IFERROR(__xludf.DUMMYFUNCTION("""COMPUTED_VALUE"""),"7cb704de")</f>
        <v>7cb704de</v>
      </c>
      <c r="E2116" s="54">
        <f>IFERROR(__xludf.DUMMYFUNCTION("""COMPUTED_VALUE"""),26000.0)</f>
        <v>26000</v>
      </c>
      <c r="F2116" s="3" t="str">
        <f>IFERROR(__xludf.DUMMYFUNCTION("""COMPUTED_VALUE"""),"Torrontes Viog")</f>
        <v>Torrontes Viog</v>
      </c>
      <c r="G2116" s="55">
        <f>IFERROR(__xludf.DUMMYFUNCTION("""COMPUTED_VALUE"""),12.5)</f>
        <v>12.5</v>
      </c>
      <c r="H2116" s="56">
        <f>IFERROR(__xludf.DUMMYFUNCTION("""COMPUTED_VALUE"""),-1.8)</f>
        <v>-1.8</v>
      </c>
      <c r="I2116" s="57">
        <f>IFERROR(__xludf.DUMMYFUNCTION("""COMPUTED_VALUE"""),0.13)</f>
        <v>0.13</v>
      </c>
      <c r="J2116" s="57">
        <f>IFERROR(__xludf.DUMMYFUNCTION("""COMPUTED_VALUE"""),5.4)</f>
        <v>5.4</v>
      </c>
      <c r="K2116" s="3"/>
      <c r="L2116" s="3"/>
      <c r="M2116" s="3"/>
      <c r="N2116" s="3"/>
      <c r="O2116" s="3"/>
      <c r="P2116" s="3"/>
      <c r="Q2116" s="3"/>
      <c r="R2116" s="3">
        <f>IFERROR(__xludf.DUMMYFUNCTION("""COMPUTED_VALUE"""),0.0)</f>
        <v>0</v>
      </c>
      <c r="S2116" s="3"/>
      <c r="T2116" s="5"/>
      <c r="U2116" s="5"/>
      <c r="V2116" s="5"/>
      <c r="W2116" s="5" t="str">
        <f>IFERROR(__xludf.DUMMYFUNCTION("""COMPUTED_VALUE"""),"Simon")</f>
        <v>Simon</v>
      </c>
    </row>
    <row r="2117" ht="15.75" customHeight="1">
      <c r="A2117" s="3">
        <f>IFERROR(__xludf.DUMMYFUNCTION("""COMPUTED_VALUE"""),2117.0)</f>
        <v>2117</v>
      </c>
      <c r="B2117" s="53">
        <f>IFERROR(__xludf.DUMMYFUNCTION("""COMPUTED_VALUE"""),46108.0)</f>
        <v>46108</v>
      </c>
      <c r="C2117" s="3">
        <f>IFERROR(__xludf.DUMMYFUNCTION("""COMPUTED_VALUE"""),102.0)</f>
        <v>102</v>
      </c>
      <c r="D2117" s="3" t="str">
        <f>IFERROR(__xludf.DUMMYFUNCTION("""COMPUTED_VALUE"""),"bc1c84db")</f>
        <v>bc1c84db</v>
      </c>
      <c r="E2117" s="54">
        <f>IFERROR(__xludf.DUMMYFUNCTION("""COMPUTED_VALUE"""),31000.0)</f>
        <v>31000</v>
      </c>
      <c r="F2117" s="3" t="str">
        <f>IFERROR(__xludf.DUMMYFUNCTION("""COMPUTED_VALUE"""),"Syrah Anc s/Asp 2")</f>
        <v>Syrah Anc s/Asp 2</v>
      </c>
      <c r="G2117" s="55">
        <f>IFERROR(__xludf.DUMMYFUNCTION("""COMPUTED_VALUE"""),13.6)</f>
        <v>13.6</v>
      </c>
      <c r="H2117" s="56">
        <f>IFERROR(__xludf.DUMMYFUNCTION("""COMPUTED_VALUE"""),-1.8)</f>
        <v>-1.8</v>
      </c>
      <c r="I2117" s="57">
        <f>IFERROR(__xludf.DUMMYFUNCTION("""COMPUTED_VALUE"""),0.25)</f>
        <v>0.25</v>
      </c>
      <c r="J2117" s="57">
        <f>IFERROR(__xludf.DUMMYFUNCTION("""COMPUTED_VALUE"""),6.37)</f>
        <v>6.37</v>
      </c>
      <c r="K2117" s="3"/>
      <c r="L2117" s="3"/>
      <c r="M2117" s="3"/>
      <c r="N2117" s="3"/>
      <c r="O2117" s="3"/>
      <c r="P2117" s="3"/>
      <c r="Q2117" s="3"/>
      <c r="R2117" s="3">
        <f>IFERROR(__xludf.DUMMYFUNCTION("""COMPUTED_VALUE"""),0.0)</f>
        <v>0</v>
      </c>
      <c r="S2117" s="3"/>
      <c r="T2117" s="5"/>
      <c r="U2117" s="5"/>
      <c r="V2117" s="5"/>
      <c r="W2117" s="5" t="str">
        <f>IFERROR(__xludf.DUMMYFUNCTION("""COMPUTED_VALUE"""),"Simon")</f>
        <v>Simon</v>
      </c>
    </row>
    <row r="2118" ht="15.75" customHeight="1">
      <c r="A2118" s="3">
        <f>IFERROR(__xludf.DUMMYFUNCTION("""COMPUTED_VALUE"""),2118.0)</f>
        <v>2118</v>
      </c>
      <c r="B2118" s="53">
        <f>IFERROR(__xludf.DUMMYFUNCTION("""COMPUTED_VALUE"""),46108.0)</f>
        <v>46108</v>
      </c>
      <c r="C2118" s="3">
        <f>IFERROR(__xludf.DUMMYFUNCTION("""COMPUTED_VALUE"""),103.0)</f>
        <v>103</v>
      </c>
      <c r="D2118" s="3" t="str">
        <f>IFERROR(__xludf.DUMMYFUNCTION("""COMPUTED_VALUE"""),"a8f01ef9")</f>
        <v>a8f01ef9</v>
      </c>
      <c r="E2118" s="54">
        <f>IFERROR(__xludf.DUMMYFUNCTION("""COMPUTED_VALUE"""),28000.0)</f>
        <v>28000</v>
      </c>
      <c r="F2118" s="3" t="str">
        <f>IFERROR(__xludf.DUMMYFUNCTION("""COMPUTED_VALUE"""),"Syrah Anc s/Asp 2")</f>
        <v>Syrah Anc s/Asp 2</v>
      </c>
      <c r="G2118" s="55">
        <f>IFERROR(__xludf.DUMMYFUNCTION("""COMPUTED_VALUE"""),13.5)</f>
        <v>13.5</v>
      </c>
      <c r="H2118" s="56">
        <f>IFERROR(__xludf.DUMMYFUNCTION("""COMPUTED_VALUE"""),-1.8)</f>
        <v>-1.8</v>
      </c>
      <c r="I2118" s="57">
        <f>IFERROR(__xludf.DUMMYFUNCTION("""COMPUTED_VALUE"""),0.28)</f>
        <v>0.28</v>
      </c>
      <c r="J2118" s="57">
        <f>IFERROR(__xludf.DUMMYFUNCTION("""COMPUTED_VALUE"""),6.37)</f>
        <v>6.37</v>
      </c>
      <c r="K2118" s="3"/>
      <c r="L2118" s="3"/>
      <c r="M2118" s="3"/>
      <c r="N2118" s="3"/>
      <c r="O2118" s="3"/>
      <c r="P2118" s="3"/>
      <c r="Q2118" s="3"/>
      <c r="R2118" s="3">
        <f>IFERROR(__xludf.DUMMYFUNCTION("""COMPUTED_VALUE"""),0.0)</f>
        <v>0</v>
      </c>
      <c r="S2118" s="3"/>
      <c r="T2118" s="5"/>
      <c r="U2118" s="5"/>
      <c r="V2118" s="5"/>
      <c r="W2118" s="5" t="str">
        <f>IFERROR(__xludf.DUMMYFUNCTION("""COMPUTED_VALUE"""),"Simon")</f>
        <v>Simon</v>
      </c>
    </row>
    <row r="2119" ht="15.75" customHeight="1">
      <c r="A2119" s="3">
        <f>IFERROR(__xludf.DUMMYFUNCTION("""COMPUTED_VALUE"""),2119.0)</f>
        <v>2119</v>
      </c>
      <c r="B2119" s="53">
        <f>IFERROR(__xludf.DUMMYFUNCTION("""COMPUTED_VALUE"""),46108.0)</f>
        <v>46108</v>
      </c>
      <c r="C2119" s="3">
        <f>IFERROR(__xludf.DUMMYFUNCTION("""COMPUTED_VALUE"""),104.0)</f>
        <v>104</v>
      </c>
      <c r="D2119" s="3" t="str">
        <f>IFERROR(__xludf.DUMMYFUNCTION("""COMPUTED_VALUE"""),"7831ca4f")</f>
        <v>7831ca4f</v>
      </c>
      <c r="E2119" s="54">
        <f>IFERROR(__xludf.DUMMYFUNCTION("""COMPUTED_VALUE"""),31000.0)</f>
        <v>31000</v>
      </c>
      <c r="F2119" s="3" t="str">
        <f>IFERROR(__xludf.DUMMYFUNCTION("""COMPUTED_VALUE"""),"Syrah s/Asp")</f>
        <v>Syrah s/Asp</v>
      </c>
      <c r="G2119" s="55">
        <f>IFERROR(__xludf.DUMMYFUNCTION("""COMPUTED_VALUE"""),13.2)</f>
        <v>13.2</v>
      </c>
      <c r="H2119" s="56">
        <f>IFERROR(__xludf.DUMMYFUNCTION("""COMPUTED_VALUE"""),2.05)</f>
        <v>2.05</v>
      </c>
      <c r="I2119" s="57">
        <f>IFERROR(__xludf.DUMMYFUNCTION("""COMPUTED_VALUE"""),0.38)</f>
        <v>0.38</v>
      </c>
      <c r="J2119" s="57">
        <f>IFERROR(__xludf.DUMMYFUNCTION("""COMPUTED_VALUE"""),6.07)</f>
        <v>6.07</v>
      </c>
      <c r="K2119" s="3"/>
      <c r="L2119" s="3"/>
      <c r="M2119" s="3"/>
      <c r="N2119" s="3"/>
      <c r="O2119" s="3"/>
      <c r="P2119" s="3"/>
      <c r="Q2119" s="3"/>
      <c r="R2119" s="3">
        <f>IFERROR(__xludf.DUMMYFUNCTION("""COMPUTED_VALUE"""),0.0)</f>
        <v>0</v>
      </c>
      <c r="S2119" s="3"/>
      <c r="T2119" s="5"/>
      <c r="U2119" s="5"/>
      <c r="V2119" s="5"/>
      <c r="W2119" s="5" t="str">
        <f>IFERROR(__xludf.DUMMYFUNCTION("""COMPUTED_VALUE"""),"Simon")</f>
        <v>Simon</v>
      </c>
    </row>
    <row r="2120" ht="15.75" customHeight="1">
      <c r="A2120" s="3">
        <f>IFERROR(__xludf.DUMMYFUNCTION("""COMPUTED_VALUE"""),2120.0)</f>
        <v>2120</v>
      </c>
      <c r="B2120" s="53">
        <f>IFERROR(__xludf.DUMMYFUNCTION("""COMPUTED_VALUE"""),46108.0)</f>
        <v>46108</v>
      </c>
      <c r="C2120" s="3">
        <f>IFERROR(__xludf.DUMMYFUNCTION("""COMPUTED_VALUE"""),105.0)</f>
        <v>105</v>
      </c>
      <c r="D2120" s="3" t="str">
        <f>IFERROR(__xludf.DUMMYFUNCTION("""COMPUTED_VALUE"""),"c904d65f")</f>
        <v>c904d65f</v>
      </c>
      <c r="E2120" s="54">
        <f>IFERROR(__xludf.DUMMYFUNCTION("""COMPUTED_VALUE"""),29000.0)</f>
        <v>29000</v>
      </c>
      <c r="F2120" s="3" t="str">
        <f>IFERROR(__xludf.DUMMYFUNCTION("""COMPUTED_VALUE"""),"Syrah Merlot s/Asp 3")</f>
        <v>Syrah Merlot s/Asp 3</v>
      </c>
      <c r="G2120" s="55">
        <f>IFERROR(__xludf.DUMMYFUNCTION("""COMPUTED_VALUE"""),13.5)</f>
        <v>13.5</v>
      </c>
      <c r="H2120" s="56">
        <f>IFERROR(__xludf.DUMMYFUNCTION("""COMPUTED_VALUE"""),2.45)</f>
        <v>2.45</v>
      </c>
      <c r="I2120" s="57">
        <f>IFERROR(__xludf.DUMMYFUNCTION("""COMPUTED_VALUE"""),0.26)</f>
        <v>0.26</v>
      </c>
      <c r="J2120" s="57">
        <f>IFERROR(__xludf.DUMMYFUNCTION("""COMPUTED_VALUE"""),6.0)</f>
        <v>6</v>
      </c>
      <c r="K2120" s="3"/>
      <c r="L2120" s="3"/>
      <c r="M2120" s="3"/>
      <c r="N2120" s="3"/>
      <c r="O2120" s="3"/>
      <c r="P2120" s="3"/>
      <c r="Q2120" s="3"/>
      <c r="R2120" s="3">
        <f>IFERROR(__xludf.DUMMYFUNCTION("""COMPUTED_VALUE"""),0.0)</f>
        <v>0</v>
      </c>
      <c r="S2120" s="3"/>
      <c r="T2120" s="5"/>
      <c r="U2120" s="5"/>
      <c r="V2120" s="5"/>
      <c r="W2120" s="5" t="str">
        <f>IFERROR(__xludf.DUMMYFUNCTION("""COMPUTED_VALUE"""),"Simon")</f>
        <v>Simon</v>
      </c>
    </row>
    <row r="2121" ht="15.75" customHeight="1">
      <c r="A2121" s="3">
        <f>IFERROR(__xludf.DUMMYFUNCTION("""COMPUTED_VALUE"""),2121.0)</f>
        <v>2121</v>
      </c>
      <c r="B2121" s="53">
        <f>IFERROR(__xludf.DUMMYFUNCTION("""COMPUTED_VALUE"""),46108.0)</f>
        <v>46108</v>
      </c>
      <c r="C2121" s="3">
        <f>IFERROR(__xludf.DUMMYFUNCTION("""COMPUTED_VALUE"""),106.0)</f>
        <v>106</v>
      </c>
      <c r="D2121" s="3" t="str">
        <f>IFERROR(__xludf.DUMMYFUNCTION("""COMPUTED_VALUE"""),"a55a2b1c")</f>
        <v>a55a2b1c</v>
      </c>
      <c r="E2121" s="54">
        <f>IFERROR(__xludf.DUMMYFUNCTION("""COMPUTED_VALUE"""),10010.0)</f>
        <v>10010</v>
      </c>
      <c r="F2121" s="3" t="str">
        <f>IFERROR(__xludf.DUMMYFUNCTION("""COMPUTED_VALUE"""),"Syrah Merlot s/Asp 3")</f>
        <v>Syrah Merlot s/Asp 3</v>
      </c>
      <c r="G2121" s="55">
        <f>IFERROR(__xludf.DUMMYFUNCTION("""COMPUTED_VALUE"""),13.6)</f>
        <v>13.6</v>
      </c>
      <c r="H2121" s="56">
        <f>IFERROR(__xludf.DUMMYFUNCTION("""COMPUTED_VALUE"""),1.85)</f>
        <v>1.85</v>
      </c>
      <c r="I2121" s="57">
        <f>IFERROR(__xludf.DUMMYFUNCTION("""COMPUTED_VALUE"""),0.29)</f>
        <v>0.29</v>
      </c>
      <c r="J2121" s="57">
        <f>IFERROR(__xludf.DUMMYFUNCTION("""COMPUTED_VALUE"""),6.0)</f>
        <v>6</v>
      </c>
      <c r="K2121" s="3"/>
      <c r="L2121" s="3"/>
      <c r="M2121" s="3"/>
      <c r="N2121" s="3"/>
      <c r="O2121" s="3"/>
      <c r="P2121" s="3"/>
      <c r="Q2121" s="3"/>
      <c r="R2121" s="3">
        <f>IFERROR(__xludf.DUMMYFUNCTION("""COMPUTED_VALUE"""),0.0)</f>
        <v>0</v>
      </c>
      <c r="S2121" s="3"/>
      <c r="T2121" s="5"/>
      <c r="U2121" s="5"/>
      <c r="V2121" s="5"/>
      <c r="W2121" s="5" t="str">
        <f>IFERROR(__xludf.DUMMYFUNCTION("""COMPUTED_VALUE"""),"Simon")</f>
        <v>Simon</v>
      </c>
    </row>
    <row r="2122" ht="15.75" customHeight="1">
      <c r="A2122" s="3">
        <f>IFERROR(__xludf.DUMMYFUNCTION("""COMPUTED_VALUE"""),2122.0)</f>
        <v>2122</v>
      </c>
      <c r="B2122" s="53">
        <f>IFERROR(__xludf.DUMMYFUNCTION("""COMPUTED_VALUE"""),46108.0)</f>
        <v>46108</v>
      </c>
      <c r="C2122" s="3">
        <f>IFERROR(__xludf.DUMMYFUNCTION("""COMPUTED_VALUE"""),107.0)</f>
        <v>107</v>
      </c>
      <c r="D2122" s="3" t="str">
        <f>IFERROR(__xludf.DUMMYFUNCTION("""COMPUTED_VALUE"""),"5b072ae5")</f>
        <v>5b072ae5</v>
      </c>
      <c r="E2122" s="54">
        <f>IFERROR(__xludf.DUMMYFUNCTION("""COMPUTED_VALUE"""),29000.0)</f>
        <v>29000</v>
      </c>
      <c r="F2122" s="3" t="str">
        <f>IFERROR(__xludf.DUMMYFUNCTION("""COMPUTED_VALUE"""),"Syrah Merlot s/Asp 3")</f>
        <v>Syrah Merlot s/Asp 3</v>
      </c>
      <c r="G2122" s="55">
        <f>IFERROR(__xludf.DUMMYFUNCTION("""COMPUTED_VALUE"""),13.3)</f>
        <v>13.3</v>
      </c>
      <c r="H2122" s="56">
        <f>IFERROR(__xludf.DUMMYFUNCTION("""COMPUTED_VALUE"""),-1.8)</f>
        <v>-1.8</v>
      </c>
      <c r="I2122" s="57">
        <f>IFERROR(__xludf.DUMMYFUNCTION("""COMPUTED_VALUE"""),0.37)</f>
        <v>0.37</v>
      </c>
      <c r="J2122" s="57">
        <f>IFERROR(__xludf.DUMMYFUNCTION("""COMPUTED_VALUE"""),6.07)</f>
        <v>6.07</v>
      </c>
      <c r="K2122" s="3"/>
      <c r="L2122" s="3"/>
      <c r="M2122" s="3"/>
      <c r="N2122" s="3"/>
      <c r="O2122" s="3"/>
      <c r="P2122" s="3"/>
      <c r="Q2122" s="3"/>
      <c r="R2122" s="3">
        <f>IFERROR(__xludf.DUMMYFUNCTION("""COMPUTED_VALUE"""),0.0)</f>
        <v>0</v>
      </c>
      <c r="S2122" s="3"/>
      <c r="T2122" s="5"/>
      <c r="U2122" s="5"/>
      <c r="V2122" s="5"/>
      <c r="W2122" s="5" t="str">
        <f>IFERROR(__xludf.DUMMYFUNCTION("""COMPUTED_VALUE"""),"Simon")</f>
        <v>Simon</v>
      </c>
    </row>
    <row r="2123" ht="15.75" customHeight="1">
      <c r="A2123" s="3">
        <f>IFERROR(__xludf.DUMMYFUNCTION("""COMPUTED_VALUE"""),2123.0)</f>
        <v>2123</v>
      </c>
      <c r="B2123" s="53">
        <f>IFERROR(__xludf.DUMMYFUNCTION("""COMPUTED_VALUE"""),46108.0)</f>
        <v>46108</v>
      </c>
      <c r="C2123" s="3">
        <f>IFERROR(__xludf.DUMMYFUNCTION("""COMPUTED_VALUE"""),108.0)</f>
        <v>108</v>
      </c>
      <c r="D2123" s="3" t="str">
        <f>IFERROR(__xludf.DUMMYFUNCTION("""COMPUTED_VALUE"""),"8cabfa9f")</f>
        <v>8cabfa9f</v>
      </c>
      <c r="E2123" s="54">
        <f>IFERROR(__xludf.DUMMYFUNCTION("""COMPUTED_VALUE"""),29490.0)</f>
        <v>29490</v>
      </c>
      <c r="F2123" s="3" t="str">
        <f>IFERROR(__xludf.DUMMYFUNCTION("""COMPUTED_VALUE"""),"Syrah Malbec s/Asp 2")</f>
        <v>Syrah Malbec s/Asp 2</v>
      </c>
      <c r="G2123" s="55">
        <f>IFERROR(__xludf.DUMMYFUNCTION("""COMPUTED_VALUE"""),13.4)</f>
        <v>13.4</v>
      </c>
      <c r="H2123" s="56">
        <f>IFERROR(__xludf.DUMMYFUNCTION("""COMPUTED_VALUE"""),1.8)</f>
        <v>1.8</v>
      </c>
      <c r="I2123" s="57">
        <f>IFERROR(__xludf.DUMMYFUNCTION("""COMPUTED_VALUE"""),0.46)</f>
        <v>0.46</v>
      </c>
      <c r="J2123" s="57">
        <f>IFERROR(__xludf.DUMMYFUNCTION("""COMPUTED_VALUE"""),6.07)</f>
        <v>6.07</v>
      </c>
      <c r="K2123" s="3"/>
      <c r="L2123" s="3"/>
      <c r="M2123" s="3"/>
      <c r="N2123" s="3"/>
      <c r="O2123" s="3"/>
      <c r="P2123" s="3"/>
      <c r="Q2123" s="3"/>
      <c r="R2123" s="3">
        <f>IFERROR(__xludf.DUMMYFUNCTION("""COMPUTED_VALUE"""),0.0)</f>
        <v>0</v>
      </c>
      <c r="S2123" s="3"/>
      <c r="T2123" s="5"/>
      <c r="U2123" s="5"/>
      <c r="V2123" s="5"/>
      <c r="W2123" s="5" t="str">
        <f>IFERROR(__xludf.DUMMYFUNCTION("""COMPUTED_VALUE"""),"Simon")</f>
        <v>Simon</v>
      </c>
    </row>
    <row r="2124" ht="15.75" customHeight="1">
      <c r="A2124" s="3">
        <f>IFERROR(__xludf.DUMMYFUNCTION("""COMPUTED_VALUE"""),2124.0)</f>
        <v>2124</v>
      </c>
      <c r="B2124" s="53">
        <f>IFERROR(__xludf.DUMMYFUNCTION("""COMPUTED_VALUE"""),46108.0)</f>
        <v>46108</v>
      </c>
      <c r="C2124" s="3">
        <f>IFERROR(__xludf.DUMMYFUNCTION("""COMPUTED_VALUE"""),109.0)</f>
        <v>109</v>
      </c>
      <c r="D2124" s="3" t="str">
        <f>IFERROR(__xludf.DUMMYFUNCTION("""COMPUTED_VALUE"""),"61b89555")</f>
        <v>61b89555</v>
      </c>
      <c r="E2124" s="54">
        <f>IFERROR(__xludf.DUMMYFUNCTION("""COMPUTED_VALUE"""),15600.0)</f>
        <v>15600</v>
      </c>
      <c r="F2124" s="3" t="str">
        <f>IFERROR(__xludf.DUMMYFUNCTION("""COMPUTED_VALUE"""),"Syrah Malbec s/Asp 2")</f>
        <v>Syrah Malbec s/Asp 2</v>
      </c>
      <c r="G2124" s="55">
        <f>IFERROR(__xludf.DUMMYFUNCTION("""COMPUTED_VALUE"""),13.0)</f>
        <v>13</v>
      </c>
      <c r="H2124" s="56">
        <f>IFERROR(__xludf.DUMMYFUNCTION("""COMPUTED_VALUE"""),1.85)</f>
        <v>1.85</v>
      </c>
      <c r="I2124" s="57">
        <f>IFERROR(__xludf.DUMMYFUNCTION("""COMPUTED_VALUE"""),0.3)</f>
        <v>0.3</v>
      </c>
      <c r="J2124" s="57">
        <f>IFERROR(__xludf.DUMMYFUNCTION("""COMPUTED_VALUE"""),6.0)</f>
        <v>6</v>
      </c>
      <c r="K2124" s="3"/>
      <c r="L2124" s="3"/>
      <c r="M2124" s="3"/>
      <c r="N2124" s="3"/>
      <c r="O2124" s="3"/>
      <c r="P2124" s="3"/>
      <c r="Q2124" s="3"/>
      <c r="R2124" s="3">
        <f>IFERROR(__xludf.DUMMYFUNCTION("""COMPUTED_VALUE"""),0.0)</f>
        <v>0</v>
      </c>
      <c r="S2124" s="3"/>
      <c r="T2124" s="5"/>
      <c r="U2124" s="5"/>
      <c r="V2124" s="5"/>
      <c r="W2124" s="5" t="str">
        <f>IFERROR(__xludf.DUMMYFUNCTION("""COMPUTED_VALUE"""),"Simon")</f>
        <v>Simon</v>
      </c>
    </row>
    <row r="2125" ht="15.75" customHeight="1">
      <c r="A2125" s="3">
        <f>IFERROR(__xludf.DUMMYFUNCTION("""COMPUTED_VALUE"""),2125.0)</f>
        <v>2125</v>
      </c>
      <c r="B2125" s="53">
        <f>IFERROR(__xludf.DUMMYFUNCTION("""COMPUTED_VALUE"""),46108.0)</f>
        <v>46108</v>
      </c>
      <c r="C2125" s="3">
        <f>IFERROR(__xludf.DUMMYFUNCTION("""COMPUTED_VALUE"""),110.0)</f>
        <v>110</v>
      </c>
      <c r="D2125" s="3" t="str">
        <f>IFERROR(__xludf.DUMMYFUNCTION("""COMPUTED_VALUE"""),"8a8cc2d8")</f>
        <v>8a8cc2d8</v>
      </c>
      <c r="E2125" s="54">
        <f>IFERROR(__xludf.DUMMYFUNCTION("""COMPUTED_VALUE"""),15600.0)</f>
        <v>15600</v>
      </c>
      <c r="F2125" s="3" t="str">
        <f>IFERROR(__xludf.DUMMYFUNCTION("""COMPUTED_VALUE"""),"Syrah Malbec s/Asp 2")</f>
        <v>Syrah Malbec s/Asp 2</v>
      </c>
      <c r="G2125" s="55">
        <f>IFERROR(__xludf.DUMMYFUNCTION("""COMPUTED_VALUE"""),13.7)</f>
        <v>13.7</v>
      </c>
      <c r="H2125" s="56">
        <f>IFERROR(__xludf.DUMMYFUNCTION("""COMPUTED_VALUE"""),2.45)</f>
        <v>2.45</v>
      </c>
      <c r="I2125" s="57">
        <f>IFERROR(__xludf.DUMMYFUNCTION("""COMPUTED_VALUE"""),0.25)</f>
        <v>0.25</v>
      </c>
      <c r="J2125" s="57">
        <f>IFERROR(__xludf.DUMMYFUNCTION("""COMPUTED_VALUE"""),6.15)</f>
        <v>6.15</v>
      </c>
      <c r="K2125" s="3"/>
      <c r="L2125" s="3"/>
      <c r="M2125" s="3"/>
      <c r="N2125" s="3"/>
      <c r="O2125" s="3"/>
      <c r="P2125" s="3"/>
      <c r="Q2125" s="3"/>
      <c r="R2125" s="3">
        <f>IFERROR(__xludf.DUMMYFUNCTION("""COMPUTED_VALUE"""),0.0)</f>
        <v>0</v>
      </c>
      <c r="S2125" s="3"/>
      <c r="T2125" s="5"/>
      <c r="U2125" s="5"/>
      <c r="V2125" s="5"/>
      <c r="W2125" s="5" t="str">
        <f>IFERROR(__xludf.DUMMYFUNCTION("""COMPUTED_VALUE"""),"Simon")</f>
        <v>Simon</v>
      </c>
    </row>
    <row r="2126" ht="15.75" customHeight="1">
      <c r="A2126" s="3">
        <f>IFERROR(__xludf.DUMMYFUNCTION("""COMPUTED_VALUE"""),2126.0)</f>
        <v>2126</v>
      </c>
      <c r="B2126" s="53">
        <f>IFERROR(__xludf.DUMMYFUNCTION("""COMPUTED_VALUE"""),46112.0)</f>
        <v>46112</v>
      </c>
      <c r="C2126" s="3">
        <f>IFERROR(__xludf.DUMMYFUNCTION("""COMPUTED_VALUE"""),92.0)</f>
        <v>92</v>
      </c>
      <c r="D2126" s="3" t="str">
        <f>IFERROR(__xludf.DUMMYFUNCTION("""COMPUTED_VALUE"""),"067d11e7")</f>
        <v>067d11e7</v>
      </c>
      <c r="E2126" s="54">
        <f>IFERROR(__xludf.DUMMYFUNCTION("""COMPUTED_VALUE"""),48000.0)</f>
        <v>48000</v>
      </c>
      <c r="F2126" s="3" t="str">
        <f>IFERROR(__xludf.DUMMYFUNCTION("""COMPUTED_VALUE"""),"Cabernet Sauv")</f>
        <v>Cabernet Sauv</v>
      </c>
      <c r="G2126" s="3"/>
      <c r="H2126" s="56">
        <f>IFERROR(__xludf.DUMMYFUNCTION("""COMPUTED_VALUE"""),2.0)</f>
        <v>2</v>
      </c>
      <c r="I2126" s="3"/>
      <c r="J2126" s="3"/>
      <c r="K2126" s="57">
        <f>IFERROR(__xludf.DUMMYFUNCTION("""COMPUTED_VALUE"""),3.63)</f>
        <v>3.63</v>
      </c>
      <c r="L2126" s="3"/>
      <c r="M2126" s="3"/>
      <c r="N2126" s="3"/>
      <c r="O2126" s="3"/>
      <c r="P2126" s="3"/>
      <c r="Q2126" s="3"/>
      <c r="R2126" s="3">
        <f>IFERROR(__xludf.DUMMYFUNCTION("""COMPUTED_VALUE"""),0.0)</f>
        <v>0</v>
      </c>
      <c r="S2126" s="3"/>
      <c r="T2126" s="5"/>
      <c r="U2126" s="5"/>
      <c r="V2126" s="5"/>
      <c r="W2126" s="5"/>
    </row>
    <row r="2127" ht="15.75" customHeight="1">
      <c r="A2127" s="3">
        <f>IFERROR(__xludf.DUMMYFUNCTION("""COMPUTED_VALUE"""),2127.0)</f>
        <v>2127</v>
      </c>
      <c r="B2127" s="53">
        <f>IFERROR(__xludf.DUMMYFUNCTION("""COMPUTED_VALUE"""),46112.0)</f>
        <v>46112</v>
      </c>
      <c r="C2127" s="3">
        <f>IFERROR(__xludf.DUMMYFUNCTION("""COMPUTED_VALUE"""),95.0)</f>
        <v>95</v>
      </c>
      <c r="D2127" s="3" t="str">
        <f>IFERROR(__xludf.DUMMYFUNCTION("""COMPUTED_VALUE"""),"0684c059")</f>
        <v>0684c059</v>
      </c>
      <c r="E2127" s="54">
        <f>IFERROR(__xludf.DUMMYFUNCTION("""COMPUTED_VALUE"""),38000.0)</f>
        <v>38000</v>
      </c>
      <c r="F2127" s="3" t="str">
        <f>IFERROR(__xludf.DUMMYFUNCTION("""COMPUTED_VALUE"""),"Cabernet Sauvignon")</f>
        <v>Cabernet Sauvignon</v>
      </c>
      <c r="G2127" s="3"/>
      <c r="H2127" s="56">
        <f>IFERROR(__xludf.DUMMYFUNCTION("""COMPUTED_VALUE"""),2.0)</f>
        <v>2</v>
      </c>
      <c r="I2127" s="3"/>
      <c r="J2127" s="3"/>
      <c r="K2127" s="57">
        <f>IFERROR(__xludf.DUMMYFUNCTION("""COMPUTED_VALUE"""),3.7)</f>
        <v>3.7</v>
      </c>
      <c r="L2127" s="3"/>
      <c r="M2127" s="3"/>
      <c r="N2127" s="3"/>
      <c r="O2127" s="3"/>
      <c r="P2127" s="3"/>
      <c r="Q2127" s="3"/>
      <c r="R2127" s="3">
        <f>IFERROR(__xludf.DUMMYFUNCTION("""COMPUTED_VALUE"""),0.0)</f>
        <v>0</v>
      </c>
      <c r="S2127" s="3"/>
      <c r="T2127" s="5"/>
      <c r="U2127" s="5"/>
      <c r="V2127" s="5"/>
      <c r="W2127" s="5"/>
    </row>
    <row r="2128" ht="15.75" customHeight="1">
      <c r="A2128" s="3">
        <f>IFERROR(__xludf.DUMMYFUNCTION("""COMPUTED_VALUE"""),2128.0)</f>
        <v>2128</v>
      </c>
      <c r="B2128" s="53">
        <f>IFERROR(__xludf.DUMMYFUNCTION("""COMPUTED_VALUE"""),46112.0)</f>
        <v>46112</v>
      </c>
      <c r="C2128" s="3">
        <f>IFERROR(__xludf.DUMMYFUNCTION("""COMPUTED_VALUE"""),50.0)</f>
        <v>50</v>
      </c>
      <c r="D2128" s="3" t="str">
        <f>IFERROR(__xludf.DUMMYFUNCTION("""COMPUTED_VALUE"""),"fa9988f0")</f>
        <v>fa9988f0</v>
      </c>
      <c r="E2128" s="54">
        <f>IFERROR(__xludf.DUMMYFUNCTION("""COMPUTED_VALUE"""),5100.0)</f>
        <v>5100</v>
      </c>
      <c r="F2128" s="3" t="str">
        <f>IFERROR(__xludf.DUMMYFUNCTION("""COMPUTED_VALUE"""),"Malbec")</f>
        <v>Malbec</v>
      </c>
      <c r="G2128" s="3"/>
      <c r="H2128" s="3"/>
      <c r="I2128" s="3"/>
      <c r="J2128" s="3"/>
      <c r="K2128" s="57">
        <f>IFERROR(__xludf.DUMMYFUNCTION("""COMPUTED_VALUE"""),3.63)</f>
        <v>3.63</v>
      </c>
      <c r="L2128" s="54">
        <f>IFERROR(__xludf.DUMMYFUNCTION("""COMPUTED_VALUE"""),28.0)</f>
        <v>28</v>
      </c>
      <c r="M2128" s="3">
        <f>IFERROR(__xludf.DUMMYFUNCTION("""COMPUTED_VALUE"""),134.0)</f>
        <v>134</v>
      </c>
      <c r="N2128" s="3"/>
      <c r="O2128" s="3"/>
      <c r="P2128" s="3"/>
      <c r="Q2128" s="3"/>
      <c r="R2128" s="3">
        <f>IFERROR(__xludf.DUMMYFUNCTION("""COMPUTED_VALUE"""),0.0)</f>
        <v>0</v>
      </c>
      <c r="S2128" s="3"/>
      <c r="T2128" s="5"/>
      <c r="U2128" s="5"/>
      <c r="V2128" s="5"/>
      <c r="W2128" s="5"/>
    </row>
    <row r="2129" ht="15.75" customHeight="1">
      <c r="A2129" s="3">
        <f>IFERROR(__xludf.DUMMYFUNCTION("""COMPUTED_VALUE"""),2129.0)</f>
        <v>2129</v>
      </c>
      <c r="B2129" s="53">
        <f>IFERROR(__xludf.DUMMYFUNCTION("""COMPUTED_VALUE"""),46112.0)</f>
        <v>46112</v>
      </c>
      <c r="C2129" s="3">
        <f>IFERROR(__xludf.DUMMYFUNCTION("""COMPUTED_VALUE"""),114.0)</f>
        <v>114</v>
      </c>
      <c r="D2129" s="3" t="str">
        <f>IFERROR(__xludf.DUMMYFUNCTION("""COMPUTED_VALUE"""),"9e280bc6")</f>
        <v>9e280bc6</v>
      </c>
      <c r="E2129" s="54">
        <f>IFERROR(__xludf.DUMMYFUNCTION("""COMPUTED_VALUE"""),125300.0)</f>
        <v>125300</v>
      </c>
      <c r="F2129" s="3" t="str">
        <f>IFERROR(__xludf.DUMMYFUNCTION("""COMPUTED_VALUE"""),"Syrah")</f>
        <v>Syrah</v>
      </c>
      <c r="G2129" s="3"/>
      <c r="H2129" s="3"/>
      <c r="I2129" s="3"/>
      <c r="J2129" s="3"/>
      <c r="K2129" s="57">
        <f>IFERROR(__xludf.DUMMYFUNCTION("""COMPUTED_VALUE"""),3.73)</f>
        <v>3.73</v>
      </c>
      <c r="L2129" s="54">
        <f>IFERROR(__xludf.DUMMYFUNCTION("""COMPUTED_VALUE"""),29.0)</f>
        <v>29</v>
      </c>
      <c r="M2129" s="3">
        <f>IFERROR(__xludf.DUMMYFUNCTION("""COMPUTED_VALUE"""),121.0)</f>
        <v>121</v>
      </c>
      <c r="N2129" s="3"/>
      <c r="O2129" s="3"/>
      <c r="P2129" s="3"/>
      <c r="Q2129" s="3"/>
      <c r="R2129" s="3">
        <f>IFERROR(__xludf.DUMMYFUNCTION("""COMPUTED_VALUE"""),0.0)</f>
        <v>0</v>
      </c>
      <c r="S2129" s="3"/>
      <c r="T2129" s="5"/>
      <c r="U2129" s="5"/>
      <c r="V2129" s="5"/>
      <c r="W2129" s="5"/>
    </row>
    <row r="2130" ht="15.75" customHeight="1">
      <c r="A2130" s="3">
        <f>IFERROR(__xludf.DUMMYFUNCTION("""COMPUTED_VALUE"""),2130.0)</f>
        <v>2130</v>
      </c>
      <c r="B2130" s="53">
        <f>IFERROR(__xludf.DUMMYFUNCTION("""COMPUTED_VALUE"""),46112.0)</f>
        <v>46112</v>
      </c>
      <c r="C2130" s="3">
        <f>IFERROR(__xludf.DUMMYFUNCTION("""COMPUTED_VALUE"""),115.0)</f>
        <v>115</v>
      </c>
      <c r="D2130" s="3" t="str">
        <f>IFERROR(__xludf.DUMMYFUNCTION("""COMPUTED_VALUE"""),"8923dcaa")</f>
        <v>8923dcaa</v>
      </c>
      <c r="E2130" s="54">
        <f>IFERROR(__xludf.DUMMYFUNCTION("""COMPUTED_VALUE"""),120200.0)</f>
        <v>120200</v>
      </c>
      <c r="F2130" s="3" t="str">
        <f>IFERROR(__xludf.DUMMYFUNCTION("""COMPUTED_VALUE"""),"Syrah")</f>
        <v>Syrah</v>
      </c>
      <c r="G2130" s="3"/>
      <c r="H2130" s="3"/>
      <c r="I2130" s="3"/>
      <c r="J2130" s="3"/>
      <c r="K2130" s="57">
        <f>IFERROR(__xludf.DUMMYFUNCTION("""COMPUTED_VALUE"""),3.82)</f>
        <v>3.82</v>
      </c>
      <c r="L2130" s="54">
        <f>IFERROR(__xludf.DUMMYFUNCTION("""COMPUTED_VALUE"""),25.0)</f>
        <v>25</v>
      </c>
      <c r="M2130" s="3">
        <f>IFERROR(__xludf.DUMMYFUNCTION("""COMPUTED_VALUE"""),115.0)</f>
        <v>115</v>
      </c>
      <c r="N2130" s="3"/>
      <c r="O2130" s="3"/>
      <c r="P2130" s="3"/>
      <c r="Q2130" s="3"/>
      <c r="R2130" s="3">
        <f>IFERROR(__xludf.DUMMYFUNCTION("""COMPUTED_VALUE"""),0.0)</f>
        <v>0</v>
      </c>
      <c r="S2130" s="3"/>
      <c r="T2130" s="5"/>
      <c r="U2130" s="5"/>
      <c r="V2130" s="5"/>
      <c r="W2130" s="5"/>
    </row>
    <row r="2131" ht="15.75" customHeight="1">
      <c r="A2131" s="3">
        <f>IFERROR(__xludf.DUMMYFUNCTION("""COMPUTED_VALUE"""),2131.0)</f>
        <v>2131</v>
      </c>
      <c r="B2131" s="53">
        <f>IFERROR(__xludf.DUMMYFUNCTION("""COMPUTED_VALUE"""),46113.0)</f>
        <v>46113</v>
      </c>
      <c r="C2131" s="3">
        <f>IFERROR(__xludf.DUMMYFUNCTION("""COMPUTED_VALUE"""),85.0)</f>
        <v>85</v>
      </c>
      <c r="D2131" s="3" t="str">
        <f>IFERROR(__xludf.DUMMYFUNCTION("""COMPUTED_VALUE"""),"9dafdb04")</f>
        <v>9dafdb04</v>
      </c>
      <c r="E2131" s="54">
        <f>IFERROR(__xludf.DUMMYFUNCTION("""COMPUTED_VALUE"""),38000.0)</f>
        <v>38000</v>
      </c>
      <c r="F2131" s="3" t="str">
        <f>IFERROR(__xludf.DUMMYFUNCTION("""COMPUTED_VALUE"""),"Bonarda")</f>
        <v>Bonarda</v>
      </c>
      <c r="G2131" s="3"/>
      <c r="H2131" s="3"/>
      <c r="I2131" s="3"/>
      <c r="J2131" s="3"/>
      <c r="K2131" s="57">
        <f>IFERROR(__xludf.DUMMYFUNCTION("""COMPUTED_VALUE"""),3.8)</f>
        <v>3.8</v>
      </c>
      <c r="L2131" s="54">
        <f>IFERROR(__xludf.DUMMYFUNCTION("""COMPUTED_VALUE"""),12.0)</f>
        <v>12</v>
      </c>
      <c r="M2131" s="3">
        <f>IFERROR(__xludf.DUMMYFUNCTION("""COMPUTED_VALUE"""),70.0)</f>
        <v>70</v>
      </c>
      <c r="N2131" s="3"/>
      <c r="O2131" s="3"/>
      <c r="P2131" s="3"/>
      <c r="Q2131" s="3"/>
      <c r="R2131" s="3">
        <f>IFERROR(__xludf.DUMMYFUNCTION("""COMPUTED_VALUE"""),0.0)</f>
        <v>0</v>
      </c>
      <c r="S2131" s="3"/>
      <c r="T2131" s="5"/>
      <c r="U2131" s="5"/>
      <c r="V2131" s="5"/>
      <c r="W2131" s="5"/>
    </row>
    <row r="2132" ht="15.75" customHeight="1">
      <c r="A2132" s="3">
        <f>IFERROR(__xludf.DUMMYFUNCTION("""COMPUTED_VALUE"""),2132.0)</f>
        <v>2132</v>
      </c>
      <c r="B2132" s="53">
        <f>IFERROR(__xludf.DUMMYFUNCTION("""COMPUTED_VALUE"""),46113.0)</f>
        <v>46113</v>
      </c>
      <c r="C2132" s="3">
        <f>IFERROR(__xludf.DUMMYFUNCTION("""COMPUTED_VALUE"""),66.0)</f>
        <v>66</v>
      </c>
      <c r="D2132" s="3" t="str">
        <f>IFERROR(__xludf.DUMMYFUNCTION("""COMPUTED_VALUE"""),"7cc65679")</f>
        <v>7cc65679</v>
      </c>
      <c r="E2132" s="54">
        <f>IFERROR(__xludf.DUMMYFUNCTION("""COMPUTED_VALUE"""),16800.0)</f>
        <v>16800</v>
      </c>
      <c r="F2132" s="3" t="str">
        <f>IFERROR(__xludf.DUMMYFUNCTION("""COMPUTED_VALUE"""),"Malbec")</f>
        <v>Malbec</v>
      </c>
      <c r="G2132" s="3"/>
      <c r="H2132" s="56">
        <f>IFERROR(__xludf.DUMMYFUNCTION("""COMPUTED_VALUE"""),228.0)</f>
        <v>228</v>
      </c>
      <c r="I2132" s="3"/>
      <c r="J2132" s="3"/>
      <c r="K2132" s="57">
        <f>IFERROR(__xludf.DUMMYFUNCTION("""COMPUTED_VALUE"""),3.78)</f>
        <v>3.78</v>
      </c>
      <c r="L2132" s="54">
        <f>IFERROR(__xludf.DUMMYFUNCTION("""COMPUTED_VALUE"""),15.0)</f>
        <v>15</v>
      </c>
      <c r="M2132" s="3">
        <f>IFERROR(__xludf.DUMMYFUNCTION("""COMPUTED_VALUE"""),90.0)</f>
        <v>90</v>
      </c>
      <c r="N2132" s="3"/>
      <c r="O2132" s="3"/>
      <c r="P2132" s="3"/>
      <c r="Q2132" s="3"/>
      <c r="R2132" s="3">
        <f>IFERROR(__xludf.DUMMYFUNCTION("""COMPUTED_VALUE"""),0.0)</f>
        <v>0</v>
      </c>
      <c r="S2132" s="3"/>
      <c r="T2132" s="5"/>
      <c r="U2132" s="5"/>
      <c r="V2132" s="5"/>
      <c r="W2132" s="5"/>
    </row>
    <row r="2133" ht="15.75" customHeight="1">
      <c r="A2133" s="3">
        <f>IFERROR(__xludf.DUMMYFUNCTION("""COMPUTED_VALUE"""),2133.0)</f>
        <v>2133</v>
      </c>
      <c r="B2133" s="53">
        <f>IFERROR(__xludf.DUMMYFUNCTION("""COMPUTED_VALUE"""),46113.0)</f>
        <v>46113</v>
      </c>
      <c r="C2133" s="3">
        <f>IFERROR(__xludf.DUMMYFUNCTION("""COMPUTED_VALUE"""),90.0)</f>
        <v>90</v>
      </c>
      <c r="D2133" s="3" t="str">
        <f>IFERROR(__xludf.DUMMYFUNCTION("""COMPUTED_VALUE"""),"b6a0e793")</f>
        <v>b6a0e793</v>
      </c>
      <c r="E2133" s="54">
        <f>IFERROR(__xludf.DUMMYFUNCTION("""COMPUTED_VALUE"""),53500.0)</f>
        <v>53500</v>
      </c>
      <c r="F2133" s="3" t="str">
        <f>IFERROR(__xludf.DUMMYFUNCTION("""COMPUTED_VALUE"""),"Malbec")</f>
        <v>Malbec</v>
      </c>
      <c r="G2133" s="3"/>
      <c r="H2133" s="56">
        <f>IFERROR(__xludf.DUMMYFUNCTION("""COMPUTED_VALUE"""),225.0)</f>
        <v>225</v>
      </c>
      <c r="I2133" s="3"/>
      <c r="J2133" s="3"/>
      <c r="K2133" s="57">
        <f>IFERROR(__xludf.DUMMYFUNCTION("""COMPUTED_VALUE"""),3.88)</f>
        <v>3.88</v>
      </c>
      <c r="L2133" s="54">
        <f>IFERROR(__xludf.DUMMYFUNCTION("""COMPUTED_VALUE"""),13.0)</f>
        <v>13</v>
      </c>
      <c r="M2133" s="3">
        <f>IFERROR(__xludf.DUMMYFUNCTION("""COMPUTED_VALUE"""),100.0)</f>
        <v>100</v>
      </c>
      <c r="N2133" s="3"/>
      <c r="O2133" s="3"/>
      <c r="P2133" s="3"/>
      <c r="Q2133" s="3"/>
      <c r="R2133" s="3">
        <f>IFERROR(__xludf.DUMMYFUNCTION("""COMPUTED_VALUE"""),0.0)</f>
        <v>0</v>
      </c>
      <c r="S2133" s="3"/>
      <c r="T2133" s="5"/>
      <c r="U2133" s="5"/>
      <c r="V2133" s="5"/>
      <c r="W2133" s="5"/>
    </row>
    <row r="2134" ht="15.75" customHeight="1">
      <c r="A2134" s="3">
        <f>IFERROR(__xludf.DUMMYFUNCTION("""COMPUTED_VALUE"""),2134.0)</f>
        <v>2134</v>
      </c>
      <c r="B2134" s="53">
        <f>IFERROR(__xludf.DUMMYFUNCTION("""COMPUTED_VALUE"""),46113.0)</f>
        <v>46113</v>
      </c>
      <c r="C2134" s="3">
        <f>IFERROR(__xludf.DUMMYFUNCTION("""COMPUTED_VALUE"""),87.0)</f>
        <v>87</v>
      </c>
      <c r="D2134" s="3" t="str">
        <f>IFERROR(__xludf.DUMMYFUNCTION("""COMPUTED_VALUE"""),"608410f5")</f>
        <v>608410f5</v>
      </c>
      <c r="E2134" s="54">
        <f>IFERROR(__xludf.DUMMYFUNCTION("""COMPUTED_VALUE"""),34500.0)</f>
        <v>34500</v>
      </c>
      <c r="F2134" s="3" t="str">
        <f>IFERROR(__xludf.DUMMYFUNCTION("""COMPUTED_VALUE"""),"Malbec")</f>
        <v>Malbec</v>
      </c>
      <c r="G2134" s="3"/>
      <c r="H2134" s="3"/>
      <c r="I2134" s="3"/>
      <c r="J2134" s="3"/>
      <c r="K2134" s="57">
        <f>IFERROR(__xludf.DUMMYFUNCTION("""COMPUTED_VALUE"""),3.87)</f>
        <v>3.87</v>
      </c>
      <c r="L2134" s="54">
        <f>IFERROR(__xludf.DUMMYFUNCTION("""COMPUTED_VALUE"""),20.0)</f>
        <v>20</v>
      </c>
      <c r="M2134" s="3">
        <f>IFERROR(__xludf.DUMMYFUNCTION("""COMPUTED_VALUE"""),102.0)</f>
        <v>102</v>
      </c>
      <c r="N2134" s="3"/>
      <c r="O2134" s="3"/>
      <c r="P2134" s="3"/>
      <c r="Q2134" s="3"/>
      <c r="R2134" s="3">
        <f>IFERROR(__xludf.DUMMYFUNCTION("""COMPUTED_VALUE"""),0.0)</f>
        <v>0</v>
      </c>
      <c r="S2134" s="3"/>
      <c r="T2134" s="5"/>
      <c r="U2134" s="5"/>
      <c r="V2134" s="5"/>
      <c r="W2134" s="5"/>
    </row>
    <row r="2135" ht="15.75" customHeight="1">
      <c r="A2135" s="3">
        <f>IFERROR(__xludf.DUMMYFUNCTION("""COMPUTED_VALUE"""),2135.0)</f>
        <v>2135</v>
      </c>
      <c r="B2135" s="53">
        <f>IFERROR(__xludf.DUMMYFUNCTION("""COMPUTED_VALUE"""),46113.0)</f>
        <v>46113</v>
      </c>
      <c r="C2135" s="3">
        <f>IFERROR(__xludf.DUMMYFUNCTION("""COMPUTED_VALUE"""),126.0)</f>
        <v>126</v>
      </c>
      <c r="D2135" s="3" t="str">
        <f>IFERROR(__xludf.DUMMYFUNCTION("""COMPUTED_VALUE"""),"#REF!")</f>
        <v>#REF!</v>
      </c>
      <c r="E2135" s="3"/>
      <c r="F2135" s="3" t="str">
        <f>IFERROR(__xludf.DUMMYFUNCTION("""COMPUTED_VALUE"""),"criolla")</f>
        <v>criolla</v>
      </c>
      <c r="G2135" s="3"/>
      <c r="H2135" s="56">
        <f>IFERROR(__xludf.DUMMYFUNCTION("""COMPUTED_VALUE"""),230.0)</f>
        <v>230</v>
      </c>
      <c r="I2135" s="3"/>
      <c r="J2135" s="3"/>
      <c r="K2135" s="57">
        <f>IFERROR(__xludf.DUMMYFUNCTION("""COMPUTED_VALUE"""),3.83)</f>
        <v>3.83</v>
      </c>
      <c r="L2135" s="54">
        <f>IFERROR(__xludf.DUMMYFUNCTION("""COMPUTED_VALUE"""),64.0)</f>
        <v>64</v>
      </c>
      <c r="M2135" s="3">
        <f>IFERROR(__xludf.DUMMYFUNCTION("""COMPUTED_VALUE"""),150.0)</f>
        <v>150</v>
      </c>
      <c r="N2135" s="3"/>
      <c r="O2135" s="3"/>
      <c r="P2135" s="3"/>
      <c r="Q2135" s="3"/>
      <c r="R2135" s="3">
        <f>IFERROR(__xludf.DUMMYFUNCTION("""COMPUTED_VALUE"""),0.0)</f>
        <v>0</v>
      </c>
      <c r="S2135" s="3"/>
      <c r="T2135" s="5"/>
      <c r="U2135" s="5"/>
      <c r="V2135" s="5"/>
      <c r="W2135" s="5"/>
    </row>
    <row r="2136" ht="15.75" customHeight="1">
      <c r="A2136" s="3">
        <f>IFERROR(__xludf.DUMMYFUNCTION("""COMPUTED_VALUE"""),2136.0)</f>
        <v>2136</v>
      </c>
      <c r="B2136" s="53">
        <f>IFERROR(__xludf.DUMMYFUNCTION("""COMPUTED_VALUE"""),46113.0)</f>
        <v>46113</v>
      </c>
      <c r="C2136" s="3">
        <f>IFERROR(__xludf.DUMMYFUNCTION("""COMPUTED_VALUE"""),40.0)</f>
        <v>40</v>
      </c>
      <c r="D2136" s="3" t="str">
        <f>IFERROR(__xludf.DUMMYFUNCTION("""COMPUTED_VALUE"""),"964bb1ba")</f>
        <v>964bb1ba</v>
      </c>
      <c r="E2136" s="54">
        <f>IFERROR(__xludf.DUMMYFUNCTION("""COMPUTED_VALUE"""),24000.0)</f>
        <v>24000</v>
      </c>
      <c r="F2136" s="3" t="str">
        <f>IFERROR(__xludf.DUMMYFUNCTION("""COMPUTED_VALUE"""),"Chardonnay")</f>
        <v>Chardonnay</v>
      </c>
      <c r="G2136" s="3"/>
      <c r="H2136" s="3"/>
      <c r="I2136" s="57">
        <f>IFERROR(__xludf.DUMMYFUNCTION("""COMPUTED_VALUE"""),0.33)</f>
        <v>0.33</v>
      </c>
      <c r="J2136" s="3"/>
      <c r="K2136" s="3"/>
      <c r="L2136" s="54">
        <f>IFERROR(__xludf.DUMMYFUNCTION("""COMPUTED_VALUE"""),33.0)</f>
        <v>33</v>
      </c>
      <c r="M2136" s="3">
        <f>IFERROR(__xludf.DUMMYFUNCTION("""COMPUTED_VALUE"""),107.0)</f>
        <v>107</v>
      </c>
      <c r="N2136" s="3"/>
      <c r="O2136" s="3"/>
      <c r="P2136" s="3"/>
      <c r="Q2136" s="3"/>
      <c r="R2136" s="3">
        <f>IFERROR(__xludf.DUMMYFUNCTION("""COMPUTED_VALUE"""),0.0)</f>
        <v>0</v>
      </c>
      <c r="S2136" s="3"/>
      <c r="T2136" s="5"/>
      <c r="U2136" s="5"/>
      <c r="V2136" s="5"/>
      <c r="W2136" s="5"/>
    </row>
    <row r="2137" ht="15.75" customHeight="1">
      <c r="A2137" s="3">
        <f>IFERROR(__xludf.DUMMYFUNCTION("""COMPUTED_VALUE"""),2137.0)</f>
        <v>2137</v>
      </c>
      <c r="B2137" s="53">
        <f>IFERROR(__xludf.DUMMYFUNCTION("""COMPUTED_VALUE"""),46113.0)</f>
        <v>46113</v>
      </c>
      <c r="C2137" s="3">
        <f>IFERROR(__xludf.DUMMYFUNCTION("""COMPUTED_VALUE"""),44.0)</f>
        <v>44</v>
      </c>
      <c r="D2137" s="3" t="str">
        <f>IFERROR(__xludf.DUMMYFUNCTION("""COMPUTED_VALUE"""),"b4d0796a")</f>
        <v>b4d0796a</v>
      </c>
      <c r="E2137" s="54">
        <f>IFERROR(__xludf.DUMMYFUNCTION("""COMPUTED_VALUE"""),19100.0)</f>
        <v>19100</v>
      </c>
      <c r="F2137" s="3" t="str">
        <f>IFERROR(__xludf.DUMMYFUNCTION("""COMPUTED_VALUE"""),"Chardonnay")</f>
        <v>Chardonnay</v>
      </c>
      <c r="G2137" s="3"/>
      <c r="H2137" s="3"/>
      <c r="I2137" s="57">
        <f>IFERROR(__xludf.DUMMYFUNCTION("""COMPUTED_VALUE"""),0.47)</f>
        <v>0.47</v>
      </c>
      <c r="J2137" s="3"/>
      <c r="K2137" s="3"/>
      <c r="L2137" s="54">
        <f>IFERROR(__xludf.DUMMYFUNCTION("""COMPUTED_VALUE"""),38.0)</f>
        <v>38</v>
      </c>
      <c r="M2137" s="3">
        <f>IFERROR(__xludf.DUMMYFUNCTION("""COMPUTED_VALUE"""),140.0)</f>
        <v>140</v>
      </c>
      <c r="N2137" s="3"/>
      <c r="O2137" s="3"/>
      <c r="P2137" s="3"/>
      <c r="Q2137" s="3"/>
      <c r="R2137" s="3">
        <f>IFERROR(__xludf.DUMMYFUNCTION("""COMPUTED_VALUE"""),0.0)</f>
        <v>0</v>
      </c>
      <c r="S2137" s="3"/>
      <c r="T2137" s="5"/>
      <c r="U2137" s="5"/>
      <c r="V2137" s="5"/>
      <c r="W2137" s="5"/>
    </row>
    <row r="2138" ht="15.75" customHeight="1">
      <c r="A2138" s="3">
        <f>IFERROR(__xludf.DUMMYFUNCTION("""COMPUTED_VALUE"""),2138.0)</f>
        <v>2138</v>
      </c>
      <c r="B2138" s="53">
        <f>IFERROR(__xludf.DUMMYFUNCTION("""COMPUTED_VALUE"""),46113.0)</f>
        <v>46113</v>
      </c>
      <c r="C2138" s="3">
        <f>IFERROR(__xludf.DUMMYFUNCTION("""COMPUTED_VALUE"""),74.0)</f>
        <v>74</v>
      </c>
      <c r="D2138" s="3" t="str">
        <f>IFERROR(__xludf.DUMMYFUNCTION("""COMPUTED_VALUE"""),"f5ce46f7")</f>
        <v>f5ce46f7</v>
      </c>
      <c r="E2138" s="54">
        <f>IFERROR(__xludf.DUMMYFUNCTION("""COMPUTED_VALUE"""),13000.0)</f>
        <v>13000</v>
      </c>
      <c r="F2138" s="3" t="str">
        <f>IFERROR(__xludf.DUMMYFUNCTION("""COMPUTED_VALUE"""),"Merlot s/Asp")</f>
        <v>Merlot s/Asp</v>
      </c>
      <c r="G2138" s="3"/>
      <c r="H2138" s="3"/>
      <c r="I2138" s="57">
        <f>IFERROR(__xludf.DUMMYFUNCTION("""COMPUTED_VALUE"""),0.34)</f>
        <v>0.34</v>
      </c>
      <c r="J2138" s="3"/>
      <c r="K2138" s="3"/>
      <c r="L2138" s="54">
        <f>IFERROR(__xludf.DUMMYFUNCTION("""COMPUTED_VALUE"""),45.0)</f>
        <v>45</v>
      </c>
      <c r="M2138" s="3">
        <f>IFERROR(__xludf.DUMMYFUNCTION("""COMPUTED_VALUE"""),102.0)</f>
        <v>102</v>
      </c>
      <c r="N2138" s="3"/>
      <c r="O2138" s="3"/>
      <c r="P2138" s="3"/>
      <c r="Q2138" s="3"/>
      <c r="R2138" s="3">
        <f>IFERROR(__xludf.DUMMYFUNCTION("""COMPUTED_VALUE"""),0.0)</f>
        <v>0</v>
      </c>
      <c r="S2138" s="3"/>
      <c r="T2138" s="5"/>
      <c r="U2138" s="5"/>
      <c r="V2138" s="5"/>
      <c r="W2138" s="5"/>
    </row>
    <row r="2139" ht="15.75" customHeight="1">
      <c r="A2139" s="3">
        <f>IFERROR(__xludf.DUMMYFUNCTION("""COMPUTED_VALUE"""),2139.0)</f>
        <v>2139</v>
      </c>
      <c r="B2139" s="53">
        <f>IFERROR(__xludf.DUMMYFUNCTION("""COMPUTED_VALUE"""),46113.0)</f>
        <v>46113</v>
      </c>
      <c r="C2139" s="3">
        <f>IFERROR(__xludf.DUMMYFUNCTION("""COMPUTED_VALUE"""),111.0)</f>
        <v>111</v>
      </c>
      <c r="D2139" s="3" t="str">
        <f>IFERROR(__xludf.DUMMYFUNCTION("""COMPUTED_VALUE"""),"3ba92525")</f>
        <v>3ba92525</v>
      </c>
      <c r="E2139" s="54">
        <f>IFERROR(__xludf.DUMMYFUNCTION("""COMPUTED_VALUE"""),4000.0)</f>
        <v>4000</v>
      </c>
      <c r="F2139" s="3" t="str">
        <f>IFERROR(__xludf.DUMMYFUNCTION("""COMPUTED_VALUE"""),"Syrah con Madera")</f>
        <v>Syrah con Madera</v>
      </c>
      <c r="G2139" s="3"/>
      <c r="H2139" s="3"/>
      <c r="I2139" s="57">
        <f>IFERROR(__xludf.DUMMYFUNCTION("""COMPUTED_VALUE"""),0.48)</f>
        <v>0.48</v>
      </c>
      <c r="J2139" s="3"/>
      <c r="K2139" s="3"/>
      <c r="L2139" s="54">
        <f>IFERROR(__xludf.DUMMYFUNCTION("""COMPUTED_VALUE"""),45.0)</f>
        <v>45</v>
      </c>
      <c r="M2139" s="3">
        <f>IFERROR(__xludf.DUMMYFUNCTION("""COMPUTED_VALUE"""),150.0)</f>
        <v>150</v>
      </c>
      <c r="N2139" s="3"/>
      <c r="O2139" s="3"/>
      <c r="P2139" s="3"/>
      <c r="Q2139" s="3"/>
      <c r="R2139" s="3">
        <f>IFERROR(__xludf.DUMMYFUNCTION("""COMPUTED_VALUE"""),0.0)</f>
        <v>0</v>
      </c>
      <c r="S2139" s="3"/>
      <c r="T2139" s="5"/>
      <c r="U2139" s="5"/>
      <c r="V2139" s="5"/>
      <c r="W2139" s="5"/>
    </row>
    <row r="2140" ht="15.75" customHeight="1">
      <c r="A2140" s="3">
        <f>IFERROR(__xludf.DUMMYFUNCTION("""COMPUTED_VALUE"""),2140.0)</f>
        <v>2140</v>
      </c>
      <c r="B2140" s="53">
        <f>IFERROR(__xludf.DUMMYFUNCTION("""COMPUTED_VALUE"""),46113.0)</f>
        <v>46113</v>
      </c>
      <c r="C2140" s="3">
        <f>IFERROR(__xludf.DUMMYFUNCTION("""COMPUTED_VALUE"""),50.0)</f>
        <v>50</v>
      </c>
      <c r="D2140" s="3" t="str">
        <f>IFERROR(__xludf.DUMMYFUNCTION("""COMPUTED_VALUE"""),"fa9988f0")</f>
        <v>fa9988f0</v>
      </c>
      <c r="E2140" s="54">
        <f>IFERROR(__xludf.DUMMYFUNCTION("""COMPUTED_VALUE"""),5100.0)</f>
        <v>5100</v>
      </c>
      <c r="F2140" s="3" t="str">
        <f>IFERROR(__xludf.DUMMYFUNCTION("""COMPUTED_VALUE"""),"Malbec")</f>
        <v>Malbec</v>
      </c>
      <c r="G2140" s="55">
        <f>IFERROR(__xludf.DUMMYFUNCTION("""COMPUTED_VALUE"""),13.5)</f>
        <v>13.5</v>
      </c>
      <c r="H2140" s="56">
        <f>IFERROR(__xludf.DUMMYFUNCTION("""COMPUTED_VALUE"""),3.22)</f>
        <v>3.22</v>
      </c>
      <c r="I2140" s="57">
        <f>IFERROR(__xludf.DUMMYFUNCTION("""COMPUTED_VALUE"""),0.38)</f>
        <v>0.38</v>
      </c>
      <c r="J2140" s="57">
        <f>IFERROR(__xludf.DUMMYFUNCTION("""COMPUTED_VALUE"""),5.4)</f>
        <v>5.4</v>
      </c>
      <c r="K2140" s="3"/>
      <c r="L2140" s="3"/>
      <c r="M2140" s="3"/>
      <c r="N2140" s="3"/>
      <c r="O2140" s="3"/>
      <c r="P2140" s="3"/>
      <c r="Q2140" s="3"/>
      <c r="R2140" s="3">
        <f>IFERROR(__xludf.DUMMYFUNCTION("""COMPUTED_VALUE"""),0.0)</f>
        <v>0</v>
      </c>
      <c r="S2140" s="3"/>
      <c r="T2140" s="5"/>
      <c r="U2140" s="5"/>
      <c r="V2140" s="5"/>
      <c r="W2140" s="5" t="str">
        <f>IFERROR(__xludf.DUMMYFUNCTION("""COMPUTED_VALUE"""),"Simon")</f>
        <v>Simon</v>
      </c>
    </row>
    <row r="2141" ht="15.75" customHeight="1">
      <c r="A2141" s="3">
        <f>IFERROR(__xludf.DUMMYFUNCTION("""COMPUTED_VALUE"""),2141.0)</f>
        <v>2141</v>
      </c>
      <c r="B2141" s="53">
        <f>IFERROR(__xludf.DUMMYFUNCTION("""COMPUTED_VALUE"""),46113.0)</f>
        <v>46113</v>
      </c>
      <c r="C2141" s="3">
        <f>IFERROR(__xludf.DUMMYFUNCTION("""COMPUTED_VALUE"""),114.0)</f>
        <v>114</v>
      </c>
      <c r="D2141" s="3" t="str">
        <f>IFERROR(__xludf.DUMMYFUNCTION("""COMPUTED_VALUE"""),"9e280bc6")</f>
        <v>9e280bc6</v>
      </c>
      <c r="E2141" s="54">
        <f>IFERROR(__xludf.DUMMYFUNCTION("""COMPUTED_VALUE"""),125300.0)</f>
        <v>125300</v>
      </c>
      <c r="F2141" s="3" t="str">
        <f>IFERROR(__xludf.DUMMYFUNCTION("""COMPUTED_VALUE"""),"Syrah")</f>
        <v>Syrah</v>
      </c>
      <c r="G2141" s="55">
        <f>IFERROR(__xludf.DUMMYFUNCTION("""COMPUTED_VALUE"""),13.8)</f>
        <v>13.8</v>
      </c>
      <c r="H2141" s="56">
        <f>IFERROR(__xludf.DUMMYFUNCTION("""COMPUTED_VALUE"""),2.6)</f>
        <v>2.6</v>
      </c>
      <c r="I2141" s="57">
        <f>IFERROR(__xludf.DUMMYFUNCTION("""COMPUTED_VALUE"""),0.42)</f>
        <v>0.42</v>
      </c>
      <c r="J2141" s="57">
        <f>IFERROR(__xludf.DUMMYFUNCTION("""COMPUTED_VALUE"""),5.62)</f>
        <v>5.62</v>
      </c>
      <c r="K2141" s="3"/>
      <c r="L2141" s="3"/>
      <c r="M2141" s="3"/>
      <c r="N2141" s="3"/>
      <c r="O2141" s="3"/>
      <c r="P2141" s="3"/>
      <c r="Q2141" s="3"/>
      <c r="R2141" s="3">
        <f>IFERROR(__xludf.DUMMYFUNCTION("""COMPUTED_VALUE"""),0.0)</f>
        <v>0</v>
      </c>
      <c r="S2141" s="3"/>
      <c r="T2141" s="5"/>
      <c r="U2141" s="5"/>
      <c r="V2141" s="5"/>
      <c r="W2141" s="5" t="str">
        <f>IFERROR(__xludf.DUMMYFUNCTION("""COMPUTED_VALUE"""),"Simon")</f>
        <v>Simon</v>
      </c>
    </row>
    <row r="2142" ht="15.75" customHeight="1">
      <c r="A2142" s="3">
        <f>IFERROR(__xludf.DUMMYFUNCTION("""COMPUTED_VALUE"""),2142.0)</f>
        <v>2142</v>
      </c>
      <c r="B2142" s="53">
        <f>IFERROR(__xludf.DUMMYFUNCTION("""COMPUTED_VALUE"""),46113.0)</f>
        <v>46113</v>
      </c>
      <c r="C2142" s="3">
        <f>IFERROR(__xludf.DUMMYFUNCTION("""COMPUTED_VALUE"""),115.0)</f>
        <v>115</v>
      </c>
      <c r="D2142" s="3" t="str">
        <f>IFERROR(__xludf.DUMMYFUNCTION("""COMPUTED_VALUE"""),"8923dcaa")</f>
        <v>8923dcaa</v>
      </c>
      <c r="E2142" s="54">
        <f>IFERROR(__xludf.DUMMYFUNCTION("""COMPUTED_VALUE"""),120200.0)</f>
        <v>120200</v>
      </c>
      <c r="F2142" s="3" t="str">
        <f>IFERROR(__xludf.DUMMYFUNCTION("""COMPUTED_VALUE"""),"Syrah")</f>
        <v>Syrah</v>
      </c>
      <c r="G2142" s="55">
        <f>IFERROR(__xludf.DUMMYFUNCTION("""COMPUTED_VALUE"""),13.9)</f>
        <v>13.9</v>
      </c>
      <c r="H2142" s="56">
        <f>IFERROR(__xludf.DUMMYFUNCTION("""COMPUTED_VALUE"""),3.46)</f>
        <v>3.46</v>
      </c>
      <c r="I2142" s="57">
        <f>IFERROR(__xludf.DUMMYFUNCTION("""COMPUTED_VALUE"""),0.32)</f>
        <v>0.32</v>
      </c>
      <c r="J2142" s="57">
        <f>IFERROR(__xludf.DUMMYFUNCTION("""COMPUTED_VALUE"""),5.92)</f>
        <v>5.92</v>
      </c>
      <c r="K2142" s="3"/>
      <c r="L2142" s="3"/>
      <c r="M2142" s="3"/>
      <c r="N2142" s="3"/>
      <c r="O2142" s="3"/>
      <c r="P2142" s="3"/>
      <c r="Q2142" s="3"/>
      <c r="R2142" s="3">
        <f>IFERROR(__xludf.DUMMYFUNCTION("""COMPUTED_VALUE"""),0.0)</f>
        <v>0</v>
      </c>
      <c r="S2142" s="3"/>
      <c r="T2142" s="5"/>
      <c r="U2142" s="5"/>
      <c r="V2142" s="5"/>
      <c r="W2142" s="5" t="str">
        <f>IFERROR(__xludf.DUMMYFUNCTION("""COMPUTED_VALUE"""),"Simon")</f>
        <v>Simon</v>
      </c>
    </row>
    <row r="2143" ht="15.75" customHeight="1">
      <c r="A2143" s="3">
        <f>IFERROR(__xludf.DUMMYFUNCTION("""COMPUTED_VALUE"""),2143.0)</f>
        <v>2143</v>
      </c>
      <c r="B2143" s="53">
        <f>IFERROR(__xludf.DUMMYFUNCTION("""COMPUTED_VALUE"""),46114.0)</f>
        <v>46114</v>
      </c>
      <c r="C2143" s="3">
        <f>IFERROR(__xludf.DUMMYFUNCTION("""COMPUTED_VALUE"""),53.0)</f>
        <v>53</v>
      </c>
      <c r="D2143" s="3" t="str">
        <f>IFERROR(__xludf.DUMMYFUNCTION("""COMPUTED_VALUE"""),"ba499da1")</f>
        <v>ba499da1</v>
      </c>
      <c r="E2143" s="54">
        <f>IFERROR(__xludf.DUMMYFUNCTION("""COMPUTED_VALUE"""),22000.0)</f>
        <v>22000</v>
      </c>
      <c r="F2143" s="3" t="str">
        <f>IFERROR(__xludf.DUMMYFUNCTION("""COMPUTED_VALUE"""),"Malbec")</f>
        <v>Malbec</v>
      </c>
      <c r="G2143" s="3"/>
      <c r="H2143" s="3"/>
      <c r="I2143" s="3"/>
      <c r="J2143" s="3"/>
      <c r="K2143" s="3"/>
      <c r="L2143" s="54">
        <f>IFERROR(__xludf.DUMMYFUNCTION("""COMPUTED_VALUE"""),35.0)</f>
        <v>35</v>
      </c>
      <c r="M2143" s="3"/>
      <c r="N2143" s="3"/>
      <c r="O2143" s="3"/>
      <c r="P2143" s="3"/>
      <c r="Q2143" s="3"/>
      <c r="R2143" s="3">
        <f>IFERROR(__xludf.DUMMYFUNCTION("""COMPUTED_VALUE"""),0.0)</f>
        <v>0</v>
      </c>
      <c r="S2143" s="3"/>
      <c r="T2143" s="5"/>
      <c r="U2143" s="5"/>
      <c r="V2143" s="5"/>
      <c r="W2143" s="5"/>
    </row>
    <row r="2144" ht="15.75" customHeight="1">
      <c r="A2144" s="3">
        <f>IFERROR(__xludf.DUMMYFUNCTION("""COMPUTED_VALUE"""),2144.0)</f>
        <v>2144</v>
      </c>
      <c r="B2144" s="53">
        <f>IFERROR(__xludf.DUMMYFUNCTION("""COMPUTED_VALUE"""),46114.0)</f>
        <v>46114</v>
      </c>
      <c r="C2144" s="3">
        <f>IFERROR(__xludf.DUMMYFUNCTION("""COMPUTED_VALUE"""),26.0)</f>
        <v>26</v>
      </c>
      <c r="D2144" s="3" t="str">
        <f>IFERROR(__xludf.DUMMYFUNCTION("""COMPUTED_VALUE"""),"d588820c")</f>
        <v>d588820c</v>
      </c>
      <c r="E2144" s="54">
        <f>IFERROR(__xludf.DUMMYFUNCTION("""COMPUTED_VALUE"""),207600.0)</f>
        <v>207600</v>
      </c>
      <c r="F2144" s="3" t="str">
        <f>IFERROR(__xludf.DUMMYFUNCTION("""COMPUTED_VALUE"""),"Tinto Varietal B")</f>
        <v>Tinto Varietal B</v>
      </c>
      <c r="G2144" s="3"/>
      <c r="H2144" s="3"/>
      <c r="I2144" s="3"/>
      <c r="J2144" s="3"/>
      <c r="K2144" s="3"/>
      <c r="L2144" s="54">
        <f>IFERROR(__xludf.DUMMYFUNCTION("""COMPUTED_VALUE"""),34.0)</f>
        <v>34</v>
      </c>
      <c r="M2144" s="3"/>
      <c r="N2144" s="3"/>
      <c r="O2144" s="3"/>
      <c r="P2144" s="3"/>
      <c r="Q2144" s="3"/>
      <c r="R2144" s="3">
        <f>IFERROR(__xludf.DUMMYFUNCTION("""COMPUTED_VALUE"""),0.0)</f>
        <v>0</v>
      </c>
      <c r="S2144" s="3"/>
      <c r="T2144" s="5"/>
      <c r="U2144" s="5"/>
      <c r="V2144" s="5"/>
      <c r="W2144" s="5"/>
    </row>
    <row r="2145" ht="15.75" customHeight="1">
      <c r="A2145" s="3">
        <f>IFERROR(__xludf.DUMMYFUNCTION("""COMPUTED_VALUE"""),2145.0)</f>
        <v>2145</v>
      </c>
      <c r="B2145" s="53">
        <f>IFERROR(__xludf.DUMMYFUNCTION("""COMPUTED_VALUE"""),46114.0)</f>
        <v>46114</v>
      </c>
      <c r="C2145" s="3">
        <f>IFERROR(__xludf.DUMMYFUNCTION("""COMPUTED_VALUE"""),16.0)</f>
        <v>16</v>
      </c>
      <c r="D2145" s="3" t="str">
        <f>IFERROR(__xludf.DUMMYFUNCTION("""COMPUTED_VALUE"""),"eed6b107")</f>
        <v>eed6b107</v>
      </c>
      <c r="E2145" s="54">
        <f>IFERROR(__xludf.DUMMYFUNCTION("""COMPUTED_VALUE"""),19500.0)</f>
        <v>19500</v>
      </c>
      <c r="F2145" s="3" t="str">
        <f>IFERROR(__xludf.DUMMYFUNCTION("""COMPUTED_VALUE"""),"Tinto Varielta (corte Millan)")</f>
        <v>Tinto Varielta (corte Millan)</v>
      </c>
      <c r="G2145" s="3"/>
      <c r="H2145" s="3"/>
      <c r="I2145" s="3"/>
      <c r="J2145" s="3"/>
      <c r="K2145" s="3"/>
      <c r="L2145" s="54">
        <f>IFERROR(__xludf.DUMMYFUNCTION("""COMPUTED_VALUE"""),30.0)</f>
        <v>30</v>
      </c>
      <c r="M2145" s="3"/>
      <c r="N2145" s="3"/>
      <c r="O2145" s="3"/>
      <c r="P2145" s="3"/>
      <c r="Q2145" s="3"/>
      <c r="R2145" s="3">
        <f>IFERROR(__xludf.DUMMYFUNCTION("""COMPUTED_VALUE"""),0.0)</f>
        <v>0</v>
      </c>
      <c r="S2145" s="3"/>
      <c r="T2145" s="5"/>
      <c r="U2145" s="5"/>
      <c r="V2145" s="5"/>
      <c r="W2145" s="5"/>
    </row>
    <row r="2146" ht="15.75" customHeight="1">
      <c r="A2146" s="3">
        <f>IFERROR(__xludf.DUMMYFUNCTION("""COMPUTED_VALUE"""),2146.0)</f>
        <v>2146</v>
      </c>
      <c r="B2146" s="53">
        <f>IFERROR(__xludf.DUMMYFUNCTION("""COMPUTED_VALUE"""),46114.0)</f>
        <v>46114</v>
      </c>
      <c r="C2146" s="3">
        <f>IFERROR(__xludf.DUMMYFUNCTION("""COMPUTED_VALUE"""),36.0)</f>
        <v>36</v>
      </c>
      <c r="D2146" s="3" t="str">
        <f>IFERROR(__xludf.DUMMYFUNCTION("""COMPUTED_VALUE"""),"f5732c0d")</f>
        <v>f5732c0d</v>
      </c>
      <c r="E2146" s="54">
        <f>IFERROR(__xludf.DUMMYFUNCTION("""COMPUTED_VALUE"""),19700.0)</f>
        <v>19700</v>
      </c>
      <c r="F2146" s="3" t="str">
        <f>IFERROR(__xludf.DUMMYFUNCTION("""COMPUTED_VALUE"""),"Tinto Varietal B")</f>
        <v>Tinto Varietal B</v>
      </c>
      <c r="G2146" s="3"/>
      <c r="H2146" s="3"/>
      <c r="I2146" s="3"/>
      <c r="J2146" s="3"/>
      <c r="K2146" s="3"/>
      <c r="L2146" s="54">
        <f>IFERROR(__xludf.DUMMYFUNCTION("""COMPUTED_VALUE"""),32.0)</f>
        <v>32</v>
      </c>
      <c r="M2146" s="3"/>
      <c r="N2146" s="3"/>
      <c r="O2146" s="3"/>
      <c r="P2146" s="3"/>
      <c r="Q2146" s="3"/>
      <c r="R2146" s="3">
        <f>IFERROR(__xludf.DUMMYFUNCTION("""COMPUTED_VALUE"""),0.0)</f>
        <v>0</v>
      </c>
      <c r="S2146" s="3"/>
      <c r="T2146" s="5"/>
      <c r="U2146" s="5"/>
      <c r="V2146" s="5"/>
      <c r="W2146" s="5"/>
    </row>
    <row r="2147" ht="15.75" customHeight="1">
      <c r="A2147" s="3">
        <f>IFERROR(__xludf.DUMMYFUNCTION("""COMPUTED_VALUE"""),2147.0)</f>
        <v>2147</v>
      </c>
      <c r="B2147" s="53">
        <f>IFERROR(__xludf.DUMMYFUNCTION("""COMPUTED_VALUE"""),46114.0)</f>
        <v>46114</v>
      </c>
      <c r="C2147" s="3">
        <f>IFERROR(__xludf.DUMMYFUNCTION("""COMPUTED_VALUE"""),49.0)</f>
        <v>49</v>
      </c>
      <c r="D2147" s="3" t="str">
        <f>IFERROR(__xludf.DUMMYFUNCTION("""COMPUTED_VALUE"""),"f2237628")</f>
        <v>f2237628</v>
      </c>
      <c r="E2147" s="54">
        <f>IFERROR(__xludf.DUMMYFUNCTION("""COMPUTED_VALUE"""),26000.0)</f>
        <v>26000</v>
      </c>
      <c r="F2147" s="3" t="str">
        <f>IFERROR(__xludf.DUMMYFUNCTION("""COMPUTED_VALUE"""),"Chardonnay")</f>
        <v>Chardonnay</v>
      </c>
      <c r="G2147" s="3"/>
      <c r="H2147" s="3"/>
      <c r="I2147" s="3"/>
      <c r="J2147" s="3"/>
      <c r="K2147" s="3"/>
      <c r="L2147" s="54">
        <f>IFERROR(__xludf.DUMMYFUNCTION("""COMPUTED_VALUE"""),33.0)</f>
        <v>33</v>
      </c>
      <c r="M2147" s="3"/>
      <c r="N2147" s="3"/>
      <c r="O2147" s="3"/>
      <c r="P2147" s="3"/>
      <c r="Q2147" s="3"/>
      <c r="R2147" s="3">
        <f>IFERROR(__xludf.DUMMYFUNCTION("""COMPUTED_VALUE"""),0.0)</f>
        <v>0</v>
      </c>
      <c r="S2147" s="3"/>
      <c r="T2147" s="5"/>
      <c r="U2147" s="5"/>
      <c r="V2147" s="5"/>
      <c r="W2147" s="5"/>
    </row>
    <row r="2148" ht="15.75" customHeight="1">
      <c r="A2148" s="3">
        <f>IFERROR(__xludf.DUMMYFUNCTION("""COMPUTED_VALUE"""),2148.0)</f>
        <v>2148</v>
      </c>
      <c r="B2148" s="53">
        <f>IFERROR(__xludf.DUMMYFUNCTION("""COMPUTED_VALUE"""),46114.0)</f>
        <v>46114</v>
      </c>
      <c r="C2148" s="3">
        <f>IFERROR(__xludf.DUMMYFUNCTION("""COMPUTED_VALUE"""),77.0)</f>
        <v>77</v>
      </c>
      <c r="D2148" s="3" t="str">
        <f>IFERROR(__xludf.DUMMYFUNCTION("""COMPUTED_VALUE"""),"d12e5727")</f>
        <v>d12e5727</v>
      </c>
      <c r="E2148" s="54">
        <f>IFERROR(__xludf.DUMMYFUNCTION("""COMPUTED_VALUE"""),30100.0)</f>
        <v>30100</v>
      </c>
      <c r="F2148" s="3" t="str">
        <f>IFERROR(__xludf.DUMMYFUNCTION("""COMPUTED_VALUE"""),"Torrontes")</f>
        <v>Torrontes</v>
      </c>
      <c r="G2148" s="3"/>
      <c r="H2148" s="56">
        <f>IFERROR(__xludf.DUMMYFUNCTION("""COMPUTED_VALUE"""),4.5)</f>
        <v>4.5</v>
      </c>
      <c r="I2148" s="3"/>
      <c r="J2148" s="3"/>
      <c r="K2148" s="3"/>
      <c r="L2148" s="54">
        <f>IFERROR(__xludf.DUMMYFUNCTION("""COMPUTED_VALUE"""),10.0)</f>
        <v>10</v>
      </c>
      <c r="M2148" s="3"/>
      <c r="N2148" s="3"/>
      <c r="O2148" s="3"/>
      <c r="P2148" s="3"/>
      <c r="Q2148" s="3"/>
      <c r="R2148" s="3">
        <f>IFERROR(__xludf.DUMMYFUNCTION("""COMPUTED_VALUE"""),0.0)</f>
        <v>0</v>
      </c>
      <c r="S2148" s="3"/>
      <c r="T2148" s="5"/>
      <c r="U2148" s="5"/>
      <c r="V2148" s="5"/>
      <c r="W2148" s="5"/>
    </row>
    <row r="2149" ht="15.75" customHeight="1">
      <c r="A2149" s="3">
        <f>IFERROR(__xludf.DUMMYFUNCTION("""COMPUTED_VALUE"""),2149.0)</f>
        <v>2149</v>
      </c>
      <c r="B2149" s="53">
        <f>IFERROR(__xludf.DUMMYFUNCTION("""COMPUTED_VALUE"""),46114.0)</f>
        <v>46114</v>
      </c>
      <c r="C2149" s="3">
        <f>IFERROR(__xludf.DUMMYFUNCTION("""COMPUTED_VALUE"""),80.0)</f>
        <v>80</v>
      </c>
      <c r="D2149" s="3" t="str">
        <f>IFERROR(__xludf.DUMMYFUNCTION("""COMPUTED_VALUE"""),"54b0a239")</f>
        <v>54b0a239</v>
      </c>
      <c r="E2149" s="54">
        <f>IFERROR(__xludf.DUMMYFUNCTION("""COMPUTED_VALUE"""),13000.0)</f>
        <v>13000</v>
      </c>
      <c r="F2149" s="3" t="str">
        <f>IFERROR(__xludf.DUMMYFUNCTION("""COMPUTED_VALUE"""),"Pedro Gimenez")</f>
        <v>Pedro Gimenez</v>
      </c>
      <c r="G2149" s="3"/>
      <c r="H2149" s="56">
        <f>IFERROR(__xludf.DUMMYFUNCTION("""COMPUTED_VALUE"""),2.0)</f>
        <v>2</v>
      </c>
      <c r="I2149" s="3"/>
      <c r="J2149" s="3"/>
      <c r="K2149" s="3"/>
      <c r="L2149" s="54">
        <f>IFERROR(__xludf.DUMMYFUNCTION("""COMPUTED_VALUE"""),8.0)</f>
        <v>8</v>
      </c>
      <c r="M2149" s="3"/>
      <c r="N2149" s="3"/>
      <c r="O2149" s="3"/>
      <c r="P2149" s="3"/>
      <c r="Q2149" s="3"/>
      <c r="R2149" s="3">
        <f>IFERROR(__xludf.DUMMYFUNCTION("""COMPUTED_VALUE"""),0.0)</f>
        <v>0</v>
      </c>
      <c r="S2149" s="3"/>
      <c r="T2149" s="5"/>
      <c r="U2149" s="5"/>
      <c r="V2149" s="5"/>
      <c r="W2149" s="5"/>
    </row>
    <row r="2150" ht="15.75" customHeight="1">
      <c r="A2150" s="3">
        <f>IFERROR(__xludf.DUMMYFUNCTION("""COMPUTED_VALUE"""),2150.0)</f>
        <v>2150</v>
      </c>
      <c r="B2150" s="53">
        <f>IFERROR(__xludf.DUMMYFUNCTION("""COMPUTED_VALUE"""),46114.0)</f>
        <v>46114</v>
      </c>
      <c r="C2150" s="3">
        <f>IFERROR(__xludf.DUMMYFUNCTION("""COMPUTED_VALUE"""),79.0)</f>
        <v>79</v>
      </c>
      <c r="D2150" s="3" t="str">
        <f>IFERROR(__xludf.DUMMYFUNCTION("""COMPUTED_VALUE"""),"9a4dc22a")</f>
        <v>9a4dc22a</v>
      </c>
      <c r="E2150" s="54">
        <f>IFERROR(__xludf.DUMMYFUNCTION("""COMPUTED_VALUE"""),10000.0)</f>
        <v>10000</v>
      </c>
      <c r="F2150" s="3" t="str">
        <f>IFERROR(__xludf.DUMMYFUNCTION("""COMPUTED_VALUE"""),"Malbec Maq PC")</f>
        <v>Malbec Maq PC</v>
      </c>
      <c r="G2150" s="3"/>
      <c r="H2150" s="56">
        <f>IFERROR(__xludf.DUMMYFUNCTION("""COMPUTED_VALUE"""),235.0)</f>
        <v>235</v>
      </c>
      <c r="I2150" s="3"/>
      <c r="J2150" s="3"/>
      <c r="K2150" s="3"/>
      <c r="L2150" s="3"/>
      <c r="M2150" s="3"/>
      <c r="N2150" s="3"/>
      <c r="O2150" s="3"/>
      <c r="P2150" s="3"/>
      <c r="Q2150" s="3"/>
      <c r="R2150" s="3">
        <f>IFERROR(__xludf.DUMMYFUNCTION("""COMPUTED_VALUE"""),0.0)</f>
        <v>0</v>
      </c>
      <c r="S2150" s="3"/>
      <c r="T2150" s="5"/>
      <c r="U2150" s="5"/>
      <c r="V2150" s="5"/>
      <c r="W2150" s="5"/>
    </row>
    <row r="2151" ht="15.75" customHeight="1">
      <c r="A2151" s="3">
        <f>IFERROR(__xludf.DUMMYFUNCTION("""COMPUTED_VALUE"""),2151.0)</f>
        <v>2151</v>
      </c>
      <c r="B2151" s="53">
        <f>IFERROR(__xludf.DUMMYFUNCTION("""COMPUTED_VALUE"""),46114.0)</f>
        <v>46114</v>
      </c>
      <c r="C2151" s="3">
        <f>IFERROR(__xludf.DUMMYFUNCTION("""COMPUTED_VALUE"""),96.0)</f>
        <v>96</v>
      </c>
      <c r="D2151" s="3" t="str">
        <f>IFERROR(__xludf.DUMMYFUNCTION("""COMPUTED_VALUE"""),"a2de3afc")</f>
        <v>a2de3afc</v>
      </c>
      <c r="E2151" s="54">
        <f>IFERROR(__xludf.DUMMYFUNCTION("""COMPUTED_VALUE"""),46000.0)</f>
        <v>46000</v>
      </c>
      <c r="F2151" s="3" t="str">
        <f>IFERROR(__xludf.DUMMYFUNCTION("""COMPUTED_VALUE"""),"Bonarda NV - Cabernet Sau PC")</f>
        <v>Bonarda NV - Cabernet Sau PC</v>
      </c>
      <c r="G2151" s="3"/>
      <c r="H2151" s="56">
        <f>IFERROR(__xludf.DUMMYFUNCTION("""COMPUTED_VALUE"""),226.0)</f>
        <v>226</v>
      </c>
      <c r="I2151" s="3"/>
      <c r="J2151" s="3"/>
      <c r="K2151" s="3"/>
      <c r="L2151" s="3"/>
      <c r="M2151" s="3"/>
      <c r="N2151" s="3"/>
      <c r="O2151" s="3"/>
      <c r="P2151" s="3"/>
      <c r="Q2151" s="3"/>
      <c r="R2151" s="3">
        <f>IFERROR(__xludf.DUMMYFUNCTION("""COMPUTED_VALUE"""),0.0)</f>
        <v>0</v>
      </c>
      <c r="S2151" s="3"/>
      <c r="T2151" s="5"/>
      <c r="U2151" s="5"/>
      <c r="V2151" s="5"/>
      <c r="W2151" s="5"/>
    </row>
    <row r="2152" ht="15.75" customHeight="1">
      <c r="A2152" s="3">
        <f>IFERROR(__xludf.DUMMYFUNCTION("""COMPUTED_VALUE"""),2152.0)</f>
        <v>2152</v>
      </c>
      <c r="B2152" s="53">
        <f>IFERROR(__xludf.DUMMYFUNCTION("""COMPUTED_VALUE"""),46114.0)</f>
        <v>46114</v>
      </c>
      <c r="C2152" s="3">
        <f>IFERROR(__xludf.DUMMYFUNCTION("""COMPUTED_VALUE"""),42.0)</f>
        <v>42</v>
      </c>
      <c r="D2152" s="3" t="str">
        <f>IFERROR(__xludf.DUMMYFUNCTION("""COMPUTED_VALUE"""),"2c1f7013")</f>
        <v>2c1f7013</v>
      </c>
      <c r="E2152" s="54">
        <f>IFERROR(__xludf.DUMMYFUNCTION("""COMPUTED_VALUE"""),35900.0)</f>
        <v>35900</v>
      </c>
      <c r="F2152" s="3" t="str">
        <f>IFERROR(__xludf.DUMMYFUNCTION("""COMPUTED_VALUE"""),"Tinto Varietal B")</f>
        <v>Tinto Varietal B</v>
      </c>
      <c r="G2152" s="3"/>
      <c r="H2152" s="3"/>
      <c r="I2152" s="3"/>
      <c r="J2152" s="3"/>
      <c r="K2152" s="3"/>
      <c r="L2152" s="54">
        <f>IFERROR(__xludf.DUMMYFUNCTION("""COMPUTED_VALUE"""),33.0)</f>
        <v>33</v>
      </c>
      <c r="M2152" s="3"/>
      <c r="N2152" s="3"/>
      <c r="O2152" s="3"/>
      <c r="P2152" s="3"/>
      <c r="Q2152" s="3"/>
      <c r="R2152" s="3">
        <f>IFERROR(__xludf.DUMMYFUNCTION("""COMPUTED_VALUE"""),0.0)</f>
        <v>0</v>
      </c>
      <c r="S2152" s="3"/>
      <c r="T2152" s="5"/>
      <c r="U2152" s="5"/>
      <c r="V2152" s="5"/>
      <c r="W2152" s="5"/>
    </row>
    <row r="2153" ht="15.75" customHeight="1">
      <c r="A2153" s="3">
        <f>IFERROR(__xludf.DUMMYFUNCTION("""COMPUTED_VALUE"""),2153.0)</f>
        <v>2153</v>
      </c>
      <c r="B2153" s="53">
        <f>IFERROR(__xludf.DUMMYFUNCTION("""COMPUTED_VALUE"""),46114.0)</f>
        <v>46114</v>
      </c>
      <c r="C2153" s="3">
        <f>IFERROR(__xludf.DUMMYFUNCTION("""COMPUTED_VALUE"""),45.0)</f>
        <v>45</v>
      </c>
      <c r="D2153" s="3" t="str">
        <f>IFERROR(__xludf.DUMMYFUNCTION("""COMPUTED_VALUE"""),"34d5df80")</f>
        <v>34d5df80</v>
      </c>
      <c r="E2153" s="54">
        <f>IFERROR(__xludf.DUMMYFUNCTION("""COMPUTED_VALUE"""),30000.0)</f>
        <v>30000</v>
      </c>
      <c r="F2153" s="3" t="str">
        <f>IFERROR(__xludf.DUMMYFUNCTION("""COMPUTED_VALUE"""),"Tinto Varietal B")</f>
        <v>Tinto Varietal B</v>
      </c>
      <c r="G2153" s="3"/>
      <c r="H2153" s="3"/>
      <c r="I2153" s="3"/>
      <c r="J2153" s="3"/>
      <c r="K2153" s="3"/>
      <c r="L2153" s="54">
        <f>IFERROR(__xludf.DUMMYFUNCTION("""COMPUTED_VALUE"""),31.0)</f>
        <v>31</v>
      </c>
      <c r="M2153" s="3"/>
      <c r="N2153" s="3"/>
      <c r="O2153" s="3"/>
      <c r="P2153" s="3"/>
      <c r="Q2153" s="3"/>
      <c r="R2153" s="3">
        <f>IFERROR(__xludf.DUMMYFUNCTION("""COMPUTED_VALUE"""),0.0)</f>
        <v>0</v>
      </c>
      <c r="S2153" s="3"/>
      <c r="T2153" s="5"/>
      <c r="U2153" s="5"/>
      <c r="V2153" s="5"/>
      <c r="W2153" s="5"/>
    </row>
    <row r="2154" ht="15.75" customHeight="1">
      <c r="A2154" s="3">
        <f>IFERROR(__xludf.DUMMYFUNCTION("""COMPUTED_VALUE"""),2154.0)</f>
        <v>2154</v>
      </c>
      <c r="B2154" s="53">
        <f>IFERROR(__xludf.DUMMYFUNCTION("""COMPUTED_VALUE"""),46119.0)</f>
        <v>46119</v>
      </c>
      <c r="C2154" s="3">
        <f>IFERROR(__xludf.DUMMYFUNCTION("""COMPUTED_VALUE"""),5.0)</f>
        <v>5</v>
      </c>
      <c r="D2154" s="3" t="str">
        <f>IFERROR(__xludf.DUMMYFUNCTION("""COMPUTED_VALUE"""),"13d2ef6f")</f>
        <v>13d2ef6f</v>
      </c>
      <c r="E2154" s="54">
        <f>IFERROR(__xludf.DUMMYFUNCTION("""COMPUTED_VALUE"""),30000.0)</f>
        <v>30000</v>
      </c>
      <c r="F2154" s="3" t="str">
        <f>IFERROR(__xludf.DUMMYFUNCTION("""COMPUTED_VALUE"""),"Syrah")</f>
        <v>Syrah</v>
      </c>
      <c r="G2154" s="3"/>
      <c r="H2154" s="3"/>
      <c r="I2154" s="3"/>
      <c r="J2154" s="3"/>
      <c r="K2154" s="57">
        <f>IFERROR(__xludf.DUMMYFUNCTION("""COMPUTED_VALUE"""),3.82)</f>
        <v>3.82</v>
      </c>
      <c r="L2154" s="54">
        <f>IFERROR(__xludf.DUMMYFUNCTION("""COMPUTED_VALUE"""),22.0)</f>
        <v>22</v>
      </c>
      <c r="M2154" s="3">
        <f>IFERROR(__xludf.DUMMYFUNCTION("""COMPUTED_VALUE"""),80.0)</f>
        <v>80</v>
      </c>
      <c r="N2154" s="3"/>
      <c r="O2154" s="3"/>
      <c r="P2154" s="3"/>
      <c r="Q2154" s="3"/>
      <c r="R2154" s="3">
        <f>IFERROR(__xludf.DUMMYFUNCTION("""COMPUTED_VALUE"""),0.0)</f>
        <v>0</v>
      </c>
      <c r="S2154" s="3"/>
      <c r="T2154" s="5"/>
      <c r="U2154" s="5"/>
      <c r="V2154" s="5"/>
      <c r="W2154" s="5"/>
    </row>
    <row r="2155" ht="15.75" customHeight="1">
      <c r="A2155" s="3">
        <f>IFERROR(__xludf.DUMMYFUNCTION("""COMPUTED_VALUE"""),2155.0)</f>
        <v>2155</v>
      </c>
      <c r="B2155" s="53">
        <f>IFERROR(__xludf.DUMMYFUNCTION("""COMPUTED_VALUE"""),46119.0)</f>
        <v>46119</v>
      </c>
      <c r="C2155" s="3">
        <f>IFERROR(__xludf.DUMMYFUNCTION("""COMPUTED_VALUE"""),15.0)</f>
        <v>15</v>
      </c>
      <c r="D2155" s="3" t="str">
        <f>IFERROR(__xludf.DUMMYFUNCTION("""COMPUTED_VALUE"""),"22490f6b")</f>
        <v>22490f6b</v>
      </c>
      <c r="E2155" s="54">
        <f>IFERROR(__xludf.DUMMYFUNCTION("""COMPUTED_VALUE"""),36500.0)</f>
        <v>36500</v>
      </c>
      <c r="F2155" s="3" t="str">
        <f>IFERROR(__xludf.DUMMYFUNCTION("""COMPUTED_VALUE"""),"Cabernet Sauv G")</f>
        <v>Cabernet Sauv G</v>
      </c>
      <c r="G2155" s="3"/>
      <c r="H2155" s="3"/>
      <c r="I2155" s="3"/>
      <c r="J2155" s="3"/>
      <c r="K2155" s="57">
        <f>IFERROR(__xludf.DUMMYFUNCTION("""COMPUTED_VALUE"""),3.98)</f>
        <v>3.98</v>
      </c>
      <c r="L2155" s="54">
        <f>IFERROR(__xludf.DUMMYFUNCTION("""COMPUTED_VALUE"""),12.0)</f>
        <v>12</v>
      </c>
      <c r="M2155" s="3">
        <f>IFERROR(__xludf.DUMMYFUNCTION("""COMPUTED_VALUE"""),60.0)</f>
        <v>60</v>
      </c>
      <c r="N2155" s="3"/>
      <c r="O2155" s="3"/>
      <c r="P2155" s="3"/>
      <c r="Q2155" s="3"/>
      <c r="R2155" s="3">
        <f>IFERROR(__xludf.DUMMYFUNCTION("""COMPUTED_VALUE"""),0.0)</f>
        <v>0</v>
      </c>
      <c r="S2155" s="3"/>
      <c r="T2155" s="5"/>
      <c r="U2155" s="5"/>
      <c r="V2155" s="5"/>
      <c r="W2155" s="5"/>
    </row>
    <row r="2156" ht="15.75" customHeight="1">
      <c r="A2156" s="3">
        <f>IFERROR(__xludf.DUMMYFUNCTION("""COMPUTED_VALUE"""),2156.0)</f>
        <v>2156</v>
      </c>
      <c r="B2156" s="53">
        <f>IFERROR(__xludf.DUMMYFUNCTION("""COMPUTED_VALUE"""),46119.0)</f>
        <v>46119</v>
      </c>
      <c r="C2156" s="3">
        <f>IFERROR(__xludf.DUMMYFUNCTION("""COMPUTED_VALUE"""),36.0)</f>
        <v>36</v>
      </c>
      <c r="D2156" s="3" t="str">
        <f>IFERROR(__xludf.DUMMYFUNCTION("""COMPUTED_VALUE"""),"f5732c0d")</f>
        <v>f5732c0d</v>
      </c>
      <c r="E2156" s="54">
        <f>IFERROR(__xludf.DUMMYFUNCTION("""COMPUTED_VALUE"""),19700.0)</f>
        <v>19700</v>
      </c>
      <c r="F2156" s="3" t="str">
        <f>IFERROR(__xludf.DUMMYFUNCTION("""COMPUTED_VALUE"""),"Tinto Varietal B")</f>
        <v>Tinto Varietal B</v>
      </c>
      <c r="G2156" s="3"/>
      <c r="H2156" s="3"/>
      <c r="I2156" s="3"/>
      <c r="J2156" s="3"/>
      <c r="K2156" s="57">
        <f>IFERROR(__xludf.DUMMYFUNCTION("""COMPUTED_VALUE"""),3.59)</f>
        <v>3.59</v>
      </c>
      <c r="L2156" s="54">
        <f>IFERROR(__xludf.DUMMYFUNCTION("""COMPUTED_VALUE"""),23.0)</f>
        <v>23</v>
      </c>
      <c r="M2156" s="3">
        <f>IFERROR(__xludf.DUMMYFUNCTION("""COMPUTED_VALUE"""),153.0)</f>
        <v>153</v>
      </c>
      <c r="N2156" s="3"/>
      <c r="O2156" s="3"/>
      <c r="P2156" s="3"/>
      <c r="Q2156" s="3"/>
      <c r="R2156" s="3">
        <f>IFERROR(__xludf.DUMMYFUNCTION("""COMPUTED_VALUE"""),0.0)</f>
        <v>0</v>
      </c>
      <c r="S2156" s="3"/>
      <c r="T2156" s="5"/>
      <c r="U2156" s="5"/>
      <c r="V2156" s="5"/>
      <c r="W2156" s="5"/>
    </row>
    <row r="2157" ht="15.75" customHeight="1">
      <c r="A2157" s="3">
        <f>IFERROR(__xludf.DUMMYFUNCTION("""COMPUTED_VALUE"""),2157.0)</f>
        <v>2157</v>
      </c>
      <c r="B2157" s="53">
        <f>IFERROR(__xludf.DUMMYFUNCTION("""COMPUTED_VALUE"""),46119.0)</f>
        <v>46119</v>
      </c>
      <c r="C2157" s="3">
        <f>IFERROR(__xludf.DUMMYFUNCTION("""COMPUTED_VALUE"""),42.0)</f>
        <v>42</v>
      </c>
      <c r="D2157" s="3" t="str">
        <f>IFERROR(__xludf.DUMMYFUNCTION("""COMPUTED_VALUE"""),"2c1f7013")</f>
        <v>2c1f7013</v>
      </c>
      <c r="E2157" s="54">
        <f>IFERROR(__xludf.DUMMYFUNCTION("""COMPUTED_VALUE"""),35900.0)</f>
        <v>35900</v>
      </c>
      <c r="F2157" s="3" t="str">
        <f>IFERROR(__xludf.DUMMYFUNCTION("""COMPUTED_VALUE"""),"Tinto Varietal B")</f>
        <v>Tinto Varietal B</v>
      </c>
      <c r="G2157" s="3"/>
      <c r="H2157" s="3"/>
      <c r="I2157" s="3"/>
      <c r="J2157" s="3"/>
      <c r="K2157" s="57">
        <f>IFERROR(__xludf.DUMMYFUNCTION("""COMPUTED_VALUE"""),3.58)</f>
        <v>3.58</v>
      </c>
      <c r="L2157" s="54">
        <f>IFERROR(__xludf.DUMMYFUNCTION("""COMPUTED_VALUE"""),22.0)</f>
        <v>22</v>
      </c>
      <c r="M2157" s="3">
        <f>IFERROR(__xludf.DUMMYFUNCTION("""COMPUTED_VALUE"""),155.0)</f>
        <v>155</v>
      </c>
      <c r="N2157" s="3"/>
      <c r="O2157" s="3"/>
      <c r="P2157" s="3"/>
      <c r="Q2157" s="3"/>
      <c r="R2157" s="3">
        <f>IFERROR(__xludf.DUMMYFUNCTION("""COMPUTED_VALUE"""),0.0)</f>
        <v>0</v>
      </c>
      <c r="S2157" s="3"/>
      <c r="T2157" s="5"/>
      <c r="U2157" s="5"/>
      <c r="V2157" s="5"/>
      <c r="W2157" s="5"/>
    </row>
    <row r="2158" ht="15.75" customHeight="1">
      <c r="A2158" s="3">
        <f>IFERROR(__xludf.DUMMYFUNCTION("""COMPUTED_VALUE"""),2158.0)</f>
        <v>2158</v>
      </c>
      <c r="B2158" s="53">
        <f>IFERROR(__xludf.DUMMYFUNCTION("""COMPUTED_VALUE"""),46119.0)</f>
        <v>46119</v>
      </c>
      <c r="C2158" s="3">
        <f>IFERROR(__xludf.DUMMYFUNCTION("""COMPUTED_VALUE"""),45.0)</f>
        <v>45</v>
      </c>
      <c r="D2158" s="3" t="str">
        <f>IFERROR(__xludf.DUMMYFUNCTION("""COMPUTED_VALUE"""),"34d5df80")</f>
        <v>34d5df80</v>
      </c>
      <c r="E2158" s="54">
        <f>IFERROR(__xludf.DUMMYFUNCTION("""COMPUTED_VALUE"""),30000.0)</f>
        <v>30000</v>
      </c>
      <c r="F2158" s="3" t="str">
        <f>IFERROR(__xludf.DUMMYFUNCTION("""COMPUTED_VALUE"""),"Tinto Varietal B")</f>
        <v>Tinto Varietal B</v>
      </c>
      <c r="G2158" s="3"/>
      <c r="H2158" s="3"/>
      <c r="I2158" s="3"/>
      <c r="J2158" s="3"/>
      <c r="K2158" s="57">
        <f>IFERROR(__xludf.DUMMYFUNCTION("""COMPUTED_VALUE"""),3.53)</f>
        <v>3.53</v>
      </c>
      <c r="L2158" s="54">
        <f>IFERROR(__xludf.DUMMYFUNCTION("""COMPUTED_VALUE"""),24.0)</f>
        <v>24</v>
      </c>
      <c r="M2158" s="3">
        <f>IFERROR(__xludf.DUMMYFUNCTION("""COMPUTED_VALUE"""),160.0)</f>
        <v>160</v>
      </c>
      <c r="N2158" s="3"/>
      <c r="O2158" s="3"/>
      <c r="P2158" s="3"/>
      <c r="Q2158" s="3"/>
      <c r="R2158" s="3">
        <f>IFERROR(__xludf.DUMMYFUNCTION("""COMPUTED_VALUE"""),0.0)</f>
        <v>0</v>
      </c>
      <c r="S2158" s="3"/>
      <c r="T2158" s="5"/>
      <c r="U2158" s="5"/>
      <c r="V2158" s="5"/>
      <c r="W2158" s="5"/>
    </row>
    <row r="2159" ht="15.75" customHeight="1">
      <c r="A2159" s="3">
        <f>IFERROR(__xludf.DUMMYFUNCTION("""COMPUTED_VALUE"""),2159.0)</f>
        <v>2159</v>
      </c>
      <c r="B2159" s="53">
        <f>IFERROR(__xludf.DUMMYFUNCTION("""COMPUTED_VALUE"""),46119.0)</f>
        <v>46119</v>
      </c>
      <c r="C2159" s="3">
        <f>IFERROR(__xludf.DUMMYFUNCTION("""COMPUTED_VALUE"""),51.0)</f>
        <v>51</v>
      </c>
      <c r="D2159" s="3" t="str">
        <f>IFERROR(__xludf.DUMMYFUNCTION("""COMPUTED_VALUE"""),"239e649e")</f>
        <v>239e649e</v>
      </c>
      <c r="E2159" s="54">
        <f>IFERROR(__xludf.DUMMYFUNCTION("""COMPUTED_VALUE"""),3900.0)</f>
        <v>3900</v>
      </c>
      <c r="F2159" s="3" t="str">
        <f>IFERROR(__xludf.DUMMYFUNCTION("""COMPUTED_VALUE"""),"Chardonnay")</f>
        <v>Chardonnay</v>
      </c>
      <c r="G2159" s="3"/>
      <c r="H2159" s="3"/>
      <c r="I2159" s="3"/>
      <c r="J2159" s="3"/>
      <c r="K2159" s="57">
        <f>IFERROR(__xludf.DUMMYFUNCTION("""COMPUTED_VALUE"""),3.29)</f>
        <v>3.29</v>
      </c>
      <c r="L2159" s="54">
        <f>IFERROR(__xludf.DUMMYFUNCTION("""COMPUTED_VALUE"""),17.0)</f>
        <v>17</v>
      </c>
      <c r="M2159" s="3">
        <f>IFERROR(__xludf.DUMMYFUNCTION("""COMPUTED_VALUE"""),90.0)</f>
        <v>90</v>
      </c>
      <c r="N2159" s="3"/>
      <c r="O2159" s="3"/>
      <c r="P2159" s="3"/>
      <c r="Q2159" s="3"/>
      <c r="R2159" s="3">
        <f>IFERROR(__xludf.DUMMYFUNCTION("""COMPUTED_VALUE"""),0.0)</f>
        <v>0</v>
      </c>
      <c r="S2159" s="3"/>
      <c r="T2159" s="5"/>
      <c r="U2159" s="5"/>
      <c r="V2159" s="5"/>
      <c r="W2159" s="5"/>
    </row>
    <row r="2160" ht="15.75" customHeight="1">
      <c r="A2160" s="3">
        <f>IFERROR(__xludf.DUMMYFUNCTION("""COMPUTED_VALUE"""),2160.0)</f>
        <v>2160</v>
      </c>
      <c r="B2160" s="53">
        <f>IFERROR(__xludf.DUMMYFUNCTION("""COMPUTED_VALUE"""),46119.0)</f>
        <v>46119</v>
      </c>
      <c r="C2160" s="3">
        <f>IFERROR(__xludf.DUMMYFUNCTION("""COMPUTED_VALUE"""),118.0)</f>
        <v>118</v>
      </c>
      <c r="D2160" s="3" t="str">
        <f>IFERROR(__xludf.DUMMYFUNCTION("""COMPUTED_VALUE"""),"0cee4951")</f>
        <v>0cee4951</v>
      </c>
      <c r="E2160" s="54">
        <f>IFERROR(__xludf.DUMMYFUNCTION("""COMPUTED_VALUE"""),155600.0)</f>
        <v>155600</v>
      </c>
      <c r="F2160" s="3" t="str">
        <f>IFERROR(__xludf.DUMMYFUNCTION("""COMPUTED_VALUE"""),"Syrah Temp")</f>
        <v>Syrah Temp</v>
      </c>
      <c r="G2160" s="3"/>
      <c r="H2160" s="3"/>
      <c r="I2160" s="3"/>
      <c r="J2160" s="3"/>
      <c r="K2160" s="57">
        <f>IFERROR(__xludf.DUMMYFUNCTION("""COMPUTED_VALUE"""),3.71)</f>
        <v>3.71</v>
      </c>
      <c r="L2160" s="54">
        <f>IFERROR(__xludf.DUMMYFUNCTION("""COMPUTED_VALUE"""),16.0)</f>
        <v>16</v>
      </c>
      <c r="M2160" s="3">
        <f>IFERROR(__xludf.DUMMYFUNCTION("""COMPUTED_VALUE"""),77.0)</f>
        <v>77</v>
      </c>
      <c r="N2160" s="3"/>
      <c r="O2160" s="3"/>
      <c r="P2160" s="3"/>
      <c r="Q2160" s="3"/>
      <c r="R2160" s="3">
        <f>IFERROR(__xludf.DUMMYFUNCTION("""COMPUTED_VALUE"""),0.0)</f>
        <v>0</v>
      </c>
      <c r="S2160" s="3"/>
      <c r="T2160" s="5"/>
      <c r="U2160" s="5"/>
      <c r="V2160" s="5"/>
      <c r="W2160" s="5"/>
    </row>
    <row r="2161" ht="15.75" customHeight="1">
      <c r="A2161" s="3">
        <f>IFERROR(__xludf.DUMMYFUNCTION("""COMPUTED_VALUE"""),2161.0)</f>
        <v>2161</v>
      </c>
      <c r="B2161" s="53">
        <f>IFERROR(__xludf.DUMMYFUNCTION("""COMPUTED_VALUE"""),46119.0)</f>
        <v>46119</v>
      </c>
      <c r="C2161" s="3">
        <f>IFERROR(__xludf.DUMMYFUNCTION("""COMPUTED_VALUE"""),78.0)</f>
        <v>78</v>
      </c>
      <c r="D2161" s="3" t="str">
        <f>IFERROR(__xludf.DUMMYFUNCTION("""COMPUTED_VALUE"""),"e8af8964")</f>
        <v>e8af8964</v>
      </c>
      <c r="E2161" s="54">
        <f>IFERROR(__xludf.DUMMYFUNCTION("""COMPUTED_VALUE"""),23000.0)</f>
        <v>23000</v>
      </c>
      <c r="F2161" s="3" t="str">
        <f>IFERROR(__xludf.DUMMYFUNCTION("""COMPUTED_VALUE"""),"Rosado Criolla")</f>
        <v>Rosado Criolla</v>
      </c>
      <c r="G2161" s="3"/>
      <c r="H2161" s="56">
        <f>IFERROR(__xludf.DUMMYFUNCTION("""COMPUTED_VALUE"""),4.0)</f>
        <v>4</v>
      </c>
      <c r="I2161" s="3"/>
      <c r="J2161" s="3"/>
      <c r="K2161" s="57">
        <f>IFERROR(__xludf.DUMMYFUNCTION("""COMPUTED_VALUE"""),3.54)</f>
        <v>3.54</v>
      </c>
      <c r="L2161" s="3"/>
      <c r="M2161" s="3"/>
      <c r="N2161" s="3"/>
      <c r="O2161" s="3"/>
      <c r="P2161" s="3"/>
      <c r="Q2161" s="3"/>
      <c r="R2161" s="3">
        <f>IFERROR(__xludf.DUMMYFUNCTION("""COMPUTED_VALUE"""),0.0)</f>
        <v>0</v>
      </c>
      <c r="S2161" s="3"/>
      <c r="T2161" s="5"/>
      <c r="U2161" s="5"/>
      <c r="V2161" s="5"/>
      <c r="W2161" s="5"/>
    </row>
    <row r="2162" ht="15.75" customHeight="1">
      <c r="A2162" s="3">
        <f>IFERROR(__xludf.DUMMYFUNCTION("""COMPUTED_VALUE"""),2162.0)</f>
        <v>2162</v>
      </c>
      <c r="B2162" s="53">
        <f>IFERROR(__xludf.DUMMYFUNCTION("""COMPUTED_VALUE"""),46119.0)</f>
        <v>46119</v>
      </c>
      <c r="C2162" s="3">
        <f>IFERROR(__xludf.DUMMYFUNCTION("""COMPUTED_VALUE"""),126.0)</f>
        <v>126</v>
      </c>
      <c r="D2162" s="3"/>
      <c r="E2162" s="3"/>
      <c r="F2162" s="3"/>
      <c r="G2162" s="3"/>
      <c r="H2162" s="56">
        <f>IFERROR(__xludf.DUMMYFUNCTION("""COMPUTED_VALUE"""),2.0)</f>
        <v>2</v>
      </c>
      <c r="I2162" s="3"/>
      <c r="J2162" s="3"/>
      <c r="K2162" s="57">
        <f>IFERROR(__xludf.DUMMYFUNCTION("""COMPUTED_VALUE"""),3.3)</f>
        <v>3.3</v>
      </c>
      <c r="L2162" s="3"/>
      <c r="M2162" s="3"/>
      <c r="N2162" s="3"/>
      <c r="O2162" s="3"/>
      <c r="P2162" s="3"/>
      <c r="Q2162" s="3"/>
      <c r="R2162" s="3">
        <f>IFERROR(__xludf.DUMMYFUNCTION("""COMPUTED_VALUE"""),0.0)</f>
        <v>0</v>
      </c>
      <c r="S2162" s="3"/>
      <c r="T2162" s="5"/>
      <c r="U2162" s="5"/>
      <c r="V2162" s="5"/>
      <c r="W2162" s="5"/>
    </row>
    <row r="2163" ht="15.75" customHeight="1">
      <c r="A2163" s="3">
        <f>IFERROR(__xludf.DUMMYFUNCTION("""COMPUTED_VALUE"""),2163.0)</f>
        <v>2163</v>
      </c>
      <c r="B2163" s="53">
        <f>IFERROR(__xludf.DUMMYFUNCTION("""COMPUTED_VALUE"""),46119.0)</f>
        <v>46119</v>
      </c>
      <c r="C2163" s="3">
        <f>IFERROR(__xludf.DUMMYFUNCTION("""COMPUTED_VALUE"""),87.0)</f>
        <v>87</v>
      </c>
      <c r="D2163" s="3" t="str">
        <f>IFERROR(__xludf.DUMMYFUNCTION("""COMPUTED_VALUE"""),"608410f5")</f>
        <v>608410f5</v>
      </c>
      <c r="E2163" s="54">
        <f>IFERROR(__xludf.DUMMYFUNCTION("""COMPUTED_VALUE"""),34500.0)</f>
        <v>34500</v>
      </c>
      <c r="F2163" s="3" t="str">
        <f>IFERROR(__xludf.DUMMYFUNCTION("""COMPUTED_VALUE"""),"Malbec")</f>
        <v>Malbec</v>
      </c>
      <c r="G2163" s="3"/>
      <c r="H2163" s="56">
        <f>IFERROR(__xludf.DUMMYFUNCTION("""COMPUTED_VALUE"""),2.34)</f>
        <v>2.34</v>
      </c>
      <c r="I2163" s="3"/>
      <c r="J2163" s="3"/>
      <c r="K2163" s="57">
        <f>IFERROR(__xludf.DUMMYFUNCTION("""COMPUTED_VALUE"""),3.79)</f>
        <v>3.79</v>
      </c>
      <c r="L2163" s="3"/>
      <c r="M2163" s="3"/>
      <c r="N2163" s="3"/>
      <c r="O2163" s="3"/>
      <c r="P2163" s="3"/>
      <c r="Q2163" s="3"/>
      <c r="R2163" s="3">
        <f>IFERROR(__xludf.DUMMYFUNCTION("""COMPUTED_VALUE"""),0.0)</f>
        <v>0</v>
      </c>
      <c r="S2163" s="3"/>
      <c r="T2163" s="5"/>
      <c r="U2163" s="5"/>
      <c r="V2163" s="5"/>
      <c r="W2163" s="5"/>
    </row>
    <row r="2164" ht="15.75" customHeight="1">
      <c r="A2164" s="3">
        <f>IFERROR(__xludf.DUMMYFUNCTION("""COMPUTED_VALUE"""),2164.0)</f>
        <v>2164</v>
      </c>
      <c r="B2164" s="53">
        <f>IFERROR(__xludf.DUMMYFUNCTION("""COMPUTED_VALUE"""),46119.0)</f>
        <v>46119</v>
      </c>
      <c r="C2164" s="3">
        <f>IFERROR(__xludf.DUMMYFUNCTION("""COMPUTED_VALUE"""),90.0)</f>
        <v>90</v>
      </c>
      <c r="D2164" s="3" t="str">
        <f>IFERROR(__xludf.DUMMYFUNCTION("""COMPUTED_VALUE"""),"1ba01bfa")</f>
        <v>1ba01bfa</v>
      </c>
      <c r="E2164" s="54">
        <f>IFERROR(__xludf.DUMMYFUNCTION("""COMPUTED_VALUE"""),58500.0)</f>
        <v>58500</v>
      </c>
      <c r="F2164" s="3" t="str">
        <f>IFERROR(__xludf.DUMMYFUNCTION("""COMPUTED_VALUE"""),"Malbec PC")</f>
        <v>Malbec PC</v>
      </c>
      <c r="G2164" s="3"/>
      <c r="H2164" s="56">
        <f>IFERROR(__xludf.DUMMYFUNCTION("""COMPUTED_VALUE"""),4.5)</f>
        <v>4.5</v>
      </c>
      <c r="I2164" s="3"/>
      <c r="J2164" s="3"/>
      <c r="K2164" s="57">
        <f>IFERROR(__xludf.DUMMYFUNCTION("""COMPUTED_VALUE"""),3.82)</f>
        <v>3.82</v>
      </c>
      <c r="L2164" s="3"/>
      <c r="M2164" s="3"/>
      <c r="N2164" s="3"/>
      <c r="O2164" s="3"/>
      <c r="P2164" s="3"/>
      <c r="Q2164" s="3"/>
      <c r="R2164" s="3">
        <f>IFERROR(__xludf.DUMMYFUNCTION("""COMPUTED_VALUE"""),0.0)</f>
        <v>0</v>
      </c>
      <c r="S2164" s="3"/>
      <c r="T2164" s="5"/>
      <c r="U2164" s="5"/>
      <c r="V2164" s="5"/>
      <c r="W2164" s="5"/>
    </row>
    <row r="2165" ht="15.75" customHeight="1">
      <c r="A2165" s="3">
        <f>IFERROR(__xludf.DUMMYFUNCTION("""COMPUTED_VALUE"""),2165.0)</f>
        <v>2165</v>
      </c>
      <c r="B2165" s="53">
        <f>IFERROR(__xludf.DUMMYFUNCTION("""COMPUTED_VALUE"""),46119.0)</f>
        <v>46119</v>
      </c>
      <c r="C2165" s="3">
        <f>IFERROR(__xludf.DUMMYFUNCTION("""COMPUTED_VALUE"""),67.0)</f>
        <v>67</v>
      </c>
      <c r="D2165" s="3" t="str">
        <f>IFERROR(__xludf.DUMMYFUNCTION("""COMPUTED_VALUE"""),"8267c94a")</f>
        <v>8267c94a</v>
      </c>
      <c r="E2165" s="54">
        <f>IFERROR(__xludf.DUMMYFUNCTION("""COMPUTED_VALUE"""),17100.0)</f>
        <v>17100</v>
      </c>
      <c r="F2165" s="3" t="str">
        <f>IFERROR(__xludf.DUMMYFUNCTION("""COMPUTED_VALUE"""),"Bonarda PC")</f>
        <v>Bonarda PC</v>
      </c>
      <c r="G2165" s="3"/>
      <c r="H2165" s="56">
        <f>IFERROR(__xludf.DUMMYFUNCTION("""COMPUTED_VALUE"""),2.0)</f>
        <v>2</v>
      </c>
      <c r="I2165" s="3"/>
      <c r="J2165" s="3"/>
      <c r="K2165" s="57">
        <f>IFERROR(__xludf.DUMMYFUNCTION("""COMPUTED_VALUE"""),3.76)</f>
        <v>3.76</v>
      </c>
      <c r="L2165" s="3"/>
      <c r="M2165" s="3"/>
      <c r="N2165" s="3"/>
      <c r="O2165" s="3"/>
      <c r="P2165" s="3"/>
      <c r="Q2165" s="3"/>
      <c r="R2165" s="3">
        <f>IFERROR(__xludf.DUMMYFUNCTION("""COMPUTED_VALUE"""),0.0)</f>
        <v>0</v>
      </c>
      <c r="S2165" s="3"/>
      <c r="T2165" s="5"/>
      <c r="U2165" s="5"/>
      <c r="V2165" s="5"/>
      <c r="W2165" s="5"/>
    </row>
    <row r="2166" ht="15.75" customHeight="1">
      <c r="A2166" s="3">
        <f>IFERROR(__xludf.DUMMYFUNCTION("""COMPUTED_VALUE"""),2166.0)</f>
        <v>2166</v>
      </c>
      <c r="B2166" s="53">
        <f>IFERROR(__xludf.DUMMYFUNCTION("""COMPUTED_VALUE"""),46120.0)</f>
        <v>46120</v>
      </c>
      <c r="C2166" s="3">
        <f>IFERROR(__xludf.DUMMYFUNCTION("""COMPUTED_VALUE"""),95.0)</f>
        <v>95</v>
      </c>
      <c r="D2166" s="3" t="str">
        <f>IFERROR(__xludf.DUMMYFUNCTION("""COMPUTED_VALUE"""),"e835b1c0")</f>
        <v>e835b1c0</v>
      </c>
      <c r="E2166" s="54">
        <f>IFERROR(__xludf.DUMMYFUNCTION("""COMPUTED_VALUE"""),36800.0)</f>
        <v>36800</v>
      </c>
      <c r="F2166" s="3" t="str">
        <f>IFERROR(__xludf.DUMMYFUNCTION("""COMPUTED_VALUE"""),"Bonarda C2")</f>
        <v>Bonarda C2</v>
      </c>
      <c r="G2166" s="3"/>
      <c r="H2166" s="56">
        <f>IFERROR(__xludf.DUMMYFUNCTION("""COMPUTED_VALUE"""),214.0)</f>
        <v>214</v>
      </c>
      <c r="I2166" s="3"/>
      <c r="J2166" s="3"/>
      <c r="K2166" s="57">
        <f>IFERROR(__xludf.DUMMYFUNCTION("""COMPUTED_VALUE"""),3.89)</f>
        <v>3.89</v>
      </c>
      <c r="L2166" s="54">
        <f>IFERROR(__xludf.DUMMYFUNCTION("""COMPUTED_VALUE"""),50.0)</f>
        <v>50</v>
      </c>
      <c r="M2166" s="3">
        <f>IFERROR(__xludf.DUMMYFUNCTION("""COMPUTED_VALUE"""),100.0)</f>
        <v>100</v>
      </c>
      <c r="N2166" s="3"/>
      <c r="O2166" s="3"/>
      <c r="P2166" s="3"/>
      <c r="Q2166" s="3"/>
      <c r="R2166" s="3">
        <f>IFERROR(__xludf.DUMMYFUNCTION("""COMPUTED_VALUE"""),0.0)</f>
        <v>0</v>
      </c>
      <c r="S2166" s="3"/>
      <c r="T2166" s="5"/>
      <c r="U2166" s="5"/>
      <c r="V2166" s="5"/>
      <c r="W2166" s="5"/>
    </row>
    <row r="2167" ht="15.75" customHeight="1">
      <c r="A2167" s="3">
        <f>IFERROR(__xludf.DUMMYFUNCTION("""COMPUTED_VALUE"""),2167.0)</f>
        <v>2167</v>
      </c>
      <c r="B2167" s="53">
        <f>IFERROR(__xludf.DUMMYFUNCTION("""COMPUTED_VALUE"""),46120.0)</f>
        <v>46120</v>
      </c>
      <c r="C2167" s="3">
        <f>IFERROR(__xludf.DUMMYFUNCTION("""COMPUTED_VALUE"""),91.0)</f>
        <v>91</v>
      </c>
      <c r="D2167" s="3" t="str">
        <f>IFERROR(__xludf.DUMMYFUNCTION("""COMPUTED_VALUE"""),"38741cb2")</f>
        <v>38741cb2</v>
      </c>
      <c r="E2167" s="54">
        <f>IFERROR(__xludf.DUMMYFUNCTION("""COMPUTED_VALUE"""),51500.0)</f>
        <v>51500</v>
      </c>
      <c r="F2167" s="3" t="str">
        <f>IFERROR(__xludf.DUMMYFUNCTION("""COMPUTED_VALUE"""),"Bonarda Maq")</f>
        <v>Bonarda Maq</v>
      </c>
      <c r="G2167" s="3"/>
      <c r="H2167" s="56">
        <f>IFERROR(__xludf.DUMMYFUNCTION("""COMPUTED_VALUE"""),224.0)</f>
        <v>224</v>
      </c>
      <c r="I2167" s="3"/>
      <c r="J2167" s="3"/>
      <c r="K2167" s="57">
        <f>IFERROR(__xludf.DUMMYFUNCTION("""COMPUTED_VALUE"""),3.95)</f>
        <v>3.95</v>
      </c>
      <c r="L2167" s="54">
        <f>IFERROR(__xludf.DUMMYFUNCTION("""COMPUTED_VALUE"""),35.0)</f>
        <v>35</v>
      </c>
      <c r="M2167" s="3">
        <f>IFERROR(__xludf.DUMMYFUNCTION("""COMPUTED_VALUE"""),100.0)</f>
        <v>100</v>
      </c>
      <c r="N2167" s="3"/>
      <c r="O2167" s="3"/>
      <c r="P2167" s="3"/>
      <c r="Q2167" s="3"/>
      <c r="R2167" s="3">
        <f>IFERROR(__xludf.DUMMYFUNCTION("""COMPUTED_VALUE"""),0.0)</f>
        <v>0</v>
      </c>
      <c r="S2167" s="3"/>
      <c r="T2167" s="5"/>
      <c r="U2167" s="5"/>
      <c r="V2167" s="5"/>
      <c r="W2167" s="5"/>
    </row>
    <row r="2168" ht="15.75" customHeight="1">
      <c r="A2168" s="3">
        <f>IFERROR(__xludf.DUMMYFUNCTION("""COMPUTED_VALUE"""),2168.0)</f>
        <v>2168</v>
      </c>
      <c r="B2168" s="53">
        <f>IFERROR(__xludf.DUMMYFUNCTION("""COMPUTED_VALUE"""),46120.0)</f>
        <v>46120</v>
      </c>
      <c r="C2168" s="3">
        <f>IFERROR(__xludf.DUMMYFUNCTION("""COMPUTED_VALUE"""),126.0)</f>
        <v>126</v>
      </c>
      <c r="D2168" s="3" t="str">
        <f>IFERROR(__xludf.DUMMYFUNCTION("""COMPUTED_VALUE"""),"21fc2cc1")</f>
        <v>21fc2cc1</v>
      </c>
      <c r="E2168" s="54">
        <f>IFERROR(__xludf.DUMMYFUNCTION("""COMPUTED_VALUE"""),30000.0)</f>
        <v>30000</v>
      </c>
      <c r="F2168" s="3" t="str">
        <f>IFERROR(__xludf.DUMMYFUNCTION("""COMPUTED_VALUE"""),"Criolla PC")</f>
        <v>Criolla PC</v>
      </c>
      <c r="G2168" s="3"/>
      <c r="H2168" s="3"/>
      <c r="I2168" s="3"/>
      <c r="J2168" s="3"/>
      <c r="K2168" s="57">
        <f>IFERROR(__xludf.DUMMYFUNCTION("""COMPUTED_VALUE"""),3.73)</f>
        <v>3.73</v>
      </c>
      <c r="L2168" s="54">
        <f>IFERROR(__xludf.DUMMYFUNCTION("""COMPUTED_VALUE"""),12.0)</f>
        <v>12</v>
      </c>
      <c r="M2168" s="3">
        <f>IFERROR(__xludf.DUMMYFUNCTION("""COMPUTED_VALUE"""),50.0)</f>
        <v>50</v>
      </c>
      <c r="N2168" s="3"/>
      <c r="O2168" s="3"/>
      <c r="P2168" s="3"/>
      <c r="Q2168" s="3"/>
      <c r="R2168" s="3">
        <f>IFERROR(__xludf.DUMMYFUNCTION("""COMPUTED_VALUE"""),0.0)</f>
        <v>0</v>
      </c>
      <c r="S2168" s="3"/>
      <c r="T2168" s="5"/>
      <c r="U2168" s="5"/>
      <c r="V2168" s="5"/>
      <c r="W2168" s="5"/>
    </row>
    <row r="2169" ht="15.75" customHeight="1">
      <c r="A2169" s="3">
        <f>IFERROR(__xludf.DUMMYFUNCTION("""COMPUTED_VALUE"""),2169.0)</f>
        <v>2169</v>
      </c>
      <c r="B2169" s="53">
        <f>IFERROR(__xludf.DUMMYFUNCTION("""COMPUTED_VALUE"""),46120.0)</f>
        <v>46120</v>
      </c>
      <c r="C2169" s="3">
        <f>IFERROR(__xludf.DUMMYFUNCTION("""COMPUTED_VALUE"""),84.0)</f>
        <v>84</v>
      </c>
      <c r="D2169" s="3" t="str">
        <f>IFERROR(__xludf.DUMMYFUNCTION("""COMPUTED_VALUE"""),"8fd0424b")</f>
        <v>8fd0424b</v>
      </c>
      <c r="E2169" s="54">
        <f>IFERROR(__xludf.DUMMYFUNCTION("""COMPUTED_VALUE"""),54000.0)</f>
        <v>54000</v>
      </c>
      <c r="F2169" s="3" t="str">
        <f>IFERROR(__xludf.DUMMYFUNCTION("""COMPUTED_VALUE"""),"Bonarda")</f>
        <v>Bonarda</v>
      </c>
      <c r="G2169" s="3"/>
      <c r="H2169" s="56">
        <f>IFERROR(__xludf.DUMMYFUNCTION("""COMPUTED_VALUE"""),210.0)</f>
        <v>210</v>
      </c>
      <c r="I2169" s="3"/>
      <c r="J2169" s="3"/>
      <c r="K2169" s="57">
        <f>IFERROR(__xludf.DUMMYFUNCTION("""COMPUTED_VALUE"""),3.91)</f>
        <v>3.91</v>
      </c>
      <c r="L2169" s="54">
        <f>IFERROR(__xludf.DUMMYFUNCTION("""COMPUTED_VALUE"""),20.0)</f>
        <v>20</v>
      </c>
      <c r="M2169" s="3">
        <f>IFERROR(__xludf.DUMMYFUNCTION("""COMPUTED_VALUE"""),42.0)</f>
        <v>42</v>
      </c>
      <c r="N2169" s="3"/>
      <c r="O2169" s="3"/>
      <c r="P2169" s="3"/>
      <c r="Q2169" s="3"/>
      <c r="R2169" s="3">
        <f>IFERROR(__xludf.DUMMYFUNCTION("""COMPUTED_VALUE"""),0.0)</f>
        <v>0</v>
      </c>
      <c r="S2169" s="3"/>
      <c r="T2169" s="5"/>
      <c r="U2169" s="5"/>
      <c r="V2169" s="5"/>
      <c r="W2169" s="5"/>
    </row>
    <row r="2170" ht="15.75" customHeight="1">
      <c r="A2170" s="3">
        <f>IFERROR(__xludf.DUMMYFUNCTION("""COMPUTED_VALUE"""),2170.0)</f>
        <v>2170</v>
      </c>
      <c r="B2170" s="53">
        <f>IFERROR(__xludf.DUMMYFUNCTION("""COMPUTED_VALUE"""),46120.0)</f>
        <v>46120</v>
      </c>
      <c r="C2170" s="3">
        <f>IFERROR(__xludf.DUMMYFUNCTION("""COMPUTED_VALUE"""),33.0)</f>
        <v>33</v>
      </c>
      <c r="D2170" s="3" t="str">
        <f>IFERROR(__xludf.DUMMYFUNCTION("""COMPUTED_VALUE"""),"7a77b210")</f>
        <v>7a77b210</v>
      </c>
      <c r="E2170" s="54">
        <f>IFERROR(__xludf.DUMMYFUNCTION("""COMPUTED_VALUE"""),25300.0)</f>
        <v>25300</v>
      </c>
      <c r="F2170" s="3" t="str">
        <f>IFERROR(__xludf.DUMMYFUNCTION("""COMPUTED_VALUE"""),"Chardonnay")</f>
        <v>Chardonnay</v>
      </c>
      <c r="G2170" s="3"/>
      <c r="H2170" s="3"/>
      <c r="I2170" s="3"/>
      <c r="J2170" s="3"/>
      <c r="K2170" s="57">
        <f>IFERROR(__xludf.DUMMYFUNCTION("""COMPUTED_VALUE"""),3.45)</f>
        <v>3.45</v>
      </c>
      <c r="L2170" s="54">
        <f>IFERROR(__xludf.DUMMYFUNCTION("""COMPUTED_VALUE"""),29.0)</f>
        <v>29</v>
      </c>
      <c r="M2170" s="3">
        <f>IFERROR(__xludf.DUMMYFUNCTION("""COMPUTED_VALUE"""),107.0)</f>
        <v>107</v>
      </c>
      <c r="N2170" s="3"/>
      <c r="O2170" s="3"/>
      <c r="P2170" s="3"/>
      <c r="Q2170" s="3"/>
      <c r="R2170" s="3">
        <f>IFERROR(__xludf.DUMMYFUNCTION("""COMPUTED_VALUE"""),0.0)</f>
        <v>0</v>
      </c>
      <c r="S2170" s="3"/>
      <c r="T2170" s="5"/>
      <c r="U2170" s="5"/>
      <c r="V2170" s="5"/>
      <c r="W2170" s="5"/>
    </row>
    <row r="2171" ht="15.75" customHeight="1">
      <c r="A2171" s="3">
        <f>IFERROR(__xludf.DUMMYFUNCTION("""COMPUTED_VALUE"""),2171.0)</f>
        <v>2171</v>
      </c>
      <c r="B2171" s="53">
        <f>IFERROR(__xludf.DUMMYFUNCTION("""COMPUTED_VALUE"""),46120.0)</f>
        <v>46120</v>
      </c>
      <c r="C2171" s="3">
        <f>IFERROR(__xludf.DUMMYFUNCTION("""COMPUTED_VALUE"""),47.0)</f>
        <v>47</v>
      </c>
      <c r="D2171" s="3" t="str">
        <f>IFERROR(__xludf.DUMMYFUNCTION("""COMPUTED_VALUE"""),"5d1f812a")</f>
        <v>5d1f812a</v>
      </c>
      <c r="E2171" s="54">
        <f>IFERROR(__xludf.DUMMYFUNCTION("""COMPUTED_VALUE"""),20000.0)</f>
        <v>20000</v>
      </c>
      <c r="F2171" s="3" t="str">
        <f>IFERROR(__xludf.DUMMYFUNCTION("""COMPUTED_VALUE"""),"Chardonnay")</f>
        <v>Chardonnay</v>
      </c>
      <c r="G2171" s="3"/>
      <c r="H2171" s="3"/>
      <c r="I2171" s="3"/>
      <c r="J2171" s="3"/>
      <c r="K2171" s="57">
        <f>IFERROR(__xludf.DUMMYFUNCTION("""COMPUTED_VALUE"""),3.2)</f>
        <v>3.2</v>
      </c>
      <c r="L2171" s="54">
        <f>IFERROR(__xludf.DUMMYFUNCTION("""COMPUTED_VALUE"""),22.0)</f>
        <v>22</v>
      </c>
      <c r="M2171" s="3">
        <f>IFERROR(__xludf.DUMMYFUNCTION("""COMPUTED_VALUE"""),102.0)</f>
        <v>102</v>
      </c>
      <c r="N2171" s="3"/>
      <c r="O2171" s="3"/>
      <c r="P2171" s="3"/>
      <c r="Q2171" s="3"/>
      <c r="R2171" s="3">
        <f>IFERROR(__xludf.DUMMYFUNCTION("""COMPUTED_VALUE"""),0.0)</f>
        <v>0</v>
      </c>
      <c r="S2171" s="3"/>
      <c r="T2171" s="5"/>
      <c r="U2171" s="5"/>
      <c r="V2171" s="5"/>
      <c r="W2171" s="5"/>
    </row>
    <row r="2172" ht="15.75" customHeight="1">
      <c r="A2172" s="3">
        <f>IFERROR(__xludf.DUMMYFUNCTION("""COMPUTED_VALUE"""),2172.0)</f>
        <v>2172</v>
      </c>
      <c r="B2172" s="53">
        <f>IFERROR(__xludf.DUMMYFUNCTION("""COMPUTED_VALUE"""),46120.0)</f>
        <v>46120</v>
      </c>
      <c r="C2172" s="3">
        <f>IFERROR(__xludf.DUMMYFUNCTION("""COMPUTED_VALUE"""),44.0)</f>
        <v>44</v>
      </c>
      <c r="D2172" s="3" t="str">
        <f>IFERROR(__xludf.DUMMYFUNCTION("""COMPUTED_VALUE"""),"b4d0796a")</f>
        <v>b4d0796a</v>
      </c>
      <c r="E2172" s="54">
        <f>IFERROR(__xludf.DUMMYFUNCTION("""COMPUTED_VALUE"""),19100.0)</f>
        <v>19100</v>
      </c>
      <c r="F2172" s="3" t="str">
        <f>IFERROR(__xludf.DUMMYFUNCTION("""COMPUTED_VALUE"""),"Chardonnay")</f>
        <v>Chardonnay</v>
      </c>
      <c r="G2172" s="3"/>
      <c r="H2172" s="3"/>
      <c r="I2172" s="3"/>
      <c r="J2172" s="3"/>
      <c r="K2172" s="57">
        <f>IFERROR(__xludf.DUMMYFUNCTION("""COMPUTED_VALUE"""),3.31)</f>
        <v>3.31</v>
      </c>
      <c r="L2172" s="54">
        <f>IFERROR(__xludf.DUMMYFUNCTION("""COMPUTED_VALUE"""),29.0)</f>
        <v>29</v>
      </c>
      <c r="M2172" s="3">
        <f>IFERROR(__xludf.DUMMYFUNCTION("""COMPUTED_VALUE"""),150.0)</f>
        <v>150</v>
      </c>
      <c r="N2172" s="3"/>
      <c r="O2172" s="3"/>
      <c r="P2172" s="3"/>
      <c r="Q2172" s="3"/>
      <c r="R2172" s="3">
        <f>IFERROR(__xludf.DUMMYFUNCTION("""COMPUTED_VALUE"""),0.0)</f>
        <v>0</v>
      </c>
      <c r="S2172" s="3"/>
      <c r="T2172" s="5"/>
      <c r="U2172" s="5"/>
      <c r="V2172" s="5"/>
      <c r="W2172" s="5"/>
    </row>
    <row r="2173" ht="15.75" customHeight="1">
      <c r="A2173" s="3">
        <f>IFERROR(__xludf.DUMMYFUNCTION("""COMPUTED_VALUE"""),2173.0)</f>
        <v>2173</v>
      </c>
      <c r="B2173" s="53">
        <f>IFERROR(__xludf.DUMMYFUNCTION("""COMPUTED_VALUE"""),46120.0)</f>
        <v>46120</v>
      </c>
      <c r="C2173" s="3">
        <f>IFERROR(__xludf.DUMMYFUNCTION("""COMPUTED_VALUE"""),49.0)</f>
        <v>49</v>
      </c>
      <c r="D2173" s="3" t="str">
        <f>IFERROR(__xludf.DUMMYFUNCTION("""COMPUTED_VALUE"""),"f2237628")</f>
        <v>f2237628</v>
      </c>
      <c r="E2173" s="54">
        <f>IFERROR(__xludf.DUMMYFUNCTION("""COMPUTED_VALUE"""),26000.0)</f>
        <v>26000</v>
      </c>
      <c r="F2173" s="3" t="str">
        <f>IFERROR(__xludf.DUMMYFUNCTION("""COMPUTED_VALUE"""),"Chardonnay")</f>
        <v>Chardonnay</v>
      </c>
      <c r="G2173" s="3"/>
      <c r="H2173" s="3"/>
      <c r="I2173" s="3"/>
      <c r="J2173" s="3"/>
      <c r="K2173" s="57">
        <f>IFERROR(__xludf.DUMMYFUNCTION("""COMPUTED_VALUE"""),3.35)</f>
        <v>3.35</v>
      </c>
      <c r="L2173" s="54">
        <f>IFERROR(__xludf.DUMMYFUNCTION("""COMPUTED_VALUE"""),29.0)</f>
        <v>29</v>
      </c>
      <c r="M2173" s="3">
        <f>IFERROR(__xludf.DUMMYFUNCTION("""COMPUTED_VALUE"""),115.0)</f>
        <v>115</v>
      </c>
      <c r="N2173" s="3"/>
      <c r="O2173" s="3"/>
      <c r="P2173" s="3"/>
      <c r="Q2173" s="3"/>
      <c r="R2173" s="3">
        <f>IFERROR(__xludf.DUMMYFUNCTION("""COMPUTED_VALUE"""),0.0)</f>
        <v>0</v>
      </c>
      <c r="S2173" s="3"/>
      <c r="T2173" s="5"/>
      <c r="U2173" s="5"/>
      <c r="V2173" s="5"/>
      <c r="W2173" s="5"/>
    </row>
    <row r="2174" ht="15.75" customHeight="1">
      <c r="A2174" s="3">
        <f>IFERROR(__xludf.DUMMYFUNCTION("""COMPUTED_VALUE"""),2174.0)</f>
        <v>2174</v>
      </c>
      <c r="B2174" s="53">
        <f>IFERROR(__xludf.DUMMYFUNCTION("""COMPUTED_VALUE"""),46120.0)</f>
        <v>46120</v>
      </c>
      <c r="C2174" s="3">
        <f>IFERROR(__xludf.DUMMYFUNCTION("""COMPUTED_VALUE"""),40.0)</f>
        <v>40</v>
      </c>
      <c r="D2174" s="3" t="str">
        <f>IFERROR(__xludf.DUMMYFUNCTION("""COMPUTED_VALUE"""),"964bb1ba")</f>
        <v>964bb1ba</v>
      </c>
      <c r="E2174" s="54">
        <f>IFERROR(__xludf.DUMMYFUNCTION("""COMPUTED_VALUE"""),24000.0)</f>
        <v>24000</v>
      </c>
      <c r="F2174" s="3" t="str">
        <f>IFERROR(__xludf.DUMMYFUNCTION("""COMPUTED_VALUE"""),"Chardonnay")</f>
        <v>Chardonnay</v>
      </c>
      <c r="G2174" s="3"/>
      <c r="H2174" s="3"/>
      <c r="I2174" s="3"/>
      <c r="J2174" s="3"/>
      <c r="K2174" s="57">
        <f>IFERROR(__xludf.DUMMYFUNCTION("""COMPUTED_VALUE"""),3.39)</f>
        <v>3.39</v>
      </c>
      <c r="L2174" s="54">
        <f>IFERROR(__xludf.DUMMYFUNCTION("""COMPUTED_VALUE"""),31.0)</f>
        <v>31</v>
      </c>
      <c r="M2174" s="3">
        <f>IFERROR(__xludf.DUMMYFUNCTION("""COMPUTED_VALUE"""),107.0)</f>
        <v>107</v>
      </c>
      <c r="N2174" s="3"/>
      <c r="O2174" s="3"/>
      <c r="P2174" s="3"/>
      <c r="Q2174" s="3"/>
      <c r="R2174" s="3">
        <f>IFERROR(__xludf.DUMMYFUNCTION("""COMPUTED_VALUE"""),0.0)</f>
        <v>0</v>
      </c>
      <c r="S2174" s="3"/>
      <c r="T2174" s="5"/>
      <c r="U2174" s="5"/>
      <c r="V2174" s="5"/>
      <c r="W2174" s="5"/>
    </row>
    <row r="2175" ht="15.75" customHeight="1">
      <c r="A2175" s="3">
        <f>IFERROR(__xludf.DUMMYFUNCTION("""COMPUTED_VALUE"""),2175.0)</f>
        <v>2175</v>
      </c>
      <c r="B2175" s="53">
        <f>IFERROR(__xludf.DUMMYFUNCTION("""COMPUTED_VALUE"""),46120.0)</f>
        <v>46120</v>
      </c>
      <c r="C2175" s="3">
        <f>IFERROR(__xludf.DUMMYFUNCTION("""COMPUTED_VALUE"""),52.0)</f>
        <v>52</v>
      </c>
      <c r="D2175" s="3" t="str">
        <f>IFERROR(__xludf.DUMMYFUNCTION("""COMPUTED_VALUE"""),"057306c8")</f>
        <v>057306c8</v>
      </c>
      <c r="E2175" s="54">
        <f>IFERROR(__xludf.DUMMYFUNCTION("""COMPUTED_VALUE"""),27000.0)</f>
        <v>27000</v>
      </c>
      <c r="F2175" s="3" t="str">
        <f>IFERROR(__xludf.DUMMYFUNCTION("""COMPUTED_VALUE"""),"Chardonnay")</f>
        <v>Chardonnay</v>
      </c>
      <c r="G2175" s="3"/>
      <c r="H2175" s="3"/>
      <c r="I2175" s="3"/>
      <c r="J2175" s="3"/>
      <c r="K2175" s="57">
        <f>IFERROR(__xludf.DUMMYFUNCTION("""COMPUTED_VALUE"""),3.48)</f>
        <v>3.48</v>
      </c>
      <c r="L2175" s="54">
        <f>IFERROR(__xludf.DUMMYFUNCTION("""COMPUTED_VALUE"""),27.0)</f>
        <v>27</v>
      </c>
      <c r="M2175" s="3">
        <f>IFERROR(__xludf.DUMMYFUNCTION("""COMPUTED_VALUE"""),106.0)</f>
        <v>106</v>
      </c>
      <c r="N2175" s="3"/>
      <c r="O2175" s="3"/>
      <c r="P2175" s="3"/>
      <c r="Q2175" s="3"/>
      <c r="R2175" s="3">
        <f>IFERROR(__xludf.DUMMYFUNCTION("""COMPUTED_VALUE"""),0.0)</f>
        <v>0</v>
      </c>
      <c r="S2175" s="3"/>
      <c r="T2175" s="5"/>
      <c r="U2175" s="5"/>
      <c r="V2175" s="5"/>
      <c r="W2175" s="5"/>
    </row>
    <row r="2176" ht="15.75" customHeight="1">
      <c r="A2176" s="3">
        <f>IFERROR(__xludf.DUMMYFUNCTION("""COMPUTED_VALUE"""),2176.0)</f>
        <v>2176</v>
      </c>
      <c r="B2176" s="53">
        <f>IFERROR(__xludf.DUMMYFUNCTION("""COMPUTED_VALUE"""),46120.0)</f>
        <v>46120</v>
      </c>
      <c r="C2176" s="3">
        <f>IFERROR(__xludf.DUMMYFUNCTION("""COMPUTED_VALUE"""),30.0)</f>
        <v>30</v>
      </c>
      <c r="D2176" s="3" t="str">
        <f>IFERROR(__xludf.DUMMYFUNCTION("""COMPUTED_VALUE"""),"0432aaa0")</f>
        <v>0432aaa0</v>
      </c>
      <c r="E2176" s="54">
        <f>IFERROR(__xludf.DUMMYFUNCTION("""COMPUTED_VALUE"""),38800.0)</f>
        <v>38800</v>
      </c>
      <c r="F2176" s="3" t="str">
        <f>IFERROR(__xludf.DUMMYFUNCTION("""COMPUTED_VALUE"""),"Chardonnay Ch")</f>
        <v>Chardonnay Ch</v>
      </c>
      <c r="G2176" s="3"/>
      <c r="H2176" s="3"/>
      <c r="I2176" s="3"/>
      <c r="J2176" s="3"/>
      <c r="K2176" s="57">
        <f>IFERROR(__xludf.DUMMYFUNCTION("""COMPUTED_VALUE"""),3.36)</f>
        <v>3.36</v>
      </c>
      <c r="L2176" s="54">
        <f>IFERROR(__xludf.DUMMYFUNCTION("""COMPUTED_VALUE"""),19.0)</f>
        <v>19</v>
      </c>
      <c r="M2176" s="3">
        <f>IFERROR(__xludf.DUMMYFUNCTION("""COMPUTED_VALUE"""),87.0)</f>
        <v>87</v>
      </c>
      <c r="N2176" s="3"/>
      <c r="O2176" s="3"/>
      <c r="P2176" s="3"/>
      <c r="Q2176" s="3"/>
      <c r="R2176" s="3">
        <f>IFERROR(__xludf.DUMMYFUNCTION("""COMPUTED_VALUE"""),0.0)</f>
        <v>0</v>
      </c>
      <c r="S2176" s="3"/>
      <c r="T2176" s="5"/>
      <c r="U2176" s="5"/>
      <c r="V2176" s="5"/>
      <c r="W2176" s="5"/>
    </row>
    <row r="2177" ht="15.75" customHeight="1">
      <c r="A2177" s="3">
        <f>IFERROR(__xludf.DUMMYFUNCTION("""COMPUTED_VALUE"""),2177.0)</f>
        <v>2177</v>
      </c>
      <c r="B2177" s="53">
        <f>IFERROR(__xludf.DUMMYFUNCTION("""COMPUTED_VALUE"""),46120.0)</f>
        <v>46120</v>
      </c>
      <c r="C2177" s="3">
        <f>IFERROR(__xludf.DUMMYFUNCTION("""COMPUTED_VALUE"""),72.0)</f>
        <v>72</v>
      </c>
      <c r="D2177" s="3" t="str">
        <f>IFERROR(__xludf.DUMMYFUNCTION("""COMPUTED_VALUE"""),"d0f8eef2")</f>
        <v>d0f8eef2</v>
      </c>
      <c r="E2177" s="54">
        <f>IFERROR(__xludf.DUMMYFUNCTION("""COMPUTED_VALUE"""),9200.0)</f>
        <v>9200</v>
      </c>
      <c r="F2177" s="3" t="str">
        <f>IFERROR(__xludf.DUMMYFUNCTION("""COMPUTED_VALUE"""),"Chardonnay Oak")</f>
        <v>Chardonnay Oak</v>
      </c>
      <c r="G2177" s="3"/>
      <c r="H2177" s="3"/>
      <c r="I2177" s="3"/>
      <c r="J2177" s="3"/>
      <c r="K2177" s="57">
        <f>IFERROR(__xludf.DUMMYFUNCTION("""COMPUTED_VALUE"""),3.35)</f>
        <v>3.35</v>
      </c>
      <c r="L2177" s="54">
        <f>IFERROR(__xludf.DUMMYFUNCTION("""COMPUTED_VALUE"""),32.0)</f>
        <v>32</v>
      </c>
      <c r="M2177" s="3">
        <f>IFERROR(__xludf.DUMMYFUNCTION("""COMPUTED_VALUE"""),125.0)</f>
        <v>125</v>
      </c>
      <c r="N2177" s="3"/>
      <c r="O2177" s="3"/>
      <c r="P2177" s="3"/>
      <c r="Q2177" s="3"/>
      <c r="R2177" s="3">
        <f>IFERROR(__xludf.DUMMYFUNCTION("""COMPUTED_VALUE"""),0.0)</f>
        <v>0</v>
      </c>
      <c r="S2177" s="3"/>
      <c r="T2177" s="5"/>
      <c r="U2177" s="5"/>
      <c r="V2177" s="5"/>
      <c r="W2177" s="5"/>
    </row>
    <row r="2178" ht="15.75" customHeight="1">
      <c r="A2178" s="3">
        <f>IFERROR(__xludf.DUMMYFUNCTION("""COMPUTED_VALUE"""),2178.0)</f>
        <v>2178</v>
      </c>
      <c r="B2178" s="53">
        <f>IFERROR(__xludf.DUMMYFUNCTION("""COMPUTED_VALUE"""),46120.0)</f>
        <v>46120</v>
      </c>
      <c r="C2178" s="3">
        <f>IFERROR(__xludf.DUMMYFUNCTION("""COMPUTED_VALUE"""),48.0)</f>
        <v>48</v>
      </c>
      <c r="D2178" s="3" t="str">
        <f>IFERROR(__xludf.DUMMYFUNCTION("""COMPUTED_VALUE"""),"7cb704de")</f>
        <v>7cb704de</v>
      </c>
      <c r="E2178" s="54">
        <f>IFERROR(__xludf.DUMMYFUNCTION("""COMPUTED_VALUE"""),26000.0)</f>
        <v>26000</v>
      </c>
      <c r="F2178" s="3" t="str">
        <f>IFERROR(__xludf.DUMMYFUNCTION("""COMPUTED_VALUE"""),"Torrontes Viog")</f>
        <v>Torrontes Viog</v>
      </c>
      <c r="G2178" s="3"/>
      <c r="H2178" s="3"/>
      <c r="I2178" s="3"/>
      <c r="J2178" s="3"/>
      <c r="K2178" s="57">
        <f>IFERROR(__xludf.DUMMYFUNCTION("""COMPUTED_VALUE"""),3.39)</f>
        <v>3.39</v>
      </c>
      <c r="L2178" s="54">
        <f>IFERROR(__xludf.DUMMYFUNCTION("""COMPUTED_VALUE"""),23.0)</f>
        <v>23</v>
      </c>
      <c r="M2178" s="3">
        <f>IFERROR(__xludf.DUMMYFUNCTION("""COMPUTED_VALUE"""),102.0)</f>
        <v>102</v>
      </c>
      <c r="N2178" s="3"/>
      <c r="O2178" s="3"/>
      <c r="P2178" s="3"/>
      <c r="Q2178" s="3"/>
      <c r="R2178" s="3">
        <f>IFERROR(__xludf.DUMMYFUNCTION("""COMPUTED_VALUE"""),0.0)</f>
        <v>0</v>
      </c>
      <c r="S2178" s="3"/>
      <c r="T2178" s="5"/>
      <c r="U2178" s="5"/>
      <c r="V2178" s="5"/>
      <c r="W2178" s="5"/>
    </row>
    <row r="2179" ht="15.75" customHeight="1">
      <c r="A2179" s="3">
        <f>IFERROR(__xludf.DUMMYFUNCTION("""COMPUTED_VALUE"""),2179.0)</f>
        <v>2179</v>
      </c>
      <c r="B2179" s="3"/>
      <c r="C2179" s="3">
        <f>IFERROR(__xludf.DUMMYFUNCTION("""COMPUTED_VALUE"""),51.0)</f>
        <v>51</v>
      </c>
      <c r="D2179" s="3" t="str">
        <f>IFERROR(__xludf.DUMMYFUNCTION("""COMPUTED_VALUE"""),"239e649e")</f>
        <v>239e649e</v>
      </c>
      <c r="E2179" s="54">
        <f>IFERROR(__xludf.DUMMYFUNCTION("""COMPUTED_VALUE"""),3900.0)</f>
        <v>3900</v>
      </c>
      <c r="F2179" s="3" t="str">
        <f>IFERROR(__xludf.DUMMYFUNCTION("""COMPUTED_VALUE"""),"Chardonnay")</f>
        <v>Chardonnay</v>
      </c>
      <c r="G2179" s="3"/>
      <c r="H2179" s="3"/>
      <c r="I2179" s="3"/>
      <c r="J2179" s="3"/>
      <c r="K2179" s="57">
        <f>IFERROR(__xludf.DUMMYFUNCTION("""COMPUTED_VALUE"""),3.27)</f>
        <v>3.27</v>
      </c>
      <c r="L2179" s="54">
        <f>IFERROR(__xludf.DUMMYFUNCTION("""COMPUTED_VALUE"""),12.0)</f>
        <v>12</v>
      </c>
      <c r="M2179" s="3">
        <f>IFERROR(__xludf.DUMMYFUNCTION("""COMPUTED_VALUE"""),90.0)</f>
        <v>90</v>
      </c>
      <c r="N2179" s="3"/>
      <c r="O2179" s="3"/>
      <c r="P2179" s="3"/>
      <c r="Q2179" s="3"/>
      <c r="R2179" s="3">
        <f>IFERROR(__xludf.DUMMYFUNCTION("""COMPUTED_VALUE"""),0.0)</f>
        <v>0</v>
      </c>
      <c r="S2179" s="3"/>
      <c r="T2179" s="5"/>
      <c r="U2179" s="5"/>
      <c r="V2179" s="5"/>
      <c r="W2179" s="5"/>
    </row>
    <row r="2180" ht="15.75" customHeight="1">
      <c r="A2180" s="3">
        <f>IFERROR(__xludf.DUMMYFUNCTION("""COMPUTED_VALUE"""),2180.0)</f>
        <v>2180</v>
      </c>
      <c r="B2180" s="53">
        <f>IFERROR(__xludf.DUMMYFUNCTION("""COMPUTED_VALUE"""),46121.0)</f>
        <v>46121</v>
      </c>
      <c r="C2180" s="3">
        <f>IFERROR(__xludf.DUMMYFUNCTION("""COMPUTED_VALUE"""),86.0)</f>
        <v>86</v>
      </c>
      <c r="D2180" s="3" t="str">
        <f>IFERROR(__xludf.DUMMYFUNCTION("""COMPUTED_VALUE"""),"b601078c")</f>
        <v>b601078c</v>
      </c>
      <c r="E2180" s="54">
        <f>IFERROR(__xludf.DUMMYFUNCTION("""COMPUTED_VALUE"""),1000.0)</f>
        <v>1000</v>
      </c>
      <c r="F2180" s="3" t="str">
        <f>IFERROR(__xludf.DUMMYFUNCTION("""COMPUTED_VALUE"""),"Bonarda")</f>
        <v>Bonarda</v>
      </c>
      <c r="G2180" s="3"/>
      <c r="H2180" s="56">
        <f>IFERROR(__xludf.DUMMYFUNCTION("""COMPUTED_VALUE"""),220.0)</f>
        <v>220</v>
      </c>
      <c r="I2180" s="3"/>
      <c r="J2180" s="3"/>
      <c r="K2180" s="57">
        <f>IFERROR(__xludf.DUMMYFUNCTION("""COMPUTED_VALUE"""),3.89)</f>
        <v>3.89</v>
      </c>
      <c r="L2180" s="54">
        <f>IFERROR(__xludf.DUMMYFUNCTION("""COMPUTED_VALUE"""),15.0)</f>
        <v>15</v>
      </c>
      <c r="M2180" s="3">
        <f>IFERROR(__xludf.DUMMYFUNCTION("""COMPUTED_VALUE"""),50.0)</f>
        <v>50</v>
      </c>
      <c r="N2180" s="3"/>
      <c r="O2180" s="3"/>
      <c r="P2180" s="3"/>
      <c r="Q2180" s="3"/>
      <c r="R2180" s="3">
        <f>IFERROR(__xludf.DUMMYFUNCTION("""COMPUTED_VALUE"""),0.0)</f>
        <v>0</v>
      </c>
      <c r="S2180" s="3"/>
      <c r="T2180" s="5"/>
      <c r="U2180" s="5"/>
      <c r="V2180" s="5"/>
      <c r="W2180" s="5"/>
    </row>
    <row r="2181" ht="15.75" customHeight="1">
      <c r="A2181" s="3">
        <f>IFERROR(__xludf.DUMMYFUNCTION("""COMPUTED_VALUE"""),2181.0)</f>
        <v>2181</v>
      </c>
      <c r="B2181" s="53">
        <f>IFERROR(__xludf.DUMMYFUNCTION("""COMPUTED_VALUE"""),46121.0)</f>
        <v>46121</v>
      </c>
      <c r="C2181" s="3">
        <f>IFERROR(__xludf.DUMMYFUNCTION("""COMPUTED_VALUE"""),96.0)</f>
        <v>96</v>
      </c>
      <c r="D2181" s="3" t="str">
        <f>IFERROR(__xludf.DUMMYFUNCTION("""COMPUTED_VALUE"""),"a2de3afc")</f>
        <v>a2de3afc</v>
      </c>
      <c r="E2181" s="54">
        <f>IFERROR(__xludf.DUMMYFUNCTION("""COMPUTED_VALUE"""),46000.0)</f>
        <v>46000</v>
      </c>
      <c r="F2181" s="3" t="str">
        <f>IFERROR(__xludf.DUMMYFUNCTION("""COMPUTED_VALUE"""),"Bonarda NV - Cabernet Sau PC")</f>
        <v>Bonarda NV - Cabernet Sau PC</v>
      </c>
      <c r="G2181" s="3"/>
      <c r="H2181" s="56">
        <f>IFERROR(__xludf.DUMMYFUNCTION("""COMPUTED_VALUE"""),4.26)</f>
        <v>4.26</v>
      </c>
      <c r="I2181" s="3"/>
      <c r="J2181" s="3"/>
      <c r="K2181" s="57">
        <f>IFERROR(__xludf.DUMMYFUNCTION("""COMPUTED_VALUE"""),3.96)</f>
        <v>3.96</v>
      </c>
      <c r="L2181" s="3"/>
      <c r="M2181" s="3"/>
      <c r="N2181" s="3"/>
      <c r="O2181" s="3"/>
      <c r="P2181" s="3"/>
      <c r="Q2181" s="3"/>
      <c r="R2181" s="3">
        <f>IFERROR(__xludf.DUMMYFUNCTION("""COMPUTED_VALUE"""),0.0)</f>
        <v>0</v>
      </c>
      <c r="S2181" s="3"/>
      <c r="T2181" s="5"/>
      <c r="U2181" s="5"/>
      <c r="V2181" s="5"/>
      <c r="W2181" s="5"/>
    </row>
    <row r="2182" ht="15.75" customHeight="1">
      <c r="A2182" s="3">
        <f>IFERROR(__xludf.DUMMYFUNCTION("""COMPUTED_VALUE"""),2182.0)</f>
        <v>2182</v>
      </c>
      <c r="B2182" s="53">
        <f>IFERROR(__xludf.DUMMYFUNCTION("""COMPUTED_VALUE"""),46121.0)</f>
        <v>46121</v>
      </c>
      <c r="C2182" s="3">
        <f>IFERROR(__xludf.DUMMYFUNCTION("""COMPUTED_VALUE"""),85.0)</f>
        <v>85</v>
      </c>
      <c r="D2182" s="3" t="str">
        <f>IFERROR(__xludf.DUMMYFUNCTION("""COMPUTED_VALUE"""),"9dafdb04")</f>
        <v>9dafdb04</v>
      </c>
      <c r="E2182" s="54">
        <f>IFERROR(__xludf.DUMMYFUNCTION("""COMPUTED_VALUE"""),38000.0)</f>
        <v>38000</v>
      </c>
      <c r="F2182" s="3" t="str">
        <f>IFERROR(__xludf.DUMMYFUNCTION("""COMPUTED_VALUE"""),"Bonarda")</f>
        <v>Bonarda</v>
      </c>
      <c r="G2182" s="3"/>
      <c r="H2182" s="56">
        <f>IFERROR(__xludf.DUMMYFUNCTION("""COMPUTED_VALUE"""),2.0)</f>
        <v>2</v>
      </c>
      <c r="I2182" s="3"/>
      <c r="J2182" s="3"/>
      <c r="K2182" s="57">
        <f>IFERROR(__xludf.DUMMYFUNCTION("""COMPUTED_VALUE"""),3.74)</f>
        <v>3.74</v>
      </c>
      <c r="L2182" s="3"/>
      <c r="M2182" s="3"/>
      <c r="N2182" s="3"/>
      <c r="O2182" s="3"/>
      <c r="P2182" s="3"/>
      <c r="Q2182" s="3"/>
      <c r="R2182" s="3">
        <f>IFERROR(__xludf.DUMMYFUNCTION("""COMPUTED_VALUE"""),0.0)</f>
        <v>0</v>
      </c>
      <c r="S2182" s="3"/>
      <c r="T2182" s="5"/>
      <c r="U2182" s="5"/>
      <c r="V2182" s="5"/>
      <c r="W2182" s="5"/>
    </row>
    <row r="2183" ht="15.75" customHeight="1">
      <c r="A2183" s="3">
        <f>IFERROR(__xludf.DUMMYFUNCTION("""COMPUTED_VALUE"""),2183.0)</f>
        <v>2183</v>
      </c>
      <c r="B2183" s="53">
        <f>IFERROR(__xludf.DUMMYFUNCTION("""COMPUTED_VALUE"""),46121.0)</f>
        <v>46121</v>
      </c>
      <c r="C2183" s="3">
        <f>IFERROR(__xludf.DUMMYFUNCTION("""COMPUTED_VALUE"""),66.0)</f>
        <v>66</v>
      </c>
      <c r="D2183" s="3" t="str">
        <f>IFERROR(__xludf.DUMMYFUNCTION("""COMPUTED_VALUE"""),"d381a136")</f>
        <v>d381a136</v>
      </c>
      <c r="E2183" s="54">
        <f>IFERROR(__xludf.DUMMYFUNCTION("""COMPUTED_VALUE"""),18800.0)</f>
        <v>18800</v>
      </c>
      <c r="F2183" s="3" t="str">
        <f>IFERROR(__xludf.DUMMYFUNCTION("""COMPUTED_VALUE"""),"Malbec PC")</f>
        <v>Malbec PC</v>
      </c>
      <c r="G2183" s="3"/>
      <c r="H2183" s="56">
        <f>IFERROR(__xludf.DUMMYFUNCTION("""COMPUTED_VALUE"""),2.0)</f>
        <v>2</v>
      </c>
      <c r="I2183" s="3"/>
      <c r="J2183" s="3"/>
      <c r="K2183" s="57">
        <f>IFERROR(__xludf.DUMMYFUNCTION("""COMPUTED_VALUE"""),3.92)</f>
        <v>3.92</v>
      </c>
      <c r="L2183" s="3"/>
      <c r="M2183" s="3"/>
      <c r="N2183" s="3"/>
      <c r="O2183" s="3"/>
      <c r="P2183" s="3"/>
      <c r="Q2183" s="3"/>
      <c r="R2183" s="3">
        <f>IFERROR(__xludf.DUMMYFUNCTION("""COMPUTED_VALUE"""),0.0)</f>
        <v>0</v>
      </c>
      <c r="S2183" s="3"/>
      <c r="T2183" s="5"/>
      <c r="U2183" s="5"/>
      <c r="V2183" s="5"/>
      <c r="W2183" s="5"/>
    </row>
    <row r="2184" ht="15.75" customHeight="1">
      <c r="A2184" s="3">
        <f>IFERROR(__xludf.DUMMYFUNCTION("""COMPUTED_VALUE"""),2184.0)</f>
        <v>2184</v>
      </c>
      <c r="B2184" s="53">
        <f>IFERROR(__xludf.DUMMYFUNCTION("""COMPUTED_VALUE"""),46121.0)</f>
        <v>46121</v>
      </c>
      <c r="C2184" s="3">
        <f>IFERROR(__xludf.DUMMYFUNCTION("""COMPUTED_VALUE"""),118.0)</f>
        <v>118</v>
      </c>
      <c r="D2184" s="3" t="str">
        <f>IFERROR(__xludf.DUMMYFUNCTION("""COMPUTED_VALUE"""),"0cee4951")</f>
        <v>0cee4951</v>
      </c>
      <c r="E2184" s="54">
        <f>IFERROR(__xludf.DUMMYFUNCTION("""COMPUTED_VALUE"""),155600.0)</f>
        <v>155600</v>
      </c>
      <c r="F2184" s="3" t="str">
        <f>IFERROR(__xludf.DUMMYFUNCTION("""COMPUTED_VALUE"""),"Syrah Temp")</f>
        <v>Syrah Temp</v>
      </c>
      <c r="G2184" s="3"/>
      <c r="H2184" s="3"/>
      <c r="I2184" s="3"/>
      <c r="J2184" s="3"/>
      <c r="K2184" s="57">
        <f>IFERROR(__xludf.DUMMYFUNCTION("""COMPUTED_VALUE"""),3.76)</f>
        <v>3.76</v>
      </c>
      <c r="L2184" s="3"/>
      <c r="M2184" s="3"/>
      <c r="N2184" s="3"/>
      <c r="O2184" s="3">
        <f>IFERROR(__xludf.DUMMYFUNCTION("""COMPUTED_VALUE"""),351.0)</f>
        <v>351</v>
      </c>
      <c r="P2184" s="3">
        <f>IFERROR(__xludf.DUMMYFUNCTION("""COMPUTED_VALUE"""),575.0)</f>
        <v>575</v>
      </c>
      <c r="Q2184" s="3"/>
      <c r="R2184" s="3">
        <f>IFERROR(__xludf.DUMMYFUNCTION("""COMPUTED_VALUE"""),926.0)</f>
        <v>926</v>
      </c>
      <c r="S2184" s="54">
        <f>IFERROR(__xludf.DUMMYFUNCTION("""COMPUTED_VALUE"""),1516.951566951567)</f>
        <v>1516.951567</v>
      </c>
      <c r="T2184" s="5"/>
      <c r="U2184" s="5"/>
      <c r="V2184" s="5"/>
      <c r="W2184" s="5"/>
    </row>
    <row r="2185" ht="15.75" customHeight="1">
      <c r="A2185" s="3">
        <f>IFERROR(__xludf.DUMMYFUNCTION("""COMPUTED_VALUE"""),2185.0)</f>
        <v>2185</v>
      </c>
      <c r="B2185" s="53">
        <f>IFERROR(__xludf.DUMMYFUNCTION("""COMPUTED_VALUE"""),46121.0)</f>
        <v>46121</v>
      </c>
      <c r="C2185" s="3">
        <f>IFERROR(__xludf.DUMMYFUNCTION("""COMPUTED_VALUE"""),34.0)</f>
        <v>34</v>
      </c>
      <c r="D2185" s="3" t="str">
        <f>IFERROR(__xludf.DUMMYFUNCTION("""COMPUTED_VALUE"""),"feffca11")</f>
        <v>feffca11</v>
      </c>
      <c r="E2185" s="54">
        <f>IFERROR(__xludf.DUMMYFUNCTION("""COMPUTED_VALUE"""),24020.0)</f>
        <v>24020</v>
      </c>
      <c r="F2185" s="3" t="str">
        <f>IFERROR(__xludf.DUMMYFUNCTION("""COMPUTED_VALUE"""),"Criolla")</f>
        <v>Criolla</v>
      </c>
      <c r="G2185" s="3"/>
      <c r="H2185" s="3"/>
      <c r="I2185" s="3"/>
      <c r="J2185" s="3"/>
      <c r="K2185" s="57">
        <f>IFERROR(__xludf.DUMMYFUNCTION("""COMPUTED_VALUE"""),3.29)</f>
        <v>3.29</v>
      </c>
      <c r="L2185" s="3"/>
      <c r="M2185" s="3"/>
      <c r="N2185" s="3"/>
      <c r="O2185" s="3"/>
      <c r="P2185" s="3"/>
      <c r="Q2185" s="3"/>
      <c r="R2185" s="3">
        <f>IFERROR(__xludf.DUMMYFUNCTION("""COMPUTED_VALUE"""),0.0)</f>
        <v>0</v>
      </c>
      <c r="S2185" s="3"/>
      <c r="T2185" s="5"/>
      <c r="U2185" s="5"/>
      <c r="V2185" s="5"/>
      <c r="W2185" s="5"/>
    </row>
    <row r="2186" ht="15.75" customHeight="1">
      <c r="A2186" s="3">
        <f>IFERROR(__xludf.DUMMYFUNCTION("""COMPUTED_VALUE"""),2186.0)</f>
        <v>2186</v>
      </c>
      <c r="B2186" s="53">
        <f>IFERROR(__xludf.DUMMYFUNCTION("""COMPUTED_VALUE"""),46120.0)</f>
        <v>46120</v>
      </c>
      <c r="C2186" s="3">
        <f>IFERROR(__xludf.DUMMYFUNCTION("""COMPUTED_VALUE"""),5.0)</f>
        <v>5</v>
      </c>
      <c r="D2186" s="3" t="str">
        <f>IFERROR(__xludf.DUMMYFUNCTION("""COMPUTED_VALUE"""),"13d2ef6f")</f>
        <v>13d2ef6f</v>
      </c>
      <c r="E2186" s="54">
        <f>IFERROR(__xludf.DUMMYFUNCTION("""COMPUTED_VALUE"""),30000.0)</f>
        <v>30000</v>
      </c>
      <c r="F2186" s="3" t="str">
        <f>IFERROR(__xludf.DUMMYFUNCTION("""COMPUTED_VALUE"""),"Syrah")</f>
        <v>Syrah</v>
      </c>
      <c r="G2186" s="55">
        <f>IFERROR(__xludf.DUMMYFUNCTION("""COMPUTED_VALUE"""),13.9)</f>
        <v>13.9</v>
      </c>
      <c r="H2186" s="56">
        <f>IFERROR(__xludf.DUMMYFUNCTION("""COMPUTED_VALUE"""),2.8)</f>
        <v>2.8</v>
      </c>
      <c r="I2186" s="57">
        <f>IFERROR(__xludf.DUMMYFUNCTION("""COMPUTED_VALUE"""),0.38)</f>
        <v>0.38</v>
      </c>
      <c r="J2186" s="57">
        <f>IFERROR(__xludf.DUMMYFUNCTION("""COMPUTED_VALUE"""),5.88)</f>
        <v>5.88</v>
      </c>
      <c r="K2186" s="3"/>
      <c r="L2186" s="3"/>
      <c r="M2186" s="3"/>
      <c r="N2186" s="3"/>
      <c r="O2186" s="3"/>
      <c r="P2186" s="3"/>
      <c r="Q2186" s="3"/>
      <c r="R2186" s="3">
        <f>IFERROR(__xludf.DUMMYFUNCTION("""COMPUTED_VALUE"""),0.0)</f>
        <v>0</v>
      </c>
      <c r="S2186" s="3"/>
      <c r="T2186" s="5"/>
      <c r="U2186" s="5"/>
      <c r="V2186" s="5"/>
      <c r="W2186" s="5" t="str">
        <f>IFERROR(__xludf.DUMMYFUNCTION("""COMPUTED_VALUE"""),"Simon")</f>
        <v>Simon</v>
      </c>
    </row>
    <row r="2187" ht="15.75" customHeight="1">
      <c r="A2187" s="3">
        <f>IFERROR(__xludf.DUMMYFUNCTION("""COMPUTED_VALUE"""),2187.0)</f>
        <v>2187</v>
      </c>
      <c r="B2187" s="53">
        <f>IFERROR(__xludf.DUMMYFUNCTION("""COMPUTED_VALUE"""),46120.0)</f>
        <v>46120</v>
      </c>
      <c r="C2187" s="3">
        <f>IFERROR(__xludf.DUMMYFUNCTION("""COMPUTED_VALUE"""),15.0)</f>
        <v>15</v>
      </c>
      <c r="D2187" s="3" t="str">
        <f>IFERROR(__xludf.DUMMYFUNCTION("""COMPUTED_VALUE"""),"22490f6b")</f>
        <v>22490f6b</v>
      </c>
      <c r="E2187" s="54">
        <f>IFERROR(__xludf.DUMMYFUNCTION("""COMPUTED_VALUE"""),36500.0)</f>
        <v>36500</v>
      </c>
      <c r="F2187" s="3" t="str">
        <f>IFERROR(__xludf.DUMMYFUNCTION("""COMPUTED_VALUE"""),"Cabernet Sauv G")</f>
        <v>Cabernet Sauv G</v>
      </c>
      <c r="G2187" s="55">
        <f>IFERROR(__xludf.DUMMYFUNCTION("""COMPUTED_VALUE"""),13.9)</f>
        <v>13.9</v>
      </c>
      <c r="H2187" s="56">
        <f>IFERROR(__xludf.DUMMYFUNCTION("""COMPUTED_VALUE"""),2.25)</f>
        <v>2.25</v>
      </c>
      <c r="I2187" s="57">
        <f>IFERROR(__xludf.DUMMYFUNCTION("""COMPUTED_VALUE"""),0.44)</f>
        <v>0.44</v>
      </c>
      <c r="J2187" s="57">
        <f>IFERROR(__xludf.DUMMYFUNCTION("""COMPUTED_VALUE"""),5.4)</f>
        <v>5.4</v>
      </c>
      <c r="K2187" s="3"/>
      <c r="L2187" s="3"/>
      <c r="M2187" s="3"/>
      <c r="N2187" s="3"/>
      <c r="O2187" s="3"/>
      <c r="P2187" s="3"/>
      <c r="Q2187" s="3"/>
      <c r="R2187" s="3">
        <f>IFERROR(__xludf.DUMMYFUNCTION("""COMPUTED_VALUE"""),0.0)</f>
        <v>0</v>
      </c>
      <c r="S2187" s="3"/>
      <c r="T2187" s="5"/>
      <c r="U2187" s="5"/>
      <c r="V2187" s="5"/>
      <c r="W2187" s="5" t="str">
        <f>IFERROR(__xludf.DUMMYFUNCTION("""COMPUTED_VALUE"""),"Simon")</f>
        <v>Simon</v>
      </c>
    </row>
    <row r="2188" ht="15.75" customHeight="1">
      <c r="A2188" s="3">
        <f>IFERROR(__xludf.DUMMYFUNCTION("""COMPUTED_VALUE"""),2188.0)</f>
        <v>2188</v>
      </c>
      <c r="B2188" s="53">
        <f>IFERROR(__xludf.DUMMYFUNCTION("""COMPUTED_VALUE"""),46120.0)</f>
        <v>46120</v>
      </c>
      <c r="C2188" s="3">
        <f>IFERROR(__xludf.DUMMYFUNCTION("""COMPUTED_VALUE"""),36.0)</f>
        <v>36</v>
      </c>
      <c r="D2188" s="3" t="str">
        <f>IFERROR(__xludf.DUMMYFUNCTION("""COMPUTED_VALUE"""),"f5732c0d")</f>
        <v>f5732c0d</v>
      </c>
      <c r="E2188" s="54">
        <f>IFERROR(__xludf.DUMMYFUNCTION("""COMPUTED_VALUE"""),19700.0)</f>
        <v>19700</v>
      </c>
      <c r="F2188" s="3" t="str">
        <f>IFERROR(__xludf.DUMMYFUNCTION("""COMPUTED_VALUE"""),"Tinto Varietal B")</f>
        <v>Tinto Varietal B</v>
      </c>
      <c r="G2188" s="55">
        <f>IFERROR(__xludf.DUMMYFUNCTION("""COMPUTED_VALUE"""),13.6)</f>
        <v>13.6</v>
      </c>
      <c r="H2188" s="56">
        <f>IFERROR(__xludf.DUMMYFUNCTION("""COMPUTED_VALUE"""),3.3)</f>
        <v>3.3</v>
      </c>
      <c r="I2188" s="57">
        <f>IFERROR(__xludf.DUMMYFUNCTION("""COMPUTED_VALUE"""),0.47)</f>
        <v>0.47</v>
      </c>
      <c r="J2188" s="57">
        <f>IFERROR(__xludf.DUMMYFUNCTION("""COMPUTED_VALUE"""),5.7)</f>
        <v>5.7</v>
      </c>
      <c r="K2188" s="3"/>
      <c r="L2188" s="3"/>
      <c r="M2188" s="3"/>
      <c r="N2188" s="3"/>
      <c r="O2188" s="3"/>
      <c r="P2188" s="3"/>
      <c r="Q2188" s="3"/>
      <c r="R2188" s="3">
        <f>IFERROR(__xludf.DUMMYFUNCTION("""COMPUTED_VALUE"""),0.0)</f>
        <v>0</v>
      </c>
      <c r="S2188" s="3"/>
      <c r="T2188" s="5"/>
      <c r="U2188" s="5"/>
      <c r="V2188" s="5"/>
      <c r="W2188" s="5" t="str">
        <f>IFERROR(__xludf.DUMMYFUNCTION("""COMPUTED_VALUE"""),"Simon")</f>
        <v>Simon</v>
      </c>
    </row>
    <row r="2189" ht="15.75" customHeight="1">
      <c r="A2189" s="3">
        <f>IFERROR(__xludf.DUMMYFUNCTION("""COMPUTED_VALUE"""),2189.0)</f>
        <v>2189</v>
      </c>
      <c r="B2189" s="53">
        <f>IFERROR(__xludf.DUMMYFUNCTION("""COMPUTED_VALUE"""),46120.0)</f>
        <v>46120</v>
      </c>
      <c r="C2189" s="3">
        <f>IFERROR(__xludf.DUMMYFUNCTION("""COMPUTED_VALUE"""),42.0)</f>
        <v>42</v>
      </c>
      <c r="D2189" s="3" t="str">
        <f>IFERROR(__xludf.DUMMYFUNCTION("""COMPUTED_VALUE"""),"2c1f7013")</f>
        <v>2c1f7013</v>
      </c>
      <c r="E2189" s="54">
        <f>IFERROR(__xludf.DUMMYFUNCTION("""COMPUTED_VALUE"""),35900.0)</f>
        <v>35900</v>
      </c>
      <c r="F2189" s="3" t="str">
        <f>IFERROR(__xludf.DUMMYFUNCTION("""COMPUTED_VALUE"""),"Tinto Varietal B")</f>
        <v>Tinto Varietal B</v>
      </c>
      <c r="G2189" s="55">
        <f>IFERROR(__xludf.DUMMYFUNCTION("""COMPUTED_VALUE"""),13.6)</f>
        <v>13.6</v>
      </c>
      <c r="H2189" s="56">
        <f>IFERROR(__xludf.DUMMYFUNCTION("""COMPUTED_VALUE"""),3.8)</f>
        <v>3.8</v>
      </c>
      <c r="I2189" s="57">
        <f>IFERROR(__xludf.DUMMYFUNCTION("""COMPUTED_VALUE"""),0.48)</f>
        <v>0.48</v>
      </c>
      <c r="J2189" s="57">
        <f>IFERROR(__xludf.DUMMYFUNCTION("""COMPUTED_VALUE"""),5.62)</f>
        <v>5.62</v>
      </c>
      <c r="K2189" s="3"/>
      <c r="L2189" s="3"/>
      <c r="M2189" s="3"/>
      <c r="N2189" s="3"/>
      <c r="O2189" s="3"/>
      <c r="P2189" s="3"/>
      <c r="Q2189" s="3"/>
      <c r="R2189" s="3">
        <f>IFERROR(__xludf.DUMMYFUNCTION("""COMPUTED_VALUE"""),0.0)</f>
        <v>0</v>
      </c>
      <c r="S2189" s="3"/>
      <c r="T2189" s="5"/>
      <c r="U2189" s="5"/>
      <c r="V2189" s="5"/>
      <c r="W2189" s="5" t="str">
        <f>IFERROR(__xludf.DUMMYFUNCTION("""COMPUTED_VALUE"""),"Simon")</f>
        <v>Simon</v>
      </c>
    </row>
    <row r="2190" ht="15.75" customHeight="1">
      <c r="A2190" s="3">
        <f>IFERROR(__xludf.DUMMYFUNCTION("""COMPUTED_VALUE"""),2190.0)</f>
        <v>2190</v>
      </c>
      <c r="B2190" s="53">
        <f>IFERROR(__xludf.DUMMYFUNCTION("""COMPUTED_VALUE"""),46120.0)</f>
        <v>46120</v>
      </c>
      <c r="C2190" s="3">
        <f>IFERROR(__xludf.DUMMYFUNCTION("""COMPUTED_VALUE"""),45.0)</f>
        <v>45</v>
      </c>
      <c r="D2190" s="3" t="str">
        <f>IFERROR(__xludf.DUMMYFUNCTION("""COMPUTED_VALUE"""),"34d5df80")</f>
        <v>34d5df80</v>
      </c>
      <c r="E2190" s="54">
        <f>IFERROR(__xludf.DUMMYFUNCTION("""COMPUTED_VALUE"""),30000.0)</f>
        <v>30000</v>
      </c>
      <c r="F2190" s="3" t="str">
        <f>IFERROR(__xludf.DUMMYFUNCTION("""COMPUTED_VALUE"""),"Tinto Varietal B")</f>
        <v>Tinto Varietal B</v>
      </c>
      <c r="G2190" s="55">
        <f>IFERROR(__xludf.DUMMYFUNCTION("""COMPUTED_VALUE"""),13.5)</f>
        <v>13.5</v>
      </c>
      <c r="H2190" s="56">
        <f>IFERROR(__xludf.DUMMYFUNCTION("""COMPUTED_VALUE"""),3.8)</f>
        <v>3.8</v>
      </c>
      <c r="I2190" s="57">
        <f>IFERROR(__xludf.DUMMYFUNCTION("""COMPUTED_VALUE"""),0.4)</f>
        <v>0.4</v>
      </c>
      <c r="J2190" s="57">
        <f>IFERROR(__xludf.DUMMYFUNCTION("""COMPUTED_VALUE"""),5.62)</f>
        <v>5.62</v>
      </c>
      <c r="K2190" s="3"/>
      <c r="L2190" s="3"/>
      <c r="M2190" s="3"/>
      <c r="N2190" s="3"/>
      <c r="O2190" s="3"/>
      <c r="P2190" s="3"/>
      <c r="Q2190" s="3"/>
      <c r="R2190" s="3">
        <f>IFERROR(__xludf.DUMMYFUNCTION("""COMPUTED_VALUE"""),0.0)</f>
        <v>0</v>
      </c>
      <c r="S2190" s="3"/>
      <c r="T2190" s="5"/>
      <c r="U2190" s="5"/>
      <c r="V2190" s="5"/>
      <c r="W2190" s="5" t="str">
        <f>IFERROR(__xludf.DUMMYFUNCTION("""COMPUTED_VALUE"""),"Simon")</f>
        <v>Simon</v>
      </c>
    </row>
    <row r="2191" ht="15.75" customHeight="1">
      <c r="A2191" s="3">
        <f>IFERROR(__xludf.DUMMYFUNCTION("""COMPUTED_VALUE"""),2191.0)</f>
        <v>2191</v>
      </c>
      <c r="B2191" s="53">
        <f>IFERROR(__xludf.DUMMYFUNCTION("""COMPUTED_VALUE"""),46120.0)</f>
        <v>46120</v>
      </c>
      <c r="C2191" s="3">
        <f>IFERROR(__xludf.DUMMYFUNCTION("""COMPUTED_VALUE"""),51.0)</f>
        <v>51</v>
      </c>
      <c r="D2191" s="3" t="str">
        <f>IFERROR(__xludf.DUMMYFUNCTION("""COMPUTED_VALUE"""),"239e649e")</f>
        <v>239e649e</v>
      </c>
      <c r="E2191" s="54">
        <f>IFERROR(__xludf.DUMMYFUNCTION("""COMPUTED_VALUE"""),3900.0)</f>
        <v>3900</v>
      </c>
      <c r="F2191" s="3" t="str">
        <f>IFERROR(__xludf.DUMMYFUNCTION("""COMPUTED_VALUE"""),"Chardonnay")</f>
        <v>Chardonnay</v>
      </c>
      <c r="G2191" s="55">
        <f>IFERROR(__xludf.DUMMYFUNCTION("""COMPUTED_VALUE"""),12.8)</f>
        <v>12.8</v>
      </c>
      <c r="H2191" s="56">
        <f>IFERROR(__xludf.DUMMYFUNCTION("""COMPUTED_VALUE"""),1.8)</f>
        <v>1.8</v>
      </c>
      <c r="I2191" s="57">
        <f>IFERROR(__xludf.DUMMYFUNCTION("""COMPUTED_VALUE"""),0.18)</f>
        <v>0.18</v>
      </c>
      <c r="J2191" s="57">
        <f>IFERROR(__xludf.DUMMYFUNCTION("""COMPUTED_VALUE"""),6.37)</f>
        <v>6.37</v>
      </c>
      <c r="K2191" s="3"/>
      <c r="L2191" s="3"/>
      <c r="M2191" s="3"/>
      <c r="N2191" s="3"/>
      <c r="O2191" s="3"/>
      <c r="P2191" s="3"/>
      <c r="Q2191" s="3"/>
      <c r="R2191" s="3">
        <f>IFERROR(__xludf.DUMMYFUNCTION("""COMPUTED_VALUE"""),0.0)</f>
        <v>0</v>
      </c>
      <c r="S2191" s="3"/>
      <c r="T2191" s="5"/>
      <c r="U2191" s="5"/>
      <c r="V2191" s="5"/>
      <c r="W2191" s="5" t="str">
        <f>IFERROR(__xludf.DUMMYFUNCTION("""COMPUTED_VALUE"""),"Simon")</f>
        <v>Simon</v>
      </c>
    </row>
    <row r="2192" ht="15.75" customHeight="1">
      <c r="A2192" s="3">
        <f>IFERROR(__xludf.DUMMYFUNCTION("""COMPUTED_VALUE"""),2192.0)</f>
        <v>2192</v>
      </c>
      <c r="B2192" s="53">
        <f>IFERROR(__xludf.DUMMYFUNCTION("""COMPUTED_VALUE"""),46120.0)</f>
        <v>46120</v>
      </c>
      <c r="C2192" s="3">
        <f>IFERROR(__xludf.DUMMYFUNCTION("""COMPUTED_VALUE"""),118.0)</f>
        <v>118</v>
      </c>
      <c r="D2192" s="3" t="str">
        <f>IFERROR(__xludf.DUMMYFUNCTION("""COMPUTED_VALUE"""),"0cee4951")</f>
        <v>0cee4951</v>
      </c>
      <c r="E2192" s="54">
        <f>IFERROR(__xludf.DUMMYFUNCTION("""COMPUTED_VALUE"""),155600.0)</f>
        <v>155600</v>
      </c>
      <c r="F2192" s="3" t="str">
        <f>IFERROR(__xludf.DUMMYFUNCTION("""COMPUTED_VALUE"""),"Syrah Temp")</f>
        <v>Syrah Temp</v>
      </c>
      <c r="G2192" s="55">
        <f>IFERROR(__xludf.DUMMYFUNCTION("""COMPUTED_VALUE"""),13.6)</f>
        <v>13.6</v>
      </c>
      <c r="H2192" s="56">
        <f>IFERROR(__xludf.DUMMYFUNCTION("""COMPUTED_VALUE"""),2.1)</f>
        <v>2.1</v>
      </c>
      <c r="I2192" s="57">
        <f>IFERROR(__xludf.DUMMYFUNCTION("""COMPUTED_VALUE"""),0.32)</f>
        <v>0.32</v>
      </c>
      <c r="J2192" s="57">
        <f>IFERROR(__xludf.DUMMYFUNCTION("""COMPUTED_VALUE"""),5.77)</f>
        <v>5.77</v>
      </c>
      <c r="K2192" s="3"/>
      <c r="L2192" s="3"/>
      <c r="M2192" s="3"/>
      <c r="N2192" s="3"/>
      <c r="O2192" s="3"/>
      <c r="P2192" s="3"/>
      <c r="Q2192" s="3"/>
      <c r="R2192" s="3">
        <f>IFERROR(__xludf.DUMMYFUNCTION("""COMPUTED_VALUE"""),0.0)</f>
        <v>0</v>
      </c>
      <c r="S2192" s="3"/>
      <c r="T2192" s="5"/>
      <c r="U2192" s="5"/>
      <c r="V2192" s="5"/>
      <c r="W2192" s="5" t="str">
        <f>IFERROR(__xludf.DUMMYFUNCTION("""COMPUTED_VALUE"""),"Simon")</f>
        <v>Simon</v>
      </c>
    </row>
    <row r="2193" ht="15.75" customHeight="1">
      <c r="A2193" s="3">
        <f>IFERROR(__xludf.DUMMYFUNCTION("""COMPUTED_VALUE"""),2193.0)</f>
        <v>2193</v>
      </c>
      <c r="B2193" s="53">
        <f>IFERROR(__xludf.DUMMYFUNCTION("""COMPUTED_VALUE"""),46123.0)</f>
        <v>46123</v>
      </c>
      <c r="C2193" s="3">
        <f>IFERROR(__xludf.DUMMYFUNCTION("""COMPUTED_VALUE"""),87.0)</f>
        <v>87</v>
      </c>
      <c r="D2193" s="3"/>
      <c r="E2193" s="3"/>
      <c r="F2193" s="3" t="str">
        <f>IFERROR(__xludf.DUMMYFUNCTION("""COMPUTED_VALUE"""),"Ponderal")</f>
        <v>Ponderal</v>
      </c>
      <c r="G2193" s="55">
        <f>IFERROR(__xludf.DUMMYFUNCTION("""COMPUTED_VALUE"""),12.2)</f>
        <v>12.2</v>
      </c>
      <c r="H2193" s="56">
        <f>IFERROR(__xludf.DUMMYFUNCTION("""COMPUTED_VALUE"""),6.44)</f>
        <v>6.44</v>
      </c>
      <c r="I2193" s="3"/>
      <c r="J2193" s="3"/>
      <c r="K2193" s="3"/>
      <c r="L2193" s="3"/>
      <c r="M2193" s="3"/>
      <c r="N2193" s="3"/>
      <c r="O2193" s="3"/>
      <c r="P2193" s="3"/>
      <c r="Q2193" s="3"/>
      <c r="R2193" s="3">
        <f>IFERROR(__xludf.DUMMYFUNCTION("""COMPUTED_VALUE"""),0.0)</f>
        <v>0</v>
      </c>
      <c r="S2193" s="3"/>
      <c r="T2193" s="5"/>
      <c r="U2193" s="5"/>
      <c r="V2193" s="5"/>
      <c r="W2193" s="5"/>
    </row>
    <row r="2194" ht="15.75" customHeight="1">
      <c r="A2194" s="3">
        <f>IFERROR(__xludf.DUMMYFUNCTION("""COMPUTED_VALUE"""),2194.0)</f>
        <v>2194</v>
      </c>
      <c r="B2194" s="53">
        <f>IFERROR(__xludf.DUMMYFUNCTION("""COMPUTED_VALUE"""),46123.0)</f>
        <v>46123</v>
      </c>
      <c r="C2194" s="3">
        <f>IFERROR(__xludf.DUMMYFUNCTION("""COMPUTED_VALUE"""),77.0)</f>
        <v>77</v>
      </c>
      <c r="D2194" s="3" t="str">
        <f>IFERROR(__xludf.DUMMYFUNCTION("""COMPUTED_VALUE"""),"d12e5727")</f>
        <v>d12e5727</v>
      </c>
      <c r="E2194" s="54">
        <f>IFERROR(__xludf.DUMMYFUNCTION("""COMPUTED_VALUE"""),30100.0)</f>
        <v>30100</v>
      </c>
      <c r="F2194" s="3" t="str">
        <f>IFERROR(__xludf.DUMMYFUNCTION("""COMPUTED_VALUE"""),"Torrontes")</f>
        <v>Torrontes</v>
      </c>
      <c r="G2194" s="3"/>
      <c r="H2194" s="56">
        <f>IFERROR(__xludf.DUMMYFUNCTION("""COMPUTED_VALUE"""),220.0)</f>
        <v>220</v>
      </c>
      <c r="I2194" s="3"/>
      <c r="J2194" s="3"/>
      <c r="K2194" s="57">
        <f>IFERROR(__xludf.DUMMYFUNCTION("""COMPUTED_VALUE"""),3.95)</f>
        <v>3.95</v>
      </c>
      <c r="L2194" s="54">
        <f>IFERROR(__xludf.DUMMYFUNCTION("""COMPUTED_VALUE"""),10.0)</f>
        <v>10</v>
      </c>
      <c r="M2194" s="3">
        <f>IFERROR(__xludf.DUMMYFUNCTION("""COMPUTED_VALUE"""),40.0)</f>
        <v>40</v>
      </c>
      <c r="N2194" s="3"/>
      <c r="O2194" s="3"/>
      <c r="P2194" s="3"/>
      <c r="Q2194" s="3"/>
      <c r="R2194" s="3">
        <f>IFERROR(__xludf.DUMMYFUNCTION("""COMPUTED_VALUE"""),0.0)</f>
        <v>0</v>
      </c>
      <c r="S2194" s="3"/>
      <c r="T2194" s="5"/>
      <c r="U2194" s="5"/>
      <c r="V2194" s="5"/>
      <c r="W2194" s="5"/>
    </row>
    <row r="2195" ht="15.75" customHeight="1">
      <c r="A2195" s="3">
        <f>IFERROR(__xludf.DUMMYFUNCTION("""COMPUTED_VALUE"""),2195.0)</f>
        <v>2195</v>
      </c>
      <c r="B2195" s="53">
        <f>IFERROR(__xludf.DUMMYFUNCTION("""COMPUTED_VALUE"""),46123.0)</f>
        <v>46123</v>
      </c>
      <c r="C2195" s="3">
        <f>IFERROR(__xludf.DUMMYFUNCTION("""COMPUTED_VALUE"""),80.0)</f>
        <v>80</v>
      </c>
      <c r="D2195" s="3" t="str">
        <f>IFERROR(__xludf.DUMMYFUNCTION("""COMPUTED_VALUE"""),"006dbf5a")</f>
        <v>006dbf5a</v>
      </c>
      <c r="E2195" s="54">
        <f>IFERROR(__xludf.DUMMYFUNCTION("""COMPUTED_VALUE"""),21000.0)</f>
        <v>21000</v>
      </c>
      <c r="F2195" s="3" t="str">
        <f>IFERROR(__xludf.DUMMYFUNCTION("""COMPUTED_VALUE"""),"Criolla")</f>
        <v>Criolla</v>
      </c>
      <c r="G2195" s="3"/>
      <c r="H2195" s="56">
        <f>IFERROR(__xludf.DUMMYFUNCTION("""COMPUTED_VALUE"""),220.0)</f>
        <v>220</v>
      </c>
      <c r="I2195" s="3"/>
      <c r="J2195" s="3"/>
      <c r="K2195" s="57">
        <f>IFERROR(__xludf.DUMMYFUNCTION("""COMPUTED_VALUE"""),3.89)</f>
        <v>3.89</v>
      </c>
      <c r="L2195" s="54">
        <f>IFERROR(__xludf.DUMMYFUNCTION("""COMPUTED_VALUE"""),12.0)</f>
        <v>12</v>
      </c>
      <c r="M2195" s="3">
        <f>IFERROR(__xludf.DUMMYFUNCTION("""COMPUTED_VALUE"""),36.0)</f>
        <v>36</v>
      </c>
      <c r="N2195" s="3"/>
      <c r="O2195" s="3"/>
      <c r="P2195" s="3"/>
      <c r="Q2195" s="3"/>
      <c r="R2195" s="3">
        <f>IFERROR(__xludf.DUMMYFUNCTION("""COMPUTED_VALUE"""),0.0)</f>
        <v>0</v>
      </c>
      <c r="S2195" s="3"/>
      <c r="T2195" s="5"/>
      <c r="U2195" s="5"/>
      <c r="V2195" s="5"/>
      <c r="W2195" s="5"/>
    </row>
    <row r="2196" ht="15.75" customHeight="1">
      <c r="A2196" s="3">
        <f>IFERROR(__xludf.DUMMYFUNCTION("""COMPUTED_VALUE"""),2196.0)</f>
        <v>2196</v>
      </c>
      <c r="B2196" s="53">
        <f>IFERROR(__xludf.DUMMYFUNCTION("""COMPUTED_VALUE"""),46123.0)</f>
        <v>46123</v>
      </c>
      <c r="C2196" s="3">
        <f>IFERROR(__xludf.DUMMYFUNCTION("""COMPUTED_VALUE"""),89.0)</f>
        <v>89</v>
      </c>
      <c r="D2196" s="3" t="str">
        <f>IFERROR(__xludf.DUMMYFUNCTION("""COMPUTED_VALUE"""),"cf68c2c6")</f>
        <v>cf68c2c6</v>
      </c>
      <c r="E2196" s="54">
        <f>IFERROR(__xludf.DUMMYFUNCTION("""COMPUTED_VALUE"""),50000.0)</f>
        <v>50000</v>
      </c>
      <c r="F2196" s="3" t="str">
        <f>IFERROR(__xludf.DUMMYFUNCTION("""COMPUTED_VALUE"""),"Bonarda")</f>
        <v>Bonarda</v>
      </c>
      <c r="G2196" s="3"/>
      <c r="H2196" s="3"/>
      <c r="I2196" s="3"/>
      <c r="J2196" s="3"/>
      <c r="K2196" s="57">
        <f>IFERROR(__xludf.DUMMYFUNCTION("""COMPUTED_VALUE"""),3.82)</f>
        <v>3.82</v>
      </c>
      <c r="L2196" s="54">
        <f>IFERROR(__xludf.DUMMYFUNCTION("""COMPUTED_VALUE"""),13.0)</f>
        <v>13</v>
      </c>
      <c r="M2196" s="3">
        <f>IFERROR(__xludf.DUMMYFUNCTION("""COMPUTED_VALUE"""),42.0)</f>
        <v>42</v>
      </c>
      <c r="N2196" s="3"/>
      <c r="O2196" s="3"/>
      <c r="P2196" s="3"/>
      <c r="Q2196" s="3"/>
      <c r="R2196" s="3">
        <f>IFERROR(__xludf.DUMMYFUNCTION("""COMPUTED_VALUE"""),0.0)</f>
        <v>0</v>
      </c>
      <c r="S2196" s="3"/>
      <c r="T2196" s="5"/>
      <c r="U2196" s="5"/>
      <c r="V2196" s="5"/>
      <c r="W2196" s="5"/>
    </row>
    <row r="2197" ht="15.75" customHeight="1">
      <c r="A2197" s="3">
        <f>IFERROR(__xludf.DUMMYFUNCTION("""COMPUTED_VALUE"""),2197.0)</f>
        <v>2197</v>
      </c>
      <c r="B2197" s="53">
        <f>IFERROR(__xludf.DUMMYFUNCTION("""COMPUTED_VALUE"""),46123.0)</f>
        <v>46123</v>
      </c>
      <c r="C2197" s="3">
        <f>IFERROR(__xludf.DUMMYFUNCTION("""COMPUTED_VALUE"""),88.0)</f>
        <v>88</v>
      </c>
      <c r="D2197" s="3" t="str">
        <f>IFERROR(__xludf.DUMMYFUNCTION("""COMPUTED_VALUE"""),"8018808a")</f>
        <v>8018808a</v>
      </c>
      <c r="E2197" s="54">
        <f>IFERROR(__xludf.DUMMYFUNCTION("""COMPUTED_VALUE"""),48300.0)</f>
        <v>48300</v>
      </c>
      <c r="F2197" s="3" t="str">
        <f>IFERROR(__xludf.DUMMYFUNCTION("""COMPUTED_VALUE"""),"Bonarda")</f>
        <v>Bonarda</v>
      </c>
      <c r="G2197" s="3"/>
      <c r="H2197" s="3"/>
      <c r="I2197" s="3"/>
      <c r="J2197" s="3"/>
      <c r="K2197" s="57">
        <f>IFERROR(__xludf.DUMMYFUNCTION("""COMPUTED_VALUE"""),3.86)</f>
        <v>3.86</v>
      </c>
      <c r="L2197" s="54">
        <f>IFERROR(__xludf.DUMMYFUNCTION("""COMPUTED_VALUE"""),25.0)</f>
        <v>25</v>
      </c>
      <c r="M2197" s="3">
        <f>IFERROR(__xludf.DUMMYFUNCTION("""COMPUTED_VALUE"""),80.0)</f>
        <v>80</v>
      </c>
      <c r="N2197" s="3"/>
      <c r="O2197" s="3"/>
      <c r="P2197" s="3"/>
      <c r="Q2197" s="3"/>
      <c r="R2197" s="3">
        <f>IFERROR(__xludf.DUMMYFUNCTION("""COMPUTED_VALUE"""),0.0)</f>
        <v>0</v>
      </c>
      <c r="S2197" s="3"/>
      <c r="T2197" s="5"/>
      <c r="U2197" s="5"/>
      <c r="V2197" s="5"/>
      <c r="W2197" s="5"/>
    </row>
    <row r="2198" ht="15.75" customHeight="1">
      <c r="A2198" s="3">
        <f>IFERROR(__xludf.DUMMYFUNCTION("""COMPUTED_VALUE"""),2198.0)</f>
        <v>2198</v>
      </c>
      <c r="B2198" s="53">
        <f>IFERROR(__xludf.DUMMYFUNCTION("""COMPUTED_VALUE"""),46123.0)</f>
        <v>46123</v>
      </c>
      <c r="C2198" s="3">
        <f>IFERROR(__xludf.DUMMYFUNCTION("""COMPUTED_VALUE"""),87.0)</f>
        <v>87</v>
      </c>
      <c r="D2198" s="3" t="str">
        <f>IFERROR(__xludf.DUMMYFUNCTION("""COMPUTED_VALUE"""),"00da080a")</f>
        <v>00da080a</v>
      </c>
      <c r="E2198" s="54">
        <f>IFERROR(__xludf.DUMMYFUNCTION("""COMPUTED_VALUE"""),8800.0)</f>
        <v>8800</v>
      </c>
      <c r="F2198" s="3" t="str">
        <f>IFERROR(__xludf.DUMMYFUNCTION("""COMPUTED_VALUE"""),"Criolla Mosto con borra")</f>
        <v>Criolla Mosto con borra</v>
      </c>
      <c r="G2198" s="3"/>
      <c r="H2198" s="3"/>
      <c r="I2198" s="3"/>
      <c r="J2198" s="3"/>
      <c r="K2198" s="57">
        <f>IFERROR(__xludf.DUMMYFUNCTION("""COMPUTED_VALUE"""),3.75)</f>
        <v>3.75</v>
      </c>
      <c r="L2198" s="54">
        <f>IFERROR(__xludf.DUMMYFUNCTION("""COMPUTED_VALUE"""),10.0)</f>
        <v>10</v>
      </c>
      <c r="M2198" s="3">
        <f>IFERROR(__xludf.DUMMYFUNCTION("""COMPUTED_VALUE"""),60.0)</f>
        <v>60</v>
      </c>
      <c r="N2198" s="3"/>
      <c r="O2198" s="3"/>
      <c r="P2198" s="3"/>
      <c r="Q2198" s="3"/>
      <c r="R2198" s="3">
        <f>IFERROR(__xludf.DUMMYFUNCTION("""COMPUTED_VALUE"""),0.0)</f>
        <v>0</v>
      </c>
      <c r="S2198" s="3"/>
      <c r="T2198" s="5"/>
      <c r="U2198" s="5"/>
      <c r="V2198" s="5"/>
      <c r="W2198" s="5"/>
    </row>
    <row r="2199" ht="15.75" customHeight="1">
      <c r="A2199" s="3">
        <f>IFERROR(__xludf.DUMMYFUNCTION("""COMPUTED_VALUE"""),2199.0)</f>
        <v>2199</v>
      </c>
      <c r="B2199" s="53">
        <f>IFERROR(__xludf.DUMMYFUNCTION("""COMPUTED_VALUE"""),46126.0)</f>
        <v>46126</v>
      </c>
      <c r="C2199" s="3">
        <f>IFERROR(__xludf.DUMMYFUNCTION("""COMPUTED_VALUE"""),84.0)</f>
        <v>84</v>
      </c>
      <c r="D2199" s="3" t="str">
        <f>IFERROR(__xludf.DUMMYFUNCTION("""COMPUTED_VALUE"""),"8fd0424b")</f>
        <v>8fd0424b</v>
      </c>
      <c r="E2199" s="54">
        <f>IFERROR(__xludf.DUMMYFUNCTION("""COMPUTED_VALUE"""),54000.0)</f>
        <v>54000</v>
      </c>
      <c r="F2199" s="3" t="str">
        <f>IFERROR(__xludf.DUMMYFUNCTION("""COMPUTED_VALUE"""),"Bonarda")</f>
        <v>Bonarda</v>
      </c>
      <c r="G2199" s="3"/>
      <c r="H2199" s="56">
        <f>IFERROR(__xludf.DUMMYFUNCTION("""COMPUTED_VALUE"""),8.0)</f>
        <v>8</v>
      </c>
      <c r="I2199" s="3"/>
      <c r="J2199" s="3"/>
      <c r="K2199" s="57">
        <f>IFERROR(__xludf.DUMMYFUNCTION("""COMPUTED_VALUE"""),3.83)</f>
        <v>3.83</v>
      </c>
      <c r="L2199" s="3"/>
      <c r="M2199" s="3"/>
      <c r="N2199" s="3"/>
      <c r="O2199" s="3"/>
      <c r="P2199" s="3"/>
      <c r="Q2199" s="3"/>
      <c r="R2199" s="3">
        <f>IFERROR(__xludf.DUMMYFUNCTION("""COMPUTED_VALUE"""),0.0)</f>
        <v>0</v>
      </c>
      <c r="S2199" s="3"/>
      <c r="T2199" s="5"/>
      <c r="U2199" s="5"/>
      <c r="V2199" s="5"/>
      <c r="W2199" s="5"/>
    </row>
    <row r="2200" ht="15.75" customHeight="1">
      <c r="A2200" s="3">
        <f>IFERROR(__xludf.DUMMYFUNCTION("""COMPUTED_VALUE"""),2200.0)</f>
        <v>2200</v>
      </c>
      <c r="B2200" s="53">
        <f>IFERROR(__xludf.DUMMYFUNCTION("""COMPUTED_VALUE"""),46126.0)</f>
        <v>46126</v>
      </c>
      <c r="C2200" s="3">
        <f>IFERROR(__xludf.DUMMYFUNCTION("""COMPUTED_VALUE"""),81.0)</f>
        <v>81</v>
      </c>
      <c r="D2200" s="3" t="str">
        <f>IFERROR(__xludf.DUMMYFUNCTION("""COMPUTED_VALUE"""),"cd07b237")</f>
        <v>cd07b237</v>
      </c>
      <c r="E2200" s="54">
        <f>IFERROR(__xludf.DUMMYFUNCTION("""COMPUTED_VALUE"""),16500.0)</f>
        <v>16500</v>
      </c>
      <c r="F2200" s="3" t="str">
        <f>IFERROR(__xludf.DUMMYFUNCTION("""COMPUTED_VALUE"""),"Malbec PC")</f>
        <v>Malbec PC</v>
      </c>
      <c r="G2200" s="3"/>
      <c r="H2200" s="56">
        <f>IFERROR(__xludf.DUMMYFUNCTION("""COMPUTED_VALUE"""),2.0)</f>
        <v>2</v>
      </c>
      <c r="I2200" s="3"/>
      <c r="J2200" s="3"/>
      <c r="K2200" s="57">
        <f>IFERROR(__xludf.DUMMYFUNCTION("""COMPUTED_VALUE"""),3.73)</f>
        <v>3.73</v>
      </c>
      <c r="L2200" s="3"/>
      <c r="M2200" s="3"/>
      <c r="N2200" s="3"/>
      <c r="O2200" s="3"/>
      <c r="P2200" s="3"/>
      <c r="Q2200" s="3"/>
      <c r="R2200" s="3">
        <f>IFERROR(__xludf.DUMMYFUNCTION("""COMPUTED_VALUE"""),0.0)</f>
        <v>0</v>
      </c>
      <c r="S2200" s="3"/>
      <c r="T2200" s="5"/>
      <c r="U2200" s="5"/>
      <c r="V2200" s="5"/>
      <c r="W2200" s="5"/>
    </row>
    <row r="2201" ht="15.75" customHeight="1">
      <c r="A2201" s="3">
        <f>IFERROR(__xludf.DUMMYFUNCTION("""COMPUTED_VALUE"""),2201.0)</f>
        <v>2201</v>
      </c>
      <c r="B2201" s="53">
        <f>IFERROR(__xludf.DUMMYFUNCTION("""COMPUTED_VALUE"""),46126.0)</f>
        <v>46126</v>
      </c>
      <c r="C2201" s="3">
        <f>IFERROR(__xludf.DUMMYFUNCTION("""COMPUTED_VALUE"""),66.0)</f>
        <v>66</v>
      </c>
      <c r="D2201" s="3" t="str">
        <f>IFERROR(__xludf.DUMMYFUNCTION("""COMPUTED_VALUE"""),"d381a136")</f>
        <v>d381a136</v>
      </c>
      <c r="E2201" s="54">
        <f>IFERROR(__xludf.DUMMYFUNCTION("""COMPUTED_VALUE"""),18800.0)</f>
        <v>18800</v>
      </c>
      <c r="F2201" s="3" t="str">
        <f>IFERROR(__xludf.DUMMYFUNCTION("""COMPUTED_VALUE"""),"Malbec PC")</f>
        <v>Malbec PC</v>
      </c>
      <c r="G2201" s="3"/>
      <c r="H2201" s="56">
        <f>IFERROR(__xludf.DUMMYFUNCTION("""COMPUTED_VALUE"""),2.0)</f>
        <v>2</v>
      </c>
      <c r="I2201" s="3"/>
      <c r="J2201" s="3"/>
      <c r="K2201" s="57">
        <f>IFERROR(__xludf.DUMMYFUNCTION("""COMPUTED_VALUE"""),3.86)</f>
        <v>3.86</v>
      </c>
      <c r="L2201" s="3"/>
      <c r="M2201" s="3"/>
      <c r="N2201" s="3"/>
      <c r="O2201" s="3"/>
      <c r="P2201" s="3"/>
      <c r="Q2201" s="3"/>
      <c r="R2201" s="3">
        <f>IFERROR(__xludf.DUMMYFUNCTION("""COMPUTED_VALUE"""),0.0)</f>
        <v>0</v>
      </c>
      <c r="S2201" s="3"/>
      <c r="T2201" s="5"/>
      <c r="U2201" s="5"/>
      <c r="V2201" s="5"/>
      <c r="W2201" s="5"/>
    </row>
    <row r="2202" ht="15.75" customHeight="1">
      <c r="A2202" s="3">
        <f>IFERROR(__xludf.DUMMYFUNCTION("""COMPUTED_VALUE"""),2202.0)</f>
        <v>2202</v>
      </c>
      <c r="B2202" s="53">
        <f>IFERROR(__xludf.DUMMYFUNCTION("""COMPUTED_VALUE"""),46126.0)</f>
        <v>46126</v>
      </c>
      <c r="C2202" s="3">
        <f>IFERROR(__xludf.DUMMYFUNCTION("""COMPUTED_VALUE"""),96.0)</f>
        <v>96</v>
      </c>
      <c r="D2202" s="3" t="str">
        <f>IFERROR(__xludf.DUMMYFUNCTION("""COMPUTED_VALUE"""),"a2de3afc")</f>
        <v>a2de3afc</v>
      </c>
      <c r="E2202" s="54">
        <f>IFERROR(__xludf.DUMMYFUNCTION("""COMPUTED_VALUE"""),46000.0)</f>
        <v>46000</v>
      </c>
      <c r="F2202" s="3" t="str">
        <f>IFERROR(__xludf.DUMMYFUNCTION("""COMPUTED_VALUE"""),"Bonarda NV - Cabernet Sau PC")</f>
        <v>Bonarda NV - Cabernet Sau PC</v>
      </c>
      <c r="G2202" s="3"/>
      <c r="H2202" s="56">
        <f>IFERROR(__xludf.DUMMYFUNCTION("""COMPUTED_VALUE"""),2.0)</f>
        <v>2</v>
      </c>
      <c r="I2202" s="3"/>
      <c r="J2202" s="3"/>
      <c r="K2202" s="57">
        <f>IFERROR(__xludf.DUMMYFUNCTION("""COMPUTED_VALUE"""),3.67)</f>
        <v>3.67</v>
      </c>
      <c r="L2202" s="3"/>
      <c r="M2202" s="3"/>
      <c r="N2202" s="3"/>
      <c r="O2202" s="3"/>
      <c r="P2202" s="3"/>
      <c r="Q2202" s="3"/>
      <c r="R2202" s="3">
        <f>IFERROR(__xludf.DUMMYFUNCTION("""COMPUTED_VALUE"""),0.0)</f>
        <v>0</v>
      </c>
      <c r="S2202" s="3"/>
      <c r="T2202" s="5"/>
      <c r="U2202" s="5"/>
      <c r="V2202" s="5"/>
      <c r="W2202" s="5"/>
    </row>
    <row r="2203" ht="15.75" customHeight="1">
      <c r="A2203" s="3">
        <f>IFERROR(__xludf.DUMMYFUNCTION("""COMPUTED_VALUE"""),2203.0)</f>
        <v>2203</v>
      </c>
      <c r="B2203" s="53">
        <f>IFERROR(__xludf.DUMMYFUNCTION("""COMPUTED_VALUE"""),46126.0)</f>
        <v>46126</v>
      </c>
      <c r="C2203" s="3">
        <f>IFERROR(__xludf.DUMMYFUNCTION("""COMPUTED_VALUE"""),76.0)</f>
        <v>76</v>
      </c>
      <c r="D2203" s="3" t="str">
        <f>IFERROR(__xludf.DUMMYFUNCTION("""COMPUTED_VALUE"""),"86b4e029")</f>
        <v>86b4e029</v>
      </c>
      <c r="E2203" s="54">
        <f>IFERROR(__xludf.DUMMYFUNCTION("""COMPUTED_VALUE"""),15000.0)</f>
        <v>15000</v>
      </c>
      <c r="F2203" s="3" t="str">
        <f>IFERROR(__xludf.DUMMYFUNCTION("""COMPUTED_VALUE"""),"Malbec")</f>
        <v>Malbec</v>
      </c>
      <c r="G2203" s="3"/>
      <c r="H2203" s="56">
        <f>IFERROR(__xludf.DUMMYFUNCTION("""COMPUTED_VALUE"""),5.0)</f>
        <v>5</v>
      </c>
      <c r="I2203" s="3"/>
      <c r="J2203" s="3"/>
      <c r="K2203" s="57">
        <f>IFERROR(__xludf.DUMMYFUNCTION("""COMPUTED_VALUE"""),3.85)</f>
        <v>3.85</v>
      </c>
      <c r="L2203" s="3"/>
      <c r="M2203" s="3"/>
      <c r="N2203" s="3"/>
      <c r="O2203" s="3"/>
      <c r="P2203" s="3"/>
      <c r="Q2203" s="3"/>
      <c r="R2203" s="3">
        <f>IFERROR(__xludf.DUMMYFUNCTION("""COMPUTED_VALUE"""),0.0)</f>
        <v>0</v>
      </c>
      <c r="S2203" s="3"/>
      <c r="T2203" s="5"/>
      <c r="U2203" s="5"/>
      <c r="V2203" s="5"/>
      <c r="W2203" s="5"/>
    </row>
    <row r="2204" ht="15.75" customHeight="1">
      <c r="A2204" s="3">
        <f>IFERROR(__xludf.DUMMYFUNCTION("""COMPUTED_VALUE"""),2204.0)</f>
        <v>2204</v>
      </c>
      <c r="B2204" s="53">
        <f>IFERROR(__xludf.DUMMYFUNCTION("""COMPUTED_VALUE"""),46126.0)</f>
        <v>46126</v>
      </c>
      <c r="C2204" s="3">
        <f>IFERROR(__xludf.DUMMYFUNCTION("""COMPUTED_VALUE"""),92.0)</f>
        <v>92</v>
      </c>
      <c r="D2204" s="3" t="str">
        <f>IFERROR(__xludf.DUMMYFUNCTION("""COMPUTED_VALUE"""),"e19785aa")</f>
        <v>e19785aa</v>
      </c>
      <c r="E2204" s="54">
        <f>IFERROR(__xludf.DUMMYFUNCTION("""COMPUTED_VALUE"""),34200.0)</f>
        <v>34200</v>
      </c>
      <c r="F2204" s="3" t="str">
        <f>IFERROR(__xludf.DUMMYFUNCTION("""COMPUTED_VALUE"""),"Malbec")</f>
        <v>Malbec</v>
      </c>
      <c r="G2204" s="3"/>
      <c r="H2204" s="56">
        <f>IFERROR(__xludf.DUMMYFUNCTION("""COMPUTED_VALUE"""),3.46)</f>
        <v>3.46</v>
      </c>
      <c r="I2204" s="3"/>
      <c r="J2204" s="3"/>
      <c r="K2204" s="57">
        <f>IFERROR(__xludf.DUMMYFUNCTION("""COMPUTED_VALUE"""),3.79)</f>
        <v>3.79</v>
      </c>
      <c r="L2204" s="3"/>
      <c r="M2204" s="3"/>
      <c r="N2204" s="3"/>
      <c r="O2204" s="3"/>
      <c r="P2204" s="3"/>
      <c r="Q2204" s="3"/>
      <c r="R2204" s="3">
        <f>IFERROR(__xludf.DUMMYFUNCTION("""COMPUTED_VALUE"""),0.0)</f>
        <v>0</v>
      </c>
      <c r="S2204" s="3"/>
      <c r="T2204" s="5"/>
      <c r="U2204" s="5"/>
      <c r="V2204" s="5"/>
      <c r="W2204" s="5"/>
    </row>
    <row r="2205" ht="15.75" customHeight="1">
      <c r="A2205" s="3">
        <f>IFERROR(__xludf.DUMMYFUNCTION("""COMPUTED_VALUE"""),2205.0)</f>
        <v>2205</v>
      </c>
      <c r="B2205" s="53">
        <f>IFERROR(__xludf.DUMMYFUNCTION("""COMPUTED_VALUE"""),46126.0)</f>
        <v>46126</v>
      </c>
      <c r="C2205" s="3">
        <f>IFERROR(__xludf.DUMMYFUNCTION("""COMPUTED_VALUE"""),8.0)</f>
        <v>8</v>
      </c>
      <c r="D2205" s="3" t="str">
        <f>IFERROR(__xludf.DUMMYFUNCTION("""COMPUTED_VALUE"""),"76379bb5")</f>
        <v>76379bb5</v>
      </c>
      <c r="E2205" s="54">
        <f>IFERROR(__xludf.DUMMYFUNCTION("""COMPUTED_VALUE"""),21600.0)</f>
        <v>21600</v>
      </c>
      <c r="F2205" s="3" t="str">
        <f>IFERROR(__xludf.DUMMYFUNCTION("""COMPUTED_VALUE"""),"Pedro Gimenez")</f>
        <v>Pedro Gimenez</v>
      </c>
      <c r="G2205" s="3"/>
      <c r="H2205" s="3"/>
      <c r="I2205" s="3"/>
      <c r="J2205" s="3"/>
      <c r="K2205" s="57">
        <f>IFERROR(__xludf.DUMMYFUNCTION("""COMPUTED_VALUE"""),3.56)</f>
        <v>3.56</v>
      </c>
      <c r="L2205" s="54">
        <f>IFERROR(__xludf.DUMMYFUNCTION("""COMPUTED_VALUE"""),12.0)</f>
        <v>12</v>
      </c>
      <c r="M2205" s="3">
        <f>IFERROR(__xludf.DUMMYFUNCTION("""COMPUTED_VALUE"""),86.0)</f>
        <v>86</v>
      </c>
      <c r="N2205" s="3"/>
      <c r="O2205" s="3"/>
      <c r="P2205" s="3"/>
      <c r="Q2205" s="3"/>
      <c r="R2205" s="3">
        <f>IFERROR(__xludf.DUMMYFUNCTION("""COMPUTED_VALUE"""),0.0)</f>
        <v>0</v>
      </c>
      <c r="S2205" s="3"/>
      <c r="T2205" s="5"/>
      <c r="U2205" s="5"/>
      <c r="V2205" s="5"/>
      <c r="W2205" s="5"/>
    </row>
    <row r="2206" ht="15.75" customHeight="1">
      <c r="A2206" s="3">
        <f>IFERROR(__xludf.DUMMYFUNCTION("""COMPUTED_VALUE"""),2206.0)</f>
        <v>2206</v>
      </c>
      <c r="B2206" s="53">
        <f>IFERROR(__xludf.DUMMYFUNCTION("""COMPUTED_VALUE"""),46126.0)</f>
        <v>46126</v>
      </c>
      <c r="C2206" s="3">
        <f>IFERROR(__xludf.DUMMYFUNCTION("""COMPUTED_VALUE"""),31.0)</f>
        <v>31</v>
      </c>
      <c r="D2206" s="3" t="str">
        <f>IFERROR(__xludf.DUMMYFUNCTION("""COMPUTED_VALUE"""),"fed1f4a1")</f>
        <v>fed1f4a1</v>
      </c>
      <c r="E2206" s="54">
        <f>IFERROR(__xludf.DUMMYFUNCTION("""COMPUTED_VALUE"""),25000.0)</f>
        <v>25000</v>
      </c>
      <c r="F2206" s="3" t="str">
        <f>IFERROR(__xludf.DUMMYFUNCTION("""COMPUTED_VALUE"""),"Torrontes")</f>
        <v>Torrontes</v>
      </c>
      <c r="G2206" s="3"/>
      <c r="H2206" s="3"/>
      <c r="I2206" s="3"/>
      <c r="J2206" s="3"/>
      <c r="K2206" s="57">
        <f>IFERROR(__xludf.DUMMYFUNCTION("""COMPUTED_VALUE"""),3.41)</f>
        <v>3.41</v>
      </c>
      <c r="L2206" s="54">
        <f>IFERROR(__xludf.DUMMYFUNCTION("""COMPUTED_VALUE"""),12.0)</f>
        <v>12</v>
      </c>
      <c r="M2206" s="3">
        <f>IFERROR(__xludf.DUMMYFUNCTION("""COMPUTED_VALUE"""),87.0)</f>
        <v>87</v>
      </c>
      <c r="N2206" s="3"/>
      <c r="O2206" s="3"/>
      <c r="P2206" s="3"/>
      <c r="Q2206" s="3"/>
      <c r="R2206" s="3">
        <f>IFERROR(__xludf.DUMMYFUNCTION("""COMPUTED_VALUE"""),0.0)</f>
        <v>0</v>
      </c>
      <c r="S2206" s="3"/>
      <c r="T2206" s="5"/>
      <c r="U2206" s="5"/>
      <c r="V2206" s="5"/>
      <c r="W2206" s="5"/>
    </row>
    <row r="2207" ht="15.75" customHeight="1">
      <c r="A2207" s="3">
        <f>IFERROR(__xludf.DUMMYFUNCTION("""COMPUTED_VALUE"""),2207.0)</f>
        <v>2207</v>
      </c>
      <c r="B2207" s="53">
        <f>IFERROR(__xludf.DUMMYFUNCTION("""COMPUTED_VALUE"""),46126.0)</f>
        <v>46126</v>
      </c>
      <c r="C2207" s="3">
        <f>IFERROR(__xludf.DUMMYFUNCTION("""COMPUTED_VALUE"""),24.0)</f>
        <v>24</v>
      </c>
      <c r="D2207" s="3" t="str">
        <f>IFERROR(__xludf.DUMMYFUNCTION("""COMPUTED_VALUE"""),"4c079f49")</f>
        <v>4c079f49</v>
      </c>
      <c r="E2207" s="54">
        <f>IFERROR(__xludf.DUMMYFUNCTION("""COMPUTED_VALUE"""),171600.0)</f>
        <v>171600</v>
      </c>
      <c r="F2207" s="3" t="str">
        <f>IFERROR(__xludf.DUMMYFUNCTION("""COMPUTED_VALUE"""),"Malbec pc")</f>
        <v>Malbec pc</v>
      </c>
      <c r="G2207" s="3"/>
      <c r="H2207" s="3"/>
      <c r="I2207" s="3"/>
      <c r="J2207" s="3"/>
      <c r="K2207" s="57">
        <f>IFERROR(__xludf.DUMMYFUNCTION("""COMPUTED_VALUE"""),3.8)</f>
        <v>3.8</v>
      </c>
      <c r="L2207" s="54">
        <f>IFERROR(__xludf.DUMMYFUNCTION("""COMPUTED_VALUE"""),30.0)</f>
        <v>30</v>
      </c>
      <c r="M2207" s="3">
        <f>IFERROR(__xludf.DUMMYFUNCTION("""COMPUTED_VALUE"""),83.0)</f>
        <v>83</v>
      </c>
      <c r="N2207" s="3"/>
      <c r="O2207" s="3"/>
      <c r="P2207" s="3"/>
      <c r="Q2207" s="3"/>
      <c r="R2207" s="3">
        <f>IFERROR(__xludf.DUMMYFUNCTION("""COMPUTED_VALUE"""),0.0)</f>
        <v>0</v>
      </c>
      <c r="S2207" s="3"/>
      <c r="T2207" s="5"/>
      <c r="U2207" s="5"/>
      <c r="V2207" s="5"/>
      <c r="W2207" s="5"/>
    </row>
    <row r="2208" ht="15.75" customHeight="1">
      <c r="A2208" s="3">
        <f>IFERROR(__xludf.DUMMYFUNCTION("""COMPUTED_VALUE"""),2208.0)</f>
        <v>2208</v>
      </c>
      <c r="B2208" s="53">
        <f>IFERROR(__xludf.DUMMYFUNCTION("""COMPUTED_VALUE"""),46126.0)</f>
        <v>46126</v>
      </c>
      <c r="C2208" s="3">
        <f>IFERROR(__xludf.DUMMYFUNCTION("""COMPUTED_VALUE"""),25.0)</f>
        <v>25</v>
      </c>
      <c r="D2208" s="3" t="str">
        <f>IFERROR(__xludf.DUMMYFUNCTION("""COMPUTED_VALUE"""),"072a8a51")</f>
        <v>072a8a51</v>
      </c>
      <c r="E2208" s="54">
        <f>IFERROR(__xludf.DUMMYFUNCTION("""COMPUTED_VALUE"""),194300.0)</f>
        <v>194300</v>
      </c>
      <c r="F2208" s="3" t="str">
        <f>IFERROR(__xludf.DUMMYFUNCTION("""COMPUTED_VALUE"""),"Malbec Man")</f>
        <v>Malbec Man</v>
      </c>
      <c r="G2208" s="3"/>
      <c r="H2208" s="3"/>
      <c r="I2208" s="3"/>
      <c r="J2208" s="3"/>
      <c r="K2208" s="57">
        <f>IFERROR(__xludf.DUMMYFUNCTION("""COMPUTED_VALUE"""),3.88)</f>
        <v>3.88</v>
      </c>
      <c r="L2208" s="54">
        <f>IFERROR(__xludf.DUMMYFUNCTION("""COMPUTED_VALUE"""),26.0)</f>
        <v>26</v>
      </c>
      <c r="M2208" s="3">
        <f>IFERROR(__xludf.DUMMYFUNCTION("""COMPUTED_VALUE"""),78.0)</f>
        <v>78</v>
      </c>
      <c r="N2208" s="3"/>
      <c r="O2208" s="3"/>
      <c r="P2208" s="3"/>
      <c r="Q2208" s="3"/>
      <c r="R2208" s="3">
        <f>IFERROR(__xludf.DUMMYFUNCTION("""COMPUTED_VALUE"""),0.0)</f>
        <v>0</v>
      </c>
      <c r="S2208" s="3"/>
      <c r="T2208" s="5"/>
      <c r="U2208" s="5"/>
      <c r="V2208" s="5"/>
      <c r="W2208" s="5"/>
    </row>
    <row r="2209" ht="15.75" customHeight="1">
      <c r="A2209" s="3">
        <f>IFERROR(__xludf.DUMMYFUNCTION("""COMPUTED_VALUE"""),2209.0)</f>
        <v>2209</v>
      </c>
      <c r="B2209" s="53">
        <f>IFERROR(__xludf.DUMMYFUNCTION("""COMPUTED_VALUE"""),46126.0)</f>
        <v>46126</v>
      </c>
      <c r="C2209" s="3">
        <f>IFERROR(__xludf.DUMMYFUNCTION("""COMPUTED_VALUE"""),32.0)</f>
        <v>32</v>
      </c>
      <c r="D2209" s="3" t="str">
        <f>IFERROR(__xludf.DUMMYFUNCTION("""COMPUTED_VALUE"""),"8a001ceb")</f>
        <v>8a001ceb</v>
      </c>
      <c r="E2209" s="54">
        <f>IFERROR(__xludf.DUMMYFUNCTION("""COMPUTED_VALUE"""),36300.0)</f>
        <v>36300</v>
      </c>
      <c r="F2209" s="3" t="str">
        <f>IFERROR(__xludf.DUMMYFUNCTION("""COMPUTED_VALUE"""),"Malbec")</f>
        <v>Malbec</v>
      </c>
      <c r="G2209" s="3"/>
      <c r="H2209" s="3"/>
      <c r="I2209" s="3"/>
      <c r="J2209" s="3"/>
      <c r="K2209" s="57">
        <f>IFERROR(__xludf.DUMMYFUNCTION("""COMPUTED_VALUE"""),3.87)</f>
        <v>3.87</v>
      </c>
      <c r="L2209" s="54">
        <f>IFERROR(__xludf.DUMMYFUNCTION("""COMPUTED_VALUE"""),26.0)</f>
        <v>26</v>
      </c>
      <c r="M2209" s="3">
        <f>IFERROR(__xludf.DUMMYFUNCTION("""COMPUTED_VALUE"""),77.0)</f>
        <v>77</v>
      </c>
      <c r="N2209" s="3"/>
      <c r="O2209" s="3"/>
      <c r="P2209" s="3"/>
      <c r="Q2209" s="3"/>
      <c r="R2209" s="3">
        <f>IFERROR(__xludf.DUMMYFUNCTION("""COMPUTED_VALUE"""),0.0)</f>
        <v>0</v>
      </c>
      <c r="S2209" s="3"/>
      <c r="T2209" s="5"/>
      <c r="U2209" s="5"/>
      <c r="V2209" s="5"/>
      <c r="W2209" s="5"/>
    </row>
    <row r="2210" ht="15.75" customHeight="1">
      <c r="A2210" s="3">
        <f>IFERROR(__xludf.DUMMYFUNCTION("""COMPUTED_VALUE"""),2210.0)</f>
        <v>2210</v>
      </c>
      <c r="B2210" s="53">
        <f>IFERROR(__xludf.DUMMYFUNCTION("""COMPUTED_VALUE"""),46127.0)</f>
        <v>46127</v>
      </c>
      <c r="C2210" s="3">
        <f>IFERROR(__xludf.DUMMYFUNCTION("""COMPUTED_VALUE"""),125.0)</f>
        <v>125</v>
      </c>
      <c r="D2210" s="3" t="str">
        <f>IFERROR(__xludf.DUMMYFUNCTION("""COMPUTED_VALUE"""),"#REF!")</f>
        <v>#REF!</v>
      </c>
      <c r="E2210" s="3"/>
      <c r="F2210" s="3" t="str">
        <f>IFERROR(__xludf.DUMMYFUNCTION("""COMPUTED_VALUE"""),"criolla")</f>
        <v>criolla</v>
      </c>
      <c r="G2210" s="3"/>
      <c r="H2210" s="56">
        <f>IFERROR(__xludf.DUMMYFUNCTION("""COMPUTED_VALUE"""),220.0)</f>
        <v>220</v>
      </c>
      <c r="I2210" s="3"/>
      <c r="J2210" s="3"/>
      <c r="K2210" s="57">
        <f>IFERROR(__xludf.DUMMYFUNCTION("""COMPUTED_VALUE"""),3.96)</f>
        <v>3.96</v>
      </c>
      <c r="L2210" s="3"/>
      <c r="M2210" s="3"/>
      <c r="N2210" s="3"/>
      <c r="O2210" s="3"/>
      <c r="P2210" s="3"/>
      <c r="Q2210" s="3"/>
      <c r="R2210" s="3">
        <f>IFERROR(__xludf.DUMMYFUNCTION("""COMPUTED_VALUE"""),0.0)</f>
        <v>0</v>
      </c>
      <c r="S2210" s="3"/>
      <c r="T2210" s="5"/>
      <c r="U2210" s="5"/>
      <c r="V2210" s="5"/>
      <c r="W2210" s="5"/>
    </row>
    <row r="2211" ht="15.75" customHeight="1">
      <c r="A2211" s="3">
        <f>IFERROR(__xludf.DUMMYFUNCTION("""COMPUTED_VALUE"""),2211.0)</f>
        <v>2211</v>
      </c>
      <c r="B2211" s="53">
        <f>IFERROR(__xludf.DUMMYFUNCTION("""COMPUTED_VALUE"""),46127.0)</f>
        <v>46127</v>
      </c>
      <c r="C2211" s="3">
        <f>IFERROR(__xludf.DUMMYFUNCTION("""COMPUTED_VALUE"""),14.0)</f>
        <v>14</v>
      </c>
      <c r="D2211" s="3" t="str">
        <f>IFERROR(__xludf.DUMMYFUNCTION("""COMPUTED_VALUE"""),"71ea6a8a")</f>
        <v>71ea6a8a</v>
      </c>
      <c r="E2211" s="54">
        <f>IFERROR(__xludf.DUMMYFUNCTION("""COMPUTED_VALUE"""),19000.0)</f>
        <v>19000</v>
      </c>
      <c r="F2211" s="3" t="str">
        <f>IFERROR(__xludf.DUMMYFUNCTION("""COMPUTED_VALUE"""),"Criolla")</f>
        <v>Criolla</v>
      </c>
      <c r="G2211" s="3"/>
      <c r="H2211" s="3"/>
      <c r="I2211" s="57">
        <f>IFERROR(__xludf.DUMMYFUNCTION("""COMPUTED_VALUE"""),0.52)</f>
        <v>0.52</v>
      </c>
      <c r="J2211" s="3"/>
      <c r="K2211" s="57">
        <f>IFERROR(__xludf.DUMMYFUNCTION("""COMPUTED_VALUE"""),3.8)</f>
        <v>3.8</v>
      </c>
      <c r="L2211" s="54">
        <f>IFERROR(__xludf.DUMMYFUNCTION("""COMPUTED_VALUE"""),6.0)</f>
        <v>6</v>
      </c>
      <c r="M2211" s="3"/>
      <c r="N2211" s="3"/>
      <c r="O2211" s="3"/>
      <c r="P2211" s="3"/>
      <c r="Q2211" s="3"/>
      <c r="R2211" s="3">
        <f>IFERROR(__xludf.DUMMYFUNCTION("""COMPUTED_VALUE"""),0.0)</f>
        <v>0</v>
      </c>
      <c r="S2211" s="3"/>
      <c r="T2211" s="5"/>
      <c r="U2211" s="5"/>
      <c r="V2211" s="5"/>
      <c r="W2211" s="5"/>
    </row>
    <row r="2212" ht="15.75" customHeight="1">
      <c r="A2212" s="3">
        <f>IFERROR(__xludf.DUMMYFUNCTION("""COMPUTED_VALUE"""),2212.0)</f>
        <v>2212</v>
      </c>
      <c r="B2212" s="53">
        <f>IFERROR(__xludf.DUMMYFUNCTION("""COMPUTED_VALUE"""),46127.0)</f>
        <v>46127</v>
      </c>
      <c r="C2212" s="3">
        <f>IFERROR(__xludf.DUMMYFUNCTION("""COMPUTED_VALUE"""),69.0)</f>
        <v>69</v>
      </c>
      <c r="D2212" s="3" t="str">
        <f>IFERROR(__xludf.DUMMYFUNCTION("""COMPUTED_VALUE"""),"ca101950")</f>
        <v>ca101950</v>
      </c>
      <c r="E2212" s="54">
        <f>IFERROR(__xludf.DUMMYFUNCTION("""COMPUTED_VALUE"""),7600.0)</f>
        <v>7600</v>
      </c>
      <c r="F2212" s="3" t="str">
        <f>IFERROR(__xludf.DUMMYFUNCTION("""COMPUTED_VALUE"""),"Criolla Filt")</f>
        <v>Criolla Filt</v>
      </c>
      <c r="G2212" s="3"/>
      <c r="H2212" s="56">
        <f>IFERROR(__xludf.DUMMYFUNCTION("""COMPUTED_VALUE"""),2.0)</f>
        <v>2</v>
      </c>
      <c r="I2212" s="3"/>
      <c r="J2212" s="3"/>
      <c r="K2212" s="57">
        <f>IFERROR(__xludf.DUMMYFUNCTION("""COMPUTED_VALUE"""),3.28)</f>
        <v>3.28</v>
      </c>
      <c r="L2212" s="3"/>
      <c r="M2212" s="3"/>
      <c r="N2212" s="3"/>
      <c r="O2212" s="3"/>
      <c r="P2212" s="3"/>
      <c r="Q2212" s="3"/>
      <c r="R2212" s="3">
        <f>IFERROR(__xludf.DUMMYFUNCTION("""COMPUTED_VALUE"""),0.0)</f>
        <v>0</v>
      </c>
      <c r="S2212" s="3"/>
      <c r="T2212" s="5"/>
      <c r="U2212" s="5"/>
      <c r="V2212" s="5"/>
      <c r="W2212" s="5"/>
    </row>
    <row r="2213" ht="15.75" customHeight="1">
      <c r="A2213" s="3">
        <f>IFERROR(__xludf.DUMMYFUNCTION("""COMPUTED_VALUE"""),2213.0)</f>
        <v>2213</v>
      </c>
      <c r="B2213" s="53">
        <f>IFERROR(__xludf.DUMMYFUNCTION("""COMPUTED_VALUE"""),46127.0)</f>
        <v>46127</v>
      </c>
      <c r="C2213" s="3">
        <f>IFERROR(__xludf.DUMMYFUNCTION("""COMPUTED_VALUE"""),70.0)</f>
        <v>70</v>
      </c>
      <c r="D2213" s="3" t="str">
        <f>IFERROR(__xludf.DUMMYFUNCTION("""COMPUTED_VALUE"""),"31c21fdb")</f>
        <v>31c21fdb</v>
      </c>
      <c r="E2213" s="54">
        <f>IFERROR(__xludf.DUMMYFUNCTION("""COMPUTED_VALUE"""),6600.0)</f>
        <v>6600</v>
      </c>
      <c r="F2213" s="3" t="str">
        <f>IFERROR(__xludf.DUMMYFUNCTION("""COMPUTED_VALUE"""),"Criolla Filt")</f>
        <v>Criolla Filt</v>
      </c>
      <c r="G2213" s="3"/>
      <c r="H2213" s="56">
        <f>IFERROR(__xludf.DUMMYFUNCTION("""COMPUTED_VALUE"""),2.0)</f>
        <v>2</v>
      </c>
      <c r="I2213" s="3"/>
      <c r="J2213" s="3"/>
      <c r="K2213" s="57">
        <f>IFERROR(__xludf.DUMMYFUNCTION("""COMPUTED_VALUE"""),3.41)</f>
        <v>3.41</v>
      </c>
      <c r="L2213" s="3"/>
      <c r="M2213" s="3"/>
      <c r="N2213" s="3"/>
      <c r="O2213" s="3"/>
      <c r="P2213" s="3"/>
      <c r="Q2213" s="3"/>
      <c r="R2213" s="3">
        <f>IFERROR(__xludf.DUMMYFUNCTION("""COMPUTED_VALUE"""),0.0)</f>
        <v>0</v>
      </c>
      <c r="S2213" s="3"/>
      <c r="T2213" s="5"/>
      <c r="U2213" s="5"/>
      <c r="V2213" s="5"/>
      <c r="W2213" s="5"/>
    </row>
    <row r="2214" ht="15.75" customHeight="1">
      <c r="A2214" s="3">
        <f>IFERROR(__xludf.DUMMYFUNCTION("""COMPUTED_VALUE"""),2214.0)</f>
        <v>2214</v>
      </c>
      <c r="B2214" s="53">
        <f>IFERROR(__xludf.DUMMYFUNCTION("""COMPUTED_VALUE"""),46127.0)</f>
        <v>46127</v>
      </c>
      <c r="C2214" s="3">
        <f>IFERROR(__xludf.DUMMYFUNCTION("""COMPUTED_VALUE"""),65.0)</f>
        <v>65</v>
      </c>
      <c r="D2214" s="3" t="str">
        <f>IFERROR(__xludf.DUMMYFUNCTION("""COMPUTED_VALUE"""),"d932789c")</f>
        <v>d932789c</v>
      </c>
      <c r="E2214" s="54">
        <f>IFERROR(__xludf.DUMMYFUNCTION("""COMPUTED_VALUE"""),34400.0)</f>
        <v>34400</v>
      </c>
      <c r="F2214" s="3" t="str">
        <f>IFERROR(__xludf.DUMMYFUNCTION("""COMPUTED_VALUE"""),"Criolla PC")</f>
        <v>Criolla PC</v>
      </c>
      <c r="G2214" s="3"/>
      <c r="H2214" s="56">
        <f>IFERROR(__xludf.DUMMYFUNCTION("""COMPUTED_VALUE"""),6.7)</f>
        <v>6.7</v>
      </c>
      <c r="I2214" s="3"/>
      <c r="J2214" s="3"/>
      <c r="K2214" s="57">
        <f>IFERROR(__xludf.DUMMYFUNCTION("""COMPUTED_VALUE"""),3.31)</f>
        <v>3.31</v>
      </c>
      <c r="L2214" s="3"/>
      <c r="M2214" s="3"/>
      <c r="N2214" s="3"/>
      <c r="O2214" s="3"/>
      <c r="P2214" s="3"/>
      <c r="Q2214" s="3"/>
      <c r="R2214" s="3">
        <f>IFERROR(__xludf.DUMMYFUNCTION("""COMPUTED_VALUE"""),0.0)</f>
        <v>0</v>
      </c>
      <c r="S2214" s="3"/>
      <c r="T2214" s="5"/>
      <c r="U2214" s="5"/>
      <c r="V2214" s="5"/>
      <c r="W2214" s="5"/>
    </row>
    <row r="2215" ht="15.75" customHeight="1">
      <c r="A2215" s="3">
        <f>IFERROR(__xludf.DUMMYFUNCTION("""COMPUTED_VALUE"""),2215.0)</f>
        <v>2215</v>
      </c>
      <c r="B2215" s="53">
        <f>IFERROR(__xludf.DUMMYFUNCTION("""COMPUTED_VALUE"""),46127.0)</f>
        <v>46127</v>
      </c>
      <c r="C2215" s="3">
        <f>IFERROR(__xludf.DUMMYFUNCTION("""COMPUTED_VALUE"""),91.0)</f>
        <v>91</v>
      </c>
      <c r="D2215" s="3" t="str">
        <f>IFERROR(__xludf.DUMMYFUNCTION("""COMPUTED_VALUE"""),"38741cb2")</f>
        <v>38741cb2</v>
      </c>
      <c r="E2215" s="54">
        <f>IFERROR(__xludf.DUMMYFUNCTION("""COMPUTED_VALUE"""),51500.0)</f>
        <v>51500</v>
      </c>
      <c r="F2215" s="3" t="str">
        <f>IFERROR(__xludf.DUMMYFUNCTION("""COMPUTED_VALUE"""),"Bonarda Maq")</f>
        <v>Bonarda Maq</v>
      </c>
      <c r="G2215" s="3"/>
      <c r="H2215" s="56">
        <f>IFERROR(__xludf.DUMMYFUNCTION("""COMPUTED_VALUE"""),2.0)</f>
        <v>2</v>
      </c>
      <c r="I2215" s="3"/>
      <c r="J2215" s="3"/>
      <c r="K2215" s="57">
        <f>IFERROR(__xludf.DUMMYFUNCTION("""COMPUTED_VALUE"""),3.89)</f>
        <v>3.89</v>
      </c>
      <c r="L2215" s="3"/>
      <c r="M2215" s="3"/>
      <c r="N2215" s="3"/>
      <c r="O2215" s="3"/>
      <c r="P2215" s="3"/>
      <c r="Q2215" s="3"/>
      <c r="R2215" s="3">
        <f>IFERROR(__xludf.DUMMYFUNCTION("""COMPUTED_VALUE"""),0.0)</f>
        <v>0</v>
      </c>
      <c r="S2215" s="3"/>
      <c r="T2215" s="5"/>
      <c r="U2215" s="5"/>
      <c r="V2215" s="5"/>
      <c r="W2215" s="5"/>
    </row>
    <row r="2216" ht="15.75" customHeight="1">
      <c r="A2216" s="3">
        <f>IFERROR(__xludf.DUMMYFUNCTION("""COMPUTED_VALUE"""),2216.0)</f>
        <v>2216</v>
      </c>
      <c r="B2216" s="53">
        <f>IFERROR(__xludf.DUMMYFUNCTION("""COMPUTED_VALUE"""),46127.0)</f>
        <v>46127</v>
      </c>
      <c r="C2216" s="3">
        <f>IFERROR(__xludf.DUMMYFUNCTION("""COMPUTED_VALUE"""),84.0)</f>
        <v>84</v>
      </c>
      <c r="D2216" s="3" t="str">
        <f>IFERROR(__xludf.DUMMYFUNCTION("""COMPUTED_VALUE"""),"8fd0424b")</f>
        <v>8fd0424b</v>
      </c>
      <c r="E2216" s="54">
        <f>IFERROR(__xludf.DUMMYFUNCTION("""COMPUTED_VALUE"""),54000.0)</f>
        <v>54000</v>
      </c>
      <c r="F2216" s="3" t="str">
        <f>IFERROR(__xludf.DUMMYFUNCTION("""COMPUTED_VALUE"""),"Bonarda")</f>
        <v>Bonarda</v>
      </c>
      <c r="G2216" s="3"/>
      <c r="H2216" s="56">
        <f>IFERROR(__xludf.DUMMYFUNCTION("""COMPUTED_VALUE"""),2.0)</f>
        <v>2</v>
      </c>
      <c r="I2216" s="3"/>
      <c r="J2216" s="3"/>
      <c r="K2216" s="57">
        <f>IFERROR(__xludf.DUMMYFUNCTION("""COMPUTED_VALUE"""),3.83)</f>
        <v>3.83</v>
      </c>
      <c r="L2216" s="3"/>
      <c r="M2216" s="3"/>
      <c r="N2216" s="3"/>
      <c r="O2216" s="3"/>
      <c r="P2216" s="3"/>
      <c r="Q2216" s="3"/>
      <c r="R2216" s="3">
        <f>IFERROR(__xludf.DUMMYFUNCTION("""COMPUTED_VALUE"""),0.0)</f>
        <v>0</v>
      </c>
      <c r="S2216" s="3"/>
      <c r="T2216" s="5"/>
      <c r="U2216" s="5"/>
      <c r="V2216" s="5"/>
      <c r="W2216" s="5"/>
    </row>
    <row r="2217" ht="15.75" customHeight="1">
      <c r="A2217" s="3">
        <f>IFERROR(__xludf.DUMMYFUNCTION("""COMPUTED_VALUE"""),2217.0)</f>
        <v>2217</v>
      </c>
      <c r="B2217" s="53">
        <f>IFERROR(__xludf.DUMMYFUNCTION("""COMPUTED_VALUE"""),46127.0)</f>
        <v>46127</v>
      </c>
      <c r="C2217" s="3">
        <f>IFERROR(__xludf.DUMMYFUNCTION("""COMPUTED_VALUE"""),78.0)</f>
        <v>78</v>
      </c>
      <c r="D2217" s="3" t="str">
        <f>IFERROR(__xludf.DUMMYFUNCTION("""COMPUTED_VALUE"""),"e8af8964")</f>
        <v>e8af8964</v>
      </c>
      <c r="E2217" s="54">
        <f>IFERROR(__xludf.DUMMYFUNCTION("""COMPUTED_VALUE"""),23000.0)</f>
        <v>23000</v>
      </c>
      <c r="F2217" s="3" t="str">
        <f>IFERROR(__xludf.DUMMYFUNCTION("""COMPUTED_VALUE"""),"Rosado Criolla")</f>
        <v>Rosado Criolla</v>
      </c>
      <c r="G2217" s="3"/>
      <c r="H2217" s="3"/>
      <c r="I2217" s="3"/>
      <c r="J2217" s="3"/>
      <c r="K2217" s="3"/>
      <c r="L2217" s="54">
        <f>IFERROR(__xludf.DUMMYFUNCTION("""COMPUTED_VALUE"""),10.0)</f>
        <v>10</v>
      </c>
      <c r="M2217" s="3">
        <f>IFERROR(__xludf.DUMMYFUNCTION("""COMPUTED_VALUE"""),70.0)</f>
        <v>70</v>
      </c>
      <c r="N2217" s="3"/>
      <c r="O2217" s="3"/>
      <c r="P2217" s="3"/>
      <c r="Q2217" s="3"/>
      <c r="R2217" s="3">
        <f>IFERROR(__xludf.DUMMYFUNCTION("""COMPUTED_VALUE"""),0.0)</f>
        <v>0</v>
      </c>
      <c r="S2217" s="3"/>
      <c r="T2217" s="5"/>
      <c r="U2217" s="5"/>
      <c r="V2217" s="5"/>
      <c r="W2217" s="5"/>
    </row>
    <row r="2218" ht="15.75" customHeight="1">
      <c r="A2218" s="3">
        <f>IFERROR(__xludf.DUMMYFUNCTION("""COMPUTED_VALUE"""),2218.0)</f>
        <v>2218</v>
      </c>
      <c r="B2218" s="53">
        <f>IFERROR(__xludf.DUMMYFUNCTION("""COMPUTED_VALUE"""),46127.0)</f>
        <v>46127</v>
      </c>
      <c r="C2218" s="3">
        <f>IFERROR(__xludf.DUMMYFUNCTION("""COMPUTED_VALUE"""),111.0)</f>
        <v>111</v>
      </c>
      <c r="D2218" s="3" t="str">
        <f>IFERROR(__xludf.DUMMYFUNCTION("""COMPUTED_VALUE"""),"3ba92525")</f>
        <v>3ba92525</v>
      </c>
      <c r="E2218" s="54">
        <f>IFERROR(__xludf.DUMMYFUNCTION("""COMPUTED_VALUE"""),4000.0)</f>
        <v>4000</v>
      </c>
      <c r="F2218" s="3" t="str">
        <f>IFERROR(__xludf.DUMMYFUNCTION("""COMPUTED_VALUE"""),"Syrah con Madera")</f>
        <v>Syrah con Madera</v>
      </c>
      <c r="G2218" s="3"/>
      <c r="H2218" s="3"/>
      <c r="I2218" s="3"/>
      <c r="J2218" s="3"/>
      <c r="K2218" s="3"/>
      <c r="L2218" s="54">
        <f>IFERROR(__xludf.DUMMYFUNCTION("""COMPUTED_VALUE"""),27.0)</f>
        <v>27</v>
      </c>
      <c r="M2218" s="3"/>
      <c r="N2218" s="3"/>
      <c r="O2218" s="3"/>
      <c r="P2218" s="3"/>
      <c r="Q2218" s="3"/>
      <c r="R2218" s="3">
        <f>IFERROR(__xludf.DUMMYFUNCTION("""COMPUTED_VALUE"""),0.0)</f>
        <v>0</v>
      </c>
      <c r="S2218" s="3"/>
      <c r="T2218" s="5"/>
      <c r="U2218" s="5"/>
      <c r="V2218" s="5"/>
      <c r="W2218" s="5"/>
    </row>
    <row r="2219" ht="15.75" customHeight="1">
      <c r="A2219" s="3">
        <f>IFERROR(__xludf.DUMMYFUNCTION("""COMPUTED_VALUE"""),2219.0)</f>
        <v>2219</v>
      </c>
      <c r="B2219" s="53">
        <f>IFERROR(__xludf.DUMMYFUNCTION("""COMPUTED_VALUE"""),46128.0)</f>
        <v>46128</v>
      </c>
      <c r="C2219" s="3">
        <f>IFERROR(__xludf.DUMMYFUNCTION("""COMPUTED_VALUE"""),126.0)</f>
        <v>126</v>
      </c>
      <c r="D2219" s="3" t="str">
        <f>IFERROR(__xludf.DUMMYFUNCTION("""COMPUTED_VALUE"""),"21fc2cc1")</f>
        <v>21fc2cc1</v>
      </c>
      <c r="E2219" s="54">
        <f>IFERROR(__xludf.DUMMYFUNCTION("""COMPUTED_VALUE"""),30000.0)</f>
        <v>30000</v>
      </c>
      <c r="F2219" s="3" t="str">
        <f>IFERROR(__xludf.DUMMYFUNCTION("""COMPUTED_VALUE"""),"Criolla PC")</f>
        <v>Criolla PC</v>
      </c>
      <c r="G2219" s="3"/>
      <c r="H2219" s="56">
        <f>IFERROR(__xludf.DUMMYFUNCTION("""COMPUTED_VALUE"""),15.0)</f>
        <v>15</v>
      </c>
      <c r="I2219" s="3"/>
      <c r="J2219" s="3"/>
      <c r="K2219" s="3"/>
      <c r="L2219" s="3"/>
      <c r="M2219" s="3"/>
      <c r="N2219" s="3"/>
      <c r="O2219" s="3"/>
      <c r="P2219" s="3"/>
      <c r="Q2219" s="3"/>
      <c r="R2219" s="3">
        <f>IFERROR(__xludf.DUMMYFUNCTION("""COMPUTED_VALUE"""),0.0)</f>
        <v>0</v>
      </c>
      <c r="S2219" s="3"/>
      <c r="T2219" s="5"/>
      <c r="U2219" s="5"/>
      <c r="V2219" s="5"/>
      <c r="W2219" s="5"/>
    </row>
    <row r="2220" ht="15.75" customHeight="1">
      <c r="A2220" s="3">
        <f>IFERROR(__xludf.DUMMYFUNCTION("""COMPUTED_VALUE"""),2220.0)</f>
        <v>2220</v>
      </c>
      <c r="B2220" s="53">
        <f>IFERROR(__xludf.DUMMYFUNCTION("""COMPUTED_VALUE"""),46128.0)</f>
        <v>46128</v>
      </c>
      <c r="C2220" s="3">
        <f>IFERROR(__xludf.DUMMYFUNCTION("""COMPUTED_VALUE"""),127.0)</f>
        <v>127</v>
      </c>
      <c r="D2220" s="3" t="str">
        <f>IFERROR(__xludf.DUMMYFUNCTION("""COMPUTED_VALUE"""),"87285660")</f>
        <v>87285660</v>
      </c>
      <c r="E2220" s="54">
        <f>IFERROR(__xludf.DUMMYFUNCTION("""COMPUTED_VALUE"""),30000.0)</f>
        <v>30000</v>
      </c>
      <c r="F2220" s="3" t="str">
        <f>IFERROR(__xludf.DUMMYFUNCTION("""COMPUTED_VALUE"""),"Criolla Mosto")</f>
        <v>Criolla Mosto</v>
      </c>
      <c r="G2220" s="3"/>
      <c r="H2220" s="56">
        <f>IFERROR(__xludf.DUMMYFUNCTION("""COMPUTED_VALUE"""),13.0)</f>
        <v>13</v>
      </c>
      <c r="I2220" s="3"/>
      <c r="J2220" s="3"/>
      <c r="K2220" s="3"/>
      <c r="L2220" s="3"/>
      <c r="M2220" s="3"/>
      <c r="N2220" s="3"/>
      <c r="O2220" s="3"/>
      <c r="P2220" s="3"/>
      <c r="Q2220" s="3"/>
      <c r="R2220" s="3">
        <f>IFERROR(__xludf.DUMMYFUNCTION("""COMPUTED_VALUE"""),0.0)</f>
        <v>0</v>
      </c>
      <c r="S2220" s="3"/>
      <c r="T2220" s="5"/>
      <c r="U2220" s="5"/>
      <c r="V2220" s="5"/>
      <c r="W2220" s="5"/>
    </row>
    <row r="2221" ht="15.75" customHeight="1">
      <c r="A2221" s="3">
        <f>IFERROR(__xludf.DUMMYFUNCTION("""COMPUTED_VALUE"""),2221.0)</f>
        <v>2221</v>
      </c>
      <c r="B2221" s="53">
        <f>IFERROR(__xludf.DUMMYFUNCTION("""COMPUTED_VALUE"""),46128.0)</f>
        <v>46128</v>
      </c>
      <c r="C2221" s="3">
        <f>IFERROR(__xludf.DUMMYFUNCTION("""COMPUTED_VALUE"""),34.0)</f>
        <v>34</v>
      </c>
      <c r="D2221" s="3" t="str">
        <f>IFERROR(__xludf.DUMMYFUNCTION("""COMPUTED_VALUE"""),"feffca11")</f>
        <v>feffca11</v>
      </c>
      <c r="E2221" s="54">
        <f>IFERROR(__xludf.DUMMYFUNCTION("""COMPUTED_VALUE"""),24020.0)</f>
        <v>24020</v>
      </c>
      <c r="F2221" s="3" t="str">
        <f>IFERROR(__xludf.DUMMYFUNCTION("""COMPUTED_VALUE"""),"Criolla")</f>
        <v>Criolla</v>
      </c>
      <c r="G2221" s="3"/>
      <c r="H2221" s="3"/>
      <c r="I2221" s="3"/>
      <c r="J2221" s="3"/>
      <c r="K2221" s="3"/>
      <c r="L2221" s="3"/>
      <c r="M2221" s="3"/>
      <c r="N2221" s="3"/>
      <c r="O2221" s="3"/>
      <c r="P2221" s="3"/>
      <c r="Q2221" s="3"/>
      <c r="R2221" s="3">
        <f>IFERROR(__xludf.DUMMYFUNCTION("""COMPUTED_VALUE"""),0.0)</f>
        <v>0</v>
      </c>
      <c r="S2221" s="3"/>
      <c r="T2221" s="5"/>
      <c r="U2221" s="5"/>
      <c r="V2221" s="5"/>
      <c r="W2221" s="5"/>
    </row>
    <row r="2222" ht="15.75" customHeight="1">
      <c r="A2222" s="3">
        <f>IFERROR(__xludf.DUMMYFUNCTION("""COMPUTED_VALUE"""),2222.0)</f>
        <v>2222</v>
      </c>
      <c r="B2222" s="53">
        <f>IFERROR(__xludf.DUMMYFUNCTION("""COMPUTED_VALUE"""),46128.0)</f>
        <v>46128</v>
      </c>
      <c r="C2222" s="3">
        <f>IFERROR(__xludf.DUMMYFUNCTION("""COMPUTED_VALUE"""),86.0)</f>
        <v>86</v>
      </c>
      <c r="D2222" s="3" t="str">
        <f>IFERROR(__xludf.DUMMYFUNCTION("""COMPUTED_VALUE"""),"aed16735")</f>
        <v>aed16735</v>
      </c>
      <c r="E2222" s="54">
        <f>IFERROR(__xludf.DUMMYFUNCTION("""COMPUTED_VALUE"""),49500.0)</f>
        <v>49500</v>
      </c>
      <c r="F2222" s="3" t="str">
        <f>IFERROR(__xludf.DUMMYFUNCTION("""COMPUTED_VALUE"""),"Bonarda PC")</f>
        <v>Bonarda PC</v>
      </c>
      <c r="G2222" s="3"/>
      <c r="H2222" s="56">
        <f>IFERROR(__xludf.DUMMYFUNCTION("""COMPUTED_VALUE"""),4.0)</f>
        <v>4</v>
      </c>
      <c r="I2222" s="3"/>
      <c r="J2222" s="3"/>
      <c r="K2222" s="3"/>
      <c r="L2222" s="3"/>
      <c r="M2222" s="3"/>
      <c r="N2222" s="3"/>
      <c r="O2222" s="3"/>
      <c r="P2222" s="3"/>
      <c r="Q2222" s="3"/>
      <c r="R2222" s="3">
        <f>IFERROR(__xludf.DUMMYFUNCTION("""COMPUTED_VALUE"""),0.0)</f>
        <v>0</v>
      </c>
      <c r="S2222" s="3"/>
      <c r="T2222" s="5"/>
      <c r="U2222" s="5"/>
      <c r="V2222" s="5"/>
      <c r="W2222" s="5"/>
    </row>
    <row r="2223" ht="15.75" customHeight="1">
      <c r="A2223" s="3">
        <f>IFERROR(__xludf.DUMMYFUNCTION("""COMPUTED_VALUE"""),2223.0)</f>
        <v>2223</v>
      </c>
      <c r="B2223" s="53">
        <f>IFERROR(__xludf.DUMMYFUNCTION("""COMPUTED_VALUE"""),46128.0)</f>
        <v>46128</v>
      </c>
      <c r="C2223" s="3">
        <f>IFERROR(__xludf.DUMMYFUNCTION("""COMPUTED_VALUE"""),83.0)</f>
        <v>83</v>
      </c>
      <c r="D2223" s="3" t="str">
        <f>IFERROR(__xludf.DUMMYFUNCTION("""COMPUTED_VALUE"""),"92cb02dd")</f>
        <v>92cb02dd</v>
      </c>
      <c r="E2223" s="54">
        <f>IFERROR(__xludf.DUMMYFUNCTION("""COMPUTED_VALUE"""),63000.0)</f>
        <v>63000</v>
      </c>
      <c r="F2223" s="3" t="str">
        <f>IFERROR(__xludf.DUMMYFUNCTION("""COMPUTED_VALUE"""),"Bonarda PC")</f>
        <v>Bonarda PC</v>
      </c>
      <c r="G2223" s="55">
        <f>IFERROR(__xludf.DUMMYFUNCTION("""COMPUTED_VALUE"""),12.3)</f>
        <v>12.3</v>
      </c>
      <c r="H2223" s="56">
        <f>IFERROR(__xludf.DUMMYFUNCTION("""COMPUTED_VALUE"""),10.0)</f>
        <v>10</v>
      </c>
      <c r="I2223" s="3"/>
      <c r="J2223" s="3"/>
      <c r="K2223" s="3"/>
      <c r="L2223" s="3"/>
      <c r="M2223" s="3"/>
      <c r="N2223" s="3"/>
      <c r="O2223" s="3"/>
      <c r="P2223" s="3"/>
      <c r="Q2223" s="3"/>
      <c r="R2223" s="3">
        <f>IFERROR(__xludf.DUMMYFUNCTION("""COMPUTED_VALUE"""),0.0)</f>
        <v>0</v>
      </c>
      <c r="S2223" s="3"/>
      <c r="T2223" s="5"/>
      <c r="U2223" s="5"/>
      <c r="V2223" s="5"/>
      <c r="W2223" s="5"/>
    </row>
    <row r="2224" ht="15.75" customHeight="1">
      <c r="A2224" s="3">
        <f>IFERROR(__xludf.DUMMYFUNCTION("""COMPUTED_VALUE"""),2224.0)</f>
        <v>2224</v>
      </c>
      <c r="B2224" s="53">
        <f>IFERROR(__xludf.DUMMYFUNCTION("""COMPUTED_VALUE"""),46128.0)</f>
        <v>46128</v>
      </c>
      <c r="C2224" s="3">
        <f>IFERROR(__xludf.DUMMYFUNCTION("""COMPUTED_VALUE"""),34.0)</f>
        <v>34</v>
      </c>
      <c r="D2224" s="3" t="str">
        <f>IFERROR(__xludf.DUMMYFUNCTION("""COMPUTED_VALUE"""),"feffca11")</f>
        <v>feffca11</v>
      </c>
      <c r="E2224" s="54">
        <f>IFERROR(__xludf.DUMMYFUNCTION("""COMPUTED_VALUE"""),24020.0)</f>
        <v>24020</v>
      </c>
      <c r="F2224" s="3" t="str">
        <f>IFERROR(__xludf.DUMMYFUNCTION("""COMPUTED_VALUE"""),"Criolla")</f>
        <v>Criolla</v>
      </c>
      <c r="G2224" s="55">
        <f>IFERROR(__xludf.DUMMYFUNCTION("""COMPUTED_VALUE"""),12.5)</f>
        <v>12.5</v>
      </c>
      <c r="H2224" s="56">
        <f>IFERROR(__xludf.DUMMYFUNCTION("""COMPUTED_VALUE"""),2.0)</f>
        <v>2</v>
      </c>
      <c r="I2224" s="57">
        <f>IFERROR(__xludf.DUMMYFUNCTION("""COMPUTED_VALUE"""),0.35)</f>
        <v>0.35</v>
      </c>
      <c r="J2224" s="57">
        <f>IFERROR(__xludf.DUMMYFUNCTION("""COMPUTED_VALUE"""),6.9)</f>
        <v>6.9</v>
      </c>
      <c r="K2224" s="57">
        <f>IFERROR(__xludf.DUMMYFUNCTION("""COMPUTED_VALUE"""),3.3)</f>
        <v>3.3</v>
      </c>
      <c r="L2224" s="54">
        <f>IFERROR(__xludf.DUMMYFUNCTION("""COMPUTED_VALUE"""),12.0)</f>
        <v>12</v>
      </c>
      <c r="M2224" s="3">
        <f>IFERROR(__xludf.DUMMYFUNCTION("""COMPUTED_VALUE"""),78.0)</f>
        <v>78</v>
      </c>
      <c r="N2224" s="3"/>
      <c r="O2224" s="3"/>
      <c r="P2224" s="3"/>
      <c r="Q2224" s="3"/>
      <c r="R2224" s="3">
        <f>IFERROR(__xludf.DUMMYFUNCTION("""COMPUTED_VALUE"""),0.0)</f>
        <v>0</v>
      </c>
      <c r="S2224" s="3"/>
      <c r="T2224" s="5"/>
      <c r="U2224" s="5"/>
      <c r="V2224" s="5"/>
      <c r="W2224" s="5"/>
    </row>
    <row r="2225" ht="15.75" customHeight="1">
      <c r="A2225" s="3">
        <f>IFERROR(__xludf.DUMMYFUNCTION("""COMPUTED_VALUE"""),2225.0)</f>
        <v>2225</v>
      </c>
      <c r="B2225" s="53">
        <f>IFERROR(__xludf.DUMMYFUNCTION("""COMPUTED_VALUE"""),46128.0)</f>
        <v>46128</v>
      </c>
      <c r="C2225" s="3">
        <f>IFERROR(__xludf.DUMMYFUNCTION("""COMPUTED_VALUE"""),70.0)</f>
        <v>70</v>
      </c>
      <c r="D2225" s="3" t="str">
        <f>IFERROR(__xludf.DUMMYFUNCTION("""COMPUTED_VALUE"""),"31c21fdb")</f>
        <v>31c21fdb</v>
      </c>
      <c r="E2225" s="54">
        <f>IFERROR(__xludf.DUMMYFUNCTION("""COMPUTED_VALUE"""),6600.0)</f>
        <v>6600</v>
      </c>
      <c r="F2225" s="3" t="str">
        <f>IFERROR(__xludf.DUMMYFUNCTION("""COMPUTED_VALUE"""),"Criolla Filt")</f>
        <v>Criolla Filt</v>
      </c>
      <c r="G2225" s="3"/>
      <c r="H2225" s="3"/>
      <c r="I2225" s="3"/>
      <c r="J2225" s="3"/>
      <c r="K2225" s="3"/>
      <c r="L2225" s="54">
        <f>IFERROR(__xludf.DUMMYFUNCTION("""COMPUTED_VALUE"""),12.0)</f>
        <v>12</v>
      </c>
      <c r="M2225" s="3"/>
      <c r="N2225" s="3"/>
      <c r="O2225" s="3"/>
      <c r="P2225" s="3"/>
      <c r="Q2225" s="3"/>
      <c r="R2225" s="3">
        <f>IFERROR(__xludf.DUMMYFUNCTION("""COMPUTED_VALUE"""),0.0)</f>
        <v>0</v>
      </c>
      <c r="S2225" s="3"/>
      <c r="T2225" s="5"/>
      <c r="U2225" s="5"/>
      <c r="V2225" s="5"/>
      <c r="W2225" s="5"/>
    </row>
    <row r="2226" ht="15.75" customHeight="1">
      <c r="A2226" s="3">
        <f>IFERROR(__xludf.DUMMYFUNCTION("""COMPUTED_VALUE"""),2226.0)</f>
        <v>2226</v>
      </c>
      <c r="B2226" s="53">
        <f>IFERROR(__xludf.DUMMYFUNCTION("""COMPUTED_VALUE"""),46127.0)</f>
        <v>46127</v>
      </c>
      <c r="C2226" s="3">
        <f>IFERROR(__xludf.DUMMYFUNCTION("""COMPUTED_VALUE"""),8.0)</f>
        <v>8</v>
      </c>
      <c r="D2226" s="3" t="str">
        <f>IFERROR(__xludf.DUMMYFUNCTION("""COMPUTED_VALUE"""),"76379bb5")</f>
        <v>76379bb5</v>
      </c>
      <c r="E2226" s="54">
        <f>IFERROR(__xludf.DUMMYFUNCTION("""COMPUTED_VALUE"""),21600.0)</f>
        <v>21600</v>
      </c>
      <c r="F2226" s="3" t="str">
        <f>IFERROR(__xludf.DUMMYFUNCTION("""COMPUTED_VALUE"""),"Pedro Gimenez")</f>
        <v>Pedro Gimenez</v>
      </c>
      <c r="G2226" s="55">
        <f>IFERROR(__xludf.DUMMYFUNCTION("""COMPUTED_VALUE"""),12.9)</f>
        <v>12.9</v>
      </c>
      <c r="H2226" s="56">
        <f>IFERROR(__xludf.DUMMYFUNCTION("""COMPUTED_VALUE"""),1.8)</f>
        <v>1.8</v>
      </c>
      <c r="I2226" s="57">
        <f>IFERROR(__xludf.DUMMYFUNCTION("""COMPUTED_VALUE"""),0.35)</f>
        <v>0.35</v>
      </c>
      <c r="J2226" s="57">
        <f>IFERROR(__xludf.DUMMYFUNCTION("""COMPUTED_VALUE"""),6.0)</f>
        <v>6</v>
      </c>
      <c r="K2226" s="3"/>
      <c r="L2226" s="3"/>
      <c r="M2226" s="3"/>
      <c r="N2226" s="3"/>
      <c r="O2226" s="3"/>
      <c r="P2226" s="3"/>
      <c r="Q2226" s="3"/>
      <c r="R2226" s="3">
        <f>IFERROR(__xludf.DUMMYFUNCTION("""COMPUTED_VALUE"""),0.0)</f>
        <v>0</v>
      </c>
      <c r="S2226" s="3"/>
      <c r="T2226" s="5"/>
      <c r="U2226" s="5"/>
      <c r="V2226" s="5"/>
      <c r="W2226" s="5"/>
    </row>
    <row r="2227" ht="15.75" customHeight="1">
      <c r="A2227" s="3">
        <f>IFERROR(__xludf.DUMMYFUNCTION("""COMPUTED_VALUE"""),2227.0)</f>
        <v>2227</v>
      </c>
      <c r="B2227" s="53">
        <f>IFERROR(__xludf.DUMMYFUNCTION("""COMPUTED_VALUE"""),46127.0)</f>
        <v>46127</v>
      </c>
      <c r="C2227" s="3">
        <f>IFERROR(__xludf.DUMMYFUNCTION("""COMPUTED_VALUE"""),24.0)</f>
        <v>24</v>
      </c>
      <c r="D2227" s="3" t="str">
        <f>IFERROR(__xludf.DUMMYFUNCTION("""COMPUTED_VALUE"""),"4c079f49")</f>
        <v>4c079f49</v>
      </c>
      <c r="E2227" s="54">
        <f>IFERROR(__xludf.DUMMYFUNCTION("""COMPUTED_VALUE"""),171600.0)</f>
        <v>171600</v>
      </c>
      <c r="F2227" s="3" t="str">
        <f>IFERROR(__xludf.DUMMYFUNCTION("""COMPUTED_VALUE"""),"Malbec pc")</f>
        <v>Malbec pc</v>
      </c>
      <c r="G2227" s="55">
        <f>IFERROR(__xludf.DUMMYFUNCTION("""COMPUTED_VALUE"""),13.3)</f>
        <v>13.3</v>
      </c>
      <c r="H2227" s="56">
        <f>IFERROR(__xludf.DUMMYFUNCTION("""COMPUTED_VALUE"""),2.4)</f>
        <v>2.4</v>
      </c>
      <c r="I2227" s="57">
        <f>IFERROR(__xludf.DUMMYFUNCTION("""COMPUTED_VALUE"""),0.4)</f>
        <v>0.4</v>
      </c>
      <c r="J2227" s="57">
        <f>IFERROR(__xludf.DUMMYFUNCTION("""COMPUTED_VALUE"""),6.0)</f>
        <v>6</v>
      </c>
      <c r="K2227" s="3"/>
      <c r="L2227" s="3"/>
      <c r="M2227" s="3"/>
      <c r="N2227" s="3"/>
      <c r="O2227" s="3"/>
      <c r="P2227" s="3"/>
      <c r="Q2227" s="3"/>
      <c r="R2227" s="3">
        <f>IFERROR(__xludf.DUMMYFUNCTION("""COMPUTED_VALUE"""),0.0)</f>
        <v>0</v>
      </c>
      <c r="S2227" s="3"/>
      <c r="T2227" s="5"/>
      <c r="U2227" s="5"/>
      <c r="V2227" s="5"/>
      <c r="W2227" s="5"/>
    </row>
    <row r="2228" ht="15.75" customHeight="1">
      <c r="A2228" s="3">
        <f>IFERROR(__xludf.DUMMYFUNCTION("""COMPUTED_VALUE"""),2228.0)</f>
        <v>2228</v>
      </c>
      <c r="B2228" s="53">
        <f>IFERROR(__xludf.DUMMYFUNCTION("""COMPUTED_VALUE"""),46127.0)</f>
        <v>46127</v>
      </c>
      <c r="C2228" s="3">
        <f>IFERROR(__xludf.DUMMYFUNCTION("""COMPUTED_VALUE"""),25.0)</f>
        <v>25</v>
      </c>
      <c r="D2228" s="3" t="str">
        <f>IFERROR(__xludf.DUMMYFUNCTION("""COMPUTED_VALUE"""),"072a8a51")</f>
        <v>072a8a51</v>
      </c>
      <c r="E2228" s="54">
        <f>IFERROR(__xludf.DUMMYFUNCTION("""COMPUTED_VALUE"""),194300.0)</f>
        <v>194300</v>
      </c>
      <c r="F2228" s="3" t="str">
        <f>IFERROR(__xludf.DUMMYFUNCTION("""COMPUTED_VALUE"""),"Malbec Man")</f>
        <v>Malbec Man</v>
      </c>
      <c r="G2228" s="55">
        <f>IFERROR(__xludf.DUMMYFUNCTION("""COMPUTED_VALUE"""),13.1)</f>
        <v>13.1</v>
      </c>
      <c r="H2228" s="56">
        <f>IFERROR(__xludf.DUMMYFUNCTION("""COMPUTED_VALUE"""),2.1)</f>
        <v>2.1</v>
      </c>
      <c r="I2228" s="57">
        <f>IFERROR(__xludf.DUMMYFUNCTION("""COMPUTED_VALUE"""),0.37)</f>
        <v>0.37</v>
      </c>
      <c r="J2228" s="57">
        <f>IFERROR(__xludf.DUMMYFUNCTION("""COMPUTED_VALUE"""),5.17)</f>
        <v>5.17</v>
      </c>
      <c r="K2228" s="3"/>
      <c r="L2228" s="3"/>
      <c r="M2228" s="3"/>
      <c r="N2228" s="3"/>
      <c r="O2228" s="3"/>
      <c r="P2228" s="3"/>
      <c r="Q2228" s="3"/>
      <c r="R2228" s="3">
        <f>IFERROR(__xludf.DUMMYFUNCTION("""COMPUTED_VALUE"""),0.0)</f>
        <v>0</v>
      </c>
      <c r="S2228" s="3"/>
      <c r="T2228" s="5"/>
      <c r="U2228" s="5"/>
      <c r="V2228" s="5"/>
      <c r="W2228" s="5"/>
    </row>
    <row r="2229" ht="15.75" customHeight="1">
      <c r="A2229" s="3">
        <f>IFERROR(__xludf.DUMMYFUNCTION("""COMPUTED_VALUE"""),2229.0)</f>
        <v>2229</v>
      </c>
      <c r="B2229" s="53">
        <f>IFERROR(__xludf.DUMMYFUNCTION("""COMPUTED_VALUE"""),46127.0)</f>
        <v>46127</v>
      </c>
      <c r="C2229" s="3">
        <f>IFERROR(__xludf.DUMMYFUNCTION("""COMPUTED_VALUE"""),31.0)</f>
        <v>31</v>
      </c>
      <c r="D2229" s="3" t="str">
        <f>IFERROR(__xludf.DUMMYFUNCTION("""COMPUTED_VALUE"""),"fed1f4a1")</f>
        <v>fed1f4a1</v>
      </c>
      <c r="E2229" s="54">
        <f>IFERROR(__xludf.DUMMYFUNCTION("""COMPUTED_VALUE"""),25000.0)</f>
        <v>25000</v>
      </c>
      <c r="F2229" s="3" t="str">
        <f>IFERROR(__xludf.DUMMYFUNCTION("""COMPUTED_VALUE"""),"Torrontes")</f>
        <v>Torrontes</v>
      </c>
      <c r="G2229" s="55">
        <f>IFERROR(__xludf.DUMMYFUNCTION("""COMPUTED_VALUE"""),14.0)</f>
        <v>14</v>
      </c>
      <c r="H2229" s="56">
        <f>IFERROR(__xludf.DUMMYFUNCTION("""COMPUTED_VALUE"""),2.3)</f>
        <v>2.3</v>
      </c>
      <c r="I2229" s="57">
        <f>IFERROR(__xludf.DUMMYFUNCTION("""COMPUTED_VALUE"""),0.35)</f>
        <v>0.35</v>
      </c>
      <c r="J2229" s="57">
        <f>IFERROR(__xludf.DUMMYFUNCTION("""COMPUTED_VALUE"""),5.7)</f>
        <v>5.7</v>
      </c>
      <c r="K2229" s="3"/>
      <c r="L2229" s="3"/>
      <c r="M2229" s="3"/>
      <c r="N2229" s="3"/>
      <c r="O2229" s="3"/>
      <c r="P2229" s="3"/>
      <c r="Q2229" s="3"/>
      <c r="R2229" s="3">
        <f>IFERROR(__xludf.DUMMYFUNCTION("""COMPUTED_VALUE"""),0.0)</f>
        <v>0</v>
      </c>
      <c r="S2229" s="3"/>
      <c r="T2229" s="5"/>
      <c r="U2229" s="5"/>
      <c r="V2229" s="5"/>
      <c r="W2229" s="5"/>
    </row>
    <row r="2230" ht="15.75" customHeight="1">
      <c r="A2230" s="3">
        <f>IFERROR(__xludf.DUMMYFUNCTION("""COMPUTED_VALUE"""),2230.0)</f>
        <v>2230</v>
      </c>
      <c r="B2230" s="53">
        <f>IFERROR(__xludf.DUMMYFUNCTION("""COMPUTED_VALUE"""),46127.0)</f>
        <v>46127</v>
      </c>
      <c r="C2230" s="3">
        <f>IFERROR(__xludf.DUMMYFUNCTION("""COMPUTED_VALUE"""),32.0)</f>
        <v>32</v>
      </c>
      <c r="D2230" s="3" t="str">
        <f>IFERROR(__xludf.DUMMYFUNCTION("""COMPUTED_VALUE"""),"8a001ceb")</f>
        <v>8a001ceb</v>
      </c>
      <c r="E2230" s="54">
        <f>IFERROR(__xludf.DUMMYFUNCTION("""COMPUTED_VALUE"""),36300.0)</f>
        <v>36300</v>
      </c>
      <c r="F2230" s="3" t="str">
        <f>IFERROR(__xludf.DUMMYFUNCTION("""COMPUTED_VALUE"""),"Malbec")</f>
        <v>Malbec</v>
      </c>
      <c r="G2230" s="55">
        <f>IFERROR(__xludf.DUMMYFUNCTION("""COMPUTED_VALUE"""),13.8)</f>
        <v>13.8</v>
      </c>
      <c r="H2230" s="56">
        <f>IFERROR(__xludf.DUMMYFUNCTION("""COMPUTED_VALUE"""),2.5)</f>
        <v>2.5</v>
      </c>
      <c r="I2230" s="57">
        <f>IFERROR(__xludf.DUMMYFUNCTION("""COMPUTED_VALUE"""),0.37)</f>
        <v>0.37</v>
      </c>
      <c r="J2230" s="57">
        <f>IFERROR(__xludf.DUMMYFUNCTION("""COMPUTED_VALUE"""),5.7)</f>
        <v>5.7</v>
      </c>
      <c r="K2230" s="3"/>
      <c r="L2230" s="3"/>
      <c r="M2230" s="3"/>
      <c r="N2230" s="3"/>
      <c r="O2230" s="3"/>
      <c r="P2230" s="3"/>
      <c r="Q2230" s="3"/>
      <c r="R2230" s="3">
        <f>IFERROR(__xludf.DUMMYFUNCTION("""COMPUTED_VALUE"""),0.0)</f>
        <v>0</v>
      </c>
      <c r="S2230" s="3"/>
      <c r="T2230" s="5"/>
      <c r="U2230" s="5"/>
      <c r="V2230" s="5"/>
      <c r="W2230" s="5"/>
    </row>
    <row r="2231" ht="15.75" customHeight="1">
      <c r="A2231" s="3">
        <f>IFERROR(__xludf.DUMMYFUNCTION("""COMPUTED_VALUE"""),2231.0)</f>
        <v>2231</v>
      </c>
      <c r="B2231" s="3"/>
      <c r="C2231" s="3">
        <f>IFERROR(__xludf.DUMMYFUNCTION("""COMPUTED_VALUE"""),78.0)</f>
        <v>78</v>
      </c>
      <c r="D2231" s="3" t="str">
        <f>IFERROR(__xludf.DUMMYFUNCTION("""COMPUTED_VALUE"""),"e8af8964")</f>
        <v>e8af8964</v>
      </c>
      <c r="E2231" s="54">
        <f>IFERROR(__xludf.DUMMYFUNCTION("""COMPUTED_VALUE"""),23000.0)</f>
        <v>23000</v>
      </c>
      <c r="F2231" s="3" t="str">
        <f>IFERROR(__xludf.DUMMYFUNCTION("""COMPUTED_VALUE"""),"Rosado Criolla")</f>
        <v>Rosado Criolla</v>
      </c>
      <c r="G2231" s="3"/>
      <c r="H2231" s="3"/>
      <c r="I2231" s="3"/>
      <c r="J2231" s="3"/>
      <c r="K2231" s="3"/>
      <c r="L2231" s="3"/>
      <c r="M2231" s="3"/>
      <c r="N2231" s="3"/>
      <c r="O2231" s="3"/>
      <c r="P2231" s="3"/>
      <c r="Q2231" s="3"/>
      <c r="R2231" s="3">
        <f>IFERROR(__xludf.DUMMYFUNCTION("""COMPUTED_VALUE"""),0.0)</f>
        <v>0</v>
      </c>
      <c r="S2231" s="3"/>
      <c r="T2231" s="5"/>
      <c r="U2231" s="5"/>
      <c r="V2231" s="5"/>
      <c r="W2231" s="5"/>
    </row>
    <row r="2232" ht="15.75" customHeight="1">
      <c r="A2232" s="3">
        <f>IFERROR(__xludf.DUMMYFUNCTION("""COMPUTED_VALUE"""),2232.0)</f>
        <v>2232</v>
      </c>
      <c r="B2232" s="3"/>
      <c r="C2232" s="3">
        <f>IFERROR(__xludf.DUMMYFUNCTION("""COMPUTED_VALUE"""),35.0)</f>
        <v>35</v>
      </c>
      <c r="D2232" s="3" t="str">
        <f>IFERROR(__xludf.DUMMYFUNCTION("""COMPUTED_VALUE"""),"a232f267")</f>
        <v>a232f267</v>
      </c>
      <c r="E2232" s="54">
        <f>IFERROR(__xludf.DUMMYFUNCTION("""COMPUTED_VALUE"""),39300.0)</f>
        <v>39300</v>
      </c>
      <c r="F2232" s="3" t="str">
        <f>IFERROR(__xludf.DUMMYFUNCTION("""COMPUTED_VALUE"""),"Malbec")</f>
        <v>Malbec</v>
      </c>
      <c r="G2232" s="3"/>
      <c r="H2232" s="3"/>
      <c r="I2232" s="3"/>
      <c r="J2232" s="3"/>
      <c r="K2232" s="3"/>
      <c r="L2232" s="3"/>
      <c r="M2232" s="3"/>
      <c r="N2232" s="3"/>
      <c r="O2232" s="3"/>
      <c r="P2232" s="3"/>
      <c r="Q2232" s="3"/>
      <c r="R2232" s="3">
        <f>IFERROR(__xludf.DUMMYFUNCTION("""COMPUTED_VALUE"""),0.0)</f>
        <v>0</v>
      </c>
      <c r="S2232" s="3"/>
      <c r="T2232" s="5"/>
      <c r="U2232" s="5"/>
      <c r="V2232" s="5"/>
      <c r="W2232" s="5"/>
    </row>
    <row r="2233" ht="15.75" customHeight="1">
      <c r="A2233" s="3">
        <f>IFERROR(__xludf.DUMMYFUNCTION("""COMPUTED_VALUE"""),2233.0)</f>
        <v>2233</v>
      </c>
      <c r="B2233" s="3"/>
      <c r="C2233" s="3">
        <f>IFERROR(__xludf.DUMMYFUNCTION("""COMPUTED_VALUE"""),116.0)</f>
        <v>116</v>
      </c>
      <c r="D2233" s="3" t="str">
        <f>IFERROR(__xludf.DUMMYFUNCTION("""COMPUTED_VALUE"""),"2e2886b4")</f>
        <v>2e2886b4</v>
      </c>
      <c r="E2233" s="54">
        <f>IFERROR(__xludf.DUMMYFUNCTION("""COMPUTED_VALUE"""),99600.0)</f>
        <v>99600</v>
      </c>
      <c r="F2233" s="3" t="str">
        <f>IFERROR(__xludf.DUMMYFUNCTION("""COMPUTED_VALUE"""),"Bonarda")</f>
        <v>Bonarda</v>
      </c>
      <c r="G2233" s="3"/>
      <c r="H2233" s="3"/>
      <c r="I2233" s="3"/>
      <c r="J2233" s="3"/>
      <c r="K2233" s="3"/>
      <c r="L2233" s="3"/>
      <c r="M2233" s="3"/>
      <c r="N2233" s="3"/>
      <c r="O2233" s="3"/>
      <c r="P2233" s="3"/>
      <c r="Q2233" s="3"/>
      <c r="R2233" s="3">
        <f>IFERROR(__xludf.DUMMYFUNCTION("""COMPUTED_VALUE"""),0.0)</f>
        <v>0</v>
      </c>
      <c r="S2233" s="3"/>
      <c r="T2233" s="5"/>
      <c r="U2233" s="5"/>
      <c r="V2233" s="5"/>
      <c r="W2233" s="5"/>
    </row>
    <row r="2234" ht="15.75" customHeight="1">
      <c r="A2234" s="3">
        <f>IFERROR(__xludf.DUMMYFUNCTION("""COMPUTED_VALUE"""),2234.0)</f>
        <v>2234</v>
      </c>
      <c r="B2234" s="53">
        <f>IFERROR(__xludf.DUMMYFUNCTION("""COMPUTED_VALUE"""),46129.0)</f>
        <v>46129</v>
      </c>
      <c r="C2234" s="3">
        <f>IFERROR(__xludf.DUMMYFUNCTION("""COMPUTED_VALUE"""),95.0)</f>
        <v>95</v>
      </c>
      <c r="D2234" s="3" t="str">
        <f>IFERROR(__xludf.DUMMYFUNCTION("""COMPUTED_VALUE"""),"e835b1c0")</f>
        <v>e835b1c0</v>
      </c>
      <c r="E2234" s="54">
        <f>IFERROR(__xludf.DUMMYFUNCTION("""COMPUTED_VALUE"""),36800.0)</f>
        <v>36800</v>
      </c>
      <c r="F2234" s="3" t="str">
        <f>IFERROR(__xludf.DUMMYFUNCTION("""COMPUTED_VALUE"""),"Bonarda C2")</f>
        <v>Bonarda C2</v>
      </c>
      <c r="G2234" s="3"/>
      <c r="H2234" s="56">
        <f>IFERROR(__xludf.DUMMYFUNCTION("""COMPUTED_VALUE"""),5.7)</f>
        <v>5.7</v>
      </c>
      <c r="I2234" s="3"/>
      <c r="J2234" s="3"/>
      <c r="K2234" s="3"/>
      <c r="L2234" s="3"/>
      <c r="M2234" s="3"/>
      <c r="N2234" s="3"/>
      <c r="O2234" s="3"/>
      <c r="P2234" s="3"/>
      <c r="Q2234" s="3"/>
      <c r="R2234" s="3">
        <f>IFERROR(__xludf.DUMMYFUNCTION("""COMPUTED_VALUE"""),0.0)</f>
        <v>0</v>
      </c>
      <c r="S2234" s="3"/>
      <c r="T2234" s="5"/>
      <c r="U2234" s="5"/>
      <c r="V2234" s="5"/>
      <c r="W2234" s="5"/>
    </row>
    <row r="2235" ht="15.75" customHeight="1">
      <c r="A2235" s="3">
        <f>IFERROR(__xludf.DUMMYFUNCTION("""COMPUTED_VALUE"""),2235.0)</f>
        <v>2235</v>
      </c>
      <c r="B2235" s="53">
        <f>IFERROR(__xludf.DUMMYFUNCTION("""COMPUTED_VALUE"""),46129.0)</f>
        <v>46129</v>
      </c>
      <c r="C2235" s="3">
        <f>IFERROR(__xludf.DUMMYFUNCTION("""COMPUTED_VALUE"""),102.0)</f>
        <v>102</v>
      </c>
      <c r="D2235" s="3" t="str">
        <f>IFERROR(__xludf.DUMMYFUNCTION("""COMPUTED_VALUE"""),"bc1c84db")</f>
        <v>bc1c84db</v>
      </c>
      <c r="E2235" s="54">
        <f>IFERROR(__xludf.DUMMYFUNCTION("""COMPUTED_VALUE"""),31000.0)</f>
        <v>31000</v>
      </c>
      <c r="F2235" s="3" t="str">
        <f>IFERROR(__xludf.DUMMYFUNCTION("""COMPUTED_VALUE"""),"Syrah Anc s/Asp 2")</f>
        <v>Syrah Anc s/Asp 2</v>
      </c>
      <c r="G2235" s="3"/>
      <c r="H2235" s="3"/>
      <c r="I2235" s="3"/>
      <c r="J2235" s="3"/>
      <c r="K2235" s="3"/>
      <c r="L2235" s="54">
        <f>IFERROR(__xludf.DUMMYFUNCTION("""COMPUTED_VALUE"""),51.0)</f>
        <v>51</v>
      </c>
      <c r="M2235" s="3">
        <f>IFERROR(__xludf.DUMMYFUNCTION("""COMPUTED_VALUE"""),115.0)</f>
        <v>115</v>
      </c>
      <c r="N2235" s="3"/>
      <c r="O2235" s="3"/>
      <c r="P2235" s="3"/>
      <c r="Q2235" s="3"/>
      <c r="R2235" s="3">
        <f>IFERROR(__xludf.DUMMYFUNCTION("""COMPUTED_VALUE"""),0.0)</f>
        <v>0</v>
      </c>
      <c r="S2235" s="3"/>
      <c r="T2235" s="5"/>
      <c r="U2235" s="5"/>
      <c r="V2235" s="5"/>
      <c r="W2235" s="5"/>
    </row>
    <row r="2236" ht="15.75" customHeight="1">
      <c r="A2236" s="3">
        <f>IFERROR(__xludf.DUMMYFUNCTION("""COMPUTED_VALUE"""),2236.0)</f>
        <v>2236</v>
      </c>
      <c r="B2236" s="53">
        <f>IFERROR(__xludf.DUMMYFUNCTION("""COMPUTED_VALUE"""),46129.0)</f>
        <v>46129</v>
      </c>
      <c r="C2236" s="3">
        <f>IFERROR(__xludf.DUMMYFUNCTION("""COMPUTED_VALUE"""),103.0)</f>
        <v>103</v>
      </c>
      <c r="D2236" s="3" t="str">
        <f>IFERROR(__xludf.DUMMYFUNCTION("""COMPUTED_VALUE"""),"a8f01ef9")</f>
        <v>a8f01ef9</v>
      </c>
      <c r="E2236" s="54">
        <f>IFERROR(__xludf.DUMMYFUNCTION("""COMPUTED_VALUE"""),28000.0)</f>
        <v>28000</v>
      </c>
      <c r="F2236" s="3" t="str">
        <f>IFERROR(__xludf.DUMMYFUNCTION("""COMPUTED_VALUE"""),"Syrah Anc s/Asp 2")</f>
        <v>Syrah Anc s/Asp 2</v>
      </c>
      <c r="G2236" s="3"/>
      <c r="H2236" s="3"/>
      <c r="I2236" s="3"/>
      <c r="J2236" s="3"/>
      <c r="K2236" s="3"/>
      <c r="L2236" s="54">
        <f>IFERROR(__xludf.DUMMYFUNCTION("""COMPUTED_VALUE"""),45.0)</f>
        <v>45</v>
      </c>
      <c r="M2236" s="3">
        <f>IFERROR(__xludf.DUMMYFUNCTION("""COMPUTED_VALUE"""),115.0)</f>
        <v>115</v>
      </c>
      <c r="N2236" s="3"/>
      <c r="O2236" s="3"/>
      <c r="P2236" s="3"/>
      <c r="Q2236" s="3"/>
      <c r="R2236" s="3">
        <f>IFERROR(__xludf.DUMMYFUNCTION("""COMPUTED_VALUE"""),0.0)</f>
        <v>0</v>
      </c>
      <c r="S2236" s="3"/>
      <c r="T2236" s="5"/>
      <c r="U2236" s="5"/>
      <c r="V2236" s="5"/>
      <c r="W2236" s="5"/>
    </row>
    <row r="2237" ht="15.75" customHeight="1">
      <c r="A2237" s="3">
        <f>IFERROR(__xludf.DUMMYFUNCTION("""COMPUTED_VALUE"""),2237.0)</f>
        <v>2237</v>
      </c>
      <c r="B2237" s="53">
        <f>IFERROR(__xludf.DUMMYFUNCTION("""COMPUTED_VALUE"""),46129.0)</f>
        <v>46129</v>
      </c>
      <c r="C2237" s="3">
        <f>IFERROR(__xludf.DUMMYFUNCTION("""COMPUTED_VALUE"""),104.0)</f>
        <v>104</v>
      </c>
      <c r="D2237" s="3" t="str">
        <f>IFERROR(__xludf.DUMMYFUNCTION("""COMPUTED_VALUE"""),"7831ca4f")</f>
        <v>7831ca4f</v>
      </c>
      <c r="E2237" s="54">
        <f>IFERROR(__xludf.DUMMYFUNCTION("""COMPUTED_VALUE"""),31000.0)</f>
        <v>31000</v>
      </c>
      <c r="F2237" s="3" t="str">
        <f>IFERROR(__xludf.DUMMYFUNCTION("""COMPUTED_VALUE"""),"Syrah s/Asp")</f>
        <v>Syrah s/Asp</v>
      </c>
      <c r="G2237" s="3"/>
      <c r="H2237" s="3"/>
      <c r="I2237" s="3"/>
      <c r="J2237" s="3"/>
      <c r="K2237" s="3"/>
      <c r="L2237" s="54">
        <f>IFERROR(__xludf.DUMMYFUNCTION("""COMPUTED_VALUE"""),46.0)</f>
        <v>46</v>
      </c>
      <c r="M2237" s="3">
        <f>IFERROR(__xludf.DUMMYFUNCTION("""COMPUTED_VALUE"""),112.0)</f>
        <v>112</v>
      </c>
      <c r="N2237" s="3"/>
      <c r="O2237" s="3"/>
      <c r="P2237" s="3">
        <f>IFERROR(__xludf.DUMMYFUNCTION("""COMPUTED_VALUE"""),0.0)</f>
        <v>0</v>
      </c>
      <c r="Q2237" s="3"/>
      <c r="R2237" s="3">
        <f>IFERROR(__xludf.DUMMYFUNCTION("""COMPUTED_VALUE"""),0.0)</f>
        <v>0</v>
      </c>
      <c r="S2237" s="3"/>
      <c r="T2237" s="5"/>
      <c r="U2237" s="5"/>
      <c r="V2237" s="5"/>
      <c r="W2237" s="5"/>
    </row>
    <row r="2238" ht="15.75" customHeight="1">
      <c r="A2238" s="3">
        <f>IFERROR(__xludf.DUMMYFUNCTION("""COMPUTED_VALUE"""),2238.0)</f>
        <v>2238</v>
      </c>
      <c r="B2238" s="53">
        <f>IFERROR(__xludf.DUMMYFUNCTION("""COMPUTED_VALUE"""),46129.0)</f>
        <v>46129</v>
      </c>
      <c r="C2238" s="3">
        <f>IFERROR(__xludf.DUMMYFUNCTION("""COMPUTED_VALUE"""),105.0)</f>
        <v>105</v>
      </c>
      <c r="D2238" s="3" t="str">
        <f>IFERROR(__xludf.DUMMYFUNCTION("""COMPUTED_VALUE"""),"c904d65f")</f>
        <v>c904d65f</v>
      </c>
      <c r="E2238" s="54">
        <f>IFERROR(__xludf.DUMMYFUNCTION("""COMPUTED_VALUE"""),29000.0)</f>
        <v>29000</v>
      </c>
      <c r="F2238" s="3" t="str">
        <f>IFERROR(__xludf.DUMMYFUNCTION("""COMPUTED_VALUE"""),"Syrah Merlot s/Asp 3")</f>
        <v>Syrah Merlot s/Asp 3</v>
      </c>
      <c r="G2238" s="3"/>
      <c r="H2238" s="3"/>
      <c r="I2238" s="3"/>
      <c r="J2238" s="3"/>
      <c r="K2238" s="3"/>
      <c r="L2238" s="54">
        <f>IFERROR(__xludf.DUMMYFUNCTION("""COMPUTED_VALUE"""),43.0)</f>
        <v>43</v>
      </c>
      <c r="M2238" s="3">
        <f>IFERROR(__xludf.DUMMYFUNCTION("""COMPUTED_VALUE"""),124.0)</f>
        <v>124</v>
      </c>
      <c r="N2238" s="3"/>
      <c r="O2238" s="3"/>
      <c r="P2238" s="3">
        <f>IFERROR(__xludf.DUMMYFUNCTION("""COMPUTED_VALUE"""),0.0)</f>
        <v>0</v>
      </c>
      <c r="Q2238" s="3"/>
      <c r="R2238" s="3">
        <f>IFERROR(__xludf.DUMMYFUNCTION("""COMPUTED_VALUE"""),0.0)</f>
        <v>0</v>
      </c>
      <c r="S2238" s="3"/>
      <c r="T2238" s="5"/>
      <c r="U2238" s="5"/>
      <c r="V2238" s="5"/>
      <c r="W2238" s="5"/>
    </row>
    <row r="2239" ht="15.75" customHeight="1">
      <c r="A2239" s="3">
        <f>IFERROR(__xludf.DUMMYFUNCTION("""COMPUTED_VALUE"""),2239.0)</f>
        <v>2239</v>
      </c>
      <c r="B2239" s="53">
        <f>IFERROR(__xludf.DUMMYFUNCTION("""COMPUTED_VALUE"""),46129.0)</f>
        <v>46129</v>
      </c>
      <c r="C2239" s="3">
        <f>IFERROR(__xludf.DUMMYFUNCTION("""COMPUTED_VALUE"""),106.0)</f>
        <v>106</v>
      </c>
      <c r="D2239" s="3" t="str">
        <f>IFERROR(__xludf.DUMMYFUNCTION("""COMPUTED_VALUE"""),"a55a2b1c")</f>
        <v>a55a2b1c</v>
      </c>
      <c r="E2239" s="54">
        <f>IFERROR(__xludf.DUMMYFUNCTION("""COMPUTED_VALUE"""),10010.0)</f>
        <v>10010</v>
      </c>
      <c r="F2239" s="3" t="str">
        <f>IFERROR(__xludf.DUMMYFUNCTION("""COMPUTED_VALUE"""),"Syrah Merlot s/Asp 3")</f>
        <v>Syrah Merlot s/Asp 3</v>
      </c>
      <c r="G2239" s="3"/>
      <c r="H2239" s="3"/>
      <c r="I2239" s="3"/>
      <c r="J2239" s="3"/>
      <c r="K2239" s="3"/>
      <c r="L2239" s="54">
        <f>IFERROR(__xludf.DUMMYFUNCTION("""COMPUTED_VALUE"""),33.0)</f>
        <v>33</v>
      </c>
      <c r="M2239" s="3">
        <f>IFERROR(__xludf.DUMMYFUNCTION("""COMPUTED_VALUE"""),121.0)</f>
        <v>121</v>
      </c>
      <c r="N2239" s="3"/>
      <c r="O2239" s="3"/>
      <c r="P2239" s="3">
        <f>IFERROR(__xludf.DUMMYFUNCTION("""COMPUTED_VALUE"""),0.0)</f>
        <v>0</v>
      </c>
      <c r="Q2239" s="3"/>
      <c r="R2239" s="3">
        <f>IFERROR(__xludf.DUMMYFUNCTION("""COMPUTED_VALUE"""),0.0)</f>
        <v>0</v>
      </c>
      <c r="S2239" s="3"/>
      <c r="T2239" s="5"/>
      <c r="U2239" s="5"/>
      <c r="V2239" s="5"/>
      <c r="W2239" s="5"/>
    </row>
    <row r="2240" ht="15.75" customHeight="1">
      <c r="A2240" s="3">
        <f>IFERROR(__xludf.DUMMYFUNCTION("""COMPUTED_VALUE"""),2240.0)</f>
        <v>2240</v>
      </c>
      <c r="B2240" s="53">
        <f>IFERROR(__xludf.DUMMYFUNCTION("""COMPUTED_VALUE"""),46129.0)</f>
        <v>46129</v>
      </c>
      <c r="C2240" s="3">
        <f>IFERROR(__xludf.DUMMYFUNCTION("""COMPUTED_VALUE"""),107.0)</f>
        <v>107</v>
      </c>
      <c r="D2240" s="3" t="str">
        <f>IFERROR(__xludf.DUMMYFUNCTION("""COMPUTED_VALUE"""),"5b072ae5")</f>
        <v>5b072ae5</v>
      </c>
      <c r="E2240" s="54">
        <f>IFERROR(__xludf.DUMMYFUNCTION("""COMPUTED_VALUE"""),29000.0)</f>
        <v>29000</v>
      </c>
      <c r="F2240" s="3" t="str">
        <f>IFERROR(__xludf.DUMMYFUNCTION("""COMPUTED_VALUE"""),"Syrah Merlot s/Asp 3")</f>
        <v>Syrah Merlot s/Asp 3</v>
      </c>
      <c r="G2240" s="3"/>
      <c r="H2240" s="3"/>
      <c r="I2240" s="3"/>
      <c r="J2240" s="3"/>
      <c r="K2240" s="3"/>
      <c r="L2240" s="54">
        <f>IFERROR(__xludf.DUMMYFUNCTION("""COMPUTED_VALUE"""),50.0)</f>
        <v>50</v>
      </c>
      <c r="M2240" s="3">
        <f>IFERROR(__xludf.DUMMYFUNCTION("""COMPUTED_VALUE"""),110.0)</f>
        <v>110</v>
      </c>
      <c r="N2240" s="3"/>
      <c r="O2240" s="3"/>
      <c r="P2240" s="3">
        <f>IFERROR(__xludf.DUMMYFUNCTION("""COMPUTED_VALUE"""),0.0)</f>
        <v>0</v>
      </c>
      <c r="Q2240" s="3"/>
      <c r="R2240" s="3">
        <f>IFERROR(__xludf.DUMMYFUNCTION("""COMPUTED_VALUE"""),0.0)</f>
        <v>0</v>
      </c>
      <c r="S2240" s="3"/>
      <c r="T2240" s="5"/>
      <c r="U2240" s="5"/>
      <c r="V2240" s="5"/>
      <c r="W2240" s="5"/>
    </row>
    <row r="2241" ht="15.75" customHeight="1">
      <c r="A2241" s="3">
        <f>IFERROR(__xludf.DUMMYFUNCTION("""COMPUTED_VALUE"""),2241.0)</f>
        <v>2241</v>
      </c>
      <c r="B2241" s="53">
        <f>IFERROR(__xludf.DUMMYFUNCTION("""COMPUTED_VALUE"""),46129.0)</f>
        <v>46129</v>
      </c>
      <c r="C2241" s="3">
        <f>IFERROR(__xludf.DUMMYFUNCTION("""COMPUTED_VALUE"""),108.0)</f>
        <v>108</v>
      </c>
      <c r="D2241" s="3" t="str">
        <f>IFERROR(__xludf.DUMMYFUNCTION("""COMPUTED_VALUE"""),"8cabfa9f")</f>
        <v>8cabfa9f</v>
      </c>
      <c r="E2241" s="54">
        <f>IFERROR(__xludf.DUMMYFUNCTION("""COMPUTED_VALUE"""),29490.0)</f>
        <v>29490</v>
      </c>
      <c r="F2241" s="3" t="str">
        <f>IFERROR(__xludf.DUMMYFUNCTION("""COMPUTED_VALUE"""),"Syrah Malbec s/Asp 2")</f>
        <v>Syrah Malbec s/Asp 2</v>
      </c>
      <c r="G2241" s="3"/>
      <c r="H2241" s="3"/>
      <c r="I2241" s="3"/>
      <c r="J2241" s="3"/>
      <c r="K2241" s="3"/>
      <c r="L2241" s="54">
        <f>IFERROR(__xludf.DUMMYFUNCTION("""COMPUTED_VALUE"""),44.0)</f>
        <v>44</v>
      </c>
      <c r="M2241" s="3">
        <f>IFERROR(__xludf.DUMMYFUNCTION("""COMPUTED_VALUE"""),100.0)</f>
        <v>100</v>
      </c>
      <c r="N2241" s="3"/>
      <c r="O2241" s="3"/>
      <c r="P2241" s="3">
        <f>IFERROR(__xludf.DUMMYFUNCTION("""COMPUTED_VALUE"""),0.0)</f>
        <v>0</v>
      </c>
      <c r="Q2241" s="3"/>
      <c r="R2241" s="3">
        <f>IFERROR(__xludf.DUMMYFUNCTION("""COMPUTED_VALUE"""),0.0)</f>
        <v>0</v>
      </c>
      <c r="S2241" s="3"/>
      <c r="T2241" s="5"/>
      <c r="U2241" s="5"/>
      <c r="V2241" s="5"/>
      <c r="W2241" s="5"/>
    </row>
    <row r="2242" ht="15.75" customHeight="1">
      <c r="A2242" s="3">
        <f>IFERROR(__xludf.DUMMYFUNCTION("""COMPUTED_VALUE"""),2242.0)</f>
        <v>2242</v>
      </c>
      <c r="B2242" s="53">
        <f>IFERROR(__xludf.DUMMYFUNCTION("""COMPUTED_VALUE"""),46129.0)</f>
        <v>46129</v>
      </c>
      <c r="C2242" s="3">
        <f>IFERROR(__xludf.DUMMYFUNCTION("""COMPUTED_VALUE"""),109.0)</f>
        <v>109</v>
      </c>
      <c r="D2242" s="3" t="str">
        <f>IFERROR(__xludf.DUMMYFUNCTION("""COMPUTED_VALUE"""),"61b89555")</f>
        <v>61b89555</v>
      </c>
      <c r="E2242" s="54">
        <f>IFERROR(__xludf.DUMMYFUNCTION("""COMPUTED_VALUE"""),15600.0)</f>
        <v>15600</v>
      </c>
      <c r="F2242" s="3" t="str">
        <f>IFERROR(__xludf.DUMMYFUNCTION("""COMPUTED_VALUE"""),"Syrah Malbec s/Asp 2")</f>
        <v>Syrah Malbec s/Asp 2</v>
      </c>
      <c r="G2242" s="3"/>
      <c r="H2242" s="3"/>
      <c r="I2242" s="3"/>
      <c r="J2242" s="3"/>
      <c r="K2242" s="3"/>
      <c r="L2242" s="54">
        <f>IFERROR(__xludf.DUMMYFUNCTION("""COMPUTED_VALUE"""),48.0)</f>
        <v>48</v>
      </c>
      <c r="M2242" s="3">
        <f>IFERROR(__xludf.DUMMYFUNCTION("""COMPUTED_VALUE"""),100.0)</f>
        <v>100</v>
      </c>
      <c r="N2242" s="3"/>
      <c r="O2242" s="3"/>
      <c r="P2242" s="3">
        <f>IFERROR(__xludf.DUMMYFUNCTION("""COMPUTED_VALUE"""),0.0)</f>
        <v>0</v>
      </c>
      <c r="Q2242" s="3"/>
      <c r="R2242" s="3">
        <f>IFERROR(__xludf.DUMMYFUNCTION("""COMPUTED_VALUE"""),0.0)</f>
        <v>0</v>
      </c>
      <c r="S2242" s="3"/>
      <c r="T2242" s="5"/>
      <c r="U2242" s="5"/>
      <c r="V2242" s="5"/>
      <c r="W2242" s="5"/>
    </row>
    <row r="2243" ht="15.75" customHeight="1">
      <c r="A2243" s="3">
        <f>IFERROR(__xludf.DUMMYFUNCTION("""COMPUTED_VALUE"""),2243.0)</f>
        <v>2243</v>
      </c>
      <c r="B2243" s="53">
        <f>IFERROR(__xludf.DUMMYFUNCTION("""COMPUTED_VALUE"""),46129.0)</f>
        <v>46129</v>
      </c>
      <c r="C2243" s="3">
        <f>IFERROR(__xludf.DUMMYFUNCTION("""COMPUTED_VALUE"""),110.0)</f>
        <v>110</v>
      </c>
      <c r="D2243" s="3" t="str">
        <f>IFERROR(__xludf.DUMMYFUNCTION("""COMPUTED_VALUE"""),"8a8cc2d8")</f>
        <v>8a8cc2d8</v>
      </c>
      <c r="E2243" s="54">
        <f>IFERROR(__xludf.DUMMYFUNCTION("""COMPUTED_VALUE"""),15600.0)</f>
        <v>15600</v>
      </c>
      <c r="F2243" s="3" t="str">
        <f>IFERROR(__xludf.DUMMYFUNCTION("""COMPUTED_VALUE"""),"Syrah Malbec s/Asp 2")</f>
        <v>Syrah Malbec s/Asp 2</v>
      </c>
      <c r="G2243" s="3"/>
      <c r="H2243" s="3"/>
      <c r="I2243" s="3"/>
      <c r="J2243" s="3"/>
      <c r="K2243" s="3"/>
      <c r="L2243" s="54">
        <f>IFERROR(__xludf.DUMMYFUNCTION("""COMPUTED_VALUE"""),33.0)</f>
        <v>33</v>
      </c>
      <c r="M2243" s="3">
        <f>IFERROR(__xludf.DUMMYFUNCTION("""COMPUTED_VALUE"""),110.0)</f>
        <v>110</v>
      </c>
      <c r="N2243" s="3"/>
      <c r="O2243" s="3"/>
      <c r="P2243" s="3">
        <f>IFERROR(__xludf.DUMMYFUNCTION("""COMPUTED_VALUE"""),0.0)</f>
        <v>0</v>
      </c>
      <c r="Q2243" s="3"/>
      <c r="R2243" s="3">
        <f>IFERROR(__xludf.DUMMYFUNCTION("""COMPUTED_VALUE"""),0.0)</f>
        <v>0</v>
      </c>
      <c r="S2243" s="3"/>
      <c r="T2243" s="5"/>
      <c r="U2243" s="5"/>
      <c r="V2243" s="5"/>
      <c r="W2243" s="5"/>
    </row>
    <row r="2244" ht="15.75" customHeight="1">
      <c r="A2244" s="3">
        <f>IFERROR(__xludf.DUMMYFUNCTION("""COMPUTED_VALUE"""),2244.0)</f>
        <v>2244</v>
      </c>
      <c r="B2244" s="53">
        <f>IFERROR(__xludf.DUMMYFUNCTION("""COMPUTED_VALUE"""),46130.0)</f>
        <v>46130</v>
      </c>
      <c r="C2244" s="3">
        <f>IFERROR(__xludf.DUMMYFUNCTION("""COMPUTED_VALUE"""),46.0)</f>
        <v>46</v>
      </c>
      <c r="D2244" s="3" t="str">
        <f>IFERROR(__xludf.DUMMYFUNCTION("""COMPUTED_VALUE"""),"0f375d43")</f>
        <v>0f375d43</v>
      </c>
      <c r="E2244" s="54">
        <f>IFERROR(__xludf.DUMMYFUNCTION("""COMPUTED_VALUE"""),29000.0)</f>
        <v>29000</v>
      </c>
      <c r="F2244" s="3" t="str">
        <f>IFERROR(__xludf.DUMMYFUNCTION("""COMPUTED_VALUE"""),"Aspirant")</f>
        <v>Aspirant</v>
      </c>
      <c r="G2244" s="3"/>
      <c r="H2244" s="3"/>
      <c r="I2244" s="3"/>
      <c r="J2244" s="3"/>
      <c r="K2244" s="3"/>
      <c r="L2244" s="54">
        <f>IFERROR(__xludf.DUMMYFUNCTION("""COMPUTED_VALUE"""),70.0)</f>
        <v>70</v>
      </c>
      <c r="M2244" s="3">
        <f>IFERROR(__xludf.DUMMYFUNCTION("""COMPUTED_VALUE"""),102.0)</f>
        <v>102</v>
      </c>
      <c r="N2244" s="3"/>
      <c r="O2244" s="3"/>
      <c r="P2244" s="3">
        <f>IFERROR(__xludf.DUMMYFUNCTION("""COMPUTED_VALUE"""),0.0)</f>
        <v>0</v>
      </c>
      <c r="Q2244" s="3"/>
      <c r="R2244" s="3">
        <f>IFERROR(__xludf.DUMMYFUNCTION("""COMPUTED_VALUE"""),0.0)</f>
        <v>0</v>
      </c>
      <c r="S2244" s="3"/>
      <c r="T2244" s="5"/>
      <c r="U2244" s="5"/>
      <c r="V2244" s="5"/>
      <c r="W2244" s="5"/>
    </row>
    <row r="2245" ht="15.75" customHeight="1">
      <c r="A2245" s="3">
        <f>IFERROR(__xludf.DUMMYFUNCTION("""COMPUTED_VALUE"""),2245.0)</f>
        <v>2245</v>
      </c>
      <c r="B2245" s="53">
        <f>IFERROR(__xludf.DUMMYFUNCTION("""COMPUTED_VALUE"""),46130.0)</f>
        <v>46130</v>
      </c>
      <c r="C2245" s="3">
        <f>IFERROR(__xludf.DUMMYFUNCTION("""COMPUTED_VALUE"""),71.0)</f>
        <v>71</v>
      </c>
      <c r="D2245" s="3" t="str">
        <f>IFERROR(__xludf.DUMMYFUNCTION("""COMPUTED_VALUE"""),"42662ec0")</f>
        <v>42662ec0</v>
      </c>
      <c r="E2245" s="54">
        <f>IFERROR(__xludf.DUMMYFUNCTION("""COMPUTED_VALUE"""),13000.0)</f>
        <v>13000</v>
      </c>
      <c r="F2245" s="3" t="str">
        <f>IFERROR(__xludf.DUMMYFUNCTION("""COMPUTED_VALUE"""),"Syrah s/Asp 2")</f>
        <v>Syrah s/Asp 2</v>
      </c>
      <c r="G2245" s="3"/>
      <c r="H2245" s="3"/>
      <c r="I2245" s="3"/>
      <c r="J2245" s="3"/>
      <c r="K2245" s="3"/>
      <c r="L2245" s="54">
        <f>IFERROR(__xludf.DUMMYFUNCTION("""COMPUTED_VALUE"""),45.0)</f>
        <v>45</v>
      </c>
      <c r="M2245" s="3">
        <f>IFERROR(__xludf.DUMMYFUNCTION("""COMPUTED_VALUE"""),89.0)</f>
        <v>89</v>
      </c>
      <c r="N2245" s="3"/>
      <c r="O2245" s="3"/>
      <c r="P2245" s="3">
        <f>IFERROR(__xludf.DUMMYFUNCTION("""COMPUTED_VALUE"""),0.0)</f>
        <v>0</v>
      </c>
      <c r="Q2245" s="3"/>
      <c r="R2245" s="3">
        <f>IFERROR(__xludf.DUMMYFUNCTION("""COMPUTED_VALUE"""),0.0)</f>
        <v>0</v>
      </c>
      <c r="S2245" s="3"/>
      <c r="T2245" s="5"/>
      <c r="U2245" s="5"/>
      <c r="V2245" s="5"/>
      <c r="W2245" s="5"/>
    </row>
    <row r="2246" ht="15.75" customHeight="1">
      <c r="A2246" s="3">
        <f>IFERROR(__xludf.DUMMYFUNCTION("""COMPUTED_VALUE"""),2246.0)</f>
        <v>2246</v>
      </c>
      <c r="B2246" s="53">
        <f>IFERROR(__xludf.DUMMYFUNCTION("""COMPUTED_VALUE"""),46130.0)</f>
        <v>46130</v>
      </c>
      <c r="C2246" s="3">
        <f>IFERROR(__xludf.DUMMYFUNCTION("""COMPUTED_VALUE"""),73.0)</f>
        <v>73</v>
      </c>
      <c r="D2246" s="3" t="str">
        <f>IFERROR(__xludf.DUMMYFUNCTION("""COMPUTED_VALUE"""),"95936008")</f>
        <v>95936008</v>
      </c>
      <c r="E2246" s="54">
        <f>IFERROR(__xludf.DUMMYFUNCTION("""COMPUTED_VALUE"""),13000.0)</f>
        <v>13000</v>
      </c>
      <c r="F2246" s="3" t="str">
        <f>IFERROR(__xludf.DUMMYFUNCTION("""COMPUTED_VALUE"""),"Syrah s/Asp 2")</f>
        <v>Syrah s/Asp 2</v>
      </c>
      <c r="G2246" s="3"/>
      <c r="H2246" s="3"/>
      <c r="I2246" s="3"/>
      <c r="J2246" s="3"/>
      <c r="K2246" s="3"/>
      <c r="L2246" s="54">
        <f>IFERROR(__xludf.DUMMYFUNCTION("""COMPUTED_VALUE"""),25.0)</f>
        <v>25</v>
      </c>
      <c r="M2246" s="3">
        <f>IFERROR(__xludf.DUMMYFUNCTION("""COMPUTED_VALUE"""),96.0)</f>
        <v>96</v>
      </c>
      <c r="N2246" s="3"/>
      <c r="O2246" s="3"/>
      <c r="P2246" s="3">
        <f>IFERROR(__xludf.DUMMYFUNCTION("""COMPUTED_VALUE"""),0.0)</f>
        <v>0</v>
      </c>
      <c r="Q2246" s="3"/>
      <c r="R2246" s="3">
        <f>IFERROR(__xludf.DUMMYFUNCTION("""COMPUTED_VALUE"""),0.0)</f>
        <v>0</v>
      </c>
      <c r="S2246" s="3"/>
      <c r="T2246" s="5"/>
      <c r="U2246" s="5"/>
      <c r="V2246" s="5"/>
      <c r="W2246" s="5"/>
    </row>
    <row r="2247" ht="15.75" customHeight="1">
      <c r="A2247" s="3">
        <f>IFERROR(__xludf.DUMMYFUNCTION("""COMPUTED_VALUE"""),2247.0)</f>
        <v>2247</v>
      </c>
      <c r="B2247" s="53">
        <f>IFERROR(__xludf.DUMMYFUNCTION("""COMPUTED_VALUE"""),46130.0)</f>
        <v>46130</v>
      </c>
      <c r="C2247" s="3">
        <f>IFERROR(__xludf.DUMMYFUNCTION("""COMPUTED_VALUE"""),114.0)</f>
        <v>114</v>
      </c>
      <c r="D2247" s="3" t="str">
        <f>IFERROR(__xludf.DUMMYFUNCTION("""COMPUTED_VALUE"""),"9e280bc6")</f>
        <v>9e280bc6</v>
      </c>
      <c r="E2247" s="54">
        <f>IFERROR(__xludf.DUMMYFUNCTION("""COMPUTED_VALUE"""),125300.0)</f>
        <v>125300</v>
      </c>
      <c r="F2247" s="3" t="str">
        <f>IFERROR(__xludf.DUMMYFUNCTION("""COMPUTED_VALUE"""),"Syrah")</f>
        <v>Syrah</v>
      </c>
      <c r="G2247" s="3"/>
      <c r="H2247" s="3"/>
      <c r="I2247" s="3"/>
      <c r="J2247" s="3"/>
      <c r="K2247" s="3"/>
      <c r="L2247" s="54">
        <f>IFERROR(__xludf.DUMMYFUNCTION("""COMPUTED_VALUE"""),32.0)</f>
        <v>32</v>
      </c>
      <c r="M2247" s="3">
        <f>IFERROR(__xludf.DUMMYFUNCTION("""COMPUTED_VALUE"""),109.0)</f>
        <v>109</v>
      </c>
      <c r="N2247" s="3"/>
      <c r="O2247" s="3"/>
      <c r="P2247" s="3">
        <f>IFERROR(__xludf.DUMMYFUNCTION("""COMPUTED_VALUE"""),0.0)</f>
        <v>0</v>
      </c>
      <c r="Q2247" s="3"/>
      <c r="R2247" s="3">
        <f>IFERROR(__xludf.DUMMYFUNCTION("""COMPUTED_VALUE"""),0.0)</f>
        <v>0</v>
      </c>
      <c r="S2247" s="3"/>
      <c r="T2247" s="5"/>
      <c r="U2247" s="5"/>
      <c r="V2247" s="5"/>
      <c r="W2247" s="5"/>
    </row>
    <row r="2248" ht="15.75" customHeight="1">
      <c r="A2248" s="3">
        <f>IFERROR(__xludf.DUMMYFUNCTION("""COMPUTED_VALUE"""),2248.0)</f>
        <v>2248</v>
      </c>
      <c r="B2248" s="53">
        <f>IFERROR(__xludf.DUMMYFUNCTION("""COMPUTED_VALUE"""),46130.0)</f>
        <v>46130</v>
      </c>
      <c r="C2248" s="3">
        <f>IFERROR(__xludf.DUMMYFUNCTION("""COMPUTED_VALUE"""),115.0)</f>
        <v>115</v>
      </c>
      <c r="D2248" s="3" t="str">
        <f>IFERROR(__xludf.DUMMYFUNCTION("""COMPUTED_VALUE"""),"8923dcaa")</f>
        <v>8923dcaa</v>
      </c>
      <c r="E2248" s="54">
        <f>IFERROR(__xludf.DUMMYFUNCTION("""COMPUTED_VALUE"""),120200.0)</f>
        <v>120200</v>
      </c>
      <c r="F2248" s="3" t="str">
        <f>IFERROR(__xludf.DUMMYFUNCTION("""COMPUTED_VALUE"""),"Syrah")</f>
        <v>Syrah</v>
      </c>
      <c r="G2248" s="3"/>
      <c r="H2248" s="3"/>
      <c r="I2248" s="3"/>
      <c r="J2248" s="3"/>
      <c r="K2248" s="3"/>
      <c r="L2248" s="54">
        <f>IFERROR(__xludf.DUMMYFUNCTION("""COMPUTED_VALUE"""),38.0)</f>
        <v>38</v>
      </c>
      <c r="M2248" s="3">
        <f>IFERROR(__xludf.DUMMYFUNCTION("""COMPUTED_VALUE"""),111.0)</f>
        <v>111</v>
      </c>
      <c r="N2248" s="3"/>
      <c r="O2248" s="3"/>
      <c r="P2248" s="3">
        <f>IFERROR(__xludf.DUMMYFUNCTION("""COMPUTED_VALUE"""),0.0)</f>
        <v>0</v>
      </c>
      <c r="Q2248" s="3"/>
      <c r="R2248" s="3">
        <f>IFERROR(__xludf.DUMMYFUNCTION("""COMPUTED_VALUE"""),0.0)</f>
        <v>0</v>
      </c>
      <c r="S2248" s="3"/>
      <c r="T2248" s="5"/>
      <c r="U2248" s="5"/>
      <c r="V2248" s="5"/>
      <c r="W2248" s="5"/>
    </row>
    <row r="2249" ht="15.75" customHeight="1">
      <c r="A2249" s="3">
        <f>IFERROR(__xludf.DUMMYFUNCTION("""COMPUTED_VALUE"""),2249.0)</f>
        <v>2249</v>
      </c>
      <c r="B2249" s="53">
        <f>IFERROR(__xludf.DUMMYFUNCTION("""COMPUTED_VALUE"""),46130.0)</f>
        <v>46130</v>
      </c>
      <c r="C2249" s="3">
        <f>IFERROR(__xludf.DUMMYFUNCTION("""COMPUTED_VALUE"""),116.0)</f>
        <v>116</v>
      </c>
      <c r="D2249" s="3" t="str">
        <f>IFERROR(__xludf.DUMMYFUNCTION("""COMPUTED_VALUE"""),"2e2886b4")</f>
        <v>2e2886b4</v>
      </c>
      <c r="E2249" s="54">
        <f>IFERROR(__xludf.DUMMYFUNCTION("""COMPUTED_VALUE"""),99600.0)</f>
        <v>99600</v>
      </c>
      <c r="F2249" s="3" t="str">
        <f>IFERROR(__xludf.DUMMYFUNCTION("""COMPUTED_VALUE"""),"Bonarda")</f>
        <v>Bonarda</v>
      </c>
      <c r="G2249" s="3"/>
      <c r="H2249" s="3"/>
      <c r="I2249" s="3"/>
      <c r="J2249" s="3"/>
      <c r="K2249" s="3"/>
      <c r="L2249" s="54">
        <f>IFERROR(__xludf.DUMMYFUNCTION("""COMPUTED_VALUE"""),40.0)</f>
        <v>40</v>
      </c>
      <c r="M2249" s="3">
        <f>IFERROR(__xludf.DUMMYFUNCTION("""COMPUTED_VALUE"""),77.0)</f>
        <v>77</v>
      </c>
      <c r="N2249" s="3"/>
      <c r="O2249" s="3"/>
      <c r="P2249" s="3"/>
      <c r="Q2249" s="3"/>
      <c r="R2249" s="3">
        <f>IFERROR(__xludf.DUMMYFUNCTION("""COMPUTED_VALUE"""),0.0)</f>
        <v>0</v>
      </c>
      <c r="S2249" s="3"/>
      <c r="T2249" s="5"/>
      <c r="U2249" s="5"/>
      <c r="V2249" s="5"/>
      <c r="W2249" s="5"/>
    </row>
    <row r="2250" ht="15.75" customHeight="1">
      <c r="A2250" s="3">
        <f>IFERROR(__xludf.DUMMYFUNCTION("""COMPUTED_VALUE"""),2250.0)</f>
        <v>2250</v>
      </c>
      <c r="B2250" s="53">
        <f>IFERROR(__xludf.DUMMYFUNCTION("""COMPUTED_VALUE"""),46130.0)</f>
        <v>46130</v>
      </c>
      <c r="C2250" s="3">
        <f>IFERROR(__xludf.DUMMYFUNCTION("""COMPUTED_VALUE"""),118.0)</f>
        <v>118</v>
      </c>
      <c r="D2250" s="3" t="str">
        <f>IFERROR(__xludf.DUMMYFUNCTION("""COMPUTED_VALUE"""),"0cee4951")</f>
        <v>0cee4951</v>
      </c>
      <c r="E2250" s="54">
        <f>IFERROR(__xludf.DUMMYFUNCTION("""COMPUTED_VALUE"""),155600.0)</f>
        <v>155600</v>
      </c>
      <c r="F2250" s="3" t="str">
        <f>IFERROR(__xludf.DUMMYFUNCTION("""COMPUTED_VALUE"""),"Syrah Temp")</f>
        <v>Syrah Temp</v>
      </c>
      <c r="G2250" s="3"/>
      <c r="H2250" s="3"/>
      <c r="I2250" s="3"/>
      <c r="J2250" s="3"/>
      <c r="K2250" s="3"/>
      <c r="L2250" s="54">
        <f>IFERROR(__xludf.DUMMYFUNCTION("""COMPUTED_VALUE"""),36.0)</f>
        <v>36</v>
      </c>
      <c r="M2250" s="3">
        <f>IFERROR(__xludf.DUMMYFUNCTION("""COMPUTED_VALUE"""),96.0)</f>
        <v>96</v>
      </c>
      <c r="N2250" s="3"/>
      <c r="O2250" s="3"/>
      <c r="P2250" s="3"/>
      <c r="Q2250" s="3"/>
      <c r="R2250" s="3">
        <f>IFERROR(__xludf.DUMMYFUNCTION("""COMPUTED_VALUE"""),0.0)</f>
        <v>0</v>
      </c>
      <c r="S2250" s="3"/>
      <c r="T2250" s="5"/>
      <c r="U2250" s="5"/>
      <c r="V2250" s="5"/>
      <c r="W2250" s="5"/>
    </row>
    <row r="2251" ht="15.75" customHeight="1">
      <c r="A2251" s="3">
        <f>IFERROR(__xludf.DUMMYFUNCTION("""COMPUTED_VALUE"""),2251.0)</f>
        <v>2251</v>
      </c>
      <c r="B2251" s="53">
        <f>IFERROR(__xludf.DUMMYFUNCTION("""COMPUTED_VALUE"""),46130.0)</f>
        <v>46130</v>
      </c>
      <c r="C2251" s="3">
        <f>IFERROR(__xludf.DUMMYFUNCTION("""COMPUTED_VALUE"""),120.0)</f>
        <v>120</v>
      </c>
      <c r="D2251" s="3" t="str">
        <f>IFERROR(__xludf.DUMMYFUNCTION("""COMPUTED_VALUE"""),"0763aa8e")</f>
        <v>0763aa8e</v>
      </c>
      <c r="E2251" s="54">
        <f>IFERROR(__xludf.DUMMYFUNCTION("""COMPUTED_VALUE"""),88800.0)</f>
        <v>88800</v>
      </c>
      <c r="F2251" s="3" t="str">
        <f>IFERROR(__xludf.DUMMYFUNCTION("""COMPUTED_VALUE"""),"Syrah Anc PC s/Asp 2")</f>
        <v>Syrah Anc PC s/Asp 2</v>
      </c>
      <c r="G2251" s="3"/>
      <c r="H2251" s="3"/>
      <c r="I2251" s="3"/>
      <c r="J2251" s="3"/>
      <c r="K2251" s="3"/>
      <c r="L2251" s="54">
        <f>IFERROR(__xludf.DUMMYFUNCTION("""COMPUTED_VALUE"""),35.0)</f>
        <v>35</v>
      </c>
      <c r="M2251" s="3">
        <f>IFERROR(__xludf.DUMMYFUNCTION("""COMPUTED_VALUE"""),96.0)</f>
        <v>96</v>
      </c>
      <c r="N2251" s="3"/>
      <c r="O2251" s="3"/>
      <c r="P2251" s="3"/>
      <c r="Q2251" s="3"/>
      <c r="R2251" s="3">
        <f>IFERROR(__xludf.DUMMYFUNCTION("""COMPUTED_VALUE"""),0.0)</f>
        <v>0</v>
      </c>
      <c r="S2251" s="3"/>
      <c r="T2251" s="5"/>
      <c r="U2251" s="5"/>
      <c r="V2251" s="5"/>
      <c r="W2251" s="5"/>
    </row>
    <row r="2252" ht="15.75" customHeight="1">
      <c r="A2252" s="3">
        <f>IFERROR(__xludf.DUMMYFUNCTION("""COMPUTED_VALUE"""),2252.0)</f>
        <v>2252</v>
      </c>
      <c r="B2252" s="53">
        <f>IFERROR(__xludf.DUMMYFUNCTION("""COMPUTED_VALUE"""),46130.0)</f>
        <v>46130</v>
      </c>
      <c r="C2252" s="3">
        <f>IFERROR(__xludf.DUMMYFUNCTION("""COMPUTED_VALUE"""),121.0)</f>
        <v>121</v>
      </c>
      <c r="D2252" s="3" t="str">
        <f>IFERROR(__xludf.DUMMYFUNCTION("""COMPUTED_VALUE"""),"b41b9422")</f>
        <v>b41b9422</v>
      </c>
      <c r="E2252" s="54">
        <f>IFERROR(__xludf.DUMMYFUNCTION("""COMPUTED_VALUE"""),85800.0)</f>
        <v>85800</v>
      </c>
      <c r="F2252" s="3" t="str">
        <f>IFERROR(__xludf.DUMMYFUNCTION("""COMPUTED_VALUE"""),"Aspirant Anccelota PC")</f>
        <v>Aspirant Anccelota PC</v>
      </c>
      <c r="G2252" s="3"/>
      <c r="H2252" s="3"/>
      <c r="I2252" s="3"/>
      <c r="J2252" s="3"/>
      <c r="K2252" s="3"/>
      <c r="L2252" s="54">
        <f>IFERROR(__xludf.DUMMYFUNCTION("""COMPUTED_VALUE"""),50.0)</f>
        <v>50</v>
      </c>
      <c r="M2252" s="3">
        <f>IFERROR(__xludf.DUMMYFUNCTION("""COMPUTED_VALUE"""),90.0)</f>
        <v>90</v>
      </c>
      <c r="N2252" s="3"/>
      <c r="O2252" s="3"/>
      <c r="P2252" s="3"/>
      <c r="Q2252" s="3"/>
      <c r="R2252" s="3">
        <f>IFERROR(__xludf.DUMMYFUNCTION("""COMPUTED_VALUE"""),0.0)</f>
        <v>0</v>
      </c>
      <c r="S2252" s="3"/>
      <c r="T2252" s="5"/>
      <c r="U2252" s="5"/>
      <c r="V2252" s="5"/>
      <c r="W2252" s="5"/>
    </row>
    <row r="2253" ht="15.75" customHeight="1">
      <c r="A2253" s="3">
        <f>IFERROR(__xludf.DUMMYFUNCTION("""COMPUTED_VALUE"""),2253.0)</f>
        <v>2253</v>
      </c>
      <c r="B2253" s="53">
        <f>IFERROR(__xludf.DUMMYFUNCTION("""COMPUTED_VALUE"""),46132.0)</f>
        <v>46132</v>
      </c>
      <c r="C2253" s="3">
        <f>IFERROR(__xludf.DUMMYFUNCTION("""COMPUTED_VALUE"""),86.0)</f>
        <v>86</v>
      </c>
      <c r="D2253" s="3" t="str">
        <f>IFERROR(__xludf.DUMMYFUNCTION("""COMPUTED_VALUE"""),"aed16735")</f>
        <v>aed16735</v>
      </c>
      <c r="E2253" s="54">
        <f>IFERROR(__xludf.DUMMYFUNCTION("""COMPUTED_VALUE"""),49500.0)</f>
        <v>49500</v>
      </c>
      <c r="F2253" s="3" t="str">
        <f>IFERROR(__xludf.DUMMYFUNCTION("""COMPUTED_VALUE"""),"Bonarda PC")</f>
        <v>Bonarda PC</v>
      </c>
      <c r="G2253" s="3"/>
      <c r="H2253" s="3"/>
      <c r="I2253" s="3"/>
      <c r="J2253" s="3"/>
      <c r="K2253" s="3"/>
      <c r="L2253" s="3"/>
      <c r="M2253" s="3"/>
      <c r="N2253" s="3"/>
      <c r="O2253" s="3"/>
      <c r="P2253" s="3"/>
      <c r="Q2253" s="3"/>
      <c r="R2253" s="3">
        <f>IFERROR(__xludf.DUMMYFUNCTION("""COMPUTED_VALUE"""),0.0)</f>
        <v>0</v>
      </c>
      <c r="S2253" s="3"/>
      <c r="T2253" s="5"/>
      <c r="U2253" s="5"/>
      <c r="V2253" s="5"/>
      <c r="W2253" s="5"/>
    </row>
    <row r="2254" ht="15.75" customHeight="1">
      <c r="A2254" s="3">
        <f>IFERROR(__xludf.DUMMYFUNCTION("""COMPUTED_VALUE"""),2254.0)</f>
        <v>2254</v>
      </c>
      <c r="B2254" s="53">
        <f>IFERROR(__xludf.DUMMYFUNCTION("""COMPUTED_VALUE"""),46133.0)</f>
        <v>46133</v>
      </c>
      <c r="C2254" s="3">
        <f>IFERROR(__xludf.DUMMYFUNCTION("""COMPUTED_VALUE"""),30.0)</f>
        <v>30</v>
      </c>
      <c r="D2254" s="3" t="str">
        <f>IFERROR(__xludf.DUMMYFUNCTION("""COMPUTED_VALUE"""),"0432aaa0")</f>
        <v>0432aaa0</v>
      </c>
      <c r="E2254" s="54">
        <f>IFERROR(__xludf.DUMMYFUNCTION("""COMPUTED_VALUE"""),38800.0)</f>
        <v>38800</v>
      </c>
      <c r="F2254" s="3" t="str">
        <f>IFERROR(__xludf.DUMMYFUNCTION("""COMPUTED_VALUE"""),"Chardonnay Ch")</f>
        <v>Chardonnay Ch</v>
      </c>
      <c r="G2254" s="3"/>
      <c r="H2254" s="3"/>
      <c r="I2254" s="3"/>
      <c r="J2254" s="3"/>
      <c r="K2254" s="3"/>
      <c r="L2254" s="54">
        <f>IFERROR(__xludf.DUMMYFUNCTION("""COMPUTED_VALUE"""),22.0)</f>
        <v>22</v>
      </c>
      <c r="M2254" s="3">
        <f>IFERROR(__xludf.DUMMYFUNCTION("""COMPUTED_VALUE"""),83.0)</f>
        <v>83</v>
      </c>
      <c r="N2254" s="3"/>
      <c r="O2254" s="3"/>
      <c r="P2254" s="3"/>
      <c r="Q2254" s="3"/>
      <c r="R2254" s="3">
        <f>IFERROR(__xludf.DUMMYFUNCTION("""COMPUTED_VALUE"""),0.0)</f>
        <v>0</v>
      </c>
      <c r="S2254" s="3"/>
      <c r="T2254" s="5"/>
      <c r="U2254" s="5"/>
      <c r="V2254" s="5"/>
      <c r="W2254" s="5"/>
    </row>
    <row r="2255" ht="15.75" customHeight="1">
      <c r="A2255" s="3">
        <f>IFERROR(__xludf.DUMMYFUNCTION("""COMPUTED_VALUE"""),2255.0)</f>
        <v>2255</v>
      </c>
      <c r="B2255" s="53">
        <f>IFERROR(__xludf.DUMMYFUNCTION("""COMPUTED_VALUE"""),46133.0)</f>
        <v>46133</v>
      </c>
      <c r="C2255" s="3">
        <f>IFERROR(__xludf.DUMMYFUNCTION("""COMPUTED_VALUE"""),31.0)</f>
        <v>31</v>
      </c>
      <c r="D2255" s="3" t="str">
        <f>IFERROR(__xludf.DUMMYFUNCTION("""COMPUTED_VALUE"""),"fed1f4a1")</f>
        <v>fed1f4a1</v>
      </c>
      <c r="E2255" s="54">
        <f>IFERROR(__xludf.DUMMYFUNCTION("""COMPUTED_VALUE"""),25000.0)</f>
        <v>25000</v>
      </c>
      <c r="F2255" s="3" t="str">
        <f>IFERROR(__xludf.DUMMYFUNCTION("""COMPUTED_VALUE"""),"Torrontes")</f>
        <v>Torrontes</v>
      </c>
      <c r="G2255" s="3"/>
      <c r="H2255" s="3"/>
      <c r="I2255" s="3"/>
      <c r="J2255" s="3"/>
      <c r="K2255" s="3"/>
      <c r="L2255" s="54">
        <f>IFERROR(__xludf.DUMMYFUNCTION("""COMPUTED_VALUE"""),15.0)</f>
        <v>15</v>
      </c>
      <c r="M2255" s="3">
        <f>IFERROR(__xludf.DUMMYFUNCTION("""COMPUTED_VALUE"""),112.0)</f>
        <v>112</v>
      </c>
      <c r="N2255" s="3"/>
      <c r="O2255" s="3"/>
      <c r="P2255" s="3"/>
      <c r="Q2255" s="3"/>
      <c r="R2255" s="3">
        <f>IFERROR(__xludf.DUMMYFUNCTION("""COMPUTED_VALUE"""),0.0)</f>
        <v>0</v>
      </c>
      <c r="S2255" s="3"/>
      <c r="T2255" s="5"/>
      <c r="U2255" s="5"/>
      <c r="V2255" s="5"/>
      <c r="W2255" s="5"/>
    </row>
    <row r="2256" ht="15.75" customHeight="1">
      <c r="A2256" s="3">
        <f>IFERROR(__xludf.DUMMYFUNCTION("""COMPUTED_VALUE"""),2256.0)</f>
        <v>2256</v>
      </c>
      <c r="B2256" s="53">
        <f>IFERROR(__xludf.DUMMYFUNCTION("""COMPUTED_VALUE"""),46133.0)</f>
        <v>46133</v>
      </c>
      <c r="C2256" s="3">
        <f>IFERROR(__xludf.DUMMYFUNCTION("""COMPUTED_VALUE"""),32.0)</f>
        <v>32</v>
      </c>
      <c r="D2256" s="3" t="str">
        <f>IFERROR(__xludf.DUMMYFUNCTION("""COMPUTED_VALUE"""),"8a001ceb")</f>
        <v>8a001ceb</v>
      </c>
      <c r="E2256" s="54">
        <f>IFERROR(__xludf.DUMMYFUNCTION("""COMPUTED_VALUE"""),36300.0)</f>
        <v>36300</v>
      </c>
      <c r="F2256" s="3" t="str">
        <f>IFERROR(__xludf.DUMMYFUNCTION("""COMPUTED_VALUE"""),"Malbec")</f>
        <v>Malbec</v>
      </c>
      <c r="G2256" s="3"/>
      <c r="H2256" s="3"/>
      <c r="I2256" s="3"/>
      <c r="J2256" s="3"/>
      <c r="K2256" s="3"/>
      <c r="L2256" s="54">
        <f>IFERROR(__xludf.DUMMYFUNCTION("""COMPUTED_VALUE"""),31.0)</f>
        <v>31</v>
      </c>
      <c r="M2256" s="3">
        <f>IFERROR(__xludf.DUMMYFUNCTION("""COMPUTED_VALUE"""),113.0)</f>
        <v>113</v>
      </c>
      <c r="N2256" s="3"/>
      <c r="O2256" s="3"/>
      <c r="P2256" s="3"/>
      <c r="Q2256" s="3"/>
      <c r="R2256" s="3">
        <f>IFERROR(__xludf.DUMMYFUNCTION("""COMPUTED_VALUE"""),0.0)</f>
        <v>0</v>
      </c>
      <c r="S2256" s="3"/>
      <c r="T2256" s="5"/>
      <c r="U2256" s="5"/>
      <c r="V2256" s="5"/>
      <c r="W2256" s="5"/>
    </row>
    <row r="2257" ht="15.75" customHeight="1">
      <c r="A2257" s="3">
        <f>IFERROR(__xludf.DUMMYFUNCTION("""COMPUTED_VALUE"""),2257.0)</f>
        <v>2257</v>
      </c>
      <c r="B2257" s="53">
        <f>IFERROR(__xludf.DUMMYFUNCTION("""COMPUTED_VALUE"""),46133.0)</f>
        <v>46133</v>
      </c>
      <c r="C2257" s="3">
        <f>IFERROR(__xludf.DUMMYFUNCTION("""COMPUTED_VALUE"""),33.0)</f>
        <v>33</v>
      </c>
      <c r="D2257" s="3" t="str">
        <f>IFERROR(__xludf.DUMMYFUNCTION("""COMPUTED_VALUE"""),"7a77b210")</f>
        <v>7a77b210</v>
      </c>
      <c r="E2257" s="54">
        <f>IFERROR(__xludf.DUMMYFUNCTION("""COMPUTED_VALUE"""),25300.0)</f>
        <v>25300</v>
      </c>
      <c r="F2257" s="3" t="str">
        <f>IFERROR(__xludf.DUMMYFUNCTION("""COMPUTED_VALUE"""),"Chardonnay")</f>
        <v>Chardonnay</v>
      </c>
      <c r="G2257" s="3"/>
      <c r="H2257" s="3"/>
      <c r="I2257" s="3"/>
      <c r="J2257" s="3"/>
      <c r="K2257" s="3"/>
      <c r="L2257" s="54">
        <f>IFERROR(__xludf.DUMMYFUNCTION("""COMPUTED_VALUE"""),33.0)</f>
        <v>33</v>
      </c>
      <c r="M2257" s="3">
        <f>IFERROR(__xludf.DUMMYFUNCTION("""COMPUTED_VALUE"""),112.0)</f>
        <v>112</v>
      </c>
      <c r="N2257" s="3"/>
      <c r="O2257" s="3"/>
      <c r="P2257" s="3"/>
      <c r="Q2257" s="3"/>
      <c r="R2257" s="3">
        <f>IFERROR(__xludf.DUMMYFUNCTION("""COMPUTED_VALUE"""),0.0)</f>
        <v>0</v>
      </c>
      <c r="S2257" s="3"/>
      <c r="T2257" s="5"/>
      <c r="U2257" s="5"/>
      <c r="V2257" s="5"/>
      <c r="W2257" s="5"/>
    </row>
    <row r="2258" ht="15.75" customHeight="1">
      <c r="A2258" s="3">
        <f>IFERROR(__xludf.DUMMYFUNCTION("""COMPUTED_VALUE"""),2258.0)</f>
        <v>2258</v>
      </c>
      <c r="B2258" s="53">
        <f>IFERROR(__xludf.DUMMYFUNCTION("""COMPUTED_VALUE"""),46133.0)</f>
        <v>46133</v>
      </c>
      <c r="C2258" s="3">
        <f>IFERROR(__xludf.DUMMYFUNCTION("""COMPUTED_VALUE"""),40.0)</f>
        <v>40</v>
      </c>
      <c r="D2258" s="3" t="str">
        <f>IFERROR(__xludf.DUMMYFUNCTION("""COMPUTED_VALUE"""),"964bb1ba")</f>
        <v>964bb1ba</v>
      </c>
      <c r="E2258" s="54">
        <f>IFERROR(__xludf.DUMMYFUNCTION("""COMPUTED_VALUE"""),24000.0)</f>
        <v>24000</v>
      </c>
      <c r="F2258" s="3" t="str">
        <f>IFERROR(__xludf.DUMMYFUNCTION("""COMPUTED_VALUE"""),"Chardonnay")</f>
        <v>Chardonnay</v>
      </c>
      <c r="G2258" s="3"/>
      <c r="H2258" s="3"/>
      <c r="I2258" s="3"/>
      <c r="J2258" s="3"/>
      <c r="K2258" s="3"/>
      <c r="L2258" s="54">
        <f>IFERROR(__xludf.DUMMYFUNCTION("""COMPUTED_VALUE"""),28.0)</f>
        <v>28</v>
      </c>
      <c r="M2258" s="3">
        <f>IFERROR(__xludf.DUMMYFUNCTION("""COMPUTED_VALUE"""),110.0)</f>
        <v>110</v>
      </c>
      <c r="N2258" s="3"/>
      <c r="O2258" s="3"/>
      <c r="P2258" s="3"/>
      <c r="Q2258" s="3"/>
      <c r="R2258" s="3">
        <f>IFERROR(__xludf.DUMMYFUNCTION("""COMPUTED_VALUE"""),0.0)</f>
        <v>0</v>
      </c>
      <c r="S2258" s="3"/>
      <c r="T2258" s="5"/>
      <c r="U2258" s="5"/>
      <c r="V2258" s="5"/>
      <c r="W2258" s="5"/>
    </row>
    <row r="2259" ht="15.75" customHeight="1">
      <c r="A2259" s="3">
        <f>IFERROR(__xludf.DUMMYFUNCTION("""COMPUTED_VALUE"""),2259.0)</f>
        <v>2259</v>
      </c>
      <c r="B2259" s="53">
        <f>IFERROR(__xludf.DUMMYFUNCTION("""COMPUTED_VALUE"""),46133.0)</f>
        <v>46133</v>
      </c>
      <c r="C2259" s="3">
        <f>IFERROR(__xludf.DUMMYFUNCTION("""COMPUTED_VALUE"""),44.0)</f>
        <v>44</v>
      </c>
      <c r="D2259" s="3" t="str">
        <f>IFERROR(__xludf.DUMMYFUNCTION("""COMPUTED_VALUE"""),"b4d0796a")</f>
        <v>b4d0796a</v>
      </c>
      <c r="E2259" s="54">
        <f>IFERROR(__xludf.DUMMYFUNCTION("""COMPUTED_VALUE"""),19100.0)</f>
        <v>19100</v>
      </c>
      <c r="F2259" s="3" t="str">
        <f>IFERROR(__xludf.DUMMYFUNCTION("""COMPUTED_VALUE"""),"Chardonnay")</f>
        <v>Chardonnay</v>
      </c>
      <c r="G2259" s="3"/>
      <c r="H2259" s="3"/>
      <c r="I2259" s="3"/>
      <c r="J2259" s="3"/>
      <c r="K2259" s="3"/>
      <c r="L2259" s="54">
        <f>IFERROR(__xludf.DUMMYFUNCTION("""COMPUTED_VALUE"""),32.0)</f>
        <v>32</v>
      </c>
      <c r="M2259" s="3">
        <f>IFERROR(__xludf.DUMMYFUNCTION("""COMPUTED_VALUE"""),110.0)</f>
        <v>110</v>
      </c>
      <c r="N2259" s="3"/>
      <c r="O2259" s="3"/>
      <c r="P2259" s="3"/>
      <c r="Q2259" s="3"/>
      <c r="R2259" s="3">
        <f>IFERROR(__xludf.DUMMYFUNCTION("""COMPUTED_VALUE"""),0.0)</f>
        <v>0</v>
      </c>
      <c r="S2259" s="3"/>
      <c r="T2259" s="5"/>
      <c r="U2259" s="5"/>
      <c r="V2259" s="5"/>
      <c r="W2259" s="5"/>
    </row>
    <row r="2260" ht="15.75" customHeight="1">
      <c r="A2260" s="3">
        <f>IFERROR(__xludf.DUMMYFUNCTION("""COMPUTED_VALUE"""),2260.0)</f>
        <v>2260</v>
      </c>
      <c r="B2260" s="53">
        <f>IFERROR(__xludf.DUMMYFUNCTION("""COMPUTED_VALUE"""),46133.0)</f>
        <v>46133</v>
      </c>
      <c r="C2260" s="3">
        <f>IFERROR(__xludf.DUMMYFUNCTION("""COMPUTED_VALUE"""),47.0)</f>
        <v>47</v>
      </c>
      <c r="D2260" s="3" t="str">
        <f>IFERROR(__xludf.DUMMYFUNCTION("""COMPUTED_VALUE"""),"5d1f812a")</f>
        <v>5d1f812a</v>
      </c>
      <c r="E2260" s="54">
        <f>IFERROR(__xludf.DUMMYFUNCTION("""COMPUTED_VALUE"""),20000.0)</f>
        <v>20000</v>
      </c>
      <c r="F2260" s="3" t="str">
        <f>IFERROR(__xludf.DUMMYFUNCTION("""COMPUTED_VALUE"""),"Chardonnay")</f>
        <v>Chardonnay</v>
      </c>
      <c r="G2260" s="3"/>
      <c r="H2260" s="3"/>
      <c r="I2260" s="3"/>
      <c r="J2260" s="3"/>
      <c r="K2260" s="3"/>
      <c r="L2260" s="54">
        <f>IFERROR(__xludf.DUMMYFUNCTION("""COMPUTED_VALUE"""),24.0)</f>
        <v>24</v>
      </c>
      <c r="M2260" s="3">
        <f>IFERROR(__xludf.DUMMYFUNCTION("""COMPUTED_VALUE"""),115.0)</f>
        <v>115</v>
      </c>
      <c r="N2260" s="3"/>
      <c r="O2260" s="3"/>
      <c r="P2260" s="3"/>
      <c r="Q2260" s="3"/>
      <c r="R2260" s="3">
        <f>IFERROR(__xludf.DUMMYFUNCTION("""COMPUTED_VALUE"""),0.0)</f>
        <v>0</v>
      </c>
      <c r="S2260" s="3"/>
      <c r="T2260" s="5"/>
      <c r="U2260" s="5"/>
      <c r="V2260" s="5"/>
      <c r="W2260" s="5"/>
    </row>
    <row r="2261" ht="15.75" customHeight="1">
      <c r="A2261" s="3">
        <f>IFERROR(__xludf.DUMMYFUNCTION("""COMPUTED_VALUE"""),2261.0)</f>
        <v>2261</v>
      </c>
      <c r="B2261" s="53">
        <f>IFERROR(__xludf.DUMMYFUNCTION("""COMPUTED_VALUE"""),46133.0)</f>
        <v>46133</v>
      </c>
      <c r="C2261" s="3">
        <f>IFERROR(__xludf.DUMMYFUNCTION("""COMPUTED_VALUE"""),48.0)</f>
        <v>48</v>
      </c>
      <c r="D2261" s="3" t="str">
        <f>IFERROR(__xludf.DUMMYFUNCTION("""COMPUTED_VALUE"""),"7cb704de")</f>
        <v>7cb704de</v>
      </c>
      <c r="E2261" s="54">
        <f>IFERROR(__xludf.DUMMYFUNCTION("""COMPUTED_VALUE"""),26000.0)</f>
        <v>26000</v>
      </c>
      <c r="F2261" s="3" t="str">
        <f>IFERROR(__xludf.DUMMYFUNCTION("""COMPUTED_VALUE"""),"Torrontes Viog")</f>
        <v>Torrontes Viog</v>
      </c>
      <c r="G2261" s="3"/>
      <c r="H2261" s="3"/>
      <c r="I2261" s="3"/>
      <c r="J2261" s="3"/>
      <c r="K2261" s="3"/>
      <c r="L2261" s="54">
        <f>IFERROR(__xludf.DUMMYFUNCTION("""COMPUTED_VALUE"""),27.0)</f>
        <v>27</v>
      </c>
      <c r="M2261" s="3">
        <f>IFERROR(__xludf.DUMMYFUNCTION("""COMPUTED_VALUE"""),110.0)</f>
        <v>110</v>
      </c>
      <c r="N2261" s="3"/>
      <c r="O2261" s="3"/>
      <c r="P2261" s="3"/>
      <c r="Q2261" s="3"/>
      <c r="R2261" s="3">
        <f>IFERROR(__xludf.DUMMYFUNCTION("""COMPUTED_VALUE"""),0.0)</f>
        <v>0</v>
      </c>
      <c r="S2261" s="3"/>
      <c r="T2261" s="5"/>
      <c r="U2261" s="5"/>
      <c r="V2261" s="5"/>
      <c r="W2261" s="5"/>
    </row>
    <row r="2262" ht="15.75" customHeight="1">
      <c r="A2262" s="3">
        <f>IFERROR(__xludf.DUMMYFUNCTION("""COMPUTED_VALUE"""),2262.0)</f>
        <v>2262</v>
      </c>
      <c r="B2262" s="53">
        <f>IFERROR(__xludf.DUMMYFUNCTION("""COMPUTED_VALUE"""),46133.0)</f>
        <v>46133</v>
      </c>
      <c r="C2262" s="3">
        <f>IFERROR(__xludf.DUMMYFUNCTION("""COMPUTED_VALUE"""),49.0)</f>
        <v>49</v>
      </c>
      <c r="D2262" s="3" t="str">
        <f>IFERROR(__xludf.DUMMYFUNCTION("""COMPUTED_VALUE"""),"f2237628")</f>
        <v>f2237628</v>
      </c>
      <c r="E2262" s="54">
        <f>IFERROR(__xludf.DUMMYFUNCTION("""COMPUTED_VALUE"""),26000.0)</f>
        <v>26000</v>
      </c>
      <c r="F2262" s="3" t="str">
        <f>IFERROR(__xludf.DUMMYFUNCTION("""COMPUTED_VALUE"""),"Chardonnay")</f>
        <v>Chardonnay</v>
      </c>
      <c r="G2262" s="3"/>
      <c r="H2262" s="3"/>
      <c r="I2262" s="3"/>
      <c r="J2262" s="3"/>
      <c r="K2262" s="3"/>
      <c r="L2262" s="54">
        <f>IFERROR(__xludf.DUMMYFUNCTION("""COMPUTED_VALUE"""),32.0)</f>
        <v>32</v>
      </c>
      <c r="M2262" s="3">
        <f>IFERROR(__xludf.DUMMYFUNCTION("""COMPUTED_VALUE"""),121.0)</f>
        <v>121</v>
      </c>
      <c r="N2262" s="3"/>
      <c r="O2262" s="3"/>
      <c r="P2262" s="3"/>
      <c r="Q2262" s="3"/>
      <c r="R2262" s="3">
        <f>IFERROR(__xludf.DUMMYFUNCTION("""COMPUTED_VALUE"""),0.0)</f>
        <v>0</v>
      </c>
      <c r="S2262" s="3"/>
      <c r="T2262" s="5"/>
      <c r="U2262" s="5"/>
      <c r="V2262" s="5"/>
      <c r="W2262" s="5"/>
    </row>
    <row r="2263" ht="15.75" customHeight="1">
      <c r="A2263" s="3">
        <f>IFERROR(__xludf.DUMMYFUNCTION("""COMPUTED_VALUE"""),2263.0)</f>
        <v>2263</v>
      </c>
      <c r="B2263" s="53">
        <f>IFERROR(__xludf.DUMMYFUNCTION("""COMPUTED_VALUE"""),46133.0)</f>
        <v>46133</v>
      </c>
      <c r="C2263" s="3">
        <f>IFERROR(__xludf.DUMMYFUNCTION("""COMPUTED_VALUE"""),72.0)</f>
        <v>72</v>
      </c>
      <c r="D2263" s="3" t="str">
        <f>IFERROR(__xludf.DUMMYFUNCTION("""COMPUTED_VALUE"""),"d0f8eef2")</f>
        <v>d0f8eef2</v>
      </c>
      <c r="E2263" s="54">
        <f>IFERROR(__xludf.DUMMYFUNCTION("""COMPUTED_VALUE"""),9200.0)</f>
        <v>9200</v>
      </c>
      <c r="F2263" s="3" t="str">
        <f>IFERROR(__xludf.DUMMYFUNCTION("""COMPUTED_VALUE"""),"Chardonnay Oak")</f>
        <v>Chardonnay Oak</v>
      </c>
      <c r="G2263" s="3"/>
      <c r="H2263" s="3"/>
      <c r="I2263" s="3"/>
      <c r="J2263" s="3"/>
      <c r="K2263" s="3"/>
      <c r="L2263" s="54">
        <f>IFERROR(__xludf.DUMMYFUNCTION("""COMPUTED_VALUE"""),19.0)</f>
        <v>19</v>
      </c>
      <c r="M2263" s="3">
        <f>IFERROR(__xludf.DUMMYFUNCTION("""COMPUTED_VALUE"""),110.0)</f>
        <v>110</v>
      </c>
      <c r="N2263" s="3"/>
      <c r="O2263" s="3"/>
      <c r="P2263" s="3"/>
      <c r="Q2263" s="3"/>
      <c r="R2263" s="3">
        <f>IFERROR(__xludf.DUMMYFUNCTION("""COMPUTED_VALUE"""),0.0)</f>
        <v>0</v>
      </c>
      <c r="S2263" s="3"/>
      <c r="T2263" s="5"/>
      <c r="U2263" s="5"/>
      <c r="V2263" s="5"/>
      <c r="W2263" s="5"/>
    </row>
    <row r="2264" ht="15.75" customHeight="1">
      <c r="A2264" s="3">
        <f>IFERROR(__xludf.DUMMYFUNCTION("""COMPUTED_VALUE"""),2264.0)</f>
        <v>2264</v>
      </c>
      <c r="B2264" s="53">
        <f>IFERROR(__xludf.DUMMYFUNCTION("""COMPUTED_VALUE"""),46133.0)</f>
        <v>46133</v>
      </c>
      <c r="C2264" s="3">
        <f>IFERROR(__xludf.DUMMYFUNCTION("""COMPUTED_VALUE"""),87.0)</f>
        <v>87</v>
      </c>
      <c r="D2264" s="3" t="str">
        <f>IFERROR(__xludf.DUMMYFUNCTION("""COMPUTED_VALUE"""),"00da080a")</f>
        <v>00da080a</v>
      </c>
      <c r="E2264" s="54">
        <f>IFERROR(__xludf.DUMMYFUNCTION("""COMPUTED_VALUE"""),45500.0)</f>
        <v>45500</v>
      </c>
      <c r="F2264" s="3" t="str">
        <f>IFERROR(__xludf.DUMMYFUNCTION("""COMPUTED_VALUE"""),"Bonarda c/criolla")</f>
        <v>Bonarda c/criolla</v>
      </c>
      <c r="G2264" s="3"/>
      <c r="H2264" s="56">
        <f>IFERROR(__xludf.DUMMYFUNCTION("""COMPUTED_VALUE"""),3.0)</f>
        <v>3</v>
      </c>
      <c r="I2264" s="3"/>
      <c r="J2264" s="3"/>
      <c r="K2264" s="3"/>
      <c r="L2264" s="3"/>
      <c r="M2264" s="3"/>
      <c r="N2264" s="3"/>
      <c r="O2264" s="3"/>
      <c r="P2264" s="3"/>
      <c r="Q2264" s="3"/>
      <c r="R2264" s="3">
        <f>IFERROR(__xludf.DUMMYFUNCTION("""COMPUTED_VALUE"""),0.0)</f>
        <v>0</v>
      </c>
      <c r="S2264" s="3"/>
      <c r="T2264" s="5"/>
      <c r="U2264" s="5"/>
      <c r="V2264" s="5"/>
      <c r="W2264" s="5"/>
    </row>
    <row r="2265" ht="15.75" customHeight="1">
      <c r="A2265" s="3">
        <f>IFERROR(__xludf.DUMMYFUNCTION("""COMPUTED_VALUE"""),2265.0)</f>
        <v>2265</v>
      </c>
      <c r="B2265" s="53">
        <f>IFERROR(__xludf.DUMMYFUNCTION("""COMPUTED_VALUE"""),46133.0)</f>
        <v>46133</v>
      </c>
      <c r="C2265" s="3">
        <f>IFERROR(__xludf.DUMMYFUNCTION("""COMPUTED_VALUE"""),67.0)</f>
        <v>67</v>
      </c>
      <c r="D2265" s="3" t="str">
        <f>IFERROR(__xludf.DUMMYFUNCTION("""COMPUTED_VALUE"""),"d083b80a")</f>
        <v>d083b80a</v>
      </c>
      <c r="E2265" s="54">
        <f>IFERROR(__xludf.DUMMYFUNCTION("""COMPUTED_VALUE"""),21500.0)</f>
        <v>21500</v>
      </c>
      <c r="F2265" s="3" t="str">
        <f>IFERROR(__xludf.DUMMYFUNCTION("""COMPUTED_VALUE"""),"Criolla Recarga PC")</f>
        <v>Criolla Recarga PC</v>
      </c>
      <c r="G2265" s="3"/>
      <c r="H2265" s="56">
        <f>IFERROR(__xludf.DUMMYFUNCTION("""COMPUTED_VALUE"""),2.0)</f>
        <v>2</v>
      </c>
      <c r="I2265" s="3"/>
      <c r="J2265" s="3"/>
      <c r="K2265" s="3"/>
      <c r="L2265" s="3"/>
      <c r="M2265" s="3"/>
      <c r="N2265" s="3"/>
      <c r="O2265" s="3"/>
      <c r="P2265" s="3"/>
      <c r="Q2265" s="3"/>
      <c r="R2265" s="3">
        <f>IFERROR(__xludf.DUMMYFUNCTION("""COMPUTED_VALUE"""),0.0)</f>
        <v>0</v>
      </c>
      <c r="S2265" s="3"/>
      <c r="T2265" s="5"/>
      <c r="U2265" s="5"/>
      <c r="V2265" s="5"/>
      <c r="W2265" s="5"/>
    </row>
    <row r="2266" ht="15.75" customHeight="1">
      <c r="A2266" s="3">
        <f>IFERROR(__xludf.DUMMYFUNCTION("""COMPUTED_VALUE"""),2266.0)</f>
        <v>2266</v>
      </c>
      <c r="B2266" s="53">
        <f>IFERROR(__xludf.DUMMYFUNCTION("""COMPUTED_VALUE"""),46134.0)</f>
        <v>46134</v>
      </c>
      <c r="C2266" s="3">
        <f>IFERROR(__xludf.DUMMYFUNCTION("""COMPUTED_VALUE"""),95.0)</f>
        <v>95</v>
      </c>
      <c r="D2266" s="3" t="str">
        <f>IFERROR(__xludf.DUMMYFUNCTION("""COMPUTED_VALUE"""),"f9653f2a")</f>
        <v>f9653f2a</v>
      </c>
      <c r="E2266" s="54">
        <f>IFERROR(__xludf.DUMMYFUNCTION("""COMPUTED_VALUE"""),77100.0)</f>
        <v>77100</v>
      </c>
      <c r="F2266" s="3" t="str">
        <f>IFERROR(__xludf.DUMMYFUNCTION("""COMPUTED_VALUE"""),"Criolla Recarga")</f>
        <v>Criolla Recarga</v>
      </c>
      <c r="G2266" s="55">
        <f>IFERROR(__xludf.DUMMYFUNCTION("""COMPUTED_VALUE"""),12.9)</f>
        <v>12.9</v>
      </c>
      <c r="H2266" s="56">
        <f>IFERROR(__xludf.DUMMYFUNCTION("""COMPUTED_VALUE"""),2.0)</f>
        <v>2</v>
      </c>
      <c r="I2266" s="57">
        <f>IFERROR(__xludf.DUMMYFUNCTION("""COMPUTED_VALUE"""),0.3)</f>
        <v>0.3</v>
      </c>
      <c r="J2266" s="57">
        <f>IFERROR(__xludf.DUMMYFUNCTION("""COMPUTED_VALUE"""),5.2)</f>
        <v>5.2</v>
      </c>
      <c r="K2266" s="57">
        <f>IFERROR(__xludf.DUMMYFUNCTION("""COMPUTED_VALUE"""),3.82)</f>
        <v>3.82</v>
      </c>
      <c r="L2266" s="54">
        <f>IFERROR(__xludf.DUMMYFUNCTION("""COMPUTED_VALUE"""),20.0)</f>
        <v>20</v>
      </c>
      <c r="M2266" s="3">
        <f>IFERROR(__xludf.DUMMYFUNCTION("""COMPUTED_VALUE"""),85.0)</f>
        <v>85</v>
      </c>
      <c r="N2266" s="3"/>
      <c r="O2266" s="3"/>
      <c r="P2266" s="3"/>
      <c r="Q2266" s="3"/>
      <c r="R2266" s="3">
        <f>IFERROR(__xludf.DUMMYFUNCTION("""COMPUTED_VALUE"""),0.0)</f>
        <v>0</v>
      </c>
      <c r="S2266" s="3"/>
      <c r="T2266" s="5"/>
      <c r="U2266" s="5"/>
      <c r="V2266" s="5"/>
      <c r="W2266" s="5"/>
    </row>
    <row r="2267" ht="15.75" customHeight="1">
      <c r="A2267" s="3">
        <f>IFERROR(__xludf.DUMMYFUNCTION("""COMPUTED_VALUE"""),2267.0)</f>
        <v>2267</v>
      </c>
      <c r="B2267" s="53">
        <f>IFERROR(__xludf.DUMMYFUNCTION("""COMPUTED_VALUE"""),46134.0)</f>
        <v>46134</v>
      </c>
      <c r="C2267" s="3">
        <f>IFERROR(__xludf.DUMMYFUNCTION("""COMPUTED_VALUE"""),50.0)</f>
        <v>50</v>
      </c>
      <c r="D2267" s="3" t="str">
        <f>IFERROR(__xludf.DUMMYFUNCTION("""COMPUTED_VALUE"""),"fa9988f0")</f>
        <v>fa9988f0</v>
      </c>
      <c r="E2267" s="54">
        <f>IFERROR(__xludf.DUMMYFUNCTION("""COMPUTED_VALUE"""),5100.0)</f>
        <v>5100</v>
      </c>
      <c r="F2267" s="3" t="str">
        <f>IFERROR(__xludf.DUMMYFUNCTION("""COMPUTED_VALUE"""),"Malbec")</f>
        <v>Malbec</v>
      </c>
      <c r="G2267" s="3"/>
      <c r="H2267" s="3"/>
      <c r="I2267" s="3"/>
      <c r="J2267" s="3"/>
      <c r="K2267" s="3"/>
      <c r="L2267" s="54">
        <f>IFERROR(__xludf.DUMMYFUNCTION("""COMPUTED_VALUE"""),25.0)</f>
        <v>25</v>
      </c>
      <c r="M2267" s="3">
        <f>IFERROR(__xludf.DUMMYFUNCTION("""COMPUTED_VALUE"""),130.0)</f>
        <v>130</v>
      </c>
      <c r="N2267" s="3"/>
      <c r="O2267" s="3"/>
      <c r="P2267" s="3"/>
      <c r="Q2267" s="3"/>
      <c r="R2267" s="3">
        <f>IFERROR(__xludf.DUMMYFUNCTION("""COMPUTED_VALUE"""),0.0)</f>
        <v>0</v>
      </c>
      <c r="S2267" s="3"/>
      <c r="T2267" s="5"/>
      <c r="U2267" s="5"/>
      <c r="V2267" s="5"/>
      <c r="W2267" s="5"/>
    </row>
    <row r="2268" ht="15.75" customHeight="1">
      <c r="A2268" s="3">
        <f>IFERROR(__xludf.DUMMYFUNCTION("""COMPUTED_VALUE"""),2268.0)</f>
        <v>2268</v>
      </c>
      <c r="B2268" s="53">
        <f>IFERROR(__xludf.DUMMYFUNCTION("""COMPUTED_VALUE"""),46134.0)</f>
        <v>46134</v>
      </c>
      <c r="C2268" s="3">
        <f>IFERROR(__xludf.DUMMYFUNCTION("""COMPUTED_VALUE"""),24.0)</f>
        <v>24</v>
      </c>
      <c r="D2268" s="3" t="str">
        <f>IFERROR(__xludf.DUMMYFUNCTION("""COMPUTED_VALUE"""),"4c079f49")</f>
        <v>4c079f49</v>
      </c>
      <c r="E2268" s="54">
        <f>IFERROR(__xludf.DUMMYFUNCTION("""COMPUTED_VALUE"""),171600.0)</f>
        <v>171600</v>
      </c>
      <c r="F2268" s="3" t="str">
        <f>IFERROR(__xludf.DUMMYFUNCTION("""COMPUTED_VALUE"""),"Malbec pc")</f>
        <v>Malbec pc</v>
      </c>
      <c r="G2268" s="3"/>
      <c r="H2268" s="3"/>
      <c r="I2268" s="3"/>
      <c r="J2268" s="3"/>
      <c r="K2268" s="3"/>
      <c r="L2268" s="54">
        <f>IFERROR(__xludf.DUMMYFUNCTION("""COMPUTED_VALUE"""),32.0)</f>
        <v>32</v>
      </c>
      <c r="M2268" s="3">
        <f>IFERROR(__xludf.DUMMYFUNCTION("""COMPUTED_VALUE"""),100.0)</f>
        <v>100</v>
      </c>
      <c r="N2268" s="3"/>
      <c r="O2268" s="3"/>
      <c r="P2268" s="3"/>
      <c r="Q2268" s="3"/>
      <c r="R2268" s="3">
        <f>IFERROR(__xludf.DUMMYFUNCTION("""COMPUTED_VALUE"""),0.0)</f>
        <v>0</v>
      </c>
      <c r="S2268" s="3"/>
      <c r="T2268" s="5"/>
      <c r="U2268" s="5"/>
      <c r="V2268" s="5"/>
      <c r="W2268" s="5"/>
    </row>
    <row r="2269" ht="15.75" customHeight="1">
      <c r="A2269" s="3">
        <f>IFERROR(__xludf.DUMMYFUNCTION("""COMPUTED_VALUE"""),2269.0)</f>
        <v>2269</v>
      </c>
      <c r="B2269" s="53">
        <f>IFERROR(__xludf.DUMMYFUNCTION("""COMPUTED_VALUE"""),46134.0)</f>
        <v>46134</v>
      </c>
      <c r="C2269" s="3">
        <f>IFERROR(__xludf.DUMMYFUNCTION("""COMPUTED_VALUE"""),78.0)</f>
        <v>78</v>
      </c>
      <c r="D2269" s="3" t="str">
        <f>IFERROR(__xludf.DUMMYFUNCTION("""COMPUTED_VALUE"""),"e8af8964")</f>
        <v>e8af8964</v>
      </c>
      <c r="E2269" s="54">
        <f>IFERROR(__xludf.DUMMYFUNCTION("""COMPUTED_VALUE"""),23000.0)</f>
        <v>23000</v>
      </c>
      <c r="F2269" s="3" t="str">
        <f>IFERROR(__xludf.DUMMYFUNCTION("""COMPUTED_VALUE"""),"Rosado Criolla")</f>
        <v>Rosado Criolla</v>
      </c>
      <c r="G2269" s="3"/>
      <c r="H2269" s="3"/>
      <c r="I2269" s="3"/>
      <c r="J2269" s="3"/>
      <c r="K2269" s="3"/>
      <c r="L2269" s="54">
        <f>IFERROR(__xludf.DUMMYFUNCTION("""COMPUTED_VALUE"""),13.0)</f>
        <v>13</v>
      </c>
      <c r="M2269" s="3">
        <f>IFERROR(__xludf.DUMMYFUNCTION("""COMPUTED_VALUE"""),72.0)</f>
        <v>72</v>
      </c>
      <c r="N2269" s="3"/>
      <c r="O2269" s="3"/>
      <c r="P2269" s="3"/>
      <c r="Q2269" s="3"/>
      <c r="R2269" s="3">
        <f>IFERROR(__xludf.DUMMYFUNCTION("""COMPUTED_VALUE"""),0.0)</f>
        <v>0</v>
      </c>
      <c r="S2269" s="3"/>
      <c r="T2269" s="5"/>
      <c r="U2269" s="5"/>
      <c r="V2269" s="5"/>
      <c r="W2269" s="5"/>
    </row>
    <row r="2270" ht="15.75" customHeight="1">
      <c r="A2270" s="3">
        <f>IFERROR(__xludf.DUMMYFUNCTION("""COMPUTED_VALUE"""),2270.0)</f>
        <v>2270</v>
      </c>
      <c r="B2270" s="53">
        <f>IFERROR(__xludf.DUMMYFUNCTION("""COMPUTED_VALUE"""),46134.0)</f>
        <v>46134</v>
      </c>
      <c r="C2270" s="3">
        <f>IFERROR(__xludf.DUMMYFUNCTION("""COMPUTED_VALUE"""),15.0)</f>
        <v>15</v>
      </c>
      <c r="D2270" s="3" t="str">
        <f>IFERROR(__xludf.DUMMYFUNCTION("""COMPUTED_VALUE"""),"22490f6b")</f>
        <v>22490f6b</v>
      </c>
      <c r="E2270" s="54">
        <f>IFERROR(__xludf.DUMMYFUNCTION("""COMPUTED_VALUE"""),36500.0)</f>
        <v>36500</v>
      </c>
      <c r="F2270" s="3" t="str">
        <f>IFERROR(__xludf.DUMMYFUNCTION("""COMPUTED_VALUE"""),"Cabernet Sauv G")</f>
        <v>Cabernet Sauv G</v>
      </c>
      <c r="G2270" s="3"/>
      <c r="H2270" s="3"/>
      <c r="I2270" s="3"/>
      <c r="J2270" s="3"/>
      <c r="K2270" s="3"/>
      <c r="L2270" s="54">
        <f>IFERROR(__xludf.DUMMYFUNCTION("""COMPUTED_VALUE"""),33.0)</f>
        <v>33</v>
      </c>
      <c r="M2270" s="3">
        <f>IFERROR(__xludf.DUMMYFUNCTION("""COMPUTED_VALUE"""),85.0)</f>
        <v>85</v>
      </c>
      <c r="N2270" s="3"/>
      <c r="O2270" s="3"/>
      <c r="P2270" s="3"/>
      <c r="Q2270" s="3"/>
      <c r="R2270" s="3">
        <f>IFERROR(__xludf.DUMMYFUNCTION("""COMPUTED_VALUE"""),0.0)</f>
        <v>0</v>
      </c>
      <c r="S2270" s="3"/>
      <c r="T2270" s="5"/>
      <c r="U2270" s="5"/>
      <c r="V2270" s="5"/>
      <c r="W2270" s="5"/>
    </row>
    <row r="2271" ht="15.75" customHeight="1">
      <c r="A2271" s="3">
        <f>IFERROR(__xludf.DUMMYFUNCTION("""COMPUTED_VALUE"""),2271.0)</f>
        <v>2271</v>
      </c>
      <c r="B2271" s="53">
        <f>IFERROR(__xludf.DUMMYFUNCTION("""COMPUTED_VALUE"""),46134.0)</f>
        <v>46134</v>
      </c>
      <c r="C2271" s="3">
        <f>IFERROR(__xludf.DUMMYFUNCTION("""COMPUTED_VALUE"""),28.0)</f>
        <v>28</v>
      </c>
      <c r="D2271" s="3" t="str">
        <f>IFERROR(__xludf.DUMMYFUNCTION("""COMPUTED_VALUE"""),"77fc6ec8")</f>
        <v>77fc6ec8</v>
      </c>
      <c r="E2271" s="54">
        <f>IFERROR(__xludf.DUMMYFUNCTION("""COMPUTED_VALUE"""),197000.0)</f>
        <v>197000</v>
      </c>
      <c r="F2271" s="3" t="str">
        <f>IFERROR(__xludf.DUMMYFUNCTION("""COMPUTED_VALUE"""),"Bonarda C2")</f>
        <v>Bonarda C2</v>
      </c>
      <c r="G2271" s="3"/>
      <c r="H2271" s="3"/>
      <c r="I2271" s="3"/>
      <c r="J2271" s="3"/>
      <c r="K2271" s="3"/>
      <c r="L2271" s="54">
        <f>IFERROR(__xludf.DUMMYFUNCTION("""COMPUTED_VALUE"""),23.0)</f>
        <v>23</v>
      </c>
      <c r="M2271" s="3">
        <f>IFERROR(__xludf.DUMMYFUNCTION("""COMPUTED_VALUE"""),83.0)</f>
        <v>83</v>
      </c>
      <c r="N2271" s="3"/>
      <c r="O2271" s="3"/>
      <c r="P2271" s="3"/>
      <c r="Q2271" s="3"/>
      <c r="R2271" s="3">
        <f>IFERROR(__xludf.DUMMYFUNCTION("""COMPUTED_VALUE"""),0.0)</f>
        <v>0</v>
      </c>
      <c r="S2271" s="3"/>
      <c r="T2271" s="5"/>
      <c r="U2271" s="5"/>
      <c r="V2271" s="5"/>
      <c r="W2271" s="5"/>
    </row>
    <row r="2272" ht="15.75" customHeight="1">
      <c r="A2272" s="3">
        <f>IFERROR(__xludf.DUMMYFUNCTION("""COMPUTED_VALUE"""),2272.0)</f>
        <v>2272</v>
      </c>
      <c r="B2272" s="53">
        <f>IFERROR(__xludf.DUMMYFUNCTION("""COMPUTED_VALUE"""),46134.0)</f>
        <v>46134</v>
      </c>
      <c r="C2272" s="3">
        <f>IFERROR(__xludf.DUMMYFUNCTION("""COMPUTED_VALUE"""),5.0)</f>
        <v>5</v>
      </c>
      <c r="D2272" s="3" t="str">
        <f>IFERROR(__xludf.DUMMYFUNCTION("""COMPUTED_VALUE"""),"13d2ef6f")</f>
        <v>13d2ef6f</v>
      </c>
      <c r="E2272" s="54">
        <f>IFERROR(__xludf.DUMMYFUNCTION("""COMPUTED_VALUE"""),30000.0)</f>
        <v>30000</v>
      </c>
      <c r="F2272" s="3" t="str">
        <f>IFERROR(__xludf.DUMMYFUNCTION("""COMPUTED_VALUE"""),"Syrah")</f>
        <v>Syrah</v>
      </c>
      <c r="G2272" s="3"/>
      <c r="H2272" s="3"/>
      <c r="I2272" s="3"/>
      <c r="J2272" s="3"/>
      <c r="K2272" s="3"/>
      <c r="L2272" s="54">
        <f>IFERROR(__xludf.DUMMYFUNCTION("""COMPUTED_VALUE"""),32.0)</f>
        <v>32</v>
      </c>
      <c r="M2272" s="3">
        <f>IFERROR(__xludf.DUMMYFUNCTION("""COMPUTED_VALUE"""),110.0)</f>
        <v>110</v>
      </c>
      <c r="N2272" s="3"/>
      <c r="O2272" s="3"/>
      <c r="P2272" s="3"/>
      <c r="Q2272" s="3"/>
      <c r="R2272" s="3">
        <f>IFERROR(__xludf.DUMMYFUNCTION("""COMPUTED_VALUE"""),0.0)</f>
        <v>0</v>
      </c>
      <c r="S2272" s="3"/>
      <c r="T2272" s="5"/>
      <c r="U2272" s="5"/>
      <c r="V2272" s="5"/>
      <c r="W2272" s="5"/>
    </row>
    <row r="2273" ht="15.75" customHeight="1">
      <c r="A2273" s="3">
        <f>IFERROR(__xludf.DUMMYFUNCTION("""COMPUTED_VALUE"""),2273.0)</f>
        <v>2273</v>
      </c>
      <c r="B2273" s="53">
        <f>IFERROR(__xludf.DUMMYFUNCTION("""COMPUTED_VALUE"""),46134.0)</f>
        <v>46134</v>
      </c>
      <c r="C2273" s="3">
        <f>IFERROR(__xludf.DUMMYFUNCTION("""COMPUTED_VALUE"""),25.0)</f>
        <v>25</v>
      </c>
      <c r="D2273" s="3" t="str">
        <f>IFERROR(__xludf.DUMMYFUNCTION("""COMPUTED_VALUE"""),"072a8a51")</f>
        <v>072a8a51</v>
      </c>
      <c r="E2273" s="54">
        <f>IFERROR(__xludf.DUMMYFUNCTION("""COMPUTED_VALUE"""),194300.0)</f>
        <v>194300</v>
      </c>
      <c r="F2273" s="3" t="str">
        <f>IFERROR(__xludf.DUMMYFUNCTION("""COMPUTED_VALUE"""),"Malbec Man")</f>
        <v>Malbec Man</v>
      </c>
      <c r="G2273" s="3"/>
      <c r="H2273" s="3"/>
      <c r="I2273" s="3"/>
      <c r="J2273" s="3"/>
      <c r="K2273" s="3"/>
      <c r="L2273" s="54">
        <f>IFERROR(__xludf.DUMMYFUNCTION("""COMPUTED_VALUE"""),33.0)</f>
        <v>33</v>
      </c>
      <c r="M2273" s="3">
        <f>IFERROR(__xludf.DUMMYFUNCTION("""COMPUTED_VALUE"""),102.0)</f>
        <v>102</v>
      </c>
      <c r="N2273" s="3"/>
      <c r="O2273" s="3"/>
      <c r="P2273" s="3"/>
      <c r="Q2273" s="3"/>
      <c r="R2273" s="3">
        <f>IFERROR(__xludf.DUMMYFUNCTION("""COMPUTED_VALUE"""),0.0)</f>
        <v>0</v>
      </c>
      <c r="S2273" s="3"/>
      <c r="T2273" s="5"/>
      <c r="U2273" s="5"/>
      <c r="V2273" s="5"/>
      <c r="W2273" s="5"/>
    </row>
    <row r="2274" ht="15.75" customHeight="1">
      <c r="A2274" s="3">
        <f>IFERROR(__xludf.DUMMYFUNCTION("""COMPUTED_VALUE"""),2274.0)</f>
        <v>2274</v>
      </c>
      <c r="B2274" s="53">
        <f>IFERROR(__xludf.DUMMYFUNCTION("""COMPUTED_VALUE"""),46134.0)</f>
        <v>46134</v>
      </c>
      <c r="C2274" s="3">
        <f>IFERROR(__xludf.DUMMYFUNCTION("""COMPUTED_VALUE"""),8.0)</f>
        <v>8</v>
      </c>
      <c r="D2274" s="3" t="str">
        <f>IFERROR(__xludf.DUMMYFUNCTION("""COMPUTED_VALUE"""),"76379bb5")</f>
        <v>76379bb5</v>
      </c>
      <c r="E2274" s="54">
        <f>IFERROR(__xludf.DUMMYFUNCTION("""COMPUTED_VALUE"""),21600.0)</f>
        <v>21600</v>
      </c>
      <c r="F2274" s="3" t="str">
        <f>IFERROR(__xludf.DUMMYFUNCTION("""COMPUTED_VALUE"""),"Pedro Gimenez")</f>
        <v>Pedro Gimenez</v>
      </c>
      <c r="G2274" s="3"/>
      <c r="H2274" s="3"/>
      <c r="I2274" s="3"/>
      <c r="J2274" s="3"/>
      <c r="K2274" s="3"/>
      <c r="L2274" s="54">
        <f>IFERROR(__xludf.DUMMYFUNCTION("""COMPUTED_VALUE"""),32.0)</f>
        <v>32</v>
      </c>
      <c r="M2274" s="3">
        <f>IFERROR(__xludf.DUMMYFUNCTION("""COMPUTED_VALUE"""),133.0)</f>
        <v>133</v>
      </c>
      <c r="N2274" s="3"/>
      <c r="O2274" s="3"/>
      <c r="P2274" s="3"/>
      <c r="Q2274" s="3"/>
      <c r="R2274" s="3">
        <f>IFERROR(__xludf.DUMMYFUNCTION("""COMPUTED_VALUE"""),0.0)</f>
        <v>0</v>
      </c>
      <c r="S2274" s="3"/>
      <c r="T2274" s="5"/>
      <c r="U2274" s="5"/>
      <c r="V2274" s="5"/>
      <c r="W2274" s="5"/>
    </row>
    <row r="2275" ht="15.75" customHeight="1">
      <c r="A2275" s="3">
        <f>IFERROR(__xludf.DUMMYFUNCTION("""COMPUTED_VALUE"""),2275.0)</f>
        <v>2275</v>
      </c>
      <c r="B2275" s="53">
        <f>IFERROR(__xludf.DUMMYFUNCTION("""COMPUTED_VALUE"""),46134.0)</f>
        <v>46134</v>
      </c>
      <c r="C2275" s="3">
        <f>IFERROR(__xludf.DUMMYFUNCTION("""COMPUTED_VALUE"""),34.0)</f>
        <v>34</v>
      </c>
      <c r="D2275" s="3" t="str">
        <f>IFERROR(__xludf.DUMMYFUNCTION("""COMPUTED_VALUE"""),"4c8bfcfe")</f>
        <v>4c8bfcfe</v>
      </c>
      <c r="E2275" s="54">
        <f>IFERROR(__xludf.DUMMYFUNCTION("""COMPUTED_VALUE"""),39500.0)</f>
        <v>39500</v>
      </c>
      <c r="F2275" s="3" t="str">
        <f>IFERROR(__xludf.DUMMYFUNCTION("""COMPUTED_VALUE"""),"Criolla")</f>
        <v>Criolla</v>
      </c>
      <c r="G2275" s="3"/>
      <c r="H2275" s="3"/>
      <c r="I2275" s="3"/>
      <c r="J2275" s="3"/>
      <c r="K2275" s="3"/>
      <c r="L2275" s="54">
        <f>IFERROR(__xludf.DUMMYFUNCTION("""COMPUTED_VALUE"""),22.0)</f>
        <v>22</v>
      </c>
      <c r="M2275" s="3"/>
      <c r="N2275" s="3"/>
      <c r="O2275" s="3"/>
      <c r="P2275" s="3"/>
      <c r="Q2275" s="3"/>
      <c r="R2275" s="3">
        <f>IFERROR(__xludf.DUMMYFUNCTION("""COMPUTED_VALUE"""),0.0)</f>
        <v>0</v>
      </c>
      <c r="S2275" s="3"/>
      <c r="T2275" s="5"/>
      <c r="U2275" s="5"/>
      <c r="V2275" s="5"/>
      <c r="W2275" s="5"/>
    </row>
    <row r="2276" ht="15.75" customHeight="1">
      <c r="A2276" s="3">
        <f>IFERROR(__xludf.DUMMYFUNCTION("""COMPUTED_VALUE"""),2276.0)</f>
        <v>2276</v>
      </c>
      <c r="B2276" s="53">
        <f>IFERROR(__xludf.DUMMYFUNCTION("""COMPUTED_VALUE"""),46134.0)</f>
        <v>46134</v>
      </c>
      <c r="C2276" s="3">
        <f>IFERROR(__xludf.DUMMYFUNCTION("""COMPUTED_VALUE"""),41.0)</f>
        <v>41</v>
      </c>
      <c r="D2276" s="3" t="str">
        <f>IFERROR(__xludf.DUMMYFUNCTION("""COMPUTED_VALUE"""),"ee47bf75")</f>
        <v>ee47bf75</v>
      </c>
      <c r="E2276" s="54">
        <f>IFERROR(__xludf.DUMMYFUNCTION("""COMPUTED_VALUE"""),35100.0)</f>
        <v>35100</v>
      </c>
      <c r="F2276" s="3" t="str">
        <f>IFERROR(__xludf.DUMMYFUNCTION("""COMPUTED_VALUE"""),"Malbec Mer s/Asp 3")</f>
        <v>Malbec Mer s/Asp 3</v>
      </c>
      <c r="G2276" s="3"/>
      <c r="H2276" s="3"/>
      <c r="I2276" s="3"/>
      <c r="J2276" s="3"/>
      <c r="K2276" s="3"/>
      <c r="L2276" s="54">
        <f>IFERROR(__xludf.DUMMYFUNCTION("""COMPUTED_VALUE"""),42.0)</f>
        <v>42</v>
      </c>
      <c r="M2276" s="3"/>
      <c r="N2276" s="3"/>
      <c r="O2276" s="3"/>
      <c r="P2276" s="3"/>
      <c r="Q2276" s="3"/>
      <c r="R2276" s="3">
        <f>IFERROR(__xludf.DUMMYFUNCTION("""COMPUTED_VALUE"""),0.0)</f>
        <v>0</v>
      </c>
      <c r="S2276" s="3"/>
      <c r="T2276" s="5"/>
      <c r="U2276" s="5"/>
      <c r="V2276" s="5"/>
      <c r="W2276" s="5"/>
    </row>
    <row r="2277" ht="15.75" customHeight="1">
      <c r="A2277" s="3">
        <f>IFERROR(__xludf.DUMMYFUNCTION("""COMPUTED_VALUE"""),2277.0)</f>
        <v>2277</v>
      </c>
      <c r="B2277" s="53">
        <f>IFERROR(__xludf.DUMMYFUNCTION("""COMPUTED_VALUE"""),46135.0)</f>
        <v>46135</v>
      </c>
      <c r="C2277" s="3">
        <f>IFERROR(__xludf.DUMMYFUNCTION("""COMPUTED_VALUE"""),27.0)</f>
        <v>27</v>
      </c>
      <c r="D2277" s="3" t="str">
        <f>IFERROR(__xludf.DUMMYFUNCTION("""COMPUTED_VALUE"""),"#REF!")</f>
        <v>#REF!</v>
      </c>
      <c r="E2277" s="3"/>
      <c r="F2277" s="3" t="str">
        <f>IFERROR(__xludf.DUMMYFUNCTION("""COMPUTED_VALUE"""),"Traslado Garbin")</f>
        <v>Traslado Garbin</v>
      </c>
      <c r="G2277" s="55">
        <f>IFERROR(__xludf.DUMMYFUNCTION("""COMPUTED_VALUE"""),13.3)</f>
        <v>13.3</v>
      </c>
      <c r="H2277" s="56">
        <f>IFERROR(__xludf.DUMMYFUNCTION("""COMPUTED_VALUE"""),2.0)</f>
        <v>2</v>
      </c>
      <c r="I2277" s="57">
        <f>IFERROR(__xludf.DUMMYFUNCTION("""COMPUTED_VALUE"""),0.55)</f>
        <v>0.55</v>
      </c>
      <c r="J2277" s="57">
        <f>IFERROR(__xludf.DUMMYFUNCTION("""COMPUTED_VALUE"""),5.73)</f>
        <v>5.73</v>
      </c>
      <c r="K2277" s="57">
        <f>IFERROR(__xludf.DUMMYFUNCTION("""COMPUTED_VALUE"""),3.64)</f>
        <v>3.64</v>
      </c>
      <c r="L2277" s="54">
        <f>IFERROR(__xludf.DUMMYFUNCTION("""COMPUTED_VALUE"""),25.0)</f>
        <v>25</v>
      </c>
      <c r="M2277" s="3">
        <f>IFERROR(__xludf.DUMMYFUNCTION("""COMPUTED_VALUE"""),140.0)</f>
        <v>140</v>
      </c>
      <c r="N2277" s="3"/>
      <c r="O2277" s="3">
        <f>IFERROR(__xludf.DUMMYFUNCTION("""COMPUTED_VALUE"""),368.0)</f>
        <v>368</v>
      </c>
      <c r="P2277" s="3">
        <f>IFERROR(__xludf.DUMMYFUNCTION("""COMPUTED_VALUE"""),519.0)</f>
        <v>519</v>
      </c>
      <c r="Q2277" s="3"/>
      <c r="R2277" s="3">
        <f>IFERROR(__xludf.DUMMYFUNCTION("""COMPUTED_VALUE"""),887.0)</f>
        <v>887</v>
      </c>
      <c r="S2277" s="54">
        <f>IFERROR(__xludf.DUMMYFUNCTION("""COMPUTED_VALUE"""),1250.9592391304348)</f>
        <v>1250.959239</v>
      </c>
      <c r="T2277" s="5"/>
      <c r="U2277" s="5"/>
      <c r="V2277" s="5"/>
      <c r="W2277" s="5"/>
    </row>
    <row r="2278" ht="15.75" customHeight="1">
      <c r="A2278" s="3">
        <f>IFERROR(__xludf.DUMMYFUNCTION("""COMPUTED_VALUE"""),2278.0)</f>
        <v>2278</v>
      </c>
      <c r="B2278" s="53">
        <f>IFERROR(__xludf.DUMMYFUNCTION("""COMPUTED_VALUE"""),46135.0)</f>
        <v>46135</v>
      </c>
      <c r="C2278" s="3">
        <f>IFERROR(__xludf.DUMMYFUNCTION("""COMPUTED_VALUE"""),77.0)</f>
        <v>77</v>
      </c>
      <c r="D2278" s="3" t="str">
        <f>IFERROR(__xludf.DUMMYFUNCTION("""COMPUTED_VALUE"""),"989bf939")</f>
        <v>989bf939</v>
      </c>
      <c r="E2278" s="54">
        <f>IFERROR(__xludf.DUMMYFUNCTION("""COMPUTED_VALUE"""),12500.0)</f>
        <v>12500</v>
      </c>
      <c r="F2278" s="3" t="str">
        <f>IFERROR(__xludf.DUMMYFUNCTION("""COMPUTED_VALUE"""),"Criolla")</f>
        <v>Criolla</v>
      </c>
      <c r="G2278" s="3"/>
      <c r="H2278" s="56">
        <f>IFERROR(__xludf.DUMMYFUNCTION("""COMPUTED_VALUE"""),5.5)</f>
        <v>5.5</v>
      </c>
      <c r="I2278" s="3"/>
      <c r="J2278" s="3"/>
      <c r="K2278" s="57">
        <f>IFERROR(__xludf.DUMMYFUNCTION("""COMPUTED_VALUE"""),3.89)</f>
        <v>3.89</v>
      </c>
      <c r="L2278" s="54">
        <f>IFERROR(__xludf.DUMMYFUNCTION("""COMPUTED_VALUE"""),7.0)</f>
        <v>7</v>
      </c>
      <c r="M2278" s="3">
        <f>IFERROR(__xludf.DUMMYFUNCTION("""COMPUTED_VALUE"""),75.0)</f>
        <v>75</v>
      </c>
      <c r="N2278" s="3"/>
      <c r="O2278" s="3"/>
      <c r="P2278" s="3"/>
      <c r="Q2278" s="3"/>
      <c r="R2278" s="3">
        <f>IFERROR(__xludf.DUMMYFUNCTION("""COMPUTED_VALUE"""),0.0)</f>
        <v>0</v>
      </c>
      <c r="S2278" s="3"/>
      <c r="T2278" s="5"/>
      <c r="U2278" s="5"/>
      <c r="V2278" s="5"/>
      <c r="W2278" s="5"/>
    </row>
    <row r="2279" ht="15.75" customHeight="1">
      <c r="A2279" s="3">
        <f>IFERROR(__xludf.DUMMYFUNCTION("""COMPUTED_VALUE"""),2279.0)</f>
        <v>2279</v>
      </c>
      <c r="B2279" s="53">
        <f>IFERROR(__xludf.DUMMYFUNCTION("""COMPUTED_VALUE"""),46135.0)</f>
        <v>46135</v>
      </c>
      <c r="C2279" s="3">
        <f>IFERROR(__xludf.DUMMYFUNCTION("""COMPUTED_VALUE"""),126.0)</f>
        <v>126</v>
      </c>
      <c r="D2279" s="3" t="str">
        <f>IFERROR(__xludf.DUMMYFUNCTION("""COMPUTED_VALUE"""),"0a6a2e5b")</f>
        <v>0a6a2e5b</v>
      </c>
      <c r="E2279" s="54">
        <f>IFERROR(__xludf.DUMMYFUNCTION("""COMPUTED_VALUE"""),31000.0)</f>
        <v>31000</v>
      </c>
      <c r="F2279" s="3" t="str">
        <f>IFERROR(__xludf.DUMMYFUNCTION("""COMPUTED_VALUE"""),"Criolla Filt")</f>
        <v>Criolla Filt</v>
      </c>
      <c r="G2279" s="3"/>
      <c r="H2279" s="56">
        <f>IFERROR(__xludf.DUMMYFUNCTION("""COMPUTED_VALUE"""),3.37)</f>
        <v>3.37</v>
      </c>
      <c r="I2279" s="3"/>
      <c r="J2279" s="3"/>
      <c r="K2279" s="57">
        <f>IFERROR(__xludf.DUMMYFUNCTION("""COMPUTED_VALUE"""),3.78)</f>
        <v>3.78</v>
      </c>
      <c r="L2279" s="54">
        <f>IFERROR(__xludf.DUMMYFUNCTION("""COMPUTED_VALUE"""),12.0)</f>
        <v>12</v>
      </c>
      <c r="M2279" s="3">
        <f>IFERROR(__xludf.DUMMYFUNCTION("""COMPUTED_VALUE"""),80.0)</f>
        <v>80</v>
      </c>
      <c r="N2279" s="3"/>
      <c r="O2279" s="3"/>
      <c r="P2279" s="3"/>
      <c r="Q2279" s="3"/>
      <c r="R2279" s="3">
        <f>IFERROR(__xludf.DUMMYFUNCTION("""COMPUTED_VALUE"""),0.0)</f>
        <v>0</v>
      </c>
      <c r="S2279" s="3"/>
      <c r="T2279" s="5"/>
      <c r="U2279" s="5"/>
      <c r="V2279" s="5"/>
      <c r="W2279" s="5"/>
    </row>
    <row r="2280" ht="15.75" customHeight="1">
      <c r="A2280" s="3">
        <f>IFERROR(__xludf.DUMMYFUNCTION("""COMPUTED_VALUE"""),2280.0)</f>
        <v>2280</v>
      </c>
      <c r="B2280" s="53">
        <f>IFERROR(__xludf.DUMMYFUNCTION("""COMPUTED_VALUE"""),46135.0)</f>
        <v>46135</v>
      </c>
      <c r="C2280" s="3">
        <f>IFERROR(__xludf.DUMMYFUNCTION("""COMPUTED_VALUE"""),80.0)</f>
        <v>80</v>
      </c>
      <c r="D2280" s="3" t="str">
        <f>IFERROR(__xludf.DUMMYFUNCTION("""COMPUTED_VALUE"""),"a816c3ff")</f>
        <v>a816c3ff</v>
      </c>
      <c r="E2280" s="54">
        <f>IFERROR(__xludf.DUMMYFUNCTION("""COMPUTED_VALUE"""),24000.0)</f>
        <v>24000</v>
      </c>
      <c r="F2280" s="3" t="str">
        <f>IFERROR(__xludf.DUMMYFUNCTION("""COMPUTED_VALUE"""),"Criolla")</f>
        <v>Criolla</v>
      </c>
      <c r="G2280" s="3"/>
      <c r="H2280" s="56">
        <f>IFERROR(__xludf.DUMMYFUNCTION("""COMPUTED_VALUE"""),2.45)</f>
        <v>2.45</v>
      </c>
      <c r="I2280" s="3"/>
      <c r="J2280" s="3"/>
      <c r="K2280" s="57">
        <f>IFERROR(__xludf.DUMMYFUNCTION("""COMPUTED_VALUE"""),3.97)</f>
        <v>3.97</v>
      </c>
      <c r="L2280" s="54">
        <f>IFERROR(__xludf.DUMMYFUNCTION("""COMPUTED_VALUE"""),10.0)</f>
        <v>10</v>
      </c>
      <c r="M2280" s="3">
        <f>IFERROR(__xludf.DUMMYFUNCTION("""COMPUTED_VALUE"""),70.0)</f>
        <v>70</v>
      </c>
      <c r="N2280" s="3"/>
      <c r="O2280" s="3"/>
      <c r="P2280" s="3"/>
      <c r="Q2280" s="3"/>
      <c r="R2280" s="3">
        <f>IFERROR(__xludf.DUMMYFUNCTION("""COMPUTED_VALUE"""),0.0)</f>
        <v>0</v>
      </c>
      <c r="S2280" s="3"/>
      <c r="T2280" s="5"/>
      <c r="U2280" s="5"/>
      <c r="V2280" s="5"/>
      <c r="W2280" s="5"/>
    </row>
    <row r="2281" ht="15.75" customHeight="1">
      <c r="A2281" s="3">
        <f>IFERROR(__xludf.DUMMYFUNCTION("""COMPUTED_VALUE"""),2281.0)</f>
        <v>2281</v>
      </c>
      <c r="B2281" s="53">
        <f>IFERROR(__xludf.DUMMYFUNCTION("""COMPUTED_VALUE"""),46135.0)</f>
        <v>46135</v>
      </c>
      <c r="C2281" s="3">
        <f>IFERROR(__xludf.DUMMYFUNCTION("""COMPUTED_VALUE"""),65.0)</f>
        <v>65</v>
      </c>
      <c r="D2281" s="3" t="str">
        <f>IFERROR(__xludf.DUMMYFUNCTION("""COMPUTED_VALUE"""),"d932789c")</f>
        <v>d932789c</v>
      </c>
      <c r="E2281" s="54">
        <f>IFERROR(__xludf.DUMMYFUNCTION("""COMPUTED_VALUE"""),34400.0)</f>
        <v>34400</v>
      </c>
      <c r="F2281" s="3" t="str">
        <f>IFERROR(__xludf.DUMMYFUNCTION("""COMPUTED_VALUE"""),"Criolla PC")</f>
        <v>Criolla PC</v>
      </c>
      <c r="G2281" s="3"/>
      <c r="H2281" s="56">
        <f>IFERROR(__xludf.DUMMYFUNCTION("""COMPUTED_VALUE"""),2.0)</f>
        <v>2</v>
      </c>
      <c r="I2281" s="3"/>
      <c r="J2281" s="3"/>
      <c r="K2281" s="57">
        <f>IFERROR(__xludf.DUMMYFUNCTION("""COMPUTED_VALUE"""),3.41)</f>
        <v>3.41</v>
      </c>
      <c r="L2281" s="54">
        <f>IFERROR(__xludf.DUMMYFUNCTION("""COMPUTED_VALUE"""),15.0)</f>
        <v>15</v>
      </c>
      <c r="M2281" s="3">
        <f>IFERROR(__xludf.DUMMYFUNCTION("""COMPUTED_VALUE"""),76.0)</f>
        <v>76</v>
      </c>
      <c r="N2281" s="3"/>
      <c r="O2281" s="3"/>
      <c r="P2281" s="3"/>
      <c r="Q2281" s="3"/>
      <c r="R2281" s="3">
        <f>IFERROR(__xludf.DUMMYFUNCTION("""COMPUTED_VALUE"""),0.0)</f>
        <v>0</v>
      </c>
      <c r="S2281" s="3"/>
      <c r="T2281" s="5"/>
      <c r="U2281" s="5"/>
      <c r="V2281" s="5"/>
      <c r="W2281" s="5"/>
    </row>
    <row r="2282" ht="15.75" customHeight="1">
      <c r="A2282" s="3">
        <f>IFERROR(__xludf.DUMMYFUNCTION("""COMPUTED_VALUE"""),2282.0)</f>
        <v>2282</v>
      </c>
      <c r="B2282" s="53">
        <f>IFERROR(__xludf.DUMMYFUNCTION("""COMPUTED_VALUE"""),46135.0)</f>
        <v>46135</v>
      </c>
      <c r="C2282" s="3">
        <f>IFERROR(__xludf.DUMMYFUNCTION("""COMPUTED_VALUE"""),127.0)</f>
        <v>127</v>
      </c>
      <c r="D2282" s="3" t="str">
        <f>IFERROR(__xludf.DUMMYFUNCTION("""COMPUTED_VALUE"""),"e515b905")</f>
        <v>e515b905</v>
      </c>
      <c r="E2282" s="54">
        <f>IFERROR(__xludf.DUMMYFUNCTION("""COMPUTED_VALUE"""),31000.0)</f>
        <v>31000</v>
      </c>
      <c r="F2282" s="3" t="str">
        <f>IFERROR(__xludf.DUMMYFUNCTION("""COMPUTED_VALUE"""),"Criolla")</f>
        <v>Criolla</v>
      </c>
      <c r="G2282" s="3"/>
      <c r="H2282" s="56">
        <f>IFERROR(__xludf.DUMMYFUNCTION("""COMPUTED_VALUE"""),2.0)</f>
        <v>2</v>
      </c>
      <c r="I2282" s="3"/>
      <c r="J2282" s="3"/>
      <c r="K2282" s="57">
        <f>IFERROR(__xludf.DUMMYFUNCTION("""COMPUTED_VALUE"""),3.81)</f>
        <v>3.81</v>
      </c>
      <c r="L2282" s="54">
        <f>IFERROR(__xludf.DUMMYFUNCTION("""COMPUTED_VALUE"""),14.0)</f>
        <v>14</v>
      </c>
      <c r="M2282" s="3">
        <f>IFERROR(__xludf.DUMMYFUNCTION("""COMPUTED_VALUE"""),82.0)</f>
        <v>82</v>
      </c>
      <c r="N2282" s="3"/>
      <c r="O2282" s="3"/>
      <c r="P2282" s="3"/>
      <c r="Q2282" s="3"/>
      <c r="R2282" s="3">
        <f>IFERROR(__xludf.DUMMYFUNCTION("""COMPUTED_VALUE"""),0.0)</f>
        <v>0</v>
      </c>
      <c r="S2282" s="3"/>
      <c r="T2282" s="5"/>
      <c r="U2282" s="5"/>
      <c r="V2282" s="5"/>
      <c r="W2282" s="5"/>
    </row>
    <row r="2283" ht="15.75" customHeight="1">
      <c r="A2283" s="3">
        <f>IFERROR(__xludf.DUMMYFUNCTION("""COMPUTED_VALUE"""),2283.0)</f>
        <v>2283</v>
      </c>
      <c r="B2283" s="53">
        <f>IFERROR(__xludf.DUMMYFUNCTION("""COMPUTED_VALUE"""),46135.0)</f>
        <v>46135</v>
      </c>
      <c r="C2283" s="3">
        <f>IFERROR(__xludf.DUMMYFUNCTION("""COMPUTED_VALUE"""),96.0)</f>
        <v>96</v>
      </c>
      <c r="D2283" s="3" t="str">
        <f>IFERROR(__xludf.DUMMYFUNCTION("""COMPUTED_VALUE"""),"f9c4a069")</f>
        <v>f9c4a069</v>
      </c>
      <c r="E2283" s="54">
        <f>IFERROR(__xludf.DUMMYFUNCTION("""COMPUTED_VALUE"""),29500.0)</f>
        <v>29500</v>
      </c>
      <c r="F2283" s="3" t="str">
        <f>IFERROR(__xludf.DUMMYFUNCTION("""COMPUTED_VALUE"""),"Criolla Recarga PC")</f>
        <v>Criolla Recarga PC</v>
      </c>
      <c r="G2283" s="3"/>
      <c r="H2283" s="56">
        <f>IFERROR(__xludf.DUMMYFUNCTION("""COMPUTED_VALUE"""),2.0)</f>
        <v>2</v>
      </c>
      <c r="I2283" s="3"/>
      <c r="J2283" s="3"/>
      <c r="K2283" s="57">
        <f>IFERROR(__xludf.DUMMYFUNCTION("""COMPUTED_VALUE"""),3.75)</f>
        <v>3.75</v>
      </c>
      <c r="L2283" s="54">
        <f>IFERROR(__xludf.DUMMYFUNCTION("""COMPUTED_VALUE"""),20.0)</f>
        <v>20</v>
      </c>
      <c r="M2283" s="3">
        <f>IFERROR(__xludf.DUMMYFUNCTION("""COMPUTED_VALUE"""),100.0)</f>
        <v>100</v>
      </c>
      <c r="N2283" s="3"/>
      <c r="O2283" s="3"/>
      <c r="P2283" s="3"/>
      <c r="Q2283" s="3"/>
      <c r="R2283" s="3">
        <f>IFERROR(__xludf.DUMMYFUNCTION("""COMPUTED_VALUE"""),0.0)</f>
        <v>0</v>
      </c>
      <c r="S2283" s="3"/>
      <c r="T2283" s="5"/>
      <c r="U2283" s="5"/>
      <c r="V2283" s="5"/>
      <c r="W2283" s="5"/>
    </row>
    <row r="2284" ht="15.75" customHeight="1">
      <c r="A2284" s="3">
        <f>IFERROR(__xludf.DUMMYFUNCTION("""COMPUTED_VALUE"""),2284.0)</f>
        <v>2284</v>
      </c>
      <c r="B2284" s="53">
        <f>IFERROR(__xludf.DUMMYFUNCTION("""COMPUTED_VALUE"""),46135.0)</f>
        <v>46135</v>
      </c>
      <c r="C2284" s="3">
        <f>IFERROR(__xludf.DUMMYFUNCTION("""COMPUTED_VALUE"""),14.0)</f>
        <v>14</v>
      </c>
      <c r="D2284" s="3" t="str">
        <f>IFERROR(__xludf.DUMMYFUNCTION("""COMPUTED_VALUE"""),"531869ce")</f>
        <v>531869ce</v>
      </c>
      <c r="E2284" s="54">
        <f>IFERROR(__xludf.DUMMYFUNCTION("""COMPUTED_VALUE"""),24000.0)</f>
        <v>24000</v>
      </c>
      <c r="F2284" s="3" t="str">
        <f>IFERROR(__xludf.DUMMYFUNCTION("""COMPUTED_VALUE"""),"Criolla con Claro filtro")</f>
        <v>Criolla con Claro filtro</v>
      </c>
      <c r="G2284" s="3"/>
      <c r="H2284" s="56">
        <f>IFERROR(__xludf.DUMMYFUNCTION("""COMPUTED_VALUE"""),2.0)</f>
        <v>2</v>
      </c>
      <c r="I2284" s="57">
        <f>IFERROR(__xludf.DUMMYFUNCTION("""COMPUTED_VALUE"""),0.76)</f>
        <v>0.76</v>
      </c>
      <c r="J2284" s="3"/>
      <c r="K2284" s="57">
        <f>IFERROR(__xludf.DUMMYFUNCTION("""COMPUTED_VALUE"""),3.68)</f>
        <v>3.68</v>
      </c>
      <c r="L2284" s="54">
        <f>IFERROR(__xludf.DUMMYFUNCTION("""COMPUTED_VALUE"""),13.0)</f>
        <v>13</v>
      </c>
      <c r="M2284" s="3">
        <f>IFERROR(__xludf.DUMMYFUNCTION("""COMPUTED_VALUE"""),95.0)</f>
        <v>95</v>
      </c>
      <c r="N2284" s="3"/>
      <c r="O2284" s="3"/>
      <c r="P2284" s="3"/>
      <c r="Q2284" s="3"/>
      <c r="R2284" s="3">
        <f>IFERROR(__xludf.DUMMYFUNCTION("""COMPUTED_VALUE"""),0.0)</f>
        <v>0</v>
      </c>
      <c r="S2284" s="3"/>
      <c r="T2284" s="5"/>
      <c r="U2284" s="5"/>
      <c r="V2284" s="5"/>
      <c r="W2284" s="5"/>
    </row>
    <row r="2285" ht="15.75" customHeight="1">
      <c r="A2285" s="3">
        <f>IFERROR(__xludf.DUMMYFUNCTION("""COMPUTED_VALUE"""),2285.0)</f>
        <v>2285</v>
      </c>
      <c r="B2285" s="53">
        <f>IFERROR(__xludf.DUMMYFUNCTION("""COMPUTED_VALUE"""),46136.0)</f>
        <v>46136</v>
      </c>
      <c r="C2285" s="3">
        <f>IFERROR(__xludf.DUMMYFUNCTION("""COMPUTED_VALUE"""),79.0)</f>
        <v>79</v>
      </c>
      <c r="D2285" s="3" t="str">
        <f>IFERROR(__xludf.DUMMYFUNCTION("""COMPUTED_VALUE"""),"94c98a03")</f>
        <v>94c98a03</v>
      </c>
      <c r="E2285" s="54">
        <f>IFERROR(__xludf.DUMMYFUNCTION("""COMPUTED_VALUE"""),23000.0)</f>
        <v>23000</v>
      </c>
      <c r="F2285" s="3" t="str">
        <f>IFERROR(__xludf.DUMMYFUNCTION("""COMPUTED_VALUE"""),"Criolla")</f>
        <v>Criolla</v>
      </c>
      <c r="G2285" s="3"/>
      <c r="H2285" s="56">
        <f>IFERROR(__xludf.DUMMYFUNCTION("""COMPUTED_VALUE"""),240.0)</f>
        <v>240</v>
      </c>
      <c r="I2285" s="3"/>
      <c r="J2285" s="3"/>
      <c r="K2285" s="57">
        <f>IFERROR(__xludf.DUMMYFUNCTION("""COMPUTED_VALUE"""),4.09)</f>
        <v>4.09</v>
      </c>
      <c r="L2285" s="54">
        <f>IFERROR(__xludf.DUMMYFUNCTION("""COMPUTED_VALUE"""),35.0)</f>
        <v>35</v>
      </c>
      <c r="M2285" s="3">
        <f>IFERROR(__xludf.DUMMYFUNCTION("""COMPUTED_VALUE"""),70.0)</f>
        <v>70</v>
      </c>
      <c r="N2285" s="3"/>
      <c r="O2285" s="3"/>
      <c r="P2285" s="3"/>
      <c r="Q2285" s="3"/>
      <c r="R2285" s="3">
        <f>IFERROR(__xludf.DUMMYFUNCTION("""COMPUTED_VALUE"""),0.0)</f>
        <v>0</v>
      </c>
      <c r="S2285" s="3"/>
      <c r="T2285" s="5"/>
      <c r="U2285" s="5"/>
      <c r="V2285" s="5"/>
      <c r="W2285" s="5"/>
    </row>
    <row r="2286" ht="15.75" customHeight="1">
      <c r="A2286" s="3">
        <f>IFERROR(__xludf.DUMMYFUNCTION("""COMPUTED_VALUE"""),2286.0)</f>
        <v>2286</v>
      </c>
      <c r="B2286" s="53">
        <f>IFERROR(__xludf.DUMMYFUNCTION("""COMPUTED_VALUE"""),46167.0)</f>
        <v>46167</v>
      </c>
      <c r="C2286" s="3">
        <f>IFERROR(__xludf.DUMMYFUNCTION("""COMPUTED_VALUE"""),34.0)</f>
        <v>34</v>
      </c>
      <c r="D2286" s="3" t="str">
        <f>IFERROR(__xludf.DUMMYFUNCTION("""COMPUTED_VALUE"""),"4c8bfcfe")</f>
        <v>4c8bfcfe</v>
      </c>
      <c r="E2286" s="54">
        <f>IFERROR(__xludf.DUMMYFUNCTION("""COMPUTED_VALUE"""),39500.0)</f>
        <v>39500</v>
      </c>
      <c r="F2286" s="3" t="str">
        <f>IFERROR(__xludf.DUMMYFUNCTION("""COMPUTED_VALUE"""),"Criolla")</f>
        <v>Criolla</v>
      </c>
      <c r="G2286" s="3"/>
      <c r="H2286" s="3"/>
      <c r="I2286" s="3"/>
      <c r="J2286" s="3"/>
      <c r="K2286" s="3"/>
      <c r="L2286" s="3"/>
      <c r="M2286" s="3"/>
      <c r="N2286" s="3"/>
      <c r="O2286" s="3"/>
      <c r="P2286" s="3"/>
      <c r="Q2286" s="3"/>
      <c r="R2286" s="3">
        <f>IFERROR(__xludf.DUMMYFUNCTION("""COMPUTED_VALUE"""),0.0)</f>
        <v>0</v>
      </c>
      <c r="S2286" s="3"/>
      <c r="T2286" s="5"/>
      <c r="U2286" s="5"/>
      <c r="V2286" s="5"/>
      <c r="W2286" s="5" t="str">
        <f>IFERROR(__xludf.DUMMYFUNCTION("""COMPUTED_VALUE"""),"tengo los datos falta corregir")</f>
        <v>tengo los datos falta corregir</v>
      </c>
    </row>
    <row r="2287" ht="15.75" customHeight="1">
      <c r="A2287" s="3">
        <f>IFERROR(__xludf.DUMMYFUNCTION("""COMPUTED_VALUE"""),2287.0)</f>
        <v>2287</v>
      </c>
      <c r="B2287" s="3"/>
      <c r="C2287" s="3">
        <f>IFERROR(__xludf.DUMMYFUNCTION("""COMPUTED_VALUE"""),35.0)</f>
        <v>35</v>
      </c>
      <c r="D2287" s="3" t="str">
        <f>IFERROR(__xludf.DUMMYFUNCTION("""COMPUTED_VALUE"""),"a232f267")</f>
        <v>a232f267</v>
      </c>
      <c r="E2287" s="54">
        <f>IFERROR(__xludf.DUMMYFUNCTION("""COMPUTED_VALUE"""),39300.0)</f>
        <v>39300</v>
      </c>
      <c r="F2287" s="3" t="str">
        <f>IFERROR(__xludf.DUMMYFUNCTION("""COMPUTED_VALUE"""),"Malbec")</f>
        <v>Malbec</v>
      </c>
      <c r="G2287" s="3"/>
      <c r="H2287" s="3"/>
      <c r="I2287" s="3"/>
      <c r="J2287" s="3"/>
      <c r="K2287" s="3"/>
      <c r="L2287" s="3"/>
      <c r="M2287" s="3"/>
      <c r="N2287" s="3"/>
      <c r="O2287" s="3"/>
      <c r="P2287" s="3"/>
      <c r="Q2287" s="3"/>
      <c r="R2287" s="3">
        <f>IFERROR(__xludf.DUMMYFUNCTION("""COMPUTED_VALUE"""),0.0)</f>
        <v>0</v>
      </c>
      <c r="S2287" s="3"/>
      <c r="T2287" s="5"/>
      <c r="U2287" s="5"/>
      <c r="V2287" s="5"/>
      <c r="W2287" s="5" t="str">
        <f>IFERROR(__xludf.DUMMYFUNCTION("""COMPUTED_VALUE"""),"tengo los datos falta corregir")</f>
        <v>tengo los datos falta corregir</v>
      </c>
    </row>
    <row r="2288" ht="15.75" customHeight="1">
      <c r="A2288" s="3">
        <f>IFERROR(__xludf.DUMMYFUNCTION("""COMPUTED_VALUE"""),2288.0)</f>
        <v>2288</v>
      </c>
      <c r="B2288" s="3"/>
      <c r="C2288" s="3">
        <f>IFERROR(__xludf.DUMMYFUNCTION("""COMPUTED_VALUE"""),115.0)</f>
        <v>115</v>
      </c>
      <c r="D2288" s="3" t="str">
        <f>IFERROR(__xludf.DUMMYFUNCTION("""COMPUTED_VALUE"""),"8923dcaa")</f>
        <v>8923dcaa</v>
      </c>
      <c r="E2288" s="54">
        <f>IFERROR(__xludf.DUMMYFUNCTION("""COMPUTED_VALUE"""),120200.0)</f>
        <v>120200</v>
      </c>
      <c r="F2288" s="3" t="str">
        <f>IFERROR(__xludf.DUMMYFUNCTION("""COMPUTED_VALUE"""),"Syrah")</f>
        <v>Syrah</v>
      </c>
      <c r="G2288" s="3"/>
      <c r="H2288" s="3"/>
      <c r="I2288" s="3"/>
      <c r="J2288" s="3"/>
      <c r="K2288" s="3"/>
      <c r="L2288" s="3"/>
      <c r="M2288" s="3"/>
      <c r="N2288" s="3"/>
      <c r="O2288" s="3"/>
      <c r="P2288" s="3"/>
      <c r="Q2288" s="3"/>
      <c r="R2288" s="3">
        <f>IFERROR(__xludf.DUMMYFUNCTION("""COMPUTED_VALUE"""),0.0)</f>
        <v>0</v>
      </c>
      <c r="S2288" s="3"/>
      <c r="T2288" s="5"/>
      <c r="U2288" s="5"/>
      <c r="V2288" s="5"/>
      <c r="W2288" s="5" t="str">
        <f>IFERROR(__xludf.DUMMYFUNCTION("""COMPUTED_VALUE"""),"tengo los datos falta corregir")</f>
        <v>tengo los datos falta corregir</v>
      </c>
    </row>
    <row r="2289" ht="15.75" customHeight="1">
      <c r="A2289" s="3">
        <f>IFERROR(__xludf.DUMMYFUNCTION("""COMPUTED_VALUE"""),2289.0)</f>
        <v>2289</v>
      </c>
      <c r="B2289" s="3"/>
      <c r="C2289" s="3">
        <f>IFERROR(__xludf.DUMMYFUNCTION("""COMPUTED_VALUE"""),118.0)</f>
        <v>118</v>
      </c>
      <c r="D2289" s="3" t="str">
        <f>IFERROR(__xludf.DUMMYFUNCTION("""COMPUTED_VALUE"""),"0cee4951")</f>
        <v>0cee4951</v>
      </c>
      <c r="E2289" s="54">
        <f>IFERROR(__xludf.DUMMYFUNCTION("""COMPUTED_VALUE"""),155600.0)</f>
        <v>155600</v>
      </c>
      <c r="F2289" s="3" t="str">
        <f>IFERROR(__xludf.DUMMYFUNCTION("""COMPUTED_VALUE"""),"Syrah Temp")</f>
        <v>Syrah Temp</v>
      </c>
      <c r="G2289" s="3"/>
      <c r="H2289" s="3"/>
      <c r="I2289" s="3"/>
      <c r="J2289" s="3"/>
      <c r="K2289" s="3"/>
      <c r="L2289" s="3"/>
      <c r="M2289" s="3"/>
      <c r="N2289" s="3"/>
      <c r="O2289" s="3"/>
      <c r="P2289" s="3"/>
      <c r="Q2289" s="3"/>
      <c r="R2289" s="3">
        <f>IFERROR(__xludf.DUMMYFUNCTION("""COMPUTED_VALUE"""),0.0)</f>
        <v>0</v>
      </c>
      <c r="S2289" s="3"/>
      <c r="T2289" s="5"/>
      <c r="U2289" s="5"/>
      <c r="V2289" s="5"/>
      <c r="W2289" s="5"/>
    </row>
    <row r="2290" ht="15.75" customHeight="1">
      <c r="A2290" s="3">
        <f>IFERROR(__xludf.DUMMYFUNCTION("""COMPUTED_VALUE"""),2290.0)</f>
        <v>2290</v>
      </c>
      <c r="B2290" s="3"/>
      <c r="C2290" s="3">
        <f>IFERROR(__xludf.DUMMYFUNCTION("""COMPUTED_VALUE"""),95.0)</f>
        <v>95</v>
      </c>
      <c r="D2290" s="3" t="str">
        <f>IFERROR(__xludf.DUMMYFUNCTION("""COMPUTED_VALUE"""),"f9653f2a")</f>
        <v>f9653f2a</v>
      </c>
      <c r="E2290" s="54">
        <f>IFERROR(__xludf.DUMMYFUNCTION("""COMPUTED_VALUE"""),77100.0)</f>
        <v>77100</v>
      </c>
      <c r="F2290" s="3" t="str">
        <f>IFERROR(__xludf.DUMMYFUNCTION("""COMPUTED_VALUE"""),"Criolla Recarga")</f>
        <v>Criolla Recarga</v>
      </c>
      <c r="G2290" s="3"/>
      <c r="H2290" s="3"/>
      <c r="I2290" s="3"/>
      <c r="J2290" s="3"/>
      <c r="K2290" s="3"/>
      <c r="L2290" s="3"/>
      <c r="M2290" s="3"/>
      <c r="N2290" s="3"/>
      <c r="O2290" s="3"/>
      <c r="P2290" s="3"/>
      <c r="Q2290" s="3"/>
      <c r="R2290" s="3">
        <f>IFERROR(__xludf.DUMMYFUNCTION("""COMPUTED_VALUE"""),0.0)</f>
        <v>0</v>
      </c>
      <c r="S2290" s="3"/>
      <c r="T2290" s="5"/>
      <c r="U2290" s="5"/>
      <c r="V2290" s="5"/>
      <c r="W2290" s="5" t="str">
        <f>IFERROR(__xludf.DUMMYFUNCTION("""COMPUTED_VALUE"""),"tengo los datos falta corregir")</f>
        <v>tengo los datos falta corregir</v>
      </c>
    </row>
    <row r="2291" ht="15.75" customHeight="1">
      <c r="A2291" s="3">
        <f>IFERROR(__xludf.DUMMYFUNCTION("""COMPUTED_VALUE"""),2291.0)</f>
        <v>2291</v>
      </c>
      <c r="B2291" s="53">
        <f>IFERROR(__xludf.DUMMYFUNCTION("""COMPUTED_VALUE"""),46136.0)</f>
        <v>46136</v>
      </c>
      <c r="C2291" s="3">
        <f>IFERROR(__xludf.DUMMYFUNCTION("""COMPUTED_VALUE"""),89.0)</f>
        <v>89</v>
      </c>
      <c r="D2291" s="3" t="str">
        <f>IFERROR(__xludf.DUMMYFUNCTION("""COMPUTED_VALUE"""),"b4b1b66c")</f>
        <v>b4b1b66c</v>
      </c>
      <c r="E2291" s="54">
        <f>IFERROR(__xludf.DUMMYFUNCTION("""COMPUTED_VALUE"""),38900.0)</f>
        <v>38900</v>
      </c>
      <c r="F2291" s="3" t="str">
        <f>IFERROR(__xludf.DUMMYFUNCTION("""COMPUTED_VALUE"""),"Criolla Recarga")</f>
        <v>Criolla Recarga</v>
      </c>
      <c r="G2291" s="3"/>
      <c r="H2291" s="56">
        <f>IFERROR(__xludf.DUMMYFUNCTION("""COMPUTED_VALUE"""),2.0)</f>
        <v>2</v>
      </c>
      <c r="I2291" s="3"/>
      <c r="J2291" s="3"/>
      <c r="K2291" s="3"/>
      <c r="L2291" s="3"/>
      <c r="M2291" s="3"/>
      <c r="N2291" s="3"/>
      <c r="O2291" s="3"/>
      <c r="P2291" s="3"/>
      <c r="Q2291" s="3"/>
      <c r="R2291" s="3">
        <f>IFERROR(__xludf.DUMMYFUNCTION("""COMPUTED_VALUE"""),0.0)</f>
        <v>0</v>
      </c>
      <c r="S2291" s="3"/>
      <c r="T2291" s="5"/>
      <c r="U2291" s="5"/>
      <c r="V2291" s="5"/>
      <c r="W2291" s="5"/>
    </row>
    <row r="2292" ht="15.75" customHeight="1">
      <c r="A2292" s="3">
        <f>IFERROR(__xludf.DUMMYFUNCTION("""COMPUTED_VALUE"""),2292.0)</f>
        <v>2292</v>
      </c>
      <c r="B2292" s="53">
        <f>IFERROR(__xludf.DUMMYFUNCTION("""COMPUTED_VALUE"""),46137.0)</f>
        <v>46137</v>
      </c>
      <c r="C2292" s="3">
        <f>IFERROR(__xludf.DUMMYFUNCTION("""COMPUTED_VALUE"""),126.0)</f>
        <v>126</v>
      </c>
      <c r="D2292" s="3" t="str">
        <f>IFERROR(__xludf.DUMMYFUNCTION("""COMPUTED_VALUE"""),"0a6a2e5b")</f>
        <v>0a6a2e5b</v>
      </c>
      <c r="E2292" s="54">
        <f>IFERROR(__xludf.DUMMYFUNCTION("""COMPUTED_VALUE"""),31000.0)</f>
        <v>31000</v>
      </c>
      <c r="F2292" s="3" t="str">
        <f>IFERROR(__xludf.DUMMYFUNCTION("""COMPUTED_VALUE"""),"Criolla Filt")</f>
        <v>Criolla Filt</v>
      </c>
      <c r="G2292" s="3"/>
      <c r="H2292" s="3"/>
      <c r="I2292" s="3"/>
      <c r="J2292" s="3"/>
      <c r="K2292" s="57">
        <f>IFERROR(__xludf.DUMMYFUNCTION("""COMPUTED_VALUE"""),3.8)</f>
        <v>3.8</v>
      </c>
      <c r="L2292" s="54">
        <f>IFERROR(__xludf.DUMMYFUNCTION("""COMPUTED_VALUE"""),25.0)</f>
        <v>25</v>
      </c>
      <c r="M2292" s="3">
        <f>IFERROR(__xludf.DUMMYFUNCTION("""COMPUTED_VALUE"""),118.0)</f>
        <v>118</v>
      </c>
      <c r="N2292" s="3"/>
      <c r="O2292" s="3"/>
      <c r="P2292" s="3"/>
      <c r="Q2292" s="3"/>
      <c r="R2292" s="3">
        <f>IFERROR(__xludf.DUMMYFUNCTION("""COMPUTED_VALUE"""),0.0)</f>
        <v>0</v>
      </c>
      <c r="S2292" s="3"/>
      <c r="T2292" s="5"/>
      <c r="U2292" s="5"/>
      <c r="V2292" s="5"/>
      <c r="W2292" s="5"/>
    </row>
    <row r="2293" ht="15.75" customHeight="1">
      <c r="A2293" s="3">
        <f>IFERROR(__xludf.DUMMYFUNCTION("""COMPUTED_VALUE"""),2293.0)</f>
        <v>2293</v>
      </c>
      <c r="B2293" s="53">
        <f>IFERROR(__xludf.DUMMYFUNCTION("""COMPUTED_VALUE"""),46137.0)</f>
        <v>46137</v>
      </c>
      <c r="C2293" s="3">
        <f>IFERROR(__xludf.DUMMYFUNCTION("""COMPUTED_VALUE"""),83.0)</f>
        <v>83</v>
      </c>
      <c r="D2293" s="3" t="str">
        <f>IFERROR(__xludf.DUMMYFUNCTION("""COMPUTED_VALUE"""),"3659102b")</f>
        <v>3659102b</v>
      </c>
      <c r="E2293" s="54">
        <f>IFERROR(__xludf.DUMMYFUNCTION("""COMPUTED_VALUE"""),81500.0)</f>
        <v>81500</v>
      </c>
      <c r="F2293" s="3" t="str">
        <f>IFERROR(__xludf.DUMMYFUNCTION("""COMPUTED_VALUE"""),"Criolla Recarga PC")</f>
        <v>Criolla Recarga PC</v>
      </c>
      <c r="G2293" s="3"/>
      <c r="H2293" s="3"/>
      <c r="I2293" s="3"/>
      <c r="J2293" s="3"/>
      <c r="K2293" s="57">
        <f>IFERROR(__xludf.DUMMYFUNCTION("""COMPUTED_VALUE"""),3.79)</f>
        <v>3.79</v>
      </c>
      <c r="L2293" s="54">
        <f>IFERROR(__xludf.DUMMYFUNCTION("""COMPUTED_VALUE"""),20.0)</f>
        <v>20</v>
      </c>
      <c r="M2293" s="3">
        <f>IFERROR(__xludf.DUMMYFUNCTION("""COMPUTED_VALUE"""),72.0)</f>
        <v>72</v>
      </c>
      <c r="N2293" s="3"/>
      <c r="O2293" s="3"/>
      <c r="P2293" s="3"/>
      <c r="Q2293" s="3"/>
      <c r="R2293" s="3">
        <f>IFERROR(__xludf.DUMMYFUNCTION("""COMPUTED_VALUE"""),0.0)</f>
        <v>0</v>
      </c>
      <c r="S2293" s="3"/>
      <c r="T2293" s="5"/>
      <c r="U2293" s="5"/>
      <c r="V2293" s="5"/>
      <c r="W2293" s="5"/>
    </row>
    <row r="2294" ht="15.75" customHeight="1">
      <c r="A2294" s="3">
        <f>IFERROR(__xludf.DUMMYFUNCTION("""COMPUTED_VALUE"""),2294.0)</f>
        <v>2294</v>
      </c>
      <c r="B2294" s="53">
        <f>IFERROR(__xludf.DUMMYFUNCTION("""COMPUTED_VALUE"""),46137.0)</f>
        <v>46137</v>
      </c>
      <c r="C2294" s="3">
        <f>IFERROR(__xludf.DUMMYFUNCTION("""COMPUTED_VALUE"""),35.0)</f>
        <v>35</v>
      </c>
      <c r="D2294" s="3" t="str">
        <f>IFERROR(__xludf.DUMMYFUNCTION("""COMPUTED_VALUE"""),"a232f267")</f>
        <v>a232f267</v>
      </c>
      <c r="E2294" s="54">
        <f>IFERROR(__xludf.DUMMYFUNCTION("""COMPUTED_VALUE"""),39300.0)</f>
        <v>39300</v>
      </c>
      <c r="F2294" s="3" t="str">
        <f>IFERROR(__xludf.DUMMYFUNCTION("""COMPUTED_VALUE"""),"Malbec")</f>
        <v>Malbec</v>
      </c>
      <c r="G2294" s="3"/>
      <c r="H2294" s="3"/>
      <c r="I2294" s="3"/>
      <c r="J2294" s="3"/>
      <c r="K2294" s="57">
        <f>IFERROR(__xludf.DUMMYFUNCTION("""COMPUTED_VALUE"""),3.86)</f>
        <v>3.86</v>
      </c>
      <c r="L2294" s="54">
        <f>IFERROR(__xludf.DUMMYFUNCTION("""COMPUTED_VALUE"""),25.0)</f>
        <v>25</v>
      </c>
      <c r="M2294" s="3">
        <f>IFERROR(__xludf.DUMMYFUNCTION("""COMPUTED_VALUE"""),60.0)</f>
        <v>60</v>
      </c>
      <c r="N2294" s="3"/>
      <c r="O2294" s="3"/>
      <c r="P2294" s="3"/>
      <c r="Q2294" s="3"/>
      <c r="R2294" s="3">
        <f>IFERROR(__xludf.DUMMYFUNCTION("""COMPUTED_VALUE"""),0.0)</f>
        <v>0</v>
      </c>
      <c r="S2294" s="3"/>
      <c r="T2294" s="5"/>
      <c r="U2294" s="5"/>
      <c r="V2294" s="5"/>
      <c r="W2294" s="5"/>
    </row>
    <row r="2295" ht="15.75" customHeight="1">
      <c r="A2295" s="3">
        <f>IFERROR(__xludf.DUMMYFUNCTION("""COMPUTED_VALUE"""),2295.0)</f>
        <v>2295</v>
      </c>
      <c r="B2295" s="53">
        <f>IFERROR(__xludf.DUMMYFUNCTION("""COMPUTED_VALUE"""),46137.0)</f>
        <v>46137</v>
      </c>
      <c r="C2295" s="3">
        <f>IFERROR(__xludf.DUMMYFUNCTION("""COMPUTED_VALUE"""),14.0)</f>
        <v>14</v>
      </c>
      <c r="D2295" s="3" t="str">
        <f>IFERROR(__xludf.DUMMYFUNCTION("""COMPUTED_VALUE"""),"531869ce")</f>
        <v>531869ce</v>
      </c>
      <c r="E2295" s="54">
        <f>IFERROR(__xludf.DUMMYFUNCTION("""COMPUTED_VALUE"""),24000.0)</f>
        <v>24000</v>
      </c>
      <c r="F2295" s="3" t="str">
        <f>IFERROR(__xludf.DUMMYFUNCTION("""COMPUTED_VALUE"""),"Criolla con Claro filtro")</f>
        <v>Criolla con Claro filtro</v>
      </c>
      <c r="G2295" s="3"/>
      <c r="H2295" s="3"/>
      <c r="I2295" s="3"/>
      <c r="J2295" s="3"/>
      <c r="K2295" s="57">
        <f>IFERROR(__xludf.DUMMYFUNCTION("""COMPUTED_VALUE"""),3.7)</f>
        <v>3.7</v>
      </c>
      <c r="L2295" s="54">
        <f>IFERROR(__xludf.DUMMYFUNCTION("""COMPUTED_VALUE"""),46.0)</f>
        <v>46</v>
      </c>
      <c r="M2295" s="3">
        <f>IFERROR(__xludf.DUMMYFUNCTION("""COMPUTED_VALUE"""),104.0)</f>
        <v>104</v>
      </c>
      <c r="N2295" s="3"/>
      <c r="O2295" s="3"/>
      <c r="P2295" s="3"/>
      <c r="Q2295" s="3"/>
      <c r="R2295" s="3">
        <f>IFERROR(__xludf.DUMMYFUNCTION("""COMPUTED_VALUE"""),0.0)</f>
        <v>0</v>
      </c>
      <c r="S2295" s="3"/>
      <c r="T2295" s="5"/>
      <c r="U2295" s="5"/>
      <c r="V2295" s="5"/>
      <c r="W2295" s="5"/>
    </row>
    <row r="2296" ht="15.75" customHeight="1">
      <c r="A2296" s="3">
        <f>IFERROR(__xludf.DUMMYFUNCTION("""COMPUTED_VALUE"""),2296.0)</f>
        <v>2296</v>
      </c>
      <c r="B2296" s="53">
        <f>IFERROR(__xludf.DUMMYFUNCTION("""COMPUTED_VALUE"""),46137.0)</f>
        <v>46137</v>
      </c>
      <c r="C2296" s="3">
        <f>IFERROR(__xludf.DUMMYFUNCTION("""COMPUTED_VALUE"""),127.0)</f>
        <v>127</v>
      </c>
      <c r="D2296" s="3" t="str">
        <f>IFERROR(__xludf.DUMMYFUNCTION("""COMPUTED_VALUE"""),"e515b905")</f>
        <v>e515b905</v>
      </c>
      <c r="E2296" s="54">
        <f>IFERROR(__xludf.DUMMYFUNCTION("""COMPUTED_VALUE"""),31000.0)</f>
        <v>31000</v>
      </c>
      <c r="F2296" s="3" t="str">
        <f>IFERROR(__xludf.DUMMYFUNCTION("""COMPUTED_VALUE"""),"Criolla")</f>
        <v>Criolla</v>
      </c>
      <c r="G2296" s="3"/>
      <c r="H2296" s="3"/>
      <c r="I2296" s="3"/>
      <c r="J2296" s="3"/>
      <c r="K2296" s="57">
        <f>IFERROR(__xludf.DUMMYFUNCTION("""COMPUTED_VALUE"""),3.82)</f>
        <v>3.82</v>
      </c>
      <c r="L2296" s="54">
        <f>IFERROR(__xludf.DUMMYFUNCTION("""COMPUTED_VALUE"""),26.0)</f>
        <v>26</v>
      </c>
      <c r="M2296" s="3">
        <f>IFERROR(__xludf.DUMMYFUNCTION("""COMPUTED_VALUE"""),120.0)</f>
        <v>120</v>
      </c>
      <c r="N2296" s="3"/>
      <c r="O2296" s="3"/>
      <c r="P2296" s="3"/>
      <c r="Q2296" s="3"/>
      <c r="R2296" s="3">
        <f>IFERROR(__xludf.DUMMYFUNCTION("""COMPUTED_VALUE"""),0.0)</f>
        <v>0</v>
      </c>
      <c r="S2296" s="3"/>
      <c r="T2296" s="5"/>
      <c r="U2296" s="5"/>
      <c r="V2296" s="5"/>
      <c r="W2296" s="5"/>
    </row>
    <row r="2297" ht="15.75" customHeight="1">
      <c r="A2297" s="3">
        <f>IFERROR(__xludf.DUMMYFUNCTION("""COMPUTED_VALUE"""),2297.0)</f>
        <v>2297</v>
      </c>
      <c r="B2297" s="53">
        <f>IFERROR(__xludf.DUMMYFUNCTION("""COMPUTED_VALUE"""),46137.0)</f>
        <v>46137</v>
      </c>
      <c r="C2297" s="3">
        <f>IFERROR(__xludf.DUMMYFUNCTION("""COMPUTED_VALUE"""),116.0)</f>
        <v>116</v>
      </c>
      <c r="D2297" s="3" t="str">
        <f>IFERROR(__xludf.DUMMYFUNCTION("""COMPUTED_VALUE"""),"2e2886b4")</f>
        <v>2e2886b4</v>
      </c>
      <c r="E2297" s="54">
        <f>IFERROR(__xludf.DUMMYFUNCTION("""COMPUTED_VALUE"""),99600.0)</f>
        <v>99600</v>
      </c>
      <c r="F2297" s="3" t="str">
        <f>IFERROR(__xludf.DUMMYFUNCTION("""COMPUTED_VALUE"""),"Bonarda")</f>
        <v>Bonarda</v>
      </c>
      <c r="G2297" s="3"/>
      <c r="H2297" s="3"/>
      <c r="I2297" s="3"/>
      <c r="J2297" s="3"/>
      <c r="K2297" s="57">
        <f>IFERROR(__xludf.DUMMYFUNCTION("""COMPUTED_VALUE"""),3.72)</f>
        <v>3.72</v>
      </c>
      <c r="L2297" s="54">
        <f>IFERROR(__xludf.DUMMYFUNCTION("""COMPUTED_VALUE"""),20.0)</f>
        <v>20</v>
      </c>
      <c r="M2297" s="3">
        <f>IFERROR(__xludf.DUMMYFUNCTION("""COMPUTED_VALUE"""),70.0)</f>
        <v>70</v>
      </c>
      <c r="N2297" s="3"/>
      <c r="O2297" s="3"/>
      <c r="P2297" s="3"/>
      <c r="Q2297" s="3"/>
      <c r="R2297" s="3">
        <f>IFERROR(__xludf.DUMMYFUNCTION("""COMPUTED_VALUE"""),0.0)</f>
        <v>0</v>
      </c>
      <c r="S2297" s="3"/>
      <c r="T2297" s="5"/>
      <c r="U2297" s="5"/>
      <c r="V2297" s="5"/>
      <c r="W2297" s="5"/>
    </row>
    <row r="2298" ht="15.75" customHeight="1">
      <c r="A2298" s="3">
        <f>IFERROR(__xludf.DUMMYFUNCTION("""COMPUTED_VALUE"""),2298.0)</f>
        <v>2298</v>
      </c>
      <c r="B2298" s="53">
        <f>IFERROR(__xludf.DUMMYFUNCTION("""COMPUTED_VALUE"""),46137.0)</f>
        <v>46137</v>
      </c>
      <c r="C2298" s="3">
        <f>IFERROR(__xludf.DUMMYFUNCTION("""COMPUTED_VALUE"""),26.0)</f>
        <v>26</v>
      </c>
      <c r="D2298" s="3" t="str">
        <f>IFERROR(__xludf.DUMMYFUNCTION("""COMPUTED_VALUE"""),"deec46bc")</f>
        <v>deec46bc</v>
      </c>
      <c r="E2298" s="54">
        <f>IFERROR(__xludf.DUMMYFUNCTION("""COMPUTED_VALUE"""),207600.0)</f>
        <v>207600</v>
      </c>
      <c r="F2298" s="3" t="str">
        <f>IFERROR(__xludf.DUMMYFUNCTION("""COMPUTED_VALUE"""),"Tinto Varietal B")</f>
        <v>Tinto Varietal B</v>
      </c>
      <c r="G2298" s="3"/>
      <c r="H2298" s="3"/>
      <c r="I2298" s="3"/>
      <c r="J2298" s="3"/>
      <c r="K2298" s="57">
        <f>IFERROR(__xludf.DUMMYFUNCTION("""COMPUTED_VALUE"""),3.59)</f>
        <v>3.59</v>
      </c>
      <c r="L2298" s="54">
        <f>IFERROR(__xludf.DUMMYFUNCTION("""COMPUTED_VALUE"""),23.0)</f>
        <v>23</v>
      </c>
      <c r="M2298" s="3">
        <f>IFERROR(__xludf.DUMMYFUNCTION("""COMPUTED_VALUE"""),104.0)</f>
        <v>104</v>
      </c>
      <c r="N2298" s="3"/>
      <c r="O2298" s="3"/>
      <c r="P2298" s="3"/>
      <c r="Q2298" s="3"/>
      <c r="R2298" s="3">
        <f>IFERROR(__xludf.DUMMYFUNCTION("""COMPUTED_VALUE"""),0.0)</f>
        <v>0</v>
      </c>
      <c r="S2298" s="3"/>
      <c r="T2298" s="5"/>
      <c r="U2298" s="5"/>
      <c r="V2298" s="5"/>
      <c r="W2298" s="5"/>
    </row>
    <row r="2299" ht="15.75" customHeight="1">
      <c r="A2299" s="3">
        <f>IFERROR(__xludf.DUMMYFUNCTION("""COMPUTED_VALUE"""),2299.0)</f>
        <v>2299</v>
      </c>
      <c r="B2299" s="53">
        <f>IFERROR(__xludf.DUMMYFUNCTION("""COMPUTED_VALUE"""),46137.0)</f>
        <v>46137</v>
      </c>
      <c r="C2299" s="3">
        <f>IFERROR(__xludf.DUMMYFUNCTION("""COMPUTED_VALUE"""),78.0)</f>
        <v>78</v>
      </c>
      <c r="D2299" s="3" t="str">
        <f>IFERROR(__xludf.DUMMYFUNCTION("""COMPUTED_VALUE"""),"e8af8964")</f>
        <v>e8af8964</v>
      </c>
      <c r="E2299" s="54">
        <f>IFERROR(__xludf.DUMMYFUNCTION("""COMPUTED_VALUE"""),23000.0)</f>
        <v>23000</v>
      </c>
      <c r="F2299" s="3" t="str">
        <f>IFERROR(__xludf.DUMMYFUNCTION("""COMPUTED_VALUE"""),"Rosado Criolla")</f>
        <v>Rosado Criolla</v>
      </c>
      <c r="G2299" s="3"/>
      <c r="H2299" s="3"/>
      <c r="I2299" s="3"/>
      <c r="J2299" s="3"/>
      <c r="K2299" s="57">
        <f>IFERROR(__xludf.DUMMYFUNCTION("""COMPUTED_VALUE"""),3.5)</f>
        <v>3.5</v>
      </c>
      <c r="L2299" s="54">
        <f>IFERROR(__xludf.DUMMYFUNCTION("""COMPUTED_VALUE"""),20.0)</f>
        <v>20</v>
      </c>
      <c r="M2299" s="3">
        <f>IFERROR(__xludf.DUMMYFUNCTION("""COMPUTED_VALUE"""),84.0)</f>
        <v>84</v>
      </c>
      <c r="N2299" s="3"/>
      <c r="O2299" s="3"/>
      <c r="P2299" s="3"/>
      <c r="Q2299" s="3"/>
      <c r="R2299" s="3">
        <f>IFERROR(__xludf.DUMMYFUNCTION("""COMPUTED_VALUE"""),0.0)</f>
        <v>0</v>
      </c>
      <c r="S2299" s="3"/>
      <c r="T2299" s="5"/>
      <c r="U2299" s="5"/>
      <c r="V2299" s="5"/>
      <c r="W2299" s="5"/>
    </row>
    <row r="2300" ht="15.75" customHeight="1">
      <c r="A2300" s="3">
        <f>IFERROR(__xludf.DUMMYFUNCTION("""COMPUTED_VALUE"""),2300.0)</f>
        <v>2300</v>
      </c>
      <c r="B2300" s="53">
        <f>IFERROR(__xludf.DUMMYFUNCTION("""COMPUTED_VALUE"""),46137.0)</f>
        <v>46137</v>
      </c>
      <c r="C2300" s="3">
        <f>IFERROR(__xludf.DUMMYFUNCTION("""COMPUTED_VALUE"""),82.0)</f>
        <v>82</v>
      </c>
      <c r="D2300" s="3" t="str">
        <f>IFERROR(__xludf.DUMMYFUNCTION("""COMPUTED_VALUE"""),"a21e63a2")</f>
        <v>a21e63a2</v>
      </c>
      <c r="E2300" s="54">
        <f>IFERROR(__xludf.DUMMYFUNCTION("""COMPUTED_VALUE"""),42600.0)</f>
        <v>42600</v>
      </c>
      <c r="F2300" s="3" t="str">
        <f>IFERROR(__xludf.DUMMYFUNCTION("""COMPUTED_VALUE"""),"Bonarda c/criolla")</f>
        <v>Bonarda c/criolla</v>
      </c>
      <c r="G2300" s="3"/>
      <c r="H2300" s="3"/>
      <c r="I2300" s="3"/>
      <c r="J2300" s="3"/>
      <c r="K2300" s="57">
        <f>IFERROR(__xludf.DUMMYFUNCTION("""COMPUTED_VALUE"""),3.73)</f>
        <v>3.73</v>
      </c>
      <c r="L2300" s="54">
        <f>IFERROR(__xludf.DUMMYFUNCTION("""COMPUTED_VALUE"""),25.0)</f>
        <v>25</v>
      </c>
      <c r="M2300" s="3">
        <f>IFERROR(__xludf.DUMMYFUNCTION("""COMPUTED_VALUE"""),70.0)</f>
        <v>70</v>
      </c>
      <c r="N2300" s="3"/>
      <c r="O2300" s="3"/>
      <c r="P2300" s="3"/>
      <c r="Q2300" s="3"/>
      <c r="R2300" s="3">
        <f>IFERROR(__xludf.DUMMYFUNCTION("""COMPUTED_VALUE"""),0.0)</f>
        <v>0</v>
      </c>
      <c r="S2300" s="3"/>
      <c r="T2300" s="5"/>
      <c r="U2300" s="5"/>
      <c r="V2300" s="5"/>
      <c r="W2300" s="5"/>
    </row>
    <row r="2301" ht="15.75" customHeight="1">
      <c r="A2301" s="3">
        <f>IFERROR(__xludf.DUMMYFUNCTION("""COMPUTED_VALUE"""),2301.0)</f>
        <v>2301</v>
      </c>
      <c r="B2301" s="53">
        <f>IFERROR(__xludf.DUMMYFUNCTION("""COMPUTED_VALUE"""),46137.0)</f>
        <v>46137</v>
      </c>
      <c r="C2301" s="3">
        <f>IFERROR(__xludf.DUMMYFUNCTION("""COMPUTED_VALUE"""),65.0)</f>
        <v>65</v>
      </c>
      <c r="D2301" s="3" t="str">
        <f>IFERROR(__xludf.DUMMYFUNCTION("""COMPUTED_VALUE"""),"d932789c")</f>
        <v>d932789c</v>
      </c>
      <c r="E2301" s="54">
        <f>IFERROR(__xludf.DUMMYFUNCTION("""COMPUTED_VALUE"""),34400.0)</f>
        <v>34400</v>
      </c>
      <c r="F2301" s="3" t="str">
        <f>IFERROR(__xludf.DUMMYFUNCTION("""COMPUTED_VALUE"""),"Criolla PC")</f>
        <v>Criolla PC</v>
      </c>
      <c r="G2301" s="3"/>
      <c r="H2301" s="3"/>
      <c r="I2301" s="3"/>
      <c r="J2301" s="3"/>
      <c r="K2301" s="57">
        <f>IFERROR(__xludf.DUMMYFUNCTION("""COMPUTED_VALUE"""),3.4)</f>
        <v>3.4</v>
      </c>
      <c r="L2301" s="54">
        <f>IFERROR(__xludf.DUMMYFUNCTION("""COMPUTED_VALUE"""),24.0)</f>
        <v>24</v>
      </c>
      <c r="M2301" s="3">
        <f>IFERROR(__xludf.DUMMYFUNCTION("""COMPUTED_VALUE"""),102.0)</f>
        <v>102</v>
      </c>
      <c r="N2301" s="3"/>
      <c r="O2301" s="3"/>
      <c r="P2301" s="3"/>
      <c r="Q2301" s="3"/>
      <c r="R2301" s="3">
        <f>IFERROR(__xludf.DUMMYFUNCTION("""COMPUTED_VALUE"""),0.0)</f>
        <v>0</v>
      </c>
      <c r="S2301" s="3"/>
      <c r="T2301" s="5"/>
      <c r="U2301" s="5"/>
      <c r="V2301" s="5"/>
      <c r="W2301" s="5"/>
    </row>
    <row r="2302" ht="15.75" customHeight="1">
      <c r="A2302" s="3">
        <f>IFERROR(__xludf.DUMMYFUNCTION("""COMPUTED_VALUE"""),2302.0)</f>
        <v>2302</v>
      </c>
      <c r="B2302" s="53">
        <f>IFERROR(__xludf.DUMMYFUNCTION("""COMPUTED_VALUE"""),46139.0)</f>
        <v>46139</v>
      </c>
      <c r="C2302" s="3">
        <f>IFERROR(__xludf.DUMMYFUNCTION("""COMPUTED_VALUE"""),92.0)</f>
        <v>92</v>
      </c>
      <c r="D2302" s="3"/>
      <c r="E2302" s="3"/>
      <c r="F2302" s="3"/>
      <c r="G2302" s="3"/>
      <c r="H2302" s="56">
        <f>IFERROR(__xludf.DUMMYFUNCTION("""COMPUTED_VALUE"""),2.0)</f>
        <v>2</v>
      </c>
      <c r="I2302" s="3"/>
      <c r="J2302" s="3"/>
      <c r="K2302" s="3"/>
      <c r="L2302" s="3"/>
      <c r="M2302" s="3"/>
      <c r="N2302" s="3"/>
      <c r="O2302" s="3"/>
      <c r="P2302" s="3"/>
      <c r="Q2302" s="3"/>
      <c r="R2302" s="3">
        <f>IFERROR(__xludf.DUMMYFUNCTION("""COMPUTED_VALUE"""),0.0)</f>
        <v>0</v>
      </c>
      <c r="S2302" s="3"/>
      <c r="T2302" s="5"/>
      <c r="U2302" s="5"/>
      <c r="V2302" s="5"/>
      <c r="W2302" s="5"/>
    </row>
    <row r="2303" ht="15.75" customHeight="1">
      <c r="A2303" s="3">
        <f>IFERROR(__xludf.DUMMYFUNCTION("""COMPUTED_VALUE"""),2303.0)</f>
        <v>2303</v>
      </c>
      <c r="B2303" s="3"/>
      <c r="C2303" s="3">
        <f>IFERROR(__xludf.DUMMYFUNCTION("""COMPUTED_VALUE"""),91.0)</f>
        <v>91</v>
      </c>
      <c r="D2303" s="3" t="str">
        <f>IFERROR(__xludf.DUMMYFUNCTION("""COMPUTED_VALUE"""),"3a62302c")</f>
        <v>3a62302c</v>
      </c>
      <c r="E2303" s="54">
        <f>IFERROR(__xludf.DUMMYFUNCTION("""COMPUTED_VALUE"""),83400.0)</f>
        <v>83400</v>
      </c>
      <c r="F2303" s="3" t="str">
        <f>IFERROR(__xludf.DUMMYFUNCTION("""COMPUTED_VALUE"""),"Criolla Recarga PC")</f>
        <v>Criolla Recarga PC</v>
      </c>
      <c r="G2303" s="3"/>
      <c r="H2303" s="56">
        <f>IFERROR(__xludf.DUMMYFUNCTION("""COMPUTED_VALUE"""),6.66)</f>
        <v>6.66</v>
      </c>
      <c r="I2303" s="3"/>
      <c r="J2303" s="3"/>
      <c r="K2303" s="3"/>
      <c r="L2303" s="3"/>
      <c r="M2303" s="3"/>
      <c r="N2303" s="3"/>
      <c r="O2303" s="3"/>
      <c r="P2303" s="3"/>
      <c r="Q2303" s="3"/>
      <c r="R2303" s="3">
        <f>IFERROR(__xludf.DUMMYFUNCTION("""COMPUTED_VALUE"""),0.0)</f>
        <v>0</v>
      </c>
      <c r="S2303" s="3"/>
      <c r="T2303" s="5"/>
      <c r="U2303" s="5"/>
      <c r="V2303" s="5"/>
      <c r="W2303" s="5"/>
    </row>
    <row r="2304" ht="15.75" customHeight="1">
      <c r="A2304" s="3">
        <f>IFERROR(__xludf.DUMMYFUNCTION("""COMPUTED_VALUE"""),2304.0)</f>
        <v>2304</v>
      </c>
      <c r="B2304" s="53">
        <f>IFERROR(__xludf.DUMMYFUNCTION("""COMPUTED_VALUE"""),46139.0)</f>
        <v>46139</v>
      </c>
      <c r="C2304" s="3">
        <f>IFERROR(__xludf.DUMMYFUNCTION("""COMPUTED_VALUE"""),12.0)</f>
        <v>12</v>
      </c>
      <c r="D2304" s="3" t="str">
        <f>IFERROR(__xludf.DUMMYFUNCTION("""COMPUTED_VALUE"""),"0b275cb3")</f>
        <v>0b275cb3</v>
      </c>
      <c r="E2304" s="54">
        <f>IFERROR(__xludf.DUMMYFUNCTION("""COMPUTED_VALUE"""),35300.0)</f>
        <v>35300</v>
      </c>
      <c r="F2304" s="3" t="str">
        <f>IFERROR(__xludf.DUMMYFUNCTION("""COMPUTED_VALUE"""),"Bonarda C2")</f>
        <v>Bonarda C2</v>
      </c>
      <c r="G2304" s="3"/>
      <c r="H2304" s="3"/>
      <c r="I2304" s="3"/>
      <c r="J2304" s="3"/>
      <c r="K2304" s="3"/>
      <c r="L2304" s="3"/>
      <c r="M2304" s="3"/>
      <c r="N2304" s="3"/>
      <c r="O2304" s="3"/>
      <c r="P2304" s="3"/>
      <c r="Q2304" s="3"/>
      <c r="R2304" s="3">
        <f>IFERROR(__xludf.DUMMYFUNCTION("""COMPUTED_VALUE"""),0.0)</f>
        <v>0</v>
      </c>
      <c r="S2304" s="3"/>
      <c r="T2304" s="5"/>
      <c r="U2304" s="5"/>
      <c r="V2304" s="5"/>
      <c r="W2304" s="5"/>
    </row>
    <row r="2305" ht="15.75" customHeight="1">
      <c r="A2305" s="3">
        <f>IFERROR(__xludf.DUMMYFUNCTION("""COMPUTED_VALUE"""),2305.0)</f>
        <v>2305</v>
      </c>
      <c r="B2305" s="53">
        <f>IFERROR(__xludf.DUMMYFUNCTION("""COMPUTED_VALUE"""),46140.0)</f>
        <v>46140</v>
      </c>
      <c r="C2305" s="3">
        <f>IFERROR(__xludf.DUMMYFUNCTION("""COMPUTED_VALUE"""),86.0)</f>
        <v>86</v>
      </c>
      <c r="D2305" s="3" t="str">
        <f>IFERROR(__xludf.DUMMYFUNCTION("""COMPUTED_VALUE"""),"20a7407a")</f>
        <v>20a7407a</v>
      </c>
      <c r="E2305" s="54">
        <f>IFERROR(__xludf.DUMMYFUNCTION("""COMPUTED_VALUE"""),42000.0)</f>
        <v>42000</v>
      </c>
      <c r="F2305" s="3" t="str">
        <f>IFERROR(__xludf.DUMMYFUNCTION("""COMPUTED_VALUE"""),"Criolla Recarga")</f>
        <v>Criolla Recarga</v>
      </c>
      <c r="G2305" s="3"/>
      <c r="H2305" s="56">
        <f>IFERROR(__xludf.DUMMYFUNCTION("""COMPUTED_VALUE"""),14.0)</f>
        <v>14</v>
      </c>
      <c r="I2305" s="3"/>
      <c r="J2305" s="3"/>
      <c r="K2305" s="3"/>
      <c r="L2305" s="3"/>
      <c r="M2305" s="3"/>
      <c r="N2305" s="3"/>
      <c r="O2305" s="3"/>
      <c r="P2305" s="3"/>
      <c r="Q2305" s="3"/>
      <c r="R2305" s="3">
        <f>IFERROR(__xludf.DUMMYFUNCTION("""COMPUTED_VALUE"""),0.0)</f>
        <v>0</v>
      </c>
      <c r="S2305" s="3"/>
      <c r="T2305" s="5"/>
      <c r="U2305" s="5"/>
      <c r="V2305" s="5"/>
      <c r="W2305" s="5"/>
    </row>
    <row r="2306" ht="15.75" customHeight="1">
      <c r="A2306" s="3">
        <f>IFERROR(__xludf.DUMMYFUNCTION("""COMPUTED_VALUE"""),2306.0)</f>
        <v>2306</v>
      </c>
      <c r="B2306" s="53">
        <f>IFERROR(__xludf.DUMMYFUNCTION("""COMPUTED_VALUE"""),46140.0)</f>
        <v>46140</v>
      </c>
      <c r="C2306" s="3">
        <f>IFERROR(__xludf.DUMMYFUNCTION("""COMPUTED_VALUE"""),88.0)</f>
        <v>88</v>
      </c>
      <c r="D2306" s="3" t="str">
        <f>IFERROR(__xludf.DUMMYFUNCTION("""COMPUTED_VALUE"""),"085d8481")</f>
        <v>085d8481</v>
      </c>
      <c r="E2306" s="54">
        <f>IFERROR(__xludf.DUMMYFUNCTION("""COMPUTED_VALUE"""),58300.0)</f>
        <v>58300</v>
      </c>
      <c r="F2306" s="3" t="str">
        <f>IFERROR(__xludf.DUMMYFUNCTION("""COMPUTED_VALUE"""),"Bonarda PC")</f>
        <v>Bonarda PC</v>
      </c>
      <c r="G2306" s="3"/>
      <c r="H2306" s="56">
        <f>IFERROR(__xludf.DUMMYFUNCTION("""COMPUTED_VALUE"""),2.0)</f>
        <v>2</v>
      </c>
      <c r="I2306" s="57">
        <f>IFERROR(__xludf.DUMMYFUNCTION("""COMPUTED_VALUE"""),0.45)</f>
        <v>0.45</v>
      </c>
      <c r="J2306" s="3"/>
      <c r="K2306" s="3"/>
      <c r="L2306" s="3"/>
      <c r="M2306" s="3"/>
      <c r="N2306" s="3"/>
      <c r="O2306" s="3"/>
      <c r="P2306" s="3"/>
      <c r="Q2306" s="3"/>
      <c r="R2306" s="3">
        <f>IFERROR(__xludf.DUMMYFUNCTION("""COMPUTED_VALUE"""),0.0)</f>
        <v>0</v>
      </c>
      <c r="S2306" s="3"/>
      <c r="T2306" s="5"/>
      <c r="U2306" s="5"/>
      <c r="V2306" s="5"/>
      <c r="W2306" s="5"/>
    </row>
    <row r="2307" ht="15.75" customHeight="1">
      <c r="A2307" s="3">
        <f>IFERROR(__xludf.DUMMYFUNCTION("""COMPUTED_VALUE"""),2307.0)</f>
        <v>2307</v>
      </c>
      <c r="B2307" s="53">
        <f>IFERROR(__xludf.DUMMYFUNCTION("""COMPUTED_VALUE"""),46140.0)</f>
        <v>46140</v>
      </c>
      <c r="C2307" s="3">
        <f>IFERROR(__xludf.DUMMYFUNCTION("""COMPUTED_VALUE"""),14.0)</f>
        <v>14</v>
      </c>
      <c r="D2307" s="3" t="str">
        <f>IFERROR(__xludf.DUMMYFUNCTION("""COMPUTED_VALUE"""),"531869ce")</f>
        <v>531869ce</v>
      </c>
      <c r="E2307" s="54">
        <f>IFERROR(__xludf.DUMMYFUNCTION("""COMPUTED_VALUE"""),24000.0)</f>
        <v>24000</v>
      </c>
      <c r="F2307" s="3" t="str">
        <f>IFERROR(__xludf.DUMMYFUNCTION("""COMPUTED_VALUE"""),"Criolla con Claro filtro")</f>
        <v>Criolla con Claro filtro</v>
      </c>
      <c r="G2307" s="55">
        <f>IFERROR(__xludf.DUMMYFUNCTION("""COMPUTED_VALUE"""),12.2)</f>
        <v>12.2</v>
      </c>
      <c r="H2307" s="56">
        <f>IFERROR(__xludf.DUMMYFUNCTION("""COMPUTED_VALUE"""),-1.8)</f>
        <v>-1.8</v>
      </c>
      <c r="I2307" s="57">
        <f>IFERROR(__xludf.DUMMYFUNCTION("""COMPUTED_VALUE"""),0.86)</f>
        <v>0.86</v>
      </c>
      <c r="J2307" s="57">
        <f>IFERROR(__xludf.DUMMYFUNCTION("""COMPUTED_VALUE"""),5.92)</f>
        <v>5.92</v>
      </c>
      <c r="K2307" s="3"/>
      <c r="L2307" s="3"/>
      <c r="M2307" s="3"/>
      <c r="N2307" s="3"/>
      <c r="O2307" s="3"/>
      <c r="P2307" s="3"/>
      <c r="Q2307" s="3"/>
      <c r="R2307" s="3">
        <f>IFERROR(__xludf.DUMMYFUNCTION("""COMPUTED_VALUE"""),0.0)</f>
        <v>0</v>
      </c>
      <c r="S2307" s="3"/>
      <c r="T2307" s="5"/>
      <c r="U2307" s="5"/>
      <c r="V2307" s="5"/>
      <c r="W2307" s="5" t="str">
        <f>IFERROR(__xludf.DUMMYFUNCTION("""COMPUTED_VALUE"""),"Simon")</f>
        <v>Simon</v>
      </c>
    </row>
    <row r="2308" ht="15.75" customHeight="1">
      <c r="A2308" s="3">
        <f>IFERROR(__xludf.DUMMYFUNCTION("""COMPUTED_VALUE"""),2308.0)</f>
        <v>2308</v>
      </c>
      <c r="B2308" s="53">
        <f>IFERROR(__xludf.DUMMYFUNCTION("""COMPUTED_VALUE"""),46140.0)</f>
        <v>46140</v>
      </c>
      <c r="C2308" s="3">
        <f>IFERROR(__xludf.DUMMYFUNCTION("""COMPUTED_VALUE"""),26.0)</f>
        <v>26</v>
      </c>
      <c r="D2308" s="3" t="str">
        <f>IFERROR(__xludf.DUMMYFUNCTION("""COMPUTED_VALUE"""),"deec46bc")</f>
        <v>deec46bc</v>
      </c>
      <c r="E2308" s="54">
        <f>IFERROR(__xludf.DUMMYFUNCTION("""COMPUTED_VALUE"""),207600.0)</f>
        <v>207600</v>
      </c>
      <c r="F2308" s="3" t="str">
        <f>IFERROR(__xludf.DUMMYFUNCTION("""COMPUTED_VALUE"""),"Tinto Varietal B")</f>
        <v>Tinto Varietal B</v>
      </c>
      <c r="G2308" s="55">
        <f>IFERROR(__xludf.DUMMYFUNCTION("""COMPUTED_VALUE"""),13.6)</f>
        <v>13.6</v>
      </c>
      <c r="H2308" s="56">
        <f>IFERROR(__xludf.DUMMYFUNCTION("""COMPUTED_VALUE"""),3.2)</f>
        <v>3.2</v>
      </c>
      <c r="I2308" s="57">
        <f>IFERROR(__xludf.DUMMYFUNCTION("""COMPUTED_VALUE"""),0.53)</f>
        <v>0.53</v>
      </c>
      <c r="J2308" s="57">
        <f>IFERROR(__xludf.DUMMYFUNCTION("""COMPUTED_VALUE"""),5.77)</f>
        <v>5.77</v>
      </c>
      <c r="K2308" s="3"/>
      <c r="L2308" s="3"/>
      <c r="M2308" s="3"/>
      <c r="N2308" s="3"/>
      <c r="O2308" s="3"/>
      <c r="P2308" s="3"/>
      <c r="Q2308" s="3"/>
      <c r="R2308" s="3">
        <f>IFERROR(__xludf.DUMMYFUNCTION("""COMPUTED_VALUE"""),0.0)</f>
        <v>0</v>
      </c>
      <c r="S2308" s="3"/>
      <c r="T2308" s="5"/>
      <c r="U2308" s="5"/>
      <c r="V2308" s="5"/>
      <c r="W2308" s="5" t="str">
        <f>IFERROR(__xludf.DUMMYFUNCTION("""COMPUTED_VALUE"""),"Simon")</f>
        <v>Simon</v>
      </c>
    </row>
    <row r="2309" ht="15.75" customHeight="1">
      <c r="A2309" s="3">
        <f>IFERROR(__xludf.DUMMYFUNCTION("""COMPUTED_VALUE"""),2309.0)</f>
        <v>2309</v>
      </c>
      <c r="B2309" s="53">
        <f>IFERROR(__xludf.DUMMYFUNCTION("""COMPUTED_VALUE"""),46140.0)</f>
        <v>46140</v>
      </c>
      <c r="C2309" s="3">
        <f>IFERROR(__xludf.DUMMYFUNCTION("""COMPUTED_VALUE"""),35.0)</f>
        <v>35</v>
      </c>
      <c r="D2309" s="3" t="str">
        <f>IFERROR(__xludf.DUMMYFUNCTION("""COMPUTED_VALUE"""),"a232f267")</f>
        <v>a232f267</v>
      </c>
      <c r="E2309" s="54">
        <f>IFERROR(__xludf.DUMMYFUNCTION("""COMPUTED_VALUE"""),39300.0)</f>
        <v>39300</v>
      </c>
      <c r="F2309" s="3" t="str">
        <f>IFERROR(__xludf.DUMMYFUNCTION("""COMPUTED_VALUE"""),"Malbec")</f>
        <v>Malbec</v>
      </c>
      <c r="G2309" s="55">
        <f>IFERROR(__xludf.DUMMYFUNCTION("""COMPUTED_VALUE"""),13.2)</f>
        <v>13.2</v>
      </c>
      <c r="H2309" s="56">
        <f>IFERROR(__xludf.DUMMYFUNCTION("""COMPUTED_VALUE"""),3.0)</f>
        <v>3</v>
      </c>
      <c r="I2309" s="57">
        <f>IFERROR(__xludf.DUMMYFUNCTION("""COMPUTED_VALUE"""),0.36)</f>
        <v>0.36</v>
      </c>
      <c r="J2309" s="57">
        <f>IFERROR(__xludf.DUMMYFUNCTION("""COMPUTED_VALUE"""),4.8)</f>
        <v>4.8</v>
      </c>
      <c r="K2309" s="3"/>
      <c r="L2309" s="3"/>
      <c r="M2309" s="3"/>
      <c r="N2309" s="3"/>
      <c r="O2309" s="3"/>
      <c r="P2309" s="3"/>
      <c r="Q2309" s="3"/>
      <c r="R2309" s="3">
        <f>IFERROR(__xludf.DUMMYFUNCTION("""COMPUTED_VALUE"""),0.0)</f>
        <v>0</v>
      </c>
      <c r="S2309" s="3"/>
      <c r="T2309" s="5"/>
      <c r="U2309" s="5"/>
      <c r="V2309" s="5"/>
      <c r="W2309" s="5" t="str">
        <f>IFERROR(__xludf.DUMMYFUNCTION("""COMPUTED_VALUE"""),"Simon")</f>
        <v>Simon</v>
      </c>
    </row>
    <row r="2310" ht="15.75" customHeight="1">
      <c r="A2310" s="3">
        <f>IFERROR(__xludf.DUMMYFUNCTION("""COMPUTED_VALUE"""),2310.0)</f>
        <v>2310</v>
      </c>
      <c r="B2310" s="53">
        <f>IFERROR(__xludf.DUMMYFUNCTION("""COMPUTED_VALUE"""),46140.0)</f>
        <v>46140</v>
      </c>
      <c r="C2310" s="3">
        <f>IFERROR(__xludf.DUMMYFUNCTION("""COMPUTED_VALUE"""),78.0)</f>
        <v>78</v>
      </c>
      <c r="D2310" s="3" t="str">
        <f>IFERROR(__xludf.DUMMYFUNCTION("""COMPUTED_VALUE"""),"e8af8964")</f>
        <v>e8af8964</v>
      </c>
      <c r="E2310" s="54">
        <f>IFERROR(__xludf.DUMMYFUNCTION("""COMPUTED_VALUE"""),23000.0)</f>
        <v>23000</v>
      </c>
      <c r="F2310" s="3" t="str">
        <f>IFERROR(__xludf.DUMMYFUNCTION("""COMPUTED_VALUE"""),"Rosado Criolla")</f>
        <v>Rosado Criolla</v>
      </c>
      <c r="G2310" s="55">
        <f>IFERROR(__xludf.DUMMYFUNCTION("""COMPUTED_VALUE"""),12.7)</f>
        <v>12.7</v>
      </c>
      <c r="H2310" s="56">
        <f>IFERROR(__xludf.DUMMYFUNCTION("""COMPUTED_VALUE"""),3.0)</f>
        <v>3</v>
      </c>
      <c r="I2310" s="57">
        <f>IFERROR(__xludf.DUMMYFUNCTION("""COMPUTED_VALUE"""),0.3)</f>
        <v>0.3</v>
      </c>
      <c r="J2310" s="57">
        <f>IFERROR(__xludf.DUMMYFUNCTION("""COMPUTED_VALUE"""),5.02)</f>
        <v>5.02</v>
      </c>
      <c r="K2310" s="3"/>
      <c r="L2310" s="3"/>
      <c r="M2310" s="3"/>
      <c r="N2310" s="3"/>
      <c r="O2310" s="3"/>
      <c r="P2310" s="3"/>
      <c r="Q2310" s="3"/>
      <c r="R2310" s="3">
        <f>IFERROR(__xludf.DUMMYFUNCTION("""COMPUTED_VALUE"""),0.0)</f>
        <v>0</v>
      </c>
      <c r="S2310" s="3"/>
      <c r="T2310" s="5"/>
      <c r="U2310" s="5"/>
      <c r="V2310" s="5"/>
      <c r="W2310" s="5" t="str">
        <f>IFERROR(__xludf.DUMMYFUNCTION("""COMPUTED_VALUE"""),"Simon")</f>
        <v>Simon</v>
      </c>
    </row>
    <row r="2311" ht="15.75" customHeight="1">
      <c r="A2311" s="3">
        <f>IFERROR(__xludf.DUMMYFUNCTION("""COMPUTED_VALUE"""),2311.0)</f>
        <v>2311</v>
      </c>
      <c r="B2311" s="53">
        <f>IFERROR(__xludf.DUMMYFUNCTION("""COMPUTED_VALUE"""),46140.0)</f>
        <v>46140</v>
      </c>
      <c r="C2311" s="3">
        <f>IFERROR(__xludf.DUMMYFUNCTION("""COMPUTED_VALUE"""),65.0)</f>
        <v>65</v>
      </c>
      <c r="D2311" s="3" t="str">
        <f>IFERROR(__xludf.DUMMYFUNCTION("""COMPUTED_VALUE"""),"d932789c")</f>
        <v>d932789c</v>
      </c>
      <c r="E2311" s="54">
        <f>IFERROR(__xludf.DUMMYFUNCTION("""COMPUTED_VALUE"""),34400.0)</f>
        <v>34400</v>
      </c>
      <c r="F2311" s="3" t="str">
        <f>IFERROR(__xludf.DUMMYFUNCTION("""COMPUTED_VALUE"""),"Criolla PC")</f>
        <v>Criolla PC</v>
      </c>
      <c r="G2311" s="55">
        <f>IFERROR(__xludf.DUMMYFUNCTION("""COMPUTED_VALUE"""),13.5)</f>
        <v>13.5</v>
      </c>
      <c r="H2311" s="56">
        <f>IFERROR(__xludf.DUMMYFUNCTION("""COMPUTED_VALUE"""),-1.8)</f>
        <v>-1.8</v>
      </c>
      <c r="I2311" s="57">
        <f>IFERROR(__xludf.DUMMYFUNCTION("""COMPUTED_VALUE"""),0.4)</f>
        <v>0.4</v>
      </c>
      <c r="J2311" s="57">
        <f>IFERROR(__xludf.DUMMYFUNCTION("""COMPUTED_VALUE"""),5.62)</f>
        <v>5.62</v>
      </c>
      <c r="K2311" s="3"/>
      <c r="L2311" s="3"/>
      <c r="M2311" s="3"/>
      <c r="N2311" s="3"/>
      <c r="O2311" s="3"/>
      <c r="P2311" s="3"/>
      <c r="Q2311" s="3"/>
      <c r="R2311" s="3">
        <f>IFERROR(__xludf.DUMMYFUNCTION("""COMPUTED_VALUE"""),0.0)</f>
        <v>0</v>
      </c>
      <c r="S2311" s="3"/>
      <c r="T2311" s="5"/>
      <c r="U2311" s="5"/>
      <c r="V2311" s="5"/>
      <c r="W2311" s="5" t="str">
        <f>IFERROR(__xludf.DUMMYFUNCTION("""COMPUTED_VALUE"""),"Simon")</f>
        <v>Simon</v>
      </c>
    </row>
    <row r="2312" ht="15.75" customHeight="1">
      <c r="A2312" s="3">
        <f>IFERROR(__xludf.DUMMYFUNCTION("""COMPUTED_VALUE"""),2312.0)</f>
        <v>2312</v>
      </c>
      <c r="B2312" s="53">
        <f>IFERROR(__xludf.DUMMYFUNCTION("""COMPUTED_VALUE"""),46140.0)</f>
        <v>46140</v>
      </c>
      <c r="C2312" s="3">
        <f>IFERROR(__xludf.DUMMYFUNCTION("""COMPUTED_VALUE"""),82.0)</f>
        <v>82</v>
      </c>
      <c r="D2312" s="3" t="str">
        <f>IFERROR(__xludf.DUMMYFUNCTION("""COMPUTED_VALUE"""),"a21e63a2")</f>
        <v>a21e63a2</v>
      </c>
      <c r="E2312" s="54">
        <f>IFERROR(__xludf.DUMMYFUNCTION("""COMPUTED_VALUE"""),42600.0)</f>
        <v>42600</v>
      </c>
      <c r="F2312" s="3" t="str">
        <f>IFERROR(__xludf.DUMMYFUNCTION("""COMPUTED_VALUE"""),"Bonarda c/criolla")</f>
        <v>Bonarda c/criolla</v>
      </c>
      <c r="G2312" s="55">
        <f>IFERROR(__xludf.DUMMYFUNCTION("""COMPUTED_VALUE"""),12.9)</f>
        <v>12.9</v>
      </c>
      <c r="H2312" s="56">
        <f>IFERROR(__xludf.DUMMYFUNCTION("""COMPUTED_VALUE"""),2.06)</f>
        <v>2.06</v>
      </c>
      <c r="I2312" s="57">
        <f>IFERROR(__xludf.DUMMYFUNCTION("""COMPUTED_VALUE"""),0.32)</f>
        <v>0.32</v>
      </c>
      <c r="J2312" s="57">
        <f>IFERROR(__xludf.DUMMYFUNCTION("""COMPUTED_VALUE"""),5.47)</f>
        <v>5.47</v>
      </c>
      <c r="K2312" s="3"/>
      <c r="L2312" s="3"/>
      <c r="M2312" s="3"/>
      <c r="N2312" s="3"/>
      <c r="O2312" s="3"/>
      <c r="P2312" s="3"/>
      <c r="Q2312" s="3"/>
      <c r="R2312" s="3">
        <f>IFERROR(__xludf.DUMMYFUNCTION("""COMPUTED_VALUE"""),0.0)</f>
        <v>0</v>
      </c>
      <c r="S2312" s="3"/>
      <c r="T2312" s="5"/>
      <c r="U2312" s="5"/>
      <c r="V2312" s="5"/>
      <c r="W2312" s="5" t="str">
        <f>IFERROR(__xludf.DUMMYFUNCTION("""COMPUTED_VALUE"""),"Simon")</f>
        <v>Simon</v>
      </c>
    </row>
    <row r="2313" ht="15.75" customHeight="1">
      <c r="A2313" s="3">
        <f>IFERROR(__xludf.DUMMYFUNCTION("""COMPUTED_VALUE"""),2313.0)</f>
        <v>2313</v>
      </c>
      <c r="B2313" s="53">
        <f>IFERROR(__xludf.DUMMYFUNCTION("""COMPUTED_VALUE"""),46140.0)</f>
        <v>46140</v>
      </c>
      <c r="C2313" s="3">
        <f>IFERROR(__xludf.DUMMYFUNCTION("""COMPUTED_VALUE"""),83.0)</f>
        <v>83</v>
      </c>
      <c r="D2313" s="3" t="str">
        <f>IFERROR(__xludf.DUMMYFUNCTION("""COMPUTED_VALUE"""),"3659102b")</f>
        <v>3659102b</v>
      </c>
      <c r="E2313" s="54">
        <f>IFERROR(__xludf.DUMMYFUNCTION("""COMPUTED_VALUE"""),81500.0)</f>
        <v>81500</v>
      </c>
      <c r="F2313" s="3" t="str">
        <f>IFERROR(__xludf.DUMMYFUNCTION("""COMPUTED_VALUE"""),"Criolla Recarga PC")</f>
        <v>Criolla Recarga PC</v>
      </c>
      <c r="G2313" s="55">
        <f>IFERROR(__xludf.DUMMYFUNCTION("""COMPUTED_VALUE"""),13.5)</f>
        <v>13.5</v>
      </c>
      <c r="H2313" s="56">
        <f>IFERROR(__xludf.DUMMYFUNCTION("""COMPUTED_VALUE"""),-1.8)</f>
        <v>-1.8</v>
      </c>
      <c r="I2313" s="57">
        <f>IFERROR(__xludf.DUMMYFUNCTION("""COMPUTED_VALUE"""),0.35)</f>
        <v>0.35</v>
      </c>
      <c r="J2313" s="57">
        <f>IFERROR(__xludf.DUMMYFUNCTION("""COMPUTED_VALUE"""),4.5)</f>
        <v>4.5</v>
      </c>
      <c r="K2313" s="3"/>
      <c r="L2313" s="3"/>
      <c r="M2313" s="3"/>
      <c r="N2313" s="3"/>
      <c r="O2313" s="3"/>
      <c r="P2313" s="3"/>
      <c r="Q2313" s="3"/>
      <c r="R2313" s="3">
        <f>IFERROR(__xludf.DUMMYFUNCTION("""COMPUTED_VALUE"""),0.0)</f>
        <v>0</v>
      </c>
      <c r="S2313" s="3"/>
      <c r="T2313" s="5"/>
      <c r="U2313" s="5"/>
      <c r="V2313" s="5"/>
      <c r="W2313" s="5" t="str">
        <f>IFERROR(__xludf.DUMMYFUNCTION("""COMPUTED_VALUE"""),"Simon")</f>
        <v>Simon</v>
      </c>
    </row>
    <row r="2314" ht="15.75" customHeight="1">
      <c r="A2314" s="3">
        <f>IFERROR(__xludf.DUMMYFUNCTION("""COMPUTED_VALUE"""),2314.0)</f>
        <v>2314</v>
      </c>
      <c r="B2314" s="53">
        <f>IFERROR(__xludf.DUMMYFUNCTION("""COMPUTED_VALUE"""),46140.0)</f>
        <v>46140</v>
      </c>
      <c r="C2314" s="3">
        <f>IFERROR(__xludf.DUMMYFUNCTION("""COMPUTED_VALUE"""),116.0)</f>
        <v>116</v>
      </c>
      <c r="D2314" s="3" t="str">
        <f>IFERROR(__xludf.DUMMYFUNCTION("""COMPUTED_VALUE"""),"2e2886b4")</f>
        <v>2e2886b4</v>
      </c>
      <c r="E2314" s="54">
        <f>IFERROR(__xludf.DUMMYFUNCTION("""COMPUTED_VALUE"""),99600.0)</f>
        <v>99600</v>
      </c>
      <c r="F2314" s="3" t="str">
        <f>IFERROR(__xludf.DUMMYFUNCTION("""COMPUTED_VALUE"""),"Bonarda")</f>
        <v>Bonarda</v>
      </c>
      <c r="G2314" s="55">
        <f>IFERROR(__xludf.DUMMYFUNCTION("""COMPUTED_VALUE"""),13.8)</f>
        <v>13.8</v>
      </c>
      <c r="H2314" s="56">
        <f>IFERROR(__xludf.DUMMYFUNCTION("""COMPUTED_VALUE"""),1.8)</f>
        <v>1.8</v>
      </c>
      <c r="I2314" s="57">
        <f>IFERROR(__xludf.DUMMYFUNCTION("""COMPUTED_VALUE"""),0.35)</f>
        <v>0.35</v>
      </c>
      <c r="J2314" s="57">
        <f>IFERROR(__xludf.DUMMYFUNCTION("""COMPUTED_VALUE"""),5.62)</f>
        <v>5.62</v>
      </c>
      <c r="K2314" s="3"/>
      <c r="L2314" s="3"/>
      <c r="M2314" s="3"/>
      <c r="N2314" s="3"/>
      <c r="O2314" s="3"/>
      <c r="P2314" s="3"/>
      <c r="Q2314" s="3"/>
      <c r="R2314" s="3">
        <f>IFERROR(__xludf.DUMMYFUNCTION("""COMPUTED_VALUE"""),0.0)</f>
        <v>0</v>
      </c>
      <c r="S2314" s="3"/>
      <c r="T2314" s="5"/>
      <c r="U2314" s="5"/>
      <c r="V2314" s="5"/>
      <c r="W2314" s="5" t="str">
        <f>IFERROR(__xludf.DUMMYFUNCTION("""COMPUTED_VALUE"""),"Simon")</f>
        <v>Simon</v>
      </c>
    </row>
    <row r="2315" ht="15.75" customHeight="1">
      <c r="A2315" s="3">
        <f>IFERROR(__xludf.DUMMYFUNCTION("""COMPUTED_VALUE"""),2315.0)</f>
        <v>2315</v>
      </c>
      <c r="B2315" s="53">
        <f>IFERROR(__xludf.DUMMYFUNCTION("""COMPUTED_VALUE"""),46140.0)</f>
        <v>46140</v>
      </c>
      <c r="C2315" s="3">
        <f>IFERROR(__xludf.DUMMYFUNCTION("""COMPUTED_VALUE"""),126.0)</f>
        <v>126</v>
      </c>
      <c r="D2315" s="3" t="str">
        <f>IFERROR(__xludf.DUMMYFUNCTION("""COMPUTED_VALUE"""),"0a6a2e5b")</f>
        <v>0a6a2e5b</v>
      </c>
      <c r="E2315" s="54">
        <f>IFERROR(__xludf.DUMMYFUNCTION("""COMPUTED_VALUE"""),31000.0)</f>
        <v>31000</v>
      </c>
      <c r="F2315" s="3" t="str">
        <f>IFERROR(__xludf.DUMMYFUNCTION("""COMPUTED_VALUE"""),"Criolla Filt")</f>
        <v>Criolla Filt</v>
      </c>
      <c r="G2315" s="55">
        <f>IFERROR(__xludf.DUMMYFUNCTION("""COMPUTED_VALUE"""),13.6)</f>
        <v>13.6</v>
      </c>
      <c r="H2315" s="56">
        <f>IFERROR(__xludf.DUMMYFUNCTION("""COMPUTED_VALUE"""),2.8)</f>
        <v>2.8</v>
      </c>
      <c r="I2315" s="57">
        <f>IFERROR(__xludf.DUMMYFUNCTION("""COMPUTED_VALUE"""),0.3)</f>
        <v>0.3</v>
      </c>
      <c r="J2315" s="57">
        <f>IFERROR(__xludf.DUMMYFUNCTION("""COMPUTED_VALUE"""),4.35)</f>
        <v>4.35</v>
      </c>
      <c r="K2315" s="3"/>
      <c r="L2315" s="3"/>
      <c r="M2315" s="3"/>
      <c r="N2315" s="3"/>
      <c r="O2315" s="3"/>
      <c r="P2315" s="3"/>
      <c r="Q2315" s="3"/>
      <c r="R2315" s="3">
        <f>IFERROR(__xludf.DUMMYFUNCTION("""COMPUTED_VALUE"""),0.0)</f>
        <v>0</v>
      </c>
      <c r="S2315" s="3"/>
      <c r="T2315" s="5"/>
      <c r="U2315" s="5"/>
      <c r="V2315" s="5"/>
      <c r="W2315" s="5" t="str">
        <f>IFERROR(__xludf.DUMMYFUNCTION("""COMPUTED_VALUE"""),"Simon")</f>
        <v>Simon</v>
      </c>
    </row>
    <row r="2316" ht="15.75" customHeight="1">
      <c r="A2316" s="3">
        <f>IFERROR(__xludf.DUMMYFUNCTION("""COMPUTED_VALUE"""),2316.0)</f>
        <v>2316</v>
      </c>
      <c r="B2316" s="53">
        <f>IFERROR(__xludf.DUMMYFUNCTION("""COMPUTED_VALUE"""),46140.0)</f>
        <v>46140</v>
      </c>
      <c r="C2316" s="3">
        <f>IFERROR(__xludf.DUMMYFUNCTION("""COMPUTED_VALUE"""),127.0)</f>
        <v>127</v>
      </c>
      <c r="D2316" s="3" t="str">
        <f>IFERROR(__xludf.DUMMYFUNCTION("""COMPUTED_VALUE"""),"e515b905")</f>
        <v>e515b905</v>
      </c>
      <c r="E2316" s="54">
        <f>IFERROR(__xludf.DUMMYFUNCTION("""COMPUTED_VALUE"""),31000.0)</f>
        <v>31000</v>
      </c>
      <c r="F2316" s="3" t="str">
        <f>IFERROR(__xludf.DUMMYFUNCTION("""COMPUTED_VALUE"""),"Criolla")</f>
        <v>Criolla</v>
      </c>
      <c r="G2316" s="55">
        <f>IFERROR(__xludf.DUMMYFUNCTION("""COMPUTED_VALUE"""),12.9)</f>
        <v>12.9</v>
      </c>
      <c r="H2316" s="56">
        <f>IFERROR(__xludf.DUMMYFUNCTION("""COMPUTED_VALUE"""),-1.8)</f>
        <v>-1.8</v>
      </c>
      <c r="I2316" s="57">
        <f>IFERROR(__xludf.DUMMYFUNCTION("""COMPUTED_VALUE"""),0.48)</f>
        <v>0.48</v>
      </c>
      <c r="J2316" s="57">
        <f>IFERROR(__xludf.DUMMYFUNCTION("""COMPUTED_VALUE"""),4.35)</f>
        <v>4.35</v>
      </c>
      <c r="K2316" s="3"/>
      <c r="L2316" s="3"/>
      <c r="M2316" s="3"/>
      <c r="N2316" s="3"/>
      <c r="O2316" s="3"/>
      <c r="P2316" s="3"/>
      <c r="Q2316" s="3"/>
      <c r="R2316" s="3">
        <f>IFERROR(__xludf.DUMMYFUNCTION("""COMPUTED_VALUE"""),0.0)</f>
        <v>0</v>
      </c>
      <c r="S2316" s="3"/>
      <c r="T2316" s="5"/>
      <c r="U2316" s="5"/>
      <c r="V2316" s="5"/>
      <c r="W2316" s="5" t="str">
        <f>IFERROR(__xludf.DUMMYFUNCTION("""COMPUTED_VALUE"""),"Simon")</f>
        <v>Simon</v>
      </c>
    </row>
    <row r="2317" ht="15.75" customHeight="1">
      <c r="A2317" s="3">
        <f>IFERROR(__xludf.DUMMYFUNCTION("""COMPUTED_VALUE"""),2317.0)</f>
        <v>2317</v>
      </c>
      <c r="B2317" s="53">
        <f>IFERROR(__xludf.DUMMYFUNCTION("""COMPUTED_VALUE"""),46141.0)</f>
        <v>46141</v>
      </c>
      <c r="C2317" s="3">
        <f>IFERROR(__xludf.DUMMYFUNCTION("""COMPUTED_VALUE"""),87.0)</f>
        <v>87</v>
      </c>
      <c r="D2317" s="3" t="str">
        <f>IFERROR(__xludf.DUMMYFUNCTION("""COMPUTED_VALUE"""),"0f7ec44b")</f>
        <v>0f7ec44b</v>
      </c>
      <c r="E2317" s="54">
        <f>IFERROR(__xludf.DUMMYFUNCTION("""COMPUTED_VALUE"""),82900.0)</f>
        <v>82900</v>
      </c>
      <c r="F2317" s="3" t="str">
        <f>IFERROR(__xludf.DUMMYFUNCTION("""COMPUTED_VALUE"""),"Criolla Recarga PC")</f>
        <v>Criolla Recarga PC</v>
      </c>
      <c r="G2317" s="3"/>
      <c r="H2317" s="3"/>
      <c r="I2317" s="3"/>
      <c r="J2317" s="3"/>
      <c r="K2317" s="57">
        <f>IFERROR(__xludf.DUMMYFUNCTION("""COMPUTED_VALUE"""),3.81)</f>
        <v>3.81</v>
      </c>
      <c r="L2317" s="54">
        <f>IFERROR(__xludf.DUMMYFUNCTION("""COMPUTED_VALUE"""),12.0)</f>
        <v>12</v>
      </c>
      <c r="M2317" s="3">
        <f>IFERROR(__xludf.DUMMYFUNCTION("""COMPUTED_VALUE"""),51.0)</f>
        <v>51</v>
      </c>
      <c r="N2317" s="3"/>
      <c r="O2317" s="3"/>
      <c r="P2317" s="3"/>
      <c r="Q2317" s="3"/>
      <c r="R2317" s="3">
        <f>IFERROR(__xludf.DUMMYFUNCTION("""COMPUTED_VALUE"""),0.0)</f>
        <v>0</v>
      </c>
      <c r="S2317" s="3"/>
      <c r="T2317" s="5"/>
      <c r="U2317" s="5"/>
      <c r="V2317" s="5"/>
      <c r="W2317" s="5"/>
    </row>
    <row r="2318" ht="15.75" customHeight="1">
      <c r="A2318" s="3">
        <f>IFERROR(__xludf.DUMMYFUNCTION("""COMPUTED_VALUE"""),2318.0)</f>
        <v>2318</v>
      </c>
      <c r="B2318" s="53">
        <f>IFERROR(__xludf.DUMMYFUNCTION("""COMPUTED_VALUE"""),46141.0)</f>
        <v>46141</v>
      </c>
      <c r="C2318" s="3">
        <f>IFERROR(__xludf.DUMMYFUNCTION("""COMPUTED_VALUE"""),34.0)</f>
        <v>34</v>
      </c>
      <c r="D2318" s="3" t="str">
        <f>IFERROR(__xludf.DUMMYFUNCTION("""COMPUTED_VALUE"""),"4c8bfcfe")</f>
        <v>4c8bfcfe</v>
      </c>
      <c r="E2318" s="54">
        <f>IFERROR(__xludf.DUMMYFUNCTION("""COMPUTED_VALUE"""),39500.0)</f>
        <v>39500</v>
      </c>
      <c r="F2318" s="3" t="str">
        <f>IFERROR(__xludf.DUMMYFUNCTION("""COMPUTED_VALUE"""),"Criolla")</f>
        <v>Criolla</v>
      </c>
      <c r="G2318" s="3"/>
      <c r="H2318" s="3"/>
      <c r="I2318" s="3"/>
      <c r="J2318" s="3"/>
      <c r="K2318" s="57">
        <f>IFERROR(__xludf.DUMMYFUNCTION("""COMPUTED_VALUE"""),3.32)</f>
        <v>3.32</v>
      </c>
      <c r="L2318" s="54">
        <f>IFERROR(__xludf.DUMMYFUNCTION("""COMPUTED_VALUE"""),15.0)</f>
        <v>15</v>
      </c>
      <c r="M2318" s="3">
        <f>IFERROR(__xludf.DUMMYFUNCTION("""COMPUTED_VALUE"""),102.0)</f>
        <v>102</v>
      </c>
      <c r="N2318" s="3"/>
      <c r="O2318" s="3"/>
      <c r="P2318" s="3"/>
      <c r="Q2318" s="3"/>
      <c r="R2318" s="3">
        <f>IFERROR(__xludf.DUMMYFUNCTION("""COMPUTED_VALUE"""),0.0)</f>
        <v>0</v>
      </c>
      <c r="S2318" s="3"/>
      <c r="T2318" s="5"/>
      <c r="U2318" s="5"/>
      <c r="V2318" s="5"/>
      <c r="W2318" s="5"/>
    </row>
    <row r="2319" ht="15.75" customHeight="1">
      <c r="A2319" s="3">
        <f>IFERROR(__xludf.DUMMYFUNCTION("""COMPUTED_VALUE"""),2319.0)</f>
        <v>2319</v>
      </c>
      <c r="B2319" s="53">
        <f>IFERROR(__xludf.DUMMYFUNCTION("""COMPUTED_VALUE"""),46141.0)</f>
        <v>46141</v>
      </c>
      <c r="C2319" s="3">
        <f>IFERROR(__xludf.DUMMYFUNCTION("""COMPUTED_VALUE"""),66.0)</f>
        <v>66</v>
      </c>
      <c r="D2319" s="3" t="str">
        <f>IFERROR(__xludf.DUMMYFUNCTION("""COMPUTED_VALUE"""),"ae299cc9")</f>
        <v>ae299cc9</v>
      </c>
      <c r="E2319" s="54">
        <f>IFERROR(__xludf.DUMMYFUNCTION("""COMPUTED_VALUE"""),23000.0)</f>
        <v>23000</v>
      </c>
      <c r="F2319" s="3" t="str">
        <f>IFERROR(__xludf.DUMMYFUNCTION("""COMPUTED_VALUE"""),"Bonarda PC")</f>
        <v>Bonarda PC</v>
      </c>
      <c r="G2319" s="3"/>
      <c r="H2319" s="3"/>
      <c r="I2319" s="3"/>
      <c r="J2319" s="3"/>
      <c r="K2319" s="57">
        <f>IFERROR(__xludf.DUMMYFUNCTION("""COMPUTED_VALUE"""),3.71)</f>
        <v>3.71</v>
      </c>
      <c r="L2319" s="54">
        <f>IFERROR(__xludf.DUMMYFUNCTION("""COMPUTED_VALUE"""),18.0)</f>
        <v>18</v>
      </c>
      <c r="M2319" s="3">
        <f>IFERROR(__xludf.DUMMYFUNCTION("""COMPUTED_VALUE"""),96.0)</f>
        <v>96</v>
      </c>
      <c r="N2319" s="3"/>
      <c r="O2319" s="3"/>
      <c r="P2319" s="3"/>
      <c r="Q2319" s="3"/>
      <c r="R2319" s="3">
        <f>IFERROR(__xludf.DUMMYFUNCTION("""COMPUTED_VALUE"""),0.0)</f>
        <v>0</v>
      </c>
      <c r="S2319" s="3"/>
      <c r="T2319" s="5"/>
      <c r="U2319" s="5"/>
      <c r="V2319" s="5"/>
      <c r="W2319" s="5"/>
    </row>
    <row r="2320" ht="15.75" customHeight="1">
      <c r="A2320" s="3">
        <f>IFERROR(__xludf.DUMMYFUNCTION("""COMPUTED_VALUE"""),2320.0)</f>
        <v>2320</v>
      </c>
      <c r="B2320" s="53">
        <f>IFERROR(__xludf.DUMMYFUNCTION("""COMPUTED_VALUE"""),46141.0)</f>
        <v>46141</v>
      </c>
      <c r="C2320" s="3">
        <f>IFERROR(__xludf.DUMMYFUNCTION("""COMPUTED_VALUE"""),9.0)</f>
        <v>9</v>
      </c>
      <c r="D2320" s="3" t="str">
        <f>IFERROR(__xludf.DUMMYFUNCTION("""COMPUTED_VALUE"""),"26d61091")</f>
        <v>26d61091</v>
      </c>
      <c r="E2320" s="54">
        <f>IFERROR(__xludf.DUMMYFUNCTION("""COMPUTED_VALUE"""),30000.0)</f>
        <v>30000</v>
      </c>
      <c r="F2320" s="3" t="str">
        <f>IFERROR(__xludf.DUMMYFUNCTION("""COMPUTED_VALUE"""),"Criolla")</f>
        <v>Criolla</v>
      </c>
      <c r="G2320" s="3"/>
      <c r="H2320" s="3"/>
      <c r="I2320" s="3"/>
      <c r="J2320" s="3"/>
      <c r="K2320" s="57">
        <f>IFERROR(__xludf.DUMMYFUNCTION("""COMPUTED_VALUE"""),3.79)</f>
        <v>3.79</v>
      </c>
      <c r="L2320" s="54">
        <f>IFERROR(__xludf.DUMMYFUNCTION("""COMPUTED_VALUE"""),33.0)</f>
        <v>33</v>
      </c>
      <c r="M2320" s="3">
        <f>IFERROR(__xludf.DUMMYFUNCTION("""COMPUTED_VALUE"""),83.0)</f>
        <v>83</v>
      </c>
      <c r="N2320" s="3"/>
      <c r="O2320" s="3"/>
      <c r="P2320" s="3"/>
      <c r="Q2320" s="3"/>
      <c r="R2320" s="3">
        <f>IFERROR(__xludf.DUMMYFUNCTION("""COMPUTED_VALUE"""),0.0)</f>
        <v>0</v>
      </c>
      <c r="S2320" s="3"/>
      <c r="T2320" s="5"/>
      <c r="U2320" s="5"/>
      <c r="V2320" s="5"/>
      <c r="W2320" s="5"/>
    </row>
    <row r="2321" ht="15.75" customHeight="1">
      <c r="A2321" s="3">
        <f>IFERROR(__xludf.DUMMYFUNCTION("""COMPUTED_VALUE"""),2321.0)</f>
        <v>2321</v>
      </c>
      <c r="B2321" s="53">
        <f>IFERROR(__xludf.DUMMYFUNCTION("""COMPUTED_VALUE"""),46141.0)</f>
        <v>46141</v>
      </c>
      <c r="C2321" s="3">
        <f>IFERROR(__xludf.DUMMYFUNCTION("""COMPUTED_VALUE"""),81.0)</f>
        <v>81</v>
      </c>
      <c r="D2321" s="3" t="str">
        <f>IFERROR(__xludf.DUMMYFUNCTION("""COMPUTED_VALUE"""),"253bec17")</f>
        <v>253bec17</v>
      </c>
      <c r="E2321" s="54">
        <f>IFERROR(__xludf.DUMMYFUNCTION("""COMPUTED_VALUE"""),26500.0)</f>
        <v>26500</v>
      </c>
      <c r="F2321" s="3" t="str">
        <f>IFERROR(__xludf.DUMMYFUNCTION("""COMPUTED_VALUE"""),"Bonarda c/criolla")</f>
        <v>Bonarda c/criolla</v>
      </c>
      <c r="G2321" s="3"/>
      <c r="H2321" s="3"/>
      <c r="I2321" s="3"/>
      <c r="J2321" s="3"/>
      <c r="K2321" s="57">
        <f>IFERROR(__xludf.DUMMYFUNCTION("""COMPUTED_VALUE"""),3.8)</f>
        <v>3.8</v>
      </c>
      <c r="L2321" s="54">
        <f>IFERROR(__xludf.DUMMYFUNCTION("""COMPUTED_VALUE"""),12.0)</f>
        <v>12</v>
      </c>
      <c r="M2321" s="3">
        <f>IFERROR(__xludf.DUMMYFUNCTION("""COMPUTED_VALUE"""),50.0)</f>
        <v>50</v>
      </c>
      <c r="N2321" s="3"/>
      <c r="O2321" s="3"/>
      <c r="P2321" s="3"/>
      <c r="Q2321" s="3"/>
      <c r="R2321" s="3">
        <f>IFERROR(__xludf.DUMMYFUNCTION("""COMPUTED_VALUE"""),0.0)</f>
        <v>0</v>
      </c>
      <c r="S2321" s="3"/>
      <c r="T2321" s="5"/>
      <c r="U2321" s="5"/>
      <c r="V2321" s="5"/>
      <c r="W2321" s="5"/>
    </row>
    <row r="2322" ht="15.75" customHeight="1">
      <c r="A2322" s="3">
        <f>IFERROR(__xludf.DUMMYFUNCTION("""COMPUTED_VALUE"""),2322.0)</f>
        <v>2322</v>
      </c>
      <c r="B2322" s="53">
        <f>IFERROR(__xludf.DUMMYFUNCTION("""COMPUTED_VALUE"""),46141.0)</f>
        <v>46141</v>
      </c>
      <c r="C2322" s="3">
        <f>IFERROR(__xludf.DUMMYFUNCTION("""COMPUTED_VALUE"""),7.0)</f>
        <v>7</v>
      </c>
      <c r="D2322" s="3" t="str">
        <f>IFERROR(__xludf.DUMMYFUNCTION("""COMPUTED_VALUE"""),"32ecefdc")</f>
        <v>32ecefdc</v>
      </c>
      <c r="E2322" s="54">
        <f>IFERROR(__xludf.DUMMYFUNCTION("""COMPUTED_VALUE"""),30000.0)</f>
        <v>30000</v>
      </c>
      <c r="F2322" s="3" t="str">
        <f>IFERROR(__xludf.DUMMYFUNCTION("""COMPUTED_VALUE"""),"Criolla")</f>
        <v>Criolla</v>
      </c>
      <c r="G2322" s="3"/>
      <c r="H2322" s="3"/>
      <c r="I2322" s="3"/>
      <c r="J2322" s="3"/>
      <c r="K2322" s="57">
        <f>IFERROR(__xludf.DUMMYFUNCTION("""COMPUTED_VALUE"""),3.75)</f>
        <v>3.75</v>
      </c>
      <c r="L2322" s="54">
        <f>IFERROR(__xludf.DUMMYFUNCTION("""COMPUTED_VALUE"""),25.0)</f>
        <v>25</v>
      </c>
      <c r="M2322" s="3">
        <f>IFERROR(__xludf.DUMMYFUNCTION("""COMPUTED_VALUE"""),70.0)</f>
        <v>70</v>
      </c>
      <c r="N2322" s="3"/>
      <c r="O2322" s="3"/>
      <c r="P2322" s="3"/>
      <c r="Q2322" s="3"/>
      <c r="R2322" s="3">
        <f>IFERROR(__xludf.DUMMYFUNCTION("""COMPUTED_VALUE"""),0.0)</f>
        <v>0</v>
      </c>
      <c r="S2322" s="3"/>
      <c r="T2322" s="5"/>
      <c r="U2322" s="5"/>
      <c r="V2322" s="5"/>
      <c r="W2322" s="5"/>
    </row>
    <row r="2323" ht="15.75" customHeight="1">
      <c r="A2323" s="3">
        <f>IFERROR(__xludf.DUMMYFUNCTION("""COMPUTED_VALUE"""),2323.0)</f>
        <v>2323</v>
      </c>
      <c r="B2323" s="53">
        <f>IFERROR(__xludf.DUMMYFUNCTION("""COMPUTED_VALUE"""),46141.0)</f>
        <v>46141</v>
      </c>
      <c r="C2323" s="3">
        <f>IFERROR(__xludf.DUMMYFUNCTION("""COMPUTED_VALUE"""),67.0)</f>
        <v>67</v>
      </c>
      <c r="D2323" s="3" t="str">
        <f>IFERROR(__xludf.DUMMYFUNCTION("""COMPUTED_VALUE"""),"1d29e77e")</f>
        <v>1d29e77e</v>
      </c>
      <c r="E2323" s="54">
        <f>IFERROR(__xludf.DUMMYFUNCTION("""COMPUTED_VALUE"""),23000.0)</f>
        <v>23000</v>
      </c>
      <c r="F2323" s="3" t="str">
        <f>IFERROR(__xludf.DUMMYFUNCTION("""COMPUTED_VALUE"""),"Bonarda")</f>
        <v>Bonarda</v>
      </c>
      <c r="G2323" s="3"/>
      <c r="H2323" s="3"/>
      <c r="I2323" s="3"/>
      <c r="J2323" s="3"/>
      <c r="K2323" s="57">
        <f>IFERROR(__xludf.DUMMYFUNCTION("""COMPUTED_VALUE"""),3.76)</f>
        <v>3.76</v>
      </c>
      <c r="L2323" s="54">
        <f>IFERROR(__xludf.DUMMYFUNCTION("""COMPUTED_VALUE"""),20.0)</f>
        <v>20</v>
      </c>
      <c r="M2323" s="3">
        <f>IFERROR(__xludf.DUMMYFUNCTION("""COMPUTED_VALUE"""),56.0)</f>
        <v>56</v>
      </c>
      <c r="N2323" s="3"/>
      <c r="O2323" s="3"/>
      <c r="P2323" s="3"/>
      <c r="Q2323" s="3"/>
      <c r="R2323" s="3">
        <f>IFERROR(__xludf.DUMMYFUNCTION("""COMPUTED_VALUE"""),0.0)</f>
        <v>0</v>
      </c>
      <c r="S2323" s="3"/>
      <c r="T2323" s="5"/>
      <c r="U2323" s="5"/>
      <c r="V2323" s="5"/>
      <c r="W2323" s="5"/>
    </row>
    <row r="2324" ht="15.75" customHeight="1">
      <c r="A2324" s="3">
        <f>IFERROR(__xludf.DUMMYFUNCTION("""COMPUTED_VALUE"""),2324.0)</f>
        <v>2324</v>
      </c>
      <c r="B2324" s="53">
        <f>IFERROR(__xludf.DUMMYFUNCTION("""COMPUTED_VALUE"""),46141.0)</f>
        <v>46141</v>
      </c>
      <c r="C2324" s="3">
        <f>IFERROR(__xludf.DUMMYFUNCTION("""COMPUTED_VALUE"""),12.0)</f>
        <v>12</v>
      </c>
      <c r="D2324" s="3" t="str">
        <f>IFERROR(__xludf.DUMMYFUNCTION("""COMPUTED_VALUE"""),"0b275cb3")</f>
        <v>0b275cb3</v>
      </c>
      <c r="E2324" s="54">
        <f>IFERROR(__xludf.DUMMYFUNCTION("""COMPUTED_VALUE"""),35300.0)</f>
        <v>35300</v>
      </c>
      <c r="F2324" s="3" t="str">
        <f>IFERROR(__xludf.DUMMYFUNCTION("""COMPUTED_VALUE"""),"Bonarda C2")</f>
        <v>Bonarda C2</v>
      </c>
      <c r="G2324" s="3"/>
      <c r="H2324" s="3"/>
      <c r="I2324" s="3"/>
      <c r="J2324" s="3"/>
      <c r="K2324" s="57">
        <f>IFERROR(__xludf.DUMMYFUNCTION("""COMPUTED_VALUE"""),3.91)</f>
        <v>3.91</v>
      </c>
      <c r="L2324" s="54">
        <f>IFERROR(__xludf.DUMMYFUNCTION("""COMPUTED_VALUE"""),20.0)</f>
        <v>20</v>
      </c>
      <c r="M2324" s="3">
        <f>IFERROR(__xludf.DUMMYFUNCTION("""COMPUTED_VALUE"""),70.0)</f>
        <v>70</v>
      </c>
      <c r="N2324" s="3"/>
      <c r="O2324" s="3"/>
      <c r="P2324" s="3"/>
      <c r="Q2324" s="3"/>
      <c r="R2324" s="3">
        <f>IFERROR(__xludf.DUMMYFUNCTION("""COMPUTED_VALUE"""),0.0)</f>
        <v>0</v>
      </c>
      <c r="S2324" s="3"/>
      <c r="T2324" s="5"/>
      <c r="U2324" s="5"/>
      <c r="V2324" s="5"/>
      <c r="W2324" s="5"/>
    </row>
    <row r="2325" ht="15.75" customHeight="1">
      <c r="A2325" s="3">
        <f>IFERROR(__xludf.DUMMYFUNCTION("""COMPUTED_VALUE"""),2325.0)</f>
        <v>2325</v>
      </c>
      <c r="B2325" s="53">
        <f>IFERROR(__xludf.DUMMYFUNCTION("""COMPUTED_VALUE"""),46141.0)</f>
        <v>46141</v>
      </c>
      <c r="C2325" s="3">
        <f>IFERROR(__xludf.DUMMYFUNCTION("""COMPUTED_VALUE"""),90.0)</f>
        <v>90</v>
      </c>
      <c r="D2325" s="3" t="str">
        <f>IFERROR(__xludf.DUMMYFUNCTION("""COMPUTED_VALUE"""),"3c9ad7dc")</f>
        <v>3c9ad7dc</v>
      </c>
      <c r="E2325" s="54">
        <f>IFERROR(__xludf.DUMMYFUNCTION("""COMPUTED_VALUE"""),44000.0)</f>
        <v>44000</v>
      </c>
      <c r="F2325" s="3" t="str">
        <f>IFERROR(__xludf.DUMMYFUNCTION("""COMPUTED_VALUE"""),"Bonarda")</f>
        <v>Bonarda</v>
      </c>
      <c r="G2325" s="3"/>
      <c r="H2325" s="56">
        <f>IFERROR(__xludf.DUMMYFUNCTION("""COMPUTED_VALUE"""),2.0)</f>
        <v>2</v>
      </c>
      <c r="I2325" s="3"/>
      <c r="J2325" s="3"/>
      <c r="K2325" s="3"/>
      <c r="L2325" s="3"/>
      <c r="M2325" s="3"/>
      <c r="N2325" s="3"/>
      <c r="O2325" s="3"/>
      <c r="P2325" s="3"/>
      <c r="Q2325" s="3"/>
      <c r="R2325" s="3">
        <f>IFERROR(__xludf.DUMMYFUNCTION("""COMPUTED_VALUE"""),0.0)</f>
        <v>0</v>
      </c>
      <c r="S2325" s="3"/>
      <c r="T2325" s="5"/>
      <c r="U2325" s="5"/>
      <c r="V2325" s="5"/>
      <c r="W2325" s="5"/>
    </row>
    <row r="2326" ht="15.75" customHeight="1">
      <c r="A2326" s="3">
        <f>IFERROR(__xludf.DUMMYFUNCTION("""COMPUTED_VALUE"""),2326.0)</f>
        <v>2326</v>
      </c>
      <c r="B2326" s="53">
        <f>IFERROR(__xludf.DUMMYFUNCTION("""COMPUTED_VALUE"""),46142.0)</f>
        <v>46142</v>
      </c>
      <c r="C2326" s="3">
        <f>IFERROR(__xludf.DUMMYFUNCTION("""COMPUTED_VALUE"""),96.0)</f>
        <v>96</v>
      </c>
      <c r="D2326" s="3" t="str">
        <f>IFERROR(__xludf.DUMMYFUNCTION("""COMPUTED_VALUE"""),"780b261a")</f>
        <v>780b261a</v>
      </c>
      <c r="E2326" s="54">
        <f>IFERROR(__xludf.DUMMYFUNCTION("""COMPUTED_VALUE"""),51000.0)</f>
        <v>51000</v>
      </c>
      <c r="F2326" s="3" t="str">
        <f>IFERROR(__xludf.DUMMYFUNCTION("""COMPUTED_VALUE"""),"Criolla Recarga")</f>
        <v>Criolla Recarga</v>
      </c>
      <c r="G2326" s="3"/>
      <c r="H2326" s="3"/>
      <c r="I2326" s="3"/>
      <c r="J2326" s="3"/>
      <c r="K2326" s="57">
        <f>IFERROR(__xludf.DUMMYFUNCTION("""COMPUTED_VALUE"""),3.85)</f>
        <v>3.85</v>
      </c>
      <c r="L2326" s="54">
        <f>IFERROR(__xludf.DUMMYFUNCTION("""COMPUTED_VALUE"""),15.0)</f>
        <v>15</v>
      </c>
      <c r="M2326" s="3">
        <f>IFERROR(__xludf.DUMMYFUNCTION("""COMPUTED_VALUE"""),60.0)</f>
        <v>60</v>
      </c>
      <c r="N2326" s="3"/>
      <c r="O2326" s="3"/>
      <c r="P2326" s="3"/>
      <c r="Q2326" s="3"/>
      <c r="R2326" s="3">
        <f>IFERROR(__xludf.DUMMYFUNCTION("""COMPUTED_VALUE"""),0.0)</f>
        <v>0</v>
      </c>
      <c r="S2326" s="3"/>
      <c r="T2326" s="5"/>
      <c r="U2326" s="5"/>
      <c r="V2326" s="5"/>
      <c r="W2326" s="5"/>
    </row>
    <row r="2327" ht="15.75" customHeight="1">
      <c r="A2327" s="3">
        <f>IFERROR(__xludf.DUMMYFUNCTION("""COMPUTED_VALUE"""),2327.0)</f>
        <v>2327</v>
      </c>
      <c r="B2327" s="53">
        <f>IFERROR(__xludf.DUMMYFUNCTION("""COMPUTED_VALUE"""),46144.0)</f>
        <v>46144</v>
      </c>
      <c r="C2327" s="3">
        <f>IFERROR(__xludf.DUMMYFUNCTION("""COMPUTED_VALUE"""),5.0)</f>
        <v>5</v>
      </c>
      <c r="D2327" s="3" t="str">
        <f>IFERROR(__xludf.DUMMYFUNCTION("""COMPUTED_VALUE"""),"13d2ef6f")</f>
        <v>13d2ef6f</v>
      </c>
      <c r="E2327" s="54">
        <f>IFERROR(__xludf.DUMMYFUNCTION("""COMPUTED_VALUE"""),30000.0)</f>
        <v>30000</v>
      </c>
      <c r="F2327" s="3" t="str">
        <f>IFERROR(__xludf.DUMMYFUNCTION("""COMPUTED_VALUE"""),"Syrah")</f>
        <v>Syrah</v>
      </c>
      <c r="G2327" s="3"/>
      <c r="H2327" s="3"/>
      <c r="I2327" s="3"/>
      <c r="J2327" s="3"/>
      <c r="K2327" s="57">
        <f>IFERROR(__xludf.DUMMYFUNCTION("""COMPUTED_VALUE"""),3.9)</f>
        <v>3.9</v>
      </c>
      <c r="L2327" s="54">
        <f>IFERROR(__xludf.DUMMYFUNCTION("""COMPUTED_VALUE"""),38.0)</f>
        <v>38</v>
      </c>
      <c r="M2327" s="3">
        <f>IFERROR(__xludf.DUMMYFUNCTION("""COMPUTED_VALUE"""),115.0)</f>
        <v>115</v>
      </c>
      <c r="N2327" s="3"/>
      <c r="O2327" s="3"/>
      <c r="P2327" s="3"/>
      <c r="Q2327" s="3"/>
      <c r="R2327" s="3">
        <f>IFERROR(__xludf.DUMMYFUNCTION("""COMPUTED_VALUE"""),0.0)</f>
        <v>0</v>
      </c>
      <c r="S2327" s="3"/>
      <c r="T2327" s="5"/>
      <c r="U2327" s="5"/>
      <c r="V2327" s="5"/>
      <c r="W2327" s="5"/>
    </row>
    <row r="2328" ht="15.75" customHeight="1">
      <c r="A2328" s="3">
        <f>IFERROR(__xludf.DUMMYFUNCTION("""COMPUTED_VALUE"""),2328.0)</f>
        <v>2328</v>
      </c>
      <c r="B2328" s="53">
        <f>IFERROR(__xludf.DUMMYFUNCTION("""COMPUTED_VALUE"""),46144.0)</f>
        <v>46144</v>
      </c>
      <c r="C2328" s="3">
        <f>IFERROR(__xludf.DUMMYFUNCTION("""COMPUTED_VALUE"""),8.0)</f>
        <v>8</v>
      </c>
      <c r="D2328" s="3" t="str">
        <f>IFERROR(__xludf.DUMMYFUNCTION("""COMPUTED_VALUE"""),"76379bb5")</f>
        <v>76379bb5</v>
      </c>
      <c r="E2328" s="54">
        <f>IFERROR(__xludf.DUMMYFUNCTION("""COMPUTED_VALUE"""),21600.0)</f>
        <v>21600</v>
      </c>
      <c r="F2328" s="3" t="str">
        <f>IFERROR(__xludf.DUMMYFUNCTION("""COMPUTED_VALUE"""),"Pedro Gimenez")</f>
        <v>Pedro Gimenez</v>
      </c>
      <c r="G2328" s="3"/>
      <c r="H2328" s="3"/>
      <c r="I2328" s="3"/>
      <c r="J2328" s="3"/>
      <c r="K2328" s="57">
        <f>IFERROR(__xludf.DUMMYFUNCTION("""COMPUTED_VALUE"""),3.35)</f>
        <v>3.35</v>
      </c>
      <c r="L2328" s="54">
        <f>IFERROR(__xludf.DUMMYFUNCTION("""COMPUTED_VALUE"""),38.0)</f>
        <v>38</v>
      </c>
      <c r="M2328" s="3">
        <f>IFERROR(__xludf.DUMMYFUNCTION("""COMPUTED_VALUE"""),130.0)</f>
        <v>130</v>
      </c>
      <c r="N2328" s="3"/>
      <c r="O2328" s="3"/>
      <c r="P2328" s="3"/>
      <c r="Q2328" s="3"/>
      <c r="R2328" s="3">
        <f>IFERROR(__xludf.DUMMYFUNCTION("""COMPUTED_VALUE"""),0.0)</f>
        <v>0</v>
      </c>
      <c r="S2328" s="3"/>
      <c r="T2328" s="5"/>
      <c r="U2328" s="5"/>
      <c r="V2328" s="5"/>
      <c r="W2328" s="5"/>
    </row>
    <row r="2329" ht="15.75" customHeight="1">
      <c r="A2329" s="3">
        <f>IFERROR(__xludf.DUMMYFUNCTION("""COMPUTED_VALUE"""),2329.0)</f>
        <v>2329</v>
      </c>
      <c r="B2329" s="53">
        <f>IFERROR(__xludf.DUMMYFUNCTION("""COMPUTED_VALUE"""),46144.0)</f>
        <v>46144</v>
      </c>
      <c r="C2329" s="3">
        <f>IFERROR(__xludf.DUMMYFUNCTION("""COMPUTED_VALUE"""),15.0)</f>
        <v>15</v>
      </c>
      <c r="D2329" s="3" t="str">
        <f>IFERROR(__xludf.DUMMYFUNCTION("""COMPUTED_VALUE"""),"22490f6b")</f>
        <v>22490f6b</v>
      </c>
      <c r="E2329" s="54">
        <f>IFERROR(__xludf.DUMMYFUNCTION("""COMPUTED_VALUE"""),36500.0)</f>
        <v>36500</v>
      </c>
      <c r="F2329" s="3" t="str">
        <f>IFERROR(__xludf.DUMMYFUNCTION("""COMPUTED_VALUE"""),"Cabernet Sauv G")</f>
        <v>Cabernet Sauv G</v>
      </c>
      <c r="G2329" s="3"/>
      <c r="H2329" s="3"/>
      <c r="I2329" s="3"/>
      <c r="J2329" s="3"/>
      <c r="K2329" s="57">
        <f>IFERROR(__xludf.DUMMYFUNCTION("""COMPUTED_VALUE"""),3.96)</f>
        <v>3.96</v>
      </c>
      <c r="L2329" s="54">
        <f>IFERROR(__xludf.DUMMYFUNCTION("""COMPUTED_VALUE"""),37.0)</f>
        <v>37</v>
      </c>
      <c r="M2329" s="3">
        <f>IFERROR(__xludf.DUMMYFUNCTION("""COMPUTED_VALUE"""),102.0)</f>
        <v>102</v>
      </c>
      <c r="N2329" s="3"/>
      <c r="O2329" s="3"/>
      <c r="P2329" s="3"/>
      <c r="Q2329" s="3"/>
      <c r="R2329" s="3">
        <f>IFERROR(__xludf.DUMMYFUNCTION("""COMPUTED_VALUE"""),0.0)</f>
        <v>0</v>
      </c>
      <c r="S2329" s="3"/>
      <c r="T2329" s="5"/>
      <c r="U2329" s="5"/>
      <c r="V2329" s="5"/>
      <c r="W2329" s="5"/>
    </row>
    <row r="2330" ht="15.75" customHeight="1">
      <c r="A2330" s="3">
        <f>IFERROR(__xludf.DUMMYFUNCTION("""COMPUTED_VALUE"""),2330.0)</f>
        <v>2330</v>
      </c>
      <c r="B2330" s="53">
        <f>IFERROR(__xludf.DUMMYFUNCTION("""COMPUTED_VALUE"""),46144.0)</f>
        <v>46144</v>
      </c>
      <c r="C2330" s="3">
        <f>IFERROR(__xludf.DUMMYFUNCTION("""COMPUTED_VALUE"""),53.0)</f>
        <v>53</v>
      </c>
      <c r="D2330" s="3" t="str">
        <f>IFERROR(__xludf.DUMMYFUNCTION("""COMPUTED_VALUE"""),"ba499da1")</f>
        <v>ba499da1</v>
      </c>
      <c r="E2330" s="54">
        <f>IFERROR(__xludf.DUMMYFUNCTION("""COMPUTED_VALUE"""),22000.0)</f>
        <v>22000</v>
      </c>
      <c r="F2330" s="3" t="str">
        <f>IFERROR(__xludf.DUMMYFUNCTION("""COMPUTED_VALUE"""),"Malbec")</f>
        <v>Malbec</v>
      </c>
      <c r="G2330" s="3"/>
      <c r="H2330" s="3"/>
      <c r="I2330" s="3"/>
      <c r="J2330" s="3"/>
      <c r="K2330" s="57">
        <f>IFERROR(__xludf.DUMMYFUNCTION("""COMPUTED_VALUE"""),3.6)</f>
        <v>3.6</v>
      </c>
      <c r="L2330" s="54">
        <f>IFERROR(__xludf.DUMMYFUNCTION("""COMPUTED_VALUE"""),30.0)</f>
        <v>30</v>
      </c>
      <c r="M2330" s="3">
        <f>IFERROR(__xludf.DUMMYFUNCTION("""COMPUTED_VALUE"""),115.0)</f>
        <v>115</v>
      </c>
      <c r="N2330" s="3"/>
      <c r="O2330" s="3"/>
      <c r="P2330" s="3"/>
      <c r="Q2330" s="3"/>
      <c r="R2330" s="3">
        <f>IFERROR(__xludf.DUMMYFUNCTION("""COMPUTED_VALUE"""),0.0)</f>
        <v>0</v>
      </c>
      <c r="S2330" s="3"/>
      <c r="T2330" s="5"/>
      <c r="U2330" s="5"/>
      <c r="V2330" s="5"/>
      <c r="W2330" s="5"/>
    </row>
    <row r="2331" ht="15.75" customHeight="1">
      <c r="A2331" s="3">
        <f>IFERROR(__xludf.DUMMYFUNCTION("""COMPUTED_VALUE"""),2331.0)</f>
        <v>2331</v>
      </c>
      <c r="B2331" s="53">
        <f>IFERROR(__xludf.DUMMYFUNCTION("""COMPUTED_VALUE"""),46144.0)</f>
        <v>46144</v>
      </c>
      <c r="C2331" s="3">
        <f>IFERROR(__xludf.DUMMYFUNCTION("""COMPUTED_VALUE"""),24.0)</f>
        <v>24</v>
      </c>
      <c r="D2331" s="3" t="str">
        <f>IFERROR(__xludf.DUMMYFUNCTION("""COMPUTED_VALUE"""),"4c079f49")</f>
        <v>4c079f49</v>
      </c>
      <c r="E2331" s="54">
        <f>IFERROR(__xludf.DUMMYFUNCTION("""COMPUTED_VALUE"""),171600.0)</f>
        <v>171600</v>
      </c>
      <c r="F2331" s="3" t="str">
        <f>IFERROR(__xludf.DUMMYFUNCTION("""COMPUTED_VALUE"""),"Malbec pc")</f>
        <v>Malbec pc</v>
      </c>
      <c r="G2331" s="3"/>
      <c r="H2331" s="3"/>
      <c r="I2331" s="3"/>
      <c r="J2331" s="3"/>
      <c r="K2331" s="57">
        <f>IFERROR(__xludf.DUMMYFUNCTION("""COMPUTED_VALUE"""),3.73)</f>
        <v>3.73</v>
      </c>
      <c r="L2331" s="54">
        <f>IFERROR(__xludf.DUMMYFUNCTION("""COMPUTED_VALUE"""),33.0)</f>
        <v>33</v>
      </c>
      <c r="M2331" s="3">
        <f>IFERROR(__xludf.DUMMYFUNCTION("""COMPUTED_VALUE"""),115.0)</f>
        <v>115</v>
      </c>
      <c r="N2331" s="3"/>
      <c r="O2331" s="3"/>
      <c r="P2331" s="3"/>
      <c r="Q2331" s="3"/>
      <c r="R2331" s="3">
        <f>IFERROR(__xludf.DUMMYFUNCTION("""COMPUTED_VALUE"""),0.0)</f>
        <v>0</v>
      </c>
      <c r="S2331" s="3"/>
      <c r="T2331" s="5"/>
      <c r="U2331" s="5"/>
      <c r="V2331" s="5"/>
      <c r="W2331" s="5"/>
    </row>
    <row r="2332" ht="15.75" customHeight="1">
      <c r="A2332" s="3">
        <f>IFERROR(__xludf.DUMMYFUNCTION("""COMPUTED_VALUE"""),2332.0)</f>
        <v>2332</v>
      </c>
      <c r="B2332" s="53">
        <f>IFERROR(__xludf.DUMMYFUNCTION("""COMPUTED_VALUE"""),46144.0)</f>
        <v>46144</v>
      </c>
      <c r="C2332" s="3">
        <f>IFERROR(__xludf.DUMMYFUNCTION("""COMPUTED_VALUE"""),50.0)</f>
        <v>50</v>
      </c>
      <c r="D2332" s="3" t="str">
        <f>IFERROR(__xludf.DUMMYFUNCTION("""COMPUTED_VALUE"""),"fa9988f0")</f>
        <v>fa9988f0</v>
      </c>
      <c r="E2332" s="54">
        <f>IFERROR(__xludf.DUMMYFUNCTION("""COMPUTED_VALUE"""),5100.0)</f>
        <v>5100</v>
      </c>
      <c r="F2332" s="3" t="str">
        <f>IFERROR(__xludf.DUMMYFUNCTION("""COMPUTED_VALUE"""),"Malbec")</f>
        <v>Malbec</v>
      </c>
      <c r="G2332" s="3"/>
      <c r="H2332" s="3"/>
      <c r="I2332" s="3"/>
      <c r="J2332" s="3"/>
      <c r="K2332" s="57">
        <f>IFERROR(__xludf.DUMMYFUNCTION("""COMPUTED_VALUE"""),3.48)</f>
        <v>3.48</v>
      </c>
      <c r="L2332" s="54">
        <f>IFERROR(__xludf.DUMMYFUNCTION("""COMPUTED_VALUE"""),27.0)</f>
        <v>27</v>
      </c>
      <c r="M2332" s="3">
        <f>IFERROR(__xludf.DUMMYFUNCTION("""COMPUTED_VALUE"""),120.0)</f>
        <v>120</v>
      </c>
      <c r="N2332" s="3"/>
      <c r="O2332" s="3"/>
      <c r="P2332" s="3"/>
      <c r="Q2332" s="3"/>
      <c r="R2332" s="3">
        <f>IFERROR(__xludf.DUMMYFUNCTION("""COMPUTED_VALUE"""),0.0)</f>
        <v>0</v>
      </c>
      <c r="S2332" s="3"/>
      <c r="T2332" s="5"/>
      <c r="U2332" s="5"/>
      <c r="V2332" s="5"/>
      <c r="W2332" s="5"/>
    </row>
    <row r="2333" ht="15.75" customHeight="1">
      <c r="A2333" s="3">
        <f>IFERROR(__xludf.DUMMYFUNCTION("""COMPUTED_VALUE"""),2333.0)</f>
        <v>2333</v>
      </c>
      <c r="B2333" s="53">
        <f>IFERROR(__xludf.DUMMYFUNCTION("""COMPUTED_VALUE"""),46144.0)</f>
        <v>46144</v>
      </c>
      <c r="C2333" s="3">
        <f>IFERROR(__xludf.DUMMYFUNCTION("""COMPUTED_VALUE"""),77.0)</f>
        <v>77</v>
      </c>
      <c r="D2333" s="3" t="str">
        <f>IFERROR(__xludf.DUMMYFUNCTION("""COMPUTED_VALUE"""),"989bf939")</f>
        <v>989bf939</v>
      </c>
      <c r="E2333" s="54">
        <f>IFERROR(__xludf.DUMMYFUNCTION("""COMPUTED_VALUE"""),12500.0)</f>
        <v>12500</v>
      </c>
      <c r="F2333" s="3" t="str">
        <f>IFERROR(__xludf.DUMMYFUNCTION("""COMPUTED_VALUE"""),"Criolla")</f>
        <v>Criolla</v>
      </c>
      <c r="G2333" s="3"/>
      <c r="H2333" s="3"/>
      <c r="I2333" s="3"/>
      <c r="J2333" s="3"/>
      <c r="K2333" s="57">
        <f>IFERROR(__xludf.DUMMYFUNCTION("""COMPUTED_VALUE"""),3.81)</f>
        <v>3.81</v>
      </c>
      <c r="L2333" s="54">
        <f>IFERROR(__xludf.DUMMYFUNCTION("""COMPUTED_VALUE"""),25.0)</f>
        <v>25</v>
      </c>
      <c r="M2333" s="3">
        <f>IFERROR(__xludf.DUMMYFUNCTION("""COMPUTED_VALUE"""),120.0)</f>
        <v>120</v>
      </c>
      <c r="N2333" s="3"/>
      <c r="O2333" s="3"/>
      <c r="P2333" s="3"/>
      <c r="Q2333" s="3"/>
      <c r="R2333" s="3">
        <f>IFERROR(__xludf.DUMMYFUNCTION("""COMPUTED_VALUE"""),0.0)</f>
        <v>0</v>
      </c>
      <c r="S2333" s="3"/>
      <c r="T2333" s="5"/>
      <c r="U2333" s="5"/>
      <c r="V2333" s="5"/>
      <c r="W2333" s="5"/>
    </row>
    <row r="2334" ht="15.75" customHeight="1">
      <c r="A2334" s="3">
        <f>IFERROR(__xludf.DUMMYFUNCTION("""COMPUTED_VALUE"""),2334.0)</f>
        <v>2334</v>
      </c>
      <c r="B2334" s="53">
        <f>IFERROR(__xludf.DUMMYFUNCTION("""COMPUTED_VALUE"""),46144.0)</f>
        <v>46144</v>
      </c>
      <c r="C2334" s="3">
        <f>IFERROR(__xludf.DUMMYFUNCTION("""COMPUTED_VALUE"""),111.0)</f>
        <v>111</v>
      </c>
      <c r="D2334" s="3" t="str">
        <f>IFERROR(__xludf.DUMMYFUNCTION("""COMPUTED_VALUE"""),"3ba92525")</f>
        <v>3ba92525</v>
      </c>
      <c r="E2334" s="54">
        <f>IFERROR(__xludf.DUMMYFUNCTION("""COMPUTED_VALUE"""),4000.0)</f>
        <v>4000</v>
      </c>
      <c r="F2334" s="3" t="str">
        <f>IFERROR(__xludf.DUMMYFUNCTION("""COMPUTED_VALUE"""),"Syrah con Madera")</f>
        <v>Syrah con Madera</v>
      </c>
      <c r="G2334" s="3"/>
      <c r="H2334" s="3"/>
      <c r="I2334" s="3"/>
      <c r="J2334" s="3"/>
      <c r="K2334" s="57">
        <f>IFERROR(__xludf.DUMMYFUNCTION("""COMPUTED_VALUE"""),3.63)</f>
        <v>3.63</v>
      </c>
      <c r="L2334" s="54">
        <f>IFERROR(__xludf.DUMMYFUNCTION("""COMPUTED_VALUE"""),44.0)</f>
        <v>44</v>
      </c>
      <c r="M2334" s="3">
        <f>IFERROR(__xludf.DUMMYFUNCTION("""COMPUTED_VALUE"""),116.0)</f>
        <v>116</v>
      </c>
      <c r="N2334" s="3"/>
      <c r="O2334" s="3"/>
      <c r="P2334" s="3"/>
      <c r="Q2334" s="3"/>
      <c r="R2334" s="3">
        <f>IFERROR(__xludf.DUMMYFUNCTION("""COMPUTED_VALUE"""),0.0)</f>
        <v>0</v>
      </c>
      <c r="S2334" s="3"/>
      <c r="T2334" s="5"/>
      <c r="U2334" s="5"/>
      <c r="V2334" s="5"/>
      <c r="W2334" s="5"/>
    </row>
    <row r="2335" ht="15.75" customHeight="1">
      <c r="A2335" s="3">
        <f>IFERROR(__xludf.DUMMYFUNCTION("""COMPUTED_VALUE"""),2335.0)</f>
        <v>2335</v>
      </c>
      <c r="B2335" s="53">
        <f>IFERROR(__xludf.DUMMYFUNCTION("""COMPUTED_VALUE"""),46144.0)</f>
        <v>46144</v>
      </c>
      <c r="C2335" s="3">
        <f>IFERROR(__xludf.DUMMYFUNCTION("""COMPUTED_VALUE"""),127.0)</f>
        <v>127</v>
      </c>
      <c r="D2335" s="3" t="str">
        <f>IFERROR(__xludf.DUMMYFUNCTION("""COMPUTED_VALUE"""),"8ee1438e")</f>
        <v>8ee1438e</v>
      </c>
      <c r="E2335" s="54">
        <f>IFERROR(__xludf.DUMMYFUNCTION("""COMPUTED_VALUE"""),31000.0)</f>
        <v>31000</v>
      </c>
      <c r="F2335" s="3" t="str">
        <f>IFERROR(__xludf.DUMMYFUNCTION("""COMPUTED_VALUE"""),"Criolla Vol")</f>
        <v>Criolla Vol</v>
      </c>
      <c r="G2335" s="3"/>
      <c r="H2335" s="3"/>
      <c r="I2335" s="3"/>
      <c r="J2335" s="3"/>
      <c r="K2335" s="57">
        <f>IFERROR(__xludf.DUMMYFUNCTION("""COMPUTED_VALUE"""),3.69)</f>
        <v>3.69</v>
      </c>
      <c r="L2335" s="54">
        <f>IFERROR(__xludf.DUMMYFUNCTION("""COMPUTED_VALUE"""),28.0)</f>
        <v>28</v>
      </c>
      <c r="M2335" s="3">
        <f>IFERROR(__xludf.DUMMYFUNCTION("""COMPUTED_VALUE"""),96.0)</f>
        <v>96</v>
      </c>
      <c r="N2335" s="3"/>
      <c r="O2335" s="3"/>
      <c r="P2335" s="3"/>
      <c r="Q2335" s="3"/>
      <c r="R2335" s="3">
        <f>IFERROR(__xludf.DUMMYFUNCTION("""COMPUTED_VALUE"""),0.0)</f>
        <v>0</v>
      </c>
      <c r="S2335" s="3"/>
      <c r="T2335" s="5"/>
      <c r="U2335" s="5"/>
      <c r="V2335" s="5"/>
      <c r="W2335" s="5"/>
    </row>
    <row r="2336" ht="15.75" customHeight="1">
      <c r="A2336" s="3">
        <f>IFERROR(__xludf.DUMMYFUNCTION("""COMPUTED_VALUE"""),2336.0)</f>
        <v>2336</v>
      </c>
      <c r="B2336" s="53">
        <f>IFERROR(__xludf.DUMMYFUNCTION("""COMPUTED_VALUE"""),46144.0)</f>
        <v>46144</v>
      </c>
      <c r="C2336" s="3">
        <f>IFERROR(__xludf.DUMMYFUNCTION("""COMPUTED_VALUE"""),72.0)</f>
        <v>72</v>
      </c>
      <c r="D2336" s="3" t="str">
        <f>IFERROR(__xludf.DUMMYFUNCTION("""COMPUTED_VALUE"""),"d0f8eef2")</f>
        <v>d0f8eef2</v>
      </c>
      <c r="E2336" s="54">
        <f>IFERROR(__xludf.DUMMYFUNCTION("""COMPUTED_VALUE"""),9200.0)</f>
        <v>9200</v>
      </c>
      <c r="F2336" s="3" t="str">
        <f>IFERROR(__xludf.DUMMYFUNCTION("""COMPUTED_VALUE"""),"Chardonnay Oak")</f>
        <v>Chardonnay Oak</v>
      </c>
      <c r="G2336" s="3"/>
      <c r="H2336" s="3"/>
      <c r="I2336" s="3"/>
      <c r="J2336" s="3"/>
      <c r="K2336" s="57">
        <f>IFERROR(__xludf.DUMMYFUNCTION("""COMPUTED_VALUE"""),3.4)</f>
        <v>3.4</v>
      </c>
      <c r="L2336" s="54">
        <f>IFERROR(__xludf.DUMMYFUNCTION("""COMPUTED_VALUE"""),24.0)</f>
        <v>24</v>
      </c>
      <c r="M2336" s="3">
        <f>IFERROR(__xludf.DUMMYFUNCTION("""COMPUTED_VALUE"""),77.0)</f>
        <v>77</v>
      </c>
      <c r="N2336" s="3"/>
      <c r="O2336" s="3"/>
      <c r="P2336" s="3"/>
      <c r="Q2336" s="3"/>
      <c r="R2336" s="3">
        <f>IFERROR(__xludf.DUMMYFUNCTION("""COMPUTED_VALUE"""),0.0)</f>
        <v>0</v>
      </c>
      <c r="S2336" s="3"/>
      <c r="T2336" s="5"/>
      <c r="U2336" s="5"/>
      <c r="V2336" s="5"/>
      <c r="W2336" s="5"/>
    </row>
    <row r="2337" ht="15.75" customHeight="1">
      <c r="A2337" s="3">
        <f>IFERROR(__xludf.DUMMYFUNCTION("""COMPUTED_VALUE"""),2337.0)</f>
        <v>2337</v>
      </c>
      <c r="B2337" s="53">
        <f>IFERROR(__xludf.DUMMYFUNCTION("""COMPUTED_VALUE"""),46144.0)</f>
        <v>46144</v>
      </c>
      <c r="C2337" s="3">
        <f>IFERROR(__xludf.DUMMYFUNCTION("""COMPUTED_VALUE"""),86.0)</f>
        <v>86</v>
      </c>
      <c r="D2337" s="3" t="str">
        <f>IFERROR(__xludf.DUMMYFUNCTION("""COMPUTED_VALUE"""),"20a7407a")</f>
        <v>20a7407a</v>
      </c>
      <c r="E2337" s="54">
        <f>IFERROR(__xludf.DUMMYFUNCTION("""COMPUTED_VALUE"""),42000.0)</f>
        <v>42000</v>
      </c>
      <c r="F2337" s="3" t="str">
        <f>IFERROR(__xludf.DUMMYFUNCTION("""COMPUTED_VALUE"""),"Criolla Recarga")</f>
        <v>Criolla Recarga</v>
      </c>
      <c r="G2337" s="55">
        <f>IFERROR(__xludf.DUMMYFUNCTION("""COMPUTED_VALUE"""),14.1)</f>
        <v>14.1</v>
      </c>
      <c r="H2337" s="56">
        <f>IFERROR(__xludf.DUMMYFUNCTION("""COMPUTED_VALUE"""),8.5)</f>
        <v>8.5</v>
      </c>
      <c r="I2337" s="3"/>
      <c r="J2337" s="3"/>
      <c r="K2337" s="57">
        <f>IFERROR(__xludf.DUMMYFUNCTION("""COMPUTED_VALUE"""),4.0)</f>
        <v>4</v>
      </c>
      <c r="L2337" s="3"/>
      <c r="M2337" s="3"/>
      <c r="N2337" s="3"/>
      <c r="O2337" s="3"/>
      <c r="P2337" s="3"/>
      <c r="Q2337" s="3"/>
      <c r="R2337" s="3">
        <f>IFERROR(__xludf.DUMMYFUNCTION("""COMPUTED_VALUE"""),0.0)</f>
        <v>0</v>
      </c>
      <c r="S2337" s="3"/>
      <c r="T2337" s="5"/>
      <c r="U2337" s="5"/>
      <c r="V2337" s="5"/>
      <c r="W2337" s="5"/>
    </row>
    <row r="2338" ht="15.75" customHeight="1">
      <c r="A2338" s="3">
        <f>IFERROR(__xludf.DUMMYFUNCTION("""COMPUTED_VALUE"""),2338.0)</f>
        <v>2338</v>
      </c>
      <c r="B2338" s="53">
        <f>IFERROR(__xludf.DUMMYFUNCTION("""COMPUTED_VALUE"""),46144.0)</f>
        <v>46144</v>
      </c>
      <c r="C2338" s="3">
        <f>IFERROR(__xludf.DUMMYFUNCTION("""COMPUTED_VALUE"""),30.0)</f>
        <v>30</v>
      </c>
      <c r="D2338" s="3" t="str">
        <f>IFERROR(__xludf.DUMMYFUNCTION("""COMPUTED_VALUE"""),"0432aaa0")</f>
        <v>0432aaa0</v>
      </c>
      <c r="E2338" s="54">
        <f>IFERROR(__xludf.DUMMYFUNCTION("""COMPUTED_VALUE"""),38800.0)</f>
        <v>38800</v>
      </c>
      <c r="F2338" s="3" t="str">
        <f>IFERROR(__xludf.DUMMYFUNCTION("""COMPUTED_VALUE"""),"Chardonnay Ch")</f>
        <v>Chardonnay Ch</v>
      </c>
      <c r="G2338" s="3"/>
      <c r="H2338" s="3"/>
      <c r="I2338" s="3"/>
      <c r="J2338" s="3"/>
      <c r="K2338" s="3"/>
      <c r="L2338" s="54">
        <f>IFERROR(__xludf.DUMMYFUNCTION("""COMPUTED_VALUE"""),35.0)</f>
        <v>35</v>
      </c>
      <c r="M2338" s="3">
        <f>IFERROR(__xludf.DUMMYFUNCTION("""COMPUTED_VALUE"""),115.0)</f>
        <v>115</v>
      </c>
      <c r="N2338" s="3"/>
      <c r="O2338" s="3"/>
      <c r="P2338" s="3"/>
      <c r="Q2338" s="3"/>
      <c r="R2338" s="3">
        <f>IFERROR(__xludf.DUMMYFUNCTION("""COMPUTED_VALUE"""),0.0)</f>
        <v>0</v>
      </c>
      <c r="S2338" s="3"/>
      <c r="T2338" s="5"/>
      <c r="U2338" s="5"/>
      <c r="V2338" s="5"/>
      <c r="W2338" s="5"/>
    </row>
    <row r="2339" ht="15.75" customHeight="1">
      <c r="A2339" s="3">
        <f>IFERROR(__xludf.DUMMYFUNCTION("""COMPUTED_VALUE"""),2339.0)</f>
        <v>2339</v>
      </c>
      <c r="B2339" s="53">
        <f>IFERROR(__xludf.DUMMYFUNCTION("""COMPUTED_VALUE"""),46144.0)</f>
        <v>46144</v>
      </c>
      <c r="C2339" s="3">
        <f>IFERROR(__xludf.DUMMYFUNCTION("""COMPUTED_VALUE"""),31.0)</f>
        <v>31</v>
      </c>
      <c r="D2339" s="3" t="str">
        <f>IFERROR(__xludf.DUMMYFUNCTION("""COMPUTED_VALUE"""),"fed1f4a1")</f>
        <v>fed1f4a1</v>
      </c>
      <c r="E2339" s="54">
        <f>IFERROR(__xludf.DUMMYFUNCTION("""COMPUTED_VALUE"""),25000.0)</f>
        <v>25000</v>
      </c>
      <c r="F2339" s="3" t="str">
        <f>IFERROR(__xludf.DUMMYFUNCTION("""COMPUTED_VALUE"""),"Torrontes")</f>
        <v>Torrontes</v>
      </c>
      <c r="G2339" s="3"/>
      <c r="H2339" s="3"/>
      <c r="I2339" s="3"/>
      <c r="J2339" s="3"/>
      <c r="K2339" s="3"/>
      <c r="L2339" s="54">
        <f>IFERROR(__xludf.DUMMYFUNCTION("""COMPUTED_VALUE"""),22.0)</f>
        <v>22</v>
      </c>
      <c r="M2339" s="3">
        <f>IFERROR(__xludf.DUMMYFUNCTION("""COMPUTED_VALUE"""),120.0)</f>
        <v>120</v>
      </c>
      <c r="N2339" s="3"/>
      <c r="O2339" s="3"/>
      <c r="P2339" s="3"/>
      <c r="Q2339" s="3"/>
      <c r="R2339" s="3">
        <f>IFERROR(__xludf.DUMMYFUNCTION("""COMPUTED_VALUE"""),0.0)</f>
        <v>0</v>
      </c>
      <c r="S2339" s="3"/>
      <c r="T2339" s="5"/>
      <c r="U2339" s="5"/>
      <c r="V2339" s="5"/>
      <c r="W2339" s="5"/>
    </row>
    <row r="2340" ht="15.75" customHeight="1">
      <c r="A2340" s="3">
        <f>IFERROR(__xludf.DUMMYFUNCTION("""COMPUTED_VALUE"""),2340.0)</f>
        <v>2340</v>
      </c>
      <c r="B2340" s="53">
        <f>IFERROR(__xludf.DUMMYFUNCTION("""COMPUTED_VALUE"""),46144.0)</f>
        <v>46144</v>
      </c>
      <c r="C2340" s="3">
        <f>IFERROR(__xludf.DUMMYFUNCTION("""COMPUTED_VALUE"""),33.0)</f>
        <v>33</v>
      </c>
      <c r="D2340" s="3" t="str">
        <f>IFERROR(__xludf.DUMMYFUNCTION("""COMPUTED_VALUE"""),"7a77b210")</f>
        <v>7a77b210</v>
      </c>
      <c r="E2340" s="54">
        <f>IFERROR(__xludf.DUMMYFUNCTION("""COMPUTED_VALUE"""),25300.0)</f>
        <v>25300</v>
      </c>
      <c r="F2340" s="3" t="str">
        <f>IFERROR(__xludf.DUMMYFUNCTION("""COMPUTED_VALUE"""),"Chardonnay")</f>
        <v>Chardonnay</v>
      </c>
      <c r="G2340" s="3"/>
      <c r="H2340" s="3"/>
      <c r="I2340" s="3"/>
      <c r="J2340" s="3"/>
      <c r="K2340" s="3"/>
      <c r="L2340" s="54">
        <f>IFERROR(__xludf.DUMMYFUNCTION("""COMPUTED_VALUE"""),31.0)</f>
        <v>31</v>
      </c>
      <c r="M2340" s="3">
        <f>IFERROR(__xludf.DUMMYFUNCTION("""COMPUTED_VALUE"""),93.0)</f>
        <v>93</v>
      </c>
      <c r="N2340" s="3"/>
      <c r="O2340" s="3"/>
      <c r="P2340" s="3"/>
      <c r="Q2340" s="3"/>
      <c r="R2340" s="3">
        <f>IFERROR(__xludf.DUMMYFUNCTION("""COMPUTED_VALUE"""),0.0)</f>
        <v>0</v>
      </c>
      <c r="S2340" s="3"/>
      <c r="T2340" s="5"/>
      <c r="U2340" s="5"/>
      <c r="V2340" s="5"/>
      <c r="W2340" s="5"/>
    </row>
    <row r="2341" ht="15.75" customHeight="1">
      <c r="A2341" s="3">
        <f>IFERROR(__xludf.DUMMYFUNCTION("""COMPUTED_VALUE"""),2341.0)</f>
        <v>2341</v>
      </c>
      <c r="B2341" s="53">
        <f>IFERROR(__xludf.DUMMYFUNCTION("""COMPUTED_VALUE"""),46144.0)</f>
        <v>46144</v>
      </c>
      <c r="C2341" s="3">
        <f>IFERROR(__xludf.DUMMYFUNCTION("""COMPUTED_VALUE"""),40.0)</f>
        <v>40</v>
      </c>
      <c r="D2341" s="3" t="str">
        <f>IFERROR(__xludf.DUMMYFUNCTION("""COMPUTED_VALUE"""),"964bb1ba")</f>
        <v>964bb1ba</v>
      </c>
      <c r="E2341" s="54">
        <f>IFERROR(__xludf.DUMMYFUNCTION("""COMPUTED_VALUE"""),24000.0)</f>
        <v>24000</v>
      </c>
      <c r="F2341" s="3" t="str">
        <f>IFERROR(__xludf.DUMMYFUNCTION("""COMPUTED_VALUE"""),"Chardonnay")</f>
        <v>Chardonnay</v>
      </c>
      <c r="G2341" s="3"/>
      <c r="H2341" s="3"/>
      <c r="I2341" s="3"/>
      <c r="J2341" s="3"/>
      <c r="K2341" s="3"/>
      <c r="L2341" s="54">
        <f>IFERROR(__xludf.DUMMYFUNCTION("""COMPUTED_VALUE"""),38.0)</f>
        <v>38</v>
      </c>
      <c r="M2341" s="3">
        <f>IFERROR(__xludf.DUMMYFUNCTION("""COMPUTED_VALUE"""),111.0)</f>
        <v>111</v>
      </c>
      <c r="N2341" s="3"/>
      <c r="O2341" s="3"/>
      <c r="P2341" s="3"/>
      <c r="Q2341" s="3"/>
      <c r="R2341" s="3">
        <f>IFERROR(__xludf.DUMMYFUNCTION("""COMPUTED_VALUE"""),0.0)</f>
        <v>0</v>
      </c>
      <c r="S2341" s="3"/>
      <c r="T2341" s="5"/>
      <c r="U2341" s="5"/>
      <c r="V2341" s="5"/>
      <c r="W2341" s="5"/>
    </row>
    <row r="2342" ht="15.75" customHeight="1">
      <c r="A2342" s="3">
        <f>IFERROR(__xludf.DUMMYFUNCTION("""COMPUTED_VALUE"""),2342.0)</f>
        <v>2342</v>
      </c>
      <c r="B2342" s="53">
        <f>IFERROR(__xludf.DUMMYFUNCTION("""COMPUTED_VALUE"""),46144.0)</f>
        <v>46144</v>
      </c>
      <c r="C2342" s="3">
        <f>IFERROR(__xludf.DUMMYFUNCTION("""COMPUTED_VALUE"""),47.0)</f>
        <v>47</v>
      </c>
      <c r="D2342" s="3" t="str">
        <f>IFERROR(__xludf.DUMMYFUNCTION("""COMPUTED_VALUE"""),"5d1f812a")</f>
        <v>5d1f812a</v>
      </c>
      <c r="E2342" s="54">
        <f>IFERROR(__xludf.DUMMYFUNCTION("""COMPUTED_VALUE"""),20000.0)</f>
        <v>20000</v>
      </c>
      <c r="F2342" s="3" t="str">
        <f>IFERROR(__xludf.DUMMYFUNCTION("""COMPUTED_VALUE"""),"Chardonnay")</f>
        <v>Chardonnay</v>
      </c>
      <c r="G2342" s="3"/>
      <c r="H2342" s="3"/>
      <c r="I2342" s="3"/>
      <c r="J2342" s="3"/>
      <c r="K2342" s="3"/>
      <c r="L2342" s="54">
        <f>IFERROR(__xludf.DUMMYFUNCTION("""COMPUTED_VALUE"""),32.0)</f>
        <v>32</v>
      </c>
      <c r="M2342" s="3">
        <f>IFERROR(__xludf.DUMMYFUNCTION("""COMPUTED_VALUE"""),115.0)</f>
        <v>115</v>
      </c>
      <c r="N2342" s="3"/>
      <c r="O2342" s="3"/>
      <c r="P2342" s="3"/>
      <c r="Q2342" s="3"/>
      <c r="R2342" s="3">
        <f>IFERROR(__xludf.DUMMYFUNCTION("""COMPUTED_VALUE"""),0.0)</f>
        <v>0</v>
      </c>
      <c r="S2342" s="3"/>
      <c r="T2342" s="5"/>
      <c r="U2342" s="5"/>
      <c r="V2342" s="5"/>
      <c r="W2342" s="5"/>
    </row>
    <row r="2343" ht="15.75" customHeight="1">
      <c r="A2343" s="3">
        <f>IFERROR(__xludf.DUMMYFUNCTION("""COMPUTED_VALUE"""),2343.0)</f>
        <v>2343</v>
      </c>
      <c r="B2343" s="53">
        <f>IFERROR(__xludf.DUMMYFUNCTION("""COMPUTED_VALUE"""),46144.0)</f>
        <v>46144</v>
      </c>
      <c r="C2343" s="3">
        <f>IFERROR(__xludf.DUMMYFUNCTION("""COMPUTED_VALUE"""),48.0)</f>
        <v>48</v>
      </c>
      <c r="D2343" s="3" t="str">
        <f>IFERROR(__xludf.DUMMYFUNCTION("""COMPUTED_VALUE"""),"7cb704de")</f>
        <v>7cb704de</v>
      </c>
      <c r="E2343" s="54">
        <f>IFERROR(__xludf.DUMMYFUNCTION("""COMPUTED_VALUE"""),26000.0)</f>
        <v>26000</v>
      </c>
      <c r="F2343" s="3" t="str">
        <f>IFERROR(__xludf.DUMMYFUNCTION("""COMPUTED_VALUE"""),"Torrontes Viog")</f>
        <v>Torrontes Viog</v>
      </c>
      <c r="G2343" s="3"/>
      <c r="H2343" s="3"/>
      <c r="I2343" s="3"/>
      <c r="J2343" s="3"/>
      <c r="K2343" s="3"/>
      <c r="L2343" s="54">
        <f>IFERROR(__xludf.DUMMYFUNCTION("""COMPUTED_VALUE"""),26.0)</f>
        <v>26</v>
      </c>
      <c r="M2343" s="3">
        <f>IFERROR(__xludf.DUMMYFUNCTION("""COMPUTED_VALUE"""),100.0)</f>
        <v>100</v>
      </c>
      <c r="N2343" s="3"/>
      <c r="O2343" s="3"/>
      <c r="P2343" s="3"/>
      <c r="Q2343" s="3"/>
      <c r="R2343" s="3">
        <f>IFERROR(__xludf.DUMMYFUNCTION("""COMPUTED_VALUE"""),0.0)</f>
        <v>0</v>
      </c>
      <c r="S2343" s="3"/>
      <c r="T2343" s="5"/>
      <c r="U2343" s="5"/>
      <c r="V2343" s="5"/>
      <c r="W2343" s="5"/>
    </row>
    <row r="2344" ht="15.75" customHeight="1">
      <c r="A2344" s="3">
        <f>IFERROR(__xludf.DUMMYFUNCTION("""COMPUTED_VALUE"""),2344.0)</f>
        <v>2344</v>
      </c>
      <c r="B2344" s="53">
        <f>IFERROR(__xludf.DUMMYFUNCTION("""COMPUTED_VALUE"""),46144.0)</f>
        <v>46144</v>
      </c>
      <c r="C2344" s="3">
        <f>IFERROR(__xludf.DUMMYFUNCTION("""COMPUTED_VALUE"""),49.0)</f>
        <v>49</v>
      </c>
      <c r="D2344" s="3" t="str">
        <f>IFERROR(__xludf.DUMMYFUNCTION("""COMPUTED_VALUE"""),"f2237628")</f>
        <v>f2237628</v>
      </c>
      <c r="E2344" s="54">
        <f>IFERROR(__xludf.DUMMYFUNCTION("""COMPUTED_VALUE"""),26000.0)</f>
        <v>26000</v>
      </c>
      <c r="F2344" s="3" t="str">
        <f>IFERROR(__xludf.DUMMYFUNCTION("""COMPUTED_VALUE"""),"Chardonnay")</f>
        <v>Chardonnay</v>
      </c>
      <c r="G2344" s="3"/>
      <c r="H2344" s="3"/>
      <c r="I2344" s="3"/>
      <c r="J2344" s="3"/>
      <c r="K2344" s="3"/>
      <c r="L2344" s="54">
        <f>IFERROR(__xludf.DUMMYFUNCTION("""COMPUTED_VALUE"""),32.0)</f>
        <v>32</v>
      </c>
      <c r="M2344" s="3">
        <f>IFERROR(__xludf.DUMMYFUNCTION("""COMPUTED_VALUE"""),113.0)</f>
        <v>113</v>
      </c>
      <c r="N2344" s="3"/>
      <c r="O2344" s="3"/>
      <c r="P2344" s="3"/>
      <c r="Q2344" s="3"/>
      <c r="R2344" s="3">
        <f>IFERROR(__xludf.DUMMYFUNCTION("""COMPUTED_VALUE"""),0.0)</f>
        <v>0</v>
      </c>
      <c r="S2344" s="3"/>
      <c r="T2344" s="5"/>
      <c r="U2344" s="5"/>
      <c r="V2344" s="5"/>
      <c r="W2344" s="5"/>
    </row>
    <row r="2345" ht="15.75" customHeight="1">
      <c r="A2345" s="3">
        <f>IFERROR(__xludf.DUMMYFUNCTION("""COMPUTED_VALUE"""),2345.0)</f>
        <v>2345</v>
      </c>
      <c r="B2345" s="53">
        <f>IFERROR(__xludf.DUMMYFUNCTION("""COMPUTED_VALUE"""),46144.0)</f>
        <v>46144</v>
      </c>
      <c r="C2345" s="3">
        <f>IFERROR(__xludf.DUMMYFUNCTION("""COMPUTED_VALUE"""),52.0)</f>
        <v>52</v>
      </c>
      <c r="D2345" s="3" t="str">
        <f>IFERROR(__xludf.DUMMYFUNCTION("""COMPUTED_VALUE"""),"057306c8")</f>
        <v>057306c8</v>
      </c>
      <c r="E2345" s="54">
        <f>IFERROR(__xludf.DUMMYFUNCTION("""COMPUTED_VALUE"""),27000.0)</f>
        <v>27000</v>
      </c>
      <c r="F2345" s="3" t="str">
        <f>IFERROR(__xludf.DUMMYFUNCTION("""COMPUTED_VALUE"""),"Chardonnay")</f>
        <v>Chardonnay</v>
      </c>
      <c r="G2345" s="3"/>
      <c r="H2345" s="3"/>
      <c r="I2345" s="3"/>
      <c r="J2345" s="3"/>
      <c r="K2345" s="3"/>
      <c r="L2345" s="54">
        <f>IFERROR(__xludf.DUMMYFUNCTION("""COMPUTED_VALUE"""),36.0)</f>
        <v>36</v>
      </c>
      <c r="M2345" s="3">
        <f>IFERROR(__xludf.DUMMYFUNCTION("""COMPUTED_VALUE"""),96.0)</f>
        <v>96</v>
      </c>
      <c r="N2345" s="3"/>
      <c r="O2345" s="3"/>
      <c r="P2345" s="3"/>
      <c r="Q2345" s="3"/>
      <c r="R2345" s="3">
        <f>IFERROR(__xludf.DUMMYFUNCTION("""COMPUTED_VALUE"""),0.0)</f>
        <v>0</v>
      </c>
      <c r="S2345" s="3"/>
      <c r="T2345" s="5"/>
      <c r="U2345" s="5"/>
      <c r="V2345" s="5"/>
      <c r="W2345" s="5"/>
    </row>
    <row r="2346" ht="15.75" customHeight="1">
      <c r="A2346" s="3">
        <f>IFERROR(__xludf.DUMMYFUNCTION("""COMPUTED_VALUE"""),2346.0)</f>
        <v>2346</v>
      </c>
      <c r="B2346" s="53">
        <f>IFERROR(__xludf.DUMMYFUNCTION("""COMPUTED_VALUE"""),46144.0)</f>
        <v>46144</v>
      </c>
      <c r="C2346" s="3">
        <f>IFERROR(__xludf.DUMMYFUNCTION("""COMPUTED_VALUE"""),25.0)</f>
        <v>25</v>
      </c>
      <c r="D2346" s="3" t="str">
        <f>IFERROR(__xludf.DUMMYFUNCTION("""COMPUTED_VALUE"""),"072a8a51")</f>
        <v>072a8a51</v>
      </c>
      <c r="E2346" s="54">
        <f>IFERROR(__xludf.DUMMYFUNCTION("""COMPUTED_VALUE"""),194300.0)</f>
        <v>194300</v>
      </c>
      <c r="F2346" s="3" t="str">
        <f>IFERROR(__xludf.DUMMYFUNCTION("""COMPUTED_VALUE"""),"Malbec")</f>
        <v>Malbec</v>
      </c>
      <c r="G2346" s="3"/>
      <c r="H2346" s="3"/>
      <c r="I2346" s="3"/>
      <c r="J2346" s="3"/>
      <c r="K2346" s="3"/>
      <c r="L2346" s="54">
        <f>IFERROR(__xludf.DUMMYFUNCTION("""COMPUTED_VALUE"""),39.0)</f>
        <v>39</v>
      </c>
      <c r="M2346" s="3">
        <f>IFERROR(__xludf.DUMMYFUNCTION("""COMPUTED_VALUE"""),77.0)</f>
        <v>77</v>
      </c>
      <c r="N2346" s="3"/>
      <c r="O2346" s="3"/>
      <c r="P2346" s="3"/>
      <c r="Q2346" s="3"/>
      <c r="R2346" s="3">
        <f>IFERROR(__xludf.DUMMYFUNCTION("""COMPUTED_VALUE"""),0.0)</f>
        <v>0</v>
      </c>
      <c r="S2346" s="3"/>
      <c r="T2346" s="5"/>
      <c r="U2346" s="5"/>
      <c r="V2346" s="5"/>
      <c r="W2346" s="5"/>
    </row>
    <row r="2347" ht="15.75" customHeight="1">
      <c r="A2347" s="3">
        <f>IFERROR(__xludf.DUMMYFUNCTION("""COMPUTED_VALUE"""),2347.0)</f>
        <v>2347</v>
      </c>
      <c r="B2347" s="53">
        <f>IFERROR(__xludf.DUMMYFUNCTION("""COMPUTED_VALUE"""),46144.0)</f>
        <v>46144</v>
      </c>
      <c r="C2347" s="3">
        <f>IFERROR(__xludf.DUMMYFUNCTION("""COMPUTED_VALUE"""),28.0)</f>
        <v>28</v>
      </c>
      <c r="D2347" s="3" t="str">
        <f>IFERROR(__xludf.DUMMYFUNCTION("""COMPUTED_VALUE"""),"77fc6ec8")</f>
        <v>77fc6ec8</v>
      </c>
      <c r="E2347" s="54">
        <f>IFERROR(__xludf.DUMMYFUNCTION("""COMPUTED_VALUE"""),197000.0)</f>
        <v>197000</v>
      </c>
      <c r="F2347" s="3" t="str">
        <f>IFERROR(__xludf.DUMMYFUNCTION("""COMPUTED_VALUE"""),"Bonarda C2")</f>
        <v>Bonarda C2</v>
      </c>
      <c r="G2347" s="3"/>
      <c r="H2347" s="3"/>
      <c r="I2347" s="3"/>
      <c r="J2347" s="3"/>
      <c r="K2347" s="3"/>
      <c r="L2347" s="54">
        <f>IFERROR(__xludf.DUMMYFUNCTION("""COMPUTED_VALUE"""),40.0)</f>
        <v>40</v>
      </c>
      <c r="M2347" s="3">
        <f>IFERROR(__xludf.DUMMYFUNCTION("""COMPUTED_VALUE"""),75.0)</f>
        <v>75</v>
      </c>
      <c r="N2347" s="3"/>
      <c r="O2347" s="3"/>
      <c r="P2347" s="3"/>
      <c r="Q2347" s="3"/>
      <c r="R2347" s="3">
        <f>IFERROR(__xludf.DUMMYFUNCTION("""COMPUTED_VALUE"""),0.0)</f>
        <v>0</v>
      </c>
      <c r="S2347" s="3"/>
      <c r="T2347" s="5"/>
      <c r="U2347" s="5"/>
      <c r="V2347" s="5"/>
      <c r="W2347" s="5"/>
    </row>
    <row r="2348" ht="15.75" customHeight="1">
      <c r="A2348" s="3">
        <f>IFERROR(__xludf.DUMMYFUNCTION("""COMPUTED_VALUE"""),2348.0)</f>
        <v>2348</v>
      </c>
      <c r="B2348" s="53">
        <f>IFERROR(__xludf.DUMMYFUNCTION("""COMPUTED_VALUE"""),46144.0)</f>
        <v>46144</v>
      </c>
      <c r="C2348" s="3">
        <f>IFERROR(__xludf.DUMMYFUNCTION("""COMPUTED_VALUE"""),32.0)</f>
        <v>32</v>
      </c>
      <c r="D2348" s="3" t="str">
        <f>IFERROR(__xludf.DUMMYFUNCTION("""COMPUTED_VALUE"""),"8a001ceb")</f>
        <v>8a001ceb</v>
      </c>
      <c r="E2348" s="54">
        <f>IFERROR(__xludf.DUMMYFUNCTION("""COMPUTED_VALUE"""),36300.0)</f>
        <v>36300</v>
      </c>
      <c r="F2348" s="3" t="str">
        <f>IFERROR(__xludf.DUMMYFUNCTION("""COMPUTED_VALUE"""),"Malbec")</f>
        <v>Malbec</v>
      </c>
      <c r="G2348" s="3"/>
      <c r="H2348" s="3"/>
      <c r="I2348" s="3"/>
      <c r="J2348" s="3"/>
      <c r="K2348" s="3"/>
      <c r="L2348" s="54">
        <f>IFERROR(__xludf.DUMMYFUNCTION("""COMPUTED_VALUE"""),32.0)</f>
        <v>32</v>
      </c>
      <c r="M2348" s="3">
        <f>IFERROR(__xludf.DUMMYFUNCTION("""COMPUTED_VALUE"""),83.0)</f>
        <v>83</v>
      </c>
      <c r="N2348" s="3"/>
      <c r="O2348" s="3"/>
      <c r="P2348" s="3"/>
      <c r="Q2348" s="3"/>
      <c r="R2348" s="3">
        <f>IFERROR(__xludf.DUMMYFUNCTION("""COMPUTED_VALUE"""),0.0)</f>
        <v>0</v>
      </c>
      <c r="S2348" s="3"/>
      <c r="T2348" s="5"/>
      <c r="U2348" s="5"/>
      <c r="V2348" s="5"/>
      <c r="W2348" s="5"/>
    </row>
    <row r="2349" ht="15.75" customHeight="1">
      <c r="A2349" s="3">
        <f>IFERROR(__xludf.DUMMYFUNCTION("""COMPUTED_VALUE"""),2349.0)</f>
        <v>2349</v>
      </c>
      <c r="B2349" s="53">
        <f>IFERROR(__xludf.DUMMYFUNCTION("""COMPUTED_VALUE"""),46146.0)</f>
        <v>46146</v>
      </c>
      <c r="C2349" s="3">
        <f>IFERROR(__xludf.DUMMYFUNCTION("""COMPUTED_VALUE"""),89.0)</f>
        <v>89</v>
      </c>
      <c r="D2349" s="3"/>
      <c r="E2349" s="3"/>
      <c r="F2349" s="3"/>
      <c r="G2349" s="3"/>
      <c r="H2349" s="56">
        <f>IFERROR(__xludf.DUMMYFUNCTION("""COMPUTED_VALUE"""),2.0)</f>
        <v>2</v>
      </c>
      <c r="I2349" s="3"/>
      <c r="J2349" s="3"/>
      <c r="K2349" s="3"/>
      <c r="L2349" s="3"/>
      <c r="M2349" s="3"/>
      <c r="N2349" s="3"/>
      <c r="O2349" s="3"/>
      <c r="P2349" s="3"/>
      <c r="Q2349" s="3"/>
      <c r="R2349" s="3">
        <f>IFERROR(__xludf.DUMMYFUNCTION("""COMPUTED_VALUE"""),0.0)</f>
        <v>0</v>
      </c>
      <c r="S2349" s="3"/>
      <c r="T2349" s="5"/>
      <c r="U2349" s="5"/>
      <c r="V2349" s="5"/>
      <c r="W2349" s="5"/>
    </row>
    <row r="2350" ht="15.75" customHeight="1">
      <c r="A2350" s="3">
        <f>IFERROR(__xludf.DUMMYFUNCTION("""COMPUTED_VALUE"""),2350.0)</f>
        <v>2350</v>
      </c>
      <c r="B2350" s="53">
        <f>IFERROR(__xludf.DUMMYFUNCTION("""COMPUTED_VALUE"""),46147.0)</f>
        <v>46147</v>
      </c>
      <c r="C2350" s="3">
        <f>IFERROR(__xludf.DUMMYFUNCTION("""COMPUTED_VALUE"""),80.0)</f>
        <v>80</v>
      </c>
      <c r="D2350" s="3" t="str">
        <f>IFERROR(__xludf.DUMMYFUNCTION("""COMPUTED_VALUE"""),"a816c3ff")</f>
        <v>a816c3ff</v>
      </c>
      <c r="E2350" s="54">
        <f>IFERROR(__xludf.DUMMYFUNCTION("""COMPUTED_VALUE"""),24000.0)</f>
        <v>24000</v>
      </c>
      <c r="F2350" s="3" t="str">
        <f>IFERROR(__xludf.DUMMYFUNCTION("""COMPUTED_VALUE"""),"Criolla")</f>
        <v>Criolla</v>
      </c>
      <c r="G2350" s="3"/>
      <c r="H2350" s="3"/>
      <c r="I2350" s="3"/>
      <c r="J2350" s="3"/>
      <c r="K2350" s="3"/>
      <c r="L2350" s="3"/>
      <c r="M2350" s="3"/>
      <c r="N2350" s="3"/>
      <c r="O2350" s="3"/>
      <c r="P2350" s="3"/>
      <c r="Q2350" s="3"/>
      <c r="R2350" s="3">
        <f>IFERROR(__xludf.DUMMYFUNCTION("""COMPUTED_VALUE"""),0.0)</f>
        <v>0</v>
      </c>
      <c r="S2350" s="3"/>
      <c r="T2350" s="5"/>
      <c r="U2350" s="5"/>
      <c r="V2350" s="5"/>
      <c r="W2350" s="5"/>
    </row>
    <row r="2351" ht="15.75" customHeight="1">
      <c r="A2351" s="3">
        <f>IFERROR(__xludf.DUMMYFUNCTION("""COMPUTED_VALUE"""),2351.0)</f>
        <v>2351</v>
      </c>
      <c r="B2351" s="53">
        <f>IFERROR(__xludf.DUMMYFUNCTION("""COMPUTED_VALUE"""),46147.0)</f>
        <v>46147</v>
      </c>
      <c r="C2351" s="3">
        <f>IFERROR(__xludf.DUMMYFUNCTION("""COMPUTED_VALUE"""),65.0)</f>
        <v>65</v>
      </c>
      <c r="D2351" s="3" t="str">
        <f>IFERROR(__xludf.DUMMYFUNCTION("""COMPUTED_VALUE"""),"d932789c")</f>
        <v>d932789c</v>
      </c>
      <c r="E2351" s="54">
        <f>IFERROR(__xludf.DUMMYFUNCTION("""COMPUTED_VALUE"""),34400.0)</f>
        <v>34400</v>
      </c>
      <c r="F2351" s="3" t="str">
        <f>IFERROR(__xludf.DUMMYFUNCTION("""COMPUTED_VALUE"""),"Criolla PC")</f>
        <v>Criolla PC</v>
      </c>
      <c r="G2351" s="3"/>
      <c r="H2351" s="3"/>
      <c r="I2351" s="3"/>
      <c r="J2351" s="3"/>
      <c r="K2351" s="3"/>
      <c r="L2351" s="54">
        <f>IFERROR(__xludf.DUMMYFUNCTION("""COMPUTED_VALUE"""),25.0)</f>
        <v>25</v>
      </c>
      <c r="M2351" s="3">
        <f>IFERROR(__xludf.DUMMYFUNCTION("""COMPUTED_VALUE"""),115.0)</f>
        <v>115</v>
      </c>
      <c r="N2351" s="3"/>
      <c r="O2351" s="3"/>
      <c r="P2351" s="3"/>
      <c r="Q2351" s="3"/>
      <c r="R2351" s="3">
        <f>IFERROR(__xludf.DUMMYFUNCTION("""COMPUTED_VALUE"""),0.0)</f>
        <v>0</v>
      </c>
      <c r="S2351" s="3"/>
      <c r="T2351" s="5"/>
      <c r="U2351" s="5"/>
      <c r="V2351" s="5"/>
      <c r="W2351" s="5"/>
    </row>
    <row r="2352" ht="15.75" customHeight="1">
      <c r="A2352" s="3">
        <f>IFERROR(__xludf.DUMMYFUNCTION("""COMPUTED_VALUE"""),2352.0)</f>
        <v>2352</v>
      </c>
      <c r="B2352" s="53">
        <f>IFERROR(__xludf.DUMMYFUNCTION("""COMPUTED_VALUE"""),46147.0)</f>
        <v>46147</v>
      </c>
      <c r="C2352" s="3">
        <f>IFERROR(__xludf.DUMMYFUNCTION("""COMPUTED_VALUE"""),114.0)</f>
        <v>114</v>
      </c>
      <c r="D2352" s="3" t="str">
        <f>IFERROR(__xludf.DUMMYFUNCTION("""COMPUTED_VALUE"""),"9e280bc6")</f>
        <v>9e280bc6</v>
      </c>
      <c r="E2352" s="54">
        <f>IFERROR(__xludf.DUMMYFUNCTION("""COMPUTED_VALUE"""),125300.0)</f>
        <v>125300</v>
      </c>
      <c r="F2352" s="3" t="str">
        <f>IFERROR(__xludf.DUMMYFUNCTION("""COMPUTED_VALUE"""),"Syrah")</f>
        <v>Syrah</v>
      </c>
      <c r="G2352" s="3"/>
      <c r="H2352" s="3"/>
      <c r="I2352" s="3"/>
      <c r="J2352" s="3"/>
      <c r="K2352" s="3"/>
      <c r="L2352" s="54">
        <f>IFERROR(__xludf.DUMMYFUNCTION("""COMPUTED_VALUE"""),50.0)</f>
        <v>50</v>
      </c>
      <c r="M2352" s="3">
        <f>IFERROR(__xludf.DUMMYFUNCTION("""COMPUTED_VALUE"""),166.0)</f>
        <v>166</v>
      </c>
      <c r="N2352" s="3"/>
      <c r="O2352" s="3"/>
      <c r="P2352" s="3"/>
      <c r="Q2352" s="3"/>
      <c r="R2352" s="3">
        <f>IFERROR(__xludf.DUMMYFUNCTION("""COMPUTED_VALUE"""),0.0)</f>
        <v>0</v>
      </c>
      <c r="S2352" s="3"/>
      <c r="T2352" s="5"/>
      <c r="U2352" s="5"/>
      <c r="V2352" s="5"/>
      <c r="W2352" s="5"/>
    </row>
    <row r="2353" ht="15.75" customHeight="1">
      <c r="A2353" s="3">
        <f>IFERROR(__xludf.DUMMYFUNCTION("""COMPUTED_VALUE"""),2353.0)</f>
        <v>2353</v>
      </c>
      <c r="B2353" s="53">
        <f>IFERROR(__xludf.DUMMYFUNCTION("""COMPUTED_VALUE"""),46147.0)</f>
        <v>46147</v>
      </c>
      <c r="C2353" s="3">
        <f>IFERROR(__xludf.DUMMYFUNCTION("""COMPUTED_VALUE"""),26.0)</f>
        <v>26</v>
      </c>
      <c r="D2353" s="3" t="str">
        <f>IFERROR(__xludf.DUMMYFUNCTION("""COMPUTED_VALUE"""),"deec46bc")</f>
        <v>deec46bc</v>
      </c>
      <c r="E2353" s="54">
        <f>IFERROR(__xludf.DUMMYFUNCTION("""COMPUTED_VALUE"""),207600.0)</f>
        <v>207600</v>
      </c>
      <c r="F2353" s="3" t="str">
        <f>IFERROR(__xludf.DUMMYFUNCTION("""COMPUTED_VALUE"""),"Tinto Varietal B")</f>
        <v>Tinto Varietal B</v>
      </c>
      <c r="G2353" s="3"/>
      <c r="H2353" s="3"/>
      <c r="I2353" s="3"/>
      <c r="J2353" s="3"/>
      <c r="K2353" s="3"/>
      <c r="L2353" s="54">
        <f>IFERROR(__xludf.DUMMYFUNCTION("""COMPUTED_VALUE"""),32.0)</f>
        <v>32</v>
      </c>
      <c r="M2353" s="3">
        <f>IFERROR(__xludf.DUMMYFUNCTION("""COMPUTED_VALUE"""),180.0)</f>
        <v>180</v>
      </c>
      <c r="N2353" s="3"/>
      <c r="O2353" s="3"/>
      <c r="P2353" s="3"/>
      <c r="Q2353" s="3"/>
      <c r="R2353" s="3">
        <f>IFERROR(__xludf.DUMMYFUNCTION("""COMPUTED_VALUE"""),0.0)</f>
        <v>0</v>
      </c>
      <c r="S2353" s="3"/>
      <c r="T2353" s="5"/>
      <c r="U2353" s="5"/>
      <c r="V2353" s="5"/>
      <c r="W2353" s="5"/>
    </row>
    <row r="2354" ht="15.75" customHeight="1">
      <c r="A2354" s="3">
        <f>IFERROR(__xludf.DUMMYFUNCTION("""COMPUTED_VALUE"""),2354.0)</f>
        <v>2354</v>
      </c>
      <c r="B2354" s="53">
        <f>IFERROR(__xludf.DUMMYFUNCTION("""COMPUTED_VALUE"""),46147.0)</f>
        <v>46147</v>
      </c>
      <c r="C2354" s="3">
        <f>IFERROR(__xludf.DUMMYFUNCTION("""COMPUTED_VALUE"""),84.0)</f>
        <v>84</v>
      </c>
      <c r="D2354" s="3" t="str">
        <f>IFERROR(__xludf.DUMMYFUNCTION("""COMPUTED_VALUE"""),"9bdb98e8")</f>
        <v>9bdb98e8</v>
      </c>
      <c r="E2354" s="54">
        <f>IFERROR(__xludf.DUMMYFUNCTION("""COMPUTED_VALUE"""),37800.0)</f>
        <v>37800</v>
      </c>
      <c r="F2354" s="3" t="str">
        <f>IFERROR(__xludf.DUMMYFUNCTION("""COMPUTED_VALUE"""),"Bonarda")</f>
        <v>Bonarda</v>
      </c>
      <c r="G2354" s="55">
        <f>IFERROR(__xludf.DUMMYFUNCTION("""COMPUTED_VALUE"""),13.5)</f>
        <v>13.5</v>
      </c>
      <c r="H2354" s="56">
        <f>IFERROR(__xludf.DUMMYFUNCTION("""COMPUTED_VALUE"""),2.5)</f>
        <v>2.5</v>
      </c>
      <c r="I2354" s="3"/>
      <c r="J2354" s="3"/>
      <c r="K2354" s="3"/>
      <c r="L2354" s="3"/>
      <c r="M2354" s="3"/>
      <c r="N2354" s="3"/>
      <c r="O2354" s="3"/>
      <c r="P2354" s="3"/>
      <c r="Q2354" s="3"/>
      <c r="R2354" s="3">
        <f>IFERROR(__xludf.DUMMYFUNCTION("""COMPUTED_VALUE"""),0.0)</f>
        <v>0</v>
      </c>
      <c r="S2354" s="3"/>
      <c r="T2354" s="5"/>
      <c r="U2354" s="5"/>
      <c r="V2354" s="5"/>
      <c r="W2354" s="5"/>
    </row>
    <row r="2355" ht="15.75" customHeight="1">
      <c r="A2355" s="3">
        <f>IFERROR(__xludf.DUMMYFUNCTION("""COMPUTED_VALUE"""),2355.0)</f>
        <v>2355</v>
      </c>
      <c r="B2355" s="53">
        <f>IFERROR(__xludf.DUMMYFUNCTION("""COMPUTED_VALUE"""),46147.0)</f>
        <v>46147</v>
      </c>
      <c r="C2355" s="3">
        <f>IFERROR(__xludf.DUMMYFUNCTION("""COMPUTED_VALUE"""),127.0)</f>
        <v>127</v>
      </c>
      <c r="D2355" s="3" t="str">
        <f>IFERROR(__xludf.DUMMYFUNCTION("""COMPUTED_VALUE"""),"8ee1438e")</f>
        <v>8ee1438e</v>
      </c>
      <c r="E2355" s="54">
        <f>IFERROR(__xludf.DUMMYFUNCTION("""COMPUTED_VALUE"""),31000.0)</f>
        <v>31000</v>
      </c>
      <c r="F2355" s="3" t="str">
        <f>IFERROR(__xludf.DUMMYFUNCTION("""COMPUTED_VALUE"""),"Criolla Vol")</f>
        <v>Criolla Vol</v>
      </c>
      <c r="G2355" s="3"/>
      <c r="H2355" s="3"/>
      <c r="I2355" s="57">
        <f>IFERROR(__xludf.DUMMYFUNCTION("""COMPUTED_VALUE"""),0.8)</f>
        <v>0.8</v>
      </c>
      <c r="J2355" s="3"/>
      <c r="K2355" s="3"/>
      <c r="L2355" s="54">
        <f>IFERROR(__xludf.DUMMYFUNCTION("""COMPUTED_VALUE"""),25.0)</f>
        <v>25</v>
      </c>
      <c r="M2355" s="3">
        <f>IFERROR(__xludf.DUMMYFUNCTION("""COMPUTED_VALUE"""),130.0)</f>
        <v>130</v>
      </c>
      <c r="N2355" s="3"/>
      <c r="O2355" s="3"/>
      <c r="P2355" s="3"/>
      <c r="Q2355" s="3"/>
      <c r="R2355" s="3">
        <f>IFERROR(__xludf.DUMMYFUNCTION("""COMPUTED_VALUE"""),0.0)</f>
        <v>0</v>
      </c>
      <c r="S2355" s="3"/>
      <c r="T2355" s="5"/>
      <c r="U2355" s="5"/>
      <c r="V2355" s="5"/>
      <c r="W2355" s="5"/>
    </row>
    <row r="2356" ht="15.75" customHeight="1">
      <c r="A2356" s="3">
        <f>IFERROR(__xludf.DUMMYFUNCTION("""COMPUTED_VALUE"""),2356.0)</f>
        <v>2356</v>
      </c>
      <c r="B2356" s="53">
        <f>IFERROR(__xludf.DUMMYFUNCTION("""COMPUTED_VALUE"""),46142.0)</f>
        <v>46142</v>
      </c>
      <c r="C2356" s="3">
        <f>IFERROR(__xludf.DUMMYFUNCTION("""COMPUTED_VALUE"""),7.0)</f>
        <v>7</v>
      </c>
      <c r="D2356" s="3" t="str">
        <f>IFERROR(__xludf.DUMMYFUNCTION("""COMPUTED_VALUE"""),"32ecefdc")</f>
        <v>32ecefdc</v>
      </c>
      <c r="E2356" s="54">
        <f>IFERROR(__xludf.DUMMYFUNCTION("""COMPUTED_VALUE"""),30000.0)</f>
        <v>30000</v>
      </c>
      <c r="F2356" s="3" t="str">
        <f>IFERROR(__xludf.DUMMYFUNCTION("""COMPUTED_VALUE"""),"Criolla")</f>
        <v>Criolla</v>
      </c>
      <c r="G2356" s="55">
        <f>IFERROR(__xludf.DUMMYFUNCTION("""COMPUTED_VALUE"""),13.6)</f>
        <v>13.6</v>
      </c>
      <c r="H2356" s="56">
        <f>IFERROR(__xludf.DUMMYFUNCTION("""COMPUTED_VALUE"""),3.57)</f>
        <v>3.57</v>
      </c>
      <c r="I2356" s="57">
        <f>IFERROR(__xludf.DUMMYFUNCTION("""COMPUTED_VALUE"""),0.35)</f>
        <v>0.35</v>
      </c>
      <c r="J2356" s="57">
        <f>IFERROR(__xludf.DUMMYFUNCTION("""COMPUTED_VALUE"""),4.35)</f>
        <v>4.35</v>
      </c>
      <c r="K2356" s="3"/>
      <c r="L2356" s="3"/>
      <c r="M2356" s="3"/>
      <c r="N2356" s="3"/>
      <c r="O2356" s="3"/>
      <c r="P2356" s="3"/>
      <c r="Q2356" s="3"/>
      <c r="R2356" s="3">
        <f>IFERROR(__xludf.DUMMYFUNCTION("""COMPUTED_VALUE"""),0.0)</f>
        <v>0</v>
      </c>
      <c r="S2356" s="3"/>
      <c r="T2356" s="5"/>
      <c r="U2356" s="5"/>
      <c r="V2356" s="5"/>
      <c r="W2356" s="5"/>
    </row>
    <row r="2357" ht="15.75" customHeight="1">
      <c r="A2357" s="3">
        <f>IFERROR(__xludf.DUMMYFUNCTION("""COMPUTED_VALUE"""),2357.0)</f>
        <v>2357</v>
      </c>
      <c r="B2357" s="53">
        <f>IFERROR(__xludf.DUMMYFUNCTION("""COMPUTED_VALUE"""),46142.0)</f>
        <v>46142</v>
      </c>
      <c r="C2357" s="3">
        <f>IFERROR(__xludf.DUMMYFUNCTION("""COMPUTED_VALUE"""),9.0)</f>
        <v>9</v>
      </c>
      <c r="D2357" s="3" t="str">
        <f>IFERROR(__xludf.DUMMYFUNCTION("""COMPUTED_VALUE"""),"26d61091")</f>
        <v>26d61091</v>
      </c>
      <c r="E2357" s="54">
        <f>IFERROR(__xludf.DUMMYFUNCTION("""COMPUTED_VALUE"""),30000.0)</f>
        <v>30000</v>
      </c>
      <c r="F2357" s="3" t="str">
        <f>IFERROR(__xludf.DUMMYFUNCTION("""COMPUTED_VALUE"""),"Criolla")</f>
        <v>Criolla</v>
      </c>
      <c r="G2357" s="55">
        <f>IFERROR(__xludf.DUMMYFUNCTION("""COMPUTED_VALUE"""),13.1)</f>
        <v>13.1</v>
      </c>
      <c r="H2357" s="56">
        <f>IFERROR(__xludf.DUMMYFUNCTION("""COMPUTED_VALUE"""),-1.8)</f>
        <v>-1.8</v>
      </c>
      <c r="I2357" s="57">
        <f>IFERROR(__xludf.DUMMYFUNCTION("""COMPUTED_VALUE"""),0.4)</f>
        <v>0.4</v>
      </c>
      <c r="J2357" s="57">
        <f>IFERROR(__xludf.DUMMYFUNCTION("""COMPUTED_VALUE"""),4.35)</f>
        <v>4.35</v>
      </c>
      <c r="K2357" s="3"/>
      <c r="L2357" s="3"/>
      <c r="M2357" s="3"/>
      <c r="N2357" s="3"/>
      <c r="O2357" s="3"/>
      <c r="P2357" s="3"/>
      <c r="Q2357" s="3"/>
      <c r="R2357" s="3">
        <f>IFERROR(__xludf.DUMMYFUNCTION("""COMPUTED_VALUE"""),0.0)</f>
        <v>0</v>
      </c>
      <c r="S2357" s="3"/>
      <c r="T2357" s="5"/>
      <c r="U2357" s="5"/>
      <c r="V2357" s="5"/>
      <c r="W2357" s="5"/>
    </row>
    <row r="2358" ht="15.75" customHeight="1">
      <c r="A2358" s="3">
        <f>IFERROR(__xludf.DUMMYFUNCTION("""COMPUTED_VALUE"""),2358.0)</f>
        <v>2358</v>
      </c>
      <c r="B2358" s="53">
        <f>IFERROR(__xludf.DUMMYFUNCTION("""COMPUTED_VALUE"""),46142.0)</f>
        <v>46142</v>
      </c>
      <c r="C2358" s="3">
        <f>IFERROR(__xludf.DUMMYFUNCTION("""COMPUTED_VALUE"""),12.0)</f>
        <v>12</v>
      </c>
      <c r="D2358" s="3" t="str">
        <f>IFERROR(__xludf.DUMMYFUNCTION("""COMPUTED_VALUE"""),"0b275cb3")</f>
        <v>0b275cb3</v>
      </c>
      <c r="E2358" s="54">
        <f>IFERROR(__xludf.DUMMYFUNCTION("""COMPUTED_VALUE"""),35300.0)</f>
        <v>35300</v>
      </c>
      <c r="F2358" s="3" t="str">
        <f>IFERROR(__xludf.DUMMYFUNCTION("""COMPUTED_VALUE"""),"Bonarda C2")</f>
        <v>Bonarda C2</v>
      </c>
      <c r="G2358" s="55">
        <f>IFERROR(__xludf.DUMMYFUNCTION("""COMPUTED_VALUE"""),13.5)</f>
        <v>13.5</v>
      </c>
      <c r="H2358" s="56">
        <f>IFERROR(__xludf.DUMMYFUNCTION("""COMPUTED_VALUE"""),1.9)</f>
        <v>1.9</v>
      </c>
      <c r="I2358" s="57">
        <f>IFERROR(__xludf.DUMMYFUNCTION("""COMPUTED_VALUE"""),0.38)</f>
        <v>0.38</v>
      </c>
      <c r="J2358" s="57">
        <f>IFERROR(__xludf.DUMMYFUNCTION("""COMPUTED_VALUE"""),4.2)</f>
        <v>4.2</v>
      </c>
      <c r="K2358" s="3"/>
      <c r="L2358" s="3"/>
      <c r="M2358" s="3"/>
      <c r="N2358" s="3"/>
      <c r="O2358" s="3"/>
      <c r="P2358" s="3"/>
      <c r="Q2358" s="3"/>
      <c r="R2358" s="3">
        <f>IFERROR(__xludf.DUMMYFUNCTION("""COMPUTED_VALUE"""),0.0)</f>
        <v>0</v>
      </c>
      <c r="S2358" s="3"/>
      <c r="T2358" s="5"/>
      <c r="U2358" s="5"/>
      <c r="V2358" s="5"/>
      <c r="W2358" s="5"/>
    </row>
    <row r="2359" ht="15.75" customHeight="1">
      <c r="A2359" s="3">
        <f>IFERROR(__xludf.DUMMYFUNCTION("""COMPUTED_VALUE"""),2359.0)</f>
        <v>2359</v>
      </c>
      <c r="B2359" s="53">
        <f>IFERROR(__xludf.DUMMYFUNCTION("""COMPUTED_VALUE"""),46142.0)</f>
        <v>46142</v>
      </c>
      <c r="C2359" s="3">
        <f>IFERROR(__xludf.DUMMYFUNCTION("""COMPUTED_VALUE"""),81.0)</f>
        <v>81</v>
      </c>
      <c r="D2359" s="3" t="str">
        <f>IFERROR(__xludf.DUMMYFUNCTION("""COMPUTED_VALUE"""),"253bec17")</f>
        <v>253bec17</v>
      </c>
      <c r="E2359" s="54">
        <f>IFERROR(__xludf.DUMMYFUNCTION("""COMPUTED_VALUE"""),26500.0)</f>
        <v>26500</v>
      </c>
      <c r="F2359" s="3" t="str">
        <f>IFERROR(__xludf.DUMMYFUNCTION("""COMPUTED_VALUE"""),"Bonarda")</f>
        <v>Bonarda</v>
      </c>
      <c r="G2359" s="55">
        <f>IFERROR(__xludf.DUMMYFUNCTION("""COMPUTED_VALUE"""),13.0)</f>
        <v>13</v>
      </c>
      <c r="H2359" s="56">
        <f>IFERROR(__xludf.DUMMYFUNCTION("""COMPUTED_VALUE"""),2.42)</f>
        <v>2.42</v>
      </c>
      <c r="I2359" s="57">
        <f>IFERROR(__xludf.DUMMYFUNCTION("""COMPUTED_VALUE"""),0.4)</f>
        <v>0.4</v>
      </c>
      <c r="J2359" s="57">
        <f>IFERROR(__xludf.DUMMYFUNCTION("""COMPUTED_VALUE"""),5.02)</f>
        <v>5.02</v>
      </c>
      <c r="K2359" s="3"/>
      <c r="L2359" s="3"/>
      <c r="M2359" s="3"/>
      <c r="N2359" s="3"/>
      <c r="O2359" s="3"/>
      <c r="P2359" s="3"/>
      <c r="Q2359" s="3"/>
      <c r="R2359" s="3">
        <f>IFERROR(__xludf.DUMMYFUNCTION("""COMPUTED_VALUE"""),0.0)</f>
        <v>0</v>
      </c>
      <c r="S2359" s="3"/>
      <c r="T2359" s="5"/>
      <c r="U2359" s="5"/>
      <c r="V2359" s="5"/>
      <c r="W2359" s="5"/>
    </row>
    <row r="2360" ht="15.75" customHeight="1">
      <c r="A2360" s="3">
        <f>IFERROR(__xludf.DUMMYFUNCTION("""COMPUTED_VALUE"""),2360.0)</f>
        <v>2360</v>
      </c>
      <c r="B2360" s="53">
        <f>IFERROR(__xludf.DUMMYFUNCTION("""COMPUTED_VALUE"""),46142.0)</f>
        <v>46142</v>
      </c>
      <c r="C2360" s="3">
        <f>IFERROR(__xludf.DUMMYFUNCTION("""COMPUTED_VALUE"""),34.0)</f>
        <v>34</v>
      </c>
      <c r="D2360" s="3" t="str">
        <f>IFERROR(__xludf.DUMMYFUNCTION("""COMPUTED_VALUE"""),"4c8bfcfe")</f>
        <v>4c8bfcfe</v>
      </c>
      <c r="E2360" s="54">
        <f>IFERROR(__xludf.DUMMYFUNCTION("""COMPUTED_VALUE"""),39500.0)</f>
        <v>39500</v>
      </c>
      <c r="F2360" s="3" t="str">
        <f>IFERROR(__xludf.DUMMYFUNCTION("""COMPUTED_VALUE"""),"Criolla")</f>
        <v>Criolla</v>
      </c>
      <c r="G2360" s="55">
        <f>IFERROR(__xludf.DUMMYFUNCTION("""COMPUTED_VALUE"""),12.5)</f>
        <v>12.5</v>
      </c>
      <c r="H2360" s="56">
        <f>IFERROR(__xludf.DUMMYFUNCTION("""COMPUTED_VALUE"""),-1.8)</f>
        <v>-1.8</v>
      </c>
      <c r="I2360" s="57">
        <f>IFERROR(__xludf.DUMMYFUNCTION("""COMPUTED_VALUE"""),0.31)</f>
        <v>0.31</v>
      </c>
      <c r="J2360" s="57">
        <f>IFERROR(__xludf.DUMMYFUNCTION("""COMPUTED_VALUE"""),6.31)</f>
        <v>6.31</v>
      </c>
      <c r="K2360" s="3"/>
      <c r="L2360" s="3"/>
      <c r="M2360" s="3"/>
      <c r="N2360" s="3"/>
      <c r="O2360" s="3"/>
      <c r="P2360" s="3"/>
      <c r="Q2360" s="3"/>
      <c r="R2360" s="3">
        <f>IFERROR(__xludf.DUMMYFUNCTION("""COMPUTED_VALUE"""),0.0)</f>
        <v>0</v>
      </c>
      <c r="S2360" s="3"/>
      <c r="T2360" s="5"/>
      <c r="U2360" s="5"/>
      <c r="V2360" s="5"/>
      <c r="W2360" s="5"/>
    </row>
    <row r="2361" ht="15.75" customHeight="1">
      <c r="A2361" s="3">
        <f>IFERROR(__xludf.DUMMYFUNCTION("""COMPUTED_VALUE"""),2361.0)</f>
        <v>2361</v>
      </c>
      <c r="B2361" s="53">
        <f>IFERROR(__xludf.DUMMYFUNCTION("""COMPUTED_VALUE"""),46142.0)</f>
        <v>46142</v>
      </c>
      <c r="C2361" s="3">
        <f>IFERROR(__xludf.DUMMYFUNCTION("""COMPUTED_VALUE"""),66.0)</f>
        <v>66</v>
      </c>
      <c r="D2361" s="3" t="str">
        <f>IFERROR(__xludf.DUMMYFUNCTION("""COMPUTED_VALUE"""),"ae299cc9")</f>
        <v>ae299cc9</v>
      </c>
      <c r="E2361" s="54">
        <f>IFERROR(__xludf.DUMMYFUNCTION("""COMPUTED_VALUE"""),23000.0)</f>
        <v>23000</v>
      </c>
      <c r="F2361" s="3" t="str">
        <f>IFERROR(__xludf.DUMMYFUNCTION("""COMPUTED_VALUE"""),"Bonarda PC")</f>
        <v>Bonarda PC</v>
      </c>
      <c r="G2361" s="55">
        <f>IFERROR(__xludf.DUMMYFUNCTION("""COMPUTED_VALUE"""),13.1)</f>
        <v>13.1</v>
      </c>
      <c r="H2361" s="56">
        <f>IFERROR(__xludf.DUMMYFUNCTION("""COMPUTED_VALUE"""),2.01)</f>
        <v>2.01</v>
      </c>
      <c r="I2361" s="57">
        <f>IFERROR(__xludf.DUMMYFUNCTION("""COMPUTED_VALUE"""),0.31)</f>
        <v>0.31</v>
      </c>
      <c r="J2361" s="57">
        <f>IFERROR(__xludf.DUMMYFUNCTION("""COMPUTED_VALUE"""),5.47)</f>
        <v>5.47</v>
      </c>
      <c r="K2361" s="3"/>
      <c r="L2361" s="3"/>
      <c r="M2361" s="3"/>
      <c r="N2361" s="3"/>
      <c r="O2361" s="3"/>
      <c r="P2361" s="3"/>
      <c r="Q2361" s="3"/>
      <c r="R2361" s="3">
        <f>IFERROR(__xludf.DUMMYFUNCTION("""COMPUTED_VALUE"""),0.0)</f>
        <v>0</v>
      </c>
      <c r="S2361" s="3"/>
      <c r="T2361" s="5"/>
      <c r="U2361" s="5"/>
      <c r="V2361" s="5"/>
      <c r="W2361" s="5"/>
    </row>
    <row r="2362" ht="15.75" customHeight="1">
      <c r="A2362" s="3">
        <f>IFERROR(__xludf.DUMMYFUNCTION("""COMPUTED_VALUE"""),2362.0)</f>
        <v>2362</v>
      </c>
      <c r="B2362" s="53">
        <f>IFERROR(__xludf.DUMMYFUNCTION("""COMPUTED_VALUE"""),46142.0)</f>
        <v>46142</v>
      </c>
      <c r="C2362" s="3">
        <f>IFERROR(__xludf.DUMMYFUNCTION("""COMPUTED_VALUE"""),67.0)</f>
        <v>67</v>
      </c>
      <c r="D2362" s="3" t="str">
        <f>IFERROR(__xludf.DUMMYFUNCTION("""COMPUTED_VALUE"""),"1d29e77e")</f>
        <v>1d29e77e</v>
      </c>
      <c r="E2362" s="54">
        <f>IFERROR(__xludf.DUMMYFUNCTION("""COMPUTED_VALUE"""),23000.0)</f>
        <v>23000</v>
      </c>
      <c r="F2362" s="3" t="str">
        <f>IFERROR(__xludf.DUMMYFUNCTION("""COMPUTED_VALUE"""),"Bonarda")</f>
        <v>Bonarda</v>
      </c>
      <c r="G2362" s="55">
        <f>IFERROR(__xludf.DUMMYFUNCTION("""COMPUTED_VALUE"""),13.0)</f>
        <v>13</v>
      </c>
      <c r="H2362" s="56">
        <f>IFERROR(__xludf.DUMMYFUNCTION("""COMPUTED_VALUE"""),2.05)</f>
        <v>2.05</v>
      </c>
      <c r="I2362" s="57">
        <f>IFERROR(__xludf.DUMMYFUNCTION("""COMPUTED_VALUE"""),0.4)</f>
        <v>0.4</v>
      </c>
      <c r="J2362" s="57">
        <f>IFERROR(__xludf.DUMMYFUNCTION("""COMPUTED_VALUE"""),5.55)</f>
        <v>5.55</v>
      </c>
      <c r="K2362" s="3"/>
      <c r="L2362" s="3"/>
      <c r="M2362" s="3"/>
      <c r="N2362" s="3"/>
      <c r="O2362" s="3"/>
      <c r="P2362" s="3"/>
      <c r="Q2362" s="3"/>
      <c r="R2362" s="3">
        <f>IFERROR(__xludf.DUMMYFUNCTION("""COMPUTED_VALUE"""),0.0)</f>
        <v>0</v>
      </c>
      <c r="S2362" s="3"/>
      <c r="T2362" s="5"/>
      <c r="U2362" s="5"/>
      <c r="V2362" s="5"/>
      <c r="W2362" s="5"/>
    </row>
    <row r="2363" ht="15.75" customHeight="1">
      <c r="A2363" s="3">
        <f>IFERROR(__xludf.DUMMYFUNCTION("""COMPUTED_VALUE"""),2363.0)</f>
        <v>2363</v>
      </c>
      <c r="B2363" s="53">
        <f>IFERROR(__xludf.DUMMYFUNCTION("""COMPUTED_VALUE"""),46142.0)</f>
        <v>46142</v>
      </c>
      <c r="C2363" s="3">
        <f>IFERROR(__xludf.DUMMYFUNCTION("""COMPUTED_VALUE"""),87.0)</f>
        <v>87</v>
      </c>
      <c r="D2363" s="3" t="str">
        <f>IFERROR(__xludf.DUMMYFUNCTION("""COMPUTED_VALUE"""),"0f7ec44b")</f>
        <v>0f7ec44b</v>
      </c>
      <c r="E2363" s="54">
        <f>IFERROR(__xludf.DUMMYFUNCTION("""COMPUTED_VALUE"""),82900.0)</f>
        <v>82900</v>
      </c>
      <c r="F2363" s="3" t="str">
        <f>IFERROR(__xludf.DUMMYFUNCTION("""COMPUTED_VALUE"""),"Criolla Recarga PC")</f>
        <v>Criolla Recarga PC</v>
      </c>
      <c r="G2363" s="55">
        <f>IFERROR(__xludf.DUMMYFUNCTION("""COMPUTED_VALUE"""),13.2)</f>
        <v>13.2</v>
      </c>
      <c r="H2363" s="56">
        <f>IFERROR(__xludf.DUMMYFUNCTION("""COMPUTED_VALUE"""),-1.8)</f>
        <v>-1.8</v>
      </c>
      <c r="I2363" s="57">
        <f>IFERROR(__xludf.DUMMYFUNCTION("""COMPUTED_VALUE"""),0.3)</f>
        <v>0.3</v>
      </c>
      <c r="J2363" s="57">
        <f>IFERROR(__xludf.DUMMYFUNCTION("""COMPUTED_VALUE"""),4.8)</f>
        <v>4.8</v>
      </c>
      <c r="K2363" s="3"/>
      <c r="L2363" s="3"/>
      <c r="M2363" s="3"/>
      <c r="N2363" s="3"/>
      <c r="O2363" s="3"/>
      <c r="P2363" s="3"/>
      <c r="Q2363" s="3"/>
      <c r="R2363" s="3">
        <f>IFERROR(__xludf.DUMMYFUNCTION("""COMPUTED_VALUE"""),0.0)</f>
        <v>0</v>
      </c>
      <c r="S2363" s="3"/>
      <c r="T2363" s="5"/>
      <c r="U2363" s="5"/>
      <c r="V2363" s="5"/>
      <c r="W2363" s="5"/>
    </row>
    <row r="2364" ht="15.75" customHeight="1">
      <c r="A2364" s="3">
        <f>IFERROR(__xludf.DUMMYFUNCTION("""COMPUTED_VALUE"""),2364.0)</f>
        <v>2364</v>
      </c>
      <c r="B2364" s="53">
        <f>IFERROR(__xludf.DUMMYFUNCTION("""COMPUTED_VALUE"""),46148.0)</f>
        <v>46148</v>
      </c>
      <c r="C2364" s="3">
        <f>IFERROR(__xludf.DUMMYFUNCTION("""COMPUTED_VALUE"""),76.0)</f>
        <v>76</v>
      </c>
      <c r="D2364" s="3" t="str">
        <f>IFERROR(__xludf.DUMMYFUNCTION("""COMPUTED_VALUE"""),"b078fbc6")</f>
        <v>b078fbc6</v>
      </c>
      <c r="E2364" s="54">
        <f>IFERROR(__xludf.DUMMYFUNCTION("""COMPUTED_VALUE"""),18000.0)</f>
        <v>18000</v>
      </c>
      <c r="F2364" s="3" t="str">
        <f>IFERROR(__xludf.DUMMYFUNCTION("""COMPUTED_VALUE"""),"Bonarda")</f>
        <v>Bonarda</v>
      </c>
      <c r="G2364" s="3"/>
      <c r="H2364" s="56">
        <f>IFERROR(__xludf.DUMMYFUNCTION("""COMPUTED_VALUE"""),10.0)</f>
        <v>10</v>
      </c>
      <c r="I2364" s="3"/>
      <c r="J2364" s="3"/>
      <c r="K2364" s="3"/>
      <c r="L2364" s="3"/>
      <c r="M2364" s="3"/>
      <c r="N2364" s="3"/>
      <c r="O2364" s="3"/>
      <c r="P2364" s="3"/>
      <c r="Q2364" s="3"/>
      <c r="R2364" s="3">
        <f>IFERROR(__xludf.DUMMYFUNCTION("""COMPUTED_VALUE"""),0.0)</f>
        <v>0</v>
      </c>
      <c r="S2364" s="3"/>
      <c r="T2364" s="5"/>
      <c r="U2364" s="5"/>
      <c r="V2364" s="5"/>
      <c r="W2364" s="5"/>
    </row>
    <row r="2365" ht="15.75" customHeight="1">
      <c r="A2365" s="3">
        <f>IFERROR(__xludf.DUMMYFUNCTION("""COMPUTED_VALUE"""),2365.0)</f>
        <v>2365</v>
      </c>
      <c r="B2365" s="53">
        <f>IFERROR(__xludf.DUMMYFUNCTION("""COMPUTED_VALUE"""),46148.0)</f>
        <v>46148</v>
      </c>
      <c r="C2365" s="3">
        <f>IFERROR(__xludf.DUMMYFUNCTION("""COMPUTED_VALUE"""),85.0)</f>
        <v>85</v>
      </c>
      <c r="D2365" s="3" t="str">
        <f>IFERROR(__xludf.DUMMYFUNCTION("""COMPUTED_VALUE"""),"d12d20f3")</f>
        <v>d12d20f3</v>
      </c>
      <c r="E2365" s="54">
        <f>IFERROR(__xludf.DUMMYFUNCTION("""COMPUTED_VALUE"""),48000.0)</f>
        <v>48000</v>
      </c>
      <c r="F2365" s="3" t="str">
        <f>IFERROR(__xludf.DUMMYFUNCTION("""COMPUTED_VALUE"""),"Bonarda")</f>
        <v>Bonarda</v>
      </c>
      <c r="G2365" s="3"/>
      <c r="H2365" s="56">
        <f>IFERROR(__xludf.DUMMYFUNCTION("""COMPUTED_VALUE"""),20.0)</f>
        <v>20</v>
      </c>
      <c r="I2365" s="3"/>
      <c r="J2365" s="3"/>
      <c r="K2365" s="3"/>
      <c r="L2365" s="3"/>
      <c r="M2365" s="3"/>
      <c r="N2365" s="3"/>
      <c r="O2365" s="3"/>
      <c r="P2365" s="3"/>
      <c r="Q2365" s="3"/>
      <c r="R2365" s="3">
        <f>IFERROR(__xludf.DUMMYFUNCTION("""COMPUTED_VALUE"""),0.0)</f>
        <v>0</v>
      </c>
      <c r="S2365" s="3"/>
      <c r="T2365" s="5"/>
      <c r="U2365" s="5"/>
      <c r="V2365" s="5"/>
      <c r="W2365" s="5"/>
    </row>
    <row r="2366" ht="15.75" customHeight="1">
      <c r="A2366" s="3">
        <f>IFERROR(__xludf.DUMMYFUNCTION("""COMPUTED_VALUE"""),2366.0)</f>
        <v>2366</v>
      </c>
      <c r="B2366" s="53">
        <f>IFERROR(__xludf.DUMMYFUNCTION("""COMPUTED_VALUE"""),46148.0)</f>
        <v>46148</v>
      </c>
      <c r="C2366" s="3">
        <f>IFERROR(__xludf.DUMMYFUNCTION("""COMPUTED_VALUE"""),88.0)</f>
        <v>88</v>
      </c>
      <c r="D2366" s="3" t="str">
        <f>IFERROR(__xludf.DUMMYFUNCTION("""COMPUTED_VALUE"""),"21d47579")</f>
        <v>21d47579</v>
      </c>
      <c r="E2366" s="54">
        <f>IFERROR(__xludf.DUMMYFUNCTION("""COMPUTED_VALUE"""),51900.0)</f>
        <v>51900</v>
      </c>
      <c r="F2366" s="3" t="str">
        <f>IFERROR(__xludf.DUMMYFUNCTION("""COMPUTED_VALUE"""),"Criolla Recarga")</f>
        <v>Criolla Recarga</v>
      </c>
      <c r="G2366" s="3"/>
      <c r="H2366" s="56">
        <f>IFERROR(__xludf.DUMMYFUNCTION("""COMPUTED_VALUE"""),3.37)</f>
        <v>3.37</v>
      </c>
      <c r="I2366" s="3"/>
      <c r="J2366" s="3"/>
      <c r="K2366" s="3"/>
      <c r="L2366" s="3"/>
      <c r="M2366" s="3"/>
      <c r="N2366" s="3"/>
      <c r="O2366" s="3"/>
      <c r="P2366" s="3"/>
      <c r="Q2366" s="3"/>
      <c r="R2366" s="3">
        <f>IFERROR(__xludf.DUMMYFUNCTION("""COMPUTED_VALUE"""),0.0)</f>
        <v>0</v>
      </c>
      <c r="S2366" s="3"/>
      <c r="T2366" s="5"/>
      <c r="U2366" s="5"/>
      <c r="V2366" s="5"/>
      <c r="W2366" s="5"/>
    </row>
    <row r="2367" ht="15.75" customHeight="1">
      <c r="A2367" s="3">
        <f>IFERROR(__xludf.DUMMYFUNCTION("""COMPUTED_VALUE"""),2367.0)</f>
        <v>2367</v>
      </c>
      <c r="B2367" s="53">
        <f>IFERROR(__xludf.DUMMYFUNCTION("""COMPUTED_VALUE"""),46149.0)</f>
        <v>46149</v>
      </c>
      <c r="C2367" s="3">
        <f>IFERROR(__xludf.DUMMYFUNCTION("""COMPUTED_VALUE"""),86.0)</f>
        <v>86</v>
      </c>
      <c r="D2367" s="3" t="str">
        <f>IFERROR(__xludf.DUMMYFUNCTION("""COMPUTED_VALUE"""),"3dbf6d25")</f>
        <v>3dbf6d25</v>
      </c>
      <c r="E2367" s="54">
        <f>IFERROR(__xludf.DUMMYFUNCTION("""COMPUTED_VALUE"""),88000.0)</f>
        <v>88000</v>
      </c>
      <c r="F2367" s="3" t="str">
        <f>IFERROR(__xludf.DUMMYFUNCTION("""COMPUTED_VALUE"""),"Syrah Anc PC s/Asp 2")</f>
        <v>Syrah Anc PC s/Asp 2</v>
      </c>
      <c r="G2367" s="3"/>
      <c r="H2367" s="3"/>
      <c r="I2367" s="3"/>
      <c r="J2367" s="3"/>
      <c r="K2367" s="57">
        <f>IFERROR(__xludf.DUMMYFUNCTION("""COMPUTED_VALUE"""),3.72)</f>
        <v>3.72</v>
      </c>
      <c r="L2367" s="54">
        <f>IFERROR(__xludf.DUMMYFUNCTION("""COMPUTED_VALUE"""),52.0)</f>
        <v>52</v>
      </c>
      <c r="M2367" s="3">
        <f>IFERROR(__xludf.DUMMYFUNCTION("""COMPUTED_VALUE"""),110.0)</f>
        <v>110</v>
      </c>
      <c r="N2367" s="3"/>
      <c r="O2367" s="3"/>
      <c r="P2367" s="3"/>
      <c r="Q2367" s="3"/>
      <c r="R2367" s="3">
        <f>IFERROR(__xludf.DUMMYFUNCTION("""COMPUTED_VALUE"""),0.0)</f>
        <v>0</v>
      </c>
      <c r="S2367" s="3"/>
      <c r="T2367" s="5"/>
      <c r="U2367" s="5"/>
      <c r="V2367" s="5"/>
      <c r="W2367" s="5"/>
    </row>
    <row r="2368" ht="15.75" customHeight="1">
      <c r="A2368" s="3">
        <f>IFERROR(__xludf.DUMMYFUNCTION("""COMPUTED_VALUE"""),2368.0)</f>
        <v>2368</v>
      </c>
      <c r="B2368" s="53">
        <f>IFERROR(__xludf.DUMMYFUNCTION("""COMPUTED_VALUE"""),46149.0)</f>
        <v>46149</v>
      </c>
      <c r="C2368" s="3">
        <f>IFERROR(__xludf.DUMMYFUNCTION("""COMPUTED_VALUE"""),16.0)</f>
        <v>16</v>
      </c>
      <c r="D2368" s="3" t="str">
        <f>IFERROR(__xludf.DUMMYFUNCTION("""COMPUTED_VALUE"""),"d3b686a2")</f>
        <v>d3b686a2</v>
      </c>
      <c r="E2368" s="54">
        <f>IFERROR(__xludf.DUMMYFUNCTION("""COMPUTED_VALUE"""),19000.0)</f>
        <v>19000</v>
      </c>
      <c r="F2368" s="3" t="str">
        <f>IFERROR(__xludf.DUMMYFUNCTION("""COMPUTED_VALUE"""),"Criolla")</f>
        <v>Criolla</v>
      </c>
      <c r="G2368" s="3"/>
      <c r="H2368" s="3"/>
      <c r="I2368" s="3"/>
      <c r="J2368" s="3"/>
      <c r="K2368" s="57">
        <f>IFERROR(__xludf.DUMMYFUNCTION("""COMPUTED_VALUE"""),3.82)</f>
        <v>3.82</v>
      </c>
      <c r="L2368" s="54">
        <f>IFERROR(__xludf.DUMMYFUNCTION("""COMPUTED_VALUE"""),20.0)</f>
        <v>20</v>
      </c>
      <c r="M2368" s="3">
        <f>IFERROR(__xludf.DUMMYFUNCTION("""COMPUTED_VALUE"""),110.0)</f>
        <v>110</v>
      </c>
      <c r="N2368" s="3"/>
      <c r="O2368" s="3"/>
      <c r="P2368" s="3"/>
      <c r="Q2368" s="3"/>
      <c r="R2368" s="3">
        <f>IFERROR(__xludf.DUMMYFUNCTION("""COMPUTED_VALUE"""),0.0)</f>
        <v>0</v>
      </c>
      <c r="S2368" s="3"/>
      <c r="T2368" s="5"/>
      <c r="U2368" s="5"/>
      <c r="V2368" s="5"/>
      <c r="W2368" s="5"/>
    </row>
    <row r="2369" ht="15.75" customHeight="1">
      <c r="A2369" s="3">
        <f>IFERROR(__xludf.DUMMYFUNCTION("""COMPUTED_VALUE"""),2369.0)</f>
        <v>2369</v>
      </c>
      <c r="B2369" s="53">
        <f>IFERROR(__xludf.DUMMYFUNCTION("""COMPUTED_VALUE"""),46149.0)</f>
        <v>46149</v>
      </c>
      <c r="C2369" s="3">
        <f>IFERROR(__xludf.DUMMYFUNCTION("""COMPUTED_VALUE"""),42.0)</f>
        <v>42</v>
      </c>
      <c r="D2369" s="3" t="str">
        <f>IFERROR(__xludf.DUMMYFUNCTION("""COMPUTED_VALUE"""),"759766f6")</f>
        <v>759766f6</v>
      </c>
      <c r="E2369" s="54">
        <f>IFERROR(__xludf.DUMMYFUNCTION("""COMPUTED_VALUE"""),35900.0)</f>
        <v>35900</v>
      </c>
      <c r="F2369" s="3" t="str">
        <f>IFERROR(__xludf.DUMMYFUNCTION("""COMPUTED_VALUE"""),"Bonarda")</f>
        <v>Bonarda</v>
      </c>
      <c r="G2369" s="3"/>
      <c r="H2369" s="3"/>
      <c r="I2369" s="3"/>
      <c r="J2369" s="3"/>
      <c r="K2369" s="57">
        <f>IFERROR(__xludf.DUMMYFUNCTION("""COMPUTED_VALUE"""),3.94)</f>
        <v>3.94</v>
      </c>
      <c r="L2369" s="54">
        <f>IFERROR(__xludf.DUMMYFUNCTION("""COMPUTED_VALUE"""),21.0)</f>
        <v>21</v>
      </c>
      <c r="M2369" s="3">
        <f>IFERROR(__xludf.DUMMYFUNCTION("""COMPUTED_VALUE"""),65.0)</f>
        <v>65</v>
      </c>
      <c r="N2369" s="3"/>
      <c r="O2369" s="3"/>
      <c r="P2369" s="3"/>
      <c r="Q2369" s="3"/>
      <c r="R2369" s="3">
        <f>IFERROR(__xludf.DUMMYFUNCTION("""COMPUTED_VALUE"""),0.0)</f>
        <v>0</v>
      </c>
      <c r="S2369" s="3"/>
      <c r="T2369" s="5"/>
      <c r="U2369" s="5"/>
      <c r="V2369" s="5"/>
      <c r="W2369" s="5"/>
    </row>
    <row r="2370" ht="15.75" customHeight="1">
      <c r="A2370" s="3">
        <f>IFERROR(__xludf.DUMMYFUNCTION("""COMPUTED_VALUE"""),2370.0)</f>
        <v>2370</v>
      </c>
      <c r="B2370" s="53">
        <f>IFERROR(__xludf.DUMMYFUNCTION("""COMPUTED_VALUE"""),46149.0)</f>
        <v>46149</v>
      </c>
      <c r="C2370" s="3">
        <f>IFERROR(__xludf.DUMMYFUNCTION("""COMPUTED_VALUE"""),6.0)</f>
        <v>6</v>
      </c>
      <c r="D2370" s="3" t="str">
        <f>IFERROR(__xludf.DUMMYFUNCTION("""COMPUTED_VALUE"""),"ea65ad9a")</f>
        <v>ea65ad9a</v>
      </c>
      <c r="E2370" s="54">
        <f>IFERROR(__xludf.DUMMYFUNCTION("""COMPUTED_VALUE"""),8300.0)</f>
        <v>8300</v>
      </c>
      <c r="F2370" s="3" t="str">
        <f>IFERROR(__xludf.DUMMYFUNCTION("""COMPUTED_VALUE"""),"Criolla Recarga")</f>
        <v>Criolla Recarga</v>
      </c>
      <c r="G2370" s="3"/>
      <c r="H2370" s="3"/>
      <c r="I2370" s="3"/>
      <c r="J2370" s="3"/>
      <c r="K2370" s="57">
        <f>IFERROR(__xludf.DUMMYFUNCTION("""COMPUTED_VALUE"""),4.06)</f>
        <v>4.06</v>
      </c>
      <c r="L2370" s="54">
        <f>IFERROR(__xludf.DUMMYFUNCTION("""COMPUTED_VALUE"""),13.0)</f>
        <v>13</v>
      </c>
      <c r="M2370" s="3">
        <f>IFERROR(__xludf.DUMMYFUNCTION("""COMPUTED_VALUE"""),60.0)</f>
        <v>60</v>
      </c>
      <c r="N2370" s="3"/>
      <c r="O2370" s="3"/>
      <c r="P2370" s="3"/>
      <c r="Q2370" s="3"/>
      <c r="R2370" s="3">
        <f>IFERROR(__xludf.DUMMYFUNCTION("""COMPUTED_VALUE"""),0.0)</f>
        <v>0</v>
      </c>
      <c r="S2370" s="3"/>
      <c r="T2370" s="5"/>
      <c r="U2370" s="5"/>
      <c r="V2370" s="5"/>
      <c r="W2370" s="5"/>
    </row>
    <row r="2371" ht="15.75" customHeight="1">
      <c r="A2371" s="3">
        <f>IFERROR(__xludf.DUMMYFUNCTION("""COMPUTED_VALUE"""),2371.0)</f>
        <v>2371</v>
      </c>
      <c r="B2371" s="53">
        <f>IFERROR(__xludf.DUMMYFUNCTION("""COMPUTED_VALUE"""),46149.0)</f>
        <v>46149</v>
      </c>
      <c r="C2371" s="3">
        <f>IFERROR(__xludf.DUMMYFUNCTION("""COMPUTED_VALUE"""),91.0)</f>
        <v>91</v>
      </c>
      <c r="D2371" s="3" t="str">
        <f>IFERROR(__xludf.DUMMYFUNCTION("""COMPUTED_VALUE"""),"34fa2752")</f>
        <v>34fa2752</v>
      </c>
      <c r="E2371" s="54">
        <f>IFERROR(__xludf.DUMMYFUNCTION("""COMPUTED_VALUE"""),86000.0)</f>
        <v>86000</v>
      </c>
      <c r="F2371" s="3" t="str">
        <f>IFERROR(__xludf.DUMMYFUNCTION("""COMPUTED_VALUE"""),"Bonarda C2")</f>
        <v>Bonarda C2</v>
      </c>
      <c r="G2371" s="3"/>
      <c r="H2371" s="3"/>
      <c r="I2371" s="3"/>
      <c r="J2371" s="3"/>
      <c r="K2371" s="57">
        <f>IFERROR(__xludf.DUMMYFUNCTION("""COMPUTED_VALUE"""),3.96)</f>
        <v>3.96</v>
      </c>
      <c r="L2371" s="54">
        <f>IFERROR(__xludf.DUMMYFUNCTION("""COMPUTED_VALUE"""),33.0)</f>
        <v>33</v>
      </c>
      <c r="M2371" s="3">
        <f>IFERROR(__xludf.DUMMYFUNCTION("""COMPUTED_VALUE"""),83.0)</f>
        <v>83</v>
      </c>
      <c r="N2371" s="3"/>
      <c r="O2371" s="3"/>
      <c r="P2371" s="3"/>
      <c r="Q2371" s="3"/>
      <c r="R2371" s="3">
        <f>IFERROR(__xludf.DUMMYFUNCTION("""COMPUTED_VALUE"""),0.0)</f>
        <v>0</v>
      </c>
      <c r="S2371" s="3"/>
      <c r="T2371" s="5"/>
      <c r="U2371" s="5"/>
      <c r="V2371" s="5"/>
      <c r="W2371" s="5"/>
    </row>
    <row r="2372" ht="15.75" customHeight="1">
      <c r="A2372" s="3">
        <f>IFERROR(__xludf.DUMMYFUNCTION("""COMPUTED_VALUE"""),2372.0)</f>
        <v>2372</v>
      </c>
      <c r="B2372" s="53">
        <f>IFERROR(__xludf.DUMMYFUNCTION("""COMPUTED_VALUE"""),46149.0)</f>
        <v>46149</v>
      </c>
      <c r="C2372" s="3">
        <f>IFERROR(__xludf.DUMMYFUNCTION("""COMPUTED_VALUE"""),51.0)</f>
        <v>51</v>
      </c>
      <c r="D2372" s="3" t="str">
        <f>IFERROR(__xludf.DUMMYFUNCTION("""COMPUTED_VALUE"""),"2f82461c")</f>
        <v>2f82461c</v>
      </c>
      <c r="E2372" s="54">
        <f>IFERROR(__xludf.DUMMYFUNCTION("""COMPUTED_VALUE"""),1000.0)</f>
        <v>1000</v>
      </c>
      <c r="F2372" s="3" t="str">
        <f>IFERROR(__xludf.DUMMYFUNCTION("""COMPUTED_VALUE"""),"Criolla Vol")</f>
        <v>Criolla Vol</v>
      </c>
      <c r="G2372" s="3"/>
      <c r="H2372" s="3"/>
      <c r="I2372" s="3"/>
      <c r="J2372" s="3"/>
      <c r="K2372" s="57">
        <f>IFERROR(__xludf.DUMMYFUNCTION("""COMPUTED_VALUE"""),3.8)</f>
        <v>3.8</v>
      </c>
      <c r="L2372" s="54">
        <f>IFERROR(__xludf.DUMMYFUNCTION("""COMPUTED_VALUE"""),25.0)</f>
        <v>25</v>
      </c>
      <c r="M2372" s="3">
        <f>IFERROR(__xludf.DUMMYFUNCTION("""COMPUTED_VALUE"""),110.0)</f>
        <v>110</v>
      </c>
      <c r="N2372" s="3"/>
      <c r="O2372" s="3"/>
      <c r="P2372" s="3"/>
      <c r="Q2372" s="3"/>
      <c r="R2372" s="3">
        <f>IFERROR(__xludf.DUMMYFUNCTION("""COMPUTED_VALUE"""),0.0)</f>
        <v>0</v>
      </c>
      <c r="S2372" s="3"/>
      <c r="T2372" s="5"/>
      <c r="U2372" s="5"/>
      <c r="V2372" s="5"/>
      <c r="W2372" s="5"/>
    </row>
    <row r="2373" ht="15.75" customHeight="1">
      <c r="A2373" s="3">
        <f>IFERROR(__xludf.DUMMYFUNCTION("""COMPUTED_VALUE"""),2373.0)</f>
        <v>2373</v>
      </c>
      <c r="B2373" s="53">
        <f>IFERROR(__xludf.DUMMYFUNCTION("""COMPUTED_VALUE"""),46149.0)</f>
        <v>46149</v>
      </c>
      <c r="C2373" s="3">
        <f>IFERROR(__xludf.DUMMYFUNCTION("""COMPUTED_VALUE"""),96.0)</f>
        <v>96</v>
      </c>
      <c r="D2373" s="3" t="str">
        <f>IFERROR(__xludf.DUMMYFUNCTION("""COMPUTED_VALUE"""),"6ccca7d0")</f>
        <v>6ccca7d0</v>
      </c>
      <c r="E2373" s="54">
        <f>IFERROR(__xludf.DUMMYFUNCTION("""COMPUTED_VALUE"""),85600.0)</f>
        <v>85600</v>
      </c>
      <c r="F2373" s="3" t="str">
        <f>IFERROR(__xludf.DUMMYFUNCTION("""COMPUTED_VALUE"""),"Criolla Recarga")</f>
        <v>Criolla Recarga</v>
      </c>
      <c r="G2373" s="3"/>
      <c r="H2373" s="3"/>
      <c r="I2373" s="3"/>
      <c r="J2373" s="3"/>
      <c r="K2373" s="57">
        <f>IFERROR(__xludf.DUMMYFUNCTION("""COMPUTED_VALUE"""),3.96)</f>
        <v>3.96</v>
      </c>
      <c r="L2373" s="54">
        <f>IFERROR(__xludf.DUMMYFUNCTION("""COMPUTED_VALUE"""),24.0)</f>
        <v>24</v>
      </c>
      <c r="M2373" s="3">
        <f>IFERROR(__xludf.DUMMYFUNCTION("""COMPUTED_VALUE"""),85.0)</f>
        <v>85</v>
      </c>
      <c r="N2373" s="3"/>
      <c r="O2373" s="3"/>
      <c r="P2373" s="3"/>
      <c r="Q2373" s="3"/>
      <c r="R2373" s="3">
        <f>IFERROR(__xludf.DUMMYFUNCTION("""COMPUTED_VALUE"""),0.0)</f>
        <v>0</v>
      </c>
      <c r="S2373" s="3"/>
      <c r="T2373" s="5"/>
      <c r="U2373" s="5"/>
      <c r="V2373" s="5"/>
      <c r="W2373" s="5"/>
    </row>
    <row r="2374" ht="15.75" customHeight="1">
      <c r="A2374" s="3">
        <f>IFERROR(__xludf.DUMMYFUNCTION("""COMPUTED_VALUE"""),2374.0)</f>
        <v>2374</v>
      </c>
      <c r="B2374" s="53">
        <f>IFERROR(__xludf.DUMMYFUNCTION("""COMPUTED_VALUE"""),46149.0)</f>
        <v>46149</v>
      </c>
      <c r="C2374" s="3">
        <f>IFERROR(__xludf.DUMMYFUNCTION("""COMPUTED_VALUE"""),102.0)</f>
        <v>102</v>
      </c>
      <c r="D2374" s="3" t="str">
        <f>IFERROR(__xludf.DUMMYFUNCTION("""COMPUTED_VALUE"""),"d692801e")</f>
        <v>d692801e</v>
      </c>
      <c r="E2374" s="54">
        <f>IFERROR(__xludf.DUMMYFUNCTION("""COMPUTED_VALUE"""),31000.0)</f>
        <v>31000</v>
      </c>
      <c r="F2374" s="3" t="str">
        <f>IFERROR(__xludf.DUMMYFUNCTION("""COMPUTED_VALUE"""),"Syrah Anc s/Asp 2")</f>
        <v>Syrah Anc s/Asp 2</v>
      </c>
      <c r="G2374" s="3"/>
      <c r="H2374" s="3"/>
      <c r="I2374" s="3"/>
      <c r="J2374" s="3"/>
      <c r="K2374" s="57">
        <f>IFERROR(__xludf.DUMMYFUNCTION("""COMPUTED_VALUE"""),3.74)</f>
        <v>3.74</v>
      </c>
      <c r="L2374" s="54">
        <f>IFERROR(__xludf.DUMMYFUNCTION("""COMPUTED_VALUE"""),44.0)</f>
        <v>44</v>
      </c>
      <c r="M2374" s="3">
        <f>IFERROR(__xludf.DUMMYFUNCTION("""COMPUTED_VALUE"""),90.0)</f>
        <v>90</v>
      </c>
      <c r="N2374" s="3"/>
      <c r="O2374" s="3"/>
      <c r="P2374" s="3"/>
      <c r="Q2374" s="3"/>
      <c r="R2374" s="3">
        <f>IFERROR(__xludf.DUMMYFUNCTION("""COMPUTED_VALUE"""),0.0)</f>
        <v>0</v>
      </c>
      <c r="S2374" s="3"/>
      <c r="T2374" s="5"/>
      <c r="U2374" s="5"/>
      <c r="V2374" s="5"/>
      <c r="W2374" s="5"/>
    </row>
    <row r="2375" ht="15.75" customHeight="1">
      <c r="A2375" s="3">
        <f>IFERROR(__xludf.DUMMYFUNCTION("""COMPUTED_VALUE"""),2375.0)</f>
        <v>2375</v>
      </c>
      <c r="B2375" s="53">
        <f>IFERROR(__xludf.DUMMYFUNCTION("""COMPUTED_VALUE"""),46149.0)</f>
        <v>46149</v>
      </c>
      <c r="C2375" s="3">
        <f>IFERROR(__xludf.DUMMYFUNCTION("""COMPUTED_VALUE"""),90.0)</f>
        <v>90</v>
      </c>
      <c r="D2375" s="3" t="str">
        <f>IFERROR(__xludf.DUMMYFUNCTION("""COMPUTED_VALUE"""),"33d07dd0")</f>
        <v>33d07dd0</v>
      </c>
      <c r="E2375" s="54">
        <f>IFERROR(__xludf.DUMMYFUNCTION("""COMPUTED_VALUE"""),97500.0)</f>
        <v>97500</v>
      </c>
      <c r="F2375" s="3" t="str">
        <f>IFERROR(__xludf.DUMMYFUNCTION("""COMPUTED_VALUE"""),"Bonarda")</f>
        <v>Bonarda</v>
      </c>
      <c r="G2375" s="3"/>
      <c r="H2375" s="3"/>
      <c r="I2375" s="3"/>
      <c r="J2375" s="3"/>
      <c r="K2375" s="57">
        <f>IFERROR(__xludf.DUMMYFUNCTION("""COMPUTED_VALUE"""),3.98)</f>
        <v>3.98</v>
      </c>
      <c r="L2375" s="54">
        <f>IFERROR(__xludf.DUMMYFUNCTION("""COMPUTED_VALUE"""),38.0)</f>
        <v>38</v>
      </c>
      <c r="M2375" s="3">
        <f>IFERROR(__xludf.DUMMYFUNCTION("""COMPUTED_VALUE"""),77.0)</f>
        <v>77</v>
      </c>
      <c r="N2375" s="3"/>
      <c r="O2375" s="3"/>
      <c r="P2375" s="3"/>
      <c r="Q2375" s="3"/>
      <c r="R2375" s="3">
        <f>IFERROR(__xludf.DUMMYFUNCTION("""COMPUTED_VALUE"""),0.0)</f>
        <v>0</v>
      </c>
      <c r="S2375" s="3"/>
      <c r="T2375" s="5"/>
      <c r="U2375" s="5"/>
      <c r="V2375" s="5"/>
      <c r="W2375" s="5"/>
    </row>
    <row r="2376" ht="15.75" customHeight="1">
      <c r="A2376" s="3">
        <f>IFERROR(__xludf.DUMMYFUNCTION("""COMPUTED_VALUE"""),2376.0)</f>
        <v>2376</v>
      </c>
      <c r="B2376" s="53">
        <f>IFERROR(__xludf.DUMMYFUNCTION("""COMPUTED_VALUE"""),46149.0)</f>
        <v>46149</v>
      </c>
      <c r="C2376" s="3">
        <f>IFERROR(__xludf.DUMMYFUNCTION("""COMPUTED_VALUE"""),45.0)</f>
        <v>45</v>
      </c>
      <c r="D2376" s="3" t="str">
        <f>IFERROR(__xludf.DUMMYFUNCTION("""COMPUTED_VALUE"""),"3f401895")</f>
        <v>3f401895</v>
      </c>
      <c r="E2376" s="54">
        <f>IFERROR(__xludf.DUMMYFUNCTION("""COMPUTED_VALUE"""),30000.0)</f>
        <v>30000</v>
      </c>
      <c r="F2376" s="3" t="str">
        <f>IFERROR(__xludf.DUMMYFUNCTION("""COMPUTED_VALUE"""),"Bonarda PC")</f>
        <v>Bonarda PC</v>
      </c>
      <c r="G2376" s="3"/>
      <c r="H2376" s="3"/>
      <c r="I2376" s="3"/>
      <c r="J2376" s="3"/>
      <c r="K2376" s="57">
        <f>IFERROR(__xludf.DUMMYFUNCTION("""COMPUTED_VALUE"""),3.78)</f>
        <v>3.78</v>
      </c>
      <c r="L2376" s="54">
        <f>IFERROR(__xludf.DUMMYFUNCTION("""COMPUTED_VALUE"""),23.0)</f>
        <v>23</v>
      </c>
      <c r="M2376" s="3">
        <f>IFERROR(__xludf.DUMMYFUNCTION("""COMPUTED_VALUE"""),70.0)</f>
        <v>70</v>
      </c>
      <c r="N2376" s="3"/>
      <c r="O2376" s="3"/>
      <c r="P2376" s="3"/>
      <c r="Q2376" s="3"/>
      <c r="R2376" s="3">
        <f>IFERROR(__xludf.DUMMYFUNCTION("""COMPUTED_VALUE"""),0.0)</f>
        <v>0</v>
      </c>
      <c r="S2376" s="3"/>
      <c r="T2376" s="5"/>
      <c r="U2376" s="5"/>
      <c r="V2376" s="5"/>
      <c r="W2376" s="5"/>
    </row>
    <row r="2377" ht="15.75" customHeight="1">
      <c r="A2377" s="3">
        <f>IFERROR(__xludf.DUMMYFUNCTION("""COMPUTED_VALUE"""),2377.0)</f>
        <v>2377</v>
      </c>
      <c r="B2377" s="53">
        <f>IFERROR(__xludf.DUMMYFUNCTION("""COMPUTED_VALUE"""),46149.0)</f>
        <v>46149</v>
      </c>
      <c r="C2377" s="3">
        <f>IFERROR(__xludf.DUMMYFUNCTION("""COMPUTED_VALUE"""),120.0)</f>
        <v>120</v>
      </c>
      <c r="D2377" s="3" t="str">
        <f>IFERROR(__xludf.DUMMYFUNCTION("""COMPUTED_VALUE"""),"aa8077cb")</f>
        <v>aa8077cb</v>
      </c>
      <c r="E2377" s="54">
        <f>IFERROR(__xludf.DUMMYFUNCTION("""COMPUTED_VALUE"""),85800.0)</f>
        <v>85800</v>
      </c>
      <c r="F2377" s="3" t="str">
        <f>IFERROR(__xludf.DUMMYFUNCTION("""COMPUTED_VALUE"""),"Aspirant Anccelota PC")</f>
        <v>Aspirant Anccelota PC</v>
      </c>
      <c r="G2377" s="3"/>
      <c r="H2377" s="3"/>
      <c r="I2377" s="3"/>
      <c r="J2377" s="3"/>
      <c r="K2377" s="57">
        <f>IFERROR(__xludf.DUMMYFUNCTION("""COMPUTED_VALUE"""),6.69)</f>
        <v>6.69</v>
      </c>
      <c r="L2377" s="54">
        <f>IFERROR(__xludf.DUMMYFUNCTION("""COMPUTED_VALUE"""),60.0)</f>
        <v>60</v>
      </c>
      <c r="M2377" s="3">
        <f>IFERROR(__xludf.DUMMYFUNCTION("""COMPUTED_VALUE"""),77.0)</f>
        <v>77</v>
      </c>
      <c r="N2377" s="3"/>
      <c r="O2377" s="3"/>
      <c r="P2377" s="3"/>
      <c r="Q2377" s="3"/>
      <c r="R2377" s="3">
        <f>IFERROR(__xludf.DUMMYFUNCTION("""COMPUTED_VALUE"""),0.0)</f>
        <v>0</v>
      </c>
      <c r="S2377" s="3"/>
      <c r="T2377" s="5"/>
      <c r="U2377" s="5"/>
      <c r="V2377" s="5"/>
      <c r="W2377" s="5"/>
    </row>
    <row r="2378" ht="15.75" customHeight="1">
      <c r="A2378" s="3">
        <f>IFERROR(__xludf.DUMMYFUNCTION("""COMPUTED_VALUE"""),2378.0)</f>
        <v>2378</v>
      </c>
      <c r="B2378" s="53">
        <f>IFERROR(__xludf.DUMMYFUNCTION("""COMPUTED_VALUE"""),46149.0)</f>
        <v>46149</v>
      </c>
      <c r="C2378" s="3">
        <f>IFERROR(__xludf.DUMMYFUNCTION("""COMPUTED_VALUE"""),125.0)</f>
        <v>125</v>
      </c>
      <c r="D2378" s="3" t="str">
        <f>IFERROR(__xludf.DUMMYFUNCTION("""COMPUTED_VALUE"""),"3574f330")</f>
        <v>3574f330</v>
      </c>
      <c r="E2378" s="54">
        <f>IFERROR(__xludf.DUMMYFUNCTION("""COMPUTED_VALUE"""),31000.0)</f>
        <v>31000</v>
      </c>
      <c r="F2378" s="3" t="str">
        <f>IFERROR(__xludf.DUMMYFUNCTION("""COMPUTED_VALUE"""),"Syrah Anc s/Asp 2")</f>
        <v>Syrah Anc s/Asp 2</v>
      </c>
      <c r="G2378" s="3"/>
      <c r="H2378" s="3"/>
      <c r="I2378" s="3"/>
      <c r="J2378" s="3"/>
      <c r="K2378" s="57">
        <f>IFERROR(__xludf.DUMMYFUNCTION("""COMPUTED_VALUE"""),3.74)</f>
        <v>3.74</v>
      </c>
      <c r="L2378" s="54">
        <f>IFERROR(__xludf.DUMMYFUNCTION("""COMPUTED_VALUE"""),45.0)</f>
        <v>45</v>
      </c>
      <c r="M2378" s="3">
        <f>IFERROR(__xludf.DUMMYFUNCTION("""COMPUTED_VALUE"""),102.0)</f>
        <v>102</v>
      </c>
      <c r="N2378" s="3"/>
      <c r="O2378" s="3"/>
      <c r="P2378" s="3"/>
      <c r="Q2378" s="3"/>
      <c r="R2378" s="3">
        <f>IFERROR(__xludf.DUMMYFUNCTION("""COMPUTED_VALUE"""),0.0)</f>
        <v>0</v>
      </c>
      <c r="S2378" s="3"/>
      <c r="T2378" s="5"/>
      <c r="U2378" s="5"/>
      <c r="V2378" s="5"/>
      <c r="W2378" s="5"/>
    </row>
    <row r="2379" ht="15.75" customHeight="1">
      <c r="A2379" s="3">
        <f>IFERROR(__xludf.DUMMYFUNCTION("""COMPUTED_VALUE"""),2379.0)</f>
        <v>2379</v>
      </c>
      <c r="B2379" s="53">
        <f>IFERROR(__xludf.DUMMYFUNCTION("""COMPUTED_VALUE"""),46149.0)</f>
        <v>46149</v>
      </c>
      <c r="C2379" s="3">
        <f>IFERROR(__xludf.DUMMYFUNCTION("""COMPUTED_VALUE"""),127.0)</f>
        <v>127</v>
      </c>
      <c r="D2379" s="3" t="str">
        <f>IFERROR(__xludf.DUMMYFUNCTION("""COMPUTED_VALUE"""),"8ee1438e")</f>
        <v>8ee1438e</v>
      </c>
      <c r="E2379" s="54">
        <f>IFERROR(__xludf.DUMMYFUNCTION("""COMPUTED_VALUE"""),31000.0)</f>
        <v>31000</v>
      </c>
      <c r="F2379" s="3" t="str">
        <f>IFERROR(__xludf.DUMMYFUNCTION("""COMPUTED_VALUE"""),"Criolla Vol")</f>
        <v>Criolla Vol</v>
      </c>
      <c r="G2379" s="3"/>
      <c r="H2379" s="3"/>
      <c r="I2379" s="3"/>
      <c r="J2379" s="3"/>
      <c r="K2379" s="57">
        <f>IFERROR(__xludf.DUMMYFUNCTION("""COMPUTED_VALUE"""),3.71)</f>
        <v>3.71</v>
      </c>
      <c r="L2379" s="54">
        <f>IFERROR(__xludf.DUMMYFUNCTION("""COMPUTED_VALUE"""),57.0)</f>
        <v>57</v>
      </c>
      <c r="M2379" s="3">
        <f>IFERROR(__xludf.DUMMYFUNCTION("""COMPUTED_VALUE"""),150.0)</f>
        <v>150</v>
      </c>
      <c r="N2379" s="3"/>
      <c r="O2379" s="3"/>
      <c r="P2379" s="3"/>
      <c r="Q2379" s="3"/>
      <c r="R2379" s="3">
        <f>IFERROR(__xludf.DUMMYFUNCTION("""COMPUTED_VALUE"""),0.0)</f>
        <v>0</v>
      </c>
      <c r="S2379" s="3"/>
      <c r="T2379" s="5"/>
      <c r="U2379" s="5"/>
      <c r="V2379" s="5"/>
      <c r="W2379" s="5"/>
    </row>
    <row r="2380" ht="15.75" customHeight="1">
      <c r="A2380" s="3">
        <f>IFERROR(__xludf.DUMMYFUNCTION("""COMPUTED_VALUE"""),2380.0)</f>
        <v>2380</v>
      </c>
      <c r="B2380" s="53">
        <f>IFERROR(__xludf.DUMMYFUNCTION("""COMPUTED_VALUE"""),46149.0)</f>
        <v>46149</v>
      </c>
      <c r="C2380" s="3">
        <f>IFERROR(__xludf.DUMMYFUNCTION("""COMPUTED_VALUE"""),92.0)</f>
        <v>92</v>
      </c>
      <c r="D2380" s="3" t="str">
        <f>IFERROR(__xludf.DUMMYFUNCTION("""COMPUTED_VALUE"""),"71f14d09")</f>
        <v>71f14d09</v>
      </c>
      <c r="E2380" s="54">
        <f>IFERROR(__xludf.DUMMYFUNCTION("""COMPUTED_VALUE"""),60000.0)</f>
        <v>60000</v>
      </c>
      <c r="F2380" s="3" t="str">
        <f>IFERROR(__xludf.DUMMYFUNCTION("""COMPUTED_VALUE"""),"Criolla Recarga")</f>
        <v>Criolla Recarga</v>
      </c>
      <c r="G2380" s="3"/>
      <c r="H2380" s="3"/>
      <c r="I2380" s="3"/>
      <c r="J2380" s="3"/>
      <c r="K2380" s="57">
        <f>IFERROR(__xludf.DUMMYFUNCTION("""COMPUTED_VALUE"""),3.99)</f>
        <v>3.99</v>
      </c>
      <c r="L2380" s="54">
        <f>IFERROR(__xludf.DUMMYFUNCTION("""COMPUTED_VALUE"""),22.0)</f>
        <v>22</v>
      </c>
      <c r="M2380" s="3">
        <f>IFERROR(__xludf.DUMMYFUNCTION("""COMPUTED_VALUE"""),47.0)</f>
        <v>47</v>
      </c>
      <c r="N2380" s="3"/>
      <c r="O2380" s="3"/>
      <c r="P2380" s="3"/>
      <c r="Q2380" s="3"/>
      <c r="R2380" s="3">
        <f>IFERROR(__xludf.DUMMYFUNCTION("""COMPUTED_VALUE"""),0.0)</f>
        <v>0</v>
      </c>
      <c r="S2380" s="3"/>
      <c r="T2380" s="5"/>
      <c r="U2380" s="5"/>
      <c r="V2380" s="5"/>
      <c r="W2380" s="5"/>
    </row>
    <row r="2381" ht="15.75" customHeight="1">
      <c r="A2381" s="3">
        <f>IFERROR(__xludf.DUMMYFUNCTION("""COMPUTED_VALUE"""),2381.0)</f>
        <v>2381</v>
      </c>
      <c r="B2381" s="53">
        <f>IFERROR(__xludf.DUMMYFUNCTION("""COMPUTED_VALUE"""),46149.0)</f>
        <v>46149</v>
      </c>
      <c r="C2381" s="3">
        <f>IFERROR(__xludf.DUMMYFUNCTION("""COMPUTED_VALUE"""),68.0)</f>
        <v>68</v>
      </c>
      <c r="D2381" s="3" t="str">
        <f>IFERROR(__xludf.DUMMYFUNCTION("""COMPUTED_VALUE"""),"#REF!")</f>
        <v>#REF!</v>
      </c>
      <c r="E2381" s="3"/>
      <c r="F2381" s="3" t="str">
        <f>IFERROR(__xludf.DUMMYFUNCTION("""COMPUTED_VALUE"""),"fracc bib")</f>
        <v>fracc bib</v>
      </c>
      <c r="G2381" s="3"/>
      <c r="H2381" s="3"/>
      <c r="I2381" s="3"/>
      <c r="J2381" s="3"/>
      <c r="K2381" s="57">
        <f>IFERROR(__xludf.DUMMYFUNCTION("""COMPUTED_VALUE"""),3.54)</f>
        <v>3.54</v>
      </c>
      <c r="L2381" s="3"/>
      <c r="M2381" s="3">
        <f>IFERROR(__xludf.DUMMYFUNCTION("""COMPUTED_VALUE"""),43.0)</f>
        <v>43</v>
      </c>
      <c r="N2381" s="3"/>
      <c r="O2381" s="3"/>
      <c r="P2381" s="3"/>
      <c r="Q2381" s="3"/>
      <c r="R2381" s="3">
        <f>IFERROR(__xludf.DUMMYFUNCTION("""COMPUTED_VALUE"""),0.0)</f>
        <v>0</v>
      </c>
      <c r="S2381" s="3"/>
      <c r="T2381" s="5"/>
      <c r="U2381" s="5"/>
      <c r="V2381" s="5"/>
      <c r="W2381" s="5"/>
    </row>
    <row r="2382" ht="15.75" customHeight="1">
      <c r="A2382" s="3">
        <f>IFERROR(__xludf.DUMMYFUNCTION("""COMPUTED_VALUE"""),2382.0)</f>
        <v>2382</v>
      </c>
      <c r="B2382" s="53">
        <f>IFERROR(__xludf.DUMMYFUNCTION("""COMPUTED_VALUE"""),46149.0)</f>
        <v>46149</v>
      </c>
      <c r="C2382" s="3">
        <f>IFERROR(__xludf.DUMMYFUNCTION("""COMPUTED_VALUE"""),76.0)</f>
        <v>76</v>
      </c>
      <c r="D2382" s="3" t="str">
        <f>IFERROR(__xludf.DUMMYFUNCTION("""COMPUTED_VALUE"""),"b078fbc6")</f>
        <v>b078fbc6</v>
      </c>
      <c r="E2382" s="54">
        <f>IFERROR(__xludf.DUMMYFUNCTION("""COMPUTED_VALUE"""),18000.0)</f>
        <v>18000</v>
      </c>
      <c r="F2382" s="3" t="str">
        <f>IFERROR(__xludf.DUMMYFUNCTION("""COMPUTED_VALUE"""),"Bonarda")</f>
        <v>Bonarda</v>
      </c>
      <c r="G2382" s="3"/>
      <c r="H2382" s="3"/>
      <c r="I2382" s="3"/>
      <c r="J2382" s="3"/>
      <c r="K2382" s="3"/>
      <c r="L2382" s="3"/>
      <c r="M2382" s="3"/>
      <c r="N2382" s="3"/>
      <c r="O2382" s="3"/>
      <c r="P2382" s="3"/>
      <c r="Q2382" s="3"/>
      <c r="R2382" s="3">
        <f>IFERROR(__xludf.DUMMYFUNCTION("""COMPUTED_VALUE"""),0.0)</f>
        <v>0</v>
      </c>
      <c r="S2382" s="3"/>
      <c r="T2382" s="5"/>
      <c r="U2382" s="5"/>
      <c r="V2382" s="5"/>
      <c r="W2382" s="5"/>
    </row>
    <row r="2383" ht="15.75" customHeight="1">
      <c r="A2383" s="3">
        <f>IFERROR(__xludf.DUMMYFUNCTION("""COMPUTED_VALUE"""),2383.0)</f>
        <v>2383</v>
      </c>
      <c r="B2383" s="53">
        <f>IFERROR(__xludf.DUMMYFUNCTION("""COMPUTED_VALUE"""),46149.0)</f>
        <v>46149</v>
      </c>
      <c r="C2383" s="3">
        <f>IFERROR(__xludf.DUMMYFUNCTION("""COMPUTED_VALUE"""),85.0)</f>
        <v>85</v>
      </c>
      <c r="D2383" s="3" t="str">
        <f>IFERROR(__xludf.DUMMYFUNCTION("""COMPUTED_VALUE"""),"d12d20f3")</f>
        <v>d12d20f3</v>
      </c>
      <c r="E2383" s="54">
        <f>IFERROR(__xludf.DUMMYFUNCTION("""COMPUTED_VALUE"""),48000.0)</f>
        <v>48000</v>
      </c>
      <c r="F2383" s="3" t="str">
        <f>IFERROR(__xludf.DUMMYFUNCTION("""COMPUTED_VALUE"""),"Bonarda")</f>
        <v>Bonarda</v>
      </c>
      <c r="G2383" s="3"/>
      <c r="H2383" s="3"/>
      <c r="I2383" s="3"/>
      <c r="J2383" s="3"/>
      <c r="K2383" s="3"/>
      <c r="L2383" s="3"/>
      <c r="M2383" s="3"/>
      <c r="N2383" s="3"/>
      <c r="O2383" s="3"/>
      <c r="P2383" s="3"/>
      <c r="Q2383" s="3"/>
      <c r="R2383" s="3">
        <f>IFERROR(__xludf.DUMMYFUNCTION("""COMPUTED_VALUE"""),0.0)</f>
        <v>0</v>
      </c>
      <c r="S2383" s="3"/>
      <c r="T2383" s="5"/>
      <c r="U2383" s="5"/>
      <c r="V2383" s="5"/>
      <c r="W2383" s="5"/>
    </row>
    <row r="2384" ht="15.75" customHeight="1">
      <c r="A2384" s="3">
        <f>IFERROR(__xludf.DUMMYFUNCTION("""COMPUTED_VALUE"""),2384.0)</f>
        <v>2384</v>
      </c>
      <c r="B2384" s="53">
        <f>IFERROR(__xludf.DUMMYFUNCTION("""COMPUTED_VALUE"""),46151.0)</f>
        <v>46151</v>
      </c>
      <c r="C2384" s="3">
        <f>IFERROR(__xludf.DUMMYFUNCTION("""COMPUTED_VALUE"""),6.0)</f>
        <v>6</v>
      </c>
      <c r="D2384" s="3" t="str">
        <f>IFERROR(__xludf.DUMMYFUNCTION("""COMPUTED_VALUE"""),"ea65ad9a")</f>
        <v>ea65ad9a</v>
      </c>
      <c r="E2384" s="54">
        <f>IFERROR(__xludf.DUMMYFUNCTION("""COMPUTED_VALUE"""),8300.0)</f>
        <v>8300</v>
      </c>
      <c r="F2384" s="3" t="str">
        <f>IFERROR(__xludf.DUMMYFUNCTION("""COMPUTED_VALUE"""),"Criolla Recarga")</f>
        <v>Criolla Recarga</v>
      </c>
      <c r="G2384" s="55">
        <f>IFERROR(__xludf.DUMMYFUNCTION("""COMPUTED_VALUE"""),13.7)</f>
        <v>13.7</v>
      </c>
      <c r="H2384" s="56">
        <f>IFERROR(__xludf.DUMMYFUNCTION("""COMPUTED_VALUE"""),-1.8)</f>
        <v>-1.8</v>
      </c>
      <c r="I2384" s="57">
        <f>IFERROR(__xludf.DUMMYFUNCTION("""COMPUTED_VALUE"""),0.43)</f>
        <v>0.43</v>
      </c>
      <c r="J2384" s="57">
        <f>IFERROR(__xludf.DUMMYFUNCTION("""COMPUTED_VALUE"""),4.12)</f>
        <v>4.12</v>
      </c>
      <c r="K2384" s="3"/>
      <c r="L2384" s="3"/>
      <c r="M2384" s="3"/>
      <c r="N2384" s="3"/>
      <c r="O2384" s="3"/>
      <c r="P2384" s="3"/>
      <c r="Q2384" s="3"/>
      <c r="R2384" s="3">
        <f>IFERROR(__xludf.DUMMYFUNCTION("""COMPUTED_VALUE"""),0.0)</f>
        <v>0</v>
      </c>
      <c r="S2384" s="3"/>
      <c r="T2384" s="5"/>
      <c r="U2384" s="5"/>
      <c r="V2384" s="5"/>
      <c r="W2384" s="5" t="str">
        <f>IFERROR(__xludf.DUMMYFUNCTION("""COMPUTED_VALUE"""),"R simon")</f>
        <v>R simon</v>
      </c>
    </row>
    <row r="2385" ht="15.75" customHeight="1">
      <c r="A2385" s="3">
        <f>IFERROR(__xludf.DUMMYFUNCTION("""COMPUTED_VALUE"""),2385.0)</f>
        <v>2385</v>
      </c>
      <c r="B2385" s="53">
        <f>IFERROR(__xludf.DUMMYFUNCTION("""COMPUTED_VALUE"""),46151.0)</f>
        <v>46151</v>
      </c>
      <c r="C2385" s="3">
        <f>IFERROR(__xludf.DUMMYFUNCTION("""COMPUTED_VALUE"""),16.0)</f>
        <v>16</v>
      </c>
      <c r="D2385" s="3" t="str">
        <f>IFERROR(__xludf.DUMMYFUNCTION("""COMPUTED_VALUE"""),"d3b686a2")</f>
        <v>d3b686a2</v>
      </c>
      <c r="E2385" s="54">
        <f>IFERROR(__xludf.DUMMYFUNCTION("""COMPUTED_VALUE"""),19000.0)</f>
        <v>19000</v>
      </c>
      <c r="F2385" s="3" t="str">
        <f>IFERROR(__xludf.DUMMYFUNCTION("""COMPUTED_VALUE"""),"Criolla")</f>
        <v>Criolla</v>
      </c>
      <c r="G2385" s="55">
        <f>IFERROR(__xludf.DUMMYFUNCTION("""COMPUTED_VALUE"""),13.3)</f>
        <v>13.3</v>
      </c>
      <c r="H2385" s="56">
        <f>IFERROR(__xludf.DUMMYFUNCTION("""COMPUTED_VALUE"""),3.46)</f>
        <v>3.46</v>
      </c>
      <c r="I2385" s="57">
        <f>IFERROR(__xludf.DUMMYFUNCTION("""COMPUTED_VALUE"""),0.26)</f>
        <v>0.26</v>
      </c>
      <c r="J2385" s="57">
        <f>IFERROR(__xludf.DUMMYFUNCTION("""COMPUTED_VALUE"""),4.27)</f>
        <v>4.27</v>
      </c>
      <c r="K2385" s="3"/>
      <c r="L2385" s="3"/>
      <c r="M2385" s="3"/>
      <c r="N2385" s="3"/>
      <c r="O2385" s="3"/>
      <c r="P2385" s="3"/>
      <c r="Q2385" s="3"/>
      <c r="R2385" s="3">
        <f>IFERROR(__xludf.DUMMYFUNCTION("""COMPUTED_VALUE"""),0.0)</f>
        <v>0</v>
      </c>
      <c r="S2385" s="3"/>
      <c r="T2385" s="5"/>
      <c r="U2385" s="5"/>
      <c r="V2385" s="5"/>
      <c r="W2385" s="5" t="str">
        <f>IFERROR(__xludf.DUMMYFUNCTION("""COMPUTED_VALUE"""),"R simon")</f>
        <v>R simon</v>
      </c>
    </row>
    <row r="2386" ht="15.75" customHeight="1">
      <c r="A2386" s="3">
        <f>IFERROR(__xludf.DUMMYFUNCTION("""COMPUTED_VALUE"""),2386.0)</f>
        <v>2386</v>
      </c>
      <c r="B2386" s="53">
        <f>IFERROR(__xludf.DUMMYFUNCTION("""COMPUTED_VALUE"""),46151.0)</f>
        <v>46151</v>
      </c>
      <c r="C2386" s="3">
        <f>IFERROR(__xludf.DUMMYFUNCTION("""COMPUTED_VALUE"""),42.0)</f>
        <v>42</v>
      </c>
      <c r="D2386" s="3" t="str">
        <f>IFERROR(__xludf.DUMMYFUNCTION("""COMPUTED_VALUE"""),"759766f6")</f>
        <v>759766f6</v>
      </c>
      <c r="E2386" s="54">
        <f>IFERROR(__xludf.DUMMYFUNCTION("""COMPUTED_VALUE"""),35900.0)</f>
        <v>35900</v>
      </c>
      <c r="F2386" s="3" t="str">
        <f>IFERROR(__xludf.DUMMYFUNCTION("""COMPUTED_VALUE"""),"Bonarda")</f>
        <v>Bonarda</v>
      </c>
      <c r="G2386" s="55">
        <f>IFERROR(__xludf.DUMMYFUNCTION("""COMPUTED_VALUE"""),12.5)</f>
        <v>12.5</v>
      </c>
      <c r="H2386" s="56">
        <f>IFERROR(__xludf.DUMMYFUNCTION("""COMPUTED_VALUE"""),1.99)</f>
        <v>1.99</v>
      </c>
      <c r="I2386" s="57">
        <f>IFERROR(__xludf.DUMMYFUNCTION("""COMPUTED_VALUE"""),0.35)</f>
        <v>0.35</v>
      </c>
      <c r="J2386" s="57">
        <f>IFERROR(__xludf.DUMMYFUNCTION("""COMPUTED_VALUE"""),4.72)</f>
        <v>4.72</v>
      </c>
      <c r="K2386" s="3"/>
      <c r="L2386" s="3"/>
      <c r="M2386" s="3"/>
      <c r="N2386" s="3"/>
      <c r="O2386" s="3"/>
      <c r="P2386" s="3"/>
      <c r="Q2386" s="3"/>
      <c r="R2386" s="3">
        <f>IFERROR(__xludf.DUMMYFUNCTION("""COMPUTED_VALUE"""),0.0)</f>
        <v>0</v>
      </c>
      <c r="S2386" s="3"/>
      <c r="T2386" s="5"/>
      <c r="U2386" s="5"/>
      <c r="V2386" s="5"/>
      <c r="W2386" s="5" t="str">
        <f>IFERROR(__xludf.DUMMYFUNCTION("""COMPUTED_VALUE"""),"R simon")</f>
        <v>R simon</v>
      </c>
    </row>
    <row r="2387" ht="15.75" customHeight="1">
      <c r="A2387" s="3">
        <f>IFERROR(__xludf.DUMMYFUNCTION("""COMPUTED_VALUE"""),2387.0)</f>
        <v>2387</v>
      </c>
      <c r="B2387" s="53">
        <f>IFERROR(__xludf.DUMMYFUNCTION("""COMPUTED_VALUE"""),46151.0)</f>
        <v>46151</v>
      </c>
      <c r="C2387" s="3">
        <f>IFERROR(__xludf.DUMMYFUNCTION("""COMPUTED_VALUE"""),45.0)</f>
        <v>45</v>
      </c>
      <c r="D2387" s="3" t="str">
        <f>IFERROR(__xludf.DUMMYFUNCTION("""COMPUTED_VALUE"""),"3f401895")</f>
        <v>3f401895</v>
      </c>
      <c r="E2387" s="54">
        <f>IFERROR(__xludf.DUMMYFUNCTION("""COMPUTED_VALUE"""),30000.0)</f>
        <v>30000</v>
      </c>
      <c r="F2387" s="3" t="str">
        <f>IFERROR(__xludf.DUMMYFUNCTION("""COMPUTED_VALUE"""),"Bonarda PC")</f>
        <v>Bonarda PC</v>
      </c>
      <c r="G2387" s="55">
        <f>IFERROR(__xludf.DUMMYFUNCTION("""COMPUTED_VALUE"""),12.6)</f>
        <v>12.6</v>
      </c>
      <c r="H2387" s="56">
        <f>IFERROR(__xludf.DUMMYFUNCTION("""COMPUTED_VALUE"""),1.91)</f>
        <v>1.91</v>
      </c>
      <c r="I2387" s="57">
        <f>IFERROR(__xludf.DUMMYFUNCTION("""COMPUTED_VALUE"""),0.27)</f>
        <v>0.27</v>
      </c>
      <c r="J2387" s="57">
        <f>IFERROR(__xludf.DUMMYFUNCTION("""COMPUTED_VALUE"""),5.7)</f>
        <v>5.7</v>
      </c>
      <c r="K2387" s="3"/>
      <c r="L2387" s="3"/>
      <c r="M2387" s="3"/>
      <c r="N2387" s="3"/>
      <c r="O2387" s="3"/>
      <c r="P2387" s="3"/>
      <c r="Q2387" s="3"/>
      <c r="R2387" s="3">
        <f>IFERROR(__xludf.DUMMYFUNCTION("""COMPUTED_VALUE"""),0.0)</f>
        <v>0</v>
      </c>
      <c r="S2387" s="3"/>
      <c r="T2387" s="5"/>
      <c r="U2387" s="5"/>
      <c r="V2387" s="5"/>
      <c r="W2387" s="5" t="str">
        <f>IFERROR(__xludf.DUMMYFUNCTION("""COMPUTED_VALUE"""),"R simon")</f>
        <v>R simon</v>
      </c>
    </row>
    <row r="2388" ht="15.75" customHeight="1">
      <c r="A2388" s="3">
        <f>IFERROR(__xludf.DUMMYFUNCTION("""COMPUTED_VALUE"""),2388.0)</f>
        <v>2388</v>
      </c>
      <c r="B2388" s="53">
        <f>IFERROR(__xludf.DUMMYFUNCTION("""COMPUTED_VALUE"""),46151.0)</f>
        <v>46151</v>
      </c>
      <c r="C2388" s="3">
        <f>IFERROR(__xludf.DUMMYFUNCTION("""COMPUTED_VALUE"""),51.0)</f>
        <v>51</v>
      </c>
      <c r="D2388" s="3" t="str">
        <f>IFERROR(__xludf.DUMMYFUNCTION("""COMPUTED_VALUE"""),"2f82461c")</f>
        <v>2f82461c</v>
      </c>
      <c r="E2388" s="54">
        <f>IFERROR(__xludf.DUMMYFUNCTION("""COMPUTED_VALUE"""),1000.0)</f>
        <v>1000</v>
      </c>
      <c r="F2388" s="3" t="str">
        <f>IFERROR(__xludf.DUMMYFUNCTION("""COMPUTED_VALUE"""),"Criolla Vol")</f>
        <v>Criolla Vol</v>
      </c>
      <c r="G2388" s="55">
        <f>IFERROR(__xludf.DUMMYFUNCTION("""COMPUTED_VALUE"""),12.8)</f>
        <v>12.8</v>
      </c>
      <c r="H2388" s="56">
        <f>IFERROR(__xludf.DUMMYFUNCTION("""COMPUTED_VALUE"""),3.75)</f>
        <v>3.75</v>
      </c>
      <c r="I2388" s="57">
        <f>IFERROR(__xludf.DUMMYFUNCTION("""COMPUTED_VALUE"""),0.46)</f>
        <v>0.46</v>
      </c>
      <c r="J2388" s="57">
        <f>IFERROR(__xludf.DUMMYFUNCTION("""COMPUTED_VALUE"""),5.02)</f>
        <v>5.02</v>
      </c>
      <c r="K2388" s="3"/>
      <c r="L2388" s="3"/>
      <c r="M2388" s="3"/>
      <c r="N2388" s="3"/>
      <c r="O2388" s="3"/>
      <c r="P2388" s="3"/>
      <c r="Q2388" s="3"/>
      <c r="R2388" s="3">
        <f>IFERROR(__xludf.DUMMYFUNCTION("""COMPUTED_VALUE"""),0.0)</f>
        <v>0</v>
      </c>
      <c r="S2388" s="3"/>
      <c r="T2388" s="5"/>
      <c r="U2388" s="5"/>
      <c r="V2388" s="5"/>
      <c r="W2388" s="5" t="str">
        <f>IFERROR(__xludf.DUMMYFUNCTION("""COMPUTED_VALUE"""),"R simon")</f>
        <v>R simon</v>
      </c>
    </row>
    <row r="2389" ht="15.75" customHeight="1">
      <c r="A2389" s="3">
        <f>IFERROR(__xludf.DUMMYFUNCTION("""COMPUTED_VALUE"""),2389.0)</f>
        <v>2389</v>
      </c>
      <c r="B2389" s="53">
        <f>IFERROR(__xludf.DUMMYFUNCTION("""COMPUTED_VALUE"""),46151.0)</f>
        <v>46151</v>
      </c>
      <c r="C2389" s="3">
        <f>IFERROR(__xludf.DUMMYFUNCTION("""COMPUTED_VALUE"""),86.0)</f>
        <v>86</v>
      </c>
      <c r="D2389" s="3" t="str">
        <f>IFERROR(__xludf.DUMMYFUNCTION("""COMPUTED_VALUE"""),"3dbf6d25")</f>
        <v>3dbf6d25</v>
      </c>
      <c r="E2389" s="54">
        <f>IFERROR(__xludf.DUMMYFUNCTION("""COMPUTED_VALUE"""),88000.0)</f>
        <v>88000</v>
      </c>
      <c r="F2389" s="3" t="str">
        <f>IFERROR(__xludf.DUMMYFUNCTION("""COMPUTED_VALUE"""),"Syrah Anc PC s/Asp 2")</f>
        <v>Syrah Anc PC s/Asp 2</v>
      </c>
      <c r="G2389" s="55">
        <f>IFERROR(__xludf.DUMMYFUNCTION("""COMPUTED_VALUE"""),13.2)</f>
        <v>13.2</v>
      </c>
      <c r="H2389" s="56">
        <f>IFERROR(__xludf.DUMMYFUNCTION("""COMPUTED_VALUE"""),1.94)</f>
        <v>1.94</v>
      </c>
      <c r="I2389" s="57">
        <f>IFERROR(__xludf.DUMMYFUNCTION("""COMPUTED_VALUE"""),0.49)</f>
        <v>0.49</v>
      </c>
      <c r="J2389" s="57">
        <f>IFERROR(__xludf.DUMMYFUNCTION("""COMPUTED_VALUE"""),5.1)</f>
        <v>5.1</v>
      </c>
      <c r="K2389" s="3"/>
      <c r="L2389" s="3"/>
      <c r="M2389" s="3"/>
      <c r="N2389" s="3"/>
      <c r="O2389" s="3"/>
      <c r="P2389" s="3"/>
      <c r="Q2389" s="3"/>
      <c r="R2389" s="3">
        <f>IFERROR(__xludf.DUMMYFUNCTION("""COMPUTED_VALUE"""),0.0)</f>
        <v>0</v>
      </c>
      <c r="S2389" s="3"/>
      <c r="T2389" s="5"/>
      <c r="U2389" s="5"/>
      <c r="V2389" s="5"/>
      <c r="W2389" s="5" t="str">
        <f>IFERROR(__xludf.DUMMYFUNCTION("""COMPUTED_VALUE"""),"R simon")</f>
        <v>R simon</v>
      </c>
    </row>
    <row r="2390" ht="15.75" customHeight="1">
      <c r="A2390" s="3">
        <f>IFERROR(__xludf.DUMMYFUNCTION("""COMPUTED_VALUE"""),2390.0)</f>
        <v>2390</v>
      </c>
      <c r="B2390" s="53">
        <f>IFERROR(__xludf.DUMMYFUNCTION("""COMPUTED_VALUE"""),46151.0)</f>
        <v>46151</v>
      </c>
      <c r="C2390" s="3">
        <f>IFERROR(__xludf.DUMMYFUNCTION("""COMPUTED_VALUE"""),90.0)</f>
        <v>90</v>
      </c>
      <c r="D2390" s="3" t="str">
        <f>IFERROR(__xludf.DUMMYFUNCTION("""COMPUTED_VALUE"""),"33d07dd0")</f>
        <v>33d07dd0</v>
      </c>
      <c r="E2390" s="54">
        <f>IFERROR(__xludf.DUMMYFUNCTION("""COMPUTED_VALUE"""),97500.0)</f>
        <v>97500</v>
      </c>
      <c r="F2390" s="3" t="str">
        <f>IFERROR(__xludf.DUMMYFUNCTION("""COMPUTED_VALUE"""),"Bonarda")</f>
        <v>Bonarda</v>
      </c>
      <c r="G2390" s="55">
        <f>IFERROR(__xludf.DUMMYFUNCTION("""COMPUTED_VALUE"""),12.7)</f>
        <v>12.7</v>
      </c>
      <c r="H2390" s="56">
        <f>IFERROR(__xludf.DUMMYFUNCTION("""COMPUTED_VALUE"""),2.05)</f>
        <v>2.05</v>
      </c>
      <c r="I2390" s="57">
        <f>IFERROR(__xludf.DUMMYFUNCTION("""COMPUTED_VALUE"""),0.4)</f>
        <v>0.4</v>
      </c>
      <c r="J2390" s="57">
        <f>IFERROR(__xludf.DUMMYFUNCTION("""COMPUTED_VALUE"""),4.57)</f>
        <v>4.57</v>
      </c>
      <c r="K2390" s="3"/>
      <c r="L2390" s="3"/>
      <c r="M2390" s="3"/>
      <c r="N2390" s="3"/>
      <c r="O2390" s="3"/>
      <c r="P2390" s="3"/>
      <c r="Q2390" s="3"/>
      <c r="R2390" s="3">
        <f>IFERROR(__xludf.DUMMYFUNCTION("""COMPUTED_VALUE"""),0.0)</f>
        <v>0</v>
      </c>
      <c r="S2390" s="3"/>
      <c r="T2390" s="5"/>
      <c r="U2390" s="5"/>
      <c r="V2390" s="5"/>
      <c r="W2390" s="5" t="str">
        <f>IFERROR(__xludf.DUMMYFUNCTION("""COMPUTED_VALUE"""),"R simon")</f>
        <v>R simon</v>
      </c>
    </row>
    <row r="2391" ht="15.75" customHeight="1">
      <c r="A2391" s="3">
        <f>IFERROR(__xludf.DUMMYFUNCTION("""COMPUTED_VALUE"""),2391.0)</f>
        <v>2391</v>
      </c>
      <c r="B2391" s="53">
        <f>IFERROR(__xludf.DUMMYFUNCTION("""COMPUTED_VALUE"""),46151.0)</f>
        <v>46151</v>
      </c>
      <c r="C2391" s="3">
        <f>IFERROR(__xludf.DUMMYFUNCTION("""COMPUTED_VALUE"""),92.0)</f>
        <v>92</v>
      </c>
      <c r="D2391" s="3" t="str">
        <f>IFERROR(__xludf.DUMMYFUNCTION("""COMPUTED_VALUE"""),"71f14d09")</f>
        <v>71f14d09</v>
      </c>
      <c r="E2391" s="54">
        <f>IFERROR(__xludf.DUMMYFUNCTION("""COMPUTED_VALUE"""),60000.0)</f>
        <v>60000</v>
      </c>
      <c r="F2391" s="3" t="str">
        <f>IFERROR(__xludf.DUMMYFUNCTION("""COMPUTED_VALUE"""),"Criolla Recarga")</f>
        <v>Criolla Recarga</v>
      </c>
      <c r="G2391" s="55">
        <f>IFERROR(__xludf.DUMMYFUNCTION("""COMPUTED_VALUE"""),14.2)</f>
        <v>14.2</v>
      </c>
      <c r="H2391" s="56">
        <f>IFERROR(__xludf.DUMMYFUNCTION("""COMPUTED_VALUE"""),5.78)</f>
        <v>5.78</v>
      </c>
      <c r="I2391" s="57">
        <f>IFERROR(__xludf.DUMMYFUNCTION("""COMPUTED_VALUE"""),0.47)</f>
        <v>0.47</v>
      </c>
      <c r="J2391" s="57">
        <f>IFERROR(__xludf.DUMMYFUNCTION("""COMPUTED_VALUE"""),4.65)</f>
        <v>4.65</v>
      </c>
      <c r="K2391" s="3"/>
      <c r="L2391" s="3"/>
      <c r="M2391" s="3"/>
      <c r="N2391" s="3"/>
      <c r="O2391" s="3"/>
      <c r="P2391" s="3"/>
      <c r="Q2391" s="3"/>
      <c r="R2391" s="3">
        <f>IFERROR(__xludf.DUMMYFUNCTION("""COMPUTED_VALUE"""),0.0)</f>
        <v>0</v>
      </c>
      <c r="S2391" s="3"/>
      <c r="T2391" s="5"/>
      <c r="U2391" s="5"/>
      <c r="V2391" s="5"/>
      <c r="W2391" s="5" t="str">
        <f>IFERROR(__xludf.DUMMYFUNCTION("""COMPUTED_VALUE"""),"R simon")</f>
        <v>R simon</v>
      </c>
    </row>
    <row r="2392" ht="15.75" customHeight="1">
      <c r="A2392" s="3">
        <f>IFERROR(__xludf.DUMMYFUNCTION("""COMPUTED_VALUE"""),2392.0)</f>
        <v>2392</v>
      </c>
      <c r="B2392" s="53">
        <f>IFERROR(__xludf.DUMMYFUNCTION("""COMPUTED_VALUE"""),46151.0)</f>
        <v>46151</v>
      </c>
      <c r="C2392" s="3">
        <f>IFERROR(__xludf.DUMMYFUNCTION("""COMPUTED_VALUE"""),91.0)</f>
        <v>91</v>
      </c>
      <c r="D2392" s="3" t="str">
        <f>IFERROR(__xludf.DUMMYFUNCTION("""COMPUTED_VALUE"""),"34fa2752")</f>
        <v>34fa2752</v>
      </c>
      <c r="E2392" s="54">
        <f>IFERROR(__xludf.DUMMYFUNCTION("""COMPUTED_VALUE"""),86000.0)</f>
        <v>86000</v>
      </c>
      <c r="F2392" s="3" t="str">
        <f>IFERROR(__xludf.DUMMYFUNCTION("""COMPUTED_VALUE"""),"Bonarda C2")</f>
        <v>Bonarda C2</v>
      </c>
      <c r="G2392" s="55">
        <f>IFERROR(__xludf.DUMMYFUNCTION("""COMPUTED_VALUE"""),13.0)</f>
        <v>13</v>
      </c>
      <c r="H2392" s="56">
        <f>IFERROR(__xludf.DUMMYFUNCTION("""COMPUTED_VALUE"""),2.05)</f>
        <v>2.05</v>
      </c>
      <c r="I2392" s="57">
        <f>IFERROR(__xludf.DUMMYFUNCTION("""COMPUTED_VALUE"""),0.39)</f>
        <v>0.39</v>
      </c>
      <c r="J2392" s="57">
        <f>IFERROR(__xludf.DUMMYFUNCTION("""COMPUTED_VALUE"""),4.65)</f>
        <v>4.65</v>
      </c>
      <c r="K2392" s="3"/>
      <c r="L2392" s="3"/>
      <c r="M2392" s="3"/>
      <c r="N2392" s="3"/>
      <c r="O2392" s="3"/>
      <c r="P2392" s="3"/>
      <c r="Q2392" s="3"/>
      <c r="R2392" s="3">
        <f>IFERROR(__xludf.DUMMYFUNCTION("""COMPUTED_VALUE"""),0.0)</f>
        <v>0</v>
      </c>
      <c r="S2392" s="3"/>
      <c r="T2392" s="5"/>
      <c r="U2392" s="5"/>
      <c r="V2392" s="5"/>
      <c r="W2392" s="5" t="str">
        <f>IFERROR(__xludf.DUMMYFUNCTION("""COMPUTED_VALUE"""),"R simon")</f>
        <v>R simon</v>
      </c>
    </row>
    <row r="2393" ht="15.75" customHeight="1">
      <c r="A2393" s="3">
        <f>IFERROR(__xludf.DUMMYFUNCTION("""COMPUTED_VALUE"""),2393.0)</f>
        <v>2393</v>
      </c>
      <c r="B2393" s="53">
        <f>IFERROR(__xludf.DUMMYFUNCTION("""COMPUTED_VALUE"""),46151.0)</f>
        <v>46151</v>
      </c>
      <c r="C2393" s="3">
        <f>IFERROR(__xludf.DUMMYFUNCTION("""COMPUTED_VALUE"""),96.0)</f>
        <v>96</v>
      </c>
      <c r="D2393" s="3" t="str">
        <f>IFERROR(__xludf.DUMMYFUNCTION("""COMPUTED_VALUE"""),"6ccca7d0")</f>
        <v>6ccca7d0</v>
      </c>
      <c r="E2393" s="54">
        <f>IFERROR(__xludf.DUMMYFUNCTION("""COMPUTED_VALUE"""),85600.0)</f>
        <v>85600</v>
      </c>
      <c r="F2393" s="3" t="str">
        <f>IFERROR(__xludf.DUMMYFUNCTION("""COMPUTED_VALUE"""),"Criolla Recarga")</f>
        <v>Criolla Recarga</v>
      </c>
      <c r="G2393" s="55">
        <f>IFERROR(__xludf.DUMMYFUNCTION("""COMPUTED_VALUE"""),13.6)</f>
        <v>13.6</v>
      </c>
      <c r="H2393" s="56">
        <f>IFERROR(__xludf.DUMMYFUNCTION("""COMPUTED_VALUE"""),2.65)</f>
        <v>2.65</v>
      </c>
      <c r="I2393" s="57">
        <f>IFERROR(__xludf.DUMMYFUNCTION("""COMPUTED_VALUE"""),0.36)</f>
        <v>0.36</v>
      </c>
      <c r="J2393" s="57">
        <f>IFERROR(__xludf.DUMMYFUNCTION("""COMPUTED_VALUE"""),4.65)</f>
        <v>4.65</v>
      </c>
      <c r="K2393" s="3"/>
      <c r="L2393" s="3"/>
      <c r="M2393" s="3"/>
      <c r="N2393" s="3"/>
      <c r="O2393" s="3"/>
      <c r="P2393" s="3"/>
      <c r="Q2393" s="3"/>
      <c r="R2393" s="3">
        <f>IFERROR(__xludf.DUMMYFUNCTION("""COMPUTED_VALUE"""),0.0)</f>
        <v>0</v>
      </c>
      <c r="S2393" s="3"/>
      <c r="T2393" s="5"/>
      <c r="U2393" s="5"/>
      <c r="V2393" s="5"/>
      <c r="W2393" s="5" t="str">
        <f>IFERROR(__xludf.DUMMYFUNCTION("""COMPUTED_VALUE"""),"R simon")</f>
        <v>R simon</v>
      </c>
    </row>
    <row r="2394" ht="15.75" customHeight="1">
      <c r="A2394" s="3">
        <f>IFERROR(__xludf.DUMMYFUNCTION("""COMPUTED_VALUE"""),2394.0)</f>
        <v>2394</v>
      </c>
      <c r="B2394" s="53">
        <f>IFERROR(__xludf.DUMMYFUNCTION("""COMPUTED_VALUE"""),46151.0)</f>
        <v>46151</v>
      </c>
      <c r="C2394" s="3">
        <f>IFERROR(__xludf.DUMMYFUNCTION("""COMPUTED_VALUE"""),102.0)</f>
        <v>102</v>
      </c>
      <c r="D2394" s="3" t="str">
        <f>IFERROR(__xludf.DUMMYFUNCTION("""COMPUTED_VALUE"""),"d692801e")</f>
        <v>d692801e</v>
      </c>
      <c r="E2394" s="54">
        <f>IFERROR(__xludf.DUMMYFUNCTION("""COMPUTED_VALUE"""),31000.0)</f>
        <v>31000</v>
      </c>
      <c r="F2394" s="3" t="str">
        <f>IFERROR(__xludf.DUMMYFUNCTION("""COMPUTED_VALUE"""),"Syrah Anc s/Asp 2")</f>
        <v>Syrah Anc s/Asp 2</v>
      </c>
      <c r="G2394" s="55">
        <f>IFERROR(__xludf.DUMMYFUNCTION("""COMPUTED_VALUE"""),13.6)</f>
        <v>13.6</v>
      </c>
      <c r="H2394" s="56">
        <f>IFERROR(__xludf.DUMMYFUNCTION("""COMPUTED_VALUE"""),2.6)</f>
        <v>2.6</v>
      </c>
      <c r="I2394" s="57">
        <f>IFERROR(__xludf.DUMMYFUNCTION("""COMPUTED_VALUE"""),0.35)</f>
        <v>0.35</v>
      </c>
      <c r="J2394" s="57">
        <f>IFERROR(__xludf.DUMMYFUNCTION("""COMPUTED_VALUE"""),5.02)</f>
        <v>5.02</v>
      </c>
      <c r="K2394" s="3"/>
      <c r="L2394" s="3"/>
      <c r="M2394" s="3"/>
      <c r="N2394" s="3"/>
      <c r="O2394" s="3"/>
      <c r="P2394" s="3"/>
      <c r="Q2394" s="3"/>
      <c r="R2394" s="3">
        <f>IFERROR(__xludf.DUMMYFUNCTION("""COMPUTED_VALUE"""),0.0)</f>
        <v>0</v>
      </c>
      <c r="S2394" s="3"/>
      <c r="T2394" s="5"/>
      <c r="U2394" s="5"/>
      <c r="V2394" s="5"/>
      <c r="W2394" s="5" t="str">
        <f>IFERROR(__xludf.DUMMYFUNCTION("""COMPUTED_VALUE"""),"R simon")</f>
        <v>R simon</v>
      </c>
    </row>
    <row r="2395" ht="15.75" customHeight="1">
      <c r="A2395" s="3">
        <f>IFERROR(__xludf.DUMMYFUNCTION("""COMPUTED_VALUE"""),2395.0)</f>
        <v>2395</v>
      </c>
      <c r="B2395" s="53">
        <f>IFERROR(__xludf.DUMMYFUNCTION("""COMPUTED_VALUE"""),46151.0)</f>
        <v>46151</v>
      </c>
      <c r="C2395" s="3">
        <f>IFERROR(__xludf.DUMMYFUNCTION("""COMPUTED_VALUE"""),120.0)</f>
        <v>120</v>
      </c>
      <c r="D2395" s="3" t="str">
        <f>IFERROR(__xludf.DUMMYFUNCTION("""COMPUTED_VALUE"""),"aa8077cb")</f>
        <v>aa8077cb</v>
      </c>
      <c r="E2395" s="54">
        <f>IFERROR(__xludf.DUMMYFUNCTION("""COMPUTED_VALUE"""),85800.0)</f>
        <v>85800</v>
      </c>
      <c r="F2395" s="3" t="str">
        <f>IFERROR(__xludf.DUMMYFUNCTION("""COMPUTED_VALUE"""),"Aspirant Anccelota PC")</f>
        <v>Aspirant Anccelota PC</v>
      </c>
      <c r="G2395" s="55">
        <f>IFERROR(__xludf.DUMMYFUNCTION("""COMPUTED_VALUE"""),12.6)</f>
        <v>12.6</v>
      </c>
      <c r="H2395" s="56">
        <f>IFERROR(__xludf.DUMMYFUNCTION("""COMPUTED_VALUE"""),2.05)</f>
        <v>2.05</v>
      </c>
      <c r="I2395" s="57">
        <f>IFERROR(__xludf.DUMMYFUNCTION("""COMPUTED_VALUE"""),0.43)</f>
        <v>0.43</v>
      </c>
      <c r="J2395" s="57">
        <f>IFERROR(__xludf.DUMMYFUNCTION("""COMPUTED_VALUE"""),5.85)</f>
        <v>5.85</v>
      </c>
      <c r="K2395" s="3"/>
      <c r="L2395" s="3"/>
      <c r="M2395" s="3"/>
      <c r="N2395" s="3"/>
      <c r="O2395" s="3"/>
      <c r="P2395" s="3"/>
      <c r="Q2395" s="3"/>
      <c r="R2395" s="3">
        <f>IFERROR(__xludf.DUMMYFUNCTION("""COMPUTED_VALUE"""),0.0)</f>
        <v>0</v>
      </c>
      <c r="S2395" s="3"/>
      <c r="T2395" s="5"/>
      <c r="U2395" s="5"/>
      <c r="V2395" s="5"/>
      <c r="W2395" s="5" t="str">
        <f>IFERROR(__xludf.DUMMYFUNCTION("""COMPUTED_VALUE"""),"R simon")</f>
        <v>R simon</v>
      </c>
    </row>
    <row r="2396" ht="15.75" customHeight="1">
      <c r="A2396" s="3">
        <f>IFERROR(__xludf.DUMMYFUNCTION("""COMPUTED_VALUE"""),2396.0)</f>
        <v>2396</v>
      </c>
      <c r="B2396" s="53">
        <f>IFERROR(__xludf.DUMMYFUNCTION("""COMPUTED_VALUE"""),46151.0)</f>
        <v>46151</v>
      </c>
      <c r="C2396" s="3">
        <f>IFERROR(__xludf.DUMMYFUNCTION("""COMPUTED_VALUE"""),125.0)</f>
        <v>125</v>
      </c>
      <c r="D2396" s="3" t="str">
        <f>IFERROR(__xludf.DUMMYFUNCTION("""COMPUTED_VALUE"""),"3574f330")</f>
        <v>3574f330</v>
      </c>
      <c r="E2396" s="54">
        <f>IFERROR(__xludf.DUMMYFUNCTION("""COMPUTED_VALUE"""),31000.0)</f>
        <v>31000</v>
      </c>
      <c r="F2396" s="3" t="str">
        <f>IFERROR(__xludf.DUMMYFUNCTION("""COMPUTED_VALUE"""),"Syrah Anc s/Asp 2")</f>
        <v>Syrah Anc s/Asp 2</v>
      </c>
      <c r="G2396" s="55">
        <f>IFERROR(__xludf.DUMMYFUNCTION("""COMPUTED_VALUE"""),13.5)</f>
        <v>13.5</v>
      </c>
      <c r="H2396" s="56">
        <f>IFERROR(__xludf.DUMMYFUNCTION("""COMPUTED_VALUE"""),1.96)</f>
        <v>1.96</v>
      </c>
      <c r="I2396" s="57">
        <f>IFERROR(__xludf.DUMMYFUNCTION("""COMPUTED_VALUE"""),0.35)</f>
        <v>0.35</v>
      </c>
      <c r="J2396" s="57">
        <f>IFERROR(__xludf.DUMMYFUNCTION("""COMPUTED_VALUE"""),5.32)</f>
        <v>5.32</v>
      </c>
      <c r="K2396" s="3"/>
      <c r="L2396" s="3"/>
      <c r="M2396" s="3"/>
      <c r="N2396" s="3"/>
      <c r="O2396" s="3"/>
      <c r="P2396" s="3"/>
      <c r="Q2396" s="3"/>
      <c r="R2396" s="3">
        <f>IFERROR(__xludf.DUMMYFUNCTION("""COMPUTED_VALUE"""),0.0)</f>
        <v>0</v>
      </c>
      <c r="S2396" s="3"/>
      <c r="T2396" s="5"/>
      <c r="U2396" s="5"/>
      <c r="V2396" s="5"/>
      <c r="W2396" s="5" t="str">
        <f>IFERROR(__xludf.DUMMYFUNCTION("""COMPUTED_VALUE"""),"R simon")</f>
        <v>R simon</v>
      </c>
    </row>
    <row r="2397" ht="15.75" customHeight="1">
      <c r="A2397" s="3">
        <f>IFERROR(__xludf.DUMMYFUNCTION("""COMPUTED_VALUE"""),2397.0)</f>
        <v>2397</v>
      </c>
      <c r="B2397" s="53">
        <f>IFERROR(__xludf.DUMMYFUNCTION("""COMPUTED_VALUE"""),46151.0)</f>
        <v>46151</v>
      </c>
      <c r="C2397" s="3">
        <f>IFERROR(__xludf.DUMMYFUNCTION("""COMPUTED_VALUE"""),127.0)</f>
        <v>127</v>
      </c>
      <c r="D2397" s="3" t="str">
        <f>IFERROR(__xludf.DUMMYFUNCTION("""COMPUTED_VALUE"""),"8ee1438e")</f>
        <v>8ee1438e</v>
      </c>
      <c r="E2397" s="54">
        <f>IFERROR(__xludf.DUMMYFUNCTION("""COMPUTED_VALUE"""),31000.0)</f>
        <v>31000</v>
      </c>
      <c r="F2397" s="3" t="str">
        <f>IFERROR(__xludf.DUMMYFUNCTION("""COMPUTED_VALUE"""),"Criolla Vol")</f>
        <v>Criolla Vol</v>
      </c>
      <c r="G2397" s="55">
        <f>IFERROR(__xludf.DUMMYFUNCTION("""COMPUTED_VALUE"""),12.2)</f>
        <v>12.2</v>
      </c>
      <c r="H2397" s="56">
        <f>IFERROR(__xludf.DUMMYFUNCTION("""COMPUTED_VALUE"""),-1.8)</f>
        <v>-1.8</v>
      </c>
      <c r="I2397" s="57">
        <f>IFERROR(__xludf.DUMMYFUNCTION("""COMPUTED_VALUE"""),0.9)</f>
        <v>0.9</v>
      </c>
      <c r="J2397" s="57">
        <f>IFERROR(__xludf.DUMMYFUNCTION("""COMPUTED_VALUE"""),5.85)</f>
        <v>5.85</v>
      </c>
      <c r="K2397" s="3"/>
      <c r="L2397" s="3"/>
      <c r="M2397" s="3"/>
      <c r="N2397" s="3"/>
      <c r="O2397" s="3"/>
      <c r="P2397" s="3"/>
      <c r="Q2397" s="3"/>
      <c r="R2397" s="3">
        <f>IFERROR(__xludf.DUMMYFUNCTION("""COMPUTED_VALUE"""),0.0)</f>
        <v>0</v>
      </c>
      <c r="S2397" s="3"/>
      <c r="T2397" s="5"/>
      <c r="U2397" s="5"/>
      <c r="V2397" s="5"/>
      <c r="W2397" s="5" t="str">
        <f>IFERROR(__xludf.DUMMYFUNCTION("""COMPUTED_VALUE"""),"R simon")</f>
        <v>R simon</v>
      </c>
    </row>
    <row r="2398" ht="15.75" customHeight="1">
      <c r="A2398" s="3">
        <f>IFERROR(__xludf.DUMMYFUNCTION("""COMPUTED_VALUE"""),2398.0)</f>
        <v>2398</v>
      </c>
      <c r="B2398" s="53">
        <f>IFERROR(__xludf.DUMMYFUNCTION("""COMPUTED_VALUE"""),46153.0)</f>
        <v>46153</v>
      </c>
      <c r="C2398" s="3">
        <f>IFERROR(__xludf.DUMMYFUNCTION("""COMPUTED_VALUE"""),85.0)</f>
        <v>85</v>
      </c>
      <c r="D2398" s="3" t="str">
        <f>IFERROR(__xludf.DUMMYFUNCTION("""COMPUTED_VALUE"""),"d12d20f3")</f>
        <v>d12d20f3</v>
      </c>
      <c r="E2398" s="54">
        <f>IFERROR(__xludf.DUMMYFUNCTION("""COMPUTED_VALUE"""),48000.0)</f>
        <v>48000</v>
      </c>
      <c r="F2398" s="3" t="str">
        <f>IFERROR(__xludf.DUMMYFUNCTION("""COMPUTED_VALUE"""),"Bonarda")</f>
        <v>Bonarda</v>
      </c>
      <c r="G2398" s="3"/>
      <c r="H2398" s="56">
        <f>IFERROR(__xludf.DUMMYFUNCTION("""COMPUTED_VALUE"""),5.4)</f>
        <v>5.4</v>
      </c>
      <c r="I2398" s="57">
        <f>IFERROR(__xludf.DUMMYFUNCTION("""COMPUTED_VALUE"""),0.34)</f>
        <v>0.34</v>
      </c>
      <c r="J2398" s="3"/>
      <c r="K2398" s="3"/>
      <c r="L2398" s="3"/>
      <c r="M2398" s="3"/>
      <c r="N2398" s="3"/>
      <c r="O2398" s="3"/>
      <c r="P2398" s="3"/>
      <c r="Q2398" s="3"/>
      <c r="R2398" s="3">
        <f>IFERROR(__xludf.DUMMYFUNCTION("""COMPUTED_VALUE"""),0.0)</f>
        <v>0</v>
      </c>
      <c r="S2398" s="3"/>
      <c r="T2398" s="5"/>
      <c r="U2398" s="5"/>
      <c r="V2398" s="5"/>
      <c r="W2398" s="5"/>
    </row>
    <row r="2399" ht="15.75" customHeight="1">
      <c r="A2399" s="3">
        <f>IFERROR(__xludf.DUMMYFUNCTION("""COMPUTED_VALUE"""),2399.0)</f>
        <v>2399</v>
      </c>
      <c r="B2399" s="53">
        <f>IFERROR(__xludf.DUMMYFUNCTION("""COMPUTED_VALUE"""),46153.0)</f>
        <v>46153</v>
      </c>
      <c r="C2399" s="3">
        <f>IFERROR(__xludf.DUMMYFUNCTION("""COMPUTED_VALUE"""),76.0)</f>
        <v>76</v>
      </c>
      <c r="D2399" s="3" t="str">
        <f>IFERROR(__xludf.DUMMYFUNCTION("""COMPUTED_VALUE"""),"b078fbc6")</f>
        <v>b078fbc6</v>
      </c>
      <c r="E2399" s="54">
        <f>IFERROR(__xludf.DUMMYFUNCTION("""COMPUTED_VALUE"""),18000.0)</f>
        <v>18000</v>
      </c>
      <c r="F2399" s="3" t="str">
        <f>IFERROR(__xludf.DUMMYFUNCTION("""COMPUTED_VALUE"""),"Bonarda")</f>
        <v>Bonarda</v>
      </c>
      <c r="G2399" s="3"/>
      <c r="H2399" s="56">
        <f>IFERROR(__xludf.DUMMYFUNCTION("""COMPUTED_VALUE"""),5.0)</f>
        <v>5</v>
      </c>
      <c r="I2399" s="57">
        <f>IFERROR(__xludf.DUMMYFUNCTION("""COMPUTED_VALUE"""),0.47)</f>
        <v>0.47</v>
      </c>
      <c r="J2399" s="3"/>
      <c r="K2399" s="3"/>
      <c r="L2399" s="3"/>
      <c r="M2399" s="3"/>
      <c r="N2399" s="3"/>
      <c r="O2399" s="3"/>
      <c r="P2399" s="3"/>
      <c r="Q2399" s="3"/>
      <c r="R2399" s="3">
        <f>IFERROR(__xludf.DUMMYFUNCTION("""COMPUTED_VALUE"""),0.0)</f>
        <v>0</v>
      </c>
      <c r="S2399" s="3"/>
      <c r="T2399" s="5"/>
      <c r="U2399" s="5"/>
      <c r="V2399" s="5"/>
      <c r="W2399" s="5"/>
    </row>
    <row r="2400" ht="15.75" customHeight="1">
      <c r="A2400" s="3">
        <f>IFERROR(__xludf.DUMMYFUNCTION("""COMPUTED_VALUE"""),2400.0)</f>
        <v>2400</v>
      </c>
      <c r="B2400" s="53">
        <f>IFERROR(__xludf.DUMMYFUNCTION("""COMPUTED_VALUE"""),46154.0)</f>
        <v>46154</v>
      </c>
      <c r="C2400" s="3">
        <f>IFERROR(__xludf.DUMMYFUNCTION("""COMPUTED_VALUE"""),121.0)</f>
        <v>121</v>
      </c>
      <c r="D2400" s="3" t="str">
        <f>IFERROR(__xludf.DUMMYFUNCTION("""COMPUTED_VALUE"""),"fd6b0834")</f>
        <v>fd6b0834</v>
      </c>
      <c r="E2400" s="54">
        <f>IFERROR(__xludf.DUMMYFUNCTION("""COMPUTED_VALUE"""),50400.0)</f>
        <v>50400</v>
      </c>
      <c r="F2400" s="3" t="str">
        <f>IFERROR(__xludf.DUMMYFUNCTION("""COMPUTED_VALUE"""),"Chardonnay Salentein")</f>
        <v>Chardonnay Salentein</v>
      </c>
      <c r="G2400" s="55">
        <f>IFERROR(__xludf.DUMMYFUNCTION("""COMPUTED_VALUE"""),12.3)</f>
        <v>12.3</v>
      </c>
      <c r="H2400" s="56">
        <f>IFERROR(__xludf.DUMMYFUNCTION("""COMPUTED_VALUE"""),2.0)</f>
        <v>2</v>
      </c>
      <c r="I2400" s="3"/>
      <c r="J2400" s="57">
        <f>IFERROR(__xludf.DUMMYFUNCTION("""COMPUTED_VALUE"""),6.9)</f>
        <v>6.9</v>
      </c>
      <c r="K2400" s="57">
        <f>IFERROR(__xludf.DUMMYFUNCTION("""COMPUTED_VALUE"""),3.35)</f>
        <v>3.35</v>
      </c>
      <c r="L2400" s="54">
        <f>IFERROR(__xludf.DUMMYFUNCTION("""COMPUTED_VALUE"""),35.0)</f>
        <v>35</v>
      </c>
      <c r="M2400" s="3"/>
      <c r="N2400" s="3"/>
      <c r="O2400" s="3"/>
      <c r="P2400" s="3"/>
      <c r="Q2400" s="3"/>
      <c r="R2400" s="3">
        <f>IFERROR(__xludf.DUMMYFUNCTION("""COMPUTED_VALUE"""),0.0)</f>
        <v>0</v>
      </c>
      <c r="S2400" s="3"/>
      <c r="T2400" s="5"/>
      <c r="U2400" s="5"/>
      <c r="V2400" s="5"/>
      <c r="W2400" s="5"/>
    </row>
    <row r="2401" ht="15.75" customHeight="1">
      <c r="A2401" s="3">
        <f>IFERROR(__xludf.DUMMYFUNCTION("""COMPUTED_VALUE"""),2401.0)</f>
        <v>2401</v>
      </c>
      <c r="B2401" s="53">
        <f>IFERROR(__xludf.DUMMYFUNCTION("""COMPUTED_VALUE"""),46156.0)</f>
        <v>46156</v>
      </c>
      <c r="C2401" s="3">
        <f>IFERROR(__xludf.DUMMYFUNCTION("""COMPUTED_VALUE"""),36.0)</f>
        <v>36</v>
      </c>
      <c r="D2401" s="3" t="str">
        <f>IFERROR(__xludf.DUMMYFUNCTION("""COMPUTED_VALUE"""),"#REF!")</f>
        <v>#REF!</v>
      </c>
      <c r="E2401" s="3"/>
      <c r="F2401" s="3" t="str">
        <f>IFERROR(__xludf.DUMMYFUNCTION("""COMPUTED_VALUE"""),"Criola rectificado volatil")</f>
        <v>Criola rectificado volatil</v>
      </c>
      <c r="G2401" s="3"/>
      <c r="H2401" s="3"/>
      <c r="I2401" s="57">
        <f>IFERROR(__xludf.DUMMYFUNCTION("""COMPUTED_VALUE"""),0.8)</f>
        <v>0.8</v>
      </c>
      <c r="J2401" s="3"/>
      <c r="K2401" s="57">
        <f>IFERROR(__xludf.DUMMYFUNCTION("""COMPUTED_VALUE"""),2.22)</f>
        <v>2.22</v>
      </c>
      <c r="L2401" s="54">
        <f>IFERROR(__xludf.DUMMYFUNCTION("""COMPUTED_VALUE"""),23.0)</f>
        <v>23</v>
      </c>
      <c r="M2401" s="3"/>
      <c r="N2401" s="3"/>
      <c r="O2401" s="3"/>
      <c r="P2401" s="3"/>
      <c r="Q2401" s="3"/>
      <c r="R2401" s="3">
        <f>IFERROR(__xludf.DUMMYFUNCTION("""COMPUTED_VALUE"""),0.0)</f>
        <v>0</v>
      </c>
      <c r="S2401" s="3"/>
      <c r="T2401" s="5"/>
      <c r="U2401" s="5"/>
      <c r="V2401" s="5"/>
      <c r="W2401" s="5"/>
    </row>
    <row r="2402" ht="15.75" customHeight="1">
      <c r="A2402" s="3">
        <f>IFERROR(__xludf.DUMMYFUNCTION("""COMPUTED_VALUE"""),2402.0)</f>
        <v>2402</v>
      </c>
      <c r="B2402" s="53">
        <f>IFERROR(__xludf.DUMMYFUNCTION("""COMPUTED_VALUE"""),46157.0)</f>
        <v>46157</v>
      </c>
      <c r="C2402" s="3">
        <f>IFERROR(__xludf.DUMMYFUNCTION("""COMPUTED_VALUE"""),30.0)</f>
        <v>30</v>
      </c>
      <c r="D2402" s="3" t="str">
        <f>IFERROR(__xludf.DUMMYFUNCTION("""COMPUTED_VALUE"""),"7925389c")</f>
        <v>7925389c</v>
      </c>
      <c r="E2402" s="54">
        <f>IFERROR(__xludf.DUMMYFUNCTION("""COMPUTED_VALUE"""),38800.0)</f>
        <v>38800</v>
      </c>
      <c r="F2402" s="3" t="str">
        <f>IFERROR(__xludf.DUMMYFUNCTION("""COMPUTED_VALUE"""),"Chardonnay Ch")</f>
        <v>Chardonnay Ch</v>
      </c>
      <c r="G2402" s="3"/>
      <c r="H2402" s="3"/>
      <c r="I2402" s="3"/>
      <c r="J2402" s="3"/>
      <c r="K2402" s="3"/>
      <c r="L2402" s="54">
        <f>IFERROR(__xludf.DUMMYFUNCTION("""COMPUTED_VALUE"""),32.0)</f>
        <v>32</v>
      </c>
      <c r="M2402" s="3"/>
      <c r="N2402" s="3"/>
      <c r="O2402" s="3"/>
      <c r="P2402" s="3"/>
      <c r="Q2402" s="3"/>
      <c r="R2402" s="3">
        <f>IFERROR(__xludf.DUMMYFUNCTION("""COMPUTED_VALUE"""),0.0)</f>
        <v>0</v>
      </c>
      <c r="S2402" s="3"/>
      <c r="T2402" s="5"/>
      <c r="U2402" s="5"/>
      <c r="V2402" s="5"/>
      <c r="W2402" s="5"/>
    </row>
    <row r="2403" ht="15.75" customHeight="1">
      <c r="A2403" s="3">
        <f>IFERROR(__xludf.DUMMYFUNCTION("""COMPUTED_VALUE"""),2403.0)</f>
        <v>2403</v>
      </c>
      <c r="B2403" s="53">
        <f>IFERROR(__xludf.DUMMYFUNCTION("""COMPUTED_VALUE"""),46157.0)</f>
        <v>46157</v>
      </c>
      <c r="C2403" s="3">
        <f>IFERROR(__xludf.DUMMYFUNCTION("""COMPUTED_VALUE"""),33.0)</f>
        <v>33</v>
      </c>
      <c r="D2403" s="3" t="str">
        <f>IFERROR(__xludf.DUMMYFUNCTION("""COMPUTED_VALUE"""),"ed08a2c0")</f>
        <v>ed08a2c0</v>
      </c>
      <c r="E2403" s="54">
        <f>IFERROR(__xludf.DUMMYFUNCTION("""COMPUTED_VALUE"""),25300.0)</f>
        <v>25300</v>
      </c>
      <c r="F2403" s="3" t="str">
        <f>IFERROR(__xludf.DUMMYFUNCTION("""COMPUTED_VALUE"""),"Chardonnay")</f>
        <v>Chardonnay</v>
      </c>
      <c r="G2403" s="3"/>
      <c r="H2403" s="3"/>
      <c r="I2403" s="3"/>
      <c r="J2403" s="3"/>
      <c r="K2403" s="3"/>
      <c r="L2403" s="54">
        <f>IFERROR(__xludf.DUMMYFUNCTION("""COMPUTED_VALUE"""),33.0)</f>
        <v>33</v>
      </c>
      <c r="M2403" s="3"/>
      <c r="N2403" s="3"/>
      <c r="O2403" s="3"/>
      <c r="P2403" s="3"/>
      <c r="Q2403" s="3"/>
      <c r="R2403" s="3">
        <f>IFERROR(__xludf.DUMMYFUNCTION("""COMPUTED_VALUE"""),0.0)</f>
        <v>0</v>
      </c>
      <c r="S2403" s="3"/>
      <c r="T2403" s="5"/>
      <c r="U2403" s="5"/>
      <c r="V2403" s="5"/>
      <c r="W2403" s="5"/>
    </row>
    <row r="2404" ht="15.75" customHeight="1">
      <c r="A2404" s="3">
        <f>IFERROR(__xludf.DUMMYFUNCTION("""COMPUTED_VALUE"""),2404.0)</f>
        <v>2404</v>
      </c>
      <c r="B2404" s="53">
        <f>IFERROR(__xludf.DUMMYFUNCTION("""COMPUTED_VALUE"""),46157.0)</f>
        <v>46157</v>
      </c>
      <c r="C2404" s="3">
        <f>IFERROR(__xludf.DUMMYFUNCTION("""COMPUTED_VALUE"""),44.0)</f>
        <v>44</v>
      </c>
      <c r="D2404" s="3" t="str">
        <f>IFERROR(__xludf.DUMMYFUNCTION("""COMPUTED_VALUE"""),"4a70a363")</f>
        <v>4a70a363</v>
      </c>
      <c r="E2404" s="54">
        <f>IFERROR(__xludf.DUMMYFUNCTION("""COMPUTED_VALUE"""),19100.0)</f>
        <v>19100</v>
      </c>
      <c r="F2404" s="3" t="str">
        <f>IFERROR(__xludf.DUMMYFUNCTION("""COMPUTED_VALUE"""),"Chardonnay")</f>
        <v>Chardonnay</v>
      </c>
      <c r="G2404" s="3"/>
      <c r="H2404" s="3"/>
      <c r="I2404" s="3"/>
      <c r="J2404" s="3"/>
      <c r="K2404" s="3"/>
      <c r="L2404" s="54">
        <f>IFERROR(__xludf.DUMMYFUNCTION("""COMPUTED_VALUE"""),38.0)</f>
        <v>38</v>
      </c>
      <c r="M2404" s="3"/>
      <c r="N2404" s="3"/>
      <c r="O2404" s="3"/>
      <c r="P2404" s="3"/>
      <c r="Q2404" s="3"/>
      <c r="R2404" s="3">
        <f>IFERROR(__xludf.DUMMYFUNCTION("""COMPUTED_VALUE"""),0.0)</f>
        <v>0</v>
      </c>
      <c r="S2404" s="3"/>
      <c r="T2404" s="5"/>
      <c r="U2404" s="5"/>
      <c r="V2404" s="5"/>
      <c r="W2404" s="5"/>
    </row>
    <row r="2405" ht="15.75" customHeight="1">
      <c r="A2405" s="3">
        <f>IFERROR(__xludf.DUMMYFUNCTION("""COMPUTED_VALUE"""),2405.0)</f>
        <v>2405</v>
      </c>
      <c r="B2405" s="53">
        <f>IFERROR(__xludf.DUMMYFUNCTION("""COMPUTED_VALUE"""),46157.0)</f>
        <v>46157</v>
      </c>
      <c r="C2405" s="3">
        <f>IFERROR(__xludf.DUMMYFUNCTION("""COMPUTED_VALUE"""),72.0)</f>
        <v>72</v>
      </c>
      <c r="D2405" s="3" t="str">
        <f>IFERROR(__xludf.DUMMYFUNCTION("""COMPUTED_VALUE"""),"794ce23f")</f>
        <v>794ce23f</v>
      </c>
      <c r="E2405" s="54">
        <f>IFERROR(__xludf.DUMMYFUNCTION("""COMPUTED_VALUE"""),13000.0)</f>
        <v>13000</v>
      </c>
      <c r="F2405" s="3" t="str">
        <f>IFERROR(__xludf.DUMMYFUNCTION("""COMPUTED_VALUE"""),"Chardonnay")</f>
        <v>Chardonnay</v>
      </c>
      <c r="G2405" s="3"/>
      <c r="H2405" s="3"/>
      <c r="I2405" s="3"/>
      <c r="J2405" s="3"/>
      <c r="K2405" s="3"/>
      <c r="L2405" s="54">
        <f>IFERROR(__xludf.DUMMYFUNCTION("""COMPUTED_VALUE"""),35.0)</f>
        <v>35</v>
      </c>
      <c r="M2405" s="3"/>
      <c r="N2405" s="3"/>
      <c r="O2405" s="3"/>
      <c r="P2405" s="3"/>
      <c r="Q2405" s="3"/>
      <c r="R2405" s="3">
        <f>IFERROR(__xludf.DUMMYFUNCTION("""COMPUTED_VALUE"""),0.0)</f>
        <v>0</v>
      </c>
      <c r="S2405" s="3"/>
      <c r="T2405" s="5"/>
      <c r="U2405" s="5"/>
      <c r="V2405" s="5"/>
      <c r="W2405" s="5"/>
    </row>
    <row r="2406" ht="15.75" customHeight="1">
      <c r="A2406" s="3">
        <f>IFERROR(__xludf.DUMMYFUNCTION("""COMPUTED_VALUE"""),2406.0)</f>
        <v>2406</v>
      </c>
      <c r="B2406" s="53">
        <f>IFERROR(__xludf.DUMMYFUNCTION("""COMPUTED_VALUE"""),46157.0)</f>
        <v>46157</v>
      </c>
      <c r="C2406" s="3">
        <f>IFERROR(__xludf.DUMMYFUNCTION("""COMPUTED_VALUE"""),40.0)</f>
        <v>40</v>
      </c>
      <c r="D2406" s="3" t="str">
        <f>IFERROR(__xludf.DUMMYFUNCTION("""COMPUTED_VALUE"""),"1f31c1f9")</f>
        <v>1f31c1f9</v>
      </c>
      <c r="E2406" s="54">
        <f>IFERROR(__xludf.DUMMYFUNCTION("""COMPUTED_VALUE"""),24000.0)</f>
        <v>24000</v>
      </c>
      <c r="F2406" s="3" t="str">
        <f>IFERROR(__xludf.DUMMYFUNCTION("""COMPUTED_VALUE"""),"Chardonnay Reac")</f>
        <v>Chardonnay Reac</v>
      </c>
      <c r="G2406" s="3"/>
      <c r="H2406" s="3"/>
      <c r="I2406" s="3"/>
      <c r="J2406" s="3"/>
      <c r="K2406" s="3"/>
      <c r="L2406" s="54">
        <f>IFERROR(__xludf.DUMMYFUNCTION("""COMPUTED_VALUE"""),31.0)</f>
        <v>31</v>
      </c>
      <c r="M2406" s="3"/>
      <c r="N2406" s="3"/>
      <c r="O2406" s="3"/>
      <c r="P2406" s="3"/>
      <c r="Q2406" s="3"/>
      <c r="R2406" s="3">
        <f>IFERROR(__xludf.DUMMYFUNCTION("""COMPUTED_VALUE"""),0.0)</f>
        <v>0</v>
      </c>
      <c r="S2406" s="3"/>
      <c r="T2406" s="5"/>
      <c r="U2406" s="5"/>
      <c r="V2406" s="5"/>
      <c r="W2406" s="5"/>
    </row>
    <row r="2407" ht="15.75" customHeight="1">
      <c r="A2407" s="3">
        <f>IFERROR(__xludf.DUMMYFUNCTION("""COMPUTED_VALUE"""),2407.0)</f>
        <v>2407</v>
      </c>
      <c r="B2407" s="53">
        <f>IFERROR(__xludf.DUMMYFUNCTION("""COMPUTED_VALUE"""),46157.0)</f>
        <v>46157</v>
      </c>
      <c r="C2407" s="3">
        <f>IFERROR(__xludf.DUMMYFUNCTION("""COMPUTED_VALUE"""),49.0)</f>
        <v>49</v>
      </c>
      <c r="D2407" s="3" t="str">
        <f>IFERROR(__xludf.DUMMYFUNCTION("""COMPUTED_VALUE"""),"8335a590")</f>
        <v>8335a590</v>
      </c>
      <c r="E2407" s="54">
        <f>IFERROR(__xludf.DUMMYFUNCTION("""COMPUTED_VALUE"""),26000.0)</f>
        <v>26000</v>
      </c>
      <c r="F2407" s="3" t="str">
        <f>IFERROR(__xludf.DUMMYFUNCTION("""COMPUTED_VALUE"""),"Chardonnay Reac")</f>
        <v>Chardonnay Reac</v>
      </c>
      <c r="G2407" s="3"/>
      <c r="H2407" s="3"/>
      <c r="I2407" s="3"/>
      <c r="J2407" s="3"/>
      <c r="K2407" s="3"/>
      <c r="L2407" s="54">
        <f>IFERROR(__xludf.DUMMYFUNCTION("""COMPUTED_VALUE"""),28.0)</f>
        <v>28</v>
      </c>
      <c r="M2407" s="3"/>
      <c r="N2407" s="3"/>
      <c r="O2407" s="3"/>
      <c r="P2407" s="3"/>
      <c r="Q2407" s="3"/>
      <c r="R2407" s="3">
        <f>IFERROR(__xludf.DUMMYFUNCTION("""COMPUTED_VALUE"""),0.0)</f>
        <v>0</v>
      </c>
      <c r="S2407" s="3"/>
      <c r="T2407" s="5"/>
      <c r="U2407" s="5"/>
      <c r="V2407" s="5"/>
      <c r="W2407" s="5"/>
    </row>
    <row r="2408" ht="15.75" customHeight="1">
      <c r="A2408" s="3">
        <f>IFERROR(__xludf.DUMMYFUNCTION("""COMPUTED_VALUE"""),2408.0)</f>
        <v>2408</v>
      </c>
      <c r="B2408" s="53">
        <f>IFERROR(__xludf.DUMMYFUNCTION("""COMPUTED_VALUE"""),46157.0)</f>
        <v>46157</v>
      </c>
      <c r="C2408" s="3">
        <f>IFERROR(__xludf.DUMMYFUNCTION("""COMPUTED_VALUE"""),7.0)</f>
        <v>7</v>
      </c>
      <c r="D2408" s="3" t="str">
        <f>IFERROR(__xludf.DUMMYFUNCTION("""COMPUTED_VALUE"""),"32ecefdc")</f>
        <v>32ecefdc</v>
      </c>
      <c r="E2408" s="54">
        <f>IFERROR(__xludf.DUMMYFUNCTION("""COMPUTED_VALUE"""),30000.0)</f>
        <v>30000</v>
      </c>
      <c r="F2408" s="3" t="str">
        <f>IFERROR(__xludf.DUMMYFUNCTION("""COMPUTED_VALUE"""),"Criolla")</f>
        <v>Criolla</v>
      </c>
      <c r="G2408" s="3"/>
      <c r="H2408" s="3"/>
      <c r="I2408" s="3"/>
      <c r="J2408" s="3"/>
      <c r="K2408" s="3"/>
      <c r="L2408" s="54">
        <f>IFERROR(__xludf.DUMMYFUNCTION("""COMPUTED_VALUE"""),36.0)</f>
        <v>36</v>
      </c>
      <c r="M2408" s="3"/>
      <c r="N2408" s="3"/>
      <c r="O2408" s="3"/>
      <c r="P2408" s="3"/>
      <c r="Q2408" s="3"/>
      <c r="R2408" s="3">
        <f>IFERROR(__xludf.DUMMYFUNCTION("""COMPUTED_VALUE"""),0.0)</f>
        <v>0</v>
      </c>
      <c r="S2408" s="3"/>
      <c r="T2408" s="5"/>
      <c r="U2408" s="5"/>
      <c r="V2408" s="5"/>
      <c r="W2408" s="5"/>
    </row>
    <row r="2409" ht="15.75" customHeight="1">
      <c r="A2409" s="3">
        <f>IFERROR(__xludf.DUMMYFUNCTION("""COMPUTED_VALUE"""),2409.0)</f>
        <v>2409</v>
      </c>
      <c r="B2409" s="53">
        <f>IFERROR(__xludf.DUMMYFUNCTION("""COMPUTED_VALUE"""),46157.0)</f>
        <v>46157</v>
      </c>
      <c r="C2409" s="3">
        <f>IFERROR(__xludf.DUMMYFUNCTION("""COMPUTED_VALUE"""),9.0)</f>
        <v>9</v>
      </c>
      <c r="D2409" s="3" t="str">
        <f>IFERROR(__xludf.DUMMYFUNCTION("""COMPUTED_VALUE"""),"26d61091")</f>
        <v>26d61091</v>
      </c>
      <c r="E2409" s="54">
        <f>IFERROR(__xludf.DUMMYFUNCTION("""COMPUTED_VALUE"""),30000.0)</f>
        <v>30000</v>
      </c>
      <c r="F2409" s="3" t="str">
        <f>IFERROR(__xludf.DUMMYFUNCTION("""COMPUTED_VALUE"""),"Criolla")</f>
        <v>Criolla</v>
      </c>
      <c r="G2409" s="3"/>
      <c r="H2409" s="3"/>
      <c r="I2409" s="3"/>
      <c r="J2409" s="3"/>
      <c r="K2409" s="3"/>
      <c r="L2409" s="54">
        <f>IFERROR(__xludf.DUMMYFUNCTION("""COMPUTED_VALUE"""),36.0)</f>
        <v>36</v>
      </c>
      <c r="M2409" s="3"/>
      <c r="N2409" s="3"/>
      <c r="O2409" s="3"/>
      <c r="P2409" s="3"/>
      <c r="Q2409" s="3"/>
      <c r="R2409" s="3">
        <f>IFERROR(__xludf.DUMMYFUNCTION("""COMPUTED_VALUE"""),0.0)</f>
        <v>0</v>
      </c>
      <c r="S2409" s="3"/>
      <c r="T2409" s="5"/>
      <c r="U2409" s="5"/>
      <c r="V2409" s="5"/>
      <c r="W2409" s="5"/>
    </row>
    <row r="2410" ht="15.75" customHeight="1">
      <c r="A2410" s="3">
        <f>IFERROR(__xludf.DUMMYFUNCTION("""COMPUTED_VALUE"""),2410.0)</f>
        <v>2410</v>
      </c>
      <c r="B2410" s="53">
        <f>IFERROR(__xludf.DUMMYFUNCTION("""COMPUTED_VALUE"""),46157.0)</f>
        <v>46157</v>
      </c>
      <c r="C2410" s="3">
        <f>IFERROR(__xludf.DUMMYFUNCTION("""COMPUTED_VALUE"""),16.0)</f>
        <v>16</v>
      </c>
      <c r="D2410" s="3" t="str">
        <f>IFERROR(__xludf.DUMMYFUNCTION("""COMPUTED_VALUE"""),"d3b686a2")</f>
        <v>d3b686a2</v>
      </c>
      <c r="E2410" s="54">
        <f>IFERROR(__xludf.DUMMYFUNCTION("""COMPUTED_VALUE"""),19000.0)</f>
        <v>19000</v>
      </c>
      <c r="F2410" s="3" t="str">
        <f>IFERROR(__xludf.DUMMYFUNCTION("""COMPUTED_VALUE"""),"Criolla")</f>
        <v>Criolla</v>
      </c>
      <c r="G2410" s="3"/>
      <c r="H2410" s="3"/>
      <c r="I2410" s="3"/>
      <c r="J2410" s="3"/>
      <c r="K2410" s="3"/>
      <c r="L2410" s="54">
        <f>IFERROR(__xludf.DUMMYFUNCTION("""COMPUTED_VALUE"""),23.0)</f>
        <v>23</v>
      </c>
      <c r="M2410" s="3"/>
      <c r="N2410" s="3"/>
      <c r="O2410" s="3"/>
      <c r="P2410" s="3"/>
      <c r="Q2410" s="3"/>
      <c r="R2410" s="3">
        <f>IFERROR(__xludf.DUMMYFUNCTION("""COMPUTED_VALUE"""),0.0)</f>
        <v>0</v>
      </c>
      <c r="S2410" s="3"/>
      <c r="T2410" s="5"/>
      <c r="U2410" s="5"/>
      <c r="V2410" s="5"/>
      <c r="W2410" s="5"/>
    </row>
    <row r="2411" ht="15.75" customHeight="1">
      <c r="A2411" s="3">
        <f>IFERROR(__xludf.DUMMYFUNCTION("""COMPUTED_VALUE"""),2411.0)</f>
        <v>2411</v>
      </c>
      <c r="B2411" s="53">
        <f>IFERROR(__xludf.DUMMYFUNCTION("""COMPUTED_VALUE"""),46157.0)</f>
        <v>46157</v>
      </c>
      <c r="C2411" s="3">
        <f>IFERROR(__xludf.DUMMYFUNCTION("""COMPUTED_VALUE"""),34.0)</f>
        <v>34</v>
      </c>
      <c r="D2411" s="3" t="str">
        <f>IFERROR(__xludf.DUMMYFUNCTION("""COMPUTED_VALUE"""),"20d24f3c")</f>
        <v>20d24f3c</v>
      </c>
      <c r="E2411" s="54">
        <f>IFERROR(__xludf.DUMMYFUNCTION("""COMPUTED_VALUE"""),39500.0)</f>
        <v>39500</v>
      </c>
      <c r="F2411" s="3" t="str">
        <f>IFERROR(__xludf.DUMMYFUNCTION("""COMPUTED_VALUE"""),"Criolla")</f>
        <v>Criolla</v>
      </c>
      <c r="G2411" s="3"/>
      <c r="H2411" s="3"/>
      <c r="I2411" s="3"/>
      <c r="J2411" s="3"/>
      <c r="K2411" s="3"/>
      <c r="L2411" s="54">
        <f>IFERROR(__xludf.DUMMYFUNCTION("""COMPUTED_VALUE"""),25.0)</f>
        <v>25</v>
      </c>
      <c r="M2411" s="3"/>
      <c r="N2411" s="3"/>
      <c r="O2411" s="3"/>
      <c r="P2411" s="3"/>
      <c r="Q2411" s="3"/>
      <c r="R2411" s="3">
        <f>IFERROR(__xludf.DUMMYFUNCTION("""COMPUTED_VALUE"""),0.0)</f>
        <v>0</v>
      </c>
      <c r="S2411" s="3"/>
      <c r="T2411" s="5"/>
      <c r="U2411" s="5"/>
      <c r="V2411" s="5"/>
      <c r="W2411" s="5"/>
    </row>
    <row r="2412" ht="15.75" customHeight="1">
      <c r="A2412" s="3">
        <f>IFERROR(__xludf.DUMMYFUNCTION("""COMPUTED_VALUE"""),2412.0)</f>
        <v>2412</v>
      </c>
      <c r="B2412" s="53">
        <f>IFERROR(__xludf.DUMMYFUNCTION("""COMPUTED_VALUE"""),46157.0)</f>
        <v>46157</v>
      </c>
      <c r="C2412" s="3">
        <f>IFERROR(__xludf.DUMMYFUNCTION("""COMPUTED_VALUE"""),65.0)</f>
        <v>65</v>
      </c>
      <c r="D2412" s="3" t="str">
        <f>IFERROR(__xludf.DUMMYFUNCTION("""COMPUTED_VALUE"""),"d932789c")</f>
        <v>d932789c</v>
      </c>
      <c r="E2412" s="54">
        <f>IFERROR(__xludf.DUMMYFUNCTION("""COMPUTED_VALUE"""),34400.0)</f>
        <v>34400</v>
      </c>
      <c r="F2412" s="3" t="str">
        <f>IFERROR(__xludf.DUMMYFUNCTION("""COMPUTED_VALUE"""),"Criolla PC")</f>
        <v>Criolla PC</v>
      </c>
      <c r="G2412" s="3"/>
      <c r="H2412" s="3"/>
      <c r="I2412" s="3"/>
      <c r="J2412" s="3"/>
      <c r="K2412" s="3"/>
      <c r="L2412" s="54">
        <f>IFERROR(__xludf.DUMMYFUNCTION("""COMPUTED_VALUE"""),24.0)</f>
        <v>24</v>
      </c>
      <c r="M2412" s="3"/>
      <c r="N2412" s="3"/>
      <c r="O2412" s="3"/>
      <c r="P2412" s="3"/>
      <c r="Q2412" s="3"/>
      <c r="R2412" s="3">
        <f>IFERROR(__xludf.DUMMYFUNCTION("""COMPUTED_VALUE"""),0.0)</f>
        <v>0</v>
      </c>
      <c r="S2412" s="3"/>
      <c r="T2412" s="5"/>
      <c r="U2412" s="5"/>
      <c r="V2412" s="5"/>
      <c r="W2412" s="5"/>
    </row>
    <row r="2413" ht="15.75" customHeight="1">
      <c r="A2413" s="3">
        <f>IFERROR(__xludf.DUMMYFUNCTION("""COMPUTED_VALUE"""),2413.0)</f>
        <v>2413</v>
      </c>
      <c r="B2413" s="53">
        <f>IFERROR(__xludf.DUMMYFUNCTION("""COMPUTED_VALUE"""),46157.0)</f>
        <v>46157</v>
      </c>
      <c r="C2413" s="3">
        <f>IFERROR(__xludf.DUMMYFUNCTION("""COMPUTED_VALUE"""),80.0)</f>
        <v>80</v>
      </c>
      <c r="D2413" s="3" t="str">
        <f>IFERROR(__xludf.DUMMYFUNCTION("""COMPUTED_VALUE"""),"a816c3ff")</f>
        <v>a816c3ff</v>
      </c>
      <c r="E2413" s="54">
        <f>IFERROR(__xludf.DUMMYFUNCTION("""COMPUTED_VALUE"""),24000.0)</f>
        <v>24000</v>
      </c>
      <c r="F2413" s="3" t="str">
        <f>IFERROR(__xludf.DUMMYFUNCTION("""COMPUTED_VALUE"""),"Criolla")</f>
        <v>Criolla</v>
      </c>
      <c r="G2413" s="3"/>
      <c r="H2413" s="3"/>
      <c r="I2413" s="3"/>
      <c r="J2413" s="3"/>
      <c r="K2413" s="3"/>
      <c r="L2413" s="54">
        <f>IFERROR(__xludf.DUMMYFUNCTION("""COMPUTED_VALUE"""),25.0)</f>
        <v>25</v>
      </c>
      <c r="M2413" s="3"/>
      <c r="N2413" s="3"/>
      <c r="O2413" s="3"/>
      <c r="P2413" s="3"/>
      <c r="Q2413" s="3"/>
      <c r="R2413" s="3">
        <f>IFERROR(__xludf.DUMMYFUNCTION("""COMPUTED_VALUE"""),0.0)</f>
        <v>0</v>
      </c>
      <c r="S2413" s="3"/>
      <c r="T2413" s="5"/>
      <c r="U2413" s="5"/>
      <c r="V2413" s="5"/>
      <c r="W2413" s="5"/>
    </row>
    <row r="2414" ht="15.75" customHeight="1">
      <c r="A2414" s="3">
        <f>IFERROR(__xludf.DUMMYFUNCTION("""COMPUTED_VALUE"""),2414.0)</f>
        <v>2414</v>
      </c>
      <c r="B2414" s="53">
        <f>IFERROR(__xludf.DUMMYFUNCTION("""COMPUTED_VALUE"""),46157.0)</f>
        <v>46157</v>
      </c>
      <c r="C2414" s="3">
        <f>IFERROR(__xludf.DUMMYFUNCTION("""COMPUTED_VALUE"""),76.0)</f>
        <v>76</v>
      </c>
      <c r="D2414" s="3" t="str">
        <f>IFERROR(__xludf.DUMMYFUNCTION("""COMPUTED_VALUE"""),"d094cdee")</f>
        <v>d094cdee</v>
      </c>
      <c r="E2414" s="54">
        <f>IFERROR(__xludf.DUMMYFUNCTION("""COMPUTED_VALUE"""),17500.0)</f>
        <v>17500</v>
      </c>
      <c r="F2414" s="3" t="str">
        <f>IFERROR(__xludf.DUMMYFUNCTION("""COMPUTED_VALUE"""),"Bonarda")</f>
        <v>Bonarda</v>
      </c>
      <c r="G2414" s="3"/>
      <c r="H2414" s="3"/>
      <c r="I2414" s="3"/>
      <c r="J2414" s="3"/>
      <c r="K2414" s="3"/>
      <c r="L2414" s="54">
        <f>IFERROR(__xludf.DUMMYFUNCTION("""COMPUTED_VALUE"""),14.0)</f>
        <v>14</v>
      </c>
      <c r="M2414" s="3"/>
      <c r="N2414" s="3"/>
      <c r="O2414" s="3"/>
      <c r="P2414" s="3"/>
      <c r="Q2414" s="3"/>
      <c r="R2414" s="3">
        <f>IFERROR(__xludf.DUMMYFUNCTION("""COMPUTED_VALUE"""),0.0)</f>
        <v>0</v>
      </c>
      <c r="S2414" s="3"/>
      <c r="T2414" s="5"/>
      <c r="U2414" s="5"/>
      <c r="V2414" s="5"/>
      <c r="W2414" s="5"/>
    </row>
    <row r="2415" ht="15.75" customHeight="1">
      <c r="A2415" s="3">
        <f>IFERROR(__xludf.DUMMYFUNCTION("""COMPUTED_VALUE"""),2415.0)</f>
        <v>2415</v>
      </c>
      <c r="B2415" s="53">
        <f>IFERROR(__xludf.DUMMYFUNCTION("""COMPUTED_VALUE"""),46157.0)</f>
        <v>46157</v>
      </c>
      <c r="C2415" s="3">
        <f>IFERROR(__xludf.DUMMYFUNCTION("""COMPUTED_VALUE"""),79.0)</f>
        <v>79</v>
      </c>
      <c r="D2415" s="3" t="str">
        <f>IFERROR(__xludf.DUMMYFUNCTION("""COMPUTED_VALUE"""),"f97aa62d")</f>
        <v>f97aa62d</v>
      </c>
      <c r="E2415" s="54">
        <f>IFERROR(__xludf.DUMMYFUNCTION("""COMPUTED_VALUE"""),26000.0)</f>
        <v>26000</v>
      </c>
      <c r="F2415" s="3" t="str">
        <f>IFERROR(__xludf.DUMMYFUNCTION("""COMPUTED_VALUE"""),"Bonarda")</f>
        <v>Bonarda</v>
      </c>
      <c r="G2415" s="3"/>
      <c r="H2415" s="3"/>
      <c r="I2415" s="3"/>
      <c r="J2415" s="3"/>
      <c r="K2415" s="3"/>
      <c r="L2415" s="54">
        <f>IFERROR(__xludf.DUMMYFUNCTION("""COMPUTED_VALUE"""),18.0)</f>
        <v>18</v>
      </c>
      <c r="M2415" s="3"/>
      <c r="N2415" s="3"/>
      <c r="O2415" s="3"/>
      <c r="P2415" s="3"/>
      <c r="Q2415" s="3"/>
      <c r="R2415" s="3">
        <f>IFERROR(__xludf.DUMMYFUNCTION("""COMPUTED_VALUE"""),0.0)</f>
        <v>0</v>
      </c>
      <c r="S2415" s="3"/>
      <c r="T2415" s="5"/>
      <c r="U2415" s="5"/>
      <c r="V2415" s="5"/>
      <c r="W2415" s="5"/>
    </row>
    <row r="2416" ht="15.75" customHeight="1">
      <c r="A2416" s="3">
        <f>IFERROR(__xludf.DUMMYFUNCTION("""COMPUTED_VALUE"""),2416.0)</f>
        <v>2416</v>
      </c>
      <c r="B2416" s="53">
        <f>IFERROR(__xludf.DUMMYFUNCTION("""COMPUTED_VALUE"""),46157.0)</f>
        <v>46157</v>
      </c>
      <c r="C2416" s="3">
        <f>IFERROR(__xludf.DUMMYFUNCTION("""COMPUTED_VALUE"""),126.0)</f>
        <v>126</v>
      </c>
      <c r="D2416" s="3" t="str">
        <f>IFERROR(__xludf.DUMMYFUNCTION("""COMPUTED_VALUE"""),"69dea9c1")</f>
        <v>69dea9c1</v>
      </c>
      <c r="E2416" s="54">
        <f>IFERROR(__xludf.DUMMYFUNCTION("""COMPUTED_VALUE"""),31000.0)</f>
        <v>31000</v>
      </c>
      <c r="F2416" s="3" t="str">
        <f>IFERROR(__xludf.DUMMYFUNCTION("""COMPUTED_VALUE"""),"Bonarda")</f>
        <v>Bonarda</v>
      </c>
      <c r="G2416" s="3"/>
      <c r="H2416" s="3"/>
      <c r="I2416" s="3"/>
      <c r="J2416" s="3"/>
      <c r="K2416" s="3"/>
      <c r="L2416" s="54">
        <f>IFERROR(__xludf.DUMMYFUNCTION("""COMPUTED_VALUE"""),15.0)</f>
        <v>15</v>
      </c>
      <c r="M2416" s="3"/>
      <c r="N2416" s="3"/>
      <c r="O2416" s="3"/>
      <c r="P2416" s="3"/>
      <c r="Q2416" s="3"/>
      <c r="R2416" s="3">
        <f>IFERROR(__xludf.DUMMYFUNCTION("""COMPUTED_VALUE"""),0.0)</f>
        <v>0</v>
      </c>
      <c r="S2416" s="3"/>
      <c r="T2416" s="5"/>
      <c r="U2416" s="5"/>
      <c r="V2416" s="5"/>
      <c r="W2416" s="5"/>
    </row>
    <row r="2417" ht="15.75" customHeight="1">
      <c r="A2417" s="3">
        <f>IFERROR(__xludf.DUMMYFUNCTION("""COMPUTED_VALUE"""),2417.0)</f>
        <v>2417</v>
      </c>
      <c r="B2417" s="53">
        <f>IFERROR(__xludf.DUMMYFUNCTION("""COMPUTED_VALUE"""),46161.0)</f>
        <v>46161</v>
      </c>
      <c r="C2417" s="3">
        <f>IFERROR(__xludf.DUMMYFUNCTION("""COMPUTED_VALUE"""),73.0)</f>
        <v>73</v>
      </c>
      <c r="D2417" s="3" t="str">
        <f>IFERROR(__xludf.DUMMYFUNCTION("""COMPUTED_VALUE"""),"95936008")</f>
        <v>95936008</v>
      </c>
      <c r="E2417" s="54">
        <f>IFERROR(__xludf.DUMMYFUNCTION("""COMPUTED_VALUE"""),13000.0)</f>
        <v>13000</v>
      </c>
      <c r="F2417" s="3" t="str">
        <f>IFERROR(__xludf.DUMMYFUNCTION("""COMPUTED_VALUE"""),"Syrah s/Asp 2")</f>
        <v>Syrah s/Asp 2</v>
      </c>
      <c r="G2417" s="3"/>
      <c r="H2417" s="3"/>
      <c r="I2417" s="3"/>
      <c r="J2417" s="3"/>
      <c r="K2417" s="3"/>
      <c r="L2417" s="54">
        <f>IFERROR(__xludf.DUMMYFUNCTION("""COMPUTED_VALUE"""),43.0)</f>
        <v>43</v>
      </c>
      <c r="M2417" s="3">
        <f>IFERROR(__xludf.DUMMYFUNCTION("""COMPUTED_VALUE"""),112.0)</f>
        <v>112</v>
      </c>
      <c r="N2417" s="3"/>
      <c r="O2417" s="3"/>
      <c r="P2417" s="3"/>
      <c r="Q2417" s="3"/>
      <c r="R2417" s="3">
        <f>IFERROR(__xludf.DUMMYFUNCTION("""COMPUTED_VALUE"""),0.0)</f>
        <v>0</v>
      </c>
      <c r="S2417" s="3"/>
      <c r="T2417" s="5"/>
      <c r="U2417" s="5"/>
      <c r="V2417" s="5"/>
      <c r="W2417" s="5"/>
    </row>
    <row r="2418" ht="15.75" customHeight="1">
      <c r="A2418" s="3">
        <f>IFERROR(__xludf.DUMMYFUNCTION("""COMPUTED_VALUE"""),2418.0)</f>
        <v>2418</v>
      </c>
      <c r="B2418" s="53">
        <f>IFERROR(__xludf.DUMMYFUNCTION("""COMPUTED_VALUE"""),46161.0)</f>
        <v>46161</v>
      </c>
      <c r="C2418" s="3">
        <f>IFERROR(__xludf.DUMMYFUNCTION("""COMPUTED_VALUE"""),35.0)</f>
        <v>35</v>
      </c>
      <c r="D2418" s="3" t="str">
        <f>IFERROR(__xludf.DUMMYFUNCTION("""COMPUTED_VALUE"""),"a232f267")</f>
        <v>a232f267</v>
      </c>
      <c r="E2418" s="54">
        <f>IFERROR(__xludf.DUMMYFUNCTION("""COMPUTED_VALUE"""),39300.0)</f>
        <v>39300</v>
      </c>
      <c r="F2418" s="3" t="str">
        <f>IFERROR(__xludf.DUMMYFUNCTION("""COMPUTED_VALUE"""),"Malbec")</f>
        <v>Malbec</v>
      </c>
      <c r="G2418" s="3"/>
      <c r="H2418" s="3"/>
      <c r="I2418" s="3"/>
      <c r="J2418" s="3"/>
      <c r="K2418" s="3"/>
      <c r="L2418" s="54">
        <f>IFERROR(__xludf.DUMMYFUNCTION("""COMPUTED_VALUE"""),32.0)</f>
        <v>32</v>
      </c>
      <c r="M2418" s="3">
        <f>IFERROR(__xludf.DUMMYFUNCTION("""COMPUTED_VALUE"""),90.0)</f>
        <v>90</v>
      </c>
      <c r="N2418" s="3"/>
      <c r="O2418" s="3"/>
      <c r="P2418" s="3"/>
      <c r="Q2418" s="3"/>
      <c r="R2418" s="3">
        <f>IFERROR(__xludf.DUMMYFUNCTION("""COMPUTED_VALUE"""),0.0)</f>
        <v>0</v>
      </c>
      <c r="S2418" s="3"/>
      <c r="T2418" s="5"/>
      <c r="U2418" s="5"/>
      <c r="V2418" s="5"/>
      <c r="W2418" s="5"/>
    </row>
    <row r="2419" ht="15.75" customHeight="1">
      <c r="A2419" s="3">
        <f>IFERROR(__xludf.DUMMYFUNCTION("""COMPUTED_VALUE"""),2419.0)</f>
        <v>2419</v>
      </c>
      <c r="B2419" s="53">
        <f>IFERROR(__xludf.DUMMYFUNCTION("""COMPUTED_VALUE"""),46161.0)</f>
        <v>46161</v>
      </c>
      <c r="C2419" s="3">
        <f>IFERROR(__xludf.DUMMYFUNCTION("""COMPUTED_VALUE"""),82.0)</f>
        <v>82</v>
      </c>
      <c r="D2419" s="3" t="str">
        <f>IFERROR(__xludf.DUMMYFUNCTION("""COMPUTED_VALUE"""),"a21e63a2")</f>
        <v>a21e63a2</v>
      </c>
      <c r="E2419" s="54">
        <f>IFERROR(__xludf.DUMMYFUNCTION("""COMPUTED_VALUE"""),42600.0)</f>
        <v>42600</v>
      </c>
      <c r="F2419" s="3" t="str">
        <f>IFERROR(__xludf.DUMMYFUNCTION("""COMPUTED_VALUE"""),"Bonarda c/criolla")</f>
        <v>Bonarda c/criolla</v>
      </c>
      <c r="G2419" s="3"/>
      <c r="H2419" s="3"/>
      <c r="I2419" s="3"/>
      <c r="J2419" s="3"/>
      <c r="K2419" s="3"/>
      <c r="L2419" s="54">
        <f>IFERROR(__xludf.DUMMYFUNCTION("""COMPUTED_VALUE"""),38.0)</f>
        <v>38</v>
      </c>
      <c r="M2419" s="3">
        <f>IFERROR(__xludf.DUMMYFUNCTION("""COMPUTED_VALUE"""),83.0)</f>
        <v>83</v>
      </c>
      <c r="N2419" s="3"/>
      <c r="O2419" s="3"/>
      <c r="P2419" s="3"/>
      <c r="Q2419" s="3"/>
      <c r="R2419" s="3">
        <f>IFERROR(__xludf.DUMMYFUNCTION("""COMPUTED_VALUE"""),0.0)</f>
        <v>0</v>
      </c>
      <c r="S2419" s="3"/>
      <c r="T2419" s="5"/>
      <c r="U2419" s="5"/>
      <c r="V2419" s="5"/>
      <c r="W2419" s="5"/>
    </row>
    <row r="2420" ht="15.75" customHeight="1">
      <c r="A2420" s="3">
        <f>IFERROR(__xludf.DUMMYFUNCTION("""COMPUTED_VALUE"""),2420.0)</f>
        <v>2420</v>
      </c>
      <c r="B2420" s="53">
        <f>IFERROR(__xludf.DUMMYFUNCTION("""COMPUTED_VALUE"""),46161.0)</f>
        <v>46161</v>
      </c>
      <c r="C2420" s="3">
        <f>IFERROR(__xludf.DUMMYFUNCTION("""COMPUTED_VALUE"""),12.0)</f>
        <v>12</v>
      </c>
      <c r="D2420" s="3" t="str">
        <f>IFERROR(__xludf.DUMMYFUNCTION("""COMPUTED_VALUE"""),"0b275cb3")</f>
        <v>0b275cb3</v>
      </c>
      <c r="E2420" s="54">
        <f>IFERROR(__xludf.DUMMYFUNCTION("""COMPUTED_VALUE"""),35300.0)</f>
        <v>35300</v>
      </c>
      <c r="F2420" s="3" t="str">
        <f>IFERROR(__xludf.DUMMYFUNCTION("""COMPUTED_VALUE"""),"Bonarda C2")</f>
        <v>Bonarda C2</v>
      </c>
      <c r="G2420" s="3"/>
      <c r="H2420" s="3"/>
      <c r="I2420" s="3"/>
      <c r="J2420" s="3"/>
      <c r="K2420" s="3"/>
      <c r="L2420" s="54">
        <f>IFERROR(__xludf.DUMMYFUNCTION("""COMPUTED_VALUE"""),40.0)</f>
        <v>40</v>
      </c>
      <c r="M2420" s="3">
        <f>IFERROR(__xludf.DUMMYFUNCTION("""COMPUTED_VALUE"""),135.0)</f>
        <v>135</v>
      </c>
      <c r="N2420" s="3"/>
      <c r="O2420" s="3"/>
      <c r="P2420" s="3"/>
      <c r="Q2420" s="3"/>
      <c r="R2420" s="3">
        <f>IFERROR(__xludf.DUMMYFUNCTION("""COMPUTED_VALUE"""),0.0)</f>
        <v>0</v>
      </c>
      <c r="S2420" s="3"/>
      <c r="T2420" s="5"/>
      <c r="U2420" s="5"/>
      <c r="V2420" s="5"/>
      <c r="W2420" s="5"/>
    </row>
    <row r="2421" ht="15.75" customHeight="1">
      <c r="A2421" s="3">
        <f>IFERROR(__xludf.DUMMYFUNCTION("""COMPUTED_VALUE"""),2421.0)</f>
        <v>2421</v>
      </c>
      <c r="B2421" s="53">
        <f>IFERROR(__xludf.DUMMYFUNCTION("""COMPUTED_VALUE"""),46161.0)</f>
        <v>46161</v>
      </c>
      <c r="C2421" s="3">
        <f>IFERROR(__xludf.DUMMYFUNCTION("""COMPUTED_VALUE"""),66.0)</f>
        <v>66</v>
      </c>
      <c r="D2421" s="3" t="str">
        <f>IFERROR(__xludf.DUMMYFUNCTION("""COMPUTED_VALUE"""),"ae299cc9")</f>
        <v>ae299cc9</v>
      </c>
      <c r="E2421" s="54">
        <f>IFERROR(__xludf.DUMMYFUNCTION("""COMPUTED_VALUE"""),23000.0)</f>
        <v>23000</v>
      </c>
      <c r="F2421" s="3" t="str">
        <f>IFERROR(__xludf.DUMMYFUNCTION("""COMPUTED_VALUE"""),"Bonarda PC")</f>
        <v>Bonarda PC</v>
      </c>
      <c r="G2421" s="3"/>
      <c r="H2421" s="3"/>
      <c r="I2421" s="3"/>
      <c r="J2421" s="3"/>
      <c r="K2421" s="3"/>
      <c r="L2421" s="54">
        <f>IFERROR(__xludf.DUMMYFUNCTION("""COMPUTED_VALUE"""),35.0)</f>
        <v>35</v>
      </c>
      <c r="M2421" s="3">
        <f>IFERROR(__xludf.DUMMYFUNCTION("""COMPUTED_VALUE"""),133.0)</f>
        <v>133</v>
      </c>
      <c r="N2421" s="3"/>
      <c r="O2421" s="3"/>
      <c r="P2421" s="3"/>
      <c r="Q2421" s="3"/>
      <c r="R2421" s="3">
        <f>IFERROR(__xludf.DUMMYFUNCTION("""COMPUTED_VALUE"""),0.0)</f>
        <v>0</v>
      </c>
      <c r="S2421" s="3"/>
      <c r="T2421" s="5"/>
      <c r="U2421" s="5"/>
      <c r="V2421" s="5"/>
      <c r="W2421" s="5"/>
    </row>
    <row r="2422" ht="15.75" customHeight="1">
      <c r="A2422" s="3">
        <f>IFERROR(__xludf.DUMMYFUNCTION("""COMPUTED_VALUE"""),2422.0)</f>
        <v>2422</v>
      </c>
      <c r="B2422" s="53">
        <f>IFERROR(__xludf.DUMMYFUNCTION("""COMPUTED_VALUE"""),46161.0)</f>
        <v>46161</v>
      </c>
      <c r="C2422" s="3">
        <f>IFERROR(__xludf.DUMMYFUNCTION("""COMPUTED_VALUE"""),67.0)</f>
        <v>67</v>
      </c>
      <c r="D2422" s="3" t="str">
        <f>IFERROR(__xludf.DUMMYFUNCTION("""COMPUTED_VALUE"""),"1d29e77e")</f>
        <v>1d29e77e</v>
      </c>
      <c r="E2422" s="54">
        <f>IFERROR(__xludf.DUMMYFUNCTION("""COMPUTED_VALUE"""),23000.0)</f>
        <v>23000</v>
      </c>
      <c r="F2422" s="3" t="str">
        <f>IFERROR(__xludf.DUMMYFUNCTION("""COMPUTED_VALUE"""),"Bonarda")</f>
        <v>Bonarda</v>
      </c>
      <c r="G2422" s="3"/>
      <c r="H2422" s="3"/>
      <c r="I2422" s="3"/>
      <c r="J2422" s="3"/>
      <c r="K2422" s="3"/>
      <c r="L2422" s="54">
        <f>IFERROR(__xludf.DUMMYFUNCTION("""COMPUTED_VALUE"""),30.0)</f>
        <v>30</v>
      </c>
      <c r="M2422" s="3">
        <f>IFERROR(__xludf.DUMMYFUNCTION("""COMPUTED_VALUE"""),121.0)</f>
        <v>121</v>
      </c>
      <c r="N2422" s="3"/>
      <c r="O2422" s="3"/>
      <c r="P2422" s="3"/>
      <c r="Q2422" s="3"/>
      <c r="R2422" s="3">
        <f>IFERROR(__xludf.DUMMYFUNCTION("""COMPUTED_VALUE"""),0.0)</f>
        <v>0</v>
      </c>
      <c r="S2422" s="3"/>
      <c r="T2422" s="5"/>
      <c r="U2422" s="5"/>
      <c r="V2422" s="5"/>
      <c r="W2422" s="5"/>
    </row>
    <row r="2423" ht="15.75" customHeight="1">
      <c r="A2423" s="3">
        <f>IFERROR(__xludf.DUMMYFUNCTION("""COMPUTED_VALUE"""),2423.0)</f>
        <v>2423</v>
      </c>
      <c r="B2423" s="53">
        <f>IFERROR(__xludf.DUMMYFUNCTION("""COMPUTED_VALUE"""),46161.0)</f>
        <v>46161</v>
      </c>
      <c r="C2423" s="3">
        <f>IFERROR(__xludf.DUMMYFUNCTION("""COMPUTED_VALUE"""),81.0)</f>
        <v>81</v>
      </c>
      <c r="D2423" s="3" t="str">
        <f>IFERROR(__xludf.DUMMYFUNCTION("""COMPUTED_VALUE"""),"253bec17")</f>
        <v>253bec17</v>
      </c>
      <c r="E2423" s="54">
        <f>IFERROR(__xludf.DUMMYFUNCTION("""COMPUTED_VALUE"""),26500.0)</f>
        <v>26500</v>
      </c>
      <c r="F2423" s="3" t="str">
        <f>IFERROR(__xludf.DUMMYFUNCTION("""COMPUTED_VALUE"""),"Bonarda")</f>
        <v>Bonarda</v>
      </c>
      <c r="G2423" s="3"/>
      <c r="H2423" s="3"/>
      <c r="I2423" s="3"/>
      <c r="J2423" s="3"/>
      <c r="K2423" s="3"/>
      <c r="L2423" s="54">
        <f>IFERROR(__xludf.DUMMYFUNCTION("""COMPUTED_VALUE"""),38.0)</f>
        <v>38</v>
      </c>
      <c r="M2423" s="3">
        <f>IFERROR(__xludf.DUMMYFUNCTION("""COMPUTED_VALUE"""),112.0)</f>
        <v>112</v>
      </c>
      <c r="N2423" s="3"/>
      <c r="O2423" s="3"/>
      <c r="P2423" s="3"/>
      <c r="Q2423" s="3"/>
      <c r="R2423" s="3">
        <f>IFERROR(__xludf.DUMMYFUNCTION("""COMPUTED_VALUE"""),0.0)</f>
        <v>0</v>
      </c>
      <c r="S2423" s="3"/>
      <c r="T2423" s="5"/>
      <c r="U2423" s="5"/>
      <c r="V2423" s="5"/>
      <c r="W2423" s="5"/>
    </row>
    <row r="2424" ht="15.75" customHeight="1">
      <c r="A2424" s="3">
        <f>IFERROR(__xludf.DUMMYFUNCTION("""COMPUTED_VALUE"""),2424.0)</f>
        <v>2424</v>
      </c>
      <c r="B2424" s="53">
        <f>IFERROR(__xludf.DUMMYFUNCTION("""COMPUTED_VALUE"""),46162.0)</f>
        <v>46162</v>
      </c>
      <c r="C2424" s="3">
        <f>IFERROR(__xludf.DUMMYFUNCTION("""COMPUTED_VALUE"""),40.0)</f>
        <v>40</v>
      </c>
      <c r="D2424" s="3" t="str">
        <f>IFERROR(__xludf.DUMMYFUNCTION("""COMPUTED_VALUE"""),"1f31c1f9")</f>
        <v>1f31c1f9</v>
      </c>
      <c r="E2424" s="54">
        <f>IFERROR(__xludf.DUMMYFUNCTION("""COMPUTED_VALUE"""),24000.0)</f>
        <v>24000</v>
      </c>
      <c r="F2424" s="3" t="str">
        <f>IFERROR(__xludf.DUMMYFUNCTION("""COMPUTED_VALUE"""),"Chardonnay Reac")</f>
        <v>Chardonnay Reac</v>
      </c>
      <c r="G2424" s="3"/>
      <c r="H2424" s="3"/>
      <c r="I2424" s="3"/>
      <c r="J2424" s="3"/>
      <c r="K2424" s="57">
        <f>IFERROR(__xludf.DUMMYFUNCTION("""COMPUTED_VALUE"""),3.37)</f>
        <v>3.37</v>
      </c>
      <c r="L2424" s="54">
        <f>IFERROR(__xludf.DUMMYFUNCTION("""COMPUTED_VALUE"""),32.0)</f>
        <v>32</v>
      </c>
      <c r="M2424" s="3">
        <f>IFERROR(__xludf.DUMMYFUNCTION("""COMPUTED_VALUE"""),130.0)</f>
        <v>130</v>
      </c>
      <c r="N2424" s="3"/>
      <c r="O2424" s="3"/>
      <c r="P2424" s="3"/>
      <c r="Q2424" s="3"/>
      <c r="R2424" s="3">
        <f>IFERROR(__xludf.DUMMYFUNCTION("""COMPUTED_VALUE"""),0.0)</f>
        <v>0</v>
      </c>
      <c r="S2424" s="3"/>
      <c r="T2424" s="5"/>
      <c r="U2424" s="5"/>
      <c r="V2424" s="5"/>
      <c r="W2424" s="5"/>
    </row>
    <row r="2425" ht="15.75" customHeight="1">
      <c r="A2425" s="3">
        <f>IFERROR(__xludf.DUMMYFUNCTION("""COMPUTED_VALUE"""),2425.0)</f>
        <v>2425</v>
      </c>
      <c r="B2425" s="53">
        <f>IFERROR(__xludf.DUMMYFUNCTION("""COMPUTED_VALUE"""),46162.0)</f>
        <v>46162</v>
      </c>
      <c r="C2425" s="3">
        <f>IFERROR(__xludf.DUMMYFUNCTION("""COMPUTED_VALUE"""),44.0)</f>
        <v>44</v>
      </c>
      <c r="D2425" s="3" t="str">
        <f>IFERROR(__xludf.DUMMYFUNCTION("""COMPUTED_VALUE"""),"4a70a363")</f>
        <v>4a70a363</v>
      </c>
      <c r="E2425" s="54">
        <f>IFERROR(__xludf.DUMMYFUNCTION("""COMPUTED_VALUE"""),19100.0)</f>
        <v>19100</v>
      </c>
      <c r="F2425" s="3" t="str">
        <f>IFERROR(__xludf.DUMMYFUNCTION("""COMPUTED_VALUE"""),"Chardonnay")</f>
        <v>Chardonnay</v>
      </c>
      <c r="G2425" s="3"/>
      <c r="H2425" s="3"/>
      <c r="I2425" s="3"/>
      <c r="J2425" s="3"/>
      <c r="K2425" s="57">
        <f>IFERROR(__xludf.DUMMYFUNCTION("""COMPUTED_VALUE"""),3.36)</f>
        <v>3.36</v>
      </c>
      <c r="L2425" s="54">
        <f>IFERROR(__xludf.DUMMYFUNCTION("""COMPUTED_VALUE"""),33.0)</f>
        <v>33</v>
      </c>
      <c r="M2425" s="3">
        <f>IFERROR(__xludf.DUMMYFUNCTION("""COMPUTED_VALUE"""),120.0)</f>
        <v>120</v>
      </c>
      <c r="N2425" s="3"/>
      <c r="O2425" s="3"/>
      <c r="P2425" s="3"/>
      <c r="Q2425" s="3"/>
      <c r="R2425" s="3">
        <f>IFERROR(__xludf.DUMMYFUNCTION("""COMPUTED_VALUE"""),0.0)</f>
        <v>0</v>
      </c>
      <c r="S2425" s="3"/>
      <c r="T2425" s="5"/>
      <c r="U2425" s="5"/>
      <c r="V2425" s="5"/>
      <c r="W2425" s="5"/>
    </row>
    <row r="2426" ht="15.75" customHeight="1">
      <c r="A2426" s="3">
        <f>IFERROR(__xludf.DUMMYFUNCTION("""COMPUTED_VALUE"""),2426.0)</f>
        <v>2426</v>
      </c>
      <c r="B2426" s="53">
        <f>IFERROR(__xludf.DUMMYFUNCTION("""COMPUTED_VALUE"""),46162.0)</f>
        <v>46162</v>
      </c>
      <c r="C2426" s="3">
        <f>IFERROR(__xludf.DUMMYFUNCTION("""COMPUTED_VALUE"""),49.0)</f>
        <v>49</v>
      </c>
      <c r="D2426" s="3" t="str">
        <f>IFERROR(__xludf.DUMMYFUNCTION("""COMPUTED_VALUE"""),"8335a590")</f>
        <v>8335a590</v>
      </c>
      <c r="E2426" s="54">
        <f>IFERROR(__xludf.DUMMYFUNCTION("""COMPUTED_VALUE"""),26000.0)</f>
        <v>26000</v>
      </c>
      <c r="F2426" s="3" t="str">
        <f>IFERROR(__xludf.DUMMYFUNCTION("""COMPUTED_VALUE"""),"Chardonnay Reac")</f>
        <v>Chardonnay Reac</v>
      </c>
      <c r="G2426" s="3"/>
      <c r="H2426" s="3"/>
      <c r="I2426" s="3"/>
      <c r="J2426" s="3"/>
      <c r="K2426" s="57">
        <f>IFERROR(__xludf.DUMMYFUNCTION("""COMPUTED_VALUE"""),3.35)</f>
        <v>3.35</v>
      </c>
      <c r="L2426" s="54">
        <f>IFERROR(__xludf.DUMMYFUNCTION("""COMPUTED_VALUE"""),35.0)</f>
        <v>35</v>
      </c>
      <c r="M2426" s="3">
        <f>IFERROR(__xludf.DUMMYFUNCTION("""COMPUTED_VALUE"""),120.0)</f>
        <v>120</v>
      </c>
      <c r="N2426" s="3"/>
      <c r="O2426" s="3"/>
      <c r="P2426" s="3"/>
      <c r="Q2426" s="3"/>
      <c r="R2426" s="3">
        <f>IFERROR(__xludf.DUMMYFUNCTION("""COMPUTED_VALUE"""),0.0)</f>
        <v>0</v>
      </c>
      <c r="S2426" s="3"/>
      <c r="T2426" s="5"/>
      <c r="U2426" s="5"/>
      <c r="V2426" s="5"/>
      <c r="W2426" s="5"/>
    </row>
    <row r="2427" ht="15.75" customHeight="1">
      <c r="A2427" s="3">
        <f>IFERROR(__xludf.DUMMYFUNCTION("""COMPUTED_VALUE"""),2427.0)</f>
        <v>2427</v>
      </c>
      <c r="B2427" s="53">
        <f>IFERROR(__xludf.DUMMYFUNCTION("""COMPUTED_VALUE"""),46162.0)</f>
        <v>46162</v>
      </c>
      <c r="C2427" s="3">
        <f>IFERROR(__xludf.DUMMYFUNCTION("""COMPUTED_VALUE"""),55.0)</f>
        <v>55</v>
      </c>
      <c r="D2427" s="3" t="str">
        <f>IFERROR(__xludf.DUMMYFUNCTION("""COMPUTED_VALUE"""),"5488ed13")</f>
        <v>5488ed13</v>
      </c>
      <c r="E2427" s="54">
        <f>IFERROR(__xludf.DUMMYFUNCTION("""COMPUTED_VALUE"""),3000.0)</f>
        <v>3000</v>
      </c>
      <c r="F2427" s="3" t="str">
        <f>IFERROR(__xludf.DUMMYFUNCTION("""COMPUTED_VALUE"""),"Chardonnay Reac")</f>
        <v>Chardonnay Reac</v>
      </c>
      <c r="G2427" s="3"/>
      <c r="H2427" s="3"/>
      <c r="I2427" s="3"/>
      <c r="J2427" s="3"/>
      <c r="K2427" s="57">
        <f>IFERROR(__xludf.DUMMYFUNCTION("""COMPUTED_VALUE"""),3.34)</f>
        <v>3.34</v>
      </c>
      <c r="L2427" s="54">
        <f>IFERROR(__xludf.DUMMYFUNCTION("""COMPUTED_VALUE"""),26.0)</f>
        <v>26</v>
      </c>
      <c r="M2427" s="3">
        <f>IFERROR(__xludf.DUMMYFUNCTION("""COMPUTED_VALUE"""),102.0)</f>
        <v>102</v>
      </c>
      <c r="N2427" s="3"/>
      <c r="O2427" s="3"/>
      <c r="P2427" s="3"/>
      <c r="Q2427" s="3"/>
      <c r="R2427" s="3">
        <f>IFERROR(__xludf.DUMMYFUNCTION("""COMPUTED_VALUE"""),0.0)</f>
        <v>0</v>
      </c>
      <c r="S2427" s="3"/>
      <c r="T2427" s="5"/>
      <c r="U2427" s="5"/>
      <c r="V2427" s="5"/>
      <c r="W2427" s="5"/>
    </row>
    <row r="2428" ht="15.75" customHeight="1">
      <c r="A2428" s="3">
        <f>IFERROR(__xludf.DUMMYFUNCTION("""COMPUTED_VALUE"""),2428.0)</f>
        <v>2428</v>
      </c>
      <c r="B2428" s="53">
        <f>IFERROR(__xludf.DUMMYFUNCTION("""COMPUTED_VALUE"""),46162.0)</f>
        <v>46162</v>
      </c>
      <c r="C2428" s="3">
        <f>IFERROR(__xludf.DUMMYFUNCTION("""COMPUTED_VALUE"""),72.0)</f>
        <v>72</v>
      </c>
      <c r="D2428" s="3" t="str">
        <f>IFERROR(__xludf.DUMMYFUNCTION("""COMPUTED_VALUE"""),"794ce23f")</f>
        <v>794ce23f</v>
      </c>
      <c r="E2428" s="54">
        <f>IFERROR(__xludf.DUMMYFUNCTION("""COMPUTED_VALUE"""),13000.0)</f>
        <v>13000</v>
      </c>
      <c r="F2428" s="3" t="str">
        <f>IFERROR(__xludf.DUMMYFUNCTION("""COMPUTED_VALUE"""),"Chardonnay")</f>
        <v>Chardonnay</v>
      </c>
      <c r="G2428" s="3"/>
      <c r="H2428" s="3"/>
      <c r="I2428" s="3"/>
      <c r="J2428" s="3"/>
      <c r="K2428" s="57">
        <f>IFERROR(__xludf.DUMMYFUNCTION("""COMPUTED_VALUE"""),3.35)</f>
        <v>3.35</v>
      </c>
      <c r="L2428" s="54">
        <f>IFERROR(__xludf.DUMMYFUNCTION("""COMPUTED_VALUE"""),36.0)</f>
        <v>36</v>
      </c>
      <c r="M2428" s="3">
        <f>IFERROR(__xludf.DUMMYFUNCTION("""COMPUTED_VALUE"""),92.0)</f>
        <v>92</v>
      </c>
      <c r="N2428" s="3"/>
      <c r="O2428" s="3"/>
      <c r="P2428" s="3"/>
      <c r="Q2428" s="3"/>
      <c r="R2428" s="3">
        <f>IFERROR(__xludf.DUMMYFUNCTION("""COMPUTED_VALUE"""),0.0)</f>
        <v>0</v>
      </c>
      <c r="S2428" s="3"/>
      <c r="T2428" s="5"/>
      <c r="U2428" s="5"/>
      <c r="V2428" s="5"/>
      <c r="W2428" s="5"/>
    </row>
    <row r="2429" ht="15.75" customHeight="1">
      <c r="A2429" s="3">
        <f>IFERROR(__xludf.DUMMYFUNCTION("""COMPUTED_VALUE"""),2429.0)</f>
        <v>2429</v>
      </c>
      <c r="B2429" s="53">
        <f>IFERROR(__xludf.DUMMYFUNCTION("""COMPUTED_VALUE"""),46162.0)</f>
        <v>46162</v>
      </c>
      <c r="C2429" s="3">
        <f>IFERROR(__xludf.DUMMYFUNCTION("""COMPUTED_VALUE"""),116.0)</f>
        <v>116</v>
      </c>
      <c r="D2429" s="3" t="str">
        <f>IFERROR(__xludf.DUMMYFUNCTION("""COMPUTED_VALUE"""),"606a2ad7")</f>
        <v>606a2ad7</v>
      </c>
      <c r="E2429" s="54">
        <f>IFERROR(__xludf.DUMMYFUNCTION("""COMPUTED_VALUE"""),99600.0)</f>
        <v>99600</v>
      </c>
      <c r="F2429" s="3" t="str">
        <f>IFERROR(__xludf.DUMMYFUNCTION("""COMPUTED_VALUE"""),"Malbec")</f>
        <v>Malbec</v>
      </c>
      <c r="G2429" s="3"/>
      <c r="H2429" s="3"/>
      <c r="I2429" s="3"/>
      <c r="J2429" s="3"/>
      <c r="K2429" s="57">
        <f>IFERROR(__xludf.DUMMYFUNCTION("""COMPUTED_VALUE"""),3.8)</f>
        <v>3.8</v>
      </c>
      <c r="L2429" s="54">
        <f>IFERROR(__xludf.DUMMYFUNCTION("""COMPUTED_VALUE"""),38.0)</f>
        <v>38</v>
      </c>
      <c r="M2429" s="3">
        <f>IFERROR(__xludf.DUMMYFUNCTION("""COMPUTED_VALUE"""),77.0)</f>
        <v>77</v>
      </c>
      <c r="N2429" s="3"/>
      <c r="O2429" s="3"/>
      <c r="P2429" s="3"/>
      <c r="Q2429" s="3"/>
      <c r="R2429" s="3">
        <f>IFERROR(__xludf.DUMMYFUNCTION("""COMPUTED_VALUE"""),0.0)</f>
        <v>0</v>
      </c>
      <c r="S2429" s="3"/>
      <c r="T2429" s="5"/>
      <c r="U2429" s="5"/>
      <c r="V2429" s="5"/>
      <c r="W2429" s="5"/>
    </row>
    <row r="2430" ht="15.75" customHeight="1">
      <c r="A2430" s="3">
        <f>IFERROR(__xludf.DUMMYFUNCTION("""COMPUTED_VALUE"""),2430.0)</f>
        <v>2430</v>
      </c>
      <c r="B2430" s="53">
        <f>IFERROR(__xludf.DUMMYFUNCTION("""COMPUTED_VALUE"""),46162.0)</f>
        <v>46162</v>
      </c>
      <c r="C2430" s="3">
        <f>IFERROR(__xludf.DUMMYFUNCTION("""COMPUTED_VALUE"""),121.0)</f>
        <v>121</v>
      </c>
      <c r="D2430" s="3" t="str">
        <f>IFERROR(__xludf.DUMMYFUNCTION("""COMPUTED_VALUE"""),"2f111639")</f>
        <v>2f111639</v>
      </c>
      <c r="E2430" s="54">
        <f>IFERROR(__xludf.DUMMYFUNCTION("""COMPUTED_VALUE"""),85800.0)</f>
        <v>85800</v>
      </c>
      <c r="F2430" s="3" t="str">
        <f>IFERROR(__xludf.DUMMYFUNCTION("""COMPUTED_VALUE"""),"Malbec")</f>
        <v>Malbec</v>
      </c>
      <c r="G2430" s="3"/>
      <c r="H2430" s="3"/>
      <c r="I2430" s="3"/>
      <c r="J2430" s="3"/>
      <c r="K2430" s="57">
        <f>IFERROR(__xludf.DUMMYFUNCTION("""COMPUTED_VALUE"""),3.89)</f>
        <v>3.89</v>
      </c>
      <c r="L2430" s="54">
        <f>IFERROR(__xludf.DUMMYFUNCTION("""COMPUTED_VALUE"""),42.0)</f>
        <v>42</v>
      </c>
      <c r="M2430" s="3">
        <f>IFERROR(__xludf.DUMMYFUNCTION("""COMPUTED_VALUE"""),90.0)</f>
        <v>90</v>
      </c>
      <c r="N2430" s="3"/>
      <c r="O2430" s="3"/>
      <c r="P2430" s="3"/>
      <c r="Q2430" s="3"/>
      <c r="R2430" s="3">
        <f>IFERROR(__xludf.DUMMYFUNCTION("""COMPUTED_VALUE"""),0.0)</f>
        <v>0</v>
      </c>
      <c r="S2430" s="3"/>
      <c r="T2430" s="5"/>
      <c r="U2430" s="5"/>
      <c r="V2430" s="5"/>
      <c r="W2430" s="5"/>
    </row>
    <row r="2431" ht="15.75" customHeight="1">
      <c r="A2431" s="3">
        <f>IFERROR(__xludf.DUMMYFUNCTION("""COMPUTED_VALUE"""),2431.0)</f>
        <v>2431</v>
      </c>
      <c r="B2431" s="53">
        <f>IFERROR(__xludf.DUMMYFUNCTION("""COMPUTED_VALUE"""),46162.0)</f>
        <v>46162</v>
      </c>
      <c r="C2431" s="3">
        <f>IFERROR(__xludf.DUMMYFUNCTION("""COMPUTED_VALUE"""),114.0)</f>
        <v>114</v>
      </c>
      <c r="D2431" s="3" t="str">
        <f>IFERROR(__xludf.DUMMYFUNCTION("""COMPUTED_VALUE"""),"eb6cf98d")</f>
        <v>eb6cf98d</v>
      </c>
      <c r="E2431" s="54">
        <f>IFERROR(__xludf.DUMMYFUNCTION("""COMPUTED_VALUE"""),125300.0)</f>
        <v>125300</v>
      </c>
      <c r="F2431" s="3" t="str">
        <f>IFERROR(__xludf.DUMMYFUNCTION("""COMPUTED_VALUE"""),"Syrah")</f>
        <v>Syrah</v>
      </c>
      <c r="G2431" s="3"/>
      <c r="H2431" s="3"/>
      <c r="I2431" s="3"/>
      <c r="J2431" s="3"/>
      <c r="K2431" s="57">
        <f>IFERROR(__xludf.DUMMYFUNCTION("""COMPUTED_VALUE"""),3.85)</f>
        <v>3.85</v>
      </c>
      <c r="L2431" s="54">
        <f>IFERROR(__xludf.DUMMYFUNCTION("""COMPUTED_VALUE"""),40.0)</f>
        <v>40</v>
      </c>
      <c r="M2431" s="3">
        <f>IFERROR(__xludf.DUMMYFUNCTION("""COMPUTED_VALUE"""),85.0)</f>
        <v>85</v>
      </c>
      <c r="N2431" s="3"/>
      <c r="O2431" s="3"/>
      <c r="P2431" s="3"/>
      <c r="Q2431" s="3"/>
      <c r="R2431" s="3">
        <f>IFERROR(__xludf.DUMMYFUNCTION("""COMPUTED_VALUE"""),0.0)</f>
        <v>0</v>
      </c>
      <c r="S2431" s="3"/>
      <c r="T2431" s="5"/>
      <c r="U2431" s="5"/>
      <c r="V2431" s="5"/>
      <c r="W2431" s="5"/>
    </row>
    <row r="2432" ht="15.75" customHeight="1">
      <c r="A2432" s="3">
        <f>IFERROR(__xludf.DUMMYFUNCTION("""COMPUTED_VALUE"""),2432.0)</f>
        <v>2432</v>
      </c>
      <c r="B2432" s="53">
        <f>IFERROR(__xludf.DUMMYFUNCTION("""COMPUTED_VALUE"""),46162.0)</f>
        <v>46162</v>
      </c>
      <c r="C2432" s="3">
        <f>IFERROR(__xludf.DUMMYFUNCTION("""COMPUTED_VALUE"""),115.0)</f>
        <v>115</v>
      </c>
      <c r="D2432" s="3" t="str">
        <f>IFERROR(__xludf.DUMMYFUNCTION("""COMPUTED_VALUE"""),"bd824973")</f>
        <v>bd824973</v>
      </c>
      <c r="E2432" s="54">
        <f>IFERROR(__xludf.DUMMYFUNCTION("""COMPUTED_VALUE"""),120200.0)</f>
        <v>120200</v>
      </c>
      <c r="F2432" s="3" t="str">
        <f>IFERROR(__xludf.DUMMYFUNCTION("""COMPUTED_VALUE"""),"Malbec pc")</f>
        <v>Malbec pc</v>
      </c>
      <c r="G2432" s="3"/>
      <c r="H2432" s="3"/>
      <c r="I2432" s="3"/>
      <c r="J2432" s="3"/>
      <c r="K2432" s="57">
        <f>IFERROR(__xludf.DUMMYFUNCTION("""COMPUTED_VALUE"""),3.8)</f>
        <v>3.8</v>
      </c>
      <c r="L2432" s="54">
        <f>IFERROR(__xludf.DUMMYFUNCTION("""COMPUTED_VALUE"""),33.0)</f>
        <v>33</v>
      </c>
      <c r="M2432" s="3">
        <f>IFERROR(__xludf.DUMMYFUNCTION("""COMPUTED_VALUE"""),89.0)</f>
        <v>89</v>
      </c>
      <c r="N2432" s="3"/>
      <c r="O2432" s="3"/>
      <c r="P2432" s="3"/>
      <c r="Q2432" s="3"/>
      <c r="R2432" s="3">
        <f>IFERROR(__xludf.DUMMYFUNCTION("""COMPUTED_VALUE"""),0.0)</f>
        <v>0</v>
      </c>
      <c r="S2432" s="3"/>
      <c r="T2432" s="5"/>
      <c r="U2432" s="5"/>
      <c r="V2432" s="5"/>
      <c r="W2432" s="5"/>
    </row>
    <row r="2433" ht="15.75" customHeight="1">
      <c r="A2433" s="3">
        <f>IFERROR(__xludf.DUMMYFUNCTION("""COMPUTED_VALUE"""),2433.0)</f>
        <v>2433</v>
      </c>
      <c r="B2433" s="53">
        <f>IFERROR(__xludf.DUMMYFUNCTION("""COMPUTED_VALUE"""),46162.0)</f>
        <v>46162</v>
      </c>
      <c r="C2433" s="3">
        <f>IFERROR(__xludf.DUMMYFUNCTION("""COMPUTED_VALUE"""),118.0)</f>
        <v>118</v>
      </c>
      <c r="D2433" s="3" t="str">
        <f>IFERROR(__xludf.DUMMYFUNCTION("""COMPUTED_VALUE"""),"37dfb150")</f>
        <v>37dfb150</v>
      </c>
      <c r="E2433" s="54">
        <f>IFERROR(__xludf.DUMMYFUNCTION("""COMPUTED_VALUE"""),155600.0)</f>
        <v>155600</v>
      </c>
      <c r="F2433" s="3" t="str">
        <f>IFERROR(__xludf.DUMMYFUNCTION("""COMPUTED_VALUE"""),"Syrah")</f>
        <v>Syrah</v>
      </c>
      <c r="G2433" s="3"/>
      <c r="H2433" s="3"/>
      <c r="I2433" s="3"/>
      <c r="J2433" s="3"/>
      <c r="K2433" s="57">
        <f>IFERROR(__xludf.DUMMYFUNCTION("""COMPUTED_VALUE"""),3.83)</f>
        <v>3.83</v>
      </c>
      <c r="L2433" s="54">
        <f>IFERROR(__xludf.DUMMYFUNCTION("""COMPUTED_VALUE"""),44.0)</f>
        <v>44</v>
      </c>
      <c r="M2433" s="3">
        <f>IFERROR(__xludf.DUMMYFUNCTION("""COMPUTED_VALUE"""),102.0)</f>
        <v>102</v>
      </c>
      <c r="N2433" s="3"/>
      <c r="O2433" s="3"/>
      <c r="P2433" s="3"/>
      <c r="Q2433" s="3"/>
      <c r="R2433" s="3">
        <f>IFERROR(__xludf.DUMMYFUNCTION("""COMPUTED_VALUE"""),0.0)</f>
        <v>0</v>
      </c>
      <c r="S2433" s="3"/>
      <c r="T2433" s="5"/>
      <c r="U2433" s="5"/>
      <c r="V2433" s="5"/>
      <c r="W2433" s="5"/>
    </row>
    <row r="2434" ht="15.75" customHeight="1">
      <c r="A2434" s="3">
        <f>IFERROR(__xludf.DUMMYFUNCTION("""COMPUTED_VALUE"""),2434.0)</f>
        <v>2434</v>
      </c>
      <c r="B2434" s="53">
        <f>IFERROR(__xludf.DUMMYFUNCTION("""COMPUTED_VALUE"""),46162.0)</f>
        <v>46162</v>
      </c>
      <c r="C2434" s="3">
        <f>IFERROR(__xludf.DUMMYFUNCTION("""COMPUTED_VALUE"""),106.0)</f>
        <v>106</v>
      </c>
      <c r="D2434" s="3" t="str">
        <f>IFERROR(__xludf.DUMMYFUNCTION("""COMPUTED_VALUE"""),"33054c4c")</f>
        <v>33054c4c</v>
      </c>
      <c r="E2434" s="54">
        <f>IFERROR(__xludf.DUMMYFUNCTION("""COMPUTED_VALUE"""),11000.0)</f>
        <v>11000</v>
      </c>
      <c r="F2434" s="3" t="str">
        <f>IFERROR(__xludf.DUMMYFUNCTION("""COMPUTED_VALUE"""),"Malbec Mer s/Asp 3")</f>
        <v>Malbec Mer s/Asp 3</v>
      </c>
      <c r="G2434" s="3"/>
      <c r="H2434" s="3"/>
      <c r="I2434" s="3"/>
      <c r="J2434" s="3"/>
      <c r="K2434" s="57">
        <f>IFERROR(__xludf.DUMMYFUNCTION("""COMPUTED_VALUE"""),3.8)</f>
        <v>3.8</v>
      </c>
      <c r="L2434" s="54">
        <f>IFERROR(__xludf.DUMMYFUNCTION("""COMPUTED_VALUE"""),47.0)</f>
        <v>47</v>
      </c>
      <c r="M2434" s="3">
        <f>IFERROR(__xludf.DUMMYFUNCTION("""COMPUTED_VALUE"""),83.0)</f>
        <v>83</v>
      </c>
      <c r="N2434" s="3"/>
      <c r="O2434" s="3"/>
      <c r="P2434" s="3"/>
      <c r="Q2434" s="3"/>
      <c r="R2434" s="3">
        <f>IFERROR(__xludf.DUMMYFUNCTION("""COMPUTED_VALUE"""),0.0)</f>
        <v>0</v>
      </c>
      <c r="S2434" s="3"/>
      <c r="T2434" s="5"/>
      <c r="U2434" s="5"/>
      <c r="V2434" s="5"/>
      <c r="W2434" s="5"/>
    </row>
    <row r="2435" ht="15.75" customHeight="1">
      <c r="A2435" s="3">
        <f>IFERROR(__xludf.DUMMYFUNCTION("""COMPUTED_VALUE"""),2435.0)</f>
        <v>2435</v>
      </c>
      <c r="B2435" s="53">
        <f>IFERROR(__xludf.DUMMYFUNCTION("""COMPUTED_VALUE"""),46162.0)</f>
        <v>46162</v>
      </c>
      <c r="C2435" s="3">
        <f>IFERROR(__xludf.DUMMYFUNCTION("""COMPUTED_VALUE"""),107.0)</f>
        <v>107</v>
      </c>
      <c r="D2435" s="3" t="str">
        <f>IFERROR(__xludf.DUMMYFUNCTION("""COMPUTED_VALUE"""),"99ab0a68")</f>
        <v>99ab0a68</v>
      </c>
      <c r="E2435" s="54">
        <f>IFERROR(__xludf.DUMMYFUNCTION("""COMPUTED_VALUE"""),31000.0)</f>
        <v>31000</v>
      </c>
      <c r="F2435" s="3" t="str">
        <f>IFERROR(__xludf.DUMMYFUNCTION("""COMPUTED_VALUE"""),"Syrah Malbec s/Asp 2")</f>
        <v>Syrah Malbec s/Asp 2</v>
      </c>
      <c r="G2435" s="3"/>
      <c r="H2435" s="3"/>
      <c r="I2435" s="3"/>
      <c r="J2435" s="3"/>
      <c r="K2435" s="57">
        <f>IFERROR(__xludf.DUMMYFUNCTION("""COMPUTED_VALUE"""),3.78)</f>
        <v>3.78</v>
      </c>
      <c r="L2435" s="54">
        <f>IFERROR(__xludf.DUMMYFUNCTION("""COMPUTED_VALUE"""),33.0)</f>
        <v>33</v>
      </c>
      <c r="M2435" s="3">
        <f>IFERROR(__xludf.DUMMYFUNCTION("""COMPUTED_VALUE"""),65.0)</f>
        <v>65</v>
      </c>
      <c r="N2435" s="3"/>
      <c r="O2435" s="3"/>
      <c r="P2435" s="3"/>
      <c r="Q2435" s="3"/>
      <c r="R2435" s="3">
        <f>IFERROR(__xludf.DUMMYFUNCTION("""COMPUTED_VALUE"""),0.0)</f>
        <v>0</v>
      </c>
      <c r="S2435" s="3"/>
      <c r="T2435" s="5"/>
      <c r="U2435" s="5"/>
      <c r="V2435" s="5"/>
      <c r="W2435" s="5"/>
    </row>
    <row r="2436" ht="15.75" customHeight="1">
      <c r="A2436" s="3">
        <f>IFERROR(__xludf.DUMMYFUNCTION("""COMPUTED_VALUE"""),2436.0)</f>
        <v>2436</v>
      </c>
      <c r="B2436" s="53">
        <f>IFERROR(__xludf.DUMMYFUNCTION("""COMPUTED_VALUE"""),46162.0)</f>
        <v>46162</v>
      </c>
      <c r="C2436" s="3">
        <f>IFERROR(__xludf.DUMMYFUNCTION("""COMPUTED_VALUE"""),108.0)</f>
        <v>108</v>
      </c>
      <c r="D2436" s="3" t="str">
        <f>IFERROR(__xludf.DUMMYFUNCTION("""COMPUTED_VALUE"""),"f4f50fc1")</f>
        <v>f4f50fc1</v>
      </c>
      <c r="E2436" s="54">
        <f>IFERROR(__xludf.DUMMYFUNCTION("""COMPUTED_VALUE"""),31000.0)</f>
        <v>31000</v>
      </c>
      <c r="F2436" s="3" t="str">
        <f>IFERROR(__xludf.DUMMYFUNCTION("""COMPUTED_VALUE"""),"Syrah Malbec s/Asp 2")</f>
        <v>Syrah Malbec s/Asp 2</v>
      </c>
      <c r="G2436" s="3"/>
      <c r="H2436" s="3"/>
      <c r="I2436" s="3"/>
      <c r="J2436" s="3"/>
      <c r="K2436" s="57">
        <f>IFERROR(__xludf.DUMMYFUNCTION("""COMPUTED_VALUE"""),3.72)</f>
        <v>3.72</v>
      </c>
      <c r="L2436" s="54">
        <f>IFERROR(__xludf.DUMMYFUNCTION("""COMPUTED_VALUE"""),34.0)</f>
        <v>34</v>
      </c>
      <c r="M2436" s="3">
        <f>IFERROR(__xludf.DUMMYFUNCTION("""COMPUTED_VALUE"""),83.0)</f>
        <v>83</v>
      </c>
      <c r="N2436" s="3"/>
      <c r="O2436" s="3"/>
      <c r="P2436" s="3"/>
      <c r="Q2436" s="3"/>
      <c r="R2436" s="3">
        <f>IFERROR(__xludf.DUMMYFUNCTION("""COMPUTED_VALUE"""),0.0)</f>
        <v>0</v>
      </c>
      <c r="S2436" s="3"/>
      <c r="T2436" s="5"/>
      <c r="U2436" s="5"/>
      <c r="V2436" s="5"/>
      <c r="W2436" s="5"/>
    </row>
    <row r="2437" ht="15.75" customHeight="1">
      <c r="A2437" s="3">
        <f>IFERROR(__xludf.DUMMYFUNCTION("""COMPUTED_VALUE"""),2437.0)</f>
        <v>2437</v>
      </c>
      <c r="B2437" s="53">
        <f>IFERROR(__xludf.DUMMYFUNCTION("""COMPUTED_VALUE"""),46162.0)</f>
        <v>46162</v>
      </c>
      <c r="C2437" s="3">
        <f>IFERROR(__xludf.DUMMYFUNCTION("""COMPUTED_VALUE"""),88.0)</f>
        <v>88</v>
      </c>
      <c r="D2437" s="3" t="str">
        <f>IFERROR(__xludf.DUMMYFUNCTION("""COMPUTED_VALUE"""),"028d4ed0")</f>
        <v>028d4ed0</v>
      </c>
      <c r="E2437" s="54">
        <f>IFERROR(__xludf.DUMMYFUNCTION("""COMPUTED_VALUE"""),78900.0)</f>
        <v>78900</v>
      </c>
      <c r="F2437" s="3" t="str">
        <f>IFERROR(__xludf.DUMMYFUNCTION("""COMPUTED_VALUE"""),"Syrah Temp")</f>
        <v>Syrah Temp</v>
      </c>
      <c r="G2437" s="3"/>
      <c r="H2437" s="3"/>
      <c r="I2437" s="3"/>
      <c r="J2437" s="3"/>
      <c r="K2437" s="57">
        <f>IFERROR(__xludf.DUMMYFUNCTION("""COMPUTED_VALUE"""),3.8)</f>
        <v>3.8</v>
      </c>
      <c r="L2437" s="54">
        <f>IFERROR(__xludf.DUMMYFUNCTION("""COMPUTED_VALUE"""),31.0)</f>
        <v>31</v>
      </c>
      <c r="M2437" s="3">
        <f>IFERROR(__xludf.DUMMYFUNCTION("""COMPUTED_VALUE"""),84.0)</f>
        <v>84</v>
      </c>
      <c r="N2437" s="3"/>
      <c r="O2437" s="3"/>
      <c r="P2437" s="3"/>
      <c r="Q2437" s="3"/>
      <c r="R2437" s="3">
        <f>IFERROR(__xludf.DUMMYFUNCTION("""COMPUTED_VALUE"""),0.0)</f>
        <v>0</v>
      </c>
      <c r="S2437" s="3"/>
      <c r="T2437" s="5"/>
      <c r="U2437" s="5"/>
      <c r="V2437" s="5"/>
      <c r="W2437" s="5"/>
    </row>
    <row r="2438" ht="15.75" customHeight="1">
      <c r="A2438" s="3">
        <f>IFERROR(__xludf.DUMMYFUNCTION("""COMPUTED_VALUE"""),2438.0)</f>
        <v>2438</v>
      </c>
      <c r="B2438" s="53">
        <f>IFERROR(__xludf.DUMMYFUNCTION("""COMPUTED_VALUE"""),46162.0)</f>
        <v>46162</v>
      </c>
      <c r="C2438" s="3">
        <f>IFERROR(__xludf.DUMMYFUNCTION("""COMPUTED_VALUE"""),89.0)</f>
        <v>89</v>
      </c>
      <c r="D2438" s="3" t="str">
        <f>IFERROR(__xludf.DUMMYFUNCTION("""COMPUTED_VALUE"""),"ac97825f")</f>
        <v>ac97825f</v>
      </c>
      <c r="E2438" s="54">
        <f>IFERROR(__xludf.DUMMYFUNCTION("""COMPUTED_VALUE"""),83500.0)</f>
        <v>83500</v>
      </c>
      <c r="F2438" s="3" t="str">
        <f>IFERROR(__xludf.DUMMYFUNCTION("""COMPUTED_VALUE"""),"Syrah Temp")</f>
        <v>Syrah Temp</v>
      </c>
      <c r="G2438" s="3"/>
      <c r="H2438" s="3"/>
      <c r="I2438" s="3"/>
      <c r="J2438" s="3"/>
      <c r="K2438" s="57">
        <f>IFERROR(__xludf.DUMMYFUNCTION("""COMPUTED_VALUE"""),3.82)</f>
        <v>3.82</v>
      </c>
      <c r="L2438" s="54">
        <f>IFERROR(__xludf.DUMMYFUNCTION("""COMPUTED_VALUE"""),38.0)</f>
        <v>38</v>
      </c>
      <c r="M2438" s="3">
        <f>IFERROR(__xludf.DUMMYFUNCTION("""COMPUTED_VALUE"""),90.0)</f>
        <v>90</v>
      </c>
      <c r="N2438" s="3"/>
      <c r="O2438" s="3"/>
      <c r="P2438" s="3"/>
      <c r="Q2438" s="3"/>
      <c r="R2438" s="3">
        <f>IFERROR(__xludf.DUMMYFUNCTION("""COMPUTED_VALUE"""),0.0)</f>
        <v>0</v>
      </c>
      <c r="S2438" s="3"/>
      <c r="T2438" s="5"/>
      <c r="U2438" s="5"/>
      <c r="V2438" s="5"/>
      <c r="W2438" s="5"/>
    </row>
    <row r="2439" ht="15.75" customHeight="1">
      <c r="A2439" s="3">
        <f>IFERROR(__xludf.DUMMYFUNCTION("""COMPUTED_VALUE"""),2439.0)</f>
        <v>2439</v>
      </c>
      <c r="B2439" s="53">
        <f>IFERROR(__xludf.DUMMYFUNCTION("""COMPUTED_VALUE"""),46162.0)</f>
        <v>46162</v>
      </c>
      <c r="C2439" s="3">
        <f>IFERROR(__xludf.DUMMYFUNCTION("""COMPUTED_VALUE"""),103.0)</f>
        <v>103</v>
      </c>
      <c r="D2439" s="3" t="str">
        <f>IFERROR(__xludf.DUMMYFUNCTION("""COMPUTED_VALUE"""),"a9c64acb")</f>
        <v>a9c64acb</v>
      </c>
      <c r="E2439" s="54">
        <f>IFERROR(__xludf.DUMMYFUNCTION("""COMPUTED_VALUE"""),31000.0)</f>
        <v>31000</v>
      </c>
      <c r="F2439" s="3" t="str">
        <f>IFERROR(__xludf.DUMMYFUNCTION("""COMPUTED_VALUE"""),"Syrah s/Asp")</f>
        <v>Syrah s/Asp</v>
      </c>
      <c r="G2439" s="3"/>
      <c r="H2439" s="3"/>
      <c r="I2439" s="3"/>
      <c r="J2439" s="3"/>
      <c r="K2439" s="57">
        <f>IFERROR(__xludf.DUMMYFUNCTION("""COMPUTED_VALUE"""),3.81)</f>
        <v>3.81</v>
      </c>
      <c r="L2439" s="54">
        <f>IFERROR(__xludf.DUMMYFUNCTION("""COMPUTED_VALUE"""),41.0)</f>
        <v>41</v>
      </c>
      <c r="M2439" s="3">
        <f>IFERROR(__xludf.DUMMYFUNCTION("""COMPUTED_VALUE"""),77.0)</f>
        <v>77</v>
      </c>
      <c r="N2439" s="3"/>
      <c r="O2439" s="3"/>
      <c r="P2439" s="3"/>
      <c r="Q2439" s="3"/>
      <c r="R2439" s="3">
        <f>IFERROR(__xludf.DUMMYFUNCTION("""COMPUTED_VALUE"""),0.0)</f>
        <v>0</v>
      </c>
      <c r="S2439" s="3"/>
      <c r="T2439" s="5"/>
      <c r="U2439" s="5"/>
      <c r="V2439" s="5"/>
      <c r="W2439" s="5"/>
    </row>
    <row r="2440" ht="15.75" customHeight="1">
      <c r="A2440" s="3">
        <f>IFERROR(__xludf.DUMMYFUNCTION("""COMPUTED_VALUE"""),2440.0)</f>
        <v>2440</v>
      </c>
      <c r="B2440" s="53">
        <f>IFERROR(__xludf.DUMMYFUNCTION("""COMPUTED_VALUE"""),46162.0)</f>
        <v>46162</v>
      </c>
      <c r="C2440" s="3">
        <f>IFERROR(__xludf.DUMMYFUNCTION("""COMPUTED_VALUE"""),84.0)</f>
        <v>84</v>
      </c>
      <c r="D2440" s="3" t="str">
        <f>IFERROR(__xludf.DUMMYFUNCTION("""COMPUTED_VALUE"""),"55047269")</f>
        <v>55047269</v>
      </c>
      <c r="E2440" s="54">
        <f>IFERROR(__xludf.DUMMYFUNCTION("""COMPUTED_VALUE"""),83000.0)</f>
        <v>83000</v>
      </c>
      <c r="F2440" s="3" t="str">
        <f>IFERROR(__xludf.DUMMYFUNCTION("""COMPUTED_VALUE"""),"Malbec pc")</f>
        <v>Malbec pc</v>
      </c>
      <c r="G2440" s="3"/>
      <c r="H2440" s="3"/>
      <c r="I2440" s="3"/>
      <c r="J2440" s="3"/>
      <c r="K2440" s="57">
        <f>IFERROR(__xludf.DUMMYFUNCTION("""COMPUTED_VALUE"""),3.9)</f>
        <v>3.9</v>
      </c>
      <c r="L2440" s="54">
        <f>IFERROR(__xludf.DUMMYFUNCTION("""COMPUTED_VALUE"""),36.0)</f>
        <v>36</v>
      </c>
      <c r="M2440" s="3">
        <f>IFERROR(__xludf.DUMMYFUNCTION("""COMPUTED_VALUE"""),90.0)</f>
        <v>90</v>
      </c>
      <c r="N2440" s="3"/>
      <c r="O2440" s="3"/>
      <c r="P2440" s="3"/>
      <c r="Q2440" s="3"/>
      <c r="R2440" s="3">
        <f>IFERROR(__xludf.DUMMYFUNCTION("""COMPUTED_VALUE"""),0.0)</f>
        <v>0</v>
      </c>
      <c r="S2440" s="3"/>
      <c r="T2440" s="5"/>
      <c r="U2440" s="5"/>
      <c r="V2440" s="5"/>
      <c r="W2440" s="5"/>
    </row>
    <row r="2441" ht="15.75" customHeight="1">
      <c r="A2441" s="3">
        <f>IFERROR(__xludf.DUMMYFUNCTION("""COMPUTED_VALUE"""),2441.0)</f>
        <v>2441</v>
      </c>
      <c r="B2441" s="53">
        <f>IFERROR(__xludf.DUMMYFUNCTION("""COMPUTED_VALUE"""),46162.0)</f>
        <v>46162</v>
      </c>
      <c r="C2441" s="3">
        <f>IFERROR(__xludf.DUMMYFUNCTION("""COMPUTED_VALUE"""),104.0)</f>
        <v>104</v>
      </c>
      <c r="D2441" s="3" t="str">
        <f>IFERROR(__xludf.DUMMYFUNCTION("""COMPUTED_VALUE"""),"0a8c721d")</f>
        <v>0a8c721d</v>
      </c>
      <c r="E2441" s="54">
        <f>IFERROR(__xludf.DUMMYFUNCTION("""COMPUTED_VALUE"""),31000.0)</f>
        <v>31000</v>
      </c>
      <c r="F2441" s="3" t="str">
        <f>IFERROR(__xludf.DUMMYFUNCTION("""COMPUTED_VALUE"""),"Syrah Merlot s/Asp 3")</f>
        <v>Syrah Merlot s/Asp 3</v>
      </c>
      <c r="G2441" s="3"/>
      <c r="H2441" s="3"/>
      <c r="I2441" s="3"/>
      <c r="J2441" s="3"/>
      <c r="K2441" s="57">
        <f>IFERROR(__xludf.DUMMYFUNCTION("""COMPUTED_VALUE"""),3.83)</f>
        <v>3.83</v>
      </c>
      <c r="L2441" s="54">
        <f>IFERROR(__xludf.DUMMYFUNCTION("""COMPUTED_VALUE"""),40.0)</f>
        <v>40</v>
      </c>
      <c r="M2441" s="3">
        <f>IFERROR(__xludf.DUMMYFUNCTION("""COMPUTED_VALUE"""),78.0)</f>
        <v>78</v>
      </c>
      <c r="N2441" s="3"/>
      <c r="O2441" s="3"/>
      <c r="P2441" s="3"/>
      <c r="Q2441" s="3"/>
      <c r="R2441" s="3">
        <f>IFERROR(__xludf.DUMMYFUNCTION("""COMPUTED_VALUE"""),0.0)</f>
        <v>0</v>
      </c>
      <c r="S2441" s="3"/>
      <c r="T2441" s="5"/>
      <c r="U2441" s="5"/>
      <c r="V2441" s="5"/>
      <c r="W2441" s="5"/>
    </row>
    <row r="2442" ht="15.75" customHeight="1">
      <c r="A2442" s="3">
        <f>IFERROR(__xludf.DUMMYFUNCTION("""COMPUTED_VALUE"""),2442.0)</f>
        <v>2442</v>
      </c>
      <c r="B2442" s="53">
        <f>IFERROR(__xludf.DUMMYFUNCTION("""COMPUTED_VALUE"""),46162.0)</f>
        <v>46162</v>
      </c>
      <c r="C2442" s="3">
        <f>IFERROR(__xludf.DUMMYFUNCTION("""COMPUTED_VALUE"""),105.0)</f>
        <v>105</v>
      </c>
      <c r="D2442" s="3" t="str">
        <f>IFERROR(__xludf.DUMMYFUNCTION("""COMPUTED_VALUE"""),"ea92c15b")</f>
        <v>ea92c15b</v>
      </c>
      <c r="E2442" s="54">
        <f>IFERROR(__xludf.DUMMYFUNCTION("""COMPUTED_VALUE"""),31000.0)</f>
        <v>31000</v>
      </c>
      <c r="F2442" s="3" t="str">
        <f>IFERROR(__xludf.DUMMYFUNCTION("""COMPUTED_VALUE"""),"Syrah Merlot s/Asp 3")</f>
        <v>Syrah Merlot s/Asp 3</v>
      </c>
      <c r="G2442" s="3"/>
      <c r="H2442" s="3"/>
      <c r="I2442" s="3"/>
      <c r="J2442" s="3"/>
      <c r="K2442" s="57">
        <f>IFERROR(__xludf.DUMMYFUNCTION("""COMPUTED_VALUE"""),3.82)</f>
        <v>3.82</v>
      </c>
      <c r="L2442" s="54">
        <f>IFERROR(__xludf.DUMMYFUNCTION("""COMPUTED_VALUE"""),46.0)</f>
        <v>46</v>
      </c>
      <c r="M2442" s="3">
        <f>IFERROR(__xludf.DUMMYFUNCTION("""COMPUTED_VALUE"""),70.0)</f>
        <v>70</v>
      </c>
      <c r="N2442" s="3"/>
      <c r="O2442" s="3"/>
      <c r="P2442" s="3"/>
      <c r="Q2442" s="3"/>
      <c r="R2442" s="3">
        <f>IFERROR(__xludf.DUMMYFUNCTION("""COMPUTED_VALUE"""),0.0)</f>
        <v>0</v>
      </c>
      <c r="S2442" s="3"/>
      <c r="T2442" s="5"/>
      <c r="U2442" s="5"/>
      <c r="V2442" s="5"/>
      <c r="W2442" s="5"/>
    </row>
    <row r="2443" ht="15.75" customHeight="1">
      <c r="A2443" s="3">
        <f>IFERROR(__xludf.DUMMYFUNCTION("""COMPUTED_VALUE"""),2443.0)</f>
        <v>2443</v>
      </c>
      <c r="B2443" s="53">
        <f>IFERROR(__xludf.DUMMYFUNCTION("""COMPUTED_VALUE"""),46162.0)</f>
        <v>46162</v>
      </c>
      <c r="C2443" s="3">
        <f>IFERROR(__xludf.DUMMYFUNCTION("""COMPUTED_VALUE"""),85.0)</f>
        <v>85</v>
      </c>
      <c r="D2443" s="3" t="str">
        <f>IFERROR(__xludf.DUMMYFUNCTION("""COMPUTED_VALUE"""),"7ec3170e")</f>
        <v>7ec3170e</v>
      </c>
      <c r="E2443" s="54">
        <f>IFERROR(__xludf.DUMMYFUNCTION("""COMPUTED_VALUE"""),84000.0)</f>
        <v>84000</v>
      </c>
      <c r="F2443" s="3" t="str">
        <f>IFERROR(__xludf.DUMMYFUNCTION("""COMPUTED_VALUE"""),"Malbec pc")</f>
        <v>Malbec pc</v>
      </c>
      <c r="G2443" s="3"/>
      <c r="H2443" s="3"/>
      <c r="I2443" s="3"/>
      <c r="J2443" s="3"/>
      <c r="K2443" s="57">
        <f>IFERROR(__xludf.DUMMYFUNCTION("""COMPUTED_VALUE"""),3.92)</f>
        <v>3.92</v>
      </c>
      <c r="L2443" s="54">
        <f>IFERROR(__xludf.DUMMYFUNCTION("""COMPUTED_VALUE"""),32.0)</f>
        <v>32</v>
      </c>
      <c r="M2443" s="3">
        <f>IFERROR(__xludf.DUMMYFUNCTION("""COMPUTED_VALUE"""),82.0)</f>
        <v>82</v>
      </c>
      <c r="N2443" s="3"/>
      <c r="O2443" s="3"/>
      <c r="P2443" s="3"/>
      <c r="Q2443" s="3"/>
      <c r="R2443" s="3">
        <f>IFERROR(__xludf.DUMMYFUNCTION("""COMPUTED_VALUE"""),0.0)</f>
        <v>0</v>
      </c>
      <c r="S2443" s="3"/>
      <c r="T2443" s="5"/>
      <c r="U2443" s="5"/>
      <c r="V2443" s="5"/>
      <c r="W2443" s="5"/>
    </row>
    <row r="2444" ht="15.75" customHeight="1">
      <c r="A2444" s="3">
        <f>IFERROR(__xludf.DUMMYFUNCTION("""COMPUTED_VALUE"""),2444.0)</f>
        <v>2444</v>
      </c>
      <c r="B2444" s="53">
        <f>IFERROR(__xludf.DUMMYFUNCTION("""COMPUTED_VALUE"""),46162.0)</f>
        <v>46162</v>
      </c>
      <c r="C2444" s="3">
        <f>IFERROR(__xludf.DUMMYFUNCTION("""COMPUTED_VALUE"""),95.0)</f>
        <v>95</v>
      </c>
      <c r="D2444" s="3" t="str">
        <f>IFERROR(__xludf.DUMMYFUNCTION("""COMPUTED_VALUE"""),"ee2f1b47")</f>
        <v>ee2f1b47</v>
      </c>
      <c r="E2444" s="54">
        <f>IFERROR(__xludf.DUMMYFUNCTION("""COMPUTED_VALUE"""),77100.0)</f>
        <v>77100</v>
      </c>
      <c r="F2444" s="3" t="str">
        <f>IFERROR(__xludf.DUMMYFUNCTION("""COMPUTED_VALUE"""),"Criolla Recarga")</f>
        <v>Criolla Recarga</v>
      </c>
      <c r="G2444" s="55">
        <f>IFERROR(__xludf.DUMMYFUNCTION("""COMPUTED_VALUE"""),13.6)</f>
        <v>13.6</v>
      </c>
      <c r="H2444" s="56">
        <f>IFERROR(__xludf.DUMMYFUNCTION("""COMPUTED_VALUE"""),4.0)</f>
        <v>4</v>
      </c>
      <c r="I2444" s="57">
        <f>IFERROR(__xludf.DUMMYFUNCTION("""COMPUTED_VALUE"""),0.54)</f>
        <v>0.54</v>
      </c>
      <c r="J2444" s="57">
        <f>IFERROR(__xludf.DUMMYFUNCTION("""COMPUTED_VALUE"""),4.2)</f>
        <v>4.2</v>
      </c>
      <c r="K2444" s="57">
        <f>IFERROR(__xludf.DUMMYFUNCTION("""COMPUTED_VALUE"""),4.09)</f>
        <v>4.09</v>
      </c>
      <c r="L2444" s="54">
        <f>IFERROR(__xludf.DUMMYFUNCTION("""COMPUTED_VALUE"""),27.0)</f>
        <v>27</v>
      </c>
      <c r="M2444" s="3">
        <f>IFERROR(__xludf.DUMMYFUNCTION("""COMPUTED_VALUE"""),90.0)</f>
        <v>90</v>
      </c>
      <c r="N2444" s="3"/>
      <c r="O2444" s="3"/>
      <c r="P2444" s="3"/>
      <c r="Q2444" s="3"/>
      <c r="R2444" s="3">
        <f>IFERROR(__xludf.DUMMYFUNCTION("""COMPUTED_VALUE"""),0.0)</f>
        <v>0</v>
      </c>
      <c r="S2444" s="3"/>
      <c r="T2444" s="5"/>
      <c r="U2444" s="5"/>
      <c r="V2444" s="5"/>
      <c r="W2444" s="5"/>
    </row>
    <row r="2445" ht="15.75" customHeight="1">
      <c r="A2445" s="3">
        <f>IFERROR(__xludf.DUMMYFUNCTION("""COMPUTED_VALUE"""),2445.0)</f>
        <v>2445</v>
      </c>
      <c r="B2445" s="53">
        <f>IFERROR(__xludf.DUMMYFUNCTION("""COMPUTED_VALUE"""),46162.0)</f>
        <v>46162</v>
      </c>
      <c r="C2445" s="3">
        <f>IFERROR(__xludf.DUMMYFUNCTION("""COMPUTED_VALUE"""),25.0)</f>
        <v>25</v>
      </c>
      <c r="D2445" s="3" t="str">
        <f>IFERROR(__xludf.DUMMYFUNCTION("""COMPUTED_VALUE"""),"1bb294a3")</f>
        <v>1bb294a3</v>
      </c>
      <c r="E2445" s="54">
        <f>IFERROR(__xludf.DUMMYFUNCTION("""COMPUTED_VALUE"""),187600.0)</f>
        <v>187600</v>
      </c>
      <c r="F2445" s="3" t="str">
        <f>IFERROR(__xludf.DUMMYFUNCTION("""COMPUTED_VALUE"""),"Criolla Recarga")</f>
        <v>Criolla Recarga</v>
      </c>
      <c r="G2445" s="55">
        <f>IFERROR(__xludf.DUMMYFUNCTION("""COMPUTED_VALUE"""),13.0)</f>
        <v>13</v>
      </c>
      <c r="H2445" s="56">
        <f>IFERROR(__xludf.DUMMYFUNCTION("""COMPUTED_VALUE"""),2.6)</f>
        <v>2.6</v>
      </c>
      <c r="I2445" s="57">
        <f>IFERROR(__xludf.DUMMYFUNCTION("""COMPUTED_VALUE"""),0.45)</f>
        <v>0.45</v>
      </c>
      <c r="J2445" s="57">
        <f>IFERROR(__xludf.DUMMYFUNCTION("""COMPUTED_VALUE"""),3.82)</f>
        <v>3.82</v>
      </c>
      <c r="K2445" s="57">
        <f>IFERROR(__xludf.DUMMYFUNCTION("""COMPUTED_VALUE"""),3.95)</f>
        <v>3.95</v>
      </c>
      <c r="L2445" s="54">
        <f>IFERROR(__xludf.DUMMYFUNCTION("""COMPUTED_VALUE"""),22.0)</f>
        <v>22</v>
      </c>
      <c r="M2445" s="3">
        <f>IFERROR(__xludf.DUMMYFUNCTION("""COMPUTED_VALUE"""),86.0)</f>
        <v>86</v>
      </c>
      <c r="N2445" s="3"/>
      <c r="O2445" s="3"/>
      <c r="P2445" s="3"/>
      <c r="Q2445" s="3"/>
      <c r="R2445" s="3">
        <f>IFERROR(__xludf.DUMMYFUNCTION("""COMPUTED_VALUE"""),0.0)</f>
        <v>0</v>
      </c>
      <c r="S2445" s="3"/>
      <c r="T2445" s="5"/>
      <c r="U2445" s="5"/>
      <c r="V2445" s="5"/>
      <c r="W2445" s="5"/>
    </row>
    <row r="2446" ht="15.75" customHeight="1">
      <c r="A2446" s="3">
        <f>IFERROR(__xludf.DUMMYFUNCTION("""COMPUTED_VALUE"""),2446.0)</f>
        <v>2446</v>
      </c>
      <c r="B2446" s="53">
        <f>IFERROR(__xludf.DUMMYFUNCTION("""COMPUTED_VALUE"""),46162.0)</f>
        <v>46162</v>
      </c>
      <c r="C2446" s="3">
        <f>IFERROR(__xludf.DUMMYFUNCTION("""COMPUTED_VALUE"""),69.0)</f>
        <v>69</v>
      </c>
      <c r="D2446" s="3" t="str">
        <f>IFERROR(__xludf.DUMMYFUNCTION("""COMPUTED_VALUE"""),"081b56e7")</f>
        <v>081b56e7</v>
      </c>
      <c r="E2446" s="54">
        <f>IFERROR(__xludf.DUMMYFUNCTION("""COMPUTED_VALUE"""),8300.0)</f>
        <v>8300</v>
      </c>
      <c r="F2446" s="3" t="str">
        <f>IFERROR(__xludf.DUMMYFUNCTION("""COMPUTED_VALUE"""),"Borra")</f>
        <v>Borra</v>
      </c>
      <c r="G2446" s="3"/>
      <c r="H2446" s="3"/>
      <c r="I2446" s="57">
        <f>IFERROR(__xludf.DUMMYFUNCTION("""COMPUTED_VALUE"""),0.62)</f>
        <v>0.62</v>
      </c>
      <c r="J2446" s="3"/>
      <c r="K2446" s="57">
        <f>IFERROR(__xludf.DUMMYFUNCTION("""COMPUTED_VALUE"""),3.75)</f>
        <v>3.75</v>
      </c>
      <c r="L2446" s="54">
        <f>IFERROR(__xludf.DUMMYFUNCTION("""COMPUTED_VALUE"""),64.0)</f>
        <v>64</v>
      </c>
      <c r="M2446" s="3"/>
      <c r="N2446" s="3"/>
      <c r="O2446" s="3"/>
      <c r="P2446" s="3"/>
      <c r="Q2446" s="3"/>
      <c r="R2446" s="3">
        <f>IFERROR(__xludf.DUMMYFUNCTION("""COMPUTED_VALUE"""),0.0)</f>
        <v>0</v>
      </c>
      <c r="S2446" s="3"/>
      <c r="T2446" s="5"/>
      <c r="U2446" s="5"/>
      <c r="V2446" s="5"/>
      <c r="W2446" s="5"/>
    </row>
    <row r="2447" ht="15.75" customHeight="1">
      <c r="A2447" s="3">
        <f>IFERROR(__xludf.DUMMYFUNCTION("""COMPUTED_VALUE"""),2447.0)</f>
        <v>2447</v>
      </c>
      <c r="B2447" s="53">
        <f>IFERROR(__xludf.DUMMYFUNCTION("""COMPUTED_VALUE"""),46163.0)</f>
        <v>46163</v>
      </c>
      <c r="C2447" s="3">
        <f>IFERROR(__xludf.DUMMYFUNCTION("""COMPUTED_VALUE"""),114.0)</f>
        <v>114</v>
      </c>
      <c r="D2447" s="3" t="str">
        <f>IFERROR(__xludf.DUMMYFUNCTION("""COMPUTED_VALUE"""),"eb6cf98d")</f>
        <v>eb6cf98d</v>
      </c>
      <c r="E2447" s="54">
        <f>IFERROR(__xludf.DUMMYFUNCTION("""COMPUTED_VALUE"""),125300.0)</f>
        <v>125300</v>
      </c>
      <c r="F2447" s="3" t="str">
        <f>IFERROR(__xludf.DUMMYFUNCTION("""COMPUTED_VALUE"""),"Syrah")</f>
        <v>Syrah</v>
      </c>
      <c r="G2447" s="3"/>
      <c r="H2447" s="3"/>
      <c r="I2447" s="3"/>
      <c r="J2447" s="3"/>
      <c r="K2447" s="57">
        <f>IFERROR(__xludf.DUMMYFUNCTION("""COMPUTED_VALUE"""),3.9)</f>
        <v>3.9</v>
      </c>
      <c r="L2447" s="3"/>
      <c r="M2447" s="3"/>
      <c r="N2447" s="3"/>
      <c r="O2447" s="3"/>
      <c r="P2447" s="3"/>
      <c r="Q2447" s="3"/>
      <c r="R2447" s="3">
        <f>IFERROR(__xludf.DUMMYFUNCTION("""COMPUTED_VALUE"""),0.0)</f>
        <v>0</v>
      </c>
      <c r="S2447" s="3"/>
      <c r="T2447" s="5"/>
      <c r="U2447" s="5"/>
      <c r="V2447" s="5"/>
      <c r="W2447" s="5"/>
    </row>
    <row r="2448" ht="15.75" customHeight="1">
      <c r="A2448" s="3">
        <f>IFERROR(__xludf.DUMMYFUNCTION("""COMPUTED_VALUE"""),2448.0)</f>
        <v>2448</v>
      </c>
      <c r="B2448" s="53">
        <f>IFERROR(__xludf.DUMMYFUNCTION("""COMPUTED_VALUE"""),46163.0)</f>
        <v>46163</v>
      </c>
      <c r="C2448" s="3">
        <f>IFERROR(__xludf.DUMMYFUNCTION("""COMPUTED_VALUE"""),30.0)</f>
        <v>30</v>
      </c>
      <c r="D2448" s="3" t="str">
        <f>IFERROR(__xludf.DUMMYFUNCTION("""COMPUTED_VALUE"""),"7925389c")</f>
        <v>7925389c</v>
      </c>
      <c r="E2448" s="54">
        <f>IFERROR(__xludf.DUMMYFUNCTION("""COMPUTED_VALUE"""),38800.0)</f>
        <v>38800</v>
      </c>
      <c r="F2448" s="3" t="str">
        <f>IFERROR(__xludf.DUMMYFUNCTION("""COMPUTED_VALUE"""),"Chardonnay Ch")</f>
        <v>Chardonnay Ch</v>
      </c>
      <c r="G2448" s="3"/>
      <c r="H2448" s="3"/>
      <c r="I2448" s="3"/>
      <c r="J2448" s="3"/>
      <c r="K2448" s="3"/>
      <c r="L2448" s="54">
        <f>IFERROR(__xludf.DUMMYFUNCTION("""COMPUTED_VALUE"""),35.0)</f>
        <v>35</v>
      </c>
      <c r="M2448" s="3"/>
      <c r="N2448" s="3"/>
      <c r="O2448" s="3"/>
      <c r="P2448" s="3"/>
      <c r="Q2448" s="3"/>
      <c r="R2448" s="3">
        <f>IFERROR(__xludf.DUMMYFUNCTION("""COMPUTED_VALUE"""),0.0)</f>
        <v>0</v>
      </c>
      <c r="S2448" s="3"/>
      <c r="T2448" s="5"/>
      <c r="U2448" s="5"/>
      <c r="V2448" s="5"/>
      <c r="W2448" s="5"/>
    </row>
    <row r="2449" ht="15.75" customHeight="1">
      <c r="A2449" s="3">
        <f>IFERROR(__xludf.DUMMYFUNCTION("""COMPUTED_VALUE"""),2449.0)</f>
        <v>2449</v>
      </c>
      <c r="B2449" s="53">
        <f>IFERROR(__xludf.DUMMYFUNCTION("""COMPUTED_VALUE"""),46163.0)</f>
        <v>46163</v>
      </c>
      <c r="C2449" s="3">
        <f>IFERROR(__xludf.DUMMYFUNCTION("""COMPUTED_VALUE"""),24.0)</f>
        <v>24</v>
      </c>
      <c r="D2449" s="3" t="str">
        <f>IFERROR(__xludf.DUMMYFUNCTION("""COMPUTED_VALUE"""),"94f40a8f")</f>
        <v>94f40a8f</v>
      </c>
      <c r="E2449" s="54">
        <f>IFERROR(__xludf.DUMMYFUNCTION("""COMPUTED_VALUE"""),184200.0)</f>
        <v>184200</v>
      </c>
      <c r="F2449" s="3" t="str">
        <f>IFERROR(__xludf.DUMMYFUNCTION("""COMPUTED_VALUE"""),"Criolla")</f>
        <v>Criolla</v>
      </c>
      <c r="G2449" s="3"/>
      <c r="H2449" s="3"/>
      <c r="I2449" s="3"/>
      <c r="J2449" s="3"/>
      <c r="K2449" s="3"/>
      <c r="L2449" s="54">
        <f>IFERROR(__xludf.DUMMYFUNCTION("""COMPUTED_VALUE"""),25.0)</f>
        <v>25</v>
      </c>
      <c r="M2449" s="3"/>
      <c r="N2449" s="3"/>
      <c r="O2449" s="3"/>
      <c r="P2449" s="3"/>
      <c r="Q2449" s="3"/>
      <c r="R2449" s="3">
        <f>IFERROR(__xludf.DUMMYFUNCTION("""COMPUTED_VALUE"""),0.0)</f>
        <v>0</v>
      </c>
      <c r="S2449" s="3"/>
      <c r="T2449" s="5"/>
      <c r="U2449" s="5"/>
      <c r="V2449" s="5"/>
      <c r="W2449" s="5"/>
    </row>
    <row r="2450" ht="15.75" customHeight="1">
      <c r="A2450" s="3">
        <f>IFERROR(__xludf.DUMMYFUNCTION("""COMPUTED_VALUE"""),2450.0)</f>
        <v>2450</v>
      </c>
      <c r="B2450" s="53">
        <f>IFERROR(__xludf.DUMMYFUNCTION("""COMPUTED_VALUE"""),46164.0)</f>
        <v>46164</v>
      </c>
      <c r="C2450" s="3">
        <f>IFERROR(__xludf.DUMMYFUNCTION("""COMPUTED_VALUE"""),6.0)</f>
        <v>6</v>
      </c>
      <c r="D2450" s="3" t="str">
        <f>IFERROR(__xludf.DUMMYFUNCTION("""COMPUTED_VALUE"""),"ea65ad9a")</f>
        <v>ea65ad9a</v>
      </c>
      <c r="E2450" s="54">
        <f>IFERROR(__xludf.DUMMYFUNCTION("""COMPUTED_VALUE"""),8300.0)</f>
        <v>8300</v>
      </c>
      <c r="F2450" s="3" t="str">
        <f>IFERROR(__xludf.DUMMYFUNCTION("""COMPUTED_VALUE"""),"Criolla Recarga")</f>
        <v>Criolla Recarga</v>
      </c>
      <c r="G2450" s="3"/>
      <c r="H2450" s="3"/>
      <c r="I2450" s="3"/>
      <c r="J2450" s="3"/>
      <c r="K2450" s="3"/>
      <c r="L2450" s="3"/>
      <c r="M2450" s="3"/>
      <c r="N2450" s="3"/>
      <c r="O2450" s="3"/>
      <c r="P2450" s="3"/>
      <c r="Q2450" s="3"/>
      <c r="R2450" s="3">
        <f>IFERROR(__xludf.DUMMYFUNCTION("""COMPUTED_VALUE"""),0.0)</f>
        <v>0</v>
      </c>
      <c r="S2450" s="3"/>
      <c r="T2450" s="5"/>
      <c r="U2450" s="5"/>
      <c r="V2450" s="5"/>
      <c r="W2450" s="5"/>
    </row>
    <row r="2451" ht="15.75" customHeight="1">
      <c r="A2451" s="3">
        <f>IFERROR(__xludf.DUMMYFUNCTION("""COMPUTED_VALUE"""),2451.0)</f>
        <v>2451</v>
      </c>
      <c r="B2451" s="53">
        <f>IFERROR(__xludf.DUMMYFUNCTION("""COMPUTED_VALUE"""),46164.0)</f>
        <v>46164</v>
      </c>
      <c r="C2451" s="3">
        <f>IFERROR(__xludf.DUMMYFUNCTION("""COMPUTED_VALUE"""),10.0)</f>
        <v>10</v>
      </c>
      <c r="D2451" s="3" t="str">
        <f>IFERROR(__xludf.DUMMYFUNCTION("""COMPUTED_VALUE"""),"75fa80cd")</f>
        <v>75fa80cd</v>
      </c>
      <c r="E2451" s="54">
        <f>IFERROR(__xludf.DUMMYFUNCTION("""COMPUTED_VALUE"""),19000.0)</f>
        <v>19000</v>
      </c>
      <c r="F2451" s="3" t="str">
        <f>IFERROR(__xludf.DUMMYFUNCTION("""COMPUTED_VALUE"""),"Bonarda")</f>
        <v>Bonarda</v>
      </c>
      <c r="G2451" s="3"/>
      <c r="H2451" s="3"/>
      <c r="I2451" s="3"/>
      <c r="J2451" s="3"/>
      <c r="K2451" s="3"/>
      <c r="L2451" s="3"/>
      <c r="M2451" s="3"/>
      <c r="N2451" s="3"/>
      <c r="O2451" s="3"/>
      <c r="P2451" s="3"/>
      <c r="Q2451" s="3"/>
      <c r="R2451" s="3">
        <f>IFERROR(__xludf.DUMMYFUNCTION("""COMPUTED_VALUE"""),0.0)</f>
        <v>0</v>
      </c>
      <c r="S2451" s="3"/>
      <c r="T2451" s="5"/>
      <c r="U2451" s="5"/>
      <c r="V2451" s="5"/>
      <c r="W2451" s="5"/>
    </row>
    <row r="2452" ht="15.75" customHeight="1">
      <c r="A2452" s="3">
        <f>IFERROR(__xludf.DUMMYFUNCTION("""COMPUTED_VALUE"""),2452.0)</f>
        <v>2452</v>
      </c>
      <c r="B2452" s="53">
        <f>IFERROR(__xludf.DUMMYFUNCTION("""COMPUTED_VALUE"""),46164.0)</f>
        <v>46164</v>
      </c>
      <c r="C2452" s="3">
        <f>IFERROR(__xludf.DUMMYFUNCTION("""COMPUTED_VALUE"""),14.0)</f>
        <v>14</v>
      </c>
      <c r="D2452" s="3" t="str">
        <f>IFERROR(__xludf.DUMMYFUNCTION("""COMPUTED_VALUE"""),"2be33c71")</f>
        <v>2be33c71</v>
      </c>
      <c r="E2452" s="54">
        <f>IFERROR(__xludf.DUMMYFUNCTION("""COMPUTED_VALUE"""),37000.0)</f>
        <v>37000</v>
      </c>
      <c r="F2452" s="3" t="str">
        <f>IFERROR(__xludf.DUMMYFUNCTION("""COMPUTED_VALUE"""),"Bonarda")</f>
        <v>Bonarda</v>
      </c>
      <c r="G2452" s="3"/>
      <c r="H2452" s="3"/>
      <c r="I2452" s="3"/>
      <c r="J2452" s="3"/>
      <c r="K2452" s="3"/>
      <c r="L2452" s="3"/>
      <c r="M2452" s="3"/>
      <c r="N2452" s="3"/>
      <c r="O2452" s="3"/>
      <c r="P2452" s="3"/>
      <c r="Q2452" s="3"/>
      <c r="R2452" s="3">
        <f>IFERROR(__xludf.DUMMYFUNCTION("""COMPUTED_VALUE"""),0.0)</f>
        <v>0</v>
      </c>
      <c r="S2452" s="3"/>
      <c r="T2452" s="5"/>
      <c r="U2452" s="5"/>
      <c r="V2452" s="5"/>
      <c r="W2452" s="5"/>
    </row>
    <row r="2453" ht="15.75" customHeight="1">
      <c r="A2453" s="3">
        <f>IFERROR(__xludf.DUMMYFUNCTION("""COMPUTED_VALUE"""),2453.0)</f>
        <v>2453</v>
      </c>
      <c r="B2453" s="53">
        <f>IFERROR(__xludf.DUMMYFUNCTION("""COMPUTED_VALUE"""),46164.0)</f>
        <v>46164</v>
      </c>
      <c r="C2453" s="3">
        <f>IFERROR(__xludf.DUMMYFUNCTION("""COMPUTED_VALUE"""),15.0)</f>
        <v>15</v>
      </c>
      <c r="D2453" s="3" t="str">
        <f>IFERROR(__xludf.DUMMYFUNCTION("""COMPUTED_VALUE"""),"22490f6b")</f>
        <v>22490f6b</v>
      </c>
      <c r="E2453" s="54">
        <f>IFERROR(__xludf.DUMMYFUNCTION("""COMPUTED_VALUE"""),36500.0)</f>
        <v>36500</v>
      </c>
      <c r="F2453" s="3" t="str">
        <f>IFERROR(__xludf.DUMMYFUNCTION("""COMPUTED_VALUE"""),"Cabernet Sauv G")</f>
        <v>Cabernet Sauv G</v>
      </c>
      <c r="G2453" s="3"/>
      <c r="H2453" s="3"/>
      <c r="I2453" s="3"/>
      <c r="J2453" s="3"/>
      <c r="K2453" s="3"/>
      <c r="L2453" s="3"/>
      <c r="M2453" s="3"/>
      <c r="N2453" s="3"/>
      <c r="O2453" s="3"/>
      <c r="P2453" s="3"/>
      <c r="Q2453" s="3"/>
      <c r="R2453" s="3">
        <f>IFERROR(__xludf.DUMMYFUNCTION("""COMPUTED_VALUE"""),0.0)</f>
        <v>0</v>
      </c>
      <c r="S2453" s="3"/>
      <c r="T2453" s="5"/>
      <c r="U2453" s="5"/>
      <c r="V2453" s="5"/>
      <c r="W2453" s="5"/>
    </row>
    <row r="2454" ht="15.75" customHeight="1">
      <c r="A2454" s="3">
        <f>IFERROR(__xludf.DUMMYFUNCTION("""COMPUTED_VALUE"""),2454.0)</f>
        <v>2454</v>
      </c>
      <c r="B2454" s="53">
        <f>IFERROR(__xludf.DUMMYFUNCTION("""COMPUTED_VALUE"""),46164.0)</f>
        <v>46164</v>
      </c>
      <c r="C2454" s="3">
        <f>IFERROR(__xludf.DUMMYFUNCTION("""COMPUTED_VALUE"""),30.0)</f>
        <v>30</v>
      </c>
      <c r="D2454" s="3" t="str">
        <f>IFERROR(__xludf.DUMMYFUNCTION("""COMPUTED_VALUE"""),"7925389c")</f>
        <v>7925389c</v>
      </c>
      <c r="E2454" s="54">
        <f>IFERROR(__xludf.DUMMYFUNCTION("""COMPUTED_VALUE"""),38800.0)</f>
        <v>38800</v>
      </c>
      <c r="F2454" s="3" t="str">
        <f>IFERROR(__xludf.DUMMYFUNCTION("""COMPUTED_VALUE"""),"Chardonnay Ch")</f>
        <v>Chardonnay Ch</v>
      </c>
      <c r="G2454" s="3"/>
      <c r="H2454" s="3"/>
      <c r="I2454" s="3"/>
      <c r="J2454" s="3"/>
      <c r="K2454" s="3"/>
      <c r="L2454" s="3"/>
      <c r="M2454" s="3"/>
      <c r="N2454" s="3"/>
      <c r="O2454" s="3"/>
      <c r="P2454" s="3"/>
      <c r="Q2454" s="3"/>
      <c r="R2454" s="3">
        <f>IFERROR(__xludf.DUMMYFUNCTION("""COMPUTED_VALUE"""),0.0)</f>
        <v>0</v>
      </c>
      <c r="S2454" s="3"/>
      <c r="T2454" s="5"/>
      <c r="U2454" s="5"/>
      <c r="V2454" s="5"/>
      <c r="W2454" s="5"/>
    </row>
    <row r="2455" ht="15.75" customHeight="1">
      <c r="A2455" s="3">
        <f>IFERROR(__xludf.DUMMYFUNCTION("""COMPUTED_VALUE"""),2455.0)</f>
        <v>2455</v>
      </c>
      <c r="B2455" s="53">
        <f>IFERROR(__xludf.DUMMYFUNCTION("""COMPUTED_VALUE"""),46164.0)</f>
        <v>46164</v>
      </c>
      <c r="C2455" s="3">
        <f>IFERROR(__xludf.DUMMYFUNCTION("""COMPUTED_VALUE"""),42.0)</f>
        <v>42</v>
      </c>
      <c r="D2455" s="3" t="str">
        <f>IFERROR(__xludf.DUMMYFUNCTION("""COMPUTED_VALUE"""),"759766f6")</f>
        <v>759766f6</v>
      </c>
      <c r="E2455" s="54">
        <f>IFERROR(__xludf.DUMMYFUNCTION("""COMPUTED_VALUE"""),35900.0)</f>
        <v>35900</v>
      </c>
      <c r="F2455" s="3" t="str">
        <f>IFERROR(__xludf.DUMMYFUNCTION("""COMPUTED_VALUE"""),"Bonarda")</f>
        <v>Bonarda</v>
      </c>
      <c r="G2455" s="3"/>
      <c r="H2455" s="3"/>
      <c r="I2455" s="3"/>
      <c r="J2455" s="3"/>
      <c r="K2455" s="3"/>
      <c r="L2455" s="3"/>
      <c r="M2455" s="3"/>
      <c r="N2455" s="3"/>
      <c r="O2455" s="3"/>
      <c r="P2455" s="3"/>
      <c r="Q2455" s="3"/>
      <c r="R2455" s="3">
        <f>IFERROR(__xludf.DUMMYFUNCTION("""COMPUTED_VALUE"""),0.0)</f>
        <v>0</v>
      </c>
      <c r="S2455" s="3"/>
      <c r="T2455" s="5"/>
      <c r="U2455" s="5"/>
      <c r="V2455" s="5"/>
      <c r="W2455" s="5"/>
    </row>
    <row r="2456" ht="15.75" customHeight="1">
      <c r="A2456" s="3">
        <f>IFERROR(__xludf.DUMMYFUNCTION("""COMPUTED_VALUE"""),2456.0)</f>
        <v>2456</v>
      </c>
      <c r="B2456" s="53">
        <f>IFERROR(__xludf.DUMMYFUNCTION("""COMPUTED_VALUE"""),46164.0)</f>
        <v>46164</v>
      </c>
      <c r="C2456" s="3">
        <f>IFERROR(__xludf.DUMMYFUNCTION("""COMPUTED_VALUE"""),45.0)</f>
        <v>45</v>
      </c>
      <c r="D2456" s="3" t="str">
        <f>IFERROR(__xludf.DUMMYFUNCTION("""COMPUTED_VALUE"""),"3f401895")</f>
        <v>3f401895</v>
      </c>
      <c r="E2456" s="54">
        <f>IFERROR(__xludf.DUMMYFUNCTION("""COMPUTED_VALUE"""),30000.0)</f>
        <v>30000</v>
      </c>
      <c r="F2456" s="3" t="str">
        <f>IFERROR(__xludf.DUMMYFUNCTION("""COMPUTED_VALUE"""),"Bonarda PC")</f>
        <v>Bonarda PC</v>
      </c>
      <c r="G2456" s="3"/>
      <c r="H2456" s="3"/>
      <c r="I2456" s="3"/>
      <c r="J2456" s="3"/>
      <c r="K2456" s="3"/>
      <c r="L2456" s="3"/>
      <c r="M2456" s="3"/>
      <c r="N2456" s="3"/>
      <c r="O2456" s="3"/>
      <c r="P2456" s="3"/>
      <c r="Q2456" s="3"/>
      <c r="R2456" s="3">
        <f>IFERROR(__xludf.DUMMYFUNCTION("""COMPUTED_VALUE"""),0.0)</f>
        <v>0</v>
      </c>
      <c r="S2456" s="3"/>
      <c r="T2456" s="5"/>
      <c r="U2456" s="5"/>
      <c r="V2456" s="5"/>
      <c r="W2456" s="5"/>
    </row>
    <row r="2457" ht="15.75" customHeight="1">
      <c r="A2457" s="3">
        <f>IFERROR(__xludf.DUMMYFUNCTION("""COMPUTED_VALUE"""),2457.0)</f>
        <v>2457</v>
      </c>
      <c r="B2457" s="53">
        <f>IFERROR(__xludf.DUMMYFUNCTION("""COMPUTED_VALUE"""),46164.0)</f>
        <v>46164</v>
      </c>
      <c r="C2457" s="3">
        <f>IFERROR(__xludf.DUMMYFUNCTION("""COMPUTED_VALUE"""),48.0)</f>
        <v>48</v>
      </c>
      <c r="D2457" s="3" t="str">
        <f>IFERROR(__xludf.DUMMYFUNCTION("""COMPUTED_VALUE"""),"7cb704de")</f>
        <v>7cb704de</v>
      </c>
      <c r="E2457" s="54">
        <f>IFERROR(__xludf.DUMMYFUNCTION("""COMPUTED_VALUE"""),26000.0)</f>
        <v>26000</v>
      </c>
      <c r="F2457" s="3" t="str">
        <f>IFERROR(__xludf.DUMMYFUNCTION("""COMPUTED_VALUE"""),"Torrontes Viog")</f>
        <v>Torrontes Viog</v>
      </c>
      <c r="G2457" s="3"/>
      <c r="H2457" s="3"/>
      <c r="I2457" s="3"/>
      <c r="J2457" s="3"/>
      <c r="K2457" s="3"/>
      <c r="L2457" s="3"/>
      <c r="M2457" s="3"/>
      <c r="N2457" s="3"/>
      <c r="O2457" s="3"/>
      <c r="P2457" s="3"/>
      <c r="Q2457" s="3"/>
      <c r="R2457" s="3">
        <f>IFERROR(__xludf.DUMMYFUNCTION("""COMPUTED_VALUE"""),0.0)</f>
        <v>0</v>
      </c>
      <c r="S2457" s="3"/>
      <c r="T2457" s="5"/>
      <c r="U2457" s="5"/>
      <c r="V2457" s="5"/>
      <c r="W2457" s="5"/>
    </row>
    <row r="2458" ht="15.75" customHeight="1">
      <c r="A2458" s="3">
        <f>IFERROR(__xludf.DUMMYFUNCTION("""COMPUTED_VALUE"""),2458.0)</f>
        <v>2458</v>
      </c>
      <c r="B2458" s="53">
        <f>IFERROR(__xludf.DUMMYFUNCTION("""COMPUTED_VALUE"""),46164.0)</f>
        <v>46164</v>
      </c>
      <c r="C2458" s="3">
        <f>IFERROR(__xludf.DUMMYFUNCTION("""COMPUTED_VALUE"""),50.0)</f>
        <v>50</v>
      </c>
      <c r="D2458" s="3" t="str">
        <f>IFERROR(__xludf.DUMMYFUNCTION("""COMPUTED_VALUE"""),"fa9988f0")</f>
        <v>fa9988f0</v>
      </c>
      <c r="E2458" s="54">
        <f>IFERROR(__xludf.DUMMYFUNCTION("""COMPUTED_VALUE"""),5100.0)</f>
        <v>5100</v>
      </c>
      <c r="F2458" s="3" t="str">
        <f>IFERROR(__xludf.DUMMYFUNCTION("""COMPUTED_VALUE"""),"Malbec")</f>
        <v>Malbec</v>
      </c>
      <c r="G2458" s="3"/>
      <c r="H2458" s="3"/>
      <c r="I2458" s="3"/>
      <c r="J2458" s="3"/>
      <c r="K2458" s="3"/>
      <c r="L2458" s="3"/>
      <c r="M2458" s="3"/>
      <c r="N2458" s="3"/>
      <c r="O2458" s="3"/>
      <c r="P2458" s="3"/>
      <c r="Q2458" s="3"/>
      <c r="R2458" s="3">
        <f>IFERROR(__xludf.DUMMYFUNCTION("""COMPUTED_VALUE"""),0.0)</f>
        <v>0</v>
      </c>
      <c r="S2458" s="3"/>
      <c r="T2458" s="5"/>
      <c r="U2458" s="5"/>
      <c r="V2458" s="5"/>
      <c r="W2458" s="5"/>
    </row>
    <row r="2459" ht="15.75" customHeight="1">
      <c r="A2459" s="3">
        <f>IFERROR(__xludf.DUMMYFUNCTION("""COMPUTED_VALUE"""),2459.0)</f>
        <v>2459</v>
      </c>
      <c r="B2459" s="53">
        <f>IFERROR(__xludf.DUMMYFUNCTION("""COMPUTED_VALUE"""),46164.0)</f>
        <v>46164</v>
      </c>
      <c r="C2459" s="3">
        <f>IFERROR(__xludf.DUMMYFUNCTION("""COMPUTED_VALUE"""),51.0)</f>
        <v>51</v>
      </c>
      <c r="D2459" s="3" t="str">
        <f>IFERROR(__xludf.DUMMYFUNCTION("""COMPUTED_VALUE"""),"2f82461c")</f>
        <v>2f82461c</v>
      </c>
      <c r="E2459" s="54">
        <f>IFERROR(__xludf.DUMMYFUNCTION("""COMPUTED_VALUE"""),1000.0)</f>
        <v>1000</v>
      </c>
      <c r="F2459" s="3" t="str">
        <f>IFERROR(__xludf.DUMMYFUNCTION("""COMPUTED_VALUE"""),"Criolla Vol")</f>
        <v>Criolla Vol</v>
      </c>
      <c r="G2459" s="3"/>
      <c r="H2459" s="3"/>
      <c r="I2459" s="3"/>
      <c r="J2459" s="3"/>
      <c r="K2459" s="3"/>
      <c r="L2459" s="3"/>
      <c r="M2459" s="3"/>
      <c r="N2459" s="3"/>
      <c r="O2459" s="3"/>
      <c r="P2459" s="3"/>
      <c r="Q2459" s="3"/>
      <c r="R2459" s="3">
        <f>IFERROR(__xludf.DUMMYFUNCTION("""COMPUTED_VALUE"""),0.0)</f>
        <v>0</v>
      </c>
      <c r="S2459" s="3"/>
      <c r="T2459" s="5"/>
      <c r="U2459" s="5"/>
      <c r="V2459" s="5"/>
      <c r="W2459" s="5"/>
    </row>
    <row r="2460" ht="15.75" customHeight="1">
      <c r="A2460" s="3">
        <f>IFERROR(__xludf.DUMMYFUNCTION("""COMPUTED_VALUE"""),2460.0)</f>
        <v>2460</v>
      </c>
      <c r="B2460" s="53">
        <f>IFERROR(__xludf.DUMMYFUNCTION("""COMPUTED_VALUE"""),46164.0)</f>
        <v>46164</v>
      </c>
      <c r="C2460" s="3">
        <f>IFERROR(__xludf.DUMMYFUNCTION("""COMPUTED_VALUE"""),53.0)</f>
        <v>53</v>
      </c>
      <c r="D2460" s="3" t="str">
        <f>IFERROR(__xludf.DUMMYFUNCTION("""COMPUTED_VALUE"""),"ba499da1")</f>
        <v>ba499da1</v>
      </c>
      <c r="E2460" s="54">
        <f>IFERROR(__xludf.DUMMYFUNCTION("""COMPUTED_VALUE"""),22000.0)</f>
        <v>22000</v>
      </c>
      <c r="F2460" s="3" t="str">
        <f>IFERROR(__xludf.DUMMYFUNCTION("""COMPUTED_VALUE"""),"Malbec")</f>
        <v>Malbec</v>
      </c>
      <c r="G2460" s="3"/>
      <c r="H2460" s="3"/>
      <c r="I2460" s="3"/>
      <c r="J2460" s="3"/>
      <c r="K2460" s="3"/>
      <c r="L2460" s="3"/>
      <c r="M2460" s="3"/>
      <c r="N2460" s="3"/>
      <c r="O2460" s="3"/>
      <c r="P2460" s="3"/>
      <c r="Q2460" s="3"/>
      <c r="R2460" s="3">
        <f>IFERROR(__xludf.DUMMYFUNCTION("""COMPUTED_VALUE"""),0.0)</f>
        <v>0</v>
      </c>
      <c r="S2460" s="3"/>
      <c r="T2460" s="5"/>
      <c r="U2460" s="5"/>
      <c r="V2460" s="5"/>
      <c r="W2460" s="5"/>
    </row>
    <row r="2461" ht="15.75" customHeight="1">
      <c r="A2461" s="3">
        <f>IFERROR(__xludf.DUMMYFUNCTION("""COMPUTED_VALUE"""),2461.0)</f>
        <v>2461</v>
      </c>
      <c r="B2461" s="53">
        <f>IFERROR(__xludf.DUMMYFUNCTION("""COMPUTED_VALUE"""),46164.0)</f>
        <v>46164</v>
      </c>
      <c r="C2461" s="3">
        <f>IFERROR(__xludf.DUMMYFUNCTION("""COMPUTED_VALUE"""),54.0)</f>
        <v>54</v>
      </c>
      <c r="D2461" s="3" t="str">
        <f>IFERROR(__xludf.DUMMYFUNCTION("""COMPUTED_VALUE"""),"3f8a4231")</f>
        <v>3f8a4231</v>
      </c>
      <c r="E2461" s="54">
        <f>IFERROR(__xludf.DUMMYFUNCTION("""COMPUTED_VALUE"""),22900.0)</f>
        <v>22900</v>
      </c>
      <c r="F2461" s="3" t="str">
        <f>IFERROR(__xludf.DUMMYFUNCTION("""COMPUTED_VALUE"""),"Criolla Recarga")</f>
        <v>Criolla Recarga</v>
      </c>
      <c r="G2461" s="3"/>
      <c r="H2461" s="3"/>
      <c r="I2461" s="3"/>
      <c r="J2461" s="3"/>
      <c r="K2461" s="3"/>
      <c r="L2461" s="3"/>
      <c r="M2461" s="3"/>
      <c r="N2461" s="3"/>
      <c r="O2461" s="3"/>
      <c r="P2461" s="3"/>
      <c r="Q2461" s="3"/>
      <c r="R2461" s="3">
        <f>IFERROR(__xludf.DUMMYFUNCTION("""COMPUTED_VALUE"""),0.0)</f>
        <v>0</v>
      </c>
      <c r="S2461" s="3"/>
      <c r="T2461" s="5"/>
      <c r="U2461" s="5"/>
      <c r="V2461" s="5"/>
      <c r="W2461" s="5"/>
    </row>
    <row r="2462" ht="15.75" customHeight="1">
      <c r="A2462" s="3">
        <f>IFERROR(__xludf.DUMMYFUNCTION("""COMPUTED_VALUE"""),2462.0)</f>
        <v>2462</v>
      </c>
      <c r="B2462" s="53">
        <f>IFERROR(__xludf.DUMMYFUNCTION("""COMPUTED_VALUE"""),46164.0)</f>
        <v>46164</v>
      </c>
      <c r="C2462" s="3">
        <f>IFERROR(__xludf.DUMMYFUNCTION("""COMPUTED_VALUE"""),68.0)</f>
        <v>68</v>
      </c>
      <c r="D2462" s="3" t="str">
        <f>IFERROR(__xludf.DUMMYFUNCTION("""COMPUTED_VALUE"""),"5e10969c")</f>
        <v>5e10969c</v>
      </c>
      <c r="E2462" s="54">
        <f>IFERROR(__xludf.DUMMYFUNCTION("""COMPUTED_VALUE"""),13000.0)</f>
        <v>13000</v>
      </c>
      <c r="F2462" s="3" t="str">
        <f>IFERROR(__xludf.DUMMYFUNCTION("""COMPUTED_VALUE"""),"Tinto Varietal B")</f>
        <v>Tinto Varietal B</v>
      </c>
      <c r="G2462" s="3"/>
      <c r="H2462" s="3"/>
      <c r="I2462" s="3"/>
      <c r="J2462" s="3"/>
      <c r="K2462" s="3"/>
      <c r="L2462" s="3"/>
      <c r="M2462" s="3"/>
      <c r="N2462" s="3"/>
      <c r="O2462" s="3"/>
      <c r="P2462" s="3"/>
      <c r="Q2462" s="3"/>
      <c r="R2462" s="3">
        <f>IFERROR(__xludf.DUMMYFUNCTION("""COMPUTED_VALUE"""),0.0)</f>
        <v>0</v>
      </c>
      <c r="S2462" s="3"/>
      <c r="T2462" s="5"/>
      <c r="U2462" s="5"/>
      <c r="V2462" s="5"/>
      <c r="W2462" s="5"/>
    </row>
    <row r="2463" ht="15.75" customHeight="1">
      <c r="A2463" s="3">
        <f>IFERROR(__xludf.DUMMYFUNCTION("""COMPUTED_VALUE"""),2463.0)</f>
        <v>2463</v>
      </c>
      <c r="B2463" s="53">
        <f>IFERROR(__xludf.DUMMYFUNCTION("""COMPUTED_VALUE"""),46164.0)</f>
        <v>46164</v>
      </c>
      <c r="C2463" s="3">
        <f>IFERROR(__xludf.DUMMYFUNCTION("""COMPUTED_VALUE"""),69.0)</f>
        <v>69</v>
      </c>
      <c r="D2463" s="3" t="str">
        <f>IFERROR(__xludf.DUMMYFUNCTION("""COMPUTED_VALUE"""),"081b56e7")</f>
        <v>081b56e7</v>
      </c>
      <c r="E2463" s="54">
        <f>IFERROR(__xludf.DUMMYFUNCTION("""COMPUTED_VALUE"""),8300.0)</f>
        <v>8300</v>
      </c>
      <c r="F2463" s="3" t="str">
        <f>IFERROR(__xludf.DUMMYFUNCTION("""COMPUTED_VALUE"""),"Borra")</f>
        <v>Borra</v>
      </c>
      <c r="G2463" s="3"/>
      <c r="H2463" s="3"/>
      <c r="I2463" s="3"/>
      <c r="J2463" s="3"/>
      <c r="K2463" s="3"/>
      <c r="L2463" s="3"/>
      <c r="M2463" s="3"/>
      <c r="N2463" s="3"/>
      <c r="O2463" s="3"/>
      <c r="P2463" s="3"/>
      <c r="Q2463" s="3"/>
      <c r="R2463" s="3">
        <f>IFERROR(__xludf.DUMMYFUNCTION("""COMPUTED_VALUE"""),0.0)</f>
        <v>0</v>
      </c>
      <c r="S2463" s="3"/>
      <c r="T2463" s="5"/>
      <c r="U2463" s="5"/>
      <c r="V2463" s="5"/>
      <c r="W2463" s="5"/>
    </row>
    <row r="2464" ht="15.75" customHeight="1">
      <c r="A2464" s="3">
        <f>IFERROR(__xludf.DUMMYFUNCTION("""COMPUTED_VALUE"""),2464.0)</f>
        <v>2464</v>
      </c>
      <c r="B2464" s="53">
        <f>IFERROR(__xludf.DUMMYFUNCTION("""COMPUTED_VALUE"""),46164.0)</f>
        <v>46164</v>
      </c>
      <c r="C2464" s="3">
        <f>IFERROR(__xludf.DUMMYFUNCTION("""COMPUTED_VALUE"""),76.0)</f>
        <v>76</v>
      </c>
      <c r="D2464" s="3" t="str">
        <f>IFERROR(__xludf.DUMMYFUNCTION("""COMPUTED_VALUE"""),"d094cdee")</f>
        <v>d094cdee</v>
      </c>
      <c r="E2464" s="54">
        <f>IFERROR(__xludf.DUMMYFUNCTION("""COMPUTED_VALUE"""),17500.0)</f>
        <v>17500</v>
      </c>
      <c r="F2464" s="3" t="str">
        <f>IFERROR(__xludf.DUMMYFUNCTION("""COMPUTED_VALUE"""),"Bonarda")</f>
        <v>Bonarda</v>
      </c>
      <c r="G2464" s="3"/>
      <c r="H2464" s="3"/>
      <c r="I2464" s="3"/>
      <c r="J2464" s="3"/>
      <c r="K2464" s="3"/>
      <c r="L2464" s="3"/>
      <c r="M2464" s="3"/>
      <c r="N2464" s="3"/>
      <c r="O2464" s="3"/>
      <c r="P2464" s="3"/>
      <c r="Q2464" s="3"/>
      <c r="R2464" s="3">
        <f>IFERROR(__xludf.DUMMYFUNCTION("""COMPUTED_VALUE"""),0.0)</f>
        <v>0</v>
      </c>
      <c r="S2464" s="3"/>
      <c r="T2464" s="5"/>
      <c r="U2464" s="5"/>
      <c r="V2464" s="5"/>
      <c r="W2464" s="5"/>
    </row>
    <row r="2465" ht="15.75" customHeight="1">
      <c r="A2465" s="3">
        <f>IFERROR(__xludf.DUMMYFUNCTION("""COMPUTED_VALUE"""),2465.0)</f>
        <v>2465</v>
      </c>
      <c r="B2465" s="53">
        <f>IFERROR(__xludf.DUMMYFUNCTION("""COMPUTED_VALUE"""),46164.0)</f>
        <v>46164</v>
      </c>
      <c r="C2465" s="3">
        <f>IFERROR(__xludf.DUMMYFUNCTION("""COMPUTED_VALUE"""),79.0)</f>
        <v>79</v>
      </c>
      <c r="D2465" s="3" t="str">
        <f>IFERROR(__xludf.DUMMYFUNCTION("""COMPUTED_VALUE"""),"f97aa62d")</f>
        <v>f97aa62d</v>
      </c>
      <c r="E2465" s="54">
        <f>IFERROR(__xludf.DUMMYFUNCTION("""COMPUTED_VALUE"""),26000.0)</f>
        <v>26000</v>
      </c>
      <c r="F2465" s="3" t="str">
        <f>IFERROR(__xludf.DUMMYFUNCTION("""COMPUTED_VALUE"""),"Bonarda")</f>
        <v>Bonarda</v>
      </c>
      <c r="G2465" s="3"/>
      <c r="H2465" s="3"/>
      <c r="I2465" s="3"/>
      <c r="J2465" s="3"/>
      <c r="K2465" s="3"/>
      <c r="L2465" s="3"/>
      <c r="M2465" s="3"/>
      <c r="N2465" s="3"/>
      <c r="O2465" s="3"/>
      <c r="P2465" s="3"/>
      <c r="Q2465" s="3"/>
      <c r="R2465" s="3">
        <f>IFERROR(__xludf.DUMMYFUNCTION("""COMPUTED_VALUE"""),0.0)</f>
        <v>0</v>
      </c>
      <c r="S2465" s="3"/>
      <c r="T2465" s="5"/>
      <c r="U2465" s="5"/>
      <c r="V2465" s="5"/>
      <c r="W2465" s="5"/>
    </row>
    <row r="2466" ht="15.75" customHeight="1">
      <c r="A2466" s="3">
        <f>IFERROR(__xludf.DUMMYFUNCTION("""COMPUTED_VALUE"""),2466.0)</f>
        <v>2466</v>
      </c>
      <c r="B2466" s="53">
        <f>IFERROR(__xludf.DUMMYFUNCTION("""COMPUTED_VALUE"""),46164.0)</f>
        <v>46164</v>
      </c>
      <c r="C2466" s="3">
        <f>IFERROR(__xludf.DUMMYFUNCTION("""COMPUTED_VALUE"""),80.0)</f>
        <v>80</v>
      </c>
      <c r="D2466" s="3" t="str">
        <f>IFERROR(__xludf.DUMMYFUNCTION("""COMPUTED_VALUE"""),"3e58fb6a")</f>
        <v>3e58fb6a</v>
      </c>
      <c r="E2466" s="54">
        <f>IFERROR(__xludf.DUMMYFUNCTION("""COMPUTED_VALUE"""),26100.0)</f>
        <v>26100</v>
      </c>
      <c r="F2466" s="3" t="str">
        <f>IFERROR(__xludf.DUMMYFUNCTION("""COMPUTED_VALUE"""),"Rosado Criolla")</f>
        <v>Rosado Criolla</v>
      </c>
      <c r="G2466" s="3"/>
      <c r="H2466" s="3"/>
      <c r="I2466" s="3"/>
      <c r="J2466" s="3"/>
      <c r="K2466" s="3"/>
      <c r="L2466" s="3"/>
      <c r="M2466" s="3"/>
      <c r="N2466" s="3"/>
      <c r="O2466" s="3"/>
      <c r="P2466" s="3"/>
      <c r="Q2466" s="3"/>
      <c r="R2466" s="3">
        <f>IFERROR(__xludf.DUMMYFUNCTION("""COMPUTED_VALUE"""),0.0)</f>
        <v>0</v>
      </c>
      <c r="S2466" s="3"/>
      <c r="T2466" s="5"/>
      <c r="U2466" s="5"/>
      <c r="V2466" s="5"/>
      <c r="W2466" s="5"/>
    </row>
    <row r="2467" ht="15.75" customHeight="1">
      <c r="A2467" s="3">
        <f>IFERROR(__xludf.DUMMYFUNCTION("""COMPUTED_VALUE"""),2467.0)</f>
        <v>2467</v>
      </c>
      <c r="B2467" s="53">
        <f>IFERROR(__xludf.DUMMYFUNCTION("""COMPUTED_VALUE"""),46164.0)</f>
        <v>46164</v>
      </c>
      <c r="C2467" s="3">
        <f>IFERROR(__xludf.DUMMYFUNCTION("""COMPUTED_VALUE"""),90.0)</f>
        <v>90</v>
      </c>
      <c r="D2467" s="3" t="str">
        <f>IFERROR(__xludf.DUMMYFUNCTION("""COMPUTED_VALUE"""),"33d07dd0")</f>
        <v>33d07dd0</v>
      </c>
      <c r="E2467" s="54">
        <f>IFERROR(__xludf.DUMMYFUNCTION("""COMPUTED_VALUE"""),97500.0)</f>
        <v>97500</v>
      </c>
      <c r="F2467" s="3" t="str">
        <f>IFERROR(__xludf.DUMMYFUNCTION("""COMPUTED_VALUE"""),"Bonarda")</f>
        <v>Bonarda</v>
      </c>
      <c r="G2467" s="3"/>
      <c r="H2467" s="3"/>
      <c r="I2467" s="3"/>
      <c r="J2467" s="3"/>
      <c r="K2467" s="3"/>
      <c r="L2467" s="3"/>
      <c r="M2467" s="3"/>
      <c r="N2467" s="3"/>
      <c r="O2467" s="3"/>
      <c r="P2467" s="3"/>
      <c r="Q2467" s="3"/>
      <c r="R2467" s="3">
        <f>IFERROR(__xludf.DUMMYFUNCTION("""COMPUTED_VALUE"""),0.0)</f>
        <v>0</v>
      </c>
      <c r="S2467" s="3"/>
      <c r="T2467" s="5"/>
      <c r="U2467" s="5"/>
      <c r="V2467" s="5"/>
      <c r="W2467" s="5"/>
    </row>
    <row r="2468" ht="15.75" customHeight="1">
      <c r="A2468" s="3">
        <f>IFERROR(__xludf.DUMMYFUNCTION("""COMPUTED_VALUE"""),2468.0)</f>
        <v>2468</v>
      </c>
      <c r="B2468" s="53">
        <f>IFERROR(__xludf.DUMMYFUNCTION("""COMPUTED_VALUE"""),46164.0)</f>
        <v>46164</v>
      </c>
      <c r="C2468" s="3">
        <f>IFERROR(__xludf.DUMMYFUNCTION("""COMPUTED_VALUE"""),91.0)</f>
        <v>91</v>
      </c>
      <c r="D2468" s="3" t="str">
        <f>IFERROR(__xludf.DUMMYFUNCTION("""COMPUTED_VALUE"""),"34fa2752")</f>
        <v>34fa2752</v>
      </c>
      <c r="E2468" s="54">
        <f>IFERROR(__xludf.DUMMYFUNCTION("""COMPUTED_VALUE"""),86000.0)</f>
        <v>86000</v>
      </c>
      <c r="F2468" s="3" t="str">
        <f>IFERROR(__xludf.DUMMYFUNCTION("""COMPUTED_VALUE"""),"Bonarda C2")</f>
        <v>Bonarda C2</v>
      </c>
      <c r="G2468" s="3"/>
      <c r="H2468" s="3"/>
      <c r="I2468" s="3"/>
      <c r="J2468" s="3"/>
      <c r="K2468" s="3"/>
      <c r="L2468" s="3"/>
      <c r="M2468" s="3"/>
      <c r="N2468" s="3"/>
      <c r="O2468" s="3"/>
      <c r="P2468" s="3"/>
      <c r="Q2468" s="3"/>
      <c r="R2468" s="3">
        <f>IFERROR(__xludf.DUMMYFUNCTION("""COMPUTED_VALUE"""),0.0)</f>
        <v>0</v>
      </c>
      <c r="S2468" s="3"/>
      <c r="T2468" s="5"/>
      <c r="U2468" s="5"/>
      <c r="V2468" s="5"/>
      <c r="W2468" s="5"/>
    </row>
    <row r="2469" ht="15.75" customHeight="1">
      <c r="A2469" s="3">
        <f>IFERROR(__xludf.DUMMYFUNCTION("""COMPUTED_VALUE"""),2469.0)</f>
        <v>2469</v>
      </c>
      <c r="B2469" s="53">
        <f>IFERROR(__xludf.DUMMYFUNCTION("""COMPUTED_VALUE"""),46164.0)</f>
        <v>46164</v>
      </c>
      <c r="C2469" s="3">
        <f>IFERROR(__xludf.DUMMYFUNCTION("""COMPUTED_VALUE"""),935.0)</f>
        <v>935</v>
      </c>
      <c r="D2469" s="3" t="str">
        <f>IFERROR(__xludf.DUMMYFUNCTION("""COMPUTED_VALUE"""),"7ee6c7e5")</f>
        <v>7ee6c7e5</v>
      </c>
      <c r="E2469" s="54">
        <f>IFERROR(__xludf.DUMMYFUNCTION("""COMPUTED_VALUE"""),10600.0)</f>
        <v>10600</v>
      </c>
      <c r="F2469" s="3" t="str">
        <f>IFERROR(__xludf.DUMMYFUNCTION("""COMPUTED_VALUE"""),"Borra")</f>
        <v>Borra</v>
      </c>
      <c r="G2469" s="3"/>
      <c r="H2469" s="3"/>
      <c r="I2469" s="3"/>
      <c r="J2469" s="3"/>
      <c r="K2469" s="3"/>
      <c r="L2469" s="3"/>
      <c r="M2469" s="3"/>
      <c r="N2469" s="3"/>
      <c r="O2469" s="3"/>
      <c r="P2469" s="3"/>
      <c r="Q2469" s="3"/>
      <c r="R2469" s="3">
        <f>IFERROR(__xludf.DUMMYFUNCTION("""COMPUTED_VALUE"""),0.0)</f>
        <v>0</v>
      </c>
      <c r="S2469" s="3"/>
      <c r="T2469" s="5"/>
      <c r="U2469" s="5"/>
      <c r="V2469" s="5"/>
      <c r="W2469" s="5"/>
    </row>
    <row r="2470" ht="15.75" customHeight="1">
      <c r="A2470" s="3">
        <f>IFERROR(__xludf.DUMMYFUNCTION("""COMPUTED_VALUE"""),2470.0)</f>
        <v>2470</v>
      </c>
      <c r="B2470" s="53">
        <f>IFERROR(__xludf.DUMMYFUNCTION("""COMPUTED_VALUE"""),46164.0)</f>
        <v>46164</v>
      </c>
      <c r="C2470" s="3">
        <f>IFERROR(__xludf.DUMMYFUNCTION("""COMPUTED_VALUE"""),126.0)</f>
        <v>126</v>
      </c>
      <c r="D2470" s="3" t="str">
        <f>IFERROR(__xludf.DUMMYFUNCTION("""COMPUTED_VALUE"""),"69dea9c1")</f>
        <v>69dea9c1</v>
      </c>
      <c r="E2470" s="54">
        <f>IFERROR(__xludf.DUMMYFUNCTION("""COMPUTED_VALUE"""),31000.0)</f>
        <v>31000</v>
      </c>
      <c r="F2470" s="3" t="str">
        <f>IFERROR(__xludf.DUMMYFUNCTION("""COMPUTED_VALUE"""),"Bonarda")</f>
        <v>Bonarda</v>
      </c>
      <c r="G2470" s="3"/>
      <c r="H2470" s="3"/>
      <c r="I2470" s="3"/>
      <c r="J2470" s="3"/>
      <c r="K2470" s="3"/>
      <c r="L2470" s="3"/>
      <c r="M2470" s="3"/>
      <c r="N2470" s="3"/>
      <c r="O2470" s="3"/>
      <c r="P2470" s="3"/>
      <c r="Q2470" s="3"/>
      <c r="R2470" s="3">
        <f>IFERROR(__xludf.DUMMYFUNCTION("""COMPUTED_VALUE"""),0.0)</f>
        <v>0</v>
      </c>
      <c r="S2470" s="3"/>
      <c r="T2470" s="5"/>
      <c r="U2470" s="5"/>
      <c r="V2470" s="5"/>
      <c r="W2470" s="5"/>
    </row>
    <row r="2471" ht="15.75" customHeight="1">
      <c r="A2471" s="3">
        <f>IFERROR(__xludf.DUMMYFUNCTION("""COMPUTED_VALUE"""),2471.0)</f>
        <v>2471</v>
      </c>
      <c r="B2471" s="53">
        <f>IFERROR(__xludf.DUMMYFUNCTION("""COMPUTED_VALUE"""),46163.0)</f>
        <v>46163</v>
      </c>
      <c r="C2471" s="3">
        <f>IFERROR(__xludf.DUMMYFUNCTION("""COMPUTED_VALUE"""),40.0)</f>
        <v>40</v>
      </c>
      <c r="D2471" s="3" t="str">
        <f>IFERROR(__xludf.DUMMYFUNCTION("""COMPUTED_VALUE"""),"1f31c1f9")</f>
        <v>1f31c1f9</v>
      </c>
      <c r="E2471" s="54">
        <f>IFERROR(__xludf.DUMMYFUNCTION("""COMPUTED_VALUE"""),24000.0)</f>
        <v>24000</v>
      </c>
      <c r="F2471" s="3" t="str">
        <f>IFERROR(__xludf.DUMMYFUNCTION("""COMPUTED_VALUE"""),"Chardonnay Reac")</f>
        <v>Chardonnay Reac</v>
      </c>
      <c r="G2471" s="55">
        <f>IFERROR(__xludf.DUMMYFUNCTION("""COMPUTED_VALUE"""),12.1)</f>
        <v>12.1</v>
      </c>
      <c r="H2471" s="3"/>
      <c r="I2471" s="57">
        <f>IFERROR(__xludf.DUMMYFUNCTION("""COMPUTED_VALUE"""),0.28)</f>
        <v>0.28</v>
      </c>
      <c r="J2471" s="57">
        <f>IFERROR(__xludf.DUMMYFUNCTION("""COMPUTED_VALUE"""),6.37)</f>
        <v>6.37</v>
      </c>
      <c r="K2471" s="3"/>
      <c r="L2471" s="3"/>
      <c r="M2471" s="3"/>
      <c r="N2471" s="3"/>
      <c r="O2471" s="3"/>
      <c r="P2471" s="3"/>
      <c r="Q2471" s="3"/>
      <c r="R2471" s="3">
        <f>IFERROR(__xludf.DUMMYFUNCTION("""COMPUTED_VALUE"""),0.0)</f>
        <v>0</v>
      </c>
      <c r="S2471" s="3"/>
      <c r="T2471" s="5"/>
      <c r="U2471" s="5"/>
      <c r="V2471" s="5"/>
      <c r="W2471" s="5" t="str">
        <f>IFERROR(__xludf.DUMMYFUNCTION("""COMPUTED_VALUE"""),"Simon")</f>
        <v>Simon</v>
      </c>
    </row>
    <row r="2472" ht="15.75" customHeight="1">
      <c r="A2472" s="3">
        <f>IFERROR(__xludf.DUMMYFUNCTION("""COMPUTED_VALUE"""),2472.0)</f>
        <v>2472</v>
      </c>
      <c r="B2472" s="53">
        <f>IFERROR(__xludf.DUMMYFUNCTION("""COMPUTED_VALUE"""),46163.0)</f>
        <v>46163</v>
      </c>
      <c r="C2472" s="3">
        <f>IFERROR(__xludf.DUMMYFUNCTION("""COMPUTED_VALUE"""),44.0)</f>
        <v>44</v>
      </c>
      <c r="D2472" s="3" t="str">
        <f>IFERROR(__xludf.DUMMYFUNCTION("""COMPUTED_VALUE"""),"4a70a363")</f>
        <v>4a70a363</v>
      </c>
      <c r="E2472" s="54">
        <f>IFERROR(__xludf.DUMMYFUNCTION("""COMPUTED_VALUE"""),19100.0)</f>
        <v>19100</v>
      </c>
      <c r="F2472" s="3" t="str">
        <f>IFERROR(__xludf.DUMMYFUNCTION("""COMPUTED_VALUE"""),"Chardonnay")</f>
        <v>Chardonnay</v>
      </c>
      <c r="G2472" s="55">
        <f>IFERROR(__xludf.DUMMYFUNCTION("""COMPUTED_VALUE"""),11.7)</f>
        <v>11.7</v>
      </c>
      <c r="H2472" s="3"/>
      <c r="I2472" s="57">
        <f>IFERROR(__xludf.DUMMYFUNCTION("""COMPUTED_VALUE"""),0.36)</f>
        <v>0.36</v>
      </c>
      <c r="J2472" s="57">
        <f>IFERROR(__xludf.DUMMYFUNCTION("""COMPUTED_VALUE"""),6.6)</f>
        <v>6.6</v>
      </c>
      <c r="K2472" s="3"/>
      <c r="L2472" s="3"/>
      <c r="M2472" s="3"/>
      <c r="N2472" s="3"/>
      <c r="O2472" s="3"/>
      <c r="P2472" s="3"/>
      <c r="Q2472" s="3"/>
      <c r="R2472" s="3">
        <f>IFERROR(__xludf.DUMMYFUNCTION("""COMPUTED_VALUE"""),0.0)</f>
        <v>0</v>
      </c>
      <c r="S2472" s="3"/>
      <c r="T2472" s="5"/>
      <c r="U2472" s="5"/>
      <c r="V2472" s="5"/>
      <c r="W2472" s="5" t="str">
        <f>IFERROR(__xludf.DUMMYFUNCTION("""COMPUTED_VALUE"""),"Simon")</f>
        <v>Simon</v>
      </c>
    </row>
    <row r="2473" ht="15.75" customHeight="1">
      <c r="A2473" s="3">
        <f>IFERROR(__xludf.DUMMYFUNCTION("""COMPUTED_VALUE"""),2473.0)</f>
        <v>2473</v>
      </c>
      <c r="B2473" s="53">
        <f>IFERROR(__xludf.DUMMYFUNCTION("""COMPUTED_VALUE"""),46163.0)</f>
        <v>46163</v>
      </c>
      <c r="C2473" s="3">
        <f>IFERROR(__xludf.DUMMYFUNCTION("""COMPUTED_VALUE"""),49.0)</f>
        <v>49</v>
      </c>
      <c r="D2473" s="3" t="str">
        <f>IFERROR(__xludf.DUMMYFUNCTION("""COMPUTED_VALUE"""),"8335a590")</f>
        <v>8335a590</v>
      </c>
      <c r="E2473" s="54">
        <f>IFERROR(__xludf.DUMMYFUNCTION("""COMPUTED_VALUE"""),26000.0)</f>
        <v>26000</v>
      </c>
      <c r="F2473" s="3" t="str">
        <f>IFERROR(__xludf.DUMMYFUNCTION("""COMPUTED_VALUE"""),"Chardonnay Reac")</f>
        <v>Chardonnay Reac</v>
      </c>
      <c r="G2473" s="55">
        <f>IFERROR(__xludf.DUMMYFUNCTION("""COMPUTED_VALUE"""),12.2)</f>
        <v>12.2</v>
      </c>
      <c r="H2473" s="3"/>
      <c r="I2473" s="57">
        <f>IFERROR(__xludf.DUMMYFUNCTION("""COMPUTED_VALUE"""),0.36)</f>
        <v>0.36</v>
      </c>
      <c r="J2473" s="57">
        <f>IFERROR(__xludf.DUMMYFUNCTION("""COMPUTED_VALUE"""),6.45)</f>
        <v>6.45</v>
      </c>
      <c r="K2473" s="3"/>
      <c r="L2473" s="3"/>
      <c r="M2473" s="3"/>
      <c r="N2473" s="3"/>
      <c r="O2473" s="3"/>
      <c r="P2473" s="3"/>
      <c r="Q2473" s="3"/>
      <c r="R2473" s="3">
        <f>IFERROR(__xludf.DUMMYFUNCTION("""COMPUTED_VALUE"""),0.0)</f>
        <v>0</v>
      </c>
      <c r="S2473" s="3"/>
      <c r="T2473" s="5"/>
      <c r="U2473" s="5"/>
      <c r="V2473" s="5"/>
      <c r="W2473" s="5" t="str">
        <f>IFERROR(__xludf.DUMMYFUNCTION("""COMPUTED_VALUE"""),"Simon")</f>
        <v>Simon</v>
      </c>
    </row>
    <row r="2474" ht="15.75" customHeight="1">
      <c r="A2474" s="3">
        <f>IFERROR(__xludf.DUMMYFUNCTION("""COMPUTED_VALUE"""),2474.0)</f>
        <v>2474</v>
      </c>
      <c r="B2474" s="53">
        <f>IFERROR(__xludf.DUMMYFUNCTION("""COMPUTED_VALUE"""),46163.0)</f>
        <v>46163</v>
      </c>
      <c r="C2474" s="3">
        <f>IFERROR(__xludf.DUMMYFUNCTION("""COMPUTED_VALUE"""),55.0)</f>
        <v>55</v>
      </c>
      <c r="D2474" s="3" t="str">
        <f>IFERROR(__xludf.DUMMYFUNCTION("""COMPUTED_VALUE"""),"5488ed13")</f>
        <v>5488ed13</v>
      </c>
      <c r="E2474" s="54">
        <f>IFERROR(__xludf.DUMMYFUNCTION("""COMPUTED_VALUE"""),3000.0)</f>
        <v>3000</v>
      </c>
      <c r="F2474" s="3" t="str">
        <f>IFERROR(__xludf.DUMMYFUNCTION("""COMPUTED_VALUE"""),"Chardonnay Reac")</f>
        <v>Chardonnay Reac</v>
      </c>
      <c r="G2474" s="55">
        <f>IFERROR(__xludf.DUMMYFUNCTION("""COMPUTED_VALUE"""),12.2)</f>
        <v>12.2</v>
      </c>
      <c r="H2474" s="3"/>
      <c r="I2474" s="57">
        <f>IFERROR(__xludf.DUMMYFUNCTION("""COMPUTED_VALUE"""),0.31)</f>
        <v>0.31</v>
      </c>
      <c r="J2474" s="57">
        <f>IFERROR(__xludf.DUMMYFUNCTION("""COMPUTED_VALUE"""),6.3)</f>
        <v>6.3</v>
      </c>
      <c r="K2474" s="3"/>
      <c r="L2474" s="3"/>
      <c r="M2474" s="3"/>
      <c r="N2474" s="3"/>
      <c r="O2474" s="3"/>
      <c r="P2474" s="3"/>
      <c r="Q2474" s="3"/>
      <c r="R2474" s="3">
        <f>IFERROR(__xludf.DUMMYFUNCTION("""COMPUTED_VALUE"""),0.0)</f>
        <v>0</v>
      </c>
      <c r="S2474" s="3"/>
      <c r="T2474" s="5"/>
      <c r="U2474" s="5"/>
      <c r="V2474" s="5"/>
      <c r="W2474" s="5" t="str">
        <f>IFERROR(__xludf.DUMMYFUNCTION("""COMPUTED_VALUE"""),"Simon")</f>
        <v>Simon</v>
      </c>
    </row>
    <row r="2475" ht="15.75" customHeight="1">
      <c r="A2475" s="3">
        <f>IFERROR(__xludf.DUMMYFUNCTION("""COMPUTED_VALUE"""),2475.0)</f>
        <v>2475</v>
      </c>
      <c r="B2475" s="53">
        <f>IFERROR(__xludf.DUMMYFUNCTION("""COMPUTED_VALUE"""),46163.0)</f>
        <v>46163</v>
      </c>
      <c r="C2475" s="3">
        <f>IFERROR(__xludf.DUMMYFUNCTION("""COMPUTED_VALUE"""),72.0)</f>
        <v>72</v>
      </c>
      <c r="D2475" s="3" t="str">
        <f>IFERROR(__xludf.DUMMYFUNCTION("""COMPUTED_VALUE"""),"794ce23f")</f>
        <v>794ce23f</v>
      </c>
      <c r="E2475" s="54">
        <f>IFERROR(__xludf.DUMMYFUNCTION("""COMPUTED_VALUE"""),13000.0)</f>
        <v>13000</v>
      </c>
      <c r="F2475" s="3" t="str">
        <f>IFERROR(__xludf.DUMMYFUNCTION("""COMPUTED_VALUE"""),"Chardonnay")</f>
        <v>Chardonnay</v>
      </c>
      <c r="G2475" s="55">
        <f>IFERROR(__xludf.DUMMYFUNCTION("""COMPUTED_VALUE"""),12.3)</f>
        <v>12.3</v>
      </c>
      <c r="H2475" s="3"/>
      <c r="I2475" s="57">
        <f>IFERROR(__xludf.DUMMYFUNCTION("""COMPUTED_VALUE"""),0.28)</f>
        <v>0.28</v>
      </c>
      <c r="J2475" s="57">
        <f>IFERROR(__xludf.DUMMYFUNCTION("""COMPUTED_VALUE"""),6.3)</f>
        <v>6.3</v>
      </c>
      <c r="K2475" s="3"/>
      <c r="L2475" s="3"/>
      <c r="M2475" s="3"/>
      <c r="N2475" s="3"/>
      <c r="O2475" s="3"/>
      <c r="P2475" s="3"/>
      <c r="Q2475" s="3"/>
      <c r="R2475" s="3">
        <f>IFERROR(__xludf.DUMMYFUNCTION("""COMPUTED_VALUE"""),0.0)</f>
        <v>0</v>
      </c>
      <c r="S2475" s="3"/>
      <c r="T2475" s="5"/>
      <c r="U2475" s="5"/>
      <c r="V2475" s="5"/>
      <c r="W2475" s="5" t="str">
        <f>IFERROR(__xludf.DUMMYFUNCTION("""COMPUTED_VALUE"""),"Simon")</f>
        <v>Simon</v>
      </c>
    </row>
    <row r="2476" ht="15.75" customHeight="1">
      <c r="A2476" s="3">
        <f>IFERROR(__xludf.DUMMYFUNCTION("""COMPUTED_VALUE"""),2476.0)</f>
        <v>2476</v>
      </c>
      <c r="B2476" s="53">
        <f>IFERROR(__xludf.DUMMYFUNCTION("""COMPUTED_VALUE"""),46163.0)</f>
        <v>46163</v>
      </c>
      <c r="C2476" s="3">
        <f>IFERROR(__xludf.DUMMYFUNCTION("""COMPUTED_VALUE"""),84.0)</f>
        <v>84</v>
      </c>
      <c r="D2476" s="3" t="str">
        <f>IFERROR(__xludf.DUMMYFUNCTION("""COMPUTED_VALUE"""),"55047269")</f>
        <v>55047269</v>
      </c>
      <c r="E2476" s="54">
        <f>IFERROR(__xludf.DUMMYFUNCTION("""COMPUTED_VALUE"""),83000.0)</f>
        <v>83000</v>
      </c>
      <c r="F2476" s="3" t="str">
        <f>IFERROR(__xludf.DUMMYFUNCTION("""COMPUTED_VALUE"""),"Malbec pc")</f>
        <v>Malbec pc</v>
      </c>
      <c r="G2476" s="55">
        <f>IFERROR(__xludf.DUMMYFUNCTION("""COMPUTED_VALUE"""),13.2)</f>
        <v>13.2</v>
      </c>
      <c r="H2476" s="3"/>
      <c r="I2476" s="57">
        <f>IFERROR(__xludf.DUMMYFUNCTION("""COMPUTED_VALUE"""),0.55)</f>
        <v>0.55</v>
      </c>
      <c r="J2476" s="57">
        <f>IFERROR(__xludf.DUMMYFUNCTION("""COMPUTED_VALUE"""),4.72)</f>
        <v>4.72</v>
      </c>
      <c r="K2476" s="3"/>
      <c r="L2476" s="3"/>
      <c r="M2476" s="3"/>
      <c r="N2476" s="3"/>
      <c r="O2476" s="3"/>
      <c r="P2476" s="3"/>
      <c r="Q2476" s="3"/>
      <c r="R2476" s="3">
        <f>IFERROR(__xludf.DUMMYFUNCTION("""COMPUTED_VALUE"""),0.0)</f>
        <v>0</v>
      </c>
      <c r="S2476" s="3"/>
      <c r="T2476" s="5"/>
      <c r="U2476" s="5"/>
      <c r="V2476" s="5"/>
      <c r="W2476" s="5" t="str">
        <f>IFERROR(__xludf.DUMMYFUNCTION("""COMPUTED_VALUE"""),"Simon")</f>
        <v>Simon</v>
      </c>
    </row>
    <row r="2477" ht="15.75" customHeight="1">
      <c r="A2477" s="3">
        <f>IFERROR(__xludf.DUMMYFUNCTION("""COMPUTED_VALUE"""),2477.0)</f>
        <v>2477</v>
      </c>
      <c r="B2477" s="53">
        <f>IFERROR(__xludf.DUMMYFUNCTION("""COMPUTED_VALUE"""),46163.0)</f>
        <v>46163</v>
      </c>
      <c r="C2477" s="3">
        <f>IFERROR(__xludf.DUMMYFUNCTION("""COMPUTED_VALUE"""),85.0)</f>
        <v>85</v>
      </c>
      <c r="D2477" s="3" t="str">
        <f>IFERROR(__xludf.DUMMYFUNCTION("""COMPUTED_VALUE"""),"7ec3170e")</f>
        <v>7ec3170e</v>
      </c>
      <c r="E2477" s="54">
        <f>IFERROR(__xludf.DUMMYFUNCTION("""COMPUTED_VALUE"""),84000.0)</f>
        <v>84000</v>
      </c>
      <c r="F2477" s="3" t="str">
        <f>IFERROR(__xludf.DUMMYFUNCTION("""COMPUTED_VALUE"""),"Malbec pc")</f>
        <v>Malbec pc</v>
      </c>
      <c r="G2477" s="55">
        <f>IFERROR(__xludf.DUMMYFUNCTION("""COMPUTED_VALUE"""),13.5)</f>
        <v>13.5</v>
      </c>
      <c r="H2477" s="3"/>
      <c r="I2477" s="57">
        <f>IFERROR(__xludf.DUMMYFUNCTION("""COMPUTED_VALUE"""),0.55)</f>
        <v>0.55</v>
      </c>
      <c r="J2477" s="57">
        <f>IFERROR(__xludf.DUMMYFUNCTION("""COMPUTED_VALUE"""),4.65)</f>
        <v>4.65</v>
      </c>
      <c r="K2477" s="3"/>
      <c r="L2477" s="3"/>
      <c r="M2477" s="3"/>
      <c r="N2477" s="3"/>
      <c r="O2477" s="3"/>
      <c r="P2477" s="3"/>
      <c r="Q2477" s="3"/>
      <c r="R2477" s="3">
        <f>IFERROR(__xludf.DUMMYFUNCTION("""COMPUTED_VALUE"""),0.0)</f>
        <v>0</v>
      </c>
      <c r="S2477" s="3"/>
      <c r="T2477" s="5"/>
      <c r="U2477" s="5"/>
      <c r="V2477" s="5"/>
      <c r="W2477" s="5" t="str">
        <f>IFERROR(__xludf.DUMMYFUNCTION("""COMPUTED_VALUE"""),"Simon")</f>
        <v>Simon</v>
      </c>
    </row>
    <row r="2478" ht="15.75" customHeight="1">
      <c r="A2478" s="3">
        <f>IFERROR(__xludf.DUMMYFUNCTION("""COMPUTED_VALUE"""),2478.0)</f>
        <v>2478</v>
      </c>
      <c r="B2478" s="53">
        <f>IFERROR(__xludf.DUMMYFUNCTION("""COMPUTED_VALUE"""),46163.0)</f>
        <v>46163</v>
      </c>
      <c r="C2478" s="3">
        <f>IFERROR(__xludf.DUMMYFUNCTION("""COMPUTED_VALUE"""),88.0)</f>
        <v>88</v>
      </c>
      <c r="D2478" s="3" t="str">
        <f>IFERROR(__xludf.DUMMYFUNCTION("""COMPUTED_VALUE"""),"028d4ed0")</f>
        <v>028d4ed0</v>
      </c>
      <c r="E2478" s="54">
        <f>IFERROR(__xludf.DUMMYFUNCTION("""COMPUTED_VALUE"""),78900.0)</f>
        <v>78900</v>
      </c>
      <c r="F2478" s="3" t="str">
        <f>IFERROR(__xludf.DUMMYFUNCTION("""COMPUTED_VALUE"""),"Syrah Temp")</f>
        <v>Syrah Temp</v>
      </c>
      <c r="G2478" s="55">
        <f>IFERROR(__xludf.DUMMYFUNCTION("""COMPUTED_VALUE"""),13.5)</f>
        <v>13.5</v>
      </c>
      <c r="H2478" s="3"/>
      <c r="I2478" s="57">
        <f>IFERROR(__xludf.DUMMYFUNCTION("""COMPUTED_VALUE"""),0.43)</f>
        <v>0.43</v>
      </c>
      <c r="J2478" s="57">
        <f>IFERROR(__xludf.DUMMYFUNCTION("""COMPUTED_VALUE"""),4.87)</f>
        <v>4.87</v>
      </c>
      <c r="K2478" s="3"/>
      <c r="L2478" s="3"/>
      <c r="M2478" s="3"/>
      <c r="N2478" s="3"/>
      <c r="O2478" s="3"/>
      <c r="P2478" s="3"/>
      <c r="Q2478" s="3"/>
      <c r="R2478" s="3">
        <f>IFERROR(__xludf.DUMMYFUNCTION("""COMPUTED_VALUE"""),0.0)</f>
        <v>0</v>
      </c>
      <c r="S2478" s="3"/>
      <c r="T2478" s="5"/>
      <c r="U2478" s="5"/>
      <c r="V2478" s="5"/>
      <c r="W2478" s="5" t="str">
        <f>IFERROR(__xludf.DUMMYFUNCTION("""COMPUTED_VALUE"""),"Simon")</f>
        <v>Simon</v>
      </c>
    </row>
    <row r="2479" ht="15.75" customHeight="1">
      <c r="A2479" s="3">
        <f>IFERROR(__xludf.DUMMYFUNCTION("""COMPUTED_VALUE"""),2479.0)</f>
        <v>2479</v>
      </c>
      <c r="B2479" s="53">
        <f>IFERROR(__xludf.DUMMYFUNCTION("""COMPUTED_VALUE"""),46163.0)</f>
        <v>46163</v>
      </c>
      <c r="C2479" s="3">
        <f>IFERROR(__xludf.DUMMYFUNCTION("""COMPUTED_VALUE"""),89.0)</f>
        <v>89</v>
      </c>
      <c r="D2479" s="3" t="str">
        <f>IFERROR(__xludf.DUMMYFUNCTION("""COMPUTED_VALUE"""),"ac97825f")</f>
        <v>ac97825f</v>
      </c>
      <c r="E2479" s="54">
        <f>IFERROR(__xludf.DUMMYFUNCTION("""COMPUTED_VALUE"""),83500.0)</f>
        <v>83500</v>
      </c>
      <c r="F2479" s="3" t="str">
        <f>IFERROR(__xludf.DUMMYFUNCTION("""COMPUTED_VALUE"""),"Syrah Temp")</f>
        <v>Syrah Temp</v>
      </c>
      <c r="G2479" s="55">
        <f>IFERROR(__xludf.DUMMYFUNCTION("""COMPUTED_VALUE"""),13.6)</f>
        <v>13.6</v>
      </c>
      <c r="H2479" s="3"/>
      <c r="I2479" s="57">
        <f>IFERROR(__xludf.DUMMYFUNCTION("""COMPUTED_VALUE"""),0.49)</f>
        <v>0.49</v>
      </c>
      <c r="J2479" s="57">
        <f>IFERROR(__xludf.DUMMYFUNCTION("""COMPUTED_VALUE"""),5.02)</f>
        <v>5.02</v>
      </c>
      <c r="K2479" s="3"/>
      <c r="L2479" s="3"/>
      <c r="M2479" s="3"/>
      <c r="N2479" s="3"/>
      <c r="O2479" s="3"/>
      <c r="P2479" s="3"/>
      <c r="Q2479" s="3"/>
      <c r="R2479" s="3">
        <f>IFERROR(__xludf.DUMMYFUNCTION("""COMPUTED_VALUE"""),0.0)</f>
        <v>0</v>
      </c>
      <c r="S2479" s="3"/>
      <c r="T2479" s="5"/>
      <c r="U2479" s="5"/>
      <c r="V2479" s="5"/>
      <c r="W2479" s="5" t="str">
        <f>IFERROR(__xludf.DUMMYFUNCTION("""COMPUTED_VALUE"""),"Simon")</f>
        <v>Simon</v>
      </c>
    </row>
    <row r="2480" ht="15.75" customHeight="1">
      <c r="A2480" s="3">
        <f>IFERROR(__xludf.DUMMYFUNCTION("""COMPUTED_VALUE"""),2480.0)</f>
        <v>2480</v>
      </c>
      <c r="B2480" s="53">
        <f>IFERROR(__xludf.DUMMYFUNCTION("""COMPUTED_VALUE"""),46163.0)</f>
        <v>46163</v>
      </c>
      <c r="C2480" s="3">
        <f>IFERROR(__xludf.DUMMYFUNCTION("""COMPUTED_VALUE"""),103.0)</f>
        <v>103</v>
      </c>
      <c r="D2480" s="3" t="str">
        <f>IFERROR(__xludf.DUMMYFUNCTION("""COMPUTED_VALUE"""),"a9c64acb")</f>
        <v>a9c64acb</v>
      </c>
      <c r="E2480" s="54">
        <f>IFERROR(__xludf.DUMMYFUNCTION("""COMPUTED_VALUE"""),31000.0)</f>
        <v>31000</v>
      </c>
      <c r="F2480" s="3" t="str">
        <f>IFERROR(__xludf.DUMMYFUNCTION("""COMPUTED_VALUE"""),"Syrah s/Asp")</f>
        <v>Syrah s/Asp</v>
      </c>
      <c r="G2480" s="55">
        <f>IFERROR(__xludf.DUMMYFUNCTION("""COMPUTED_VALUE"""),13.1)</f>
        <v>13.1</v>
      </c>
      <c r="H2480" s="3"/>
      <c r="I2480" s="57">
        <f>IFERROR(__xludf.DUMMYFUNCTION("""COMPUTED_VALUE"""),0.52)</f>
        <v>0.52</v>
      </c>
      <c r="J2480" s="57">
        <f>IFERROR(__xludf.DUMMYFUNCTION("""COMPUTED_VALUE"""),4.95)</f>
        <v>4.95</v>
      </c>
      <c r="K2480" s="3"/>
      <c r="L2480" s="3"/>
      <c r="M2480" s="3"/>
      <c r="N2480" s="3"/>
      <c r="O2480" s="3"/>
      <c r="P2480" s="3"/>
      <c r="Q2480" s="3"/>
      <c r="R2480" s="3">
        <f>IFERROR(__xludf.DUMMYFUNCTION("""COMPUTED_VALUE"""),0.0)</f>
        <v>0</v>
      </c>
      <c r="S2480" s="3"/>
      <c r="T2480" s="5"/>
      <c r="U2480" s="5"/>
      <c r="V2480" s="5"/>
      <c r="W2480" s="5" t="str">
        <f>IFERROR(__xludf.DUMMYFUNCTION("""COMPUTED_VALUE"""),"Simon")</f>
        <v>Simon</v>
      </c>
    </row>
    <row r="2481" ht="15.75" customHeight="1">
      <c r="A2481" s="3">
        <f>IFERROR(__xludf.DUMMYFUNCTION("""COMPUTED_VALUE"""),2481.0)</f>
        <v>2481</v>
      </c>
      <c r="B2481" s="53">
        <f>IFERROR(__xludf.DUMMYFUNCTION("""COMPUTED_VALUE"""),46163.0)</f>
        <v>46163</v>
      </c>
      <c r="C2481" s="3">
        <f>IFERROR(__xludf.DUMMYFUNCTION("""COMPUTED_VALUE"""),104.0)</f>
        <v>104</v>
      </c>
      <c r="D2481" s="3" t="str">
        <f>IFERROR(__xludf.DUMMYFUNCTION("""COMPUTED_VALUE"""),"0a8c721d")</f>
        <v>0a8c721d</v>
      </c>
      <c r="E2481" s="54">
        <f>IFERROR(__xludf.DUMMYFUNCTION("""COMPUTED_VALUE"""),31000.0)</f>
        <v>31000</v>
      </c>
      <c r="F2481" s="3" t="str">
        <f>IFERROR(__xludf.DUMMYFUNCTION("""COMPUTED_VALUE"""),"Syrah Merlot s/Asp 3")</f>
        <v>Syrah Merlot s/Asp 3</v>
      </c>
      <c r="G2481" s="55">
        <f>IFERROR(__xludf.DUMMYFUNCTION("""COMPUTED_VALUE"""),13.6)</f>
        <v>13.6</v>
      </c>
      <c r="H2481" s="3"/>
      <c r="I2481" s="57">
        <f>IFERROR(__xludf.DUMMYFUNCTION("""COMPUTED_VALUE"""),0.55)</f>
        <v>0.55</v>
      </c>
      <c r="J2481" s="57">
        <f>IFERROR(__xludf.DUMMYFUNCTION("""COMPUTED_VALUE"""),4.8)</f>
        <v>4.8</v>
      </c>
      <c r="K2481" s="3"/>
      <c r="L2481" s="3"/>
      <c r="M2481" s="3"/>
      <c r="N2481" s="3"/>
      <c r="O2481" s="3"/>
      <c r="P2481" s="3"/>
      <c r="Q2481" s="3"/>
      <c r="R2481" s="3">
        <f>IFERROR(__xludf.DUMMYFUNCTION("""COMPUTED_VALUE"""),0.0)</f>
        <v>0</v>
      </c>
      <c r="S2481" s="3"/>
      <c r="T2481" s="5"/>
      <c r="U2481" s="5"/>
      <c r="V2481" s="5"/>
      <c r="W2481" s="5" t="str">
        <f>IFERROR(__xludf.DUMMYFUNCTION("""COMPUTED_VALUE"""),"Simon")</f>
        <v>Simon</v>
      </c>
    </row>
    <row r="2482" ht="15.75" customHeight="1">
      <c r="A2482" s="3">
        <f>IFERROR(__xludf.DUMMYFUNCTION("""COMPUTED_VALUE"""),2482.0)</f>
        <v>2482</v>
      </c>
      <c r="B2482" s="53">
        <f>IFERROR(__xludf.DUMMYFUNCTION("""COMPUTED_VALUE"""),46163.0)</f>
        <v>46163</v>
      </c>
      <c r="C2482" s="3">
        <f>IFERROR(__xludf.DUMMYFUNCTION("""COMPUTED_VALUE"""),105.0)</f>
        <v>105</v>
      </c>
      <c r="D2482" s="3" t="str">
        <f>IFERROR(__xludf.DUMMYFUNCTION("""COMPUTED_VALUE"""),"ea92c15b")</f>
        <v>ea92c15b</v>
      </c>
      <c r="E2482" s="54">
        <f>IFERROR(__xludf.DUMMYFUNCTION("""COMPUTED_VALUE"""),31000.0)</f>
        <v>31000</v>
      </c>
      <c r="F2482" s="3" t="str">
        <f>IFERROR(__xludf.DUMMYFUNCTION("""COMPUTED_VALUE"""),"Syrah Merlot s/Asp 3")</f>
        <v>Syrah Merlot s/Asp 3</v>
      </c>
      <c r="G2482" s="55">
        <f>IFERROR(__xludf.DUMMYFUNCTION("""COMPUTED_VALUE"""),13.3)</f>
        <v>13.3</v>
      </c>
      <c r="H2482" s="3"/>
      <c r="I2482" s="57">
        <f>IFERROR(__xludf.DUMMYFUNCTION("""COMPUTED_VALUE"""),0.5)</f>
        <v>0.5</v>
      </c>
      <c r="J2482" s="57">
        <f>IFERROR(__xludf.DUMMYFUNCTION("""COMPUTED_VALUE"""),5.02)</f>
        <v>5.02</v>
      </c>
      <c r="K2482" s="3"/>
      <c r="L2482" s="3"/>
      <c r="M2482" s="3"/>
      <c r="N2482" s="3"/>
      <c r="O2482" s="3"/>
      <c r="P2482" s="3"/>
      <c r="Q2482" s="3"/>
      <c r="R2482" s="3">
        <f>IFERROR(__xludf.DUMMYFUNCTION("""COMPUTED_VALUE"""),0.0)</f>
        <v>0</v>
      </c>
      <c r="S2482" s="3"/>
      <c r="T2482" s="5"/>
      <c r="U2482" s="5"/>
      <c r="V2482" s="5"/>
      <c r="W2482" s="5" t="str">
        <f>IFERROR(__xludf.DUMMYFUNCTION("""COMPUTED_VALUE"""),"Simon")</f>
        <v>Simon</v>
      </c>
    </row>
    <row r="2483" ht="15.75" customHeight="1">
      <c r="A2483" s="3">
        <f>IFERROR(__xludf.DUMMYFUNCTION("""COMPUTED_VALUE"""),2483.0)</f>
        <v>2483</v>
      </c>
      <c r="B2483" s="53">
        <f>IFERROR(__xludf.DUMMYFUNCTION("""COMPUTED_VALUE"""),46163.0)</f>
        <v>46163</v>
      </c>
      <c r="C2483" s="3">
        <f>IFERROR(__xludf.DUMMYFUNCTION("""COMPUTED_VALUE"""),106.0)</f>
        <v>106</v>
      </c>
      <c r="D2483" s="3" t="str">
        <f>IFERROR(__xludf.DUMMYFUNCTION("""COMPUTED_VALUE"""),"33054c4c")</f>
        <v>33054c4c</v>
      </c>
      <c r="E2483" s="54">
        <f>IFERROR(__xludf.DUMMYFUNCTION("""COMPUTED_VALUE"""),11000.0)</f>
        <v>11000</v>
      </c>
      <c r="F2483" s="3" t="str">
        <f>IFERROR(__xludf.DUMMYFUNCTION("""COMPUTED_VALUE"""),"Malbec Mer s/Asp 3")</f>
        <v>Malbec Mer s/Asp 3</v>
      </c>
      <c r="G2483" s="55">
        <f>IFERROR(__xludf.DUMMYFUNCTION("""COMPUTED_VALUE"""),13.4)</f>
        <v>13.4</v>
      </c>
      <c r="H2483" s="3"/>
      <c r="I2483" s="57">
        <f>IFERROR(__xludf.DUMMYFUNCTION("""COMPUTED_VALUE"""),0.47)</f>
        <v>0.47</v>
      </c>
      <c r="J2483" s="57">
        <f>IFERROR(__xludf.DUMMYFUNCTION("""COMPUTED_VALUE"""),4.8)</f>
        <v>4.8</v>
      </c>
      <c r="K2483" s="3"/>
      <c r="L2483" s="3"/>
      <c r="M2483" s="3"/>
      <c r="N2483" s="3"/>
      <c r="O2483" s="3"/>
      <c r="P2483" s="3"/>
      <c r="Q2483" s="3"/>
      <c r="R2483" s="3">
        <f>IFERROR(__xludf.DUMMYFUNCTION("""COMPUTED_VALUE"""),0.0)</f>
        <v>0</v>
      </c>
      <c r="S2483" s="3"/>
      <c r="T2483" s="5"/>
      <c r="U2483" s="5"/>
      <c r="V2483" s="5"/>
      <c r="W2483" s="5" t="str">
        <f>IFERROR(__xludf.DUMMYFUNCTION("""COMPUTED_VALUE"""),"Simon")</f>
        <v>Simon</v>
      </c>
    </row>
    <row r="2484" ht="15.75" customHeight="1">
      <c r="A2484" s="3">
        <f>IFERROR(__xludf.DUMMYFUNCTION("""COMPUTED_VALUE"""),2484.0)</f>
        <v>2484</v>
      </c>
      <c r="B2484" s="53">
        <f>IFERROR(__xludf.DUMMYFUNCTION("""COMPUTED_VALUE"""),46163.0)</f>
        <v>46163</v>
      </c>
      <c r="C2484" s="3">
        <f>IFERROR(__xludf.DUMMYFUNCTION("""COMPUTED_VALUE"""),107.0)</f>
        <v>107</v>
      </c>
      <c r="D2484" s="3" t="str">
        <f>IFERROR(__xludf.DUMMYFUNCTION("""COMPUTED_VALUE"""),"99ab0a68")</f>
        <v>99ab0a68</v>
      </c>
      <c r="E2484" s="54">
        <f>IFERROR(__xludf.DUMMYFUNCTION("""COMPUTED_VALUE"""),31000.0)</f>
        <v>31000</v>
      </c>
      <c r="F2484" s="3" t="str">
        <f>IFERROR(__xludf.DUMMYFUNCTION("""COMPUTED_VALUE"""),"Syrah Malbec s/Asp 2")</f>
        <v>Syrah Malbec s/Asp 2</v>
      </c>
      <c r="G2484" s="55">
        <f>IFERROR(__xludf.DUMMYFUNCTION("""COMPUTED_VALUE"""),13.4)</f>
        <v>13.4</v>
      </c>
      <c r="H2484" s="3"/>
      <c r="I2484" s="57">
        <f>IFERROR(__xludf.DUMMYFUNCTION("""COMPUTED_VALUE"""),0.58)</f>
        <v>0.58</v>
      </c>
      <c r="J2484" s="57">
        <f>IFERROR(__xludf.DUMMYFUNCTION("""COMPUTED_VALUE"""),4.95)</f>
        <v>4.95</v>
      </c>
      <c r="K2484" s="3"/>
      <c r="L2484" s="3"/>
      <c r="M2484" s="3"/>
      <c r="N2484" s="3"/>
      <c r="O2484" s="3"/>
      <c r="P2484" s="3"/>
      <c r="Q2484" s="3"/>
      <c r="R2484" s="3">
        <f>IFERROR(__xludf.DUMMYFUNCTION("""COMPUTED_VALUE"""),0.0)</f>
        <v>0</v>
      </c>
      <c r="S2484" s="3"/>
      <c r="T2484" s="5"/>
      <c r="U2484" s="5"/>
      <c r="V2484" s="5"/>
      <c r="W2484" s="5" t="str">
        <f>IFERROR(__xludf.DUMMYFUNCTION("""COMPUTED_VALUE"""),"Simon")</f>
        <v>Simon</v>
      </c>
    </row>
    <row r="2485" ht="15.75" customHeight="1">
      <c r="A2485" s="3">
        <f>IFERROR(__xludf.DUMMYFUNCTION("""COMPUTED_VALUE"""),2485.0)</f>
        <v>2485</v>
      </c>
      <c r="B2485" s="53">
        <f>IFERROR(__xludf.DUMMYFUNCTION("""COMPUTED_VALUE"""),46163.0)</f>
        <v>46163</v>
      </c>
      <c r="C2485" s="3">
        <f>IFERROR(__xludf.DUMMYFUNCTION("""COMPUTED_VALUE"""),108.0)</f>
        <v>108</v>
      </c>
      <c r="D2485" s="3" t="str">
        <f>IFERROR(__xludf.DUMMYFUNCTION("""COMPUTED_VALUE"""),"f4f50fc1")</f>
        <v>f4f50fc1</v>
      </c>
      <c r="E2485" s="54">
        <f>IFERROR(__xludf.DUMMYFUNCTION("""COMPUTED_VALUE"""),31000.0)</f>
        <v>31000</v>
      </c>
      <c r="F2485" s="3" t="str">
        <f>IFERROR(__xludf.DUMMYFUNCTION("""COMPUTED_VALUE"""),"Syrah Malbec s/Asp 2")</f>
        <v>Syrah Malbec s/Asp 2</v>
      </c>
      <c r="G2485" s="55">
        <f>IFERROR(__xludf.DUMMYFUNCTION("""COMPUTED_VALUE"""),13.4)</f>
        <v>13.4</v>
      </c>
      <c r="H2485" s="3"/>
      <c r="I2485" s="57">
        <f>IFERROR(__xludf.DUMMYFUNCTION("""COMPUTED_VALUE"""),0.46)</f>
        <v>0.46</v>
      </c>
      <c r="J2485" s="57">
        <f>IFERROR(__xludf.DUMMYFUNCTION("""COMPUTED_VALUE"""),5.25)</f>
        <v>5.25</v>
      </c>
      <c r="K2485" s="3"/>
      <c r="L2485" s="3"/>
      <c r="M2485" s="3"/>
      <c r="N2485" s="3"/>
      <c r="O2485" s="3"/>
      <c r="P2485" s="3"/>
      <c r="Q2485" s="3"/>
      <c r="R2485" s="3">
        <f>IFERROR(__xludf.DUMMYFUNCTION("""COMPUTED_VALUE"""),0.0)</f>
        <v>0</v>
      </c>
      <c r="S2485" s="3"/>
      <c r="T2485" s="5"/>
      <c r="U2485" s="5"/>
      <c r="V2485" s="5"/>
      <c r="W2485" s="5" t="str">
        <f>IFERROR(__xludf.DUMMYFUNCTION("""COMPUTED_VALUE"""),"Simon")</f>
        <v>Simon</v>
      </c>
    </row>
    <row r="2486" ht="15.75" customHeight="1">
      <c r="A2486" s="3">
        <f>IFERROR(__xludf.DUMMYFUNCTION("""COMPUTED_VALUE"""),2486.0)</f>
        <v>2486</v>
      </c>
      <c r="B2486" s="53">
        <f>IFERROR(__xludf.DUMMYFUNCTION("""COMPUTED_VALUE"""),46163.0)</f>
        <v>46163</v>
      </c>
      <c r="C2486" s="3">
        <f>IFERROR(__xludf.DUMMYFUNCTION("""COMPUTED_VALUE"""),114.0)</f>
        <v>114</v>
      </c>
      <c r="D2486" s="3" t="str">
        <f>IFERROR(__xludf.DUMMYFUNCTION("""COMPUTED_VALUE"""),"eb6cf98d")</f>
        <v>eb6cf98d</v>
      </c>
      <c r="E2486" s="54">
        <f>IFERROR(__xludf.DUMMYFUNCTION("""COMPUTED_VALUE"""),125300.0)</f>
        <v>125300</v>
      </c>
      <c r="F2486" s="3" t="str">
        <f>IFERROR(__xludf.DUMMYFUNCTION("""COMPUTED_VALUE"""),"Syrah")</f>
        <v>Syrah</v>
      </c>
      <c r="G2486" s="55">
        <f>IFERROR(__xludf.DUMMYFUNCTION("""COMPUTED_VALUE"""),13.8)</f>
        <v>13.8</v>
      </c>
      <c r="H2486" s="3"/>
      <c r="I2486" s="57">
        <f>IFERROR(__xludf.DUMMYFUNCTION("""COMPUTED_VALUE"""),0.51)</f>
        <v>0.51</v>
      </c>
      <c r="J2486" s="57">
        <f>IFERROR(__xludf.DUMMYFUNCTION("""COMPUTED_VALUE"""),4.95)</f>
        <v>4.95</v>
      </c>
      <c r="K2486" s="3"/>
      <c r="L2486" s="3"/>
      <c r="M2486" s="3"/>
      <c r="N2486" s="3"/>
      <c r="O2486" s="3"/>
      <c r="P2486" s="3"/>
      <c r="Q2486" s="3"/>
      <c r="R2486" s="3">
        <f>IFERROR(__xludf.DUMMYFUNCTION("""COMPUTED_VALUE"""),0.0)</f>
        <v>0</v>
      </c>
      <c r="S2486" s="3"/>
      <c r="T2486" s="5"/>
      <c r="U2486" s="5"/>
      <c r="V2486" s="5"/>
      <c r="W2486" s="5" t="str">
        <f>IFERROR(__xludf.DUMMYFUNCTION("""COMPUTED_VALUE"""),"Simon")</f>
        <v>Simon</v>
      </c>
    </row>
    <row r="2487" ht="15.75" customHeight="1">
      <c r="A2487" s="3">
        <f>IFERROR(__xludf.DUMMYFUNCTION("""COMPUTED_VALUE"""),2487.0)</f>
        <v>2487</v>
      </c>
      <c r="B2487" s="53">
        <f>IFERROR(__xludf.DUMMYFUNCTION("""COMPUTED_VALUE"""),46163.0)</f>
        <v>46163</v>
      </c>
      <c r="C2487" s="3">
        <f>IFERROR(__xludf.DUMMYFUNCTION("""COMPUTED_VALUE"""),115.0)</f>
        <v>115</v>
      </c>
      <c r="D2487" s="3" t="str">
        <f>IFERROR(__xludf.DUMMYFUNCTION("""COMPUTED_VALUE"""),"bd824973")</f>
        <v>bd824973</v>
      </c>
      <c r="E2487" s="54">
        <f>IFERROR(__xludf.DUMMYFUNCTION("""COMPUTED_VALUE"""),120200.0)</f>
        <v>120200</v>
      </c>
      <c r="F2487" s="3" t="str">
        <f>IFERROR(__xludf.DUMMYFUNCTION("""COMPUTED_VALUE"""),"Malbec")</f>
        <v>Malbec</v>
      </c>
      <c r="G2487" s="55">
        <f>IFERROR(__xludf.DUMMYFUNCTION("""COMPUTED_VALUE"""),13.3)</f>
        <v>13.3</v>
      </c>
      <c r="H2487" s="3"/>
      <c r="I2487" s="57">
        <f>IFERROR(__xludf.DUMMYFUNCTION("""COMPUTED_VALUE"""),0.6)</f>
        <v>0.6</v>
      </c>
      <c r="J2487" s="57">
        <f>IFERROR(__xludf.DUMMYFUNCTION("""COMPUTED_VALUE"""),4.95)</f>
        <v>4.95</v>
      </c>
      <c r="K2487" s="3"/>
      <c r="L2487" s="3"/>
      <c r="M2487" s="3"/>
      <c r="N2487" s="3"/>
      <c r="O2487" s="3"/>
      <c r="P2487" s="3"/>
      <c r="Q2487" s="3"/>
      <c r="R2487" s="3">
        <f>IFERROR(__xludf.DUMMYFUNCTION("""COMPUTED_VALUE"""),0.0)</f>
        <v>0</v>
      </c>
      <c r="S2487" s="3"/>
      <c r="T2487" s="5"/>
      <c r="U2487" s="5"/>
      <c r="V2487" s="5"/>
      <c r="W2487" s="5" t="str">
        <f>IFERROR(__xludf.DUMMYFUNCTION("""COMPUTED_VALUE"""),"Simon")</f>
        <v>Simon</v>
      </c>
    </row>
    <row r="2488" ht="15.75" customHeight="1">
      <c r="A2488" s="3">
        <f>IFERROR(__xludf.DUMMYFUNCTION("""COMPUTED_VALUE"""),2488.0)</f>
        <v>2488</v>
      </c>
      <c r="B2488" s="53">
        <f>IFERROR(__xludf.DUMMYFUNCTION("""COMPUTED_VALUE"""),46163.0)</f>
        <v>46163</v>
      </c>
      <c r="C2488" s="3">
        <f>IFERROR(__xludf.DUMMYFUNCTION("""COMPUTED_VALUE"""),116.0)</f>
        <v>116</v>
      </c>
      <c r="D2488" s="3" t="str">
        <f>IFERROR(__xludf.DUMMYFUNCTION("""COMPUTED_VALUE"""),"606a2ad7")</f>
        <v>606a2ad7</v>
      </c>
      <c r="E2488" s="54">
        <f>IFERROR(__xludf.DUMMYFUNCTION("""COMPUTED_VALUE"""),99600.0)</f>
        <v>99600</v>
      </c>
      <c r="F2488" s="3" t="str">
        <f>IFERROR(__xludf.DUMMYFUNCTION("""COMPUTED_VALUE"""),"Malbec")</f>
        <v>Malbec</v>
      </c>
      <c r="G2488" s="55">
        <f>IFERROR(__xludf.DUMMYFUNCTION("""COMPUTED_VALUE"""),13.1)</f>
        <v>13.1</v>
      </c>
      <c r="H2488" s="3"/>
      <c r="I2488" s="57">
        <f>IFERROR(__xludf.DUMMYFUNCTION("""COMPUTED_VALUE"""),0.5)</f>
        <v>0.5</v>
      </c>
      <c r="J2488" s="57">
        <f>IFERROR(__xludf.DUMMYFUNCTION("""COMPUTED_VALUE"""),4.8)</f>
        <v>4.8</v>
      </c>
      <c r="K2488" s="3"/>
      <c r="L2488" s="3"/>
      <c r="M2488" s="3"/>
      <c r="N2488" s="3"/>
      <c r="O2488" s="3"/>
      <c r="P2488" s="3"/>
      <c r="Q2488" s="3"/>
      <c r="R2488" s="3">
        <f>IFERROR(__xludf.DUMMYFUNCTION("""COMPUTED_VALUE"""),0.0)</f>
        <v>0</v>
      </c>
      <c r="S2488" s="3"/>
      <c r="T2488" s="5"/>
      <c r="U2488" s="5"/>
      <c r="V2488" s="5"/>
      <c r="W2488" s="5" t="str">
        <f>IFERROR(__xludf.DUMMYFUNCTION("""COMPUTED_VALUE"""),"Simon")</f>
        <v>Simon</v>
      </c>
    </row>
    <row r="2489" ht="15.75" customHeight="1">
      <c r="A2489" s="3">
        <f>IFERROR(__xludf.DUMMYFUNCTION("""COMPUTED_VALUE"""),2489.0)</f>
        <v>2489</v>
      </c>
      <c r="B2489" s="53">
        <f>IFERROR(__xludf.DUMMYFUNCTION("""COMPUTED_VALUE"""),46163.0)</f>
        <v>46163</v>
      </c>
      <c r="C2489" s="3">
        <f>IFERROR(__xludf.DUMMYFUNCTION("""COMPUTED_VALUE"""),118.0)</f>
        <v>118</v>
      </c>
      <c r="D2489" s="3" t="str">
        <f>IFERROR(__xludf.DUMMYFUNCTION("""COMPUTED_VALUE"""),"37dfb150")</f>
        <v>37dfb150</v>
      </c>
      <c r="E2489" s="54">
        <f>IFERROR(__xludf.DUMMYFUNCTION("""COMPUTED_VALUE"""),155600.0)</f>
        <v>155600</v>
      </c>
      <c r="F2489" s="3" t="str">
        <f>IFERROR(__xludf.DUMMYFUNCTION("""COMPUTED_VALUE"""),"Syrah")</f>
        <v>Syrah</v>
      </c>
      <c r="G2489" s="55">
        <f>IFERROR(__xludf.DUMMYFUNCTION("""COMPUTED_VALUE"""),13.9)</f>
        <v>13.9</v>
      </c>
      <c r="H2489" s="3"/>
      <c r="I2489" s="57">
        <f>IFERROR(__xludf.DUMMYFUNCTION("""COMPUTED_VALUE"""),0.5)</f>
        <v>0.5</v>
      </c>
      <c r="J2489" s="57">
        <f>IFERROR(__xludf.DUMMYFUNCTION("""COMPUTED_VALUE"""),4.87)</f>
        <v>4.87</v>
      </c>
      <c r="K2489" s="3"/>
      <c r="L2489" s="3"/>
      <c r="M2489" s="3"/>
      <c r="N2489" s="3"/>
      <c r="O2489" s="3"/>
      <c r="P2489" s="3"/>
      <c r="Q2489" s="3"/>
      <c r="R2489" s="3">
        <f>IFERROR(__xludf.DUMMYFUNCTION("""COMPUTED_VALUE"""),0.0)</f>
        <v>0</v>
      </c>
      <c r="S2489" s="3"/>
      <c r="T2489" s="5"/>
      <c r="U2489" s="5"/>
      <c r="V2489" s="5"/>
      <c r="W2489" s="5" t="str">
        <f>IFERROR(__xludf.DUMMYFUNCTION("""COMPUTED_VALUE"""),"Simon")</f>
        <v>Simon</v>
      </c>
    </row>
    <row r="2490" ht="15.75" customHeight="1">
      <c r="A2490" s="3">
        <f>IFERROR(__xludf.DUMMYFUNCTION("""COMPUTED_VALUE"""),2490.0)</f>
        <v>2490</v>
      </c>
      <c r="B2490" s="53">
        <f>IFERROR(__xludf.DUMMYFUNCTION("""COMPUTED_VALUE"""),46163.0)</f>
        <v>46163</v>
      </c>
      <c r="C2490" s="3">
        <f>IFERROR(__xludf.DUMMYFUNCTION("""COMPUTED_VALUE"""),121.0)</f>
        <v>121</v>
      </c>
      <c r="D2490" s="3" t="str">
        <f>IFERROR(__xludf.DUMMYFUNCTION("""COMPUTED_VALUE"""),"2f111639")</f>
        <v>2f111639</v>
      </c>
      <c r="E2490" s="54">
        <f>IFERROR(__xludf.DUMMYFUNCTION("""COMPUTED_VALUE"""),85800.0)</f>
        <v>85800</v>
      </c>
      <c r="F2490" s="3" t="str">
        <f>IFERROR(__xludf.DUMMYFUNCTION("""COMPUTED_VALUE"""),"Malbec")</f>
        <v>Malbec</v>
      </c>
      <c r="G2490" s="55">
        <f>IFERROR(__xludf.DUMMYFUNCTION("""COMPUTED_VALUE"""),13.6)</f>
        <v>13.6</v>
      </c>
      <c r="H2490" s="3"/>
      <c r="I2490" s="57">
        <f>IFERROR(__xludf.DUMMYFUNCTION("""COMPUTED_VALUE"""),0.64)</f>
        <v>0.64</v>
      </c>
      <c r="J2490" s="57">
        <f>IFERROR(__xludf.DUMMYFUNCTION("""COMPUTED_VALUE"""),4.65)</f>
        <v>4.65</v>
      </c>
      <c r="K2490" s="3"/>
      <c r="L2490" s="3"/>
      <c r="M2490" s="3"/>
      <c r="N2490" s="3"/>
      <c r="O2490" s="3"/>
      <c r="P2490" s="3"/>
      <c r="Q2490" s="3"/>
      <c r="R2490" s="3">
        <f>IFERROR(__xludf.DUMMYFUNCTION("""COMPUTED_VALUE"""),0.0)</f>
        <v>0</v>
      </c>
      <c r="S2490" s="3"/>
      <c r="T2490" s="5"/>
      <c r="U2490" s="5"/>
      <c r="V2490" s="5"/>
      <c r="W2490" s="5" t="str">
        <f>IFERROR(__xludf.DUMMYFUNCTION("""COMPUTED_VALUE"""),"Simon")</f>
        <v>Simon</v>
      </c>
    </row>
    <row r="2491" ht="15.75" customHeight="1">
      <c r="A2491" s="3">
        <f>IFERROR(__xludf.DUMMYFUNCTION("""COMPUTED_VALUE"""),2491.0)</f>
        <v>2491</v>
      </c>
      <c r="B2491" s="53">
        <f>IFERROR(__xludf.DUMMYFUNCTION("""COMPUTED_VALUE"""),46170.0)</f>
        <v>46170</v>
      </c>
      <c r="C2491" s="3">
        <f>IFERROR(__xludf.DUMMYFUNCTION("""COMPUTED_VALUE"""),96.0)</f>
        <v>96</v>
      </c>
      <c r="D2491" s="3" t="str">
        <f>IFERROR(__xludf.DUMMYFUNCTION("""COMPUTED_VALUE"""),"05b3155b")</f>
        <v>05b3155b</v>
      </c>
      <c r="E2491" s="54">
        <f>IFERROR(__xludf.DUMMYFUNCTION("""COMPUTED_VALUE"""),85600.0)</f>
        <v>85600</v>
      </c>
      <c r="F2491" s="3" t="str">
        <f>IFERROR(__xludf.DUMMYFUNCTION("""COMPUTED_VALUE"""),"Bonarda")</f>
        <v>Bonarda</v>
      </c>
      <c r="G2491" s="3"/>
      <c r="H2491" s="3"/>
      <c r="I2491" s="3"/>
      <c r="J2491" s="3"/>
      <c r="K2491" s="57">
        <f>IFERROR(__xludf.DUMMYFUNCTION("""COMPUTED_VALUE"""),3.87)</f>
        <v>3.87</v>
      </c>
      <c r="L2491" s="54">
        <f>IFERROR(__xludf.DUMMYFUNCTION("""COMPUTED_VALUE"""),32.0)</f>
        <v>32</v>
      </c>
      <c r="M2491" s="3">
        <f>IFERROR(__xludf.DUMMYFUNCTION("""COMPUTED_VALUE"""),90.0)</f>
        <v>90</v>
      </c>
      <c r="N2491" s="3"/>
      <c r="O2491" s="3"/>
      <c r="P2491" s="3"/>
      <c r="Q2491" s="3"/>
      <c r="R2491" s="3">
        <f>IFERROR(__xludf.DUMMYFUNCTION("""COMPUTED_VALUE"""),0.0)</f>
        <v>0</v>
      </c>
      <c r="S2491" s="3"/>
      <c r="T2491" s="5"/>
      <c r="U2491" s="5"/>
      <c r="V2491" s="5"/>
      <c r="W2491" s="5"/>
    </row>
    <row r="2492" ht="15.75" customHeight="1">
      <c r="A2492" s="3">
        <f>IFERROR(__xludf.DUMMYFUNCTION("""COMPUTED_VALUE"""),2492.0)</f>
        <v>2492</v>
      </c>
      <c r="B2492" s="53">
        <f>IFERROR(__xludf.DUMMYFUNCTION("""COMPUTED_VALUE"""),46170.0)</f>
        <v>46170</v>
      </c>
      <c r="C2492" s="3">
        <f>IFERROR(__xludf.DUMMYFUNCTION("""COMPUTED_VALUE"""),87.0)</f>
        <v>87</v>
      </c>
      <c r="D2492" s="3" t="str">
        <f>IFERROR(__xludf.DUMMYFUNCTION("""COMPUTED_VALUE"""),"bce51210")</f>
        <v>bce51210</v>
      </c>
      <c r="E2492" s="54">
        <f>IFERROR(__xludf.DUMMYFUNCTION("""COMPUTED_VALUE"""),93700.0)</f>
        <v>93700</v>
      </c>
      <c r="F2492" s="3" t="str">
        <f>IFERROR(__xludf.DUMMYFUNCTION("""COMPUTED_VALUE"""),"Criolla Recarga")</f>
        <v>Criolla Recarga</v>
      </c>
      <c r="G2492" s="3"/>
      <c r="H2492" s="3"/>
      <c r="I2492" s="3"/>
      <c r="J2492" s="3"/>
      <c r="K2492" s="57">
        <f>IFERROR(__xludf.DUMMYFUNCTION("""COMPUTED_VALUE"""),3.98)</f>
        <v>3.98</v>
      </c>
      <c r="L2492" s="54">
        <f>IFERROR(__xludf.DUMMYFUNCTION("""COMPUTED_VALUE"""),25.0)</f>
        <v>25</v>
      </c>
      <c r="M2492" s="3">
        <f>IFERROR(__xludf.DUMMYFUNCTION("""COMPUTED_VALUE"""),77.0)</f>
        <v>77</v>
      </c>
      <c r="N2492" s="3"/>
      <c r="O2492" s="3"/>
      <c r="P2492" s="3"/>
      <c r="Q2492" s="3"/>
      <c r="R2492" s="3">
        <f>IFERROR(__xludf.DUMMYFUNCTION("""COMPUTED_VALUE"""),0.0)</f>
        <v>0</v>
      </c>
      <c r="S2492" s="3"/>
      <c r="T2492" s="5"/>
      <c r="U2492" s="5"/>
      <c r="V2492" s="5"/>
      <c r="W2492" s="5"/>
    </row>
    <row r="2493" ht="15.75" customHeight="1">
      <c r="A2493" s="3">
        <f>IFERROR(__xludf.DUMMYFUNCTION("""COMPUTED_VALUE"""),2493.0)</f>
        <v>2493</v>
      </c>
      <c r="B2493" s="53">
        <f>IFERROR(__xludf.DUMMYFUNCTION("""COMPUTED_VALUE"""),46170.0)</f>
        <v>46170</v>
      </c>
      <c r="C2493" s="3">
        <f>IFERROR(__xludf.DUMMYFUNCTION("""COMPUTED_VALUE"""),92.0)</f>
        <v>92</v>
      </c>
      <c r="D2493" s="3" t="str">
        <f>IFERROR(__xludf.DUMMYFUNCTION("""COMPUTED_VALUE"""),"a18af5bc")</f>
        <v>a18af5bc</v>
      </c>
      <c r="E2493" s="54">
        <f>IFERROR(__xludf.DUMMYFUNCTION("""COMPUTED_VALUE"""),76000.0)</f>
        <v>76000</v>
      </c>
      <c r="F2493" s="3" t="str">
        <f>IFERROR(__xludf.DUMMYFUNCTION("""COMPUTED_VALUE"""),"Criolla Recarga")</f>
        <v>Criolla Recarga</v>
      </c>
      <c r="G2493" s="3"/>
      <c r="H2493" s="3"/>
      <c r="I2493" s="3"/>
      <c r="J2493" s="3"/>
      <c r="K2493" s="57">
        <f>IFERROR(__xludf.DUMMYFUNCTION("""COMPUTED_VALUE"""),3.94)</f>
        <v>3.94</v>
      </c>
      <c r="L2493" s="54">
        <f>IFERROR(__xludf.DUMMYFUNCTION("""COMPUTED_VALUE"""),31.0)</f>
        <v>31</v>
      </c>
      <c r="M2493" s="3">
        <f>IFERROR(__xludf.DUMMYFUNCTION("""COMPUTED_VALUE"""),101.0)</f>
        <v>101</v>
      </c>
      <c r="N2493" s="3"/>
      <c r="O2493" s="3"/>
      <c r="P2493" s="3"/>
      <c r="Q2493" s="3"/>
      <c r="R2493" s="3">
        <f>IFERROR(__xludf.DUMMYFUNCTION("""COMPUTED_VALUE"""),0.0)</f>
        <v>0</v>
      </c>
      <c r="S2493" s="3"/>
      <c r="T2493" s="5"/>
      <c r="U2493" s="5"/>
      <c r="V2493" s="5"/>
      <c r="W2493" s="5"/>
    </row>
    <row r="2494" ht="15.75" customHeight="1">
      <c r="A2494" s="3">
        <f>IFERROR(__xludf.DUMMYFUNCTION("""COMPUTED_VALUE"""),2494.0)</f>
        <v>2494</v>
      </c>
      <c r="B2494" s="53">
        <f>IFERROR(__xludf.DUMMYFUNCTION("""COMPUTED_VALUE"""),46170.0)</f>
        <v>46170</v>
      </c>
      <c r="C2494" s="3">
        <f>IFERROR(__xludf.DUMMYFUNCTION("""COMPUTED_VALUE"""),52.0)</f>
        <v>52</v>
      </c>
      <c r="D2494" s="3" t="str">
        <f>IFERROR(__xludf.DUMMYFUNCTION("""COMPUTED_VALUE"""),"a73ae064")</f>
        <v>a73ae064</v>
      </c>
      <c r="E2494" s="54">
        <f>IFERROR(__xludf.DUMMYFUNCTION("""COMPUTED_VALUE"""),27000.0)</f>
        <v>27000</v>
      </c>
      <c r="F2494" s="3" t="str">
        <f>IFERROR(__xludf.DUMMYFUNCTION("""COMPUTED_VALUE"""),"Rosado Criolla")</f>
        <v>Rosado Criolla</v>
      </c>
      <c r="G2494" s="3"/>
      <c r="H2494" s="3"/>
      <c r="I2494" s="3"/>
      <c r="J2494" s="3"/>
      <c r="K2494" s="57">
        <f>IFERROR(__xludf.DUMMYFUNCTION("""COMPUTED_VALUE"""),3.33)</f>
        <v>3.33</v>
      </c>
      <c r="L2494" s="54">
        <f>IFERROR(__xludf.DUMMYFUNCTION("""COMPUTED_VALUE"""),14.0)</f>
        <v>14</v>
      </c>
      <c r="M2494" s="3">
        <f>IFERROR(__xludf.DUMMYFUNCTION("""COMPUTED_VALUE"""),90.0)</f>
        <v>90</v>
      </c>
      <c r="N2494" s="3"/>
      <c r="O2494" s="3"/>
      <c r="P2494" s="3"/>
      <c r="Q2494" s="3"/>
      <c r="R2494" s="3">
        <f>IFERROR(__xludf.DUMMYFUNCTION("""COMPUTED_VALUE"""),0.0)</f>
        <v>0</v>
      </c>
      <c r="S2494" s="3"/>
      <c r="T2494" s="5"/>
      <c r="U2494" s="5"/>
      <c r="V2494" s="5"/>
      <c r="W2494" s="5"/>
    </row>
    <row r="2495" ht="15.75" customHeight="1">
      <c r="A2495" s="3">
        <f>IFERROR(__xludf.DUMMYFUNCTION("""COMPUTED_VALUE"""),2495.0)</f>
        <v>2495</v>
      </c>
      <c r="B2495" s="53">
        <f>IFERROR(__xludf.DUMMYFUNCTION("""COMPUTED_VALUE"""),46170.0)</f>
        <v>46170</v>
      </c>
      <c r="C2495" s="3">
        <f>IFERROR(__xludf.DUMMYFUNCTION("""COMPUTED_VALUE"""),82.0)</f>
        <v>82</v>
      </c>
      <c r="D2495" s="3" t="str">
        <f>IFERROR(__xludf.DUMMYFUNCTION("""COMPUTED_VALUE"""),"b6466d68")</f>
        <v>b6466d68</v>
      </c>
      <c r="E2495" s="54">
        <f>IFERROR(__xludf.DUMMYFUNCTION("""COMPUTED_VALUE"""),42000.0)</f>
        <v>42000</v>
      </c>
      <c r="F2495" s="3" t="str">
        <f>IFERROR(__xludf.DUMMYFUNCTION("""COMPUTED_VALUE"""),"Bonarda")</f>
        <v>Bonarda</v>
      </c>
      <c r="G2495" s="3"/>
      <c r="H2495" s="3"/>
      <c r="I2495" s="3"/>
      <c r="J2495" s="3"/>
      <c r="K2495" s="57">
        <f>IFERROR(__xludf.DUMMYFUNCTION("""COMPUTED_VALUE"""),3.85)</f>
        <v>3.85</v>
      </c>
      <c r="L2495" s="54">
        <f>IFERROR(__xludf.DUMMYFUNCTION("""COMPUTED_VALUE"""),27.0)</f>
        <v>27</v>
      </c>
      <c r="M2495" s="3">
        <f>IFERROR(__xludf.DUMMYFUNCTION("""COMPUTED_VALUE"""),68.0)</f>
        <v>68</v>
      </c>
      <c r="N2495" s="3"/>
      <c r="O2495" s="3"/>
      <c r="P2495" s="3"/>
      <c r="Q2495" s="3"/>
      <c r="R2495" s="3">
        <f>IFERROR(__xludf.DUMMYFUNCTION("""COMPUTED_VALUE"""),0.0)</f>
        <v>0</v>
      </c>
      <c r="S2495" s="3"/>
      <c r="T2495" s="5"/>
      <c r="U2495" s="5"/>
      <c r="V2495" s="5"/>
      <c r="W2495" s="5"/>
    </row>
    <row r="2496" ht="15.75" customHeight="1">
      <c r="A2496" s="3">
        <f>IFERROR(__xludf.DUMMYFUNCTION("""COMPUTED_VALUE"""),2496.0)</f>
        <v>2496</v>
      </c>
      <c r="B2496" s="53">
        <f>IFERROR(__xludf.DUMMYFUNCTION("""COMPUTED_VALUE"""),46170.0)</f>
        <v>46170</v>
      </c>
      <c r="C2496" s="3">
        <f>IFERROR(__xludf.DUMMYFUNCTION("""COMPUTED_VALUE"""),9.0)</f>
        <v>9</v>
      </c>
      <c r="D2496" s="3" t="str">
        <f>IFERROR(__xludf.DUMMYFUNCTION("""COMPUTED_VALUE"""),"2cd648db")</f>
        <v>2cd648db</v>
      </c>
      <c r="E2496" s="54">
        <f>IFERROR(__xludf.DUMMYFUNCTION("""COMPUTED_VALUE"""),30000.0)</f>
        <v>30000</v>
      </c>
      <c r="F2496" s="3" t="str">
        <f>IFERROR(__xludf.DUMMYFUNCTION("""COMPUTED_VALUE"""),"Criolla Recarga")</f>
        <v>Criolla Recarga</v>
      </c>
      <c r="G2496" s="3"/>
      <c r="H2496" s="3"/>
      <c r="I2496" s="3"/>
      <c r="J2496" s="3"/>
      <c r="K2496" s="57">
        <f>IFERROR(__xludf.DUMMYFUNCTION("""COMPUTED_VALUE"""),4.08)</f>
        <v>4.08</v>
      </c>
      <c r="L2496" s="54">
        <f>IFERROR(__xludf.DUMMYFUNCTION("""COMPUTED_VALUE"""),24.0)</f>
        <v>24</v>
      </c>
      <c r="M2496" s="3">
        <f>IFERROR(__xludf.DUMMYFUNCTION("""COMPUTED_VALUE"""),92.0)</f>
        <v>92</v>
      </c>
      <c r="N2496" s="3"/>
      <c r="O2496" s="3"/>
      <c r="P2496" s="3"/>
      <c r="Q2496" s="3"/>
      <c r="R2496" s="3">
        <f>IFERROR(__xludf.DUMMYFUNCTION("""COMPUTED_VALUE"""),0.0)</f>
        <v>0</v>
      </c>
      <c r="S2496" s="3"/>
      <c r="T2496" s="5"/>
      <c r="U2496" s="5"/>
      <c r="V2496" s="5"/>
      <c r="W2496" s="5"/>
    </row>
    <row r="2497" ht="15.75" customHeight="1">
      <c r="A2497" s="3">
        <f>IFERROR(__xludf.DUMMYFUNCTION("""COMPUTED_VALUE"""),2497.0)</f>
        <v>2497</v>
      </c>
      <c r="B2497" s="53">
        <f>IFERROR(__xludf.DUMMYFUNCTION("""COMPUTED_VALUE"""),46170.0)</f>
        <v>46170</v>
      </c>
      <c r="C2497" s="3">
        <f>IFERROR(__xludf.DUMMYFUNCTION("""COMPUTED_VALUE"""),7.0)</f>
        <v>7</v>
      </c>
      <c r="D2497" s="3" t="str">
        <f>IFERROR(__xludf.DUMMYFUNCTION("""COMPUTED_VALUE"""),"30b542ea")</f>
        <v>30b542ea</v>
      </c>
      <c r="E2497" s="54">
        <f>IFERROR(__xludf.DUMMYFUNCTION("""COMPUTED_VALUE"""),30000.0)</f>
        <v>30000</v>
      </c>
      <c r="F2497" s="3" t="str">
        <f>IFERROR(__xludf.DUMMYFUNCTION("""COMPUTED_VALUE"""),"Syrah")</f>
        <v>Syrah</v>
      </c>
      <c r="G2497" s="3"/>
      <c r="H2497" s="3"/>
      <c r="I2497" s="3"/>
      <c r="J2497" s="3"/>
      <c r="K2497" s="57">
        <f>IFERROR(__xludf.DUMMYFUNCTION("""COMPUTED_VALUE"""),3.93)</f>
        <v>3.93</v>
      </c>
      <c r="L2497" s="54">
        <f>IFERROR(__xludf.DUMMYFUNCTION("""COMPUTED_VALUE"""),38.0)</f>
        <v>38</v>
      </c>
      <c r="M2497" s="3">
        <f>IFERROR(__xludf.DUMMYFUNCTION("""COMPUTED_VALUE"""),90.0)</f>
        <v>90</v>
      </c>
      <c r="N2497" s="3"/>
      <c r="O2497" s="3"/>
      <c r="P2497" s="3"/>
      <c r="Q2497" s="3"/>
      <c r="R2497" s="3">
        <f>IFERROR(__xludf.DUMMYFUNCTION("""COMPUTED_VALUE"""),0.0)</f>
        <v>0</v>
      </c>
      <c r="S2497" s="3"/>
      <c r="T2497" s="5"/>
      <c r="U2497" s="5"/>
      <c r="V2497" s="5"/>
      <c r="W2497" s="5"/>
    </row>
    <row r="2498" ht="15.75" customHeight="1">
      <c r="A2498" s="3">
        <f>IFERROR(__xludf.DUMMYFUNCTION("""COMPUTED_VALUE"""),2498.0)</f>
        <v>2498</v>
      </c>
      <c r="B2498" s="53">
        <f>IFERROR(__xludf.DUMMYFUNCTION("""COMPUTED_VALUE"""),46170.0)</f>
        <v>46170</v>
      </c>
      <c r="C2498" s="3">
        <f>IFERROR(__xludf.DUMMYFUNCTION("""COMPUTED_VALUE"""),53.0)</f>
        <v>53</v>
      </c>
      <c r="D2498" s="3" t="str">
        <f>IFERROR(__xludf.DUMMYFUNCTION("""COMPUTED_VALUE"""),"21c7c6f5")</f>
        <v>21c7c6f5</v>
      </c>
      <c r="E2498" s="54">
        <f>IFERROR(__xludf.DUMMYFUNCTION("""COMPUTED_VALUE"""),6000.0)</f>
        <v>6000</v>
      </c>
      <c r="F2498" s="3" t="str">
        <f>IFERROR(__xludf.DUMMYFUNCTION("""COMPUTED_VALUE"""),"Bonarda")</f>
        <v>Bonarda</v>
      </c>
      <c r="G2498" s="3"/>
      <c r="H2498" s="3"/>
      <c r="I2498" s="3"/>
      <c r="J2498" s="3"/>
      <c r="K2498" s="57">
        <f>IFERROR(__xludf.DUMMYFUNCTION("""COMPUTED_VALUE"""),3.78)</f>
        <v>3.78</v>
      </c>
      <c r="L2498" s="54">
        <f>IFERROR(__xludf.DUMMYFUNCTION("""COMPUTED_VALUE"""),32.0)</f>
        <v>32</v>
      </c>
      <c r="M2498" s="3">
        <f>IFERROR(__xludf.DUMMYFUNCTION("""COMPUTED_VALUE"""),89.0)</f>
        <v>89</v>
      </c>
      <c r="N2498" s="3"/>
      <c r="O2498" s="3"/>
      <c r="P2498" s="3"/>
      <c r="Q2498" s="3"/>
      <c r="R2498" s="3">
        <f>IFERROR(__xludf.DUMMYFUNCTION("""COMPUTED_VALUE"""),0.0)</f>
        <v>0</v>
      </c>
      <c r="S2498" s="3"/>
      <c r="T2498" s="5"/>
      <c r="U2498" s="5"/>
      <c r="V2498" s="5"/>
      <c r="W2498" s="5"/>
    </row>
    <row r="2499" ht="15.75" customHeight="1">
      <c r="A2499" s="3">
        <f>IFERROR(__xludf.DUMMYFUNCTION("""COMPUTED_VALUE"""),2499.0)</f>
        <v>2499</v>
      </c>
      <c r="B2499" s="53">
        <f>IFERROR(__xludf.DUMMYFUNCTION("""COMPUTED_VALUE"""),46170.0)</f>
        <v>46170</v>
      </c>
      <c r="C2499" s="3">
        <f>IFERROR(__xludf.DUMMYFUNCTION("""COMPUTED_VALUE"""),83.0)</f>
        <v>83</v>
      </c>
      <c r="D2499" s="3" t="str">
        <f>IFERROR(__xludf.DUMMYFUNCTION("""COMPUTED_VALUE"""),"504737c2")</f>
        <v>504737c2</v>
      </c>
      <c r="E2499" s="54">
        <f>IFERROR(__xludf.DUMMYFUNCTION("""COMPUTED_VALUE"""),81500.0)</f>
        <v>81500</v>
      </c>
      <c r="F2499" s="3" t="str">
        <f>IFERROR(__xludf.DUMMYFUNCTION("""COMPUTED_VALUE"""),"Bonarda")</f>
        <v>Bonarda</v>
      </c>
      <c r="G2499" s="3"/>
      <c r="H2499" s="3"/>
      <c r="I2499" s="3"/>
      <c r="J2499" s="3"/>
      <c r="K2499" s="57">
        <f>IFERROR(__xludf.DUMMYFUNCTION("""COMPUTED_VALUE"""),3.85)</f>
        <v>3.85</v>
      </c>
      <c r="L2499" s="54">
        <f>IFERROR(__xludf.DUMMYFUNCTION("""COMPUTED_VALUE"""),22.0)</f>
        <v>22</v>
      </c>
      <c r="M2499" s="3">
        <f>IFERROR(__xludf.DUMMYFUNCTION("""COMPUTED_VALUE"""),64.0)</f>
        <v>64</v>
      </c>
      <c r="N2499" s="3"/>
      <c r="O2499" s="3"/>
      <c r="P2499" s="3"/>
      <c r="Q2499" s="3"/>
      <c r="R2499" s="3">
        <f>IFERROR(__xludf.DUMMYFUNCTION("""COMPUTED_VALUE"""),0.0)</f>
        <v>0</v>
      </c>
      <c r="S2499" s="3"/>
      <c r="T2499" s="5"/>
      <c r="U2499" s="5"/>
      <c r="V2499" s="5"/>
      <c r="W2499" s="5"/>
    </row>
    <row r="2500" ht="15.75" customHeight="1">
      <c r="A2500" s="3">
        <f>IFERROR(__xludf.DUMMYFUNCTION("""COMPUTED_VALUE"""),2500.0)</f>
        <v>2500</v>
      </c>
      <c r="B2500" s="53">
        <f>IFERROR(__xludf.DUMMYFUNCTION("""COMPUTED_VALUE"""),46170.0)</f>
        <v>46170</v>
      </c>
      <c r="C2500" s="3">
        <f>IFERROR(__xludf.DUMMYFUNCTION("""COMPUTED_VALUE"""),127.0)</f>
        <v>127</v>
      </c>
      <c r="D2500" s="3" t="str">
        <f>IFERROR(__xludf.DUMMYFUNCTION("""COMPUTED_VALUE"""),"d3010d76")</f>
        <v>d3010d76</v>
      </c>
      <c r="E2500" s="54">
        <f>IFERROR(__xludf.DUMMYFUNCTION("""COMPUTED_VALUE"""),31000.0)</f>
        <v>31000</v>
      </c>
      <c r="F2500" s="3" t="str">
        <f>IFERROR(__xludf.DUMMYFUNCTION("""COMPUTED_VALUE"""),"Malbec")</f>
        <v>Malbec</v>
      </c>
      <c r="G2500" s="3"/>
      <c r="H2500" s="3"/>
      <c r="I2500" s="3"/>
      <c r="J2500" s="3"/>
      <c r="K2500" s="57">
        <f>IFERROR(__xludf.DUMMYFUNCTION("""COMPUTED_VALUE"""),3.58)</f>
        <v>3.58</v>
      </c>
      <c r="L2500" s="54">
        <f>IFERROR(__xludf.DUMMYFUNCTION("""COMPUTED_VALUE"""),38.0)</f>
        <v>38</v>
      </c>
      <c r="M2500" s="3">
        <f>IFERROR(__xludf.DUMMYFUNCTION("""COMPUTED_VALUE"""),130.0)</f>
        <v>130</v>
      </c>
      <c r="N2500" s="3"/>
      <c r="O2500" s="3"/>
      <c r="P2500" s="3"/>
      <c r="Q2500" s="3"/>
      <c r="R2500" s="3">
        <f>IFERROR(__xludf.DUMMYFUNCTION("""COMPUTED_VALUE"""),0.0)</f>
        <v>0</v>
      </c>
      <c r="S2500" s="3"/>
      <c r="T2500" s="5"/>
      <c r="U2500" s="5"/>
      <c r="V2500" s="5"/>
      <c r="W2500" s="5"/>
    </row>
    <row r="2501" ht="15.75" customHeight="1">
      <c r="A2501" s="3">
        <f>IFERROR(__xludf.DUMMYFUNCTION("""COMPUTED_VALUE"""),2501.0)</f>
        <v>2501</v>
      </c>
      <c r="B2501" s="53">
        <f>IFERROR(__xludf.DUMMYFUNCTION("""COMPUTED_VALUE"""),46170.0)</f>
        <v>46170</v>
      </c>
      <c r="C2501" s="3">
        <f>IFERROR(__xludf.DUMMYFUNCTION("""COMPUTED_VALUE"""),109.0)</f>
        <v>109</v>
      </c>
      <c r="D2501" s="3" t="str">
        <f>IFERROR(__xludf.DUMMYFUNCTION("""COMPUTED_VALUE"""),"36c93198")</f>
        <v>36c93198</v>
      </c>
      <c r="E2501" s="54">
        <f>IFERROR(__xludf.DUMMYFUNCTION("""COMPUTED_VALUE"""),15600.0)</f>
        <v>15600</v>
      </c>
      <c r="F2501" s="3" t="str">
        <f>IFERROR(__xludf.DUMMYFUNCTION("""COMPUTED_VALUE"""),"Anccellota Aspirant Rect")</f>
        <v>Anccellota Aspirant Rect</v>
      </c>
      <c r="G2501" s="3"/>
      <c r="H2501" s="3"/>
      <c r="I2501" s="3"/>
      <c r="J2501" s="3"/>
      <c r="K2501" s="57">
        <f>IFERROR(__xludf.DUMMYFUNCTION("""COMPUTED_VALUE"""),3.25)</f>
        <v>3.25</v>
      </c>
      <c r="L2501" s="54">
        <f>IFERROR(__xludf.DUMMYFUNCTION("""COMPUTED_VALUE"""),20.0)</f>
        <v>20</v>
      </c>
      <c r="M2501" s="3">
        <f>IFERROR(__xludf.DUMMYFUNCTION("""COMPUTED_VALUE"""),58.0)</f>
        <v>58</v>
      </c>
      <c r="N2501" s="3"/>
      <c r="O2501" s="3"/>
      <c r="P2501" s="3"/>
      <c r="Q2501" s="3"/>
      <c r="R2501" s="3">
        <f>IFERROR(__xludf.DUMMYFUNCTION("""COMPUTED_VALUE"""),0.0)</f>
        <v>0</v>
      </c>
      <c r="S2501" s="3"/>
      <c r="T2501" s="5"/>
      <c r="U2501" s="5"/>
      <c r="V2501" s="5"/>
      <c r="W2501" s="5"/>
    </row>
    <row r="2502" ht="15.75" customHeight="1">
      <c r="A2502" s="3">
        <f>IFERROR(__xludf.DUMMYFUNCTION("""COMPUTED_VALUE"""),2502.0)</f>
        <v>2502</v>
      </c>
      <c r="B2502" s="53">
        <f>IFERROR(__xludf.DUMMYFUNCTION("""COMPUTED_VALUE"""),46170.0)</f>
        <v>46170</v>
      </c>
      <c r="C2502" s="3">
        <f>IFERROR(__xludf.DUMMYFUNCTION("""COMPUTED_VALUE"""),110.0)</f>
        <v>110</v>
      </c>
      <c r="D2502" s="3" t="str">
        <f>IFERROR(__xludf.DUMMYFUNCTION("""COMPUTED_VALUE"""),"436f0ad4")</f>
        <v>436f0ad4</v>
      </c>
      <c r="E2502" s="54">
        <f>IFERROR(__xludf.DUMMYFUNCTION("""COMPUTED_VALUE"""),15600.0)</f>
        <v>15600</v>
      </c>
      <c r="F2502" s="3" t="str">
        <f>IFERROR(__xludf.DUMMYFUNCTION("""COMPUTED_VALUE"""),"Anccellota Aspirant Rect")</f>
        <v>Anccellota Aspirant Rect</v>
      </c>
      <c r="G2502" s="3"/>
      <c r="H2502" s="3"/>
      <c r="I2502" s="3"/>
      <c r="J2502" s="3"/>
      <c r="K2502" s="57">
        <f>IFERROR(__xludf.DUMMYFUNCTION("""COMPUTED_VALUE"""),3.13)</f>
        <v>3.13</v>
      </c>
      <c r="L2502" s="54">
        <f>IFERROR(__xludf.DUMMYFUNCTION("""COMPUTED_VALUE"""),22.0)</f>
        <v>22</v>
      </c>
      <c r="M2502" s="3">
        <f>IFERROR(__xludf.DUMMYFUNCTION("""COMPUTED_VALUE"""),60.0)</f>
        <v>60</v>
      </c>
      <c r="N2502" s="3"/>
      <c r="O2502" s="3"/>
      <c r="P2502" s="3"/>
      <c r="Q2502" s="3"/>
      <c r="R2502" s="3">
        <f>IFERROR(__xludf.DUMMYFUNCTION("""COMPUTED_VALUE"""),0.0)</f>
        <v>0</v>
      </c>
      <c r="S2502" s="3"/>
      <c r="T2502" s="5"/>
      <c r="U2502" s="5"/>
      <c r="V2502" s="5"/>
      <c r="W2502" s="5"/>
    </row>
    <row r="2503" ht="15.75" customHeight="1">
      <c r="A2503" s="3">
        <f>IFERROR(__xludf.DUMMYFUNCTION("""COMPUTED_VALUE"""),2503.0)</f>
        <v>2503</v>
      </c>
      <c r="B2503" s="53">
        <f>IFERROR(__xludf.DUMMYFUNCTION("""COMPUTED_VALUE"""),46174.0)</f>
        <v>46174</v>
      </c>
      <c r="C2503" s="3">
        <f>IFERROR(__xludf.DUMMYFUNCTION("""COMPUTED_VALUE"""),7.0)</f>
        <v>7</v>
      </c>
      <c r="D2503" s="3" t="str">
        <f>IFERROR(__xludf.DUMMYFUNCTION("""COMPUTED_VALUE"""),"30b542ea")</f>
        <v>30b542ea</v>
      </c>
      <c r="E2503" s="54">
        <f>IFERROR(__xludf.DUMMYFUNCTION("""COMPUTED_VALUE"""),30000.0)</f>
        <v>30000</v>
      </c>
      <c r="F2503" s="3" t="str">
        <f>IFERROR(__xludf.DUMMYFUNCTION("""COMPUTED_VALUE"""),"Syrah")</f>
        <v>Syrah</v>
      </c>
      <c r="G2503" s="55">
        <f>IFERROR(__xludf.DUMMYFUNCTION("""COMPUTED_VALUE"""),13.9)</f>
        <v>13.9</v>
      </c>
      <c r="H2503" s="56">
        <f>IFERROR(__xludf.DUMMYFUNCTION("""COMPUTED_VALUE"""),2.37)</f>
        <v>2.37</v>
      </c>
      <c r="I2503" s="57">
        <f>IFERROR(__xludf.DUMMYFUNCTION("""COMPUTED_VALUE"""),0.41)</f>
        <v>0.41</v>
      </c>
      <c r="J2503" s="57">
        <f>IFERROR(__xludf.DUMMYFUNCTION("""COMPUTED_VALUE"""),4.65)</f>
        <v>4.65</v>
      </c>
      <c r="K2503" s="3"/>
      <c r="L2503" s="3"/>
      <c r="M2503" s="3"/>
      <c r="N2503" s="3"/>
      <c r="O2503" s="3"/>
      <c r="P2503" s="3"/>
      <c r="Q2503" s="3"/>
      <c r="R2503" s="3">
        <f>IFERROR(__xludf.DUMMYFUNCTION("""COMPUTED_VALUE"""),0.0)</f>
        <v>0</v>
      </c>
      <c r="S2503" s="3"/>
      <c r="T2503" s="5"/>
      <c r="U2503" s="5"/>
      <c r="V2503" s="5"/>
      <c r="W2503" s="5" t="str">
        <f>IFERROR(__xludf.DUMMYFUNCTION("""COMPUTED_VALUE"""),"Simon")</f>
        <v>Simon</v>
      </c>
    </row>
    <row r="2504" ht="15.75" customHeight="1">
      <c r="A2504" s="3">
        <f>IFERROR(__xludf.DUMMYFUNCTION("""COMPUTED_VALUE"""),2504.0)</f>
        <v>2504</v>
      </c>
      <c r="B2504" s="53">
        <f>IFERROR(__xludf.DUMMYFUNCTION("""COMPUTED_VALUE"""),46174.0)</f>
        <v>46174</v>
      </c>
      <c r="C2504" s="3">
        <f>IFERROR(__xludf.DUMMYFUNCTION("""COMPUTED_VALUE"""),9.0)</f>
        <v>9</v>
      </c>
      <c r="D2504" s="3" t="str">
        <f>IFERROR(__xludf.DUMMYFUNCTION("""COMPUTED_VALUE"""),"2cd648db")</f>
        <v>2cd648db</v>
      </c>
      <c r="E2504" s="54">
        <f>IFERROR(__xludf.DUMMYFUNCTION("""COMPUTED_VALUE"""),30000.0)</f>
        <v>30000</v>
      </c>
      <c r="F2504" s="3" t="str">
        <f>IFERROR(__xludf.DUMMYFUNCTION("""COMPUTED_VALUE"""),"Criolla Recarga")</f>
        <v>Criolla Recarga</v>
      </c>
      <c r="G2504" s="55">
        <f>IFERROR(__xludf.DUMMYFUNCTION("""COMPUTED_VALUE"""),13.8)</f>
        <v>13.8</v>
      </c>
      <c r="H2504" s="56">
        <f>IFERROR(__xludf.DUMMYFUNCTION("""COMPUTED_VALUE"""),1.8)</f>
        <v>1.8</v>
      </c>
      <c r="I2504" s="57">
        <f>IFERROR(__xludf.DUMMYFUNCTION("""COMPUTED_VALUE"""),0.5)</f>
        <v>0.5</v>
      </c>
      <c r="J2504" s="57">
        <f>IFERROR(__xludf.DUMMYFUNCTION("""COMPUTED_VALUE"""),3.97)</f>
        <v>3.97</v>
      </c>
      <c r="K2504" s="3"/>
      <c r="L2504" s="3"/>
      <c r="M2504" s="3"/>
      <c r="N2504" s="3"/>
      <c r="O2504" s="3"/>
      <c r="P2504" s="3"/>
      <c r="Q2504" s="3"/>
      <c r="R2504" s="3">
        <f>IFERROR(__xludf.DUMMYFUNCTION("""COMPUTED_VALUE"""),0.0)</f>
        <v>0</v>
      </c>
      <c r="S2504" s="3"/>
      <c r="T2504" s="5"/>
      <c r="U2504" s="5"/>
      <c r="V2504" s="5"/>
      <c r="W2504" s="5" t="str">
        <f>IFERROR(__xludf.DUMMYFUNCTION("""COMPUTED_VALUE"""),"Simon")</f>
        <v>Simon</v>
      </c>
    </row>
    <row r="2505" ht="15.75" customHeight="1">
      <c r="A2505" s="3">
        <f>IFERROR(__xludf.DUMMYFUNCTION("""COMPUTED_VALUE"""),2505.0)</f>
        <v>2505</v>
      </c>
      <c r="B2505" s="53">
        <f>IFERROR(__xludf.DUMMYFUNCTION("""COMPUTED_VALUE"""),46174.0)</f>
        <v>46174</v>
      </c>
      <c r="C2505" s="3">
        <f>IFERROR(__xludf.DUMMYFUNCTION("""COMPUTED_VALUE"""),52.0)</f>
        <v>52</v>
      </c>
      <c r="D2505" s="3" t="str">
        <f>IFERROR(__xludf.DUMMYFUNCTION("""COMPUTED_VALUE"""),"a73ae064")</f>
        <v>a73ae064</v>
      </c>
      <c r="E2505" s="54">
        <f>IFERROR(__xludf.DUMMYFUNCTION("""COMPUTED_VALUE"""),27000.0)</f>
        <v>27000</v>
      </c>
      <c r="F2505" s="3" t="str">
        <f>IFERROR(__xludf.DUMMYFUNCTION("""COMPUTED_VALUE"""),"Rosado Criolla")</f>
        <v>Rosado Criolla</v>
      </c>
      <c r="G2505" s="55">
        <f>IFERROR(__xludf.DUMMYFUNCTION("""COMPUTED_VALUE"""),12.6)</f>
        <v>12.6</v>
      </c>
      <c r="H2505" s="56">
        <f>IFERROR(__xludf.DUMMYFUNCTION("""COMPUTED_VALUE"""),2.51)</f>
        <v>2.51</v>
      </c>
      <c r="I2505" s="57">
        <f>IFERROR(__xludf.DUMMYFUNCTION("""COMPUTED_VALUE"""),0.33)</f>
        <v>0.33</v>
      </c>
      <c r="J2505" s="57">
        <f>IFERROR(__xludf.DUMMYFUNCTION("""COMPUTED_VALUE"""),5.62)</f>
        <v>5.62</v>
      </c>
      <c r="K2505" s="3"/>
      <c r="L2505" s="3"/>
      <c r="M2505" s="3"/>
      <c r="N2505" s="3"/>
      <c r="O2505" s="3"/>
      <c r="P2505" s="3"/>
      <c r="Q2505" s="3"/>
      <c r="R2505" s="3">
        <f>IFERROR(__xludf.DUMMYFUNCTION("""COMPUTED_VALUE"""),0.0)</f>
        <v>0</v>
      </c>
      <c r="S2505" s="3"/>
      <c r="T2505" s="5"/>
      <c r="U2505" s="5"/>
      <c r="V2505" s="5"/>
      <c r="W2505" s="5" t="str">
        <f>IFERROR(__xludf.DUMMYFUNCTION("""COMPUTED_VALUE"""),"Simon")</f>
        <v>Simon</v>
      </c>
    </row>
    <row r="2506" ht="15.75" customHeight="1">
      <c r="A2506" s="3">
        <f>IFERROR(__xludf.DUMMYFUNCTION("""COMPUTED_VALUE"""),2506.0)</f>
        <v>2506</v>
      </c>
      <c r="B2506" s="53">
        <f>IFERROR(__xludf.DUMMYFUNCTION("""COMPUTED_VALUE"""),46174.0)</f>
        <v>46174</v>
      </c>
      <c r="C2506" s="3">
        <f>IFERROR(__xludf.DUMMYFUNCTION("""COMPUTED_VALUE"""),53.0)</f>
        <v>53</v>
      </c>
      <c r="D2506" s="3" t="str">
        <f>IFERROR(__xludf.DUMMYFUNCTION("""COMPUTED_VALUE"""),"fc43a156")</f>
        <v>fc43a156</v>
      </c>
      <c r="E2506" s="54">
        <f>IFERROR(__xludf.DUMMYFUNCTION("""COMPUTED_VALUE"""),22000.0)</f>
        <v>22000</v>
      </c>
      <c r="F2506" s="3" t="str">
        <f>IFERROR(__xludf.DUMMYFUNCTION("""COMPUTED_VALUE"""),"Bonarda")</f>
        <v>Bonarda</v>
      </c>
      <c r="G2506" s="55">
        <f>IFERROR(__xludf.DUMMYFUNCTION("""COMPUTED_VALUE"""),13.1)</f>
        <v>13.1</v>
      </c>
      <c r="H2506" s="56">
        <f>IFERROR(__xludf.DUMMYFUNCTION("""COMPUTED_VALUE"""),2.99)</f>
        <v>2.99</v>
      </c>
      <c r="I2506" s="57">
        <f>IFERROR(__xludf.DUMMYFUNCTION("""COMPUTED_VALUE"""),0.34)</f>
        <v>0.34</v>
      </c>
      <c r="J2506" s="57">
        <f>IFERROR(__xludf.DUMMYFUNCTION("""COMPUTED_VALUE"""),5.47)</f>
        <v>5.47</v>
      </c>
      <c r="K2506" s="3"/>
      <c r="L2506" s="3"/>
      <c r="M2506" s="3"/>
      <c r="N2506" s="3"/>
      <c r="O2506" s="3"/>
      <c r="P2506" s="3"/>
      <c r="Q2506" s="3"/>
      <c r="R2506" s="3">
        <f>IFERROR(__xludf.DUMMYFUNCTION("""COMPUTED_VALUE"""),0.0)</f>
        <v>0</v>
      </c>
      <c r="S2506" s="3"/>
      <c r="T2506" s="5"/>
      <c r="U2506" s="5"/>
      <c r="V2506" s="5"/>
      <c r="W2506" s="5" t="str">
        <f>IFERROR(__xludf.DUMMYFUNCTION("""COMPUTED_VALUE"""),"Simon")</f>
        <v>Simon</v>
      </c>
    </row>
    <row r="2507" ht="15.75" customHeight="1">
      <c r="A2507" s="3">
        <f>IFERROR(__xludf.DUMMYFUNCTION("""COMPUTED_VALUE"""),2507.0)</f>
        <v>2507</v>
      </c>
      <c r="B2507" s="53">
        <f>IFERROR(__xludf.DUMMYFUNCTION("""COMPUTED_VALUE"""),46174.0)</f>
        <v>46174</v>
      </c>
      <c r="C2507" s="3">
        <f>IFERROR(__xludf.DUMMYFUNCTION("""COMPUTED_VALUE"""),82.0)</f>
        <v>82</v>
      </c>
      <c r="D2507" s="3" t="str">
        <f>IFERROR(__xludf.DUMMYFUNCTION("""COMPUTED_VALUE"""),"1615b136")</f>
        <v>1615b136</v>
      </c>
      <c r="E2507" s="54">
        <f>IFERROR(__xludf.DUMMYFUNCTION("""COMPUTED_VALUE"""),42600.0)</f>
        <v>42600</v>
      </c>
      <c r="F2507" s="3" t="str">
        <f>IFERROR(__xludf.DUMMYFUNCTION("""COMPUTED_VALUE"""),"Bonarda")</f>
        <v>Bonarda</v>
      </c>
      <c r="G2507" s="55">
        <f>IFERROR(__xludf.DUMMYFUNCTION("""COMPUTED_VALUE"""),12.7)</f>
        <v>12.7</v>
      </c>
      <c r="H2507" s="56">
        <f>IFERROR(__xludf.DUMMYFUNCTION("""COMPUTED_VALUE"""),2.3)</f>
        <v>2.3</v>
      </c>
      <c r="I2507" s="57">
        <f>IFERROR(__xludf.DUMMYFUNCTION("""COMPUTED_VALUE"""),0.45)</f>
        <v>0.45</v>
      </c>
      <c r="J2507" s="57">
        <f>IFERROR(__xludf.DUMMYFUNCTION("""COMPUTED_VALUE"""),5.02)</f>
        <v>5.02</v>
      </c>
      <c r="K2507" s="3"/>
      <c r="L2507" s="3"/>
      <c r="M2507" s="3"/>
      <c r="N2507" s="3"/>
      <c r="O2507" s="3"/>
      <c r="P2507" s="3"/>
      <c r="Q2507" s="3"/>
      <c r="R2507" s="3">
        <f>IFERROR(__xludf.DUMMYFUNCTION("""COMPUTED_VALUE"""),0.0)</f>
        <v>0</v>
      </c>
      <c r="S2507" s="3"/>
      <c r="T2507" s="5"/>
      <c r="U2507" s="5"/>
      <c r="V2507" s="5"/>
      <c r="W2507" s="5" t="str">
        <f>IFERROR(__xludf.DUMMYFUNCTION("""COMPUTED_VALUE"""),"Simon")</f>
        <v>Simon</v>
      </c>
    </row>
    <row r="2508" ht="15.75" customHeight="1">
      <c r="A2508" s="3">
        <f>IFERROR(__xludf.DUMMYFUNCTION("""COMPUTED_VALUE"""),2508.0)</f>
        <v>2508</v>
      </c>
      <c r="B2508" s="53">
        <f>IFERROR(__xludf.DUMMYFUNCTION("""COMPUTED_VALUE"""),46174.0)</f>
        <v>46174</v>
      </c>
      <c r="C2508" s="3">
        <f>IFERROR(__xludf.DUMMYFUNCTION("""COMPUTED_VALUE"""),83.0)</f>
        <v>83</v>
      </c>
      <c r="D2508" s="3" t="str">
        <f>IFERROR(__xludf.DUMMYFUNCTION("""COMPUTED_VALUE"""),"504737c2")</f>
        <v>504737c2</v>
      </c>
      <c r="E2508" s="54">
        <f>IFERROR(__xludf.DUMMYFUNCTION("""COMPUTED_VALUE"""),81500.0)</f>
        <v>81500</v>
      </c>
      <c r="F2508" s="3" t="str">
        <f>IFERROR(__xludf.DUMMYFUNCTION("""COMPUTED_VALUE"""),"Bonarda")</f>
        <v>Bonarda</v>
      </c>
      <c r="G2508" s="55">
        <f>IFERROR(__xludf.DUMMYFUNCTION("""COMPUTED_VALUE"""),13.5)</f>
        <v>13.5</v>
      </c>
      <c r="H2508" s="56">
        <f>IFERROR(__xludf.DUMMYFUNCTION("""COMPUTED_VALUE"""),3.22)</f>
        <v>3.22</v>
      </c>
      <c r="I2508" s="57">
        <f>IFERROR(__xludf.DUMMYFUNCTION("""COMPUTED_VALUE"""),0.42)</f>
        <v>0.42</v>
      </c>
      <c r="J2508" s="57">
        <f>IFERROR(__xludf.DUMMYFUNCTION("""COMPUTED_VALUE"""),5.32)</f>
        <v>5.32</v>
      </c>
      <c r="K2508" s="3"/>
      <c r="L2508" s="3"/>
      <c r="M2508" s="3"/>
      <c r="N2508" s="3"/>
      <c r="O2508" s="3"/>
      <c r="P2508" s="3"/>
      <c r="Q2508" s="3"/>
      <c r="R2508" s="3">
        <f>IFERROR(__xludf.DUMMYFUNCTION("""COMPUTED_VALUE"""),0.0)</f>
        <v>0</v>
      </c>
      <c r="S2508" s="3"/>
      <c r="T2508" s="5"/>
      <c r="U2508" s="5"/>
      <c r="V2508" s="5"/>
      <c r="W2508" s="5" t="str">
        <f>IFERROR(__xludf.DUMMYFUNCTION("""COMPUTED_VALUE"""),"Simon")</f>
        <v>Simon</v>
      </c>
    </row>
    <row r="2509" ht="15.75" customHeight="1">
      <c r="A2509" s="3">
        <f>IFERROR(__xludf.DUMMYFUNCTION("""COMPUTED_VALUE"""),2509.0)</f>
        <v>2509</v>
      </c>
      <c r="B2509" s="53">
        <f>IFERROR(__xludf.DUMMYFUNCTION("""COMPUTED_VALUE"""),46174.0)</f>
        <v>46174</v>
      </c>
      <c r="C2509" s="3">
        <f>IFERROR(__xludf.DUMMYFUNCTION("""COMPUTED_VALUE"""),87.0)</f>
        <v>87</v>
      </c>
      <c r="D2509" s="3" t="str">
        <f>IFERROR(__xludf.DUMMYFUNCTION("""COMPUTED_VALUE"""),"82f4d0f6")</f>
        <v>82f4d0f6</v>
      </c>
      <c r="E2509" s="54">
        <f>IFERROR(__xludf.DUMMYFUNCTION("""COMPUTED_VALUE"""),92700.0)</f>
        <v>92700</v>
      </c>
      <c r="F2509" s="3" t="str">
        <f>IFERROR(__xludf.DUMMYFUNCTION("""COMPUTED_VALUE"""),"Criolla Recarga")</f>
        <v>Criolla Recarga</v>
      </c>
      <c r="G2509" s="55">
        <f>IFERROR(__xludf.DUMMYFUNCTION("""COMPUTED_VALUE"""),13.8)</f>
        <v>13.8</v>
      </c>
      <c r="H2509" s="56">
        <f>IFERROR(__xludf.DUMMYFUNCTION("""COMPUTED_VALUE"""),3.46)</f>
        <v>3.46</v>
      </c>
      <c r="I2509" s="57">
        <f>IFERROR(__xludf.DUMMYFUNCTION("""COMPUTED_VALUE"""),0.52)</f>
        <v>0.52</v>
      </c>
      <c r="J2509" s="57">
        <f>IFERROR(__xludf.DUMMYFUNCTION("""COMPUTED_VALUE"""),4.2)</f>
        <v>4.2</v>
      </c>
      <c r="K2509" s="3"/>
      <c r="L2509" s="3"/>
      <c r="M2509" s="3"/>
      <c r="N2509" s="3"/>
      <c r="O2509" s="3"/>
      <c r="P2509" s="3"/>
      <c r="Q2509" s="3"/>
      <c r="R2509" s="3">
        <f>IFERROR(__xludf.DUMMYFUNCTION("""COMPUTED_VALUE"""),0.0)</f>
        <v>0</v>
      </c>
      <c r="S2509" s="3"/>
      <c r="T2509" s="5"/>
      <c r="U2509" s="5"/>
      <c r="V2509" s="5"/>
      <c r="W2509" s="5" t="str">
        <f>IFERROR(__xludf.DUMMYFUNCTION("""COMPUTED_VALUE"""),"Simon")</f>
        <v>Simon</v>
      </c>
    </row>
    <row r="2510" ht="15.75" customHeight="1">
      <c r="A2510" s="3">
        <f>IFERROR(__xludf.DUMMYFUNCTION("""COMPUTED_VALUE"""),2510.0)</f>
        <v>2510</v>
      </c>
      <c r="B2510" s="53">
        <f>IFERROR(__xludf.DUMMYFUNCTION("""COMPUTED_VALUE"""),46174.0)</f>
        <v>46174</v>
      </c>
      <c r="C2510" s="3">
        <f>IFERROR(__xludf.DUMMYFUNCTION("""COMPUTED_VALUE"""),92.0)</f>
        <v>92</v>
      </c>
      <c r="D2510" s="3" t="str">
        <f>IFERROR(__xludf.DUMMYFUNCTION("""COMPUTED_VALUE"""),"a18af5bc")</f>
        <v>a18af5bc</v>
      </c>
      <c r="E2510" s="54">
        <f>IFERROR(__xludf.DUMMYFUNCTION("""COMPUTED_VALUE"""),76000.0)</f>
        <v>76000</v>
      </c>
      <c r="F2510" s="3" t="str">
        <f>IFERROR(__xludf.DUMMYFUNCTION("""COMPUTED_VALUE"""),"Criolla Recarga")</f>
        <v>Criolla Recarga</v>
      </c>
      <c r="G2510" s="55">
        <f>IFERROR(__xludf.DUMMYFUNCTION("""COMPUTED_VALUE"""),13.3)</f>
        <v>13.3</v>
      </c>
      <c r="H2510" s="56">
        <f>IFERROR(__xludf.DUMMYFUNCTION("""COMPUTED_VALUE"""),1.91)</f>
        <v>1.91</v>
      </c>
      <c r="I2510" s="57">
        <f>IFERROR(__xludf.DUMMYFUNCTION("""COMPUTED_VALUE"""),0.46)</f>
        <v>0.46</v>
      </c>
      <c r="J2510" s="57">
        <f>IFERROR(__xludf.DUMMYFUNCTION("""COMPUTED_VALUE"""),4.27)</f>
        <v>4.27</v>
      </c>
      <c r="K2510" s="3"/>
      <c r="L2510" s="3"/>
      <c r="M2510" s="3"/>
      <c r="N2510" s="3"/>
      <c r="O2510" s="3"/>
      <c r="P2510" s="3"/>
      <c r="Q2510" s="3"/>
      <c r="R2510" s="3">
        <f>IFERROR(__xludf.DUMMYFUNCTION("""COMPUTED_VALUE"""),0.0)</f>
        <v>0</v>
      </c>
      <c r="S2510" s="3"/>
      <c r="T2510" s="5"/>
      <c r="U2510" s="5"/>
      <c r="V2510" s="5"/>
      <c r="W2510" s="5" t="str">
        <f>IFERROR(__xludf.DUMMYFUNCTION("""COMPUTED_VALUE"""),"Simon")</f>
        <v>Simon</v>
      </c>
    </row>
    <row r="2511" ht="15.75" customHeight="1">
      <c r="A2511" s="3">
        <f>IFERROR(__xludf.DUMMYFUNCTION("""COMPUTED_VALUE"""),2511.0)</f>
        <v>2511</v>
      </c>
      <c r="B2511" s="53">
        <f>IFERROR(__xludf.DUMMYFUNCTION("""COMPUTED_VALUE"""),46174.0)</f>
        <v>46174</v>
      </c>
      <c r="C2511" s="3">
        <f>IFERROR(__xludf.DUMMYFUNCTION("""COMPUTED_VALUE"""),96.0)</f>
        <v>96</v>
      </c>
      <c r="D2511" s="3" t="str">
        <f>IFERROR(__xludf.DUMMYFUNCTION("""COMPUTED_VALUE"""),"05b3155b")</f>
        <v>05b3155b</v>
      </c>
      <c r="E2511" s="54">
        <f>IFERROR(__xludf.DUMMYFUNCTION("""COMPUTED_VALUE"""),85600.0)</f>
        <v>85600</v>
      </c>
      <c r="F2511" s="3" t="str">
        <f>IFERROR(__xludf.DUMMYFUNCTION("""COMPUTED_VALUE"""),"Bonarda")</f>
        <v>Bonarda</v>
      </c>
      <c r="G2511" s="55">
        <f>IFERROR(__xludf.DUMMYFUNCTION("""COMPUTED_VALUE"""),13.0)</f>
        <v>13</v>
      </c>
      <c r="H2511" s="56">
        <f>IFERROR(__xludf.DUMMYFUNCTION("""COMPUTED_VALUE"""),2.01)</f>
        <v>2.01</v>
      </c>
      <c r="I2511" s="57">
        <f>IFERROR(__xludf.DUMMYFUNCTION("""COMPUTED_VALUE"""),0.54)</f>
        <v>0.54</v>
      </c>
      <c r="J2511" s="57">
        <f>IFERROR(__xludf.DUMMYFUNCTION("""COMPUTED_VALUE"""),4.95)</f>
        <v>4.95</v>
      </c>
      <c r="K2511" s="3"/>
      <c r="L2511" s="3"/>
      <c r="M2511" s="3"/>
      <c r="N2511" s="3"/>
      <c r="O2511" s="3"/>
      <c r="P2511" s="3"/>
      <c r="Q2511" s="3"/>
      <c r="R2511" s="3">
        <f>IFERROR(__xludf.DUMMYFUNCTION("""COMPUTED_VALUE"""),0.0)</f>
        <v>0</v>
      </c>
      <c r="S2511" s="3"/>
      <c r="T2511" s="5"/>
      <c r="U2511" s="5"/>
      <c r="V2511" s="5"/>
      <c r="W2511" s="5" t="str">
        <f>IFERROR(__xludf.DUMMYFUNCTION("""COMPUTED_VALUE"""),"Simon")</f>
        <v>Simon</v>
      </c>
    </row>
    <row r="2512" ht="15.75" customHeight="1">
      <c r="A2512" s="3">
        <f>IFERROR(__xludf.DUMMYFUNCTION("""COMPUTED_VALUE"""),2512.0)</f>
        <v>2512</v>
      </c>
      <c r="B2512" s="53">
        <f>IFERROR(__xludf.DUMMYFUNCTION("""COMPUTED_VALUE"""),46174.0)</f>
        <v>46174</v>
      </c>
      <c r="C2512" s="3">
        <f>IFERROR(__xludf.DUMMYFUNCTION("""COMPUTED_VALUE"""),109.0)</f>
        <v>109</v>
      </c>
      <c r="D2512" s="3" t="str">
        <f>IFERROR(__xludf.DUMMYFUNCTION("""COMPUTED_VALUE"""),"36c93198")</f>
        <v>36c93198</v>
      </c>
      <c r="E2512" s="54">
        <f>IFERROR(__xludf.DUMMYFUNCTION("""COMPUTED_VALUE"""),15600.0)</f>
        <v>15600</v>
      </c>
      <c r="F2512" s="3" t="str">
        <f>IFERROR(__xludf.DUMMYFUNCTION("""COMPUTED_VALUE"""),"Anccellota Aspirant Rect")</f>
        <v>Anccellota Aspirant Rect</v>
      </c>
      <c r="G2512" s="55">
        <f>IFERROR(__xludf.DUMMYFUNCTION("""COMPUTED_VALUE"""),12.9)</f>
        <v>12.9</v>
      </c>
      <c r="H2512" s="56">
        <f>IFERROR(__xludf.DUMMYFUNCTION("""COMPUTED_VALUE"""),2.19)</f>
        <v>2.19</v>
      </c>
      <c r="I2512" s="57">
        <f>IFERROR(__xludf.DUMMYFUNCTION("""COMPUTED_VALUE"""),0.41)</f>
        <v>0.41</v>
      </c>
      <c r="J2512" s="57">
        <f>IFERROR(__xludf.DUMMYFUNCTION("""COMPUTED_VALUE"""),6.97)</f>
        <v>6.97</v>
      </c>
      <c r="K2512" s="3"/>
      <c r="L2512" s="3"/>
      <c r="M2512" s="3"/>
      <c r="N2512" s="3"/>
      <c r="O2512" s="3"/>
      <c r="P2512" s="3"/>
      <c r="Q2512" s="3"/>
      <c r="R2512" s="3">
        <f>IFERROR(__xludf.DUMMYFUNCTION("""COMPUTED_VALUE"""),0.0)</f>
        <v>0</v>
      </c>
      <c r="S2512" s="3"/>
      <c r="T2512" s="5"/>
      <c r="U2512" s="5"/>
      <c r="V2512" s="5"/>
      <c r="W2512" s="5" t="str">
        <f>IFERROR(__xludf.DUMMYFUNCTION("""COMPUTED_VALUE"""),"Simon")</f>
        <v>Simon</v>
      </c>
    </row>
    <row r="2513" ht="15.75" customHeight="1">
      <c r="A2513" s="3">
        <f>IFERROR(__xludf.DUMMYFUNCTION("""COMPUTED_VALUE"""),2513.0)</f>
        <v>2513</v>
      </c>
      <c r="B2513" s="53">
        <f>IFERROR(__xludf.DUMMYFUNCTION("""COMPUTED_VALUE"""),46174.0)</f>
        <v>46174</v>
      </c>
      <c r="C2513" s="3">
        <f>IFERROR(__xludf.DUMMYFUNCTION("""COMPUTED_VALUE"""),110.0)</f>
        <v>110</v>
      </c>
      <c r="D2513" s="3" t="str">
        <f>IFERROR(__xludf.DUMMYFUNCTION("""COMPUTED_VALUE"""),"436f0ad4")</f>
        <v>436f0ad4</v>
      </c>
      <c r="E2513" s="54">
        <f>IFERROR(__xludf.DUMMYFUNCTION("""COMPUTED_VALUE"""),15600.0)</f>
        <v>15600</v>
      </c>
      <c r="F2513" s="3" t="str">
        <f>IFERROR(__xludf.DUMMYFUNCTION("""COMPUTED_VALUE"""),"Anccellota Aspirant Rect")</f>
        <v>Anccellota Aspirant Rect</v>
      </c>
      <c r="G2513" s="55">
        <f>IFERROR(__xludf.DUMMYFUNCTION("""COMPUTED_VALUE"""),12.8)</f>
        <v>12.8</v>
      </c>
      <c r="H2513" s="56">
        <f>IFERROR(__xludf.DUMMYFUNCTION("""COMPUTED_VALUE"""),2.37)</f>
        <v>2.37</v>
      </c>
      <c r="I2513" s="57">
        <f>IFERROR(__xludf.DUMMYFUNCTION("""COMPUTED_VALUE"""),0.4)</f>
        <v>0.4</v>
      </c>
      <c r="J2513" s="57">
        <f>IFERROR(__xludf.DUMMYFUNCTION("""COMPUTED_VALUE"""),7.12)</f>
        <v>7.12</v>
      </c>
      <c r="K2513" s="3"/>
      <c r="L2513" s="3"/>
      <c r="M2513" s="3"/>
      <c r="N2513" s="3"/>
      <c r="O2513" s="3"/>
      <c r="P2513" s="3"/>
      <c r="Q2513" s="3"/>
      <c r="R2513" s="3">
        <f>IFERROR(__xludf.DUMMYFUNCTION("""COMPUTED_VALUE"""),0.0)</f>
        <v>0</v>
      </c>
      <c r="S2513" s="3"/>
      <c r="T2513" s="5"/>
      <c r="U2513" s="5"/>
      <c r="V2513" s="5"/>
      <c r="W2513" s="5" t="str">
        <f>IFERROR(__xludf.DUMMYFUNCTION("""COMPUTED_VALUE"""),"Simon")</f>
        <v>Simon</v>
      </c>
    </row>
    <row r="2514" ht="15.75" customHeight="1">
      <c r="A2514" s="3">
        <f>IFERROR(__xludf.DUMMYFUNCTION("""COMPUTED_VALUE"""),2514.0)</f>
        <v>2514</v>
      </c>
      <c r="B2514" s="53">
        <f>IFERROR(__xludf.DUMMYFUNCTION("""COMPUTED_VALUE"""),46174.0)</f>
        <v>46174</v>
      </c>
      <c r="C2514" s="3">
        <f>IFERROR(__xludf.DUMMYFUNCTION("""COMPUTED_VALUE"""),127.0)</f>
        <v>127</v>
      </c>
      <c r="D2514" s="3" t="str">
        <f>IFERROR(__xludf.DUMMYFUNCTION("""COMPUTED_VALUE"""),"d3010d76")</f>
        <v>d3010d76</v>
      </c>
      <c r="E2514" s="54">
        <f>IFERROR(__xludf.DUMMYFUNCTION("""COMPUTED_VALUE"""),31000.0)</f>
        <v>31000</v>
      </c>
      <c r="F2514" s="3" t="str">
        <f>IFERROR(__xludf.DUMMYFUNCTION("""COMPUTED_VALUE"""),"Malbec")</f>
        <v>Malbec</v>
      </c>
      <c r="G2514" s="55">
        <f>IFERROR(__xludf.DUMMYFUNCTION("""COMPUTED_VALUE"""),13.5)</f>
        <v>13.5</v>
      </c>
      <c r="H2514" s="56">
        <f>IFERROR(__xludf.DUMMYFUNCTION("""COMPUTED_VALUE"""),2.81)</f>
        <v>2.81</v>
      </c>
      <c r="I2514" s="57">
        <f>IFERROR(__xludf.DUMMYFUNCTION("""COMPUTED_VALUE"""),0.46)</f>
        <v>0.46</v>
      </c>
      <c r="J2514" s="57">
        <f>IFERROR(__xludf.DUMMYFUNCTION("""COMPUTED_VALUE"""),5.85)</f>
        <v>5.85</v>
      </c>
      <c r="K2514" s="3"/>
      <c r="L2514" s="3"/>
      <c r="M2514" s="3"/>
      <c r="N2514" s="3"/>
      <c r="O2514" s="3"/>
      <c r="P2514" s="3"/>
      <c r="Q2514" s="3"/>
      <c r="R2514" s="3">
        <f>IFERROR(__xludf.DUMMYFUNCTION("""COMPUTED_VALUE"""),0.0)</f>
        <v>0</v>
      </c>
      <c r="S2514" s="3"/>
      <c r="T2514" s="5"/>
      <c r="U2514" s="5"/>
      <c r="V2514" s="5"/>
      <c r="W2514" s="5" t="str">
        <f>IFERROR(__xludf.DUMMYFUNCTION("""COMPUTED_VALUE"""),"Simon")</f>
        <v>Simon</v>
      </c>
    </row>
    <row r="2515" ht="15.75" customHeight="1">
      <c r="A2515" s="3">
        <f>IFERROR(__xludf.DUMMYFUNCTION("""COMPUTED_VALUE"""),2515.0)</f>
        <v>2515</v>
      </c>
      <c r="B2515" s="53">
        <f>IFERROR(__xludf.DUMMYFUNCTION("""COMPUTED_VALUE"""),46175.0)</f>
        <v>46175</v>
      </c>
      <c r="C2515" s="3">
        <f>IFERROR(__xludf.DUMMYFUNCTION("""COMPUTED_VALUE"""),118.0)</f>
        <v>118</v>
      </c>
      <c r="D2515" s="3" t="str">
        <f>IFERROR(__xludf.DUMMYFUNCTION("""COMPUTED_VALUE"""),"9bb0e06f")</f>
        <v>9bb0e06f</v>
      </c>
      <c r="E2515" s="54">
        <f>IFERROR(__xludf.DUMMYFUNCTION("""COMPUTED_VALUE"""),130000.0)</f>
        <v>130000</v>
      </c>
      <c r="F2515" s="3" t="str">
        <f>IFERROR(__xludf.DUMMYFUNCTION("""COMPUTED_VALUE"""),"Rat Malbec Lopez")</f>
        <v>Rat Malbec Lopez</v>
      </c>
      <c r="G2515" s="55">
        <f>IFERROR(__xludf.DUMMYFUNCTION("""COMPUTED_VALUE"""),13.4)</f>
        <v>13.4</v>
      </c>
      <c r="H2515" s="56">
        <f>IFERROR(__xludf.DUMMYFUNCTION("""COMPUTED_VALUE"""),3.0)</f>
        <v>3</v>
      </c>
      <c r="I2515" s="57">
        <f>IFERROR(__xludf.DUMMYFUNCTION("""COMPUTED_VALUE"""),0.48)</f>
        <v>0.48</v>
      </c>
      <c r="J2515" s="57">
        <f>IFERROR(__xludf.DUMMYFUNCTION("""COMPUTED_VALUE"""),5.0)</f>
        <v>5</v>
      </c>
      <c r="K2515" s="3"/>
      <c r="L2515" s="54">
        <f>IFERROR(__xludf.DUMMYFUNCTION("""COMPUTED_VALUE"""),40.0)</f>
        <v>40</v>
      </c>
      <c r="M2515" s="3">
        <f>IFERROR(__xludf.DUMMYFUNCTION("""COMPUTED_VALUE"""),124.0)</f>
        <v>124</v>
      </c>
      <c r="N2515" s="3"/>
      <c r="O2515" s="3">
        <f>IFERROR(__xludf.DUMMYFUNCTION("""COMPUTED_VALUE"""),329.0)</f>
        <v>329</v>
      </c>
      <c r="P2515" s="3">
        <f>IFERROR(__xludf.DUMMYFUNCTION("""COMPUTED_VALUE"""),544.0)</f>
        <v>544</v>
      </c>
      <c r="Q2515" s="3"/>
      <c r="R2515" s="3">
        <f>IFERROR(__xludf.DUMMYFUNCTION("""COMPUTED_VALUE"""),873.0)</f>
        <v>873</v>
      </c>
      <c r="S2515" s="54">
        <f>IFERROR(__xludf.DUMMYFUNCTION("""COMPUTED_VALUE"""),1443.501519756839)</f>
        <v>1443.50152</v>
      </c>
      <c r="T2515" s="5"/>
      <c r="U2515" s="5"/>
      <c r="V2515" s="5"/>
      <c r="W2515" s="5"/>
    </row>
    <row r="2516" ht="15.75" customHeight="1">
      <c r="A2516" s="3">
        <f>IFERROR(__xludf.DUMMYFUNCTION("""COMPUTED_VALUE"""),2516.0)</f>
        <v>2516</v>
      </c>
      <c r="B2516" s="53">
        <f>IFERROR(__xludf.DUMMYFUNCTION("""COMPUTED_VALUE"""),46176.0)</f>
        <v>46176</v>
      </c>
      <c r="C2516" s="3">
        <f>IFERROR(__xludf.DUMMYFUNCTION("""COMPUTED_VALUE"""),10.0)</f>
        <v>10</v>
      </c>
      <c r="D2516" s="3"/>
      <c r="E2516" s="3"/>
      <c r="F2516" s="3" t="str">
        <f>IFERROR(__xludf.DUMMYFUNCTION("""COMPUTED_VALUE"""),"syrah rectificado")</f>
        <v>syrah rectificado</v>
      </c>
      <c r="G2516" s="3"/>
      <c r="H2516" s="3"/>
      <c r="I2516" s="3"/>
      <c r="J2516" s="3"/>
      <c r="K2516" s="57">
        <f>IFERROR(__xludf.DUMMYFUNCTION("""COMPUTED_VALUE"""),2.61)</f>
        <v>2.61</v>
      </c>
      <c r="L2516" s="3"/>
      <c r="M2516" s="3"/>
      <c r="N2516" s="3"/>
      <c r="O2516" s="3"/>
      <c r="P2516" s="3"/>
      <c r="Q2516" s="3"/>
      <c r="R2516" s="3">
        <f>IFERROR(__xludf.DUMMYFUNCTION("""COMPUTED_VALUE"""),0.0)</f>
        <v>0</v>
      </c>
      <c r="S2516" s="3"/>
      <c r="T2516" s="5"/>
      <c r="U2516" s="5"/>
      <c r="V2516" s="5"/>
      <c r="W2516" s="5"/>
    </row>
    <row r="2517" ht="15.75" customHeight="1">
      <c r="A2517" s="3">
        <f>IFERROR(__xludf.DUMMYFUNCTION("""COMPUTED_VALUE"""),2517.0)</f>
        <v>2517</v>
      </c>
      <c r="B2517" s="53">
        <f>IFERROR(__xludf.DUMMYFUNCTION("""COMPUTED_VALUE"""),46176.0)</f>
        <v>46176</v>
      </c>
      <c r="C2517" s="3">
        <f>IFERROR(__xludf.DUMMYFUNCTION("""COMPUTED_VALUE"""),34.0)</f>
        <v>34</v>
      </c>
      <c r="D2517" s="3" t="str">
        <f>IFERROR(__xludf.DUMMYFUNCTION("""COMPUTED_VALUE"""),"a624c62b")</f>
        <v>a624c62b</v>
      </c>
      <c r="E2517" s="54">
        <f>IFERROR(__xludf.DUMMYFUNCTION("""COMPUTED_VALUE"""),39300.0)</f>
        <v>39300</v>
      </c>
      <c r="F2517" s="3" t="str">
        <f>IFERROR(__xludf.DUMMYFUNCTION("""COMPUTED_VALUE"""),"Malbec Veg")</f>
        <v>Malbec Veg</v>
      </c>
      <c r="G2517" s="3"/>
      <c r="H2517" s="3"/>
      <c r="I2517" s="3"/>
      <c r="J2517" s="3"/>
      <c r="K2517" s="57">
        <f>IFERROR(__xludf.DUMMYFUNCTION("""COMPUTED_VALUE"""),4.05)</f>
        <v>4.05</v>
      </c>
      <c r="L2517" s="54">
        <f>IFERROR(__xludf.DUMMYFUNCTION("""COMPUTED_VALUE"""),39.0)</f>
        <v>39</v>
      </c>
      <c r="M2517" s="3">
        <f>IFERROR(__xludf.DUMMYFUNCTION("""COMPUTED_VALUE"""),96.0)</f>
        <v>96</v>
      </c>
      <c r="N2517" s="3"/>
      <c r="O2517" s="3"/>
      <c r="P2517" s="3"/>
      <c r="Q2517" s="3"/>
      <c r="R2517" s="3">
        <f>IFERROR(__xludf.DUMMYFUNCTION("""COMPUTED_VALUE"""),0.0)</f>
        <v>0</v>
      </c>
      <c r="S2517" s="3"/>
      <c r="T2517" s="5"/>
      <c r="U2517" s="5"/>
      <c r="V2517" s="5"/>
      <c r="W2517" s="5"/>
    </row>
    <row r="2518" ht="15.75" customHeight="1">
      <c r="A2518" s="3">
        <f>IFERROR(__xludf.DUMMYFUNCTION("""COMPUTED_VALUE"""),2518.0)</f>
        <v>2518</v>
      </c>
      <c r="B2518" s="53">
        <f>IFERROR(__xludf.DUMMYFUNCTION("""COMPUTED_VALUE"""),46176.0)</f>
        <v>46176</v>
      </c>
      <c r="C2518" s="3">
        <f>IFERROR(__xludf.DUMMYFUNCTION("""COMPUTED_VALUE"""),80.0)</f>
        <v>80</v>
      </c>
      <c r="D2518" s="3"/>
      <c r="E2518" s="3"/>
      <c r="F2518" s="3"/>
      <c r="G2518" s="3"/>
      <c r="H2518" s="3"/>
      <c r="I2518" s="3"/>
      <c r="J2518" s="3"/>
      <c r="K2518" s="57">
        <f>IFERROR(__xludf.DUMMYFUNCTION("""COMPUTED_VALUE"""),3.69)</f>
        <v>3.69</v>
      </c>
      <c r="L2518" s="54">
        <f>IFERROR(__xludf.DUMMYFUNCTION("""COMPUTED_VALUE"""),57.0)</f>
        <v>57</v>
      </c>
      <c r="M2518" s="3">
        <f>IFERROR(__xludf.DUMMYFUNCTION("""COMPUTED_VALUE"""),83.0)</f>
        <v>83</v>
      </c>
      <c r="N2518" s="3"/>
      <c r="O2518" s="3"/>
      <c r="P2518" s="3"/>
      <c r="Q2518" s="3"/>
      <c r="R2518" s="3">
        <f>IFERROR(__xludf.DUMMYFUNCTION("""COMPUTED_VALUE"""),0.0)</f>
        <v>0</v>
      </c>
      <c r="S2518" s="3"/>
      <c r="T2518" s="5"/>
      <c r="U2518" s="5"/>
      <c r="V2518" s="5"/>
      <c r="W2518" s="5"/>
    </row>
    <row r="2519" ht="15.75" customHeight="1">
      <c r="A2519" s="3">
        <f>IFERROR(__xludf.DUMMYFUNCTION("""COMPUTED_VALUE"""),2519.0)</f>
        <v>2519</v>
      </c>
      <c r="B2519" s="53">
        <f>IFERROR(__xludf.DUMMYFUNCTION("""COMPUTED_VALUE"""),46176.0)</f>
        <v>46176</v>
      </c>
      <c r="C2519" s="3">
        <f>IFERROR(__xludf.DUMMYFUNCTION("""COMPUTED_VALUE"""),126.0)</f>
        <v>126</v>
      </c>
      <c r="D2519" s="3"/>
      <c r="E2519" s="3"/>
      <c r="F2519" s="3"/>
      <c r="G2519" s="3"/>
      <c r="H2519" s="3"/>
      <c r="I2519" s="3"/>
      <c r="J2519" s="3"/>
      <c r="K2519" s="57">
        <f>IFERROR(__xludf.DUMMYFUNCTION("""COMPUTED_VALUE"""),3.91)</f>
        <v>3.91</v>
      </c>
      <c r="L2519" s="54">
        <f>IFERROR(__xludf.DUMMYFUNCTION("""COMPUTED_VALUE"""),45.0)</f>
        <v>45</v>
      </c>
      <c r="M2519" s="3">
        <f>IFERROR(__xludf.DUMMYFUNCTION("""COMPUTED_VALUE"""),93.0)</f>
        <v>93</v>
      </c>
      <c r="N2519" s="3"/>
      <c r="O2519" s="3"/>
      <c r="P2519" s="3"/>
      <c r="Q2519" s="3"/>
      <c r="R2519" s="3">
        <f>IFERROR(__xludf.DUMMYFUNCTION("""COMPUTED_VALUE"""),0.0)</f>
        <v>0</v>
      </c>
      <c r="S2519" s="3"/>
      <c r="T2519" s="5"/>
      <c r="U2519" s="5"/>
      <c r="V2519" s="5"/>
      <c r="W2519" s="5"/>
    </row>
    <row r="2520" ht="15.75" customHeight="1">
      <c r="A2520" s="3">
        <f>IFERROR(__xludf.DUMMYFUNCTION("""COMPUTED_VALUE"""),2520.0)</f>
        <v>2520</v>
      </c>
      <c r="B2520" s="53">
        <f>IFERROR(__xludf.DUMMYFUNCTION("""COMPUTED_VALUE"""),46176.0)</f>
        <v>46176</v>
      </c>
      <c r="C2520" s="3">
        <f>IFERROR(__xludf.DUMMYFUNCTION("""COMPUTED_VALUE"""),78.0)</f>
        <v>78</v>
      </c>
      <c r="D2520" s="3" t="str">
        <f>IFERROR(__xludf.DUMMYFUNCTION("""COMPUTED_VALUE"""),"adf438f1")</f>
        <v>adf438f1</v>
      </c>
      <c r="E2520" s="54">
        <f>IFERROR(__xludf.DUMMYFUNCTION("""COMPUTED_VALUE"""),25800.0)</f>
        <v>25800</v>
      </c>
      <c r="F2520" s="3" t="str">
        <f>IFERROR(__xludf.DUMMYFUNCTION("""COMPUTED_VALUE"""),"Syrah s/Asp 2")</f>
        <v>Syrah s/Asp 2</v>
      </c>
      <c r="G2520" s="3"/>
      <c r="H2520" s="3"/>
      <c r="I2520" s="3"/>
      <c r="J2520" s="3"/>
      <c r="K2520" s="57">
        <f>IFERROR(__xludf.DUMMYFUNCTION("""COMPUTED_VALUE"""),3.73)</f>
        <v>3.73</v>
      </c>
      <c r="L2520" s="54">
        <f>IFERROR(__xludf.DUMMYFUNCTION("""COMPUTED_VALUE"""),51.0)</f>
        <v>51</v>
      </c>
      <c r="M2520" s="3">
        <f>IFERROR(__xludf.DUMMYFUNCTION("""COMPUTED_VALUE"""),96.0)</f>
        <v>96</v>
      </c>
      <c r="N2520" s="3"/>
      <c r="O2520" s="3"/>
      <c r="P2520" s="3"/>
      <c r="Q2520" s="3"/>
      <c r="R2520" s="3">
        <f>IFERROR(__xludf.DUMMYFUNCTION("""COMPUTED_VALUE"""),0.0)</f>
        <v>0</v>
      </c>
      <c r="S2520" s="3"/>
      <c r="T2520" s="5"/>
      <c r="U2520" s="5"/>
      <c r="V2520" s="5"/>
      <c r="W2520" s="5"/>
    </row>
    <row r="2521" ht="15.75" customHeight="1">
      <c r="A2521" s="3">
        <f>IFERROR(__xludf.DUMMYFUNCTION("""COMPUTED_VALUE"""),2521.0)</f>
        <v>2521</v>
      </c>
      <c r="B2521" s="53">
        <f>IFERROR(__xludf.DUMMYFUNCTION("""COMPUTED_VALUE"""),46176.0)</f>
        <v>46176</v>
      </c>
      <c r="C2521" s="3">
        <f>IFERROR(__xludf.DUMMYFUNCTION("""COMPUTED_VALUE"""),11.0)</f>
        <v>11</v>
      </c>
      <c r="D2521" s="3" t="str">
        <f>IFERROR(__xludf.DUMMYFUNCTION("""COMPUTED_VALUE"""),"fbf098ee")</f>
        <v>fbf098ee</v>
      </c>
      <c r="E2521" s="54">
        <f>IFERROR(__xludf.DUMMYFUNCTION("""COMPUTED_VALUE"""),36000.0)</f>
        <v>36000</v>
      </c>
      <c r="F2521" s="3" t="str">
        <f>IFERROR(__xludf.DUMMYFUNCTION("""COMPUTED_VALUE"""),"Cabernet Sauv G")</f>
        <v>Cabernet Sauv G</v>
      </c>
      <c r="G2521" s="3"/>
      <c r="H2521" s="3"/>
      <c r="I2521" s="3"/>
      <c r="J2521" s="3"/>
      <c r="K2521" s="57">
        <f>IFERROR(__xludf.DUMMYFUNCTION("""COMPUTED_VALUE"""),4.1)</f>
        <v>4.1</v>
      </c>
      <c r="L2521" s="54">
        <f>IFERROR(__xludf.DUMMYFUNCTION("""COMPUTED_VALUE"""),38.0)</f>
        <v>38</v>
      </c>
      <c r="M2521" s="3">
        <f>IFERROR(__xludf.DUMMYFUNCTION("""COMPUTED_VALUE"""),90.0)</f>
        <v>90</v>
      </c>
      <c r="N2521" s="3"/>
      <c r="O2521" s="3"/>
      <c r="P2521" s="3"/>
      <c r="Q2521" s="3"/>
      <c r="R2521" s="3">
        <f>IFERROR(__xludf.DUMMYFUNCTION("""COMPUTED_VALUE"""),0.0)</f>
        <v>0</v>
      </c>
      <c r="S2521" s="3"/>
      <c r="T2521" s="5"/>
      <c r="U2521" s="5"/>
      <c r="V2521" s="5"/>
      <c r="W2521" s="5"/>
    </row>
    <row r="2522" ht="15.75" customHeight="1">
      <c r="A2522" s="3">
        <f>IFERROR(__xludf.DUMMYFUNCTION("""COMPUTED_VALUE"""),2522.0)</f>
        <v>2522</v>
      </c>
      <c r="B2522" s="53">
        <f>IFERROR(__xludf.DUMMYFUNCTION("""COMPUTED_VALUE"""),46176.0)</f>
        <v>46176</v>
      </c>
      <c r="C2522" s="3">
        <f>IFERROR(__xludf.DUMMYFUNCTION("""COMPUTED_VALUE"""),47.0)</f>
        <v>47</v>
      </c>
      <c r="D2522" s="3"/>
      <c r="E2522" s="3"/>
      <c r="F2522" s="3"/>
      <c r="G2522" s="3"/>
      <c r="H2522" s="3"/>
      <c r="I2522" s="3"/>
      <c r="J2522" s="3"/>
      <c r="K2522" s="57">
        <f>IFERROR(__xludf.DUMMYFUNCTION("""COMPUTED_VALUE"""),4.06)</f>
        <v>4.06</v>
      </c>
      <c r="L2522" s="54">
        <f>IFERROR(__xludf.DUMMYFUNCTION("""COMPUTED_VALUE"""),42.0)</f>
        <v>42</v>
      </c>
      <c r="M2522" s="3">
        <f>IFERROR(__xludf.DUMMYFUNCTION("""COMPUTED_VALUE"""),95.0)</f>
        <v>95</v>
      </c>
      <c r="N2522" s="3"/>
      <c r="O2522" s="3"/>
      <c r="P2522" s="3"/>
      <c r="Q2522" s="3"/>
      <c r="R2522" s="3">
        <f>IFERROR(__xludf.DUMMYFUNCTION("""COMPUTED_VALUE"""),0.0)</f>
        <v>0</v>
      </c>
      <c r="S2522" s="3"/>
      <c r="T2522" s="5"/>
      <c r="U2522" s="5"/>
      <c r="V2522" s="5"/>
      <c r="W2522" s="5"/>
    </row>
    <row r="2523" ht="15.75" customHeight="1">
      <c r="A2523" s="3">
        <f>IFERROR(__xludf.DUMMYFUNCTION("""COMPUTED_VALUE"""),2523.0)</f>
        <v>2523</v>
      </c>
      <c r="B2523" s="53">
        <f>IFERROR(__xludf.DUMMYFUNCTION("""COMPUTED_VALUE"""),46177.0)</f>
        <v>46177</v>
      </c>
      <c r="C2523" s="3">
        <f>IFERROR(__xludf.DUMMYFUNCTION("""COMPUTED_VALUE"""),68.0)</f>
        <v>68</v>
      </c>
      <c r="D2523" s="3" t="str">
        <f>IFERROR(__xludf.DUMMYFUNCTION("""COMPUTED_VALUE"""),"ac964ec6")</f>
        <v>ac964ec6</v>
      </c>
      <c r="E2523" s="54">
        <f>IFERROR(__xludf.DUMMYFUNCTION("""COMPUTED_VALUE"""),12400.0)</f>
        <v>12400</v>
      </c>
      <c r="F2523" s="3" t="str">
        <f>IFERROR(__xludf.DUMMYFUNCTION("""COMPUTED_VALUE"""),"Borra")</f>
        <v>Borra</v>
      </c>
      <c r="G2523" s="3"/>
      <c r="H2523" s="3"/>
      <c r="I2523" s="57">
        <f>IFERROR(__xludf.DUMMYFUNCTION("""COMPUTED_VALUE"""),0.63)</f>
        <v>0.63</v>
      </c>
      <c r="J2523" s="3"/>
      <c r="K2523" s="3"/>
      <c r="L2523" s="54">
        <f>IFERROR(__xludf.DUMMYFUNCTION("""COMPUTED_VALUE"""),30.0)</f>
        <v>30</v>
      </c>
      <c r="M2523" s="3"/>
      <c r="N2523" s="3"/>
      <c r="O2523" s="3"/>
      <c r="P2523" s="3"/>
      <c r="Q2523" s="3"/>
      <c r="R2523" s="3">
        <f>IFERROR(__xludf.DUMMYFUNCTION("""COMPUTED_VALUE"""),0.0)</f>
        <v>0</v>
      </c>
      <c r="S2523" s="3"/>
      <c r="T2523" s="5"/>
      <c r="U2523" s="5"/>
      <c r="V2523" s="5"/>
      <c r="W2523" s="5"/>
    </row>
    <row r="2524" ht="15.75" customHeight="1">
      <c r="A2524" s="3">
        <f>IFERROR(__xludf.DUMMYFUNCTION("""COMPUTED_VALUE"""),2524.0)</f>
        <v>2524</v>
      </c>
      <c r="B2524" s="53">
        <f>IFERROR(__xludf.DUMMYFUNCTION("""COMPUTED_VALUE"""),46177.0)</f>
        <v>46177</v>
      </c>
      <c r="C2524" s="3">
        <f>IFERROR(__xludf.DUMMYFUNCTION("""COMPUTED_VALUE"""),69.0)</f>
        <v>69</v>
      </c>
      <c r="D2524" s="3" t="str">
        <f>IFERROR(__xludf.DUMMYFUNCTION("""COMPUTED_VALUE"""),"081b56e7")</f>
        <v>081b56e7</v>
      </c>
      <c r="E2524" s="54">
        <f>IFERROR(__xludf.DUMMYFUNCTION("""COMPUTED_VALUE"""),8300.0)</f>
        <v>8300</v>
      </c>
      <c r="F2524" s="3" t="str">
        <f>IFERROR(__xludf.DUMMYFUNCTION("""COMPUTED_VALUE"""),"Borra")</f>
        <v>Borra</v>
      </c>
      <c r="G2524" s="3"/>
      <c r="H2524" s="3"/>
      <c r="I2524" s="57">
        <f>IFERROR(__xludf.DUMMYFUNCTION("""COMPUTED_VALUE"""),0.59)</f>
        <v>0.59</v>
      </c>
      <c r="J2524" s="3"/>
      <c r="K2524" s="3"/>
      <c r="L2524" s="54">
        <f>IFERROR(__xludf.DUMMYFUNCTION("""COMPUTED_VALUE"""),25.0)</f>
        <v>25</v>
      </c>
      <c r="M2524" s="3"/>
      <c r="N2524" s="3"/>
      <c r="O2524" s="3"/>
      <c r="P2524" s="3"/>
      <c r="Q2524" s="3"/>
      <c r="R2524" s="3">
        <f>IFERROR(__xludf.DUMMYFUNCTION("""COMPUTED_VALUE"""),0.0)</f>
        <v>0</v>
      </c>
      <c r="S2524" s="3"/>
      <c r="T2524" s="5"/>
      <c r="U2524" s="5"/>
      <c r="V2524" s="5"/>
      <c r="W2524" s="5"/>
    </row>
    <row r="2525" ht="15.75" customHeight="1">
      <c r="A2525" s="3">
        <f>IFERROR(__xludf.DUMMYFUNCTION("""COMPUTED_VALUE"""),2525.0)</f>
        <v>2525</v>
      </c>
      <c r="B2525" s="53">
        <f>IFERROR(__xludf.DUMMYFUNCTION("""COMPUTED_VALUE"""),46177.0)</f>
        <v>46177</v>
      </c>
      <c r="C2525" s="3">
        <f>IFERROR(__xludf.DUMMYFUNCTION("""COMPUTED_VALUE"""),70.0)</f>
        <v>70</v>
      </c>
      <c r="D2525" s="3" t="str">
        <f>IFERROR(__xludf.DUMMYFUNCTION("""COMPUTED_VALUE"""),"6f3cd259")</f>
        <v>6f3cd259</v>
      </c>
      <c r="E2525" s="54">
        <f>IFERROR(__xludf.DUMMYFUNCTION("""COMPUTED_VALUE"""),13000.0)</f>
        <v>13000</v>
      </c>
      <c r="F2525" s="3" t="str">
        <f>IFERROR(__xludf.DUMMYFUNCTION("""COMPUTED_VALUE"""),"Borra trasiego")</f>
        <v>Borra trasiego</v>
      </c>
      <c r="G2525" s="3"/>
      <c r="H2525" s="3"/>
      <c r="I2525" s="57">
        <f>IFERROR(__xludf.DUMMYFUNCTION("""COMPUTED_VALUE"""),0.57)</f>
        <v>0.57</v>
      </c>
      <c r="J2525" s="3"/>
      <c r="K2525" s="3"/>
      <c r="L2525" s="54">
        <f>IFERROR(__xludf.DUMMYFUNCTION("""COMPUTED_VALUE"""),38.0)</f>
        <v>38</v>
      </c>
      <c r="M2525" s="3"/>
      <c r="N2525" s="3"/>
      <c r="O2525" s="3"/>
      <c r="P2525" s="3"/>
      <c r="Q2525" s="3"/>
      <c r="R2525" s="3">
        <f>IFERROR(__xludf.DUMMYFUNCTION("""COMPUTED_VALUE"""),0.0)</f>
        <v>0</v>
      </c>
      <c r="S2525" s="3"/>
      <c r="T2525" s="5"/>
      <c r="U2525" s="5"/>
      <c r="V2525" s="5"/>
      <c r="W2525" s="5"/>
    </row>
    <row r="2526" ht="15.75" customHeight="1">
      <c r="A2526" s="3">
        <f>IFERROR(__xludf.DUMMYFUNCTION("""COMPUTED_VALUE"""),2526.0)</f>
        <v>2526</v>
      </c>
      <c r="B2526" s="53">
        <f>IFERROR(__xludf.DUMMYFUNCTION("""COMPUTED_VALUE"""),46177.0)</f>
        <v>46177</v>
      </c>
      <c r="C2526" s="3">
        <f>IFERROR(__xludf.DUMMYFUNCTION("""COMPUTED_VALUE"""),931.0)</f>
        <v>931</v>
      </c>
      <c r="D2526" s="3" t="str">
        <f>IFERROR(__xludf.DUMMYFUNCTION("""COMPUTED_VALUE"""),"6ef49e0e")</f>
        <v>6ef49e0e</v>
      </c>
      <c r="E2526" s="54">
        <f>IFERROR(__xludf.DUMMYFUNCTION("""COMPUTED_VALUE"""),11200.0)</f>
        <v>11200</v>
      </c>
      <c r="F2526" s="3" t="str">
        <f>IFERROR(__xludf.DUMMYFUNCTION("""COMPUTED_VALUE"""),"Borra")</f>
        <v>Borra</v>
      </c>
      <c r="G2526" s="3"/>
      <c r="H2526" s="3"/>
      <c r="I2526" s="57">
        <f>IFERROR(__xludf.DUMMYFUNCTION("""COMPUTED_VALUE"""),0.66)</f>
        <v>0.66</v>
      </c>
      <c r="J2526" s="3"/>
      <c r="K2526" s="3"/>
      <c r="L2526" s="54">
        <f>IFERROR(__xludf.DUMMYFUNCTION("""COMPUTED_VALUE"""),30.0)</f>
        <v>30</v>
      </c>
      <c r="M2526" s="3"/>
      <c r="N2526" s="3"/>
      <c r="O2526" s="3"/>
      <c r="P2526" s="3"/>
      <c r="Q2526" s="3"/>
      <c r="R2526" s="3">
        <f>IFERROR(__xludf.DUMMYFUNCTION("""COMPUTED_VALUE"""),0.0)</f>
        <v>0</v>
      </c>
      <c r="S2526" s="3"/>
      <c r="T2526" s="5"/>
      <c r="U2526" s="5"/>
      <c r="V2526" s="5"/>
      <c r="W2526" s="5"/>
    </row>
    <row r="2527" ht="15.75" customHeight="1">
      <c r="A2527" s="3">
        <f>IFERROR(__xludf.DUMMYFUNCTION("""COMPUTED_VALUE"""),2527.0)</f>
        <v>2527</v>
      </c>
      <c r="B2527" s="53">
        <f>IFERROR(__xludf.DUMMYFUNCTION("""COMPUTED_VALUE"""),46177.0)</f>
        <v>46177</v>
      </c>
      <c r="C2527" s="3">
        <f>IFERROR(__xludf.DUMMYFUNCTION("""COMPUTED_VALUE"""),935.0)</f>
        <v>935</v>
      </c>
      <c r="D2527" s="3" t="str">
        <f>IFERROR(__xludf.DUMMYFUNCTION("""COMPUTED_VALUE"""),"968b2e9e")</f>
        <v>968b2e9e</v>
      </c>
      <c r="E2527" s="54">
        <f>IFERROR(__xludf.DUMMYFUNCTION("""COMPUTED_VALUE"""),11200.0)</f>
        <v>11200</v>
      </c>
      <c r="F2527" s="3" t="str">
        <f>IFERROR(__xludf.DUMMYFUNCTION("""COMPUTED_VALUE"""),"Borra")</f>
        <v>Borra</v>
      </c>
      <c r="G2527" s="3"/>
      <c r="H2527" s="3"/>
      <c r="I2527" s="57">
        <f>IFERROR(__xludf.DUMMYFUNCTION("""COMPUTED_VALUE"""),0.69)</f>
        <v>0.69</v>
      </c>
      <c r="J2527" s="3"/>
      <c r="K2527" s="3"/>
      <c r="L2527" s="54">
        <f>IFERROR(__xludf.DUMMYFUNCTION("""COMPUTED_VALUE"""),45.0)</f>
        <v>45</v>
      </c>
      <c r="M2527" s="3"/>
      <c r="N2527" s="3"/>
      <c r="O2527" s="3"/>
      <c r="P2527" s="3"/>
      <c r="Q2527" s="3"/>
      <c r="R2527" s="3">
        <f>IFERROR(__xludf.DUMMYFUNCTION("""COMPUTED_VALUE"""),0.0)</f>
        <v>0</v>
      </c>
      <c r="S2527" s="3"/>
      <c r="T2527" s="5"/>
      <c r="U2527" s="5"/>
      <c r="V2527" s="5"/>
      <c r="W2527" s="5"/>
    </row>
    <row r="2528" ht="15.75" customHeight="1">
      <c r="A2528" s="3">
        <f>IFERROR(__xludf.DUMMYFUNCTION("""COMPUTED_VALUE"""),2528.0)</f>
        <v>2528</v>
      </c>
      <c r="B2528" s="53">
        <f>IFERROR(__xludf.DUMMYFUNCTION("""COMPUTED_VALUE"""),46177.0)</f>
        <v>46177</v>
      </c>
      <c r="C2528" s="3">
        <f>IFERROR(__xludf.DUMMYFUNCTION("""COMPUTED_VALUE"""),94.0)</f>
        <v>94</v>
      </c>
      <c r="D2528" s="3" t="str">
        <f>IFERROR(__xludf.DUMMYFUNCTION("""COMPUTED_VALUE"""),"ab06a83a")</f>
        <v>ab06a83a</v>
      </c>
      <c r="E2528" s="54">
        <f>IFERROR(__xludf.DUMMYFUNCTION("""COMPUTED_VALUE"""),11600.0)</f>
        <v>11600</v>
      </c>
      <c r="F2528" s="3" t="str">
        <f>IFERROR(__xludf.DUMMYFUNCTION("""COMPUTED_VALUE"""),"Borra")</f>
        <v>Borra</v>
      </c>
      <c r="G2528" s="3"/>
      <c r="H2528" s="3"/>
      <c r="I2528" s="57">
        <f>IFERROR(__xludf.DUMMYFUNCTION("""COMPUTED_VALUE"""),0.8)</f>
        <v>0.8</v>
      </c>
      <c r="J2528" s="3"/>
      <c r="K2528" s="3"/>
      <c r="L2528" s="54">
        <f>IFERROR(__xludf.DUMMYFUNCTION("""COMPUTED_VALUE"""),57.0)</f>
        <v>57</v>
      </c>
      <c r="M2528" s="3"/>
      <c r="N2528" s="3"/>
      <c r="O2528" s="3"/>
      <c r="P2528" s="3"/>
      <c r="Q2528" s="3"/>
      <c r="R2528" s="3">
        <f>IFERROR(__xludf.DUMMYFUNCTION("""COMPUTED_VALUE"""),0.0)</f>
        <v>0</v>
      </c>
      <c r="S2528" s="3"/>
      <c r="T2528" s="5"/>
      <c r="U2528" s="5"/>
      <c r="V2528" s="5"/>
      <c r="W2528" s="5"/>
    </row>
    <row r="2529" ht="15.75" customHeight="1">
      <c r="A2529" s="3">
        <f>IFERROR(__xludf.DUMMYFUNCTION("""COMPUTED_VALUE"""),2529.0)</f>
        <v>2529</v>
      </c>
      <c r="B2529" s="53">
        <f>IFERROR(__xludf.DUMMYFUNCTION("""COMPUTED_VALUE"""),46178.0)</f>
        <v>46178</v>
      </c>
      <c r="C2529" s="3">
        <f>IFERROR(__xludf.DUMMYFUNCTION("""COMPUTED_VALUE"""),87.0)</f>
        <v>87</v>
      </c>
      <c r="D2529" s="3" t="str">
        <f>IFERROR(__xludf.DUMMYFUNCTION("""COMPUTED_VALUE"""),"6b437cb5")</f>
        <v>6b437cb5</v>
      </c>
      <c r="E2529" s="54">
        <f>IFERROR(__xludf.DUMMYFUNCTION("""COMPUTED_VALUE"""),93700.0)</f>
        <v>93700</v>
      </c>
      <c r="F2529" s="3" t="str">
        <f>IFERROR(__xludf.DUMMYFUNCTION("""COMPUTED_VALUE"""),"Criolla Recarga")</f>
        <v>Criolla Recarga</v>
      </c>
      <c r="G2529" s="3"/>
      <c r="H2529" s="3"/>
      <c r="I2529" s="3"/>
      <c r="J2529" s="3"/>
      <c r="K2529" s="57">
        <f>IFERROR(__xludf.DUMMYFUNCTION("""COMPUTED_VALUE"""),3.77)</f>
        <v>3.77</v>
      </c>
      <c r="L2529" s="3"/>
      <c r="M2529" s="3"/>
      <c r="N2529" s="3"/>
      <c r="O2529" s="3"/>
      <c r="P2529" s="3"/>
      <c r="Q2529" s="3"/>
      <c r="R2529" s="3">
        <f>IFERROR(__xludf.DUMMYFUNCTION("""COMPUTED_VALUE"""),0.0)</f>
        <v>0</v>
      </c>
      <c r="S2529" s="3"/>
      <c r="T2529" s="5"/>
      <c r="U2529" s="5"/>
      <c r="V2529" s="5"/>
      <c r="W2529" s="5"/>
    </row>
    <row r="2530" ht="15.75" customHeight="1">
      <c r="A2530" s="3">
        <f>IFERROR(__xludf.DUMMYFUNCTION("""COMPUTED_VALUE"""),2530.0)</f>
        <v>2530</v>
      </c>
      <c r="B2530" s="3"/>
      <c r="C2530" s="3">
        <f>IFERROR(__xludf.DUMMYFUNCTION("""COMPUTED_VALUE"""),126.0)</f>
        <v>126</v>
      </c>
      <c r="D2530" s="3" t="str">
        <f>IFERROR(__xludf.DUMMYFUNCTION("""COMPUTED_VALUE"""),"9125b2c8")</f>
        <v>9125b2c8</v>
      </c>
      <c r="E2530" s="54">
        <f>IFERROR(__xludf.DUMMYFUNCTION("""COMPUTED_VALUE"""),31000.0)</f>
        <v>31000</v>
      </c>
      <c r="F2530" s="3" t="str">
        <f>IFERROR(__xludf.DUMMYFUNCTION("""COMPUTED_VALUE"""),"Bonarda")</f>
        <v>Bonarda</v>
      </c>
      <c r="G2530" s="3"/>
      <c r="H2530" s="3"/>
      <c r="I2530" s="3"/>
      <c r="J2530" s="3"/>
      <c r="K2530" s="57">
        <f>IFERROR(__xludf.DUMMYFUNCTION("""COMPUTED_VALUE"""),3.89)</f>
        <v>3.89</v>
      </c>
      <c r="L2530" s="3"/>
      <c r="M2530" s="3"/>
      <c r="N2530" s="3"/>
      <c r="O2530" s="3"/>
      <c r="P2530" s="3"/>
      <c r="Q2530" s="3"/>
      <c r="R2530" s="3">
        <f>IFERROR(__xludf.DUMMYFUNCTION("""COMPUTED_VALUE"""),0.0)</f>
        <v>0</v>
      </c>
      <c r="S2530" s="3"/>
      <c r="T2530" s="5"/>
      <c r="U2530" s="5"/>
      <c r="V2530" s="5"/>
      <c r="W2530" s="5"/>
    </row>
    <row r="2531" ht="15.75" customHeight="1">
      <c r="A2531" s="3">
        <f>IFERROR(__xludf.DUMMYFUNCTION("""COMPUTED_VALUE"""),2531.0)</f>
        <v>2531</v>
      </c>
      <c r="B2531" s="53">
        <f>IFERROR(__xludf.DUMMYFUNCTION("""COMPUTED_VALUE"""),46181.0)</f>
        <v>46181</v>
      </c>
      <c r="C2531" s="3">
        <f>IFERROR(__xludf.DUMMYFUNCTION("""COMPUTED_VALUE"""),118.0)</f>
        <v>118</v>
      </c>
      <c r="D2531" s="3" t="str">
        <f>IFERROR(__xludf.DUMMYFUNCTION("""COMPUTED_VALUE"""),"9bb0e06f")</f>
        <v>9bb0e06f</v>
      </c>
      <c r="E2531" s="54">
        <f>IFERROR(__xludf.DUMMYFUNCTION("""COMPUTED_VALUE"""),155600.0)</f>
        <v>155600</v>
      </c>
      <c r="F2531" s="3" t="str">
        <f>IFERROR(__xludf.DUMMYFUNCTION("""COMPUTED_VALUE"""),"Malbec Lopez")</f>
        <v>Malbec Lopez</v>
      </c>
      <c r="G2531" s="3"/>
      <c r="H2531" s="3"/>
      <c r="I2531" s="3"/>
      <c r="J2531" s="3"/>
      <c r="K2531" s="3"/>
      <c r="L2531" s="3"/>
      <c r="M2531" s="3"/>
      <c r="N2531" s="3"/>
      <c r="O2531" s="3">
        <f>IFERROR(__xludf.DUMMYFUNCTION("""COMPUTED_VALUE"""),375.0)</f>
        <v>375</v>
      </c>
      <c r="P2531" s="3">
        <f>IFERROR(__xludf.DUMMYFUNCTION("""COMPUTED_VALUE"""),561.0)</f>
        <v>561</v>
      </c>
      <c r="Q2531" s="3"/>
      <c r="R2531" s="3">
        <f>IFERROR(__xludf.DUMMYFUNCTION("""COMPUTED_VALUE"""),936.0)</f>
        <v>936</v>
      </c>
      <c r="S2531" s="54">
        <f>IFERROR(__xludf.DUMMYFUNCTION("""COMPUTED_VALUE"""),1400.256)</f>
        <v>1400.256</v>
      </c>
      <c r="T2531" s="5"/>
      <c r="U2531" s="5"/>
      <c r="V2531" s="5"/>
      <c r="W2531" s="5"/>
    </row>
    <row r="2532" ht="15.75" customHeight="1">
      <c r="A2532" s="3">
        <f>IFERROR(__xludf.DUMMYFUNCTION("""COMPUTED_VALUE"""),2532.0)</f>
        <v>2532</v>
      </c>
      <c r="B2532" s="53">
        <f>IFERROR(__xludf.DUMMYFUNCTION("""COMPUTED_VALUE"""),46181.0)</f>
        <v>46181</v>
      </c>
      <c r="C2532" s="3">
        <f>IFERROR(__xludf.DUMMYFUNCTION("""COMPUTED_VALUE"""),34.0)</f>
        <v>34</v>
      </c>
      <c r="D2532" s="3" t="str">
        <f>IFERROR(__xludf.DUMMYFUNCTION("""COMPUTED_VALUE"""),"a624c62b")</f>
        <v>a624c62b</v>
      </c>
      <c r="E2532" s="54">
        <f>IFERROR(__xludf.DUMMYFUNCTION("""COMPUTED_VALUE"""),39300.0)</f>
        <v>39300</v>
      </c>
      <c r="F2532" s="3" t="str">
        <f>IFERROR(__xludf.DUMMYFUNCTION("""COMPUTED_VALUE"""),"Malbec Veg")</f>
        <v>Malbec Veg</v>
      </c>
      <c r="G2532" s="55">
        <f>IFERROR(__xludf.DUMMYFUNCTION("""COMPUTED_VALUE"""),13.2)</f>
        <v>13.2</v>
      </c>
      <c r="H2532" s="56">
        <f>IFERROR(__xludf.DUMMYFUNCTION("""COMPUTED_VALUE"""),3.22)</f>
        <v>3.22</v>
      </c>
      <c r="I2532" s="57">
        <f>IFERROR(__xludf.DUMMYFUNCTION("""COMPUTED_VALUE"""),0.54)</f>
        <v>0.54</v>
      </c>
      <c r="J2532" s="57">
        <f>IFERROR(__xludf.DUMMYFUNCTION("""COMPUTED_VALUE"""),4.35)</f>
        <v>4.35</v>
      </c>
      <c r="K2532" s="3"/>
      <c r="L2532" s="3"/>
      <c r="M2532" s="3"/>
      <c r="N2532" s="3"/>
      <c r="O2532" s="3"/>
      <c r="P2532" s="3"/>
      <c r="Q2532" s="3"/>
      <c r="R2532" s="3">
        <f>IFERROR(__xludf.DUMMYFUNCTION("""COMPUTED_VALUE"""),0.0)</f>
        <v>0</v>
      </c>
      <c r="S2532" s="3"/>
      <c r="T2532" s="5"/>
      <c r="U2532" s="5"/>
      <c r="V2532" s="5"/>
      <c r="W2532" s="5" t="str">
        <f>IFERROR(__xludf.DUMMYFUNCTION("""COMPUTED_VALUE"""),"simon")</f>
        <v>simon</v>
      </c>
    </row>
    <row r="2533" ht="15.75" customHeight="1">
      <c r="A2533" s="3">
        <f>IFERROR(__xludf.DUMMYFUNCTION("""COMPUTED_VALUE"""),2533.0)</f>
        <v>2533</v>
      </c>
      <c r="B2533" s="53">
        <f>IFERROR(__xludf.DUMMYFUNCTION("""COMPUTED_VALUE"""),46181.0)</f>
        <v>46181</v>
      </c>
      <c r="C2533" s="3">
        <f>IFERROR(__xludf.DUMMYFUNCTION("""COMPUTED_VALUE"""),47.0)</f>
        <v>47</v>
      </c>
      <c r="D2533" s="3" t="str">
        <f>IFERROR(__xludf.DUMMYFUNCTION("""COMPUTED_VALUE"""),"12927267")</f>
        <v>12927267</v>
      </c>
      <c r="E2533" s="54">
        <f>IFERROR(__xludf.DUMMYFUNCTION("""COMPUTED_VALUE"""),20000.0)</f>
        <v>20000</v>
      </c>
      <c r="F2533" s="3" t="str">
        <f>IFERROR(__xludf.DUMMYFUNCTION("""COMPUTED_VALUE"""),"Criolla Recarga")</f>
        <v>Criolla Recarga</v>
      </c>
      <c r="G2533" s="55">
        <f>IFERROR(__xludf.DUMMYFUNCTION("""COMPUTED_VALUE"""),14.6)</f>
        <v>14.6</v>
      </c>
      <c r="H2533" s="56">
        <f>IFERROR(__xludf.DUMMYFUNCTION("""COMPUTED_VALUE"""),2.45)</f>
        <v>2.45</v>
      </c>
      <c r="I2533" s="57">
        <f>IFERROR(__xludf.DUMMYFUNCTION("""COMPUTED_VALUE"""),0.37)</f>
        <v>0.37</v>
      </c>
      <c r="J2533" s="57">
        <f>IFERROR(__xludf.DUMMYFUNCTION("""COMPUTED_VALUE"""),3.97)</f>
        <v>3.97</v>
      </c>
      <c r="K2533" s="3"/>
      <c r="L2533" s="3"/>
      <c r="M2533" s="3"/>
      <c r="N2533" s="3"/>
      <c r="O2533" s="3"/>
      <c r="P2533" s="3"/>
      <c r="Q2533" s="3"/>
      <c r="R2533" s="3">
        <f>IFERROR(__xludf.DUMMYFUNCTION("""COMPUTED_VALUE"""),0.0)</f>
        <v>0</v>
      </c>
      <c r="S2533" s="3"/>
      <c r="T2533" s="5"/>
      <c r="U2533" s="5"/>
      <c r="V2533" s="5"/>
      <c r="W2533" s="5" t="str">
        <f>IFERROR(__xludf.DUMMYFUNCTION("""COMPUTED_VALUE"""),"simon")</f>
        <v>simon</v>
      </c>
    </row>
    <row r="2534" ht="15.75" customHeight="1">
      <c r="A2534" s="3">
        <f>IFERROR(__xludf.DUMMYFUNCTION("""COMPUTED_VALUE"""),2534.0)</f>
        <v>2534</v>
      </c>
      <c r="B2534" s="53">
        <f>IFERROR(__xludf.DUMMYFUNCTION("""COMPUTED_VALUE"""),46181.0)</f>
        <v>46181</v>
      </c>
      <c r="C2534" s="3">
        <f>IFERROR(__xludf.DUMMYFUNCTION("""COMPUTED_VALUE"""),11.0)</f>
        <v>11</v>
      </c>
      <c r="D2534" s="3" t="str">
        <f>IFERROR(__xludf.DUMMYFUNCTION("""COMPUTED_VALUE"""),"fbf098ee")</f>
        <v>fbf098ee</v>
      </c>
      <c r="E2534" s="54">
        <f>IFERROR(__xludf.DUMMYFUNCTION("""COMPUTED_VALUE"""),36000.0)</f>
        <v>36000</v>
      </c>
      <c r="F2534" s="3" t="str">
        <f>IFERROR(__xludf.DUMMYFUNCTION("""COMPUTED_VALUE"""),"Cabernet Sauv G")</f>
        <v>Cabernet Sauv G</v>
      </c>
      <c r="G2534" s="55">
        <f>IFERROR(__xludf.DUMMYFUNCTION("""COMPUTED_VALUE"""),13.7)</f>
        <v>13.7</v>
      </c>
      <c r="H2534" s="56">
        <f>IFERROR(__xludf.DUMMYFUNCTION("""COMPUTED_VALUE"""),1.91)</f>
        <v>1.91</v>
      </c>
      <c r="I2534" s="57">
        <f>IFERROR(__xludf.DUMMYFUNCTION("""COMPUTED_VALUE"""),0.58)</f>
        <v>0.58</v>
      </c>
      <c r="J2534" s="57">
        <f>IFERROR(__xludf.DUMMYFUNCTION("""COMPUTED_VALUE"""),4.72)</f>
        <v>4.72</v>
      </c>
      <c r="K2534" s="3"/>
      <c r="L2534" s="3"/>
      <c r="M2534" s="3"/>
      <c r="N2534" s="3"/>
      <c r="O2534" s="3"/>
      <c r="P2534" s="3"/>
      <c r="Q2534" s="3"/>
      <c r="R2534" s="3">
        <f>IFERROR(__xludf.DUMMYFUNCTION("""COMPUTED_VALUE"""),0.0)</f>
        <v>0</v>
      </c>
      <c r="S2534" s="3"/>
      <c r="T2534" s="5"/>
      <c r="U2534" s="5"/>
      <c r="V2534" s="5"/>
      <c r="W2534" s="5" t="str">
        <f>IFERROR(__xludf.DUMMYFUNCTION("""COMPUTED_VALUE"""),"simon")</f>
        <v>simon</v>
      </c>
    </row>
    <row r="2535" ht="15.75" customHeight="1">
      <c r="A2535" s="3">
        <f>IFERROR(__xludf.DUMMYFUNCTION("""COMPUTED_VALUE"""),2535.0)</f>
        <v>2535</v>
      </c>
      <c r="B2535" s="53">
        <f>IFERROR(__xludf.DUMMYFUNCTION("""COMPUTED_VALUE"""),46181.0)</f>
        <v>46181</v>
      </c>
      <c r="C2535" s="3">
        <f>IFERROR(__xludf.DUMMYFUNCTION("""COMPUTED_VALUE"""),78.0)</f>
        <v>78</v>
      </c>
      <c r="D2535" s="3" t="str">
        <f>IFERROR(__xludf.DUMMYFUNCTION("""COMPUTED_VALUE"""),"adf438f1")</f>
        <v>adf438f1</v>
      </c>
      <c r="E2535" s="54">
        <f>IFERROR(__xludf.DUMMYFUNCTION("""COMPUTED_VALUE"""),25800.0)</f>
        <v>25800</v>
      </c>
      <c r="F2535" s="3" t="str">
        <f>IFERROR(__xludf.DUMMYFUNCTION("""COMPUTED_VALUE"""),"Syrah s/Asp 2")</f>
        <v>Syrah s/Asp 2</v>
      </c>
      <c r="G2535" s="55">
        <f>IFERROR(__xludf.DUMMYFUNCTION("""COMPUTED_VALUE"""),13.3)</f>
        <v>13.3</v>
      </c>
      <c r="H2535" s="56">
        <f>IFERROR(__xludf.DUMMYFUNCTION("""COMPUTED_VALUE"""),1.8)</f>
        <v>1.8</v>
      </c>
      <c r="I2535" s="57">
        <f>IFERROR(__xludf.DUMMYFUNCTION("""COMPUTED_VALUE"""),0.47)</f>
        <v>0.47</v>
      </c>
      <c r="J2535" s="57">
        <f>IFERROR(__xludf.DUMMYFUNCTION("""COMPUTED_VALUE"""),5.25)</f>
        <v>5.25</v>
      </c>
      <c r="K2535" s="3"/>
      <c r="L2535" s="3"/>
      <c r="M2535" s="3"/>
      <c r="N2535" s="3"/>
      <c r="O2535" s="3"/>
      <c r="P2535" s="3"/>
      <c r="Q2535" s="3"/>
      <c r="R2535" s="3">
        <f>IFERROR(__xludf.DUMMYFUNCTION("""COMPUTED_VALUE"""),0.0)</f>
        <v>0</v>
      </c>
      <c r="S2535" s="3"/>
      <c r="T2535" s="5"/>
      <c r="U2535" s="5"/>
      <c r="V2535" s="5"/>
      <c r="W2535" s="5" t="str">
        <f>IFERROR(__xludf.DUMMYFUNCTION("""COMPUTED_VALUE"""),"simon")</f>
        <v>simon</v>
      </c>
    </row>
    <row r="2536" ht="15.75" customHeight="1">
      <c r="A2536" s="3">
        <f>IFERROR(__xludf.DUMMYFUNCTION("""COMPUTED_VALUE"""),2536.0)</f>
        <v>2536</v>
      </c>
      <c r="B2536" s="53">
        <f>IFERROR(__xludf.DUMMYFUNCTION("""COMPUTED_VALUE"""),46181.0)</f>
        <v>46181</v>
      </c>
      <c r="C2536" s="3">
        <f>IFERROR(__xludf.DUMMYFUNCTION("""COMPUTED_VALUE"""),80.0)</f>
        <v>80</v>
      </c>
      <c r="D2536" s="3" t="str">
        <f>IFERROR(__xludf.DUMMYFUNCTION("""COMPUTED_VALUE"""),"eef7208a")</f>
        <v>eef7208a</v>
      </c>
      <c r="E2536" s="54">
        <f>IFERROR(__xludf.DUMMYFUNCTION("""COMPUTED_VALUE"""),26100.0)</f>
        <v>26100</v>
      </c>
      <c r="F2536" s="3" t="str">
        <f>IFERROR(__xludf.DUMMYFUNCTION("""COMPUTED_VALUE"""),"Aspirant")</f>
        <v>Aspirant</v>
      </c>
      <c r="G2536" s="55">
        <f>IFERROR(__xludf.DUMMYFUNCTION("""COMPUTED_VALUE"""),12.5)</f>
        <v>12.5</v>
      </c>
      <c r="H2536" s="56">
        <f>IFERROR(__xludf.DUMMYFUNCTION("""COMPUTED_VALUE"""),1.8)</f>
        <v>1.8</v>
      </c>
      <c r="I2536" s="57">
        <f>IFERROR(__xludf.DUMMYFUNCTION("""COMPUTED_VALUE"""),0.44)</f>
        <v>0.44</v>
      </c>
      <c r="J2536" s="57">
        <f>IFERROR(__xludf.DUMMYFUNCTION("""COMPUTED_VALUE"""),5.62)</f>
        <v>5.62</v>
      </c>
      <c r="K2536" s="3"/>
      <c r="L2536" s="3"/>
      <c r="M2536" s="3"/>
      <c r="N2536" s="3"/>
      <c r="O2536" s="3"/>
      <c r="P2536" s="3"/>
      <c r="Q2536" s="3"/>
      <c r="R2536" s="3">
        <f>IFERROR(__xludf.DUMMYFUNCTION("""COMPUTED_VALUE"""),0.0)</f>
        <v>0</v>
      </c>
      <c r="S2536" s="3"/>
      <c r="T2536" s="5"/>
      <c r="U2536" s="5"/>
      <c r="V2536" s="5"/>
      <c r="W2536" s="5" t="str">
        <f>IFERROR(__xludf.DUMMYFUNCTION("""COMPUTED_VALUE"""),"simon")</f>
        <v>simon</v>
      </c>
    </row>
    <row r="2537" ht="15.75" customHeight="1">
      <c r="A2537" s="3">
        <f>IFERROR(__xludf.DUMMYFUNCTION("""COMPUTED_VALUE"""),2537.0)</f>
        <v>2537</v>
      </c>
      <c r="B2537" s="53">
        <f>IFERROR(__xludf.DUMMYFUNCTION("""COMPUTED_VALUE"""),46181.0)</f>
        <v>46181</v>
      </c>
      <c r="C2537" s="3">
        <f>IFERROR(__xludf.DUMMYFUNCTION("""COMPUTED_VALUE"""),126.0)</f>
        <v>126</v>
      </c>
      <c r="D2537" s="3" t="str">
        <f>IFERROR(__xludf.DUMMYFUNCTION("""COMPUTED_VALUE"""),"9125b2c8")</f>
        <v>9125b2c8</v>
      </c>
      <c r="E2537" s="54">
        <f>IFERROR(__xludf.DUMMYFUNCTION("""COMPUTED_VALUE"""),31000.0)</f>
        <v>31000</v>
      </c>
      <c r="F2537" s="3" t="str">
        <f>IFERROR(__xludf.DUMMYFUNCTION("""COMPUTED_VALUE"""),"Bonarda")</f>
        <v>Bonarda</v>
      </c>
      <c r="G2537" s="55">
        <f>IFERROR(__xludf.DUMMYFUNCTION("""COMPUTED_VALUE"""),12.6)</f>
        <v>12.6</v>
      </c>
      <c r="H2537" s="56">
        <f>IFERROR(__xludf.DUMMYFUNCTION("""COMPUTED_VALUE"""),2.05)</f>
        <v>2.05</v>
      </c>
      <c r="I2537" s="57">
        <f>IFERROR(__xludf.DUMMYFUNCTION("""COMPUTED_VALUE"""),0.39)</f>
        <v>0.39</v>
      </c>
      <c r="J2537" s="57">
        <f>IFERROR(__xludf.DUMMYFUNCTION("""COMPUTED_VALUE"""),4.72)</f>
        <v>4.72</v>
      </c>
      <c r="K2537" s="3"/>
      <c r="L2537" s="3"/>
      <c r="M2537" s="3"/>
      <c r="N2537" s="3"/>
      <c r="O2537" s="3"/>
      <c r="P2537" s="3"/>
      <c r="Q2537" s="3"/>
      <c r="R2537" s="3">
        <f>IFERROR(__xludf.DUMMYFUNCTION("""COMPUTED_VALUE"""),0.0)</f>
        <v>0</v>
      </c>
      <c r="S2537" s="3"/>
      <c r="T2537" s="5"/>
      <c r="U2537" s="5"/>
      <c r="V2537" s="5"/>
      <c r="W2537" s="5" t="str">
        <f>IFERROR(__xludf.DUMMYFUNCTION("""COMPUTED_VALUE"""),"simon")</f>
        <v>simon</v>
      </c>
    </row>
    <row r="2538" ht="15.75" customHeight="1">
      <c r="A2538" s="3">
        <f>IFERROR(__xludf.DUMMYFUNCTION("""COMPUTED_VALUE"""),2538.0)</f>
        <v>2538</v>
      </c>
      <c r="B2538" s="53">
        <f>IFERROR(__xludf.DUMMYFUNCTION("""COMPUTED_VALUE"""),46182.0)</f>
        <v>46182</v>
      </c>
      <c r="C2538" s="3">
        <f>IFERROR(__xludf.DUMMYFUNCTION("""COMPUTED_VALUE"""),14.0)</f>
        <v>14</v>
      </c>
      <c r="D2538" s="3" t="str">
        <f>IFERROR(__xludf.DUMMYFUNCTION("""COMPUTED_VALUE"""),"f5216f91")</f>
        <v>f5216f91</v>
      </c>
      <c r="E2538" s="54">
        <f>IFERROR(__xludf.DUMMYFUNCTION("""COMPUTED_VALUE"""),37000.0)</f>
        <v>37000</v>
      </c>
      <c r="F2538" s="3" t="str">
        <f>IFERROR(__xludf.DUMMYFUNCTION("""COMPUTED_VALUE"""),"Criolla")</f>
        <v>Criolla</v>
      </c>
      <c r="G2538" s="55">
        <f>IFERROR(__xludf.DUMMYFUNCTION("""COMPUTED_VALUE"""),13.2)</f>
        <v>13.2</v>
      </c>
      <c r="H2538" s="56">
        <f>IFERROR(__xludf.DUMMYFUNCTION("""COMPUTED_VALUE"""),2.0)</f>
        <v>2</v>
      </c>
      <c r="I2538" s="57">
        <f>IFERROR(__xludf.DUMMYFUNCTION("""COMPUTED_VALUE"""),0.57)</f>
        <v>0.57</v>
      </c>
      <c r="J2538" s="57">
        <f>IFERROR(__xludf.DUMMYFUNCTION("""COMPUTED_VALUE"""),5.0)</f>
        <v>5</v>
      </c>
      <c r="K2538" s="57">
        <f>IFERROR(__xludf.DUMMYFUNCTION("""COMPUTED_VALUE"""),3.62)</f>
        <v>3.62</v>
      </c>
      <c r="L2538" s="54">
        <f>IFERROR(__xludf.DUMMYFUNCTION("""COMPUTED_VALUE"""),25.0)</f>
        <v>25</v>
      </c>
      <c r="M2538" s="3">
        <f>IFERROR(__xludf.DUMMYFUNCTION("""COMPUTED_VALUE"""),153.0)</f>
        <v>153</v>
      </c>
      <c r="N2538" s="3"/>
      <c r="O2538" s="3"/>
      <c r="P2538" s="3"/>
      <c r="Q2538" s="3"/>
      <c r="R2538" s="3">
        <f>IFERROR(__xludf.DUMMYFUNCTION("""COMPUTED_VALUE"""),0.0)</f>
        <v>0</v>
      </c>
      <c r="S2538" s="3"/>
      <c r="T2538" s="5"/>
      <c r="U2538" s="5"/>
      <c r="V2538" s="5"/>
      <c r="W2538" s="5"/>
    </row>
    <row r="2539" ht="15.75" customHeight="1">
      <c r="A2539" s="3">
        <f>IFERROR(__xludf.DUMMYFUNCTION("""COMPUTED_VALUE"""),2539.0)</f>
        <v>2539</v>
      </c>
      <c r="B2539" s="53">
        <f>IFERROR(__xludf.DUMMYFUNCTION("""COMPUTED_VALUE"""),46182.0)</f>
        <v>46182</v>
      </c>
      <c r="C2539" s="3">
        <f>IFERROR(__xludf.DUMMYFUNCTION("""COMPUTED_VALUE"""),35.0)</f>
        <v>35</v>
      </c>
      <c r="D2539" s="3" t="str">
        <f>IFERROR(__xludf.DUMMYFUNCTION("""COMPUTED_VALUE"""),"cabd60e4")</f>
        <v>cabd60e4</v>
      </c>
      <c r="E2539" s="54">
        <f>IFERROR(__xludf.DUMMYFUNCTION("""COMPUTED_VALUE"""),39300.0)</f>
        <v>39300</v>
      </c>
      <c r="F2539" s="3" t="str">
        <f>IFERROR(__xludf.DUMMYFUNCTION("""COMPUTED_VALUE"""),"Criolla")</f>
        <v>Criolla</v>
      </c>
      <c r="G2539" s="55">
        <f>IFERROR(__xludf.DUMMYFUNCTION("""COMPUTED_VALUE"""),13.2)</f>
        <v>13.2</v>
      </c>
      <c r="H2539" s="56">
        <f>IFERROR(__xludf.DUMMYFUNCTION("""COMPUTED_VALUE"""),2.0)</f>
        <v>2</v>
      </c>
      <c r="I2539" s="57">
        <f>IFERROR(__xludf.DUMMYFUNCTION("""COMPUTED_VALUE"""),0.57)</f>
        <v>0.57</v>
      </c>
      <c r="J2539" s="57">
        <f>IFERROR(__xludf.DUMMYFUNCTION("""COMPUTED_VALUE"""),5.0)</f>
        <v>5</v>
      </c>
      <c r="K2539" s="57">
        <f>IFERROR(__xludf.DUMMYFUNCTION("""COMPUTED_VALUE"""),3.62)</f>
        <v>3.62</v>
      </c>
      <c r="L2539" s="54">
        <f>IFERROR(__xludf.DUMMYFUNCTION("""COMPUTED_VALUE"""),25.0)</f>
        <v>25</v>
      </c>
      <c r="M2539" s="3">
        <f>IFERROR(__xludf.DUMMYFUNCTION("""COMPUTED_VALUE"""),153.0)</f>
        <v>153</v>
      </c>
      <c r="N2539" s="3"/>
      <c r="O2539" s="3"/>
      <c r="P2539" s="3"/>
      <c r="Q2539" s="3"/>
      <c r="R2539" s="3">
        <f>IFERROR(__xludf.DUMMYFUNCTION("""COMPUTED_VALUE"""),0.0)</f>
        <v>0</v>
      </c>
      <c r="S2539" s="3"/>
      <c r="T2539" s="5"/>
      <c r="U2539" s="5"/>
      <c r="V2539" s="5"/>
      <c r="W2539" s="5"/>
    </row>
    <row r="2540" ht="15.75" customHeight="1">
      <c r="A2540" s="3">
        <f>IFERROR(__xludf.DUMMYFUNCTION("""COMPUTED_VALUE"""),2540.0)</f>
        <v>2540</v>
      </c>
      <c r="B2540" s="53">
        <f>IFERROR(__xludf.DUMMYFUNCTION("""COMPUTED_VALUE"""),46182.0)</f>
        <v>46182</v>
      </c>
      <c r="C2540" s="3">
        <f>IFERROR(__xludf.DUMMYFUNCTION("""COMPUTED_VALUE"""),32.0)</f>
        <v>32</v>
      </c>
      <c r="D2540" s="3" t="str">
        <f>IFERROR(__xludf.DUMMYFUNCTION("""COMPUTED_VALUE"""),"7ba30747")</f>
        <v>7ba30747</v>
      </c>
      <c r="E2540" s="54">
        <f>IFERROR(__xludf.DUMMYFUNCTION("""COMPUTED_VALUE"""),36300.0)</f>
        <v>36300</v>
      </c>
      <c r="F2540" s="3" t="str">
        <f>IFERROR(__xludf.DUMMYFUNCTION("""COMPUTED_VALUE"""),"Criolla")</f>
        <v>Criolla</v>
      </c>
      <c r="G2540" s="55">
        <f>IFERROR(__xludf.DUMMYFUNCTION("""COMPUTED_VALUE"""),13.2)</f>
        <v>13.2</v>
      </c>
      <c r="H2540" s="56">
        <f>IFERROR(__xludf.DUMMYFUNCTION("""COMPUTED_VALUE"""),2.0)</f>
        <v>2</v>
      </c>
      <c r="I2540" s="57">
        <f>IFERROR(__xludf.DUMMYFUNCTION("""COMPUTED_VALUE"""),0.57)</f>
        <v>0.57</v>
      </c>
      <c r="J2540" s="57">
        <f>IFERROR(__xludf.DUMMYFUNCTION("""COMPUTED_VALUE"""),5.0)</f>
        <v>5</v>
      </c>
      <c r="K2540" s="57">
        <f>IFERROR(__xludf.DUMMYFUNCTION("""COMPUTED_VALUE"""),3.62)</f>
        <v>3.62</v>
      </c>
      <c r="L2540" s="54">
        <f>IFERROR(__xludf.DUMMYFUNCTION("""COMPUTED_VALUE"""),25.0)</f>
        <v>25</v>
      </c>
      <c r="M2540" s="3">
        <f>IFERROR(__xludf.DUMMYFUNCTION("""COMPUTED_VALUE"""),153.0)</f>
        <v>153</v>
      </c>
      <c r="N2540" s="3"/>
      <c r="O2540" s="3"/>
      <c r="P2540" s="3"/>
      <c r="Q2540" s="3"/>
      <c r="R2540" s="3">
        <f>IFERROR(__xludf.DUMMYFUNCTION("""COMPUTED_VALUE"""),0.0)</f>
        <v>0</v>
      </c>
      <c r="S2540" s="3"/>
      <c r="T2540" s="5"/>
      <c r="U2540" s="5"/>
      <c r="V2540" s="5"/>
      <c r="W2540" s="5"/>
    </row>
    <row r="2541" ht="15.75" customHeight="1">
      <c r="A2541" s="3">
        <f>IFERROR(__xludf.DUMMYFUNCTION("""COMPUTED_VALUE"""),2541.0)</f>
        <v>2541</v>
      </c>
      <c r="B2541" s="53">
        <f>IFERROR(__xludf.DUMMYFUNCTION("""COMPUTED_VALUE"""),46182.0)</f>
        <v>46182</v>
      </c>
      <c r="C2541" s="3">
        <f>IFERROR(__xludf.DUMMYFUNCTION("""COMPUTED_VALUE"""),15.0)</f>
        <v>15</v>
      </c>
      <c r="D2541" s="3" t="str">
        <f>IFERROR(__xludf.DUMMYFUNCTION("""COMPUTED_VALUE"""),"79df7134")</f>
        <v>79df7134</v>
      </c>
      <c r="E2541" s="54">
        <f>IFERROR(__xludf.DUMMYFUNCTION("""COMPUTED_VALUE"""),36500.0)</f>
        <v>36500</v>
      </c>
      <c r="F2541" s="3" t="str">
        <f>IFERROR(__xludf.DUMMYFUNCTION("""COMPUTED_VALUE"""),"Criolla")</f>
        <v>Criolla</v>
      </c>
      <c r="G2541" s="55">
        <f>IFERROR(__xludf.DUMMYFUNCTION("""COMPUTED_VALUE"""),13.2)</f>
        <v>13.2</v>
      </c>
      <c r="H2541" s="56">
        <f>IFERROR(__xludf.DUMMYFUNCTION("""COMPUTED_VALUE"""),2.0)</f>
        <v>2</v>
      </c>
      <c r="I2541" s="57">
        <f>IFERROR(__xludf.DUMMYFUNCTION("""COMPUTED_VALUE"""),0.57)</f>
        <v>0.57</v>
      </c>
      <c r="J2541" s="57">
        <f>IFERROR(__xludf.DUMMYFUNCTION("""COMPUTED_VALUE"""),5.0)</f>
        <v>5</v>
      </c>
      <c r="K2541" s="57">
        <f>IFERROR(__xludf.DUMMYFUNCTION("""COMPUTED_VALUE"""),3.62)</f>
        <v>3.62</v>
      </c>
      <c r="L2541" s="54">
        <f>IFERROR(__xludf.DUMMYFUNCTION("""COMPUTED_VALUE"""),25.0)</f>
        <v>25</v>
      </c>
      <c r="M2541" s="3">
        <f>IFERROR(__xludf.DUMMYFUNCTION("""COMPUTED_VALUE"""),153.0)</f>
        <v>153</v>
      </c>
      <c r="N2541" s="3"/>
      <c r="O2541" s="3"/>
      <c r="P2541" s="3"/>
      <c r="Q2541" s="3"/>
      <c r="R2541" s="3">
        <f>IFERROR(__xludf.DUMMYFUNCTION("""COMPUTED_VALUE"""),0.0)</f>
        <v>0</v>
      </c>
      <c r="S2541" s="3"/>
      <c r="T2541" s="5"/>
      <c r="U2541" s="5"/>
      <c r="V2541" s="5"/>
      <c r="W2541" s="5"/>
    </row>
    <row r="2542" ht="15.75" customHeight="1">
      <c r="A2542" s="3">
        <f>IFERROR(__xludf.DUMMYFUNCTION("""COMPUTED_VALUE"""),2542.0)</f>
        <v>2542</v>
      </c>
      <c r="B2542" s="53">
        <f>IFERROR(__xludf.DUMMYFUNCTION("""COMPUTED_VALUE"""),46182.0)</f>
        <v>46182</v>
      </c>
      <c r="C2542" s="3">
        <f>IFERROR(__xludf.DUMMYFUNCTION("""COMPUTED_VALUE"""),111.0)</f>
        <v>111</v>
      </c>
      <c r="D2542" s="3" t="str">
        <f>IFERROR(__xludf.DUMMYFUNCTION("""COMPUTED_VALUE"""),"3ba92525")</f>
        <v>3ba92525</v>
      </c>
      <c r="E2542" s="54">
        <f>IFERROR(__xludf.DUMMYFUNCTION("""COMPUTED_VALUE"""),4000.0)</f>
        <v>4000</v>
      </c>
      <c r="F2542" s="3" t="str">
        <f>IFERROR(__xludf.DUMMYFUNCTION("""COMPUTED_VALUE"""),"Syrah con Madera")</f>
        <v>Syrah con Madera</v>
      </c>
      <c r="G2542" s="3"/>
      <c r="H2542" s="3"/>
      <c r="I2542" s="3"/>
      <c r="J2542" s="3"/>
      <c r="K2542" s="3"/>
      <c r="L2542" s="54">
        <f>IFERROR(__xludf.DUMMYFUNCTION("""COMPUTED_VALUE"""),45.0)</f>
        <v>45</v>
      </c>
      <c r="M2542" s="3"/>
      <c r="N2542" s="3"/>
      <c r="O2542" s="3"/>
      <c r="P2542" s="3"/>
      <c r="Q2542" s="3"/>
      <c r="R2542" s="3">
        <f>IFERROR(__xludf.DUMMYFUNCTION("""COMPUTED_VALUE"""),0.0)</f>
        <v>0</v>
      </c>
      <c r="S2542" s="3"/>
      <c r="T2542" s="5"/>
      <c r="U2542" s="5"/>
      <c r="V2542" s="5"/>
      <c r="W2542" s="5"/>
    </row>
    <row r="2543" ht="15.75" customHeight="1">
      <c r="A2543" s="3">
        <f>IFERROR(__xludf.DUMMYFUNCTION("""COMPUTED_VALUE"""),2543.0)</f>
        <v>2543</v>
      </c>
      <c r="B2543" s="53">
        <f>IFERROR(__xludf.DUMMYFUNCTION("""COMPUTED_VALUE"""),46183.0)</f>
        <v>46183</v>
      </c>
      <c r="C2543" s="3">
        <f>IFERROR(__xludf.DUMMYFUNCTION("""COMPUTED_VALUE"""),41.0)</f>
        <v>41</v>
      </c>
      <c r="D2543" s="3" t="str">
        <f>IFERROR(__xludf.DUMMYFUNCTION("""COMPUTED_VALUE"""),"f5897d1f")</f>
        <v>f5897d1f</v>
      </c>
      <c r="E2543" s="54">
        <f>IFERROR(__xludf.DUMMYFUNCTION("""COMPUTED_VALUE"""),35100.0)</f>
        <v>35100</v>
      </c>
      <c r="F2543" s="3" t="str">
        <f>IFERROR(__xludf.DUMMYFUNCTION("""COMPUTED_VALUE"""),"Bonarda")</f>
        <v>Bonarda</v>
      </c>
      <c r="G2543" s="3"/>
      <c r="H2543" s="3"/>
      <c r="I2543" s="3"/>
      <c r="J2543" s="3"/>
      <c r="K2543" s="3"/>
      <c r="L2543" s="54">
        <f>IFERROR(__xludf.DUMMYFUNCTION("""COMPUTED_VALUE"""),42.0)</f>
        <v>42</v>
      </c>
      <c r="M2543" s="3"/>
      <c r="N2543" s="3"/>
      <c r="O2543" s="3"/>
      <c r="P2543" s="3"/>
      <c r="Q2543" s="3"/>
      <c r="R2543" s="3">
        <f>IFERROR(__xludf.DUMMYFUNCTION("""COMPUTED_VALUE"""),0.0)</f>
        <v>0</v>
      </c>
      <c r="S2543" s="3"/>
      <c r="T2543" s="5"/>
      <c r="U2543" s="5"/>
      <c r="V2543" s="5"/>
      <c r="W2543" s="5"/>
    </row>
    <row r="2544" ht="15.75" customHeight="1">
      <c r="A2544" s="3">
        <f>IFERROR(__xludf.DUMMYFUNCTION("""COMPUTED_VALUE"""),2544.0)</f>
        <v>2544</v>
      </c>
      <c r="B2544" s="53">
        <f>IFERROR(__xludf.DUMMYFUNCTION("""COMPUTED_VALUE"""),46183.0)</f>
        <v>46183</v>
      </c>
      <c r="C2544" s="3">
        <f>IFERROR(__xludf.DUMMYFUNCTION("""COMPUTED_VALUE"""),50.0)</f>
        <v>50</v>
      </c>
      <c r="D2544" s="3" t="str">
        <f>IFERROR(__xludf.DUMMYFUNCTION("""COMPUTED_VALUE"""),"fa9988f0")</f>
        <v>fa9988f0</v>
      </c>
      <c r="E2544" s="54">
        <f>IFERROR(__xludf.DUMMYFUNCTION("""COMPUTED_VALUE"""),5100.0)</f>
        <v>5100</v>
      </c>
      <c r="F2544" s="3" t="str">
        <f>IFERROR(__xludf.DUMMYFUNCTION("""COMPUTED_VALUE"""),"Malbec")</f>
        <v>Malbec</v>
      </c>
      <c r="G2544" s="3"/>
      <c r="H2544" s="3"/>
      <c r="I2544" s="3"/>
      <c r="J2544" s="3"/>
      <c r="K2544" s="3"/>
      <c r="L2544" s="54">
        <f>IFERROR(__xludf.DUMMYFUNCTION("""COMPUTED_VALUE"""),26.0)</f>
        <v>26</v>
      </c>
      <c r="M2544" s="3"/>
      <c r="N2544" s="3"/>
      <c r="O2544" s="3"/>
      <c r="P2544" s="3"/>
      <c r="Q2544" s="3"/>
      <c r="R2544" s="3">
        <f>IFERROR(__xludf.DUMMYFUNCTION("""COMPUTED_VALUE"""),0.0)</f>
        <v>0</v>
      </c>
      <c r="S2544" s="3"/>
      <c r="T2544" s="5"/>
      <c r="U2544" s="5"/>
      <c r="V2544" s="5"/>
      <c r="W2544" s="5"/>
    </row>
    <row r="2545" ht="15.75" customHeight="1">
      <c r="A2545" s="3">
        <f>IFERROR(__xludf.DUMMYFUNCTION("""COMPUTED_VALUE"""),2545.0)</f>
        <v>2545</v>
      </c>
      <c r="B2545" s="53">
        <f>IFERROR(__xludf.DUMMYFUNCTION("""COMPUTED_VALUE"""),46183.0)</f>
        <v>46183</v>
      </c>
      <c r="C2545" s="3">
        <f>IFERROR(__xludf.DUMMYFUNCTION("""COMPUTED_VALUE"""),91.0)</f>
        <v>91</v>
      </c>
      <c r="D2545" s="3" t="str">
        <f>IFERROR(__xludf.DUMMYFUNCTION("""COMPUTED_VALUE"""),"34fa2752")</f>
        <v>34fa2752</v>
      </c>
      <c r="E2545" s="54">
        <f>IFERROR(__xludf.DUMMYFUNCTION("""COMPUTED_VALUE"""),86000.0)</f>
        <v>86000</v>
      </c>
      <c r="F2545" s="3" t="str">
        <f>IFERROR(__xludf.DUMMYFUNCTION("""COMPUTED_VALUE"""),"Bonarda C2")</f>
        <v>Bonarda C2</v>
      </c>
      <c r="G2545" s="3"/>
      <c r="H2545" s="3"/>
      <c r="I2545" s="3"/>
      <c r="J2545" s="3"/>
      <c r="K2545" s="3"/>
      <c r="L2545" s="54">
        <f>IFERROR(__xludf.DUMMYFUNCTION("""COMPUTED_VALUE"""),40.0)</f>
        <v>40</v>
      </c>
      <c r="M2545" s="3"/>
      <c r="N2545" s="3"/>
      <c r="O2545" s="3"/>
      <c r="P2545" s="3"/>
      <c r="Q2545" s="3"/>
      <c r="R2545" s="3">
        <f>IFERROR(__xludf.DUMMYFUNCTION("""COMPUTED_VALUE"""),0.0)</f>
        <v>0</v>
      </c>
      <c r="S2545" s="3"/>
      <c r="T2545" s="5"/>
      <c r="U2545" s="5"/>
      <c r="V2545" s="5"/>
      <c r="W2545" s="5"/>
    </row>
    <row r="2546" ht="15.75" customHeight="1">
      <c r="A2546" s="3">
        <f>IFERROR(__xludf.DUMMYFUNCTION("""COMPUTED_VALUE"""),2546.0)</f>
        <v>2546</v>
      </c>
      <c r="B2546" s="53">
        <f>IFERROR(__xludf.DUMMYFUNCTION("""COMPUTED_VALUE"""),46183.0)</f>
        <v>46183</v>
      </c>
      <c r="C2546" s="3">
        <f>IFERROR(__xludf.DUMMYFUNCTION("""COMPUTED_VALUE"""),96.0)</f>
        <v>96</v>
      </c>
      <c r="D2546" s="3" t="str">
        <f>IFERROR(__xludf.DUMMYFUNCTION("""COMPUTED_VALUE"""),"05b3155b")</f>
        <v>05b3155b</v>
      </c>
      <c r="E2546" s="54">
        <f>IFERROR(__xludf.DUMMYFUNCTION("""COMPUTED_VALUE"""),85600.0)</f>
        <v>85600</v>
      </c>
      <c r="F2546" s="3" t="str">
        <f>IFERROR(__xludf.DUMMYFUNCTION("""COMPUTED_VALUE"""),"Bonarda")</f>
        <v>Bonarda</v>
      </c>
      <c r="G2546" s="3"/>
      <c r="H2546" s="3"/>
      <c r="I2546" s="3"/>
      <c r="J2546" s="3"/>
      <c r="K2546" s="3"/>
      <c r="L2546" s="54">
        <f>IFERROR(__xludf.DUMMYFUNCTION("""COMPUTED_VALUE"""),33.0)</f>
        <v>33</v>
      </c>
      <c r="M2546" s="3"/>
      <c r="N2546" s="3"/>
      <c r="O2546" s="3"/>
      <c r="P2546" s="3"/>
      <c r="Q2546" s="3"/>
      <c r="R2546" s="3">
        <f>IFERROR(__xludf.DUMMYFUNCTION("""COMPUTED_VALUE"""),0.0)</f>
        <v>0</v>
      </c>
      <c r="S2546" s="3"/>
      <c r="T2546" s="5"/>
      <c r="U2546" s="5"/>
      <c r="V2546" s="5"/>
      <c r="W2546" s="5"/>
    </row>
    <row r="2547" ht="15.75" customHeight="1">
      <c r="A2547" s="3">
        <f>IFERROR(__xludf.DUMMYFUNCTION("""COMPUTED_VALUE"""),2547.0)</f>
        <v>2547</v>
      </c>
      <c r="B2547" s="53">
        <f>IFERROR(__xludf.DUMMYFUNCTION("""COMPUTED_VALUE"""),46183.0)</f>
        <v>46183</v>
      </c>
      <c r="C2547" s="3">
        <f>IFERROR(__xludf.DUMMYFUNCTION("""COMPUTED_VALUE"""),85.0)</f>
        <v>85</v>
      </c>
      <c r="D2547" s="3" t="str">
        <f>IFERROR(__xludf.DUMMYFUNCTION("""COMPUTED_VALUE"""),"7ec3170e")</f>
        <v>7ec3170e</v>
      </c>
      <c r="E2547" s="54">
        <f>IFERROR(__xludf.DUMMYFUNCTION("""COMPUTED_VALUE"""),84000.0)</f>
        <v>84000</v>
      </c>
      <c r="F2547" s="3" t="str">
        <f>IFERROR(__xludf.DUMMYFUNCTION("""COMPUTED_VALUE"""),"Malbec pc")</f>
        <v>Malbec pc</v>
      </c>
      <c r="G2547" s="3"/>
      <c r="H2547" s="3"/>
      <c r="I2547" s="3"/>
      <c r="J2547" s="3"/>
      <c r="K2547" s="3"/>
      <c r="L2547" s="54">
        <f>IFERROR(__xludf.DUMMYFUNCTION("""COMPUTED_VALUE"""),37.0)</f>
        <v>37</v>
      </c>
      <c r="M2547" s="3"/>
      <c r="N2547" s="3"/>
      <c r="O2547" s="3"/>
      <c r="P2547" s="3"/>
      <c r="Q2547" s="3"/>
      <c r="R2547" s="3">
        <f>IFERROR(__xludf.DUMMYFUNCTION("""COMPUTED_VALUE"""),0.0)</f>
        <v>0</v>
      </c>
      <c r="S2547" s="3"/>
      <c r="T2547" s="5"/>
      <c r="U2547" s="5"/>
      <c r="V2547" s="5"/>
      <c r="W2547" s="5"/>
    </row>
    <row r="2548" ht="15.75" customHeight="1">
      <c r="A2548" s="3">
        <f>IFERROR(__xludf.DUMMYFUNCTION("""COMPUTED_VALUE"""),2548.0)</f>
        <v>2548</v>
      </c>
      <c r="B2548" s="53">
        <f>IFERROR(__xludf.DUMMYFUNCTION("""COMPUTED_VALUE"""),46183.0)</f>
        <v>46183</v>
      </c>
      <c r="C2548" s="3">
        <f>IFERROR(__xludf.DUMMYFUNCTION("""COMPUTED_VALUE"""),78.0)</f>
        <v>78</v>
      </c>
      <c r="D2548" s="3" t="str">
        <f>IFERROR(__xludf.DUMMYFUNCTION("""COMPUTED_VALUE"""),"adf438f1")</f>
        <v>adf438f1</v>
      </c>
      <c r="E2548" s="54">
        <f>IFERROR(__xludf.DUMMYFUNCTION("""COMPUTED_VALUE"""),25800.0)</f>
        <v>25800</v>
      </c>
      <c r="F2548" s="3" t="str">
        <f>IFERROR(__xludf.DUMMYFUNCTION("""COMPUTED_VALUE"""),"Syrah s/Asp 2")</f>
        <v>Syrah s/Asp 2</v>
      </c>
      <c r="G2548" s="3"/>
      <c r="H2548" s="3"/>
      <c r="I2548" s="3"/>
      <c r="J2548" s="3"/>
      <c r="K2548" s="3"/>
      <c r="L2548" s="54">
        <f>IFERROR(__xludf.DUMMYFUNCTION("""COMPUTED_VALUE"""),39.0)</f>
        <v>39</v>
      </c>
      <c r="M2548" s="3"/>
      <c r="N2548" s="3"/>
      <c r="O2548" s="3"/>
      <c r="P2548" s="3"/>
      <c r="Q2548" s="3"/>
      <c r="R2548" s="3">
        <f>IFERROR(__xludf.DUMMYFUNCTION("""COMPUTED_VALUE"""),0.0)</f>
        <v>0</v>
      </c>
      <c r="S2548" s="3"/>
      <c r="T2548" s="5"/>
      <c r="U2548" s="5"/>
      <c r="V2548" s="5"/>
      <c r="W2548" s="5"/>
    </row>
    <row r="2549" ht="15.75" customHeight="1">
      <c r="A2549" s="3">
        <f>IFERROR(__xludf.DUMMYFUNCTION("""COMPUTED_VALUE"""),2549.0)</f>
        <v>2549</v>
      </c>
      <c r="B2549" s="53">
        <f>IFERROR(__xludf.DUMMYFUNCTION("""COMPUTED_VALUE"""),46183.0)</f>
        <v>46183</v>
      </c>
      <c r="C2549" s="3">
        <f>IFERROR(__xludf.DUMMYFUNCTION("""COMPUTED_VALUE"""),73.0)</f>
        <v>73</v>
      </c>
      <c r="D2549" s="3" t="str">
        <f>IFERROR(__xludf.DUMMYFUNCTION("""COMPUTED_VALUE"""),"d70658e5")</f>
        <v>d70658e5</v>
      </c>
      <c r="E2549" s="54">
        <f>IFERROR(__xludf.DUMMYFUNCTION("""COMPUTED_VALUE"""),13000.0)</f>
        <v>13000</v>
      </c>
      <c r="F2549" s="3" t="str">
        <f>IFERROR(__xludf.DUMMYFUNCTION("""COMPUTED_VALUE"""),"Syrah")</f>
        <v>Syrah</v>
      </c>
      <c r="G2549" s="3"/>
      <c r="H2549" s="3"/>
      <c r="I2549" s="3"/>
      <c r="J2549" s="3"/>
      <c r="K2549" s="3"/>
      <c r="L2549" s="54">
        <f>IFERROR(__xludf.DUMMYFUNCTION("""COMPUTED_VALUE"""),42.0)</f>
        <v>42</v>
      </c>
      <c r="M2549" s="3"/>
      <c r="N2549" s="3"/>
      <c r="O2549" s="3"/>
      <c r="P2549" s="3"/>
      <c r="Q2549" s="3"/>
      <c r="R2549" s="3">
        <f>IFERROR(__xludf.DUMMYFUNCTION("""COMPUTED_VALUE"""),0.0)</f>
        <v>0</v>
      </c>
      <c r="S2549" s="3"/>
      <c r="T2549" s="5"/>
      <c r="U2549" s="5"/>
      <c r="V2549" s="5"/>
      <c r="W2549" s="5"/>
    </row>
    <row r="2550" ht="15.75" customHeight="1">
      <c r="A2550" s="3">
        <f>IFERROR(__xludf.DUMMYFUNCTION("""COMPUTED_VALUE"""),2550.0)</f>
        <v>2550</v>
      </c>
      <c r="B2550" s="53">
        <f>IFERROR(__xludf.DUMMYFUNCTION("""COMPUTED_VALUE"""),46183.0)</f>
        <v>46183</v>
      </c>
      <c r="C2550" s="3">
        <f>IFERROR(__xludf.DUMMYFUNCTION("""COMPUTED_VALUE"""),82.0)</f>
        <v>82</v>
      </c>
      <c r="D2550" s="3" t="str">
        <f>IFERROR(__xludf.DUMMYFUNCTION("""COMPUTED_VALUE"""),"1615b136")</f>
        <v>1615b136</v>
      </c>
      <c r="E2550" s="54">
        <f>IFERROR(__xludf.DUMMYFUNCTION("""COMPUTED_VALUE"""),42600.0)</f>
        <v>42600</v>
      </c>
      <c r="F2550" s="3" t="str">
        <f>IFERROR(__xludf.DUMMYFUNCTION("""COMPUTED_VALUE"""),"Bonarda")</f>
        <v>Bonarda</v>
      </c>
      <c r="G2550" s="3"/>
      <c r="H2550" s="3"/>
      <c r="I2550" s="3"/>
      <c r="J2550" s="3"/>
      <c r="K2550" s="3"/>
      <c r="L2550" s="54">
        <f>IFERROR(__xludf.DUMMYFUNCTION("""COMPUTED_VALUE"""),35.0)</f>
        <v>35</v>
      </c>
      <c r="M2550" s="3"/>
      <c r="N2550" s="3"/>
      <c r="O2550" s="3"/>
      <c r="P2550" s="3"/>
      <c r="Q2550" s="3"/>
      <c r="R2550" s="3">
        <f>IFERROR(__xludf.DUMMYFUNCTION("""COMPUTED_VALUE"""),0.0)</f>
        <v>0</v>
      </c>
      <c r="S2550" s="3"/>
      <c r="T2550" s="5"/>
      <c r="U2550" s="5"/>
      <c r="V2550" s="5"/>
      <c r="W2550" s="5"/>
    </row>
    <row r="2551" ht="15.75" customHeight="1">
      <c r="A2551" s="3">
        <f>IFERROR(__xludf.DUMMYFUNCTION("""COMPUTED_VALUE"""),2551.0)</f>
        <v>2551</v>
      </c>
      <c r="B2551" s="53">
        <f>IFERROR(__xludf.DUMMYFUNCTION("""COMPUTED_VALUE"""),46183.0)</f>
        <v>46183</v>
      </c>
      <c r="C2551" s="3">
        <f>IFERROR(__xludf.DUMMYFUNCTION("""COMPUTED_VALUE"""),53.0)</f>
        <v>53</v>
      </c>
      <c r="D2551" s="3" t="str">
        <f>IFERROR(__xludf.DUMMYFUNCTION("""COMPUTED_VALUE"""),"fc43a156")</f>
        <v>fc43a156</v>
      </c>
      <c r="E2551" s="54">
        <f>IFERROR(__xludf.DUMMYFUNCTION("""COMPUTED_VALUE"""),22000.0)</f>
        <v>22000</v>
      </c>
      <c r="F2551" s="3" t="str">
        <f>IFERROR(__xludf.DUMMYFUNCTION("""COMPUTED_VALUE"""),"Bonarda")</f>
        <v>Bonarda</v>
      </c>
      <c r="G2551" s="3"/>
      <c r="H2551" s="3"/>
      <c r="I2551" s="3"/>
      <c r="J2551" s="3"/>
      <c r="K2551" s="3"/>
      <c r="L2551" s="54">
        <f>IFERROR(__xludf.DUMMYFUNCTION("""COMPUTED_VALUE"""),36.0)</f>
        <v>36</v>
      </c>
      <c r="M2551" s="3"/>
      <c r="N2551" s="3"/>
      <c r="O2551" s="3"/>
      <c r="P2551" s="3"/>
      <c r="Q2551" s="3"/>
      <c r="R2551" s="3">
        <f>IFERROR(__xludf.DUMMYFUNCTION("""COMPUTED_VALUE"""),0.0)</f>
        <v>0</v>
      </c>
      <c r="S2551" s="3"/>
      <c r="T2551" s="5"/>
      <c r="U2551" s="5"/>
      <c r="V2551" s="5"/>
      <c r="W2551" s="5"/>
    </row>
    <row r="2552" ht="15.75" customHeight="1">
      <c r="A2552" s="3">
        <f>IFERROR(__xludf.DUMMYFUNCTION("""COMPUTED_VALUE"""),2552.0)</f>
        <v>2552</v>
      </c>
      <c r="B2552" s="53">
        <f>IFERROR(__xludf.DUMMYFUNCTION("""COMPUTED_VALUE"""),46183.0)</f>
        <v>46183</v>
      </c>
      <c r="C2552" s="3">
        <f>IFERROR(__xludf.DUMMYFUNCTION("""COMPUTED_VALUE"""),121.0)</f>
        <v>121</v>
      </c>
      <c r="D2552" s="3" t="str">
        <f>IFERROR(__xludf.DUMMYFUNCTION("""COMPUTED_VALUE"""),"2f111639")</f>
        <v>2f111639</v>
      </c>
      <c r="E2552" s="54">
        <f>IFERROR(__xludf.DUMMYFUNCTION("""COMPUTED_VALUE"""),85800.0)</f>
        <v>85800</v>
      </c>
      <c r="F2552" s="3" t="str">
        <f>IFERROR(__xludf.DUMMYFUNCTION("""COMPUTED_VALUE"""),"Malbec")</f>
        <v>Malbec</v>
      </c>
      <c r="G2552" s="3"/>
      <c r="H2552" s="3"/>
      <c r="I2552" s="3"/>
      <c r="J2552" s="3"/>
      <c r="K2552" s="3"/>
      <c r="L2552" s="54">
        <f>IFERROR(__xludf.DUMMYFUNCTION("""COMPUTED_VALUE"""),36.0)</f>
        <v>36</v>
      </c>
      <c r="M2552" s="3"/>
      <c r="N2552" s="3"/>
      <c r="O2552" s="3"/>
      <c r="P2552" s="3"/>
      <c r="Q2552" s="3"/>
      <c r="R2552" s="3">
        <f>IFERROR(__xludf.DUMMYFUNCTION("""COMPUTED_VALUE"""),0.0)</f>
        <v>0</v>
      </c>
      <c r="S2552" s="3"/>
      <c r="T2552" s="5"/>
      <c r="U2552" s="5"/>
      <c r="V2552" s="5"/>
      <c r="W2552" s="5"/>
    </row>
    <row r="2553" ht="15.75" customHeight="1">
      <c r="A2553" s="3">
        <f>IFERROR(__xludf.DUMMYFUNCTION("""COMPUTED_VALUE"""),2553.0)</f>
        <v>2553</v>
      </c>
      <c r="B2553" s="53">
        <f>IFERROR(__xludf.DUMMYFUNCTION("""COMPUTED_VALUE"""),46183.0)</f>
        <v>46183</v>
      </c>
      <c r="C2553" s="3">
        <f>IFERROR(__xludf.DUMMYFUNCTION("""COMPUTED_VALUE"""),84.0)</f>
        <v>84</v>
      </c>
      <c r="D2553" s="3" t="str">
        <f>IFERROR(__xludf.DUMMYFUNCTION("""COMPUTED_VALUE"""),"55047269")</f>
        <v>55047269</v>
      </c>
      <c r="E2553" s="54">
        <f>IFERROR(__xludf.DUMMYFUNCTION("""COMPUTED_VALUE"""),83000.0)</f>
        <v>83000</v>
      </c>
      <c r="F2553" s="3" t="str">
        <f>IFERROR(__xludf.DUMMYFUNCTION("""COMPUTED_VALUE"""),"Malbec pc")</f>
        <v>Malbec pc</v>
      </c>
      <c r="G2553" s="3"/>
      <c r="H2553" s="3"/>
      <c r="I2553" s="3"/>
      <c r="J2553" s="3"/>
      <c r="K2553" s="3"/>
      <c r="L2553" s="54">
        <f>IFERROR(__xludf.DUMMYFUNCTION("""COMPUTED_VALUE"""),39.0)</f>
        <v>39</v>
      </c>
      <c r="M2553" s="3"/>
      <c r="N2553" s="3"/>
      <c r="O2553" s="3"/>
      <c r="P2553" s="3"/>
      <c r="Q2553" s="3"/>
      <c r="R2553" s="3">
        <f>IFERROR(__xludf.DUMMYFUNCTION("""COMPUTED_VALUE"""),0.0)</f>
        <v>0</v>
      </c>
      <c r="S2553" s="3"/>
      <c r="T2553" s="5"/>
      <c r="U2553" s="5"/>
      <c r="V2553" s="5"/>
      <c r="W2553" s="5"/>
    </row>
    <row r="2554" ht="15.75" customHeight="1">
      <c r="A2554" s="3">
        <f>IFERROR(__xludf.DUMMYFUNCTION("""COMPUTED_VALUE"""),2554.0)</f>
        <v>2554</v>
      </c>
      <c r="B2554" s="53">
        <f>IFERROR(__xludf.DUMMYFUNCTION("""COMPUTED_VALUE"""),46183.0)</f>
        <v>46183</v>
      </c>
      <c r="C2554" s="3">
        <f>IFERROR(__xludf.DUMMYFUNCTION("""COMPUTED_VALUE"""),88.0)</f>
        <v>88</v>
      </c>
      <c r="D2554" s="3" t="str">
        <f>IFERROR(__xludf.DUMMYFUNCTION("""COMPUTED_VALUE"""),"028d4ed0")</f>
        <v>028d4ed0</v>
      </c>
      <c r="E2554" s="54">
        <f>IFERROR(__xludf.DUMMYFUNCTION("""COMPUTED_VALUE"""),78900.0)</f>
        <v>78900</v>
      </c>
      <c r="F2554" s="3" t="str">
        <f>IFERROR(__xludf.DUMMYFUNCTION("""COMPUTED_VALUE"""),"Syrah Temp")</f>
        <v>Syrah Temp</v>
      </c>
      <c r="G2554" s="3"/>
      <c r="H2554" s="3"/>
      <c r="I2554" s="3"/>
      <c r="J2554" s="3"/>
      <c r="K2554" s="3"/>
      <c r="L2554" s="54">
        <f>IFERROR(__xludf.DUMMYFUNCTION("""COMPUTED_VALUE"""),41.0)</f>
        <v>41</v>
      </c>
      <c r="M2554" s="3"/>
      <c r="N2554" s="3"/>
      <c r="O2554" s="3"/>
      <c r="P2554" s="3"/>
      <c r="Q2554" s="3"/>
      <c r="R2554" s="3">
        <f>IFERROR(__xludf.DUMMYFUNCTION("""COMPUTED_VALUE"""),0.0)</f>
        <v>0</v>
      </c>
      <c r="S2554" s="3"/>
      <c r="T2554" s="5"/>
      <c r="U2554" s="5"/>
      <c r="V2554" s="5"/>
      <c r="W2554" s="5"/>
    </row>
    <row r="2555" ht="15.75" customHeight="1">
      <c r="A2555" s="3">
        <f>IFERROR(__xludf.DUMMYFUNCTION("""COMPUTED_VALUE"""),2555.0)</f>
        <v>2555</v>
      </c>
      <c r="B2555" s="53">
        <f>IFERROR(__xludf.DUMMYFUNCTION("""COMPUTED_VALUE"""),46183.0)</f>
        <v>46183</v>
      </c>
      <c r="C2555" s="3">
        <f>IFERROR(__xludf.DUMMYFUNCTION("""COMPUTED_VALUE"""),83.0)</f>
        <v>83</v>
      </c>
      <c r="D2555" s="3" t="str">
        <f>IFERROR(__xludf.DUMMYFUNCTION("""COMPUTED_VALUE"""),"504737c2")</f>
        <v>504737c2</v>
      </c>
      <c r="E2555" s="54">
        <f>IFERROR(__xludf.DUMMYFUNCTION("""COMPUTED_VALUE"""),81500.0)</f>
        <v>81500</v>
      </c>
      <c r="F2555" s="3" t="str">
        <f>IFERROR(__xludf.DUMMYFUNCTION("""COMPUTED_VALUE"""),"Bonarda")</f>
        <v>Bonarda</v>
      </c>
      <c r="G2555" s="3"/>
      <c r="H2555" s="3"/>
      <c r="I2555" s="3"/>
      <c r="J2555" s="3"/>
      <c r="K2555" s="3"/>
      <c r="L2555" s="54">
        <f>IFERROR(__xludf.DUMMYFUNCTION("""COMPUTED_VALUE"""),40.0)</f>
        <v>40</v>
      </c>
      <c r="M2555" s="3"/>
      <c r="N2555" s="3"/>
      <c r="O2555" s="3"/>
      <c r="P2555" s="3"/>
      <c r="Q2555" s="3"/>
      <c r="R2555" s="3">
        <f>IFERROR(__xludf.DUMMYFUNCTION("""COMPUTED_VALUE"""),0.0)</f>
        <v>0</v>
      </c>
      <c r="S2555" s="3"/>
      <c r="T2555" s="5"/>
      <c r="U2555" s="5"/>
      <c r="V2555" s="5"/>
      <c r="W2555" s="5"/>
    </row>
    <row r="2556" ht="15.75" customHeight="1">
      <c r="A2556" s="3">
        <f>IFERROR(__xludf.DUMMYFUNCTION("""COMPUTED_VALUE"""),2556.0)</f>
        <v>2556</v>
      </c>
      <c r="B2556" s="53">
        <f>IFERROR(__xludf.DUMMYFUNCTION("""COMPUTED_VALUE"""),46183.0)</f>
        <v>46183</v>
      </c>
      <c r="C2556" s="3">
        <f>IFERROR(__xludf.DUMMYFUNCTION("""COMPUTED_VALUE"""),89.0)</f>
        <v>89</v>
      </c>
      <c r="D2556" s="3" t="str">
        <f>IFERROR(__xludf.DUMMYFUNCTION("""COMPUTED_VALUE"""),"ac97825f")</f>
        <v>ac97825f</v>
      </c>
      <c r="E2556" s="54">
        <f>IFERROR(__xludf.DUMMYFUNCTION("""COMPUTED_VALUE"""),83500.0)</f>
        <v>83500</v>
      </c>
      <c r="F2556" s="3" t="str">
        <f>IFERROR(__xludf.DUMMYFUNCTION("""COMPUTED_VALUE"""),"Syrah Temp")</f>
        <v>Syrah Temp</v>
      </c>
      <c r="G2556" s="3"/>
      <c r="H2556" s="3"/>
      <c r="I2556" s="3"/>
      <c r="J2556" s="3"/>
      <c r="K2556" s="3"/>
      <c r="L2556" s="54">
        <f>IFERROR(__xludf.DUMMYFUNCTION("""COMPUTED_VALUE"""),37.0)</f>
        <v>37</v>
      </c>
      <c r="M2556" s="3"/>
      <c r="N2556" s="3"/>
      <c r="O2556" s="3"/>
      <c r="P2556" s="3"/>
      <c r="Q2556" s="3"/>
      <c r="R2556" s="3">
        <f>IFERROR(__xludf.DUMMYFUNCTION("""COMPUTED_VALUE"""),0.0)</f>
        <v>0</v>
      </c>
      <c r="S2556" s="3"/>
      <c r="T2556" s="5"/>
      <c r="U2556" s="5"/>
      <c r="V2556" s="5"/>
      <c r="W2556" s="5"/>
    </row>
    <row r="2557" ht="15.75" customHeight="1">
      <c r="A2557" s="3">
        <f>IFERROR(__xludf.DUMMYFUNCTION("""COMPUTED_VALUE"""),2557.0)</f>
        <v>2557</v>
      </c>
      <c r="B2557" s="53">
        <f>IFERROR(__xludf.DUMMYFUNCTION("""COMPUTED_VALUE"""),46183.0)</f>
        <v>46183</v>
      </c>
      <c r="C2557" s="3">
        <f>IFERROR(__xludf.DUMMYFUNCTION("""COMPUTED_VALUE"""),118.0)</f>
        <v>118</v>
      </c>
      <c r="D2557" s="3" t="str">
        <f>IFERROR(__xludf.DUMMYFUNCTION("""COMPUTED_VALUE"""),"9bb0e06f")</f>
        <v>9bb0e06f</v>
      </c>
      <c r="E2557" s="54">
        <f>IFERROR(__xludf.DUMMYFUNCTION("""COMPUTED_VALUE"""),155600.0)</f>
        <v>155600</v>
      </c>
      <c r="F2557" s="3" t="str">
        <f>IFERROR(__xludf.DUMMYFUNCTION("""COMPUTED_VALUE"""),"Malbec Lopez")</f>
        <v>Malbec Lopez</v>
      </c>
      <c r="G2557" s="3"/>
      <c r="H2557" s="3"/>
      <c r="I2557" s="3"/>
      <c r="J2557" s="3"/>
      <c r="K2557" s="3"/>
      <c r="L2557" s="54">
        <f>IFERROR(__xludf.DUMMYFUNCTION("""COMPUTED_VALUE"""),41.0)</f>
        <v>41</v>
      </c>
      <c r="M2557" s="3"/>
      <c r="N2557" s="3"/>
      <c r="O2557" s="3"/>
      <c r="P2557" s="3"/>
      <c r="Q2557" s="3"/>
      <c r="R2557" s="3">
        <f>IFERROR(__xludf.DUMMYFUNCTION("""COMPUTED_VALUE"""),0.0)</f>
        <v>0</v>
      </c>
      <c r="S2557" s="3"/>
      <c r="T2557" s="5"/>
      <c r="U2557" s="5"/>
      <c r="V2557" s="5"/>
      <c r="W2557" s="5"/>
    </row>
    <row r="2558" ht="15.75" customHeight="1">
      <c r="A2558" s="3">
        <f>IFERROR(__xludf.DUMMYFUNCTION("""COMPUTED_VALUE"""),2558.0)</f>
        <v>2558</v>
      </c>
      <c r="B2558" s="53">
        <f>IFERROR(__xludf.DUMMYFUNCTION("""COMPUTED_VALUE"""),46183.0)</f>
        <v>46183</v>
      </c>
      <c r="C2558" s="3">
        <f>IFERROR(__xludf.DUMMYFUNCTION("""COMPUTED_VALUE"""),65.0)</f>
        <v>65</v>
      </c>
      <c r="D2558" s="3" t="str">
        <f>IFERROR(__xludf.DUMMYFUNCTION("""COMPUTED_VALUE"""),"be5bdb25")</f>
        <v>be5bdb25</v>
      </c>
      <c r="E2558" s="54">
        <f>IFERROR(__xludf.DUMMYFUNCTION("""COMPUTED_VALUE"""),35500.0)</f>
        <v>35500</v>
      </c>
      <c r="F2558" s="3" t="str">
        <f>IFERROR(__xludf.DUMMYFUNCTION("""COMPUTED_VALUE"""),"Syrah")</f>
        <v>Syrah</v>
      </c>
      <c r="G2558" s="3"/>
      <c r="H2558" s="3"/>
      <c r="I2558" s="3"/>
      <c r="J2558" s="3"/>
      <c r="K2558" s="3"/>
      <c r="L2558" s="54">
        <f>IFERROR(__xludf.DUMMYFUNCTION("""COMPUTED_VALUE"""),45.0)</f>
        <v>45</v>
      </c>
      <c r="M2558" s="3"/>
      <c r="N2558" s="3"/>
      <c r="O2558" s="3"/>
      <c r="P2558" s="3"/>
      <c r="Q2558" s="3"/>
      <c r="R2558" s="3">
        <f>IFERROR(__xludf.DUMMYFUNCTION("""COMPUTED_VALUE"""),0.0)</f>
        <v>0</v>
      </c>
      <c r="S2558" s="3"/>
      <c r="T2558" s="5"/>
      <c r="U2558" s="5"/>
      <c r="V2558" s="5"/>
      <c r="W2558" s="5"/>
    </row>
    <row r="2559" ht="15.75" customHeight="1">
      <c r="A2559" s="3">
        <f>IFERROR(__xludf.DUMMYFUNCTION("""COMPUTED_VALUE"""),2559.0)</f>
        <v>2559</v>
      </c>
      <c r="B2559" s="53">
        <f>IFERROR(__xludf.DUMMYFUNCTION("""COMPUTED_VALUE"""),46183.0)</f>
        <v>46183</v>
      </c>
      <c r="C2559" s="3">
        <f>IFERROR(__xludf.DUMMYFUNCTION("""COMPUTED_VALUE"""),79.0)</f>
        <v>79</v>
      </c>
      <c r="D2559" s="3" t="str">
        <f>IFERROR(__xludf.DUMMYFUNCTION("""COMPUTED_VALUE"""),"79e2220e")</f>
        <v>79e2220e</v>
      </c>
      <c r="E2559" s="54">
        <f>IFERROR(__xludf.DUMMYFUNCTION("""COMPUTED_VALUE"""),26000.0)</f>
        <v>26000</v>
      </c>
      <c r="F2559" s="3" t="str">
        <f>IFERROR(__xludf.DUMMYFUNCTION("""COMPUTED_VALUE"""),"Syrah")</f>
        <v>Syrah</v>
      </c>
      <c r="G2559" s="3"/>
      <c r="H2559" s="3"/>
      <c r="I2559" s="3"/>
      <c r="J2559" s="3"/>
      <c r="K2559" s="3"/>
      <c r="L2559" s="54">
        <f>IFERROR(__xludf.DUMMYFUNCTION("""COMPUTED_VALUE"""),44.0)</f>
        <v>44</v>
      </c>
      <c r="M2559" s="3"/>
      <c r="N2559" s="3"/>
      <c r="O2559" s="3"/>
      <c r="P2559" s="3"/>
      <c r="Q2559" s="3"/>
      <c r="R2559" s="3">
        <f>IFERROR(__xludf.DUMMYFUNCTION("""COMPUTED_VALUE"""),0.0)</f>
        <v>0</v>
      </c>
      <c r="S2559" s="3"/>
      <c r="T2559" s="5"/>
      <c r="U2559" s="5"/>
      <c r="V2559" s="5"/>
      <c r="W2559" s="5"/>
    </row>
    <row r="2560" ht="15.75" customHeight="1">
      <c r="A2560" s="3">
        <f>IFERROR(__xludf.DUMMYFUNCTION("""COMPUTED_VALUE"""),2560.0)</f>
        <v>2560</v>
      </c>
      <c r="B2560" s="53">
        <f>IFERROR(__xludf.DUMMYFUNCTION("""COMPUTED_VALUE"""),46183.0)</f>
        <v>46183</v>
      </c>
      <c r="C2560" s="3">
        <f>IFERROR(__xludf.DUMMYFUNCTION("""COMPUTED_VALUE"""),71.0)</f>
        <v>71</v>
      </c>
      <c r="D2560" s="3" t="str">
        <f>IFERROR(__xludf.DUMMYFUNCTION("""COMPUTED_VALUE"""),"e9c60218")</f>
        <v>e9c60218</v>
      </c>
      <c r="E2560" s="54">
        <f>IFERROR(__xludf.DUMMYFUNCTION("""COMPUTED_VALUE"""),12000.0)</f>
        <v>12000</v>
      </c>
      <c r="F2560" s="3" t="str">
        <f>IFERROR(__xludf.DUMMYFUNCTION("""COMPUTED_VALUE"""),"Merlot s/Asp")</f>
        <v>Merlot s/Asp</v>
      </c>
      <c r="G2560" s="3"/>
      <c r="H2560" s="3"/>
      <c r="I2560" s="3"/>
      <c r="J2560" s="3"/>
      <c r="K2560" s="3"/>
      <c r="L2560" s="54">
        <f>IFERROR(__xludf.DUMMYFUNCTION("""COMPUTED_VALUE"""),40.0)</f>
        <v>40</v>
      </c>
      <c r="M2560" s="3"/>
      <c r="N2560" s="3"/>
      <c r="O2560" s="3"/>
      <c r="P2560" s="3"/>
      <c r="Q2560" s="3"/>
      <c r="R2560" s="3">
        <f>IFERROR(__xludf.DUMMYFUNCTION("""COMPUTED_VALUE"""),0.0)</f>
        <v>0</v>
      </c>
      <c r="S2560" s="3"/>
      <c r="T2560" s="5"/>
      <c r="U2560" s="5"/>
      <c r="V2560" s="5"/>
      <c r="W2560" s="5"/>
    </row>
    <row r="2561" ht="15.75" customHeight="1">
      <c r="A2561" s="3">
        <f>IFERROR(__xludf.DUMMYFUNCTION("""COMPUTED_VALUE"""),2561.0)</f>
        <v>2561</v>
      </c>
      <c r="B2561" s="53">
        <f>IFERROR(__xludf.DUMMYFUNCTION("""COMPUTED_VALUE"""),46183.0)</f>
        <v>46183</v>
      </c>
      <c r="C2561" s="3">
        <f>IFERROR(__xludf.DUMMYFUNCTION("""COMPUTED_VALUE"""),76.0)</f>
        <v>76</v>
      </c>
      <c r="D2561" s="3" t="str">
        <f>IFERROR(__xludf.DUMMYFUNCTION("""COMPUTED_VALUE"""),"70e78bdf")</f>
        <v>70e78bdf</v>
      </c>
      <c r="E2561" s="54">
        <f>IFERROR(__xludf.DUMMYFUNCTION("""COMPUTED_VALUE"""),25500.0)</f>
        <v>25500</v>
      </c>
      <c r="F2561" s="3" t="str">
        <f>IFERROR(__xludf.DUMMYFUNCTION("""COMPUTED_VALUE"""),"Syrah")</f>
        <v>Syrah</v>
      </c>
      <c r="G2561" s="3"/>
      <c r="H2561" s="3"/>
      <c r="I2561" s="3"/>
      <c r="J2561" s="3"/>
      <c r="K2561" s="3"/>
      <c r="L2561" s="54">
        <f>IFERROR(__xludf.DUMMYFUNCTION("""COMPUTED_VALUE"""),45.0)</f>
        <v>45</v>
      </c>
      <c r="M2561" s="3"/>
      <c r="N2561" s="3"/>
      <c r="O2561" s="3"/>
      <c r="P2561" s="3"/>
      <c r="Q2561" s="3"/>
      <c r="R2561" s="3">
        <f>IFERROR(__xludf.DUMMYFUNCTION("""COMPUTED_VALUE"""),0.0)</f>
        <v>0</v>
      </c>
      <c r="S2561" s="3"/>
      <c r="T2561" s="5"/>
      <c r="U2561" s="5"/>
      <c r="V2561" s="5"/>
      <c r="W2561" s="5"/>
    </row>
    <row r="2562" ht="15.75" customHeight="1">
      <c r="A2562" s="3">
        <f>IFERROR(__xludf.DUMMYFUNCTION("""COMPUTED_VALUE"""),2562.0)</f>
        <v>2562</v>
      </c>
      <c r="B2562" s="53">
        <f>IFERROR(__xludf.DUMMYFUNCTION("""COMPUTED_VALUE"""),46183.0)</f>
        <v>46183</v>
      </c>
      <c r="C2562" s="3">
        <f>IFERROR(__xludf.DUMMYFUNCTION("""COMPUTED_VALUE"""),91.0)</f>
        <v>91</v>
      </c>
      <c r="D2562" s="3" t="str">
        <f>IFERROR(__xludf.DUMMYFUNCTION("""COMPUTED_VALUE"""),"34fa2752")</f>
        <v>34fa2752</v>
      </c>
      <c r="E2562" s="54">
        <f>IFERROR(__xludf.DUMMYFUNCTION("""COMPUTED_VALUE"""),86000.0)</f>
        <v>86000</v>
      </c>
      <c r="F2562" s="3" t="str">
        <f>IFERROR(__xludf.DUMMYFUNCTION("""COMPUTED_VALUE"""),"Bonarda C2")</f>
        <v>Bonarda C2</v>
      </c>
      <c r="G2562" s="3"/>
      <c r="H2562" s="3"/>
      <c r="I2562" s="3"/>
      <c r="J2562" s="3"/>
      <c r="K2562" s="3"/>
      <c r="L2562" s="54">
        <f>IFERROR(__xludf.DUMMYFUNCTION("""COMPUTED_VALUE"""),35.0)</f>
        <v>35</v>
      </c>
      <c r="M2562" s="3"/>
      <c r="N2562" s="3"/>
      <c r="O2562" s="3"/>
      <c r="P2562" s="3"/>
      <c r="Q2562" s="3"/>
      <c r="R2562" s="3">
        <f>IFERROR(__xludf.DUMMYFUNCTION("""COMPUTED_VALUE"""),0.0)</f>
        <v>0</v>
      </c>
      <c r="S2562" s="3"/>
      <c r="T2562" s="5"/>
      <c r="U2562" s="5"/>
      <c r="V2562" s="5"/>
      <c r="W2562" s="5"/>
    </row>
    <row r="2563" ht="15.75" customHeight="1">
      <c r="A2563" s="3">
        <f>IFERROR(__xludf.DUMMYFUNCTION("""COMPUTED_VALUE"""),2563.0)</f>
        <v>2563</v>
      </c>
      <c r="B2563" s="53">
        <f>IFERROR(__xludf.DUMMYFUNCTION("""COMPUTED_VALUE"""),46183.0)</f>
        <v>46183</v>
      </c>
      <c r="C2563" s="3">
        <f>IFERROR(__xludf.DUMMYFUNCTION("""COMPUTED_VALUE"""),127.0)</f>
        <v>127</v>
      </c>
      <c r="D2563" s="3" t="str">
        <f>IFERROR(__xludf.DUMMYFUNCTION("""COMPUTED_VALUE"""),"d3010d76")</f>
        <v>d3010d76</v>
      </c>
      <c r="E2563" s="54">
        <f>IFERROR(__xludf.DUMMYFUNCTION("""COMPUTED_VALUE"""),31000.0)</f>
        <v>31000</v>
      </c>
      <c r="F2563" s="3" t="str">
        <f>IFERROR(__xludf.DUMMYFUNCTION("""COMPUTED_VALUE"""),"Malbec")</f>
        <v>Malbec</v>
      </c>
      <c r="G2563" s="3"/>
      <c r="H2563" s="3"/>
      <c r="I2563" s="3"/>
      <c r="J2563" s="3"/>
      <c r="K2563" s="3"/>
      <c r="L2563" s="54">
        <f>IFERROR(__xludf.DUMMYFUNCTION("""COMPUTED_VALUE"""),38.0)</f>
        <v>38</v>
      </c>
      <c r="M2563" s="3"/>
      <c r="N2563" s="3"/>
      <c r="O2563" s="3"/>
      <c r="P2563" s="3"/>
      <c r="Q2563" s="3"/>
      <c r="R2563" s="3">
        <f>IFERROR(__xludf.DUMMYFUNCTION("""COMPUTED_VALUE"""),0.0)</f>
        <v>0</v>
      </c>
      <c r="S2563" s="3"/>
      <c r="T2563" s="5"/>
      <c r="U2563" s="5"/>
      <c r="V2563" s="5"/>
      <c r="W2563" s="5"/>
    </row>
    <row r="2564" ht="15.75" customHeight="1">
      <c r="A2564" s="3">
        <f>IFERROR(__xludf.DUMMYFUNCTION("""COMPUTED_VALUE"""),2564.0)</f>
        <v>2564</v>
      </c>
      <c r="B2564" s="53">
        <f>IFERROR(__xludf.DUMMYFUNCTION("""COMPUTED_VALUE"""),46183.0)</f>
        <v>46183</v>
      </c>
      <c r="C2564" s="3">
        <f>IFERROR(__xludf.DUMMYFUNCTION("""COMPUTED_VALUE"""),115.0)</f>
        <v>115</v>
      </c>
      <c r="D2564" s="3" t="str">
        <f>IFERROR(__xludf.DUMMYFUNCTION("""COMPUTED_VALUE"""),"bd824973")</f>
        <v>bd824973</v>
      </c>
      <c r="E2564" s="54">
        <f>IFERROR(__xludf.DUMMYFUNCTION("""COMPUTED_VALUE"""),120200.0)</f>
        <v>120200</v>
      </c>
      <c r="F2564" s="3" t="str">
        <f>IFERROR(__xludf.DUMMYFUNCTION("""COMPUTED_VALUE"""),"Malbec")</f>
        <v>Malbec</v>
      </c>
      <c r="G2564" s="3"/>
      <c r="H2564" s="3"/>
      <c r="I2564" s="3"/>
      <c r="J2564" s="3"/>
      <c r="K2564" s="3"/>
      <c r="L2564" s="54">
        <f>IFERROR(__xludf.DUMMYFUNCTION("""COMPUTED_VALUE"""),39.0)</f>
        <v>39</v>
      </c>
      <c r="M2564" s="3"/>
      <c r="N2564" s="3"/>
      <c r="O2564" s="3"/>
      <c r="P2564" s="3"/>
      <c r="Q2564" s="3"/>
      <c r="R2564" s="3">
        <f>IFERROR(__xludf.DUMMYFUNCTION("""COMPUTED_VALUE"""),0.0)</f>
        <v>0</v>
      </c>
      <c r="S2564" s="3"/>
      <c r="T2564" s="5"/>
      <c r="U2564" s="5"/>
      <c r="V2564" s="5"/>
      <c r="W2564" s="5"/>
    </row>
    <row r="2565" ht="15.75" customHeight="1">
      <c r="A2565" s="3">
        <f>IFERROR(__xludf.DUMMYFUNCTION("""COMPUTED_VALUE"""),2565.0)</f>
        <v>2565</v>
      </c>
      <c r="B2565" s="53">
        <f>IFERROR(__xludf.DUMMYFUNCTION("""COMPUTED_VALUE"""),46183.0)</f>
        <v>46183</v>
      </c>
      <c r="C2565" s="3">
        <f>IFERROR(__xludf.DUMMYFUNCTION("""COMPUTED_VALUE"""),81.0)</f>
        <v>81</v>
      </c>
      <c r="D2565" s="3" t="str">
        <f>IFERROR(__xludf.DUMMYFUNCTION("""COMPUTED_VALUE"""),"c195697b")</f>
        <v>c195697b</v>
      </c>
      <c r="E2565" s="54">
        <f>IFERROR(__xludf.DUMMYFUNCTION("""COMPUTED_VALUE"""),26500.0)</f>
        <v>26500</v>
      </c>
      <c r="F2565" s="3" t="str">
        <f>IFERROR(__xludf.DUMMYFUNCTION("""COMPUTED_VALUE"""),"Syrah")</f>
        <v>Syrah</v>
      </c>
      <c r="G2565" s="3"/>
      <c r="H2565" s="3"/>
      <c r="I2565" s="3"/>
      <c r="J2565" s="3"/>
      <c r="K2565" s="3"/>
      <c r="L2565" s="54">
        <f>IFERROR(__xludf.DUMMYFUNCTION("""COMPUTED_VALUE"""),38.0)</f>
        <v>38</v>
      </c>
      <c r="M2565" s="3"/>
      <c r="N2565" s="3"/>
      <c r="O2565" s="3"/>
      <c r="P2565" s="3"/>
      <c r="Q2565" s="3"/>
      <c r="R2565" s="3">
        <f>IFERROR(__xludf.DUMMYFUNCTION("""COMPUTED_VALUE"""),0.0)</f>
        <v>0</v>
      </c>
      <c r="S2565" s="3"/>
      <c r="T2565" s="5"/>
      <c r="U2565" s="5"/>
      <c r="V2565" s="5"/>
      <c r="W2565" s="5"/>
    </row>
    <row r="2566" ht="15.75" customHeight="1">
      <c r="A2566" s="3">
        <f>IFERROR(__xludf.DUMMYFUNCTION("""COMPUTED_VALUE"""),2566.0)</f>
        <v>2566</v>
      </c>
      <c r="B2566" s="53">
        <f>IFERROR(__xludf.DUMMYFUNCTION("""COMPUTED_VALUE"""),46183.0)</f>
        <v>46183</v>
      </c>
      <c r="C2566" s="3">
        <f>IFERROR(__xludf.DUMMYFUNCTION("""COMPUTED_VALUE"""),115.0)</f>
        <v>115</v>
      </c>
      <c r="D2566" s="3" t="str">
        <f>IFERROR(__xludf.DUMMYFUNCTION("""COMPUTED_VALUE"""),"bd824973")</f>
        <v>bd824973</v>
      </c>
      <c r="E2566" s="54">
        <f>IFERROR(__xludf.DUMMYFUNCTION("""COMPUTED_VALUE"""),120200.0)</f>
        <v>120200</v>
      </c>
      <c r="F2566" s="3" t="str">
        <f>IFERROR(__xludf.DUMMYFUNCTION("""COMPUTED_VALUE"""),"Malbec")</f>
        <v>Malbec</v>
      </c>
      <c r="G2566" s="3"/>
      <c r="H2566" s="3"/>
      <c r="I2566" s="3"/>
      <c r="J2566" s="3"/>
      <c r="K2566" s="3"/>
      <c r="L2566" s="3"/>
      <c r="M2566" s="3"/>
      <c r="N2566" s="3"/>
      <c r="O2566" s="3"/>
      <c r="P2566" s="3"/>
      <c r="Q2566" s="3"/>
      <c r="R2566" s="3">
        <f>IFERROR(__xludf.DUMMYFUNCTION("""COMPUTED_VALUE"""),0.0)</f>
        <v>0</v>
      </c>
      <c r="S2566" s="3"/>
      <c r="T2566" s="5"/>
      <c r="U2566" s="5"/>
      <c r="V2566" s="5"/>
      <c r="W2566" s="5"/>
    </row>
    <row r="2567" ht="15.75" customHeight="1">
      <c r="A2567" s="3">
        <f>IFERROR(__xludf.DUMMYFUNCTION("""COMPUTED_VALUE"""),2567.0)</f>
        <v>2567</v>
      </c>
      <c r="B2567" s="3"/>
      <c r="C2567" s="3">
        <f>IFERROR(__xludf.DUMMYFUNCTION("""COMPUTED_VALUE"""),16.0)</f>
        <v>16</v>
      </c>
      <c r="D2567" s="3" t="str">
        <f>IFERROR(__xludf.DUMMYFUNCTION("""COMPUTED_VALUE"""),"759ddcbc")</f>
        <v>759ddcbc</v>
      </c>
      <c r="E2567" s="54">
        <f>IFERROR(__xludf.DUMMYFUNCTION("""COMPUTED_VALUE"""),19500.0)</f>
        <v>19500</v>
      </c>
      <c r="F2567" s="3" t="str">
        <f>IFERROR(__xludf.DUMMYFUNCTION("""COMPUTED_VALUE"""),"Criolla Recarga")</f>
        <v>Criolla Recarga</v>
      </c>
      <c r="G2567" s="3"/>
      <c r="H2567" s="3"/>
      <c r="I2567" s="3"/>
      <c r="J2567" s="3"/>
      <c r="K2567" s="3"/>
      <c r="L2567" s="3"/>
      <c r="M2567" s="3"/>
      <c r="N2567" s="3"/>
      <c r="O2567" s="3"/>
      <c r="P2567" s="3"/>
      <c r="Q2567" s="3"/>
      <c r="R2567" s="3">
        <f>IFERROR(__xludf.DUMMYFUNCTION("""COMPUTED_VALUE"""),0.0)</f>
        <v>0</v>
      </c>
      <c r="S2567" s="3"/>
      <c r="T2567" s="5"/>
      <c r="U2567" s="5"/>
      <c r="V2567" s="5"/>
      <c r="W2567" s="5"/>
    </row>
    <row r="2568" ht="15.75" customHeight="1">
      <c r="A2568" s="3">
        <f>IFERROR(__xludf.DUMMYFUNCTION("""COMPUTED_VALUE"""),2568.0)</f>
        <v>2568</v>
      </c>
      <c r="B2568" s="3"/>
      <c r="C2568" s="3">
        <f>IFERROR(__xludf.DUMMYFUNCTION("""COMPUTED_VALUE"""),24.0)</f>
        <v>24</v>
      </c>
      <c r="D2568" s="3" t="str">
        <f>IFERROR(__xludf.DUMMYFUNCTION("""COMPUTED_VALUE"""),"ed85e417")</f>
        <v>ed85e417</v>
      </c>
      <c r="E2568" s="54">
        <f>IFERROR(__xludf.DUMMYFUNCTION("""COMPUTED_VALUE"""),156500.0)</f>
        <v>156500</v>
      </c>
      <c r="F2568" s="3" t="str">
        <f>IFERROR(__xludf.DUMMYFUNCTION("""COMPUTED_VALUE"""),"Malbec")</f>
        <v>Malbec</v>
      </c>
      <c r="G2568" s="3"/>
      <c r="H2568" s="3"/>
      <c r="I2568" s="3"/>
      <c r="J2568" s="3"/>
      <c r="K2568" s="3"/>
      <c r="L2568" s="3"/>
      <c r="M2568" s="3"/>
      <c r="N2568" s="3"/>
      <c r="O2568" s="3"/>
      <c r="P2568" s="3"/>
      <c r="Q2568" s="3"/>
      <c r="R2568" s="3">
        <f>IFERROR(__xludf.DUMMYFUNCTION("""COMPUTED_VALUE"""),0.0)</f>
        <v>0</v>
      </c>
      <c r="S2568" s="3"/>
      <c r="T2568" s="5"/>
      <c r="U2568" s="5"/>
      <c r="V2568" s="5"/>
      <c r="W2568" s="5"/>
    </row>
    <row r="2569" ht="15.75" customHeight="1">
      <c r="A2569" s="3">
        <f>IFERROR(__xludf.DUMMYFUNCTION("""COMPUTED_VALUE"""),2569.0)</f>
        <v>2569</v>
      </c>
      <c r="B2569" s="3"/>
      <c r="C2569" s="3">
        <f>IFERROR(__xludf.DUMMYFUNCTION("""COMPUTED_VALUE"""),45.0)</f>
        <v>45</v>
      </c>
      <c r="D2569" s="3" t="str">
        <f>IFERROR(__xludf.DUMMYFUNCTION("""COMPUTED_VALUE"""),"8f769dd7")</f>
        <v>8f769dd7</v>
      </c>
      <c r="E2569" s="54">
        <f>IFERROR(__xludf.DUMMYFUNCTION("""COMPUTED_VALUE"""),30000.0)</f>
        <v>30000</v>
      </c>
      <c r="F2569" s="3" t="str">
        <f>IFERROR(__xludf.DUMMYFUNCTION("""COMPUTED_VALUE"""),"Syrah")</f>
        <v>Syrah</v>
      </c>
      <c r="G2569" s="3"/>
      <c r="H2569" s="3"/>
      <c r="I2569" s="3"/>
      <c r="J2569" s="3"/>
      <c r="K2569" s="3"/>
      <c r="L2569" s="3"/>
      <c r="M2569" s="3"/>
      <c r="N2569" s="3"/>
      <c r="O2569" s="3"/>
      <c r="P2569" s="3"/>
      <c r="Q2569" s="3"/>
      <c r="R2569" s="3">
        <f>IFERROR(__xludf.DUMMYFUNCTION("""COMPUTED_VALUE"""),0.0)</f>
        <v>0</v>
      </c>
      <c r="S2569" s="3"/>
      <c r="T2569" s="5"/>
      <c r="U2569" s="5"/>
      <c r="V2569" s="5"/>
      <c r="W2569" s="5"/>
    </row>
    <row r="2570" ht="15.75" customHeight="1">
      <c r="A2570" s="3">
        <f>IFERROR(__xludf.DUMMYFUNCTION("""COMPUTED_VALUE"""),2570.0)</f>
        <v>2570</v>
      </c>
      <c r="B2570" s="3"/>
      <c r="C2570" s="3">
        <f>IFERROR(__xludf.DUMMYFUNCTION("""COMPUTED_VALUE"""),65.0)</f>
        <v>65</v>
      </c>
      <c r="D2570" s="3" t="str">
        <f>IFERROR(__xludf.DUMMYFUNCTION("""COMPUTED_VALUE"""),"be5bdb25")</f>
        <v>be5bdb25</v>
      </c>
      <c r="E2570" s="54">
        <f>IFERROR(__xludf.DUMMYFUNCTION("""COMPUTED_VALUE"""),35500.0)</f>
        <v>35500</v>
      </c>
      <c r="F2570" s="3" t="str">
        <f>IFERROR(__xludf.DUMMYFUNCTION("""COMPUTED_VALUE"""),"Syrah")</f>
        <v>Syrah</v>
      </c>
      <c r="G2570" s="3"/>
      <c r="H2570" s="3"/>
      <c r="I2570" s="3"/>
      <c r="J2570" s="3"/>
      <c r="K2570" s="3"/>
      <c r="L2570" s="3"/>
      <c r="M2570" s="3"/>
      <c r="N2570" s="3"/>
      <c r="O2570" s="3"/>
      <c r="P2570" s="3"/>
      <c r="Q2570" s="3"/>
      <c r="R2570" s="3">
        <f>IFERROR(__xludf.DUMMYFUNCTION("""COMPUTED_VALUE"""),0.0)</f>
        <v>0</v>
      </c>
      <c r="S2570" s="3"/>
      <c r="T2570" s="5"/>
      <c r="U2570" s="5"/>
      <c r="V2570" s="5"/>
      <c r="W2570" s="5"/>
    </row>
    <row r="2571" ht="15.75" customHeight="1">
      <c r="A2571" s="3">
        <f>IFERROR(__xludf.DUMMYFUNCTION("""COMPUTED_VALUE"""),2571.0)</f>
        <v>2571</v>
      </c>
      <c r="B2571" s="3"/>
      <c r="C2571" s="3">
        <f>IFERROR(__xludf.DUMMYFUNCTION("""COMPUTED_VALUE"""),73.0)</f>
        <v>73</v>
      </c>
      <c r="D2571" s="3" t="str">
        <f>IFERROR(__xludf.DUMMYFUNCTION("""COMPUTED_VALUE"""),"d70658e5")</f>
        <v>d70658e5</v>
      </c>
      <c r="E2571" s="54">
        <f>IFERROR(__xludf.DUMMYFUNCTION("""COMPUTED_VALUE"""),13000.0)</f>
        <v>13000</v>
      </c>
      <c r="F2571" s="3" t="str">
        <f>IFERROR(__xludf.DUMMYFUNCTION("""COMPUTED_VALUE"""),"Syrah")</f>
        <v>Syrah</v>
      </c>
      <c r="G2571" s="3"/>
      <c r="H2571" s="3"/>
      <c r="I2571" s="3"/>
      <c r="J2571" s="3"/>
      <c r="K2571" s="3"/>
      <c r="L2571" s="3"/>
      <c r="M2571" s="3"/>
      <c r="N2571" s="3"/>
      <c r="O2571" s="3"/>
      <c r="P2571" s="3"/>
      <c r="Q2571" s="3"/>
      <c r="R2571" s="3">
        <f>IFERROR(__xludf.DUMMYFUNCTION("""COMPUTED_VALUE"""),0.0)</f>
        <v>0</v>
      </c>
      <c r="S2571" s="3"/>
      <c r="T2571" s="5"/>
      <c r="U2571" s="5"/>
      <c r="V2571" s="5"/>
      <c r="W2571" s="5"/>
    </row>
    <row r="2572" ht="15.75" customHeight="1">
      <c r="A2572" s="3">
        <f>IFERROR(__xludf.DUMMYFUNCTION("""COMPUTED_VALUE"""),2572.0)</f>
        <v>2572</v>
      </c>
      <c r="B2572" s="3"/>
      <c r="C2572" s="3">
        <f>IFERROR(__xludf.DUMMYFUNCTION("""COMPUTED_VALUE"""),76.0)</f>
        <v>76</v>
      </c>
      <c r="D2572" s="3" t="str">
        <f>IFERROR(__xludf.DUMMYFUNCTION("""COMPUTED_VALUE"""),"70e78bdf")</f>
        <v>70e78bdf</v>
      </c>
      <c r="E2572" s="54">
        <f>IFERROR(__xludf.DUMMYFUNCTION("""COMPUTED_VALUE"""),25500.0)</f>
        <v>25500</v>
      </c>
      <c r="F2572" s="3" t="str">
        <f>IFERROR(__xludf.DUMMYFUNCTION("""COMPUTED_VALUE"""),"Syrah")</f>
        <v>Syrah</v>
      </c>
      <c r="G2572" s="3"/>
      <c r="H2572" s="3"/>
      <c r="I2572" s="3"/>
      <c r="J2572" s="3"/>
      <c r="K2572" s="3"/>
      <c r="L2572" s="3"/>
      <c r="M2572" s="3"/>
      <c r="N2572" s="3"/>
      <c r="O2572" s="3"/>
      <c r="P2572" s="3"/>
      <c r="Q2572" s="3"/>
      <c r="R2572" s="3">
        <f>IFERROR(__xludf.DUMMYFUNCTION("""COMPUTED_VALUE"""),0.0)</f>
        <v>0</v>
      </c>
      <c r="S2572" s="3"/>
      <c r="T2572" s="5"/>
      <c r="U2572" s="5"/>
      <c r="V2572" s="5"/>
      <c r="W2572" s="5"/>
    </row>
    <row r="2573" ht="15.75" customHeight="1">
      <c r="A2573" s="3">
        <f>IFERROR(__xludf.DUMMYFUNCTION("""COMPUTED_VALUE"""),2573.0)</f>
        <v>2573</v>
      </c>
      <c r="B2573" s="3"/>
      <c r="C2573" s="3">
        <f>IFERROR(__xludf.DUMMYFUNCTION("""COMPUTED_VALUE"""),79.0)</f>
        <v>79</v>
      </c>
      <c r="D2573" s="3" t="str">
        <f>IFERROR(__xludf.DUMMYFUNCTION("""COMPUTED_VALUE"""),"79e2220e")</f>
        <v>79e2220e</v>
      </c>
      <c r="E2573" s="54">
        <f>IFERROR(__xludf.DUMMYFUNCTION("""COMPUTED_VALUE"""),26000.0)</f>
        <v>26000</v>
      </c>
      <c r="F2573" s="3" t="str">
        <f>IFERROR(__xludf.DUMMYFUNCTION("""COMPUTED_VALUE"""),"Syrah")</f>
        <v>Syrah</v>
      </c>
      <c r="G2573" s="3"/>
      <c r="H2573" s="3"/>
      <c r="I2573" s="3"/>
      <c r="J2573" s="3"/>
      <c r="K2573" s="3"/>
      <c r="L2573" s="3"/>
      <c r="M2573" s="3"/>
      <c r="N2573" s="3"/>
      <c r="O2573" s="3"/>
      <c r="P2573" s="3"/>
      <c r="Q2573" s="3"/>
      <c r="R2573" s="3">
        <f>IFERROR(__xludf.DUMMYFUNCTION("""COMPUTED_VALUE"""),0.0)</f>
        <v>0</v>
      </c>
      <c r="S2573" s="3"/>
      <c r="T2573" s="5"/>
      <c r="U2573" s="5"/>
      <c r="V2573" s="5"/>
      <c r="W2573" s="5"/>
    </row>
    <row r="2574" ht="15.75" customHeight="1">
      <c r="A2574" s="3">
        <f>IFERROR(__xludf.DUMMYFUNCTION("""COMPUTED_VALUE"""),2574.0)</f>
        <v>2574</v>
      </c>
      <c r="B2574" s="3"/>
      <c r="C2574" s="3">
        <f>IFERROR(__xludf.DUMMYFUNCTION("""COMPUTED_VALUE"""),81.0)</f>
        <v>81</v>
      </c>
      <c r="D2574" s="3" t="str">
        <f>IFERROR(__xludf.DUMMYFUNCTION("""COMPUTED_VALUE"""),"c195697b")</f>
        <v>c195697b</v>
      </c>
      <c r="E2574" s="54">
        <f>IFERROR(__xludf.DUMMYFUNCTION("""COMPUTED_VALUE"""),26500.0)</f>
        <v>26500</v>
      </c>
      <c r="F2574" s="3" t="str">
        <f>IFERROR(__xludf.DUMMYFUNCTION("""COMPUTED_VALUE"""),"Syrah")</f>
        <v>Syrah</v>
      </c>
      <c r="G2574" s="3"/>
      <c r="H2574" s="3"/>
      <c r="I2574" s="3"/>
      <c r="J2574" s="3"/>
      <c r="K2574" s="3"/>
      <c r="L2574" s="3"/>
      <c r="M2574" s="3"/>
      <c r="N2574" s="3"/>
      <c r="O2574" s="3"/>
      <c r="P2574" s="3"/>
      <c r="Q2574" s="3"/>
      <c r="R2574" s="3">
        <f>IFERROR(__xludf.DUMMYFUNCTION("""COMPUTED_VALUE"""),0.0)</f>
        <v>0</v>
      </c>
      <c r="S2574" s="3"/>
      <c r="T2574" s="5"/>
      <c r="U2574" s="5"/>
      <c r="V2574" s="5"/>
      <c r="W2574" s="5"/>
    </row>
    <row r="2575" ht="15.75" customHeight="1">
      <c r="A2575" s="3">
        <f>IFERROR(__xludf.DUMMYFUNCTION("""COMPUTED_VALUE"""),2575.0)</f>
        <v>2575</v>
      </c>
      <c r="B2575" s="3"/>
      <c r="C2575" s="3">
        <f>IFERROR(__xludf.DUMMYFUNCTION("""COMPUTED_VALUE"""),65.0)</f>
        <v>65</v>
      </c>
      <c r="D2575" s="3" t="str">
        <f>IFERROR(__xludf.DUMMYFUNCTION("""COMPUTED_VALUE"""),"be5bdb25")</f>
        <v>be5bdb25</v>
      </c>
      <c r="E2575" s="54">
        <f>IFERROR(__xludf.DUMMYFUNCTION("""COMPUTED_VALUE"""),35500.0)</f>
        <v>35500</v>
      </c>
      <c r="F2575" s="3" t="str">
        <f>IFERROR(__xludf.DUMMYFUNCTION("""COMPUTED_VALUE"""),"Syrah")</f>
        <v>Syrah</v>
      </c>
      <c r="G2575" s="3"/>
      <c r="H2575" s="3"/>
      <c r="I2575" s="3"/>
      <c r="J2575" s="3"/>
      <c r="K2575" s="3"/>
      <c r="L2575" s="3"/>
      <c r="M2575" s="3"/>
      <c r="N2575" s="3"/>
      <c r="O2575" s="3"/>
      <c r="P2575" s="3"/>
      <c r="Q2575" s="3"/>
      <c r="R2575" s="3">
        <f>IFERROR(__xludf.DUMMYFUNCTION("""COMPUTED_VALUE"""),0.0)</f>
        <v>0</v>
      </c>
      <c r="S2575" s="3"/>
      <c r="T2575" s="5"/>
      <c r="U2575" s="5"/>
      <c r="V2575" s="5"/>
      <c r="W2575" s="5"/>
    </row>
    <row r="2576" ht="15.75" customHeight="1">
      <c r="A2576" s="3">
        <f>IFERROR(__xludf.DUMMYFUNCTION("""COMPUTED_VALUE"""),2576.0)</f>
        <v>2576</v>
      </c>
      <c r="B2576" s="3"/>
      <c r="C2576" s="3">
        <f>IFERROR(__xludf.DUMMYFUNCTION("""COMPUTED_VALUE"""),41.0)</f>
        <v>41</v>
      </c>
      <c r="D2576" s="3" t="str">
        <f>IFERROR(__xludf.DUMMYFUNCTION("""COMPUTED_VALUE"""),"f5897d1f")</f>
        <v>f5897d1f</v>
      </c>
      <c r="E2576" s="54">
        <f>IFERROR(__xludf.DUMMYFUNCTION("""COMPUTED_VALUE"""),35100.0)</f>
        <v>35100</v>
      </c>
      <c r="F2576" s="3" t="str">
        <f>IFERROR(__xludf.DUMMYFUNCTION("""COMPUTED_VALUE"""),"Bonarda")</f>
        <v>Bonarda</v>
      </c>
      <c r="G2576" s="3"/>
      <c r="H2576" s="3"/>
      <c r="I2576" s="3"/>
      <c r="J2576" s="3"/>
      <c r="K2576" s="3"/>
      <c r="L2576" s="3"/>
      <c r="M2576" s="3"/>
      <c r="N2576" s="3"/>
      <c r="O2576" s="3"/>
      <c r="P2576" s="3"/>
      <c r="Q2576" s="3"/>
      <c r="R2576" s="3">
        <f>IFERROR(__xludf.DUMMYFUNCTION("""COMPUTED_VALUE"""),0.0)</f>
        <v>0</v>
      </c>
      <c r="S2576" s="3"/>
      <c r="T2576" s="5"/>
      <c r="U2576" s="5"/>
      <c r="V2576" s="5"/>
      <c r="W2576" s="5"/>
    </row>
    <row r="2577" ht="15.75" customHeight="1">
      <c r="A2577" s="3">
        <f>IFERROR(__xludf.DUMMYFUNCTION("""COMPUTED_VALUE"""),2577.0)</f>
        <v>2577</v>
      </c>
      <c r="B2577" s="3"/>
      <c r="C2577" s="3">
        <f>IFERROR(__xludf.DUMMYFUNCTION("""COMPUTED_VALUE"""),47.0)</f>
        <v>47</v>
      </c>
      <c r="D2577" s="3" t="str">
        <f>IFERROR(__xludf.DUMMYFUNCTION("""COMPUTED_VALUE"""),"12927267")</f>
        <v>12927267</v>
      </c>
      <c r="E2577" s="54">
        <f>IFERROR(__xludf.DUMMYFUNCTION("""COMPUTED_VALUE"""),20000.0)</f>
        <v>20000</v>
      </c>
      <c r="F2577" s="3" t="str">
        <f>IFERROR(__xludf.DUMMYFUNCTION("""COMPUTED_VALUE"""),"Criolla Recarga")</f>
        <v>Criolla Recarga</v>
      </c>
      <c r="G2577" s="3"/>
      <c r="H2577" s="3"/>
      <c r="I2577" s="3"/>
      <c r="J2577" s="3"/>
      <c r="K2577" s="3"/>
      <c r="L2577" s="3"/>
      <c r="M2577" s="3"/>
      <c r="N2577" s="3"/>
      <c r="O2577" s="3"/>
      <c r="P2577" s="3"/>
      <c r="Q2577" s="3"/>
      <c r="R2577" s="3">
        <f>IFERROR(__xludf.DUMMYFUNCTION("""COMPUTED_VALUE"""),0.0)</f>
        <v>0</v>
      </c>
      <c r="S2577" s="3"/>
      <c r="T2577" s="5"/>
      <c r="U2577" s="5"/>
      <c r="V2577" s="5"/>
      <c r="W2577" s="5"/>
    </row>
    <row r="2578" ht="15.75" customHeight="1">
      <c r="A2578" s="3">
        <f>IFERROR(__xludf.DUMMYFUNCTION("""COMPUTED_VALUE"""),2578.0)</f>
        <v>2578</v>
      </c>
      <c r="B2578" s="3"/>
      <c r="C2578" s="3">
        <f>IFERROR(__xludf.DUMMYFUNCTION("""COMPUTED_VALUE"""),71.0)</f>
        <v>71</v>
      </c>
      <c r="D2578" s="3" t="str">
        <f>IFERROR(__xludf.DUMMYFUNCTION("""COMPUTED_VALUE"""),"e9c60218")</f>
        <v>e9c60218</v>
      </c>
      <c r="E2578" s="54">
        <f>IFERROR(__xludf.DUMMYFUNCTION("""COMPUTED_VALUE"""),12000.0)</f>
        <v>12000</v>
      </c>
      <c r="F2578" s="3" t="str">
        <f>IFERROR(__xludf.DUMMYFUNCTION("""COMPUTED_VALUE"""),"Merlot s/Asp")</f>
        <v>Merlot s/Asp</v>
      </c>
      <c r="G2578" s="3"/>
      <c r="H2578" s="3"/>
      <c r="I2578" s="3"/>
      <c r="J2578" s="3"/>
      <c r="K2578" s="3"/>
      <c r="L2578" s="3"/>
      <c r="M2578" s="3"/>
      <c r="N2578" s="3"/>
      <c r="O2578" s="3"/>
      <c r="P2578" s="3"/>
      <c r="Q2578" s="3"/>
      <c r="R2578" s="3">
        <f>IFERROR(__xludf.DUMMYFUNCTION("""COMPUTED_VALUE"""),0.0)</f>
        <v>0</v>
      </c>
      <c r="S2578" s="3"/>
      <c r="T2578" s="5"/>
      <c r="U2578" s="5"/>
      <c r="V2578" s="5"/>
      <c r="W2578" s="5"/>
    </row>
    <row r="2579" ht="15.75" customHeight="1">
      <c r="A2579" s="3">
        <f>IFERROR(__xludf.DUMMYFUNCTION("""COMPUTED_VALUE"""),2579.0)</f>
        <v>2579</v>
      </c>
      <c r="B2579" s="3"/>
      <c r="C2579" s="3">
        <f>IFERROR(__xludf.DUMMYFUNCTION("""COMPUTED_VALUE"""),80.0)</f>
        <v>80</v>
      </c>
      <c r="D2579" s="3" t="str">
        <f>IFERROR(__xludf.DUMMYFUNCTION("""COMPUTED_VALUE"""),"eef7208a")</f>
        <v>eef7208a</v>
      </c>
      <c r="E2579" s="54">
        <f>IFERROR(__xludf.DUMMYFUNCTION("""COMPUTED_VALUE"""),26100.0)</f>
        <v>26100</v>
      </c>
      <c r="F2579" s="3" t="str">
        <f>IFERROR(__xludf.DUMMYFUNCTION("""COMPUTED_VALUE"""),"Aspirant")</f>
        <v>Aspirant</v>
      </c>
      <c r="G2579" s="3"/>
      <c r="H2579" s="3"/>
      <c r="I2579" s="3"/>
      <c r="J2579" s="3"/>
      <c r="K2579" s="3"/>
      <c r="L2579" s="3"/>
      <c r="M2579" s="3"/>
      <c r="N2579" s="3"/>
      <c r="O2579" s="3"/>
      <c r="P2579" s="3"/>
      <c r="Q2579" s="3"/>
      <c r="R2579" s="3">
        <f>IFERROR(__xludf.DUMMYFUNCTION("""COMPUTED_VALUE"""),0.0)</f>
        <v>0</v>
      </c>
      <c r="S2579" s="3"/>
      <c r="T2579" s="5"/>
      <c r="U2579" s="5"/>
      <c r="V2579" s="5"/>
      <c r="W2579" s="5"/>
    </row>
    <row r="2580" ht="15.75" customHeight="1">
      <c r="A2580" s="3">
        <f>IFERROR(__xludf.DUMMYFUNCTION("""COMPUTED_VALUE"""),2580.0)</f>
        <v>2580</v>
      </c>
      <c r="B2580" s="3"/>
      <c r="C2580" s="3">
        <f>IFERROR(__xludf.DUMMYFUNCTION("""COMPUTED_VALUE"""),87.0)</f>
        <v>87</v>
      </c>
      <c r="D2580" s="3" t="str">
        <f>IFERROR(__xludf.DUMMYFUNCTION("""COMPUTED_VALUE"""),"6b437cb5")</f>
        <v>6b437cb5</v>
      </c>
      <c r="E2580" s="54">
        <f>IFERROR(__xludf.DUMMYFUNCTION("""COMPUTED_VALUE"""),93700.0)</f>
        <v>93700</v>
      </c>
      <c r="F2580" s="3" t="str">
        <f>IFERROR(__xludf.DUMMYFUNCTION("""COMPUTED_VALUE"""),"Criolla Recarga")</f>
        <v>Criolla Recarga</v>
      </c>
      <c r="G2580" s="3"/>
      <c r="H2580" s="3"/>
      <c r="I2580" s="3"/>
      <c r="J2580" s="3"/>
      <c r="K2580" s="3"/>
      <c r="L2580" s="3"/>
      <c r="M2580" s="3"/>
      <c r="N2580" s="3"/>
      <c r="O2580" s="3"/>
      <c r="P2580" s="3"/>
      <c r="Q2580" s="3"/>
      <c r="R2580" s="3">
        <f>IFERROR(__xludf.DUMMYFUNCTION("""COMPUTED_VALUE"""),0.0)</f>
        <v>0</v>
      </c>
      <c r="S2580" s="3"/>
      <c r="T2580" s="5"/>
      <c r="U2580" s="5"/>
      <c r="V2580" s="5"/>
      <c r="W2580" s="5"/>
    </row>
    <row r="2581" ht="15.75" customHeight="1">
      <c r="A2581" s="3">
        <f>IFERROR(__xludf.DUMMYFUNCTION("""COMPUTED_VALUE"""),2581.0)</f>
        <v>2581</v>
      </c>
      <c r="B2581" s="53">
        <f>IFERROR(__xludf.DUMMYFUNCTION("""COMPUTED_VALUE"""),46183.0)</f>
        <v>46183</v>
      </c>
      <c r="C2581" s="3">
        <f>IFERROR(__xludf.DUMMYFUNCTION("""COMPUTED_VALUE"""),109.0)</f>
        <v>109</v>
      </c>
      <c r="D2581" s="3" t="str">
        <f>IFERROR(__xludf.DUMMYFUNCTION("""COMPUTED_VALUE"""),"36c93198")</f>
        <v>36c93198</v>
      </c>
      <c r="E2581" s="54">
        <f>IFERROR(__xludf.DUMMYFUNCTION("""COMPUTED_VALUE"""),15600.0)</f>
        <v>15600</v>
      </c>
      <c r="F2581" s="3" t="str">
        <f>IFERROR(__xludf.DUMMYFUNCTION("""COMPUTED_VALUE"""),"Anccellota Aspirant Rect")</f>
        <v>Anccellota Aspirant Rect</v>
      </c>
      <c r="G2581" s="3"/>
      <c r="H2581" s="3"/>
      <c r="I2581" s="3"/>
      <c r="J2581" s="3"/>
      <c r="K2581" s="3"/>
      <c r="L2581" s="54">
        <f>IFERROR(__xludf.DUMMYFUNCTION("""COMPUTED_VALUE"""),38.0)</f>
        <v>38</v>
      </c>
      <c r="M2581" s="3">
        <f>IFERROR(__xludf.DUMMYFUNCTION("""COMPUTED_VALUE"""),115.0)</f>
        <v>115</v>
      </c>
      <c r="N2581" s="3"/>
      <c r="O2581" s="3"/>
      <c r="P2581" s="3"/>
      <c r="Q2581" s="3"/>
      <c r="R2581" s="3">
        <f>IFERROR(__xludf.DUMMYFUNCTION("""COMPUTED_VALUE"""),0.0)</f>
        <v>0</v>
      </c>
      <c r="S2581" s="3"/>
      <c r="T2581" s="5"/>
      <c r="U2581" s="5"/>
      <c r="V2581" s="5"/>
      <c r="W2581" s="5"/>
    </row>
    <row r="2582" ht="15.75" customHeight="1">
      <c r="A2582" s="3">
        <f>IFERROR(__xludf.DUMMYFUNCTION("""COMPUTED_VALUE"""),2582.0)</f>
        <v>2582</v>
      </c>
      <c r="B2582" s="53">
        <f>IFERROR(__xludf.DUMMYFUNCTION("""COMPUTED_VALUE"""),46183.0)</f>
        <v>46183</v>
      </c>
      <c r="C2582" s="3">
        <f>IFERROR(__xludf.DUMMYFUNCTION("""COMPUTED_VALUE"""),110.0)</f>
        <v>110</v>
      </c>
      <c r="D2582" s="3" t="str">
        <f>IFERROR(__xludf.DUMMYFUNCTION("""COMPUTED_VALUE"""),"436f0ad4")</f>
        <v>436f0ad4</v>
      </c>
      <c r="E2582" s="54">
        <f>IFERROR(__xludf.DUMMYFUNCTION("""COMPUTED_VALUE"""),15600.0)</f>
        <v>15600</v>
      </c>
      <c r="F2582" s="3" t="str">
        <f>IFERROR(__xludf.DUMMYFUNCTION("""COMPUTED_VALUE"""),"Anccellota Aspirant Rect")</f>
        <v>Anccellota Aspirant Rect</v>
      </c>
      <c r="G2582" s="3"/>
      <c r="H2582" s="3"/>
      <c r="I2582" s="3"/>
      <c r="J2582" s="3"/>
      <c r="K2582" s="3"/>
      <c r="L2582" s="54">
        <f>IFERROR(__xludf.DUMMYFUNCTION("""COMPUTED_VALUE"""),40.0)</f>
        <v>40</v>
      </c>
      <c r="M2582" s="3">
        <f>IFERROR(__xludf.DUMMYFUNCTION("""COMPUTED_VALUE"""),100.0)</f>
        <v>100</v>
      </c>
      <c r="N2582" s="3"/>
      <c r="O2582" s="3"/>
      <c r="P2582" s="3"/>
      <c r="Q2582" s="3"/>
      <c r="R2582" s="3">
        <f>IFERROR(__xludf.DUMMYFUNCTION("""COMPUTED_VALUE"""),0.0)</f>
        <v>0</v>
      </c>
      <c r="S2582" s="3"/>
      <c r="T2582" s="5"/>
      <c r="U2582" s="5"/>
      <c r="V2582" s="5"/>
      <c r="W2582" s="5"/>
    </row>
    <row r="2583" ht="15.75" customHeight="1">
      <c r="A2583" s="3">
        <f>IFERROR(__xludf.DUMMYFUNCTION("""COMPUTED_VALUE"""),2583.0)</f>
        <v>2583</v>
      </c>
      <c r="B2583" s="53">
        <f>IFERROR(__xludf.DUMMYFUNCTION("""COMPUTED_VALUE"""),46183.0)</f>
        <v>46183</v>
      </c>
      <c r="C2583" s="3">
        <f>IFERROR(__xludf.DUMMYFUNCTION("""COMPUTED_VALUE"""),8.0)</f>
        <v>8</v>
      </c>
      <c r="D2583" s="3" t="str">
        <f>IFERROR(__xludf.DUMMYFUNCTION("""COMPUTED_VALUE"""),"76379bb5")</f>
        <v>76379bb5</v>
      </c>
      <c r="E2583" s="54">
        <f>IFERROR(__xludf.DUMMYFUNCTION("""COMPUTED_VALUE"""),21600.0)</f>
        <v>21600</v>
      </c>
      <c r="F2583" s="3" t="str">
        <f>IFERROR(__xludf.DUMMYFUNCTION("""COMPUTED_VALUE"""),"Pedro Gimenez")</f>
        <v>Pedro Gimenez</v>
      </c>
      <c r="G2583" s="3"/>
      <c r="H2583" s="3"/>
      <c r="I2583" s="3"/>
      <c r="J2583" s="3"/>
      <c r="K2583" s="3"/>
      <c r="L2583" s="54">
        <f>IFERROR(__xludf.DUMMYFUNCTION("""COMPUTED_VALUE"""),37.0)</f>
        <v>37</v>
      </c>
      <c r="M2583" s="3">
        <f>IFERROR(__xludf.DUMMYFUNCTION("""COMPUTED_VALUE"""),110.0)</f>
        <v>110</v>
      </c>
      <c r="N2583" s="3"/>
      <c r="O2583" s="3"/>
      <c r="P2583" s="3"/>
      <c r="Q2583" s="3"/>
      <c r="R2583" s="3">
        <f>IFERROR(__xludf.DUMMYFUNCTION("""COMPUTED_VALUE"""),0.0)</f>
        <v>0</v>
      </c>
      <c r="S2583" s="3"/>
      <c r="T2583" s="5"/>
      <c r="U2583" s="5"/>
      <c r="V2583" s="5"/>
      <c r="W2583" s="5"/>
    </row>
    <row r="2584" ht="15.75" customHeight="1">
      <c r="A2584" s="3">
        <f>IFERROR(__xludf.DUMMYFUNCTION("""COMPUTED_VALUE"""),2584.0)</f>
        <v>2584</v>
      </c>
      <c r="B2584" s="53">
        <f>IFERROR(__xludf.DUMMYFUNCTION("""COMPUTED_VALUE"""),46183.0)</f>
        <v>46183</v>
      </c>
      <c r="C2584" s="3">
        <f>IFERROR(__xludf.DUMMYFUNCTION("""COMPUTED_VALUE"""),30.0)</f>
        <v>30</v>
      </c>
      <c r="D2584" s="3" t="str">
        <f>IFERROR(__xludf.DUMMYFUNCTION("""COMPUTED_VALUE"""),"7925389c")</f>
        <v>7925389c</v>
      </c>
      <c r="E2584" s="54">
        <f>IFERROR(__xludf.DUMMYFUNCTION("""COMPUTED_VALUE"""),38800.0)</f>
        <v>38800</v>
      </c>
      <c r="F2584" s="3" t="str">
        <f>IFERROR(__xludf.DUMMYFUNCTION("""COMPUTED_VALUE"""),"Chardonnay Ch")</f>
        <v>Chardonnay Ch</v>
      </c>
      <c r="G2584" s="3"/>
      <c r="H2584" s="3"/>
      <c r="I2584" s="3"/>
      <c r="J2584" s="3"/>
      <c r="K2584" s="3"/>
      <c r="L2584" s="54">
        <f>IFERROR(__xludf.DUMMYFUNCTION("""COMPUTED_VALUE"""),35.0)</f>
        <v>35</v>
      </c>
      <c r="M2584" s="3">
        <f>IFERROR(__xludf.DUMMYFUNCTION("""COMPUTED_VALUE"""),64.0)</f>
        <v>64</v>
      </c>
      <c r="N2584" s="3"/>
      <c r="O2584" s="3"/>
      <c r="P2584" s="3"/>
      <c r="Q2584" s="3"/>
      <c r="R2584" s="3">
        <f>IFERROR(__xludf.DUMMYFUNCTION("""COMPUTED_VALUE"""),0.0)</f>
        <v>0</v>
      </c>
      <c r="S2584" s="3"/>
      <c r="T2584" s="5"/>
      <c r="U2584" s="5"/>
      <c r="V2584" s="5"/>
      <c r="W2584" s="5"/>
    </row>
    <row r="2585" ht="15.75" customHeight="1">
      <c r="A2585" s="3">
        <f>IFERROR(__xludf.DUMMYFUNCTION("""COMPUTED_VALUE"""),2585.0)</f>
        <v>2585</v>
      </c>
      <c r="B2585" s="53">
        <f>IFERROR(__xludf.DUMMYFUNCTION("""COMPUTED_VALUE"""),46183.0)</f>
        <v>46183</v>
      </c>
      <c r="C2585" s="3">
        <f>IFERROR(__xludf.DUMMYFUNCTION("""COMPUTED_VALUE"""),31.0)</f>
        <v>31</v>
      </c>
      <c r="D2585" s="3" t="str">
        <f>IFERROR(__xludf.DUMMYFUNCTION("""COMPUTED_VALUE"""),"fed1f4a1")</f>
        <v>fed1f4a1</v>
      </c>
      <c r="E2585" s="54">
        <f>IFERROR(__xludf.DUMMYFUNCTION("""COMPUTED_VALUE"""),25000.0)</f>
        <v>25000</v>
      </c>
      <c r="F2585" s="3" t="str">
        <f>IFERROR(__xludf.DUMMYFUNCTION("""COMPUTED_VALUE"""),"Torrontes")</f>
        <v>Torrontes</v>
      </c>
      <c r="G2585" s="3"/>
      <c r="H2585" s="3"/>
      <c r="I2585" s="3"/>
      <c r="J2585" s="3"/>
      <c r="K2585" s="3"/>
      <c r="L2585" s="54">
        <f>IFERROR(__xludf.DUMMYFUNCTION("""COMPUTED_VALUE"""),29.0)</f>
        <v>29</v>
      </c>
      <c r="M2585" s="3">
        <f>IFERROR(__xludf.DUMMYFUNCTION("""COMPUTED_VALUE"""),130.0)</f>
        <v>130</v>
      </c>
      <c r="N2585" s="3"/>
      <c r="O2585" s="3"/>
      <c r="P2585" s="3"/>
      <c r="Q2585" s="3"/>
      <c r="R2585" s="3">
        <f>IFERROR(__xludf.DUMMYFUNCTION("""COMPUTED_VALUE"""),0.0)</f>
        <v>0</v>
      </c>
      <c r="S2585" s="3"/>
      <c r="T2585" s="5"/>
      <c r="U2585" s="5"/>
      <c r="V2585" s="5"/>
      <c r="W2585" s="5"/>
    </row>
    <row r="2586" ht="15.75" customHeight="1">
      <c r="A2586" s="3">
        <f>IFERROR(__xludf.DUMMYFUNCTION("""COMPUTED_VALUE"""),2586.0)</f>
        <v>2586</v>
      </c>
      <c r="B2586" s="53">
        <f>IFERROR(__xludf.DUMMYFUNCTION("""COMPUTED_VALUE"""),46183.0)</f>
        <v>46183</v>
      </c>
      <c r="C2586" s="3">
        <f>IFERROR(__xludf.DUMMYFUNCTION("""COMPUTED_VALUE"""),33.0)</f>
        <v>33</v>
      </c>
      <c r="D2586" s="3" t="str">
        <f>IFERROR(__xludf.DUMMYFUNCTION("""COMPUTED_VALUE"""),"ed08a2c0")</f>
        <v>ed08a2c0</v>
      </c>
      <c r="E2586" s="54">
        <f>IFERROR(__xludf.DUMMYFUNCTION("""COMPUTED_VALUE"""),25300.0)</f>
        <v>25300</v>
      </c>
      <c r="F2586" s="3" t="str">
        <f>IFERROR(__xludf.DUMMYFUNCTION("""COMPUTED_VALUE"""),"Chardonnay")</f>
        <v>Chardonnay</v>
      </c>
      <c r="G2586" s="3"/>
      <c r="H2586" s="3"/>
      <c r="I2586" s="3"/>
      <c r="J2586" s="3"/>
      <c r="K2586" s="3"/>
      <c r="L2586" s="54">
        <f>IFERROR(__xludf.DUMMYFUNCTION("""COMPUTED_VALUE"""),27.0)</f>
        <v>27</v>
      </c>
      <c r="M2586" s="3">
        <f>IFERROR(__xludf.DUMMYFUNCTION("""COMPUTED_VALUE"""),90.0)</f>
        <v>90</v>
      </c>
      <c r="N2586" s="3"/>
      <c r="O2586" s="3"/>
      <c r="P2586" s="3"/>
      <c r="Q2586" s="3"/>
      <c r="R2586" s="3">
        <f>IFERROR(__xludf.DUMMYFUNCTION("""COMPUTED_VALUE"""),0.0)</f>
        <v>0</v>
      </c>
      <c r="S2586" s="3"/>
      <c r="T2586" s="5"/>
      <c r="U2586" s="5"/>
      <c r="V2586" s="5"/>
      <c r="W2586" s="5"/>
    </row>
    <row r="2587" ht="15.75" customHeight="1">
      <c r="A2587" s="3">
        <f>IFERROR(__xludf.DUMMYFUNCTION("""COMPUTED_VALUE"""),2587.0)</f>
        <v>2587</v>
      </c>
      <c r="B2587" s="53">
        <f>IFERROR(__xludf.DUMMYFUNCTION("""COMPUTED_VALUE"""),46183.0)</f>
        <v>46183</v>
      </c>
      <c r="C2587" s="3">
        <f>IFERROR(__xludf.DUMMYFUNCTION("""COMPUTED_VALUE"""),48.0)</f>
        <v>48</v>
      </c>
      <c r="D2587" s="3" t="str">
        <f>IFERROR(__xludf.DUMMYFUNCTION("""COMPUTED_VALUE"""),"7cb704de")</f>
        <v>7cb704de</v>
      </c>
      <c r="E2587" s="54">
        <f>IFERROR(__xludf.DUMMYFUNCTION("""COMPUTED_VALUE"""),26000.0)</f>
        <v>26000</v>
      </c>
      <c r="F2587" s="3" t="str">
        <f>IFERROR(__xludf.DUMMYFUNCTION("""COMPUTED_VALUE"""),"Torrontes Viog")</f>
        <v>Torrontes Viog</v>
      </c>
      <c r="G2587" s="3"/>
      <c r="H2587" s="3"/>
      <c r="I2587" s="3"/>
      <c r="J2587" s="3"/>
      <c r="K2587" s="3"/>
      <c r="L2587" s="54">
        <f>IFERROR(__xludf.DUMMYFUNCTION("""COMPUTED_VALUE"""),37.0)</f>
        <v>37</v>
      </c>
      <c r="M2587" s="3">
        <f>IFERROR(__xludf.DUMMYFUNCTION("""COMPUTED_VALUE"""),90.0)</f>
        <v>90</v>
      </c>
      <c r="N2587" s="3"/>
      <c r="O2587" s="3"/>
      <c r="P2587" s="3"/>
      <c r="Q2587" s="3"/>
      <c r="R2587" s="3">
        <f>IFERROR(__xludf.DUMMYFUNCTION("""COMPUTED_VALUE"""),0.0)</f>
        <v>0</v>
      </c>
      <c r="S2587" s="3"/>
      <c r="T2587" s="5"/>
      <c r="U2587" s="5"/>
      <c r="V2587" s="5"/>
      <c r="W2587" s="5"/>
    </row>
    <row r="2588" ht="15.75" customHeight="1">
      <c r="A2588" s="3">
        <f>IFERROR(__xludf.DUMMYFUNCTION("""COMPUTED_VALUE"""),2588.0)</f>
        <v>2588</v>
      </c>
      <c r="B2588" s="53">
        <f>IFERROR(__xludf.DUMMYFUNCTION("""COMPUTED_VALUE"""),46183.0)</f>
        <v>46183</v>
      </c>
      <c r="C2588" s="3">
        <f>IFERROR(__xludf.DUMMYFUNCTION("""COMPUTED_VALUE"""),51.0)</f>
        <v>51</v>
      </c>
      <c r="D2588" s="3" t="str">
        <f>IFERROR(__xludf.DUMMYFUNCTION("""COMPUTED_VALUE"""),"2f82461c")</f>
        <v>2f82461c</v>
      </c>
      <c r="E2588" s="54">
        <f>IFERROR(__xludf.DUMMYFUNCTION("""COMPUTED_VALUE"""),1000.0)</f>
        <v>1000</v>
      </c>
      <c r="F2588" s="3" t="str">
        <f>IFERROR(__xludf.DUMMYFUNCTION("""COMPUTED_VALUE"""),"Criolla Vol")</f>
        <v>Criolla Vol</v>
      </c>
      <c r="G2588" s="3"/>
      <c r="H2588" s="3"/>
      <c r="I2588" s="3"/>
      <c r="J2588" s="3"/>
      <c r="K2588" s="3"/>
      <c r="L2588" s="54">
        <f>IFERROR(__xludf.DUMMYFUNCTION("""COMPUTED_VALUE"""),25.0)</f>
        <v>25</v>
      </c>
      <c r="M2588" s="3">
        <f>IFERROR(__xludf.DUMMYFUNCTION("""COMPUTED_VALUE"""),128.0)</f>
        <v>128</v>
      </c>
      <c r="N2588" s="3"/>
      <c r="O2588" s="3"/>
      <c r="P2588" s="3"/>
      <c r="Q2588" s="3"/>
      <c r="R2588" s="3">
        <f>IFERROR(__xludf.DUMMYFUNCTION("""COMPUTED_VALUE"""),0.0)</f>
        <v>0</v>
      </c>
      <c r="S2588" s="3"/>
      <c r="T2588" s="5"/>
      <c r="U2588" s="5"/>
      <c r="V2588" s="5"/>
      <c r="W2588" s="5"/>
    </row>
    <row r="2589" ht="15.75" customHeight="1">
      <c r="A2589" s="3">
        <f>IFERROR(__xludf.DUMMYFUNCTION("""COMPUTED_VALUE"""),2589.0)</f>
        <v>2589</v>
      </c>
      <c r="B2589" s="53">
        <f>IFERROR(__xludf.DUMMYFUNCTION("""COMPUTED_VALUE"""),46183.0)</f>
        <v>46183</v>
      </c>
      <c r="C2589" s="3">
        <f>IFERROR(__xludf.DUMMYFUNCTION("""COMPUTED_VALUE"""),52.0)</f>
        <v>52</v>
      </c>
      <c r="D2589" s="3" t="str">
        <f>IFERROR(__xludf.DUMMYFUNCTION("""COMPUTED_VALUE"""),"a73ae064")</f>
        <v>a73ae064</v>
      </c>
      <c r="E2589" s="54">
        <f>IFERROR(__xludf.DUMMYFUNCTION("""COMPUTED_VALUE"""),27000.0)</f>
        <v>27000</v>
      </c>
      <c r="F2589" s="3" t="str">
        <f>IFERROR(__xludf.DUMMYFUNCTION("""COMPUTED_VALUE"""),"Rosado Criolla")</f>
        <v>Rosado Criolla</v>
      </c>
      <c r="G2589" s="3"/>
      <c r="H2589" s="3"/>
      <c r="I2589" s="3"/>
      <c r="J2589" s="3"/>
      <c r="K2589" s="3"/>
      <c r="L2589" s="54">
        <f>IFERROR(__xludf.DUMMYFUNCTION("""COMPUTED_VALUE"""),25.0)</f>
        <v>25</v>
      </c>
      <c r="M2589" s="3">
        <f>IFERROR(__xludf.DUMMYFUNCTION("""COMPUTED_VALUE"""),100.0)</f>
        <v>100</v>
      </c>
      <c r="N2589" s="3"/>
      <c r="O2589" s="3"/>
      <c r="P2589" s="3"/>
      <c r="Q2589" s="3"/>
      <c r="R2589" s="3">
        <f>IFERROR(__xludf.DUMMYFUNCTION("""COMPUTED_VALUE"""),0.0)</f>
        <v>0</v>
      </c>
      <c r="S2589" s="3"/>
      <c r="T2589" s="5"/>
      <c r="U2589" s="5"/>
      <c r="V2589" s="5"/>
      <c r="W2589" s="5"/>
    </row>
    <row r="2590" ht="15.75" customHeight="1">
      <c r="A2590" s="3">
        <f>IFERROR(__xludf.DUMMYFUNCTION("""COMPUTED_VALUE"""),2590.0)</f>
        <v>2590</v>
      </c>
      <c r="B2590" s="53">
        <f>IFERROR(__xludf.DUMMYFUNCTION("""COMPUTED_VALUE"""),46183.0)</f>
        <v>46183</v>
      </c>
      <c r="C2590" s="3">
        <f>IFERROR(__xludf.DUMMYFUNCTION("""COMPUTED_VALUE"""),9.0)</f>
        <v>9</v>
      </c>
      <c r="D2590" s="3" t="str">
        <f>IFERROR(__xludf.DUMMYFUNCTION("""COMPUTED_VALUE"""),"2cd648db")</f>
        <v>2cd648db</v>
      </c>
      <c r="E2590" s="54">
        <f>IFERROR(__xludf.DUMMYFUNCTION("""COMPUTED_VALUE"""),30000.0)</f>
        <v>30000</v>
      </c>
      <c r="F2590" s="3" t="str">
        <f>IFERROR(__xludf.DUMMYFUNCTION("""COMPUTED_VALUE"""),"Criolla Recarga")</f>
        <v>Criolla Recarga</v>
      </c>
      <c r="G2590" s="3"/>
      <c r="H2590" s="3"/>
      <c r="I2590" s="3"/>
      <c r="J2590" s="3"/>
      <c r="K2590" s="3"/>
      <c r="L2590" s="54">
        <f>IFERROR(__xludf.DUMMYFUNCTION("""COMPUTED_VALUE"""),36.0)</f>
        <v>36</v>
      </c>
      <c r="M2590" s="3">
        <f>IFERROR(__xludf.DUMMYFUNCTION("""COMPUTED_VALUE"""),90.0)</f>
        <v>90</v>
      </c>
      <c r="N2590" s="3"/>
      <c r="O2590" s="3"/>
      <c r="P2590" s="3"/>
      <c r="Q2590" s="3"/>
      <c r="R2590" s="3">
        <f>IFERROR(__xludf.DUMMYFUNCTION("""COMPUTED_VALUE"""),0.0)</f>
        <v>0</v>
      </c>
      <c r="S2590" s="3"/>
      <c r="T2590" s="5"/>
      <c r="U2590" s="5"/>
      <c r="V2590" s="5"/>
      <c r="W2590" s="5"/>
    </row>
    <row r="2591" ht="15.75" customHeight="1">
      <c r="A2591" s="3">
        <f>IFERROR(__xludf.DUMMYFUNCTION("""COMPUTED_VALUE"""),2591.0)</f>
        <v>2591</v>
      </c>
      <c r="B2591" s="53">
        <f>IFERROR(__xludf.DUMMYFUNCTION("""COMPUTED_VALUE"""),46183.0)</f>
        <v>46183</v>
      </c>
      <c r="C2591" s="3">
        <f>IFERROR(__xludf.DUMMYFUNCTION("""COMPUTED_VALUE"""),25.0)</f>
        <v>25</v>
      </c>
      <c r="D2591" s="3" t="str">
        <f>IFERROR(__xludf.DUMMYFUNCTION("""COMPUTED_VALUE"""),"1bb294a3")</f>
        <v>1bb294a3</v>
      </c>
      <c r="E2591" s="54">
        <f>IFERROR(__xludf.DUMMYFUNCTION("""COMPUTED_VALUE"""),194300.0)</f>
        <v>194300</v>
      </c>
      <c r="F2591" s="3" t="str">
        <f>IFERROR(__xludf.DUMMYFUNCTION("""COMPUTED_VALUE"""),"Criolla Recarga")</f>
        <v>Criolla Recarga</v>
      </c>
      <c r="G2591" s="3"/>
      <c r="H2591" s="3"/>
      <c r="I2591" s="3"/>
      <c r="J2591" s="3"/>
      <c r="K2591" s="3"/>
      <c r="L2591" s="54">
        <f>IFERROR(__xludf.DUMMYFUNCTION("""COMPUTED_VALUE"""),35.0)</f>
        <v>35</v>
      </c>
      <c r="M2591" s="3">
        <f>IFERROR(__xludf.DUMMYFUNCTION("""COMPUTED_VALUE"""),102.0)</f>
        <v>102</v>
      </c>
      <c r="N2591" s="3"/>
      <c r="O2591" s="3"/>
      <c r="P2591" s="3"/>
      <c r="Q2591" s="3"/>
      <c r="R2591" s="3">
        <f>IFERROR(__xludf.DUMMYFUNCTION("""COMPUTED_VALUE"""),0.0)</f>
        <v>0</v>
      </c>
      <c r="S2591" s="3"/>
      <c r="T2591" s="5"/>
      <c r="U2591" s="5"/>
      <c r="V2591" s="5"/>
      <c r="W2591" s="5"/>
    </row>
    <row r="2592" ht="15.75" customHeight="1">
      <c r="A2592" s="3">
        <f>IFERROR(__xludf.DUMMYFUNCTION("""COMPUTED_VALUE"""),2592.0)</f>
        <v>2592</v>
      </c>
      <c r="B2592" s="53">
        <f>IFERROR(__xludf.DUMMYFUNCTION("""COMPUTED_VALUE"""),46183.0)</f>
        <v>46183</v>
      </c>
      <c r="C2592" s="3">
        <f>IFERROR(__xludf.DUMMYFUNCTION("""COMPUTED_VALUE"""),40.0)</f>
        <v>40</v>
      </c>
      <c r="D2592" s="3" t="str">
        <f>IFERROR(__xludf.DUMMYFUNCTION("""COMPUTED_VALUE"""),"1f31c1f9")</f>
        <v>1f31c1f9</v>
      </c>
      <c r="E2592" s="54">
        <f>IFERROR(__xludf.DUMMYFUNCTION("""COMPUTED_VALUE"""),24000.0)</f>
        <v>24000</v>
      </c>
      <c r="F2592" s="3" t="str">
        <f>IFERROR(__xludf.DUMMYFUNCTION("""COMPUTED_VALUE"""),"Chardonnay Reac")</f>
        <v>Chardonnay Reac</v>
      </c>
      <c r="G2592" s="3"/>
      <c r="H2592" s="3"/>
      <c r="I2592" s="3"/>
      <c r="J2592" s="3"/>
      <c r="K2592" s="3"/>
      <c r="L2592" s="54">
        <f>IFERROR(__xludf.DUMMYFUNCTION("""COMPUTED_VALUE"""),33.0)</f>
        <v>33</v>
      </c>
      <c r="M2592" s="3">
        <f>IFERROR(__xludf.DUMMYFUNCTION("""COMPUTED_VALUE"""),130.0)</f>
        <v>130</v>
      </c>
      <c r="N2592" s="3"/>
      <c r="O2592" s="3"/>
      <c r="P2592" s="3"/>
      <c r="Q2592" s="3"/>
      <c r="R2592" s="3">
        <f>IFERROR(__xludf.DUMMYFUNCTION("""COMPUTED_VALUE"""),0.0)</f>
        <v>0</v>
      </c>
      <c r="S2592" s="3"/>
      <c r="T2592" s="5"/>
      <c r="U2592" s="5"/>
      <c r="V2592" s="5"/>
      <c r="W2592" s="5"/>
    </row>
    <row r="2593" ht="15.75" customHeight="1">
      <c r="A2593" s="3">
        <f>IFERROR(__xludf.DUMMYFUNCTION("""COMPUTED_VALUE"""),2593.0)</f>
        <v>2593</v>
      </c>
      <c r="B2593" s="53">
        <f>IFERROR(__xludf.DUMMYFUNCTION("""COMPUTED_VALUE"""),46183.0)</f>
        <v>46183</v>
      </c>
      <c r="C2593" s="3">
        <f>IFERROR(__xludf.DUMMYFUNCTION("""COMPUTED_VALUE"""),44.0)</f>
        <v>44</v>
      </c>
      <c r="D2593" s="3" t="str">
        <f>IFERROR(__xludf.DUMMYFUNCTION("""COMPUTED_VALUE"""),"4a70a363")</f>
        <v>4a70a363</v>
      </c>
      <c r="E2593" s="54">
        <f>IFERROR(__xludf.DUMMYFUNCTION("""COMPUTED_VALUE"""),19100.0)</f>
        <v>19100</v>
      </c>
      <c r="F2593" s="3" t="str">
        <f>IFERROR(__xludf.DUMMYFUNCTION("""COMPUTED_VALUE"""),"Chardonnay")</f>
        <v>Chardonnay</v>
      </c>
      <c r="G2593" s="3"/>
      <c r="H2593" s="3"/>
      <c r="I2593" s="3"/>
      <c r="J2593" s="3"/>
      <c r="K2593" s="3"/>
      <c r="L2593" s="54">
        <f>IFERROR(__xludf.DUMMYFUNCTION("""COMPUTED_VALUE"""),32.0)</f>
        <v>32</v>
      </c>
      <c r="M2593" s="3">
        <f>IFERROR(__xludf.DUMMYFUNCTION("""COMPUTED_VALUE"""),110.0)</f>
        <v>110</v>
      </c>
      <c r="N2593" s="3"/>
      <c r="O2593" s="3"/>
      <c r="P2593" s="3"/>
      <c r="Q2593" s="3"/>
      <c r="R2593" s="3">
        <f>IFERROR(__xludf.DUMMYFUNCTION("""COMPUTED_VALUE"""),0.0)</f>
        <v>0</v>
      </c>
      <c r="S2593" s="3"/>
      <c r="T2593" s="5"/>
      <c r="U2593" s="5"/>
      <c r="V2593" s="5"/>
      <c r="W2593" s="5"/>
    </row>
    <row r="2594" ht="15.75" customHeight="1">
      <c r="A2594" s="3">
        <f>IFERROR(__xludf.DUMMYFUNCTION("""COMPUTED_VALUE"""),2594.0)</f>
        <v>2594</v>
      </c>
      <c r="B2594" s="53">
        <f>IFERROR(__xludf.DUMMYFUNCTION("""COMPUTED_VALUE"""),46184.0)</f>
        <v>46184</v>
      </c>
      <c r="C2594" s="3">
        <f>IFERROR(__xludf.DUMMYFUNCTION("""COMPUTED_VALUE"""),49.0)</f>
        <v>49</v>
      </c>
      <c r="D2594" s="3" t="str">
        <f>IFERROR(__xludf.DUMMYFUNCTION("""COMPUTED_VALUE"""),"8335a590")</f>
        <v>8335a590</v>
      </c>
      <c r="E2594" s="54">
        <f>IFERROR(__xludf.DUMMYFUNCTION("""COMPUTED_VALUE"""),26000.0)</f>
        <v>26000</v>
      </c>
      <c r="F2594" s="3" t="str">
        <f>IFERROR(__xludf.DUMMYFUNCTION("""COMPUTED_VALUE"""),"Chardonnay Reac")</f>
        <v>Chardonnay Reac</v>
      </c>
      <c r="G2594" s="3"/>
      <c r="H2594" s="3"/>
      <c r="I2594" s="3"/>
      <c r="J2594" s="3"/>
      <c r="K2594" s="3"/>
      <c r="L2594" s="54">
        <f>IFERROR(__xludf.DUMMYFUNCTION("""COMPUTED_VALUE"""),36.0)</f>
        <v>36</v>
      </c>
      <c r="M2594" s="3">
        <f>IFERROR(__xludf.DUMMYFUNCTION("""COMPUTED_VALUE"""),130.0)</f>
        <v>130</v>
      </c>
      <c r="N2594" s="3"/>
      <c r="O2594" s="3"/>
      <c r="P2594" s="3"/>
      <c r="Q2594" s="3"/>
      <c r="R2594" s="3">
        <f>IFERROR(__xludf.DUMMYFUNCTION("""COMPUTED_VALUE"""),0.0)</f>
        <v>0</v>
      </c>
      <c r="S2594" s="3"/>
      <c r="T2594" s="5"/>
      <c r="U2594" s="5"/>
      <c r="V2594" s="5"/>
      <c r="W2594" s="5"/>
    </row>
    <row r="2595" ht="15.75" customHeight="1">
      <c r="A2595" s="3">
        <f>IFERROR(__xludf.DUMMYFUNCTION("""COMPUTED_VALUE"""),2595.0)</f>
        <v>2595</v>
      </c>
      <c r="B2595" s="53">
        <f>IFERROR(__xludf.DUMMYFUNCTION("""COMPUTED_VALUE"""),46184.0)</f>
        <v>46184</v>
      </c>
      <c r="C2595" s="3">
        <f>IFERROR(__xludf.DUMMYFUNCTION("""COMPUTED_VALUE"""),68.0)</f>
        <v>68</v>
      </c>
      <c r="D2595" s="3" t="str">
        <f>IFERROR(__xludf.DUMMYFUNCTION("""COMPUTED_VALUE"""),"ac964ec6")</f>
        <v>ac964ec6</v>
      </c>
      <c r="E2595" s="54">
        <f>IFERROR(__xludf.DUMMYFUNCTION("""COMPUTED_VALUE"""),12400.0)</f>
        <v>12400</v>
      </c>
      <c r="F2595" s="3" t="str">
        <f>IFERROR(__xludf.DUMMYFUNCTION("""COMPUTED_VALUE"""),"Borra")</f>
        <v>Borra</v>
      </c>
      <c r="G2595" s="3"/>
      <c r="H2595" s="3"/>
      <c r="I2595" s="3"/>
      <c r="J2595" s="3"/>
      <c r="K2595" s="3"/>
      <c r="L2595" s="54">
        <f>IFERROR(__xludf.DUMMYFUNCTION("""COMPUTED_VALUE"""),90.0)</f>
        <v>90</v>
      </c>
      <c r="M2595" s="3">
        <f>IFERROR(__xludf.DUMMYFUNCTION("""COMPUTED_VALUE"""),171.0)</f>
        <v>171</v>
      </c>
      <c r="N2595" s="3"/>
      <c r="O2595" s="3"/>
      <c r="P2595" s="3"/>
      <c r="Q2595" s="3"/>
      <c r="R2595" s="3">
        <f>IFERROR(__xludf.DUMMYFUNCTION("""COMPUTED_VALUE"""),0.0)</f>
        <v>0</v>
      </c>
      <c r="S2595" s="3"/>
      <c r="T2595" s="5"/>
      <c r="U2595" s="5"/>
      <c r="V2595" s="5"/>
      <c r="W2595" s="5"/>
    </row>
    <row r="2596" ht="15.75" customHeight="1">
      <c r="A2596" s="3">
        <f>IFERROR(__xludf.DUMMYFUNCTION("""COMPUTED_VALUE"""),2596.0)</f>
        <v>2596</v>
      </c>
      <c r="B2596" s="53">
        <f>IFERROR(__xludf.DUMMYFUNCTION("""COMPUTED_VALUE"""),46184.0)</f>
        <v>46184</v>
      </c>
      <c r="C2596" s="3">
        <f>IFERROR(__xludf.DUMMYFUNCTION("""COMPUTED_VALUE"""),69.0)</f>
        <v>69</v>
      </c>
      <c r="D2596" s="3" t="str">
        <f>IFERROR(__xludf.DUMMYFUNCTION("""COMPUTED_VALUE"""),"081b56e7")</f>
        <v>081b56e7</v>
      </c>
      <c r="E2596" s="54">
        <f>IFERROR(__xludf.DUMMYFUNCTION("""COMPUTED_VALUE"""),8300.0)</f>
        <v>8300</v>
      </c>
      <c r="F2596" s="3" t="str">
        <f>IFERROR(__xludf.DUMMYFUNCTION("""COMPUTED_VALUE"""),"Borra")</f>
        <v>Borra</v>
      </c>
      <c r="G2596" s="3"/>
      <c r="H2596" s="3"/>
      <c r="I2596" s="3"/>
      <c r="J2596" s="3"/>
      <c r="K2596" s="3"/>
      <c r="L2596" s="54">
        <f>IFERROR(__xludf.DUMMYFUNCTION("""COMPUTED_VALUE"""),230.0)</f>
        <v>230</v>
      </c>
      <c r="M2596" s="3">
        <f>IFERROR(__xludf.DUMMYFUNCTION("""COMPUTED_VALUE"""),320.0)</f>
        <v>320</v>
      </c>
      <c r="N2596" s="3"/>
      <c r="O2596" s="3"/>
      <c r="P2596" s="3"/>
      <c r="Q2596" s="3"/>
      <c r="R2596" s="3">
        <f>IFERROR(__xludf.DUMMYFUNCTION("""COMPUTED_VALUE"""),0.0)</f>
        <v>0</v>
      </c>
      <c r="S2596" s="3"/>
      <c r="T2596" s="5"/>
      <c r="U2596" s="5"/>
      <c r="V2596" s="5"/>
      <c r="W2596" s="5"/>
    </row>
    <row r="2597" ht="15.75" customHeight="1">
      <c r="A2597" s="3">
        <f>IFERROR(__xludf.DUMMYFUNCTION("""COMPUTED_VALUE"""),2597.0)</f>
        <v>2597</v>
      </c>
      <c r="B2597" s="53">
        <f>IFERROR(__xludf.DUMMYFUNCTION("""COMPUTED_VALUE"""),46184.0)</f>
        <v>46184</v>
      </c>
      <c r="C2597" s="3">
        <f>IFERROR(__xludf.DUMMYFUNCTION("""COMPUTED_VALUE"""),70.0)</f>
        <v>70</v>
      </c>
      <c r="D2597" s="3" t="str">
        <f>IFERROR(__xludf.DUMMYFUNCTION("""COMPUTED_VALUE"""),"6f3cd259")</f>
        <v>6f3cd259</v>
      </c>
      <c r="E2597" s="54">
        <f>IFERROR(__xludf.DUMMYFUNCTION("""COMPUTED_VALUE"""),13000.0)</f>
        <v>13000</v>
      </c>
      <c r="F2597" s="3" t="str">
        <f>IFERROR(__xludf.DUMMYFUNCTION("""COMPUTED_VALUE"""),"Borra trasiego")</f>
        <v>Borra trasiego</v>
      </c>
      <c r="G2597" s="3"/>
      <c r="H2597" s="3"/>
      <c r="I2597" s="3"/>
      <c r="J2597" s="3"/>
      <c r="K2597" s="3"/>
      <c r="L2597" s="54">
        <f>IFERROR(__xludf.DUMMYFUNCTION("""COMPUTED_VALUE"""),204.0)</f>
        <v>204</v>
      </c>
      <c r="M2597" s="3">
        <f>IFERROR(__xludf.DUMMYFUNCTION("""COMPUTED_VALUE"""),332.0)</f>
        <v>332</v>
      </c>
      <c r="N2597" s="3"/>
      <c r="O2597" s="3"/>
      <c r="P2597" s="3"/>
      <c r="Q2597" s="3"/>
      <c r="R2597" s="3">
        <f>IFERROR(__xludf.DUMMYFUNCTION("""COMPUTED_VALUE"""),0.0)</f>
        <v>0</v>
      </c>
      <c r="S2597" s="3"/>
      <c r="T2597" s="5"/>
      <c r="U2597" s="5"/>
      <c r="V2597" s="5"/>
      <c r="W2597" s="5"/>
    </row>
    <row r="2598" ht="15.75" customHeight="1">
      <c r="A2598" s="3">
        <f>IFERROR(__xludf.DUMMYFUNCTION("""COMPUTED_VALUE"""),2598.0)</f>
        <v>2598</v>
      </c>
      <c r="B2598" s="53">
        <f>IFERROR(__xludf.DUMMYFUNCTION("""COMPUTED_VALUE"""),46184.0)</f>
        <v>46184</v>
      </c>
      <c r="C2598" s="3">
        <f>IFERROR(__xludf.DUMMYFUNCTION("""COMPUTED_VALUE"""),72.0)</f>
        <v>72</v>
      </c>
      <c r="D2598" s="3" t="str">
        <f>IFERROR(__xludf.DUMMYFUNCTION("""COMPUTED_VALUE"""),"794ce23f")</f>
        <v>794ce23f</v>
      </c>
      <c r="E2598" s="54">
        <f>IFERROR(__xludf.DUMMYFUNCTION("""COMPUTED_VALUE"""),13000.0)</f>
        <v>13000</v>
      </c>
      <c r="F2598" s="3" t="str">
        <f>IFERROR(__xludf.DUMMYFUNCTION("""COMPUTED_VALUE"""),"Chardonnay")</f>
        <v>Chardonnay</v>
      </c>
      <c r="G2598" s="3"/>
      <c r="H2598" s="3"/>
      <c r="I2598" s="3"/>
      <c r="J2598" s="3"/>
      <c r="K2598" s="3"/>
      <c r="L2598" s="54">
        <f>IFERROR(__xludf.DUMMYFUNCTION("""COMPUTED_VALUE"""),38.0)</f>
        <v>38</v>
      </c>
      <c r="M2598" s="3">
        <f>IFERROR(__xludf.DUMMYFUNCTION("""COMPUTED_VALUE"""),121.0)</f>
        <v>121</v>
      </c>
      <c r="N2598" s="3"/>
      <c r="O2598" s="3"/>
      <c r="P2598" s="3"/>
      <c r="Q2598" s="3"/>
      <c r="R2598" s="3">
        <f>IFERROR(__xludf.DUMMYFUNCTION("""COMPUTED_VALUE"""),0.0)</f>
        <v>0</v>
      </c>
      <c r="S2598" s="3"/>
      <c r="T2598" s="5"/>
      <c r="U2598" s="5"/>
      <c r="V2598" s="5"/>
      <c r="W2598" s="5"/>
    </row>
    <row r="2599" ht="15.75" customHeight="1">
      <c r="A2599" s="3">
        <f>IFERROR(__xludf.DUMMYFUNCTION("""COMPUTED_VALUE"""),2599.0)</f>
        <v>2599</v>
      </c>
      <c r="B2599" s="53">
        <f>IFERROR(__xludf.DUMMYFUNCTION("""COMPUTED_VALUE"""),46184.0)</f>
        <v>46184</v>
      </c>
      <c r="C2599" s="3">
        <f>IFERROR(__xludf.DUMMYFUNCTION("""COMPUTED_VALUE"""),90.0)</f>
        <v>90</v>
      </c>
      <c r="D2599" s="3" t="str">
        <f>IFERROR(__xludf.DUMMYFUNCTION("""COMPUTED_VALUE"""),"33d07dd0")</f>
        <v>33d07dd0</v>
      </c>
      <c r="E2599" s="54">
        <f>IFERROR(__xludf.DUMMYFUNCTION("""COMPUTED_VALUE"""),97500.0)</f>
        <v>97500</v>
      </c>
      <c r="F2599" s="3" t="str">
        <f>IFERROR(__xludf.DUMMYFUNCTION("""COMPUTED_VALUE"""),"Bonarda")</f>
        <v>Bonarda</v>
      </c>
      <c r="G2599" s="3"/>
      <c r="H2599" s="3"/>
      <c r="I2599" s="3"/>
      <c r="J2599" s="3"/>
      <c r="K2599" s="3"/>
      <c r="L2599" s="54">
        <f>IFERROR(__xludf.DUMMYFUNCTION("""COMPUTED_VALUE"""),38.0)</f>
        <v>38</v>
      </c>
      <c r="M2599" s="3">
        <f>IFERROR(__xludf.DUMMYFUNCTION("""COMPUTED_VALUE"""),90.0)</f>
        <v>90</v>
      </c>
      <c r="N2599" s="3"/>
      <c r="O2599" s="3"/>
      <c r="P2599" s="3"/>
      <c r="Q2599" s="3"/>
      <c r="R2599" s="3">
        <f>IFERROR(__xludf.DUMMYFUNCTION("""COMPUTED_VALUE"""),0.0)</f>
        <v>0</v>
      </c>
      <c r="S2599" s="3"/>
      <c r="T2599" s="5"/>
      <c r="U2599" s="5"/>
      <c r="V2599" s="5"/>
      <c r="W2599" s="5"/>
    </row>
    <row r="2600" ht="15.75" customHeight="1">
      <c r="A2600" s="3">
        <f>IFERROR(__xludf.DUMMYFUNCTION("""COMPUTED_VALUE"""),2600.0)</f>
        <v>2600</v>
      </c>
      <c r="B2600" s="53">
        <f>IFERROR(__xludf.DUMMYFUNCTION("""COMPUTED_VALUE"""),46184.0)</f>
        <v>46184</v>
      </c>
      <c r="C2600" s="3">
        <f>IFERROR(__xludf.DUMMYFUNCTION("""COMPUTED_VALUE"""),91.0)</f>
        <v>91</v>
      </c>
      <c r="D2600" s="3" t="str">
        <f>IFERROR(__xludf.DUMMYFUNCTION("""COMPUTED_VALUE"""),"34fa2752")</f>
        <v>34fa2752</v>
      </c>
      <c r="E2600" s="54">
        <f>IFERROR(__xludf.DUMMYFUNCTION("""COMPUTED_VALUE"""),86000.0)</f>
        <v>86000</v>
      </c>
      <c r="F2600" s="3" t="str">
        <f>IFERROR(__xludf.DUMMYFUNCTION("""COMPUTED_VALUE"""),"Bonarda C2")</f>
        <v>Bonarda C2</v>
      </c>
      <c r="G2600" s="3"/>
      <c r="H2600" s="3"/>
      <c r="I2600" s="3"/>
      <c r="J2600" s="3"/>
      <c r="K2600" s="3"/>
      <c r="L2600" s="54">
        <f>IFERROR(__xludf.DUMMYFUNCTION("""COMPUTED_VALUE"""),39.0)</f>
        <v>39</v>
      </c>
      <c r="M2600" s="3">
        <f>IFERROR(__xludf.DUMMYFUNCTION("""COMPUTED_VALUE"""),83.0)</f>
        <v>83</v>
      </c>
      <c r="N2600" s="3"/>
      <c r="O2600" s="3"/>
      <c r="P2600" s="3"/>
      <c r="Q2600" s="3"/>
      <c r="R2600" s="3">
        <f>IFERROR(__xludf.DUMMYFUNCTION("""COMPUTED_VALUE"""),0.0)</f>
        <v>0</v>
      </c>
      <c r="S2600" s="3"/>
      <c r="T2600" s="5"/>
      <c r="U2600" s="5"/>
      <c r="V2600" s="5"/>
      <c r="W2600" s="5"/>
    </row>
    <row r="2601" ht="15.75" customHeight="1">
      <c r="A2601" s="3">
        <f>IFERROR(__xludf.DUMMYFUNCTION("""COMPUTED_VALUE"""),2601.0)</f>
        <v>2601</v>
      </c>
      <c r="B2601" s="53">
        <f>IFERROR(__xludf.DUMMYFUNCTION("""COMPUTED_VALUE"""),46184.0)</f>
        <v>46184</v>
      </c>
      <c r="C2601" s="3">
        <f>IFERROR(__xludf.DUMMYFUNCTION("""COMPUTED_VALUE"""),92.0)</f>
        <v>92</v>
      </c>
      <c r="D2601" s="3" t="str">
        <f>IFERROR(__xludf.DUMMYFUNCTION("""COMPUTED_VALUE"""),"a18af5bc")</f>
        <v>a18af5bc</v>
      </c>
      <c r="E2601" s="54">
        <f>IFERROR(__xludf.DUMMYFUNCTION("""COMPUTED_VALUE"""),76000.0)</f>
        <v>76000</v>
      </c>
      <c r="F2601" s="3" t="str">
        <f>IFERROR(__xludf.DUMMYFUNCTION("""COMPUTED_VALUE"""),"Criolla Recarga")</f>
        <v>Criolla Recarga</v>
      </c>
      <c r="G2601" s="3"/>
      <c r="H2601" s="3"/>
      <c r="I2601" s="3"/>
      <c r="J2601" s="3"/>
      <c r="K2601" s="3"/>
      <c r="L2601" s="54">
        <f>IFERROR(__xludf.DUMMYFUNCTION("""COMPUTED_VALUE"""),40.0)</f>
        <v>40</v>
      </c>
      <c r="M2601" s="3">
        <f>IFERROR(__xludf.DUMMYFUNCTION("""COMPUTED_VALUE"""),70.0)</f>
        <v>70</v>
      </c>
      <c r="N2601" s="3"/>
      <c r="O2601" s="3"/>
      <c r="P2601" s="3"/>
      <c r="Q2601" s="3"/>
      <c r="R2601" s="3">
        <f>IFERROR(__xludf.DUMMYFUNCTION("""COMPUTED_VALUE"""),0.0)</f>
        <v>0</v>
      </c>
      <c r="S2601" s="3"/>
      <c r="T2601" s="5"/>
      <c r="U2601" s="5"/>
      <c r="V2601" s="5"/>
      <c r="W2601" s="5"/>
    </row>
    <row r="2602" ht="15.75" customHeight="1">
      <c r="A2602" s="3">
        <f>IFERROR(__xludf.DUMMYFUNCTION("""COMPUTED_VALUE"""),2602.0)</f>
        <v>2602</v>
      </c>
      <c r="B2602" s="53">
        <f>IFERROR(__xludf.DUMMYFUNCTION("""COMPUTED_VALUE"""),46184.0)</f>
        <v>46184</v>
      </c>
      <c r="C2602" s="3">
        <f>IFERROR(__xludf.DUMMYFUNCTION("""COMPUTED_VALUE"""),935.0)</f>
        <v>935</v>
      </c>
      <c r="D2602" s="3" t="str">
        <f>IFERROR(__xludf.DUMMYFUNCTION("""COMPUTED_VALUE"""),"968b2e9e")</f>
        <v>968b2e9e</v>
      </c>
      <c r="E2602" s="54">
        <f>IFERROR(__xludf.DUMMYFUNCTION("""COMPUTED_VALUE"""),11200.0)</f>
        <v>11200</v>
      </c>
      <c r="F2602" s="3" t="str">
        <f>IFERROR(__xludf.DUMMYFUNCTION("""COMPUTED_VALUE"""),"Borra")</f>
        <v>Borra</v>
      </c>
      <c r="G2602" s="3"/>
      <c r="H2602" s="3"/>
      <c r="I2602" s="3"/>
      <c r="J2602" s="3"/>
      <c r="K2602" s="3"/>
      <c r="L2602" s="54">
        <f>IFERROR(__xludf.DUMMYFUNCTION("""COMPUTED_VALUE"""),150.0)</f>
        <v>150</v>
      </c>
      <c r="M2602" s="3">
        <f>IFERROR(__xludf.DUMMYFUNCTION("""COMPUTED_VALUE"""),280.0)</f>
        <v>280</v>
      </c>
      <c r="N2602" s="3"/>
      <c r="O2602" s="3"/>
      <c r="P2602" s="3"/>
      <c r="Q2602" s="3"/>
      <c r="R2602" s="3">
        <f>IFERROR(__xludf.DUMMYFUNCTION("""COMPUTED_VALUE"""),0.0)</f>
        <v>0</v>
      </c>
      <c r="S2602" s="3"/>
      <c r="T2602" s="5"/>
      <c r="U2602" s="5"/>
      <c r="V2602" s="5"/>
      <c r="W2602" s="5"/>
    </row>
    <row r="2603" ht="15.75" customHeight="1">
      <c r="A2603" s="3">
        <f>IFERROR(__xludf.DUMMYFUNCTION("""COMPUTED_VALUE"""),2603.0)</f>
        <v>2603</v>
      </c>
      <c r="B2603" s="53">
        <f>IFERROR(__xludf.DUMMYFUNCTION("""COMPUTED_VALUE"""),46184.0)</f>
        <v>46184</v>
      </c>
      <c r="C2603" s="3">
        <f>IFERROR(__xludf.DUMMYFUNCTION("""COMPUTED_VALUE"""),931.0)</f>
        <v>931</v>
      </c>
      <c r="D2603" s="3" t="str">
        <f>IFERROR(__xludf.DUMMYFUNCTION("""COMPUTED_VALUE"""),"6ef49e0e")</f>
        <v>6ef49e0e</v>
      </c>
      <c r="E2603" s="54">
        <f>IFERROR(__xludf.DUMMYFUNCTION("""COMPUTED_VALUE"""),11200.0)</f>
        <v>11200</v>
      </c>
      <c r="F2603" s="3" t="str">
        <f>IFERROR(__xludf.DUMMYFUNCTION("""COMPUTED_VALUE"""),"Borra")</f>
        <v>Borra</v>
      </c>
      <c r="G2603" s="3"/>
      <c r="H2603" s="3"/>
      <c r="I2603" s="3"/>
      <c r="J2603" s="3"/>
      <c r="K2603" s="3"/>
      <c r="L2603" s="54">
        <f>IFERROR(__xludf.DUMMYFUNCTION("""COMPUTED_VALUE"""),86.0)</f>
        <v>86</v>
      </c>
      <c r="M2603" s="3">
        <f>IFERROR(__xludf.DUMMYFUNCTION("""COMPUTED_VALUE"""),180.0)</f>
        <v>180</v>
      </c>
      <c r="N2603" s="3"/>
      <c r="O2603" s="3"/>
      <c r="P2603" s="3"/>
      <c r="Q2603" s="3"/>
      <c r="R2603" s="3">
        <f>IFERROR(__xludf.DUMMYFUNCTION("""COMPUTED_VALUE"""),0.0)</f>
        <v>0</v>
      </c>
      <c r="S2603" s="3"/>
      <c r="T2603" s="5"/>
      <c r="U2603" s="5"/>
      <c r="V2603" s="5"/>
      <c r="W2603" s="5"/>
    </row>
    <row r="2604" ht="15.75" customHeight="1">
      <c r="A2604" s="3">
        <f>IFERROR(__xludf.DUMMYFUNCTION("""COMPUTED_VALUE"""),2604.0)</f>
        <v>2604</v>
      </c>
      <c r="B2604" s="53">
        <f>IFERROR(__xludf.DUMMYFUNCTION("""COMPUTED_VALUE"""),46184.0)</f>
        <v>46184</v>
      </c>
      <c r="C2604" s="3">
        <f>IFERROR(__xludf.DUMMYFUNCTION("""COMPUTED_VALUE"""),94.0)</f>
        <v>94</v>
      </c>
      <c r="D2604" s="3" t="str">
        <f>IFERROR(__xludf.DUMMYFUNCTION("""COMPUTED_VALUE"""),"ab06a83a")</f>
        <v>ab06a83a</v>
      </c>
      <c r="E2604" s="54">
        <f>IFERROR(__xludf.DUMMYFUNCTION("""COMPUTED_VALUE"""),11600.0)</f>
        <v>11600</v>
      </c>
      <c r="F2604" s="3" t="str">
        <f>IFERROR(__xludf.DUMMYFUNCTION("""COMPUTED_VALUE"""),"Borra")</f>
        <v>Borra</v>
      </c>
      <c r="G2604" s="3"/>
      <c r="H2604" s="3"/>
      <c r="I2604" s="3"/>
      <c r="J2604" s="3"/>
      <c r="K2604" s="3"/>
      <c r="L2604" s="54">
        <f>IFERROR(__xludf.DUMMYFUNCTION("""COMPUTED_VALUE"""),180.0)</f>
        <v>180</v>
      </c>
      <c r="M2604" s="3">
        <f>IFERROR(__xludf.DUMMYFUNCTION("""COMPUTED_VALUE"""),281.0)</f>
        <v>281</v>
      </c>
      <c r="N2604" s="3"/>
      <c r="O2604" s="3"/>
      <c r="P2604" s="3"/>
      <c r="Q2604" s="3"/>
      <c r="R2604" s="3">
        <f>IFERROR(__xludf.DUMMYFUNCTION("""COMPUTED_VALUE"""),0.0)</f>
        <v>0</v>
      </c>
      <c r="S2604" s="3"/>
      <c r="T2604" s="5"/>
      <c r="U2604" s="5"/>
      <c r="V2604" s="5"/>
      <c r="W2604" s="5"/>
    </row>
    <row r="2605" ht="15.75" customHeight="1">
      <c r="A2605" s="3">
        <f>IFERROR(__xludf.DUMMYFUNCTION("""COMPUTED_VALUE"""),2605.0)</f>
        <v>2605</v>
      </c>
      <c r="B2605" s="53">
        <f>IFERROR(__xludf.DUMMYFUNCTION("""COMPUTED_VALUE"""),46184.0)</f>
        <v>46184</v>
      </c>
      <c r="C2605" s="3">
        <f>IFERROR(__xludf.DUMMYFUNCTION("""COMPUTED_VALUE"""),95.0)</f>
        <v>95</v>
      </c>
      <c r="D2605" s="3" t="str">
        <f>IFERROR(__xludf.DUMMYFUNCTION("""COMPUTED_VALUE"""),"ee2f1b47")</f>
        <v>ee2f1b47</v>
      </c>
      <c r="E2605" s="54">
        <f>IFERROR(__xludf.DUMMYFUNCTION("""COMPUTED_VALUE"""),77100.0)</f>
        <v>77100</v>
      </c>
      <c r="F2605" s="3" t="str">
        <f>IFERROR(__xludf.DUMMYFUNCTION("""COMPUTED_VALUE"""),"Criolla Recarga")</f>
        <v>Criolla Recarga</v>
      </c>
      <c r="G2605" s="3"/>
      <c r="H2605" s="3"/>
      <c r="I2605" s="3"/>
      <c r="J2605" s="3"/>
      <c r="K2605" s="3"/>
      <c r="L2605" s="54">
        <f>IFERROR(__xludf.DUMMYFUNCTION("""COMPUTED_VALUE"""),40.0)</f>
        <v>40</v>
      </c>
      <c r="M2605" s="3">
        <f>IFERROR(__xludf.DUMMYFUNCTION("""COMPUTED_VALUE"""),130.0)</f>
        <v>130</v>
      </c>
      <c r="N2605" s="3"/>
      <c r="O2605" s="3"/>
      <c r="P2605" s="3"/>
      <c r="Q2605" s="3"/>
      <c r="R2605" s="3">
        <f>IFERROR(__xludf.DUMMYFUNCTION("""COMPUTED_VALUE"""),0.0)</f>
        <v>0</v>
      </c>
      <c r="S2605" s="3"/>
      <c r="T2605" s="5"/>
      <c r="U2605" s="5"/>
      <c r="V2605" s="5"/>
      <c r="W2605" s="5"/>
    </row>
    <row r="2606" ht="15.75" customHeight="1">
      <c r="A2606" s="3">
        <f>IFERROR(__xludf.DUMMYFUNCTION("""COMPUTED_VALUE"""),2606.0)</f>
        <v>2606</v>
      </c>
      <c r="B2606" s="53">
        <f>IFERROR(__xludf.DUMMYFUNCTION("""COMPUTED_VALUE"""),46184.0)</f>
        <v>46184</v>
      </c>
      <c r="C2606" s="3">
        <f>IFERROR(__xludf.DUMMYFUNCTION("""COMPUTED_VALUE"""),106.0)</f>
        <v>106</v>
      </c>
      <c r="D2606" s="3" t="str">
        <f>IFERROR(__xludf.DUMMYFUNCTION("""COMPUTED_VALUE"""),"33054c4c")</f>
        <v>33054c4c</v>
      </c>
      <c r="E2606" s="54">
        <f>IFERROR(__xludf.DUMMYFUNCTION("""COMPUTED_VALUE"""),11000.0)</f>
        <v>11000</v>
      </c>
      <c r="F2606" s="3" t="str">
        <f>IFERROR(__xludf.DUMMYFUNCTION("""COMPUTED_VALUE"""),"Malbec Mer s/Asp 3")</f>
        <v>Malbec Mer s/Asp 3</v>
      </c>
      <c r="G2606" s="3"/>
      <c r="H2606" s="3"/>
      <c r="I2606" s="3"/>
      <c r="J2606" s="3"/>
      <c r="K2606" s="3"/>
      <c r="L2606" s="54">
        <f>IFERROR(__xludf.DUMMYFUNCTION("""COMPUTED_VALUE"""),45.0)</f>
        <v>45</v>
      </c>
      <c r="M2606" s="3">
        <f>IFERROR(__xludf.DUMMYFUNCTION("""COMPUTED_VALUE"""),96.0)</f>
        <v>96</v>
      </c>
      <c r="N2606" s="3"/>
      <c r="O2606" s="3"/>
      <c r="P2606" s="3"/>
      <c r="Q2606" s="3"/>
      <c r="R2606" s="3">
        <f>IFERROR(__xludf.DUMMYFUNCTION("""COMPUTED_VALUE"""),0.0)</f>
        <v>0</v>
      </c>
      <c r="S2606" s="3"/>
      <c r="T2606" s="5"/>
      <c r="U2606" s="5"/>
      <c r="V2606" s="5"/>
      <c r="W2606" s="5"/>
    </row>
    <row r="2607" ht="15.75" customHeight="1">
      <c r="A2607" s="3">
        <f>IFERROR(__xludf.DUMMYFUNCTION("""COMPUTED_VALUE"""),2607.0)</f>
        <v>2607</v>
      </c>
      <c r="B2607" s="53">
        <f>IFERROR(__xludf.DUMMYFUNCTION("""COMPUTED_VALUE"""),46184.0)</f>
        <v>46184</v>
      </c>
      <c r="C2607" s="3">
        <f>IFERROR(__xludf.DUMMYFUNCTION("""COMPUTED_VALUE"""),116.0)</f>
        <v>116</v>
      </c>
      <c r="D2607" s="3" t="str">
        <f>IFERROR(__xludf.DUMMYFUNCTION("""COMPUTED_VALUE"""),"606a2ad7")</f>
        <v>606a2ad7</v>
      </c>
      <c r="E2607" s="54">
        <f>IFERROR(__xludf.DUMMYFUNCTION("""COMPUTED_VALUE"""),99600.0)</f>
        <v>99600</v>
      </c>
      <c r="F2607" s="3" t="str">
        <f>IFERROR(__xludf.DUMMYFUNCTION("""COMPUTED_VALUE"""),"Malbec")</f>
        <v>Malbec</v>
      </c>
      <c r="G2607" s="3"/>
      <c r="H2607" s="3"/>
      <c r="I2607" s="3"/>
      <c r="J2607" s="3"/>
      <c r="K2607" s="3"/>
      <c r="L2607" s="54">
        <f>IFERROR(__xludf.DUMMYFUNCTION("""COMPUTED_VALUE"""),38.0)</f>
        <v>38</v>
      </c>
      <c r="M2607" s="3">
        <f>IFERROR(__xludf.DUMMYFUNCTION("""COMPUTED_VALUE"""),102.0)</f>
        <v>102</v>
      </c>
      <c r="N2607" s="3"/>
      <c r="O2607" s="3"/>
      <c r="P2607" s="3"/>
      <c r="Q2607" s="3"/>
      <c r="R2607" s="3">
        <f>IFERROR(__xludf.DUMMYFUNCTION("""COMPUTED_VALUE"""),0.0)</f>
        <v>0</v>
      </c>
      <c r="S2607" s="3"/>
      <c r="T2607" s="5"/>
      <c r="U2607" s="5"/>
      <c r="V2607" s="5"/>
      <c r="W2607" s="5"/>
    </row>
    <row r="2608" ht="15.75" customHeight="1">
      <c r="A2608" s="3">
        <f>IFERROR(__xludf.DUMMYFUNCTION("""COMPUTED_VALUE"""),2608.0)</f>
        <v>2608</v>
      </c>
      <c r="B2608" s="53">
        <f>IFERROR(__xludf.DUMMYFUNCTION("""COMPUTED_VALUE"""),46184.0)</f>
        <v>46184</v>
      </c>
      <c r="C2608" s="3">
        <f>IFERROR(__xludf.DUMMYFUNCTION("""COMPUTED_VALUE"""),120.0)</f>
        <v>120</v>
      </c>
      <c r="D2608" s="3" t="str">
        <f>IFERROR(__xludf.DUMMYFUNCTION("""COMPUTED_VALUE"""),"aa8077cb")</f>
        <v>aa8077cb</v>
      </c>
      <c r="E2608" s="54">
        <f>IFERROR(__xludf.DUMMYFUNCTION("""COMPUTED_VALUE"""),85800.0)</f>
        <v>85800</v>
      </c>
      <c r="F2608" s="3" t="str">
        <f>IFERROR(__xludf.DUMMYFUNCTION("""COMPUTED_VALUE"""),"Aspirant Anccelota PC")</f>
        <v>Aspirant Anccelota PC</v>
      </c>
      <c r="G2608" s="3"/>
      <c r="H2608" s="3"/>
      <c r="I2608" s="3"/>
      <c r="J2608" s="3"/>
      <c r="K2608" s="3"/>
      <c r="L2608" s="54">
        <f>IFERROR(__xludf.DUMMYFUNCTION("""COMPUTED_VALUE"""),46.0)</f>
        <v>46</v>
      </c>
      <c r="M2608" s="3">
        <f>IFERROR(__xludf.DUMMYFUNCTION("""COMPUTED_VALUE"""),90.0)</f>
        <v>90</v>
      </c>
      <c r="N2608" s="3"/>
      <c r="O2608" s="3"/>
      <c r="P2608" s="3"/>
      <c r="Q2608" s="3"/>
      <c r="R2608" s="3">
        <f>IFERROR(__xludf.DUMMYFUNCTION("""COMPUTED_VALUE"""),0.0)</f>
        <v>0</v>
      </c>
      <c r="S2608" s="3"/>
      <c r="T2608" s="5"/>
      <c r="U2608" s="5"/>
      <c r="V2608" s="5"/>
      <c r="W2608" s="5"/>
    </row>
    <row r="2609" ht="15.75" customHeight="1">
      <c r="A2609" s="3">
        <f>IFERROR(__xludf.DUMMYFUNCTION("""COMPUTED_VALUE"""),2609.0)</f>
        <v>2609</v>
      </c>
      <c r="B2609" s="53">
        <f>IFERROR(__xludf.DUMMYFUNCTION("""COMPUTED_VALUE"""),46184.0)</f>
        <v>46184</v>
      </c>
      <c r="C2609" s="3">
        <f>IFERROR(__xludf.DUMMYFUNCTION("""COMPUTED_VALUE"""),125.0)</f>
        <v>125</v>
      </c>
      <c r="D2609" s="3" t="str">
        <f>IFERROR(__xludf.DUMMYFUNCTION("""COMPUTED_VALUE"""),"3574f330")</f>
        <v>3574f330</v>
      </c>
      <c r="E2609" s="54">
        <f>IFERROR(__xludf.DUMMYFUNCTION("""COMPUTED_VALUE"""),31000.0)</f>
        <v>31000</v>
      </c>
      <c r="F2609" s="3" t="str">
        <f>IFERROR(__xludf.DUMMYFUNCTION("""COMPUTED_VALUE"""),"Syrah Anc s/Asp 2")</f>
        <v>Syrah Anc s/Asp 2</v>
      </c>
      <c r="G2609" s="3"/>
      <c r="H2609" s="3"/>
      <c r="I2609" s="3"/>
      <c r="J2609" s="3"/>
      <c r="K2609" s="3"/>
      <c r="L2609" s="54">
        <f>IFERROR(__xludf.DUMMYFUNCTION("""COMPUTED_VALUE"""),38.0)</f>
        <v>38</v>
      </c>
      <c r="M2609" s="3">
        <f>IFERROR(__xludf.DUMMYFUNCTION("""COMPUTED_VALUE"""),102.0)</f>
        <v>102</v>
      </c>
      <c r="N2609" s="3"/>
      <c r="O2609" s="3"/>
      <c r="P2609" s="3"/>
      <c r="Q2609" s="3"/>
      <c r="R2609" s="3">
        <f>IFERROR(__xludf.DUMMYFUNCTION("""COMPUTED_VALUE"""),0.0)</f>
        <v>0</v>
      </c>
      <c r="S2609" s="3"/>
      <c r="T2609" s="5"/>
      <c r="U2609" s="5"/>
      <c r="V2609" s="5"/>
      <c r="W2609" s="5"/>
    </row>
    <row r="2610" ht="15.75" customHeight="1">
      <c r="A2610" s="3">
        <f>IFERROR(__xludf.DUMMYFUNCTION("""COMPUTED_VALUE"""),2610.0)</f>
        <v>2610</v>
      </c>
      <c r="B2610" s="53">
        <f>IFERROR(__xludf.DUMMYFUNCTION("""COMPUTED_VALUE"""),46185.0)</f>
        <v>46185</v>
      </c>
      <c r="C2610" s="3">
        <f>IFERROR(__xludf.DUMMYFUNCTION("""COMPUTED_VALUE"""),5.0)</f>
        <v>5</v>
      </c>
      <c r="D2610" s="3" t="str">
        <f>IFERROR(__xludf.DUMMYFUNCTION("""COMPUTED_VALUE"""),"9cf12383")</f>
        <v>9cf12383</v>
      </c>
      <c r="E2610" s="54">
        <f>IFERROR(__xludf.DUMMYFUNCTION("""COMPUTED_VALUE"""),30000.0)</f>
        <v>30000</v>
      </c>
      <c r="F2610" s="3" t="str">
        <f>IFERROR(__xludf.DUMMYFUNCTION("""COMPUTED_VALUE"""),"Tinto Varietal B")</f>
        <v>Tinto Varietal B</v>
      </c>
      <c r="G2610" s="3"/>
      <c r="H2610" s="3"/>
      <c r="I2610" s="3"/>
      <c r="J2610" s="3"/>
      <c r="K2610" s="3"/>
      <c r="L2610" s="54">
        <f>IFERROR(__xludf.DUMMYFUNCTION("""COMPUTED_VALUE"""),25.0)</f>
        <v>25</v>
      </c>
      <c r="M2610" s="3">
        <f>IFERROR(__xludf.DUMMYFUNCTION("""COMPUTED_VALUE"""),160.0)</f>
        <v>160</v>
      </c>
      <c r="N2610" s="3"/>
      <c r="O2610" s="3"/>
      <c r="P2610" s="3"/>
      <c r="Q2610" s="3"/>
      <c r="R2610" s="3">
        <f>IFERROR(__xludf.DUMMYFUNCTION("""COMPUTED_VALUE"""),0.0)</f>
        <v>0</v>
      </c>
      <c r="S2610" s="3"/>
      <c r="T2610" s="5"/>
      <c r="U2610" s="5"/>
      <c r="V2610" s="5"/>
      <c r="W2610" s="5"/>
    </row>
    <row r="2611" ht="15.75" customHeight="1">
      <c r="A2611" s="3">
        <f>IFERROR(__xludf.DUMMYFUNCTION("""COMPUTED_VALUE"""),2611.0)</f>
        <v>2611</v>
      </c>
      <c r="B2611" s="53">
        <f>IFERROR(__xludf.DUMMYFUNCTION("""COMPUTED_VALUE"""),46185.0)</f>
        <v>46185</v>
      </c>
      <c r="C2611" s="3">
        <f>IFERROR(__xludf.DUMMYFUNCTION("""COMPUTED_VALUE"""),5.0)</f>
        <v>5</v>
      </c>
      <c r="D2611" s="3" t="str">
        <f>IFERROR(__xludf.DUMMYFUNCTION("""COMPUTED_VALUE"""),"9cf12383")</f>
        <v>9cf12383</v>
      </c>
      <c r="E2611" s="54">
        <f>IFERROR(__xludf.DUMMYFUNCTION("""COMPUTED_VALUE"""),30000.0)</f>
        <v>30000</v>
      </c>
      <c r="F2611" s="3" t="str">
        <f>IFERROR(__xludf.DUMMYFUNCTION("""COMPUTED_VALUE"""),"Tinto Varietal B")</f>
        <v>Tinto Varietal B</v>
      </c>
      <c r="G2611" s="55">
        <f>IFERROR(__xludf.DUMMYFUNCTION("""COMPUTED_VALUE"""),13.6)</f>
        <v>13.6</v>
      </c>
      <c r="H2611" s="56">
        <f>IFERROR(__xludf.DUMMYFUNCTION("""COMPUTED_VALUE"""),3.2)</f>
        <v>3.2</v>
      </c>
      <c r="I2611" s="57">
        <f>IFERROR(__xludf.DUMMYFUNCTION("""COMPUTED_VALUE"""),0.53)</f>
        <v>0.53</v>
      </c>
      <c r="J2611" s="57">
        <f>IFERROR(__xludf.DUMMYFUNCTION("""COMPUTED_VALUE"""),5.77)</f>
        <v>5.77</v>
      </c>
      <c r="K2611" s="57">
        <f>IFERROR(__xludf.DUMMYFUNCTION("""COMPUTED_VALUE"""),3.59)</f>
        <v>3.59</v>
      </c>
      <c r="L2611" s="3"/>
      <c r="M2611" s="3"/>
      <c r="N2611" s="3"/>
      <c r="O2611" s="3"/>
      <c r="P2611" s="3"/>
      <c r="Q2611" s="3"/>
      <c r="R2611" s="3">
        <f>IFERROR(__xludf.DUMMYFUNCTION("""COMPUTED_VALUE"""),0.0)</f>
        <v>0</v>
      </c>
      <c r="S2611" s="3"/>
      <c r="T2611" s="5"/>
      <c r="U2611" s="5"/>
      <c r="V2611" s="5"/>
      <c r="W2611" s="5" t="str">
        <f>IFERROR(__xludf.DUMMYFUNCTION("""COMPUTED_VALUE"""),"Datos de la pileta 26")</f>
        <v>Datos de la pileta 26</v>
      </c>
    </row>
    <row r="2612" ht="15.75" customHeight="1">
      <c r="A2612" s="3">
        <f>IFERROR(__xludf.DUMMYFUNCTION("""COMPUTED_VALUE"""),2612.0)</f>
        <v>2612</v>
      </c>
      <c r="B2612" s="53">
        <f>IFERROR(__xludf.DUMMYFUNCTION("""COMPUTED_VALUE"""),46185.0)</f>
        <v>46185</v>
      </c>
      <c r="C2612" s="3">
        <f>IFERROR(__xludf.DUMMYFUNCTION("""COMPUTED_VALUE"""),7.0)</f>
        <v>7</v>
      </c>
      <c r="D2612" s="3" t="str">
        <f>IFERROR(__xludf.DUMMYFUNCTION("""COMPUTED_VALUE"""),"e90df3a0")</f>
        <v>e90df3a0</v>
      </c>
      <c r="E2612" s="54">
        <f>IFERROR(__xludf.DUMMYFUNCTION("""COMPUTED_VALUE"""),30000.0)</f>
        <v>30000</v>
      </c>
      <c r="F2612" s="3" t="str">
        <f>IFERROR(__xludf.DUMMYFUNCTION("""COMPUTED_VALUE"""),"Tinto Varietal B")</f>
        <v>Tinto Varietal B</v>
      </c>
      <c r="G2612" s="55">
        <f>IFERROR(__xludf.DUMMYFUNCTION("""COMPUTED_VALUE"""),13.6)</f>
        <v>13.6</v>
      </c>
      <c r="H2612" s="56">
        <f>IFERROR(__xludf.DUMMYFUNCTION("""COMPUTED_VALUE"""),3.2)</f>
        <v>3.2</v>
      </c>
      <c r="I2612" s="57">
        <f>IFERROR(__xludf.DUMMYFUNCTION("""COMPUTED_VALUE"""),0.53)</f>
        <v>0.53</v>
      </c>
      <c r="J2612" s="57">
        <f>IFERROR(__xludf.DUMMYFUNCTION("""COMPUTED_VALUE"""),5.77)</f>
        <v>5.77</v>
      </c>
      <c r="K2612" s="57">
        <f>IFERROR(__xludf.DUMMYFUNCTION("""COMPUTED_VALUE"""),3.59)</f>
        <v>3.59</v>
      </c>
      <c r="L2612" s="3"/>
      <c r="M2612" s="3"/>
      <c r="N2612" s="3"/>
      <c r="O2612" s="3"/>
      <c r="P2612" s="3"/>
      <c r="Q2612" s="3"/>
      <c r="R2612" s="3">
        <f>IFERROR(__xludf.DUMMYFUNCTION("""COMPUTED_VALUE"""),0.0)</f>
        <v>0</v>
      </c>
      <c r="S2612" s="3"/>
      <c r="T2612" s="5"/>
      <c r="U2612" s="5"/>
      <c r="V2612" s="5"/>
      <c r="W2612" s="5" t="str">
        <f>IFERROR(__xludf.DUMMYFUNCTION("""COMPUTED_VALUE"""),"Datos de la pileta 26")</f>
        <v>Datos de la pileta 26</v>
      </c>
    </row>
    <row r="2613" ht="15.75" customHeight="1">
      <c r="A2613" s="3">
        <f>IFERROR(__xludf.DUMMYFUNCTION("""COMPUTED_VALUE"""),2613.0)</f>
        <v>2613</v>
      </c>
      <c r="B2613" s="53">
        <f>IFERROR(__xludf.DUMMYFUNCTION("""COMPUTED_VALUE"""),46185.0)</f>
        <v>46185</v>
      </c>
      <c r="C2613" s="3">
        <f>IFERROR(__xludf.DUMMYFUNCTION("""COMPUTED_VALUE"""),36.0)</f>
        <v>36</v>
      </c>
      <c r="D2613" s="3" t="str">
        <f>IFERROR(__xludf.DUMMYFUNCTION("""COMPUTED_VALUE"""),"976df8ba")</f>
        <v>976df8ba</v>
      </c>
      <c r="E2613" s="54">
        <f>IFERROR(__xludf.DUMMYFUNCTION("""COMPUTED_VALUE"""),19700.0)</f>
        <v>19700</v>
      </c>
      <c r="F2613" s="3" t="str">
        <f>IFERROR(__xludf.DUMMYFUNCTION("""COMPUTED_VALUE"""),"Tinto Varietal B")</f>
        <v>Tinto Varietal B</v>
      </c>
      <c r="G2613" s="55">
        <f>IFERROR(__xludf.DUMMYFUNCTION("""COMPUTED_VALUE"""),13.6)</f>
        <v>13.6</v>
      </c>
      <c r="H2613" s="56">
        <f>IFERROR(__xludf.DUMMYFUNCTION("""COMPUTED_VALUE"""),3.2)</f>
        <v>3.2</v>
      </c>
      <c r="I2613" s="57">
        <f>IFERROR(__xludf.DUMMYFUNCTION("""COMPUTED_VALUE"""),0.53)</f>
        <v>0.53</v>
      </c>
      <c r="J2613" s="57">
        <f>IFERROR(__xludf.DUMMYFUNCTION("""COMPUTED_VALUE"""),5.77)</f>
        <v>5.77</v>
      </c>
      <c r="K2613" s="57">
        <f>IFERROR(__xludf.DUMMYFUNCTION("""COMPUTED_VALUE"""),3.59)</f>
        <v>3.59</v>
      </c>
      <c r="L2613" s="3"/>
      <c r="M2613" s="3"/>
      <c r="N2613" s="3"/>
      <c r="O2613" s="3"/>
      <c r="P2613" s="3"/>
      <c r="Q2613" s="3"/>
      <c r="R2613" s="3">
        <f>IFERROR(__xludf.DUMMYFUNCTION("""COMPUTED_VALUE"""),0.0)</f>
        <v>0</v>
      </c>
      <c r="S2613" s="3"/>
      <c r="T2613" s="5"/>
      <c r="U2613" s="5"/>
      <c r="V2613" s="5"/>
      <c r="W2613" s="5" t="str">
        <f>IFERROR(__xludf.DUMMYFUNCTION("""COMPUTED_VALUE"""),"Datos de la pileta 26")</f>
        <v>Datos de la pileta 26</v>
      </c>
    </row>
    <row r="2614" ht="15.75" customHeight="1">
      <c r="A2614" s="3">
        <f>IFERROR(__xludf.DUMMYFUNCTION("""COMPUTED_VALUE"""),2614.0)</f>
        <v>2614</v>
      </c>
      <c r="B2614" s="53">
        <f>IFERROR(__xludf.DUMMYFUNCTION("""COMPUTED_VALUE"""),46185.0)</f>
        <v>46185</v>
      </c>
      <c r="C2614" s="3">
        <f>IFERROR(__xludf.DUMMYFUNCTION("""COMPUTED_VALUE"""),66.0)</f>
        <v>66</v>
      </c>
      <c r="D2614" s="3" t="str">
        <f>IFERROR(__xludf.DUMMYFUNCTION("""COMPUTED_VALUE"""),"0d5738b1")</f>
        <v>0d5738b1</v>
      </c>
      <c r="E2614" s="54">
        <f>IFERROR(__xludf.DUMMYFUNCTION("""COMPUTED_VALUE"""),23000.0)</f>
        <v>23000</v>
      </c>
      <c r="F2614" s="3" t="str">
        <f>IFERROR(__xludf.DUMMYFUNCTION("""COMPUTED_VALUE"""),"Tinto Varietal B")</f>
        <v>Tinto Varietal B</v>
      </c>
      <c r="G2614" s="55">
        <f>IFERROR(__xludf.DUMMYFUNCTION("""COMPUTED_VALUE"""),13.6)</f>
        <v>13.6</v>
      </c>
      <c r="H2614" s="56">
        <f>IFERROR(__xludf.DUMMYFUNCTION("""COMPUTED_VALUE"""),3.2)</f>
        <v>3.2</v>
      </c>
      <c r="I2614" s="57">
        <f>IFERROR(__xludf.DUMMYFUNCTION("""COMPUTED_VALUE"""),0.53)</f>
        <v>0.53</v>
      </c>
      <c r="J2614" s="57">
        <f>IFERROR(__xludf.DUMMYFUNCTION("""COMPUTED_VALUE"""),5.77)</f>
        <v>5.77</v>
      </c>
      <c r="K2614" s="57">
        <f>IFERROR(__xludf.DUMMYFUNCTION("""COMPUTED_VALUE"""),3.59)</f>
        <v>3.59</v>
      </c>
      <c r="L2614" s="3"/>
      <c r="M2614" s="3"/>
      <c r="N2614" s="3"/>
      <c r="O2614" s="3"/>
      <c r="P2614" s="3"/>
      <c r="Q2614" s="3"/>
      <c r="R2614" s="3">
        <f>IFERROR(__xludf.DUMMYFUNCTION("""COMPUTED_VALUE"""),0.0)</f>
        <v>0</v>
      </c>
      <c r="S2614" s="3"/>
      <c r="T2614" s="5"/>
      <c r="U2614" s="5"/>
      <c r="V2614" s="5"/>
      <c r="W2614" s="5" t="str">
        <f>IFERROR(__xludf.DUMMYFUNCTION("""COMPUTED_VALUE"""),"Datos de la pileta 26")</f>
        <v>Datos de la pileta 26</v>
      </c>
    </row>
    <row r="2615" ht="15.75" customHeight="1">
      <c r="A2615" s="3">
        <f>IFERROR(__xludf.DUMMYFUNCTION("""COMPUTED_VALUE"""),2615.0)</f>
        <v>2615</v>
      </c>
      <c r="B2615" s="53">
        <f>IFERROR(__xludf.DUMMYFUNCTION("""COMPUTED_VALUE"""),46185.0)</f>
        <v>46185</v>
      </c>
      <c r="C2615" s="3">
        <f>IFERROR(__xludf.DUMMYFUNCTION("""COMPUTED_VALUE"""),34.0)</f>
        <v>34</v>
      </c>
      <c r="D2615" s="3" t="str">
        <f>IFERROR(__xludf.DUMMYFUNCTION("""COMPUTED_VALUE"""),"d1e104ff")</f>
        <v>d1e104ff</v>
      </c>
      <c r="E2615" s="54">
        <f>IFERROR(__xludf.DUMMYFUNCTION("""COMPUTED_VALUE"""),39500.0)</f>
        <v>39500</v>
      </c>
      <c r="F2615" s="3" t="str">
        <f>IFERROR(__xludf.DUMMYFUNCTION("""COMPUTED_VALUE"""),"Tinto Varietal B")</f>
        <v>Tinto Varietal B</v>
      </c>
      <c r="G2615" s="55">
        <f>IFERROR(__xludf.DUMMYFUNCTION("""COMPUTED_VALUE"""),13.6)</f>
        <v>13.6</v>
      </c>
      <c r="H2615" s="56">
        <f>IFERROR(__xludf.DUMMYFUNCTION("""COMPUTED_VALUE"""),3.2)</f>
        <v>3.2</v>
      </c>
      <c r="I2615" s="57">
        <f>IFERROR(__xludf.DUMMYFUNCTION("""COMPUTED_VALUE"""),0.53)</f>
        <v>0.53</v>
      </c>
      <c r="J2615" s="57">
        <f>IFERROR(__xludf.DUMMYFUNCTION("""COMPUTED_VALUE"""),5.77)</f>
        <v>5.77</v>
      </c>
      <c r="K2615" s="57">
        <f>IFERROR(__xludf.DUMMYFUNCTION("""COMPUTED_VALUE"""),3.59)</f>
        <v>3.59</v>
      </c>
      <c r="L2615" s="3"/>
      <c r="M2615" s="3"/>
      <c r="N2615" s="3"/>
      <c r="O2615" s="3"/>
      <c r="P2615" s="3"/>
      <c r="Q2615" s="3"/>
      <c r="R2615" s="3">
        <f>IFERROR(__xludf.DUMMYFUNCTION("""COMPUTED_VALUE"""),0.0)</f>
        <v>0</v>
      </c>
      <c r="S2615" s="3"/>
      <c r="T2615" s="5"/>
      <c r="U2615" s="5"/>
      <c r="V2615" s="5"/>
      <c r="W2615" s="5" t="str">
        <f>IFERROR(__xludf.DUMMYFUNCTION("""COMPUTED_VALUE"""),"Datos de la pileta 26")</f>
        <v>Datos de la pileta 26</v>
      </c>
    </row>
    <row r="2616" ht="15.75" customHeight="1">
      <c r="A2616" s="3">
        <f>IFERROR(__xludf.DUMMYFUNCTION("""COMPUTED_VALUE"""),2616.0)</f>
        <v>2616</v>
      </c>
      <c r="B2616" s="53">
        <f>IFERROR(__xludf.DUMMYFUNCTION("""COMPUTED_VALUE"""),46185.0)</f>
        <v>46185</v>
      </c>
      <c r="C2616" s="3">
        <f>IFERROR(__xludf.DUMMYFUNCTION("""COMPUTED_VALUE"""),24.0)</f>
        <v>24</v>
      </c>
      <c r="D2616" s="3" t="str">
        <f>IFERROR(__xludf.DUMMYFUNCTION("""COMPUTED_VALUE"""),"3cb54432")</f>
        <v>3cb54432</v>
      </c>
      <c r="E2616" s="54">
        <f>IFERROR(__xludf.DUMMYFUNCTION("""COMPUTED_VALUE"""),186600.0)</f>
        <v>186600</v>
      </c>
      <c r="F2616" s="3" t="str">
        <f>IFERROR(__xludf.DUMMYFUNCTION("""COMPUTED_VALUE"""),"Malbec")</f>
        <v>Malbec</v>
      </c>
      <c r="G2616" s="55">
        <f>IFERROR(__xludf.DUMMYFUNCTION("""COMPUTED_VALUE"""),13.0)</f>
        <v>13</v>
      </c>
      <c r="H2616" s="56">
        <f>IFERROR(__xludf.DUMMYFUNCTION("""COMPUTED_VALUE"""),3.11)</f>
        <v>3.11</v>
      </c>
      <c r="I2616" s="57">
        <f>IFERROR(__xludf.DUMMYFUNCTION("""COMPUTED_VALUE"""),0.65)</f>
        <v>0.65</v>
      </c>
      <c r="J2616" s="57">
        <f>IFERROR(__xludf.DUMMYFUNCTION("""COMPUTED_VALUE"""),5.35)</f>
        <v>5.35</v>
      </c>
      <c r="K2616" s="57">
        <f>IFERROR(__xludf.DUMMYFUNCTION("""COMPUTED_VALUE"""),3.69)</f>
        <v>3.69</v>
      </c>
      <c r="L2616" s="54">
        <f>IFERROR(__xludf.DUMMYFUNCTION("""COMPUTED_VALUE"""),33.0)</f>
        <v>33</v>
      </c>
      <c r="M2616" s="3">
        <f>IFERROR(__xludf.DUMMYFUNCTION("""COMPUTED_VALUE"""),93.0)</f>
        <v>93</v>
      </c>
      <c r="N2616" s="3"/>
      <c r="O2616" s="3"/>
      <c r="P2616" s="3"/>
      <c r="Q2616" s="3"/>
      <c r="R2616" s="3">
        <f>IFERROR(__xludf.DUMMYFUNCTION("""COMPUTED_VALUE"""),0.0)</f>
        <v>0</v>
      </c>
      <c r="S2616" s="3"/>
      <c r="T2616" s="5"/>
      <c r="U2616" s="5"/>
      <c r="V2616" s="5"/>
      <c r="W2616" s="5"/>
    </row>
    <row r="2617" ht="15.75" customHeight="1">
      <c r="A2617" s="3">
        <f>IFERROR(__xludf.DUMMYFUNCTION("""COMPUTED_VALUE"""),2617.0)</f>
        <v>2617</v>
      </c>
      <c r="B2617" s="53">
        <f>IFERROR(__xludf.DUMMYFUNCTION("""COMPUTED_VALUE"""),46185.0)</f>
        <v>46185</v>
      </c>
      <c r="C2617" s="3">
        <f>IFERROR(__xludf.DUMMYFUNCTION("""COMPUTED_VALUE"""),65.0)</f>
        <v>65</v>
      </c>
      <c r="D2617" s="3" t="str">
        <f>IFERROR(__xludf.DUMMYFUNCTION("""COMPUTED_VALUE"""),"be5bdb25")</f>
        <v>be5bdb25</v>
      </c>
      <c r="E2617" s="54">
        <f>IFERROR(__xludf.DUMMYFUNCTION("""COMPUTED_VALUE"""),35500.0)</f>
        <v>35500</v>
      </c>
      <c r="F2617" s="3" t="str">
        <f>IFERROR(__xludf.DUMMYFUNCTION("""COMPUTED_VALUE"""),"Syrah")</f>
        <v>Syrah</v>
      </c>
      <c r="G2617" s="55">
        <f>IFERROR(__xludf.DUMMYFUNCTION("""COMPUTED_VALUE"""),14.0)</f>
        <v>14</v>
      </c>
      <c r="H2617" s="56">
        <f>IFERROR(__xludf.DUMMYFUNCTION("""COMPUTED_VALUE"""),3.1)</f>
        <v>3.1</v>
      </c>
      <c r="I2617" s="57">
        <f>IFERROR(__xludf.DUMMYFUNCTION("""COMPUTED_VALUE"""),0.61)</f>
        <v>0.61</v>
      </c>
      <c r="J2617" s="57">
        <f>IFERROR(__xludf.DUMMYFUNCTION("""COMPUTED_VALUE"""),4.8)</f>
        <v>4.8</v>
      </c>
      <c r="K2617" s="57">
        <f>IFERROR(__xludf.DUMMYFUNCTION("""COMPUTED_VALUE"""),3.91)</f>
        <v>3.91</v>
      </c>
      <c r="L2617" s="54">
        <f>IFERROR(__xludf.DUMMYFUNCTION("""COMPUTED_VALUE"""),40.0)</f>
        <v>40</v>
      </c>
      <c r="M2617" s="3">
        <f>IFERROR(__xludf.DUMMYFUNCTION("""COMPUTED_VALUE"""),120.0)</f>
        <v>120</v>
      </c>
      <c r="N2617" s="3"/>
      <c r="O2617" s="3"/>
      <c r="P2617" s="3"/>
      <c r="Q2617" s="3"/>
      <c r="R2617" s="3">
        <f>IFERROR(__xludf.DUMMYFUNCTION("""COMPUTED_VALUE"""),0.0)</f>
        <v>0</v>
      </c>
      <c r="S2617" s="3"/>
      <c r="T2617" s="5"/>
      <c r="U2617" s="5"/>
      <c r="V2617" s="5"/>
      <c r="W2617" s="5"/>
    </row>
    <row r="2618" ht="15.75" customHeight="1">
      <c r="A2618" s="3">
        <f>IFERROR(__xludf.DUMMYFUNCTION("""COMPUTED_VALUE"""),2618.0)</f>
        <v>2618</v>
      </c>
      <c r="B2618" s="53">
        <f>IFERROR(__xludf.DUMMYFUNCTION("""COMPUTED_VALUE"""),46185.0)</f>
        <v>46185</v>
      </c>
      <c r="C2618" s="3">
        <f>IFERROR(__xludf.DUMMYFUNCTION("""COMPUTED_VALUE"""),76.0)</f>
        <v>76</v>
      </c>
      <c r="D2618" s="3" t="str">
        <f>IFERROR(__xludf.DUMMYFUNCTION("""COMPUTED_VALUE"""),"70e78bdf")</f>
        <v>70e78bdf</v>
      </c>
      <c r="E2618" s="54">
        <f>IFERROR(__xludf.DUMMYFUNCTION("""COMPUTED_VALUE"""),25500.0)</f>
        <v>25500</v>
      </c>
      <c r="F2618" s="3" t="str">
        <f>IFERROR(__xludf.DUMMYFUNCTION("""COMPUTED_VALUE"""),"Syrah")</f>
        <v>Syrah</v>
      </c>
      <c r="G2618" s="55">
        <f>IFERROR(__xludf.DUMMYFUNCTION("""COMPUTED_VALUE"""),14.0)</f>
        <v>14</v>
      </c>
      <c r="H2618" s="56">
        <f>IFERROR(__xludf.DUMMYFUNCTION("""COMPUTED_VALUE"""),3.1)</f>
        <v>3.1</v>
      </c>
      <c r="I2618" s="57">
        <f>IFERROR(__xludf.DUMMYFUNCTION("""COMPUTED_VALUE"""),0.61)</f>
        <v>0.61</v>
      </c>
      <c r="J2618" s="57">
        <f>IFERROR(__xludf.DUMMYFUNCTION("""COMPUTED_VALUE"""),4.8)</f>
        <v>4.8</v>
      </c>
      <c r="K2618" s="57">
        <f>IFERROR(__xludf.DUMMYFUNCTION("""COMPUTED_VALUE"""),3.91)</f>
        <v>3.91</v>
      </c>
      <c r="L2618" s="54">
        <f>IFERROR(__xludf.DUMMYFUNCTION("""COMPUTED_VALUE"""),40.0)</f>
        <v>40</v>
      </c>
      <c r="M2618" s="3">
        <f>IFERROR(__xludf.DUMMYFUNCTION("""COMPUTED_VALUE"""),120.0)</f>
        <v>120</v>
      </c>
      <c r="N2618" s="3"/>
      <c r="O2618" s="3"/>
      <c r="P2618" s="3"/>
      <c r="Q2618" s="3"/>
      <c r="R2618" s="3">
        <f>IFERROR(__xludf.DUMMYFUNCTION("""COMPUTED_VALUE"""),0.0)</f>
        <v>0</v>
      </c>
      <c r="S2618" s="3"/>
      <c r="T2618" s="5"/>
      <c r="U2618" s="5"/>
      <c r="V2618" s="5"/>
      <c r="W2618" s="5"/>
    </row>
    <row r="2619" ht="15.75" customHeight="1">
      <c r="A2619" s="3">
        <f>IFERROR(__xludf.DUMMYFUNCTION("""COMPUTED_VALUE"""),2619.0)</f>
        <v>2619</v>
      </c>
      <c r="B2619" s="53">
        <f>IFERROR(__xludf.DUMMYFUNCTION("""COMPUTED_VALUE"""),46185.0)</f>
        <v>46185</v>
      </c>
      <c r="C2619" s="3">
        <f>IFERROR(__xludf.DUMMYFUNCTION("""COMPUTED_VALUE"""),73.0)</f>
        <v>73</v>
      </c>
      <c r="D2619" s="3" t="str">
        <f>IFERROR(__xludf.DUMMYFUNCTION("""COMPUTED_VALUE"""),"d70658e5")</f>
        <v>d70658e5</v>
      </c>
      <c r="E2619" s="54">
        <f>IFERROR(__xludf.DUMMYFUNCTION("""COMPUTED_VALUE"""),13000.0)</f>
        <v>13000</v>
      </c>
      <c r="F2619" s="3" t="str">
        <f>IFERROR(__xludf.DUMMYFUNCTION("""COMPUTED_VALUE"""),"Syrah")</f>
        <v>Syrah</v>
      </c>
      <c r="G2619" s="55">
        <f>IFERROR(__xludf.DUMMYFUNCTION("""COMPUTED_VALUE"""),14.0)</f>
        <v>14</v>
      </c>
      <c r="H2619" s="56">
        <f>IFERROR(__xludf.DUMMYFUNCTION("""COMPUTED_VALUE"""),3.1)</f>
        <v>3.1</v>
      </c>
      <c r="I2619" s="57">
        <f>IFERROR(__xludf.DUMMYFUNCTION("""COMPUTED_VALUE"""),0.61)</f>
        <v>0.61</v>
      </c>
      <c r="J2619" s="57">
        <f>IFERROR(__xludf.DUMMYFUNCTION("""COMPUTED_VALUE"""),4.8)</f>
        <v>4.8</v>
      </c>
      <c r="K2619" s="57">
        <f>IFERROR(__xludf.DUMMYFUNCTION("""COMPUTED_VALUE"""),3.91)</f>
        <v>3.91</v>
      </c>
      <c r="L2619" s="54">
        <f>IFERROR(__xludf.DUMMYFUNCTION("""COMPUTED_VALUE"""),40.0)</f>
        <v>40</v>
      </c>
      <c r="M2619" s="3">
        <f>IFERROR(__xludf.DUMMYFUNCTION("""COMPUTED_VALUE"""),120.0)</f>
        <v>120</v>
      </c>
      <c r="N2619" s="3"/>
      <c r="O2619" s="3"/>
      <c r="P2619" s="3"/>
      <c r="Q2619" s="3"/>
      <c r="R2619" s="3">
        <f>IFERROR(__xludf.DUMMYFUNCTION("""COMPUTED_VALUE"""),0.0)</f>
        <v>0</v>
      </c>
      <c r="S2619" s="3"/>
      <c r="T2619" s="5"/>
      <c r="U2619" s="5"/>
      <c r="V2619" s="5"/>
      <c r="W2619" s="5"/>
    </row>
    <row r="2620" ht="15.75" customHeight="1">
      <c r="A2620" s="3">
        <f>IFERROR(__xludf.DUMMYFUNCTION("""COMPUTED_VALUE"""),2620.0)</f>
        <v>2620</v>
      </c>
      <c r="B2620" s="53">
        <f>IFERROR(__xludf.DUMMYFUNCTION("""COMPUTED_VALUE"""),46185.0)</f>
        <v>46185</v>
      </c>
      <c r="C2620" s="3">
        <f>IFERROR(__xludf.DUMMYFUNCTION("""COMPUTED_VALUE"""),79.0)</f>
        <v>79</v>
      </c>
      <c r="D2620" s="3" t="str">
        <f>IFERROR(__xludf.DUMMYFUNCTION("""COMPUTED_VALUE"""),"79e2220e")</f>
        <v>79e2220e</v>
      </c>
      <c r="E2620" s="54">
        <f>IFERROR(__xludf.DUMMYFUNCTION("""COMPUTED_VALUE"""),26000.0)</f>
        <v>26000</v>
      </c>
      <c r="F2620" s="3" t="str">
        <f>IFERROR(__xludf.DUMMYFUNCTION("""COMPUTED_VALUE"""),"Syrah")</f>
        <v>Syrah</v>
      </c>
      <c r="G2620" s="55">
        <f>IFERROR(__xludf.DUMMYFUNCTION("""COMPUTED_VALUE"""),14.0)</f>
        <v>14</v>
      </c>
      <c r="H2620" s="56">
        <f>IFERROR(__xludf.DUMMYFUNCTION("""COMPUTED_VALUE"""),3.1)</f>
        <v>3.1</v>
      </c>
      <c r="I2620" s="57">
        <f>IFERROR(__xludf.DUMMYFUNCTION("""COMPUTED_VALUE"""),0.61)</f>
        <v>0.61</v>
      </c>
      <c r="J2620" s="57">
        <f>IFERROR(__xludf.DUMMYFUNCTION("""COMPUTED_VALUE"""),4.8)</f>
        <v>4.8</v>
      </c>
      <c r="K2620" s="57">
        <f>IFERROR(__xludf.DUMMYFUNCTION("""COMPUTED_VALUE"""),3.91)</f>
        <v>3.91</v>
      </c>
      <c r="L2620" s="54">
        <f>IFERROR(__xludf.DUMMYFUNCTION("""COMPUTED_VALUE"""),40.0)</f>
        <v>40</v>
      </c>
      <c r="M2620" s="3">
        <f>IFERROR(__xludf.DUMMYFUNCTION("""COMPUTED_VALUE"""),120.0)</f>
        <v>120</v>
      </c>
      <c r="N2620" s="3"/>
      <c r="O2620" s="3"/>
      <c r="P2620" s="3"/>
      <c r="Q2620" s="3"/>
      <c r="R2620" s="3">
        <f>IFERROR(__xludf.DUMMYFUNCTION("""COMPUTED_VALUE"""),0.0)</f>
        <v>0</v>
      </c>
      <c r="S2620" s="3"/>
      <c r="T2620" s="5"/>
      <c r="U2620" s="5"/>
      <c r="V2620" s="5"/>
      <c r="W2620" s="5"/>
    </row>
    <row r="2621" ht="15.75" customHeight="1">
      <c r="A2621" s="3">
        <f>IFERROR(__xludf.DUMMYFUNCTION("""COMPUTED_VALUE"""),2621.0)</f>
        <v>2621</v>
      </c>
      <c r="B2621" s="53">
        <f>IFERROR(__xludf.DUMMYFUNCTION("""COMPUTED_VALUE"""),46185.0)</f>
        <v>46185</v>
      </c>
      <c r="C2621" s="3">
        <f>IFERROR(__xludf.DUMMYFUNCTION("""COMPUTED_VALUE"""),81.0)</f>
        <v>81</v>
      </c>
      <c r="D2621" s="3" t="str">
        <f>IFERROR(__xludf.DUMMYFUNCTION("""COMPUTED_VALUE"""),"c195697b")</f>
        <v>c195697b</v>
      </c>
      <c r="E2621" s="54">
        <f>IFERROR(__xludf.DUMMYFUNCTION("""COMPUTED_VALUE"""),26500.0)</f>
        <v>26500</v>
      </c>
      <c r="F2621" s="3" t="str">
        <f>IFERROR(__xludf.DUMMYFUNCTION("""COMPUTED_VALUE"""),"Syrah")</f>
        <v>Syrah</v>
      </c>
      <c r="G2621" s="55">
        <f>IFERROR(__xludf.DUMMYFUNCTION("""COMPUTED_VALUE"""),14.0)</f>
        <v>14</v>
      </c>
      <c r="H2621" s="56">
        <f>IFERROR(__xludf.DUMMYFUNCTION("""COMPUTED_VALUE"""),3.1)</f>
        <v>3.1</v>
      </c>
      <c r="I2621" s="57">
        <f>IFERROR(__xludf.DUMMYFUNCTION("""COMPUTED_VALUE"""),0.61)</f>
        <v>0.61</v>
      </c>
      <c r="J2621" s="57">
        <f>IFERROR(__xludf.DUMMYFUNCTION("""COMPUTED_VALUE"""),4.8)</f>
        <v>4.8</v>
      </c>
      <c r="K2621" s="57">
        <f>IFERROR(__xludf.DUMMYFUNCTION("""COMPUTED_VALUE"""),3.91)</f>
        <v>3.91</v>
      </c>
      <c r="L2621" s="54">
        <f>IFERROR(__xludf.DUMMYFUNCTION("""COMPUTED_VALUE"""),40.0)</f>
        <v>40</v>
      </c>
      <c r="M2621" s="3">
        <f>IFERROR(__xludf.DUMMYFUNCTION("""COMPUTED_VALUE"""),120.0)</f>
        <v>120</v>
      </c>
      <c r="N2621" s="3"/>
      <c r="O2621" s="3"/>
      <c r="P2621" s="3"/>
      <c r="Q2621" s="3"/>
      <c r="R2621" s="3">
        <f>IFERROR(__xludf.DUMMYFUNCTION("""COMPUTED_VALUE"""),0.0)</f>
        <v>0</v>
      </c>
      <c r="S2621" s="3"/>
      <c r="T2621" s="5"/>
      <c r="U2621" s="5"/>
      <c r="V2621" s="5"/>
      <c r="W2621" s="5"/>
    </row>
    <row r="2622" ht="15.75" customHeight="1">
      <c r="A2622" s="3">
        <f>IFERROR(__xludf.DUMMYFUNCTION("""COMPUTED_VALUE"""),2622.0)</f>
        <v>2622</v>
      </c>
      <c r="B2622" s="53">
        <f>IFERROR(__xludf.DUMMYFUNCTION("""COMPUTED_VALUE"""),46189.0)</f>
        <v>46189</v>
      </c>
      <c r="C2622" s="3">
        <f>IFERROR(__xludf.DUMMYFUNCTION("""COMPUTED_VALUE"""),45.0)</f>
        <v>45</v>
      </c>
      <c r="D2622" s="3" t="str">
        <f>IFERROR(__xludf.DUMMYFUNCTION("""COMPUTED_VALUE"""),"8f769dd7")</f>
        <v>8f769dd7</v>
      </c>
      <c r="E2622" s="54">
        <f>IFERROR(__xludf.DUMMYFUNCTION("""COMPUTED_VALUE"""),30000.0)</f>
        <v>30000</v>
      </c>
      <c r="F2622" s="3" t="str">
        <f>IFERROR(__xludf.DUMMYFUNCTION("""COMPUTED_VALUE"""),"Syrah")</f>
        <v>Syrah</v>
      </c>
      <c r="G2622" s="55">
        <f>IFERROR(__xludf.DUMMYFUNCTION("""COMPUTED_VALUE"""),14.0)</f>
        <v>14</v>
      </c>
      <c r="H2622" s="56">
        <f>IFERROR(__xludf.DUMMYFUNCTION("""COMPUTED_VALUE"""),3.1)</f>
        <v>3.1</v>
      </c>
      <c r="I2622" s="57">
        <f>IFERROR(__xludf.DUMMYFUNCTION("""COMPUTED_VALUE"""),0.61)</f>
        <v>0.61</v>
      </c>
      <c r="J2622" s="57">
        <f>IFERROR(__xludf.DUMMYFUNCTION("""COMPUTED_VALUE"""),4.8)</f>
        <v>4.8</v>
      </c>
      <c r="K2622" s="57">
        <f>IFERROR(__xludf.DUMMYFUNCTION("""COMPUTED_VALUE"""),3.91)</f>
        <v>3.91</v>
      </c>
      <c r="L2622" s="54">
        <f>IFERROR(__xludf.DUMMYFUNCTION("""COMPUTED_VALUE"""),40.0)</f>
        <v>40</v>
      </c>
      <c r="M2622" s="3">
        <f>IFERROR(__xludf.DUMMYFUNCTION("""COMPUTED_VALUE"""),120.0)</f>
        <v>120</v>
      </c>
      <c r="N2622" s="3"/>
      <c r="O2622" s="3"/>
      <c r="P2622" s="3"/>
      <c r="Q2622" s="3"/>
      <c r="R2622" s="3">
        <f>IFERROR(__xludf.DUMMYFUNCTION("""COMPUTED_VALUE"""),0.0)</f>
        <v>0</v>
      </c>
      <c r="S2622" s="3"/>
      <c r="T2622" s="5"/>
      <c r="U2622" s="5"/>
      <c r="V2622" s="5"/>
      <c r="W2622" s="5"/>
    </row>
    <row r="2623" ht="15.75" customHeight="1">
      <c r="A2623" s="3">
        <f>IFERROR(__xludf.DUMMYFUNCTION("""COMPUTED_VALUE"""),2623.0)</f>
        <v>2623</v>
      </c>
      <c r="B2623" s="53">
        <f>IFERROR(__xludf.DUMMYFUNCTION("""COMPUTED_VALUE"""),46189.0)</f>
        <v>46189</v>
      </c>
      <c r="C2623" s="3">
        <f>IFERROR(__xludf.DUMMYFUNCTION("""COMPUTED_VALUE"""),87.0)</f>
        <v>87</v>
      </c>
      <c r="D2623" s="3" t="str">
        <f>IFERROR(__xludf.DUMMYFUNCTION("""COMPUTED_VALUE"""),"6b437cb5")</f>
        <v>6b437cb5</v>
      </c>
      <c r="E2623" s="54">
        <f>IFERROR(__xludf.DUMMYFUNCTION("""COMPUTED_VALUE"""),93700.0)</f>
        <v>93700</v>
      </c>
      <c r="F2623" s="3" t="str">
        <f>IFERROR(__xludf.DUMMYFUNCTION("""COMPUTED_VALUE"""),"Criolla Recarga")</f>
        <v>Criolla Recarga</v>
      </c>
      <c r="G2623" s="55">
        <f>IFERROR(__xludf.DUMMYFUNCTION("""COMPUTED_VALUE"""),13.8)</f>
        <v>13.8</v>
      </c>
      <c r="H2623" s="56">
        <f>IFERROR(__xludf.DUMMYFUNCTION("""COMPUTED_VALUE"""),3.6)</f>
        <v>3.6</v>
      </c>
      <c r="I2623" s="57">
        <f>IFERROR(__xludf.DUMMYFUNCTION("""COMPUTED_VALUE"""),0.53)</f>
        <v>0.53</v>
      </c>
      <c r="J2623" s="57">
        <f>IFERROR(__xludf.DUMMYFUNCTION("""COMPUTED_VALUE"""),4.25)</f>
        <v>4.25</v>
      </c>
      <c r="K2623" s="57">
        <f>IFERROR(__xludf.DUMMYFUNCTION("""COMPUTED_VALUE"""),3.76)</f>
        <v>3.76</v>
      </c>
      <c r="L2623" s="54">
        <f>IFERROR(__xludf.DUMMYFUNCTION("""COMPUTED_VALUE"""),45.0)</f>
        <v>45</v>
      </c>
      <c r="M2623" s="3">
        <f>IFERROR(__xludf.DUMMYFUNCTION("""COMPUTED_VALUE"""),120.0)</f>
        <v>120</v>
      </c>
      <c r="N2623" s="3"/>
      <c r="O2623" s="3"/>
      <c r="P2623" s="3"/>
      <c r="Q2623" s="3"/>
      <c r="R2623" s="3">
        <f>IFERROR(__xludf.DUMMYFUNCTION("""COMPUTED_VALUE"""),0.0)</f>
        <v>0</v>
      </c>
      <c r="S2623" s="3"/>
      <c r="T2623" s="5"/>
      <c r="U2623" s="5"/>
      <c r="V2623" s="5"/>
      <c r="W2623" s="5"/>
    </row>
    <row r="2624" ht="15.75" customHeight="1">
      <c r="A2624" s="3">
        <f>IFERROR(__xludf.DUMMYFUNCTION("""COMPUTED_VALUE"""),2624.0)</f>
        <v>2624</v>
      </c>
      <c r="B2624" s="53">
        <f>IFERROR(__xludf.DUMMYFUNCTION("""COMPUTED_VALUE"""),46189.0)</f>
        <v>46189</v>
      </c>
      <c r="C2624" s="3">
        <f>IFERROR(__xludf.DUMMYFUNCTION("""COMPUTED_VALUE"""),41.0)</f>
        <v>41</v>
      </c>
      <c r="D2624" s="3" t="str">
        <f>IFERROR(__xludf.DUMMYFUNCTION("""COMPUTED_VALUE"""),"f5897d1f")</f>
        <v>f5897d1f</v>
      </c>
      <c r="E2624" s="54">
        <f>IFERROR(__xludf.DUMMYFUNCTION("""COMPUTED_VALUE"""),35100.0)</f>
        <v>35100</v>
      </c>
      <c r="F2624" s="3" t="str">
        <f>IFERROR(__xludf.DUMMYFUNCTION("""COMPUTED_VALUE"""),"Bonarda")</f>
        <v>Bonarda</v>
      </c>
      <c r="G2624" s="55">
        <f>IFERROR(__xludf.DUMMYFUNCTION("""COMPUTED_VALUE"""),12.8)</f>
        <v>12.8</v>
      </c>
      <c r="H2624" s="56">
        <f>IFERROR(__xludf.DUMMYFUNCTION("""COMPUTED_VALUE"""),3.0)</f>
        <v>3</v>
      </c>
      <c r="I2624" s="57">
        <f>IFERROR(__xludf.DUMMYFUNCTION("""COMPUTED_VALUE"""),0.55)</f>
        <v>0.55</v>
      </c>
      <c r="J2624" s="57">
        <f>IFERROR(__xludf.DUMMYFUNCTION("""COMPUTED_VALUE"""),4.7)</f>
        <v>4.7</v>
      </c>
      <c r="K2624" s="57">
        <f>IFERROR(__xludf.DUMMYFUNCTION("""COMPUTED_VALUE"""),3.8)</f>
        <v>3.8</v>
      </c>
      <c r="L2624" s="54">
        <f>IFERROR(__xludf.DUMMYFUNCTION("""COMPUTED_VALUE"""),40.0)</f>
        <v>40</v>
      </c>
      <c r="M2624" s="3">
        <f>IFERROR(__xludf.DUMMYFUNCTION("""COMPUTED_VALUE"""),77.0)</f>
        <v>77</v>
      </c>
      <c r="N2624" s="3"/>
      <c r="O2624" s="3"/>
      <c r="P2624" s="3"/>
      <c r="Q2624" s="3"/>
      <c r="R2624" s="3">
        <f>IFERROR(__xludf.DUMMYFUNCTION("""COMPUTED_VALUE"""),0.0)</f>
        <v>0</v>
      </c>
      <c r="S2624" s="3"/>
      <c r="T2624" s="5"/>
      <c r="U2624" s="5"/>
      <c r="V2624" s="5"/>
      <c r="W2624" s="5"/>
    </row>
    <row r="2625" ht="15.75" customHeight="1">
      <c r="A2625" s="3">
        <f>IFERROR(__xludf.DUMMYFUNCTION("""COMPUTED_VALUE"""),2625.0)</f>
        <v>2625</v>
      </c>
      <c r="B2625" s="53">
        <f>IFERROR(__xludf.DUMMYFUNCTION("""COMPUTED_VALUE"""),46190.0)</f>
        <v>46190</v>
      </c>
      <c r="C2625" s="3">
        <f>IFERROR(__xludf.DUMMYFUNCTION("""COMPUTED_VALUE"""),102.0)</f>
        <v>102</v>
      </c>
      <c r="D2625" s="3" t="str">
        <f>IFERROR(__xludf.DUMMYFUNCTION("""COMPUTED_VALUE"""),"99245d60")</f>
        <v>99245d60</v>
      </c>
      <c r="E2625" s="54">
        <f>IFERROR(__xludf.DUMMYFUNCTION("""COMPUTED_VALUE"""),31000.0)</f>
        <v>31000</v>
      </c>
      <c r="F2625" s="3" t="str">
        <f>IFERROR(__xludf.DUMMYFUNCTION("""COMPUTED_VALUE"""),"Syrah s/Asp")</f>
        <v>Syrah s/Asp</v>
      </c>
      <c r="G2625" s="55">
        <f>IFERROR(__xludf.DUMMYFUNCTION("""COMPUTED_VALUE"""),13.5)</f>
        <v>13.5</v>
      </c>
      <c r="H2625" s="56">
        <f>IFERROR(__xludf.DUMMYFUNCTION("""COMPUTED_VALUE"""),2.7)</f>
        <v>2.7</v>
      </c>
      <c r="I2625" s="57">
        <f>IFERROR(__xludf.DUMMYFUNCTION("""COMPUTED_VALUE"""),0.6)</f>
        <v>0.6</v>
      </c>
      <c r="J2625" s="57">
        <f>IFERROR(__xludf.DUMMYFUNCTION("""COMPUTED_VALUE"""),5.12)</f>
        <v>5.12</v>
      </c>
      <c r="K2625" s="57">
        <f>IFERROR(__xludf.DUMMYFUNCTION("""COMPUTED_VALUE"""),3.85)</f>
        <v>3.85</v>
      </c>
      <c r="L2625" s="54">
        <f>IFERROR(__xludf.DUMMYFUNCTION("""COMPUTED_VALUE"""),42.0)</f>
        <v>42</v>
      </c>
      <c r="M2625" s="3">
        <f>IFERROR(__xludf.DUMMYFUNCTION("""COMPUTED_VALUE"""),120.0)</f>
        <v>120</v>
      </c>
      <c r="N2625" s="3"/>
      <c r="O2625" s="3"/>
      <c r="P2625" s="3"/>
      <c r="Q2625" s="3"/>
      <c r="R2625" s="3">
        <f>IFERROR(__xludf.DUMMYFUNCTION("""COMPUTED_VALUE"""),0.0)</f>
        <v>0</v>
      </c>
      <c r="S2625" s="3"/>
      <c r="T2625" s="5"/>
      <c r="U2625" s="5"/>
      <c r="V2625" s="5"/>
      <c r="W2625" s="5"/>
    </row>
    <row r="2626" ht="15.75" customHeight="1">
      <c r="A2626" s="3">
        <f>IFERROR(__xludf.DUMMYFUNCTION("""COMPUTED_VALUE"""),2626.0)</f>
        <v>2626</v>
      </c>
      <c r="B2626" s="53">
        <f>IFERROR(__xludf.DUMMYFUNCTION("""COMPUTED_VALUE"""),46190.0)</f>
        <v>46190</v>
      </c>
      <c r="C2626" s="3">
        <f>IFERROR(__xludf.DUMMYFUNCTION("""COMPUTED_VALUE"""),103.0)</f>
        <v>103</v>
      </c>
      <c r="D2626" s="3" t="str">
        <f>IFERROR(__xludf.DUMMYFUNCTION("""COMPUTED_VALUE"""),"e9753960")</f>
        <v>e9753960</v>
      </c>
      <c r="E2626" s="54">
        <f>IFERROR(__xludf.DUMMYFUNCTION("""COMPUTED_VALUE"""),31000.0)</f>
        <v>31000</v>
      </c>
      <c r="F2626" s="3" t="str">
        <f>IFERROR(__xludf.DUMMYFUNCTION("""COMPUTED_VALUE"""),"Syrah Merlot s/Asp 3")</f>
        <v>Syrah Merlot s/Asp 3</v>
      </c>
      <c r="G2626" s="55">
        <f>IFERROR(__xludf.DUMMYFUNCTION("""COMPUTED_VALUE"""),13.4)</f>
        <v>13.4</v>
      </c>
      <c r="H2626" s="56">
        <f>IFERROR(__xludf.DUMMYFUNCTION("""COMPUTED_VALUE"""),2.8)</f>
        <v>2.8</v>
      </c>
      <c r="I2626" s="57">
        <f>IFERROR(__xludf.DUMMYFUNCTION("""COMPUTED_VALUE"""),0.55)</f>
        <v>0.55</v>
      </c>
      <c r="J2626" s="57">
        <f>IFERROR(__xludf.DUMMYFUNCTION("""COMPUTED_VALUE"""),5.2)</f>
        <v>5.2</v>
      </c>
      <c r="K2626" s="57">
        <f>IFERROR(__xludf.DUMMYFUNCTION("""COMPUTED_VALUE"""),3.82)</f>
        <v>3.82</v>
      </c>
      <c r="L2626" s="54">
        <f>IFERROR(__xludf.DUMMYFUNCTION("""COMPUTED_VALUE"""),36.0)</f>
        <v>36</v>
      </c>
      <c r="M2626" s="3">
        <f>IFERROR(__xludf.DUMMYFUNCTION("""COMPUTED_VALUE"""),77.0)</f>
        <v>77</v>
      </c>
      <c r="N2626" s="3"/>
      <c r="O2626" s="3"/>
      <c r="P2626" s="3"/>
      <c r="Q2626" s="3"/>
      <c r="R2626" s="3">
        <f>IFERROR(__xludf.DUMMYFUNCTION("""COMPUTED_VALUE"""),0.0)</f>
        <v>0</v>
      </c>
      <c r="S2626" s="3"/>
      <c r="T2626" s="5"/>
      <c r="U2626" s="5"/>
      <c r="V2626" s="5"/>
      <c r="W2626" s="5"/>
    </row>
    <row r="2627" ht="15.75" customHeight="1">
      <c r="A2627" s="3">
        <f>IFERROR(__xludf.DUMMYFUNCTION("""COMPUTED_VALUE"""),2627.0)</f>
        <v>2627</v>
      </c>
      <c r="B2627" s="53">
        <f>IFERROR(__xludf.DUMMYFUNCTION("""COMPUTED_VALUE"""),46191.0)</f>
        <v>46191</v>
      </c>
      <c r="C2627" s="3">
        <f>IFERROR(__xludf.DUMMYFUNCTION("""COMPUTED_VALUE"""),71.0)</f>
        <v>71</v>
      </c>
      <c r="D2627" s="3" t="str">
        <f>IFERROR(__xludf.DUMMYFUNCTION("""COMPUTED_VALUE"""),"e9c60218")</f>
        <v>e9c60218</v>
      </c>
      <c r="E2627" s="54">
        <f>IFERROR(__xludf.DUMMYFUNCTION("""COMPUTED_VALUE"""),12000.0)</f>
        <v>12000</v>
      </c>
      <c r="F2627" s="3" t="str">
        <f>IFERROR(__xludf.DUMMYFUNCTION("""COMPUTED_VALUE"""),"Merlot s/Asp")</f>
        <v>Merlot s/Asp</v>
      </c>
      <c r="G2627" s="55">
        <f>IFERROR(__xludf.DUMMYFUNCTION("""COMPUTED_VALUE"""),12.9)</f>
        <v>12.9</v>
      </c>
      <c r="H2627" s="56">
        <f>IFERROR(__xludf.DUMMYFUNCTION("""COMPUTED_VALUE"""),2.0)</f>
        <v>2</v>
      </c>
      <c r="I2627" s="57">
        <f>IFERROR(__xludf.DUMMYFUNCTION("""COMPUTED_VALUE"""),0.49)</f>
        <v>0.49</v>
      </c>
      <c r="J2627" s="57">
        <f>IFERROR(__xludf.DUMMYFUNCTION("""COMPUTED_VALUE"""),4.7)</f>
        <v>4.7</v>
      </c>
      <c r="K2627" s="57">
        <f>IFERROR(__xludf.DUMMYFUNCTION("""COMPUTED_VALUE"""),3.67)</f>
        <v>3.67</v>
      </c>
      <c r="L2627" s="54">
        <f>IFERROR(__xludf.DUMMYFUNCTION("""COMPUTED_VALUE"""),48.0)</f>
        <v>48</v>
      </c>
      <c r="M2627" s="3">
        <f>IFERROR(__xludf.DUMMYFUNCTION("""COMPUTED_VALUE"""),80.0)</f>
        <v>80</v>
      </c>
      <c r="N2627" s="3"/>
      <c r="O2627" s="3"/>
      <c r="P2627" s="3"/>
      <c r="Q2627" s="3"/>
      <c r="R2627" s="3">
        <f>IFERROR(__xludf.DUMMYFUNCTION("""COMPUTED_VALUE"""),0.0)</f>
        <v>0</v>
      </c>
      <c r="S2627" s="3"/>
      <c r="T2627" s="5"/>
      <c r="U2627" s="5"/>
      <c r="V2627" s="5"/>
      <c r="W2627" s="5"/>
    </row>
    <row r="2628" ht="15.75" customHeight="1">
      <c r="A2628" s="3">
        <f>IFERROR(__xludf.DUMMYFUNCTION("""COMPUTED_VALUE"""),2628.0)</f>
        <v>2628</v>
      </c>
      <c r="B2628" s="53">
        <f>IFERROR(__xludf.DUMMYFUNCTION("""COMPUTED_VALUE"""),46191.0)</f>
        <v>46191</v>
      </c>
      <c r="C2628" s="3">
        <f>IFERROR(__xludf.DUMMYFUNCTION("""COMPUTED_VALUE"""),104.0)</f>
        <v>104</v>
      </c>
      <c r="D2628" s="3" t="str">
        <f>IFERROR(__xludf.DUMMYFUNCTION("""COMPUTED_VALUE"""),"b7cf1976")</f>
        <v>b7cf1976</v>
      </c>
      <c r="E2628" s="54">
        <f>IFERROR(__xludf.DUMMYFUNCTION("""COMPUTED_VALUE"""),31000.0)</f>
        <v>31000</v>
      </c>
      <c r="F2628" s="3" t="str">
        <f>IFERROR(__xludf.DUMMYFUNCTION("""COMPUTED_VALUE"""),"Syrah Merlot s/Asp 3")</f>
        <v>Syrah Merlot s/Asp 3</v>
      </c>
      <c r="G2628" s="3"/>
      <c r="H2628" s="3"/>
      <c r="I2628" s="3"/>
      <c r="J2628" s="3"/>
      <c r="K2628" s="3"/>
      <c r="L2628" s="3"/>
      <c r="M2628" s="3"/>
      <c r="N2628" s="3"/>
      <c r="O2628" s="3"/>
      <c r="P2628" s="3"/>
      <c r="Q2628" s="3"/>
      <c r="R2628" s="3">
        <f>IFERROR(__xludf.DUMMYFUNCTION("""COMPUTED_VALUE"""),0.0)</f>
        <v>0</v>
      </c>
      <c r="S2628" s="3"/>
      <c r="T2628" s="5"/>
      <c r="U2628" s="5"/>
      <c r="V2628" s="5"/>
      <c r="W2628" s="5"/>
    </row>
    <row r="2629" ht="15.75" customHeight="1">
      <c r="A2629" s="3">
        <f>IFERROR(__xludf.DUMMYFUNCTION("""COMPUTED_VALUE"""),2629.0)</f>
        <v>2629</v>
      </c>
      <c r="B2629" s="3"/>
      <c r="C2629" s="3">
        <f>IFERROR(__xludf.DUMMYFUNCTION("""COMPUTED_VALUE"""),105.0)</f>
        <v>105</v>
      </c>
      <c r="D2629" s="3" t="str">
        <f>IFERROR(__xludf.DUMMYFUNCTION("""COMPUTED_VALUE"""),"0fa19063")</f>
        <v>0fa19063</v>
      </c>
      <c r="E2629" s="54">
        <f>IFERROR(__xludf.DUMMYFUNCTION("""COMPUTED_VALUE"""),24200.0)</f>
        <v>24200</v>
      </c>
      <c r="F2629" s="3" t="str">
        <f>IFERROR(__xludf.DUMMYFUNCTION("""COMPUTED_VALUE"""),"Syrah Malbec s/Asp 2")</f>
        <v>Syrah Malbec s/Asp 2</v>
      </c>
      <c r="G2629" s="3"/>
      <c r="H2629" s="3"/>
      <c r="I2629" s="3"/>
      <c r="J2629" s="3"/>
      <c r="K2629" s="3"/>
      <c r="L2629" s="3"/>
      <c r="M2629" s="3"/>
      <c r="N2629" s="3"/>
      <c r="O2629" s="3"/>
      <c r="P2629" s="3"/>
      <c r="Q2629" s="3"/>
      <c r="R2629" s="3">
        <f>IFERROR(__xludf.DUMMYFUNCTION("""COMPUTED_VALUE"""),0.0)</f>
        <v>0</v>
      </c>
      <c r="S2629" s="3"/>
      <c r="T2629" s="5"/>
      <c r="U2629" s="5"/>
      <c r="V2629" s="5"/>
      <c r="W2629" s="5"/>
    </row>
    <row r="2630" ht="15.75" customHeight="1">
      <c r="A2630" s="3">
        <f>IFERROR(__xludf.DUMMYFUNCTION("""COMPUTED_VALUE"""),2630.0)</f>
        <v>2630</v>
      </c>
      <c r="B2630" s="3"/>
      <c r="C2630" s="3">
        <f>IFERROR(__xludf.DUMMYFUNCTION("""COMPUTED_VALUE"""),126.0)</f>
        <v>126</v>
      </c>
      <c r="D2630" s="3" t="str">
        <f>IFERROR(__xludf.DUMMYFUNCTION("""COMPUTED_VALUE"""),"b598d19d")</f>
        <v>b598d19d</v>
      </c>
      <c r="E2630" s="54">
        <f>IFERROR(__xludf.DUMMYFUNCTION("""COMPUTED_VALUE"""),31000.0)</f>
        <v>31000</v>
      </c>
      <c r="F2630" s="3" t="str">
        <f>IFERROR(__xludf.DUMMYFUNCTION("""COMPUTED_VALUE"""),"Syrah Anc s/Asp 2")</f>
        <v>Syrah Anc s/Asp 2</v>
      </c>
      <c r="G2630" s="3"/>
      <c r="H2630" s="3"/>
      <c r="I2630" s="3"/>
      <c r="J2630" s="3"/>
      <c r="K2630" s="3"/>
      <c r="L2630" s="3"/>
      <c r="M2630" s="3"/>
      <c r="N2630" s="3"/>
      <c r="O2630" s="3"/>
      <c r="P2630" s="3"/>
      <c r="Q2630" s="3"/>
      <c r="R2630" s="3">
        <f>IFERROR(__xludf.DUMMYFUNCTION("""COMPUTED_VALUE"""),0.0)</f>
        <v>0</v>
      </c>
      <c r="S2630" s="3"/>
      <c r="T2630" s="5"/>
      <c r="U2630" s="5"/>
      <c r="V2630" s="5"/>
      <c r="W2630" s="5"/>
    </row>
    <row r="2631" ht="15.75" customHeight="1">
      <c r="A2631" s="3">
        <f>IFERROR(__xludf.DUMMYFUNCTION("""COMPUTED_VALUE"""),2631.0)</f>
        <v>2631</v>
      </c>
      <c r="B2631" s="53">
        <f>IFERROR(__xludf.DUMMYFUNCTION("""COMPUTED_VALUE"""),46191.0)</f>
        <v>46191</v>
      </c>
      <c r="C2631" s="3">
        <f>IFERROR(__xludf.DUMMYFUNCTION("""COMPUTED_VALUE"""),86.0)</f>
        <v>86</v>
      </c>
      <c r="D2631" s="3" t="str">
        <f>IFERROR(__xludf.DUMMYFUNCTION("""COMPUTED_VALUE"""),"a880dc8c")</f>
        <v>a880dc8c</v>
      </c>
      <c r="E2631" s="54">
        <f>IFERROR(__xludf.DUMMYFUNCTION("""COMPUTED_VALUE"""),70500.0)</f>
        <v>70500</v>
      </c>
      <c r="F2631" s="3" t="str">
        <f>IFERROR(__xludf.DUMMYFUNCTION("""COMPUTED_VALUE"""),"Syrah Anc PC s/Asp 2")</f>
        <v>Syrah Anc PC s/Asp 2</v>
      </c>
      <c r="G2631" s="55">
        <f>IFERROR(__xludf.DUMMYFUNCTION("""COMPUTED_VALUE"""),13.1)</f>
        <v>13.1</v>
      </c>
      <c r="H2631" s="56">
        <f>IFERROR(__xludf.DUMMYFUNCTION("""COMPUTED_VALUE"""),2.0)</f>
        <v>2</v>
      </c>
      <c r="I2631" s="57">
        <f>IFERROR(__xludf.DUMMYFUNCTION("""COMPUTED_VALUE"""),0.54)</f>
        <v>0.54</v>
      </c>
      <c r="J2631" s="57">
        <f>IFERROR(__xludf.DUMMYFUNCTION("""COMPUTED_VALUE"""),5.0)</f>
        <v>5</v>
      </c>
      <c r="K2631" s="57">
        <f>IFERROR(__xludf.DUMMYFUNCTION("""COMPUTED_VALUE"""),3.76)</f>
        <v>3.76</v>
      </c>
      <c r="L2631" s="54">
        <f>IFERROR(__xludf.DUMMYFUNCTION("""COMPUTED_VALUE"""),51.0)</f>
        <v>51</v>
      </c>
      <c r="M2631" s="3">
        <f>IFERROR(__xludf.DUMMYFUNCTION("""COMPUTED_VALUE"""),110.0)</f>
        <v>110</v>
      </c>
      <c r="N2631" s="3"/>
      <c r="O2631" s="3"/>
      <c r="P2631" s="3"/>
      <c r="Q2631" s="3"/>
      <c r="R2631" s="3">
        <f>IFERROR(__xludf.DUMMYFUNCTION("""COMPUTED_VALUE"""),0.0)</f>
        <v>0</v>
      </c>
      <c r="S2631" s="3"/>
      <c r="T2631" s="5"/>
      <c r="U2631" s="5"/>
      <c r="V2631" s="5"/>
      <c r="W2631" s="5"/>
    </row>
    <row r="2632" ht="15.75" customHeight="1">
      <c r="A2632" s="3">
        <f>IFERROR(__xludf.DUMMYFUNCTION("""COMPUTED_VALUE"""),2632.0)</f>
        <v>2632</v>
      </c>
      <c r="B2632" s="53">
        <f>IFERROR(__xludf.DUMMYFUNCTION("""COMPUTED_VALUE"""),46195.0)</f>
        <v>46195</v>
      </c>
      <c r="C2632" s="3">
        <f>IFERROR(__xludf.DUMMYFUNCTION("""COMPUTED_VALUE"""),42.0)</f>
        <v>42</v>
      </c>
      <c r="D2632" s="3" t="str">
        <f>IFERROR(__xludf.DUMMYFUNCTION("""COMPUTED_VALUE"""),"1f155a03")</f>
        <v>1f155a03</v>
      </c>
      <c r="E2632" s="54">
        <f>IFERROR(__xludf.DUMMYFUNCTION("""COMPUTED_VALUE"""),35900.0)</f>
        <v>35900</v>
      </c>
      <c r="F2632" s="3" t="str">
        <f>IFERROR(__xludf.DUMMYFUNCTION("""COMPUTED_VALUE"""),"Chardonnay Garbin")</f>
        <v>Chardonnay Garbin</v>
      </c>
      <c r="G2632" s="55">
        <f>IFERROR(__xludf.DUMMYFUNCTION("""COMPUTED_VALUE"""),12.9)</f>
        <v>12.9</v>
      </c>
      <c r="H2632" s="56">
        <f>IFERROR(__xludf.DUMMYFUNCTION("""COMPUTED_VALUE"""),2.0)</f>
        <v>2</v>
      </c>
      <c r="I2632" s="57">
        <f>IFERROR(__xludf.DUMMYFUNCTION("""COMPUTED_VALUE"""),0.3)</f>
        <v>0.3</v>
      </c>
      <c r="J2632" s="57">
        <f>IFERROR(__xludf.DUMMYFUNCTION("""COMPUTED_VALUE"""),5.58)</f>
        <v>5.58</v>
      </c>
      <c r="K2632" s="57">
        <f>IFERROR(__xludf.DUMMYFUNCTION("""COMPUTED_VALUE"""),3.34)</f>
        <v>3.34</v>
      </c>
      <c r="L2632" s="54">
        <f>IFERROR(__xludf.DUMMYFUNCTION("""COMPUTED_VALUE"""),39.0)</f>
        <v>39</v>
      </c>
      <c r="M2632" s="3">
        <f>IFERROR(__xludf.DUMMYFUNCTION("""COMPUTED_VALUE"""),140.0)</f>
        <v>140</v>
      </c>
      <c r="N2632" s="3"/>
      <c r="O2632" s="3"/>
      <c r="P2632" s="3"/>
      <c r="Q2632" s="3"/>
      <c r="R2632" s="3">
        <f>IFERROR(__xludf.DUMMYFUNCTION("""COMPUTED_VALUE"""),0.0)</f>
        <v>0</v>
      </c>
      <c r="S2632" s="3"/>
      <c r="T2632" s="5"/>
      <c r="U2632" s="5"/>
      <c r="V2632" s="5"/>
      <c r="W2632" s="5"/>
    </row>
    <row r="2633" ht="15.75" customHeight="1">
      <c r="A2633" s="3">
        <f>IFERROR(__xludf.DUMMYFUNCTION("""COMPUTED_VALUE"""),2633.0)</f>
        <v>2633</v>
      </c>
      <c r="B2633" s="53">
        <f>IFERROR(__xludf.DUMMYFUNCTION("""COMPUTED_VALUE"""),46195.0)</f>
        <v>46195</v>
      </c>
      <c r="C2633" s="3">
        <f>IFERROR(__xludf.DUMMYFUNCTION("""COMPUTED_VALUE"""),30.0)</f>
        <v>30</v>
      </c>
      <c r="D2633" s="3" t="str">
        <f>IFERROR(__xludf.DUMMYFUNCTION("""COMPUTED_VALUE"""),"c3291340")</f>
        <v>c3291340</v>
      </c>
      <c r="E2633" s="54">
        <f>IFERROR(__xludf.DUMMYFUNCTION("""COMPUTED_VALUE"""),38800.0)</f>
        <v>38800</v>
      </c>
      <c r="F2633" s="3" t="str">
        <f>IFERROR(__xludf.DUMMYFUNCTION("""COMPUTED_VALUE"""),"Chardonnay Ch")</f>
        <v>Chardonnay Ch</v>
      </c>
      <c r="G2633" s="3"/>
      <c r="H2633" s="3"/>
      <c r="I2633" s="3"/>
      <c r="J2633" s="3"/>
      <c r="K2633" s="57">
        <f>IFERROR(__xludf.DUMMYFUNCTION("""COMPUTED_VALUE"""),3.45)</f>
        <v>3.45</v>
      </c>
      <c r="L2633" s="54">
        <f>IFERROR(__xludf.DUMMYFUNCTION("""COMPUTED_VALUE"""),35.0)</f>
        <v>35</v>
      </c>
      <c r="M2633" s="3">
        <f>IFERROR(__xludf.DUMMYFUNCTION("""COMPUTED_VALUE"""),112.0)</f>
        <v>112</v>
      </c>
      <c r="N2633" s="3"/>
      <c r="O2633" s="3"/>
      <c r="P2633" s="3"/>
      <c r="Q2633" s="3"/>
      <c r="R2633" s="3">
        <f>IFERROR(__xludf.DUMMYFUNCTION("""COMPUTED_VALUE"""),0.0)</f>
        <v>0</v>
      </c>
      <c r="S2633" s="3"/>
      <c r="T2633" s="5"/>
      <c r="U2633" s="5"/>
      <c r="V2633" s="5"/>
      <c r="W2633" s="5"/>
    </row>
    <row r="2634" ht="15.75" customHeight="1">
      <c r="A2634" s="3">
        <f>IFERROR(__xludf.DUMMYFUNCTION("""COMPUTED_VALUE"""),2634.0)</f>
        <v>2634</v>
      </c>
      <c r="B2634" s="53">
        <f>IFERROR(__xludf.DUMMYFUNCTION("""COMPUTED_VALUE"""),46195.0)</f>
        <v>46195</v>
      </c>
      <c r="C2634" s="3">
        <f>IFERROR(__xludf.DUMMYFUNCTION("""COMPUTED_VALUE"""),31.0)</f>
        <v>31</v>
      </c>
      <c r="D2634" s="3" t="str">
        <f>IFERROR(__xludf.DUMMYFUNCTION("""COMPUTED_VALUE"""),"980878ae")</f>
        <v>980878ae</v>
      </c>
      <c r="E2634" s="54">
        <f>IFERROR(__xludf.DUMMYFUNCTION("""COMPUTED_VALUE"""),25000.0)</f>
        <v>25000</v>
      </c>
      <c r="F2634" s="3" t="str">
        <f>IFERROR(__xludf.DUMMYFUNCTION("""COMPUTED_VALUE"""),"Torrontes")</f>
        <v>Torrontes</v>
      </c>
      <c r="G2634" s="3"/>
      <c r="H2634" s="3"/>
      <c r="I2634" s="3"/>
      <c r="J2634" s="3"/>
      <c r="K2634" s="57">
        <f>IFERROR(__xludf.DUMMYFUNCTION("""COMPUTED_VALUE"""),3.41)</f>
        <v>3.41</v>
      </c>
      <c r="L2634" s="54">
        <f>IFERROR(__xludf.DUMMYFUNCTION("""COMPUTED_VALUE"""),36.0)</f>
        <v>36</v>
      </c>
      <c r="M2634" s="3">
        <f>IFERROR(__xludf.DUMMYFUNCTION("""COMPUTED_VALUE"""),140.0)</f>
        <v>140</v>
      </c>
      <c r="N2634" s="3"/>
      <c r="O2634" s="3"/>
      <c r="P2634" s="3"/>
      <c r="Q2634" s="3"/>
      <c r="R2634" s="3">
        <f>IFERROR(__xludf.DUMMYFUNCTION("""COMPUTED_VALUE"""),0.0)</f>
        <v>0</v>
      </c>
      <c r="S2634" s="3"/>
      <c r="T2634" s="5"/>
      <c r="U2634" s="5"/>
      <c r="V2634" s="5"/>
      <c r="W2634" s="5"/>
    </row>
    <row r="2635" ht="15.75" customHeight="1">
      <c r="A2635" s="3">
        <f>IFERROR(__xludf.DUMMYFUNCTION("""COMPUTED_VALUE"""),2635.0)</f>
        <v>2635</v>
      </c>
      <c r="B2635" s="53">
        <f>IFERROR(__xludf.DUMMYFUNCTION("""COMPUTED_VALUE"""),46195.0)</f>
        <v>46195</v>
      </c>
      <c r="C2635" s="3">
        <f>IFERROR(__xludf.DUMMYFUNCTION("""COMPUTED_VALUE"""),40.0)</f>
        <v>40</v>
      </c>
      <c r="D2635" s="3" t="str">
        <f>IFERROR(__xludf.DUMMYFUNCTION("""COMPUTED_VALUE"""),"1f31c1f9")</f>
        <v>1f31c1f9</v>
      </c>
      <c r="E2635" s="54">
        <f>IFERROR(__xludf.DUMMYFUNCTION("""COMPUTED_VALUE"""),24000.0)</f>
        <v>24000</v>
      </c>
      <c r="F2635" s="3" t="str">
        <f>IFERROR(__xludf.DUMMYFUNCTION("""COMPUTED_VALUE"""),"Chardonnay Reac")</f>
        <v>Chardonnay Reac</v>
      </c>
      <c r="G2635" s="3"/>
      <c r="H2635" s="3"/>
      <c r="I2635" s="3"/>
      <c r="J2635" s="3"/>
      <c r="K2635" s="57">
        <f>IFERROR(__xludf.DUMMYFUNCTION("""COMPUTED_VALUE"""),3.39)</f>
        <v>3.39</v>
      </c>
      <c r="L2635" s="54">
        <f>IFERROR(__xludf.DUMMYFUNCTION("""COMPUTED_VALUE"""),36.0)</f>
        <v>36</v>
      </c>
      <c r="M2635" s="3">
        <f>IFERROR(__xludf.DUMMYFUNCTION("""COMPUTED_VALUE"""),115.0)</f>
        <v>115</v>
      </c>
      <c r="N2635" s="3"/>
      <c r="O2635" s="3"/>
      <c r="P2635" s="3"/>
      <c r="Q2635" s="3"/>
      <c r="R2635" s="3">
        <f>IFERROR(__xludf.DUMMYFUNCTION("""COMPUTED_VALUE"""),0.0)</f>
        <v>0</v>
      </c>
      <c r="S2635" s="3"/>
      <c r="T2635" s="5"/>
      <c r="U2635" s="5"/>
      <c r="V2635" s="5"/>
      <c r="W2635" s="5"/>
    </row>
    <row r="2636" ht="15.75" customHeight="1">
      <c r="A2636" s="3">
        <f>IFERROR(__xludf.DUMMYFUNCTION("""COMPUTED_VALUE"""),2636.0)</f>
        <v>2636</v>
      </c>
      <c r="B2636" s="53">
        <f>IFERROR(__xludf.DUMMYFUNCTION("""COMPUTED_VALUE"""),46195.0)</f>
        <v>46195</v>
      </c>
      <c r="C2636" s="3">
        <f>IFERROR(__xludf.DUMMYFUNCTION("""COMPUTED_VALUE"""),48.0)</f>
        <v>48</v>
      </c>
      <c r="D2636" s="3" t="str">
        <f>IFERROR(__xludf.DUMMYFUNCTION("""COMPUTED_VALUE"""),"7cb704de")</f>
        <v>7cb704de</v>
      </c>
      <c r="E2636" s="54">
        <f>IFERROR(__xludf.DUMMYFUNCTION("""COMPUTED_VALUE"""),26000.0)</f>
        <v>26000</v>
      </c>
      <c r="F2636" s="3" t="str">
        <f>IFERROR(__xludf.DUMMYFUNCTION("""COMPUTED_VALUE"""),"Torrontes Viog")</f>
        <v>Torrontes Viog</v>
      </c>
      <c r="G2636" s="3"/>
      <c r="H2636" s="3"/>
      <c r="I2636" s="3"/>
      <c r="J2636" s="3"/>
      <c r="K2636" s="57">
        <f>IFERROR(__xludf.DUMMYFUNCTION("""COMPUTED_VALUE"""),3.39)</f>
        <v>3.39</v>
      </c>
      <c r="L2636" s="54">
        <f>IFERROR(__xludf.DUMMYFUNCTION("""COMPUTED_VALUE"""),34.0)</f>
        <v>34</v>
      </c>
      <c r="M2636" s="3">
        <f>IFERROR(__xludf.DUMMYFUNCTION("""COMPUTED_VALUE"""),110.0)</f>
        <v>110</v>
      </c>
      <c r="N2636" s="3"/>
      <c r="O2636" s="3"/>
      <c r="P2636" s="3"/>
      <c r="Q2636" s="3"/>
      <c r="R2636" s="3">
        <f>IFERROR(__xludf.DUMMYFUNCTION("""COMPUTED_VALUE"""),0.0)</f>
        <v>0</v>
      </c>
      <c r="S2636" s="3"/>
      <c r="T2636" s="5"/>
      <c r="U2636" s="5"/>
      <c r="V2636" s="5"/>
      <c r="W2636" s="5"/>
    </row>
    <row r="2637" ht="15.75" customHeight="1">
      <c r="A2637" s="3">
        <f>IFERROR(__xludf.DUMMYFUNCTION("""COMPUTED_VALUE"""),2637.0)</f>
        <v>2637</v>
      </c>
      <c r="B2637" s="53">
        <f>IFERROR(__xludf.DUMMYFUNCTION("""COMPUTED_VALUE"""),46195.0)</f>
        <v>46195</v>
      </c>
      <c r="C2637" s="3">
        <f>IFERROR(__xludf.DUMMYFUNCTION("""COMPUTED_VALUE"""),49.0)</f>
        <v>49</v>
      </c>
      <c r="D2637" s="3" t="str">
        <f>IFERROR(__xludf.DUMMYFUNCTION("""COMPUTED_VALUE"""),"8335a590")</f>
        <v>8335a590</v>
      </c>
      <c r="E2637" s="54">
        <f>IFERROR(__xludf.DUMMYFUNCTION("""COMPUTED_VALUE"""),26000.0)</f>
        <v>26000</v>
      </c>
      <c r="F2637" s="3" t="str">
        <f>IFERROR(__xludf.DUMMYFUNCTION("""COMPUTED_VALUE"""),"Chardonnay Reac")</f>
        <v>Chardonnay Reac</v>
      </c>
      <c r="G2637" s="3"/>
      <c r="H2637" s="3"/>
      <c r="I2637" s="3"/>
      <c r="J2637" s="3"/>
      <c r="K2637" s="57">
        <f>IFERROR(__xludf.DUMMYFUNCTION("""COMPUTED_VALUE"""),3.35)</f>
        <v>3.35</v>
      </c>
      <c r="L2637" s="54">
        <f>IFERROR(__xludf.DUMMYFUNCTION("""COMPUTED_VALUE"""),35.0)</f>
        <v>35</v>
      </c>
      <c r="M2637" s="3">
        <f>IFERROR(__xludf.DUMMYFUNCTION("""COMPUTED_VALUE"""),115.0)</f>
        <v>115</v>
      </c>
      <c r="N2637" s="3"/>
      <c r="O2637" s="3"/>
      <c r="P2637" s="3"/>
      <c r="Q2637" s="3"/>
      <c r="R2637" s="3">
        <f>IFERROR(__xludf.DUMMYFUNCTION("""COMPUTED_VALUE"""),0.0)</f>
        <v>0</v>
      </c>
      <c r="S2637" s="3"/>
      <c r="T2637" s="5"/>
      <c r="U2637" s="5"/>
      <c r="V2637" s="5"/>
      <c r="W2637" s="5"/>
    </row>
    <row r="2638" ht="15.75" customHeight="1">
      <c r="A2638" s="3">
        <f>IFERROR(__xludf.DUMMYFUNCTION("""COMPUTED_VALUE"""),2638.0)</f>
        <v>2638</v>
      </c>
      <c r="B2638" s="53">
        <f>IFERROR(__xludf.DUMMYFUNCTION("""COMPUTED_VALUE"""),46195.0)</f>
        <v>46195</v>
      </c>
      <c r="C2638" s="3">
        <f>IFERROR(__xludf.DUMMYFUNCTION("""COMPUTED_VALUE"""),44.0)</f>
        <v>44</v>
      </c>
      <c r="D2638" s="3" t="str">
        <f>IFERROR(__xludf.DUMMYFUNCTION("""COMPUTED_VALUE"""),"c5e0ac28")</f>
        <v>c5e0ac28</v>
      </c>
      <c r="E2638" s="54">
        <f>IFERROR(__xludf.DUMMYFUNCTION("""COMPUTED_VALUE"""),19900.0)</f>
        <v>19900</v>
      </c>
      <c r="F2638" s="3" t="str">
        <f>IFERROR(__xludf.DUMMYFUNCTION("""COMPUTED_VALUE"""),"Chardonnay")</f>
        <v>Chardonnay</v>
      </c>
      <c r="G2638" s="3"/>
      <c r="H2638" s="3"/>
      <c r="I2638" s="3"/>
      <c r="J2638" s="3"/>
      <c r="K2638" s="57">
        <f>IFERROR(__xludf.DUMMYFUNCTION("""COMPUTED_VALUE"""),3.38)</f>
        <v>3.38</v>
      </c>
      <c r="L2638" s="54">
        <f>IFERROR(__xludf.DUMMYFUNCTION("""COMPUTED_VALUE"""),38.0)</f>
        <v>38</v>
      </c>
      <c r="M2638" s="3">
        <f>IFERROR(__xludf.DUMMYFUNCTION("""COMPUTED_VALUE"""),130.0)</f>
        <v>130</v>
      </c>
      <c r="N2638" s="3"/>
      <c r="O2638" s="3"/>
      <c r="P2638" s="3"/>
      <c r="Q2638" s="3"/>
      <c r="R2638" s="3">
        <f>IFERROR(__xludf.DUMMYFUNCTION("""COMPUTED_VALUE"""),0.0)</f>
        <v>0</v>
      </c>
      <c r="S2638" s="3"/>
      <c r="T2638" s="5"/>
      <c r="U2638" s="5"/>
      <c r="V2638" s="5"/>
      <c r="W2638" s="5"/>
    </row>
    <row r="2639" ht="15.75" customHeight="1">
      <c r="A2639" s="3">
        <f>IFERROR(__xludf.DUMMYFUNCTION("""COMPUTED_VALUE"""),2639.0)</f>
        <v>2639</v>
      </c>
      <c r="B2639" s="53">
        <f>IFERROR(__xludf.DUMMYFUNCTION("""COMPUTED_VALUE"""),46195.0)</f>
        <v>46195</v>
      </c>
      <c r="C2639" s="3">
        <f>IFERROR(__xludf.DUMMYFUNCTION("""COMPUTED_VALUE"""),8.0)</f>
        <v>8</v>
      </c>
      <c r="D2639" s="3" t="str">
        <f>IFERROR(__xludf.DUMMYFUNCTION("""COMPUTED_VALUE"""),"1093228c")</f>
        <v>1093228c</v>
      </c>
      <c r="E2639" s="54">
        <f>IFERROR(__xludf.DUMMYFUNCTION("""COMPUTED_VALUE"""),21600.0)</f>
        <v>21600</v>
      </c>
      <c r="F2639" s="3" t="str">
        <f>IFERROR(__xludf.DUMMYFUNCTION("""COMPUTED_VALUE"""),"Pedro Gimenez")</f>
        <v>Pedro Gimenez</v>
      </c>
      <c r="G2639" s="3"/>
      <c r="H2639" s="3"/>
      <c r="I2639" s="3"/>
      <c r="J2639" s="3"/>
      <c r="K2639" s="57">
        <f>IFERROR(__xludf.DUMMYFUNCTION("""COMPUTED_VALUE"""),3.39)</f>
        <v>3.39</v>
      </c>
      <c r="L2639" s="54">
        <f>IFERROR(__xludf.DUMMYFUNCTION("""COMPUTED_VALUE"""),26.0)</f>
        <v>26</v>
      </c>
      <c r="M2639" s="3">
        <f>IFERROR(__xludf.DUMMYFUNCTION("""COMPUTED_VALUE"""),120.0)</f>
        <v>120</v>
      </c>
      <c r="N2639" s="3"/>
      <c r="O2639" s="3"/>
      <c r="P2639" s="3"/>
      <c r="Q2639" s="3"/>
      <c r="R2639" s="3">
        <f>IFERROR(__xludf.DUMMYFUNCTION("""COMPUTED_VALUE"""),0.0)</f>
        <v>0</v>
      </c>
      <c r="S2639" s="3"/>
      <c r="T2639" s="5"/>
      <c r="U2639" s="5"/>
      <c r="V2639" s="5"/>
      <c r="W2639" s="5"/>
    </row>
    <row r="2640" ht="15.75" customHeight="1">
      <c r="A2640" s="3">
        <f>IFERROR(__xludf.DUMMYFUNCTION("""COMPUTED_VALUE"""),2640.0)</f>
        <v>2640</v>
      </c>
      <c r="B2640" s="53">
        <f>IFERROR(__xludf.DUMMYFUNCTION("""COMPUTED_VALUE"""),46195.0)</f>
        <v>46195</v>
      </c>
      <c r="C2640" s="3">
        <f>IFERROR(__xludf.DUMMYFUNCTION("""COMPUTED_VALUE"""),11.0)</f>
        <v>11</v>
      </c>
      <c r="D2640" s="3"/>
      <c r="E2640" s="3"/>
      <c r="F2640" s="3"/>
      <c r="G2640" s="3"/>
      <c r="H2640" s="3"/>
      <c r="I2640" s="3"/>
      <c r="J2640" s="3"/>
      <c r="K2640" s="57">
        <f>IFERROR(__xludf.DUMMYFUNCTION("""COMPUTED_VALUE"""),2.41)</f>
        <v>2.41</v>
      </c>
      <c r="L2640" s="3"/>
      <c r="M2640" s="3"/>
      <c r="N2640" s="3"/>
      <c r="O2640" s="3"/>
      <c r="P2640" s="3"/>
      <c r="Q2640" s="3"/>
      <c r="R2640" s="3">
        <f>IFERROR(__xludf.DUMMYFUNCTION("""COMPUTED_VALUE"""),0.0)</f>
        <v>0</v>
      </c>
      <c r="S2640" s="3"/>
      <c r="T2640" s="5"/>
      <c r="U2640" s="5"/>
      <c r="V2640" s="5"/>
      <c r="W2640" s="5"/>
    </row>
    <row r="2641" ht="15.75" customHeight="1">
      <c r="A2641" s="3">
        <f>IFERROR(__xludf.DUMMYFUNCTION("""COMPUTED_VALUE"""),2641.0)</f>
        <v>2641</v>
      </c>
      <c r="B2641" s="53">
        <f>IFERROR(__xludf.DUMMYFUNCTION("""COMPUTED_VALUE"""),46197.0)</f>
        <v>46197</v>
      </c>
      <c r="C2641" s="3">
        <f>IFERROR(__xludf.DUMMYFUNCTION("""COMPUTED_VALUE"""),6.0)</f>
        <v>6</v>
      </c>
      <c r="D2641" s="3" t="str">
        <f>IFERROR(__xludf.DUMMYFUNCTION("""COMPUTED_VALUE"""),"a1b44119")</f>
        <v>a1b44119</v>
      </c>
      <c r="E2641" s="54">
        <f>IFERROR(__xludf.DUMMYFUNCTION("""COMPUTED_VALUE"""),32000.0)</f>
        <v>32000</v>
      </c>
      <c r="F2641" s="3" t="str">
        <f>IFERROR(__xludf.DUMMYFUNCTION("""COMPUTED_VALUE"""),"Syrah Rect")</f>
        <v>Syrah Rect</v>
      </c>
      <c r="G2641" s="3"/>
      <c r="H2641" s="3"/>
      <c r="I2641" s="3"/>
      <c r="J2641" s="3"/>
      <c r="K2641" s="57">
        <f>IFERROR(__xludf.DUMMYFUNCTION("""COMPUTED_VALUE"""),3.5)</f>
        <v>3.5</v>
      </c>
      <c r="L2641" s="54">
        <f>IFERROR(__xludf.DUMMYFUNCTION("""COMPUTED_VALUE"""),25.0)</f>
        <v>25</v>
      </c>
      <c r="M2641" s="3">
        <f>IFERROR(__xludf.DUMMYFUNCTION("""COMPUTED_VALUE"""),102.0)</f>
        <v>102</v>
      </c>
      <c r="N2641" s="3"/>
      <c r="O2641" s="3"/>
      <c r="P2641" s="3"/>
      <c r="Q2641" s="3"/>
      <c r="R2641" s="3">
        <f>IFERROR(__xludf.DUMMYFUNCTION("""COMPUTED_VALUE"""),0.0)</f>
        <v>0</v>
      </c>
      <c r="S2641" s="3"/>
      <c r="T2641" s="5"/>
      <c r="U2641" s="5"/>
      <c r="V2641" s="5"/>
      <c r="W2641" s="5"/>
    </row>
    <row r="2642" ht="15.75" customHeight="1">
      <c r="A2642" s="3">
        <f>IFERROR(__xludf.DUMMYFUNCTION("""COMPUTED_VALUE"""),2642.0)</f>
        <v>2642</v>
      </c>
      <c r="B2642" s="53">
        <f>IFERROR(__xludf.DUMMYFUNCTION("""COMPUTED_VALUE"""),46197.0)</f>
        <v>46197</v>
      </c>
      <c r="C2642" s="3">
        <f>IFERROR(__xludf.DUMMYFUNCTION("""COMPUTED_VALUE"""),7.0)</f>
        <v>7</v>
      </c>
      <c r="D2642" s="3" t="str">
        <f>IFERROR(__xludf.DUMMYFUNCTION("""COMPUTED_VALUE"""),"e90df3a0")</f>
        <v>e90df3a0</v>
      </c>
      <c r="E2642" s="54">
        <f>IFERROR(__xludf.DUMMYFUNCTION("""COMPUTED_VALUE"""),30000.0)</f>
        <v>30000</v>
      </c>
      <c r="F2642" s="3" t="str">
        <f>IFERROR(__xludf.DUMMYFUNCTION("""COMPUTED_VALUE"""),"Tinto Varietal B")</f>
        <v>Tinto Varietal B</v>
      </c>
      <c r="G2642" s="3"/>
      <c r="H2642" s="3"/>
      <c r="I2642" s="3"/>
      <c r="J2642" s="3"/>
      <c r="K2642" s="57">
        <f>IFERROR(__xludf.DUMMYFUNCTION("""COMPUTED_VALUE"""),3.54)</f>
        <v>3.54</v>
      </c>
      <c r="L2642" s="54">
        <f>IFERROR(__xludf.DUMMYFUNCTION("""COMPUTED_VALUE"""),36.0)</f>
        <v>36</v>
      </c>
      <c r="M2642" s="3">
        <f>IFERROR(__xludf.DUMMYFUNCTION("""COMPUTED_VALUE"""),160.0)</f>
        <v>160</v>
      </c>
      <c r="N2642" s="3"/>
      <c r="O2642" s="3"/>
      <c r="P2642" s="3"/>
      <c r="Q2642" s="3"/>
      <c r="R2642" s="3">
        <f>IFERROR(__xludf.DUMMYFUNCTION("""COMPUTED_VALUE"""),0.0)</f>
        <v>0</v>
      </c>
      <c r="S2642" s="3"/>
      <c r="T2642" s="5"/>
      <c r="U2642" s="5"/>
      <c r="V2642" s="5"/>
      <c r="W2642" s="5"/>
    </row>
    <row r="2643" ht="15.75" customHeight="1">
      <c r="A2643" s="3">
        <f>IFERROR(__xludf.DUMMYFUNCTION("""COMPUTED_VALUE"""),2643.0)</f>
        <v>2643</v>
      </c>
      <c r="B2643" s="53">
        <f>IFERROR(__xludf.DUMMYFUNCTION("""COMPUTED_VALUE"""),46197.0)</f>
        <v>46197</v>
      </c>
      <c r="C2643" s="3">
        <f>IFERROR(__xludf.DUMMYFUNCTION("""COMPUTED_VALUE"""),10.0)</f>
        <v>10</v>
      </c>
      <c r="D2643" s="3" t="str">
        <f>IFERROR(__xludf.DUMMYFUNCTION("""COMPUTED_VALUE"""),"ab8fa038")</f>
        <v>ab8fa038</v>
      </c>
      <c r="E2643" s="54">
        <f>IFERROR(__xludf.DUMMYFUNCTION("""COMPUTED_VALUE"""),21000.0)</f>
        <v>21000</v>
      </c>
      <c r="F2643" s="3" t="str">
        <f>IFERROR(__xludf.DUMMYFUNCTION("""COMPUTED_VALUE"""),"Syrah Rect")</f>
        <v>Syrah Rect</v>
      </c>
      <c r="G2643" s="3"/>
      <c r="H2643" s="3"/>
      <c r="I2643" s="3"/>
      <c r="J2643" s="3"/>
      <c r="K2643" s="57">
        <f>IFERROR(__xludf.DUMMYFUNCTION("""COMPUTED_VALUE"""),3.75)</f>
        <v>3.75</v>
      </c>
      <c r="L2643" s="54">
        <f>IFERROR(__xludf.DUMMYFUNCTION("""COMPUTED_VALUE"""),32.0)</f>
        <v>32</v>
      </c>
      <c r="M2643" s="3">
        <f>IFERROR(__xludf.DUMMYFUNCTION("""COMPUTED_VALUE"""),110.0)</f>
        <v>110</v>
      </c>
      <c r="N2643" s="3"/>
      <c r="O2643" s="3"/>
      <c r="P2643" s="3"/>
      <c r="Q2643" s="3"/>
      <c r="R2643" s="3">
        <f>IFERROR(__xludf.DUMMYFUNCTION("""COMPUTED_VALUE"""),0.0)</f>
        <v>0</v>
      </c>
      <c r="S2643" s="3"/>
      <c r="T2643" s="5"/>
      <c r="U2643" s="5"/>
      <c r="V2643" s="5"/>
      <c r="W2643" s="5"/>
    </row>
    <row r="2644" ht="15.75" customHeight="1">
      <c r="A2644" s="3">
        <f>IFERROR(__xludf.DUMMYFUNCTION("""COMPUTED_VALUE"""),2644.0)</f>
        <v>2644</v>
      </c>
      <c r="B2644" s="53">
        <f>IFERROR(__xludf.DUMMYFUNCTION("""COMPUTED_VALUE"""),46197.0)</f>
        <v>46197</v>
      </c>
      <c r="C2644" s="3">
        <f>IFERROR(__xludf.DUMMYFUNCTION("""COMPUTED_VALUE"""),16.0)</f>
        <v>16</v>
      </c>
      <c r="D2644" s="3" t="str">
        <f>IFERROR(__xludf.DUMMYFUNCTION("""COMPUTED_VALUE"""),"759ddcbc")</f>
        <v>759ddcbc</v>
      </c>
      <c r="E2644" s="54">
        <f>IFERROR(__xludf.DUMMYFUNCTION("""COMPUTED_VALUE"""),19500.0)</f>
        <v>19500</v>
      </c>
      <c r="F2644" s="3" t="str">
        <f>IFERROR(__xludf.DUMMYFUNCTION("""COMPUTED_VALUE"""),"Criolla Recarga")</f>
        <v>Criolla Recarga</v>
      </c>
      <c r="G2644" s="3"/>
      <c r="H2644" s="3"/>
      <c r="I2644" s="3"/>
      <c r="J2644" s="3"/>
      <c r="K2644" s="57">
        <f>IFERROR(__xludf.DUMMYFUNCTION("""COMPUTED_VALUE"""),4.0)</f>
        <v>4</v>
      </c>
      <c r="L2644" s="54">
        <f>IFERROR(__xludf.DUMMYFUNCTION("""COMPUTED_VALUE"""),25.0)</f>
        <v>25</v>
      </c>
      <c r="M2644" s="3">
        <f>IFERROR(__xludf.DUMMYFUNCTION("""COMPUTED_VALUE"""),70.0)</f>
        <v>70</v>
      </c>
      <c r="N2644" s="3"/>
      <c r="O2644" s="3"/>
      <c r="P2644" s="3"/>
      <c r="Q2644" s="3"/>
      <c r="R2644" s="3">
        <f>IFERROR(__xludf.DUMMYFUNCTION("""COMPUTED_VALUE"""),0.0)</f>
        <v>0</v>
      </c>
      <c r="S2644" s="3"/>
      <c r="T2644" s="5"/>
      <c r="U2644" s="5"/>
      <c r="V2644" s="5"/>
      <c r="W2644" s="5"/>
    </row>
    <row r="2645" ht="15.75" customHeight="1">
      <c r="A2645" s="3">
        <f>IFERROR(__xludf.DUMMYFUNCTION("""COMPUTED_VALUE"""),2645.0)</f>
        <v>2645</v>
      </c>
      <c r="B2645" s="53">
        <f>IFERROR(__xludf.DUMMYFUNCTION("""COMPUTED_VALUE"""),46197.0)</f>
        <v>46197</v>
      </c>
      <c r="C2645" s="3">
        <f>IFERROR(__xludf.DUMMYFUNCTION("""COMPUTED_VALUE"""),34.0)</f>
        <v>34</v>
      </c>
      <c r="D2645" s="3" t="str">
        <f>IFERROR(__xludf.DUMMYFUNCTION("""COMPUTED_VALUE"""),"d1e104ff")</f>
        <v>d1e104ff</v>
      </c>
      <c r="E2645" s="54">
        <f>IFERROR(__xludf.DUMMYFUNCTION("""COMPUTED_VALUE"""),39500.0)</f>
        <v>39500</v>
      </c>
      <c r="F2645" s="3" t="str">
        <f>IFERROR(__xludf.DUMMYFUNCTION("""COMPUTED_VALUE"""),"Tinto Varietal B")</f>
        <v>Tinto Varietal B</v>
      </c>
      <c r="G2645" s="3"/>
      <c r="H2645" s="3"/>
      <c r="I2645" s="3"/>
      <c r="J2645" s="3"/>
      <c r="K2645" s="57">
        <f>IFERROR(__xludf.DUMMYFUNCTION("""COMPUTED_VALUE"""),3.59)</f>
        <v>3.59</v>
      </c>
      <c r="L2645" s="54">
        <f>IFERROR(__xludf.DUMMYFUNCTION("""COMPUTED_VALUE"""),29.0)</f>
        <v>29</v>
      </c>
      <c r="M2645" s="3">
        <f>IFERROR(__xludf.DUMMYFUNCTION("""COMPUTED_VALUE"""),155.0)</f>
        <v>155</v>
      </c>
      <c r="N2645" s="3"/>
      <c r="O2645" s="3"/>
      <c r="P2645" s="3"/>
      <c r="Q2645" s="3"/>
      <c r="R2645" s="3">
        <f>IFERROR(__xludf.DUMMYFUNCTION("""COMPUTED_VALUE"""),0.0)</f>
        <v>0</v>
      </c>
      <c r="S2645" s="3"/>
      <c r="T2645" s="5"/>
      <c r="U2645" s="5"/>
      <c r="V2645" s="5"/>
      <c r="W2645" s="5"/>
    </row>
    <row r="2646" ht="15.75" customHeight="1">
      <c r="A2646" s="3">
        <f>IFERROR(__xludf.DUMMYFUNCTION("""COMPUTED_VALUE"""),2646.0)</f>
        <v>2646</v>
      </c>
      <c r="B2646" s="53">
        <f>IFERROR(__xludf.DUMMYFUNCTION("""COMPUTED_VALUE"""),46197.0)</f>
        <v>46197</v>
      </c>
      <c r="C2646" s="3">
        <f>IFERROR(__xludf.DUMMYFUNCTION("""COMPUTED_VALUE"""),36.0)</f>
        <v>36</v>
      </c>
      <c r="D2646" s="3" t="str">
        <f>IFERROR(__xludf.DUMMYFUNCTION("""COMPUTED_VALUE"""),"976df8ba")</f>
        <v>976df8ba</v>
      </c>
      <c r="E2646" s="54">
        <f>IFERROR(__xludf.DUMMYFUNCTION("""COMPUTED_VALUE"""),19700.0)</f>
        <v>19700</v>
      </c>
      <c r="F2646" s="3" t="str">
        <f>IFERROR(__xludf.DUMMYFUNCTION("""COMPUTED_VALUE"""),"Tinto Varietal B")</f>
        <v>Tinto Varietal B</v>
      </c>
      <c r="G2646" s="3"/>
      <c r="H2646" s="3"/>
      <c r="I2646" s="3"/>
      <c r="J2646" s="3"/>
      <c r="K2646" s="57">
        <f>IFERROR(__xludf.DUMMYFUNCTION("""COMPUTED_VALUE"""),3.53)</f>
        <v>3.53</v>
      </c>
      <c r="L2646" s="54">
        <f>IFERROR(__xludf.DUMMYFUNCTION("""COMPUTED_VALUE"""),26.0)</f>
        <v>26</v>
      </c>
      <c r="M2646" s="3">
        <f>IFERROR(__xludf.DUMMYFUNCTION("""COMPUTED_VALUE"""),166.0)</f>
        <v>166</v>
      </c>
      <c r="N2646" s="3"/>
      <c r="O2646" s="3"/>
      <c r="P2646" s="3"/>
      <c r="Q2646" s="3"/>
      <c r="R2646" s="3">
        <f>IFERROR(__xludf.DUMMYFUNCTION("""COMPUTED_VALUE"""),0.0)</f>
        <v>0</v>
      </c>
      <c r="S2646" s="3"/>
      <c r="T2646" s="5"/>
      <c r="U2646" s="5"/>
      <c r="V2646" s="5"/>
      <c r="W2646" s="5"/>
    </row>
    <row r="2647" ht="15.75" customHeight="1">
      <c r="A2647" s="3">
        <f>IFERROR(__xludf.DUMMYFUNCTION("""COMPUTED_VALUE"""),2647.0)</f>
        <v>2647</v>
      </c>
      <c r="B2647" s="53">
        <f>IFERROR(__xludf.DUMMYFUNCTION("""COMPUTED_VALUE"""),46197.0)</f>
        <v>46197</v>
      </c>
      <c r="C2647" s="3">
        <f>IFERROR(__xludf.DUMMYFUNCTION("""COMPUTED_VALUE"""),80.0)</f>
        <v>80</v>
      </c>
      <c r="D2647" s="3" t="str">
        <f>IFERROR(__xludf.DUMMYFUNCTION("""COMPUTED_VALUE"""),"eef7208a")</f>
        <v>eef7208a</v>
      </c>
      <c r="E2647" s="54">
        <f>IFERROR(__xludf.DUMMYFUNCTION("""COMPUTED_VALUE"""),26100.0)</f>
        <v>26100</v>
      </c>
      <c r="F2647" s="3" t="str">
        <f>IFERROR(__xludf.DUMMYFUNCTION("""COMPUTED_VALUE"""),"Aspirant")</f>
        <v>Aspirant</v>
      </c>
      <c r="G2647" s="3"/>
      <c r="H2647" s="3"/>
      <c r="I2647" s="3"/>
      <c r="J2647" s="3"/>
      <c r="K2647" s="57">
        <f>IFERROR(__xludf.DUMMYFUNCTION("""COMPUTED_VALUE"""),3.54)</f>
        <v>3.54</v>
      </c>
      <c r="L2647" s="54">
        <f>IFERROR(__xludf.DUMMYFUNCTION("""COMPUTED_VALUE"""),55.0)</f>
        <v>55</v>
      </c>
      <c r="M2647" s="3">
        <f>IFERROR(__xludf.DUMMYFUNCTION("""COMPUTED_VALUE"""),80.0)</f>
        <v>80</v>
      </c>
      <c r="N2647" s="3"/>
      <c r="O2647" s="3"/>
      <c r="P2647" s="3"/>
      <c r="Q2647" s="3"/>
      <c r="R2647" s="3">
        <f>IFERROR(__xludf.DUMMYFUNCTION("""COMPUTED_VALUE"""),0.0)</f>
        <v>0</v>
      </c>
      <c r="S2647" s="3"/>
      <c r="T2647" s="5"/>
      <c r="U2647" s="5"/>
      <c r="V2647" s="5"/>
      <c r="W2647" s="5"/>
    </row>
    <row r="2648" ht="15.75" customHeight="1">
      <c r="A2648" s="3">
        <f>IFERROR(__xludf.DUMMYFUNCTION("""COMPUTED_VALUE"""),2648.0)</f>
        <v>2648</v>
      </c>
      <c r="B2648" s="53">
        <f>IFERROR(__xludf.DUMMYFUNCTION("""COMPUTED_VALUE"""),46197.0)</f>
        <v>46197</v>
      </c>
      <c r="C2648" s="3">
        <f>IFERROR(__xludf.DUMMYFUNCTION("""COMPUTED_VALUE"""),47.0)</f>
        <v>47</v>
      </c>
      <c r="D2648" s="3" t="str">
        <f>IFERROR(__xludf.DUMMYFUNCTION("""COMPUTED_VALUE"""),"12927267")</f>
        <v>12927267</v>
      </c>
      <c r="E2648" s="54">
        <f>IFERROR(__xludf.DUMMYFUNCTION("""COMPUTED_VALUE"""),20000.0)</f>
        <v>20000</v>
      </c>
      <c r="F2648" s="3" t="str">
        <f>IFERROR(__xludf.DUMMYFUNCTION("""COMPUTED_VALUE"""),"Criolla Recarga")</f>
        <v>Criolla Recarga</v>
      </c>
      <c r="G2648" s="3"/>
      <c r="H2648" s="3"/>
      <c r="I2648" s="3"/>
      <c r="J2648" s="3"/>
      <c r="K2648" s="57">
        <f>IFERROR(__xludf.DUMMYFUNCTION("""COMPUTED_VALUE"""),3.99)</f>
        <v>3.99</v>
      </c>
      <c r="L2648" s="54">
        <f>IFERROR(__xludf.DUMMYFUNCTION("""COMPUTED_VALUE"""),32.0)</f>
        <v>32</v>
      </c>
      <c r="M2648" s="3">
        <f>IFERROR(__xludf.DUMMYFUNCTION("""COMPUTED_VALUE"""),96.0)</f>
        <v>96</v>
      </c>
      <c r="N2648" s="3"/>
      <c r="O2648" s="3"/>
      <c r="P2648" s="3"/>
      <c r="Q2648" s="3"/>
      <c r="R2648" s="3">
        <f>IFERROR(__xludf.DUMMYFUNCTION("""COMPUTED_VALUE"""),0.0)</f>
        <v>0</v>
      </c>
      <c r="S2648" s="3"/>
      <c r="T2648" s="5"/>
      <c r="U2648" s="5"/>
      <c r="V2648" s="5"/>
      <c r="W2648" s="5"/>
    </row>
    <row r="2649" ht="15.75" customHeight="1">
      <c r="A2649" s="3">
        <f>IFERROR(__xludf.DUMMYFUNCTION("""COMPUTED_VALUE"""),2649.0)</f>
        <v>2649</v>
      </c>
      <c r="B2649" s="53">
        <f>IFERROR(__xludf.DUMMYFUNCTION("""COMPUTED_VALUE"""),46197.0)</f>
        <v>46197</v>
      </c>
      <c r="C2649" s="3">
        <f>IFERROR(__xludf.DUMMYFUNCTION("""COMPUTED_VALUE"""),66.0)</f>
        <v>66</v>
      </c>
      <c r="D2649" s="3" t="str">
        <f>IFERROR(__xludf.DUMMYFUNCTION("""COMPUTED_VALUE"""),"0d5738b1")</f>
        <v>0d5738b1</v>
      </c>
      <c r="E2649" s="54">
        <f>IFERROR(__xludf.DUMMYFUNCTION("""COMPUTED_VALUE"""),23000.0)</f>
        <v>23000</v>
      </c>
      <c r="F2649" s="3" t="str">
        <f>IFERROR(__xludf.DUMMYFUNCTION("""COMPUTED_VALUE"""),"Tinto Varietal B")</f>
        <v>Tinto Varietal B</v>
      </c>
      <c r="G2649" s="3"/>
      <c r="H2649" s="3"/>
      <c r="I2649" s="3"/>
      <c r="J2649" s="3"/>
      <c r="K2649" s="57">
        <f>IFERROR(__xludf.DUMMYFUNCTION("""COMPUTED_VALUE"""),3.57)</f>
        <v>3.57</v>
      </c>
      <c r="L2649" s="54">
        <f>IFERROR(__xludf.DUMMYFUNCTION("""COMPUTED_VALUE"""),25.0)</f>
        <v>25</v>
      </c>
      <c r="M2649" s="3">
        <f>IFERROR(__xludf.DUMMYFUNCTION("""COMPUTED_VALUE"""),160.0)</f>
        <v>160</v>
      </c>
      <c r="N2649" s="3"/>
      <c r="O2649" s="3"/>
      <c r="P2649" s="3"/>
      <c r="Q2649" s="3"/>
      <c r="R2649" s="3">
        <f>IFERROR(__xludf.DUMMYFUNCTION("""COMPUTED_VALUE"""),0.0)</f>
        <v>0</v>
      </c>
      <c r="S2649" s="3"/>
      <c r="T2649" s="5"/>
      <c r="U2649" s="5"/>
      <c r="V2649" s="5"/>
      <c r="W2649" s="5"/>
    </row>
    <row r="2650" ht="15.75" customHeight="1">
      <c r="A2650" s="3">
        <f>IFERROR(__xludf.DUMMYFUNCTION("""COMPUTED_VALUE"""),2650.0)</f>
        <v>2650</v>
      </c>
      <c r="B2650" s="53">
        <f>IFERROR(__xludf.DUMMYFUNCTION("""COMPUTED_VALUE"""),46197.0)</f>
        <v>46197</v>
      </c>
      <c r="C2650" s="3">
        <f>IFERROR(__xludf.DUMMYFUNCTION("""COMPUTED_VALUE"""),104.0)</f>
        <v>104</v>
      </c>
      <c r="D2650" s="3" t="str">
        <f>IFERROR(__xludf.DUMMYFUNCTION("""COMPUTED_VALUE"""),"b7cf1976")</f>
        <v>b7cf1976</v>
      </c>
      <c r="E2650" s="54">
        <f>IFERROR(__xludf.DUMMYFUNCTION("""COMPUTED_VALUE"""),31000.0)</f>
        <v>31000</v>
      </c>
      <c r="F2650" s="3" t="str">
        <f>IFERROR(__xludf.DUMMYFUNCTION("""COMPUTED_VALUE"""),"Syrah Merlot s/Asp 3")</f>
        <v>Syrah Merlot s/Asp 3</v>
      </c>
      <c r="G2650" s="3"/>
      <c r="H2650" s="3"/>
      <c r="I2650" s="3"/>
      <c r="J2650" s="3"/>
      <c r="K2650" s="57">
        <f>IFERROR(__xludf.DUMMYFUNCTION("""COMPUTED_VALUE"""),3.71)</f>
        <v>3.71</v>
      </c>
      <c r="L2650" s="54">
        <f>IFERROR(__xludf.DUMMYFUNCTION("""COMPUTED_VALUE"""),34.0)</f>
        <v>34</v>
      </c>
      <c r="M2650" s="3">
        <f>IFERROR(__xludf.DUMMYFUNCTION("""COMPUTED_VALUE"""),93.0)</f>
        <v>93</v>
      </c>
      <c r="N2650" s="3"/>
      <c r="O2650" s="3"/>
      <c r="P2650" s="3"/>
      <c r="Q2650" s="3"/>
      <c r="R2650" s="3">
        <f>IFERROR(__xludf.DUMMYFUNCTION("""COMPUTED_VALUE"""),0.0)</f>
        <v>0</v>
      </c>
      <c r="S2650" s="3"/>
      <c r="T2650" s="5"/>
      <c r="U2650" s="5"/>
      <c r="V2650" s="5"/>
      <c r="W2650" s="5"/>
    </row>
    <row r="2651" ht="15.75" customHeight="1">
      <c r="A2651" s="3">
        <f>IFERROR(__xludf.DUMMYFUNCTION("""COMPUTED_VALUE"""),2651.0)</f>
        <v>2651</v>
      </c>
      <c r="B2651" s="3"/>
      <c r="C2651" s="3">
        <f>IFERROR(__xludf.DUMMYFUNCTION("""COMPUTED_VALUE"""),126.0)</f>
        <v>126</v>
      </c>
      <c r="D2651" s="3" t="str">
        <f>IFERROR(__xludf.DUMMYFUNCTION("""COMPUTED_VALUE"""),"b598d19d")</f>
        <v>b598d19d</v>
      </c>
      <c r="E2651" s="54">
        <f>IFERROR(__xludf.DUMMYFUNCTION("""COMPUTED_VALUE"""),31000.0)</f>
        <v>31000</v>
      </c>
      <c r="F2651" s="3" t="str">
        <f>IFERROR(__xludf.DUMMYFUNCTION("""COMPUTED_VALUE"""),"Syrah Anc s/Asp 2")</f>
        <v>Syrah Anc s/Asp 2</v>
      </c>
      <c r="G2651" s="3"/>
      <c r="H2651" s="3"/>
      <c r="I2651" s="3"/>
      <c r="J2651" s="3"/>
      <c r="K2651" s="57">
        <f>IFERROR(__xludf.DUMMYFUNCTION("""COMPUTED_VALUE"""),3.7)</f>
        <v>3.7</v>
      </c>
      <c r="L2651" s="54">
        <f>IFERROR(__xludf.DUMMYFUNCTION("""COMPUTED_VALUE"""),36.0)</f>
        <v>36</v>
      </c>
      <c r="M2651" s="3">
        <f>IFERROR(__xludf.DUMMYFUNCTION("""COMPUTED_VALUE"""),80.0)</f>
        <v>80</v>
      </c>
      <c r="N2651" s="3"/>
      <c r="O2651" s="3"/>
      <c r="P2651" s="3"/>
      <c r="Q2651" s="3"/>
      <c r="R2651" s="3">
        <f>IFERROR(__xludf.DUMMYFUNCTION("""COMPUTED_VALUE"""),0.0)</f>
        <v>0</v>
      </c>
      <c r="S2651" s="3"/>
      <c r="T2651" s="5"/>
      <c r="U2651" s="5"/>
      <c r="V2651" s="5"/>
      <c r="W2651" s="5"/>
    </row>
    <row r="2652" ht="15.75" customHeight="1">
      <c r="A2652" s="3">
        <f>IFERROR(__xludf.DUMMYFUNCTION("""COMPUTED_VALUE"""),2652.0)</f>
        <v>2652</v>
      </c>
      <c r="B2652" s="53">
        <f>IFERROR(__xludf.DUMMYFUNCTION("""COMPUTED_VALUE"""),46197.0)</f>
        <v>46197</v>
      </c>
      <c r="C2652" s="3">
        <f>IFERROR(__xludf.DUMMYFUNCTION("""COMPUTED_VALUE"""),24.0)</f>
        <v>24</v>
      </c>
      <c r="D2652" s="3" t="str">
        <f>IFERROR(__xludf.DUMMYFUNCTION("""COMPUTED_VALUE"""),"3cb54432")</f>
        <v>3cb54432</v>
      </c>
      <c r="E2652" s="54">
        <f>IFERROR(__xludf.DUMMYFUNCTION("""COMPUTED_VALUE"""),186600.0)</f>
        <v>186600</v>
      </c>
      <c r="F2652" s="3" t="str">
        <f>IFERROR(__xludf.DUMMYFUNCTION("""COMPUTED_VALUE"""),"Malbec")</f>
        <v>Malbec</v>
      </c>
      <c r="G2652" s="3"/>
      <c r="H2652" s="3"/>
      <c r="I2652" s="3"/>
      <c r="J2652" s="3"/>
      <c r="K2652" s="3"/>
      <c r="L2652" s="3"/>
      <c r="M2652" s="3"/>
      <c r="N2652" s="3"/>
      <c r="O2652" s="3">
        <f>IFERROR(__xludf.DUMMYFUNCTION("""COMPUTED_VALUE"""),275.0)</f>
        <v>275</v>
      </c>
      <c r="P2652" s="3">
        <f>IFERROR(__xludf.DUMMYFUNCTION("""COMPUTED_VALUE"""),429.0)</f>
        <v>429</v>
      </c>
      <c r="Q2652" s="3"/>
      <c r="R2652" s="3">
        <f>IFERROR(__xludf.DUMMYFUNCTION("""COMPUTED_VALUE"""),704.0)</f>
        <v>704</v>
      </c>
      <c r="S2652" s="54">
        <f>IFERROR(__xludf.DUMMYFUNCTION("""COMPUTED_VALUE"""),1098.24)</f>
        <v>1098.24</v>
      </c>
      <c r="T2652" s="5"/>
      <c r="U2652" s="5"/>
      <c r="V2652" s="5"/>
      <c r="W2652" s="5"/>
    </row>
    <row r="2653" ht="15.75" customHeight="1">
      <c r="A2653" s="3">
        <f>IFERROR(__xludf.DUMMYFUNCTION("""COMPUTED_VALUE"""),2653.0)</f>
        <v>2653</v>
      </c>
      <c r="B2653" s="53">
        <f>IFERROR(__xludf.DUMMYFUNCTION("""COMPUTED_VALUE"""),46197.0)</f>
        <v>46197</v>
      </c>
      <c r="C2653" s="3">
        <f>IFERROR(__xludf.DUMMYFUNCTION("""COMPUTED_VALUE"""),121.0)</f>
        <v>121</v>
      </c>
      <c r="D2653" s="3" t="str">
        <f>IFERROR(__xludf.DUMMYFUNCTION("""COMPUTED_VALUE"""),"2f111639")</f>
        <v>2f111639</v>
      </c>
      <c r="E2653" s="54">
        <f>IFERROR(__xludf.DUMMYFUNCTION("""COMPUTED_VALUE"""),85800.0)</f>
        <v>85800</v>
      </c>
      <c r="F2653" s="3" t="str">
        <f>IFERROR(__xludf.DUMMYFUNCTION("""COMPUTED_VALUE"""),"Malbec")</f>
        <v>Malbec</v>
      </c>
      <c r="G2653" s="3"/>
      <c r="H2653" s="3"/>
      <c r="I2653" s="3"/>
      <c r="J2653" s="3"/>
      <c r="K2653" s="3"/>
      <c r="L2653" s="3"/>
      <c r="M2653" s="3"/>
      <c r="N2653" s="3"/>
      <c r="O2653" s="3">
        <f>IFERROR(__xludf.DUMMYFUNCTION("""COMPUTED_VALUE"""),276.0)</f>
        <v>276</v>
      </c>
      <c r="P2653" s="3">
        <f>IFERROR(__xludf.DUMMYFUNCTION("""COMPUTED_VALUE"""),429.0)</f>
        <v>429</v>
      </c>
      <c r="Q2653" s="3"/>
      <c r="R2653" s="3">
        <f>IFERROR(__xludf.DUMMYFUNCTION("""COMPUTED_VALUE"""),705.0)</f>
        <v>705</v>
      </c>
      <c r="S2653" s="54">
        <f>IFERROR(__xludf.DUMMYFUNCTION("""COMPUTED_VALUE"""),1095.8152173913045)</f>
        <v>1095.815217</v>
      </c>
      <c r="T2653" s="5"/>
      <c r="U2653" s="5"/>
      <c r="V2653" s="5"/>
      <c r="W2653" s="5"/>
    </row>
    <row r="2654" ht="15.75" customHeight="1">
      <c r="A2654" s="3">
        <f>IFERROR(__xludf.DUMMYFUNCTION("""COMPUTED_VALUE"""),2654.0)</f>
        <v>2654</v>
      </c>
      <c r="B2654" s="53">
        <f>IFERROR(__xludf.DUMMYFUNCTION("""COMPUTED_VALUE"""),46197.0)</f>
        <v>46197</v>
      </c>
      <c r="C2654" s="3">
        <f>IFERROR(__xludf.DUMMYFUNCTION("""COMPUTED_VALUE"""),104.0)</f>
        <v>104</v>
      </c>
      <c r="D2654" s="3" t="str">
        <f>IFERROR(__xludf.DUMMYFUNCTION("""COMPUTED_VALUE"""),"b7cf1976")</f>
        <v>b7cf1976</v>
      </c>
      <c r="E2654" s="54">
        <f>IFERROR(__xludf.DUMMYFUNCTION("""COMPUTED_VALUE"""),31000.0)</f>
        <v>31000</v>
      </c>
      <c r="F2654" s="3" t="str">
        <f>IFERROR(__xludf.DUMMYFUNCTION("""COMPUTED_VALUE"""),"Syrah Merlot s/Asp 3")</f>
        <v>Syrah Merlot s/Asp 3</v>
      </c>
      <c r="G2654" s="3"/>
      <c r="H2654" s="3"/>
      <c r="I2654" s="3"/>
      <c r="J2654" s="3"/>
      <c r="K2654" s="3"/>
      <c r="L2654" s="3"/>
      <c r="M2654" s="3"/>
      <c r="N2654" s="3"/>
      <c r="O2654" s="3">
        <f>IFERROR(__xludf.DUMMYFUNCTION("""COMPUTED_VALUE"""),419.0)</f>
        <v>419</v>
      </c>
      <c r="P2654" s="3">
        <f>IFERROR(__xludf.DUMMYFUNCTION("""COMPUTED_VALUE"""),703.0)</f>
        <v>703</v>
      </c>
      <c r="Q2654" s="3"/>
      <c r="R2654" s="3">
        <f>IFERROR(__xludf.DUMMYFUNCTION("""COMPUTED_VALUE"""),1122.0)</f>
        <v>1122</v>
      </c>
      <c r="S2654" s="54">
        <f>IFERROR(__xludf.DUMMYFUNCTION("""COMPUTED_VALUE"""),1882.4964200477327)</f>
        <v>1882.49642</v>
      </c>
      <c r="T2654" s="5"/>
      <c r="U2654" s="5"/>
      <c r="V2654" s="5"/>
      <c r="W2654" s="5"/>
    </row>
    <row r="2655" ht="15.75" customHeight="1">
      <c r="A2655" s="3">
        <f>IFERROR(__xludf.DUMMYFUNCTION("""COMPUTED_VALUE"""),2655.0)</f>
        <v>2655</v>
      </c>
      <c r="B2655" s="53">
        <f>IFERROR(__xludf.DUMMYFUNCTION("""COMPUTED_VALUE"""),46183.0)</f>
        <v>46183</v>
      </c>
      <c r="C2655" s="3">
        <f>IFERROR(__xludf.DUMMYFUNCTION("""COMPUTED_VALUE"""),127.0)</f>
        <v>127</v>
      </c>
      <c r="D2655" s="3" t="str">
        <f>IFERROR(__xludf.DUMMYFUNCTION("""COMPUTED_VALUE"""),"ef66d2ab")</f>
        <v>ef66d2ab</v>
      </c>
      <c r="E2655" s="54">
        <f>IFERROR(__xludf.DUMMYFUNCTION("""COMPUTED_VALUE"""),31000.0)</f>
        <v>31000</v>
      </c>
      <c r="F2655" s="3" t="str">
        <f>IFERROR(__xludf.DUMMYFUNCTION("""COMPUTED_VALUE"""),"Malbec")</f>
        <v>Malbec</v>
      </c>
      <c r="G2655" s="55">
        <f>IFERROR(__xludf.DUMMYFUNCTION("""COMPUTED_VALUE"""),13.5)</f>
        <v>13.5</v>
      </c>
      <c r="H2655" s="56">
        <f>IFERROR(__xludf.DUMMYFUNCTION("""COMPUTED_VALUE"""),2.81)</f>
        <v>2.81</v>
      </c>
      <c r="I2655" s="57">
        <f>IFERROR(__xludf.DUMMYFUNCTION("""COMPUTED_VALUE"""),0.46)</f>
        <v>0.46</v>
      </c>
      <c r="J2655" s="57">
        <f>IFERROR(__xludf.DUMMYFUNCTION("""COMPUTED_VALUE"""),5.85)</f>
        <v>5.85</v>
      </c>
      <c r="K2655" s="57">
        <f>IFERROR(__xludf.DUMMYFUNCTION("""COMPUTED_VALUE"""),3.58)</f>
        <v>3.58</v>
      </c>
      <c r="L2655" s="3"/>
      <c r="M2655" s="3"/>
      <c r="N2655" s="3"/>
      <c r="O2655" s="3"/>
      <c r="P2655" s="3"/>
      <c r="Q2655" s="3"/>
      <c r="R2655" s="3">
        <f>IFERROR(__xludf.DUMMYFUNCTION("""COMPUTED_VALUE"""),0.0)</f>
        <v>0</v>
      </c>
      <c r="S2655" s="3"/>
      <c r="T2655" s="5"/>
      <c r="U2655" s="5"/>
      <c r="V2655" s="5"/>
      <c r="W2655" s="5"/>
    </row>
    <row r="2656" ht="15.75" customHeight="1">
      <c r="A2656" s="3">
        <f>IFERROR(__xludf.DUMMYFUNCTION("""COMPUTED_VALUE"""),2656.0)</f>
        <v>2656</v>
      </c>
      <c r="B2656" s="53">
        <f>IFERROR(__xludf.DUMMYFUNCTION("""COMPUTED_VALUE"""),46198.0)</f>
        <v>46198</v>
      </c>
      <c r="C2656" s="3">
        <f>IFERROR(__xludf.DUMMYFUNCTION("""COMPUTED_VALUE"""),114.0)</f>
        <v>114</v>
      </c>
      <c r="D2656" s="3" t="str">
        <f>IFERROR(__xludf.DUMMYFUNCTION("""COMPUTED_VALUE"""),"a255b7c1")</f>
        <v>a255b7c1</v>
      </c>
      <c r="E2656" s="54">
        <f>IFERROR(__xludf.DUMMYFUNCTION("""COMPUTED_VALUE"""),125300.0)</f>
        <v>125300</v>
      </c>
      <c r="F2656" s="3" t="str">
        <f>IFERROR(__xludf.DUMMYFUNCTION("""COMPUTED_VALUE"""),"Syrah Anc PC s/Asp 2")</f>
        <v>Syrah Anc PC s/Asp 2</v>
      </c>
      <c r="G2656" s="55">
        <f>IFERROR(__xludf.DUMMYFUNCTION("""COMPUTED_VALUE"""),13.1)</f>
        <v>13.1</v>
      </c>
      <c r="H2656" s="56">
        <f>IFERROR(__xludf.DUMMYFUNCTION("""COMPUTED_VALUE"""),2.0)</f>
        <v>2</v>
      </c>
      <c r="I2656" s="57">
        <f>IFERROR(__xludf.DUMMYFUNCTION("""COMPUTED_VALUE"""),0.54)</f>
        <v>0.54</v>
      </c>
      <c r="J2656" s="57">
        <f>IFERROR(__xludf.DUMMYFUNCTION("""COMPUTED_VALUE"""),4.7)</f>
        <v>4.7</v>
      </c>
      <c r="K2656" s="57">
        <f>IFERROR(__xludf.DUMMYFUNCTION("""COMPUTED_VALUE"""),3.73)</f>
        <v>3.73</v>
      </c>
      <c r="L2656" s="54">
        <f>IFERROR(__xludf.DUMMYFUNCTION("""COMPUTED_VALUE"""),42.0)</f>
        <v>42</v>
      </c>
      <c r="M2656" s="3">
        <f>IFERROR(__xludf.DUMMYFUNCTION("""COMPUTED_VALUE"""),102.0)</f>
        <v>102</v>
      </c>
      <c r="N2656" s="3"/>
      <c r="O2656" s="3"/>
      <c r="P2656" s="3"/>
      <c r="Q2656" s="3"/>
      <c r="R2656" s="3">
        <f>IFERROR(__xludf.DUMMYFUNCTION("""COMPUTED_VALUE"""),0.0)</f>
        <v>0</v>
      </c>
      <c r="S2656" s="3"/>
      <c r="T2656" s="5"/>
      <c r="U2656" s="5"/>
      <c r="V2656" s="5"/>
      <c r="W2656" s="5"/>
    </row>
    <row r="2657" ht="15.75" customHeight="1">
      <c r="A2657" s="3">
        <f>IFERROR(__xludf.DUMMYFUNCTION("""COMPUTED_VALUE"""),2657.0)</f>
        <v>2657</v>
      </c>
      <c r="B2657" s="53">
        <f>IFERROR(__xludf.DUMMYFUNCTION("""COMPUTED_VALUE"""),46202.0)</f>
        <v>46202</v>
      </c>
      <c r="C2657" s="3">
        <f>IFERROR(__xludf.DUMMYFUNCTION("""COMPUTED_VALUE"""),84.0)</f>
        <v>84</v>
      </c>
      <c r="D2657" s="3" t="str">
        <f>IFERROR(__xludf.DUMMYFUNCTION("""COMPUTED_VALUE"""),"55047269")</f>
        <v>55047269</v>
      </c>
      <c r="E2657" s="54">
        <f>IFERROR(__xludf.DUMMYFUNCTION("""COMPUTED_VALUE"""),83000.0)</f>
        <v>83000</v>
      </c>
      <c r="F2657" s="3" t="str">
        <f>IFERROR(__xludf.DUMMYFUNCTION("""COMPUTED_VALUE"""),"Malbec pc")</f>
        <v>Malbec pc</v>
      </c>
      <c r="G2657" s="3"/>
      <c r="H2657" s="3"/>
      <c r="I2657" s="3"/>
      <c r="J2657" s="3"/>
      <c r="K2657" s="3"/>
      <c r="L2657" s="54">
        <f>IFERROR(__xludf.DUMMYFUNCTION("""COMPUTED_VALUE"""),38.0)</f>
        <v>38</v>
      </c>
      <c r="M2657" s="3">
        <f>IFERROR(__xludf.DUMMYFUNCTION("""COMPUTED_VALUE"""),115.0)</f>
        <v>115</v>
      </c>
      <c r="N2657" s="3"/>
      <c r="O2657" s="3"/>
      <c r="P2657" s="3"/>
      <c r="Q2657" s="3"/>
      <c r="R2657" s="3">
        <f>IFERROR(__xludf.DUMMYFUNCTION("""COMPUTED_VALUE"""),0.0)</f>
        <v>0</v>
      </c>
      <c r="S2657" s="3"/>
      <c r="T2657" s="5"/>
      <c r="U2657" s="5"/>
      <c r="V2657" s="5"/>
      <c r="W2657" s="5"/>
    </row>
    <row r="2658" ht="15.75" customHeight="1">
      <c r="A2658" s="3">
        <f>IFERROR(__xludf.DUMMYFUNCTION("""COMPUTED_VALUE"""),2658.0)</f>
        <v>2658</v>
      </c>
      <c r="B2658" s="53">
        <f>IFERROR(__xludf.DUMMYFUNCTION("""COMPUTED_VALUE"""),46202.0)</f>
        <v>46202</v>
      </c>
      <c r="C2658" s="3">
        <f>IFERROR(__xludf.DUMMYFUNCTION("""COMPUTED_VALUE"""),83.0)</f>
        <v>83</v>
      </c>
      <c r="D2658" s="3" t="str">
        <f>IFERROR(__xludf.DUMMYFUNCTION("""COMPUTED_VALUE"""),"504737c2")</f>
        <v>504737c2</v>
      </c>
      <c r="E2658" s="54">
        <f>IFERROR(__xludf.DUMMYFUNCTION("""COMPUTED_VALUE"""),81500.0)</f>
        <v>81500</v>
      </c>
      <c r="F2658" s="3" t="str">
        <f>IFERROR(__xludf.DUMMYFUNCTION("""COMPUTED_VALUE"""),"Bonarda")</f>
        <v>Bonarda</v>
      </c>
      <c r="G2658" s="3"/>
      <c r="H2658" s="3"/>
      <c r="I2658" s="3"/>
      <c r="J2658" s="3"/>
      <c r="K2658" s="3"/>
      <c r="L2658" s="54">
        <f>IFERROR(__xludf.DUMMYFUNCTION("""COMPUTED_VALUE"""),35.0)</f>
        <v>35</v>
      </c>
      <c r="M2658" s="3">
        <f>IFERROR(__xludf.DUMMYFUNCTION("""COMPUTED_VALUE"""),106.0)</f>
        <v>106</v>
      </c>
      <c r="N2658" s="3"/>
      <c r="O2658" s="3"/>
      <c r="P2658" s="3"/>
      <c r="Q2658" s="3"/>
      <c r="R2658" s="3">
        <f>IFERROR(__xludf.DUMMYFUNCTION("""COMPUTED_VALUE"""),0.0)</f>
        <v>0</v>
      </c>
      <c r="S2658" s="3"/>
      <c r="T2658" s="5"/>
      <c r="U2658" s="5"/>
      <c r="V2658" s="5"/>
      <c r="W2658" s="5"/>
    </row>
    <row r="2659" ht="15.75" customHeight="1">
      <c r="A2659" s="3">
        <f>IFERROR(__xludf.DUMMYFUNCTION("""COMPUTED_VALUE"""),2659.0)</f>
        <v>2659</v>
      </c>
      <c r="B2659" s="53">
        <f>IFERROR(__xludf.DUMMYFUNCTION("""COMPUTED_VALUE"""),46202.0)</f>
        <v>46202</v>
      </c>
      <c r="C2659" s="3">
        <f>IFERROR(__xludf.DUMMYFUNCTION("""COMPUTED_VALUE"""),82.0)</f>
        <v>82</v>
      </c>
      <c r="D2659" s="3" t="str">
        <f>IFERROR(__xludf.DUMMYFUNCTION("""COMPUTED_VALUE"""),"1615b136")</f>
        <v>1615b136</v>
      </c>
      <c r="E2659" s="54">
        <f>IFERROR(__xludf.DUMMYFUNCTION("""COMPUTED_VALUE"""),42600.0)</f>
        <v>42600</v>
      </c>
      <c r="F2659" s="3" t="str">
        <f>IFERROR(__xludf.DUMMYFUNCTION("""COMPUTED_VALUE"""),"Bonarda")</f>
        <v>Bonarda</v>
      </c>
      <c r="G2659" s="3"/>
      <c r="H2659" s="3"/>
      <c r="I2659" s="3"/>
      <c r="J2659" s="3"/>
      <c r="K2659" s="3"/>
      <c r="L2659" s="54">
        <f>IFERROR(__xludf.DUMMYFUNCTION("""COMPUTED_VALUE"""),36.0)</f>
        <v>36</v>
      </c>
      <c r="M2659" s="3">
        <f>IFERROR(__xludf.DUMMYFUNCTION("""COMPUTED_VALUE"""),100.0)</f>
        <v>100</v>
      </c>
      <c r="N2659" s="3"/>
      <c r="O2659" s="3"/>
      <c r="P2659" s="3"/>
      <c r="Q2659" s="3"/>
      <c r="R2659" s="3">
        <f>IFERROR(__xludf.DUMMYFUNCTION("""COMPUTED_VALUE"""),0.0)</f>
        <v>0</v>
      </c>
      <c r="S2659" s="3"/>
      <c r="T2659" s="5"/>
      <c r="U2659" s="5"/>
      <c r="V2659" s="5"/>
      <c r="W2659" s="5"/>
    </row>
    <row r="2660" ht="15.75" customHeight="1">
      <c r="A2660" s="3">
        <f>IFERROR(__xludf.DUMMYFUNCTION("""COMPUTED_VALUE"""),2660.0)</f>
        <v>2660</v>
      </c>
      <c r="B2660" s="53">
        <f>IFERROR(__xludf.DUMMYFUNCTION("""COMPUTED_VALUE"""),46202.0)</f>
        <v>46202</v>
      </c>
      <c r="C2660" s="3">
        <f>IFERROR(__xludf.DUMMYFUNCTION("""COMPUTED_VALUE"""),53.0)</f>
        <v>53</v>
      </c>
      <c r="D2660" s="3" t="str">
        <f>IFERROR(__xludf.DUMMYFUNCTION("""COMPUTED_VALUE"""),"fc43a156")</f>
        <v>fc43a156</v>
      </c>
      <c r="E2660" s="54">
        <f>IFERROR(__xludf.DUMMYFUNCTION("""COMPUTED_VALUE"""),22000.0)</f>
        <v>22000</v>
      </c>
      <c r="F2660" s="3" t="str">
        <f>IFERROR(__xludf.DUMMYFUNCTION("""COMPUTED_VALUE"""),"Bonarda")</f>
        <v>Bonarda</v>
      </c>
      <c r="G2660" s="3"/>
      <c r="H2660" s="3"/>
      <c r="I2660" s="3"/>
      <c r="J2660" s="3"/>
      <c r="K2660" s="3"/>
      <c r="L2660" s="54">
        <f>IFERROR(__xludf.DUMMYFUNCTION("""COMPUTED_VALUE"""),39.0)</f>
        <v>39</v>
      </c>
      <c r="M2660" s="3">
        <f>IFERROR(__xludf.DUMMYFUNCTION("""COMPUTED_VALUE"""),77.0)</f>
        <v>77</v>
      </c>
      <c r="N2660" s="3"/>
      <c r="O2660" s="3"/>
      <c r="P2660" s="3"/>
      <c r="Q2660" s="3"/>
      <c r="R2660" s="3">
        <f>IFERROR(__xludf.DUMMYFUNCTION("""COMPUTED_VALUE"""),0.0)</f>
        <v>0</v>
      </c>
      <c r="S2660" s="3"/>
      <c r="T2660" s="5"/>
      <c r="U2660" s="5"/>
      <c r="V2660" s="5"/>
      <c r="W2660" s="5"/>
    </row>
    <row r="2661" ht="15.75" customHeight="1">
      <c r="A2661" s="3">
        <f>IFERROR(__xludf.DUMMYFUNCTION("""COMPUTED_VALUE"""),2661.0)</f>
        <v>2661</v>
      </c>
      <c r="B2661" s="53">
        <f>IFERROR(__xludf.DUMMYFUNCTION("""COMPUTED_VALUE"""),46202.0)</f>
        <v>46202</v>
      </c>
      <c r="C2661" s="3">
        <f>IFERROR(__xludf.DUMMYFUNCTION("""COMPUTED_VALUE"""),35.0)</f>
        <v>35</v>
      </c>
      <c r="D2661" s="3" t="str">
        <f>IFERROR(__xludf.DUMMYFUNCTION("""COMPUTED_VALUE"""),"cabd60e4")</f>
        <v>cabd60e4</v>
      </c>
      <c r="E2661" s="54">
        <f>IFERROR(__xludf.DUMMYFUNCTION("""COMPUTED_VALUE"""),39300.0)</f>
        <v>39300</v>
      </c>
      <c r="F2661" s="3" t="str">
        <f>IFERROR(__xludf.DUMMYFUNCTION("""COMPUTED_VALUE"""),"Criolla")</f>
        <v>Criolla</v>
      </c>
      <c r="G2661" s="3"/>
      <c r="H2661" s="3"/>
      <c r="I2661" s="3"/>
      <c r="J2661" s="3"/>
      <c r="K2661" s="3"/>
      <c r="L2661" s="54">
        <f>IFERROR(__xludf.DUMMYFUNCTION("""COMPUTED_VALUE"""),35.0)</f>
        <v>35</v>
      </c>
      <c r="M2661" s="3">
        <f>IFERROR(__xludf.DUMMYFUNCTION("""COMPUTED_VALUE"""),130.0)</f>
        <v>130</v>
      </c>
      <c r="N2661" s="3"/>
      <c r="O2661" s="3"/>
      <c r="P2661" s="3"/>
      <c r="Q2661" s="3"/>
      <c r="R2661" s="3">
        <f>IFERROR(__xludf.DUMMYFUNCTION("""COMPUTED_VALUE"""),0.0)</f>
        <v>0</v>
      </c>
      <c r="S2661" s="3"/>
      <c r="T2661" s="5"/>
      <c r="U2661" s="5"/>
      <c r="V2661" s="5"/>
      <c r="W2661" s="5"/>
    </row>
    <row r="2662" ht="15.75" customHeight="1">
      <c r="A2662" s="3">
        <f>IFERROR(__xludf.DUMMYFUNCTION("""COMPUTED_VALUE"""),2662.0)</f>
        <v>2662</v>
      </c>
      <c r="B2662" s="53">
        <f>IFERROR(__xludf.DUMMYFUNCTION("""COMPUTED_VALUE"""),46202.0)</f>
        <v>46202</v>
      </c>
      <c r="C2662" s="3">
        <f>IFERROR(__xludf.DUMMYFUNCTION("""COMPUTED_VALUE"""),32.0)</f>
        <v>32</v>
      </c>
      <c r="D2662" s="3" t="str">
        <f>IFERROR(__xludf.DUMMYFUNCTION("""COMPUTED_VALUE"""),"7ba30747")</f>
        <v>7ba30747</v>
      </c>
      <c r="E2662" s="54">
        <f>IFERROR(__xludf.DUMMYFUNCTION("""COMPUTED_VALUE"""),36300.0)</f>
        <v>36300</v>
      </c>
      <c r="F2662" s="3" t="str">
        <f>IFERROR(__xludf.DUMMYFUNCTION("""COMPUTED_VALUE"""),"Criolla")</f>
        <v>Criolla</v>
      </c>
      <c r="G2662" s="3"/>
      <c r="H2662" s="3"/>
      <c r="I2662" s="3"/>
      <c r="J2662" s="3"/>
      <c r="K2662" s="3"/>
      <c r="L2662" s="54">
        <f>IFERROR(__xludf.DUMMYFUNCTION("""COMPUTED_VALUE"""),33.0)</f>
        <v>33</v>
      </c>
      <c r="M2662" s="3">
        <f>IFERROR(__xludf.DUMMYFUNCTION("""COMPUTED_VALUE"""),133.0)</f>
        <v>133</v>
      </c>
      <c r="N2662" s="3"/>
      <c r="O2662" s="3"/>
      <c r="P2662" s="3"/>
      <c r="Q2662" s="3"/>
      <c r="R2662" s="3">
        <f>IFERROR(__xludf.DUMMYFUNCTION("""COMPUTED_VALUE"""),0.0)</f>
        <v>0</v>
      </c>
      <c r="S2662" s="3"/>
      <c r="T2662" s="5"/>
      <c r="U2662" s="5"/>
      <c r="V2662" s="5"/>
      <c r="W2662" s="5"/>
    </row>
    <row r="2663" ht="15.75" customHeight="1">
      <c r="A2663" s="3">
        <f>IFERROR(__xludf.DUMMYFUNCTION("""COMPUTED_VALUE"""),2663.0)</f>
        <v>2663</v>
      </c>
      <c r="B2663" s="53">
        <f>IFERROR(__xludf.DUMMYFUNCTION("""COMPUTED_VALUE"""),46202.0)</f>
        <v>46202</v>
      </c>
      <c r="C2663" s="3">
        <f>IFERROR(__xludf.DUMMYFUNCTION("""COMPUTED_VALUE"""),15.0)</f>
        <v>15</v>
      </c>
      <c r="D2663" s="3" t="str">
        <f>IFERROR(__xludf.DUMMYFUNCTION("""COMPUTED_VALUE"""),"79df7134")</f>
        <v>79df7134</v>
      </c>
      <c r="E2663" s="54">
        <f>IFERROR(__xludf.DUMMYFUNCTION("""COMPUTED_VALUE"""),36500.0)</f>
        <v>36500</v>
      </c>
      <c r="F2663" s="3" t="str">
        <f>IFERROR(__xludf.DUMMYFUNCTION("""COMPUTED_VALUE"""),"Criolla")</f>
        <v>Criolla</v>
      </c>
      <c r="G2663" s="3"/>
      <c r="H2663" s="3"/>
      <c r="I2663" s="3"/>
      <c r="J2663" s="3"/>
      <c r="K2663" s="3"/>
      <c r="L2663" s="54">
        <f>IFERROR(__xludf.DUMMYFUNCTION("""COMPUTED_VALUE"""),32.0)</f>
        <v>32</v>
      </c>
      <c r="M2663" s="3">
        <f>IFERROR(__xludf.DUMMYFUNCTION("""COMPUTED_VALUE"""),115.0)</f>
        <v>115</v>
      </c>
      <c r="N2663" s="3"/>
      <c r="O2663" s="3"/>
      <c r="P2663" s="3"/>
      <c r="Q2663" s="3"/>
      <c r="R2663" s="3">
        <f>IFERROR(__xludf.DUMMYFUNCTION("""COMPUTED_VALUE"""),0.0)</f>
        <v>0</v>
      </c>
      <c r="S2663" s="3"/>
      <c r="T2663" s="5"/>
      <c r="U2663" s="5"/>
      <c r="V2663" s="5"/>
      <c r="W2663" s="5"/>
    </row>
    <row r="2664" ht="15.75" customHeight="1">
      <c r="A2664" s="3">
        <f>IFERROR(__xludf.DUMMYFUNCTION("""COMPUTED_VALUE"""),2664.0)</f>
        <v>2664</v>
      </c>
      <c r="B2664" s="53">
        <f>IFERROR(__xludf.DUMMYFUNCTION("""COMPUTED_VALUE"""),46202.0)</f>
        <v>46202</v>
      </c>
      <c r="C2664" s="3">
        <f>IFERROR(__xludf.DUMMYFUNCTION("""COMPUTED_VALUE"""),14.0)</f>
        <v>14</v>
      </c>
      <c r="D2664" s="3" t="str">
        <f>IFERROR(__xludf.DUMMYFUNCTION("""COMPUTED_VALUE"""),"f5216f91")</f>
        <v>f5216f91</v>
      </c>
      <c r="E2664" s="54">
        <f>IFERROR(__xludf.DUMMYFUNCTION("""COMPUTED_VALUE"""),37000.0)</f>
        <v>37000</v>
      </c>
      <c r="F2664" s="3" t="str">
        <f>IFERROR(__xludf.DUMMYFUNCTION("""COMPUTED_VALUE"""),"Criolla")</f>
        <v>Criolla</v>
      </c>
      <c r="G2664" s="3"/>
      <c r="H2664" s="3"/>
      <c r="I2664" s="3"/>
      <c r="J2664" s="3"/>
      <c r="K2664" s="3"/>
      <c r="L2664" s="54">
        <f>IFERROR(__xludf.DUMMYFUNCTION("""COMPUTED_VALUE"""),30.0)</f>
        <v>30</v>
      </c>
      <c r="M2664" s="3">
        <f>IFERROR(__xludf.DUMMYFUNCTION("""COMPUTED_VALUE"""),134.0)</f>
        <v>134</v>
      </c>
      <c r="N2664" s="3"/>
      <c r="O2664" s="3"/>
      <c r="P2664" s="3"/>
      <c r="Q2664" s="3"/>
      <c r="R2664" s="3">
        <f>IFERROR(__xludf.DUMMYFUNCTION("""COMPUTED_VALUE"""),0.0)</f>
        <v>0</v>
      </c>
      <c r="S2664" s="3"/>
      <c r="T2664" s="5"/>
      <c r="U2664" s="5"/>
      <c r="V2664" s="5"/>
      <c r="W2664" s="5"/>
    </row>
    <row r="2665" ht="15.75" customHeight="1">
      <c r="A2665" s="3">
        <f>IFERROR(__xludf.DUMMYFUNCTION("""COMPUTED_VALUE"""),2665.0)</f>
        <v>2665</v>
      </c>
      <c r="B2665" s="53">
        <f>IFERROR(__xludf.DUMMYFUNCTION("""COMPUTED_VALUE"""),46202.0)</f>
        <v>46202</v>
      </c>
      <c r="C2665" s="3">
        <f>IFERROR(__xludf.DUMMYFUNCTION("""COMPUTED_VALUE"""),127.0)</f>
        <v>127</v>
      </c>
      <c r="D2665" s="3" t="str">
        <f>IFERROR(__xludf.DUMMYFUNCTION("""COMPUTED_VALUE"""),"ef66d2ab")</f>
        <v>ef66d2ab</v>
      </c>
      <c r="E2665" s="54">
        <f>IFERROR(__xludf.DUMMYFUNCTION("""COMPUTED_VALUE"""),31000.0)</f>
        <v>31000</v>
      </c>
      <c r="F2665" s="3" t="str">
        <f>IFERROR(__xludf.DUMMYFUNCTION("""COMPUTED_VALUE"""),"Malbec")</f>
        <v>Malbec</v>
      </c>
      <c r="G2665" s="3"/>
      <c r="H2665" s="3"/>
      <c r="I2665" s="3"/>
      <c r="J2665" s="3"/>
      <c r="K2665" s="3"/>
      <c r="L2665" s="54">
        <f>IFERROR(__xludf.DUMMYFUNCTION("""COMPUTED_VALUE"""),32.0)</f>
        <v>32</v>
      </c>
      <c r="M2665" s="3">
        <f>IFERROR(__xludf.DUMMYFUNCTION("""COMPUTED_VALUE"""),147.0)</f>
        <v>147</v>
      </c>
      <c r="N2665" s="3"/>
      <c r="O2665" s="3"/>
      <c r="P2665" s="3"/>
      <c r="Q2665" s="3"/>
      <c r="R2665" s="3">
        <f>IFERROR(__xludf.DUMMYFUNCTION("""COMPUTED_VALUE"""),0.0)</f>
        <v>0</v>
      </c>
      <c r="S2665" s="3"/>
      <c r="T2665" s="5"/>
      <c r="U2665" s="5"/>
      <c r="V2665" s="5"/>
      <c r="W2665" s="5"/>
    </row>
    <row r="2666" ht="15.75" customHeight="1">
      <c r="A2666" s="3">
        <f>IFERROR(__xludf.DUMMYFUNCTION("""COMPUTED_VALUE"""),2666.0)</f>
        <v>2666</v>
      </c>
      <c r="B2666" s="53">
        <f>IFERROR(__xludf.DUMMYFUNCTION("""COMPUTED_VALUE"""),46202.0)</f>
        <v>46202</v>
      </c>
      <c r="C2666" s="3">
        <f>IFERROR(__xludf.DUMMYFUNCTION("""COMPUTED_VALUE"""),121.0)</f>
        <v>121</v>
      </c>
      <c r="D2666" s="3" t="str">
        <f>IFERROR(__xludf.DUMMYFUNCTION("""COMPUTED_VALUE"""),"2f111639")</f>
        <v>2f111639</v>
      </c>
      <c r="E2666" s="54">
        <f>IFERROR(__xludf.DUMMYFUNCTION("""COMPUTED_VALUE"""),85800.0)</f>
        <v>85800</v>
      </c>
      <c r="F2666" s="3" t="str">
        <f>IFERROR(__xludf.DUMMYFUNCTION("""COMPUTED_VALUE"""),"Malbec")</f>
        <v>Malbec</v>
      </c>
      <c r="G2666" s="3"/>
      <c r="H2666" s="3"/>
      <c r="I2666" s="3"/>
      <c r="J2666" s="3"/>
      <c r="K2666" s="3"/>
      <c r="L2666" s="54">
        <f>IFERROR(__xludf.DUMMYFUNCTION("""COMPUTED_VALUE"""),45.0)</f>
        <v>45</v>
      </c>
      <c r="M2666" s="3">
        <f>IFERROR(__xludf.DUMMYFUNCTION("""COMPUTED_VALUE"""),102.0)</f>
        <v>102</v>
      </c>
      <c r="N2666" s="3"/>
      <c r="O2666" s="3"/>
      <c r="P2666" s="3"/>
      <c r="Q2666" s="3"/>
      <c r="R2666" s="3">
        <f>IFERROR(__xludf.DUMMYFUNCTION("""COMPUTED_VALUE"""),0.0)</f>
        <v>0</v>
      </c>
      <c r="S2666" s="3"/>
      <c r="T2666" s="5"/>
      <c r="U2666" s="5"/>
      <c r="V2666" s="5"/>
      <c r="W2666" s="5"/>
    </row>
    <row r="2667" ht="15.75" customHeight="1">
      <c r="A2667" s="3">
        <f>IFERROR(__xludf.DUMMYFUNCTION("""COMPUTED_VALUE"""),2667.0)</f>
        <v>2667</v>
      </c>
      <c r="B2667" s="53">
        <f>IFERROR(__xludf.DUMMYFUNCTION("""COMPUTED_VALUE"""),46202.0)</f>
        <v>46202</v>
      </c>
      <c r="C2667" s="3">
        <f>IFERROR(__xludf.DUMMYFUNCTION("""COMPUTED_VALUE"""),116.0)</f>
        <v>116</v>
      </c>
      <c r="D2667" s="3" t="str">
        <f>IFERROR(__xludf.DUMMYFUNCTION("""COMPUTED_VALUE"""),"606a2ad7")</f>
        <v>606a2ad7</v>
      </c>
      <c r="E2667" s="54">
        <f>IFERROR(__xludf.DUMMYFUNCTION("""COMPUTED_VALUE"""),99600.0)</f>
        <v>99600</v>
      </c>
      <c r="F2667" s="3" t="str">
        <f>IFERROR(__xludf.DUMMYFUNCTION("""COMPUTED_VALUE"""),"Malbec")</f>
        <v>Malbec</v>
      </c>
      <c r="G2667" s="3"/>
      <c r="H2667" s="3"/>
      <c r="I2667" s="3"/>
      <c r="J2667" s="3"/>
      <c r="K2667" s="3"/>
      <c r="L2667" s="54">
        <f>IFERROR(__xludf.DUMMYFUNCTION("""COMPUTED_VALUE"""),38.0)</f>
        <v>38</v>
      </c>
      <c r="M2667" s="3">
        <f>IFERROR(__xludf.DUMMYFUNCTION("""COMPUTED_VALUE"""),100.0)</f>
        <v>100</v>
      </c>
      <c r="N2667" s="3"/>
      <c r="O2667" s="3"/>
      <c r="P2667" s="3"/>
      <c r="Q2667" s="3"/>
      <c r="R2667" s="3">
        <f>IFERROR(__xludf.DUMMYFUNCTION("""COMPUTED_VALUE"""),0.0)</f>
        <v>0</v>
      </c>
      <c r="S2667" s="3"/>
      <c r="T2667" s="5"/>
      <c r="U2667" s="5"/>
      <c r="V2667" s="5"/>
      <c r="W2667" s="5"/>
    </row>
    <row r="2668" ht="15.75" customHeight="1">
      <c r="A2668" s="3">
        <f>IFERROR(__xludf.DUMMYFUNCTION("""COMPUTED_VALUE"""),2668.0)</f>
        <v>2668</v>
      </c>
      <c r="B2668" s="53">
        <f>IFERROR(__xludf.DUMMYFUNCTION("""COMPUTED_VALUE"""),46202.0)</f>
        <v>46202</v>
      </c>
      <c r="C2668" s="3">
        <f>IFERROR(__xludf.DUMMYFUNCTION("""COMPUTED_VALUE"""),91.0)</f>
        <v>91</v>
      </c>
      <c r="D2668" s="3" t="str">
        <f>IFERROR(__xludf.DUMMYFUNCTION("""COMPUTED_VALUE"""),"34fa2752")</f>
        <v>34fa2752</v>
      </c>
      <c r="E2668" s="54">
        <f>IFERROR(__xludf.DUMMYFUNCTION("""COMPUTED_VALUE"""),86000.0)</f>
        <v>86000</v>
      </c>
      <c r="F2668" s="3" t="str">
        <f>IFERROR(__xludf.DUMMYFUNCTION("""COMPUTED_VALUE"""),"Bonarda C2")</f>
        <v>Bonarda C2</v>
      </c>
      <c r="G2668" s="3"/>
      <c r="H2668" s="3"/>
      <c r="I2668" s="3"/>
      <c r="J2668" s="3"/>
      <c r="K2668" s="3"/>
      <c r="L2668" s="54">
        <f>IFERROR(__xludf.DUMMYFUNCTION("""COMPUTED_VALUE"""),39.0)</f>
        <v>39</v>
      </c>
      <c r="M2668" s="3">
        <f>IFERROR(__xludf.DUMMYFUNCTION("""COMPUTED_VALUE"""),90.0)</f>
        <v>90</v>
      </c>
      <c r="N2668" s="3"/>
      <c r="O2668" s="3"/>
      <c r="P2668" s="3"/>
      <c r="Q2668" s="3"/>
      <c r="R2668" s="3">
        <f>IFERROR(__xludf.DUMMYFUNCTION("""COMPUTED_VALUE"""),0.0)</f>
        <v>0</v>
      </c>
      <c r="S2668" s="3"/>
      <c r="T2668" s="5"/>
      <c r="U2668" s="5"/>
      <c r="V2668" s="5"/>
      <c r="W2668" s="5"/>
    </row>
    <row r="2669" ht="15.75" customHeight="1">
      <c r="A2669" s="3">
        <f>IFERROR(__xludf.DUMMYFUNCTION("""COMPUTED_VALUE"""),2669.0)</f>
        <v>2669</v>
      </c>
      <c r="B2669" s="53">
        <f>IFERROR(__xludf.DUMMYFUNCTION("""COMPUTED_VALUE"""),46202.0)</f>
        <v>46202</v>
      </c>
      <c r="C2669" s="3">
        <f>IFERROR(__xludf.DUMMYFUNCTION("""COMPUTED_VALUE"""),90.0)</f>
        <v>90</v>
      </c>
      <c r="D2669" s="3" t="str">
        <f>IFERROR(__xludf.DUMMYFUNCTION("""COMPUTED_VALUE"""),"33d07dd0")</f>
        <v>33d07dd0</v>
      </c>
      <c r="E2669" s="54">
        <f>IFERROR(__xludf.DUMMYFUNCTION("""COMPUTED_VALUE"""),97500.0)</f>
        <v>97500</v>
      </c>
      <c r="F2669" s="3" t="str">
        <f>IFERROR(__xludf.DUMMYFUNCTION("""COMPUTED_VALUE"""),"Bonarda")</f>
        <v>Bonarda</v>
      </c>
      <c r="G2669" s="3"/>
      <c r="H2669" s="3"/>
      <c r="I2669" s="3"/>
      <c r="J2669" s="3"/>
      <c r="K2669" s="3"/>
      <c r="L2669" s="54">
        <f>IFERROR(__xludf.DUMMYFUNCTION("""COMPUTED_VALUE"""),40.0)</f>
        <v>40</v>
      </c>
      <c r="M2669" s="3">
        <f>IFERROR(__xludf.DUMMYFUNCTION("""COMPUTED_VALUE"""),83.0)</f>
        <v>83</v>
      </c>
      <c r="N2669" s="3"/>
      <c r="O2669" s="3"/>
      <c r="P2669" s="3"/>
      <c r="Q2669" s="3"/>
      <c r="R2669" s="3">
        <f>IFERROR(__xludf.DUMMYFUNCTION("""COMPUTED_VALUE"""),0.0)</f>
        <v>0</v>
      </c>
      <c r="S2669" s="3"/>
      <c r="T2669" s="5"/>
      <c r="U2669" s="5"/>
      <c r="V2669" s="5"/>
      <c r="W2669" s="5"/>
    </row>
    <row r="2670" ht="15.75" customHeight="1">
      <c r="A2670" s="3">
        <f>IFERROR(__xludf.DUMMYFUNCTION("""COMPUTED_VALUE"""),2670.0)</f>
        <v>2670</v>
      </c>
      <c r="B2670" s="53">
        <f>IFERROR(__xludf.DUMMYFUNCTION("""COMPUTED_VALUE"""),46202.0)</f>
        <v>46202</v>
      </c>
      <c r="C2670" s="3">
        <f>IFERROR(__xludf.DUMMYFUNCTION("""COMPUTED_VALUE"""),52.0)</f>
        <v>52</v>
      </c>
      <c r="D2670" s="3" t="str">
        <f>IFERROR(__xludf.DUMMYFUNCTION("""COMPUTED_VALUE"""),"a73ae064")</f>
        <v>a73ae064</v>
      </c>
      <c r="E2670" s="54">
        <f>IFERROR(__xludf.DUMMYFUNCTION("""COMPUTED_VALUE"""),27000.0)</f>
        <v>27000</v>
      </c>
      <c r="F2670" s="3" t="str">
        <f>IFERROR(__xludf.DUMMYFUNCTION("""COMPUTED_VALUE"""),"Rosado Criolla")</f>
        <v>Rosado Criolla</v>
      </c>
      <c r="G2670" s="3"/>
      <c r="H2670" s="3"/>
      <c r="I2670" s="3"/>
      <c r="J2670" s="3"/>
      <c r="K2670" s="3"/>
      <c r="L2670" s="54">
        <f>IFERROR(__xludf.DUMMYFUNCTION("""COMPUTED_VALUE"""),20.0)</f>
        <v>20</v>
      </c>
      <c r="M2670" s="3">
        <f>IFERROR(__xludf.DUMMYFUNCTION("""COMPUTED_VALUE"""),70.0)</f>
        <v>70</v>
      </c>
      <c r="N2670" s="3"/>
      <c r="O2670" s="3"/>
      <c r="P2670" s="3"/>
      <c r="Q2670" s="3"/>
      <c r="R2670" s="3">
        <f>IFERROR(__xludf.DUMMYFUNCTION("""COMPUTED_VALUE"""),0.0)</f>
        <v>0</v>
      </c>
      <c r="S2670" s="3"/>
      <c r="T2670" s="5"/>
      <c r="U2670" s="5"/>
      <c r="V2670" s="5"/>
      <c r="W2670" s="5"/>
    </row>
    <row r="2671" ht="15.75" customHeight="1">
      <c r="A2671" s="3">
        <f>IFERROR(__xludf.DUMMYFUNCTION("""COMPUTED_VALUE"""),2671.0)</f>
        <v>2671</v>
      </c>
      <c r="B2671" s="53">
        <f>IFERROR(__xludf.DUMMYFUNCTION("""COMPUTED_VALUE"""),46202.0)</f>
        <v>46202</v>
      </c>
      <c r="C2671" s="3">
        <f>IFERROR(__xludf.DUMMYFUNCTION("""COMPUTED_VALUE"""),51.0)</f>
        <v>51</v>
      </c>
      <c r="D2671" s="3" t="str">
        <f>IFERROR(__xludf.DUMMYFUNCTION("""COMPUTED_VALUE"""),"2f82461c")</f>
        <v>2f82461c</v>
      </c>
      <c r="E2671" s="54">
        <f>IFERROR(__xludf.DUMMYFUNCTION("""COMPUTED_VALUE"""),1000.0)</f>
        <v>1000</v>
      </c>
      <c r="F2671" s="3" t="str">
        <f>IFERROR(__xludf.DUMMYFUNCTION("""COMPUTED_VALUE"""),"Criolla Vol")</f>
        <v>Criolla Vol</v>
      </c>
      <c r="G2671" s="3"/>
      <c r="H2671" s="3"/>
      <c r="I2671" s="3"/>
      <c r="J2671" s="3"/>
      <c r="K2671" s="3"/>
      <c r="L2671" s="54">
        <f>IFERROR(__xludf.DUMMYFUNCTION("""COMPUTED_VALUE"""),50.0)</f>
        <v>50</v>
      </c>
      <c r="M2671" s="3">
        <f>IFERROR(__xludf.DUMMYFUNCTION("""COMPUTED_VALUE"""),120.0)</f>
        <v>120</v>
      </c>
      <c r="N2671" s="3"/>
      <c r="O2671" s="3"/>
      <c r="P2671" s="3"/>
      <c r="Q2671" s="3"/>
      <c r="R2671" s="3">
        <f>IFERROR(__xludf.DUMMYFUNCTION("""COMPUTED_VALUE"""),0.0)</f>
        <v>0</v>
      </c>
      <c r="S2671" s="3"/>
      <c r="T2671" s="5"/>
      <c r="U2671" s="5"/>
      <c r="V2671" s="5"/>
      <c r="W2671" s="5"/>
    </row>
    <row r="2672" ht="15.75" customHeight="1">
      <c r="A2672" s="3">
        <f>IFERROR(__xludf.DUMMYFUNCTION("""COMPUTED_VALUE"""),2672.0)</f>
        <v>2672</v>
      </c>
      <c r="B2672" s="53">
        <f>IFERROR(__xludf.DUMMYFUNCTION("""COMPUTED_VALUE"""),46202.0)</f>
        <v>46202</v>
      </c>
      <c r="C2672" s="3">
        <f>IFERROR(__xludf.DUMMYFUNCTION("""COMPUTED_VALUE"""),25.0)</f>
        <v>25</v>
      </c>
      <c r="D2672" s="3" t="str">
        <f>IFERROR(__xludf.DUMMYFUNCTION("""COMPUTED_VALUE"""),"1bb294a3")</f>
        <v>1bb294a3</v>
      </c>
      <c r="E2672" s="54">
        <f>IFERROR(__xludf.DUMMYFUNCTION("""COMPUTED_VALUE"""),194300.0)</f>
        <v>194300</v>
      </c>
      <c r="F2672" s="3" t="str">
        <f>IFERROR(__xludf.DUMMYFUNCTION("""COMPUTED_VALUE"""),"Criolla Recarga")</f>
        <v>Criolla Recarga</v>
      </c>
      <c r="G2672" s="3"/>
      <c r="H2672" s="3"/>
      <c r="I2672" s="3"/>
      <c r="J2672" s="3"/>
      <c r="K2672" s="3"/>
      <c r="L2672" s="54">
        <f>IFERROR(__xludf.DUMMYFUNCTION("""COMPUTED_VALUE"""),27.0)</f>
        <v>27</v>
      </c>
      <c r="M2672" s="3">
        <f>IFERROR(__xludf.DUMMYFUNCTION("""COMPUTED_VALUE"""),77.0)</f>
        <v>77</v>
      </c>
      <c r="N2672" s="3"/>
      <c r="O2672" s="3"/>
      <c r="P2672" s="3"/>
      <c r="Q2672" s="3"/>
      <c r="R2672" s="3">
        <f>IFERROR(__xludf.DUMMYFUNCTION("""COMPUTED_VALUE"""),0.0)</f>
        <v>0</v>
      </c>
      <c r="S2672" s="3"/>
      <c r="T2672" s="5"/>
      <c r="U2672" s="5"/>
      <c r="V2672" s="5"/>
      <c r="W2672" s="5"/>
    </row>
    <row r="2673" ht="15.75" customHeight="1">
      <c r="A2673" s="3">
        <f>IFERROR(__xludf.DUMMYFUNCTION("""COMPUTED_VALUE"""),2673.0)</f>
        <v>2673</v>
      </c>
      <c r="B2673" s="53">
        <f>IFERROR(__xludf.DUMMYFUNCTION("""COMPUTED_VALUE"""),46202.0)</f>
        <v>46202</v>
      </c>
      <c r="C2673" s="3">
        <f>IFERROR(__xludf.DUMMYFUNCTION("""COMPUTED_VALUE"""),9.0)</f>
        <v>9</v>
      </c>
      <c r="D2673" s="3" t="str">
        <f>IFERROR(__xludf.DUMMYFUNCTION("""COMPUTED_VALUE"""),"2cd648db")</f>
        <v>2cd648db</v>
      </c>
      <c r="E2673" s="54">
        <f>IFERROR(__xludf.DUMMYFUNCTION("""COMPUTED_VALUE"""),30000.0)</f>
        <v>30000</v>
      </c>
      <c r="F2673" s="3" t="str">
        <f>IFERROR(__xludf.DUMMYFUNCTION("""COMPUTED_VALUE"""),"Criolla Recarga")</f>
        <v>Criolla Recarga</v>
      </c>
      <c r="G2673" s="3"/>
      <c r="H2673" s="3"/>
      <c r="I2673" s="3"/>
      <c r="J2673" s="3"/>
      <c r="K2673" s="3"/>
      <c r="L2673" s="54">
        <f>IFERROR(__xludf.DUMMYFUNCTION("""COMPUTED_VALUE"""),41.0)</f>
        <v>41</v>
      </c>
      <c r="M2673" s="3">
        <f>IFERROR(__xludf.DUMMYFUNCTION("""COMPUTED_VALUE"""),83.0)</f>
        <v>83</v>
      </c>
      <c r="N2673" s="3"/>
      <c r="O2673" s="3"/>
      <c r="P2673" s="3"/>
      <c r="Q2673" s="3"/>
      <c r="R2673" s="3">
        <f>IFERROR(__xludf.DUMMYFUNCTION("""COMPUTED_VALUE"""),0.0)</f>
        <v>0</v>
      </c>
      <c r="S2673" s="3"/>
      <c r="T2673" s="5"/>
      <c r="U2673" s="5"/>
      <c r="V2673" s="5"/>
      <c r="W2673" s="5"/>
    </row>
    <row r="2674" ht="15.75" customHeight="1">
      <c r="A2674" s="3">
        <f>IFERROR(__xludf.DUMMYFUNCTION("""COMPUTED_VALUE"""),2674.0)</f>
        <v>2674</v>
      </c>
      <c r="B2674" s="53">
        <f>IFERROR(__xludf.DUMMYFUNCTION("""COMPUTED_VALUE"""),46202.0)</f>
        <v>46202</v>
      </c>
      <c r="C2674" s="3">
        <f>IFERROR(__xludf.DUMMYFUNCTION("""COMPUTED_VALUE"""),120.0)</f>
        <v>120</v>
      </c>
      <c r="D2674" s="3" t="str">
        <f>IFERROR(__xludf.DUMMYFUNCTION("""COMPUTED_VALUE"""),"aa8077cb")</f>
        <v>aa8077cb</v>
      </c>
      <c r="E2674" s="54">
        <f>IFERROR(__xludf.DUMMYFUNCTION("""COMPUTED_VALUE"""),85800.0)</f>
        <v>85800</v>
      </c>
      <c r="F2674" s="3" t="str">
        <f>IFERROR(__xludf.DUMMYFUNCTION("""COMPUTED_VALUE"""),"Aspirant Anccelota PC")</f>
        <v>Aspirant Anccelota PC</v>
      </c>
      <c r="G2674" s="3"/>
      <c r="H2674" s="3"/>
      <c r="I2674" s="3"/>
      <c r="J2674" s="3"/>
      <c r="K2674" s="3"/>
      <c r="L2674" s="54">
        <f>IFERROR(__xludf.DUMMYFUNCTION("""COMPUTED_VALUE"""),55.0)</f>
        <v>55</v>
      </c>
      <c r="M2674" s="3">
        <f>IFERROR(__xludf.DUMMYFUNCTION("""COMPUTED_VALUE"""),90.0)</f>
        <v>90</v>
      </c>
      <c r="N2674" s="3"/>
      <c r="O2674" s="3"/>
      <c r="P2674" s="3"/>
      <c r="Q2674" s="3"/>
      <c r="R2674" s="3">
        <f>IFERROR(__xludf.DUMMYFUNCTION("""COMPUTED_VALUE"""),0.0)</f>
        <v>0</v>
      </c>
      <c r="S2674" s="3"/>
      <c r="T2674" s="5"/>
      <c r="U2674" s="5"/>
      <c r="V2674" s="5"/>
      <c r="W2674" s="5"/>
    </row>
    <row r="2675" ht="15.75" customHeight="1">
      <c r="A2675" s="3">
        <f>IFERROR(__xludf.DUMMYFUNCTION("""COMPUTED_VALUE"""),2675.0)</f>
        <v>2675</v>
      </c>
      <c r="B2675" s="53">
        <f>IFERROR(__xludf.DUMMYFUNCTION("""COMPUTED_VALUE"""),46203.0)</f>
        <v>46203</v>
      </c>
      <c r="C2675" s="3">
        <f>IFERROR(__xludf.DUMMYFUNCTION("""COMPUTED_VALUE"""),115.0)</f>
        <v>115</v>
      </c>
      <c r="D2675" s="3" t="str">
        <f>IFERROR(__xludf.DUMMYFUNCTION("""COMPUTED_VALUE"""),"bd824973")</f>
        <v>bd824973</v>
      </c>
      <c r="E2675" s="54">
        <f>IFERROR(__xludf.DUMMYFUNCTION("""COMPUTED_VALUE"""),120200.0)</f>
        <v>120200</v>
      </c>
      <c r="F2675" s="3" t="str">
        <f>IFERROR(__xludf.DUMMYFUNCTION("""COMPUTED_VALUE"""),"Malbec")</f>
        <v>Malbec</v>
      </c>
      <c r="G2675" s="3"/>
      <c r="H2675" s="3"/>
      <c r="I2675" s="3"/>
      <c r="J2675" s="3"/>
      <c r="K2675" s="3"/>
      <c r="L2675" s="54">
        <f>IFERROR(__xludf.DUMMYFUNCTION("""COMPUTED_VALUE"""),36.0)</f>
        <v>36</v>
      </c>
      <c r="M2675" s="3">
        <f>IFERROR(__xludf.DUMMYFUNCTION("""COMPUTED_VALUE"""),120.0)</f>
        <v>120</v>
      </c>
      <c r="N2675" s="3"/>
      <c r="O2675" s="3"/>
      <c r="P2675" s="3"/>
      <c r="Q2675" s="3"/>
      <c r="R2675" s="3">
        <f>IFERROR(__xludf.DUMMYFUNCTION("""COMPUTED_VALUE"""),0.0)</f>
        <v>0</v>
      </c>
      <c r="S2675" s="3"/>
      <c r="T2675" s="5"/>
      <c r="U2675" s="5"/>
      <c r="V2675" s="5"/>
      <c r="W2675" s="5"/>
    </row>
    <row r="2676" ht="15.75" customHeight="1">
      <c r="A2676" s="3">
        <f>IFERROR(__xludf.DUMMYFUNCTION("""COMPUTED_VALUE"""),2676.0)</f>
        <v>2676</v>
      </c>
      <c r="B2676" s="53">
        <f>IFERROR(__xludf.DUMMYFUNCTION("""COMPUTED_VALUE"""),46203.0)</f>
        <v>46203</v>
      </c>
      <c r="C2676" s="3">
        <f>IFERROR(__xludf.DUMMYFUNCTION("""COMPUTED_VALUE"""),96.0)</f>
        <v>96</v>
      </c>
      <c r="D2676" s="3" t="str">
        <f>IFERROR(__xludf.DUMMYFUNCTION("""COMPUTED_VALUE"""),"05b3155b")</f>
        <v>05b3155b</v>
      </c>
      <c r="E2676" s="54">
        <f>IFERROR(__xludf.DUMMYFUNCTION("""COMPUTED_VALUE"""),85600.0)</f>
        <v>85600</v>
      </c>
      <c r="F2676" s="3" t="str">
        <f>IFERROR(__xludf.DUMMYFUNCTION("""COMPUTED_VALUE"""),"Bonarda")</f>
        <v>Bonarda</v>
      </c>
      <c r="G2676" s="3"/>
      <c r="H2676" s="3"/>
      <c r="I2676" s="3"/>
      <c r="J2676" s="3"/>
      <c r="K2676" s="3"/>
      <c r="L2676" s="54">
        <f>IFERROR(__xludf.DUMMYFUNCTION("""COMPUTED_VALUE"""),42.0)</f>
        <v>42</v>
      </c>
      <c r="M2676" s="3">
        <f>IFERROR(__xludf.DUMMYFUNCTION("""COMPUTED_VALUE"""),120.0)</f>
        <v>120</v>
      </c>
      <c r="N2676" s="3"/>
      <c r="O2676" s="3"/>
      <c r="P2676" s="3"/>
      <c r="Q2676" s="3"/>
      <c r="R2676" s="3">
        <f>IFERROR(__xludf.DUMMYFUNCTION("""COMPUTED_VALUE"""),0.0)</f>
        <v>0</v>
      </c>
      <c r="S2676" s="3"/>
      <c r="T2676" s="5"/>
      <c r="U2676" s="5"/>
      <c r="V2676" s="5"/>
      <c r="W2676" s="5"/>
    </row>
    <row r="2677" ht="15.75" customHeight="1">
      <c r="A2677" s="3">
        <f>IFERROR(__xludf.DUMMYFUNCTION("""COMPUTED_VALUE"""),2677.0)</f>
        <v>2677</v>
      </c>
      <c r="B2677" s="53">
        <f>IFERROR(__xludf.DUMMYFUNCTION("""COMPUTED_VALUE"""),46203.0)</f>
        <v>46203</v>
      </c>
      <c r="C2677" s="3">
        <f>IFERROR(__xludf.DUMMYFUNCTION("""COMPUTED_VALUE"""),89.0)</f>
        <v>89</v>
      </c>
      <c r="D2677" s="3" t="str">
        <f>IFERROR(__xludf.DUMMYFUNCTION("""COMPUTED_VALUE"""),"ac97825f")</f>
        <v>ac97825f</v>
      </c>
      <c r="E2677" s="54">
        <f>IFERROR(__xludf.DUMMYFUNCTION("""COMPUTED_VALUE"""),83500.0)</f>
        <v>83500</v>
      </c>
      <c r="F2677" s="3" t="str">
        <f>IFERROR(__xludf.DUMMYFUNCTION("""COMPUTED_VALUE"""),"Syrah Temp")</f>
        <v>Syrah Temp</v>
      </c>
      <c r="G2677" s="3"/>
      <c r="H2677" s="3"/>
      <c r="I2677" s="3"/>
      <c r="J2677" s="3"/>
      <c r="K2677" s="3"/>
      <c r="L2677" s="54">
        <f>IFERROR(__xludf.DUMMYFUNCTION("""COMPUTED_VALUE"""),42.0)</f>
        <v>42</v>
      </c>
      <c r="M2677" s="3">
        <f>IFERROR(__xludf.DUMMYFUNCTION("""COMPUTED_VALUE"""),120.0)</f>
        <v>120</v>
      </c>
      <c r="N2677" s="3"/>
      <c r="O2677" s="3"/>
      <c r="P2677" s="3"/>
      <c r="Q2677" s="3"/>
      <c r="R2677" s="3">
        <f>IFERROR(__xludf.DUMMYFUNCTION("""COMPUTED_VALUE"""),0.0)</f>
        <v>0</v>
      </c>
      <c r="S2677" s="3"/>
      <c r="T2677" s="5"/>
      <c r="U2677" s="5"/>
      <c r="V2677" s="5"/>
      <c r="W2677" s="5"/>
    </row>
    <row r="2678" ht="15.75" customHeight="1">
      <c r="A2678" s="3">
        <f>IFERROR(__xludf.DUMMYFUNCTION("""COMPUTED_VALUE"""),2678.0)</f>
        <v>2678</v>
      </c>
      <c r="B2678" s="53">
        <f>IFERROR(__xludf.DUMMYFUNCTION("""COMPUTED_VALUE"""),46203.0)</f>
        <v>46203</v>
      </c>
      <c r="C2678" s="3">
        <f>IFERROR(__xludf.DUMMYFUNCTION("""COMPUTED_VALUE"""),85.0)</f>
        <v>85</v>
      </c>
      <c r="D2678" s="3" t="str">
        <f>IFERROR(__xludf.DUMMYFUNCTION("""COMPUTED_VALUE"""),"7ec3170e")</f>
        <v>7ec3170e</v>
      </c>
      <c r="E2678" s="54">
        <f>IFERROR(__xludf.DUMMYFUNCTION("""COMPUTED_VALUE"""),84000.0)</f>
        <v>84000</v>
      </c>
      <c r="F2678" s="3" t="str">
        <f>IFERROR(__xludf.DUMMYFUNCTION("""COMPUTED_VALUE"""),"Malbec pc")</f>
        <v>Malbec pc</v>
      </c>
      <c r="G2678" s="3"/>
      <c r="H2678" s="3"/>
      <c r="I2678" s="3"/>
      <c r="J2678" s="3"/>
      <c r="K2678" s="3"/>
      <c r="L2678" s="54">
        <f>IFERROR(__xludf.DUMMYFUNCTION("""COMPUTED_VALUE"""),50.0)</f>
        <v>50</v>
      </c>
      <c r="M2678" s="3">
        <f>IFERROR(__xludf.DUMMYFUNCTION("""COMPUTED_VALUE"""),123.0)</f>
        <v>123</v>
      </c>
      <c r="N2678" s="3"/>
      <c r="O2678" s="3"/>
      <c r="P2678" s="3"/>
      <c r="Q2678" s="3"/>
      <c r="R2678" s="3">
        <f>IFERROR(__xludf.DUMMYFUNCTION("""COMPUTED_VALUE"""),0.0)</f>
        <v>0</v>
      </c>
      <c r="S2678" s="3"/>
      <c r="T2678" s="5"/>
      <c r="U2678" s="5"/>
      <c r="V2678" s="5"/>
      <c r="W2678" s="5"/>
    </row>
    <row r="2679" ht="15.75" customHeight="1">
      <c r="A2679" s="3">
        <f>IFERROR(__xludf.DUMMYFUNCTION("""COMPUTED_VALUE"""),2679.0)</f>
        <v>2679</v>
      </c>
      <c r="B2679" s="53">
        <f>IFERROR(__xludf.DUMMYFUNCTION("""COMPUTED_VALUE"""),46203.0)</f>
        <v>46203</v>
      </c>
      <c r="C2679" s="3">
        <f>IFERROR(__xludf.DUMMYFUNCTION("""COMPUTED_VALUE"""),125.0)</f>
        <v>125</v>
      </c>
      <c r="D2679" s="3" t="str">
        <f>IFERROR(__xludf.DUMMYFUNCTION("""COMPUTED_VALUE"""),"3574f330")</f>
        <v>3574f330</v>
      </c>
      <c r="E2679" s="54">
        <f>IFERROR(__xludf.DUMMYFUNCTION("""COMPUTED_VALUE"""),31000.0)</f>
        <v>31000</v>
      </c>
      <c r="F2679" s="3" t="str">
        <f>IFERROR(__xludf.DUMMYFUNCTION("""COMPUTED_VALUE"""),"Syrah Anc s/Asp 2")</f>
        <v>Syrah Anc s/Asp 2</v>
      </c>
      <c r="G2679" s="3"/>
      <c r="H2679" s="3"/>
      <c r="I2679" s="3"/>
      <c r="J2679" s="3"/>
      <c r="K2679" s="3"/>
      <c r="L2679" s="54">
        <f>IFERROR(__xludf.DUMMYFUNCTION("""COMPUTED_VALUE"""),51.0)</f>
        <v>51</v>
      </c>
      <c r="M2679" s="3">
        <f>IFERROR(__xludf.DUMMYFUNCTION("""COMPUTED_VALUE"""),105.0)</f>
        <v>105</v>
      </c>
      <c r="N2679" s="3"/>
      <c r="O2679" s="3"/>
      <c r="P2679" s="3"/>
      <c r="Q2679" s="3"/>
      <c r="R2679" s="3">
        <f>IFERROR(__xludf.DUMMYFUNCTION("""COMPUTED_VALUE"""),0.0)</f>
        <v>0</v>
      </c>
      <c r="S2679" s="3"/>
      <c r="T2679" s="5"/>
      <c r="U2679" s="5"/>
      <c r="V2679" s="5"/>
      <c r="W2679" s="5"/>
    </row>
    <row r="2680" ht="15.75" customHeight="1">
      <c r="A2680" s="3">
        <f>IFERROR(__xludf.DUMMYFUNCTION("""COMPUTED_VALUE"""),2680.0)</f>
        <v>2680</v>
      </c>
      <c r="B2680" s="53">
        <f>IFERROR(__xludf.DUMMYFUNCTION("""COMPUTED_VALUE"""),46203.0)</f>
        <v>46203</v>
      </c>
      <c r="C2680" s="3">
        <f>IFERROR(__xludf.DUMMYFUNCTION("""COMPUTED_VALUE"""),8.0)</f>
        <v>8</v>
      </c>
      <c r="D2680" s="3" t="str">
        <f>IFERROR(__xludf.DUMMYFUNCTION("""COMPUTED_VALUE"""),"1093228c")</f>
        <v>1093228c</v>
      </c>
      <c r="E2680" s="54">
        <f>IFERROR(__xludf.DUMMYFUNCTION("""COMPUTED_VALUE"""),22000.0)</f>
        <v>22000</v>
      </c>
      <c r="F2680" s="3" t="str">
        <f>IFERROR(__xludf.DUMMYFUNCTION("""COMPUTED_VALUE"""),"Pedro Gimenez")</f>
        <v>Pedro Gimenez</v>
      </c>
      <c r="G2680" s="55">
        <f>IFERROR(__xludf.DUMMYFUNCTION("""COMPUTED_VALUE"""),12.8)</f>
        <v>12.8</v>
      </c>
      <c r="H2680" s="3"/>
      <c r="I2680" s="57">
        <f>IFERROR(__xludf.DUMMYFUNCTION("""COMPUTED_VALUE"""),0.35)</f>
        <v>0.35</v>
      </c>
      <c r="J2680" s="3"/>
      <c r="K2680" s="3"/>
      <c r="L2680" s="3"/>
      <c r="M2680" s="3"/>
      <c r="N2680" s="3"/>
      <c r="O2680" s="3"/>
      <c r="P2680" s="3"/>
      <c r="Q2680" s="3"/>
      <c r="R2680" s="3">
        <f>IFERROR(__xludf.DUMMYFUNCTION("""COMPUTED_VALUE"""),0.0)</f>
        <v>0</v>
      </c>
      <c r="S2680" s="3"/>
      <c r="T2680" s="5"/>
      <c r="U2680" s="5"/>
      <c r="V2680" s="5"/>
      <c r="W2680" s="5"/>
    </row>
    <row r="2681" ht="15.75" customHeight="1">
      <c r="A2681" s="3">
        <f>IFERROR(__xludf.DUMMYFUNCTION("""COMPUTED_VALUE"""),2681.0)</f>
        <v>2681</v>
      </c>
      <c r="B2681" s="53">
        <f>IFERROR(__xludf.DUMMYFUNCTION("""COMPUTED_VALUE"""),46204.0)</f>
        <v>46204</v>
      </c>
      <c r="C2681" s="3">
        <f>IFERROR(__xludf.DUMMYFUNCTION("""COMPUTED_VALUE"""),50.0)</f>
        <v>50</v>
      </c>
      <c r="D2681" s="3" t="str">
        <f>IFERROR(__xludf.DUMMYFUNCTION("""COMPUTED_VALUE"""),"e501716c")</f>
        <v>e501716c</v>
      </c>
      <c r="E2681" s="54">
        <f>IFERROR(__xludf.DUMMYFUNCTION("""COMPUTED_VALUE"""),5100.0)</f>
        <v>5100</v>
      </c>
      <c r="F2681" s="3" t="str">
        <f>IFERROR(__xludf.DUMMYFUNCTION("""COMPUTED_VALUE"""),"Chardonnay Garbin")</f>
        <v>Chardonnay Garbin</v>
      </c>
      <c r="G2681" s="3"/>
      <c r="H2681" s="3"/>
      <c r="I2681" s="3"/>
      <c r="J2681" s="3"/>
      <c r="K2681" s="3"/>
      <c r="L2681" s="54">
        <f>IFERROR(__xludf.DUMMYFUNCTION("""COMPUTED_VALUE"""),25.0)</f>
        <v>25</v>
      </c>
      <c r="M2681" s="3"/>
      <c r="N2681" s="3"/>
      <c r="O2681" s="3"/>
      <c r="P2681" s="3"/>
      <c r="Q2681" s="3"/>
      <c r="R2681" s="3">
        <f>IFERROR(__xludf.DUMMYFUNCTION("""COMPUTED_VALUE"""),0.0)</f>
        <v>0</v>
      </c>
      <c r="S2681" s="3"/>
      <c r="T2681" s="5"/>
      <c r="U2681" s="5"/>
      <c r="V2681" s="5"/>
      <c r="W2681" s="5"/>
    </row>
    <row r="2682" ht="15.75" customHeight="1">
      <c r="A2682" s="3">
        <f>IFERROR(__xludf.DUMMYFUNCTION("""COMPUTED_VALUE"""),2682.0)</f>
        <v>2682</v>
      </c>
      <c r="B2682" s="53">
        <f>IFERROR(__xludf.DUMMYFUNCTION("""COMPUTED_VALUE"""),46204.0)</f>
        <v>46204</v>
      </c>
      <c r="C2682" s="3">
        <f>IFERROR(__xludf.DUMMYFUNCTION("""COMPUTED_VALUE"""),5.0)</f>
        <v>5</v>
      </c>
      <c r="D2682" s="3" t="str">
        <f>IFERROR(__xludf.DUMMYFUNCTION("""COMPUTED_VALUE"""),"9cf12383")</f>
        <v>9cf12383</v>
      </c>
      <c r="E2682" s="54">
        <f>IFERROR(__xludf.DUMMYFUNCTION("""COMPUTED_VALUE"""),30000.0)</f>
        <v>30000</v>
      </c>
      <c r="F2682" s="3" t="str">
        <f>IFERROR(__xludf.DUMMYFUNCTION("""COMPUTED_VALUE"""),"Tinto Varietal B")</f>
        <v>Tinto Varietal B</v>
      </c>
      <c r="G2682" s="3"/>
      <c r="H2682" s="3"/>
      <c r="I2682" s="3"/>
      <c r="J2682" s="3"/>
      <c r="K2682" s="3"/>
      <c r="L2682" s="54">
        <f>IFERROR(__xludf.DUMMYFUNCTION("""COMPUTED_VALUE"""),32.0)</f>
        <v>32</v>
      </c>
      <c r="M2682" s="3">
        <f>IFERROR(__xludf.DUMMYFUNCTION("""COMPUTED_VALUE"""),160.0)</f>
        <v>160</v>
      </c>
      <c r="N2682" s="3"/>
      <c r="O2682" s="3"/>
      <c r="P2682" s="3"/>
      <c r="Q2682" s="3"/>
      <c r="R2682" s="3">
        <f>IFERROR(__xludf.DUMMYFUNCTION("""COMPUTED_VALUE"""),0.0)</f>
        <v>0</v>
      </c>
      <c r="S2682" s="3"/>
      <c r="T2682" s="5"/>
      <c r="U2682" s="5"/>
      <c r="V2682" s="5"/>
      <c r="W2682" s="5"/>
    </row>
    <row r="2683" ht="15.75" customHeight="1">
      <c r="A2683" s="3">
        <f>IFERROR(__xludf.DUMMYFUNCTION("""COMPUTED_VALUE"""),2683.0)</f>
        <v>2683</v>
      </c>
      <c r="B2683" s="53">
        <f>IFERROR(__xludf.DUMMYFUNCTION("""COMPUTED_VALUE"""),46204.0)</f>
        <v>46204</v>
      </c>
      <c r="C2683" s="3">
        <f>IFERROR(__xludf.DUMMYFUNCTION("""COMPUTED_VALUE"""),24.0)</f>
        <v>24</v>
      </c>
      <c r="D2683" s="3" t="str">
        <f>IFERROR(__xludf.DUMMYFUNCTION("""COMPUTED_VALUE"""),"3cb54432")</f>
        <v>3cb54432</v>
      </c>
      <c r="E2683" s="54">
        <f>IFERROR(__xludf.DUMMYFUNCTION("""COMPUTED_VALUE"""),186600.0)</f>
        <v>186600</v>
      </c>
      <c r="F2683" s="3" t="str">
        <f>IFERROR(__xludf.DUMMYFUNCTION("""COMPUTED_VALUE"""),"Malbec")</f>
        <v>Malbec</v>
      </c>
      <c r="G2683" s="3"/>
      <c r="H2683" s="3"/>
      <c r="I2683" s="3"/>
      <c r="J2683" s="3"/>
      <c r="K2683" s="3"/>
      <c r="L2683" s="54">
        <f>IFERROR(__xludf.DUMMYFUNCTION("""COMPUTED_VALUE"""),34.0)</f>
        <v>34</v>
      </c>
      <c r="M2683" s="3">
        <f>IFERROR(__xludf.DUMMYFUNCTION("""COMPUTED_VALUE"""),96.0)</f>
        <v>96</v>
      </c>
      <c r="N2683" s="3"/>
      <c r="O2683" s="3"/>
      <c r="P2683" s="3"/>
      <c r="Q2683" s="3"/>
      <c r="R2683" s="3">
        <f>IFERROR(__xludf.DUMMYFUNCTION("""COMPUTED_VALUE"""),0.0)</f>
        <v>0</v>
      </c>
      <c r="S2683" s="3"/>
      <c r="T2683" s="5"/>
      <c r="U2683" s="5"/>
      <c r="V2683" s="5"/>
      <c r="W2683" s="5"/>
    </row>
    <row r="2684" ht="15.75" customHeight="1">
      <c r="A2684" s="3">
        <f>IFERROR(__xludf.DUMMYFUNCTION("""COMPUTED_VALUE"""),2684.0)</f>
        <v>2684</v>
      </c>
      <c r="B2684" s="53">
        <f>IFERROR(__xludf.DUMMYFUNCTION("""COMPUTED_VALUE"""),46204.0)</f>
        <v>46204</v>
      </c>
      <c r="C2684" s="3">
        <f>IFERROR(__xludf.DUMMYFUNCTION("""COMPUTED_VALUE"""),41.0)</f>
        <v>41</v>
      </c>
      <c r="D2684" s="3" t="str">
        <f>IFERROR(__xludf.DUMMYFUNCTION("""COMPUTED_VALUE"""),"f5897d1f")</f>
        <v>f5897d1f</v>
      </c>
      <c r="E2684" s="54">
        <f>IFERROR(__xludf.DUMMYFUNCTION("""COMPUTED_VALUE"""),35100.0)</f>
        <v>35100</v>
      </c>
      <c r="F2684" s="3" t="str">
        <f>IFERROR(__xludf.DUMMYFUNCTION("""COMPUTED_VALUE"""),"Bonarda")</f>
        <v>Bonarda</v>
      </c>
      <c r="G2684" s="3"/>
      <c r="H2684" s="3"/>
      <c r="I2684" s="3"/>
      <c r="J2684" s="3"/>
      <c r="K2684" s="3"/>
      <c r="L2684" s="54">
        <f>IFERROR(__xludf.DUMMYFUNCTION("""COMPUTED_VALUE"""),43.0)</f>
        <v>43</v>
      </c>
      <c r="M2684" s="3">
        <f>IFERROR(__xludf.DUMMYFUNCTION("""COMPUTED_VALUE"""),83.0)</f>
        <v>83</v>
      </c>
      <c r="N2684" s="3"/>
      <c r="O2684" s="3"/>
      <c r="P2684" s="3"/>
      <c r="Q2684" s="3"/>
      <c r="R2684" s="3">
        <f>IFERROR(__xludf.DUMMYFUNCTION("""COMPUTED_VALUE"""),0.0)</f>
        <v>0</v>
      </c>
      <c r="S2684" s="3"/>
      <c r="T2684" s="5"/>
      <c r="U2684" s="5"/>
      <c r="V2684" s="5"/>
      <c r="W2684" s="5"/>
    </row>
    <row r="2685" ht="15.75" customHeight="1">
      <c r="A2685" s="3">
        <f>IFERROR(__xludf.DUMMYFUNCTION("""COMPUTED_VALUE"""),2685.0)</f>
        <v>2685</v>
      </c>
      <c r="B2685" s="53">
        <f>IFERROR(__xludf.DUMMYFUNCTION("""COMPUTED_VALUE"""),46204.0)</f>
        <v>46204</v>
      </c>
      <c r="C2685" s="3">
        <f>IFERROR(__xludf.DUMMYFUNCTION("""COMPUTED_VALUE"""),45.0)</f>
        <v>45</v>
      </c>
      <c r="D2685" s="3" t="str">
        <f>IFERROR(__xludf.DUMMYFUNCTION("""COMPUTED_VALUE"""),"8f769dd7")</f>
        <v>8f769dd7</v>
      </c>
      <c r="E2685" s="54">
        <f>IFERROR(__xludf.DUMMYFUNCTION("""COMPUTED_VALUE"""),30000.0)</f>
        <v>30000</v>
      </c>
      <c r="F2685" s="3" t="str">
        <f>IFERROR(__xludf.DUMMYFUNCTION("""COMPUTED_VALUE"""),"Syrah")</f>
        <v>Syrah</v>
      </c>
      <c r="G2685" s="3"/>
      <c r="H2685" s="3"/>
      <c r="I2685" s="3"/>
      <c r="J2685" s="3"/>
      <c r="K2685" s="3"/>
      <c r="L2685" s="54">
        <f>IFERROR(__xludf.DUMMYFUNCTION("""COMPUTED_VALUE"""),46.0)</f>
        <v>46</v>
      </c>
      <c r="M2685" s="3">
        <f>IFERROR(__xludf.DUMMYFUNCTION("""COMPUTED_VALUE"""),102.0)</f>
        <v>102</v>
      </c>
      <c r="N2685" s="3"/>
      <c r="O2685" s="3"/>
      <c r="P2685" s="3"/>
      <c r="Q2685" s="3"/>
      <c r="R2685" s="3">
        <f>IFERROR(__xludf.DUMMYFUNCTION("""COMPUTED_VALUE"""),0.0)</f>
        <v>0</v>
      </c>
      <c r="S2685" s="3"/>
      <c r="T2685" s="5"/>
      <c r="U2685" s="5"/>
      <c r="V2685" s="5"/>
      <c r="W2685" s="5"/>
    </row>
    <row r="2686" ht="15.75" customHeight="1">
      <c r="A2686" s="3">
        <f>IFERROR(__xludf.DUMMYFUNCTION("""COMPUTED_VALUE"""),2686.0)</f>
        <v>2686</v>
      </c>
      <c r="B2686" s="53">
        <f>IFERROR(__xludf.DUMMYFUNCTION("""COMPUTED_VALUE"""),46204.0)</f>
        <v>46204</v>
      </c>
      <c r="C2686" s="3">
        <f>IFERROR(__xludf.DUMMYFUNCTION("""COMPUTED_VALUE"""),65.0)</f>
        <v>65</v>
      </c>
      <c r="D2686" s="3" t="str">
        <f>IFERROR(__xludf.DUMMYFUNCTION("""COMPUTED_VALUE"""),"be5bdb25")</f>
        <v>be5bdb25</v>
      </c>
      <c r="E2686" s="54">
        <f>IFERROR(__xludf.DUMMYFUNCTION("""COMPUTED_VALUE"""),35500.0)</f>
        <v>35500</v>
      </c>
      <c r="F2686" s="3" t="str">
        <f>IFERROR(__xludf.DUMMYFUNCTION("""COMPUTED_VALUE"""),"Syrah")</f>
        <v>Syrah</v>
      </c>
      <c r="G2686" s="3"/>
      <c r="H2686" s="3"/>
      <c r="I2686" s="3"/>
      <c r="J2686" s="3"/>
      <c r="K2686" s="3"/>
      <c r="L2686" s="54">
        <f>IFERROR(__xludf.DUMMYFUNCTION("""COMPUTED_VALUE"""),47.0)</f>
        <v>47</v>
      </c>
      <c r="M2686" s="3">
        <f>IFERROR(__xludf.DUMMYFUNCTION("""COMPUTED_VALUE"""),96.0)</f>
        <v>96</v>
      </c>
      <c r="N2686" s="3"/>
      <c r="O2686" s="3"/>
      <c r="P2686" s="3"/>
      <c r="Q2686" s="3"/>
      <c r="R2686" s="3">
        <f>IFERROR(__xludf.DUMMYFUNCTION("""COMPUTED_VALUE"""),0.0)</f>
        <v>0</v>
      </c>
      <c r="S2686" s="3"/>
      <c r="T2686" s="5"/>
      <c r="U2686" s="5"/>
      <c r="V2686" s="5"/>
      <c r="W2686" s="5"/>
    </row>
    <row r="2687" ht="15.75" customHeight="1">
      <c r="A2687" s="3">
        <f>IFERROR(__xludf.DUMMYFUNCTION("""COMPUTED_VALUE"""),2687.0)</f>
        <v>2687</v>
      </c>
      <c r="B2687" s="53">
        <f>IFERROR(__xludf.DUMMYFUNCTION("""COMPUTED_VALUE"""),46204.0)</f>
        <v>46204</v>
      </c>
      <c r="C2687" s="3">
        <f>IFERROR(__xludf.DUMMYFUNCTION("""COMPUTED_VALUE"""),73.0)</f>
        <v>73</v>
      </c>
      <c r="D2687" s="3" t="str">
        <f>IFERROR(__xludf.DUMMYFUNCTION("""COMPUTED_VALUE"""),"d70658e5")</f>
        <v>d70658e5</v>
      </c>
      <c r="E2687" s="54">
        <f>IFERROR(__xludf.DUMMYFUNCTION("""COMPUTED_VALUE"""),13000.0)</f>
        <v>13000</v>
      </c>
      <c r="F2687" s="3" t="str">
        <f>IFERROR(__xludf.DUMMYFUNCTION("""COMPUTED_VALUE"""),"Syrah")</f>
        <v>Syrah</v>
      </c>
      <c r="G2687" s="3"/>
      <c r="H2687" s="3"/>
      <c r="I2687" s="3"/>
      <c r="J2687" s="3"/>
      <c r="K2687" s="3"/>
      <c r="L2687" s="54">
        <f>IFERROR(__xludf.DUMMYFUNCTION("""COMPUTED_VALUE"""),48.0)</f>
        <v>48</v>
      </c>
      <c r="M2687" s="3">
        <f>IFERROR(__xludf.DUMMYFUNCTION("""COMPUTED_VALUE"""),120.0)</f>
        <v>120</v>
      </c>
      <c r="N2687" s="3"/>
      <c r="O2687" s="3"/>
      <c r="P2687" s="3"/>
      <c r="Q2687" s="3"/>
      <c r="R2687" s="3">
        <f>IFERROR(__xludf.DUMMYFUNCTION("""COMPUTED_VALUE"""),0.0)</f>
        <v>0</v>
      </c>
      <c r="S2687" s="3"/>
      <c r="T2687" s="5"/>
      <c r="U2687" s="5"/>
      <c r="V2687" s="5"/>
      <c r="W2687" s="5"/>
    </row>
    <row r="2688" ht="15.75" customHeight="1">
      <c r="A2688" s="3">
        <f>IFERROR(__xludf.DUMMYFUNCTION("""COMPUTED_VALUE"""),2688.0)</f>
        <v>2688</v>
      </c>
      <c r="B2688" s="53">
        <f>IFERROR(__xludf.DUMMYFUNCTION("""COMPUTED_VALUE"""),46204.0)</f>
        <v>46204</v>
      </c>
      <c r="C2688" s="3">
        <f>IFERROR(__xludf.DUMMYFUNCTION("""COMPUTED_VALUE"""),76.0)</f>
        <v>76</v>
      </c>
      <c r="D2688" s="3" t="str">
        <f>IFERROR(__xludf.DUMMYFUNCTION("""COMPUTED_VALUE"""),"70e78bdf")</f>
        <v>70e78bdf</v>
      </c>
      <c r="E2688" s="54">
        <f>IFERROR(__xludf.DUMMYFUNCTION("""COMPUTED_VALUE"""),25500.0)</f>
        <v>25500</v>
      </c>
      <c r="F2688" s="3" t="str">
        <f>IFERROR(__xludf.DUMMYFUNCTION("""COMPUTED_VALUE"""),"Syrah")</f>
        <v>Syrah</v>
      </c>
      <c r="G2688" s="3"/>
      <c r="H2688" s="3"/>
      <c r="I2688" s="3"/>
      <c r="J2688" s="3"/>
      <c r="K2688" s="3"/>
      <c r="L2688" s="54">
        <f>IFERROR(__xludf.DUMMYFUNCTION("""COMPUTED_VALUE"""),49.0)</f>
        <v>49</v>
      </c>
      <c r="M2688" s="3">
        <f>IFERROR(__xludf.DUMMYFUNCTION("""COMPUTED_VALUE"""),115.0)</f>
        <v>115</v>
      </c>
      <c r="N2688" s="3"/>
      <c r="O2688" s="3"/>
      <c r="P2688" s="3"/>
      <c r="Q2688" s="3"/>
      <c r="R2688" s="3">
        <f>IFERROR(__xludf.DUMMYFUNCTION("""COMPUTED_VALUE"""),0.0)</f>
        <v>0</v>
      </c>
      <c r="S2688" s="3"/>
      <c r="T2688" s="5"/>
      <c r="U2688" s="5"/>
      <c r="V2688" s="5"/>
      <c r="W2688" s="5"/>
    </row>
    <row r="2689" ht="15.75" customHeight="1">
      <c r="A2689" s="3">
        <f>IFERROR(__xludf.DUMMYFUNCTION("""COMPUTED_VALUE"""),2689.0)</f>
        <v>2689</v>
      </c>
      <c r="B2689" s="53">
        <f>IFERROR(__xludf.DUMMYFUNCTION("""COMPUTED_VALUE"""),46204.0)</f>
        <v>46204</v>
      </c>
      <c r="C2689" s="3">
        <f>IFERROR(__xludf.DUMMYFUNCTION("""COMPUTED_VALUE"""),79.0)</f>
        <v>79</v>
      </c>
      <c r="D2689" s="3" t="str">
        <f>IFERROR(__xludf.DUMMYFUNCTION("""COMPUTED_VALUE"""),"79e2220e")</f>
        <v>79e2220e</v>
      </c>
      <c r="E2689" s="54">
        <f>IFERROR(__xludf.DUMMYFUNCTION("""COMPUTED_VALUE"""),26000.0)</f>
        <v>26000</v>
      </c>
      <c r="F2689" s="3" t="str">
        <f>IFERROR(__xludf.DUMMYFUNCTION("""COMPUTED_VALUE"""),"Syrah")</f>
        <v>Syrah</v>
      </c>
      <c r="G2689" s="3"/>
      <c r="H2689" s="3"/>
      <c r="I2689" s="3"/>
      <c r="J2689" s="3"/>
      <c r="K2689" s="3"/>
      <c r="L2689" s="54">
        <f>IFERROR(__xludf.DUMMYFUNCTION("""COMPUTED_VALUE"""),45.0)</f>
        <v>45</v>
      </c>
      <c r="M2689" s="3">
        <f>IFERROR(__xludf.DUMMYFUNCTION("""COMPUTED_VALUE"""),96.0)</f>
        <v>96</v>
      </c>
      <c r="N2689" s="3"/>
      <c r="O2689" s="3"/>
      <c r="P2689" s="3"/>
      <c r="Q2689" s="3"/>
      <c r="R2689" s="3">
        <f>IFERROR(__xludf.DUMMYFUNCTION("""COMPUTED_VALUE"""),0.0)</f>
        <v>0</v>
      </c>
      <c r="S2689" s="3"/>
      <c r="T2689" s="5"/>
      <c r="U2689" s="5"/>
      <c r="V2689" s="5"/>
      <c r="W2689" s="5"/>
    </row>
    <row r="2690" ht="15.75" customHeight="1">
      <c r="A2690" s="3">
        <f>IFERROR(__xludf.DUMMYFUNCTION("""COMPUTED_VALUE"""),2690.0)</f>
        <v>2690</v>
      </c>
      <c r="B2690" s="53">
        <f>IFERROR(__xludf.DUMMYFUNCTION("""COMPUTED_VALUE"""),46204.0)</f>
        <v>46204</v>
      </c>
      <c r="C2690" s="3">
        <f>IFERROR(__xludf.DUMMYFUNCTION("""COMPUTED_VALUE"""),103.0)</f>
        <v>103</v>
      </c>
      <c r="D2690" s="3" t="str">
        <f>IFERROR(__xludf.DUMMYFUNCTION("""COMPUTED_VALUE"""),"e9753960")</f>
        <v>e9753960</v>
      </c>
      <c r="E2690" s="54">
        <f>IFERROR(__xludf.DUMMYFUNCTION("""COMPUTED_VALUE"""),31000.0)</f>
        <v>31000</v>
      </c>
      <c r="F2690" s="3" t="str">
        <f>IFERROR(__xludf.DUMMYFUNCTION("""COMPUTED_VALUE"""),"Syrah Merlot s/Asp 3")</f>
        <v>Syrah Merlot s/Asp 3</v>
      </c>
      <c r="G2690" s="3"/>
      <c r="H2690" s="3"/>
      <c r="I2690" s="3"/>
      <c r="J2690" s="3"/>
      <c r="K2690" s="3"/>
      <c r="L2690" s="54">
        <f>IFERROR(__xludf.DUMMYFUNCTION("""COMPUTED_VALUE"""),38.0)</f>
        <v>38</v>
      </c>
      <c r="M2690" s="3">
        <f>IFERROR(__xludf.DUMMYFUNCTION("""COMPUTED_VALUE"""),90.0)</f>
        <v>90</v>
      </c>
      <c r="N2690" s="3"/>
      <c r="O2690" s="3"/>
      <c r="P2690" s="3"/>
      <c r="Q2690" s="3"/>
      <c r="R2690" s="3">
        <f>IFERROR(__xludf.DUMMYFUNCTION("""COMPUTED_VALUE"""),0.0)</f>
        <v>0</v>
      </c>
      <c r="S2690" s="3"/>
      <c r="T2690" s="5"/>
      <c r="U2690" s="5"/>
      <c r="V2690" s="5"/>
      <c r="W2690" s="5"/>
    </row>
    <row r="2691" ht="15.75" customHeight="1">
      <c r="A2691" s="3">
        <f>IFERROR(__xludf.DUMMYFUNCTION("""COMPUTED_VALUE"""),2691.0)</f>
        <v>2691</v>
      </c>
      <c r="B2691" s="3"/>
      <c r="C2691" s="3">
        <f>IFERROR(__xludf.DUMMYFUNCTION("""COMPUTED_VALUE"""),7.0)</f>
        <v>7</v>
      </c>
      <c r="D2691" s="3" t="str">
        <f>IFERROR(__xludf.DUMMYFUNCTION("""COMPUTED_VALUE"""),"e90df3a0")</f>
        <v>e90df3a0</v>
      </c>
      <c r="E2691" s="54">
        <f>IFERROR(__xludf.DUMMYFUNCTION("""COMPUTED_VALUE"""),30000.0)</f>
        <v>30000</v>
      </c>
      <c r="F2691" s="3" t="str">
        <f>IFERROR(__xludf.DUMMYFUNCTION("""COMPUTED_VALUE"""),"Tinto Varietal B")</f>
        <v>Tinto Varietal B</v>
      </c>
      <c r="G2691" s="3"/>
      <c r="H2691" s="3"/>
      <c r="I2691" s="3"/>
      <c r="J2691" s="3"/>
      <c r="K2691" s="3"/>
      <c r="L2691" s="3"/>
      <c r="M2691" s="3"/>
      <c r="N2691" s="3"/>
      <c r="O2691" s="3"/>
      <c r="P2691" s="3"/>
      <c r="Q2691" s="3"/>
      <c r="R2691" s="3">
        <f>IFERROR(__xludf.DUMMYFUNCTION("""COMPUTED_VALUE"""),0.0)</f>
        <v>0</v>
      </c>
      <c r="S2691" s="3"/>
      <c r="T2691" s="5"/>
      <c r="U2691" s="5"/>
      <c r="V2691" s="5"/>
      <c r="W2691" s="5"/>
    </row>
    <row r="2692" ht="15.75" customHeight="1">
      <c r="A2692" s="3">
        <f>IFERROR(__xludf.DUMMYFUNCTION("""COMPUTED_VALUE"""),2692.0)</f>
        <v>2692</v>
      </c>
      <c r="B2692" s="3"/>
      <c r="C2692" s="3">
        <f>IFERROR(__xludf.DUMMYFUNCTION("""COMPUTED_VALUE"""),34.0)</f>
        <v>34</v>
      </c>
      <c r="D2692" s="3" t="str">
        <f>IFERROR(__xludf.DUMMYFUNCTION("""COMPUTED_VALUE"""),"d1e104ff")</f>
        <v>d1e104ff</v>
      </c>
      <c r="E2692" s="54">
        <f>IFERROR(__xludf.DUMMYFUNCTION("""COMPUTED_VALUE"""),39500.0)</f>
        <v>39500</v>
      </c>
      <c r="F2692" s="3" t="str">
        <f>IFERROR(__xludf.DUMMYFUNCTION("""COMPUTED_VALUE"""),"Tinto Varietal B")</f>
        <v>Tinto Varietal B</v>
      </c>
      <c r="G2692" s="3"/>
      <c r="H2692" s="3"/>
      <c r="I2692" s="3"/>
      <c r="J2692" s="3"/>
      <c r="K2692" s="3"/>
      <c r="L2692" s="3"/>
      <c r="M2692" s="3"/>
      <c r="N2692" s="3"/>
      <c r="O2692" s="3"/>
      <c r="P2692" s="3"/>
      <c r="Q2692" s="3"/>
      <c r="R2692" s="3">
        <f>IFERROR(__xludf.DUMMYFUNCTION("""COMPUTED_VALUE"""),0.0)</f>
        <v>0</v>
      </c>
      <c r="S2692" s="3"/>
      <c r="T2692" s="5"/>
      <c r="U2692" s="5"/>
      <c r="V2692" s="5"/>
      <c r="W2692" s="5"/>
    </row>
    <row r="2693" ht="15.75" customHeight="1">
      <c r="A2693" s="3">
        <f>IFERROR(__xludf.DUMMYFUNCTION("""COMPUTED_VALUE"""),2693.0)</f>
        <v>2693</v>
      </c>
      <c r="B2693" s="3"/>
      <c r="C2693" s="3">
        <f>IFERROR(__xludf.DUMMYFUNCTION("""COMPUTED_VALUE"""),36.0)</f>
        <v>36</v>
      </c>
      <c r="D2693" s="3" t="str">
        <f>IFERROR(__xludf.DUMMYFUNCTION("""COMPUTED_VALUE"""),"976df8ba")</f>
        <v>976df8ba</v>
      </c>
      <c r="E2693" s="54">
        <f>IFERROR(__xludf.DUMMYFUNCTION("""COMPUTED_VALUE"""),19700.0)</f>
        <v>19700</v>
      </c>
      <c r="F2693" s="3" t="str">
        <f>IFERROR(__xludf.DUMMYFUNCTION("""COMPUTED_VALUE"""),"Tinto Varietal B")</f>
        <v>Tinto Varietal B</v>
      </c>
      <c r="G2693" s="3"/>
      <c r="H2693" s="3"/>
      <c r="I2693" s="3"/>
      <c r="J2693" s="3"/>
      <c r="K2693" s="3"/>
      <c r="L2693" s="3"/>
      <c r="M2693" s="3"/>
      <c r="N2693" s="3"/>
      <c r="O2693" s="3"/>
      <c r="P2693" s="3"/>
      <c r="Q2693" s="3"/>
      <c r="R2693" s="3">
        <f>IFERROR(__xludf.DUMMYFUNCTION("""COMPUTED_VALUE"""),0.0)</f>
        <v>0</v>
      </c>
      <c r="S2693" s="3"/>
      <c r="T2693" s="5"/>
      <c r="U2693" s="5"/>
      <c r="V2693" s="5"/>
      <c r="W2693" s="5"/>
    </row>
    <row r="2694" ht="15.75" customHeight="1">
      <c r="A2694" s="3">
        <f>IFERROR(__xludf.DUMMYFUNCTION("""COMPUTED_VALUE"""),2694.0)</f>
        <v>2694</v>
      </c>
      <c r="B2694" s="3"/>
      <c r="C2694" s="3">
        <f>IFERROR(__xludf.DUMMYFUNCTION("""COMPUTED_VALUE"""),66.0)</f>
        <v>66</v>
      </c>
      <c r="D2694" s="3" t="str">
        <f>IFERROR(__xludf.DUMMYFUNCTION("""COMPUTED_VALUE"""),"0d5738b1")</f>
        <v>0d5738b1</v>
      </c>
      <c r="E2694" s="54">
        <f>IFERROR(__xludf.DUMMYFUNCTION("""COMPUTED_VALUE"""),23000.0)</f>
        <v>23000</v>
      </c>
      <c r="F2694" s="3" t="str">
        <f>IFERROR(__xludf.DUMMYFUNCTION("""COMPUTED_VALUE"""),"Tinto Varietal B")</f>
        <v>Tinto Varietal B</v>
      </c>
      <c r="G2694" s="3"/>
      <c r="H2694" s="3"/>
      <c r="I2694" s="3"/>
      <c r="J2694" s="3"/>
      <c r="K2694" s="3"/>
      <c r="L2694" s="3"/>
      <c r="M2694" s="3"/>
      <c r="N2694" s="3"/>
      <c r="O2694" s="3"/>
      <c r="P2694" s="3"/>
      <c r="Q2694" s="3"/>
      <c r="R2694" s="3">
        <f>IFERROR(__xludf.DUMMYFUNCTION("""COMPUTED_VALUE"""),0.0)</f>
        <v>0</v>
      </c>
      <c r="S2694" s="3"/>
      <c r="T2694" s="5"/>
      <c r="U2694" s="5"/>
      <c r="V2694" s="5"/>
      <c r="W2694" s="5"/>
    </row>
    <row r="2695" ht="15.75" customHeight="1">
      <c r="A2695" s="3">
        <f>IFERROR(__xludf.DUMMYFUNCTION("""COMPUTED_VALUE"""),2695.0)</f>
        <v>2695</v>
      </c>
      <c r="B2695" s="3"/>
      <c r="C2695" s="3">
        <f>IFERROR(__xludf.DUMMYFUNCTION("""COMPUTED_VALUE"""),111.0)</f>
        <v>111</v>
      </c>
      <c r="D2695" s="3" t="str">
        <f>IFERROR(__xludf.DUMMYFUNCTION("""COMPUTED_VALUE"""),"3ba92525")</f>
        <v>3ba92525</v>
      </c>
      <c r="E2695" s="54">
        <f>IFERROR(__xludf.DUMMYFUNCTION("""COMPUTED_VALUE"""),4000.0)</f>
        <v>4000</v>
      </c>
      <c r="F2695" s="3" t="str">
        <f>IFERROR(__xludf.DUMMYFUNCTION("""COMPUTED_VALUE"""),"Syrah con Madera")</f>
        <v>Syrah con Madera</v>
      </c>
      <c r="G2695" s="3"/>
      <c r="H2695" s="3"/>
      <c r="I2695" s="3"/>
      <c r="J2695" s="3"/>
      <c r="K2695" s="3"/>
      <c r="L2695" s="3"/>
      <c r="M2695" s="3"/>
      <c r="N2695" s="3"/>
      <c r="O2695" s="3"/>
      <c r="P2695" s="3"/>
      <c r="Q2695" s="3"/>
      <c r="R2695" s="3">
        <f>IFERROR(__xludf.DUMMYFUNCTION("""COMPUTED_VALUE"""),0.0)</f>
        <v>0</v>
      </c>
      <c r="S2695" s="3"/>
      <c r="T2695" s="5"/>
      <c r="U2695" s="5"/>
      <c r="V2695" s="5"/>
      <c r="W2695" s="5"/>
    </row>
    <row r="2696" ht="15.75" customHeight="1">
      <c r="A2696" s="3">
        <f>IFERROR(__xludf.DUMMYFUNCTION("""COMPUTED_VALUE"""),2696.0)</f>
        <v>2696</v>
      </c>
      <c r="B2696" s="3"/>
      <c r="C2696" s="3">
        <f>IFERROR(__xludf.DUMMYFUNCTION("""COMPUTED_VALUE"""),8.0)</f>
        <v>8</v>
      </c>
      <c r="D2696" s="3" t="str">
        <f>IFERROR(__xludf.DUMMYFUNCTION("""COMPUTED_VALUE"""),"1093228c")</f>
        <v>1093228c</v>
      </c>
      <c r="E2696" s="54">
        <f>IFERROR(__xludf.DUMMYFUNCTION("""COMPUTED_VALUE"""),22000.0)</f>
        <v>22000</v>
      </c>
      <c r="F2696" s="3" t="str">
        <f>IFERROR(__xludf.DUMMYFUNCTION("""COMPUTED_VALUE"""),"Pedro Gimenez")</f>
        <v>Pedro Gimenez</v>
      </c>
      <c r="G2696" s="3"/>
      <c r="H2696" s="3"/>
      <c r="I2696" s="3"/>
      <c r="J2696" s="3"/>
      <c r="K2696" s="3"/>
      <c r="L2696" s="3"/>
      <c r="M2696" s="3"/>
      <c r="N2696" s="3"/>
      <c r="O2696" s="3"/>
      <c r="P2696" s="3"/>
      <c r="Q2696" s="3"/>
      <c r="R2696" s="3">
        <f>IFERROR(__xludf.DUMMYFUNCTION("""COMPUTED_VALUE"""),0.0)</f>
        <v>0</v>
      </c>
      <c r="S2696" s="3"/>
      <c r="T2696" s="5"/>
      <c r="U2696" s="5"/>
      <c r="V2696" s="5"/>
      <c r="W2696" s="5"/>
    </row>
    <row r="2697" ht="15.75" customHeight="1">
      <c r="A2697" s="3">
        <f>IFERROR(__xludf.DUMMYFUNCTION("""COMPUTED_VALUE"""),2697.0)</f>
        <v>2697</v>
      </c>
      <c r="B2697" s="3"/>
      <c r="C2697" s="3">
        <f>IFERROR(__xludf.DUMMYFUNCTION("""COMPUTED_VALUE"""),6.0)</f>
        <v>6</v>
      </c>
      <c r="D2697" s="3" t="str">
        <f>IFERROR(__xludf.DUMMYFUNCTION("""COMPUTED_VALUE"""),"a1b44119")</f>
        <v>a1b44119</v>
      </c>
      <c r="E2697" s="54">
        <f>IFERROR(__xludf.DUMMYFUNCTION("""COMPUTED_VALUE"""),32000.0)</f>
        <v>32000</v>
      </c>
      <c r="F2697" s="3" t="str">
        <f>IFERROR(__xludf.DUMMYFUNCTION("""COMPUTED_VALUE"""),"Syrah")</f>
        <v>Syrah</v>
      </c>
      <c r="G2697" s="3"/>
      <c r="H2697" s="3"/>
      <c r="I2697" s="3"/>
      <c r="J2697" s="3"/>
      <c r="K2697" s="3"/>
      <c r="L2697" s="3"/>
      <c r="M2697" s="3"/>
      <c r="N2697" s="3"/>
      <c r="O2697" s="3"/>
      <c r="P2697" s="3"/>
      <c r="Q2697" s="3"/>
      <c r="R2697" s="3">
        <f>IFERROR(__xludf.DUMMYFUNCTION("""COMPUTED_VALUE"""),0.0)</f>
        <v>0</v>
      </c>
      <c r="S2697" s="3"/>
      <c r="T2697" s="5"/>
      <c r="U2697" s="5"/>
      <c r="V2697" s="5"/>
      <c r="W2697" s="5"/>
    </row>
    <row r="2698" ht="15.75" customHeight="1">
      <c r="A2698" s="3">
        <f>IFERROR(__xludf.DUMMYFUNCTION("""COMPUTED_VALUE"""),2698.0)</f>
        <v>2698</v>
      </c>
      <c r="B2698" s="3"/>
      <c r="C2698" s="3">
        <f>IFERROR(__xludf.DUMMYFUNCTION("""COMPUTED_VALUE"""),10.0)</f>
        <v>10</v>
      </c>
      <c r="D2698" s="3" t="str">
        <f>IFERROR(__xludf.DUMMYFUNCTION("""COMPUTED_VALUE"""),"ab8fa038")</f>
        <v>ab8fa038</v>
      </c>
      <c r="E2698" s="54">
        <f>IFERROR(__xludf.DUMMYFUNCTION("""COMPUTED_VALUE"""),21000.0)</f>
        <v>21000</v>
      </c>
      <c r="F2698" s="3" t="str">
        <f>IFERROR(__xludf.DUMMYFUNCTION("""COMPUTED_VALUE"""),"Syrah")</f>
        <v>Syrah</v>
      </c>
      <c r="G2698" s="3"/>
      <c r="H2698" s="3"/>
      <c r="I2698" s="3"/>
      <c r="J2698" s="3"/>
      <c r="K2698" s="3"/>
      <c r="L2698" s="3"/>
      <c r="M2698" s="3"/>
      <c r="N2698" s="3"/>
      <c r="O2698" s="3"/>
      <c r="P2698" s="3"/>
      <c r="Q2698" s="3"/>
      <c r="R2698" s="3">
        <f>IFERROR(__xludf.DUMMYFUNCTION("""COMPUTED_VALUE"""),0.0)</f>
        <v>0</v>
      </c>
      <c r="S2698" s="3"/>
      <c r="T2698" s="5"/>
      <c r="U2698" s="5"/>
      <c r="V2698" s="5"/>
      <c r="W2698" s="5"/>
    </row>
    <row r="2699" ht="15.75" customHeight="1">
      <c r="A2699" s="3">
        <f>IFERROR(__xludf.DUMMYFUNCTION("""COMPUTED_VALUE"""),2699.0)</f>
        <v>2699</v>
      </c>
      <c r="B2699" s="3"/>
      <c r="C2699" s="3">
        <f>IFERROR(__xludf.DUMMYFUNCTION("""COMPUTED_VALUE"""),12.0)</f>
        <v>12</v>
      </c>
      <c r="D2699" s="3" t="str">
        <f>IFERROR(__xludf.DUMMYFUNCTION("""COMPUTED_VALUE"""),"c6a82ec9")</f>
        <v>c6a82ec9</v>
      </c>
      <c r="E2699" s="54">
        <f>IFERROR(__xludf.DUMMYFUNCTION("""COMPUTED_VALUE"""),22000.0)</f>
        <v>22000</v>
      </c>
      <c r="F2699" s="3" t="str">
        <f>IFERROR(__xludf.DUMMYFUNCTION("""COMPUTED_VALUE"""),"Claro Filtro")</f>
        <v>Claro Filtro</v>
      </c>
      <c r="G2699" s="3"/>
      <c r="H2699" s="3"/>
      <c r="I2699" s="3"/>
      <c r="J2699" s="3"/>
      <c r="K2699" s="3"/>
      <c r="L2699" s="3"/>
      <c r="M2699" s="3"/>
      <c r="N2699" s="3"/>
      <c r="O2699" s="3"/>
      <c r="P2699" s="3"/>
      <c r="Q2699" s="3"/>
      <c r="R2699" s="3">
        <f>IFERROR(__xludf.DUMMYFUNCTION("""COMPUTED_VALUE"""),0.0)</f>
        <v>0</v>
      </c>
      <c r="S2699" s="3"/>
      <c r="T2699" s="5"/>
      <c r="U2699" s="5"/>
      <c r="V2699" s="5"/>
      <c r="W2699" s="5"/>
    </row>
    <row r="2700" ht="15.75" customHeight="1">
      <c r="A2700" s="3">
        <f>IFERROR(__xludf.DUMMYFUNCTION("""COMPUTED_VALUE"""),2700.0)</f>
        <v>2700</v>
      </c>
      <c r="B2700" s="3"/>
      <c r="C2700" s="3">
        <f>IFERROR(__xludf.DUMMYFUNCTION("""COMPUTED_VALUE"""),16.0)</f>
        <v>16</v>
      </c>
      <c r="D2700" s="3" t="str">
        <f>IFERROR(__xludf.DUMMYFUNCTION("""COMPUTED_VALUE"""),"759ddcbc")</f>
        <v>759ddcbc</v>
      </c>
      <c r="E2700" s="54">
        <f>IFERROR(__xludf.DUMMYFUNCTION("""COMPUTED_VALUE"""),19500.0)</f>
        <v>19500</v>
      </c>
      <c r="F2700" s="3" t="str">
        <f>IFERROR(__xludf.DUMMYFUNCTION("""COMPUTED_VALUE"""),"Criolla Recarga")</f>
        <v>Criolla Recarga</v>
      </c>
      <c r="G2700" s="3"/>
      <c r="H2700" s="3"/>
      <c r="I2700" s="3"/>
      <c r="J2700" s="3"/>
      <c r="K2700" s="3"/>
      <c r="L2700" s="3"/>
      <c r="M2700" s="3"/>
      <c r="N2700" s="3"/>
      <c r="O2700" s="3"/>
      <c r="P2700" s="3"/>
      <c r="Q2700" s="3"/>
      <c r="R2700" s="3">
        <f>IFERROR(__xludf.DUMMYFUNCTION("""COMPUTED_VALUE"""),0.0)</f>
        <v>0</v>
      </c>
      <c r="S2700" s="3"/>
      <c r="T2700" s="5"/>
      <c r="U2700" s="5"/>
      <c r="V2700" s="5"/>
      <c r="W2700" s="5"/>
    </row>
    <row r="2701" ht="15.75" customHeight="1">
      <c r="A2701" s="3">
        <f>IFERROR(__xludf.DUMMYFUNCTION("""COMPUTED_VALUE"""),2701.0)</f>
        <v>2701</v>
      </c>
      <c r="B2701" s="3"/>
      <c r="C2701" s="3">
        <f>IFERROR(__xludf.DUMMYFUNCTION("""COMPUTED_VALUE"""),72.0)</f>
        <v>72</v>
      </c>
      <c r="D2701" s="3" t="str">
        <f>IFERROR(__xludf.DUMMYFUNCTION("""COMPUTED_VALUE"""),"4863b60c")</f>
        <v>4863b60c</v>
      </c>
      <c r="E2701" s="54">
        <f>IFERROR(__xludf.DUMMYFUNCTION("""COMPUTED_VALUE"""),6800.0)</f>
        <v>6800</v>
      </c>
      <c r="F2701" s="3" t="str">
        <f>IFERROR(__xludf.DUMMYFUNCTION("""COMPUTED_VALUE"""),"Malbec Lopez")</f>
        <v>Malbec Lopez</v>
      </c>
      <c r="G2701" s="3"/>
      <c r="H2701" s="3"/>
      <c r="I2701" s="3"/>
      <c r="J2701" s="3"/>
      <c r="K2701" s="3"/>
      <c r="L2701" s="3"/>
      <c r="M2701" s="3"/>
      <c r="N2701" s="3"/>
      <c r="O2701" s="3"/>
      <c r="P2701" s="3"/>
      <c r="Q2701" s="3"/>
      <c r="R2701" s="3">
        <f>IFERROR(__xludf.DUMMYFUNCTION("""COMPUTED_VALUE"""),0.0)</f>
        <v>0</v>
      </c>
      <c r="S2701" s="3"/>
      <c r="T2701" s="5"/>
      <c r="U2701" s="5"/>
      <c r="V2701" s="5"/>
      <c r="W2701" s="5"/>
    </row>
    <row r="2702" ht="15.75" customHeight="1">
      <c r="A2702" s="3">
        <f>IFERROR(__xludf.DUMMYFUNCTION("""COMPUTED_VALUE"""),2702.0)</f>
        <v>2702</v>
      </c>
      <c r="B2702" s="3"/>
      <c r="C2702" s="3">
        <f>IFERROR(__xludf.DUMMYFUNCTION("""COMPUTED_VALUE"""),81.0)</f>
        <v>81</v>
      </c>
      <c r="D2702" s="3" t="str">
        <f>IFERROR(__xludf.DUMMYFUNCTION("""COMPUTED_VALUE"""),"c195697b")</f>
        <v>c195697b</v>
      </c>
      <c r="E2702" s="54">
        <f>IFERROR(__xludf.DUMMYFUNCTION("""COMPUTED_VALUE"""),26500.0)</f>
        <v>26500</v>
      </c>
      <c r="F2702" s="3" t="str">
        <f>IFERROR(__xludf.DUMMYFUNCTION("""COMPUTED_VALUE"""),"Syrah")</f>
        <v>Syrah</v>
      </c>
      <c r="G2702" s="3"/>
      <c r="H2702" s="3"/>
      <c r="I2702" s="3"/>
      <c r="J2702" s="3"/>
      <c r="K2702" s="3"/>
      <c r="L2702" s="3"/>
      <c r="M2702" s="3"/>
      <c r="N2702" s="3"/>
      <c r="O2702" s="3"/>
      <c r="P2702" s="3"/>
      <c r="Q2702" s="3"/>
      <c r="R2702" s="3">
        <f>IFERROR(__xludf.DUMMYFUNCTION("""COMPUTED_VALUE"""),0.0)</f>
        <v>0</v>
      </c>
      <c r="S2702" s="3"/>
      <c r="T2702" s="5"/>
      <c r="U2702" s="5"/>
      <c r="V2702" s="5"/>
      <c r="W2702" s="5"/>
    </row>
    <row r="2703" ht="15.75" customHeight="1">
      <c r="A2703" s="3">
        <f>IFERROR(__xludf.DUMMYFUNCTION("""COMPUTED_VALUE"""),2703.0)</f>
        <v>2703</v>
      </c>
      <c r="B2703" s="3"/>
      <c r="C2703" s="3">
        <f>IFERROR(__xludf.DUMMYFUNCTION("""COMPUTED_VALUE"""),104.0)</f>
        <v>104</v>
      </c>
      <c r="D2703" s="3" t="str">
        <f>IFERROR(__xludf.DUMMYFUNCTION("""COMPUTED_VALUE"""),"b7cf1976")</f>
        <v>b7cf1976</v>
      </c>
      <c r="E2703" s="54">
        <f>IFERROR(__xludf.DUMMYFUNCTION("""COMPUTED_VALUE"""),31000.0)</f>
        <v>31000</v>
      </c>
      <c r="F2703" s="3" t="str">
        <f>IFERROR(__xludf.DUMMYFUNCTION("""COMPUTED_VALUE"""),"Syrah Merlot s/Asp 3")</f>
        <v>Syrah Merlot s/Asp 3</v>
      </c>
      <c r="G2703" s="3"/>
      <c r="H2703" s="3"/>
      <c r="I2703" s="3"/>
      <c r="J2703" s="3"/>
      <c r="K2703" s="3"/>
      <c r="L2703" s="3"/>
      <c r="M2703" s="3"/>
      <c r="N2703" s="3"/>
      <c r="O2703" s="3"/>
      <c r="P2703" s="3"/>
      <c r="Q2703" s="3"/>
      <c r="R2703" s="3">
        <f>IFERROR(__xludf.DUMMYFUNCTION("""COMPUTED_VALUE"""),0.0)</f>
        <v>0</v>
      </c>
      <c r="S2703" s="3"/>
      <c r="T2703" s="5"/>
      <c r="U2703" s="5"/>
      <c r="V2703" s="5"/>
      <c r="W2703" s="5"/>
    </row>
    <row r="2704" ht="15.75" customHeight="1">
      <c r="A2704" s="3">
        <f>IFERROR(__xludf.DUMMYFUNCTION("""COMPUTED_VALUE"""),2704.0)</f>
        <v>2704</v>
      </c>
      <c r="B2704" s="3"/>
      <c r="C2704" s="3">
        <f>IFERROR(__xludf.DUMMYFUNCTION("""COMPUTED_VALUE"""),126.0)</f>
        <v>126</v>
      </c>
      <c r="D2704" s="3" t="str">
        <f>IFERROR(__xludf.DUMMYFUNCTION("""COMPUTED_VALUE"""),"b598d19d")</f>
        <v>b598d19d</v>
      </c>
      <c r="E2704" s="54">
        <f>IFERROR(__xludf.DUMMYFUNCTION("""COMPUTED_VALUE"""),31000.0)</f>
        <v>31000</v>
      </c>
      <c r="F2704" s="3" t="str">
        <f>IFERROR(__xludf.DUMMYFUNCTION("""COMPUTED_VALUE"""),"Syrah Anc s/Asp 2")</f>
        <v>Syrah Anc s/Asp 2</v>
      </c>
      <c r="G2704" s="3"/>
      <c r="H2704" s="3"/>
      <c r="I2704" s="3"/>
      <c r="J2704" s="3"/>
      <c r="K2704" s="3"/>
      <c r="L2704" s="3"/>
      <c r="M2704" s="3"/>
      <c r="N2704" s="3"/>
      <c r="O2704" s="3"/>
      <c r="P2704" s="3"/>
      <c r="Q2704" s="3"/>
      <c r="R2704" s="3">
        <f>IFERROR(__xludf.DUMMYFUNCTION("""COMPUTED_VALUE"""),0.0)</f>
        <v>0</v>
      </c>
      <c r="S2704" s="3"/>
      <c r="T2704" s="5"/>
      <c r="U2704" s="5"/>
      <c r="V2704" s="5"/>
      <c r="W2704" s="5"/>
    </row>
    <row r="2705" ht="15.75" customHeight="1">
      <c r="A2705" s="3">
        <f>IFERROR(__xludf.DUMMYFUNCTION("""COMPUTED_VALUE"""),2705.0)</f>
        <v>2705</v>
      </c>
      <c r="B2705" s="3"/>
      <c r="C2705" s="3">
        <f>IFERROR(__xludf.DUMMYFUNCTION("""COMPUTED_VALUE"""),86.0)</f>
        <v>86</v>
      </c>
      <c r="D2705" s="3"/>
      <c r="E2705" s="3"/>
      <c r="F2705" s="3"/>
      <c r="G2705" s="3"/>
      <c r="H2705" s="3"/>
      <c r="I2705" s="3"/>
      <c r="J2705" s="3"/>
      <c r="K2705" s="3"/>
      <c r="L2705" s="3"/>
      <c r="M2705" s="3"/>
      <c r="N2705" s="3"/>
      <c r="O2705" s="3"/>
      <c r="P2705" s="3"/>
      <c r="Q2705" s="3"/>
      <c r="R2705" s="3">
        <f>IFERROR(__xludf.DUMMYFUNCTION("""COMPUTED_VALUE"""),0.0)</f>
        <v>0</v>
      </c>
      <c r="S2705" s="3"/>
      <c r="T2705" s="5"/>
      <c r="U2705" s="5"/>
      <c r="V2705" s="5"/>
      <c r="W2705" s="5"/>
    </row>
    <row r="2706" ht="15.75" customHeight="1">
      <c r="A2706" s="3">
        <f>IFERROR(__xludf.DUMMYFUNCTION("""COMPUTED_VALUE"""),2706.0)</f>
        <v>2706</v>
      </c>
      <c r="B2706" s="3"/>
      <c r="C2706" s="3">
        <f>IFERROR(__xludf.DUMMYFUNCTION("""COMPUTED_VALUE"""),47.0)</f>
        <v>47</v>
      </c>
      <c r="D2706" s="3" t="str">
        <f>IFERROR(__xludf.DUMMYFUNCTION("""COMPUTED_VALUE"""),"12927267")</f>
        <v>12927267</v>
      </c>
      <c r="E2706" s="54">
        <f>IFERROR(__xludf.DUMMYFUNCTION("""COMPUTED_VALUE"""),20000.0)</f>
        <v>20000</v>
      </c>
      <c r="F2706" s="3" t="str">
        <f>IFERROR(__xludf.DUMMYFUNCTION("""COMPUTED_VALUE"""),"Criolla Recarga")</f>
        <v>Criolla Recarga</v>
      </c>
      <c r="G2706" s="3"/>
      <c r="H2706" s="3"/>
      <c r="I2706" s="3"/>
      <c r="J2706" s="3"/>
      <c r="K2706" s="3"/>
      <c r="L2706" s="3"/>
      <c r="M2706" s="3"/>
      <c r="N2706" s="3"/>
      <c r="O2706" s="3"/>
      <c r="P2706" s="3"/>
      <c r="Q2706" s="3"/>
      <c r="R2706" s="3">
        <f>IFERROR(__xludf.DUMMYFUNCTION("""COMPUTED_VALUE"""),0.0)</f>
        <v>0</v>
      </c>
      <c r="S2706" s="3"/>
      <c r="T2706" s="5"/>
      <c r="U2706" s="5"/>
      <c r="V2706" s="5"/>
      <c r="W2706" s="5"/>
    </row>
    <row r="2707" ht="15.75" customHeight="1">
      <c r="A2707" s="3">
        <f>IFERROR(__xludf.DUMMYFUNCTION("""COMPUTED_VALUE"""),2707.0)</f>
        <v>2707</v>
      </c>
      <c r="B2707" s="3"/>
      <c r="C2707" s="3">
        <f>IFERROR(__xludf.DUMMYFUNCTION("""COMPUTED_VALUE"""),55.0)</f>
        <v>55</v>
      </c>
      <c r="D2707" s="3" t="str">
        <f>IFERROR(__xludf.DUMMYFUNCTION("""COMPUTED_VALUE"""),"78c098b8")</f>
        <v>78c098b8</v>
      </c>
      <c r="E2707" s="54">
        <f>IFERROR(__xludf.DUMMYFUNCTION("""COMPUTED_VALUE"""),2400.0)</f>
        <v>2400</v>
      </c>
      <c r="F2707" s="3" t="str">
        <f>IFERROR(__xludf.DUMMYFUNCTION("""COMPUTED_VALUE"""),"Chardonnay Garbin")</f>
        <v>Chardonnay Garbin</v>
      </c>
      <c r="G2707" s="3"/>
      <c r="H2707" s="3"/>
      <c r="I2707" s="3"/>
      <c r="J2707" s="3"/>
      <c r="K2707" s="3"/>
      <c r="L2707" s="3"/>
      <c r="M2707" s="3"/>
      <c r="N2707" s="3"/>
      <c r="O2707" s="3"/>
      <c r="P2707" s="3"/>
      <c r="Q2707" s="3"/>
      <c r="R2707" s="3">
        <f>IFERROR(__xludf.DUMMYFUNCTION("""COMPUTED_VALUE"""),0.0)</f>
        <v>0</v>
      </c>
      <c r="S2707" s="3"/>
      <c r="T2707" s="5"/>
      <c r="U2707" s="5"/>
      <c r="V2707" s="5"/>
      <c r="W2707" s="5"/>
    </row>
    <row r="2708" ht="15.75" customHeight="1">
      <c r="A2708" s="3">
        <f>IFERROR(__xludf.DUMMYFUNCTION("""COMPUTED_VALUE"""),2708.0)</f>
        <v>2708</v>
      </c>
      <c r="B2708" s="3"/>
      <c r="C2708" s="3">
        <f>IFERROR(__xludf.DUMMYFUNCTION("""COMPUTED_VALUE"""),74.0)</f>
        <v>74</v>
      </c>
      <c r="D2708" s="3" t="str">
        <f>IFERROR(__xludf.DUMMYFUNCTION("""COMPUTED_VALUE"""),"5ea05cac")</f>
        <v>5ea05cac</v>
      </c>
      <c r="E2708" s="54">
        <f>IFERROR(__xludf.DUMMYFUNCTION("""COMPUTED_VALUE"""),13000.0)</f>
        <v>13000</v>
      </c>
      <c r="F2708" s="3" t="str">
        <f>IFERROR(__xludf.DUMMYFUNCTION("""COMPUTED_VALUE"""),"Borra")</f>
        <v>Borra</v>
      </c>
      <c r="G2708" s="3"/>
      <c r="H2708" s="3"/>
      <c r="I2708" s="3"/>
      <c r="J2708" s="3"/>
      <c r="K2708" s="3"/>
      <c r="L2708" s="3"/>
      <c r="M2708" s="3"/>
      <c r="N2708" s="3"/>
      <c r="O2708" s="3"/>
      <c r="P2708" s="3"/>
      <c r="Q2708" s="3"/>
      <c r="R2708" s="3">
        <f>IFERROR(__xludf.DUMMYFUNCTION("""COMPUTED_VALUE"""),0.0)</f>
        <v>0</v>
      </c>
      <c r="S2708" s="3"/>
      <c r="T2708" s="5"/>
      <c r="U2708" s="5"/>
      <c r="V2708" s="5"/>
      <c r="W2708" s="5"/>
    </row>
    <row r="2709" ht="15.75" customHeight="1">
      <c r="A2709" s="3">
        <f>IFERROR(__xludf.DUMMYFUNCTION("""COMPUTED_VALUE"""),2709.0)</f>
        <v>2709</v>
      </c>
      <c r="B2709" s="3"/>
      <c r="C2709" s="3">
        <f>IFERROR(__xludf.DUMMYFUNCTION("""COMPUTED_VALUE"""),88.0)</f>
        <v>88</v>
      </c>
      <c r="D2709" s="3" t="str">
        <f>IFERROR(__xludf.DUMMYFUNCTION("""COMPUTED_VALUE"""),"028d4ed0")</f>
        <v>028d4ed0</v>
      </c>
      <c r="E2709" s="54">
        <f>IFERROR(__xludf.DUMMYFUNCTION("""COMPUTED_VALUE"""),78900.0)</f>
        <v>78900</v>
      </c>
      <c r="F2709" s="3" t="str">
        <f>IFERROR(__xludf.DUMMYFUNCTION("""COMPUTED_VALUE"""),"Syrah Temp")</f>
        <v>Syrah Temp</v>
      </c>
      <c r="G2709" s="3"/>
      <c r="H2709" s="3"/>
      <c r="I2709" s="3"/>
      <c r="J2709" s="3"/>
      <c r="K2709" s="3"/>
      <c r="L2709" s="3"/>
      <c r="M2709" s="3"/>
      <c r="N2709" s="3"/>
      <c r="O2709" s="3"/>
      <c r="P2709" s="3"/>
      <c r="Q2709" s="3"/>
      <c r="R2709" s="3">
        <f>IFERROR(__xludf.DUMMYFUNCTION("""COMPUTED_VALUE"""),0.0)</f>
        <v>0</v>
      </c>
      <c r="S2709" s="3"/>
      <c r="T2709" s="5"/>
      <c r="U2709" s="5"/>
      <c r="V2709" s="5"/>
      <c r="W2709" s="5"/>
    </row>
    <row r="2710" ht="15.75" customHeight="1">
      <c r="A2710" s="3">
        <f>IFERROR(__xludf.DUMMYFUNCTION("""COMPUTED_VALUE"""),2710.0)</f>
        <v>2710</v>
      </c>
      <c r="B2710" s="3"/>
      <c r="C2710" s="3">
        <f>IFERROR(__xludf.DUMMYFUNCTION("""COMPUTED_VALUE"""),106.0)</f>
        <v>106</v>
      </c>
      <c r="D2710" s="3" t="str">
        <f>IFERROR(__xludf.DUMMYFUNCTION("""COMPUTED_VALUE"""),"33054c4c")</f>
        <v>33054c4c</v>
      </c>
      <c r="E2710" s="54">
        <f>IFERROR(__xludf.DUMMYFUNCTION("""COMPUTED_VALUE"""),11000.0)</f>
        <v>11000</v>
      </c>
      <c r="F2710" s="3" t="str">
        <f>IFERROR(__xludf.DUMMYFUNCTION("""COMPUTED_VALUE"""),"Malbec Mer s/Asp 3")</f>
        <v>Malbec Mer s/Asp 3</v>
      </c>
      <c r="G2710" s="3"/>
      <c r="H2710" s="3"/>
      <c r="I2710" s="3"/>
      <c r="J2710" s="3"/>
      <c r="K2710" s="3"/>
      <c r="L2710" s="3"/>
      <c r="M2710" s="3"/>
      <c r="N2710" s="3"/>
      <c r="O2710" s="3"/>
      <c r="P2710" s="3"/>
      <c r="Q2710" s="3"/>
      <c r="R2710" s="3">
        <f>IFERROR(__xludf.DUMMYFUNCTION("""COMPUTED_VALUE"""),0.0)</f>
        <v>0</v>
      </c>
      <c r="S2710" s="3"/>
      <c r="T2710" s="5"/>
      <c r="U2710" s="5"/>
      <c r="V2710" s="5"/>
      <c r="W2710" s="5"/>
    </row>
    <row r="2711" ht="15.75" customHeight="1">
      <c r="A2711" s="3" t="str">
        <f>IFERROR(__xludf.DUMMYFUNCTION("""COMPUTED_VALUE"""),"")</f>
        <v/>
      </c>
      <c r="B2711" s="3"/>
      <c r="C2711" s="3"/>
      <c r="D2711" s="3"/>
      <c r="E2711" s="3"/>
      <c r="F2711" s="3"/>
      <c r="G2711" s="3"/>
      <c r="H2711" s="3"/>
      <c r="I2711" s="3"/>
      <c r="J2711" s="3"/>
      <c r="K2711" s="3"/>
      <c r="L2711" s="3"/>
      <c r="M2711" s="3"/>
      <c r="N2711" s="3"/>
      <c r="O2711" s="3"/>
      <c r="P2711" s="3"/>
      <c r="Q2711" s="3"/>
      <c r="R2711" s="3"/>
      <c r="S2711" s="3"/>
      <c r="T2711" s="5"/>
      <c r="U2711" s="5"/>
      <c r="V2711" s="5"/>
      <c r="W2711" s="5"/>
    </row>
    <row r="2712" ht="15.75" customHeight="1">
      <c r="A2712" s="3" t="str">
        <f>IFERROR(__xludf.DUMMYFUNCTION("""COMPUTED_VALUE"""),"")</f>
        <v/>
      </c>
      <c r="B2712" s="3"/>
      <c r="C2712" s="3"/>
      <c r="D2712" s="3"/>
      <c r="E2712" s="3"/>
      <c r="F2712" s="3"/>
      <c r="G2712" s="3"/>
      <c r="H2712" s="3"/>
      <c r="I2712" s="3"/>
      <c r="J2712" s="3"/>
      <c r="K2712" s="3"/>
      <c r="L2712" s="3"/>
      <c r="M2712" s="3"/>
      <c r="N2712" s="3"/>
      <c r="O2712" s="3"/>
      <c r="P2712" s="3"/>
      <c r="Q2712" s="3"/>
      <c r="R2712" s="3"/>
      <c r="S2712" s="3"/>
      <c r="T2712" s="5"/>
      <c r="U2712" s="5"/>
      <c r="V2712" s="5"/>
      <c r="W2712" s="5"/>
    </row>
    <row r="2713" ht="15.75" customHeight="1">
      <c r="A2713" s="3" t="str">
        <f>IFERROR(__xludf.DUMMYFUNCTION("""COMPUTED_VALUE"""),"")</f>
        <v/>
      </c>
      <c r="B2713" s="3"/>
      <c r="C2713" s="3"/>
      <c r="D2713" s="3"/>
      <c r="E2713" s="3"/>
      <c r="F2713" s="3"/>
      <c r="G2713" s="3"/>
      <c r="H2713" s="3"/>
      <c r="I2713" s="3"/>
      <c r="J2713" s="3"/>
      <c r="K2713" s="3"/>
      <c r="L2713" s="3"/>
      <c r="M2713" s="3"/>
      <c r="N2713" s="3"/>
      <c r="O2713" s="3"/>
      <c r="P2713" s="3"/>
      <c r="Q2713" s="3"/>
      <c r="R2713" s="3"/>
      <c r="S2713" s="3"/>
      <c r="T2713" s="5"/>
      <c r="U2713" s="5"/>
      <c r="V2713" s="5"/>
      <c r="W2713" s="5"/>
    </row>
    <row r="2714" ht="15.75" customHeight="1">
      <c r="A2714" s="3" t="str">
        <f>IFERROR(__xludf.DUMMYFUNCTION("""COMPUTED_VALUE"""),"")</f>
        <v/>
      </c>
      <c r="B2714" s="3"/>
      <c r="C2714" s="3"/>
      <c r="D2714" s="3"/>
      <c r="E2714" s="3"/>
      <c r="F2714" s="3"/>
      <c r="G2714" s="3"/>
      <c r="H2714" s="3"/>
      <c r="I2714" s="3"/>
      <c r="J2714" s="3"/>
      <c r="K2714" s="3"/>
      <c r="L2714" s="3"/>
      <c r="M2714" s="3"/>
      <c r="N2714" s="3"/>
      <c r="O2714" s="3"/>
      <c r="P2714" s="3"/>
      <c r="Q2714" s="3"/>
      <c r="R2714" s="3"/>
      <c r="S2714" s="3"/>
      <c r="T2714" s="5"/>
      <c r="U2714" s="5"/>
      <c r="V2714" s="5"/>
      <c r="W2714" s="5"/>
    </row>
    <row r="2715" ht="15.75" customHeight="1">
      <c r="A2715" s="3" t="str">
        <f>IFERROR(__xludf.DUMMYFUNCTION("""COMPUTED_VALUE"""),"")</f>
        <v/>
      </c>
      <c r="B2715" s="3"/>
      <c r="C2715" s="3"/>
      <c r="D2715" s="3"/>
      <c r="E2715" s="3"/>
      <c r="F2715" s="3"/>
      <c r="G2715" s="3"/>
      <c r="H2715" s="3"/>
      <c r="I2715" s="3"/>
      <c r="J2715" s="3"/>
      <c r="K2715" s="3"/>
      <c r="L2715" s="3"/>
      <c r="M2715" s="3"/>
      <c r="N2715" s="3"/>
      <c r="O2715" s="3"/>
      <c r="P2715" s="3"/>
      <c r="Q2715" s="3"/>
      <c r="R2715" s="3"/>
      <c r="S2715" s="3"/>
      <c r="T2715" s="5"/>
      <c r="U2715" s="5"/>
      <c r="V2715" s="5"/>
      <c r="W2715" s="5"/>
    </row>
    <row r="2716" ht="15.75" customHeight="1">
      <c r="A2716" s="3" t="str">
        <f>IFERROR(__xludf.DUMMYFUNCTION("""COMPUTED_VALUE"""),"")</f>
        <v/>
      </c>
      <c r="B2716" s="3"/>
      <c r="C2716" s="3"/>
      <c r="D2716" s="3"/>
      <c r="E2716" s="3"/>
      <c r="F2716" s="3"/>
      <c r="G2716" s="3"/>
      <c r="H2716" s="3"/>
      <c r="I2716" s="3"/>
      <c r="J2716" s="3"/>
      <c r="K2716" s="3"/>
      <c r="L2716" s="3"/>
      <c r="M2716" s="3"/>
      <c r="N2716" s="3"/>
      <c r="O2716" s="3"/>
      <c r="P2716" s="3"/>
      <c r="Q2716" s="3"/>
      <c r="R2716" s="3"/>
      <c r="S2716" s="3"/>
      <c r="T2716" s="5"/>
      <c r="U2716" s="5"/>
      <c r="V2716" s="5"/>
      <c r="W2716" s="5"/>
    </row>
    <row r="2717" ht="15.75" customHeight="1">
      <c r="A2717" s="3" t="str">
        <f>IFERROR(__xludf.DUMMYFUNCTION("""COMPUTED_VALUE"""),"")</f>
        <v/>
      </c>
      <c r="B2717" s="3"/>
      <c r="C2717" s="3"/>
      <c r="D2717" s="3"/>
      <c r="E2717" s="3"/>
      <c r="F2717" s="3"/>
      <c r="G2717" s="3"/>
      <c r="H2717" s="3"/>
      <c r="I2717" s="3"/>
      <c r="J2717" s="3"/>
      <c r="K2717" s="3"/>
      <c r="L2717" s="3"/>
      <c r="M2717" s="3"/>
      <c r="N2717" s="3"/>
      <c r="O2717" s="3"/>
      <c r="P2717" s="3"/>
      <c r="Q2717" s="3"/>
      <c r="R2717" s="3"/>
      <c r="S2717" s="3"/>
      <c r="T2717" s="5"/>
      <c r="U2717" s="5"/>
      <c r="V2717" s="5"/>
      <c r="W2717" s="5"/>
    </row>
    <row r="2718" ht="15.75" customHeight="1">
      <c r="A2718" s="3" t="str">
        <f>IFERROR(__xludf.DUMMYFUNCTION("""COMPUTED_VALUE"""),"")</f>
        <v/>
      </c>
      <c r="B2718" s="3"/>
      <c r="C2718" s="3"/>
      <c r="D2718" s="3"/>
      <c r="E2718" s="3"/>
      <c r="F2718" s="3"/>
      <c r="G2718" s="3"/>
      <c r="H2718" s="3"/>
      <c r="I2718" s="3"/>
      <c r="J2718" s="3"/>
      <c r="K2718" s="3"/>
      <c r="L2718" s="3"/>
      <c r="M2718" s="3"/>
      <c r="N2718" s="3"/>
      <c r="O2718" s="3"/>
      <c r="P2718" s="3"/>
      <c r="Q2718" s="3"/>
      <c r="R2718" s="3"/>
      <c r="S2718" s="3"/>
      <c r="T2718" s="5"/>
      <c r="U2718" s="5"/>
      <c r="V2718" s="5"/>
      <c r="W2718" s="5"/>
    </row>
    <row r="2719" ht="15.75" customHeight="1">
      <c r="A2719" s="3" t="str">
        <f>IFERROR(__xludf.DUMMYFUNCTION("""COMPUTED_VALUE"""),"")</f>
        <v/>
      </c>
      <c r="B2719" s="3"/>
      <c r="C2719" s="3"/>
      <c r="D2719" s="3"/>
      <c r="E2719" s="3"/>
      <c r="F2719" s="3"/>
      <c r="G2719" s="3"/>
      <c r="H2719" s="3"/>
      <c r="I2719" s="3"/>
      <c r="J2719" s="3"/>
      <c r="K2719" s="3"/>
      <c r="L2719" s="3"/>
      <c r="M2719" s="3"/>
      <c r="N2719" s="3"/>
      <c r="O2719" s="3"/>
      <c r="P2719" s="3"/>
      <c r="Q2719" s="3"/>
      <c r="R2719" s="3"/>
      <c r="S2719" s="3"/>
      <c r="T2719" s="5"/>
      <c r="U2719" s="5"/>
      <c r="V2719" s="5"/>
      <c r="W2719" s="5"/>
    </row>
    <row r="2720" ht="15.75" customHeight="1">
      <c r="A2720" s="3" t="str">
        <f>IFERROR(__xludf.DUMMYFUNCTION("""COMPUTED_VALUE"""),"")</f>
        <v/>
      </c>
      <c r="B2720" s="3"/>
      <c r="C2720" s="3"/>
      <c r="D2720" s="3"/>
      <c r="E2720" s="3"/>
      <c r="F2720" s="3"/>
      <c r="G2720" s="3"/>
      <c r="H2720" s="3"/>
      <c r="I2720" s="3"/>
      <c r="J2720" s="3"/>
      <c r="K2720" s="3"/>
      <c r="L2720" s="3"/>
      <c r="M2720" s="3"/>
      <c r="N2720" s="3"/>
      <c r="O2720" s="3"/>
      <c r="P2720" s="3"/>
      <c r="Q2720" s="3"/>
      <c r="R2720" s="3"/>
      <c r="S2720" s="3"/>
      <c r="T2720" s="5"/>
      <c r="U2720" s="5"/>
      <c r="V2720" s="5"/>
      <c r="W2720" s="5"/>
    </row>
    <row r="2721" ht="15.75" customHeight="1">
      <c r="A2721" s="3" t="str">
        <f>IFERROR(__xludf.DUMMYFUNCTION("""COMPUTED_VALUE"""),"")</f>
        <v/>
      </c>
      <c r="B2721" s="3"/>
      <c r="C2721" s="3"/>
      <c r="D2721" s="3"/>
      <c r="E2721" s="3"/>
      <c r="F2721" s="3"/>
      <c r="G2721" s="3"/>
      <c r="H2721" s="3"/>
      <c r="I2721" s="3"/>
      <c r="J2721" s="3"/>
      <c r="K2721" s="3"/>
      <c r="L2721" s="3"/>
      <c r="M2721" s="3"/>
      <c r="N2721" s="3"/>
      <c r="O2721" s="3"/>
      <c r="P2721" s="3"/>
      <c r="Q2721" s="3"/>
      <c r="R2721" s="3"/>
      <c r="S2721" s="3"/>
      <c r="T2721" s="5"/>
      <c r="U2721" s="5"/>
      <c r="V2721" s="5"/>
      <c r="W2721" s="5"/>
    </row>
    <row r="2722" ht="15.75" customHeight="1">
      <c r="A2722" s="3" t="str">
        <f>IFERROR(__xludf.DUMMYFUNCTION("""COMPUTED_VALUE"""),"")</f>
        <v/>
      </c>
      <c r="B2722" s="3"/>
      <c r="C2722" s="3"/>
      <c r="D2722" s="3"/>
      <c r="E2722" s="3"/>
      <c r="F2722" s="3"/>
      <c r="G2722" s="3"/>
      <c r="H2722" s="3"/>
      <c r="I2722" s="3"/>
      <c r="J2722" s="3"/>
      <c r="K2722" s="3"/>
      <c r="L2722" s="3"/>
      <c r="M2722" s="3"/>
      <c r="N2722" s="3"/>
      <c r="O2722" s="3"/>
      <c r="P2722" s="3"/>
      <c r="Q2722" s="3"/>
      <c r="R2722" s="3"/>
      <c r="S2722" s="3"/>
      <c r="T2722" s="5"/>
      <c r="U2722" s="5"/>
      <c r="V2722" s="5"/>
      <c r="W2722" s="5"/>
    </row>
    <row r="2723" ht="15.75" customHeight="1">
      <c r="A2723" s="3" t="str">
        <f>IFERROR(__xludf.DUMMYFUNCTION("""COMPUTED_VALUE"""),"")</f>
        <v/>
      </c>
      <c r="B2723" s="3"/>
      <c r="C2723" s="3"/>
      <c r="D2723" s="3"/>
      <c r="E2723" s="3"/>
      <c r="F2723" s="3"/>
      <c r="G2723" s="3"/>
      <c r="H2723" s="3"/>
      <c r="I2723" s="3"/>
      <c r="J2723" s="3"/>
      <c r="K2723" s="3"/>
      <c r="L2723" s="3"/>
      <c r="M2723" s="3"/>
      <c r="N2723" s="3"/>
      <c r="O2723" s="3"/>
      <c r="P2723" s="3"/>
      <c r="Q2723" s="3"/>
      <c r="R2723" s="3"/>
      <c r="S2723" s="3"/>
      <c r="T2723" s="5"/>
      <c r="U2723" s="5"/>
      <c r="V2723" s="5"/>
      <c r="W2723" s="5"/>
    </row>
    <row r="2724" ht="15.75" customHeight="1">
      <c r="A2724" s="3" t="str">
        <f>IFERROR(__xludf.DUMMYFUNCTION("""COMPUTED_VALUE"""),"")</f>
        <v/>
      </c>
      <c r="B2724" s="3"/>
      <c r="C2724" s="3"/>
      <c r="D2724" s="3"/>
      <c r="E2724" s="3"/>
      <c r="F2724" s="3"/>
      <c r="G2724" s="3"/>
      <c r="H2724" s="3"/>
      <c r="I2724" s="3"/>
      <c r="J2724" s="3"/>
      <c r="K2724" s="3"/>
      <c r="L2724" s="3"/>
      <c r="M2724" s="3"/>
      <c r="N2724" s="3"/>
      <c r="O2724" s="3"/>
      <c r="P2724" s="3"/>
      <c r="Q2724" s="3"/>
      <c r="R2724" s="3"/>
      <c r="S2724" s="3"/>
      <c r="T2724" s="5"/>
      <c r="U2724" s="5"/>
      <c r="V2724" s="5"/>
      <c r="W2724" s="5"/>
    </row>
    <row r="2725" ht="15.75" customHeight="1">
      <c r="A2725" s="3" t="str">
        <f>IFERROR(__xludf.DUMMYFUNCTION("""COMPUTED_VALUE"""),"")</f>
        <v/>
      </c>
      <c r="B2725" s="3"/>
      <c r="C2725" s="3"/>
      <c r="D2725" s="3"/>
      <c r="E2725" s="3"/>
      <c r="F2725" s="3"/>
      <c r="G2725" s="3"/>
      <c r="H2725" s="3"/>
      <c r="I2725" s="3"/>
      <c r="J2725" s="3"/>
      <c r="K2725" s="3"/>
      <c r="L2725" s="3"/>
      <c r="M2725" s="3"/>
      <c r="N2725" s="3"/>
      <c r="O2725" s="3"/>
      <c r="P2725" s="3"/>
      <c r="Q2725" s="3"/>
      <c r="R2725" s="3"/>
      <c r="S2725" s="3"/>
      <c r="T2725" s="5"/>
      <c r="U2725" s="5"/>
      <c r="V2725" s="5"/>
      <c r="W2725" s="5"/>
    </row>
    <row r="2726" ht="15.75" customHeight="1">
      <c r="A2726" s="3" t="str">
        <f>IFERROR(__xludf.DUMMYFUNCTION("""COMPUTED_VALUE"""),"")</f>
        <v/>
      </c>
      <c r="B2726" s="3"/>
      <c r="C2726" s="3"/>
      <c r="D2726" s="3"/>
      <c r="E2726" s="3"/>
      <c r="F2726" s="3"/>
      <c r="G2726" s="3"/>
      <c r="H2726" s="3"/>
      <c r="I2726" s="3"/>
      <c r="J2726" s="3"/>
      <c r="K2726" s="3"/>
      <c r="L2726" s="3"/>
      <c r="M2726" s="3"/>
      <c r="N2726" s="3"/>
      <c r="O2726" s="3"/>
      <c r="P2726" s="3"/>
      <c r="Q2726" s="3"/>
      <c r="R2726" s="3"/>
      <c r="S2726" s="3"/>
      <c r="T2726" s="5"/>
      <c r="U2726" s="5"/>
      <c r="V2726" s="5"/>
      <c r="W2726" s="5"/>
    </row>
    <row r="2727" ht="15.75" customHeight="1">
      <c r="A2727" s="3" t="str">
        <f>IFERROR(__xludf.DUMMYFUNCTION("""COMPUTED_VALUE"""),"")</f>
        <v/>
      </c>
      <c r="B2727" s="3"/>
      <c r="C2727" s="3"/>
      <c r="D2727" s="3"/>
      <c r="E2727" s="3"/>
      <c r="F2727" s="3"/>
      <c r="G2727" s="3"/>
      <c r="H2727" s="3"/>
      <c r="I2727" s="3"/>
      <c r="J2727" s="3"/>
      <c r="K2727" s="3"/>
      <c r="L2727" s="3"/>
      <c r="M2727" s="3"/>
      <c r="N2727" s="3"/>
      <c r="O2727" s="3"/>
      <c r="P2727" s="3"/>
      <c r="Q2727" s="3"/>
      <c r="R2727" s="3"/>
      <c r="S2727" s="3"/>
      <c r="T2727" s="5"/>
      <c r="U2727" s="5"/>
      <c r="V2727" s="5"/>
      <c r="W2727" s="5"/>
    </row>
    <row r="2728" ht="15.75" customHeight="1">
      <c r="A2728" s="3" t="str">
        <f>IFERROR(__xludf.DUMMYFUNCTION("""COMPUTED_VALUE"""),"")</f>
        <v/>
      </c>
      <c r="B2728" s="3"/>
      <c r="C2728" s="3"/>
      <c r="D2728" s="3"/>
      <c r="E2728" s="3"/>
      <c r="F2728" s="3"/>
      <c r="G2728" s="3"/>
      <c r="H2728" s="3"/>
      <c r="I2728" s="3"/>
      <c r="J2728" s="3"/>
      <c r="K2728" s="3"/>
      <c r="L2728" s="3"/>
      <c r="M2728" s="3"/>
      <c r="N2728" s="3"/>
      <c r="O2728" s="3"/>
      <c r="P2728" s="3"/>
      <c r="Q2728" s="3"/>
      <c r="R2728" s="3"/>
      <c r="S2728" s="3"/>
      <c r="T2728" s="5"/>
      <c r="U2728" s="5"/>
      <c r="V2728" s="5"/>
      <c r="W2728" s="5"/>
    </row>
    <row r="2729" ht="15.75" customHeight="1">
      <c r="A2729" s="3" t="str">
        <f>IFERROR(__xludf.DUMMYFUNCTION("""COMPUTED_VALUE"""),"")</f>
        <v/>
      </c>
      <c r="B2729" s="3"/>
      <c r="C2729" s="3"/>
      <c r="D2729" s="3"/>
      <c r="E2729" s="3"/>
      <c r="F2729" s="3"/>
      <c r="G2729" s="3"/>
      <c r="H2729" s="3"/>
      <c r="I2729" s="3"/>
      <c r="J2729" s="3"/>
      <c r="K2729" s="3"/>
      <c r="L2729" s="3"/>
      <c r="M2729" s="3"/>
      <c r="N2729" s="3"/>
      <c r="O2729" s="3"/>
      <c r="P2729" s="3"/>
      <c r="Q2729" s="3"/>
      <c r="R2729" s="3"/>
      <c r="S2729" s="3"/>
      <c r="T2729" s="5"/>
      <c r="U2729" s="5"/>
      <c r="V2729" s="5"/>
      <c r="W2729" s="5"/>
    </row>
    <row r="2730" ht="15.75" customHeight="1">
      <c r="A2730" s="3" t="str">
        <f>IFERROR(__xludf.DUMMYFUNCTION("""COMPUTED_VALUE"""),"")</f>
        <v/>
      </c>
      <c r="B2730" s="3"/>
      <c r="C2730" s="3"/>
      <c r="D2730" s="3"/>
      <c r="E2730" s="3"/>
      <c r="F2730" s="3"/>
      <c r="G2730" s="3"/>
      <c r="H2730" s="3"/>
      <c r="I2730" s="3"/>
      <c r="J2730" s="3"/>
      <c r="K2730" s="3"/>
      <c r="L2730" s="3"/>
      <c r="M2730" s="3"/>
      <c r="N2730" s="3"/>
      <c r="O2730" s="3"/>
      <c r="P2730" s="3"/>
      <c r="Q2730" s="3"/>
      <c r="R2730" s="3"/>
      <c r="S2730" s="3"/>
      <c r="T2730" s="5"/>
      <c r="U2730" s="5"/>
      <c r="V2730" s="5"/>
      <c r="W2730" s="5"/>
    </row>
    <row r="2731" ht="15.75" customHeight="1">
      <c r="A2731" s="3" t="str">
        <f>IFERROR(__xludf.DUMMYFUNCTION("""COMPUTED_VALUE"""),"")</f>
        <v/>
      </c>
      <c r="B2731" s="3"/>
      <c r="C2731" s="3"/>
      <c r="D2731" s="3"/>
      <c r="E2731" s="3"/>
      <c r="F2731" s="3"/>
      <c r="G2731" s="3"/>
      <c r="H2731" s="3"/>
      <c r="I2731" s="3"/>
      <c r="J2731" s="3"/>
      <c r="K2731" s="3"/>
      <c r="L2731" s="3"/>
      <c r="M2731" s="3"/>
      <c r="N2731" s="3"/>
      <c r="O2731" s="3"/>
      <c r="P2731" s="3"/>
      <c r="Q2731" s="3"/>
      <c r="R2731" s="3"/>
      <c r="S2731" s="3"/>
      <c r="T2731" s="5"/>
      <c r="U2731" s="5"/>
      <c r="V2731" s="5"/>
      <c r="W2731" s="5"/>
    </row>
    <row r="2732" ht="15.75" customHeight="1">
      <c r="A2732" s="3" t="str">
        <f>IFERROR(__xludf.DUMMYFUNCTION("""COMPUTED_VALUE"""),"")</f>
        <v/>
      </c>
      <c r="B2732" s="3"/>
      <c r="C2732" s="3"/>
      <c r="D2732" s="3"/>
      <c r="E2732" s="3"/>
      <c r="F2732" s="3"/>
      <c r="G2732" s="3"/>
      <c r="H2732" s="3"/>
      <c r="I2732" s="3"/>
      <c r="J2732" s="3"/>
      <c r="K2732" s="3"/>
      <c r="L2732" s="3"/>
      <c r="M2732" s="3"/>
      <c r="N2732" s="3"/>
      <c r="O2732" s="3"/>
      <c r="P2732" s="3"/>
      <c r="Q2732" s="3"/>
      <c r="R2732" s="3"/>
      <c r="S2732" s="3"/>
      <c r="T2732" s="5"/>
      <c r="U2732" s="5"/>
      <c r="V2732" s="5"/>
      <c r="W2732" s="5"/>
    </row>
    <row r="2733" ht="15.75" customHeight="1">
      <c r="A2733" s="3" t="str">
        <f>IFERROR(__xludf.DUMMYFUNCTION("""COMPUTED_VALUE"""),"")</f>
        <v/>
      </c>
      <c r="B2733" s="3"/>
      <c r="C2733" s="3"/>
      <c r="D2733" s="3"/>
      <c r="E2733" s="3"/>
      <c r="F2733" s="3"/>
      <c r="G2733" s="3"/>
      <c r="H2733" s="3"/>
      <c r="I2733" s="3"/>
      <c r="J2733" s="3"/>
      <c r="K2733" s="3"/>
      <c r="L2733" s="3"/>
      <c r="M2733" s="3"/>
      <c r="N2733" s="3"/>
      <c r="O2733" s="3"/>
      <c r="P2733" s="3"/>
      <c r="Q2733" s="3"/>
      <c r="R2733" s="3"/>
      <c r="S2733" s="3"/>
      <c r="T2733" s="5"/>
      <c r="U2733" s="5"/>
      <c r="V2733" s="5"/>
      <c r="W2733" s="5"/>
    </row>
    <row r="2734" ht="15.75" customHeight="1">
      <c r="A2734" s="3" t="str">
        <f>IFERROR(__xludf.DUMMYFUNCTION("""COMPUTED_VALUE"""),"")</f>
        <v/>
      </c>
      <c r="B2734" s="3"/>
      <c r="C2734" s="3"/>
      <c r="D2734" s="3"/>
      <c r="E2734" s="3"/>
      <c r="F2734" s="3"/>
      <c r="G2734" s="3"/>
      <c r="H2734" s="3"/>
      <c r="I2734" s="3"/>
      <c r="J2734" s="3"/>
      <c r="K2734" s="3"/>
      <c r="L2734" s="3"/>
      <c r="M2734" s="3"/>
      <c r="N2734" s="3"/>
      <c r="O2734" s="3"/>
      <c r="P2734" s="3"/>
      <c r="Q2734" s="3"/>
      <c r="R2734" s="3"/>
      <c r="S2734" s="3"/>
      <c r="T2734" s="5"/>
      <c r="U2734" s="5"/>
      <c r="V2734" s="5"/>
      <c r="W2734" s="5"/>
    </row>
    <row r="2735" ht="15.75" customHeight="1">
      <c r="A2735" s="3" t="str">
        <f>IFERROR(__xludf.DUMMYFUNCTION("""COMPUTED_VALUE"""),"")</f>
        <v/>
      </c>
      <c r="B2735" s="3"/>
      <c r="C2735" s="3"/>
      <c r="D2735" s="3"/>
      <c r="E2735" s="3"/>
      <c r="F2735" s="3"/>
      <c r="G2735" s="3"/>
      <c r="H2735" s="3"/>
      <c r="I2735" s="3"/>
      <c r="J2735" s="3"/>
      <c r="K2735" s="3"/>
      <c r="L2735" s="3"/>
      <c r="M2735" s="3"/>
      <c r="N2735" s="3"/>
      <c r="O2735" s="3"/>
      <c r="P2735" s="3"/>
      <c r="Q2735" s="3"/>
      <c r="R2735" s="3"/>
      <c r="S2735" s="3"/>
      <c r="T2735" s="5"/>
      <c r="U2735" s="5"/>
      <c r="V2735" s="5"/>
      <c r="W2735" s="5"/>
    </row>
    <row r="2736" ht="15.75" customHeight="1">
      <c r="A2736" s="3" t="str">
        <f>IFERROR(__xludf.DUMMYFUNCTION("""COMPUTED_VALUE"""),"")</f>
        <v/>
      </c>
      <c r="B2736" s="3"/>
      <c r="C2736" s="3"/>
      <c r="D2736" s="3"/>
      <c r="E2736" s="3"/>
      <c r="F2736" s="3"/>
      <c r="G2736" s="3"/>
      <c r="H2736" s="3"/>
      <c r="I2736" s="3"/>
      <c r="J2736" s="3"/>
      <c r="K2736" s="3"/>
      <c r="L2736" s="3"/>
      <c r="M2736" s="3"/>
      <c r="N2736" s="3"/>
      <c r="O2736" s="3"/>
      <c r="P2736" s="3"/>
      <c r="Q2736" s="3"/>
      <c r="R2736" s="3"/>
      <c r="S2736" s="3"/>
      <c r="T2736" s="5"/>
      <c r="U2736" s="5"/>
      <c r="V2736" s="5"/>
      <c r="W2736" s="5"/>
    </row>
    <row r="2737" ht="15.75" customHeight="1">
      <c r="A2737" s="3" t="str">
        <f>IFERROR(__xludf.DUMMYFUNCTION("""COMPUTED_VALUE"""),"")</f>
        <v/>
      </c>
      <c r="B2737" s="3"/>
      <c r="C2737" s="3"/>
      <c r="D2737" s="3"/>
      <c r="E2737" s="3"/>
      <c r="F2737" s="3"/>
      <c r="G2737" s="3"/>
      <c r="H2737" s="3"/>
      <c r="I2737" s="3"/>
      <c r="J2737" s="3"/>
      <c r="K2737" s="3"/>
      <c r="L2737" s="3"/>
      <c r="M2737" s="3"/>
      <c r="N2737" s="3"/>
      <c r="O2737" s="3"/>
      <c r="P2737" s="3"/>
      <c r="Q2737" s="3"/>
      <c r="R2737" s="3"/>
      <c r="S2737" s="3"/>
      <c r="T2737" s="5"/>
      <c r="U2737" s="5"/>
      <c r="V2737" s="5"/>
      <c r="W2737" s="5"/>
    </row>
    <row r="2738" ht="15.75" customHeight="1">
      <c r="A2738" s="3" t="str">
        <f>IFERROR(__xludf.DUMMYFUNCTION("""COMPUTED_VALUE"""),"")</f>
        <v/>
      </c>
      <c r="B2738" s="3"/>
      <c r="C2738" s="3"/>
      <c r="D2738" s="3"/>
      <c r="E2738" s="3"/>
      <c r="F2738" s="3"/>
      <c r="G2738" s="3"/>
      <c r="H2738" s="3"/>
      <c r="I2738" s="3"/>
      <c r="J2738" s="3"/>
      <c r="K2738" s="3"/>
      <c r="L2738" s="3"/>
      <c r="M2738" s="3"/>
      <c r="N2738" s="3"/>
      <c r="O2738" s="3"/>
      <c r="P2738" s="3"/>
      <c r="Q2738" s="3"/>
      <c r="R2738" s="3"/>
      <c r="S2738" s="3"/>
      <c r="T2738" s="5"/>
      <c r="U2738" s="5"/>
      <c r="V2738" s="5"/>
      <c r="W2738" s="5"/>
    </row>
    <row r="2739" ht="15.75" customHeight="1">
      <c r="A2739" s="3" t="str">
        <f>IFERROR(__xludf.DUMMYFUNCTION("""COMPUTED_VALUE"""),"")</f>
        <v/>
      </c>
      <c r="B2739" s="3"/>
      <c r="C2739" s="3"/>
      <c r="D2739" s="3"/>
      <c r="E2739" s="3"/>
      <c r="F2739" s="3"/>
      <c r="G2739" s="3"/>
      <c r="H2739" s="3"/>
      <c r="I2739" s="3"/>
      <c r="J2739" s="3"/>
      <c r="K2739" s="3"/>
      <c r="L2739" s="3"/>
      <c r="M2739" s="3"/>
      <c r="N2739" s="3"/>
      <c r="O2739" s="3"/>
      <c r="P2739" s="3"/>
      <c r="Q2739" s="3"/>
      <c r="R2739" s="3"/>
      <c r="S2739" s="3"/>
      <c r="T2739" s="5"/>
      <c r="U2739" s="5"/>
      <c r="V2739" s="5"/>
      <c r="W2739" s="5"/>
    </row>
    <row r="2740" ht="15.75" customHeight="1">
      <c r="A2740" s="3" t="str">
        <f>IFERROR(__xludf.DUMMYFUNCTION("""COMPUTED_VALUE"""),"")</f>
        <v/>
      </c>
      <c r="B2740" s="3"/>
      <c r="C2740" s="3"/>
      <c r="D2740" s="3"/>
      <c r="E2740" s="3"/>
      <c r="F2740" s="3"/>
      <c r="G2740" s="3"/>
      <c r="H2740" s="3"/>
      <c r="I2740" s="3"/>
      <c r="J2740" s="3"/>
      <c r="K2740" s="3"/>
      <c r="L2740" s="3"/>
      <c r="M2740" s="3"/>
      <c r="N2740" s="3"/>
      <c r="O2740" s="3"/>
      <c r="P2740" s="3"/>
      <c r="Q2740" s="3"/>
      <c r="R2740" s="3"/>
      <c r="S2740" s="3"/>
      <c r="T2740" s="5"/>
      <c r="U2740" s="5"/>
      <c r="V2740" s="5"/>
      <c r="W2740" s="5"/>
    </row>
    <row r="2741" ht="15.75" customHeight="1">
      <c r="A2741" s="3" t="str">
        <f>IFERROR(__xludf.DUMMYFUNCTION("""COMPUTED_VALUE"""),"")</f>
        <v/>
      </c>
      <c r="B2741" s="3"/>
      <c r="C2741" s="3"/>
      <c r="D2741" s="3"/>
      <c r="E2741" s="3"/>
      <c r="F2741" s="3"/>
      <c r="G2741" s="3"/>
      <c r="H2741" s="3"/>
      <c r="I2741" s="3"/>
      <c r="J2741" s="3"/>
      <c r="K2741" s="3"/>
      <c r="L2741" s="3"/>
      <c r="M2741" s="3"/>
      <c r="N2741" s="3"/>
      <c r="O2741" s="3"/>
      <c r="P2741" s="3"/>
      <c r="Q2741" s="3"/>
      <c r="R2741" s="3"/>
      <c r="S2741" s="3"/>
      <c r="T2741" s="5"/>
      <c r="U2741" s="5"/>
      <c r="V2741" s="5"/>
      <c r="W2741" s="5"/>
    </row>
    <row r="2742" ht="15.75" customHeight="1">
      <c r="A2742" s="3" t="str">
        <f>IFERROR(__xludf.DUMMYFUNCTION("""COMPUTED_VALUE"""),"")</f>
        <v/>
      </c>
      <c r="B2742" s="3"/>
      <c r="C2742" s="3"/>
      <c r="D2742" s="3"/>
      <c r="E2742" s="3"/>
      <c r="F2742" s="3"/>
      <c r="G2742" s="3"/>
      <c r="H2742" s="3"/>
      <c r="I2742" s="3"/>
      <c r="J2742" s="3"/>
      <c r="K2742" s="3"/>
      <c r="L2742" s="3"/>
      <c r="M2742" s="3"/>
      <c r="N2742" s="3"/>
      <c r="O2742" s="3"/>
      <c r="P2742" s="3"/>
      <c r="Q2742" s="3"/>
      <c r="R2742" s="3"/>
      <c r="S2742" s="3"/>
      <c r="T2742" s="5"/>
      <c r="U2742" s="5"/>
      <c r="V2742" s="5"/>
      <c r="W2742" s="5"/>
    </row>
    <row r="2743" ht="15.75" customHeight="1">
      <c r="A2743" s="3" t="str">
        <f>IFERROR(__xludf.DUMMYFUNCTION("""COMPUTED_VALUE"""),"")</f>
        <v/>
      </c>
      <c r="B2743" s="3"/>
      <c r="C2743" s="3"/>
      <c r="D2743" s="3"/>
      <c r="E2743" s="3"/>
      <c r="F2743" s="3"/>
      <c r="G2743" s="3"/>
      <c r="H2743" s="3"/>
      <c r="I2743" s="3"/>
      <c r="J2743" s="3"/>
      <c r="K2743" s="3"/>
      <c r="L2743" s="3"/>
      <c r="M2743" s="3"/>
      <c r="N2743" s="3"/>
      <c r="O2743" s="3"/>
      <c r="P2743" s="3"/>
      <c r="Q2743" s="3"/>
      <c r="R2743" s="3"/>
      <c r="S2743" s="3"/>
      <c r="T2743" s="5"/>
      <c r="U2743" s="5"/>
      <c r="V2743" s="5"/>
      <c r="W2743" s="5"/>
    </row>
    <row r="2744" ht="15.75" customHeight="1">
      <c r="A2744" s="3" t="str">
        <f>IFERROR(__xludf.DUMMYFUNCTION("""COMPUTED_VALUE"""),"")</f>
        <v/>
      </c>
      <c r="B2744" s="3"/>
      <c r="C2744" s="3"/>
      <c r="D2744" s="3"/>
      <c r="E2744" s="3"/>
      <c r="F2744" s="3"/>
      <c r="G2744" s="3"/>
      <c r="H2744" s="3"/>
      <c r="I2744" s="3"/>
      <c r="J2744" s="3"/>
      <c r="K2744" s="3"/>
      <c r="L2744" s="3"/>
      <c r="M2744" s="3"/>
      <c r="N2744" s="3"/>
      <c r="O2744" s="3"/>
      <c r="P2744" s="3"/>
      <c r="Q2744" s="3"/>
      <c r="R2744" s="3"/>
      <c r="S2744" s="3"/>
      <c r="T2744" s="5"/>
      <c r="U2744" s="5"/>
      <c r="V2744" s="5"/>
      <c r="W2744" s="5"/>
    </row>
    <row r="2745" ht="15.75" customHeight="1">
      <c r="A2745" s="3" t="str">
        <f>IFERROR(__xludf.DUMMYFUNCTION("""COMPUTED_VALUE"""),"")</f>
        <v/>
      </c>
      <c r="B2745" s="3"/>
      <c r="C2745" s="3"/>
      <c r="D2745" s="3"/>
      <c r="E2745" s="3"/>
      <c r="F2745" s="3"/>
      <c r="G2745" s="3"/>
      <c r="H2745" s="3"/>
      <c r="I2745" s="3"/>
      <c r="J2745" s="3"/>
      <c r="K2745" s="3"/>
      <c r="L2745" s="3"/>
      <c r="M2745" s="3"/>
      <c r="N2745" s="3"/>
      <c r="O2745" s="3"/>
      <c r="P2745" s="3"/>
      <c r="Q2745" s="3"/>
      <c r="R2745" s="3"/>
      <c r="S2745" s="3"/>
      <c r="T2745" s="5"/>
      <c r="U2745" s="5"/>
      <c r="V2745" s="5"/>
      <c r="W2745" s="5"/>
    </row>
    <row r="2746" ht="15.75" customHeight="1">
      <c r="A2746" s="3" t="str">
        <f>IFERROR(__xludf.DUMMYFUNCTION("""COMPUTED_VALUE"""),"")</f>
        <v/>
      </c>
      <c r="B2746" s="3"/>
      <c r="C2746" s="3"/>
      <c r="D2746" s="3"/>
      <c r="E2746" s="3"/>
      <c r="F2746" s="3"/>
      <c r="G2746" s="3"/>
      <c r="H2746" s="3"/>
      <c r="I2746" s="3"/>
      <c r="J2746" s="3"/>
      <c r="K2746" s="3"/>
      <c r="L2746" s="3"/>
      <c r="M2746" s="3"/>
      <c r="N2746" s="3"/>
      <c r="O2746" s="3"/>
      <c r="P2746" s="3"/>
      <c r="Q2746" s="3"/>
      <c r="R2746" s="3"/>
      <c r="S2746" s="3"/>
      <c r="T2746" s="5"/>
      <c r="U2746" s="5"/>
      <c r="V2746" s="5"/>
      <c r="W2746" s="5"/>
    </row>
    <row r="2747" ht="15.75" customHeight="1">
      <c r="A2747" s="3" t="str">
        <f>IFERROR(__xludf.DUMMYFUNCTION("""COMPUTED_VALUE"""),"")</f>
        <v/>
      </c>
      <c r="B2747" s="3"/>
      <c r="C2747" s="3"/>
      <c r="D2747" s="3"/>
      <c r="E2747" s="3"/>
      <c r="F2747" s="3"/>
      <c r="G2747" s="3"/>
      <c r="H2747" s="3"/>
      <c r="I2747" s="3"/>
      <c r="J2747" s="3"/>
      <c r="K2747" s="3"/>
      <c r="L2747" s="3"/>
      <c r="M2747" s="3"/>
      <c r="N2747" s="3"/>
      <c r="O2747" s="3"/>
      <c r="P2747" s="3"/>
      <c r="Q2747" s="3"/>
      <c r="R2747" s="3"/>
      <c r="S2747" s="3"/>
      <c r="T2747" s="5"/>
      <c r="U2747" s="5"/>
      <c r="V2747" s="5"/>
      <c r="W2747" s="5"/>
    </row>
    <row r="2748" ht="15.75" customHeight="1">
      <c r="A2748" s="3" t="str">
        <f>IFERROR(__xludf.DUMMYFUNCTION("""COMPUTED_VALUE"""),"")</f>
        <v/>
      </c>
      <c r="B2748" s="3"/>
      <c r="C2748" s="3"/>
      <c r="D2748" s="3"/>
      <c r="E2748" s="3"/>
      <c r="F2748" s="3"/>
      <c r="G2748" s="3"/>
      <c r="H2748" s="3"/>
      <c r="I2748" s="3"/>
      <c r="J2748" s="3"/>
      <c r="K2748" s="3"/>
      <c r="L2748" s="3"/>
      <c r="M2748" s="3"/>
      <c r="N2748" s="3"/>
      <c r="O2748" s="3"/>
      <c r="P2748" s="3"/>
      <c r="Q2748" s="3"/>
      <c r="R2748" s="3"/>
      <c r="S2748" s="3"/>
      <c r="T2748" s="5"/>
      <c r="U2748" s="5"/>
      <c r="V2748" s="5"/>
      <c r="W2748" s="5"/>
    </row>
    <row r="2749" ht="15.75" customHeight="1">
      <c r="A2749" s="3" t="str">
        <f>IFERROR(__xludf.DUMMYFUNCTION("""COMPUTED_VALUE"""),"")</f>
        <v/>
      </c>
      <c r="B2749" s="3"/>
      <c r="C2749" s="3"/>
      <c r="D2749" s="3"/>
      <c r="E2749" s="3"/>
      <c r="F2749" s="3"/>
      <c r="G2749" s="3"/>
      <c r="H2749" s="3"/>
      <c r="I2749" s="3"/>
      <c r="J2749" s="3"/>
      <c r="K2749" s="3"/>
      <c r="L2749" s="3"/>
      <c r="M2749" s="3"/>
      <c r="N2749" s="3"/>
      <c r="O2749" s="3"/>
      <c r="P2749" s="3"/>
      <c r="Q2749" s="3"/>
      <c r="R2749" s="3"/>
      <c r="S2749" s="3"/>
      <c r="T2749" s="5"/>
      <c r="U2749" s="5"/>
      <c r="V2749" s="5"/>
      <c r="W2749" s="5"/>
    </row>
    <row r="2750" ht="15.75" customHeight="1">
      <c r="A2750" s="3" t="str">
        <f>IFERROR(__xludf.DUMMYFUNCTION("""COMPUTED_VALUE"""),"")</f>
        <v/>
      </c>
      <c r="B2750" s="3"/>
      <c r="C2750" s="3"/>
      <c r="D2750" s="3"/>
      <c r="E2750" s="3"/>
      <c r="F2750" s="3"/>
      <c r="G2750" s="3"/>
      <c r="H2750" s="3"/>
      <c r="I2750" s="3"/>
      <c r="J2750" s="3"/>
      <c r="K2750" s="3"/>
      <c r="L2750" s="3"/>
      <c r="M2750" s="3"/>
      <c r="N2750" s="3"/>
      <c r="O2750" s="3"/>
      <c r="P2750" s="3"/>
      <c r="Q2750" s="3"/>
      <c r="R2750" s="3"/>
      <c r="S2750" s="3"/>
      <c r="T2750" s="5"/>
      <c r="U2750" s="5"/>
      <c r="V2750" s="5"/>
      <c r="W2750" s="5"/>
    </row>
    <row r="2751" ht="15.75" customHeight="1">
      <c r="A2751" s="3" t="str">
        <f>IFERROR(__xludf.DUMMYFUNCTION("""COMPUTED_VALUE"""),"")</f>
        <v/>
      </c>
      <c r="B2751" s="3"/>
      <c r="C2751" s="3"/>
      <c r="D2751" s="3"/>
      <c r="E2751" s="3"/>
      <c r="F2751" s="3"/>
      <c r="G2751" s="3"/>
      <c r="H2751" s="3"/>
      <c r="I2751" s="3"/>
      <c r="J2751" s="3"/>
      <c r="K2751" s="3"/>
      <c r="L2751" s="3"/>
      <c r="M2751" s="3"/>
      <c r="N2751" s="3"/>
      <c r="O2751" s="3"/>
      <c r="P2751" s="3"/>
      <c r="Q2751" s="3"/>
      <c r="R2751" s="3"/>
      <c r="S2751" s="3"/>
      <c r="T2751" s="5"/>
      <c r="U2751" s="5"/>
      <c r="V2751" s="5"/>
      <c r="W2751" s="5"/>
    </row>
    <row r="2752" ht="15.75" customHeight="1">
      <c r="A2752" s="3" t="str">
        <f>IFERROR(__xludf.DUMMYFUNCTION("""COMPUTED_VALUE"""),"")</f>
        <v/>
      </c>
      <c r="B2752" s="3"/>
      <c r="C2752" s="3"/>
      <c r="D2752" s="3"/>
      <c r="E2752" s="3"/>
      <c r="F2752" s="3"/>
      <c r="G2752" s="3"/>
      <c r="H2752" s="3"/>
      <c r="I2752" s="3"/>
      <c r="J2752" s="3"/>
      <c r="K2752" s="3"/>
      <c r="L2752" s="3"/>
      <c r="M2752" s="3"/>
      <c r="N2752" s="3"/>
      <c r="O2752" s="3"/>
      <c r="P2752" s="3"/>
      <c r="Q2752" s="3"/>
      <c r="R2752" s="3"/>
      <c r="S2752" s="3"/>
      <c r="T2752" s="5"/>
      <c r="U2752" s="5"/>
      <c r="V2752" s="5"/>
      <c r="W2752" s="5"/>
    </row>
    <row r="2753" ht="15.75" customHeight="1">
      <c r="A2753" s="3" t="str">
        <f>IFERROR(__xludf.DUMMYFUNCTION("""COMPUTED_VALUE"""),"")</f>
        <v/>
      </c>
      <c r="B2753" s="3"/>
      <c r="C2753" s="3"/>
      <c r="D2753" s="3"/>
      <c r="E2753" s="3"/>
      <c r="F2753" s="3"/>
      <c r="G2753" s="3"/>
      <c r="H2753" s="3"/>
      <c r="I2753" s="3"/>
      <c r="J2753" s="3"/>
      <c r="K2753" s="3"/>
      <c r="L2753" s="3"/>
      <c r="M2753" s="3"/>
      <c r="N2753" s="3"/>
      <c r="O2753" s="3"/>
      <c r="P2753" s="3"/>
      <c r="Q2753" s="3"/>
      <c r="R2753" s="3"/>
      <c r="S2753" s="3"/>
      <c r="T2753" s="5"/>
      <c r="U2753" s="5"/>
      <c r="V2753" s="5"/>
      <c r="W2753" s="5"/>
    </row>
    <row r="2754" ht="15.75" customHeight="1">
      <c r="A2754" s="3" t="str">
        <f>IFERROR(__xludf.DUMMYFUNCTION("""COMPUTED_VALUE"""),"")</f>
        <v/>
      </c>
      <c r="B2754" s="3"/>
      <c r="C2754" s="3"/>
      <c r="D2754" s="3"/>
      <c r="E2754" s="3"/>
      <c r="F2754" s="3"/>
      <c r="G2754" s="3"/>
      <c r="H2754" s="3"/>
      <c r="I2754" s="3"/>
      <c r="J2754" s="3"/>
      <c r="K2754" s="3"/>
      <c r="L2754" s="3"/>
      <c r="M2754" s="3"/>
      <c r="N2754" s="3"/>
      <c r="O2754" s="3"/>
      <c r="P2754" s="3"/>
      <c r="Q2754" s="3"/>
      <c r="R2754" s="3"/>
      <c r="S2754" s="3"/>
      <c r="T2754" s="5"/>
      <c r="U2754" s="5"/>
      <c r="V2754" s="5"/>
      <c r="W2754" s="5"/>
    </row>
    <row r="2755" ht="15.75" customHeight="1">
      <c r="A2755" s="3" t="str">
        <f>IFERROR(__xludf.DUMMYFUNCTION("""COMPUTED_VALUE"""),"")</f>
        <v/>
      </c>
      <c r="B2755" s="3"/>
      <c r="C2755" s="3"/>
      <c r="D2755" s="3"/>
      <c r="E2755" s="3"/>
      <c r="F2755" s="3"/>
      <c r="G2755" s="3"/>
      <c r="H2755" s="3"/>
      <c r="I2755" s="3"/>
      <c r="J2755" s="3"/>
      <c r="K2755" s="3"/>
      <c r="L2755" s="3"/>
      <c r="M2755" s="3"/>
      <c r="N2755" s="3"/>
      <c r="O2755" s="3"/>
      <c r="P2755" s="3"/>
      <c r="Q2755" s="3"/>
      <c r="R2755" s="3"/>
      <c r="S2755" s="3"/>
      <c r="T2755" s="5"/>
      <c r="U2755" s="5"/>
      <c r="V2755" s="5"/>
      <c r="W2755" s="5"/>
    </row>
    <row r="2756" ht="15.75" customHeight="1">
      <c r="A2756" s="3" t="str">
        <f>IFERROR(__xludf.DUMMYFUNCTION("""COMPUTED_VALUE"""),"")</f>
        <v/>
      </c>
      <c r="B2756" s="3"/>
      <c r="C2756" s="3"/>
      <c r="D2756" s="3"/>
      <c r="E2756" s="3"/>
      <c r="F2756" s="3"/>
      <c r="G2756" s="3"/>
      <c r="H2756" s="3"/>
      <c r="I2756" s="3"/>
      <c r="J2756" s="3"/>
      <c r="K2756" s="3"/>
      <c r="L2756" s="3"/>
      <c r="M2756" s="3"/>
      <c r="N2756" s="3"/>
      <c r="O2756" s="3"/>
      <c r="P2756" s="3"/>
      <c r="Q2756" s="3"/>
      <c r="R2756" s="3"/>
      <c r="S2756" s="3"/>
      <c r="T2756" s="5"/>
      <c r="U2756" s="5"/>
      <c r="V2756" s="5"/>
      <c r="W2756" s="5"/>
    </row>
    <row r="2757" ht="15.75" customHeight="1">
      <c r="A2757" s="3" t="str">
        <f>IFERROR(__xludf.DUMMYFUNCTION("""COMPUTED_VALUE"""),"")</f>
        <v/>
      </c>
      <c r="B2757" s="3"/>
      <c r="C2757" s="3"/>
      <c r="D2757" s="3"/>
      <c r="E2757" s="3"/>
      <c r="F2757" s="3"/>
      <c r="G2757" s="3"/>
      <c r="H2757" s="3"/>
      <c r="I2757" s="3"/>
      <c r="J2757" s="3"/>
      <c r="K2757" s="3"/>
      <c r="L2757" s="3"/>
      <c r="M2757" s="3"/>
      <c r="N2757" s="3"/>
      <c r="O2757" s="3"/>
      <c r="P2757" s="3"/>
      <c r="Q2757" s="3"/>
      <c r="R2757" s="3"/>
      <c r="S2757" s="3"/>
      <c r="T2757" s="5"/>
      <c r="U2757" s="5"/>
      <c r="V2757" s="5"/>
      <c r="W2757" s="5"/>
    </row>
    <row r="2758" ht="15.75" customHeight="1">
      <c r="A2758" s="3" t="str">
        <f>IFERROR(__xludf.DUMMYFUNCTION("""COMPUTED_VALUE"""),"")</f>
        <v/>
      </c>
      <c r="B2758" s="3"/>
      <c r="C2758" s="3"/>
      <c r="D2758" s="3"/>
      <c r="E2758" s="3"/>
      <c r="F2758" s="3"/>
      <c r="G2758" s="3"/>
      <c r="H2758" s="3"/>
      <c r="I2758" s="3"/>
      <c r="J2758" s="3"/>
      <c r="K2758" s="3"/>
      <c r="L2758" s="3"/>
      <c r="M2758" s="3"/>
      <c r="N2758" s="3"/>
      <c r="O2758" s="3"/>
      <c r="P2758" s="3"/>
      <c r="Q2758" s="3"/>
      <c r="R2758" s="3"/>
      <c r="S2758" s="3"/>
      <c r="T2758" s="5"/>
      <c r="U2758" s="5"/>
      <c r="V2758" s="5"/>
      <c r="W2758" s="5"/>
    </row>
    <row r="2759" ht="15.75" customHeight="1">
      <c r="A2759" s="3" t="str">
        <f>IFERROR(__xludf.DUMMYFUNCTION("""COMPUTED_VALUE"""),"")</f>
        <v/>
      </c>
      <c r="B2759" s="3"/>
      <c r="C2759" s="3"/>
      <c r="D2759" s="3"/>
      <c r="E2759" s="3"/>
      <c r="F2759" s="3"/>
      <c r="G2759" s="3"/>
      <c r="H2759" s="3"/>
      <c r="I2759" s="3"/>
      <c r="J2759" s="3"/>
      <c r="K2759" s="3"/>
      <c r="L2759" s="3"/>
      <c r="M2759" s="3"/>
      <c r="N2759" s="3"/>
      <c r="O2759" s="3"/>
      <c r="P2759" s="3"/>
      <c r="Q2759" s="3"/>
      <c r="R2759" s="3"/>
      <c r="S2759" s="3"/>
      <c r="T2759" s="5"/>
      <c r="U2759" s="5"/>
      <c r="V2759" s="5"/>
      <c r="W2759" s="5"/>
    </row>
    <row r="2760" ht="15.75" customHeight="1">
      <c r="A2760" s="3" t="str">
        <f>IFERROR(__xludf.DUMMYFUNCTION("""COMPUTED_VALUE"""),"")</f>
        <v/>
      </c>
      <c r="B2760" s="3"/>
      <c r="C2760" s="3"/>
      <c r="D2760" s="3"/>
      <c r="E2760" s="3"/>
      <c r="F2760" s="3"/>
      <c r="G2760" s="3"/>
      <c r="H2760" s="3"/>
      <c r="I2760" s="3"/>
      <c r="J2760" s="3"/>
      <c r="K2760" s="3"/>
      <c r="L2760" s="3"/>
      <c r="M2760" s="3"/>
      <c r="N2760" s="3"/>
      <c r="O2760" s="3"/>
      <c r="P2760" s="3"/>
      <c r="Q2760" s="3"/>
      <c r="R2760" s="3"/>
      <c r="S2760" s="3"/>
      <c r="T2760" s="5"/>
      <c r="U2760" s="5"/>
      <c r="V2760" s="5"/>
      <c r="W2760" s="5"/>
    </row>
    <row r="2761" ht="15.75" customHeight="1">
      <c r="A2761" s="3" t="str">
        <f>IFERROR(__xludf.DUMMYFUNCTION("""COMPUTED_VALUE"""),"")</f>
        <v/>
      </c>
      <c r="B2761" s="3"/>
      <c r="C2761" s="3"/>
      <c r="D2761" s="3"/>
      <c r="E2761" s="3"/>
      <c r="F2761" s="3"/>
      <c r="G2761" s="3"/>
      <c r="H2761" s="3"/>
      <c r="I2761" s="3"/>
      <c r="J2761" s="3"/>
      <c r="K2761" s="3"/>
      <c r="L2761" s="3"/>
      <c r="M2761" s="3"/>
      <c r="N2761" s="3"/>
      <c r="O2761" s="3"/>
      <c r="P2761" s="3"/>
      <c r="Q2761" s="3"/>
      <c r="R2761" s="3"/>
      <c r="S2761" s="3"/>
      <c r="T2761" s="5"/>
      <c r="U2761" s="5"/>
      <c r="V2761" s="5"/>
      <c r="W2761" s="5"/>
    </row>
    <row r="2762" ht="15.75" customHeight="1">
      <c r="A2762" s="3" t="str">
        <f>IFERROR(__xludf.DUMMYFUNCTION("""COMPUTED_VALUE"""),"")</f>
        <v/>
      </c>
      <c r="B2762" s="3"/>
      <c r="C2762" s="3"/>
      <c r="D2762" s="3"/>
      <c r="E2762" s="3"/>
      <c r="F2762" s="3"/>
      <c r="G2762" s="3"/>
      <c r="H2762" s="3"/>
      <c r="I2762" s="3"/>
      <c r="J2762" s="3"/>
      <c r="K2762" s="3"/>
      <c r="L2762" s="3"/>
      <c r="M2762" s="3"/>
      <c r="N2762" s="3"/>
      <c r="O2762" s="3"/>
      <c r="P2762" s="3"/>
      <c r="Q2762" s="3"/>
      <c r="R2762" s="3"/>
      <c r="S2762" s="3"/>
      <c r="T2762" s="5"/>
      <c r="U2762" s="5"/>
      <c r="V2762" s="5"/>
      <c r="W2762" s="5"/>
    </row>
    <row r="2763" ht="15.75" customHeight="1">
      <c r="A2763" s="3" t="str">
        <f>IFERROR(__xludf.DUMMYFUNCTION("""COMPUTED_VALUE"""),"")</f>
        <v/>
      </c>
      <c r="B2763" s="3"/>
      <c r="C2763" s="3"/>
      <c r="D2763" s="3"/>
      <c r="E2763" s="3"/>
      <c r="F2763" s="3"/>
      <c r="G2763" s="3"/>
      <c r="H2763" s="3"/>
      <c r="I2763" s="3"/>
      <c r="J2763" s="3"/>
      <c r="K2763" s="3"/>
      <c r="L2763" s="3"/>
      <c r="M2763" s="3"/>
      <c r="N2763" s="3"/>
      <c r="O2763" s="3"/>
      <c r="P2763" s="3"/>
      <c r="Q2763" s="3"/>
      <c r="R2763" s="3"/>
      <c r="S2763" s="3"/>
      <c r="T2763" s="5"/>
      <c r="U2763" s="5"/>
      <c r="V2763" s="5"/>
      <c r="W2763" s="5"/>
    </row>
    <row r="2764" ht="15.75" customHeight="1">
      <c r="A2764" s="3" t="str">
        <f>IFERROR(__xludf.DUMMYFUNCTION("""COMPUTED_VALUE"""),"")</f>
        <v/>
      </c>
      <c r="B2764" s="3"/>
      <c r="C2764" s="3"/>
      <c r="D2764" s="3"/>
      <c r="E2764" s="3"/>
      <c r="F2764" s="3"/>
      <c r="G2764" s="3"/>
      <c r="H2764" s="3"/>
      <c r="I2764" s="3"/>
      <c r="J2764" s="3"/>
      <c r="K2764" s="3"/>
      <c r="L2764" s="3"/>
      <c r="M2764" s="3"/>
      <c r="N2764" s="3"/>
      <c r="O2764" s="3"/>
      <c r="P2764" s="3"/>
      <c r="Q2764" s="3"/>
      <c r="R2764" s="3"/>
      <c r="S2764" s="3"/>
      <c r="T2764" s="5"/>
      <c r="U2764" s="5"/>
      <c r="V2764" s="5"/>
      <c r="W2764" s="5"/>
    </row>
    <row r="2765" ht="15.75" customHeight="1">
      <c r="A2765" s="3" t="str">
        <f>IFERROR(__xludf.DUMMYFUNCTION("""COMPUTED_VALUE"""),"")</f>
        <v/>
      </c>
      <c r="B2765" s="3"/>
      <c r="C2765" s="3"/>
      <c r="D2765" s="3"/>
      <c r="E2765" s="3"/>
      <c r="F2765" s="3"/>
      <c r="G2765" s="3"/>
      <c r="H2765" s="3"/>
      <c r="I2765" s="3"/>
      <c r="J2765" s="3"/>
      <c r="K2765" s="3"/>
      <c r="L2765" s="3"/>
      <c r="M2765" s="3"/>
      <c r="N2765" s="3"/>
      <c r="O2765" s="3"/>
      <c r="P2765" s="3"/>
      <c r="Q2765" s="3"/>
      <c r="R2765" s="3"/>
      <c r="S2765" s="3"/>
      <c r="T2765" s="5"/>
      <c r="U2765" s="5"/>
      <c r="V2765" s="5"/>
      <c r="W2765" s="5"/>
    </row>
    <row r="2766" ht="15.75" customHeight="1">
      <c r="A2766" s="3" t="str">
        <f>IFERROR(__xludf.DUMMYFUNCTION("""COMPUTED_VALUE"""),"")</f>
        <v/>
      </c>
      <c r="B2766" s="3"/>
      <c r="C2766" s="3"/>
      <c r="D2766" s="3"/>
      <c r="E2766" s="3"/>
      <c r="F2766" s="3"/>
      <c r="G2766" s="3"/>
      <c r="H2766" s="3"/>
      <c r="I2766" s="3"/>
      <c r="J2766" s="3"/>
      <c r="K2766" s="3"/>
      <c r="L2766" s="3"/>
      <c r="M2766" s="3"/>
      <c r="N2766" s="3"/>
      <c r="O2766" s="3"/>
      <c r="P2766" s="3"/>
      <c r="Q2766" s="3"/>
      <c r="R2766" s="3"/>
      <c r="S2766" s="3"/>
      <c r="T2766" s="5"/>
      <c r="U2766" s="5"/>
      <c r="V2766" s="5"/>
      <c r="W2766" s="5"/>
    </row>
    <row r="2767" ht="15.75" customHeight="1">
      <c r="A2767" s="3" t="str">
        <f>IFERROR(__xludf.DUMMYFUNCTION("""COMPUTED_VALUE"""),"")</f>
        <v/>
      </c>
      <c r="B2767" s="3"/>
      <c r="C2767" s="3"/>
      <c r="D2767" s="3"/>
      <c r="E2767" s="3"/>
      <c r="F2767" s="3"/>
      <c r="G2767" s="3"/>
      <c r="H2767" s="3"/>
      <c r="I2767" s="3"/>
      <c r="J2767" s="3"/>
      <c r="K2767" s="3"/>
      <c r="L2767" s="3"/>
      <c r="M2767" s="3"/>
      <c r="N2767" s="3"/>
      <c r="O2767" s="3"/>
      <c r="P2767" s="3"/>
      <c r="Q2767" s="3"/>
      <c r="R2767" s="3"/>
      <c r="S2767" s="3"/>
      <c r="T2767" s="5"/>
      <c r="U2767" s="5"/>
      <c r="V2767" s="5"/>
      <c r="W2767" s="5"/>
    </row>
    <row r="2768" ht="15.75" customHeight="1">
      <c r="A2768" s="3" t="str">
        <f>IFERROR(__xludf.DUMMYFUNCTION("""COMPUTED_VALUE"""),"")</f>
        <v/>
      </c>
      <c r="B2768" s="3"/>
      <c r="C2768" s="3"/>
      <c r="D2768" s="3"/>
      <c r="E2768" s="3"/>
      <c r="F2768" s="3"/>
      <c r="G2768" s="3"/>
      <c r="H2768" s="3"/>
      <c r="I2768" s="3"/>
      <c r="J2768" s="3"/>
      <c r="K2768" s="3"/>
      <c r="L2768" s="3"/>
      <c r="M2768" s="3"/>
      <c r="N2768" s="3"/>
      <c r="O2768" s="3"/>
      <c r="P2768" s="3"/>
      <c r="Q2768" s="3"/>
      <c r="R2768" s="3"/>
      <c r="S2768" s="3"/>
      <c r="T2768" s="5"/>
      <c r="U2768" s="5"/>
      <c r="V2768" s="5"/>
      <c r="W2768" s="5"/>
    </row>
    <row r="2769" ht="15.75" customHeight="1">
      <c r="A2769" s="3" t="str">
        <f>IFERROR(__xludf.DUMMYFUNCTION("""COMPUTED_VALUE"""),"")</f>
        <v/>
      </c>
      <c r="B2769" s="3"/>
      <c r="C2769" s="3"/>
      <c r="D2769" s="3"/>
      <c r="E2769" s="3"/>
      <c r="F2769" s="3"/>
      <c r="G2769" s="3"/>
      <c r="H2769" s="3"/>
      <c r="I2769" s="3"/>
      <c r="J2769" s="3"/>
      <c r="K2769" s="3"/>
      <c r="L2769" s="3"/>
      <c r="M2769" s="3"/>
      <c r="N2769" s="3"/>
      <c r="O2769" s="3"/>
      <c r="P2769" s="3"/>
      <c r="Q2769" s="3"/>
      <c r="R2769" s="3"/>
      <c r="S2769" s="3"/>
      <c r="T2769" s="5"/>
      <c r="U2769" s="5"/>
      <c r="V2769" s="5"/>
      <c r="W2769" s="5"/>
    </row>
    <row r="2770" ht="15.75" customHeight="1">
      <c r="A2770" s="3" t="str">
        <f>IFERROR(__xludf.DUMMYFUNCTION("""COMPUTED_VALUE"""),"")</f>
        <v/>
      </c>
      <c r="B2770" s="3"/>
      <c r="C2770" s="3"/>
      <c r="D2770" s="3"/>
      <c r="E2770" s="3"/>
      <c r="F2770" s="3"/>
      <c r="G2770" s="3"/>
      <c r="H2770" s="3"/>
      <c r="I2770" s="3"/>
      <c r="J2770" s="3"/>
      <c r="K2770" s="3"/>
      <c r="L2770" s="3"/>
      <c r="M2770" s="3"/>
      <c r="N2770" s="3"/>
      <c r="O2770" s="3"/>
      <c r="P2770" s="3"/>
      <c r="Q2770" s="3"/>
      <c r="R2770" s="3"/>
      <c r="S2770" s="3"/>
      <c r="T2770" s="5"/>
      <c r="U2770" s="5"/>
      <c r="V2770" s="5"/>
      <c r="W2770" s="5"/>
    </row>
    <row r="2771" ht="15.75" customHeight="1">
      <c r="A2771" s="3" t="str">
        <f>IFERROR(__xludf.DUMMYFUNCTION("""COMPUTED_VALUE"""),"")</f>
        <v/>
      </c>
      <c r="B2771" s="3"/>
      <c r="C2771" s="3"/>
      <c r="D2771" s="3"/>
      <c r="E2771" s="3"/>
      <c r="F2771" s="3"/>
      <c r="G2771" s="3"/>
      <c r="H2771" s="3"/>
      <c r="I2771" s="3"/>
      <c r="J2771" s="3"/>
      <c r="K2771" s="3"/>
      <c r="L2771" s="3"/>
      <c r="M2771" s="3"/>
      <c r="N2771" s="3"/>
      <c r="O2771" s="3"/>
      <c r="P2771" s="3"/>
      <c r="Q2771" s="3"/>
      <c r="R2771" s="3"/>
      <c r="S2771" s="3"/>
      <c r="T2771" s="5"/>
      <c r="U2771" s="5"/>
      <c r="V2771" s="5"/>
      <c r="W2771" s="5"/>
    </row>
    <row r="2772" ht="15.75" customHeight="1">
      <c r="A2772" s="3" t="str">
        <f>IFERROR(__xludf.DUMMYFUNCTION("""COMPUTED_VALUE"""),"")</f>
        <v/>
      </c>
      <c r="B2772" s="3"/>
      <c r="C2772" s="3"/>
      <c r="D2772" s="3"/>
      <c r="E2772" s="3"/>
      <c r="F2772" s="3"/>
      <c r="G2772" s="3"/>
      <c r="H2772" s="3"/>
      <c r="I2772" s="3"/>
      <c r="J2772" s="3"/>
      <c r="K2772" s="3"/>
      <c r="L2772" s="3"/>
      <c r="M2772" s="3"/>
      <c r="N2772" s="3"/>
      <c r="O2772" s="3"/>
      <c r="P2772" s="3"/>
      <c r="Q2772" s="3"/>
      <c r="R2772" s="3"/>
      <c r="S2772" s="3"/>
      <c r="T2772" s="5"/>
      <c r="U2772" s="5"/>
      <c r="V2772" s="5"/>
      <c r="W2772" s="5"/>
    </row>
    <row r="2773" ht="15.75" customHeight="1">
      <c r="A2773" s="3" t="str">
        <f>IFERROR(__xludf.DUMMYFUNCTION("""COMPUTED_VALUE"""),"")</f>
        <v/>
      </c>
      <c r="B2773" s="3"/>
      <c r="C2773" s="3"/>
      <c r="D2773" s="3"/>
      <c r="E2773" s="3"/>
      <c r="F2773" s="3"/>
      <c r="G2773" s="3"/>
      <c r="H2773" s="3"/>
      <c r="I2773" s="3"/>
      <c r="J2773" s="3"/>
      <c r="K2773" s="3"/>
      <c r="L2773" s="3"/>
      <c r="M2773" s="3"/>
      <c r="N2773" s="3"/>
      <c r="O2773" s="3"/>
      <c r="P2773" s="3"/>
      <c r="Q2773" s="3"/>
      <c r="R2773" s="3"/>
      <c r="S2773" s="3"/>
      <c r="T2773" s="5"/>
      <c r="U2773" s="5"/>
      <c r="V2773" s="5"/>
      <c r="W2773" s="5"/>
    </row>
    <row r="2774" ht="15.75" customHeight="1">
      <c r="A2774" s="3" t="str">
        <f>IFERROR(__xludf.DUMMYFUNCTION("""COMPUTED_VALUE"""),"")</f>
        <v/>
      </c>
      <c r="B2774" s="3"/>
      <c r="C2774" s="3"/>
      <c r="D2774" s="3"/>
      <c r="E2774" s="3"/>
      <c r="F2774" s="3"/>
      <c r="G2774" s="3"/>
      <c r="H2774" s="3"/>
      <c r="I2774" s="3"/>
      <c r="J2774" s="3"/>
      <c r="K2774" s="3"/>
      <c r="L2774" s="3"/>
      <c r="M2774" s="3"/>
      <c r="N2774" s="3"/>
      <c r="O2774" s="3"/>
      <c r="P2774" s="3"/>
      <c r="Q2774" s="3"/>
      <c r="R2774" s="3"/>
      <c r="S2774" s="3"/>
      <c r="T2774" s="5"/>
      <c r="U2774" s="5"/>
      <c r="V2774" s="5"/>
      <c r="W2774" s="5"/>
    </row>
    <row r="2775" ht="15.75" customHeight="1">
      <c r="A2775" s="3" t="str">
        <f>IFERROR(__xludf.DUMMYFUNCTION("""COMPUTED_VALUE"""),"")</f>
        <v/>
      </c>
      <c r="B2775" s="3"/>
      <c r="C2775" s="3"/>
      <c r="D2775" s="3"/>
      <c r="E2775" s="3"/>
      <c r="F2775" s="3"/>
      <c r="G2775" s="3"/>
      <c r="H2775" s="3"/>
      <c r="I2775" s="3"/>
      <c r="J2775" s="3"/>
      <c r="K2775" s="3"/>
      <c r="L2775" s="3"/>
      <c r="M2775" s="3"/>
      <c r="N2775" s="3"/>
      <c r="O2775" s="3"/>
      <c r="P2775" s="3"/>
      <c r="Q2775" s="3"/>
      <c r="R2775" s="3"/>
      <c r="S2775" s="3"/>
      <c r="T2775" s="5"/>
      <c r="U2775" s="5"/>
      <c r="V2775" s="5"/>
      <c r="W2775" s="5"/>
    </row>
    <row r="2776" ht="15.75" customHeight="1">
      <c r="A2776" s="3" t="str">
        <f>IFERROR(__xludf.DUMMYFUNCTION("""COMPUTED_VALUE"""),"")</f>
        <v/>
      </c>
      <c r="B2776" s="3"/>
      <c r="C2776" s="3"/>
      <c r="D2776" s="3"/>
      <c r="E2776" s="3"/>
      <c r="F2776" s="3"/>
      <c r="G2776" s="3"/>
      <c r="H2776" s="3"/>
      <c r="I2776" s="3"/>
      <c r="J2776" s="3"/>
      <c r="K2776" s="3"/>
      <c r="L2776" s="3"/>
      <c r="M2776" s="3"/>
      <c r="N2776" s="3"/>
      <c r="O2776" s="3"/>
      <c r="P2776" s="3"/>
      <c r="Q2776" s="3"/>
      <c r="R2776" s="3"/>
      <c r="S2776" s="3"/>
      <c r="T2776" s="5"/>
      <c r="U2776" s="5"/>
      <c r="V2776" s="5"/>
      <c r="W2776" s="5"/>
    </row>
    <row r="2777" ht="15.75" customHeight="1">
      <c r="A2777" s="3" t="str">
        <f>IFERROR(__xludf.DUMMYFUNCTION("""COMPUTED_VALUE"""),"")</f>
        <v/>
      </c>
      <c r="B2777" s="3"/>
      <c r="C2777" s="3"/>
      <c r="D2777" s="3"/>
      <c r="E2777" s="3"/>
      <c r="F2777" s="3"/>
      <c r="G2777" s="3"/>
      <c r="H2777" s="3"/>
      <c r="I2777" s="3"/>
      <c r="J2777" s="3"/>
      <c r="K2777" s="3"/>
      <c r="L2777" s="3"/>
      <c r="M2777" s="3"/>
      <c r="N2777" s="3"/>
      <c r="O2777" s="3"/>
      <c r="P2777" s="3"/>
      <c r="Q2777" s="3"/>
      <c r="R2777" s="3"/>
      <c r="S2777" s="3"/>
      <c r="T2777" s="5"/>
      <c r="U2777" s="5"/>
      <c r="V2777" s="5"/>
      <c r="W2777" s="5"/>
    </row>
    <row r="2778" ht="15.75" customHeight="1">
      <c r="A2778" s="3" t="str">
        <f>IFERROR(__xludf.DUMMYFUNCTION("""COMPUTED_VALUE"""),"")</f>
        <v/>
      </c>
      <c r="B2778" s="3"/>
      <c r="C2778" s="3"/>
      <c r="D2778" s="3"/>
      <c r="E2778" s="3"/>
      <c r="F2778" s="3"/>
      <c r="G2778" s="3"/>
      <c r="H2778" s="3"/>
      <c r="I2778" s="3"/>
      <c r="J2778" s="3"/>
      <c r="K2778" s="3"/>
      <c r="L2778" s="3"/>
      <c r="M2778" s="3"/>
      <c r="N2778" s="3"/>
      <c r="O2778" s="3"/>
      <c r="P2778" s="3"/>
      <c r="Q2778" s="3"/>
      <c r="R2778" s="3"/>
      <c r="S2778" s="3"/>
      <c r="T2778" s="5"/>
      <c r="U2778" s="5"/>
      <c r="V2778" s="5"/>
      <c r="W2778" s="5"/>
    </row>
    <row r="2779" ht="15.75" customHeight="1">
      <c r="A2779" s="3" t="str">
        <f>IFERROR(__xludf.DUMMYFUNCTION("""COMPUTED_VALUE"""),"")</f>
        <v/>
      </c>
      <c r="B2779" s="3"/>
      <c r="C2779" s="3"/>
      <c r="D2779" s="3"/>
      <c r="E2779" s="3"/>
      <c r="F2779" s="3"/>
      <c r="G2779" s="3"/>
      <c r="H2779" s="3"/>
      <c r="I2779" s="3"/>
      <c r="J2779" s="3"/>
      <c r="K2779" s="3"/>
      <c r="L2779" s="3"/>
      <c r="M2779" s="3"/>
      <c r="N2779" s="3"/>
      <c r="O2779" s="3"/>
      <c r="P2779" s="3"/>
      <c r="Q2779" s="3"/>
      <c r="R2779" s="3"/>
      <c r="S2779" s="3"/>
      <c r="T2779" s="5"/>
      <c r="U2779" s="5"/>
      <c r="V2779" s="5"/>
      <c r="W2779" s="5"/>
    </row>
    <row r="2780" ht="15.75" customHeight="1">
      <c r="A2780" s="3" t="str">
        <f>IFERROR(__xludf.DUMMYFUNCTION("""COMPUTED_VALUE"""),"")</f>
        <v/>
      </c>
      <c r="B2780" s="3"/>
      <c r="C2780" s="3"/>
      <c r="D2780" s="3"/>
      <c r="E2780" s="3"/>
      <c r="F2780" s="3"/>
      <c r="G2780" s="3"/>
      <c r="H2780" s="3"/>
      <c r="I2780" s="3"/>
      <c r="J2780" s="3"/>
      <c r="K2780" s="3"/>
      <c r="L2780" s="3"/>
      <c r="M2780" s="3"/>
      <c r="N2780" s="3"/>
      <c r="O2780" s="3"/>
      <c r="P2780" s="3"/>
      <c r="Q2780" s="3"/>
      <c r="R2780" s="3"/>
      <c r="S2780" s="3"/>
      <c r="T2780" s="5"/>
      <c r="U2780" s="5"/>
      <c r="V2780" s="5"/>
      <c r="W2780" s="5"/>
    </row>
    <row r="2781" ht="15.75" customHeight="1">
      <c r="A2781" s="3" t="str">
        <f>IFERROR(__xludf.DUMMYFUNCTION("""COMPUTED_VALUE"""),"")</f>
        <v/>
      </c>
      <c r="B2781" s="3"/>
      <c r="C2781" s="3"/>
      <c r="D2781" s="3"/>
      <c r="E2781" s="3"/>
      <c r="F2781" s="3"/>
      <c r="G2781" s="3"/>
      <c r="H2781" s="3"/>
      <c r="I2781" s="3"/>
      <c r="J2781" s="3"/>
      <c r="K2781" s="3"/>
      <c r="L2781" s="3"/>
      <c r="M2781" s="3"/>
      <c r="N2781" s="3"/>
      <c r="O2781" s="3"/>
      <c r="P2781" s="3"/>
      <c r="Q2781" s="3"/>
      <c r="R2781" s="3"/>
      <c r="S2781" s="3"/>
      <c r="T2781" s="5"/>
      <c r="U2781" s="5"/>
      <c r="V2781" s="5"/>
      <c r="W2781" s="5"/>
    </row>
    <row r="2782" ht="15.75" customHeight="1">
      <c r="A2782" s="3" t="str">
        <f>IFERROR(__xludf.DUMMYFUNCTION("""COMPUTED_VALUE"""),"")</f>
        <v/>
      </c>
      <c r="B2782" s="3"/>
      <c r="C2782" s="3"/>
      <c r="D2782" s="3"/>
      <c r="E2782" s="3"/>
      <c r="F2782" s="3"/>
      <c r="G2782" s="3"/>
      <c r="H2782" s="3"/>
      <c r="I2782" s="3"/>
      <c r="J2782" s="3"/>
      <c r="K2782" s="3"/>
      <c r="L2782" s="3"/>
      <c r="M2782" s="3"/>
      <c r="N2782" s="3"/>
      <c r="O2782" s="3"/>
      <c r="P2782" s="3"/>
      <c r="Q2782" s="3"/>
      <c r="R2782" s="3"/>
      <c r="S2782" s="3"/>
      <c r="T2782" s="5"/>
      <c r="U2782" s="5"/>
      <c r="V2782" s="5"/>
      <c r="W2782" s="5"/>
    </row>
    <row r="2783" ht="15.75" customHeight="1">
      <c r="A2783" s="3" t="str">
        <f>IFERROR(__xludf.DUMMYFUNCTION("""COMPUTED_VALUE"""),"")</f>
        <v/>
      </c>
      <c r="B2783" s="3"/>
      <c r="C2783" s="3"/>
      <c r="D2783" s="3"/>
      <c r="E2783" s="3"/>
      <c r="F2783" s="3"/>
      <c r="G2783" s="3"/>
      <c r="H2783" s="3"/>
      <c r="I2783" s="3"/>
      <c r="J2783" s="3"/>
      <c r="K2783" s="3"/>
      <c r="L2783" s="3"/>
      <c r="M2783" s="3"/>
      <c r="N2783" s="3"/>
      <c r="O2783" s="3"/>
      <c r="P2783" s="3"/>
      <c r="Q2783" s="3"/>
      <c r="R2783" s="3"/>
      <c r="S2783" s="3"/>
      <c r="T2783" s="5"/>
      <c r="U2783" s="5"/>
      <c r="V2783" s="5"/>
      <c r="W2783" s="5"/>
    </row>
    <row r="2784" ht="15.75" customHeight="1">
      <c r="A2784" s="3" t="str">
        <f>IFERROR(__xludf.DUMMYFUNCTION("""COMPUTED_VALUE"""),"")</f>
        <v/>
      </c>
      <c r="B2784" s="3"/>
      <c r="C2784" s="3"/>
      <c r="D2784" s="3"/>
      <c r="E2784" s="3"/>
      <c r="F2784" s="3"/>
      <c r="G2784" s="3"/>
      <c r="H2784" s="3"/>
      <c r="I2784" s="3"/>
      <c r="J2784" s="3"/>
      <c r="K2784" s="3"/>
      <c r="L2784" s="3"/>
      <c r="M2784" s="3"/>
      <c r="N2784" s="3"/>
      <c r="O2784" s="3"/>
      <c r="P2784" s="3"/>
      <c r="Q2784" s="3"/>
      <c r="R2784" s="3"/>
      <c r="S2784" s="3"/>
      <c r="T2784" s="5"/>
      <c r="U2784" s="5"/>
      <c r="V2784" s="5"/>
      <c r="W2784" s="5"/>
    </row>
    <row r="2785" ht="15.75" customHeight="1">
      <c r="A2785" s="3" t="str">
        <f>IFERROR(__xludf.DUMMYFUNCTION("""COMPUTED_VALUE"""),"")</f>
        <v/>
      </c>
      <c r="B2785" s="3"/>
      <c r="C2785" s="3"/>
      <c r="D2785" s="3"/>
      <c r="E2785" s="3"/>
      <c r="F2785" s="3"/>
      <c r="G2785" s="3"/>
      <c r="H2785" s="3"/>
      <c r="I2785" s="3"/>
      <c r="J2785" s="3"/>
      <c r="K2785" s="3"/>
      <c r="L2785" s="3"/>
      <c r="M2785" s="3"/>
      <c r="N2785" s="3"/>
      <c r="O2785" s="3"/>
      <c r="P2785" s="3"/>
      <c r="Q2785" s="3"/>
      <c r="R2785" s="3"/>
      <c r="S2785" s="3"/>
      <c r="T2785" s="5"/>
      <c r="U2785" s="5"/>
      <c r="V2785" s="5"/>
      <c r="W2785" s="5"/>
    </row>
    <row r="2786" ht="15.75" customHeight="1">
      <c r="A2786" s="3" t="str">
        <f>IFERROR(__xludf.DUMMYFUNCTION("""COMPUTED_VALUE"""),"")</f>
        <v/>
      </c>
      <c r="B2786" s="3"/>
      <c r="C2786" s="3"/>
      <c r="D2786" s="3"/>
      <c r="E2786" s="3"/>
      <c r="F2786" s="3"/>
      <c r="G2786" s="3"/>
      <c r="H2786" s="3"/>
      <c r="I2786" s="3"/>
      <c r="J2786" s="3"/>
      <c r="K2786" s="3"/>
      <c r="L2786" s="3"/>
      <c r="M2786" s="3"/>
      <c r="N2786" s="3"/>
      <c r="O2786" s="3"/>
      <c r="P2786" s="3"/>
      <c r="Q2786" s="3"/>
      <c r="R2786" s="3"/>
      <c r="S2786" s="3"/>
      <c r="T2786" s="5"/>
      <c r="U2786" s="5"/>
      <c r="V2786" s="5"/>
      <c r="W2786" s="5"/>
    </row>
    <row r="2787" ht="15.75" customHeight="1">
      <c r="A2787" s="3" t="str">
        <f>IFERROR(__xludf.DUMMYFUNCTION("""COMPUTED_VALUE"""),"")</f>
        <v/>
      </c>
      <c r="B2787" s="3"/>
      <c r="C2787" s="3"/>
      <c r="D2787" s="3"/>
      <c r="E2787" s="3"/>
      <c r="F2787" s="3"/>
      <c r="G2787" s="3"/>
      <c r="H2787" s="3"/>
      <c r="I2787" s="3"/>
      <c r="J2787" s="3"/>
      <c r="K2787" s="3"/>
      <c r="L2787" s="3"/>
      <c r="M2787" s="3"/>
      <c r="N2787" s="3"/>
      <c r="O2787" s="3"/>
      <c r="P2787" s="3"/>
      <c r="Q2787" s="3"/>
      <c r="R2787" s="3"/>
      <c r="S2787" s="3"/>
      <c r="T2787" s="5"/>
      <c r="U2787" s="5"/>
      <c r="V2787" s="5"/>
      <c r="W2787" s="5"/>
    </row>
    <row r="2788" ht="15.75" customHeight="1">
      <c r="A2788" s="3" t="str">
        <f>IFERROR(__xludf.DUMMYFUNCTION("""COMPUTED_VALUE"""),"")</f>
        <v/>
      </c>
      <c r="B2788" s="3"/>
      <c r="C2788" s="3"/>
      <c r="D2788" s="3"/>
      <c r="E2788" s="3"/>
      <c r="F2788" s="3"/>
      <c r="G2788" s="3"/>
      <c r="H2788" s="3"/>
      <c r="I2788" s="3"/>
      <c r="J2788" s="3"/>
      <c r="K2788" s="3"/>
      <c r="L2788" s="3"/>
      <c r="M2788" s="3"/>
      <c r="N2788" s="3"/>
      <c r="O2788" s="3"/>
      <c r="P2788" s="3"/>
      <c r="Q2788" s="3"/>
      <c r="R2788" s="3"/>
      <c r="S2788" s="3"/>
      <c r="T2788" s="5"/>
      <c r="U2788" s="5"/>
      <c r="V2788" s="5"/>
      <c r="W2788" s="5"/>
    </row>
    <row r="2789" ht="15.75" customHeight="1">
      <c r="A2789" s="3" t="str">
        <f>IFERROR(__xludf.DUMMYFUNCTION("""COMPUTED_VALUE"""),"")</f>
        <v/>
      </c>
      <c r="B2789" s="3"/>
      <c r="C2789" s="3"/>
      <c r="D2789" s="3"/>
      <c r="E2789" s="3"/>
      <c r="F2789" s="3"/>
      <c r="G2789" s="3"/>
      <c r="H2789" s="3"/>
      <c r="I2789" s="3"/>
      <c r="J2789" s="3"/>
      <c r="K2789" s="3"/>
      <c r="L2789" s="3"/>
      <c r="M2789" s="3"/>
      <c r="N2789" s="3"/>
      <c r="O2789" s="3"/>
      <c r="P2789" s="3"/>
      <c r="Q2789" s="3"/>
      <c r="R2789" s="3"/>
      <c r="S2789" s="3"/>
      <c r="T2789" s="5"/>
      <c r="U2789" s="5"/>
      <c r="V2789" s="5"/>
      <c r="W2789" s="5"/>
    </row>
    <row r="2790" ht="15.75" customHeight="1">
      <c r="A2790" s="3" t="str">
        <f>IFERROR(__xludf.DUMMYFUNCTION("""COMPUTED_VALUE"""),"")</f>
        <v/>
      </c>
      <c r="B2790" s="3"/>
      <c r="C2790" s="3"/>
      <c r="D2790" s="3"/>
      <c r="E2790" s="3"/>
      <c r="F2790" s="3"/>
      <c r="G2790" s="3"/>
      <c r="H2790" s="3"/>
      <c r="I2790" s="3"/>
      <c r="J2790" s="3"/>
      <c r="K2790" s="3"/>
      <c r="L2790" s="3"/>
      <c r="M2790" s="3"/>
      <c r="N2790" s="3"/>
      <c r="O2790" s="3"/>
      <c r="P2790" s="3"/>
      <c r="Q2790" s="3"/>
      <c r="R2790" s="3"/>
      <c r="S2790" s="3"/>
      <c r="T2790" s="5"/>
      <c r="U2790" s="5"/>
      <c r="V2790" s="5"/>
      <c r="W2790" s="5"/>
    </row>
    <row r="2791" ht="15.75" customHeight="1">
      <c r="A2791" s="3" t="str">
        <f>IFERROR(__xludf.DUMMYFUNCTION("""COMPUTED_VALUE"""),"")</f>
        <v/>
      </c>
      <c r="B2791" s="3"/>
      <c r="C2791" s="3"/>
      <c r="D2791" s="3"/>
      <c r="E2791" s="3"/>
      <c r="F2791" s="3"/>
      <c r="G2791" s="3"/>
      <c r="H2791" s="3"/>
      <c r="I2791" s="3"/>
      <c r="J2791" s="3"/>
      <c r="K2791" s="3"/>
      <c r="L2791" s="3"/>
      <c r="M2791" s="3"/>
      <c r="N2791" s="3"/>
      <c r="O2791" s="3"/>
      <c r="P2791" s="3"/>
      <c r="Q2791" s="3"/>
      <c r="R2791" s="3"/>
      <c r="S2791" s="3"/>
      <c r="T2791" s="5"/>
      <c r="U2791" s="5"/>
      <c r="V2791" s="5"/>
      <c r="W2791" s="5"/>
    </row>
    <row r="2792" ht="15.75" customHeight="1">
      <c r="A2792" s="3" t="str">
        <f>IFERROR(__xludf.DUMMYFUNCTION("""COMPUTED_VALUE"""),"")</f>
        <v/>
      </c>
      <c r="B2792" s="3"/>
      <c r="C2792" s="3"/>
      <c r="D2792" s="3"/>
      <c r="E2792" s="3"/>
      <c r="F2792" s="3"/>
      <c r="G2792" s="3"/>
      <c r="H2792" s="3"/>
      <c r="I2792" s="3"/>
      <c r="J2792" s="3"/>
      <c r="K2792" s="3"/>
      <c r="L2792" s="3"/>
      <c r="M2792" s="3"/>
      <c r="N2792" s="3"/>
      <c r="O2792" s="3"/>
      <c r="P2792" s="3"/>
      <c r="Q2792" s="3"/>
      <c r="R2792" s="3"/>
      <c r="S2792" s="3"/>
      <c r="T2792" s="5"/>
      <c r="U2792" s="5"/>
      <c r="V2792" s="5"/>
      <c r="W2792" s="5"/>
    </row>
    <row r="2793" ht="15.75" customHeight="1">
      <c r="A2793" s="3" t="str">
        <f>IFERROR(__xludf.DUMMYFUNCTION("""COMPUTED_VALUE"""),"")</f>
        <v/>
      </c>
      <c r="B2793" s="3"/>
      <c r="C2793" s="3"/>
      <c r="D2793" s="3"/>
      <c r="E2793" s="3"/>
      <c r="F2793" s="3"/>
      <c r="G2793" s="3"/>
      <c r="H2793" s="3"/>
      <c r="I2793" s="3"/>
      <c r="J2793" s="3"/>
      <c r="K2793" s="3"/>
      <c r="L2793" s="3"/>
      <c r="M2793" s="3"/>
      <c r="N2793" s="3"/>
      <c r="O2793" s="3"/>
      <c r="P2793" s="3"/>
      <c r="Q2793" s="3"/>
      <c r="R2793" s="3"/>
      <c r="S2793" s="3"/>
      <c r="T2793" s="5"/>
      <c r="U2793" s="5"/>
      <c r="V2793" s="5"/>
      <c r="W2793" s="5"/>
    </row>
    <row r="2794" ht="15.75" customHeight="1">
      <c r="A2794" s="3" t="str">
        <f>IFERROR(__xludf.DUMMYFUNCTION("""COMPUTED_VALUE"""),"")</f>
        <v/>
      </c>
      <c r="B2794" s="3"/>
      <c r="C2794" s="3"/>
      <c r="D2794" s="3"/>
      <c r="E2794" s="3"/>
      <c r="F2794" s="3"/>
      <c r="G2794" s="3"/>
      <c r="H2794" s="3"/>
      <c r="I2794" s="3"/>
      <c r="J2794" s="3"/>
      <c r="K2794" s="3"/>
      <c r="L2794" s="3"/>
      <c r="M2794" s="3"/>
      <c r="N2794" s="3"/>
      <c r="O2794" s="3"/>
      <c r="P2794" s="3"/>
      <c r="Q2794" s="3"/>
      <c r="R2794" s="3"/>
      <c r="S2794" s="3"/>
      <c r="T2794" s="5"/>
      <c r="U2794" s="5"/>
      <c r="V2794" s="5"/>
      <c r="W2794" s="5"/>
    </row>
    <row r="2795" ht="15.75" customHeight="1">
      <c r="A2795" s="3" t="str">
        <f>IFERROR(__xludf.DUMMYFUNCTION("""COMPUTED_VALUE"""),"")</f>
        <v/>
      </c>
      <c r="B2795" s="3"/>
      <c r="C2795" s="3"/>
      <c r="D2795" s="3"/>
      <c r="E2795" s="3"/>
      <c r="F2795" s="3"/>
      <c r="G2795" s="3"/>
      <c r="H2795" s="3"/>
      <c r="I2795" s="3"/>
      <c r="J2795" s="3"/>
      <c r="K2795" s="3"/>
      <c r="L2795" s="3"/>
      <c r="M2795" s="3"/>
      <c r="N2795" s="3"/>
      <c r="O2795" s="3"/>
      <c r="P2795" s="3"/>
      <c r="Q2795" s="3"/>
      <c r="R2795" s="3"/>
      <c r="S2795" s="3"/>
      <c r="T2795" s="5"/>
      <c r="U2795" s="5"/>
      <c r="V2795" s="5"/>
      <c r="W2795" s="5"/>
    </row>
    <row r="2796" ht="15.75" customHeight="1">
      <c r="A2796" s="3" t="str">
        <f>IFERROR(__xludf.DUMMYFUNCTION("""COMPUTED_VALUE"""),"")</f>
        <v/>
      </c>
      <c r="B2796" s="3"/>
      <c r="C2796" s="3"/>
      <c r="D2796" s="3"/>
      <c r="E2796" s="3"/>
      <c r="F2796" s="3"/>
      <c r="G2796" s="3"/>
      <c r="H2796" s="3"/>
      <c r="I2796" s="3"/>
      <c r="J2796" s="3"/>
      <c r="K2796" s="3"/>
      <c r="L2796" s="3"/>
      <c r="M2796" s="3"/>
      <c r="N2796" s="3"/>
      <c r="O2796" s="3"/>
      <c r="P2796" s="3"/>
      <c r="Q2796" s="3"/>
      <c r="R2796" s="3"/>
      <c r="S2796" s="3"/>
      <c r="T2796" s="5"/>
      <c r="U2796" s="5"/>
      <c r="V2796" s="5"/>
      <c r="W2796" s="5"/>
    </row>
    <row r="2797" ht="15.75" customHeight="1">
      <c r="A2797" s="3" t="str">
        <f>IFERROR(__xludf.DUMMYFUNCTION("""COMPUTED_VALUE"""),"")</f>
        <v/>
      </c>
      <c r="B2797" s="3"/>
      <c r="C2797" s="3"/>
      <c r="D2797" s="3"/>
      <c r="E2797" s="3"/>
      <c r="F2797" s="3"/>
      <c r="G2797" s="3"/>
      <c r="H2797" s="3"/>
      <c r="I2797" s="3"/>
      <c r="J2797" s="3"/>
      <c r="K2797" s="3"/>
      <c r="L2797" s="3"/>
      <c r="M2797" s="3"/>
      <c r="N2797" s="3"/>
      <c r="O2797" s="3"/>
      <c r="P2797" s="3"/>
      <c r="Q2797" s="3"/>
      <c r="R2797" s="3"/>
      <c r="S2797" s="3"/>
      <c r="T2797" s="5"/>
      <c r="U2797" s="5"/>
      <c r="V2797" s="5"/>
      <c r="W2797" s="5"/>
    </row>
    <row r="2798" ht="15.75" customHeight="1">
      <c r="A2798" s="3" t="str">
        <f>IFERROR(__xludf.DUMMYFUNCTION("""COMPUTED_VALUE"""),"")</f>
        <v/>
      </c>
      <c r="B2798" s="3"/>
      <c r="C2798" s="3"/>
      <c r="D2798" s="3"/>
      <c r="E2798" s="3"/>
      <c r="F2798" s="3"/>
      <c r="G2798" s="3"/>
      <c r="H2798" s="3"/>
      <c r="I2798" s="3"/>
      <c r="J2798" s="3"/>
      <c r="K2798" s="3"/>
      <c r="L2798" s="3"/>
      <c r="M2798" s="3"/>
      <c r="N2798" s="3"/>
      <c r="O2798" s="3"/>
      <c r="P2798" s="3"/>
      <c r="Q2798" s="3"/>
      <c r="R2798" s="3"/>
      <c r="S2798" s="3"/>
      <c r="T2798" s="5"/>
      <c r="U2798" s="5"/>
      <c r="V2798" s="5"/>
      <c r="W2798" s="5"/>
    </row>
    <row r="2799" ht="15.75" customHeight="1">
      <c r="A2799" s="3" t="str">
        <f>IFERROR(__xludf.DUMMYFUNCTION("""COMPUTED_VALUE"""),"")</f>
        <v/>
      </c>
      <c r="B2799" s="3"/>
      <c r="C2799" s="3"/>
      <c r="D2799" s="3"/>
      <c r="E2799" s="3"/>
      <c r="F2799" s="3"/>
      <c r="G2799" s="3"/>
      <c r="H2799" s="3"/>
      <c r="I2799" s="3"/>
      <c r="J2799" s="3"/>
      <c r="K2799" s="3"/>
      <c r="L2799" s="3"/>
      <c r="M2799" s="3"/>
      <c r="N2799" s="3"/>
      <c r="O2799" s="3"/>
      <c r="P2799" s="3"/>
      <c r="Q2799" s="3"/>
      <c r="R2799" s="3"/>
      <c r="S2799" s="3"/>
      <c r="T2799" s="5"/>
      <c r="U2799" s="5"/>
      <c r="V2799" s="5"/>
      <c r="W2799" s="5"/>
    </row>
    <row r="2800" ht="15.75" customHeight="1">
      <c r="A2800" s="3" t="str">
        <f>IFERROR(__xludf.DUMMYFUNCTION("""COMPUTED_VALUE"""),"")</f>
        <v/>
      </c>
      <c r="B2800" s="3"/>
      <c r="C2800" s="3"/>
      <c r="D2800" s="3"/>
      <c r="E2800" s="3"/>
      <c r="F2800" s="3"/>
      <c r="G2800" s="3"/>
      <c r="H2800" s="3"/>
      <c r="I2800" s="3"/>
      <c r="J2800" s="3"/>
      <c r="K2800" s="3"/>
      <c r="L2800" s="3"/>
      <c r="M2800" s="3"/>
      <c r="N2800" s="3"/>
      <c r="O2800" s="3"/>
      <c r="P2800" s="3"/>
      <c r="Q2800" s="3"/>
      <c r="R2800" s="3"/>
      <c r="S2800" s="3"/>
      <c r="T2800" s="5"/>
      <c r="U2800" s="5"/>
      <c r="V2800" s="5"/>
      <c r="W2800" s="5"/>
    </row>
    <row r="2801" ht="15.75" customHeight="1">
      <c r="A2801" s="3" t="str">
        <f>IFERROR(__xludf.DUMMYFUNCTION("""COMPUTED_VALUE"""),"")</f>
        <v/>
      </c>
      <c r="B2801" s="3"/>
      <c r="C2801" s="3"/>
      <c r="D2801" s="3"/>
      <c r="E2801" s="3"/>
      <c r="F2801" s="3"/>
      <c r="G2801" s="3"/>
      <c r="H2801" s="3"/>
      <c r="I2801" s="3"/>
      <c r="J2801" s="3"/>
      <c r="K2801" s="3"/>
      <c r="L2801" s="3"/>
      <c r="M2801" s="3"/>
      <c r="N2801" s="3"/>
      <c r="O2801" s="3"/>
      <c r="P2801" s="3"/>
      <c r="Q2801" s="3"/>
      <c r="R2801" s="3"/>
      <c r="S2801" s="3"/>
      <c r="T2801" s="5"/>
      <c r="U2801" s="5"/>
      <c r="V2801" s="5"/>
      <c r="W2801" s="5"/>
    </row>
    <row r="2802" ht="15.75" customHeight="1">
      <c r="A2802" s="3" t="str">
        <f>IFERROR(__xludf.DUMMYFUNCTION("""COMPUTED_VALUE"""),"")</f>
        <v/>
      </c>
      <c r="B2802" s="3"/>
      <c r="C2802" s="3"/>
      <c r="D2802" s="3"/>
      <c r="E2802" s="3"/>
      <c r="F2802" s="3"/>
      <c r="G2802" s="3"/>
      <c r="H2802" s="3"/>
      <c r="I2802" s="3"/>
      <c r="J2802" s="3"/>
      <c r="K2802" s="3"/>
      <c r="L2802" s="3"/>
      <c r="M2802" s="3"/>
      <c r="N2802" s="3"/>
      <c r="O2802" s="3"/>
      <c r="P2802" s="3"/>
      <c r="Q2802" s="3"/>
      <c r="R2802" s="3"/>
      <c r="S2802" s="3"/>
      <c r="T2802" s="5"/>
      <c r="U2802" s="5"/>
      <c r="V2802" s="5"/>
      <c r="W2802" s="5"/>
    </row>
    <row r="2803" ht="15.75" customHeight="1">
      <c r="A2803" s="3" t="str">
        <f>IFERROR(__xludf.DUMMYFUNCTION("""COMPUTED_VALUE"""),"")</f>
        <v/>
      </c>
      <c r="B2803" s="3"/>
      <c r="C2803" s="3"/>
      <c r="D2803" s="3"/>
      <c r="E2803" s="3"/>
      <c r="F2803" s="3"/>
      <c r="G2803" s="3"/>
      <c r="H2803" s="3"/>
      <c r="I2803" s="3"/>
      <c r="J2803" s="3"/>
      <c r="K2803" s="3"/>
      <c r="L2803" s="3"/>
      <c r="M2803" s="3"/>
      <c r="N2803" s="3"/>
      <c r="O2803" s="3"/>
      <c r="P2803" s="3"/>
      <c r="Q2803" s="3"/>
      <c r="R2803" s="3"/>
      <c r="S2803" s="3"/>
      <c r="T2803" s="5"/>
      <c r="U2803" s="5"/>
      <c r="V2803" s="5"/>
      <c r="W2803" s="5"/>
    </row>
    <row r="2804" ht="15.75" customHeight="1">
      <c r="A2804" s="3" t="str">
        <f>IFERROR(__xludf.DUMMYFUNCTION("""COMPUTED_VALUE"""),"")</f>
        <v/>
      </c>
      <c r="B2804" s="3"/>
      <c r="C2804" s="3"/>
      <c r="D2804" s="3"/>
      <c r="E2804" s="3"/>
      <c r="F2804" s="3"/>
      <c r="G2804" s="3"/>
      <c r="H2804" s="3"/>
      <c r="I2804" s="3"/>
      <c r="J2804" s="3"/>
      <c r="K2804" s="3"/>
      <c r="L2804" s="3"/>
      <c r="M2804" s="3"/>
      <c r="N2804" s="3"/>
      <c r="O2804" s="3"/>
      <c r="P2804" s="3"/>
      <c r="Q2804" s="3"/>
      <c r="R2804" s="3"/>
      <c r="S2804" s="3"/>
      <c r="T2804" s="5"/>
      <c r="U2804" s="5"/>
      <c r="V2804" s="5"/>
      <c r="W2804" s="5"/>
    </row>
    <row r="2805" ht="15.75" customHeight="1">
      <c r="A2805" s="3" t="str">
        <f>IFERROR(__xludf.DUMMYFUNCTION("""COMPUTED_VALUE"""),"")</f>
        <v/>
      </c>
      <c r="B2805" s="3"/>
      <c r="C2805" s="3"/>
      <c r="D2805" s="3"/>
      <c r="E2805" s="3"/>
      <c r="F2805" s="3"/>
      <c r="G2805" s="3"/>
      <c r="H2805" s="3"/>
      <c r="I2805" s="3"/>
      <c r="J2805" s="3"/>
      <c r="K2805" s="3"/>
      <c r="L2805" s="3"/>
      <c r="M2805" s="3"/>
      <c r="N2805" s="3"/>
      <c r="O2805" s="3"/>
      <c r="P2805" s="3"/>
      <c r="Q2805" s="3"/>
      <c r="R2805" s="3"/>
      <c r="S2805" s="3"/>
      <c r="T2805" s="5"/>
      <c r="U2805" s="5"/>
      <c r="V2805" s="5"/>
      <c r="W2805" s="5"/>
    </row>
    <row r="2806" ht="15.75" customHeight="1">
      <c r="A2806" s="3" t="str">
        <f>IFERROR(__xludf.DUMMYFUNCTION("""COMPUTED_VALUE"""),"")</f>
        <v/>
      </c>
      <c r="B2806" s="3"/>
      <c r="C2806" s="3"/>
      <c r="D2806" s="3"/>
      <c r="E2806" s="3"/>
      <c r="F2806" s="3"/>
      <c r="G2806" s="3"/>
      <c r="H2806" s="3"/>
      <c r="I2806" s="3"/>
      <c r="J2806" s="3"/>
      <c r="K2806" s="3"/>
      <c r="L2806" s="3"/>
      <c r="M2806" s="3"/>
      <c r="N2806" s="3"/>
      <c r="O2806" s="3"/>
      <c r="P2806" s="3"/>
      <c r="Q2806" s="3"/>
      <c r="R2806" s="3"/>
      <c r="S2806" s="3"/>
      <c r="T2806" s="5"/>
      <c r="U2806" s="5"/>
      <c r="V2806" s="5"/>
      <c r="W2806" s="5"/>
    </row>
    <row r="2807" ht="15.75" customHeight="1">
      <c r="A2807" s="3" t="str">
        <f>IFERROR(__xludf.DUMMYFUNCTION("""COMPUTED_VALUE"""),"")</f>
        <v/>
      </c>
      <c r="B2807" s="3"/>
      <c r="C2807" s="3"/>
      <c r="D2807" s="3"/>
      <c r="E2807" s="3"/>
      <c r="F2807" s="3"/>
      <c r="G2807" s="3"/>
      <c r="H2807" s="3"/>
      <c r="I2807" s="3"/>
      <c r="J2807" s="3"/>
      <c r="K2807" s="3"/>
      <c r="L2807" s="3"/>
      <c r="M2807" s="3"/>
      <c r="N2807" s="3"/>
      <c r="O2807" s="3"/>
      <c r="P2807" s="3"/>
      <c r="Q2807" s="3"/>
      <c r="R2807" s="3"/>
      <c r="S2807" s="3"/>
      <c r="T2807" s="5"/>
      <c r="U2807" s="5"/>
      <c r="V2807" s="5"/>
      <c r="W2807" s="5"/>
    </row>
    <row r="2808" ht="15.75" customHeight="1">
      <c r="A2808" s="3" t="str">
        <f>IFERROR(__xludf.DUMMYFUNCTION("""COMPUTED_VALUE"""),"")</f>
        <v/>
      </c>
      <c r="B2808" s="3"/>
      <c r="C2808" s="3"/>
      <c r="D2808" s="3"/>
      <c r="E2808" s="3"/>
      <c r="F2808" s="3"/>
      <c r="G2808" s="3"/>
      <c r="H2808" s="3"/>
      <c r="I2808" s="3"/>
      <c r="J2808" s="3"/>
      <c r="K2808" s="3"/>
      <c r="L2808" s="3"/>
      <c r="M2808" s="3"/>
      <c r="N2808" s="3"/>
      <c r="O2808" s="3"/>
      <c r="P2808" s="3"/>
      <c r="Q2808" s="3"/>
      <c r="R2808" s="3"/>
      <c r="S2808" s="3"/>
      <c r="T2808" s="5"/>
      <c r="U2808" s="5"/>
      <c r="V2808" s="5"/>
      <c r="W2808" s="5"/>
    </row>
    <row r="2809" ht="15.75" customHeight="1">
      <c r="A2809" s="3" t="str">
        <f>IFERROR(__xludf.DUMMYFUNCTION("""COMPUTED_VALUE"""),"")</f>
        <v/>
      </c>
      <c r="B2809" s="3"/>
      <c r="C2809" s="3"/>
      <c r="D2809" s="3"/>
      <c r="E2809" s="3"/>
      <c r="F2809" s="3"/>
      <c r="G2809" s="3"/>
      <c r="H2809" s="3"/>
      <c r="I2809" s="3"/>
      <c r="J2809" s="3"/>
      <c r="K2809" s="3"/>
      <c r="L2809" s="3"/>
      <c r="M2809" s="3"/>
      <c r="N2809" s="3"/>
      <c r="O2809" s="3"/>
      <c r="P2809" s="3"/>
      <c r="Q2809" s="3"/>
      <c r="R2809" s="3"/>
      <c r="S2809" s="3"/>
      <c r="T2809" s="5"/>
      <c r="U2809" s="5"/>
      <c r="V2809" s="5"/>
      <c r="W2809" s="5"/>
    </row>
    <row r="2810" ht="15.75" customHeight="1">
      <c r="A2810" s="3" t="str">
        <f>IFERROR(__xludf.DUMMYFUNCTION("""COMPUTED_VALUE"""),"")</f>
        <v/>
      </c>
      <c r="B2810" s="3"/>
      <c r="C2810" s="3"/>
      <c r="D2810" s="3"/>
      <c r="E2810" s="3"/>
      <c r="F2810" s="3"/>
      <c r="G2810" s="3"/>
      <c r="H2810" s="3"/>
      <c r="I2810" s="3"/>
      <c r="J2810" s="3"/>
      <c r="K2810" s="3"/>
      <c r="L2810" s="3"/>
      <c r="M2810" s="3"/>
      <c r="N2810" s="3"/>
      <c r="O2810" s="3"/>
      <c r="P2810" s="3"/>
      <c r="Q2810" s="3"/>
      <c r="R2810" s="3"/>
      <c r="S2810" s="3"/>
      <c r="T2810" s="5"/>
      <c r="U2810" s="5"/>
      <c r="V2810" s="5"/>
      <c r="W2810" s="5"/>
    </row>
    <row r="2811" ht="15.75" customHeight="1">
      <c r="A2811" s="3" t="str">
        <f>IFERROR(__xludf.DUMMYFUNCTION("""COMPUTED_VALUE"""),"")</f>
        <v/>
      </c>
      <c r="B2811" s="3"/>
      <c r="C2811" s="3"/>
      <c r="D2811" s="3"/>
      <c r="E2811" s="3"/>
      <c r="F2811" s="3"/>
      <c r="G2811" s="3"/>
      <c r="H2811" s="3"/>
      <c r="I2811" s="3"/>
      <c r="J2811" s="3"/>
      <c r="K2811" s="3"/>
      <c r="L2811" s="3"/>
      <c r="M2811" s="3"/>
      <c r="N2811" s="3"/>
      <c r="O2811" s="3"/>
      <c r="P2811" s="3"/>
      <c r="Q2811" s="3"/>
      <c r="R2811" s="3"/>
      <c r="S2811" s="3"/>
      <c r="T2811" s="5"/>
      <c r="U2811" s="5"/>
      <c r="V2811" s="5"/>
      <c r="W2811" s="5"/>
    </row>
    <row r="2812" ht="15.75" customHeight="1">
      <c r="A2812" s="3" t="str">
        <f>IFERROR(__xludf.DUMMYFUNCTION("""COMPUTED_VALUE"""),"")</f>
        <v/>
      </c>
      <c r="B2812" s="3"/>
      <c r="C2812" s="3"/>
      <c r="D2812" s="3"/>
      <c r="E2812" s="3"/>
      <c r="F2812" s="3"/>
      <c r="G2812" s="3"/>
      <c r="H2812" s="3"/>
      <c r="I2812" s="3"/>
      <c r="J2812" s="3"/>
      <c r="K2812" s="3"/>
      <c r="L2812" s="3"/>
      <c r="M2812" s="3"/>
      <c r="N2812" s="3"/>
      <c r="O2812" s="3"/>
      <c r="P2812" s="3"/>
      <c r="Q2812" s="3"/>
      <c r="R2812" s="3"/>
      <c r="S2812" s="3"/>
      <c r="T2812" s="5"/>
      <c r="U2812" s="5"/>
      <c r="V2812" s="5"/>
      <c r="W2812" s="5"/>
    </row>
    <row r="2813" ht="15.75" customHeight="1">
      <c r="A2813" s="3" t="str">
        <f>IFERROR(__xludf.DUMMYFUNCTION("""COMPUTED_VALUE"""),"")</f>
        <v/>
      </c>
      <c r="B2813" s="3"/>
      <c r="C2813" s="3"/>
      <c r="D2813" s="3"/>
      <c r="E2813" s="3"/>
      <c r="F2813" s="3"/>
      <c r="G2813" s="3"/>
      <c r="H2813" s="3"/>
      <c r="I2813" s="3"/>
      <c r="J2813" s="3"/>
      <c r="K2813" s="3"/>
      <c r="L2813" s="3"/>
      <c r="M2813" s="3"/>
      <c r="N2813" s="3"/>
      <c r="O2813" s="3"/>
      <c r="P2813" s="3"/>
      <c r="Q2813" s="3"/>
      <c r="R2813" s="3"/>
      <c r="S2813" s="3"/>
      <c r="T2813" s="5"/>
      <c r="U2813" s="5"/>
      <c r="V2813" s="5"/>
      <c r="W2813" s="5"/>
    </row>
    <row r="2814" ht="15.75" customHeight="1">
      <c r="A2814" s="3" t="str">
        <f>IFERROR(__xludf.DUMMYFUNCTION("""COMPUTED_VALUE"""),"")</f>
        <v/>
      </c>
      <c r="B2814" s="3"/>
      <c r="C2814" s="3"/>
      <c r="D2814" s="3"/>
      <c r="E2814" s="3"/>
      <c r="F2814" s="3"/>
      <c r="G2814" s="3"/>
      <c r="H2814" s="3"/>
      <c r="I2814" s="3"/>
      <c r="J2814" s="3"/>
      <c r="K2814" s="3"/>
      <c r="L2814" s="3"/>
      <c r="M2814" s="3"/>
      <c r="N2814" s="3"/>
      <c r="O2814" s="3"/>
      <c r="P2814" s="3"/>
      <c r="Q2814" s="3"/>
      <c r="R2814" s="3"/>
      <c r="S2814" s="3"/>
      <c r="T2814" s="5"/>
      <c r="U2814" s="5"/>
      <c r="V2814" s="5"/>
      <c r="W2814" s="5"/>
    </row>
    <row r="2815" ht="15.75" customHeight="1">
      <c r="A2815" s="3" t="str">
        <f>IFERROR(__xludf.DUMMYFUNCTION("""COMPUTED_VALUE"""),"")</f>
        <v/>
      </c>
      <c r="B2815" s="3"/>
      <c r="C2815" s="3"/>
      <c r="D2815" s="3"/>
      <c r="E2815" s="3"/>
      <c r="F2815" s="3"/>
      <c r="G2815" s="3"/>
      <c r="H2815" s="3"/>
      <c r="I2815" s="3"/>
      <c r="J2815" s="3"/>
      <c r="K2815" s="3"/>
      <c r="L2815" s="3"/>
      <c r="M2815" s="3"/>
      <c r="N2815" s="3"/>
      <c r="O2815" s="3"/>
      <c r="P2815" s="3"/>
      <c r="Q2815" s="3"/>
      <c r="R2815" s="3"/>
      <c r="S2815" s="3"/>
      <c r="T2815" s="5"/>
      <c r="U2815" s="5"/>
      <c r="V2815" s="5"/>
      <c r="W2815" s="5"/>
    </row>
    <row r="2816" ht="15.75" customHeight="1">
      <c r="A2816" s="3" t="str">
        <f>IFERROR(__xludf.DUMMYFUNCTION("""COMPUTED_VALUE"""),"")</f>
        <v/>
      </c>
      <c r="B2816" s="3"/>
      <c r="C2816" s="3"/>
      <c r="D2816" s="3"/>
      <c r="E2816" s="3"/>
      <c r="F2816" s="3"/>
      <c r="G2816" s="3"/>
      <c r="H2816" s="3"/>
      <c r="I2816" s="3"/>
      <c r="J2816" s="3"/>
      <c r="K2816" s="3"/>
      <c r="L2816" s="3"/>
      <c r="M2816" s="3"/>
      <c r="N2816" s="3"/>
      <c r="O2816" s="3"/>
      <c r="P2816" s="3"/>
      <c r="Q2816" s="3"/>
      <c r="R2816" s="3"/>
      <c r="S2816" s="3"/>
      <c r="T2816" s="5"/>
      <c r="U2816" s="5"/>
      <c r="V2816" s="5"/>
      <c r="W2816" s="5"/>
    </row>
    <row r="2817" ht="15.75" customHeight="1">
      <c r="A2817" s="3" t="str">
        <f>IFERROR(__xludf.DUMMYFUNCTION("""COMPUTED_VALUE"""),"")</f>
        <v/>
      </c>
      <c r="B2817" s="3"/>
      <c r="C2817" s="3"/>
      <c r="D2817" s="3"/>
      <c r="E2817" s="3"/>
      <c r="F2817" s="3"/>
      <c r="G2817" s="3"/>
      <c r="H2817" s="3"/>
      <c r="I2817" s="3"/>
      <c r="J2817" s="3"/>
      <c r="K2817" s="3"/>
      <c r="L2817" s="3"/>
      <c r="M2817" s="3"/>
      <c r="N2817" s="3"/>
      <c r="O2817" s="3"/>
      <c r="P2817" s="3"/>
      <c r="Q2817" s="3"/>
      <c r="R2817" s="3"/>
      <c r="S2817" s="3"/>
      <c r="T2817" s="5"/>
      <c r="U2817" s="5"/>
      <c r="V2817" s="5"/>
      <c r="W2817" s="5"/>
    </row>
    <row r="2818" ht="15.75" customHeight="1">
      <c r="A2818" s="3" t="str">
        <f>IFERROR(__xludf.DUMMYFUNCTION("""COMPUTED_VALUE"""),"")</f>
        <v/>
      </c>
      <c r="B2818" s="3"/>
      <c r="C2818" s="3"/>
      <c r="D2818" s="3"/>
      <c r="E2818" s="3"/>
      <c r="F2818" s="3"/>
      <c r="G2818" s="3"/>
      <c r="H2818" s="3"/>
      <c r="I2818" s="3"/>
      <c r="J2818" s="3"/>
      <c r="K2818" s="3"/>
      <c r="L2818" s="3"/>
      <c r="M2818" s="3"/>
      <c r="N2818" s="3"/>
      <c r="O2818" s="3"/>
      <c r="P2818" s="3"/>
      <c r="Q2818" s="3"/>
      <c r="R2818" s="3"/>
      <c r="S2818" s="3"/>
      <c r="T2818" s="5"/>
      <c r="U2818" s="5"/>
      <c r="V2818" s="5"/>
      <c r="W2818" s="5"/>
    </row>
    <row r="2819" ht="15.75" customHeight="1">
      <c r="A2819" s="3" t="str">
        <f>IFERROR(__xludf.DUMMYFUNCTION("""COMPUTED_VALUE"""),"")</f>
        <v/>
      </c>
      <c r="B2819" s="3"/>
      <c r="C2819" s="3"/>
      <c r="D2819" s="3"/>
      <c r="E2819" s="3"/>
      <c r="F2819" s="3"/>
      <c r="G2819" s="3"/>
      <c r="H2819" s="3"/>
      <c r="I2819" s="3"/>
      <c r="J2819" s="3"/>
      <c r="K2819" s="3"/>
      <c r="L2819" s="3"/>
      <c r="M2819" s="3"/>
      <c r="N2819" s="3"/>
      <c r="O2819" s="3"/>
      <c r="P2819" s="3"/>
      <c r="Q2819" s="3"/>
      <c r="R2819" s="3"/>
      <c r="S2819" s="3"/>
      <c r="T2819" s="5"/>
      <c r="U2819" s="5"/>
      <c r="V2819" s="5"/>
      <c r="W2819" s="5"/>
    </row>
    <row r="2820" ht="15.75" customHeight="1">
      <c r="A2820" s="3" t="str">
        <f>IFERROR(__xludf.DUMMYFUNCTION("""COMPUTED_VALUE"""),"")</f>
        <v/>
      </c>
      <c r="B2820" s="3"/>
      <c r="C2820" s="3"/>
      <c r="D2820" s="3"/>
      <c r="E2820" s="3"/>
      <c r="F2820" s="3"/>
      <c r="G2820" s="3"/>
      <c r="H2820" s="3"/>
      <c r="I2820" s="3"/>
      <c r="J2820" s="3"/>
      <c r="K2820" s="3"/>
      <c r="L2820" s="3"/>
      <c r="M2820" s="3"/>
      <c r="N2820" s="3"/>
      <c r="O2820" s="3"/>
      <c r="P2820" s="3"/>
      <c r="Q2820" s="3"/>
      <c r="R2820" s="3"/>
      <c r="S2820" s="3"/>
      <c r="T2820" s="5"/>
      <c r="U2820" s="5"/>
      <c r="V2820" s="5"/>
      <c r="W2820" s="5"/>
    </row>
    <row r="2821" ht="15.75" customHeight="1">
      <c r="A2821" s="3" t="str">
        <f>IFERROR(__xludf.DUMMYFUNCTION("""COMPUTED_VALUE"""),"")</f>
        <v/>
      </c>
      <c r="B2821" s="3"/>
      <c r="C2821" s="3"/>
      <c r="D2821" s="3"/>
      <c r="E2821" s="3"/>
      <c r="F2821" s="3"/>
      <c r="G2821" s="3"/>
      <c r="H2821" s="3"/>
      <c r="I2821" s="3"/>
      <c r="J2821" s="3"/>
      <c r="K2821" s="3"/>
      <c r="L2821" s="3"/>
      <c r="M2821" s="3"/>
      <c r="N2821" s="3"/>
      <c r="O2821" s="3"/>
      <c r="P2821" s="3"/>
      <c r="Q2821" s="3"/>
      <c r="R2821" s="3"/>
      <c r="S2821" s="3"/>
      <c r="T2821" s="5"/>
      <c r="U2821" s="5"/>
      <c r="V2821" s="5"/>
      <c r="W2821" s="5"/>
    </row>
    <row r="2822" ht="15.75" customHeight="1">
      <c r="A2822" s="3" t="str">
        <f>IFERROR(__xludf.DUMMYFUNCTION("""COMPUTED_VALUE"""),"")</f>
        <v/>
      </c>
      <c r="B2822" s="3"/>
      <c r="C2822" s="3"/>
      <c r="D2822" s="3"/>
      <c r="E2822" s="3"/>
      <c r="F2822" s="3"/>
      <c r="G2822" s="3"/>
      <c r="H2822" s="3"/>
      <c r="I2822" s="3"/>
      <c r="J2822" s="3"/>
      <c r="K2822" s="3"/>
      <c r="L2822" s="3"/>
      <c r="M2822" s="3"/>
      <c r="N2822" s="3"/>
      <c r="O2822" s="3"/>
      <c r="P2822" s="3"/>
      <c r="Q2822" s="3"/>
      <c r="R2822" s="3"/>
      <c r="S2822" s="3"/>
      <c r="T2822" s="5"/>
      <c r="U2822" s="5"/>
      <c r="V2822" s="5"/>
      <c r="W2822" s="5"/>
    </row>
    <row r="2823" ht="15.75" customHeight="1">
      <c r="A2823" s="3" t="str">
        <f>IFERROR(__xludf.DUMMYFUNCTION("""COMPUTED_VALUE"""),"")</f>
        <v/>
      </c>
      <c r="B2823" s="3"/>
      <c r="C2823" s="3"/>
      <c r="D2823" s="3"/>
      <c r="E2823" s="3"/>
      <c r="F2823" s="3"/>
      <c r="G2823" s="3"/>
      <c r="H2823" s="3"/>
      <c r="I2823" s="3"/>
      <c r="J2823" s="3"/>
      <c r="K2823" s="3"/>
      <c r="L2823" s="3"/>
      <c r="M2823" s="3"/>
      <c r="N2823" s="3"/>
      <c r="O2823" s="3"/>
      <c r="P2823" s="3"/>
      <c r="Q2823" s="3"/>
      <c r="R2823" s="3"/>
      <c r="S2823" s="3"/>
      <c r="T2823" s="5"/>
      <c r="U2823" s="5"/>
      <c r="V2823" s="5"/>
      <c r="W2823" s="5"/>
    </row>
    <row r="2824" ht="15.75" customHeight="1">
      <c r="A2824" s="3" t="str">
        <f>IFERROR(__xludf.DUMMYFUNCTION("""COMPUTED_VALUE"""),"")</f>
        <v/>
      </c>
      <c r="B2824" s="3"/>
      <c r="C2824" s="3"/>
      <c r="D2824" s="3"/>
      <c r="E2824" s="3"/>
      <c r="F2824" s="3"/>
      <c r="G2824" s="3"/>
      <c r="H2824" s="3"/>
      <c r="I2824" s="3"/>
      <c r="J2824" s="3"/>
      <c r="K2824" s="3"/>
      <c r="L2824" s="3"/>
      <c r="M2824" s="3"/>
      <c r="N2824" s="3"/>
      <c r="O2824" s="3"/>
      <c r="P2824" s="3"/>
      <c r="Q2824" s="3"/>
      <c r="R2824" s="3"/>
      <c r="S2824" s="3"/>
      <c r="T2824" s="5"/>
      <c r="U2824" s="5"/>
      <c r="V2824" s="5"/>
      <c r="W2824" s="5"/>
    </row>
    <row r="2825" ht="15.75" customHeight="1">
      <c r="A2825" s="3" t="str">
        <f>IFERROR(__xludf.DUMMYFUNCTION("""COMPUTED_VALUE"""),"")</f>
        <v/>
      </c>
      <c r="B2825" s="3"/>
      <c r="C2825" s="3"/>
      <c r="D2825" s="3"/>
      <c r="E2825" s="3"/>
      <c r="F2825" s="3"/>
      <c r="G2825" s="3"/>
      <c r="H2825" s="3"/>
      <c r="I2825" s="3"/>
      <c r="J2825" s="3"/>
      <c r="K2825" s="3"/>
      <c r="L2825" s="3"/>
      <c r="M2825" s="3"/>
      <c r="N2825" s="3"/>
      <c r="O2825" s="3"/>
      <c r="P2825" s="3"/>
      <c r="Q2825" s="3"/>
      <c r="R2825" s="3"/>
      <c r="S2825" s="3"/>
      <c r="T2825" s="5"/>
      <c r="U2825" s="5"/>
      <c r="V2825" s="5"/>
      <c r="W2825" s="5"/>
    </row>
    <row r="2826" ht="15.75" customHeight="1">
      <c r="A2826" s="3" t="str">
        <f>IFERROR(__xludf.DUMMYFUNCTION("""COMPUTED_VALUE"""),"")</f>
        <v/>
      </c>
      <c r="B2826" s="3"/>
      <c r="C2826" s="3"/>
      <c r="D2826" s="3"/>
      <c r="E2826" s="3"/>
      <c r="F2826" s="3"/>
      <c r="G2826" s="3"/>
      <c r="H2826" s="3"/>
      <c r="I2826" s="3"/>
      <c r="J2826" s="3"/>
      <c r="K2826" s="3"/>
      <c r="L2826" s="3"/>
      <c r="M2826" s="3"/>
      <c r="N2826" s="3"/>
      <c r="O2826" s="3"/>
      <c r="P2826" s="3"/>
      <c r="Q2826" s="3"/>
      <c r="R2826" s="3"/>
      <c r="S2826" s="3"/>
      <c r="T2826" s="5"/>
      <c r="U2826" s="5"/>
      <c r="V2826" s="5"/>
      <c r="W2826" s="5"/>
    </row>
    <row r="2827" ht="15.75" customHeight="1">
      <c r="A2827" s="3" t="str">
        <f>IFERROR(__xludf.DUMMYFUNCTION("""COMPUTED_VALUE"""),"")</f>
        <v/>
      </c>
      <c r="B2827" s="3"/>
      <c r="C2827" s="3"/>
      <c r="D2827" s="3"/>
      <c r="E2827" s="3"/>
      <c r="F2827" s="3"/>
      <c r="G2827" s="3"/>
      <c r="H2827" s="3"/>
      <c r="I2827" s="3"/>
      <c r="J2827" s="3"/>
      <c r="K2827" s="3"/>
      <c r="L2827" s="3"/>
      <c r="M2827" s="3"/>
      <c r="N2827" s="3"/>
      <c r="O2827" s="3"/>
      <c r="P2827" s="3"/>
      <c r="Q2827" s="3"/>
      <c r="R2827" s="3"/>
      <c r="S2827" s="3"/>
      <c r="T2827" s="5"/>
      <c r="U2827" s="5"/>
      <c r="V2827" s="5"/>
      <c r="W2827" s="5"/>
    </row>
    <row r="2828" ht="15.75" customHeight="1">
      <c r="A2828" s="3" t="str">
        <f>IFERROR(__xludf.DUMMYFUNCTION("""COMPUTED_VALUE"""),"")</f>
        <v/>
      </c>
      <c r="B2828" s="3"/>
      <c r="C2828" s="3"/>
      <c r="D2828" s="3"/>
      <c r="E2828" s="3"/>
      <c r="F2828" s="3"/>
      <c r="G2828" s="3"/>
      <c r="H2828" s="3"/>
      <c r="I2828" s="3"/>
      <c r="J2828" s="3"/>
      <c r="K2828" s="3"/>
      <c r="L2828" s="3"/>
      <c r="M2828" s="3"/>
      <c r="N2828" s="3"/>
      <c r="O2828" s="3"/>
      <c r="P2828" s="3"/>
      <c r="Q2828" s="3"/>
      <c r="R2828" s="3"/>
      <c r="S2828" s="3"/>
      <c r="T2828" s="5"/>
      <c r="U2828" s="5"/>
      <c r="V2828" s="5"/>
      <c r="W2828" s="5"/>
    </row>
    <row r="2829" ht="15.75" customHeight="1">
      <c r="A2829" s="3" t="str">
        <f>IFERROR(__xludf.DUMMYFUNCTION("""COMPUTED_VALUE"""),"")</f>
        <v/>
      </c>
      <c r="B2829" s="3"/>
      <c r="C2829" s="3"/>
      <c r="D2829" s="3"/>
      <c r="E2829" s="3"/>
      <c r="F2829" s="3"/>
      <c r="G2829" s="3"/>
      <c r="H2829" s="3"/>
      <c r="I2829" s="3"/>
      <c r="J2829" s="3"/>
      <c r="K2829" s="3"/>
      <c r="L2829" s="3"/>
      <c r="M2829" s="3"/>
      <c r="N2829" s="3"/>
      <c r="O2829" s="3"/>
      <c r="P2829" s="3"/>
      <c r="Q2829" s="3"/>
      <c r="R2829" s="3"/>
      <c r="S2829" s="3"/>
      <c r="T2829" s="5"/>
      <c r="U2829" s="5"/>
      <c r="V2829" s="5"/>
      <c r="W2829" s="5"/>
    </row>
    <row r="2830" ht="15.75" customHeight="1">
      <c r="A2830" s="3" t="str">
        <f>IFERROR(__xludf.DUMMYFUNCTION("""COMPUTED_VALUE"""),"")</f>
        <v/>
      </c>
      <c r="B2830" s="3"/>
      <c r="C2830" s="3"/>
      <c r="D2830" s="3"/>
      <c r="E2830" s="3"/>
      <c r="F2830" s="3"/>
      <c r="G2830" s="3"/>
      <c r="H2830" s="3"/>
      <c r="I2830" s="3"/>
      <c r="J2830" s="3"/>
      <c r="K2830" s="3"/>
      <c r="L2830" s="3"/>
      <c r="M2830" s="3"/>
      <c r="N2830" s="3"/>
      <c r="O2830" s="3"/>
      <c r="P2830" s="3"/>
      <c r="Q2830" s="3"/>
      <c r="R2830" s="3"/>
      <c r="S2830" s="3"/>
      <c r="T2830" s="5"/>
      <c r="U2830" s="5"/>
      <c r="V2830" s="5"/>
      <c r="W2830" s="5"/>
    </row>
    <row r="2831" ht="15.75" customHeight="1">
      <c r="A2831" s="3" t="str">
        <f>IFERROR(__xludf.DUMMYFUNCTION("""COMPUTED_VALUE"""),"")</f>
        <v/>
      </c>
      <c r="B2831" s="3"/>
      <c r="C2831" s="3"/>
      <c r="D2831" s="3"/>
      <c r="E2831" s="3"/>
      <c r="F2831" s="3"/>
      <c r="G2831" s="3"/>
      <c r="H2831" s="3"/>
      <c r="I2831" s="3"/>
      <c r="J2831" s="3"/>
      <c r="K2831" s="3"/>
      <c r="L2831" s="3"/>
      <c r="M2831" s="3"/>
      <c r="N2831" s="3"/>
      <c r="O2831" s="3"/>
      <c r="P2831" s="3"/>
      <c r="Q2831" s="3"/>
      <c r="R2831" s="3"/>
      <c r="S2831" s="3"/>
      <c r="T2831" s="5"/>
      <c r="U2831" s="5"/>
      <c r="V2831" s="5"/>
      <c r="W2831" s="5"/>
    </row>
    <row r="2832" ht="15.75" customHeight="1">
      <c r="A2832" s="3" t="str">
        <f>IFERROR(__xludf.DUMMYFUNCTION("""COMPUTED_VALUE"""),"")</f>
        <v/>
      </c>
      <c r="B2832" s="3"/>
      <c r="C2832" s="3"/>
      <c r="D2832" s="3"/>
      <c r="E2832" s="3"/>
      <c r="F2832" s="3"/>
      <c r="G2832" s="3"/>
      <c r="H2832" s="3"/>
      <c r="I2832" s="3"/>
      <c r="J2832" s="3"/>
      <c r="K2832" s="3"/>
      <c r="L2832" s="3"/>
      <c r="M2832" s="3"/>
      <c r="N2832" s="3"/>
      <c r="O2832" s="3"/>
      <c r="P2832" s="3"/>
      <c r="Q2832" s="3"/>
      <c r="R2832" s="3"/>
      <c r="S2832" s="3"/>
      <c r="T2832" s="5"/>
      <c r="U2832" s="5"/>
      <c r="V2832" s="5"/>
      <c r="W2832" s="5"/>
    </row>
    <row r="2833" ht="15.75" customHeight="1">
      <c r="A2833" s="3" t="str">
        <f>IFERROR(__xludf.DUMMYFUNCTION("""COMPUTED_VALUE"""),"")</f>
        <v/>
      </c>
      <c r="B2833" s="3"/>
      <c r="C2833" s="3"/>
      <c r="D2833" s="3"/>
      <c r="E2833" s="3"/>
      <c r="F2833" s="3"/>
      <c r="G2833" s="3"/>
      <c r="H2833" s="3"/>
      <c r="I2833" s="3"/>
      <c r="J2833" s="3"/>
      <c r="K2833" s="3"/>
      <c r="L2833" s="3"/>
      <c r="M2833" s="3"/>
      <c r="N2833" s="3"/>
      <c r="O2833" s="3"/>
      <c r="P2833" s="3"/>
      <c r="Q2833" s="3"/>
      <c r="R2833" s="3"/>
      <c r="S2833" s="3"/>
      <c r="T2833" s="5"/>
      <c r="U2833" s="5"/>
      <c r="V2833" s="5"/>
      <c r="W2833" s="5"/>
    </row>
    <row r="2834" ht="15.75" customHeight="1">
      <c r="A2834" s="3" t="str">
        <f>IFERROR(__xludf.DUMMYFUNCTION("""COMPUTED_VALUE"""),"")</f>
        <v/>
      </c>
      <c r="B2834" s="3"/>
      <c r="C2834" s="3"/>
      <c r="D2834" s="3"/>
      <c r="E2834" s="3"/>
      <c r="F2834" s="3"/>
      <c r="G2834" s="3"/>
      <c r="H2834" s="3"/>
      <c r="I2834" s="3"/>
      <c r="J2834" s="3"/>
      <c r="K2834" s="3"/>
      <c r="L2834" s="3"/>
      <c r="M2834" s="3"/>
      <c r="N2834" s="3"/>
      <c r="O2834" s="3"/>
      <c r="P2834" s="3"/>
      <c r="Q2834" s="3"/>
      <c r="R2834" s="3"/>
      <c r="S2834" s="3"/>
      <c r="T2834" s="5"/>
      <c r="U2834" s="5"/>
      <c r="V2834" s="5"/>
      <c r="W2834" s="5"/>
    </row>
    <row r="2835" ht="15.75" customHeight="1">
      <c r="A2835" s="3" t="str">
        <f>IFERROR(__xludf.DUMMYFUNCTION("""COMPUTED_VALUE"""),"")</f>
        <v/>
      </c>
      <c r="B2835" s="3"/>
      <c r="C2835" s="3"/>
      <c r="D2835" s="3"/>
      <c r="E2835" s="3"/>
      <c r="F2835" s="3"/>
      <c r="G2835" s="3"/>
      <c r="H2835" s="3"/>
      <c r="I2835" s="3"/>
      <c r="J2835" s="3"/>
      <c r="K2835" s="3"/>
      <c r="L2835" s="3"/>
      <c r="M2835" s="3"/>
      <c r="N2835" s="3"/>
      <c r="O2835" s="3"/>
      <c r="P2835" s="3"/>
      <c r="Q2835" s="3"/>
      <c r="R2835" s="3"/>
      <c r="S2835" s="3"/>
      <c r="T2835" s="5"/>
      <c r="U2835" s="5"/>
      <c r="V2835" s="5"/>
      <c r="W2835" s="5"/>
    </row>
    <row r="2836" ht="15.75" customHeight="1">
      <c r="A2836" s="3" t="str">
        <f>IFERROR(__xludf.DUMMYFUNCTION("""COMPUTED_VALUE"""),"")</f>
        <v/>
      </c>
      <c r="B2836" s="3"/>
      <c r="C2836" s="3"/>
      <c r="D2836" s="3"/>
      <c r="E2836" s="3"/>
      <c r="F2836" s="3"/>
      <c r="G2836" s="3"/>
      <c r="H2836" s="3"/>
      <c r="I2836" s="3"/>
      <c r="J2836" s="3"/>
      <c r="K2836" s="3"/>
      <c r="L2836" s="3"/>
      <c r="M2836" s="3"/>
      <c r="N2836" s="3"/>
      <c r="O2836" s="3"/>
      <c r="P2836" s="3"/>
      <c r="Q2836" s="3"/>
      <c r="R2836" s="3"/>
      <c r="S2836" s="3"/>
      <c r="T2836" s="5"/>
      <c r="U2836" s="5"/>
      <c r="V2836" s="5"/>
      <c r="W2836" s="5"/>
    </row>
    <row r="2837" ht="15.75" customHeight="1">
      <c r="A2837" s="3" t="str">
        <f>IFERROR(__xludf.DUMMYFUNCTION("""COMPUTED_VALUE"""),"")</f>
        <v/>
      </c>
      <c r="B2837" s="3"/>
      <c r="C2837" s="3"/>
      <c r="D2837" s="3"/>
      <c r="E2837" s="3"/>
      <c r="F2837" s="3"/>
      <c r="G2837" s="3"/>
      <c r="H2837" s="3"/>
      <c r="I2837" s="3"/>
      <c r="J2837" s="3"/>
      <c r="K2837" s="3"/>
      <c r="L2837" s="3"/>
      <c r="M2837" s="3"/>
      <c r="N2837" s="3"/>
      <c r="O2837" s="3"/>
      <c r="P2837" s="3"/>
      <c r="Q2837" s="3"/>
      <c r="R2837" s="3"/>
      <c r="S2837" s="3"/>
      <c r="T2837" s="5"/>
      <c r="U2837" s="5"/>
      <c r="V2837" s="5"/>
      <c r="W2837" s="5"/>
    </row>
    <row r="2838" ht="15.75" customHeight="1">
      <c r="A2838" s="3" t="str">
        <f>IFERROR(__xludf.DUMMYFUNCTION("""COMPUTED_VALUE"""),"")</f>
        <v/>
      </c>
      <c r="B2838" s="3"/>
      <c r="C2838" s="3"/>
      <c r="D2838" s="3"/>
      <c r="E2838" s="3"/>
      <c r="F2838" s="3"/>
      <c r="G2838" s="3"/>
      <c r="H2838" s="3"/>
      <c r="I2838" s="3"/>
      <c r="J2838" s="3"/>
      <c r="K2838" s="3"/>
      <c r="L2838" s="3"/>
      <c r="M2838" s="3"/>
      <c r="N2838" s="3"/>
      <c r="O2838" s="3"/>
      <c r="P2838" s="3"/>
      <c r="Q2838" s="3"/>
      <c r="R2838" s="3"/>
      <c r="S2838" s="3"/>
      <c r="T2838" s="5"/>
      <c r="U2838" s="5"/>
      <c r="V2838" s="5"/>
      <c r="W2838" s="5"/>
    </row>
    <row r="2839" ht="15.75" customHeight="1">
      <c r="A2839" s="3" t="str">
        <f>IFERROR(__xludf.DUMMYFUNCTION("""COMPUTED_VALUE"""),"")</f>
        <v/>
      </c>
      <c r="B2839" s="3"/>
      <c r="C2839" s="3"/>
      <c r="D2839" s="3"/>
      <c r="E2839" s="3"/>
      <c r="F2839" s="3"/>
      <c r="G2839" s="3"/>
      <c r="H2839" s="3"/>
      <c r="I2839" s="3"/>
      <c r="J2839" s="3"/>
      <c r="K2839" s="3"/>
      <c r="L2839" s="3"/>
      <c r="M2839" s="3"/>
      <c r="N2839" s="3"/>
      <c r="O2839" s="3"/>
      <c r="P2839" s="3"/>
      <c r="Q2839" s="3"/>
      <c r="R2839" s="3"/>
      <c r="S2839" s="3"/>
      <c r="T2839" s="5"/>
      <c r="U2839" s="5"/>
      <c r="V2839" s="5"/>
      <c r="W2839" s="5"/>
    </row>
    <row r="2840" ht="15.75" customHeight="1">
      <c r="A2840" s="3" t="str">
        <f>IFERROR(__xludf.DUMMYFUNCTION("""COMPUTED_VALUE"""),"")</f>
        <v/>
      </c>
      <c r="B2840" s="3"/>
      <c r="C2840" s="3"/>
      <c r="D2840" s="3"/>
      <c r="E2840" s="3"/>
      <c r="F2840" s="3"/>
      <c r="G2840" s="3"/>
      <c r="H2840" s="3"/>
      <c r="I2840" s="3"/>
      <c r="J2840" s="3"/>
      <c r="K2840" s="3"/>
      <c r="L2840" s="3"/>
      <c r="M2840" s="3"/>
      <c r="N2840" s="3"/>
      <c r="O2840" s="3"/>
      <c r="P2840" s="3"/>
      <c r="Q2840" s="3"/>
      <c r="R2840" s="3"/>
      <c r="S2840" s="3"/>
      <c r="T2840" s="5"/>
      <c r="U2840" s="5"/>
      <c r="V2840" s="5"/>
      <c r="W2840" s="5"/>
    </row>
    <row r="2841" ht="15.75" customHeight="1">
      <c r="A2841" s="3" t="str">
        <f>IFERROR(__xludf.DUMMYFUNCTION("""COMPUTED_VALUE"""),"")</f>
        <v/>
      </c>
      <c r="B2841" s="3"/>
      <c r="C2841" s="3"/>
      <c r="D2841" s="3"/>
      <c r="E2841" s="3"/>
      <c r="F2841" s="3"/>
      <c r="G2841" s="3"/>
      <c r="H2841" s="3"/>
      <c r="I2841" s="3"/>
      <c r="J2841" s="3"/>
      <c r="K2841" s="3"/>
      <c r="L2841" s="3"/>
      <c r="M2841" s="3"/>
      <c r="N2841" s="3"/>
      <c r="O2841" s="3"/>
      <c r="P2841" s="3"/>
      <c r="Q2841" s="3"/>
      <c r="R2841" s="3"/>
      <c r="S2841" s="3"/>
      <c r="T2841" s="5"/>
      <c r="U2841" s="5"/>
      <c r="V2841" s="5"/>
      <c r="W2841" s="5"/>
    </row>
    <row r="2842" ht="15.75" customHeight="1">
      <c r="A2842" s="3" t="str">
        <f>IFERROR(__xludf.DUMMYFUNCTION("""COMPUTED_VALUE"""),"")</f>
        <v/>
      </c>
      <c r="B2842" s="3"/>
      <c r="C2842" s="3"/>
      <c r="D2842" s="3"/>
      <c r="E2842" s="3"/>
      <c r="F2842" s="3"/>
      <c r="G2842" s="3"/>
      <c r="H2842" s="3"/>
      <c r="I2842" s="3"/>
      <c r="J2842" s="3"/>
      <c r="K2842" s="3"/>
      <c r="L2842" s="3"/>
      <c r="M2842" s="3"/>
      <c r="N2842" s="3"/>
      <c r="O2842" s="3"/>
      <c r="P2842" s="3"/>
      <c r="Q2842" s="3"/>
      <c r="R2842" s="3"/>
      <c r="S2842" s="3"/>
      <c r="T2842" s="5"/>
      <c r="U2842" s="5"/>
      <c r="V2842" s="5"/>
      <c r="W2842" s="5"/>
    </row>
    <row r="2843" ht="15.75" customHeight="1">
      <c r="A2843" s="3" t="str">
        <f>IFERROR(__xludf.DUMMYFUNCTION("""COMPUTED_VALUE"""),"")</f>
        <v/>
      </c>
      <c r="B2843" s="3"/>
      <c r="C2843" s="3"/>
      <c r="D2843" s="3"/>
      <c r="E2843" s="3"/>
      <c r="F2843" s="3"/>
      <c r="G2843" s="3"/>
      <c r="H2843" s="3"/>
      <c r="I2843" s="3"/>
      <c r="J2843" s="3"/>
      <c r="K2843" s="3"/>
      <c r="L2843" s="3"/>
      <c r="M2843" s="3"/>
      <c r="N2843" s="3"/>
      <c r="O2843" s="3"/>
      <c r="P2843" s="3"/>
      <c r="Q2843" s="3"/>
      <c r="R2843" s="3"/>
      <c r="S2843" s="3"/>
      <c r="T2843" s="5"/>
      <c r="U2843" s="5"/>
      <c r="V2843" s="5"/>
      <c r="W2843" s="5"/>
    </row>
    <row r="2844" ht="15.75" customHeight="1">
      <c r="A2844" s="3" t="str">
        <f>IFERROR(__xludf.DUMMYFUNCTION("""COMPUTED_VALUE"""),"")</f>
        <v/>
      </c>
      <c r="B2844" s="3"/>
      <c r="C2844" s="3"/>
      <c r="D2844" s="3"/>
      <c r="E2844" s="3"/>
      <c r="F2844" s="3"/>
      <c r="G2844" s="3"/>
      <c r="H2844" s="3"/>
      <c r="I2844" s="3"/>
      <c r="J2844" s="3"/>
      <c r="K2844" s="3"/>
      <c r="L2844" s="3"/>
      <c r="M2844" s="3"/>
      <c r="N2844" s="3"/>
      <c r="O2844" s="3"/>
      <c r="P2844" s="3"/>
      <c r="Q2844" s="3"/>
      <c r="R2844" s="3"/>
      <c r="S2844" s="3"/>
      <c r="T2844" s="5"/>
      <c r="U2844" s="5"/>
      <c r="V2844" s="5"/>
      <c r="W2844" s="5"/>
    </row>
    <row r="2845" ht="15.75" customHeight="1">
      <c r="A2845" s="3" t="str">
        <f>IFERROR(__xludf.DUMMYFUNCTION("""COMPUTED_VALUE"""),"")</f>
        <v/>
      </c>
      <c r="B2845" s="3"/>
      <c r="C2845" s="3"/>
      <c r="D2845" s="3"/>
      <c r="E2845" s="3"/>
      <c r="F2845" s="3"/>
      <c r="G2845" s="3"/>
      <c r="H2845" s="3"/>
      <c r="I2845" s="3"/>
      <c r="J2845" s="3"/>
      <c r="K2845" s="3"/>
      <c r="L2845" s="3"/>
      <c r="M2845" s="3"/>
      <c r="N2845" s="3"/>
      <c r="O2845" s="3"/>
      <c r="P2845" s="3"/>
      <c r="Q2845" s="3"/>
      <c r="R2845" s="3"/>
      <c r="S2845" s="3"/>
      <c r="T2845" s="5"/>
      <c r="U2845" s="5"/>
      <c r="V2845" s="5"/>
      <c r="W2845" s="5"/>
    </row>
    <row r="2846" ht="15.75" customHeight="1">
      <c r="A2846" s="3" t="str">
        <f>IFERROR(__xludf.DUMMYFUNCTION("""COMPUTED_VALUE"""),"")</f>
        <v/>
      </c>
      <c r="B2846" s="3"/>
      <c r="C2846" s="3"/>
      <c r="D2846" s="3"/>
      <c r="E2846" s="3"/>
      <c r="F2846" s="3"/>
      <c r="G2846" s="3"/>
      <c r="H2846" s="3"/>
      <c r="I2846" s="3"/>
      <c r="J2846" s="3"/>
      <c r="K2846" s="3"/>
      <c r="L2846" s="3"/>
      <c r="M2846" s="3"/>
      <c r="N2846" s="3"/>
      <c r="O2846" s="3"/>
      <c r="P2846" s="3"/>
      <c r="Q2846" s="3"/>
      <c r="R2846" s="3"/>
      <c r="S2846" s="3"/>
      <c r="T2846" s="5"/>
      <c r="U2846" s="5"/>
      <c r="V2846" s="5"/>
      <c r="W2846" s="5"/>
    </row>
    <row r="2847" ht="15.75" customHeight="1">
      <c r="A2847" s="3" t="str">
        <f>IFERROR(__xludf.DUMMYFUNCTION("""COMPUTED_VALUE"""),"")</f>
        <v/>
      </c>
      <c r="B2847" s="3"/>
      <c r="C2847" s="3"/>
      <c r="D2847" s="3"/>
      <c r="E2847" s="3"/>
      <c r="F2847" s="3"/>
      <c r="G2847" s="3"/>
      <c r="H2847" s="3"/>
      <c r="I2847" s="3"/>
      <c r="J2847" s="3"/>
      <c r="K2847" s="3"/>
      <c r="L2847" s="3"/>
      <c r="M2847" s="3"/>
      <c r="N2847" s="3"/>
      <c r="O2847" s="3"/>
      <c r="P2847" s="3"/>
      <c r="Q2847" s="3"/>
      <c r="R2847" s="3"/>
      <c r="S2847" s="3"/>
      <c r="T2847" s="5"/>
      <c r="U2847" s="5"/>
      <c r="V2847" s="5"/>
      <c r="W2847" s="5"/>
    </row>
    <row r="2848" ht="15.75" customHeight="1">
      <c r="A2848" s="3" t="str">
        <f>IFERROR(__xludf.DUMMYFUNCTION("""COMPUTED_VALUE"""),"")</f>
        <v/>
      </c>
      <c r="B2848" s="3"/>
      <c r="C2848" s="3"/>
      <c r="D2848" s="3"/>
      <c r="E2848" s="3"/>
      <c r="F2848" s="3"/>
      <c r="G2848" s="3"/>
      <c r="H2848" s="3"/>
      <c r="I2848" s="3"/>
      <c r="J2848" s="3"/>
      <c r="K2848" s="3"/>
      <c r="L2848" s="3"/>
      <c r="M2848" s="3"/>
      <c r="N2848" s="3"/>
      <c r="O2848" s="3"/>
      <c r="P2848" s="3"/>
      <c r="Q2848" s="3"/>
      <c r="R2848" s="3"/>
      <c r="S2848" s="3"/>
      <c r="T2848" s="5"/>
      <c r="U2848" s="5"/>
      <c r="V2848" s="5"/>
      <c r="W2848" s="5"/>
    </row>
    <row r="2849" ht="15.75" customHeight="1">
      <c r="A2849" s="3" t="str">
        <f>IFERROR(__xludf.DUMMYFUNCTION("""COMPUTED_VALUE"""),"")</f>
        <v/>
      </c>
      <c r="B2849" s="3"/>
      <c r="C2849" s="3"/>
      <c r="D2849" s="3"/>
      <c r="E2849" s="3"/>
      <c r="F2849" s="3"/>
      <c r="G2849" s="3"/>
      <c r="H2849" s="3"/>
      <c r="I2849" s="3"/>
      <c r="J2849" s="3"/>
      <c r="K2849" s="3"/>
      <c r="L2849" s="3"/>
      <c r="M2849" s="3"/>
      <c r="N2849" s="3"/>
      <c r="O2849" s="3"/>
      <c r="P2849" s="3"/>
      <c r="Q2849" s="3"/>
      <c r="R2849" s="3"/>
      <c r="S2849" s="3"/>
      <c r="T2849" s="5"/>
      <c r="U2849" s="5"/>
      <c r="V2849" s="5"/>
      <c r="W2849" s="5"/>
    </row>
    <row r="2850" ht="15.75" customHeight="1">
      <c r="A2850" s="3" t="str">
        <f>IFERROR(__xludf.DUMMYFUNCTION("""COMPUTED_VALUE"""),"")</f>
        <v/>
      </c>
      <c r="B2850" s="3"/>
      <c r="C2850" s="3"/>
      <c r="D2850" s="3"/>
      <c r="E2850" s="3"/>
      <c r="F2850" s="3"/>
      <c r="G2850" s="3"/>
      <c r="H2850" s="3"/>
      <c r="I2850" s="3"/>
      <c r="J2850" s="3"/>
      <c r="K2850" s="3"/>
      <c r="L2850" s="3"/>
      <c r="M2850" s="3"/>
      <c r="N2850" s="3"/>
      <c r="O2850" s="3"/>
      <c r="P2850" s="3"/>
      <c r="Q2850" s="3"/>
      <c r="R2850" s="3"/>
      <c r="S2850" s="3"/>
      <c r="T2850" s="5"/>
      <c r="U2850" s="5"/>
      <c r="V2850" s="5"/>
      <c r="W2850" s="5"/>
    </row>
    <row r="2851" ht="15.75" customHeight="1">
      <c r="A2851" s="3" t="str">
        <f>IFERROR(__xludf.DUMMYFUNCTION("""COMPUTED_VALUE"""),"")</f>
        <v/>
      </c>
      <c r="B2851" s="3"/>
      <c r="C2851" s="3"/>
      <c r="D2851" s="3"/>
      <c r="E2851" s="3"/>
      <c r="F2851" s="3"/>
      <c r="G2851" s="3"/>
      <c r="H2851" s="3"/>
      <c r="I2851" s="3"/>
      <c r="J2851" s="3"/>
      <c r="K2851" s="3"/>
      <c r="L2851" s="3"/>
      <c r="M2851" s="3"/>
      <c r="N2851" s="3"/>
      <c r="O2851" s="3"/>
      <c r="P2851" s="3"/>
      <c r="Q2851" s="3"/>
      <c r="R2851" s="3"/>
      <c r="S2851" s="3"/>
      <c r="T2851" s="5"/>
      <c r="U2851" s="5"/>
      <c r="V2851" s="5"/>
      <c r="W2851" s="5"/>
    </row>
    <row r="2852" ht="15.75" customHeight="1">
      <c r="A2852" s="3" t="str">
        <f>IFERROR(__xludf.DUMMYFUNCTION("""COMPUTED_VALUE"""),"")</f>
        <v/>
      </c>
      <c r="B2852" s="3"/>
      <c r="C2852" s="3"/>
      <c r="D2852" s="3"/>
      <c r="E2852" s="3"/>
      <c r="F2852" s="3"/>
      <c r="G2852" s="3"/>
      <c r="H2852" s="3"/>
      <c r="I2852" s="3"/>
      <c r="J2852" s="3"/>
      <c r="K2852" s="3"/>
      <c r="L2852" s="3"/>
      <c r="M2852" s="3"/>
      <c r="N2852" s="3"/>
      <c r="O2852" s="3"/>
      <c r="P2852" s="3"/>
      <c r="Q2852" s="3"/>
      <c r="R2852" s="3"/>
      <c r="S2852" s="3"/>
      <c r="T2852" s="5"/>
      <c r="U2852" s="5"/>
      <c r="V2852" s="5"/>
      <c r="W2852" s="5"/>
    </row>
    <row r="2853" ht="15.75" customHeight="1">
      <c r="A2853" s="3" t="str">
        <f>IFERROR(__xludf.DUMMYFUNCTION("""COMPUTED_VALUE"""),"")</f>
        <v/>
      </c>
      <c r="B2853" s="3"/>
      <c r="C2853" s="3"/>
      <c r="D2853" s="3"/>
      <c r="E2853" s="3"/>
      <c r="F2853" s="3"/>
      <c r="G2853" s="3"/>
      <c r="H2853" s="3"/>
      <c r="I2853" s="3"/>
      <c r="J2853" s="3"/>
      <c r="K2853" s="3"/>
      <c r="L2853" s="3"/>
      <c r="M2853" s="3"/>
      <c r="N2853" s="3"/>
      <c r="O2853" s="3"/>
      <c r="P2853" s="3"/>
      <c r="Q2853" s="3"/>
      <c r="R2853" s="3"/>
      <c r="S2853" s="3"/>
      <c r="T2853" s="5"/>
      <c r="U2853" s="5"/>
      <c r="V2853" s="5"/>
      <c r="W2853" s="5"/>
    </row>
    <row r="2854" ht="15.75" customHeight="1">
      <c r="A2854" s="3" t="str">
        <f>IFERROR(__xludf.DUMMYFUNCTION("""COMPUTED_VALUE"""),"")</f>
        <v/>
      </c>
      <c r="B2854" s="3"/>
      <c r="C2854" s="3"/>
      <c r="D2854" s="3"/>
      <c r="E2854" s="3"/>
      <c r="F2854" s="3"/>
      <c r="G2854" s="3"/>
      <c r="H2854" s="3"/>
      <c r="I2854" s="3"/>
      <c r="J2854" s="3"/>
      <c r="K2854" s="3"/>
      <c r="L2854" s="3"/>
      <c r="M2854" s="3"/>
      <c r="N2854" s="3"/>
      <c r="O2854" s="3"/>
      <c r="P2854" s="3"/>
      <c r="Q2854" s="3"/>
      <c r="R2854" s="3"/>
      <c r="S2854" s="3"/>
      <c r="T2854" s="5"/>
      <c r="U2854" s="5"/>
      <c r="V2854" s="5"/>
      <c r="W2854" s="5"/>
    </row>
    <row r="2855" ht="15.75" customHeight="1">
      <c r="A2855" s="3" t="str">
        <f>IFERROR(__xludf.DUMMYFUNCTION("""COMPUTED_VALUE"""),"")</f>
        <v/>
      </c>
      <c r="B2855" s="3"/>
      <c r="C2855" s="3"/>
      <c r="D2855" s="3"/>
      <c r="E2855" s="3"/>
      <c r="F2855" s="3"/>
      <c r="G2855" s="3"/>
      <c r="H2855" s="3"/>
      <c r="I2855" s="3"/>
      <c r="J2855" s="3"/>
      <c r="K2855" s="3"/>
      <c r="L2855" s="3"/>
      <c r="M2855" s="3"/>
      <c r="N2855" s="3"/>
      <c r="O2855" s="3"/>
      <c r="P2855" s="3"/>
      <c r="Q2855" s="3"/>
      <c r="R2855" s="3"/>
      <c r="S2855" s="3"/>
      <c r="T2855" s="5"/>
      <c r="U2855" s="5"/>
      <c r="V2855" s="5"/>
      <c r="W2855" s="5"/>
    </row>
    <row r="2856" ht="15.75" customHeight="1">
      <c r="A2856" s="3" t="str">
        <f>IFERROR(__xludf.DUMMYFUNCTION("""COMPUTED_VALUE"""),"")</f>
        <v/>
      </c>
      <c r="B2856" s="3"/>
      <c r="C2856" s="3"/>
      <c r="D2856" s="3"/>
      <c r="E2856" s="3"/>
      <c r="F2856" s="3"/>
      <c r="G2856" s="3"/>
      <c r="H2856" s="3"/>
      <c r="I2856" s="3"/>
      <c r="J2856" s="3"/>
      <c r="K2856" s="3"/>
      <c r="L2856" s="3"/>
      <c r="M2856" s="3"/>
      <c r="N2856" s="3"/>
      <c r="O2856" s="3"/>
      <c r="P2856" s="3"/>
      <c r="Q2856" s="3"/>
      <c r="R2856" s="3"/>
      <c r="S2856" s="3"/>
      <c r="T2856" s="5"/>
      <c r="U2856" s="5"/>
      <c r="V2856" s="5"/>
      <c r="W2856" s="5"/>
    </row>
    <row r="2857" ht="15.75" customHeight="1">
      <c r="A2857" s="3" t="str">
        <f>IFERROR(__xludf.DUMMYFUNCTION("""COMPUTED_VALUE"""),"")</f>
        <v/>
      </c>
      <c r="B2857" s="3"/>
      <c r="C2857" s="3"/>
      <c r="D2857" s="3"/>
      <c r="E2857" s="3"/>
      <c r="F2857" s="3"/>
      <c r="G2857" s="3"/>
      <c r="H2857" s="3"/>
      <c r="I2857" s="3"/>
      <c r="J2857" s="3"/>
      <c r="K2857" s="3"/>
      <c r="L2857" s="3"/>
      <c r="M2857" s="3"/>
      <c r="N2857" s="3"/>
      <c r="O2857" s="3"/>
      <c r="P2857" s="3"/>
      <c r="Q2857" s="3"/>
      <c r="R2857" s="3"/>
      <c r="S2857" s="3"/>
      <c r="T2857" s="5"/>
      <c r="U2857" s="5"/>
      <c r="V2857" s="5"/>
      <c r="W2857" s="5"/>
    </row>
    <row r="2858" ht="15.75" customHeight="1">
      <c r="A2858" s="3" t="str">
        <f>IFERROR(__xludf.DUMMYFUNCTION("""COMPUTED_VALUE"""),"")</f>
        <v/>
      </c>
      <c r="B2858" s="3"/>
      <c r="C2858" s="3"/>
      <c r="D2858" s="3"/>
      <c r="E2858" s="3"/>
      <c r="F2858" s="3"/>
      <c r="G2858" s="3"/>
      <c r="H2858" s="3"/>
      <c r="I2858" s="3"/>
      <c r="J2858" s="3"/>
      <c r="K2858" s="3"/>
      <c r="L2858" s="3"/>
      <c r="M2858" s="3"/>
      <c r="N2858" s="3"/>
      <c r="O2858" s="3"/>
      <c r="P2858" s="3"/>
      <c r="Q2858" s="3"/>
      <c r="R2858" s="3"/>
      <c r="S2858" s="3"/>
      <c r="T2858" s="5"/>
      <c r="U2858" s="5"/>
      <c r="V2858" s="5"/>
      <c r="W2858" s="5"/>
    </row>
    <row r="2859" ht="15.75" customHeight="1">
      <c r="A2859" s="3" t="str">
        <f>IFERROR(__xludf.DUMMYFUNCTION("""COMPUTED_VALUE"""),"")</f>
        <v/>
      </c>
      <c r="B2859" s="3"/>
      <c r="C2859" s="3"/>
      <c r="D2859" s="3"/>
      <c r="E2859" s="3"/>
      <c r="F2859" s="3"/>
      <c r="G2859" s="3"/>
      <c r="H2859" s="3"/>
      <c r="I2859" s="3"/>
      <c r="J2859" s="3"/>
      <c r="K2859" s="3"/>
      <c r="L2859" s="3"/>
      <c r="M2859" s="3"/>
      <c r="N2859" s="3"/>
      <c r="O2859" s="3"/>
      <c r="P2859" s="3"/>
      <c r="Q2859" s="3"/>
      <c r="R2859" s="3"/>
      <c r="S2859" s="3"/>
      <c r="T2859" s="5"/>
      <c r="U2859" s="5"/>
      <c r="V2859" s="5"/>
      <c r="W2859" s="5"/>
    </row>
    <row r="2860" ht="15.75" customHeight="1">
      <c r="A2860" s="3" t="str">
        <f>IFERROR(__xludf.DUMMYFUNCTION("""COMPUTED_VALUE"""),"")</f>
        <v/>
      </c>
      <c r="B2860" s="3"/>
      <c r="C2860" s="3"/>
      <c r="D2860" s="3"/>
      <c r="E2860" s="3"/>
      <c r="F2860" s="3"/>
      <c r="G2860" s="3"/>
      <c r="H2860" s="3"/>
      <c r="I2860" s="3"/>
      <c r="J2860" s="3"/>
      <c r="K2860" s="3"/>
      <c r="L2860" s="3"/>
      <c r="M2860" s="3"/>
      <c r="N2860" s="3"/>
      <c r="O2860" s="3"/>
      <c r="P2860" s="3"/>
      <c r="Q2860" s="3"/>
      <c r="R2860" s="3"/>
      <c r="S2860" s="3"/>
      <c r="T2860" s="5"/>
      <c r="U2860" s="5"/>
      <c r="V2860" s="5"/>
      <c r="W2860" s="5"/>
    </row>
    <row r="2861" ht="15.75" customHeight="1">
      <c r="A2861" s="3" t="str">
        <f>IFERROR(__xludf.DUMMYFUNCTION("""COMPUTED_VALUE"""),"")</f>
        <v/>
      </c>
      <c r="B2861" s="3"/>
      <c r="C2861" s="3"/>
      <c r="D2861" s="3"/>
      <c r="E2861" s="3"/>
      <c r="F2861" s="3"/>
      <c r="G2861" s="3"/>
      <c r="H2861" s="3"/>
      <c r="I2861" s="3"/>
      <c r="J2861" s="3"/>
      <c r="K2861" s="3"/>
      <c r="L2861" s="3"/>
      <c r="M2861" s="3"/>
      <c r="N2861" s="3"/>
      <c r="O2861" s="3"/>
      <c r="P2861" s="3"/>
      <c r="Q2861" s="3"/>
      <c r="R2861" s="3"/>
      <c r="S2861" s="3"/>
      <c r="T2861" s="5"/>
      <c r="U2861" s="5"/>
      <c r="V2861" s="5"/>
      <c r="W2861" s="5"/>
    </row>
    <row r="2862" ht="15.75" customHeight="1">
      <c r="A2862" s="3" t="str">
        <f>IFERROR(__xludf.DUMMYFUNCTION("""COMPUTED_VALUE"""),"")</f>
        <v/>
      </c>
      <c r="B2862" s="3"/>
      <c r="C2862" s="3"/>
      <c r="D2862" s="3"/>
      <c r="E2862" s="3"/>
      <c r="F2862" s="3"/>
      <c r="G2862" s="3"/>
      <c r="H2862" s="3"/>
      <c r="I2862" s="3"/>
      <c r="J2862" s="3"/>
      <c r="K2862" s="3"/>
      <c r="L2862" s="3"/>
      <c r="M2862" s="3"/>
      <c r="N2862" s="3"/>
      <c r="O2862" s="3"/>
      <c r="P2862" s="3"/>
      <c r="Q2862" s="3"/>
      <c r="R2862" s="3"/>
      <c r="S2862" s="3"/>
      <c r="T2862" s="5"/>
      <c r="U2862" s="5"/>
      <c r="V2862" s="5"/>
      <c r="W2862" s="5"/>
    </row>
    <row r="2863" ht="15.75" customHeight="1">
      <c r="A2863" s="3" t="str">
        <f>IFERROR(__xludf.DUMMYFUNCTION("""COMPUTED_VALUE"""),"")</f>
        <v/>
      </c>
      <c r="B2863" s="3"/>
      <c r="C2863" s="3"/>
      <c r="D2863" s="3"/>
      <c r="E2863" s="3"/>
      <c r="F2863" s="3"/>
      <c r="G2863" s="3"/>
      <c r="H2863" s="3"/>
      <c r="I2863" s="3"/>
      <c r="J2863" s="3"/>
      <c r="K2863" s="3"/>
      <c r="L2863" s="3"/>
      <c r="M2863" s="3"/>
      <c r="N2863" s="3"/>
      <c r="O2863" s="3"/>
      <c r="P2863" s="3"/>
      <c r="Q2863" s="3"/>
      <c r="R2863" s="3"/>
      <c r="S2863" s="3"/>
      <c r="T2863" s="5"/>
      <c r="U2863" s="5"/>
      <c r="V2863" s="5"/>
      <c r="W2863" s="5"/>
    </row>
    <row r="2864" ht="15.75" customHeight="1">
      <c r="A2864" s="3" t="str">
        <f>IFERROR(__xludf.DUMMYFUNCTION("""COMPUTED_VALUE"""),"")</f>
        <v/>
      </c>
      <c r="B2864" s="3"/>
      <c r="C2864" s="3"/>
      <c r="D2864" s="3"/>
      <c r="E2864" s="3"/>
      <c r="F2864" s="3"/>
      <c r="G2864" s="3"/>
      <c r="H2864" s="3"/>
      <c r="I2864" s="3"/>
      <c r="J2864" s="3"/>
      <c r="K2864" s="3"/>
      <c r="L2864" s="3"/>
      <c r="M2864" s="3"/>
      <c r="N2864" s="3"/>
      <c r="O2864" s="3"/>
      <c r="P2864" s="3"/>
      <c r="Q2864" s="3"/>
      <c r="R2864" s="3"/>
      <c r="S2864" s="3"/>
      <c r="T2864" s="5"/>
      <c r="U2864" s="5"/>
      <c r="V2864" s="5"/>
      <c r="W2864" s="5"/>
    </row>
    <row r="2865" ht="15.75" customHeight="1">
      <c r="A2865" s="3" t="str">
        <f>IFERROR(__xludf.DUMMYFUNCTION("""COMPUTED_VALUE"""),"")</f>
        <v/>
      </c>
      <c r="B2865" s="3"/>
      <c r="C2865" s="3"/>
      <c r="D2865" s="3"/>
      <c r="E2865" s="3"/>
      <c r="F2865" s="3"/>
      <c r="G2865" s="3"/>
      <c r="H2865" s="3"/>
      <c r="I2865" s="3"/>
      <c r="J2865" s="3"/>
      <c r="K2865" s="3"/>
      <c r="L2865" s="3"/>
      <c r="M2865" s="3"/>
      <c r="N2865" s="3"/>
      <c r="O2865" s="3"/>
      <c r="P2865" s="3"/>
      <c r="Q2865" s="3"/>
      <c r="R2865" s="3"/>
      <c r="S2865" s="3"/>
      <c r="T2865" s="5"/>
      <c r="U2865" s="5"/>
      <c r="V2865" s="5"/>
      <c r="W2865" s="5"/>
    </row>
    <row r="2866" ht="15.75" customHeight="1">
      <c r="A2866" s="3" t="str">
        <f>IFERROR(__xludf.DUMMYFUNCTION("""COMPUTED_VALUE"""),"")</f>
        <v/>
      </c>
      <c r="B2866" s="3"/>
      <c r="C2866" s="3"/>
      <c r="D2866" s="3"/>
      <c r="E2866" s="3"/>
      <c r="F2866" s="3"/>
      <c r="G2866" s="3"/>
      <c r="H2866" s="3"/>
      <c r="I2866" s="3"/>
      <c r="J2866" s="3"/>
      <c r="K2866" s="3"/>
      <c r="L2866" s="3"/>
      <c r="M2866" s="3"/>
      <c r="N2866" s="3"/>
      <c r="O2866" s="3"/>
      <c r="P2866" s="3"/>
      <c r="Q2866" s="3"/>
      <c r="R2866" s="3"/>
      <c r="S2866" s="3"/>
      <c r="T2866" s="5"/>
      <c r="U2866" s="5"/>
      <c r="V2866" s="5"/>
      <c r="W2866" s="5"/>
    </row>
    <row r="2867" ht="15.75" customHeight="1">
      <c r="A2867" s="3" t="str">
        <f>IFERROR(__xludf.DUMMYFUNCTION("""COMPUTED_VALUE"""),"")</f>
        <v/>
      </c>
      <c r="B2867" s="3"/>
      <c r="C2867" s="3"/>
      <c r="D2867" s="3"/>
      <c r="E2867" s="3"/>
      <c r="F2867" s="3"/>
      <c r="G2867" s="3"/>
      <c r="H2867" s="3"/>
      <c r="I2867" s="3"/>
      <c r="J2867" s="3"/>
      <c r="K2867" s="3"/>
      <c r="L2867" s="3"/>
      <c r="M2867" s="3"/>
      <c r="N2867" s="3"/>
      <c r="O2867" s="3"/>
      <c r="P2867" s="3"/>
      <c r="Q2867" s="3"/>
      <c r="R2867" s="3"/>
      <c r="S2867" s="3"/>
      <c r="T2867" s="5"/>
      <c r="U2867" s="5"/>
      <c r="V2867" s="5"/>
      <c r="W2867" s="5"/>
    </row>
    <row r="2868" ht="15.75" customHeight="1">
      <c r="A2868" s="3" t="str">
        <f>IFERROR(__xludf.DUMMYFUNCTION("""COMPUTED_VALUE"""),"")</f>
        <v/>
      </c>
      <c r="B2868" s="3"/>
      <c r="C2868" s="3"/>
      <c r="D2868" s="3"/>
      <c r="E2868" s="3"/>
      <c r="F2868" s="3"/>
      <c r="G2868" s="3"/>
      <c r="H2868" s="3"/>
      <c r="I2868" s="3"/>
      <c r="J2868" s="3"/>
      <c r="K2868" s="3"/>
      <c r="L2868" s="3"/>
      <c r="M2868" s="3"/>
      <c r="N2868" s="3"/>
      <c r="O2868" s="3"/>
      <c r="P2868" s="3"/>
      <c r="Q2868" s="3"/>
      <c r="R2868" s="3"/>
      <c r="S2868" s="3"/>
      <c r="T2868" s="5"/>
      <c r="U2868" s="5"/>
      <c r="V2868" s="5"/>
      <c r="W2868" s="5"/>
    </row>
    <row r="2869" ht="15.75" customHeight="1">
      <c r="A2869" s="3" t="str">
        <f>IFERROR(__xludf.DUMMYFUNCTION("""COMPUTED_VALUE"""),"")</f>
        <v/>
      </c>
      <c r="B2869" s="3"/>
      <c r="C2869" s="3"/>
      <c r="D2869" s="3"/>
      <c r="E2869" s="3"/>
      <c r="F2869" s="3"/>
      <c r="G2869" s="3"/>
      <c r="H2869" s="3"/>
      <c r="I2869" s="3"/>
      <c r="J2869" s="3"/>
      <c r="K2869" s="3"/>
      <c r="L2869" s="3"/>
      <c r="M2869" s="3"/>
      <c r="N2869" s="3"/>
      <c r="O2869" s="3"/>
      <c r="P2869" s="3"/>
      <c r="Q2869" s="3"/>
      <c r="R2869" s="3"/>
      <c r="S2869" s="3"/>
      <c r="T2869" s="5"/>
      <c r="U2869" s="5"/>
      <c r="V2869" s="5"/>
      <c r="W2869" s="5"/>
    </row>
    <row r="2870" ht="15.75" customHeight="1">
      <c r="A2870" s="3" t="str">
        <f>IFERROR(__xludf.DUMMYFUNCTION("""COMPUTED_VALUE"""),"")</f>
        <v/>
      </c>
      <c r="B2870" s="3"/>
      <c r="C2870" s="3"/>
      <c r="D2870" s="3"/>
      <c r="E2870" s="3"/>
      <c r="F2870" s="3"/>
      <c r="G2870" s="3"/>
      <c r="H2870" s="3"/>
      <c r="I2870" s="3"/>
      <c r="J2870" s="3"/>
      <c r="K2870" s="3"/>
      <c r="L2870" s="3"/>
      <c r="M2870" s="3"/>
      <c r="N2870" s="3"/>
      <c r="O2870" s="3"/>
      <c r="P2870" s="3"/>
      <c r="Q2870" s="3"/>
      <c r="R2870" s="3"/>
      <c r="S2870" s="3"/>
      <c r="T2870" s="5"/>
      <c r="U2870" s="5"/>
      <c r="V2870" s="5"/>
      <c r="W2870" s="5"/>
    </row>
    <row r="2871" ht="15.75" customHeight="1">
      <c r="A2871" s="3" t="str">
        <f>IFERROR(__xludf.DUMMYFUNCTION("""COMPUTED_VALUE"""),"")</f>
        <v/>
      </c>
      <c r="B2871" s="3"/>
      <c r="C2871" s="3"/>
      <c r="D2871" s="3"/>
      <c r="E2871" s="3"/>
      <c r="F2871" s="3"/>
      <c r="G2871" s="3"/>
      <c r="H2871" s="3"/>
      <c r="I2871" s="3"/>
      <c r="J2871" s="3"/>
      <c r="K2871" s="3"/>
      <c r="L2871" s="3"/>
      <c r="M2871" s="3"/>
      <c r="N2871" s="3"/>
      <c r="O2871" s="3"/>
      <c r="P2871" s="3"/>
      <c r="Q2871" s="3"/>
      <c r="R2871" s="3"/>
      <c r="S2871" s="3"/>
      <c r="T2871" s="5"/>
      <c r="U2871" s="5"/>
      <c r="V2871" s="5"/>
      <c r="W2871" s="5"/>
    </row>
    <row r="2872" ht="15.75" customHeight="1">
      <c r="A2872" s="3" t="str">
        <f>IFERROR(__xludf.DUMMYFUNCTION("""COMPUTED_VALUE"""),"")</f>
        <v/>
      </c>
      <c r="B2872" s="3"/>
      <c r="C2872" s="3"/>
      <c r="D2872" s="3"/>
      <c r="E2872" s="3"/>
      <c r="F2872" s="3"/>
      <c r="G2872" s="3"/>
      <c r="H2872" s="3"/>
      <c r="I2872" s="3"/>
      <c r="J2872" s="3"/>
      <c r="K2872" s="3"/>
      <c r="L2872" s="3"/>
      <c r="M2872" s="3"/>
      <c r="N2872" s="3"/>
      <c r="O2872" s="3"/>
      <c r="P2872" s="3"/>
      <c r="Q2872" s="3"/>
      <c r="R2872" s="3"/>
      <c r="S2872" s="3"/>
      <c r="T2872" s="5"/>
      <c r="U2872" s="5"/>
      <c r="V2872" s="5"/>
      <c r="W2872" s="5"/>
    </row>
    <row r="2873" ht="15.75" customHeight="1">
      <c r="A2873" s="3" t="str">
        <f>IFERROR(__xludf.DUMMYFUNCTION("""COMPUTED_VALUE"""),"")</f>
        <v/>
      </c>
      <c r="B2873" s="3"/>
      <c r="C2873" s="3"/>
      <c r="D2873" s="3"/>
      <c r="E2873" s="3"/>
      <c r="F2873" s="3"/>
      <c r="G2873" s="3"/>
      <c r="H2873" s="3"/>
      <c r="I2873" s="3"/>
      <c r="J2873" s="3"/>
      <c r="K2873" s="3"/>
      <c r="L2873" s="3"/>
      <c r="M2873" s="3"/>
      <c r="N2873" s="3"/>
      <c r="O2873" s="3"/>
      <c r="P2873" s="3"/>
      <c r="Q2873" s="3"/>
      <c r="R2873" s="3"/>
      <c r="S2873" s="3"/>
      <c r="T2873" s="5"/>
      <c r="U2873" s="5"/>
      <c r="V2873" s="5"/>
      <c r="W2873" s="5"/>
    </row>
    <row r="2874" ht="15.75" customHeight="1">
      <c r="A2874" s="3" t="str">
        <f>IFERROR(__xludf.DUMMYFUNCTION("""COMPUTED_VALUE"""),"")</f>
        <v/>
      </c>
      <c r="B2874" s="3"/>
      <c r="C2874" s="3"/>
      <c r="D2874" s="3"/>
      <c r="E2874" s="3"/>
      <c r="F2874" s="3"/>
      <c r="G2874" s="3"/>
      <c r="H2874" s="3"/>
      <c r="I2874" s="3"/>
      <c r="J2874" s="3"/>
      <c r="K2874" s="3"/>
      <c r="L2874" s="3"/>
      <c r="M2874" s="3"/>
      <c r="N2874" s="3"/>
      <c r="O2874" s="3"/>
      <c r="P2874" s="3"/>
      <c r="Q2874" s="3"/>
      <c r="R2874" s="3"/>
      <c r="S2874" s="3"/>
      <c r="T2874" s="5"/>
      <c r="U2874" s="5"/>
      <c r="V2874" s="5"/>
      <c r="W2874" s="5"/>
    </row>
    <row r="2875" ht="15.75" customHeight="1">
      <c r="A2875" s="3" t="str">
        <f>IFERROR(__xludf.DUMMYFUNCTION("""COMPUTED_VALUE"""),"")</f>
        <v/>
      </c>
      <c r="B2875" s="3"/>
      <c r="C2875" s="3"/>
      <c r="D2875" s="3"/>
      <c r="E2875" s="3"/>
      <c r="F2875" s="3"/>
      <c r="G2875" s="3"/>
      <c r="H2875" s="3"/>
      <c r="I2875" s="3"/>
      <c r="J2875" s="3"/>
      <c r="K2875" s="3"/>
      <c r="L2875" s="3"/>
      <c r="M2875" s="3"/>
      <c r="N2875" s="3"/>
      <c r="O2875" s="3"/>
      <c r="P2875" s="3"/>
      <c r="Q2875" s="3"/>
      <c r="R2875" s="3"/>
      <c r="S2875" s="3"/>
      <c r="T2875" s="5"/>
      <c r="U2875" s="5"/>
      <c r="V2875" s="5"/>
      <c r="W2875" s="5"/>
    </row>
    <row r="2876" ht="15.75" customHeight="1">
      <c r="A2876" s="3" t="str">
        <f>IFERROR(__xludf.DUMMYFUNCTION("""COMPUTED_VALUE"""),"")</f>
        <v/>
      </c>
      <c r="B2876" s="3"/>
      <c r="C2876" s="3"/>
      <c r="D2876" s="3"/>
      <c r="E2876" s="3"/>
      <c r="F2876" s="3"/>
      <c r="G2876" s="3"/>
      <c r="H2876" s="3"/>
      <c r="I2876" s="3"/>
      <c r="J2876" s="3"/>
      <c r="K2876" s="3"/>
      <c r="L2876" s="3"/>
      <c r="M2876" s="3"/>
      <c r="N2876" s="3"/>
      <c r="O2876" s="3"/>
      <c r="P2876" s="3"/>
      <c r="Q2876" s="3"/>
      <c r="R2876" s="3"/>
      <c r="S2876" s="3"/>
      <c r="T2876" s="5"/>
      <c r="U2876" s="5"/>
      <c r="V2876" s="5"/>
      <c r="W2876" s="5"/>
    </row>
    <row r="2877" ht="15.75" customHeight="1">
      <c r="A2877" s="3" t="str">
        <f>IFERROR(__xludf.DUMMYFUNCTION("""COMPUTED_VALUE"""),"")</f>
        <v/>
      </c>
      <c r="B2877" s="3"/>
      <c r="C2877" s="3"/>
      <c r="D2877" s="3"/>
      <c r="E2877" s="3"/>
      <c r="F2877" s="3"/>
      <c r="G2877" s="3"/>
      <c r="H2877" s="3"/>
      <c r="I2877" s="3"/>
      <c r="J2877" s="3"/>
      <c r="K2877" s="3"/>
      <c r="L2877" s="3"/>
      <c r="M2877" s="3"/>
      <c r="N2877" s="3"/>
      <c r="O2877" s="3"/>
      <c r="P2877" s="3"/>
      <c r="Q2877" s="3"/>
      <c r="R2877" s="3"/>
      <c r="S2877" s="3"/>
      <c r="T2877" s="5"/>
      <c r="U2877" s="5"/>
      <c r="V2877" s="5"/>
      <c r="W2877" s="5"/>
    </row>
    <row r="2878" ht="15.75" customHeight="1">
      <c r="A2878" s="3" t="str">
        <f>IFERROR(__xludf.DUMMYFUNCTION("""COMPUTED_VALUE"""),"")</f>
        <v/>
      </c>
      <c r="B2878" s="3"/>
      <c r="C2878" s="3"/>
      <c r="D2878" s="3"/>
      <c r="E2878" s="3"/>
      <c r="F2878" s="3"/>
      <c r="G2878" s="3"/>
      <c r="H2878" s="3"/>
      <c r="I2878" s="3"/>
      <c r="J2878" s="3"/>
      <c r="K2878" s="3"/>
      <c r="L2878" s="3"/>
      <c r="M2878" s="3"/>
      <c r="N2878" s="3"/>
      <c r="O2878" s="3"/>
      <c r="P2878" s="3"/>
      <c r="Q2878" s="3"/>
      <c r="R2878" s="3"/>
      <c r="S2878" s="3"/>
      <c r="T2878" s="5"/>
      <c r="U2878" s="5"/>
      <c r="V2878" s="5"/>
      <c r="W2878" s="5"/>
    </row>
    <row r="2879" ht="15.75" customHeight="1">
      <c r="A2879" s="3" t="str">
        <f>IFERROR(__xludf.DUMMYFUNCTION("""COMPUTED_VALUE"""),"")</f>
        <v/>
      </c>
      <c r="B2879" s="3"/>
      <c r="C2879" s="3"/>
      <c r="D2879" s="3"/>
      <c r="E2879" s="3"/>
      <c r="F2879" s="3"/>
      <c r="G2879" s="3"/>
      <c r="H2879" s="3"/>
      <c r="I2879" s="3"/>
      <c r="J2879" s="3"/>
      <c r="K2879" s="3"/>
      <c r="L2879" s="3"/>
      <c r="M2879" s="3"/>
      <c r="N2879" s="3"/>
      <c r="O2879" s="3"/>
      <c r="P2879" s="3"/>
      <c r="Q2879" s="3"/>
      <c r="R2879" s="3"/>
      <c r="S2879" s="3"/>
      <c r="T2879" s="5"/>
      <c r="U2879" s="5"/>
      <c r="V2879" s="5"/>
      <c r="W2879" s="5"/>
    </row>
    <row r="2880" ht="15.75" customHeight="1">
      <c r="A2880" s="3" t="str">
        <f>IFERROR(__xludf.DUMMYFUNCTION("""COMPUTED_VALUE"""),"")</f>
        <v/>
      </c>
      <c r="B2880" s="3"/>
      <c r="C2880" s="3"/>
      <c r="D2880" s="3"/>
      <c r="E2880" s="3"/>
      <c r="F2880" s="3"/>
      <c r="G2880" s="3"/>
      <c r="H2880" s="3"/>
      <c r="I2880" s="3"/>
      <c r="J2880" s="3"/>
      <c r="K2880" s="3"/>
      <c r="L2880" s="3"/>
      <c r="M2880" s="3"/>
      <c r="N2880" s="3"/>
      <c r="O2880" s="3"/>
      <c r="P2880" s="3"/>
      <c r="Q2880" s="3"/>
      <c r="R2880" s="3"/>
      <c r="S2880" s="3"/>
      <c r="T2880" s="5"/>
      <c r="U2880" s="5"/>
      <c r="V2880" s="5"/>
      <c r="W2880" s="5"/>
    </row>
    <row r="2881" ht="15.75" customHeight="1">
      <c r="A2881" s="3" t="str">
        <f>IFERROR(__xludf.DUMMYFUNCTION("""COMPUTED_VALUE"""),"")</f>
        <v/>
      </c>
      <c r="B2881" s="3"/>
      <c r="C2881" s="3"/>
      <c r="D2881" s="3"/>
      <c r="E2881" s="3"/>
      <c r="F2881" s="3"/>
      <c r="G2881" s="3"/>
      <c r="H2881" s="3"/>
      <c r="I2881" s="3"/>
      <c r="J2881" s="3"/>
      <c r="K2881" s="3"/>
      <c r="L2881" s="3"/>
      <c r="M2881" s="3"/>
      <c r="N2881" s="3"/>
      <c r="O2881" s="3"/>
      <c r="P2881" s="3"/>
      <c r="Q2881" s="3"/>
      <c r="R2881" s="3"/>
      <c r="S2881" s="3"/>
      <c r="T2881" s="5"/>
      <c r="U2881" s="5"/>
      <c r="V2881" s="5"/>
      <c r="W2881" s="5"/>
    </row>
    <row r="2882" ht="15.75" customHeight="1">
      <c r="A2882" s="3" t="str">
        <f>IFERROR(__xludf.DUMMYFUNCTION("""COMPUTED_VALUE"""),"")</f>
        <v/>
      </c>
      <c r="B2882" s="3"/>
      <c r="C2882" s="3"/>
      <c r="D2882" s="3"/>
      <c r="E2882" s="3"/>
      <c r="F2882" s="3"/>
      <c r="G2882" s="3"/>
      <c r="H2882" s="3"/>
      <c r="I2882" s="3"/>
      <c r="J2882" s="3"/>
      <c r="K2882" s="3"/>
      <c r="L2882" s="3"/>
      <c r="M2882" s="3"/>
      <c r="N2882" s="3"/>
      <c r="O2882" s="3"/>
      <c r="P2882" s="3"/>
      <c r="Q2882" s="3"/>
      <c r="R2882" s="3"/>
      <c r="S2882" s="3"/>
      <c r="T2882" s="5"/>
      <c r="U2882" s="5"/>
      <c r="V2882" s="5"/>
      <c r="W2882" s="5"/>
    </row>
    <row r="2883" ht="15.75" customHeight="1">
      <c r="A2883" s="3" t="str">
        <f>IFERROR(__xludf.DUMMYFUNCTION("""COMPUTED_VALUE"""),"")</f>
        <v/>
      </c>
      <c r="B2883" s="3"/>
      <c r="C2883" s="3"/>
      <c r="D2883" s="3"/>
      <c r="E2883" s="3"/>
      <c r="F2883" s="3"/>
      <c r="G2883" s="3"/>
      <c r="H2883" s="3"/>
      <c r="I2883" s="3"/>
      <c r="J2883" s="3"/>
      <c r="K2883" s="3"/>
      <c r="L2883" s="3"/>
      <c r="M2883" s="3"/>
      <c r="N2883" s="3"/>
      <c r="O2883" s="3"/>
      <c r="P2883" s="3"/>
      <c r="Q2883" s="3"/>
      <c r="R2883" s="3"/>
      <c r="S2883" s="3"/>
      <c r="T2883" s="5"/>
      <c r="U2883" s="5"/>
      <c r="V2883" s="5"/>
      <c r="W2883" s="5"/>
    </row>
    <row r="2884" ht="15.75" customHeight="1">
      <c r="A2884" s="3" t="str">
        <f>IFERROR(__xludf.DUMMYFUNCTION("""COMPUTED_VALUE"""),"")</f>
        <v/>
      </c>
      <c r="B2884" s="3"/>
      <c r="C2884" s="3"/>
      <c r="D2884" s="3"/>
      <c r="E2884" s="3"/>
      <c r="F2884" s="3"/>
      <c r="G2884" s="3"/>
      <c r="H2884" s="3"/>
      <c r="I2884" s="3"/>
      <c r="J2884" s="3"/>
      <c r="K2884" s="3"/>
      <c r="L2884" s="3"/>
      <c r="M2884" s="3"/>
      <c r="N2884" s="3"/>
      <c r="O2884" s="3"/>
      <c r="P2884" s="3"/>
      <c r="Q2884" s="3"/>
      <c r="R2884" s="3"/>
      <c r="S2884" s="3"/>
      <c r="T2884" s="5"/>
      <c r="U2884" s="5"/>
      <c r="V2884" s="5"/>
      <c r="W2884" s="5"/>
    </row>
    <row r="2885" ht="15.75" customHeight="1">
      <c r="A2885" s="3" t="str">
        <f>IFERROR(__xludf.DUMMYFUNCTION("""COMPUTED_VALUE"""),"")</f>
        <v/>
      </c>
      <c r="B2885" s="3"/>
      <c r="C2885" s="3"/>
      <c r="D2885" s="3"/>
      <c r="E2885" s="3"/>
      <c r="F2885" s="3"/>
      <c r="G2885" s="3"/>
      <c r="H2885" s="3"/>
      <c r="I2885" s="3"/>
      <c r="J2885" s="3"/>
      <c r="K2885" s="3"/>
      <c r="L2885" s="3"/>
      <c r="M2885" s="3"/>
      <c r="N2885" s="3"/>
      <c r="O2885" s="3"/>
      <c r="P2885" s="3"/>
      <c r="Q2885" s="3"/>
      <c r="R2885" s="3"/>
      <c r="S2885" s="3"/>
      <c r="T2885" s="5"/>
      <c r="U2885" s="5"/>
      <c r="V2885" s="5"/>
      <c r="W2885" s="5"/>
    </row>
    <row r="2886" ht="15.75" customHeight="1">
      <c r="A2886" s="3" t="str">
        <f>IFERROR(__xludf.DUMMYFUNCTION("""COMPUTED_VALUE"""),"")</f>
        <v/>
      </c>
      <c r="B2886" s="3"/>
      <c r="C2886" s="3"/>
      <c r="D2886" s="3"/>
      <c r="E2886" s="3"/>
      <c r="F2886" s="3"/>
      <c r="G2886" s="3"/>
      <c r="H2886" s="3"/>
      <c r="I2886" s="3"/>
      <c r="J2886" s="3"/>
      <c r="K2886" s="3"/>
      <c r="L2886" s="3"/>
      <c r="M2886" s="3"/>
      <c r="N2886" s="3"/>
      <c r="O2886" s="3"/>
      <c r="P2886" s="3"/>
      <c r="Q2886" s="3"/>
      <c r="R2886" s="3"/>
      <c r="S2886" s="3"/>
      <c r="T2886" s="5"/>
      <c r="U2886" s="5"/>
      <c r="V2886" s="5"/>
      <c r="W2886" s="5"/>
    </row>
    <row r="2887" ht="15.75" customHeight="1">
      <c r="A2887" s="3" t="str">
        <f>IFERROR(__xludf.DUMMYFUNCTION("""COMPUTED_VALUE"""),"")</f>
        <v/>
      </c>
      <c r="B2887" s="3"/>
      <c r="C2887" s="3"/>
      <c r="D2887" s="3"/>
      <c r="E2887" s="3"/>
      <c r="F2887" s="3"/>
      <c r="G2887" s="3"/>
      <c r="H2887" s="3"/>
      <c r="I2887" s="3"/>
      <c r="J2887" s="3"/>
      <c r="K2887" s="3"/>
      <c r="L2887" s="3"/>
      <c r="M2887" s="3"/>
      <c r="N2887" s="3"/>
      <c r="O2887" s="3"/>
      <c r="P2887" s="3"/>
      <c r="Q2887" s="3"/>
      <c r="R2887" s="3"/>
      <c r="S2887" s="3"/>
      <c r="T2887" s="5"/>
      <c r="U2887" s="5"/>
      <c r="V2887" s="5"/>
      <c r="W2887" s="5"/>
    </row>
    <row r="2888" ht="15.75" customHeight="1">
      <c r="A2888" s="3" t="str">
        <f>IFERROR(__xludf.DUMMYFUNCTION("""COMPUTED_VALUE"""),"")</f>
        <v/>
      </c>
      <c r="B2888" s="3"/>
      <c r="C2888" s="3"/>
      <c r="D2888" s="3"/>
      <c r="E2888" s="3"/>
      <c r="F2888" s="3"/>
      <c r="G2888" s="3"/>
      <c r="H2888" s="3"/>
      <c r="I2888" s="3"/>
      <c r="J2888" s="3"/>
      <c r="K2888" s="3"/>
      <c r="L2888" s="3"/>
      <c r="M2888" s="3"/>
      <c r="N2888" s="3"/>
      <c r="O2888" s="3"/>
      <c r="P2888" s="3"/>
      <c r="Q2888" s="3"/>
      <c r="R2888" s="3"/>
      <c r="S2888" s="3"/>
      <c r="T2888" s="5"/>
      <c r="U2888" s="5"/>
      <c r="V2888" s="5"/>
      <c r="W2888" s="5"/>
    </row>
    <row r="2889" ht="15.75" customHeight="1">
      <c r="A2889" s="3" t="str">
        <f>IFERROR(__xludf.DUMMYFUNCTION("""COMPUTED_VALUE"""),"")</f>
        <v/>
      </c>
      <c r="B2889" s="3"/>
      <c r="C2889" s="3"/>
      <c r="D2889" s="3"/>
      <c r="E2889" s="3"/>
      <c r="F2889" s="3"/>
      <c r="G2889" s="3"/>
      <c r="H2889" s="3"/>
      <c r="I2889" s="3"/>
      <c r="J2889" s="3"/>
      <c r="K2889" s="3"/>
      <c r="L2889" s="3"/>
      <c r="M2889" s="3"/>
      <c r="N2889" s="3"/>
      <c r="O2889" s="3"/>
      <c r="P2889" s="3"/>
      <c r="Q2889" s="3"/>
      <c r="R2889" s="3"/>
      <c r="S2889" s="3"/>
      <c r="T2889" s="5"/>
      <c r="U2889" s="5"/>
      <c r="V2889" s="5"/>
      <c r="W2889" s="5"/>
    </row>
    <row r="2890" ht="15.75" customHeight="1">
      <c r="A2890" s="3" t="str">
        <f>IFERROR(__xludf.DUMMYFUNCTION("""COMPUTED_VALUE"""),"")</f>
        <v/>
      </c>
      <c r="B2890" s="3"/>
      <c r="C2890" s="3"/>
      <c r="D2890" s="3"/>
      <c r="E2890" s="3"/>
      <c r="F2890" s="3"/>
      <c r="G2890" s="3"/>
      <c r="H2890" s="3"/>
      <c r="I2890" s="3"/>
      <c r="J2890" s="3"/>
      <c r="K2890" s="3"/>
      <c r="L2890" s="3"/>
      <c r="M2890" s="3"/>
      <c r="N2890" s="3"/>
      <c r="O2890" s="3"/>
      <c r="P2890" s="3"/>
      <c r="Q2890" s="3"/>
      <c r="R2890" s="3"/>
      <c r="S2890" s="3"/>
      <c r="T2890" s="5"/>
      <c r="U2890" s="5"/>
      <c r="V2890" s="5"/>
      <c r="W2890" s="5"/>
    </row>
    <row r="2891" ht="15.75" customHeight="1">
      <c r="A2891" s="3" t="str">
        <f>IFERROR(__xludf.DUMMYFUNCTION("""COMPUTED_VALUE"""),"")</f>
        <v/>
      </c>
      <c r="B2891" s="3"/>
      <c r="C2891" s="3"/>
      <c r="D2891" s="3"/>
      <c r="E2891" s="3"/>
      <c r="F2891" s="3"/>
      <c r="G2891" s="3"/>
      <c r="H2891" s="3"/>
      <c r="I2891" s="3"/>
      <c r="J2891" s="3"/>
      <c r="K2891" s="3"/>
      <c r="L2891" s="3"/>
      <c r="M2891" s="3"/>
      <c r="N2891" s="3"/>
      <c r="O2891" s="3"/>
      <c r="P2891" s="3"/>
      <c r="Q2891" s="3"/>
      <c r="R2891" s="3"/>
      <c r="S2891" s="3"/>
      <c r="T2891" s="5"/>
      <c r="U2891" s="5"/>
      <c r="V2891" s="5"/>
      <c r="W2891" s="5"/>
    </row>
    <row r="2892" ht="15.75" customHeight="1">
      <c r="A2892" s="3" t="str">
        <f>IFERROR(__xludf.DUMMYFUNCTION("""COMPUTED_VALUE"""),"")</f>
        <v/>
      </c>
      <c r="B2892" s="3"/>
      <c r="C2892" s="3"/>
      <c r="D2892" s="3"/>
      <c r="E2892" s="3"/>
      <c r="F2892" s="3"/>
      <c r="G2892" s="3"/>
      <c r="H2892" s="3"/>
      <c r="I2892" s="3"/>
      <c r="J2892" s="3"/>
      <c r="K2892" s="3"/>
      <c r="L2892" s="3"/>
      <c r="M2892" s="3"/>
      <c r="N2892" s="3"/>
      <c r="O2892" s="3"/>
      <c r="P2892" s="3"/>
      <c r="Q2892" s="3"/>
      <c r="R2892" s="3"/>
      <c r="S2892" s="3"/>
      <c r="T2892" s="5"/>
      <c r="U2892" s="5"/>
      <c r="V2892" s="5"/>
      <c r="W2892" s="5"/>
    </row>
    <row r="2893" ht="15.75" customHeight="1">
      <c r="A2893" s="3" t="str">
        <f>IFERROR(__xludf.DUMMYFUNCTION("""COMPUTED_VALUE"""),"")</f>
        <v/>
      </c>
      <c r="B2893" s="3"/>
      <c r="C2893" s="3"/>
      <c r="D2893" s="3"/>
      <c r="E2893" s="3"/>
      <c r="F2893" s="3"/>
      <c r="G2893" s="3"/>
      <c r="H2893" s="3"/>
      <c r="I2893" s="3"/>
      <c r="J2893" s="3"/>
      <c r="K2893" s="3"/>
      <c r="L2893" s="3"/>
      <c r="M2893" s="3"/>
      <c r="N2893" s="3"/>
      <c r="O2893" s="3"/>
      <c r="P2893" s="3"/>
      <c r="Q2893" s="3"/>
      <c r="R2893" s="3"/>
      <c r="S2893" s="3"/>
      <c r="T2893" s="5"/>
      <c r="U2893" s="5"/>
      <c r="V2893" s="5"/>
      <c r="W2893" s="5"/>
    </row>
    <row r="2894" ht="15.75" customHeight="1">
      <c r="A2894" s="3" t="str">
        <f>IFERROR(__xludf.DUMMYFUNCTION("""COMPUTED_VALUE"""),"")</f>
        <v/>
      </c>
      <c r="B2894" s="3"/>
      <c r="C2894" s="3"/>
      <c r="D2894" s="3"/>
      <c r="E2894" s="3"/>
      <c r="F2894" s="3"/>
      <c r="G2894" s="3"/>
      <c r="H2894" s="3"/>
      <c r="I2894" s="3"/>
      <c r="J2894" s="3"/>
      <c r="K2894" s="3"/>
      <c r="L2894" s="3"/>
      <c r="M2894" s="3"/>
      <c r="N2894" s="3"/>
      <c r="O2894" s="3"/>
      <c r="P2894" s="3"/>
      <c r="Q2894" s="3"/>
      <c r="R2894" s="3"/>
      <c r="S2894" s="3"/>
      <c r="T2894" s="5"/>
      <c r="U2894" s="5"/>
      <c r="V2894" s="5"/>
      <c r="W2894" s="5"/>
    </row>
    <row r="2895" ht="15.75" customHeight="1">
      <c r="A2895" s="3" t="str">
        <f>IFERROR(__xludf.DUMMYFUNCTION("""COMPUTED_VALUE"""),"")</f>
        <v/>
      </c>
      <c r="B2895" s="3"/>
      <c r="C2895" s="3"/>
      <c r="D2895" s="3"/>
      <c r="E2895" s="3"/>
      <c r="F2895" s="3"/>
      <c r="G2895" s="3"/>
      <c r="H2895" s="3"/>
      <c r="I2895" s="3"/>
      <c r="J2895" s="3"/>
      <c r="K2895" s="3"/>
      <c r="L2895" s="3"/>
      <c r="M2895" s="3"/>
      <c r="N2895" s="3"/>
      <c r="O2895" s="3"/>
      <c r="P2895" s="3"/>
      <c r="Q2895" s="3"/>
      <c r="R2895" s="3"/>
      <c r="S2895" s="3"/>
      <c r="T2895" s="5"/>
      <c r="U2895" s="5"/>
      <c r="V2895" s="5"/>
      <c r="W2895" s="5"/>
    </row>
    <row r="2896" ht="15.75" customHeight="1">
      <c r="A2896" s="3" t="str">
        <f>IFERROR(__xludf.DUMMYFUNCTION("""COMPUTED_VALUE"""),"")</f>
        <v/>
      </c>
      <c r="B2896" s="3"/>
      <c r="C2896" s="3"/>
      <c r="D2896" s="3"/>
      <c r="E2896" s="3"/>
      <c r="F2896" s="3"/>
      <c r="G2896" s="3"/>
      <c r="H2896" s="3"/>
      <c r="I2896" s="3"/>
      <c r="J2896" s="3"/>
      <c r="K2896" s="3"/>
      <c r="L2896" s="3"/>
      <c r="M2896" s="3"/>
      <c r="N2896" s="3"/>
      <c r="O2896" s="3"/>
      <c r="P2896" s="3"/>
      <c r="Q2896" s="3"/>
      <c r="R2896" s="3"/>
      <c r="S2896" s="3"/>
      <c r="T2896" s="5"/>
      <c r="U2896" s="5"/>
      <c r="V2896" s="5"/>
      <c r="W2896" s="5"/>
    </row>
    <row r="2897" ht="15.75" customHeight="1">
      <c r="A2897" s="3" t="str">
        <f>IFERROR(__xludf.DUMMYFUNCTION("""COMPUTED_VALUE"""),"")</f>
        <v/>
      </c>
      <c r="B2897" s="3"/>
      <c r="C2897" s="3"/>
      <c r="D2897" s="3"/>
      <c r="E2897" s="3"/>
      <c r="F2897" s="3"/>
      <c r="G2897" s="3"/>
      <c r="H2897" s="3"/>
      <c r="I2897" s="3"/>
      <c r="J2897" s="3"/>
      <c r="K2897" s="3"/>
      <c r="L2897" s="3"/>
      <c r="M2897" s="3"/>
      <c r="N2897" s="3"/>
      <c r="O2897" s="3"/>
      <c r="P2897" s="3"/>
      <c r="Q2897" s="3"/>
      <c r="R2897" s="3"/>
      <c r="S2897" s="3"/>
      <c r="T2897" s="5"/>
      <c r="U2897" s="5"/>
      <c r="V2897" s="5"/>
      <c r="W2897" s="5"/>
    </row>
    <row r="2898" ht="15.75" customHeight="1">
      <c r="A2898" s="3" t="str">
        <f>IFERROR(__xludf.DUMMYFUNCTION("""COMPUTED_VALUE"""),"")</f>
        <v/>
      </c>
      <c r="B2898" s="3"/>
      <c r="C2898" s="3"/>
      <c r="D2898" s="3"/>
      <c r="E2898" s="3"/>
      <c r="F2898" s="3"/>
      <c r="G2898" s="3"/>
      <c r="H2898" s="3"/>
      <c r="I2898" s="3"/>
      <c r="J2898" s="3"/>
      <c r="K2898" s="3"/>
      <c r="L2898" s="3"/>
      <c r="M2898" s="3"/>
      <c r="N2898" s="3"/>
      <c r="O2898" s="3"/>
      <c r="P2898" s="3"/>
      <c r="Q2898" s="3"/>
      <c r="R2898" s="3"/>
      <c r="S2898" s="3"/>
      <c r="T2898" s="5"/>
      <c r="U2898" s="5"/>
      <c r="V2898" s="5"/>
      <c r="W2898" s="5"/>
    </row>
    <row r="2899" ht="15.75" customHeight="1">
      <c r="A2899" s="3" t="str">
        <f>IFERROR(__xludf.DUMMYFUNCTION("""COMPUTED_VALUE"""),"")</f>
        <v/>
      </c>
      <c r="B2899" s="3"/>
      <c r="C2899" s="3"/>
      <c r="D2899" s="3"/>
      <c r="E2899" s="3"/>
      <c r="F2899" s="3"/>
      <c r="G2899" s="3"/>
      <c r="H2899" s="3"/>
      <c r="I2899" s="3"/>
      <c r="J2899" s="3"/>
      <c r="K2899" s="3"/>
      <c r="L2899" s="3"/>
      <c r="M2899" s="3"/>
      <c r="N2899" s="3"/>
      <c r="O2899" s="3"/>
      <c r="P2899" s="3"/>
      <c r="Q2899" s="3"/>
      <c r="R2899" s="3"/>
      <c r="S2899" s="3"/>
      <c r="T2899" s="5"/>
      <c r="U2899" s="5"/>
      <c r="V2899" s="5"/>
      <c r="W2899" s="5"/>
    </row>
    <row r="2900" ht="15.75" customHeight="1">
      <c r="A2900" s="3" t="str">
        <f>IFERROR(__xludf.DUMMYFUNCTION("""COMPUTED_VALUE"""),"")</f>
        <v/>
      </c>
      <c r="B2900" s="3"/>
      <c r="C2900" s="3"/>
      <c r="D2900" s="3"/>
      <c r="E2900" s="3"/>
      <c r="F2900" s="3"/>
      <c r="G2900" s="3"/>
      <c r="H2900" s="3"/>
      <c r="I2900" s="3"/>
      <c r="J2900" s="3"/>
      <c r="K2900" s="3"/>
      <c r="L2900" s="3"/>
      <c r="M2900" s="3"/>
      <c r="N2900" s="3"/>
      <c r="O2900" s="3"/>
      <c r="P2900" s="3"/>
      <c r="Q2900" s="3"/>
      <c r="R2900" s="3"/>
      <c r="S2900" s="3"/>
      <c r="T2900" s="5"/>
      <c r="U2900" s="5"/>
      <c r="V2900" s="5"/>
      <c r="W2900" s="5"/>
    </row>
    <row r="2901" ht="15.75" customHeight="1">
      <c r="A2901" s="3" t="str">
        <f>IFERROR(__xludf.DUMMYFUNCTION("""COMPUTED_VALUE"""),"")</f>
        <v/>
      </c>
      <c r="B2901" s="3"/>
      <c r="C2901" s="3"/>
      <c r="D2901" s="3"/>
      <c r="E2901" s="3"/>
      <c r="F2901" s="3"/>
      <c r="G2901" s="3"/>
      <c r="H2901" s="3"/>
      <c r="I2901" s="3"/>
      <c r="J2901" s="3"/>
      <c r="K2901" s="3"/>
      <c r="L2901" s="3"/>
      <c r="M2901" s="3"/>
      <c r="N2901" s="3"/>
      <c r="O2901" s="3"/>
      <c r="P2901" s="3"/>
      <c r="Q2901" s="3"/>
      <c r="R2901" s="3"/>
      <c r="S2901" s="3"/>
      <c r="T2901" s="5"/>
      <c r="U2901" s="5"/>
      <c r="V2901" s="5"/>
      <c r="W2901" s="5"/>
    </row>
    <row r="2902" ht="15.75" customHeight="1">
      <c r="A2902" s="3" t="str">
        <f>IFERROR(__xludf.DUMMYFUNCTION("""COMPUTED_VALUE"""),"")</f>
        <v/>
      </c>
      <c r="B2902" s="3"/>
      <c r="C2902" s="3"/>
      <c r="D2902" s="3"/>
      <c r="E2902" s="3"/>
      <c r="F2902" s="3"/>
      <c r="G2902" s="3"/>
      <c r="H2902" s="3"/>
      <c r="I2902" s="3"/>
      <c r="J2902" s="3"/>
      <c r="K2902" s="3"/>
      <c r="L2902" s="3"/>
      <c r="M2902" s="3"/>
      <c r="N2902" s="3"/>
      <c r="O2902" s="3"/>
      <c r="P2902" s="3"/>
      <c r="Q2902" s="3"/>
      <c r="R2902" s="3"/>
      <c r="S2902" s="3"/>
      <c r="T2902" s="5"/>
      <c r="U2902" s="5"/>
      <c r="V2902" s="5"/>
      <c r="W2902" s="5"/>
    </row>
    <row r="2903" ht="15.75" customHeight="1">
      <c r="A2903" s="3" t="str">
        <f>IFERROR(__xludf.DUMMYFUNCTION("""COMPUTED_VALUE"""),"")</f>
        <v/>
      </c>
      <c r="B2903" s="3"/>
      <c r="C2903" s="3"/>
      <c r="D2903" s="3"/>
      <c r="E2903" s="3"/>
      <c r="F2903" s="3"/>
      <c r="G2903" s="3"/>
      <c r="H2903" s="3"/>
      <c r="I2903" s="3"/>
      <c r="J2903" s="3"/>
      <c r="K2903" s="3"/>
      <c r="L2903" s="3"/>
      <c r="M2903" s="3"/>
      <c r="N2903" s="3"/>
      <c r="O2903" s="3"/>
      <c r="P2903" s="3"/>
      <c r="Q2903" s="3"/>
      <c r="R2903" s="3"/>
      <c r="S2903" s="3"/>
      <c r="T2903" s="5"/>
      <c r="U2903" s="5"/>
      <c r="V2903" s="5"/>
      <c r="W2903" s="5"/>
    </row>
    <row r="2904" ht="15.75" customHeight="1">
      <c r="A2904" s="3" t="str">
        <f>IFERROR(__xludf.DUMMYFUNCTION("""COMPUTED_VALUE"""),"")</f>
        <v/>
      </c>
      <c r="B2904" s="3"/>
      <c r="C2904" s="3"/>
      <c r="D2904" s="3"/>
      <c r="E2904" s="3"/>
      <c r="F2904" s="3"/>
      <c r="G2904" s="3"/>
      <c r="H2904" s="3"/>
      <c r="I2904" s="3"/>
      <c r="J2904" s="3"/>
      <c r="K2904" s="3"/>
      <c r="L2904" s="3"/>
      <c r="M2904" s="3"/>
      <c r="N2904" s="3"/>
      <c r="O2904" s="3"/>
      <c r="P2904" s="3"/>
      <c r="Q2904" s="3"/>
      <c r="R2904" s="3"/>
      <c r="S2904" s="3"/>
      <c r="T2904" s="5"/>
      <c r="U2904" s="5"/>
      <c r="V2904" s="5"/>
      <c r="W2904" s="5"/>
    </row>
    <row r="2905" ht="15.75" customHeight="1">
      <c r="A2905" s="3" t="str">
        <f>IFERROR(__xludf.DUMMYFUNCTION("""COMPUTED_VALUE"""),"")</f>
        <v/>
      </c>
      <c r="B2905" s="3"/>
      <c r="C2905" s="3"/>
      <c r="D2905" s="3"/>
      <c r="E2905" s="3"/>
      <c r="F2905" s="3"/>
      <c r="G2905" s="3"/>
      <c r="H2905" s="3"/>
      <c r="I2905" s="3"/>
      <c r="J2905" s="3"/>
      <c r="K2905" s="3"/>
      <c r="L2905" s="3"/>
      <c r="M2905" s="3"/>
      <c r="N2905" s="3"/>
      <c r="O2905" s="3"/>
      <c r="P2905" s="3"/>
      <c r="Q2905" s="3"/>
      <c r="R2905" s="3"/>
      <c r="S2905" s="3"/>
      <c r="T2905" s="5"/>
      <c r="U2905" s="5"/>
      <c r="V2905" s="5"/>
      <c r="W2905" s="5"/>
    </row>
    <row r="2906" ht="15.75" customHeight="1">
      <c r="A2906" s="3" t="str">
        <f>IFERROR(__xludf.DUMMYFUNCTION("""COMPUTED_VALUE"""),"")</f>
        <v/>
      </c>
      <c r="B2906" s="3"/>
      <c r="C2906" s="3"/>
      <c r="D2906" s="3"/>
      <c r="E2906" s="3"/>
      <c r="F2906" s="3"/>
      <c r="G2906" s="3"/>
      <c r="H2906" s="3"/>
      <c r="I2906" s="3"/>
      <c r="J2906" s="3"/>
      <c r="K2906" s="3"/>
      <c r="L2906" s="3"/>
      <c r="M2906" s="3"/>
      <c r="N2906" s="3"/>
      <c r="O2906" s="3"/>
      <c r="P2906" s="3"/>
      <c r="Q2906" s="3"/>
      <c r="R2906" s="3"/>
      <c r="S2906" s="3"/>
      <c r="T2906" s="5"/>
      <c r="U2906" s="5"/>
      <c r="V2906" s="5"/>
      <c r="W2906" s="5"/>
    </row>
    <row r="2907" ht="15.75" customHeight="1">
      <c r="A2907" s="3" t="str">
        <f>IFERROR(__xludf.DUMMYFUNCTION("""COMPUTED_VALUE"""),"")</f>
        <v/>
      </c>
      <c r="B2907" s="3"/>
      <c r="C2907" s="3"/>
      <c r="D2907" s="3"/>
      <c r="E2907" s="3"/>
      <c r="F2907" s="3"/>
      <c r="G2907" s="3"/>
      <c r="H2907" s="3"/>
      <c r="I2907" s="3"/>
      <c r="J2907" s="3"/>
      <c r="K2907" s="3"/>
      <c r="L2907" s="3"/>
      <c r="M2907" s="3"/>
      <c r="N2907" s="3"/>
      <c r="O2907" s="3"/>
      <c r="P2907" s="3"/>
      <c r="Q2907" s="3"/>
      <c r="R2907" s="3"/>
      <c r="S2907" s="3"/>
      <c r="T2907" s="5"/>
      <c r="U2907" s="5"/>
      <c r="V2907" s="5"/>
      <c r="W2907" s="5"/>
    </row>
    <row r="2908" ht="15.75" customHeight="1">
      <c r="A2908" s="3" t="str">
        <f>IFERROR(__xludf.DUMMYFUNCTION("""COMPUTED_VALUE"""),"")</f>
        <v/>
      </c>
      <c r="B2908" s="3"/>
      <c r="C2908" s="3"/>
      <c r="D2908" s="3"/>
      <c r="E2908" s="3"/>
      <c r="F2908" s="3"/>
      <c r="G2908" s="3"/>
      <c r="H2908" s="3"/>
      <c r="I2908" s="3"/>
      <c r="J2908" s="3"/>
      <c r="K2908" s="3"/>
      <c r="L2908" s="3"/>
      <c r="M2908" s="3"/>
      <c r="N2908" s="3"/>
      <c r="O2908" s="3"/>
      <c r="P2908" s="3"/>
      <c r="Q2908" s="3"/>
      <c r="R2908" s="3"/>
      <c r="S2908" s="3"/>
      <c r="T2908" s="5"/>
      <c r="U2908" s="5"/>
      <c r="V2908" s="5"/>
      <c r="W2908" s="5"/>
    </row>
    <row r="2909" ht="15.75" customHeight="1">
      <c r="A2909" s="3" t="str">
        <f>IFERROR(__xludf.DUMMYFUNCTION("""COMPUTED_VALUE"""),"")</f>
        <v/>
      </c>
      <c r="B2909" s="3"/>
      <c r="C2909" s="3"/>
      <c r="D2909" s="3"/>
      <c r="E2909" s="3"/>
      <c r="F2909" s="3"/>
      <c r="G2909" s="3"/>
      <c r="H2909" s="3"/>
      <c r="I2909" s="3"/>
      <c r="J2909" s="3"/>
      <c r="K2909" s="3"/>
      <c r="L2909" s="3"/>
      <c r="M2909" s="3"/>
      <c r="N2909" s="3"/>
      <c r="O2909" s="3"/>
      <c r="P2909" s="3"/>
      <c r="Q2909" s="3"/>
      <c r="R2909" s="3"/>
      <c r="S2909" s="3"/>
      <c r="T2909" s="5"/>
      <c r="U2909" s="5"/>
      <c r="V2909" s="5"/>
      <c r="W2909" s="5"/>
    </row>
    <row r="2910" ht="15.75" customHeight="1">
      <c r="A2910" s="3" t="str">
        <f>IFERROR(__xludf.DUMMYFUNCTION("""COMPUTED_VALUE"""),"")</f>
        <v/>
      </c>
      <c r="B2910" s="3"/>
      <c r="C2910" s="3"/>
      <c r="D2910" s="3"/>
      <c r="E2910" s="3"/>
      <c r="F2910" s="3"/>
      <c r="G2910" s="3"/>
      <c r="H2910" s="3"/>
      <c r="I2910" s="3"/>
      <c r="J2910" s="3"/>
      <c r="K2910" s="3"/>
      <c r="L2910" s="3"/>
      <c r="M2910" s="3"/>
      <c r="N2910" s="3"/>
      <c r="O2910" s="3"/>
      <c r="P2910" s="3"/>
      <c r="Q2910" s="3"/>
      <c r="R2910" s="3"/>
      <c r="S2910" s="3"/>
      <c r="T2910" s="5"/>
      <c r="U2910" s="5"/>
      <c r="V2910" s="5"/>
      <c r="W2910" s="5"/>
    </row>
    <row r="2911" ht="15.75" customHeight="1">
      <c r="A2911" s="3" t="str">
        <f>IFERROR(__xludf.DUMMYFUNCTION("""COMPUTED_VALUE"""),"")</f>
        <v/>
      </c>
      <c r="B2911" s="3"/>
      <c r="C2911" s="3"/>
      <c r="D2911" s="3"/>
      <c r="E2911" s="3"/>
      <c r="F2911" s="3"/>
      <c r="G2911" s="3"/>
      <c r="H2911" s="3"/>
      <c r="I2911" s="3"/>
      <c r="J2911" s="3"/>
      <c r="K2911" s="3"/>
      <c r="L2911" s="3"/>
      <c r="M2911" s="3"/>
      <c r="N2911" s="3"/>
      <c r="O2911" s="3"/>
      <c r="P2911" s="3"/>
      <c r="Q2911" s="3"/>
      <c r="R2911" s="3"/>
      <c r="S2911" s="3"/>
      <c r="T2911" s="5"/>
      <c r="U2911" s="5"/>
      <c r="V2911" s="5"/>
      <c r="W2911" s="5"/>
    </row>
    <row r="2912" ht="15.75" customHeight="1">
      <c r="A2912" s="3" t="str">
        <f>IFERROR(__xludf.DUMMYFUNCTION("""COMPUTED_VALUE"""),"")</f>
        <v/>
      </c>
      <c r="B2912" s="3"/>
      <c r="C2912" s="3"/>
      <c r="D2912" s="3"/>
      <c r="E2912" s="3"/>
      <c r="F2912" s="3"/>
      <c r="G2912" s="3"/>
      <c r="H2912" s="3"/>
      <c r="I2912" s="3"/>
      <c r="J2912" s="3"/>
      <c r="K2912" s="3"/>
      <c r="L2912" s="3"/>
      <c r="M2912" s="3"/>
      <c r="N2912" s="3"/>
      <c r="O2912" s="3"/>
      <c r="P2912" s="3"/>
      <c r="Q2912" s="3"/>
      <c r="R2912" s="3"/>
      <c r="S2912" s="3"/>
      <c r="T2912" s="5"/>
      <c r="U2912" s="5"/>
      <c r="V2912" s="5"/>
      <c r="W2912" s="5"/>
    </row>
    <row r="2913" ht="15.75" customHeight="1">
      <c r="A2913" s="3" t="str">
        <f>IFERROR(__xludf.DUMMYFUNCTION("""COMPUTED_VALUE"""),"")</f>
        <v/>
      </c>
      <c r="B2913" s="3"/>
      <c r="C2913" s="3"/>
      <c r="D2913" s="3"/>
      <c r="E2913" s="3"/>
      <c r="F2913" s="3"/>
      <c r="G2913" s="3"/>
      <c r="H2913" s="3"/>
      <c r="I2913" s="3"/>
      <c r="J2913" s="3"/>
      <c r="K2913" s="3"/>
      <c r="L2913" s="3"/>
      <c r="M2913" s="3"/>
      <c r="N2913" s="3"/>
      <c r="O2913" s="3"/>
      <c r="P2913" s="3"/>
      <c r="Q2913" s="3"/>
      <c r="R2913" s="3"/>
      <c r="S2913" s="3"/>
      <c r="T2913" s="5"/>
      <c r="U2913" s="5"/>
      <c r="V2913" s="5"/>
      <c r="W2913" s="5"/>
    </row>
    <row r="2914" ht="15.75" customHeight="1">
      <c r="A2914" s="3" t="str">
        <f>IFERROR(__xludf.DUMMYFUNCTION("""COMPUTED_VALUE"""),"")</f>
        <v/>
      </c>
      <c r="B2914" s="3"/>
      <c r="C2914" s="3"/>
      <c r="D2914" s="3"/>
      <c r="E2914" s="3"/>
      <c r="F2914" s="3"/>
      <c r="G2914" s="3"/>
      <c r="H2914" s="3"/>
      <c r="I2914" s="3"/>
      <c r="J2914" s="3"/>
      <c r="K2914" s="3"/>
      <c r="L2914" s="3"/>
      <c r="M2914" s="3"/>
      <c r="N2914" s="3"/>
      <c r="O2914" s="3"/>
      <c r="P2914" s="3"/>
      <c r="Q2914" s="3"/>
      <c r="R2914" s="3"/>
      <c r="S2914" s="3"/>
      <c r="T2914" s="5"/>
      <c r="U2914" s="5"/>
      <c r="V2914" s="5"/>
      <c r="W2914" s="5"/>
    </row>
    <row r="2915" ht="15.75" customHeight="1">
      <c r="A2915" s="3" t="str">
        <f>IFERROR(__xludf.DUMMYFUNCTION("""COMPUTED_VALUE"""),"")</f>
        <v/>
      </c>
      <c r="B2915" s="3"/>
      <c r="C2915" s="3"/>
      <c r="D2915" s="3"/>
      <c r="E2915" s="3"/>
      <c r="F2915" s="3"/>
      <c r="G2915" s="3"/>
      <c r="H2915" s="3"/>
      <c r="I2915" s="3"/>
      <c r="J2915" s="3"/>
      <c r="K2915" s="3"/>
      <c r="L2915" s="3"/>
      <c r="M2915" s="3"/>
      <c r="N2915" s="3"/>
      <c r="O2915" s="3"/>
      <c r="P2915" s="3"/>
      <c r="Q2915" s="3"/>
      <c r="R2915" s="3"/>
      <c r="S2915" s="3"/>
      <c r="T2915" s="5"/>
      <c r="U2915" s="5"/>
      <c r="V2915" s="5"/>
      <c r="W2915" s="5"/>
    </row>
    <row r="2916" ht="15.75" customHeight="1">
      <c r="A2916" s="3" t="str">
        <f>IFERROR(__xludf.DUMMYFUNCTION("""COMPUTED_VALUE"""),"")</f>
        <v/>
      </c>
      <c r="B2916" s="3"/>
      <c r="C2916" s="3"/>
      <c r="D2916" s="3"/>
      <c r="E2916" s="3"/>
      <c r="F2916" s="3"/>
      <c r="G2916" s="3"/>
      <c r="H2916" s="3"/>
      <c r="I2916" s="3"/>
      <c r="J2916" s="3"/>
      <c r="K2916" s="3"/>
      <c r="L2916" s="3"/>
      <c r="M2916" s="3"/>
      <c r="N2916" s="3"/>
      <c r="O2916" s="3"/>
      <c r="P2916" s="3"/>
      <c r="Q2916" s="3"/>
      <c r="R2916" s="3"/>
      <c r="S2916" s="3"/>
      <c r="T2916" s="5"/>
      <c r="U2916" s="5"/>
      <c r="V2916" s="5"/>
      <c r="W2916" s="5"/>
    </row>
    <row r="2917" ht="15.75" customHeight="1">
      <c r="A2917" s="3" t="str">
        <f>IFERROR(__xludf.DUMMYFUNCTION("""COMPUTED_VALUE"""),"")</f>
        <v/>
      </c>
      <c r="B2917" s="3"/>
      <c r="C2917" s="3"/>
      <c r="D2917" s="3"/>
      <c r="E2917" s="3"/>
      <c r="F2917" s="3"/>
      <c r="G2917" s="3"/>
      <c r="H2917" s="3"/>
      <c r="I2917" s="3"/>
      <c r="J2917" s="3"/>
      <c r="K2917" s="3"/>
      <c r="L2917" s="3"/>
      <c r="M2917" s="3"/>
      <c r="N2917" s="3"/>
      <c r="O2917" s="3"/>
      <c r="P2917" s="3"/>
      <c r="Q2917" s="3"/>
      <c r="R2917" s="3"/>
      <c r="S2917" s="3"/>
      <c r="T2917" s="5"/>
      <c r="U2917" s="5"/>
      <c r="V2917" s="5"/>
      <c r="W2917" s="5"/>
    </row>
    <row r="2918" ht="15.75" customHeight="1">
      <c r="A2918" s="3" t="str">
        <f>IFERROR(__xludf.DUMMYFUNCTION("""COMPUTED_VALUE"""),"")</f>
        <v/>
      </c>
      <c r="B2918" s="3"/>
      <c r="C2918" s="3"/>
      <c r="D2918" s="3"/>
      <c r="E2918" s="3"/>
      <c r="F2918" s="3"/>
      <c r="G2918" s="3"/>
      <c r="H2918" s="3"/>
      <c r="I2918" s="3"/>
      <c r="J2918" s="3"/>
      <c r="K2918" s="3"/>
      <c r="L2918" s="3"/>
      <c r="M2918" s="3"/>
      <c r="N2918" s="3"/>
      <c r="O2918" s="3"/>
      <c r="P2918" s="3"/>
      <c r="Q2918" s="3"/>
      <c r="R2918" s="3"/>
      <c r="S2918" s="3"/>
      <c r="T2918" s="5"/>
      <c r="U2918" s="5"/>
      <c r="V2918" s="5"/>
      <c r="W2918" s="5"/>
    </row>
    <row r="2919" ht="15.75" customHeight="1">
      <c r="A2919" s="3" t="str">
        <f>IFERROR(__xludf.DUMMYFUNCTION("""COMPUTED_VALUE"""),"")</f>
        <v/>
      </c>
      <c r="B2919" s="3"/>
      <c r="C2919" s="3"/>
      <c r="D2919" s="3"/>
      <c r="E2919" s="3"/>
      <c r="F2919" s="3"/>
      <c r="G2919" s="3"/>
      <c r="H2919" s="3"/>
      <c r="I2919" s="3"/>
      <c r="J2919" s="3"/>
      <c r="K2919" s="3"/>
      <c r="L2919" s="3"/>
      <c r="M2919" s="3"/>
      <c r="N2919" s="3"/>
      <c r="O2919" s="3"/>
      <c r="P2919" s="3"/>
      <c r="Q2919" s="3"/>
      <c r="R2919" s="3"/>
      <c r="S2919" s="3"/>
      <c r="T2919" s="5"/>
      <c r="U2919" s="5"/>
      <c r="V2919" s="5"/>
      <c r="W2919" s="5"/>
    </row>
    <row r="2920" ht="15.75" customHeight="1">
      <c r="A2920" s="3" t="str">
        <f>IFERROR(__xludf.DUMMYFUNCTION("""COMPUTED_VALUE"""),"")</f>
        <v/>
      </c>
      <c r="B2920" s="3"/>
      <c r="C2920" s="3"/>
      <c r="D2920" s="3"/>
      <c r="E2920" s="3"/>
      <c r="F2920" s="3"/>
      <c r="G2920" s="3"/>
      <c r="H2920" s="3"/>
      <c r="I2920" s="3"/>
      <c r="J2920" s="3"/>
      <c r="K2920" s="3"/>
      <c r="L2920" s="3"/>
      <c r="M2920" s="3"/>
      <c r="N2920" s="3"/>
      <c r="O2920" s="3"/>
      <c r="P2920" s="3"/>
      <c r="Q2920" s="3"/>
      <c r="R2920" s="3"/>
      <c r="S2920" s="3"/>
      <c r="T2920" s="5"/>
      <c r="U2920" s="5"/>
      <c r="V2920" s="5"/>
      <c r="W2920" s="5"/>
    </row>
    <row r="2921" ht="15.75" customHeight="1">
      <c r="A2921" s="3" t="str">
        <f>IFERROR(__xludf.DUMMYFUNCTION("""COMPUTED_VALUE"""),"")</f>
        <v/>
      </c>
      <c r="B2921" s="3"/>
      <c r="C2921" s="3"/>
      <c r="D2921" s="3"/>
      <c r="E2921" s="3"/>
      <c r="F2921" s="3"/>
      <c r="G2921" s="3"/>
      <c r="H2921" s="3"/>
      <c r="I2921" s="3"/>
      <c r="J2921" s="3"/>
      <c r="K2921" s="3"/>
      <c r="L2921" s="3"/>
      <c r="M2921" s="3"/>
      <c r="N2921" s="3"/>
      <c r="O2921" s="3"/>
      <c r="P2921" s="3"/>
      <c r="Q2921" s="3"/>
      <c r="R2921" s="3"/>
      <c r="S2921" s="3"/>
      <c r="T2921" s="5"/>
      <c r="U2921" s="5"/>
      <c r="V2921" s="5"/>
      <c r="W2921" s="5"/>
    </row>
    <row r="2922" ht="15.75" customHeight="1">
      <c r="A2922" s="3" t="str">
        <f>IFERROR(__xludf.DUMMYFUNCTION("""COMPUTED_VALUE"""),"")</f>
        <v/>
      </c>
      <c r="B2922" s="3"/>
      <c r="C2922" s="3"/>
      <c r="D2922" s="3"/>
      <c r="E2922" s="3"/>
      <c r="F2922" s="3"/>
      <c r="G2922" s="3"/>
      <c r="H2922" s="3"/>
      <c r="I2922" s="3"/>
      <c r="J2922" s="3"/>
      <c r="K2922" s="3"/>
      <c r="L2922" s="3"/>
      <c r="M2922" s="3"/>
      <c r="N2922" s="3"/>
      <c r="O2922" s="3"/>
      <c r="P2922" s="3"/>
      <c r="Q2922" s="3"/>
      <c r="R2922" s="3"/>
      <c r="S2922" s="3"/>
      <c r="T2922" s="5"/>
      <c r="U2922" s="5"/>
      <c r="V2922" s="5"/>
      <c r="W2922" s="5"/>
    </row>
    <row r="2923" ht="15.75" customHeight="1">
      <c r="A2923" s="3" t="str">
        <f>IFERROR(__xludf.DUMMYFUNCTION("""COMPUTED_VALUE"""),"")</f>
        <v/>
      </c>
      <c r="B2923" s="3"/>
      <c r="C2923" s="3"/>
      <c r="D2923" s="3"/>
      <c r="E2923" s="3"/>
      <c r="F2923" s="3"/>
      <c r="G2923" s="3"/>
      <c r="H2923" s="3"/>
      <c r="I2923" s="3"/>
      <c r="J2923" s="3"/>
      <c r="K2923" s="3"/>
      <c r="L2923" s="3"/>
      <c r="M2923" s="3"/>
      <c r="N2923" s="3"/>
      <c r="O2923" s="3"/>
      <c r="P2923" s="3"/>
      <c r="Q2923" s="3"/>
      <c r="R2923" s="3"/>
      <c r="S2923" s="3"/>
      <c r="T2923" s="5"/>
      <c r="U2923" s="5"/>
      <c r="V2923" s="5"/>
      <c r="W2923" s="5"/>
    </row>
    <row r="2924" ht="15.75" customHeight="1">
      <c r="A2924" s="3" t="str">
        <f>IFERROR(__xludf.DUMMYFUNCTION("""COMPUTED_VALUE"""),"")</f>
        <v/>
      </c>
      <c r="B2924" s="3"/>
      <c r="C2924" s="3"/>
      <c r="D2924" s="3"/>
      <c r="E2924" s="3"/>
      <c r="F2924" s="3"/>
      <c r="G2924" s="3"/>
      <c r="H2924" s="3"/>
      <c r="I2924" s="3"/>
      <c r="J2924" s="3"/>
      <c r="K2924" s="3"/>
      <c r="L2924" s="3"/>
      <c r="M2924" s="3"/>
      <c r="N2924" s="3"/>
      <c r="O2924" s="3"/>
      <c r="P2924" s="3"/>
      <c r="Q2924" s="3"/>
      <c r="R2924" s="3"/>
      <c r="S2924" s="3"/>
      <c r="T2924" s="5"/>
      <c r="U2924" s="5"/>
      <c r="V2924" s="5"/>
      <c r="W2924" s="5"/>
    </row>
    <row r="2925" ht="15.75" customHeight="1">
      <c r="A2925" s="3" t="str">
        <f>IFERROR(__xludf.DUMMYFUNCTION("""COMPUTED_VALUE"""),"")</f>
        <v/>
      </c>
      <c r="B2925" s="3"/>
      <c r="C2925" s="3"/>
      <c r="D2925" s="3"/>
      <c r="E2925" s="3"/>
      <c r="F2925" s="3"/>
      <c r="G2925" s="3"/>
      <c r="H2925" s="3"/>
      <c r="I2925" s="3"/>
      <c r="J2925" s="3"/>
      <c r="K2925" s="3"/>
      <c r="L2925" s="3"/>
      <c r="M2925" s="3"/>
      <c r="N2925" s="3"/>
      <c r="O2925" s="3"/>
      <c r="P2925" s="3"/>
      <c r="Q2925" s="3"/>
      <c r="R2925" s="3"/>
      <c r="S2925" s="3"/>
      <c r="T2925" s="5"/>
      <c r="U2925" s="5"/>
      <c r="V2925" s="5"/>
      <c r="W2925" s="5"/>
    </row>
    <row r="2926" ht="15.75" customHeight="1">
      <c r="A2926" s="3" t="str">
        <f>IFERROR(__xludf.DUMMYFUNCTION("""COMPUTED_VALUE"""),"")</f>
        <v/>
      </c>
      <c r="B2926" s="3"/>
      <c r="C2926" s="3"/>
      <c r="D2926" s="3"/>
      <c r="E2926" s="3"/>
      <c r="F2926" s="3"/>
      <c r="G2926" s="3"/>
      <c r="H2926" s="3"/>
      <c r="I2926" s="3"/>
      <c r="J2926" s="3"/>
      <c r="K2926" s="3"/>
      <c r="L2926" s="3"/>
      <c r="M2926" s="3"/>
      <c r="N2926" s="3"/>
      <c r="O2926" s="3"/>
      <c r="P2926" s="3"/>
      <c r="Q2926" s="3"/>
      <c r="R2926" s="3"/>
      <c r="S2926" s="3"/>
      <c r="T2926" s="5"/>
      <c r="U2926" s="5"/>
      <c r="V2926" s="5"/>
      <c r="W2926" s="5"/>
    </row>
    <row r="2927" ht="15.75" customHeight="1">
      <c r="A2927" s="3" t="str">
        <f>IFERROR(__xludf.DUMMYFUNCTION("""COMPUTED_VALUE"""),"")</f>
        <v/>
      </c>
      <c r="B2927" s="3"/>
      <c r="C2927" s="3"/>
      <c r="D2927" s="3"/>
      <c r="E2927" s="3"/>
      <c r="F2927" s="3"/>
      <c r="G2927" s="3"/>
      <c r="H2927" s="3"/>
      <c r="I2927" s="3"/>
      <c r="J2927" s="3"/>
      <c r="K2927" s="3"/>
      <c r="L2927" s="3"/>
      <c r="M2927" s="3"/>
      <c r="N2927" s="3"/>
      <c r="O2927" s="3"/>
      <c r="P2927" s="3"/>
      <c r="Q2927" s="3"/>
      <c r="R2927" s="3"/>
      <c r="S2927" s="3"/>
      <c r="T2927" s="5"/>
      <c r="U2927" s="5"/>
      <c r="V2927" s="5"/>
      <c r="W2927" s="5"/>
    </row>
    <row r="2928" ht="15.75" customHeight="1">
      <c r="A2928" s="3" t="str">
        <f>IFERROR(__xludf.DUMMYFUNCTION("""COMPUTED_VALUE"""),"")</f>
        <v/>
      </c>
      <c r="B2928" s="3"/>
      <c r="C2928" s="3"/>
      <c r="D2928" s="3"/>
      <c r="E2928" s="3"/>
      <c r="F2928" s="3"/>
      <c r="G2928" s="3"/>
      <c r="H2928" s="3"/>
      <c r="I2928" s="3"/>
      <c r="J2928" s="3"/>
      <c r="K2928" s="3"/>
      <c r="L2928" s="3"/>
      <c r="M2928" s="3"/>
      <c r="N2928" s="3"/>
      <c r="O2928" s="3"/>
      <c r="P2928" s="3"/>
      <c r="Q2928" s="3"/>
      <c r="R2928" s="3"/>
      <c r="S2928" s="3"/>
      <c r="T2928" s="5"/>
      <c r="U2928" s="5"/>
      <c r="V2928" s="5"/>
      <c r="W2928" s="5"/>
    </row>
    <row r="2929" ht="15.75" customHeight="1">
      <c r="A2929" s="3" t="str">
        <f>IFERROR(__xludf.DUMMYFUNCTION("""COMPUTED_VALUE"""),"")</f>
        <v/>
      </c>
      <c r="B2929" s="3"/>
      <c r="C2929" s="3"/>
      <c r="D2929" s="3"/>
      <c r="E2929" s="3"/>
      <c r="F2929" s="3"/>
      <c r="G2929" s="3"/>
      <c r="H2929" s="3"/>
      <c r="I2929" s="3"/>
      <c r="J2929" s="3"/>
      <c r="K2929" s="3"/>
      <c r="L2929" s="3"/>
      <c r="M2929" s="3"/>
      <c r="N2929" s="3"/>
      <c r="O2929" s="3"/>
      <c r="P2929" s="3"/>
      <c r="Q2929" s="3"/>
      <c r="R2929" s="3"/>
      <c r="S2929" s="3"/>
      <c r="T2929" s="5"/>
      <c r="U2929" s="5"/>
      <c r="V2929" s="5"/>
      <c r="W2929" s="5"/>
    </row>
    <row r="2930" ht="15.75" customHeight="1">
      <c r="A2930" s="3" t="str">
        <f>IFERROR(__xludf.DUMMYFUNCTION("""COMPUTED_VALUE"""),"")</f>
        <v/>
      </c>
      <c r="B2930" s="3"/>
      <c r="C2930" s="3"/>
      <c r="D2930" s="3"/>
      <c r="E2930" s="3"/>
      <c r="F2930" s="3"/>
      <c r="G2930" s="3"/>
      <c r="H2930" s="3"/>
      <c r="I2930" s="3"/>
      <c r="J2930" s="3"/>
      <c r="K2930" s="3"/>
      <c r="L2930" s="3"/>
      <c r="M2930" s="3"/>
      <c r="N2930" s="3"/>
      <c r="O2930" s="3"/>
      <c r="P2930" s="3"/>
      <c r="Q2930" s="3"/>
      <c r="R2930" s="3"/>
      <c r="S2930" s="3"/>
      <c r="T2930" s="5"/>
      <c r="U2930" s="5"/>
      <c r="V2930" s="5"/>
      <c r="W2930" s="5"/>
    </row>
    <row r="2931" ht="15.75" customHeight="1">
      <c r="A2931" s="3" t="str">
        <f>IFERROR(__xludf.DUMMYFUNCTION("""COMPUTED_VALUE"""),"")</f>
        <v/>
      </c>
      <c r="B2931" s="3"/>
      <c r="C2931" s="3"/>
      <c r="D2931" s="3"/>
      <c r="E2931" s="3"/>
      <c r="F2931" s="3"/>
      <c r="G2931" s="3"/>
      <c r="H2931" s="3"/>
      <c r="I2931" s="3"/>
      <c r="J2931" s="3"/>
      <c r="K2931" s="3"/>
      <c r="L2931" s="3"/>
      <c r="M2931" s="3"/>
      <c r="N2931" s="3"/>
      <c r="O2931" s="3"/>
      <c r="P2931" s="3"/>
      <c r="Q2931" s="3"/>
      <c r="R2931" s="3"/>
      <c r="S2931" s="3"/>
      <c r="T2931" s="5"/>
      <c r="U2931" s="5"/>
      <c r="V2931" s="5"/>
      <c r="W2931" s="5"/>
    </row>
    <row r="2932" ht="15.75" customHeight="1">
      <c r="A2932" s="3" t="str">
        <f>IFERROR(__xludf.DUMMYFUNCTION("""COMPUTED_VALUE"""),"")</f>
        <v/>
      </c>
      <c r="B2932" s="3"/>
      <c r="C2932" s="3"/>
      <c r="D2932" s="3"/>
      <c r="E2932" s="3"/>
      <c r="F2932" s="3"/>
      <c r="G2932" s="3"/>
      <c r="H2932" s="3"/>
      <c r="I2932" s="3"/>
      <c r="J2932" s="3"/>
      <c r="K2932" s="3"/>
      <c r="L2932" s="3"/>
      <c r="M2932" s="3"/>
      <c r="N2932" s="3"/>
      <c r="O2932" s="3"/>
      <c r="P2932" s="3"/>
      <c r="Q2932" s="3"/>
      <c r="R2932" s="3"/>
      <c r="S2932" s="3"/>
      <c r="T2932" s="5"/>
      <c r="U2932" s="5"/>
      <c r="V2932" s="5"/>
      <c r="W2932" s="5"/>
    </row>
    <row r="2933" ht="15.75" customHeight="1">
      <c r="A2933" s="3" t="str">
        <f>IFERROR(__xludf.DUMMYFUNCTION("""COMPUTED_VALUE"""),"")</f>
        <v/>
      </c>
      <c r="B2933" s="3"/>
      <c r="C2933" s="3"/>
      <c r="D2933" s="3"/>
      <c r="E2933" s="3"/>
      <c r="F2933" s="3"/>
      <c r="G2933" s="3"/>
      <c r="H2933" s="3"/>
      <c r="I2933" s="3"/>
      <c r="J2933" s="3"/>
      <c r="K2933" s="3"/>
      <c r="L2933" s="3"/>
      <c r="M2933" s="3"/>
      <c r="N2933" s="3"/>
      <c r="O2933" s="3"/>
      <c r="P2933" s="3"/>
      <c r="Q2933" s="3"/>
      <c r="R2933" s="3"/>
      <c r="S2933" s="3"/>
      <c r="T2933" s="5"/>
      <c r="U2933" s="5"/>
      <c r="V2933" s="5"/>
      <c r="W2933" s="5"/>
    </row>
    <row r="2934" ht="15.75" customHeight="1">
      <c r="A2934" s="3" t="str">
        <f>IFERROR(__xludf.DUMMYFUNCTION("""COMPUTED_VALUE"""),"")</f>
        <v/>
      </c>
      <c r="B2934" s="3"/>
      <c r="C2934" s="3"/>
      <c r="D2934" s="3"/>
      <c r="E2934" s="3"/>
      <c r="F2934" s="3"/>
      <c r="G2934" s="3"/>
      <c r="H2934" s="3"/>
      <c r="I2934" s="3"/>
      <c r="J2934" s="3"/>
      <c r="K2934" s="3"/>
      <c r="L2934" s="3"/>
      <c r="M2934" s="3"/>
      <c r="N2934" s="3"/>
      <c r="O2934" s="3"/>
      <c r="P2934" s="3"/>
      <c r="Q2934" s="3"/>
      <c r="R2934" s="3"/>
      <c r="S2934" s="3"/>
      <c r="T2934" s="5"/>
      <c r="U2934" s="5"/>
      <c r="V2934" s="5"/>
      <c r="W2934" s="5"/>
    </row>
    <row r="2935" ht="15.75" customHeight="1">
      <c r="A2935" s="3" t="str">
        <f>IFERROR(__xludf.DUMMYFUNCTION("""COMPUTED_VALUE"""),"")</f>
        <v/>
      </c>
      <c r="B2935" s="3"/>
      <c r="C2935" s="3"/>
      <c r="D2935" s="3"/>
      <c r="E2935" s="3"/>
      <c r="F2935" s="3"/>
      <c r="G2935" s="3"/>
      <c r="H2935" s="3"/>
      <c r="I2935" s="3"/>
      <c r="J2935" s="3"/>
      <c r="K2935" s="3"/>
      <c r="L2935" s="3"/>
      <c r="M2935" s="3"/>
      <c r="N2935" s="3"/>
      <c r="O2935" s="3"/>
      <c r="P2935" s="3"/>
      <c r="Q2935" s="3"/>
      <c r="R2935" s="3"/>
      <c r="S2935" s="3"/>
      <c r="T2935" s="5"/>
      <c r="U2935" s="5"/>
      <c r="V2935" s="5"/>
      <c r="W2935" s="5"/>
    </row>
    <row r="2936" ht="15.75" customHeight="1">
      <c r="A2936" s="3" t="str">
        <f>IFERROR(__xludf.DUMMYFUNCTION("""COMPUTED_VALUE"""),"")</f>
        <v/>
      </c>
      <c r="B2936" s="3"/>
      <c r="C2936" s="3"/>
      <c r="D2936" s="3"/>
      <c r="E2936" s="3"/>
      <c r="F2936" s="3"/>
      <c r="G2936" s="3"/>
      <c r="H2936" s="3"/>
      <c r="I2936" s="3"/>
      <c r="J2936" s="3"/>
      <c r="K2936" s="3"/>
      <c r="L2936" s="3"/>
      <c r="M2936" s="3"/>
      <c r="N2936" s="3"/>
      <c r="O2936" s="3"/>
      <c r="P2936" s="3"/>
      <c r="Q2936" s="3"/>
      <c r="R2936" s="3"/>
      <c r="S2936" s="3"/>
      <c r="T2936" s="5"/>
      <c r="U2936" s="5"/>
      <c r="V2936" s="5"/>
      <c r="W2936" s="5"/>
    </row>
    <row r="2937" ht="15.75" customHeight="1">
      <c r="A2937" s="3" t="str">
        <f>IFERROR(__xludf.DUMMYFUNCTION("""COMPUTED_VALUE"""),"")</f>
        <v/>
      </c>
      <c r="B2937" s="3"/>
      <c r="C2937" s="3"/>
      <c r="D2937" s="3"/>
      <c r="E2937" s="3"/>
      <c r="F2937" s="3"/>
      <c r="G2937" s="3"/>
      <c r="H2937" s="3"/>
      <c r="I2937" s="3"/>
      <c r="J2937" s="3"/>
      <c r="K2937" s="3"/>
      <c r="L2937" s="3"/>
      <c r="M2937" s="3"/>
      <c r="N2937" s="3"/>
      <c r="O2937" s="3"/>
      <c r="P2937" s="3"/>
      <c r="Q2937" s="3"/>
      <c r="R2937" s="3"/>
      <c r="S2937" s="3"/>
      <c r="T2937" s="5"/>
      <c r="U2937" s="5"/>
      <c r="V2937" s="5"/>
      <c r="W2937" s="5"/>
    </row>
    <row r="2938" ht="15.75" customHeight="1">
      <c r="A2938" s="3" t="str">
        <f>IFERROR(__xludf.DUMMYFUNCTION("""COMPUTED_VALUE"""),"")</f>
        <v/>
      </c>
      <c r="B2938" s="3"/>
      <c r="C2938" s="3"/>
      <c r="D2938" s="3"/>
      <c r="E2938" s="3"/>
      <c r="F2938" s="3"/>
      <c r="G2938" s="3"/>
      <c r="H2938" s="3"/>
      <c r="I2938" s="3"/>
      <c r="J2938" s="3"/>
      <c r="K2938" s="3"/>
      <c r="L2938" s="3"/>
      <c r="M2938" s="3"/>
      <c r="N2938" s="3"/>
      <c r="O2938" s="3"/>
      <c r="P2938" s="3"/>
      <c r="Q2938" s="3"/>
      <c r="R2938" s="3"/>
      <c r="S2938" s="3"/>
      <c r="T2938" s="5"/>
      <c r="U2938" s="5"/>
      <c r="V2938" s="5"/>
      <c r="W2938" s="5"/>
    </row>
    <row r="2939" ht="15.75" customHeight="1">
      <c r="A2939" s="3" t="str">
        <f>IFERROR(__xludf.DUMMYFUNCTION("""COMPUTED_VALUE"""),"")</f>
        <v/>
      </c>
      <c r="B2939" s="3"/>
      <c r="C2939" s="3"/>
      <c r="D2939" s="3"/>
      <c r="E2939" s="3"/>
      <c r="F2939" s="3"/>
      <c r="G2939" s="3"/>
      <c r="H2939" s="3"/>
      <c r="I2939" s="3"/>
      <c r="J2939" s="3"/>
      <c r="K2939" s="3"/>
      <c r="L2939" s="3"/>
      <c r="M2939" s="3"/>
      <c r="N2939" s="3"/>
      <c r="O2939" s="3"/>
      <c r="P2939" s="3"/>
      <c r="Q2939" s="3"/>
      <c r="R2939" s="3"/>
      <c r="S2939" s="3"/>
      <c r="T2939" s="5"/>
      <c r="U2939" s="5"/>
      <c r="V2939" s="5"/>
      <c r="W2939" s="5"/>
    </row>
    <row r="2940" ht="15.75" customHeight="1">
      <c r="A2940" s="3" t="str">
        <f>IFERROR(__xludf.DUMMYFUNCTION("""COMPUTED_VALUE"""),"")</f>
        <v/>
      </c>
      <c r="B2940" s="3"/>
      <c r="C2940" s="3"/>
      <c r="D2940" s="3"/>
      <c r="E2940" s="3"/>
      <c r="F2940" s="3"/>
      <c r="G2940" s="3"/>
      <c r="H2940" s="3"/>
      <c r="I2940" s="3"/>
      <c r="J2940" s="3"/>
      <c r="K2940" s="3"/>
      <c r="L2940" s="3"/>
      <c r="M2940" s="3"/>
      <c r="N2940" s="3"/>
      <c r="O2940" s="3"/>
      <c r="P2940" s="3"/>
      <c r="Q2940" s="3"/>
      <c r="R2940" s="3"/>
      <c r="S2940" s="3"/>
      <c r="T2940" s="5"/>
      <c r="U2940" s="5"/>
      <c r="V2940" s="5"/>
      <c r="W2940" s="5"/>
    </row>
    <row r="2941" ht="15.75" customHeight="1">
      <c r="A2941" s="3" t="str">
        <f>IFERROR(__xludf.DUMMYFUNCTION("""COMPUTED_VALUE"""),"")</f>
        <v/>
      </c>
      <c r="B2941" s="3"/>
      <c r="C2941" s="3"/>
      <c r="D2941" s="3"/>
      <c r="E2941" s="3"/>
      <c r="F2941" s="3"/>
      <c r="G2941" s="3"/>
      <c r="H2941" s="3"/>
      <c r="I2941" s="3"/>
      <c r="J2941" s="3"/>
      <c r="K2941" s="3"/>
      <c r="L2941" s="3"/>
      <c r="M2941" s="3"/>
      <c r="N2941" s="3"/>
      <c r="O2941" s="3"/>
      <c r="P2941" s="3"/>
      <c r="Q2941" s="3"/>
      <c r="R2941" s="3"/>
      <c r="S2941" s="3"/>
      <c r="T2941" s="5"/>
      <c r="U2941" s="5"/>
      <c r="V2941" s="5"/>
      <c r="W2941" s="5"/>
    </row>
    <row r="2942" ht="15.75" customHeight="1">
      <c r="A2942" s="3" t="str">
        <f>IFERROR(__xludf.DUMMYFUNCTION("""COMPUTED_VALUE"""),"")</f>
        <v/>
      </c>
      <c r="B2942" s="3"/>
      <c r="C2942" s="3"/>
      <c r="D2942" s="3"/>
      <c r="E2942" s="3"/>
      <c r="F2942" s="3"/>
      <c r="G2942" s="3"/>
      <c r="H2942" s="3"/>
      <c r="I2942" s="3"/>
      <c r="J2942" s="3"/>
      <c r="K2942" s="3"/>
      <c r="L2942" s="3"/>
      <c r="M2942" s="3"/>
      <c r="N2942" s="3"/>
      <c r="O2942" s="3"/>
      <c r="P2942" s="3"/>
      <c r="Q2942" s="3"/>
      <c r="R2942" s="3"/>
      <c r="S2942" s="3"/>
      <c r="T2942" s="5"/>
      <c r="U2942" s="5"/>
      <c r="V2942" s="5"/>
      <c r="W2942" s="5"/>
    </row>
    <row r="2943" ht="15.75" customHeight="1">
      <c r="A2943" s="3" t="str">
        <f>IFERROR(__xludf.DUMMYFUNCTION("""COMPUTED_VALUE"""),"")</f>
        <v/>
      </c>
      <c r="B2943" s="3"/>
      <c r="C2943" s="3"/>
      <c r="D2943" s="3"/>
      <c r="E2943" s="3"/>
      <c r="F2943" s="3"/>
      <c r="G2943" s="3"/>
      <c r="H2943" s="3"/>
      <c r="I2943" s="3"/>
      <c r="J2943" s="3"/>
      <c r="K2943" s="3"/>
      <c r="L2943" s="3"/>
      <c r="M2943" s="3"/>
      <c r="N2943" s="3"/>
      <c r="O2943" s="3"/>
      <c r="P2943" s="3"/>
      <c r="Q2943" s="3"/>
      <c r="R2943" s="3"/>
      <c r="S2943" s="3"/>
      <c r="T2943" s="5"/>
      <c r="U2943" s="5"/>
      <c r="V2943" s="5"/>
      <c r="W2943" s="5"/>
    </row>
    <row r="2944" ht="15.75" customHeight="1">
      <c r="A2944" s="3" t="str">
        <f>IFERROR(__xludf.DUMMYFUNCTION("""COMPUTED_VALUE"""),"")</f>
        <v/>
      </c>
      <c r="B2944" s="3"/>
      <c r="C2944" s="3"/>
      <c r="D2944" s="3"/>
      <c r="E2944" s="3"/>
      <c r="F2944" s="3"/>
      <c r="G2944" s="3"/>
      <c r="H2944" s="3"/>
      <c r="I2944" s="3"/>
      <c r="J2944" s="3"/>
      <c r="K2944" s="3"/>
      <c r="L2944" s="3"/>
      <c r="M2944" s="3"/>
      <c r="N2944" s="3"/>
      <c r="O2944" s="3"/>
      <c r="P2944" s="3"/>
      <c r="Q2944" s="3"/>
      <c r="R2944" s="3"/>
      <c r="S2944" s="3"/>
      <c r="T2944" s="5"/>
      <c r="U2944" s="5"/>
      <c r="V2944" s="5"/>
      <c r="W2944" s="5"/>
    </row>
    <row r="2945" ht="15.75" customHeight="1">
      <c r="A2945" s="3" t="str">
        <f>IFERROR(__xludf.DUMMYFUNCTION("""COMPUTED_VALUE"""),"")</f>
        <v/>
      </c>
      <c r="B2945" s="3"/>
      <c r="C2945" s="3"/>
      <c r="D2945" s="3"/>
      <c r="E2945" s="3"/>
      <c r="F2945" s="3"/>
      <c r="G2945" s="3"/>
      <c r="H2945" s="3"/>
      <c r="I2945" s="3"/>
      <c r="J2945" s="3"/>
      <c r="K2945" s="3"/>
      <c r="L2945" s="3"/>
      <c r="M2945" s="3"/>
      <c r="N2945" s="3"/>
      <c r="O2945" s="3"/>
      <c r="P2945" s="3"/>
      <c r="Q2945" s="3"/>
      <c r="R2945" s="3"/>
      <c r="S2945" s="3"/>
      <c r="T2945" s="5"/>
      <c r="U2945" s="5"/>
      <c r="V2945" s="5"/>
      <c r="W2945" s="5"/>
    </row>
    <row r="2946" ht="15.75" customHeight="1">
      <c r="A2946" s="3" t="str">
        <f>IFERROR(__xludf.DUMMYFUNCTION("""COMPUTED_VALUE"""),"")</f>
        <v/>
      </c>
      <c r="B2946" s="3"/>
      <c r="C2946" s="3"/>
      <c r="D2946" s="3"/>
      <c r="E2946" s="3"/>
      <c r="F2946" s="3"/>
      <c r="G2946" s="3"/>
      <c r="H2946" s="3"/>
      <c r="I2946" s="3"/>
      <c r="J2946" s="3"/>
      <c r="K2946" s="3"/>
      <c r="L2946" s="3"/>
      <c r="M2946" s="3"/>
      <c r="N2946" s="3"/>
      <c r="O2946" s="3"/>
      <c r="P2946" s="3"/>
      <c r="Q2946" s="3"/>
      <c r="R2946" s="3"/>
      <c r="S2946" s="3"/>
      <c r="T2946" s="5"/>
      <c r="U2946" s="5"/>
      <c r="V2946" s="5"/>
      <c r="W2946" s="5"/>
    </row>
    <row r="2947" ht="15.75" customHeight="1">
      <c r="A2947" s="3" t="str">
        <f>IFERROR(__xludf.DUMMYFUNCTION("""COMPUTED_VALUE"""),"")</f>
        <v/>
      </c>
      <c r="B2947" s="3"/>
      <c r="C2947" s="3"/>
      <c r="D2947" s="3"/>
      <c r="E2947" s="3"/>
      <c r="F2947" s="3"/>
      <c r="G2947" s="3"/>
      <c r="H2947" s="3"/>
      <c r="I2947" s="3"/>
      <c r="J2947" s="3"/>
      <c r="K2947" s="3"/>
      <c r="L2947" s="3"/>
      <c r="M2947" s="3"/>
      <c r="N2947" s="3"/>
      <c r="O2947" s="3"/>
      <c r="P2947" s="3"/>
      <c r="Q2947" s="3"/>
      <c r="R2947" s="3"/>
      <c r="S2947" s="3"/>
      <c r="T2947" s="5"/>
      <c r="U2947" s="5"/>
      <c r="V2947" s="5"/>
      <c r="W2947" s="5"/>
    </row>
    <row r="2948" ht="15.75" customHeight="1">
      <c r="A2948" s="3" t="str">
        <f>IFERROR(__xludf.DUMMYFUNCTION("""COMPUTED_VALUE"""),"")</f>
        <v/>
      </c>
      <c r="B2948" s="3"/>
      <c r="C2948" s="3"/>
      <c r="D2948" s="3"/>
      <c r="E2948" s="3"/>
      <c r="F2948" s="3"/>
      <c r="G2948" s="3"/>
      <c r="H2948" s="3"/>
      <c r="I2948" s="3"/>
      <c r="J2948" s="3"/>
      <c r="K2948" s="3"/>
      <c r="L2948" s="3"/>
      <c r="M2948" s="3"/>
      <c r="N2948" s="3"/>
      <c r="O2948" s="3"/>
      <c r="P2948" s="3"/>
      <c r="Q2948" s="3"/>
      <c r="R2948" s="3"/>
      <c r="S2948" s="3"/>
      <c r="T2948" s="5"/>
      <c r="U2948" s="5"/>
      <c r="V2948" s="5"/>
      <c r="W2948" s="5"/>
    </row>
    <row r="2949" ht="15.75" customHeight="1">
      <c r="A2949" s="3" t="str">
        <f>IFERROR(__xludf.DUMMYFUNCTION("""COMPUTED_VALUE"""),"")</f>
        <v/>
      </c>
      <c r="B2949" s="3"/>
      <c r="C2949" s="3"/>
      <c r="D2949" s="3"/>
      <c r="E2949" s="3"/>
      <c r="F2949" s="3"/>
      <c r="G2949" s="3"/>
      <c r="H2949" s="3"/>
      <c r="I2949" s="3"/>
      <c r="J2949" s="3"/>
      <c r="K2949" s="3"/>
      <c r="L2949" s="3"/>
      <c r="M2949" s="3"/>
      <c r="N2949" s="3"/>
      <c r="O2949" s="3"/>
      <c r="P2949" s="3"/>
      <c r="Q2949" s="3"/>
      <c r="R2949" s="3"/>
      <c r="S2949" s="3"/>
      <c r="T2949" s="5"/>
      <c r="U2949" s="5"/>
      <c r="V2949" s="5"/>
      <c r="W2949" s="5"/>
    </row>
    <row r="2950" ht="15.75" customHeight="1">
      <c r="A2950" s="3" t="str">
        <f>IFERROR(__xludf.DUMMYFUNCTION("""COMPUTED_VALUE"""),"")</f>
        <v/>
      </c>
      <c r="B2950" s="3"/>
      <c r="C2950" s="3"/>
      <c r="D2950" s="3"/>
      <c r="E2950" s="3"/>
      <c r="F2950" s="3"/>
      <c r="G2950" s="3"/>
      <c r="H2950" s="3"/>
      <c r="I2950" s="3"/>
      <c r="J2950" s="3"/>
      <c r="K2950" s="3"/>
      <c r="L2950" s="3"/>
      <c r="M2950" s="3"/>
      <c r="N2950" s="3"/>
      <c r="O2950" s="3"/>
      <c r="P2950" s="3"/>
      <c r="Q2950" s="3"/>
      <c r="R2950" s="3"/>
      <c r="S2950" s="3"/>
      <c r="T2950" s="5"/>
      <c r="U2950" s="5"/>
      <c r="V2950" s="5"/>
      <c r="W2950" s="5"/>
    </row>
    <row r="2951" ht="15.75" customHeight="1">
      <c r="A2951" s="3" t="str">
        <f>IFERROR(__xludf.DUMMYFUNCTION("""COMPUTED_VALUE"""),"")</f>
        <v/>
      </c>
      <c r="B2951" s="3"/>
      <c r="C2951" s="3"/>
      <c r="D2951" s="3"/>
      <c r="E2951" s="3"/>
      <c r="F2951" s="3"/>
      <c r="G2951" s="3"/>
      <c r="H2951" s="3"/>
      <c r="I2951" s="3"/>
      <c r="J2951" s="3"/>
      <c r="K2951" s="3"/>
      <c r="L2951" s="3"/>
      <c r="M2951" s="3"/>
      <c r="N2951" s="3"/>
      <c r="O2951" s="3"/>
      <c r="P2951" s="3"/>
      <c r="Q2951" s="3"/>
      <c r="R2951" s="3"/>
      <c r="S2951" s="3"/>
      <c r="T2951" s="5"/>
      <c r="U2951" s="5"/>
      <c r="V2951" s="5"/>
      <c r="W2951" s="5"/>
    </row>
    <row r="2952" ht="15.75" customHeight="1">
      <c r="A2952" s="3" t="str">
        <f>IFERROR(__xludf.DUMMYFUNCTION("""COMPUTED_VALUE"""),"")</f>
        <v/>
      </c>
      <c r="B2952" s="3"/>
      <c r="C2952" s="3"/>
      <c r="D2952" s="3"/>
      <c r="E2952" s="3"/>
      <c r="F2952" s="3"/>
      <c r="G2952" s="3"/>
      <c r="H2952" s="3"/>
      <c r="I2952" s="3"/>
      <c r="J2952" s="3"/>
      <c r="K2952" s="3"/>
      <c r="L2952" s="3"/>
      <c r="M2952" s="3"/>
      <c r="N2952" s="3"/>
      <c r="O2952" s="3"/>
      <c r="P2952" s="3"/>
      <c r="Q2952" s="3"/>
      <c r="R2952" s="3"/>
      <c r="S2952" s="3"/>
      <c r="T2952" s="5"/>
      <c r="U2952" s="5"/>
      <c r="V2952" s="5"/>
      <c r="W2952" s="5"/>
    </row>
    <row r="2953" ht="15.75" customHeight="1">
      <c r="A2953" s="3" t="str">
        <f>IFERROR(__xludf.DUMMYFUNCTION("""COMPUTED_VALUE"""),"")</f>
        <v/>
      </c>
      <c r="B2953" s="3"/>
      <c r="C2953" s="3"/>
      <c r="D2953" s="3"/>
      <c r="E2953" s="3"/>
      <c r="F2953" s="3"/>
      <c r="G2953" s="3"/>
      <c r="H2953" s="3"/>
      <c r="I2953" s="3"/>
      <c r="J2953" s="3"/>
      <c r="K2953" s="3"/>
      <c r="L2953" s="3"/>
      <c r="M2953" s="3"/>
      <c r="N2953" s="3"/>
      <c r="O2953" s="3"/>
      <c r="P2953" s="3"/>
      <c r="Q2953" s="3"/>
      <c r="R2953" s="3"/>
      <c r="S2953" s="3"/>
      <c r="T2953" s="5"/>
      <c r="U2953" s="5"/>
      <c r="V2953" s="5"/>
      <c r="W2953" s="5"/>
    </row>
    <row r="2954" ht="15.75" customHeight="1">
      <c r="A2954" s="3" t="str">
        <f>IFERROR(__xludf.DUMMYFUNCTION("""COMPUTED_VALUE"""),"")</f>
        <v/>
      </c>
      <c r="B2954" s="3"/>
      <c r="C2954" s="3"/>
      <c r="D2954" s="3"/>
      <c r="E2954" s="3"/>
      <c r="F2954" s="3"/>
      <c r="G2954" s="3"/>
      <c r="H2954" s="3"/>
      <c r="I2954" s="3"/>
      <c r="J2954" s="3"/>
      <c r="K2954" s="3"/>
      <c r="L2954" s="3"/>
      <c r="M2954" s="3"/>
      <c r="N2954" s="3"/>
      <c r="O2954" s="3"/>
      <c r="P2954" s="3"/>
      <c r="Q2954" s="3"/>
      <c r="R2954" s="3"/>
      <c r="S2954" s="3"/>
      <c r="T2954" s="5"/>
      <c r="U2954" s="5"/>
      <c r="V2954" s="5"/>
      <c r="W2954" s="5"/>
    </row>
    <row r="2955" ht="15.75" customHeight="1">
      <c r="A2955" s="3" t="str">
        <f>IFERROR(__xludf.DUMMYFUNCTION("""COMPUTED_VALUE"""),"")</f>
        <v/>
      </c>
      <c r="B2955" s="3"/>
      <c r="C2955" s="3"/>
      <c r="D2955" s="3"/>
      <c r="E2955" s="3"/>
      <c r="F2955" s="3"/>
      <c r="G2955" s="3"/>
      <c r="H2955" s="3"/>
      <c r="I2955" s="3"/>
      <c r="J2955" s="3"/>
      <c r="K2955" s="3"/>
      <c r="L2955" s="3"/>
      <c r="M2955" s="3"/>
      <c r="N2955" s="3"/>
      <c r="O2955" s="3"/>
      <c r="P2955" s="3"/>
      <c r="Q2955" s="3"/>
      <c r="R2955" s="3"/>
      <c r="S2955" s="3"/>
      <c r="T2955" s="5"/>
      <c r="U2955" s="5"/>
      <c r="V2955" s="5"/>
      <c r="W2955" s="5"/>
    </row>
    <row r="2956" ht="15.75" customHeight="1">
      <c r="A2956" s="3" t="str">
        <f>IFERROR(__xludf.DUMMYFUNCTION("""COMPUTED_VALUE"""),"")</f>
        <v/>
      </c>
      <c r="B2956" s="3"/>
      <c r="C2956" s="3"/>
      <c r="D2956" s="3"/>
      <c r="E2956" s="3"/>
      <c r="F2956" s="3"/>
      <c r="G2956" s="3"/>
      <c r="H2956" s="3"/>
      <c r="I2956" s="3"/>
      <c r="J2956" s="3"/>
      <c r="K2956" s="3"/>
      <c r="L2956" s="3"/>
      <c r="M2956" s="3"/>
      <c r="N2956" s="3"/>
      <c r="O2956" s="3"/>
      <c r="P2956" s="3"/>
      <c r="Q2956" s="3"/>
      <c r="R2956" s="3"/>
      <c r="S2956" s="3"/>
      <c r="T2956" s="5"/>
      <c r="U2956" s="5"/>
      <c r="V2956" s="5"/>
      <c r="W2956" s="5"/>
    </row>
    <row r="2957" ht="15.75" customHeight="1">
      <c r="A2957" s="3" t="str">
        <f>IFERROR(__xludf.DUMMYFUNCTION("""COMPUTED_VALUE"""),"")</f>
        <v/>
      </c>
      <c r="B2957" s="3"/>
      <c r="C2957" s="3"/>
      <c r="D2957" s="3"/>
      <c r="E2957" s="3"/>
      <c r="F2957" s="3"/>
      <c r="G2957" s="3"/>
      <c r="H2957" s="3"/>
      <c r="I2957" s="3"/>
      <c r="J2957" s="3"/>
      <c r="K2957" s="3"/>
      <c r="L2957" s="3"/>
      <c r="M2957" s="3"/>
      <c r="N2957" s="3"/>
      <c r="O2957" s="3"/>
      <c r="P2957" s="3"/>
      <c r="Q2957" s="3"/>
      <c r="R2957" s="3"/>
      <c r="S2957" s="3"/>
      <c r="T2957" s="5"/>
      <c r="U2957" s="5"/>
      <c r="V2957" s="5"/>
      <c r="W2957" s="5"/>
    </row>
    <row r="2958" ht="15.75" customHeight="1">
      <c r="A2958" s="3" t="str">
        <f>IFERROR(__xludf.DUMMYFUNCTION("""COMPUTED_VALUE"""),"")</f>
        <v/>
      </c>
      <c r="B2958" s="3"/>
      <c r="C2958" s="3"/>
      <c r="D2958" s="3"/>
      <c r="E2958" s="3"/>
      <c r="F2958" s="3"/>
      <c r="G2958" s="3"/>
      <c r="H2958" s="3"/>
      <c r="I2958" s="3"/>
      <c r="J2958" s="3"/>
      <c r="K2958" s="3"/>
      <c r="L2958" s="3"/>
      <c r="M2958" s="3"/>
      <c r="N2958" s="3"/>
      <c r="O2958" s="3"/>
      <c r="P2958" s="3"/>
      <c r="Q2958" s="3"/>
      <c r="R2958" s="3"/>
      <c r="S2958" s="3"/>
      <c r="T2958" s="5"/>
      <c r="U2958" s="5"/>
      <c r="V2958" s="5"/>
      <c r="W2958" s="5"/>
    </row>
    <row r="2959" ht="15.75" customHeight="1">
      <c r="A2959" s="3" t="str">
        <f>IFERROR(__xludf.DUMMYFUNCTION("""COMPUTED_VALUE"""),"")</f>
        <v/>
      </c>
      <c r="B2959" s="3"/>
      <c r="C2959" s="3"/>
      <c r="D2959" s="3"/>
      <c r="E2959" s="3"/>
      <c r="F2959" s="3"/>
      <c r="G2959" s="3"/>
      <c r="H2959" s="3"/>
      <c r="I2959" s="3"/>
      <c r="J2959" s="3"/>
      <c r="K2959" s="3"/>
      <c r="L2959" s="3"/>
      <c r="M2959" s="3"/>
      <c r="N2959" s="3"/>
      <c r="O2959" s="3"/>
      <c r="P2959" s="3"/>
      <c r="Q2959" s="3"/>
      <c r="R2959" s="3"/>
      <c r="S2959" s="3"/>
      <c r="T2959" s="5"/>
      <c r="U2959" s="5"/>
      <c r="V2959" s="5"/>
      <c r="W2959" s="5"/>
    </row>
    <row r="2960" ht="15.75" customHeight="1">
      <c r="A2960" s="3" t="str">
        <f>IFERROR(__xludf.DUMMYFUNCTION("""COMPUTED_VALUE"""),"")</f>
        <v/>
      </c>
      <c r="B2960" s="3"/>
      <c r="C2960" s="3"/>
      <c r="D2960" s="3"/>
      <c r="E2960" s="3"/>
      <c r="F2960" s="3"/>
      <c r="G2960" s="3"/>
      <c r="H2960" s="3"/>
      <c r="I2960" s="3"/>
      <c r="J2960" s="3"/>
      <c r="K2960" s="3"/>
      <c r="L2960" s="3"/>
      <c r="M2960" s="3"/>
      <c r="N2960" s="3"/>
      <c r="O2960" s="3"/>
      <c r="P2960" s="3"/>
      <c r="Q2960" s="3"/>
      <c r="R2960" s="3"/>
      <c r="S2960" s="3"/>
      <c r="T2960" s="5"/>
      <c r="U2960" s="5"/>
      <c r="V2960" s="5"/>
      <c r="W2960" s="5"/>
    </row>
    <row r="2961" ht="15.75" customHeight="1">
      <c r="A2961" s="3" t="str">
        <f>IFERROR(__xludf.DUMMYFUNCTION("""COMPUTED_VALUE"""),"")</f>
        <v/>
      </c>
      <c r="B2961" s="3"/>
      <c r="C2961" s="3"/>
      <c r="D2961" s="3"/>
      <c r="E2961" s="3"/>
      <c r="F2961" s="3"/>
      <c r="G2961" s="3"/>
      <c r="H2961" s="3"/>
      <c r="I2961" s="3"/>
      <c r="J2961" s="3"/>
      <c r="K2961" s="3"/>
      <c r="L2961" s="3"/>
      <c r="M2961" s="3"/>
      <c r="N2961" s="3"/>
      <c r="O2961" s="3"/>
      <c r="P2961" s="3"/>
      <c r="Q2961" s="3"/>
      <c r="R2961" s="3"/>
      <c r="S2961" s="3"/>
      <c r="T2961" s="5"/>
      <c r="U2961" s="5"/>
      <c r="V2961" s="5"/>
      <c r="W2961" s="5"/>
    </row>
    <row r="2962" ht="15.75" customHeight="1">
      <c r="A2962" s="3" t="str">
        <f>IFERROR(__xludf.DUMMYFUNCTION("""COMPUTED_VALUE"""),"")</f>
        <v/>
      </c>
      <c r="B2962" s="3"/>
      <c r="C2962" s="3"/>
      <c r="D2962" s="3"/>
      <c r="E2962" s="3"/>
      <c r="F2962" s="3"/>
      <c r="G2962" s="3"/>
      <c r="H2962" s="3"/>
      <c r="I2962" s="3"/>
      <c r="J2962" s="3"/>
      <c r="K2962" s="3"/>
      <c r="L2962" s="3"/>
      <c r="M2962" s="3"/>
      <c r="N2962" s="3"/>
      <c r="O2962" s="3"/>
      <c r="P2962" s="3"/>
      <c r="Q2962" s="3"/>
      <c r="R2962" s="3"/>
      <c r="S2962" s="3"/>
      <c r="T2962" s="5"/>
      <c r="U2962" s="5"/>
      <c r="V2962" s="5"/>
      <c r="W2962" s="5"/>
    </row>
    <row r="2963" ht="15.75" customHeight="1">
      <c r="A2963" s="3" t="str">
        <f>IFERROR(__xludf.DUMMYFUNCTION("""COMPUTED_VALUE"""),"")</f>
        <v/>
      </c>
      <c r="B2963" s="3"/>
      <c r="C2963" s="3"/>
      <c r="D2963" s="3"/>
      <c r="E2963" s="3"/>
      <c r="F2963" s="3"/>
      <c r="G2963" s="3"/>
      <c r="H2963" s="3"/>
      <c r="I2963" s="3"/>
      <c r="J2963" s="3"/>
      <c r="K2963" s="3"/>
      <c r="L2963" s="3"/>
      <c r="M2963" s="3"/>
      <c r="N2963" s="3"/>
      <c r="O2963" s="3"/>
      <c r="P2963" s="3"/>
      <c r="Q2963" s="3"/>
      <c r="R2963" s="3"/>
      <c r="S2963" s="3"/>
      <c r="T2963" s="5"/>
      <c r="U2963" s="5"/>
      <c r="V2963" s="5"/>
      <c r="W2963" s="5"/>
    </row>
    <row r="2964" ht="15.75" customHeight="1">
      <c r="A2964" s="3" t="str">
        <f>IFERROR(__xludf.DUMMYFUNCTION("""COMPUTED_VALUE"""),"")</f>
        <v/>
      </c>
      <c r="B2964" s="3"/>
      <c r="C2964" s="3"/>
      <c r="D2964" s="3"/>
      <c r="E2964" s="3"/>
      <c r="F2964" s="3"/>
      <c r="G2964" s="3"/>
      <c r="H2964" s="3"/>
      <c r="I2964" s="3"/>
      <c r="J2964" s="3"/>
      <c r="K2964" s="3"/>
      <c r="L2964" s="3"/>
      <c r="M2964" s="3"/>
      <c r="N2964" s="3"/>
      <c r="O2964" s="3"/>
      <c r="P2964" s="3"/>
      <c r="Q2964" s="3"/>
      <c r="R2964" s="3"/>
      <c r="S2964" s="3"/>
      <c r="T2964" s="5"/>
      <c r="U2964" s="5"/>
      <c r="V2964" s="5"/>
      <c r="W2964" s="5"/>
    </row>
    <row r="2965" ht="15.75" customHeight="1">
      <c r="A2965" s="3" t="str">
        <f>IFERROR(__xludf.DUMMYFUNCTION("""COMPUTED_VALUE"""),"")</f>
        <v/>
      </c>
      <c r="B2965" s="3"/>
      <c r="C2965" s="3"/>
      <c r="D2965" s="3"/>
      <c r="E2965" s="3"/>
      <c r="F2965" s="3"/>
      <c r="G2965" s="3"/>
      <c r="H2965" s="3"/>
      <c r="I2965" s="3"/>
      <c r="J2965" s="3"/>
      <c r="K2965" s="3"/>
      <c r="L2965" s="3"/>
      <c r="M2965" s="3"/>
      <c r="N2965" s="3"/>
      <c r="O2965" s="3"/>
      <c r="P2965" s="3"/>
      <c r="Q2965" s="3"/>
      <c r="R2965" s="3"/>
      <c r="S2965" s="3"/>
      <c r="T2965" s="5"/>
      <c r="U2965" s="5"/>
      <c r="V2965" s="5"/>
      <c r="W2965" s="5"/>
    </row>
    <row r="2966" ht="15.75" customHeight="1">
      <c r="A2966" s="3" t="str">
        <f>IFERROR(__xludf.DUMMYFUNCTION("""COMPUTED_VALUE"""),"")</f>
        <v/>
      </c>
      <c r="B2966" s="3"/>
      <c r="C2966" s="3"/>
      <c r="D2966" s="3"/>
      <c r="E2966" s="3"/>
      <c r="F2966" s="3"/>
      <c r="G2966" s="3"/>
      <c r="H2966" s="3"/>
      <c r="I2966" s="3"/>
      <c r="J2966" s="3"/>
      <c r="K2966" s="3"/>
      <c r="L2966" s="3"/>
      <c r="M2966" s="3"/>
      <c r="N2966" s="3"/>
      <c r="O2966" s="3"/>
      <c r="P2966" s="3"/>
      <c r="Q2966" s="3"/>
      <c r="R2966" s="3"/>
      <c r="S2966" s="3"/>
      <c r="T2966" s="5"/>
      <c r="U2966" s="5"/>
      <c r="V2966" s="5"/>
      <c r="W2966" s="5"/>
    </row>
    <row r="2967" ht="15.75" customHeight="1">
      <c r="A2967" s="3" t="str">
        <f>IFERROR(__xludf.DUMMYFUNCTION("""COMPUTED_VALUE"""),"")</f>
        <v/>
      </c>
      <c r="B2967" s="3"/>
      <c r="C2967" s="3"/>
      <c r="D2967" s="3"/>
      <c r="E2967" s="3"/>
      <c r="F2967" s="3"/>
      <c r="G2967" s="3"/>
      <c r="H2967" s="3"/>
      <c r="I2967" s="3"/>
      <c r="J2967" s="3"/>
      <c r="K2967" s="3"/>
      <c r="L2967" s="3"/>
      <c r="M2967" s="3"/>
      <c r="N2967" s="3"/>
      <c r="O2967" s="3"/>
      <c r="P2967" s="3"/>
      <c r="Q2967" s="3"/>
      <c r="R2967" s="3"/>
      <c r="S2967" s="3"/>
      <c r="T2967" s="5"/>
      <c r="U2967" s="5"/>
      <c r="V2967" s="5"/>
      <c r="W2967" s="5"/>
    </row>
    <row r="2968" ht="15.75" customHeight="1">
      <c r="A2968" s="3" t="str">
        <f>IFERROR(__xludf.DUMMYFUNCTION("""COMPUTED_VALUE"""),"")</f>
        <v/>
      </c>
      <c r="B2968" s="3"/>
      <c r="C2968" s="3"/>
      <c r="D2968" s="3"/>
      <c r="E2968" s="3"/>
      <c r="F2968" s="3"/>
      <c r="G2968" s="3"/>
      <c r="H2968" s="3"/>
      <c r="I2968" s="3"/>
      <c r="J2968" s="3"/>
      <c r="K2968" s="3"/>
      <c r="L2968" s="3"/>
      <c r="M2968" s="3"/>
      <c r="N2968" s="3"/>
      <c r="O2968" s="3"/>
      <c r="P2968" s="3"/>
      <c r="Q2968" s="3"/>
      <c r="R2968" s="3"/>
      <c r="S2968" s="3"/>
      <c r="T2968" s="5"/>
      <c r="U2968" s="5"/>
      <c r="V2968" s="5"/>
      <c r="W2968" s="5"/>
    </row>
    <row r="2969" ht="15.75" customHeight="1">
      <c r="A2969" s="3" t="str">
        <f>IFERROR(__xludf.DUMMYFUNCTION("""COMPUTED_VALUE"""),"")</f>
        <v/>
      </c>
      <c r="B2969" s="3"/>
      <c r="C2969" s="3"/>
      <c r="D2969" s="3"/>
      <c r="E2969" s="3"/>
      <c r="F2969" s="3"/>
      <c r="G2969" s="3"/>
      <c r="H2969" s="3"/>
      <c r="I2969" s="3"/>
      <c r="J2969" s="3"/>
      <c r="K2969" s="3"/>
      <c r="L2969" s="3"/>
      <c r="M2969" s="3"/>
      <c r="N2969" s="3"/>
      <c r="O2969" s="3"/>
      <c r="P2969" s="3"/>
      <c r="Q2969" s="3"/>
      <c r="R2969" s="3"/>
      <c r="S2969" s="3"/>
      <c r="T2969" s="5"/>
      <c r="U2969" s="5"/>
      <c r="V2969" s="5"/>
      <c r="W2969" s="5"/>
    </row>
    <row r="2970" ht="15.75" customHeight="1">
      <c r="A2970" s="3" t="str">
        <f>IFERROR(__xludf.DUMMYFUNCTION("""COMPUTED_VALUE"""),"")</f>
        <v/>
      </c>
      <c r="B2970" s="3"/>
      <c r="C2970" s="3"/>
      <c r="D2970" s="3"/>
      <c r="E2970" s="3"/>
      <c r="F2970" s="3"/>
      <c r="G2970" s="3"/>
      <c r="H2970" s="3"/>
      <c r="I2970" s="3"/>
      <c r="J2970" s="3"/>
      <c r="K2970" s="3"/>
      <c r="L2970" s="3"/>
      <c r="M2970" s="3"/>
      <c r="N2970" s="3"/>
      <c r="O2970" s="3"/>
      <c r="P2970" s="3"/>
      <c r="Q2970" s="3"/>
      <c r="R2970" s="3"/>
      <c r="S2970" s="3"/>
      <c r="T2970" s="5"/>
      <c r="U2970" s="5"/>
      <c r="V2970" s="5"/>
      <c r="W2970" s="5"/>
    </row>
    <row r="2971" ht="15.75" customHeight="1">
      <c r="A2971" s="3" t="str">
        <f>IFERROR(__xludf.DUMMYFUNCTION("""COMPUTED_VALUE"""),"")</f>
        <v/>
      </c>
      <c r="B2971" s="3"/>
      <c r="C2971" s="3"/>
      <c r="D2971" s="3"/>
      <c r="E2971" s="3"/>
      <c r="F2971" s="3"/>
      <c r="G2971" s="3"/>
      <c r="H2971" s="3"/>
      <c r="I2971" s="3"/>
      <c r="J2971" s="3"/>
      <c r="K2971" s="3"/>
      <c r="L2971" s="3"/>
      <c r="M2971" s="3"/>
      <c r="N2971" s="3"/>
      <c r="O2971" s="3"/>
      <c r="P2971" s="3"/>
      <c r="Q2971" s="3"/>
      <c r="R2971" s="3"/>
      <c r="S2971" s="3"/>
      <c r="T2971" s="5"/>
      <c r="U2971" s="5"/>
      <c r="V2971" s="5"/>
      <c r="W2971" s="5"/>
    </row>
    <row r="2972" ht="15.75" customHeight="1">
      <c r="A2972" s="3" t="str">
        <f>IFERROR(__xludf.DUMMYFUNCTION("""COMPUTED_VALUE"""),"")</f>
        <v/>
      </c>
      <c r="B2972" s="3"/>
      <c r="C2972" s="3"/>
      <c r="D2972" s="3"/>
      <c r="E2972" s="3"/>
      <c r="F2972" s="3"/>
      <c r="G2972" s="3"/>
      <c r="H2972" s="3"/>
      <c r="I2972" s="3"/>
      <c r="J2972" s="3"/>
      <c r="K2972" s="3"/>
      <c r="L2972" s="3"/>
      <c r="M2972" s="3"/>
      <c r="N2972" s="3"/>
      <c r="O2972" s="3"/>
      <c r="P2972" s="3"/>
      <c r="Q2972" s="3"/>
      <c r="R2972" s="3"/>
      <c r="S2972" s="3"/>
      <c r="T2972" s="5"/>
      <c r="U2972" s="5"/>
      <c r="V2972" s="5"/>
      <c r="W2972" s="5"/>
    </row>
    <row r="2973" ht="15.75" customHeight="1">
      <c r="A2973" s="3" t="str">
        <f>IFERROR(__xludf.DUMMYFUNCTION("""COMPUTED_VALUE"""),"")</f>
        <v/>
      </c>
      <c r="B2973" s="3"/>
      <c r="C2973" s="3"/>
      <c r="D2973" s="3"/>
      <c r="E2973" s="3"/>
      <c r="F2973" s="3"/>
      <c r="G2973" s="3"/>
      <c r="H2973" s="3"/>
      <c r="I2973" s="3"/>
      <c r="J2973" s="3"/>
      <c r="K2973" s="3"/>
      <c r="L2973" s="3"/>
      <c r="M2973" s="3"/>
      <c r="N2973" s="3"/>
      <c r="O2973" s="3"/>
      <c r="P2973" s="3"/>
      <c r="Q2973" s="3"/>
      <c r="R2973" s="3"/>
      <c r="S2973" s="3"/>
      <c r="T2973" s="5"/>
      <c r="U2973" s="5"/>
      <c r="V2973" s="5"/>
      <c r="W2973" s="5"/>
    </row>
    <row r="2974" ht="15.75" customHeight="1">
      <c r="A2974" s="3" t="str">
        <f>IFERROR(__xludf.DUMMYFUNCTION("""COMPUTED_VALUE"""),"")</f>
        <v/>
      </c>
      <c r="B2974" s="3"/>
      <c r="C2974" s="3"/>
      <c r="D2974" s="3"/>
      <c r="E2974" s="3"/>
      <c r="F2974" s="3"/>
      <c r="G2974" s="3"/>
      <c r="H2974" s="3"/>
      <c r="I2974" s="3"/>
      <c r="J2974" s="3"/>
      <c r="K2974" s="3"/>
      <c r="L2974" s="3"/>
      <c r="M2974" s="3"/>
      <c r="N2974" s="3"/>
      <c r="O2974" s="3"/>
      <c r="P2974" s="3"/>
      <c r="Q2974" s="3"/>
      <c r="R2974" s="3"/>
      <c r="S2974" s="3"/>
      <c r="T2974" s="5"/>
      <c r="U2974" s="5"/>
      <c r="V2974" s="5"/>
      <c r="W2974" s="5"/>
    </row>
    <row r="2975" ht="15.75" customHeight="1">
      <c r="A2975" s="3" t="str">
        <f>IFERROR(__xludf.DUMMYFUNCTION("""COMPUTED_VALUE"""),"")</f>
        <v/>
      </c>
      <c r="B2975" s="3"/>
      <c r="C2975" s="3"/>
      <c r="D2975" s="3"/>
      <c r="E2975" s="3"/>
      <c r="F2975" s="3"/>
      <c r="G2975" s="3"/>
      <c r="H2975" s="3"/>
      <c r="I2975" s="3"/>
      <c r="J2975" s="3"/>
      <c r="K2975" s="3"/>
      <c r="L2975" s="3"/>
      <c r="M2975" s="3"/>
      <c r="N2975" s="3"/>
      <c r="O2975" s="3"/>
      <c r="P2975" s="3"/>
      <c r="Q2975" s="3"/>
      <c r="R2975" s="3"/>
      <c r="S2975" s="3"/>
      <c r="T2975" s="5"/>
      <c r="U2975" s="5"/>
      <c r="V2975" s="5"/>
      <c r="W2975" s="5"/>
    </row>
    <row r="2976" ht="15.75" customHeight="1">
      <c r="A2976" s="3" t="str">
        <f>IFERROR(__xludf.DUMMYFUNCTION("""COMPUTED_VALUE"""),"")</f>
        <v/>
      </c>
      <c r="B2976" s="3"/>
      <c r="C2976" s="3"/>
      <c r="D2976" s="3"/>
      <c r="E2976" s="3"/>
      <c r="F2976" s="3"/>
      <c r="G2976" s="3"/>
      <c r="H2976" s="3"/>
      <c r="I2976" s="3"/>
      <c r="J2976" s="3"/>
      <c r="K2976" s="3"/>
      <c r="L2976" s="3"/>
      <c r="M2976" s="3"/>
      <c r="N2976" s="3"/>
      <c r="O2976" s="3"/>
      <c r="P2976" s="3"/>
      <c r="Q2976" s="3"/>
      <c r="R2976" s="3"/>
      <c r="S2976" s="3"/>
      <c r="T2976" s="5"/>
      <c r="U2976" s="5"/>
      <c r="V2976" s="5"/>
      <c r="W2976" s="5"/>
    </row>
    <row r="2977" ht="15.75" customHeight="1">
      <c r="A2977" s="3" t="str">
        <f>IFERROR(__xludf.DUMMYFUNCTION("""COMPUTED_VALUE"""),"")</f>
        <v/>
      </c>
      <c r="B2977" s="3"/>
      <c r="C2977" s="3"/>
      <c r="D2977" s="3"/>
      <c r="E2977" s="3"/>
      <c r="F2977" s="3"/>
      <c r="G2977" s="3"/>
      <c r="H2977" s="3"/>
      <c r="I2977" s="3"/>
      <c r="J2977" s="3"/>
      <c r="K2977" s="3"/>
      <c r="L2977" s="3"/>
      <c r="M2977" s="3"/>
      <c r="N2977" s="3"/>
      <c r="O2977" s="3"/>
      <c r="P2977" s="3"/>
      <c r="Q2977" s="3"/>
      <c r="R2977" s="3"/>
      <c r="S2977" s="3"/>
      <c r="T2977" s="5"/>
      <c r="U2977" s="5"/>
      <c r="V2977" s="5"/>
      <c r="W2977" s="5"/>
    </row>
    <row r="2978" ht="15.75" customHeight="1">
      <c r="A2978" s="3" t="str">
        <f>IFERROR(__xludf.DUMMYFUNCTION("""COMPUTED_VALUE"""),"")</f>
        <v/>
      </c>
      <c r="B2978" s="3"/>
      <c r="C2978" s="3"/>
      <c r="D2978" s="3"/>
      <c r="E2978" s="3"/>
      <c r="F2978" s="3"/>
      <c r="G2978" s="3"/>
      <c r="H2978" s="3"/>
      <c r="I2978" s="3"/>
      <c r="J2978" s="3"/>
      <c r="K2978" s="3"/>
      <c r="L2978" s="3"/>
      <c r="M2978" s="3"/>
      <c r="N2978" s="3"/>
      <c r="O2978" s="3"/>
      <c r="P2978" s="3"/>
      <c r="Q2978" s="3"/>
      <c r="R2978" s="3"/>
      <c r="S2978" s="3"/>
      <c r="T2978" s="5"/>
      <c r="U2978" s="5"/>
      <c r="V2978" s="5"/>
      <c r="W2978" s="5"/>
    </row>
    <row r="2979" ht="15.75" customHeight="1">
      <c r="A2979" s="3" t="str">
        <f>IFERROR(__xludf.DUMMYFUNCTION("""COMPUTED_VALUE"""),"")</f>
        <v/>
      </c>
      <c r="B2979" s="3"/>
      <c r="C2979" s="3"/>
      <c r="D2979" s="3"/>
      <c r="E2979" s="3"/>
      <c r="F2979" s="3"/>
      <c r="G2979" s="3"/>
      <c r="H2979" s="3"/>
      <c r="I2979" s="3"/>
      <c r="J2979" s="3"/>
      <c r="K2979" s="3"/>
      <c r="L2979" s="3"/>
      <c r="M2979" s="3"/>
      <c r="N2979" s="3"/>
      <c r="O2979" s="3"/>
      <c r="P2979" s="3"/>
      <c r="Q2979" s="3"/>
      <c r="R2979" s="3"/>
      <c r="S2979" s="3"/>
      <c r="T2979" s="5"/>
      <c r="U2979" s="5"/>
      <c r="V2979" s="5"/>
      <c r="W2979" s="5"/>
    </row>
    <row r="2980" ht="15.75" customHeight="1">
      <c r="A2980" s="3" t="str">
        <f>IFERROR(__xludf.DUMMYFUNCTION("""COMPUTED_VALUE"""),"")</f>
        <v/>
      </c>
      <c r="B2980" s="3"/>
      <c r="C2980" s="3"/>
      <c r="D2980" s="3"/>
      <c r="E2980" s="3"/>
      <c r="F2980" s="3"/>
      <c r="G2980" s="3"/>
      <c r="H2980" s="3"/>
      <c r="I2980" s="3"/>
      <c r="J2980" s="3"/>
      <c r="K2980" s="3"/>
      <c r="L2980" s="3"/>
      <c r="M2980" s="3"/>
      <c r="N2980" s="3"/>
      <c r="O2980" s="3"/>
      <c r="P2980" s="3"/>
      <c r="Q2980" s="3"/>
      <c r="R2980" s="3"/>
      <c r="S2980" s="3"/>
      <c r="T2980" s="5"/>
      <c r="U2980" s="5"/>
      <c r="V2980" s="5"/>
      <c r="W2980" s="5"/>
    </row>
    <row r="2981" ht="15.75" customHeight="1">
      <c r="A2981" s="3" t="str">
        <f>IFERROR(__xludf.DUMMYFUNCTION("""COMPUTED_VALUE"""),"")</f>
        <v/>
      </c>
      <c r="B2981" s="3"/>
      <c r="C2981" s="3"/>
      <c r="D2981" s="3"/>
      <c r="E2981" s="3"/>
      <c r="F2981" s="3"/>
      <c r="G2981" s="3"/>
      <c r="H2981" s="3"/>
      <c r="I2981" s="3"/>
      <c r="J2981" s="3"/>
      <c r="K2981" s="3"/>
      <c r="L2981" s="3"/>
      <c r="M2981" s="3"/>
      <c r="N2981" s="3"/>
      <c r="O2981" s="3"/>
      <c r="P2981" s="3"/>
      <c r="Q2981" s="3"/>
      <c r="R2981" s="3"/>
      <c r="S2981" s="3"/>
      <c r="T2981" s="5"/>
      <c r="U2981" s="5"/>
      <c r="V2981" s="5"/>
      <c r="W2981" s="5"/>
    </row>
    <row r="2982" ht="15.75" customHeight="1">
      <c r="A2982" s="3" t="str">
        <f>IFERROR(__xludf.DUMMYFUNCTION("""COMPUTED_VALUE"""),"")</f>
        <v/>
      </c>
      <c r="B2982" s="3"/>
      <c r="C2982" s="3"/>
      <c r="D2982" s="3"/>
      <c r="E2982" s="3"/>
      <c r="F2982" s="3"/>
      <c r="G2982" s="3"/>
      <c r="H2982" s="3"/>
      <c r="I2982" s="3"/>
      <c r="J2982" s="3"/>
      <c r="K2982" s="3"/>
      <c r="L2982" s="3"/>
      <c r="M2982" s="3"/>
      <c r="N2982" s="3"/>
      <c r="O2982" s="3"/>
      <c r="P2982" s="3"/>
      <c r="Q2982" s="3"/>
      <c r="R2982" s="3"/>
      <c r="S2982" s="3"/>
      <c r="T2982" s="5"/>
      <c r="U2982" s="5"/>
      <c r="V2982" s="5"/>
      <c r="W2982" s="5"/>
    </row>
    <row r="2983" ht="15.75" customHeight="1">
      <c r="A2983" s="3" t="str">
        <f>IFERROR(__xludf.DUMMYFUNCTION("""COMPUTED_VALUE"""),"")</f>
        <v/>
      </c>
      <c r="B2983" s="3"/>
      <c r="C2983" s="3"/>
      <c r="D2983" s="3"/>
      <c r="E2983" s="3"/>
      <c r="F2983" s="3"/>
      <c r="G2983" s="3"/>
      <c r="H2983" s="3"/>
      <c r="I2983" s="3"/>
      <c r="J2983" s="3"/>
      <c r="K2983" s="3"/>
      <c r="L2983" s="3"/>
      <c r="M2983" s="3"/>
      <c r="N2983" s="3"/>
      <c r="O2983" s="3"/>
      <c r="P2983" s="3"/>
      <c r="Q2983" s="3"/>
      <c r="R2983" s="3"/>
      <c r="S2983" s="3"/>
      <c r="T2983" s="5"/>
      <c r="U2983" s="5"/>
      <c r="V2983" s="5"/>
      <c r="W2983" s="5"/>
    </row>
    <row r="2984" ht="15.75" customHeight="1">
      <c r="A2984" s="3" t="str">
        <f>IFERROR(__xludf.DUMMYFUNCTION("""COMPUTED_VALUE"""),"")</f>
        <v/>
      </c>
      <c r="B2984" s="3"/>
      <c r="C2984" s="3"/>
      <c r="D2984" s="3"/>
      <c r="E2984" s="3"/>
      <c r="F2984" s="3"/>
      <c r="G2984" s="3"/>
      <c r="H2984" s="3"/>
      <c r="I2984" s="3"/>
      <c r="J2984" s="3"/>
      <c r="K2984" s="3"/>
      <c r="L2984" s="3"/>
      <c r="M2984" s="3"/>
      <c r="N2984" s="3"/>
      <c r="O2984" s="3"/>
      <c r="P2984" s="3"/>
      <c r="Q2984" s="3"/>
      <c r="R2984" s="3"/>
      <c r="S2984" s="3"/>
      <c r="T2984" s="5"/>
      <c r="U2984" s="5"/>
      <c r="V2984" s="5"/>
      <c r="W2984" s="5"/>
    </row>
    <row r="2985" ht="15.75" customHeight="1">
      <c r="A2985" s="3" t="str">
        <f>IFERROR(__xludf.DUMMYFUNCTION("""COMPUTED_VALUE"""),"")</f>
        <v/>
      </c>
      <c r="B2985" s="3"/>
      <c r="C2985" s="3"/>
      <c r="D2985" s="3"/>
      <c r="E2985" s="3"/>
      <c r="F2985" s="3"/>
      <c r="G2985" s="3"/>
      <c r="H2985" s="3"/>
      <c r="I2985" s="3"/>
      <c r="J2985" s="3"/>
      <c r="K2985" s="3"/>
      <c r="L2985" s="3"/>
      <c r="M2985" s="3"/>
      <c r="N2985" s="3"/>
      <c r="O2985" s="3"/>
      <c r="P2985" s="3"/>
      <c r="Q2985" s="3"/>
      <c r="R2985" s="3"/>
      <c r="S2985" s="3"/>
      <c r="T2985" s="5"/>
      <c r="U2985" s="5"/>
      <c r="V2985" s="5"/>
      <c r="W2985" s="5"/>
    </row>
    <row r="2986" ht="15.75" customHeight="1">
      <c r="A2986" s="3" t="str">
        <f>IFERROR(__xludf.DUMMYFUNCTION("""COMPUTED_VALUE"""),"")</f>
        <v/>
      </c>
      <c r="B2986" s="3"/>
      <c r="C2986" s="3"/>
      <c r="D2986" s="3"/>
      <c r="E2986" s="3"/>
      <c r="F2986" s="3"/>
      <c r="G2986" s="3"/>
      <c r="H2986" s="3"/>
      <c r="I2986" s="3"/>
      <c r="J2986" s="3"/>
      <c r="K2986" s="3"/>
      <c r="L2986" s="3"/>
      <c r="M2986" s="3"/>
      <c r="N2986" s="3"/>
      <c r="O2986" s="3"/>
      <c r="P2986" s="3"/>
      <c r="Q2986" s="3"/>
      <c r="R2986" s="3"/>
      <c r="S2986" s="3"/>
      <c r="T2986" s="5"/>
      <c r="U2986" s="5"/>
      <c r="V2986" s="5"/>
      <c r="W2986" s="5"/>
    </row>
    <row r="2987" ht="15.75" customHeight="1">
      <c r="A2987" s="3" t="str">
        <f>IFERROR(__xludf.DUMMYFUNCTION("""COMPUTED_VALUE"""),"")</f>
        <v/>
      </c>
      <c r="B2987" s="3"/>
      <c r="C2987" s="3"/>
      <c r="D2987" s="3"/>
      <c r="E2987" s="3"/>
      <c r="F2987" s="3"/>
      <c r="G2987" s="3"/>
      <c r="H2987" s="3"/>
      <c r="I2987" s="3"/>
      <c r="J2987" s="3"/>
      <c r="K2987" s="3"/>
      <c r="L2987" s="3"/>
      <c r="M2987" s="3"/>
      <c r="N2987" s="3"/>
      <c r="O2987" s="3"/>
      <c r="P2987" s="3"/>
      <c r="Q2987" s="3"/>
      <c r="R2987" s="3"/>
      <c r="S2987" s="3"/>
      <c r="T2987" s="5"/>
      <c r="U2987" s="5"/>
      <c r="V2987" s="5"/>
      <c r="W2987" s="5"/>
    </row>
    <row r="2988" ht="15.75" customHeight="1">
      <c r="A2988" s="3" t="str">
        <f>IFERROR(__xludf.DUMMYFUNCTION("""COMPUTED_VALUE"""),"")</f>
        <v/>
      </c>
      <c r="B2988" s="3"/>
      <c r="C2988" s="3"/>
      <c r="D2988" s="3"/>
      <c r="E2988" s="3"/>
      <c r="F2988" s="3"/>
      <c r="G2988" s="3"/>
      <c r="H2988" s="3"/>
      <c r="I2988" s="3"/>
      <c r="J2988" s="3"/>
      <c r="K2988" s="3"/>
      <c r="L2988" s="3"/>
      <c r="M2988" s="3"/>
      <c r="N2988" s="3"/>
      <c r="O2988" s="3"/>
      <c r="P2988" s="3"/>
      <c r="Q2988" s="3"/>
      <c r="R2988" s="3"/>
      <c r="S2988" s="3"/>
      <c r="T2988" s="5"/>
      <c r="U2988" s="5"/>
      <c r="V2988" s="5"/>
      <c r="W2988" s="5"/>
    </row>
    <row r="2989" ht="15.75" customHeight="1">
      <c r="A2989" s="3" t="str">
        <f>IFERROR(__xludf.DUMMYFUNCTION("""COMPUTED_VALUE"""),"")</f>
        <v/>
      </c>
      <c r="B2989" s="3"/>
      <c r="C2989" s="3"/>
      <c r="D2989" s="3"/>
      <c r="E2989" s="3"/>
      <c r="F2989" s="3"/>
      <c r="G2989" s="3"/>
      <c r="H2989" s="3"/>
      <c r="I2989" s="3"/>
      <c r="J2989" s="3"/>
      <c r="K2989" s="3"/>
      <c r="L2989" s="3"/>
      <c r="M2989" s="3"/>
      <c r="N2989" s="3"/>
      <c r="O2989" s="3"/>
      <c r="P2989" s="3"/>
      <c r="Q2989" s="3"/>
      <c r="R2989" s="3"/>
      <c r="S2989" s="3"/>
      <c r="T2989" s="5"/>
      <c r="U2989" s="5"/>
      <c r="V2989" s="5"/>
      <c r="W2989" s="5"/>
    </row>
    <row r="2990" ht="15.75" customHeight="1">
      <c r="A2990" s="3" t="str">
        <f>IFERROR(__xludf.DUMMYFUNCTION("""COMPUTED_VALUE"""),"")</f>
        <v/>
      </c>
      <c r="B2990" s="3"/>
      <c r="C2990" s="3"/>
      <c r="D2990" s="3"/>
      <c r="E2990" s="3"/>
      <c r="F2990" s="3"/>
      <c r="G2990" s="3"/>
      <c r="H2990" s="3"/>
      <c r="I2990" s="3"/>
      <c r="J2990" s="3"/>
      <c r="K2990" s="3"/>
      <c r="L2990" s="3"/>
      <c r="M2990" s="3"/>
      <c r="N2990" s="3"/>
      <c r="O2990" s="3"/>
      <c r="P2990" s="3"/>
      <c r="Q2990" s="3"/>
      <c r="R2990" s="3"/>
      <c r="S2990" s="3"/>
      <c r="T2990" s="5"/>
      <c r="U2990" s="5"/>
      <c r="V2990" s="5"/>
      <c r="W2990" s="5"/>
    </row>
    <row r="2991" ht="15.75" customHeight="1">
      <c r="A2991" s="3" t="str">
        <f>IFERROR(__xludf.DUMMYFUNCTION("""COMPUTED_VALUE"""),"")</f>
        <v/>
      </c>
      <c r="B2991" s="3"/>
      <c r="C2991" s="3"/>
      <c r="D2991" s="3"/>
      <c r="E2991" s="3"/>
      <c r="F2991" s="3"/>
      <c r="G2991" s="3"/>
      <c r="H2991" s="3"/>
      <c r="I2991" s="3"/>
      <c r="J2991" s="3"/>
      <c r="K2991" s="3"/>
      <c r="L2991" s="3"/>
      <c r="M2991" s="3"/>
      <c r="N2991" s="3"/>
      <c r="O2991" s="3"/>
      <c r="P2991" s="3"/>
      <c r="Q2991" s="3"/>
      <c r="R2991" s="3"/>
      <c r="S2991" s="3"/>
      <c r="T2991" s="5"/>
      <c r="U2991" s="5"/>
      <c r="V2991" s="5"/>
      <c r="W2991" s="5"/>
    </row>
    <row r="2992" ht="15.75" customHeight="1">
      <c r="A2992" s="3" t="str">
        <f>IFERROR(__xludf.DUMMYFUNCTION("""COMPUTED_VALUE"""),"")</f>
        <v/>
      </c>
      <c r="B2992" s="3"/>
      <c r="C2992" s="3"/>
      <c r="D2992" s="3"/>
      <c r="E2992" s="3"/>
      <c r="F2992" s="3"/>
      <c r="G2992" s="3"/>
      <c r="H2992" s="3"/>
      <c r="I2992" s="3"/>
      <c r="J2992" s="3"/>
      <c r="K2992" s="3"/>
      <c r="L2992" s="3"/>
      <c r="M2992" s="3"/>
      <c r="N2992" s="3"/>
      <c r="O2992" s="3"/>
      <c r="P2992" s="3"/>
      <c r="Q2992" s="3"/>
      <c r="R2992" s="3"/>
      <c r="S2992" s="3"/>
      <c r="T2992" s="5"/>
      <c r="U2992" s="5"/>
      <c r="V2992" s="5"/>
      <c r="W2992" s="5"/>
    </row>
    <row r="2993" ht="15.75" customHeight="1">
      <c r="A2993" s="3" t="str">
        <f>IFERROR(__xludf.DUMMYFUNCTION("""COMPUTED_VALUE"""),"")</f>
        <v/>
      </c>
      <c r="B2993" s="3"/>
      <c r="C2993" s="3"/>
      <c r="D2993" s="3"/>
      <c r="E2993" s="3"/>
      <c r="F2993" s="3"/>
      <c r="G2993" s="3"/>
      <c r="H2993" s="3"/>
      <c r="I2993" s="3"/>
      <c r="J2993" s="3"/>
      <c r="K2993" s="3"/>
      <c r="L2993" s="3"/>
      <c r="M2993" s="3"/>
      <c r="N2993" s="3"/>
      <c r="O2993" s="3"/>
      <c r="P2993" s="3"/>
      <c r="Q2993" s="3"/>
      <c r="R2993" s="3"/>
      <c r="S2993" s="3"/>
      <c r="T2993" s="5"/>
      <c r="U2993" s="5"/>
      <c r="V2993" s="5"/>
      <c r="W2993" s="5"/>
    </row>
    <row r="2994" ht="15.75" customHeight="1">
      <c r="A2994" s="3" t="str">
        <f>IFERROR(__xludf.DUMMYFUNCTION("""COMPUTED_VALUE"""),"")</f>
        <v/>
      </c>
      <c r="B2994" s="3"/>
      <c r="C2994" s="3"/>
      <c r="D2994" s="3"/>
      <c r="E2994" s="3"/>
      <c r="F2994" s="3"/>
      <c r="G2994" s="3"/>
      <c r="H2994" s="3"/>
      <c r="I2994" s="3"/>
      <c r="J2994" s="3"/>
      <c r="K2994" s="3"/>
      <c r="L2994" s="3"/>
      <c r="M2994" s="3"/>
      <c r="N2994" s="3"/>
      <c r="O2994" s="3"/>
      <c r="P2994" s="3"/>
      <c r="Q2994" s="3"/>
      <c r="R2994" s="3"/>
      <c r="S2994" s="3"/>
      <c r="T2994" s="5"/>
      <c r="U2994" s="5"/>
      <c r="V2994" s="5"/>
      <c r="W2994" s="5"/>
    </row>
    <row r="2995" ht="15.75" customHeight="1">
      <c r="A2995" s="3" t="str">
        <f>IFERROR(__xludf.DUMMYFUNCTION("""COMPUTED_VALUE"""),"")</f>
        <v/>
      </c>
      <c r="B2995" s="3"/>
      <c r="C2995" s="3"/>
      <c r="D2995" s="3"/>
      <c r="E2995" s="3"/>
      <c r="F2995" s="3"/>
      <c r="G2995" s="3"/>
      <c r="H2995" s="3"/>
      <c r="I2995" s="3"/>
      <c r="J2995" s="3"/>
      <c r="K2995" s="3"/>
      <c r="L2995" s="3"/>
      <c r="M2995" s="3"/>
      <c r="N2995" s="3"/>
      <c r="O2995" s="3"/>
      <c r="P2995" s="3"/>
      <c r="Q2995" s="3"/>
      <c r="R2995" s="3"/>
      <c r="S2995" s="3"/>
      <c r="T2995" s="5"/>
      <c r="U2995" s="5"/>
      <c r="V2995" s="5"/>
      <c r="W2995" s="5"/>
    </row>
    <row r="2996" ht="15.75" customHeight="1">
      <c r="A2996" s="3" t="str">
        <f>IFERROR(__xludf.DUMMYFUNCTION("""COMPUTED_VALUE"""),"")</f>
        <v/>
      </c>
      <c r="B2996" s="3"/>
      <c r="C2996" s="3"/>
      <c r="D2996" s="3"/>
      <c r="E2996" s="3"/>
      <c r="F2996" s="3"/>
      <c r="G2996" s="3"/>
      <c r="H2996" s="3"/>
      <c r="I2996" s="3"/>
      <c r="J2996" s="3"/>
      <c r="K2996" s="3"/>
      <c r="L2996" s="3"/>
      <c r="M2996" s="3"/>
      <c r="N2996" s="3"/>
      <c r="O2996" s="3"/>
      <c r="P2996" s="3"/>
      <c r="Q2996" s="3"/>
      <c r="R2996" s="3"/>
      <c r="S2996" s="3"/>
      <c r="T2996" s="5"/>
      <c r="U2996" s="5"/>
      <c r="V2996" s="5"/>
      <c r="W2996" s="5"/>
    </row>
    <row r="2997" ht="15.75" customHeight="1">
      <c r="A2997" s="3" t="str">
        <f>IFERROR(__xludf.DUMMYFUNCTION("""COMPUTED_VALUE"""),"")</f>
        <v/>
      </c>
      <c r="B2997" s="3"/>
      <c r="C2997" s="3"/>
      <c r="D2997" s="3"/>
      <c r="E2997" s="3"/>
      <c r="F2997" s="3"/>
      <c r="G2997" s="3"/>
      <c r="H2997" s="3"/>
      <c r="I2997" s="3"/>
      <c r="J2997" s="3"/>
      <c r="K2997" s="3"/>
      <c r="L2997" s="3"/>
      <c r="M2997" s="3"/>
      <c r="N2997" s="3"/>
      <c r="O2997" s="3"/>
      <c r="P2997" s="3"/>
      <c r="Q2997" s="3"/>
      <c r="R2997" s="3"/>
      <c r="S2997" s="3"/>
      <c r="T2997" s="5"/>
      <c r="U2997" s="5"/>
      <c r="V2997" s="5"/>
      <c r="W2997" s="5"/>
    </row>
    <row r="2998" ht="15.75" customHeight="1">
      <c r="A2998" s="3" t="str">
        <f>IFERROR(__xludf.DUMMYFUNCTION("""COMPUTED_VALUE"""),"")</f>
        <v/>
      </c>
      <c r="B2998" s="3"/>
      <c r="C2998" s="3"/>
      <c r="D2998" s="3"/>
      <c r="E2998" s="3"/>
      <c r="F2998" s="3"/>
      <c r="G2998" s="3"/>
      <c r="H2998" s="3"/>
      <c r="I2998" s="3"/>
      <c r="J2998" s="3"/>
      <c r="K2998" s="3"/>
      <c r="L2998" s="3"/>
      <c r="M2998" s="3"/>
      <c r="N2998" s="3"/>
      <c r="O2998" s="3"/>
      <c r="P2998" s="3"/>
      <c r="Q2998" s="3"/>
      <c r="R2998" s="3"/>
      <c r="S2998" s="3"/>
      <c r="T2998" s="5"/>
      <c r="U2998" s="5"/>
      <c r="V2998" s="5"/>
      <c r="W2998" s="5"/>
    </row>
    <row r="2999" ht="15.75" customHeight="1">
      <c r="A2999" s="3" t="str">
        <f>IFERROR(__xludf.DUMMYFUNCTION("""COMPUTED_VALUE"""),"")</f>
        <v/>
      </c>
      <c r="B2999" s="3"/>
      <c r="C2999" s="3"/>
      <c r="D2999" s="3"/>
      <c r="E2999" s="3"/>
      <c r="F2999" s="3"/>
      <c r="G2999" s="3"/>
      <c r="H2999" s="3"/>
      <c r="I2999" s="3"/>
      <c r="J2999" s="3"/>
      <c r="K2999" s="3"/>
      <c r="L2999" s="3"/>
      <c r="M2999" s="3"/>
      <c r="N2999" s="3"/>
      <c r="O2999" s="3"/>
      <c r="P2999" s="3"/>
      <c r="Q2999" s="3"/>
      <c r="R2999" s="3"/>
      <c r="S2999" s="3"/>
      <c r="T2999" s="5"/>
      <c r="U2999" s="5"/>
      <c r="V2999" s="5"/>
      <c r="W2999" s="5"/>
    </row>
    <row r="3000" ht="15.75" customHeight="1">
      <c r="A3000" s="3" t="str">
        <f>IFERROR(__xludf.DUMMYFUNCTION("""COMPUTED_VALUE"""),"")</f>
        <v/>
      </c>
      <c r="B3000" s="3"/>
      <c r="C3000" s="3"/>
      <c r="D3000" s="3"/>
      <c r="E3000" s="3"/>
      <c r="F3000" s="3"/>
      <c r="G3000" s="3"/>
      <c r="H3000" s="3"/>
      <c r="I3000" s="3"/>
      <c r="J3000" s="3"/>
      <c r="K3000" s="3"/>
      <c r="L3000" s="3"/>
      <c r="M3000" s="3"/>
      <c r="N3000" s="3"/>
      <c r="O3000" s="3"/>
      <c r="P3000" s="3"/>
      <c r="Q3000" s="3"/>
      <c r="R3000" s="3"/>
      <c r="S3000" s="3"/>
      <c r="T3000" s="5"/>
      <c r="U3000" s="5"/>
      <c r="V3000" s="5"/>
      <c r="W3000" s="5"/>
    </row>
    <row r="3001" ht="15.75" customHeight="1">
      <c r="A3001" s="3" t="str">
        <f>IFERROR(__xludf.DUMMYFUNCTION("""COMPUTED_VALUE"""),"")</f>
        <v/>
      </c>
      <c r="B3001" s="3"/>
      <c r="C3001" s="3"/>
      <c r="D3001" s="3"/>
      <c r="E3001" s="3"/>
      <c r="F3001" s="3"/>
      <c r="G3001" s="3"/>
      <c r="H3001" s="3"/>
      <c r="I3001" s="3"/>
      <c r="J3001" s="3"/>
      <c r="K3001" s="3"/>
      <c r="L3001" s="3"/>
      <c r="M3001" s="3"/>
      <c r="N3001" s="3"/>
      <c r="O3001" s="3"/>
      <c r="P3001" s="3"/>
      <c r="Q3001" s="3"/>
      <c r="R3001" s="3"/>
      <c r="S3001" s="3"/>
      <c r="T3001" s="5"/>
      <c r="U3001" s="5"/>
      <c r="V3001" s="5"/>
      <c r="W3001" s="5"/>
    </row>
    <row r="3002" ht="15.75" customHeight="1">
      <c r="A3002" s="3" t="str">
        <f>IFERROR(__xludf.DUMMYFUNCTION("""COMPUTED_VALUE"""),"")</f>
        <v/>
      </c>
      <c r="B3002" s="3"/>
      <c r="C3002" s="3"/>
      <c r="D3002" s="3"/>
      <c r="E3002" s="3"/>
      <c r="F3002" s="3"/>
      <c r="G3002" s="3"/>
      <c r="H3002" s="3"/>
      <c r="I3002" s="3"/>
      <c r="J3002" s="3"/>
      <c r="K3002" s="3"/>
      <c r="L3002" s="3"/>
      <c r="M3002" s="3"/>
      <c r="N3002" s="3"/>
      <c r="O3002" s="3"/>
      <c r="P3002" s="3"/>
      <c r="Q3002" s="3"/>
      <c r="R3002" s="3"/>
      <c r="S3002" s="3"/>
      <c r="T3002" s="5"/>
      <c r="U3002" s="5"/>
      <c r="V3002" s="5"/>
      <c r="W3002" s="5"/>
    </row>
    <row r="3003" ht="15.75" customHeight="1">
      <c r="A3003" s="3" t="str">
        <f>IFERROR(__xludf.DUMMYFUNCTION("""COMPUTED_VALUE"""),"")</f>
        <v/>
      </c>
      <c r="B3003" s="3"/>
      <c r="C3003" s="3"/>
      <c r="D3003" s="3"/>
      <c r="E3003" s="3"/>
      <c r="F3003" s="3"/>
      <c r="G3003" s="3"/>
      <c r="H3003" s="3"/>
      <c r="I3003" s="3"/>
      <c r="J3003" s="3"/>
      <c r="K3003" s="3"/>
      <c r="L3003" s="3"/>
      <c r="M3003" s="3"/>
      <c r="N3003" s="3"/>
      <c r="O3003" s="3"/>
      <c r="P3003" s="3"/>
      <c r="Q3003" s="3"/>
      <c r="R3003" s="3"/>
      <c r="S3003" s="3"/>
      <c r="T3003" s="5"/>
      <c r="U3003" s="5"/>
      <c r="V3003" s="5"/>
      <c r="W3003" s="5"/>
    </row>
    <row r="3004" ht="15.75" customHeight="1">
      <c r="A3004" s="3" t="str">
        <f>IFERROR(__xludf.DUMMYFUNCTION("""COMPUTED_VALUE"""),"")</f>
        <v/>
      </c>
      <c r="B3004" s="3"/>
      <c r="C3004" s="3"/>
      <c r="D3004" s="3"/>
      <c r="E3004" s="3"/>
      <c r="F3004" s="3"/>
      <c r="G3004" s="3"/>
      <c r="H3004" s="3"/>
      <c r="I3004" s="3"/>
      <c r="J3004" s="3"/>
      <c r="K3004" s="3"/>
      <c r="L3004" s="3"/>
      <c r="M3004" s="3"/>
      <c r="N3004" s="3"/>
      <c r="O3004" s="3"/>
      <c r="P3004" s="3"/>
      <c r="Q3004" s="3"/>
      <c r="R3004" s="3"/>
      <c r="S3004" s="3"/>
      <c r="T3004" s="5"/>
      <c r="U3004" s="5"/>
      <c r="V3004" s="5"/>
      <c r="W3004" s="5"/>
    </row>
    <row r="3005" ht="15.75" customHeight="1">
      <c r="A3005" s="3" t="str">
        <f>IFERROR(__xludf.DUMMYFUNCTION("""COMPUTED_VALUE"""),"")</f>
        <v/>
      </c>
      <c r="B3005" s="3"/>
      <c r="C3005" s="3"/>
      <c r="D3005" s="3"/>
      <c r="E3005" s="3"/>
      <c r="F3005" s="3"/>
      <c r="G3005" s="3"/>
      <c r="H3005" s="3"/>
      <c r="I3005" s="3"/>
      <c r="J3005" s="3"/>
      <c r="K3005" s="3"/>
      <c r="L3005" s="3"/>
      <c r="M3005" s="3"/>
      <c r="N3005" s="3"/>
      <c r="O3005" s="3"/>
      <c r="P3005" s="3"/>
      <c r="Q3005" s="3"/>
      <c r="R3005" s="3"/>
      <c r="S3005" s="3"/>
      <c r="T3005" s="5"/>
      <c r="U3005" s="5"/>
      <c r="V3005" s="5"/>
      <c r="W3005" s="5"/>
    </row>
    <row r="3006" ht="15.75" customHeight="1">
      <c r="A3006" s="3" t="str">
        <f>IFERROR(__xludf.DUMMYFUNCTION("""COMPUTED_VALUE"""),"")</f>
        <v/>
      </c>
      <c r="B3006" s="3"/>
      <c r="C3006" s="3"/>
      <c r="D3006" s="3"/>
      <c r="E3006" s="3"/>
      <c r="F3006" s="3"/>
      <c r="G3006" s="3"/>
      <c r="H3006" s="3"/>
      <c r="I3006" s="3"/>
      <c r="J3006" s="3"/>
      <c r="K3006" s="3"/>
      <c r="L3006" s="3"/>
      <c r="M3006" s="3"/>
      <c r="N3006" s="3"/>
      <c r="O3006" s="3"/>
      <c r="P3006" s="3"/>
      <c r="Q3006" s="3"/>
      <c r="R3006" s="3"/>
      <c r="S3006" s="3"/>
      <c r="T3006" s="5"/>
      <c r="U3006" s="5"/>
      <c r="V3006" s="5"/>
      <c r="W3006" s="5"/>
    </row>
    <row r="3007" ht="15.75" customHeight="1">
      <c r="A3007" s="3" t="str">
        <f>IFERROR(__xludf.DUMMYFUNCTION("""COMPUTED_VALUE"""),"")</f>
        <v/>
      </c>
      <c r="B3007" s="3"/>
      <c r="C3007" s="3"/>
      <c r="D3007" s="3"/>
      <c r="E3007" s="3"/>
      <c r="F3007" s="3"/>
      <c r="G3007" s="3"/>
      <c r="H3007" s="3"/>
      <c r="I3007" s="3"/>
      <c r="J3007" s="3"/>
      <c r="K3007" s="3"/>
      <c r="L3007" s="3"/>
      <c r="M3007" s="3"/>
      <c r="N3007" s="3"/>
      <c r="O3007" s="3"/>
      <c r="P3007" s="3"/>
      <c r="Q3007" s="3"/>
      <c r="R3007" s="3"/>
      <c r="S3007" s="3"/>
      <c r="T3007" s="5"/>
      <c r="U3007" s="5"/>
      <c r="V3007" s="5"/>
      <c r="W3007" s="5"/>
    </row>
    <row r="3008" ht="15.75" customHeight="1">
      <c r="A3008" s="3" t="str">
        <f>IFERROR(__xludf.DUMMYFUNCTION("""COMPUTED_VALUE"""),"")</f>
        <v/>
      </c>
      <c r="B3008" s="3"/>
      <c r="C3008" s="3"/>
      <c r="D3008" s="3"/>
      <c r="E3008" s="3"/>
      <c r="F3008" s="3"/>
      <c r="G3008" s="3"/>
      <c r="H3008" s="3"/>
      <c r="I3008" s="3"/>
      <c r="J3008" s="3"/>
      <c r="K3008" s="3"/>
      <c r="L3008" s="3"/>
      <c r="M3008" s="3"/>
      <c r="N3008" s="3"/>
      <c r="O3008" s="3"/>
      <c r="P3008" s="3"/>
      <c r="Q3008" s="3"/>
      <c r="R3008" s="3"/>
      <c r="S3008" s="3"/>
      <c r="T3008" s="5"/>
      <c r="U3008" s="5"/>
      <c r="V3008" s="5"/>
      <c r="W3008" s="5"/>
    </row>
    <row r="3009" ht="15.75" customHeight="1">
      <c r="A3009" s="3" t="str">
        <f>IFERROR(__xludf.DUMMYFUNCTION("""COMPUTED_VALUE"""),"")</f>
        <v/>
      </c>
      <c r="B3009" s="3"/>
      <c r="C3009" s="3"/>
      <c r="D3009" s="3"/>
      <c r="E3009" s="3"/>
      <c r="F3009" s="3"/>
      <c r="G3009" s="3"/>
      <c r="H3009" s="3"/>
      <c r="I3009" s="3"/>
      <c r="J3009" s="3"/>
      <c r="K3009" s="3"/>
      <c r="L3009" s="3"/>
      <c r="M3009" s="3"/>
      <c r="N3009" s="3"/>
      <c r="O3009" s="3"/>
      <c r="P3009" s="3"/>
      <c r="Q3009" s="3"/>
      <c r="R3009" s="3"/>
      <c r="S3009" s="3"/>
      <c r="T3009" s="5"/>
      <c r="U3009" s="5"/>
      <c r="V3009" s="5"/>
      <c r="W3009" s="5"/>
    </row>
    <row r="3010" ht="15.75" customHeight="1">
      <c r="A3010" s="3" t="str">
        <f>IFERROR(__xludf.DUMMYFUNCTION("""COMPUTED_VALUE"""),"")</f>
        <v/>
      </c>
      <c r="B3010" s="3"/>
      <c r="C3010" s="3"/>
      <c r="D3010" s="3"/>
      <c r="E3010" s="3"/>
      <c r="F3010" s="3"/>
      <c r="G3010" s="3"/>
      <c r="H3010" s="3"/>
      <c r="I3010" s="3"/>
      <c r="J3010" s="3"/>
      <c r="K3010" s="3"/>
      <c r="L3010" s="3"/>
      <c r="M3010" s="3"/>
      <c r="N3010" s="3"/>
      <c r="O3010" s="3"/>
      <c r="P3010" s="3"/>
      <c r="Q3010" s="3"/>
      <c r="R3010" s="3"/>
      <c r="S3010" s="3"/>
      <c r="T3010" s="5"/>
      <c r="U3010" s="5"/>
      <c r="V3010" s="5"/>
      <c r="W3010" s="5"/>
    </row>
    <row r="3011" ht="15.75" customHeight="1">
      <c r="A3011" s="3" t="str">
        <f>IFERROR(__xludf.DUMMYFUNCTION("""COMPUTED_VALUE"""),"")</f>
        <v/>
      </c>
      <c r="B3011" s="3"/>
      <c r="C3011" s="3"/>
      <c r="D3011" s="3"/>
      <c r="E3011" s="3"/>
      <c r="F3011" s="3"/>
      <c r="G3011" s="3"/>
      <c r="H3011" s="3"/>
      <c r="I3011" s="3"/>
      <c r="J3011" s="3"/>
      <c r="K3011" s="3"/>
      <c r="L3011" s="3"/>
      <c r="M3011" s="3"/>
      <c r="N3011" s="3"/>
      <c r="O3011" s="3"/>
      <c r="P3011" s="3"/>
      <c r="Q3011" s="3"/>
      <c r="R3011" s="3"/>
      <c r="S3011" s="3"/>
      <c r="T3011" s="5"/>
      <c r="U3011" s="5"/>
      <c r="V3011" s="5"/>
      <c r="W3011" s="5"/>
    </row>
    <row r="3012" ht="15.75" customHeight="1">
      <c r="A3012" s="3" t="str">
        <f>IFERROR(__xludf.DUMMYFUNCTION("""COMPUTED_VALUE"""),"")</f>
        <v/>
      </c>
      <c r="B3012" s="3"/>
      <c r="C3012" s="3"/>
      <c r="D3012" s="3"/>
      <c r="E3012" s="3"/>
      <c r="F3012" s="3"/>
      <c r="G3012" s="3"/>
      <c r="H3012" s="3"/>
      <c r="I3012" s="3"/>
      <c r="J3012" s="3"/>
      <c r="K3012" s="3"/>
      <c r="L3012" s="3"/>
      <c r="M3012" s="3"/>
      <c r="N3012" s="3"/>
      <c r="O3012" s="3"/>
      <c r="P3012" s="3"/>
      <c r="Q3012" s="3"/>
      <c r="R3012" s="3"/>
      <c r="S3012" s="3"/>
      <c r="T3012" s="5"/>
      <c r="U3012" s="5"/>
      <c r="V3012" s="5"/>
      <c r="W3012" s="5"/>
    </row>
    <row r="3013" ht="15.75" customHeight="1">
      <c r="A3013" s="3" t="str">
        <f>IFERROR(__xludf.DUMMYFUNCTION("""COMPUTED_VALUE"""),"")</f>
        <v/>
      </c>
      <c r="B3013" s="3"/>
      <c r="C3013" s="3"/>
      <c r="D3013" s="3"/>
      <c r="E3013" s="3"/>
      <c r="F3013" s="3"/>
      <c r="G3013" s="3"/>
      <c r="H3013" s="3"/>
      <c r="I3013" s="3"/>
      <c r="J3013" s="3"/>
      <c r="K3013" s="3"/>
      <c r="L3013" s="3"/>
      <c r="M3013" s="3"/>
      <c r="N3013" s="3"/>
      <c r="O3013" s="3"/>
      <c r="P3013" s="3"/>
      <c r="Q3013" s="3"/>
      <c r="R3013" s="3"/>
      <c r="S3013" s="3"/>
      <c r="T3013" s="5"/>
      <c r="U3013" s="5"/>
      <c r="V3013" s="5"/>
      <c r="W3013" s="5"/>
    </row>
    <row r="3014" ht="15.75" customHeight="1">
      <c r="A3014" s="3" t="str">
        <f>IFERROR(__xludf.DUMMYFUNCTION("""COMPUTED_VALUE"""),"")</f>
        <v/>
      </c>
      <c r="B3014" s="3"/>
      <c r="C3014" s="3"/>
      <c r="D3014" s="3"/>
      <c r="E3014" s="3"/>
      <c r="F3014" s="3"/>
      <c r="G3014" s="3"/>
      <c r="H3014" s="3"/>
      <c r="I3014" s="3"/>
      <c r="J3014" s="3"/>
      <c r="K3014" s="3"/>
      <c r="L3014" s="3"/>
      <c r="M3014" s="3"/>
      <c r="N3014" s="3"/>
      <c r="O3014" s="3"/>
      <c r="P3014" s="3"/>
      <c r="Q3014" s="3"/>
      <c r="R3014" s="3"/>
      <c r="S3014" s="3"/>
      <c r="T3014" s="5"/>
      <c r="U3014" s="5"/>
      <c r="V3014" s="5"/>
      <c r="W3014" s="5"/>
    </row>
    <row r="3015" ht="15.75" customHeight="1">
      <c r="A3015" s="3" t="str">
        <f>IFERROR(__xludf.DUMMYFUNCTION("""COMPUTED_VALUE"""),"")</f>
        <v/>
      </c>
      <c r="B3015" s="3"/>
      <c r="C3015" s="3"/>
      <c r="D3015" s="3"/>
      <c r="E3015" s="3"/>
      <c r="F3015" s="3"/>
      <c r="G3015" s="3"/>
      <c r="H3015" s="3"/>
      <c r="I3015" s="3"/>
      <c r="J3015" s="3"/>
      <c r="K3015" s="3"/>
      <c r="L3015" s="3"/>
      <c r="M3015" s="3"/>
      <c r="N3015" s="3"/>
      <c r="O3015" s="3"/>
      <c r="P3015" s="3"/>
      <c r="Q3015" s="3"/>
      <c r="R3015" s="3"/>
      <c r="S3015" s="3"/>
      <c r="T3015" s="5"/>
      <c r="U3015" s="5"/>
      <c r="V3015" s="5"/>
      <c r="W3015" s="5"/>
    </row>
    <row r="3016" ht="15.75" customHeight="1">
      <c r="A3016" s="3" t="str">
        <f>IFERROR(__xludf.DUMMYFUNCTION("""COMPUTED_VALUE"""),"")</f>
        <v/>
      </c>
      <c r="B3016" s="3"/>
      <c r="C3016" s="3"/>
      <c r="D3016" s="3"/>
      <c r="E3016" s="3"/>
      <c r="F3016" s="3"/>
      <c r="G3016" s="3"/>
      <c r="H3016" s="3"/>
      <c r="I3016" s="3"/>
      <c r="J3016" s="3"/>
      <c r="K3016" s="3"/>
      <c r="L3016" s="3"/>
      <c r="M3016" s="3"/>
      <c r="N3016" s="3"/>
      <c r="O3016" s="3"/>
      <c r="P3016" s="3"/>
      <c r="Q3016" s="3"/>
      <c r="R3016" s="3"/>
      <c r="S3016" s="3"/>
      <c r="T3016" s="5"/>
      <c r="U3016" s="5"/>
      <c r="V3016" s="5"/>
      <c r="W3016" s="5"/>
    </row>
    <row r="3017" ht="15.75" customHeight="1">
      <c r="A3017" s="3" t="str">
        <f>IFERROR(__xludf.DUMMYFUNCTION("""COMPUTED_VALUE"""),"")</f>
        <v/>
      </c>
      <c r="B3017" s="3"/>
      <c r="C3017" s="3"/>
      <c r="D3017" s="3"/>
      <c r="E3017" s="3"/>
      <c r="F3017" s="3"/>
      <c r="G3017" s="3"/>
      <c r="H3017" s="3"/>
      <c r="I3017" s="3"/>
      <c r="J3017" s="3"/>
      <c r="K3017" s="3"/>
      <c r="L3017" s="3"/>
      <c r="M3017" s="3"/>
      <c r="N3017" s="3"/>
      <c r="O3017" s="3"/>
      <c r="P3017" s="3"/>
      <c r="Q3017" s="3"/>
      <c r="R3017" s="3"/>
      <c r="S3017" s="3"/>
      <c r="T3017" s="5"/>
      <c r="U3017" s="5"/>
      <c r="V3017" s="5"/>
      <c r="W3017" s="5"/>
    </row>
    <row r="3018" ht="15.75" customHeight="1">
      <c r="A3018" s="3" t="str">
        <f>IFERROR(__xludf.DUMMYFUNCTION("""COMPUTED_VALUE"""),"")</f>
        <v/>
      </c>
      <c r="B3018" s="3"/>
      <c r="C3018" s="3"/>
      <c r="D3018" s="3"/>
      <c r="E3018" s="3"/>
      <c r="F3018" s="3"/>
      <c r="G3018" s="3"/>
      <c r="H3018" s="3"/>
      <c r="I3018" s="3"/>
      <c r="J3018" s="3"/>
      <c r="K3018" s="3"/>
      <c r="L3018" s="3"/>
      <c r="M3018" s="3"/>
      <c r="N3018" s="3"/>
      <c r="O3018" s="3"/>
      <c r="P3018" s="3"/>
      <c r="Q3018" s="3"/>
      <c r="R3018" s="3"/>
      <c r="S3018" s="3"/>
      <c r="T3018" s="5"/>
      <c r="U3018" s="5"/>
      <c r="V3018" s="5"/>
      <c r="W3018" s="5"/>
    </row>
    <row r="3019" ht="15.75" customHeight="1">
      <c r="A3019" s="3" t="str">
        <f>IFERROR(__xludf.DUMMYFUNCTION("""COMPUTED_VALUE"""),"")</f>
        <v/>
      </c>
      <c r="B3019" s="3"/>
      <c r="C3019" s="3"/>
      <c r="D3019" s="3"/>
      <c r="E3019" s="3"/>
      <c r="F3019" s="3"/>
      <c r="G3019" s="3"/>
      <c r="H3019" s="3"/>
      <c r="I3019" s="3"/>
      <c r="J3019" s="3"/>
      <c r="K3019" s="3"/>
      <c r="L3019" s="3"/>
      <c r="M3019" s="3"/>
      <c r="N3019" s="3"/>
      <c r="O3019" s="3"/>
      <c r="P3019" s="3"/>
      <c r="Q3019" s="3"/>
      <c r="R3019" s="3"/>
      <c r="S3019" s="3"/>
      <c r="T3019" s="5"/>
      <c r="U3019" s="5"/>
      <c r="V3019" s="5"/>
      <c r="W3019" s="5"/>
    </row>
    <row r="3020" ht="15.75" customHeight="1">
      <c r="A3020" s="3" t="str">
        <f>IFERROR(__xludf.DUMMYFUNCTION("""COMPUTED_VALUE"""),"")</f>
        <v/>
      </c>
      <c r="B3020" s="3"/>
      <c r="C3020" s="3"/>
      <c r="D3020" s="3"/>
      <c r="E3020" s="3"/>
      <c r="F3020" s="3"/>
      <c r="G3020" s="3"/>
      <c r="H3020" s="3"/>
      <c r="I3020" s="3"/>
      <c r="J3020" s="3"/>
      <c r="K3020" s="3"/>
      <c r="L3020" s="3"/>
      <c r="M3020" s="3"/>
      <c r="N3020" s="3"/>
      <c r="O3020" s="3"/>
      <c r="P3020" s="3"/>
      <c r="Q3020" s="3"/>
      <c r="R3020" s="3"/>
      <c r="S3020" s="3"/>
      <c r="T3020" s="5"/>
      <c r="U3020" s="5"/>
      <c r="V3020" s="5"/>
      <c r="W3020" s="5"/>
    </row>
    <row r="3021" ht="15.75" customHeight="1">
      <c r="A3021" s="3" t="str">
        <f>IFERROR(__xludf.DUMMYFUNCTION("""COMPUTED_VALUE"""),"")</f>
        <v/>
      </c>
      <c r="B3021" s="3"/>
      <c r="C3021" s="3"/>
      <c r="D3021" s="3"/>
      <c r="E3021" s="3"/>
      <c r="F3021" s="3"/>
      <c r="G3021" s="3"/>
      <c r="H3021" s="3"/>
      <c r="I3021" s="3"/>
      <c r="J3021" s="3"/>
      <c r="K3021" s="3"/>
      <c r="L3021" s="3"/>
      <c r="M3021" s="3"/>
      <c r="N3021" s="3"/>
      <c r="O3021" s="3"/>
      <c r="P3021" s="3"/>
      <c r="Q3021" s="3"/>
      <c r="R3021" s="3"/>
      <c r="S3021" s="3"/>
      <c r="T3021" s="5"/>
      <c r="U3021" s="5"/>
      <c r="V3021" s="5"/>
      <c r="W3021" s="5"/>
    </row>
    <row r="3022" ht="15.75" customHeight="1">
      <c r="A3022" s="3" t="str">
        <f>IFERROR(__xludf.DUMMYFUNCTION("""COMPUTED_VALUE"""),"")</f>
        <v/>
      </c>
      <c r="B3022" s="3"/>
      <c r="C3022" s="3"/>
      <c r="D3022" s="3"/>
      <c r="E3022" s="3"/>
      <c r="F3022" s="3"/>
      <c r="G3022" s="3"/>
      <c r="H3022" s="3"/>
      <c r="I3022" s="3"/>
      <c r="J3022" s="3"/>
      <c r="K3022" s="3"/>
      <c r="L3022" s="3"/>
      <c r="M3022" s="3"/>
      <c r="N3022" s="3"/>
      <c r="O3022" s="3"/>
      <c r="P3022" s="3"/>
      <c r="Q3022" s="3"/>
      <c r="R3022" s="3"/>
      <c r="S3022" s="3"/>
      <c r="T3022" s="5"/>
      <c r="U3022" s="5"/>
      <c r="V3022" s="5"/>
      <c r="W3022" s="5"/>
    </row>
    <row r="3023" ht="15.75" customHeight="1">
      <c r="A3023" s="3" t="str">
        <f>IFERROR(__xludf.DUMMYFUNCTION("""COMPUTED_VALUE"""),"")</f>
        <v/>
      </c>
      <c r="B3023" s="3"/>
      <c r="C3023" s="3"/>
      <c r="D3023" s="3"/>
      <c r="E3023" s="3"/>
      <c r="F3023" s="3"/>
      <c r="G3023" s="3"/>
      <c r="H3023" s="3"/>
      <c r="I3023" s="3"/>
      <c r="J3023" s="3"/>
      <c r="K3023" s="3"/>
      <c r="L3023" s="3"/>
      <c r="M3023" s="3"/>
      <c r="N3023" s="3"/>
      <c r="O3023" s="3"/>
      <c r="P3023" s="3"/>
      <c r="Q3023" s="3"/>
      <c r="R3023" s="3"/>
      <c r="S3023" s="3"/>
      <c r="T3023" s="5"/>
      <c r="U3023" s="5"/>
      <c r="V3023" s="5"/>
      <c r="W3023" s="5"/>
    </row>
    <row r="3024" ht="15.75" customHeight="1">
      <c r="A3024" s="3" t="str">
        <f>IFERROR(__xludf.DUMMYFUNCTION("""COMPUTED_VALUE"""),"")</f>
        <v/>
      </c>
      <c r="B3024" s="3"/>
      <c r="C3024" s="3"/>
      <c r="D3024" s="3"/>
      <c r="E3024" s="3"/>
      <c r="F3024" s="3"/>
      <c r="G3024" s="3"/>
      <c r="H3024" s="3"/>
      <c r="I3024" s="3"/>
      <c r="J3024" s="3"/>
      <c r="K3024" s="3"/>
      <c r="L3024" s="3"/>
      <c r="M3024" s="3"/>
      <c r="N3024" s="3"/>
      <c r="O3024" s="3"/>
      <c r="P3024" s="3"/>
      <c r="Q3024" s="3"/>
      <c r="R3024" s="3"/>
      <c r="S3024" s="3"/>
      <c r="T3024" s="5"/>
      <c r="U3024" s="5"/>
      <c r="V3024" s="5"/>
      <c r="W3024" s="5"/>
    </row>
    <row r="3025" ht="15.75" customHeight="1">
      <c r="A3025" s="3" t="str">
        <f>IFERROR(__xludf.DUMMYFUNCTION("""COMPUTED_VALUE"""),"")</f>
        <v/>
      </c>
      <c r="B3025" s="3"/>
      <c r="C3025" s="3"/>
      <c r="D3025" s="3"/>
      <c r="E3025" s="3"/>
      <c r="F3025" s="3"/>
      <c r="G3025" s="3"/>
      <c r="H3025" s="3"/>
      <c r="I3025" s="3"/>
      <c r="J3025" s="3"/>
      <c r="K3025" s="3"/>
      <c r="L3025" s="3"/>
      <c r="M3025" s="3"/>
      <c r="N3025" s="3"/>
      <c r="O3025" s="3"/>
      <c r="P3025" s="3"/>
      <c r="Q3025" s="3"/>
      <c r="R3025" s="3"/>
      <c r="S3025" s="3"/>
      <c r="T3025" s="5"/>
      <c r="U3025" s="5"/>
      <c r="V3025" s="5"/>
      <c r="W3025" s="5"/>
    </row>
    <row r="3026" ht="15.75" customHeight="1">
      <c r="A3026" s="3" t="str">
        <f>IFERROR(__xludf.DUMMYFUNCTION("""COMPUTED_VALUE"""),"")</f>
        <v/>
      </c>
      <c r="B3026" s="3"/>
      <c r="C3026" s="3"/>
      <c r="D3026" s="3"/>
      <c r="E3026" s="3"/>
      <c r="F3026" s="3"/>
      <c r="G3026" s="3"/>
      <c r="H3026" s="3"/>
      <c r="I3026" s="3"/>
      <c r="J3026" s="3"/>
      <c r="K3026" s="3"/>
      <c r="L3026" s="3"/>
      <c r="M3026" s="3"/>
      <c r="N3026" s="3"/>
      <c r="O3026" s="3"/>
      <c r="P3026" s="3"/>
      <c r="Q3026" s="3"/>
      <c r="R3026" s="3"/>
      <c r="S3026" s="3"/>
      <c r="T3026" s="5"/>
      <c r="U3026" s="5"/>
      <c r="V3026" s="5"/>
      <c r="W3026" s="5"/>
    </row>
    <row r="3027" ht="15.75" customHeight="1">
      <c r="A3027" s="3" t="str">
        <f>IFERROR(__xludf.DUMMYFUNCTION("""COMPUTED_VALUE"""),"")</f>
        <v/>
      </c>
      <c r="B3027" s="3"/>
      <c r="C3027" s="3"/>
      <c r="D3027" s="3"/>
      <c r="E3027" s="3"/>
      <c r="F3027" s="3"/>
      <c r="G3027" s="3"/>
      <c r="H3027" s="3"/>
      <c r="I3027" s="3"/>
      <c r="J3027" s="3"/>
      <c r="K3027" s="3"/>
      <c r="L3027" s="3"/>
      <c r="M3027" s="3"/>
      <c r="N3027" s="3"/>
      <c r="O3027" s="3"/>
      <c r="P3027" s="3"/>
      <c r="Q3027" s="3"/>
      <c r="R3027" s="3"/>
      <c r="S3027" s="3"/>
      <c r="T3027" s="5"/>
      <c r="U3027" s="5"/>
      <c r="V3027" s="5"/>
      <c r="W3027" s="5"/>
    </row>
    <row r="3028" ht="15.75" customHeight="1">
      <c r="A3028" s="3" t="str">
        <f>IFERROR(__xludf.DUMMYFUNCTION("""COMPUTED_VALUE"""),"")</f>
        <v/>
      </c>
      <c r="B3028" s="3"/>
      <c r="C3028" s="3"/>
      <c r="D3028" s="3"/>
      <c r="E3028" s="3"/>
      <c r="F3028" s="3"/>
      <c r="G3028" s="3"/>
      <c r="H3028" s="3"/>
      <c r="I3028" s="3"/>
      <c r="J3028" s="3"/>
      <c r="K3028" s="3"/>
      <c r="L3028" s="3"/>
      <c r="M3028" s="3"/>
      <c r="N3028" s="3"/>
      <c r="O3028" s="3"/>
      <c r="P3028" s="3"/>
      <c r="Q3028" s="3"/>
      <c r="R3028" s="3"/>
      <c r="S3028" s="3"/>
      <c r="T3028" s="5"/>
      <c r="U3028" s="5"/>
      <c r="V3028" s="5"/>
      <c r="W3028" s="5"/>
    </row>
    <row r="3029" ht="15.75" customHeight="1">
      <c r="A3029" s="3" t="str">
        <f>IFERROR(__xludf.DUMMYFUNCTION("""COMPUTED_VALUE"""),"")</f>
        <v/>
      </c>
      <c r="B3029" s="3"/>
      <c r="C3029" s="3"/>
      <c r="D3029" s="3"/>
      <c r="E3029" s="3"/>
      <c r="F3029" s="3"/>
      <c r="G3029" s="3"/>
      <c r="H3029" s="3"/>
      <c r="I3029" s="3"/>
      <c r="J3029" s="3"/>
      <c r="K3029" s="3"/>
      <c r="L3029" s="3"/>
      <c r="M3029" s="3"/>
      <c r="N3029" s="3"/>
      <c r="O3029" s="3"/>
      <c r="P3029" s="3"/>
      <c r="Q3029" s="3"/>
      <c r="R3029" s="3"/>
      <c r="S3029" s="3"/>
      <c r="T3029" s="5"/>
      <c r="U3029" s="5"/>
      <c r="V3029" s="5"/>
      <c r="W3029" s="5"/>
    </row>
    <row r="3030" ht="15.75" customHeight="1">
      <c r="A3030" s="3" t="str">
        <f>IFERROR(__xludf.DUMMYFUNCTION("""COMPUTED_VALUE"""),"")</f>
        <v/>
      </c>
      <c r="B3030" s="3"/>
      <c r="C3030" s="3"/>
      <c r="D3030" s="3"/>
      <c r="E3030" s="3"/>
      <c r="F3030" s="3"/>
      <c r="G3030" s="3"/>
      <c r="H3030" s="3"/>
      <c r="I3030" s="3"/>
      <c r="J3030" s="3"/>
      <c r="K3030" s="3"/>
      <c r="L3030" s="3"/>
      <c r="M3030" s="3"/>
      <c r="N3030" s="3"/>
      <c r="O3030" s="3"/>
      <c r="P3030" s="3"/>
      <c r="Q3030" s="3"/>
      <c r="R3030" s="3"/>
      <c r="S3030" s="3"/>
      <c r="T3030" s="5"/>
      <c r="U3030" s="5"/>
      <c r="V3030" s="5"/>
      <c r="W3030" s="5"/>
    </row>
    <row r="3031" ht="15.75" customHeight="1">
      <c r="A3031" s="3" t="str">
        <f>IFERROR(__xludf.DUMMYFUNCTION("""COMPUTED_VALUE"""),"")</f>
        <v/>
      </c>
      <c r="B3031" s="3"/>
      <c r="C3031" s="3"/>
      <c r="D3031" s="3"/>
      <c r="E3031" s="3"/>
      <c r="F3031" s="3"/>
      <c r="G3031" s="3"/>
      <c r="H3031" s="3"/>
      <c r="I3031" s="3"/>
      <c r="J3031" s="3"/>
      <c r="K3031" s="3"/>
      <c r="L3031" s="3"/>
      <c r="M3031" s="3"/>
      <c r="N3031" s="3"/>
      <c r="O3031" s="3"/>
      <c r="P3031" s="3"/>
      <c r="Q3031" s="3"/>
      <c r="R3031" s="3"/>
      <c r="S3031" s="3"/>
      <c r="T3031" s="5"/>
      <c r="U3031" s="5"/>
      <c r="V3031" s="5"/>
      <c r="W3031" s="5"/>
    </row>
    <row r="3032" ht="15.75" customHeight="1">
      <c r="A3032" s="3" t="str">
        <f>IFERROR(__xludf.DUMMYFUNCTION("""COMPUTED_VALUE"""),"")</f>
        <v/>
      </c>
      <c r="B3032" s="3"/>
      <c r="C3032" s="3"/>
      <c r="D3032" s="3"/>
      <c r="E3032" s="3"/>
      <c r="F3032" s="3"/>
      <c r="G3032" s="3"/>
      <c r="H3032" s="3"/>
      <c r="I3032" s="3"/>
      <c r="J3032" s="3"/>
      <c r="K3032" s="3"/>
      <c r="L3032" s="3"/>
      <c r="M3032" s="3"/>
      <c r="N3032" s="3"/>
      <c r="O3032" s="3"/>
      <c r="P3032" s="3"/>
      <c r="Q3032" s="3"/>
      <c r="R3032" s="3"/>
      <c r="S3032" s="3"/>
      <c r="T3032" s="5"/>
      <c r="U3032" s="5"/>
      <c r="V3032" s="5"/>
      <c r="W3032" s="5"/>
    </row>
    <row r="3033" ht="15.75" customHeight="1">
      <c r="A3033" s="3" t="str">
        <f>IFERROR(__xludf.DUMMYFUNCTION("""COMPUTED_VALUE"""),"")</f>
        <v/>
      </c>
      <c r="B3033" s="3"/>
      <c r="C3033" s="3"/>
      <c r="D3033" s="3"/>
      <c r="E3033" s="3"/>
      <c r="F3033" s="3"/>
      <c r="G3033" s="3"/>
      <c r="H3033" s="3"/>
      <c r="I3033" s="3"/>
      <c r="J3033" s="3"/>
      <c r="K3033" s="3"/>
      <c r="L3033" s="3"/>
      <c r="M3033" s="3"/>
      <c r="N3033" s="3"/>
      <c r="O3033" s="3"/>
      <c r="P3033" s="3"/>
      <c r="Q3033" s="3"/>
      <c r="R3033" s="3"/>
      <c r="S3033" s="3"/>
      <c r="T3033" s="5"/>
      <c r="U3033" s="5"/>
      <c r="V3033" s="5"/>
      <c r="W3033" s="5"/>
    </row>
    <row r="3034" ht="15.75" customHeight="1">
      <c r="A3034" s="3" t="str">
        <f>IFERROR(__xludf.DUMMYFUNCTION("""COMPUTED_VALUE"""),"")</f>
        <v/>
      </c>
      <c r="B3034" s="3"/>
      <c r="C3034" s="3"/>
      <c r="D3034" s="3"/>
      <c r="E3034" s="3"/>
      <c r="F3034" s="3"/>
      <c r="G3034" s="3"/>
      <c r="H3034" s="3"/>
      <c r="I3034" s="3"/>
      <c r="J3034" s="3"/>
      <c r="K3034" s="3"/>
      <c r="L3034" s="3"/>
      <c r="M3034" s="3"/>
      <c r="N3034" s="3"/>
      <c r="O3034" s="3"/>
      <c r="P3034" s="3"/>
      <c r="Q3034" s="3"/>
      <c r="R3034" s="3"/>
      <c r="S3034" s="3"/>
      <c r="T3034" s="5"/>
      <c r="U3034" s="5"/>
      <c r="V3034" s="5"/>
      <c r="W3034" s="5"/>
    </row>
    <row r="3035" ht="15.75" customHeight="1">
      <c r="A3035" s="3" t="str">
        <f>IFERROR(__xludf.DUMMYFUNCTION("""COMPUTED_VALUE"""),"")</f>
        <v/>
      </c>
      <c r="B3035" s="3"/>
      <c r="C3035" s="3"/>
      <c r="D3035" s="3"/>
      <c r="E3035" s="3"/>
      <c r="F3035" s="3"/>
      <c r="G3035" s="3"/>
      <c r="H3035" s="3"/>
      <c r="I3035" s="3"/>
      <c r="J3035" s="3"/>
      <c r="K3035" s="3"/>
      <c r="L3035" s="3"/>
      <c r="M3035" s="3"/>
      <c r="N3035" s="3"/>
      <c r="O3035" s="3"/>
      <c r="P3035" s="3"/>
      <c r="Q3035" s="3"/>
      <c r="R3035" s="3"/>
      <c r="S3035" s="3"/>
      <c r="T3035" s="5"/>
      <c r="U3035" s="5"/>
      <c r="V3035" s="5"/>
      <c r="W3035" s="5"/>
    </row>
    <row r="3036" ht="15.75" customHeight="1">
      <c r="A3036" s="3" t="str">
        <f>IFERROR(__xludf.DUMMYFUNCTION("""COMPUTED_VALUE"""),"")</f>
        <v/>
      </c>
      <c r="B3036" s="3"/>
      <c r="C3036" s="3"/>
      <c r="D3036" s="3"/>
      <c r="E3036" s="3"/>
      <c r="F3036" s="3"/>
      <c r="G3036" s="3"/>
      <c r="H3036" s="3"/>
      <c r="I3036" s="3"/>
      <c r="J3036" s="3"/>
      <c r="K3036" s="3"/>
      <c r="L3036" s="3"/>
      <c r="M3036" s="3"/>
      <c r="N3036" s="3"/>
      <c r="O3036" s="3"/>
      <c r="P3036" s="3"/>
      <c r="Q3036" s="3"/>
      <c r="R3036" s="3"/>
      <c r="S3036" s="3"/>
      <c r="T3036" s="5"/>
      <c r="U3036" s="5"/>
      <c r="V3036" s="5"/>
      <c r="W3036" s="5"/>
    </row>
    <row r="3037" ht="15.75" customHeight="1">
      <c r="A3037" s="3" t="str">
        <f>IFERROR(__xludf.DUMMYFUNCTION("""COMPUTED_VALUE"""),"")</f>
        <v/>
      </c>
      <c r="B3037" s="3"/>
      <c r="C3037" s="3"/>
      <c r="D3037" s="3"/>
      <c r="E3037" s="3"/>
      <c r="F3037" s="3"/>
      <c r="G3037" s="3"/>
      <c r="H3037" s="3"/>
      <c r="I3037" s="3"/>
      <c r="J3037" s="3"/>
      <c r="K3037" s="3"/>
      <c r="L3037" s="3"/>
      <c r="M3037" s="3"/>
      <c r="N3037" s="3"/>
      <c r="O3037" s="3"/>
      <c r="P3037" s="3"/>
      <c r="Q3037" s="3"/>
      <c r="R3037" s="3"/>
      <c r="S3037" s="3"/>
      <c r="T3037" s="5"/>
      <c r="U3037" s="5"/>
      <c r="V3037" s="5"/>
      <c r="W3037" s="5"/>
    </row>
    <row r="3038" ht="15.75" customHeight="1">
      <c r="A3038" s="3" t="str">
        <f>IFERROR(__xludf.DUMMYFUNCTION("""COMPUTED_VALUE"""),"")</f>
        <v/>
      </c>
      <c r="B3038" s="3"/>
      <c r="C3038" s="3"/>
      <c r="D3038" s="3"/>
      <c r="E3038" s="3"/>
      <c r="F3038" s="3"/>
      <c r="G3038" s="3"/>
      <c r="H3038" s="3"/>
      <c r="I3038" s="3"/>
      <c r="J3038" s="3"/>
      <c r="K3038" s="3"/>
      <c r="L3038" s="3"/>
      <c r="M3038" s="3"/>
      <c r="N3038" s="3"/>
      <c r="O3038" s="3"/>
      <c r="P3038" s="3"/>
      <c r="Q3038" s="3"/>
      <c r="R3038" s="3"/>
      <c r="S3038" s="3"/>
      <c r="T3038" s="5"/>
      <c r="U3038" s="5"/>
      <c r="V3038" s="5"/>
      <c r="W3038" s="5"/>
    </row>
    <row r="3039" ht="15.75" customHeight="1">
      <c r="A3039" s="3" t="str">
        <f>IFERROR(__xludf.DUMMYFUNCTION("""COMPUTED_VALUE"""),"")</f>
        <v/>
      </c>
      <c r="B3039" s="3"/>
      <c r="C3039" s="3"/>
      <c r="D3039" s="3"/>
      <c r="E3039" s="3"/>
      <c r="F3039" s="3"/>
      <c r="G3039" s="3"/>
      <c r="H3039" s="3"/>
      <c r="I3039" s="3"/>
      <c r="J3039" s="3"/>
      <c r="K3039" s="3"/>
      <c r="L3039" s="3"/>
      <c r="M3039" s="3"/>
      <c r="N3039" s="3"/>
      <c r="O3039" s="3"/>
      <c r="P3039" s="3"/>
      <c r="Q3039" s="3"/>
      <c r="R3039" s="3"/>
      <c r="S3039" s="3"/>
      <c r="T3039" s="5"/>
      <c r="U3039" s="5"/>
      <c r="V3039" s="5"/>
      <c r="W3039" s="5"/>
    </row>
    <row r="3040" ht="15.75" customHeight="1">
      <c r="A3040" s="3" t="str">
        <f>IFERROR(__xludf.DUMMYFUNCTION("""COMPUTED_VALUE"""),"")</f>
        <v/>
      </c>
      <c r="B3040" s="3"/>
      <c r="C3040" s="3"/>
      <c r="D3040" s="3"/>
      <c r="E3040" s="3"/>
      <c r="F3040" s="3"/>
      <c r="G3040" s="3"/>
      <c r="H3040" s="3"/>
      <c r="I3040" s="3"/>
      <c r="J3040" s="3"/>
      <c r="K3040" s="3"/>
      <c r="L3040" s="3"/>
      <c r="M3040" s="3"/>
      <c r="N3040" s="3"/>
      <c r="O3040" s="3"/>
      <c r="P3040" s="3"/>
      <c r="Q3040" s="3"/>
      <c r="R3040" s="3"/>
      <c r="S3040" s="3"/>
      <c r="T3040" s="5"/>
      <c r="U3040" s="5"/>
      <c r="V3040" s="5"/>
      <c r="W3040" s="5"/>
    </row>
    <row r="3041" ht="15.75" customHeight="1">
      <c r="A3041" s="3" t="str">
        <f>IFERROR(__xludf.DUMMYFUNCTION("""COMPUTED_VALUE"""),"")</f>
        <v/>
      </c>
      <c r="B3041" s="3"/>
      <c r="C3041" s="3"/>
      <c r="D3041" s="3"/>
      <c r="E3041" s="3"/>
      <c r="F3041" s="3"/>
      <c r="G3041" s="3"/>
      <c r="H3041" s="3"/>
      <c r="I3041" s="3"/>
      <c r="J3041" s="3"/>
      <c r="K3041" s="3"/>
      <c r="L3041" s="3"/>
      <c r="M3041" s="3"/>
      <c r="N3041" s="3"/>
      <c r="O3041" s="3"/>
      <c r="P3041" s="3"/>
      <c r="Q3041" s="3"/>
      <c r="R3041" s="3"/>
      <c r="S3041" s="3"/>
      <c r="T3041" s="5"/>
      <c r="U3041" s="5"/>
      <c r="V3041" s="5"/>
      <c r="W3041" s="5"/>
    </row>
    <row r="3042" ht="15.75" customHeight="1">
      <c r="A3042" s="3" t="str">
        <f>IFERROR(__xludf.DUMMYFUNCTION("""COMPUTED_VALUE"""),"")</f>
        <v/>
      </c>
      <c r="B3042" s="3"/>
      <c r="C3042" s="3"/>
      <c r="D3042" s="3"/>
      <c r="E3042" s="3"/>
      <c r="F3042" s="3"/>
      <c r="G3042" s="3"/>
      <c r="H3042" s="3"/>
      <c r="I3042" s="3"/>
      <c r="J3042" s="3"/>
      <c r="K3042" s="3"/>
      <c r="L3042" s="3"/>
      <c r="M3042" s="3"/>
      <c r="N3042" s="3"/>
      <c r="O3042" s="3"/>
      <c r="P3042" s="3"/>
      <c r="Q3042" s="3"/>
      <c r="R3042" s="3"/>
      <c r="S3042" s="3"/>
      <c r="T3042" s="5"/>
      <c r="U3042" s="5"/>
      <c r="V3042" s="5"/>
      <c r="W3042" s="5"/>
    </row>
    <row r="3043" ht="15.75" customHeight="1">
      <c r="A3043" s="3" t="str">
        <f>IFERROR(__xludf.DUMMYFUNCTION("""COMPUTED_VALUE"""),"")</f>
        <v/>
      </c>
      <c r="B3043" s="3"/>
      <c r="C3043" s="3"/>
      <c r="D3043" s="3"/>
      <c r="E3043" s="3"/>
      <c r="F3043" s="3"/>
      <c r="G3043" s="3"/>
      <c r="H3043" s="3"/>
      <c r="I3043" s="3"/>
      <c r="J3043" s="3"/>
      <c r="K3043" s="3"/>
      <c r="L3043" s="3"/>
      <c r="M3043" s="3"/>
      <c r="N3043" s="3"/>
      <c r="O3043" s="3"/>
      <c r="P3043" s="3"/>
      <c r="Q3043" s="3"/>
      <c r="R3043" s="3"/>
      <c r="S3043" s="3"/>
      <c r="T3043" s="5"/>
      <c r="U3043" s="5"/>
      <c r="V3043" s="5"/>
      <c r="W3043" s="5"/>
    </row>
    <row r="3044" ht="15.75" customHeight="1">
      <c r="A3044" s="3" t="str">
        <f>IFERROR(__xludf.DUMMYFUNCTION("""COMPUTED_VALUE"""),"")</f>
        <v/>
      </c>
      <c r="B3044" s="3"/>
      <c r="C3044" s="3"/>
      <c r="D3044" s="3"/>
      <c r="E3044" s="3"/>
      <c r="F3044" s="3"/>
      <c r="G3044" s="3"/>
      <c r="H3044" s="3"/>
      <c r="I3044" s="3"/>
      <c r="J3044" s="3"/>
      <c r="K3044" s="3"/>
      <c r="L3044" s="3"/>
      <c r="M3044" s="3"/>
      <c r="N3044" s="3"/>
      <c r="O3044" s="3"/>
      <c r="P3044" s="3"/>
      <c r="Q3044" s="3"/>
      <c r="R3044" s="3"/>
      <c r="S3044" s="3"/>
      <c r="T3044" s="5"/>
      <c r="U3044" s="5"/>
      <c r="V3044" s="5"/>
      <c r="W3044" s="5"/>
    </row>
    <row r="3045" ht="15.75" customHeight="1">
      <c r="A3045" s="3" t="str">
        <f>IFERROR(__xludf.DUMMYFUNCTION("""COMPUTED_VALUE"""),"")</f>
        <v/>
      </c>
      <c r="B3045" s="3"/>
      <c r="C3045" s="3"/>
      <c r="D3045" s="3"/>
      <c r="E3045" s="3"/>
      <c r="F3045" s="3"/>
      <c r="G3045" s="3"/>
      <c r="H3045" s="3"/>
      <c r="I3045" s="3"/>
      <c r="J3045" s="3"/>
      <c r="K3045" s="3"/>
      <c r="L3045" s="3"/>
      <c r="M3045" s="3"/>
      <c r="N3045" s="3"/>
      <c r="O3045" s="3"/>
      <c r="P3045" s="3"/>
      <c r="Q3045" s="3"/>
      <c r="R3045" s="3"/>
      <c r="S3045" s="3"/>
      <c r="T3045" s="5"/>
      <c r="U3045" s="5"/>
      <c r="V3045" s="5"/>
      <c r="W3045" s="5"/>
    </row>
    <row r="3046" ht="15.75" customHeight="1">
      <c r="A3046" s="3" t="str">
        <f>IFERROR(__xludf.DUMMYFUNCTION("""COMPUTED_VALUE"""),"")</f>
        <v/>
      </c>
      <c r="B3046" s="3"/>
      <c r="C3046" s="3"/>
      <c r="D3046" s="3"/>
      <c r="E3046" s="3"/>
      <c r="F3046" s="3"/>
      <c r="G3046" s="3"/>
      <c r="H3046" s="3"/>
      <c r="I3046" s="3"/>
      <c r="J3046" s="3"/>
      <c r="K3046" s="3"/>
      <c r="L3046" s="3"/>
      <c r="M3046" s="3"/>
      <c r="N3046" s="3"/>
      <c r="O3046" s="3"/>
      <c r="P3046" s="3"/>
      <c r="Q3046" s="3"/>
      <c r="R3046" s="3"/>
      <c r="S3046" s="3"/>
      <c r="T3046" s="5"/>
      <c r="U3046" s="5"/>
      <c r="V3046" s="5"/>
      <c r="W3046" s="5"/>
    </row>
    <row r="3047" ht="15.75" customHeight="1">
      <c r="A3047" s="3" t="str">
        <f>IFERROR(__xludf.DUMMYFUNCTION("""COMPUTED_VALUE"""),"")</f>
        <v/>
      </c>
      <c r="B3047" s="3"/>
      <c r="C3047" s="3"/>
      <c r="D3047" s="3"/>
      <c r="E3047" s="3"/>
      <c r="F3047" s="3"/>
      <c r="G3047" s="3"/>
      <c r="H3047" s="3"/>
      <c r="I3047" s="3"/>
      <c r="J3047" s="3"/>
      <c r="K3047" s="3"/>
      <c r="L3047" s="3"/>
      <c r="M3047" s="3"/>
      <c r="N3047" s="3"/>
      <c r="O3047" s="3"/>
      <c r="P3047" s="3"/>
      <c r="Q3047" s="3"/>
      <c r="R3047" s="3"/>
      <c r="S3047" s="3"/>
      <c r="T3047" s="5"/>
      <c r="U3047" s="5"/>
      <c r="V3047" s="5"/>
      <c r="W3047" s="5"/>
    </row>
    <row r="3048" ht="15.75" customHeight="1">
      <c r="A3048" s="3" t="str">
        <f>IFERROR(__xludf.DUMMYFUNCTION("""COMPUTED_VALUE"""),"")</f>
        <v/>
      </c>
      <c r="B3048" s="3"/>
      <c r="C3048" s="3"/>
      <c r="D3048" s="3"/>
      <c r="E3048" s="3"/>
      <c r="F3048" s="3"/>
      <c r="G3048" s="3"/>
      <c r="H3048" s="3"/>
      <c r="I3048" s="3"/>
      <c r="J3048" s="3"/>
      <c r="K3048" s="3"/>
      <c r="L3048" s="3"/>
      <c r="M3048" s="3"/>
      <c r="N3048" s="3"/>
      <c r="O3048" s="3"/>
      <c r="P3048" s="3"/>
      <c r="Q3048" s="3"/>
      <c r="R3048" s="3"/>
      <c r="S3048" s="3"/>
      <c r="T3048" s="5"/>
      <c r="U3048" s="5"/>
      <c r="V3048" s="5"/>
      <c r="W3048" s="5"/>
    </row>
    <row r="3049" ht="15.75" customHeight="1">
      <c r="A3049" s="3" t="str">
        <f>IFERROR(__xludf.DUMMYFUNCTION("""COMPUTED_VALUE"""),"")</f>
        <v/>
      </c>
      <c r="B3049" s="3"/>
      <c r="C3049" s="3"/>
      <c r="D3049" s="3"/>
      <c r="E3049" s="3"/>
      <c r="F3049" s="3"/>
      <c r="G3049" s="3"/>
      <c r="H3049" s="3"/>
      <c r="I3049" s="3"/>
      <c r="J3049" s="3"/>
      <c r="K3049" s="3"/>
      <c r="L3049" s="3"/>
      <c r="M3049" s="3"/>
      <c r="N3049" s="3"/>
      <c r="O3049" s="3"/>
      <c r="P3049" s="3"/>
      <c r="Q3049" s="3"/>
      <c r="R3049" s="3"/>
      <c r="S3049" s="3"/>
      <c r="T3049" s="5"/>
      <c r="U3049" s="5"/>
      <c r="V3049" s="5"/>
      <c r="W3049" s="5"/>
    </row>
    <row r="3050" ht="15.75" customHeight="1">
      <c r="A3050" s="3" t="str">
        <f>IFERROR(__xludf.DUMMYFUNCTION("""COMPUTED_VALUE"""),"")</f>
        <v/>
      </c>
      <c r="B3050" s="3"/>
      <c r="C3050" s="3"/>
      <c r="D3050" s="3"/>
      <c r="E3050" s="3"/>
      <c r="F3050" s="3"/>
      <c r="G3050" s="3"/>
      <c r="H3050" s="3"/>
      <c r="I3050" s="3"/>
      <c r="J3050" s="3"/>
      <c r="K3050" s="3"/>
      <c r="L3050" s="3"/>
      <c r="M3050" s="3"/>
      <c r="N3050" s="3"/>
      <c r="O3050" s="3"/>
      <c r="P3050" s="3"/>
      <c r="Q3050" s="3"/>
      <c r="R3050" s="3"/>
      <c r="S3050" s="3"/>
      <c r="T3050" s="5"/>
      <c r="U3050" s="5"/>
      <c r="V3050" s="5"/>
      <c r="W3050" s="5"/>
    </row>
    <row r="3051" ht="15.75" customHeight="1">
      <c r="A3051" s="3" t="str">
        <f>IFERROR(__xludf.DUMMYFUNCTION("""COMPUTED_VALUE"""),"")</f>
        <v/>
      </c>
      <c r="B3051" s="3"/>
      <c r="C3051" s="3"/>
      <c r="D3051" s="3"/>
      <c r="E3051" s="3"/>
      <c r="F3051" s="3"/>
      <c r="G3051" s="3"/>
      <c r="H3051" s="3"/>
      <c r="I3051" s="3"/>
      <c r="J3051" s="3"/>
      <c r="K3051" s="3"/>
      <c r="L3051" s="3"/>
      <c r="M3051" s="3"/>
      <c r="N3051" s="3"/>
      <c r="O3051" s="3"/>
      <c r="P3051" s="3"/>
      <c r="Q3051" s="3"/>
      <c r="R3051" s="3"/>
      <c r="S3051" s="3"/>
      <c r="T3051" s="5"/>
      <c r="U3051" s="5"/>
      <c r="V3051" s="5"/>
      <c r="W3051" s="5"/>
    </row>
    <row r="3052" ht="15.75" customHeight="1">
      <c r="A3052" s="3" t="str">
        <f>IFERROR(__xludf.DUMMYFUNCTION("""COMPUTED_VALUE"""),"")</f>
        <v/>
      </c>
      <c r="B3052" s="3"/>
      <c r="C3052" s="3"/>
      <c r="D3052" s="3"/>
      <c r="E3052" s="3"/>
      <c r="F3052" s="3"/>
      <c r="G3052" s="3"/>
      <c r="H3052" s="3"/>
      <c r="I3052" s="3"/>
      <c r="J3052" s="3"/>
      <c r="K3052" s="3"/>
      <c r="L3052" s="3"/>
      <c r="M3052" s="3"/>
      <c r="N3052" s="3"/>
      <c r="O3052" s="3"/>
      <c r="P3052" s="3"/>
      <c r="Q3052" s="3"/>
      <c r="R3052" s="3"/>
      <c r="S3052" s="3"/>
      <c r="T3052" s="5"/>
      <c r="U3052" s="5"/>
      <c r="V3052" s="5"/>
      <c r="W3052" s="5"/>
    </row>
    <row r="3053" ht="15.75" customHeight="1">
      <c r="A3053" s="3" t="str">
        <f>IFERROR(__xludf.DUMMYFUNCTION("""COMPUTED_VALUE"""),"")</f>
        <v/>
      </c>
      <c r="B3053" s="3"/>
      <c r="C3053" s="3"/>
      <c r="D3053" s="3"/>
      <c r="E3053" s="3"/>
      <c r="F3053" s="3"/>
      <c r="G3053" s="3"/>
      <c r="H3053" s="3"/>
      <c r="I3053" s="3"/>
      <c r="J3053" s="3"/>
      <c r="K3053" s="3"/>
      <c r="L3053" s="3"/>
      <c r="M3053" s="3"/>
      <c r="N3053" s="3"/>
      <c r="O3053" s="3"/>
      <c r="P3053" s="3"/>
      <c r="Q3053" s="3"/>
      <c r="R3053" s="3"/>
      <c r="S3053" s="3"/>
      <c r="T3053" s="5"/>
      <c r="U3053" s="5"/>
      <c r="V3053" s="5"/>
      <c r="W3053" s="5"/>
    </row>
    <row r="3054" ht="15.75" customHeight="1">
      <c r="A3054" s="3" t="str">
        <f>IFERROR(__xludf.DUMMYFUNCTION("""COMPUTED_VALUE"""),"")</f>
        <v/>
      </c>
      <c r="B3054" s="3"/>
      <c r="C3054" s="3"/>
      <c r="D3054" s="3"/>
      <c r="E3054" s="3"/>
      <c r="F3054" s="3"/>
      <c r="G3054" s="3"/>
      <c r="H3054" s="3"/>
      <c r="I3054" s="3"/>
      <c r="J3054" s="3"/>
      <c r="K3054" s="3"/>
      <c r="L3054" s="3"/>
      <c r="M3054" s="3"/>
      <c r="N3054" s="3"/>
      <c r="O3054" s="3"/>
      <c r="P3054" s="3"/>
      <c r="Q3054" s="3"/>
      <c r="R3054" s="3"/>
      <c r="S3054" s="3"/>
      <c r="T3054" s="5"/>
      <c r="U3054" s="5"/>
      <c r="V3054" s="5"/>
      <c r="W3054" s="5"/>
    </row>
    <row r="3055" ht="15.75" customHeight="1">
      <c r="A3055" s="3" t="str">
        <f>IFERROR(__xludf.DUMMYFUNCTION("""COMPUTED_VALUE"""),"")</f>
        <v/>
      </c>
      <c r="B3055" s="3"/>
      <c r="C3055" s="3"/>
      <c r="D3055" s="3"/>
      <c r="E3055" s="3"/>
      <c r="F3055" s="3"/>
      <c r="G3055" s="3"/>
      <c r="H3055" s="3"/>
      <c r="I3055" s="3"/>
      <c r="J3055" s="3"/>
      <c r="K3055" s="3"/>
      <c r="L3055" s="3"/>
      <c r="M3055" s="3"/>
      <c r="N3055" s="3"/>
      <c r="O3055" s="3"/>
      <c r="P3055" s="3"/>
      <c r="Q3055" s="3"/>
      <c r="R3055" s="3"/>
      <c r="S3055" s="3"/>
      <c r="T3055" s="5"/>
      <c r="U3055" s="5"/>
      <c r="V3055" s="5"/>
      <c r="W3055" s="5"/>
    </row>
    <row r="3056" ht="15.75" customHeight="1">
      <c r="A3056" s="3" t="str">
        <f>IFERROR(__xludf.DUMMYFUNCTION("""COMPUTED_VALUE"""),"")</f>
        <v/>
      </c>
      <c r="B3056" s="3"/>
      <c r="C3056" s="3"/>
      <c r="D3056" s="3"/>
      <c r="E3056" s="3"/>
      <c r="F3056" s="3"/>
      <c r="G3056" s="3"/>
      <c r="H3056" s="3"/>
      <c r="I3056" s="3"/>
      <c r="J3056" s="3"/>
      <c r="K3056" s="3"/>
      <c r="L3056" s="3"/>
      <c r="M3056" s="3"/>
      <c r="N3056" s="3"/>
      <c r="O3056" s="3"/>
      <c r="P3056" s="3"/>
      <c r="Q3056" s="3"/>
      <c r="R3056" s="3"/>
      <c r="S3056" s="3"/>
      <c r="T3056" s="5"/>
      <c r="U3056" s="5"/>
      <c r="V3056" s="5"/>
      <c r="W3056" s="5"/>
    </row>
    <row r="3057" ht="15.75" customHeight="1">
      <c r="A3057" s="3" t="str">
        <f>IFERROR(__xludf.DUMMYFUNCTION("""COMPUTED_VALUE"""),"")</f>
        <v/>
      </c>
      <c r="B3057" s="3"/>
      <c r="C3057" s="3"/>
      <c r="D3057" s="3"/>
      <c r="E3057" s="3"/>
      <c r="F3057" s="3"/>
      <c r="G3057" s="3"/>
      <c r="H3057" s="3"/>
      <c r="I3057" s="3"/>
      <c r="J3057" s="3"/>
      <c r="K3057" s="3"/>
      <c r="L3057" s="3"/>
      <c r="M3057" s="3"/>
      <c r="N3057" s="3"/>
      <c r="O3057" s="3"/>
      <c r="P3057" s="3"/>
      <c r="Q3057" s="3"/>
      <c r="R3057" s="3"/>
      <c r="S3057" s="3"/>
      <c r="T3057" s="5"/>
      <c r="U3057" s="5"/>
      <c r="V3057" s="5"/>
      <c r="W3057" s="5"/>
    </row>
    <row r="3058" ht="15.75" customHeight="1">
      <c r="A3058" s="3" t="str">
        <f>IFERROR(__xludf.DUMMYFUNCTION("""COMPUTED_VALUE"""),"")</f>
        <v/>
      </c>
      <c r="B3058" s="3"/>
      <c r="C3058" s="3"/>
      <c r="D3058" s="3"/>
      <c r="E3058" s="3"/>
      <c r="F3058" s="3"/>
      <c r="G3058" s="3"/>
      <c r="H3058" s="3"/>
      <c r="I3058" s="3"/>
      <c r="J3058" s="3"/>
      <c r="K3058" s="3"/>
      <c r="L3058" s="3"/>
      <c r="M3058" s="3"/>
      <c r="N3058" s="3"/>
      <c r="O3058" s="3"/>
      <c r="P3058" s="3"/>
      <c r="Q3058" s="3"/>
      <c r="R3058" s="3"/>
      <c r="S3058" s="3"/>
      <c r="T3058" s="5"/>
      <c r="U3058" s="5"/>
      <c r="V3058" s="5"/>
      <c r="W3058" s="5"/>
    </row>
    <row r="3059" ht="15.75" customHeight="1">
      <c r="A3059" s="3" t="str">
        <f>IFERROR(__xludf.DUMMYFUNCTION("""COMPUTED_VALUE"""),"")</f>
        <v/>
      </c>
      <c r="B3059" s="3"/>
      <c r="C3059" s="3"/>
      <c r="D3059" s="3"/>
      <c r="E3059" s="3"/>
      <c r="F3059" s="3"/>
      <c r="G3059" s="3"/>
      <c r="H3059" s="3"/>
      <c r="I3059" s="3"/>
      <c r="J3059" s="3"/>
      <c r="K3059" s="3"/>
      <c r="L3059" s="3"/>
      <c r="M3059" s="3"/>
      <c r="N3059" s="3"/>
      <c r="O3059" s="3"/>
      <c r="P3059" s="3"/>
      <c r="Q3059" s="3"/>
      <c r="R3059" s="3"/>
      <c r="S3059" s="3"/>
      <c r="T3059" s="5"/>
      <c r="U3059" s="5"/>
      <c r="V3059" s="5"/>
      <c r="W3059" s="5"/>
    </row>
    <row r="3060" ht="15.75" customHeight="1">
      <c r="A3060" s="3" t="str">
        <f>IFERROR(__xludf.DUMMYFUNCTION("""COMPUTED_VALUE"""),"")</f>
        <v/>
      </c>
      <c r="B3060" s="3"/>
      <c r="C3060" s="3"/>
      <c r="D3060" s="3"/>
      <c r="E3060" s="3"/>
      <c r="F3060" s="3"/>
      <c r="G3060" s="3"/>
      <c r="H3060" s="3"/>
      <c r="I3060" s="3"/>
      <c r="J3060" s="3"/>
      <c r="K3060" s="3"/>
      <c r="L3060" s="3"/>
      <c r="M3060" s="3"/>
      <c r="N3060" s="3"/>
      <c r="O3060" s="3"/>
      <c r="P3060" s="3"/>
      <c r="Q3060" s="3"/>
      <c r="R3060" s="3"/>
      <c r="S3060" s="3"/>
      <c r="T3060" s="5"/>
      <c r="U3060" s="5"/>
      <c r="V3060" s="5"/>
      <c r="W3060" s="5"/>
    </row>
    <row r="3061" ht="15.75" customHeight="1">
      <c r="A3061" s="3" t="str">
        <f>IFERROR(__xludf.DUMMYFUNCTION("""COMPUTED_VALUE"""),"")</f>
        <v/>
      </c>
      <c r="B3061" s="3"/>
      <c r="C3061" s="3"/>
      <c r="D3061" s="3"/>
      <c r="E3061" s="3"/>
      <c r="F3061" s="3"/>
      <c r="G3061" s="3"/>
      <c r="H3061" s="3"/>
      <c r="I3061" s="3"/>
      <c r="J3061" s="3"/>
      <c r="K3061" s="3"/>
      <c r="L3061" s="3"/>
      <c r="M3061" s="3"/>
      <c r="N3061" s="3"/>
      <c r="O3061" s="3"/>
      <c r="P3061" s="3"/>
      <c r="Q3061" s="3"/>
      <c r="R3061" s="3"/>
      <c r="S3061" s="3"/>
      <c r="T3061" s="5"/>
      <c r="U3061" s="5"/>
      <c r="V3061" s="5"/>
      <c r="W3061" s="5"/>
    </row>
    <row r="3062" ht="15.75" customHeight="1">
      <c r="A3062" s="3" t="str">
        <f>IFERROR(__xludf.DUMMYFUNCTION("""COMPUTED_VALUE"""),"")</f>
        <v/>
      </c>
      <c r="B3062" s="3"/>
      <c r="C3062" s="3"/>
      <c r="D3062" s="3"/>
      <c r="E3062" s="3"/>
      <c r="F3062" s="3"/>
      <c r="G3062" s="3"/>
      <c r="H3062" s="3"/>
      <c r="I3062" s="3"/>
      <c r="J3062" s="3"/>
      <c r="K3062" s="3"/>
      <c r="L3062" s="3"/>
      <c r="M3062" s="3"/>
      <c r="N3062" s="3"/>
      <c r="O3062" s="3"/>
      <c r="P3062" s="3"/>
      <c r="Q3062" s="3"/>
      <c r="R3062" s="3"/>
      <c r="S3062" s="3"/>
      <c r="T3062" s="5"/>
      <c r="U3062" s="5"/>
      <c r="V3062" s="5"/>
      <c r="W3062" s="5"/>
    </row>
    <row r="3063" ht="15.75" customHeight="1">
      <c r="A3063" s="3" t="str">
        <f>IFERROR(__xludf.DUMMYFUNCTION("""COMPUTED_VALUE"""),"")</f>
        <v/>
      </c>
      <c r="B3063" s="3"/>
      <c r="C3063" s="3"/>
      <c r="D3063" s="3"/>
      <c r="E3063" s="3"/>
      <c r="F3063" s="3"/>
      <c r="G3063" s="3"/>
      <c r="H3063" s="3"/>
      <c r="I3063" s="3"/>
      <c r="J3063" s="3"/>
      <c r="K3063" s="3"/>
      <c r="L3063" s="3"/>
      <c r="M3063" s="3"/>
      <c r="N3063" s="3"/>
      <c r="O3063" s="3"/>
      <c r="P3063" s="3"/>
      <c r="Q3063" s="3"/>
      <c r="R3063" s="3"/>
      <c r="S3063" s="3"/>
      <c r="T3063" s="5"/>
      <c r="U3063" s="5"/>
      <c r="V3063" s="5"/>
      <c r="W3063" s="5"/>
    </row>
    <row r="3064" ht="15.75" customHeight="1">
      <c r="A3064" s="3" t="str">
        <f>IFERROR(__xludf.DUMMYFUNCTION("""COMPUTED_VALUE"""),"")</f>
        <v/>
      </c>
      <c r="B3064" s="3"/>
      <c r="C3064" s="3"/>
      <c r="D3064" s="3"/>
      <c r="E3064" s="3"/>
      <c r="F3064" s="3"/>
      <c r="G3064" s="3"/>
      <c r="H3064" s="3"/>
      <c r="I3064" s="3"/>
      <c r="J3064" s="3"/>
      <c r="K3064" s="3"/>
      <c r="L3064" s="3"/>
      <c r="M3064" s="3"/>
      <c r="N3064" s="3"/>
      <c r="O3064" s="3"/>
      <c r="P3064" s="3"/>
      <c r="Q3064" s="3"/>
      <c r="R3064" s="3"/>
      <c r="S3064" s="3"/>
      <c r="T3064" s="5"/>
      <c r="U3064" s="5"/>
      <c r="V3064" s="5"/>
      <c r="W3064" s="5"/>
    </row>
    <row r="3065" ht="15.75" customHeight="1">
      <c r="A3065" s="3" t="str">
        <f>IFERROR(__xludf.DUMMYFUNCTION("""COMPUTED_VALUE"""),"")</f>
        <v/>
      </c>
      <c r="B3065" s="3"/>
      <c r="C3065" s="3"/>
      <c r="D3065" s="3"/>
      <c r="E3065" s="3"/>
      <c r="F3065" s="3"/>
      <c r="G3065" s="3"/>
      <c r="H3065" s="3"/>
      <c r="I3065" s="3"/>
      <c r="J3065" s="3"/>
      <c r="K3065" s="3"/>
      <c r="L3065" s="3"/>
      <c r="M3065" s="3"/>
      <c r="N3065" s="3"/>
      <c r="O3065" s="3"/>
      <c r="P3065" s="3"/>
      <c r="Q3065" s="3"/>
      <c r="R3065" s="3"/>
      <c r="S3065" s="3"/>
      <c r="T3065" s="5"/>
      <c r="U3065" s="5"/>
      <c r="V3065" s="5"/>
      <c r="W3065" s="5"/>
    </row>
    <row r="3066" ht="15.75" customHeight="1">
      <c r="A3066" s="3" t="str">
        <f>IFERROR(__xludf.DUMMYFUNCTION("""COMPUTED_VALUE"""),"")</f>
        <v/>
      </c>
      <c r="B3066" s="3"/>
      <c r="C3066" s="3"/>
      <c r="D3066" s="3"/>
      <c r="E3066" s="3"/>
      <c r="F3066" s="3"/>
      <c r="G3066" s="3"/>
      <c r="H3066" s="3"/>
      <c r="I3066" s="3"/>
      <c r="J3066" s="3"/>
      <c r="K3066" s="3"/>
      <c r="L3066" s="3"/>
      <c r="M3066" s="3"/>
      <c r="N3066" s="3"/>
      <c r="O3066" s="3"/>
      <c r="P3066" s="3"/>
      <c r="Q3066" s="3"/>
      <c r="R3066" s="3"/>
      <c r="S3066" s="3"/>
      <c r="T3066" s="5"/>
      <c r="U3066" s="5"/>
      <c r="V3066" s="5"/>
      <c r="W3066" s="5"/>
    </row>
    <row r="3067" ht="15.75" customHeight="1">
      <c r="A3067" s="3" t="str">
        <f>IFERROR(__xludf.DUMMYFUNCTION("""COMPUTED_VALUE"""),"")</f>
        <v/>
      </c>
      <c r="B3067" s="3"/>
      <c r="C3067" s="3"/>
      <c r="D3067" s="3"/>
      <c r="E3067" s="3"/>
      <c r="F3067" s="3"/>
      <c r="G3067" s="3"/>
      <c r="H3067" s="3"/>
      <c r="I3067" s="3"/>
      <c r="J3067" s="3"/>
      <c r="K3067" s="3"/>
      <c r="L3067" s="3"/>
      <c r="M3067" s="3"/>
      <c r="N3067" s="3"/>
      <c r="O3067" s="3"/>
      <c r="P3067" s="3"/>
      <c r="Q3067" s="3"/>
      <c r="R3067" s="3"/>
      <c r="S3067" s="3"/>
      <c r="T3067" s="5"/>
      <c r="U3067" s="5"/>
      <c r="V3067" s="5"/>
      <c r="W3067" s="5"/>
    </row>
    <row r="3068" ht="15.75" customHeight="1">
      <c r="A3068" s="3" t="str">
        <f>IFERROR(__xludf.DUMMYFUNCTION("""COMPUTED_VALUE"""),"")</f>
        <v/>
      </c>
      <c r="B3068" s="3"/>
      <c r="C3068" s="3"/>
      <c r="D3068" s="3"/>
      <c r="E3068" s="3"/>
      <c r="F3068" s="3"/>
      <c r="G3068" s="3"/>
      <c r="H3068" s="3"/>
      <c r="I3068" s="3"/>
      <c r="J3068" s="3"/>
      <c r="K3068" s="3"/>
      <c r="L3068" s="3"/>
      <c r="M3068" s="3"/>
      <c r="N3068" s="3"/>
      <c r="O3068" s="3"/>
      <c r="P3068" s="3"/>
      <c r="Q3068" s="3"/>
      <c r="R3068" s="3"/>
      <c r="S3068" s="3"/>
      <c r="T3068" s="5"/>
      <c r="U3068" s="5"/>
      <c r="V3068" s="5"/>
      <c r="W3068" s="5"/>
    </row>
    <row r="3069" ht="15.75" customHeight="1">
      <c r="A3069" s="3" t="str">
        <f>IFERROR(__xludf.DUMMYFUNCTION("""COMPUTED_VALUE"""),"")</f>
        <v/>
      </c>
      <c r="B3069" s="3"/>
      <c r="C3069" s="3"/>
      <c r="D3069" s="3"/>
      <c r="E3069" s="3"/>
      <c r="F3069" s="3"/>
      <c r="G3069" s="3"/>
      <c r="H3069" s="3"/>
      <c r="I3069" s="3"/>
      <c r="J3069" s="3"/>
      <c r="K3069" s="3"/>
      <c r="L3069" s="3"/>
      <c r="M3069" s="3"/>
      <c r="N3069" s="3"/>
      <c r="O3069" s="3"/>
      <c r="P3069" s="3"/>
      <c r="Q3069" s="3"/>
      <c r="R3069" s="3"/>
      <c r="S3069" s="3"/>
      <c r="T3069" s="5"/>
      <c r="U3069" s="5"/>
      <c r="V3069" s="5"/>
      <c r="W3069" s="5"/>
    </row>
    <row r="3070" ht="15.75" customHeight="1">
      <c r="A3070" s="3" t="str">
        <f>IFERROR(__xludf.DUMMYFUNCTION("""COMPUTED_VALUE"""),"")</f>
        <v/>
      </c>
      <c r="B3070" s="3"/>
      <c r="C3070" s="3"/>
      <c r="D3070" s="3"/>
      <c r="E3070" s="3"/>
      <c r="F3070" s="3"/>
      <c r="G3070" s="3"/>
      <c r="H3070" s="3"/>
      <c r="I3070" s="3"/>
      <c r="J3070" s="3"/>
      <c r="K3070" s="3"/>
      <c r="L3070" s="3"/>
      <c r="M3070" s="3"/>
      <c r="N3070" s="3"/>
      <c r="O3070" s="3"/>
      <c r="P3070" s="3"/>
      <c r="Q3070" s="3"/>
      <c r="R3070" s="3"/>
      <c r="S3070" s="3"/>
      <c r="T3070" s="5"/>
      <c r="U3070" s="5"/>
      <c r="V3070" s="5"/>
      <c r="W3070" s="5"/>
    </row>
    <row r="3071" ht="15.75" customHeight="1">
      <c r="A3071" s="3" t="str">
        <f>IFERROR(__xludf.DUMMYFUNCTION("""COMPUTED_VALUE"""),"")</f>
        <v/>
      </c>
      <c r="B3071" s="3"/>
      <c r="C3071" s="3"/>
      <c r="D3071" s="3"/>
      <c r="E3071" s="3"/>
      <c r="F3071" s="3"/>
      <c r="G3071" s="3"/>
      <c r="H3071" s="3"/>
      <c r="I3071" s="3"/>
      <c r="J3071" s="3"/>
      <c r="K3071" s="3"/>
      <c r="L3071" s="3"/>
      <c r="M3071" s="3"/>
      <c r="N3071" s="3"/>
      <c r="O3071" s="3"/>
      <c r="P3071" s="3"/>
      <c r="Q3071" s="3"/>
      <c r="R3071" s="3"/>
      <c r="S3071" s="3"/>
      <c r="T3071" s="5"/>
      <c r="U3071" s="5"/>
      <c r="V3071" s="5"/>
      <c r="W3071" s="5"/>
    </row>
    <row r="3072" ht="15.75" customHeight="1">
      <c r="A3072" s="3" t="str">
        <f>IFERROR(__xludf.DUMMYFUNCTION("""COMPUTED_VALUE"""),"")</f>
        <v/>
      </c>
      <c r="B3072" s="3"/>
      <c r="C3072" s="3"/>
      <c r="D3072" s="3"/>
      <c r="E3072" s="3"/>
      <c r="F3072" s="3"/>
      <c r="G3072" s="3"/>
      <c r="H3072" s="3"/>
      <c r="I3072" s="3"/>
      <c r="J3072" s="3"/>
      <c r="K3072" s="3"/>
      <c r="L3072" s="3"/>
      <c r="M3072" s="3"/>
      <c r="N3072" s="3"/>
      <c r="O3072" s="3"/>
      <c r="P3072" s="3"/>
      <c r="Q3072" s="3"/>
      <c r="R3072" s="3"/>
      <c r="S3072" s="3"/>
      <c r="T3072" s="5"/>
      <c r="U3072" s="5"/>
      <c r="V3072" s="5"/>
      <c r="W3072" s="5"/>
    </row>
    <row r="3073" ht="15.75" customHeight="1">
      <c r="A3073" s="3" t="str">
        <f>IFERROR(__xludf.DUMMYFUNCTION("""COMPUTED_VALUE"""),"")</f>
        <v/>
      </c>
      <c r="B3073" s="3"/>
      <c r="C3073" s="3"/>
      <c r="D3073" s="3"/>
      <c r="E3073" s="3"/>
      <c r="F3073" s="3"/>
      <c r="G3073" s="3"/>
      <c r="H3073" s="3"/>
      <c r="I3073" s="3"/>
      <c r="J3073" s="3"/>
      <c r="K3073" s="3"/>
      <c r="L3073" s="3"/>
      <c r="M3073" s="3"/>
      <c r="N3073" s="3"/>
      <c r="O3073" s="3"/>
      <c r="P3073" s="3"/>
      <c r="Q3073" s="3"/>
      <c r="R3073" s="3"/>
      <c r="S3073" s="3"/>
      <c r="T3073" s="5"/>
      <c r="U3073" s="5"/>
      <c r="V3073" s="5"/>
      <c r="W3073" s="5"/>
    </row>
    <row r="3074" ht="15.75" customHeight="1">
      <c r="A3074" s="3" t="str">
        <f>IFERROR(__xludf.DUMMYFUNCTION("""COMPUTED_VALUE"""),"")</f>
        <v/>
      </c>
      <c r="B3074" s="3"/>
      <c r="C3074" s="3"/>
      <c r="D3074" s="3"/>
      <c r="E3074" s="3"/>
      <c r="F3074" s="3"/>
      <c r="G3074" s="3"/>
      <c r="H3074" s="3"/>
      <c r="I3074" s="3"/>
      <c r="J3074" s="3"/>
      <c r="K3074" s="3"/>
      <c r="L3074" s="3"/>
      <c r="M3074" s="3"/>
      <c r="N3074" s="3"/>
      <c r="O3074" s="3"/>
      <c r="P3074" s="3"/>
      <c r="Q3074" s="3"/>
      <c r="R3074" s="3"/>
      <c r="S3074" s="3"/>
      <c r="T3074" s="5"/>
      <c r="U3074" s="5"/>
      <c r="V3074" s="5"/>
      <c r="W3074" s="5"/>
    </row>
    <row r="3075" ht="15.75" customHeight="1">
      <c r="A3075" s="3" t="str">
        <f>IFERROR(__xludf.DUMMYFUNCTION("""COMPUTED_VALUE"""),"")</f>
        <v/>
      </c>
      <c r="B3075" s="3"/>
      <c r="C3075" s="3"/>
      <c r="D3075" s="3"/>
      <c r="E3075" s="3"/>
      <c r="F3075" s="3"/>
      <c r="G3075" s="3"/>
      <c r="H3075" s="3"/>
      <c r="I3075" s="3"/>
      <c r="J3075" s="3"/>
      <c r="K3075" s="3"/>
      <c r="L3075" s="3"/>
      <c r="M3075" s="3"/>
      <c r="N3075" s="3"/>
      <c r="O3075" s="3"/>
      <c r="P3075" s="3"/>
      <c r="Q3075" s="3"/>
      <c r="R3075" s="3"/>
      <c r="S3075" s="3"/>
      <c r="T3075" s="5"/>
      <c r="U3075" s="5"/>
      <c r="V3075" s="5"/>
      <c r="W3075" s="5"/>
    </row>
    <row r="3076" ht="15.75" customHeight="1">
      <c r="A3076" s="3" t="str">
        <f>IFERROR(__xludf.DUMMYFUNCTION("""COMPUTED_VALUE"""),"")</f>
        <v/>
      </c>
      <c r="B3076" s="3"/>
      <c r="C3076" s="3"/>
      <c r="D3076" s="3"/>
      <c r="E3076" s="3"/>
      <c r="F3076" s="3"/>
      <c r="G3076" s="3"/>
      <c r="H3076" s="3"/>
      <c r="I3076" s="3"/>
      <c r="J3076" s="3"/>
      <c r="K3076" s="3"/>
      <c r="L3076" s="3"/>
      <c r="M3076" s="3"/>
      <c r="N3076" s="3"/>
      <c r="O3076" s="3"/>
      <c r="P3076" s="3"/>
      <c r="Q3076" s="3"/>
      <c r="R3076" s="3"/>
      <c r="S3076" s="3"/>
      <c r="T3076" s="5"/>
      <c r="U3076" s="5"/>
      <c r="V3076" s="5"/>
      <c r="W3076" s="5"/>
    </row>
    <row r="3077" ht="15.75" customHeight="1">
      <c r="A3077" s="3" t="str">
        <f>IFERROR(__xludf.DUMMYFUNCTION("""COMPUTED_VALUE"""),"")</f>
        <v/>
      </c>
      <c r="B3077" s="3"/>
      <c r="C3077" s="3"/>
      <c r="D3077" s="3"/>
      <c r="E3077" s="3"/>
      <c r="F3077" s="3"/>
      <c r="G3077" s="3"/>
      <c r="H3077" s="3"/>
      <c r="I3077" s="3"/>
      <c r="J3077" s="3"/>
      <c r="K3077" s="3"/>
      <c r="L3077" s="3"/>
      <c r="M3077" s="3"/>
      <c r="N3077" s="3"/>
      <c r="O3077" s="3"/>
      <c r="P3077" s="3"/>
      <c r="Q3077" s="3"/>
      <c r="R3077" s="3"/>
      <c r="S3077" s="3"/>
      <c r="T3077" s="5"/>
      <c r="U3077" s="5"/>
      <c r="V3077" s="5"/>
      <c r="W3077" s="5"/>
    </row>
    <row r="3078" ht="15.75" customHeight="1">
      <c r="A3078" s="3" t="str">
        <f>IFERROR(__xludf.DUMMYFUNCTION("""COMPUTED_VALUE"""),"")</f>
        <v/>
      </c>
      <c r="B3078" s="3"/>
      <c r="C3078" s="3"/>
      <c r="D3078" s="3"/>
      <c r="E3078" s="3"/>
      <c r="F3078" s="3"/>
      <c r="G3078" s="3"/>
      <c r="H3078" s="3"/>
      <c r="I3078" s="3"/>
      <c r="J3078" s="3"/>
      <c r="K3078" s="3"/>
      <c r="L3078" s="3"/>
      <c r="M3078" s="3"/>
      <c r="N3078" s="3"/>
      <c r="O3078" s="3"/>
      <c r="P3078" s="3"/>
      <c r="Q3078" s="3"/>
      <c r="R3078" s="3"/>
      <c r="S3078" s="3"/>
      <c r="T3078" s="5"/>
      <c r="U3078" s="5"/>
      <c r="V3078" s="5"/>
      <c r="W3078" s="5"/>
    </row>
    <row r="3079" ht="15.75" customHeight="1">
      <c r="A3079" s="3" t="str">
        <f>IFERROR(__xludf.DUMMYFUNCTION("""COMPUTED_VALUE"""),"")</f>
        <v/>
      </c>
      <c r="B3079" s="3"/>
      <c r="C3079" s="3"/>
      <c r="D3079" s="3"/>
      <c r="E3079" s="3"/>
      <c r="F3079" s="3"/>
      <c r="G3079" s="3"/>
      <c r="H3079" s="3"/>
      <c r="I3079" s="3"/>
      <c r="J3079" s="3"/>
      <c r="K3079" s="3"/>
      <c r="L3079" s="3"/>
      <c r="M3079" s="3"/>
      <c r="N3079" s="3"/>
      <c r="O3079" s="3"/>
      <c r="P3079" s="3"/>
      <c r="Q3079" s="3"/>
      <c r="R3079" s="3"/>
      <c r="S3079" s="3"/>
      <c r="T3079" s="5"/>
      <c r="U3079" s="5"/>
      <c r="V3079" s="5"/>
      <c r="W3079" s="5"/>
    </row>
    <row r="3080" ht="15.75" customHeight="1">
      <c r="A3080" s="3" t="str">
        <f>IFERROR(__xludf.DUMMYFUNCTION("""COMPUTED_VALUE"""),"")</f>
        <v/>
      </c>
      <c r="B3080" s="3"/>
      <c r="C3080" s="3"/>
      <c r="D3080" s="3"/>
      <c r="E3080" s="3"/>
      <c r="F3080" s="3"/>
      <c r="G3080" s="3"/>
      <c r="H3080" s="3"/>
      <c r="I3080" s="3"/>
      <c r="J3080" s="3"/>
      <c r="K3080" s="3"/>
      <c r="L3080" s="3"/>
      <c r="M3080" s="3"/>
      <c r="N3080" s="3"/>
      <c r="O3080" s="3"/>
      <c r="P3080" s="3"/>
      <c r="Q3080" s="3"/>
      <c r="R3080" s="3"/>
      <c r="S3080" s="3"/>
      <c r="T3080" s="5"/>
      <c r="U3080" s="5"/>
      <c r="V3080" s="5"/>
      <c r="W3080" s="5"/>
    </row>
    <row r="3081" ht="15.75" customHeight="1">
      <c r="A3081" s="3" t="str">
        <f>IFERROR(__xludf.DUMMYFUNCTION("""COMPUTED_VALUE"""),"")</f>
        <v/>
      </c>
      <c r="B3081" s="3"/>
      <c r="C3081" s="3"/>
      <c r="D3081" s="3"/>
      <c r="E3081" s="3"/>
      <c r="F3081" s="3"/>
      <c r="G3081" s="3"/>
      <c r="H3081" s="3"/>
      <c r="I3081" s="3"/>
      <c r="J3081" s="3"/>
      <c r="K3081" s="3"/>
      <c r="L3081" s="3"/>
      <c r="M3081" s="3"/>
      <c r="N3081" s="3"/>
      <c r="O3081" s="3"/>
      <c r="P3081" s="3"/>
      <c r="Q3081" s="3"/>
      <c r="R3081" s="3"/>
      <c r="S3081" s="3"/>
      <c r="T3081" s="5"/>
      <c r="U3081" s="5"/>
      <c r="V3081" s="5"/>
      <c r="W3081" s="5"/>
    </row>
    <row r="3082" ht="15.75" customHeight="1">
      <c r="A3082" s="3" t="str">
        <f>IFERROR(__xludf.DUMMYFUNCTION("""COMPUTED_VALUE"""),"")</f>
        <v/>
      </c>
      <c r="B3082" s="3"/>
      <c r="C3082" s="3"/>
      <c r="D3082" s="3"/>
      <c r="E3082" s="3"/>
      <c r="F3082" s="3"/>
      <c r="G3082" s="3"/>
      <c r="H3082" s="3"/>
      <c r="I3082" s="3"/>
      <c r="J3082" s="3"/>
      <c r="K3082" s="3"/>
      <c r="L3082" s="3"/>
      <c r="M3082" s="3"/>
      <c r="N3082" s="3"/>
      <c r="O3082" s="3"/>
      <c r="P3082" s="3"/>
      <c r="Q3082" s="3"/>
      <c r="R3082" s="3"/>
      <c r="S3082" s="3"/>
      <c r="T3082" s="5"/>
      <c r="U3082" s="5"/>
      <c r="V3082" s="5"/>
      <c r="W3082" s="5"/>
    </row>
    <row r="3083" ht="15.75" customHeight="1">
      <c r="A3083" s="3" t="str">
        <f>IFERROR(__xludf.DUMMYFUNCTION("""COMPUTED_VALUE"""),"")</f>
        <v/>
      </c>
      <c r="B3083" s="3"/>
      <c r="C3083" s="3"/>
      <c r="D3083" s="3"/>
      <c r="E3083" s="3"/>
      <c r="F3083" s="3"/>
      <c r="G3083" s="3"/>
      <c r="H3083" s="3"/>
      <c r="I3083" s="3"/>
      <c r="J3083" s="3"/>
      <c r="K3083" s="3"/>
      <c r="L3083" s="3"/>
      <c r="M3083" s="3"/>
      <c r="N3083" s="3"/>
      <c r="O3083" s="3"/>
      <c r="P3083" s="3"/>
      <c r="Q3083" s="3"/>
      <c r="R3083" s="3"/>
      <c r="S3083" s="3"/>
      <c r="T3083" s="5"/>
      <c r="U3083" s="5"/>
      <c r="V3083" s="5"/>
      <c r="W3083" s="5"/>
    </row>
    <row r="3084" ht="15.75" customHeight="1">
      <c r="A3084" s="3" t="str">
        <f>IFERROR(__xludf.DUMMYFUNCTION("""COMPUTED_VALUE"""),"")</f>
        <v/>
      </c>
      <c r="B3084" s="3"/>
      <c r="C3084" s="3"/>
      <c r="D3084" s="3"/>
      <c r="E3084" s="3"/>
      <c r="F3084" s="3"/>
      <c r="G3084" s="3"/>
      <c r="H3084" s="3"/>
      <c r="I3084" s="3"/>
      <c r="J3084" s="3"/>
      <c r="K3084" s="3"/>
      <c r="L3084" s="3"/>
      <c r="M3084" s="3"/>
      <c r="N3084" s="3"/>
      <c r="O3084" s="3"/>
      <c r="P3084" s="3"/>
      <c r="Q3084" s="3"/>
      <c r="R3084" s="3"/>
      <c r="S3084" s="3"/>
      <c r="T3084" s="5"/>
      <c r="U3084" s="5"/>
      <c r="V3084" s="5"/>
      <c r="W3084" s="5"/>
    </row>
    <row r="3085" ht="15.75" customHeight="1">
      <c r="A3085" s="3" t="str">
        <f>IFERROR(__xludf.DUMMYFUNCTION("""COMPUTED_VALUE"""),"")</f>
        <v/>
      </c>
      <c r="B3085" s="3"/>
      <c r="C3085" s="3"/>
      <c r="D3085" s="3"/>
      <c r="E3085" s="3"/>
      <c r="F3085" s="3"/>
      <c r="G3085" s="3"/>
      <c r="H3085" s="3"/>
      <c r="I3085" s="3"/>
      <c r="J3085" s="3"/>
      <c r="K3085" s="3"/>
      <c r="L3085" s="3"/>
      <c r="M3085" s="3"/>
      <c r="N3085" s="3"/>
      <c r="O3085" s="3"/>
      <c r="P3085" s="3"/>
      <c r="Q3085" s="3"/>
      <c r="R3085" s="3"/>
      <c r="S3085" s="3"/>
      <c r="T3085" s="5"/>
      <c r="U3085" s="5"/>
      <c r="V3085" s="5"/>
      <c r="W3085" s="5"/>
    </row>
    <row r="3086" ht="15.75" customHeight="1">
      <c r="A3086" s="3" t="str">
        <f>IFERROR(__xludf.DUMMYFUNCTION("""COMPUTED_VALUE"""),"")</f>
        <v/>
      </c>
      <c r="B3086" s="3"/>
      <c r="C3086" s="3"/>
      <c r="D3086" s="3"/>
      <c r="E3086" s="3"/>
      <c r="F3086" s="3"/>
      <c r="G3086" s="3"/>
      <c r="H3086" s="3"/>
      <c r="I3086" s="3"/>
      <c r="J3086" s="3"/>
      <c r="K3086" s="3"/>
      <c r="L3086" s="3"/>
      <c r="M3086" s="3"/>
      <c r="N3086" s="3"/>
      <c r="O3086" s="3"/>
      <c r="P3086" s="3"/>
      <c r="Q3086" s="3"/>
      <c r="R3086" s="3"/>
      <c r="S3086" s="3"/>
      <c r="T3086" s="5"/>
      <c r="U3086" s="5"/>
      <c r="V3086" s="5"/>
      <c r="W3086" s="5"/>
    </row>
    <row r="3087" ht="15.75" customHeight="1">
      <c r="A3087" s="3" t="str">
        <f>IFERROR(__xludf.DUMMYFUNCTION("""COMPUTED_VALUE"""),"")</f>
        <v/>
      </c>
      <c r="B3087" s="3"/>
      <c r="C3087" s="3"/>
      <c r="D3087" s="3"/>
      <c r="E3087" s="3"/>
      <c r="F3087" s="3"/>
      <c r="G3087" s="3"/>
      <c r="H3087" s="3"/>
      <c r="I3087" s="3"/>
      <c r="J3087" s="3"/>
      <c r="K3087" s="3"/>
      <c r="L3087" s="3"/>
      <c r="M3087" s="3"/>
      <c r="N3087" s="3"/>
      <c r="O3087" s="3"/>
      <c r="P3087" s="3"/>
      <c r="Q3087" s="3"/>
      <c r="R3087" s="3"/>
      <c r="S3087" s="3"/>
      <c r="T3087" s="5"/>
      <c r="U3087" s="5"/>
      <c r="V3087" s="5"/>
      <c r="W3087" s="5"/>
    </row>
    <row r="3088" ht="15.75" customHeight="1">
      <c r="A3088" s="3" t="str">
        <f>IFERROR(__xludf.DUMMYFUNCTION("""COMPUTED_VALUE"""),"")</f>
        <v/>
      </c>
      <c r="B3088" s="3"/>
      <c r="C3088" s="3"/>
      <c r="D3088" s="3"/>
      <c r="E3088" s="3"/>
      <c r="F3088" s="3"/>
      <c r="G3088" s="3"/>
      <c r="H3088" s="3"/>
      <c r="I3088" s="3"/>
      <c r="J3088" s="3"/>
      <c r="K3088" s="3"/>
      <c r="L3088" s="3"/>
      <c r="M3088" s="3"/>
      <c r="N3088" s="3"/>
      <c r="O3088" s="3"/>
      <c r="P3088" s="3"/>
      <c r="Q3088" s="3"/>
      <c r="R3088" s="3"/>
      <c r="S3088" s="3"/>
      <c r="T3088" s="5"/>
      <c r="U3088" s="5"/>
      <c r="V3088" s="5"/>
      <c r="W3088" s="5"/>
    </row>
    <row r="3089" ht="15.75" customHeight="1">
      <c r="A3089" s="3" t="str">
        <f>IFERROR(__xludf.DUMMYFUNCTION("""COMPUTED_VALUE"""),"")</f>
        <v/>
      </c>
      <c r="B3089" s="3"/>
      <c r="C3089" s="3"/>
      <c r="D3089" s="3"/>
      <c r="E3089" s="3"/>
      <c r="F3089" s="3"/>
      <c r="G3089" s="3"/>
      <c r="H3089" s="3"/>
      <c r="I3089" s="3"/>
      <c r="J3089" s="3"/>
      <c r="K3089" s="3"/>
      <c r="L3089" s="3"/>
      <c r="M3089" s="3"/>
      <c r="N3089" s="3"/>
      <c r="O3089" s="3"/>
      <c r="P3089" s="3"/>
      <c r="Q3089" s="3"/>
      <c r="R3089" s="3"/>
      <c r="S3089" s="3"/>
      <c r="T3089" s="5"/>
      <c r="U3089" s="5"/>
      <c r="V3089" s="5"/>
      <c r="W3089" s="5"/>
    </row>
    <row r="3090" ht="15.75" customHeight="1">
      <c r="A3090" s="3" t="str">
        <f>IFERROR(__xludf.DUMMYFUNCTION("""COMPUTED_VALUE"""),"")</f>
        <v/>
      </c>
      <c r="B3090" s="3"/>
      <c r="C3090" s="3"/>
      <c r="D3090" s="3"/>
      <c r="E3090" s="3"/>
      <c r="F3090" s="3"/>
      <c r="G3090" s="3"/>
      <c r="H3090" s="3"/>
      <c r="I3090" s="3"/>
      <c r="J3090" s="3"/>
      <c r="K3090" s="3"/>
      <c r="L3090" s="3"/>
      <c r="M3090" s="3"/>
      <c r="N3090" s="3"/>
      <c r="O3090" s="3"/>
      <c r="P3090" s="3"/>
      <c r="Q3090" s="3"/>
      <c r="R3090" s="3"/>
      <c r="S3090" s="3"/>
      <c r="T3090" s="5"/>
      <c r="U3090" s="5"/>
      <c r="V3090" s="5"/>
      <c r="W3090" s="5"/>
    </row>
    <row r="3091" ht="15.75" customHeight="1">
      <c r="A3091" s="3" t="str">
        <f>IFERROR(__xludf.DUMMYFUNCTION("""COMPUTED_VALUE"""),"")</f>
        <v/>
      </c>
      <c r="B3091" s="3"/>
      <c r="C3091" s="3"/>
      <c r="D3091" s="3"/>
      <c r="E3091" s="3"/>
      <c r="F3091" s="3"/>
      <c r="G3091" s="3"/>
      <c r="H3091" s="3"/>
      <c r="I3091" s="3"/>
      <c r="J3091" s="3"/>
      <c r="K3091" s="3"/>
      <c r="L3091" s="3"/>
      <c r="M3091" s="3"/>
      <c r="N3091" s="3"/>
      <c r="O3091" s="3"/>
      <c r="P3091" s="3"/>
      <c r="Q3091" s="3"/>
      <c r="R3091" s="3"/>
      <c r="S3091" s="3"/>
      <c r="T3091" s="5"/>
      <c r="U3091" s="5"/>
      <c r="V3091" s="5"/>
      <c r="W3091" s="5"/>
    </row>
    <row r="3092" ht="15.75" customHeight="1">
      <c r="A3092" s="3" t="str">
        <f>IFERROR(__xludf.DUMMYFUNCTION("""COMPUTED_VALUE"""),"")</f>
        <v/>
      </c>
      <c r="B3092" s="3"/>
      <c r="C3092" s="3"/>
      <c r="D3092" s="3"/>
      <c r="E3092" s="3"/>
      <c r="F3092" s="3"/>
      <c r="G3092" s="3"/>
      <c r="H3092" s="3"/>
      <c r="I3092" s="3"/>
      <c r="J3092" s="3"/>
      <c r="K3092" s="3"/>
      <c r="L3092" s="3"/>
      <c r="M3092" s="3"/>
      <c r="N3092" s="3"/>
      <c r="O3092" s="3"/>
      <c r="P3092" s="3"/>
      <c r="Q3092" s="3"/>
      <c r="R3092" s="3"/>
      <c r="S3092" s="3"/>
      <c r="T3092" s="5"/>
      <c r="U3092" s="5"/>
      <c r="V3092" s="5"/>
      <c r="W3092" s="5"/>
    </row>
    <row r="3093" ht="15.75" customHeight="1">
      <c r="A3093" s="3" t="str">
        <f>IFERROR(__xludf.DUMMYFUNCTION("""COMPUTED_VALUE"""),"")</f>
        <v/>
      </c>
      <c r="B3093" s="3"/>
      <c r="C3093" s="3"/>
      <c r="D3093" s="3"/>
      <c r="E3093" s="3"/>
      <c r="F3093" s="3"/>
      <c r="G3093" s="3"/>
      <c r="H3093" s="3"/>
      <c r="I3093" s="3"/>
      <c r="J3093" s="3"/>
      <c r="K3093" s="3"/>
      <c r="L3093" s="3"/>
      <c r="M3093" s="3"/>
      <c r="N3093" s="3"/>
      <c r="O3093" s="3"/>
      <c r="P3093" s="3"/>
      <c r="Q3093" s="3"/>
      <c r="R3093" s="3"/>
      <c r="S3093" s="3"/>
      <c r="T3093" s="5"/>
      <c r="U3093" s="5"/>
      <c r="V3093" s="5"/>
      <c r="W3093" s="5"/>
    </row>
    <row r="3094" ht="15.75" customHeight="1">
      <c r="A3094" s="3" t="str">
        <f>IFERROR(__xludf.DUMMYFUNCTION("""COMPUTED_VALUE"""),"")</f>
        <v/>
      </c>
      <c r="B3094" s="3"/>
      <c r="C3094" s="3"/>
      <c r="D3094" s="3"/>
      <c r="E3094" s="3"/>
      <c r="F3094" s="3"/>
      <c r="G3094" s="3"/>
      <c r="H3094" s="3"/>
      <c r="I3094" s="3"/>
      <c r="J3094" s="3"/>
      <c r="K3094" s="3"/>
      <c r="L3094" s="3"/>
      <c r="M3094" s="3"/>
      <c r="N3094" s="3"/>
      <c r="O3094" s="3"/>
      <c r="P3094" s="3"/>
      <c r="Q3094" s="3"/>
      <c r="R3094" s="3"/>
      <c r="S3094" s="3"/>
      <c r="T3094" s="5"/>
      <c r="U3094" s="5"/>
      <c r="V3094" s="5"/>
      <c r="W3094" s="5"/>
    </row>
    <row r="3095" ht="15.75" customHeight="1">
      <c r="A3095" s="3" t="str">
        <f>IFERROR(__xludf.DUMMYFUNCTION("""COMPUTED_VALUE"""),"")</f>
        <v/>
      </c>
      <c r="B3095" s="3"/>
      <c r="C3095" s="3"/>
      <c r="D3095" s="3"/>
      <c r="E3095" s="3"/>
      <c r="F3095" s="3"/>
      <c r="G3095" s="3"/>
      <c r="H3095" s="3"/>
      <c r="I3095" s="3"/>
      <c r="J3095" s="3"/>
      <c r="K3095" s="3"/>
      <c r="L3095" s="3"/>
      <c r="M3095" s="3"/>
      <c r="N3095" s="3"/>
      <c r="O3095" s="3"/>
      <c r="P3095" s="3"/>
      <c r="Q3095" s="3"/>
      <c r="R3095" s="3"/>
      <c r="S3095" s="3"/>
      <c r="T3095" s="5"/>
      <c r="U3095" s="5"/>
      <c r="V3095" s="5"/>
      <c r="W3095" s="5"/>
    </row>
    <row r="3096" ht="15.75" customHeight="1">
      <c r="A3096" s="3" t="str">
        <f>IFERROR(__xludf.DUMMYFUNCTION("""COMPUTED_VALUE"""),"")</f>
        <v/>
      </c>
      <c r="B3096" s="3"/>
      <c r="C3096" s="3"/>
      <c r="D3096" s="3"/>
      <c r="E3096" s="3"/>
      <c r="F3096" s="3"/>
      <c r="G3096" s="3"/>
      <c r="H3096" s="3"/>
      <c r="I3096" s="3"/>
      <c r="J3096" s="3"/>
      <c r="K3096" s="3"/>
      <c r="L3096" s="3"/>
      <c r="M3096" s="3"/>
      <c r="N3096" s="3"/>
      <c r="O3096" s="3"/>
      <c r="P3096" s="3"/>
      <c r="Q3096" s="3"/>
      <c r="R3096" s="3"/>
      <c r="S3096" s="3"/>
      <c r="T3096" s="5"/>
      <c r="U3096" s="5"/>
      <c r="V3096" s="5"/>
      <c r="W3096" s="5"/>
    </row>
    <row r="3097" ht="15.75" customHeight="1">
      <c r="A3097" s="3" t="str">
        <f>IFERROR(__xludf.DUMMYFUNCTION("""COMPUTED_VALUE"""),"")</f>
        <v/>
      </c>
      <c r="B3097" s="3"/>
      <c r="C3097" s="3"/>
      <c r="D3097" s="3"/>
      <c r="E3097" s="3"/>
      <c r="F3097" s="3"/>
      <c r="G3097" s="3"/>
      <c r="H3097" s="3"/>
      <c r="I3097" s="3"/>
      <c r="J3097" s="3"/>
      <c r="K3097" s="3"/>
      <c r="L3097" s="3"/>
      <c r="M3097" s="3"/>
      <c r="N3097" s="3"/>
      <c r="O3097" s="3"/>
      <c r="P3097" s="3"/>
      <c r="Q3097" s="3"/>
      <c r="R3097" s="3"/>
      <c r="S3097" s="3"/>
      <c r="T3097" s="5"/>
      <c r="U3097" s="5"/>
      <c r="V3097" s="5"/>
      <c r="W3097" s="5"/>
    </row>
    <row r="3098" ht="15.75" customHeight="1">
      <c r="A3098" s="3" t="str">
        <f>IFERROR(__xludf.DUMMYFUNCTION("""COMPUTED_VALUE"""),"")</f>
        <v/>
      </c>
      <c r="B3098" s="3"/>
      <c r="C3098" s="3"/>
      <c r="D3098" s="3"/>
      <c r="E3098" s="3"/>
      <c r="F3098" s="3"/>
      <c r="G3098" s="3"/>
      <c r="H3098" s="3"/>
      <c r="I3098" s="3"/>
      <c r="J3098" s="3"/>
      <c r="K3098" s="3"/>
      <c r="L3098" s="3"/>
      <c r="M3098" s="3"/>
      <c r="N3098" s="3"/>
      <c r="O3098" s="3"/>
      <c r="P3098" s="3"/>
      <c r="Q3098" s="3"/>
      <c r="R3098" s="3"/>
      <c r="S3098" s="3"/>
      <c r="T3098" s="5"/>
      <c r="U3098" s="5"/>
      <c r="V3098" s="5"/>
      <c r="W3098" s="5"/>
    </row>
    <row r="3099" ht="15.75" customHeight="1">
      <c r="A3099" s="3" t="str">
        <f>IFERROR(__xludf.DUMMYFUNCTION("""COMPUTED_VALUE"""),"")</f>
        <v/>
      </c>
      <c r="B3099" s="3"/>
      <c r="C3099" s="3"/>
      <c r="D3099" s="3"/>
      <c r="E3099" s="3"/>
      <c r="F3099" s="3"/>
      <c r="G3099" s="3"/>
      <c r="H3099" s="3"/>
      <c r="I3099" s="3"/>
      <c r="J3099" s="3"/>
      <c r="K3099" s="3"/>
      <c r="L3099" s="3"/>
      <c r="M3099" s="3"/>
      <c r="N3099" s="3"/>
      <c r="O3099" s="3"/>
      <c r="P3099" s="3"/>
      <c r="Q3099" s="3"/>
      <c r="R3099" s="3"/>
      <c r="S3099" s="3"/>
      <c r="T3099" s="5"/>
      <c r="U3099" s="5"/>
      <c r="V3099" s="5"/>
      <c r="W3099" s="5"/>
    </row>
    <row r="3100" ht="15.75" customHeight="1">
      <c r="A3100" s="3" t="str">
        <f>IFERROR(__xludf.DUMMYFUNCTION("""COMPUTED_VALUE"""),"")</f>
        <v/>
      </c>
      <c r="B3100" s="3"/>
      <c r="C3100" s="3"/>
      <c r="D3100" s="3"/>
      <c r="E3100" s="3"/>
      <c r="F3100" s="3"/>
      <c r="G3100" s="3"/>
      <c r="H3100" s="3"/>
      <c r="I3100" s="3"/>
      <c r="J3100" s="3"/>
      <c r="K3100" s="3"/>
      <c r="L3100" s="3"/>
      <c r="M3100" s="3"/>
      <c r="N3100" s="3"/>
      <c r="O3100" s="3"/>
      <c r="P3100" s="3"/>
      <c r="Q3100" s="3"/>
      <c r="R3100" s="3"/>
      <c r="S3100" s="3"/>
      <c r="T3100" s="5"/>
      <c r="U3100" s="5"/>
      <c r="V3100" s="5"/>
      <c r="W3100" s="5"/>
    </row>
    <row r="3101" ht="15.75" customHeight="1">
      <c r="A3101" s="3" t="str">
        <f>IFERROR(__xludf.DUMMYFUNCTION("""COMPUTED_VALUE"""),"")</f>
        <v/>
      </c>
      <c r="B3101" s="3"/>
      <c r="C3101" s="3"/>
      <c r="D3101" s="3"/>
      <c r="E3101" s="3"/>
      <c r="F3101" s="3"/>
      <c r="G3101" s="3"/>
      <c r="H3101" s="3"/>
      <c r="I3101" s="3"/>
      <c r="J3101" s="3"/>
      <c r="K3101" s="3"/>
      <c r="L3101" s="3"/>
      <c r="M3101" s="3"/>
      <c r="N3101" s="3"/>
      <c r="O3101" s="3"/>
      <c r="P3101" s="3"/>
      <c r="Q3101" s="3"/>
      <c r="R3101" s="3"/>
      <c r="S3101" s="3"/>
      <c r="T3101" s="5"/>
      <c r="U3101" s="5"/>
      <c r="V3101" s="5"/>
      <c r="W3101" s="5"/>
    </row>
    <row r="3102" ht="15.75" customHeight="1">
      <c r="A3102" s="3" t="str">
        <f>IFERROR(__xludf.DUMMYFUNCTION("""COMPUTED_VALUE"""),"")</f>
        <v/>
      </c>
      <c r="B3102" s="3"/>
      <c r="C3102" s="3"/>
      <c r="D3102" s="3"/>
      <c r="E3102" s="3"/>
      <c r="F3102" s="3"/>
      <c r="G3102" s="3"/>
      <c r="H3102" s="3"/>
      <c r="I3102" s="3"/>
      <c r="J3102" s="3"/>
      <c r="K3102" s="3"/>
      <c r="L3102" s="3"/>
      <c r="M3102" s="3"/>
      <c r="N3102" s="3"/>
      <c r="O3102" s="3"/>
      <c r="P3102" s="3"/>
      <c r="Q3102" s="3"/>
      <c r="R3102" s="3"/>
      <c r="S3102" s="3"/>
      <c r="T3102" s="5"/>
      <c r="U3102" s="5"/>
      <c r="V3102" s="5"/>
      <c r="W3102" s="5"/>
    </row>
    <row r="3103" ht="15.75" customHeight="1">
      <c r="A3103" s="3" t="str">
        <f>IFERROR(__xludf.DUMMYFUNCTION("""COMPUTED_VALUE"""),"")</f>
        <v/>
      </c>
      <c r="B3103" s="3"/>
      <c r="C3103" s="3"/>
      <c r="D3103" s="3"/>
      <c r="E3103" s="3"/>
      <c r="F3103" s="3"/>
      <c r="G3103" s="3"/>
      <c r="H3103" s="3"/>
      <c r="I3103" s="3"/>
      <c r="J3103" s="3"/>
      <c r="K3103" s="3"/>
      <c r="L3103" s="3"/>
      <c r="M3103" s="3"/>
      <c r="N3103" s="3"/>
      <c r="O3103" s="3"/>
      <c r="P3103" s="3"/>
      <c r="Q3103" s="3"/>
      <c r="R3103" s="3"/>
      <c r="S3103" s="3"/>
      <c r="T3103" s="5"/>
      <c r="U3103" s="5"/>
      <c r="V3103" s="5"/>
      <c r="W3103" s="5"/>
    </row>
    <row r="3104" ht="15.75" customHeight="1">
      <c r="A3104" s="3" t="str">
        <f>IFERROR(__xludf.DUMMYFUNCTION("""COMPUTED_VALUE"""),"")</f>
        <v/>
      </c>
      <c r="B3104" s="3"/>
      <c r="C3104" s="3"/>
      <c r="D3104" s="3"/>
      <c r="E3104" s="3"/>
      <c r="F3104" s="3"/>
      <c r="G3104" s="3"/>
      <c r="H3104" s="3"/>
      <c r="I3104" s="3"/>
      <c r="J3104" s="3"/>
      <c r="K3104" s="3"/>
      <c r="L3104" s="3"/>
      <c r="M3104" s="3"/>
      <c r="N3104" s="3"/>
      <c r="O3104" s="3"/>
      <c r="P3104" s="3"/>
      <c r="Q3104" s="3"/>
      <c r="R3104" s="3"/>
      <c r="S3104" s="3"/>
      <c r="T3104" s="5"/>
      <c r="U3104" s="5"/>
      <c r="V3104" s="5"/>
      <c r="W3104" s="5"/>
    </row>
    <row r="3105" ht="15.75" customHeight="1">
      <c r="A3105" s="3" t="str">
        <f>IFERROR(__xludf.DUMMYFUNCTION("""COMPUTED_VALUE"""),"")</f>
        <v/>
      </c>
      <c r="B3105" s="3"/>
      <c r="C3105" s="3"/>
      <c r="D3105" s="3"/>
      <c r="E3105" s="3"/>
      <c r="F3105" s="3"/>
      <c r="G3105" s="3"/>
      <c r="H3105" s="3"/>
      <c r="I3105" s="3"/>
      <c r="J3105" s="3"/>
      <c r="K3105" s="3"/>
      <c r="L3105" s="3"/>
      <c r="M3105" s="3"/>
      <c r="N3105" s="3"/>
      <c r="O3105" s="3"/>
      <c r="P3105" s="3"/>
      <c r="Q3105" s="3"/>
      <c r="R3105" s="3"/>
      <c r="S3105" s="3"/>
      <c r="T3105" s="5"/>
      <c r="U3105" s="5"/>
      <c r="V3105" s="5"/>
      <c r="W3105" s="5"/>
    </row>
    <row r="3106" ht="15.75" customHeight="1">
      <c r="A3106" s="3" t="str">
        <f>IFERROR(__xludf.DUMMYFUNCTION("""COMPUTED_VALUE"""),"")</f>
        <v/>
      </c>
      <c r="B3106" s="3"/>
      <c r="C3106" s="3"/>
      <c r="D3106" s="3"/>
      <c r="E3106" s="3"/>
      <c r="F3106" s="3"/>
      <c r="G3106" s="3"/>
      <c r="H3106" s="3"/>
      <c r="I3106" s="3"/>
      <c r="J3106" s="3"/>
      <c r="K3106" s="3"/>
      <c r="L3106" s="3"/>
      <c r="M3106" s="3"/>
      <c r="N3106" s="3"/>
      <c r="O3106" s="3"/>
      <c r="P3106" s="3"/>
      <c r="Q3106" s="3"/>
      <c r="R3106" s="3"/>
      <c r="S3106" s="3"/>
      <c r="T3106" s="5"/>
      <c r="U3106" s="5"/>
      <c r="V3106" s="5"/>
      <c r="W3106" s="5"/>
    </row>
    <row r="3107" ht="15.75" customHeight="1">
      <c r="A3107" s="3" t="str">
        <f>IFERROR(__xludf.DUMMYFUNCTION("""COMPUTED_VALUE"""),"")</f>
        <v/>
      </c>
      <c r="B3107" s="3"/>
      <c r="C3107" s="3"/>
      <c r="D3107" s="3"/>
      <c r="E3107" s="3"/>
      <c r="F3107" s="3"/>
      <c r="G3107" s="3"/>
      <c r="H3107" s="3"/>
      <c r="I3107" s="3"/>
      <c r="J3107" s="3"/>
      <c r="K3107" s="3"/>
      <c r="L3107" s="3"/>
      <c r="M3107" s="3"/>
      <c r="N3107" s="3"/>
      <c r="O3107" s="3"/>
      <c r="P3107" s="3"/>
      <c r="Q3107" s="3"/>
      <c r="R3107" s="3"/>
      <c r="S3107" s="3"/>
      <c r="T3107" s="5"/>
      <c r="U3107" s="5"/>
      <c r="V3107" s="5"/>
      <c r="W3107" s="5"/>
    </row>
    <row r="3108" ht="15.75" customHeight="1">
      <c r="A3108" s="3" t="str">
        <f>IFERROR(__xludf.DUMMYFUNCTION("""COMPUTED_VALUE"""),"")</f>
        <v/>
      </c>
      <c r="B3108" s="3"/>
      <c r="C3108" s="3"/>
      <c r="D3108" s="3"/>
      <c r="E3108" s="3"/>
      <c r="F3108" s="3"/>
      <c r="G3108" s="3"/>
      <c r="H3108" s="3"/>
      <c r="I3108" s="3"/>
      <c r="J3108" s="3"/>
      <c r="K3108" s="3"/>
      <c r="L3108" s="3"/>
      <c r="M3108" s="3"/>
      <c r="N3108" s="3"/>
      <c r="O3108" s="3"/>
      <c r="P3108" s="3"/>
      <c r="Q3108" s="3"/>
      <c r="R3108" s="3"/>
      <c r="S3108" s="3"/>
      <c r="T3108" s="5"/>
      <c r="U3108" s="5"/>
      <c r="V3108" s="5"/>
      <c r="W3108" s="5"/>
    </row>
    <row r="3109" ht="15.75" customHeight="1">
      <c r="A3109" s="3" t="str">
        <f>IFERROR(__xludf.DUMMYFUNCTION("""COMPUTED_VALUE"""),"")</f>
        <v/>
      </c>
      <c r="B3109" s="3"/>
      <c r="C3109" s="3"/>
      <c r="D3109" s="3"/>
      <c r="E3109" s="3"/>
      <c r="F3109" s="3"/>
      <c r="G3109" s="3"/>
      <c r="H3109" s="3"/>
      <c r="I3109" s="3"/>
      <c r="J3109" s="3"/>
      <c r="K3109" s="3"/>
      <c r="L3109" s="3"/>
      <c r="M3109" s="3"/>
      <c r="N3109" s="3"/>
      <c r="O3109" s="3"/>
      <c r="P3109" s="3"/>
      <c r="Q3109" s="3"/>
      <c r="R3109" s="3"/>
      <c r="S3109" s="3"/>
      <c r="T3109" s="5"/>
      <c r="U3109" s="5"/>
      <c r="V3109" s="5"/>
      <c r="W3109" s="5"/>
    </row>
    <row r="3110" ht="15.75" customHeight="1">
      <c r="A3110" s="3" t="str">
        <f>IFERROR(__xludf.DUMMYFUNCTION("""COMPUTED_VALUE"""),"")</f>
        <v/>
      </c>
      <c r="B3110" s="3"/>
      <c r="C3110" s="3"/>
      <c r="D3110" s="3"/>
      <c r="E3110" s="3"/>
      <c r="F3110" s="3"/>
      <c r="G3110" s="3"/>
      <c r="H3110" s="3"/>
      <c r="I3110" s="3"/>
      <c r="J3110" s="3"/>
      <c r="K3110" s="3"/>
      <c r="L3110" s="3"/>
      <c r="M3110" s="3"/>
      <c r="N3110" s="3"/>
      <c r="O3110" s="3"/>
      <c r="P3110" s="3"/>
      <c r="Q3110" s="3"/>
      <c r="R3110" s="3"/>
      <c r="S3110" s="3"/>
      <c r="T3110" s="5"/>
      <c r="U3110" s="5"/>
      <c r="V3110" s="5"/>
      <c r="W3110" s="5"/>
    </row>
    <row r="3111" ht="15.75" customHeight="1">
      <c r="A3111" s="3" t="str">
        <f>IFERROR(__xludf.DUMMYFUNCTION("""COMPUTED_VALUE"""),"")</f>
        <v/>
      </c>
      <c r="B3111" s="3"/>
      <c r="C3111" s="3"/>
      <c r="D3111" s="3"/>
      <c r="E3111" s="3"/>
      <c r="F3111" s="3"/>
      <c r="G3111" s="3"/>
      <c r="H3111" s="3"/>
      <c r="I3111" s="3"/>
      <c r="J3111" s="3"/>
      <c r="K3111" s="3"/>
      <c r="L3111" s="3"/>
      <c r="M3111" s="3"/>
      <c r="N3111" s="3"/>
      <c r="O3111" s="3"/>
      <c r="P3111" s="3"/>
      <c r="Q3111" s="3"/>
      <c r="R3111" s="3"/>
      <c r="S3111" s="3"/>
      <c r="T3111" s="5"/>
      <c r="U3111" s="5"/>
      <c r="V3111" s="5"/>
      <c r="W3111" s="5"/>
    </row>
    <row r="3112" ht="15.75" customHeight="1">
      <c r="A3112" s="3" t="str">
        <f>IFERROR(__xludf.DUMMYFUNCTION("""COMPUTED_VALUE"""),"")</f>
        <v/>
      </c>
      <c r="B3112" s="3"/>
      <c r="C3112" s="3"/>
      <c r="D3112" s="3"/>
      <c r="E3112" s="3"/>
      <c r="F3112" s="3"/>
      <c r="G3112" s="3"/>
      <c r="H3112" s="3"/>
      <c r="I3112" s="3"/>
      <c r="J3112" s="3"/>
      <c r="K3112" s="3"/>
      <c r="L3112" s="3"/>
      <c r="M3112" s="3"/>
      <c r="N3112" s="3"/>
      <c r="O3112" s="3"/>
      <c r="P3112" s="3"/>
      <c r="Q3112" s="3"/>
      <c r="R3112" s="3"/>
      <c r="S3112" s="3"/>
      <c r="T3112" s="5"/>
      <c r="U3112" s="5"/>
      <c r="V3112" s="5"/>
      <c r="W3112" s="5"/>
    </row>
    <row r="3113" ht="15.75" customHeight="1">
      <c r="A3113" s="3" t="str">
        <f>IFERROR(__xludf.DUMMYFUNCTION("""COMPUTED_VALUE"""),"")</f>
        <v/>
      </c>
      <c r="B3113" s="3"/>
      <c r="C3113" s="3"/>
      <c r="D3113" s="3"/>
      <c r="E3113" s="3"/>
      <c r="F3113" s="3"/>
      <c r="G3113" s="3"/>
      <c r="H3113" s="3"/>
      <c r="I3113" s="3"/>
      <c r="J3113" s="3"/>
      <c r="K3113" s="3"/>
      <c r="L3113" s="3"/>
      <c r="M3113" s="3"/>
      <c r="N3113" s="3"/>
      <c r="O3113" s="3"/>
      <c r="P3113" s="3"/>
      <c r="Q3113" s="3"/>
      <c r="R3113" s="3"/>
      <c r="S3113" s="3"/>
      <c r="T3113" s="5"/>
      <c r="U3113" s="5"/>
      <c r="V3113" s="5"/>
      <c r="W3113" s="5"/>
    </row>
    <row r="3114" ht="15.75" customHeight="1">
      <c r="A3114" s="3" t="str">
        <f>IFERROR(__xludf.DUMMYFUNCTION("""COMPUTED_VALUE"""),"")</f>
        <v/>
      </c>
      <c r="B3114" s="3"/>
      <c r="C3114" s="3"/>
      <c r="D3114" s="3"/>
      <c r="E3114" s="3"/>
      <c r="F3114" s="3"/>
      <c r="G3114" s="3"/>
      <c r="H3114" s="3"/>
      <c r="I3114" s="3"/>
      <c r="J3114" s="3"/>
      <c r="K3114" s="3"/>
      <c r="L3114" s="3"/>
      <c r="M3114" s="3"/>
      <c r="N3114" s="3"/>
      <c r="O3114" s="3"/>
      <c r="P3114" s="3"/>
      <c r="Q3114" s="3"/>
      <c r="R3114" s="3"/>
      <c r="S3114" s="3"/>
      <c r="T3114" s="5"/>
      <c r="U3114" s="5"/>
      <c r="V3114" s="5"/>
      <c r="W3114" s="5"/>
    </row>
    <row r="3115" ht="15.75" customHeight="1">
      <c r="A3115" s="3" t="str">
        <f>IFERROR(__xludf.DUMMYFUNCTION("""COMPUTED_VALUE"""),"")</f>
        <v/>
      </c>
      <c r="B3115" s="3"/>
      <c r="C3115" s="3"/>
      <c r="D3115" s="3"/>
      <c r="E3115" s="3"/>
      <c r="F3115" s="3"/>
      <c r="G3115" s="3"/>
      <c r="H3115" s="3"/>
      <c r="I3115" s="3"/>
      <c r="J3115" s="3"/>
      <c r="K3115" s="3"/>
      <c r="L3115" s="3"/>
      <c r="M3115" s="3"/>
      <c r="N3115" s="3"/>
      <c r="O3115" s="3"/>
      <c r="P3115" s="3"/>
      <c r="Q3115" s="3"/>
      <c r="R3115" s="3"/>
      <c r="S3115" s="3"/>
      <c r="T3115" s="5"/>
      <c r="U3115" s="5"/>
      <c r="V3115" s="5"/>
      <c r="W3115" s="5"/>
    </row>
    <row r="3116" ht="15.75" customHeight="1">
      <c r="A3116" s="3" t="str">
        <f>IFERROR(__xludf.DUMMYFUNCTION("""COMPUTED_VALUE"""),"")</f>
        <v/>
      </c>
      <c r="B3116" s="3"/>
      <c r="C3116" s="3"/>
      <c r="D3116" s="3"/>
      <c r="E3116" s="3"/>
      <c r="F3116" s="3"/>
      <c r="G3116" s="3"/>
      <c r="H3116" s="3"/>
      <c r="I3116" s="3"/>
      <c r="J3116" s="3"/>
      <c r="K3116" s="3"/>
      <c r="L3116" s="3"/>
      <c r="M3116" s="3"/>
      <c r="N3116" s="3"/>
      <c r="O3116" s="3"/>
      <c r="P3116" s="3"/>
      <c r="Q3116" s="3"/>
      <c r="R3116" s="3"/>
      <c r="S3116" s="3"/>
      <c r="T3116" s="5"/>
      <c r="U3116" s="5"/>
      <c r="V3116" s="5"/>
      <c r="W3116" s="5"/>
    </row>
    <row r="3117" ht="15.75" customHeight="1">
      <c r="A3117" s="3" t="str">
        <f>IFERROR(__xludf.DUMMYFUNCTION("""COMPUTED_VALUE"""),"")</f>
        <v/>
      </c>
      <c r="B3117" s="3"/>
      <c r="C3117" s="3"/>
      <c r="D3117" s="3"/>
      <c r="E3117" s="3"/>
      <c r="F3117" s="3"/>
      <c r="G3117" s="3"/>
      <c r="H3117" s="3"/>
      <c r="I3117" s="3"/>
      <c r="J3117" s="3"/>
      <c r="K3117" s="3"/>
      <c r="L3117" s="3"/>
      <c r="M3117" s="3"/>
      <c r="N3117" s="3"/>
      <c r="O3117" s="3"/>
      <c r="P3117" s="3"/>
      <c r="Q3117" s="3"/>
      <c r="R3117" s="3"/>
      <c r="S3117" s="3"/>
      <c r="T3117" s="5"/>
      <c r="U3117" s="5"/>
      <c r="V3117" s="5"/>
      <c r="W3117" s="5"/>
    </row>
    <row r="3118" ht="15.75" customHeight="1">
      <c r="A3118" s="3" t="str">
        <f>IFERROR(__xludf.DUMMYFUNCTION("""COMPUTED_VALUE"""),"")</f>
        <v/>
      </c>
      <c r="B3118" s="3"/>
      <c r="C3118" s="3"/>
      <c r="D3118" s="3"/>
      <c r="E3118" s="3"/>
      <c r="F3118" s="3"/>
      <c r="G3118" s="3"/>
      <c r="H3118" s="3"/>
      <c r="I3118" s="3"/>
      <c r="J3118" s="3"/>
      <c r="K3118" s="3"/>
      <c r="L3118" s="3"/>
      <c r="M3118" s="3"/>
      <c r="N3118" s="3"/>
      <c r="O3118" s="3"/>
      <c r="P3118" s="3"/>
      <c r="Q3118" s="3"/>
      <c r="R3118" s="3"/>
      <c r="S3118" s="3"/>
      <c r="T3118" s="5"/>
      <c r="U3118" s="5"/>
      <c r="V3118" s="5"/>
      <c r="W3118" s="5"/>
    </row>
    <row r="3119" ht="15.75" customHeight="1">
      <c r="A3119" s="3" t="str">
        <f>IFERROR(__xludf.DUMMYFUNCTION("""COMPUTED_VALUE"""),"")</f>
        <v/>
      </c>
      <c r="B3119" s="3"/>
      <c r="C3119" s="3"/>
      <c r="D3119" s="3"/>
      <c r="E3119" s="3"/>
      <c r="F3119" s="3"/>
      <c r="G3119" s="3"/>
      <c r="H3119" s="3"/>
      <c r="I3119" s="3"/>
      <c r="J3119" s="3"/>
      <c r="K3119" s="3"/>
      <c r="L3119" s="3"/>
      <c r="M3119" s="3"/>
      <c r="N3119" s="3"/>
      <c r="O3119" s="3"/>
      <c r="P3119" s="3"/>
      <c r="Q3119" s="3"/>
      <c r="R3119" s="3"/>
      <c r="S3119" s="3"/>
      <c r="T3119" s="5"/>
      <c r="U3119" s="5"/>
      <c r="V3119" s="5"/>
      <c r="W3119" s="5"/>
    </row>
    <row r="3120" ht="15.75" customHeight="1">
      <c r="A3120" s="3" t="str">
        <f>IFERROR(__xludf.DUMMYFUNCTION("""COMPUTED_VALUE"""),"")</f>
        <v/>
      </c>
      <c r="B3120" s="3"/>
      <c r="C3120" s="3"/>
      <c r="D3120" s="3"/>
      <c r="E3120" s="3"/>
      <c r="F3120" s="3"/>
      <c r="G3120" s="3"/>
      <c r="H3120" s="3"/>
      <c r="I3120" s="3"/>
      <c r="J3120" s="3"/>
      <c r="K3120" s="3"/>
      <c r="L3120" s="3"/>
      <c r="M3120" s="3"/>
      <c r="N3120" s="3"/>
      <c r="O3120" s="3"/>
      <c r="P3120" s="3"/>
      <c r="Q3120" s="3"/>
      <c r="R3120" s="3"/>
      <c r="S3120" s="3"/>
      <c r="T3120" s="5"/>
      <c r="U3120" s="5"/>
      <c r="V3120" s="5"/>
      <c r="W3120" s="5"/>
    </row>
    <row r="3121" ht="15.75" customHeight="1">
      <c r="A3121" s="3" t="str">
        <f>IFERROR(__xludf.DUMMYFUNCTION("""COMPUTED_VALUE"""),"")</f>
        <v/>
      </c>
      <c r="B3121" s="3"/>
      <c r="C3121" s="3"/>
      <c r="D3121" s="3"/>
      <c r="E3121" s="3"/>
      <c r="F3121" s="3"/>
      <c r="G3121" s="3"/>
      <c r="H3121" s="3"/>
      <c r="I3121" s="3"/>
      <c r="J3121" s="3"/>
      <c r="K3121" s="3"/>
      <c r="L3121" s="3"/>
      <c r="M3121" s="3"/>
      <c r="N3121" s="3"/>
      <c r="O3121" s="3"/>
      <c r="P3121" s="3"/>
      <c r="Q3121" s="3"/>
      <c r="R3121" s="3"/>
      <c r="S3121" s="3"/>
      <c r="T3121" s="5"/>
      <c r="U3121" s="5"/>
      <c r="V3121" s="5"/>
      <c r="W3121" s="5"/>
    </row>
    <row r="3122" ht="15.75" customHeight="1">
      <c r="A3122" s="3" t="str">
        <f>IFERROR(__xludf.DUMMYFUNCTION("""COMPUTED_VALUE"""),"")</f>
        <v/>
      </c>
      <c r="B3122" s="3"/>
      <c r="C3122" s="3"/>
      <c r="D3122" s="3"/>
      <c r="E3122" s="3"/>
      <c r="F3122" s="3"/>
      <c r="G3122" s="3"/>
      <c r="H3122" s="3"/>
      <c r="I3122" s="3"/>
      <c r="J3122" s="3"/>
      <c r="K3122" s="3"/>
      <c r="L3122" s="3"/>
      <c r="M3122" s="3"/>
      <c r="N3122" s="3"/>
      <c r="O3122" s="3"/>
      <c r="P3122" s="3"/>
      <c r="Q3122" s="3"/>
      <c r="R3122" s="3"/>
      <c r="S3122" s="3"/>
      <c r="T3122" s="5"/>
      <c r="U3122" s="5"/>
      <c r="V3122" s="5"/>
      <c r="W3122" s="5"/>
    </row>
    <row r="3123" ht="15.75" customHeight="1">
      <c r="A3123" s="3" t="str">
        <f>IFERROR(__xludf.DUMMYFUNCTION("""COMPUTED_VALUE"""),"")</f>
        <v/>
      </c>
      <c r="B3123" s="3"/>
      <c r="C3123" s="3"/>
      <c r="D3123" s="3"/>
      <c r="E3123" s="3"/>
      <c r="F3123" s="3"/>
      <c r="G3123" s="3"/>
      <c r="H3123" s="3"/>
      <c r="I3123" s="3"/>
      <c r="J3123" s="3"/>
      <c r="K3123" s="3"/>
      <c r="L3123" s="3"/>
      <c r="M3123" s="3"/>
      <c r="N3123" s="3"/>
      <c r="O3123" s="3"/>
      <c r="P3123" s="3"/>
      <c r="Q3123" s="3"/>
      <c r="R3123" s="3"/>
      <c r="S3123" s="3"/>
      <c r="T3123" s="5"/>
      <c r="U3123" s="5"/>
      <c r="V3123" s="5"/>
      <c r="W3123" s="5"/>
    </row>
    <row r="3124" ht="15.75" customHeight="1">
      <c r="A3124" s="3" t="str">
        <f>IFERROR(__xludf.DUMMYFUNCTION("""COMPUTED_VALUE"""),"")</f>
        <v/>
      </c>
      <c r="B3124" s="3"/>
      <c r="C3124" s="3"/>
      <c r="D3124" s="3"/>
      <c r="E3124" s="3"/>
      <c r="F3124" s="3"/>
      <c r="G3124" s="3"/>
      <c r="H3124" s="3"/>
      <c r="I3124" s="3"/>
      <c r="J3124" s="3"/>
      <c r="K3124" s="3"/>
      <c r="L3124" s="3"/>
      <c r="M3124" s="3"/>
      <c r="N3124" s="3"/>
      <c r="O3124" s="3"/>
      <c r="P3124" s="3"/>
      <c r="Q3124" s="3"/>
      <c r="R3124" s="3"/>
      <c r="S3124" s="3"/>
      <c r="T3124" s="5"/>
      <c r="U3124" s="5"/>
      <c r="V3124" s="5"/>
      <c r="W3124" s="5"/>
    </row>
    <row r="3125" ht="15.75" customHeight="1">
      <c r="A3125" s="3" t="str">
        <f>IFERROR(__xludf.DUMMYFUNCTION("""COMPUTED_VALUE"""),"")</f>
        <v/>
      </c>
      <c r="B3125" s="3"/>
      <c r="C3125" s="3"/>
      <c r="D3125" s="3"/>
      <c r="E3125" s="3"/>
      <c r="F3125" s="3"/>
      <c r="G3125" s="3"/>
      <c r="H3125" s="3"/>
      <c r="I3125" s="3"/>
      <c r="J3125" s="3"/>
      <c r="K3125" s="3"/>
      <c r="L3125" s="3"/>
      <c r="M3125" s="3"/>
      <c r="N3125" s="3"/>
      <c r="O3125" s="3"/>
      <c r="P3125" s="3"/>
      <c r="Q3125" s="3"/>
      <c r="R3125" s="3"/>
      <c r="S3125" s="3"/>
      <c r="T3125" s="5"/>
      <c r="U3125" s="5"/>
      <c r="V3125" s="5"/>
      <c r="W3125" s="5"/>
    </row>
    <row r="3126" ht="15.75" customHeight="1">
      <c r="A3126" s="3" t="str">
        <f>IFERROR(__xludf.DUMMYFUNCTION("""COMPUTED_VALUE"""),"")</f>
        <v/>
      </c>
      <c r="B3126" s="3"/>
      <c r="C3126" s="3"/>
      <c r="D3126" s="3"/>
      <c r="E3126" s="3"/>
      <c r="F3126" s="3"/>
      <c r="G3126" s="3"/>
      <c r="H3126" s="3"/>
      <c r="I3126" s="3"/>
      <c r="J3126" s="3"/>
      <c r="K3126" s="3"/>
      <c r="L3126" s="3"/>
      <c r="M3126" s="3"/>
      <c r="N3126" s="3"/>
      <c r="O3126" s="3"/>
      <c r="P3126" s="3"/>
      <c r="Q3126" s="3"/>
      <c r="R3126" s="3"/>
      <c r="S3126" s="3"/>
      <c r="T3126" s="5"/>
      <c r="U3126" s="5"/>
      <c r="V3126" s="5"/>
      <c r="W3126" s="5"/>
    </row>
    <row r="3127" ht="15.75" customHeight="1">
      <c r="A3127" s="3" t="str">
        <f>IFERROR(__xludf.DUMMYFUNCTION("""COMPUTED_VALUE"""),"")</f>
        <v/>
      </c>
      <c r="B3127" s="3"/>
      <c r="C3127" s="3"/>
      <c r="D3127" s="3"/>
      <c r="E3127" s="3"/>
      <c r="F3127" s="3"/>
      <c r="G3127" s="3"/>
      <c r="H3127" s="3"/>
      <c r="I3127" s="3"/>
      <c r="J3127" s="3"/>
      <c r="K3127" s="3"/>
      <c r="L3127" s="3"/>
      <c r="M3127" s="3"/>
      <c r="N3127" s="3"/>
      <c r="O3127" s="3"/>
      <c r="P3127" s="3"/>
      <c r="Q3127" s="3"/>
      <c r="R3127" s="3"/>
      <c r="S3127" s="3"/>
      <c r="T3127" s="5"/>
      <c r="U3127" s="5"/>
      <c r="V3127" s="5"/>
      <c r="W3127" s="5"/>
    </row>
    <row r="3128" ht="15.75" customHeight="1">
      <c r="A3128" s="3" t="str">
        <f>IFERROR(__xludf.DUMMYFUNCTION("""COMPUTED_VALUE"""),"")</f>
        <v/>
      </c>
      <c r="B3128" s="3"/>
      <c r="C3128" s="3"/>
      <c r="D3128" s="3"/>
      <c r="E3128" s="3"/>
      <c r="F3128" s="3"/>
      <c r="G3128" s="3"/>
      <c r="H3128" s="3"/>
      <c r="I3128" s="3"/>
      <c r="J3128" s="3"/>
      <c r="K3128" s="3"/>
      <c r="L3128" s="3"/>
      <c r="M3128" s="3"/>
      <c r="N3128" s="3"/>
      <c r="O3128" s="3"/>
      <c r="P3128" s="3"/>
      <c r="Q3128" s="3"/>
      <c r="R3128" s="3"/>
      <c r="S3128" s="3"/>
      <c r="T3128" s="5"/>
      <c r="U3128" s="5"/>
      <c r="V3128" s="5"/>
      <c r="W3128" s="5"/>
    </row>
    <row r="3129" ht="15.75" customHeight="1">
      <c r="A3129" s="3" t="str">
        <f>IFERROR(__xludf.DUMMYFUNCTION("""COMPUTED_VALUE"""),"")</f>
        <v/>
      </c>
      <c r="B3129" s="3"/>
      <c r="C3129" s="3"/>
      <c r="D3129" s="3"/>
      <c r="E3129" s="3"/>
      <c r="F3129" s="3"/>
      <c r="G3129" s="3"/>
      <c r="H3129" s="3"/>
      <c r="I3129" s="3"/>
      <c r="J3129" s="3"/>
      <c r="K3129" s="3"/>
      <c r="L3129" s="3"/>
      <c r="M3129" s="3"/>
      <c r="N3129" s="3"/>
      <c r="O3129" s="3"/>
      <c r="P3129" s="3"/>
      <c r="Q3129" s="3"/>
      <c r="R3129" s="3"/>
      <c r="S3129" s="3"/>
      <c r="T3129" s="5"/>
      <c r="U3129" s="5"/>
      <c r="V3129" s="5"/>
      <c r="W3129" s="5"/>
    </row>
    <row r="3130" ht="15.75" customHeight="1">
      <c r="A3130" s="3" t="str">
        <f>IFERROR(__xludf.DUMMYFUNCTION("""COMPUTED_VALUE"""),"")</f>
        <v/>
      </c>
      <c r="B3130" s="3"/>
      <c r="C3130" s="3"/>
      <c r="D3130" s="3"/>
      <c r="E3130" s="3"/>
      <c r="F3130" s="3"/>
      <c r="G3130" s="3"/>
      <c r="H3130" s="3"/>
      <c r="I3130" s="3"/>
      <c r="J3130" s="3"/>
      <c r="K3130" s="3"/>
      <c r="L3130" s="3"/>
      <c r="M3130" s="3"/>
      <c r="N3130" s="3"/>
      <c r="O3130" s="3"/>
      <c r="P3130" s="3"/>
      <c r="Q3130" s="3"/>
      <c r="R3130" s="3"/>
      <c r="S3130" s="3"/>
      <c r="T3130" s="5"/>
      <c r="U3130" s="5"/>
      <c r="V3130" s="5"/>
      <c r="W3130" s="5"/>
    </row>
    <row r="3131" ht="15.75" customHeight="1">
      <c r="A3131" s="3" t="str">
        <f>IFERROR(__xludf.DUMMYFUNCTION("""COMPUTED_VALUE"""),"")</f>
        <v/>
      </c>
      <c r="B3131" s="3"/>
      <c r="C3131" s="3"/>
      <c r="D3131" s="3"/>
      <c r="E3131" s="3"/>
      <c r="F3131" s="3"/>
      <c r="G3131" s="3"/>
      <c r="H3131" s="3"/>
      <c r="I3131" s="3"/>
      <c r="J3131" s="3"/>
      <c r="K3131" s="3"/>
      <c r="L3131" s="3"/>
      <c r="M3131" s="3"/>
      <c r="N3131" s="3"/>
      <c r="O3131" s="3"/>
      <c r="P3131" s="3"/>
      <c r="Q3131" s="3"/>
      <c r="R3131" s="3"/>
      <c r="S3131" s="3"/>
      <c r="T3131" s="5"/>
      <c r="U3131" s="5"/>
      <c r="V3131" s="5"/>
      <c r="W3131" s="5"/>
    </row>
    <row r="3132" ht="15.75" customHeight="1">
      <c r="A3132" s="3" t="str">
        <f>IFERROR(__xludf.DUMMYFUNCTION("""COMPUTED_VALUE"""),"")</f>
        <v/>
      </c>
      <c r="B3132" s="3"/>
      <c r="C3132" s="3"/>
      <c r="D3132" s="3"/>
      <c r="E3132" s="3"/>
      <c r="F3132" s="3"/>
      <c r="G3132" s="3"/>
      <c r="H3132" s="3"/>
      <c r="I3132" s="3"/>
      <c r="J3132" s="3"/>
      <c r="K3132" s="3"/>
      <c r="L3132" s="3"/>
      <c r="M3132" s="3"/>
      <c r="N3132" s="3"/>
      <c r="O3132" s="3"/>
      <c r="P3132" s="3"/>
      <c r="Q3132" s="3"/>
      <c r="R3132" s="3"/>
      <c r="S3132" s="3"/>
      <c r="T3132" s="5"/>
      <c r="U3132" s="5"/>
      <c r="V3132" s="5"/>
      <c r="W3132" s="5"/>
    </row>
    <row r="3133" ht="15.75" customHeight="1">
      <c r="A3133" s="3" t="str">
        <f>IFERROR(__xludf.DUMMYFUNCTION("""COMPUTED_VALUE"""),"")</f>
        <v/>
      </c>
      <c r="B3133" s="3"/>
      <c r="C3133" s="3"/>
      <c r="D3133" s="3"/>
      <c r="E3133" s="3"/>
      <c r="F3133" s="3"/>
      <c r="G3133" s="3"/>
      <c r="H3133" s="3"/>
      <c r="I3133" s="3"/>
      <c r="J3133" s="3"/>
      <c r="K3133" s="3"/>
      <c r="L3133" s="3"/>
      <c r="M3133" s="3"/>
      <c r="N3133" s="3"/>
      <c r="O3133" s="3"/>
      <c r="P3133" s="3"/>
      <c r="Q3133" s="3"/>
      <c r="R3133" s="3"/>
      <c r="S3133" s="3"/>
      <c r="T3133" s="5"/>
      <c r="U3133" s="5"/>
      <c r="V3133" s="5"/>
      <c r="W3133" s="5"/>
    </row>
    <row r="3134" ht="15.75" customHeight="1">
      <c r="A3134" s="3" t="str">
        <f>IFERROR(__xludf.DUMMYFUNCTION("""COMPUTED_VALUE"""),"")</f>
        <v/>
      </c>
      <c r="B3134" s="3"/>
      <c r="C3134" s="3"/>
      <c r="D3134" s="3"/>
      <c r="E3134" s="3"/>
      <c r="F3134" s="3"/>
      <c r="G3134" s="3"/>
      <c r="H3134" s="3"/>
      <c r="I3134" s="3"/>
      <c r="J3134" s="3"/>
      <c r="K3134" s="3"/>
      <c r="L3134" s="3"/>
      <c r="M3134" s="3"/>
      <c r="N3134" s="3"/>
      <c r="O3134" s="3"/>
      <c r="P3134" s="3"/>
      <c r="Q3134" s="3"/>
      <c r="R3134" s="3"/>
      <c r="S3134" s="3"/>
      <c r="T3134" s="5"/>
      <c r="U3134" s="5"/>
      <c r="V3134" s="5"/>
      <c r="W3134" s="5"/>
    </row>
    <row r="3135" ht="15.75" customHeight="1">
      <c r="A3135" s="3" t="str">
        <f>IFERROR(__xludf.DUMMYFUNCTION("""COMPUTED_VALUE"""),"")</f>
        <v/>
      </c>
      <c r="B3135" s="3"/>
      <c r="C3135" s="3"/>
      <c r="D3135" s="3"/>
      <c r="E3135" s="3"/>
      <c r="F3135" s="3"/>
      <c r="G3135" s="3"/>
      <c r="H3135" s="3"/>
      <c r="I3135" s="3"/>
      <c r="J3135" s="3"/>
      <c r="K3135" s="3"/>
      <c r="L3135" s="3"/>
      <c r="M3135" s="3"/>
      <c r="N3135" s="3"/>
      <c r="O3135" s="3"/>
      <c r="P3135" s="3"/>
      <c r="Q3135" s="3"/>
      <c r="R3135" s="3"/>
      <c r="S3135" s="3"/>
      <c r="T3135" s="5"/>
      <c r="U3135" s="5"/>
      <c r="V3135" s="5"/>
      <c r="W3135" s="5"/>
    </row>
    <row r="3136" ht="15.75" customHeight="1">
      <c r="A3136" s="3" t="str">
        <f>IFERROR(__xludf.DUMMYFUNCTION("""COMPUTED_VALUE"""),"")</f>
        <v/>
      </c>
      <c r="B3136" s="3"/>
      <c r="C3136" s="3"/>
      <c r="D3136" s="3"/>
      <c r="E3136" s="3"/>
      <c r="F3136" s="3"/>
      <c r="G3136" s="3"/>
      <c r="H3136" s="3"/>
      <c r="I3136" s="3"/>
      <c r="J3136" s="3"/>
      <c r="K3136" s="3"/>
      <c r="L3136" s="3"/>
      <c r="M3136" s="3"/>
      <c r="N3136" s="3"/>
      <c r="O3136" s="3"/>
      <c r="P3136" s="3"/>
      <c r="Q3136" s="3"/>
      <c r="R3136" s="3"/>
      <c r="S3136" s="3"/>
      <c r="T3136" s="5"/>
      <c r="U3136" s="5"/>
      <c r="V3136" s="5"/>
      <c r="W3136" s="5"/>
    </row>
    <row r="3137" ht="15.75" customHeight="1">
      <c r="A3137" s="3" t="str">
        <f>IFERROR(__xludf.DUMMYFUNCTION("""COMPUTED_VALUE"""),"")</f>
        <v/>
      </c>
      <c r="B3137" s="3"/>
      <c r="C3137" s="3"/>
      <c r="D3137" s="3"/>
      <c r="E3137" s="3"/>
      <c r="F3137" s="3"/>
      <c r="G3137" s="3"/>
      <c r="H3137" s="3"/>
      <c r="I3137" s="3"/>
      <c r="J3137" s="3"/>
      <c r="K3137" s="3"/>
      <c r="L3137" s="3"/>
      <c r="M3137" s="3"/>
      <c r="N3137" s="3"/>
      <c r="O3137" s="3"/>
      <c r="P3137" s="3"/>
      <c r="Q3137" s="3"/>
      <c r="R3137" s="3"/>
      <c r="S3137" s="3"/>
      <c r="T3137" s="5"/>
      <c r="U3137" s="5"/>
      <c r="V3137" s="5"/>
      <c r="W3137" s="5"/>
    </row>
    <row r="3138" ht="15.75" customHeight="1">
      <c r="A3138" s="3" t="str">
        <f>IFERROR(__xludf.DUMMYFUNCTION("""COMPUTED_VALUE"""),"")</f>
        <v/>
      </c>
      <c r="B3138" s="3"/>
      <c r="C3138" s="3"/>
      <c r="D3138" s="3"/>
      <c r="E3138" s="3"/>
      <c r="F3138" s="3"/>
      <c r="G3138" s="3"/>
      <c r="H3138" s="3"/>
      <c r="I3138" s="3"/>
      <c r="J3138" s="3"/>
      <c r="K3138" s="3"/>
      <c r="L3138" s="3"/>
      <c r="M3138" s="3"/>
      <c r="N3138" s="3"/>
      <c r="O3138" s="3"/>
      <c r="P3138" s="3"/>
      <c r="Q3138" s="3"/>
      <c r="R3138" s="3"/>
      <c r="S3138" s="3"/>
      <c r="T3138" s="5"/>
      <c r="U3138" s="5"/>
      <c r="V3138" s="5"/>
      <c r="W3138" s="5"/>
    </row>
    <row r="3139" ht="15.75" customHeight="1">
      <c r="A3139" s="3" t="str">
        <f>IFERROR(__xludf.DUMMYFUNCTION("""COMPUTED_VALUE"""),"")</f>
        <v/>
      </c>
      <c r="B3139" s="3"/>
      <c r="C3139" s="3"/>
      <c r="D3139" s="3"/>
      <c r="E3139" s="3"/>
      <c r="F3139" s="3"/>
      <c r="G3139" s="3"/>
      <c r="H3139" s="3"/>
      <c r="I3139" s="3"/>
      <c r="J3139" s="3"/>
      <c r="K3139" s="3"/>
      <c r="L3139" s="3"/>
      <c r="M3139" s="3"/>
      <c r="N3139" s="3"/>
      <c r="O3139" s="3"/>
      <c r="P3139" s="3"/>
      <c r="Q3139" s="3"/>
      <c r="R3139" s="3"/>
      <c r="S3139" s="3"/>
      <c r="T3139" s="5"/>
      <c r="U3139" s="5"/>
      <c r="V3139" s="5"/>
      <c r="W3139" s="5"/>
    </row>
    <row r="3140" ht="15.75" customHeight="1">
      <c r="A3140" s="3" t="str">
        <f>IFERROR(__xludf.DUMMYFUNCTION("""COMPUTED_VALUE"""),"")</f>
        <v/>
      </c>
      <c r="B3140" s="3"/>
      <c r="C3140" s="3"/>
      <c r="D3140" s="3"/>
      <c r="E3140" s="3"/>
      <c r="F3140" s="3"/>
      <c r="G3140" s="3"/>
      <c r="H3140" s="3"/>
      <c r="I3140" s="3"/>
      <c r="J3140" s="3"/>
      <c r="K3140" s="3"/>
      <c r="L3140" s="3"/>
      <c r="M3140" s="3"/>
      <c r="N3140" s="3"/>
      <c r="O3140" s="3"/>
      <c r="P3140" s="3"/>
      <c r="Q3140" s="3"/>
      <c r="R3140" s="3"/>
      <c r="S3140" s="3"/>
      <c r="T3140" s="5"/>
      <c r="U3140" s="5"/>
      <c r="V3140" s="5"/>
      <c r="W3140" s="5"/>
    </row>
    <row r="3141" ht="15.75" customHeight="1">
      <c r="A3141" s="3" t="str">
        <f>IFERROR(__xludf.DUMMYFUNCTION("""COMPUTED_VALUE"""),"")</f>
        <v/>
      </c>
      <c r="B3141" s="3"/>
      <c r="C3141" s="3"/>
      <c r="D3141" s="3"/>
      <c r="E3141" s="3"/>
      <c r="F3141" s="3"/>
      <c r="G3141" s="3"/>
      <c r="H3141" s="3"/>
      <c r="I3141" s="3"/>
      <c r="J3141" s="3"/>
      <c r="K3141" s="3"/>
      <c r="L3141" s="3"/>
      <c r="M3141" s="3"/>
      <c r="N3141" s="3"/>
      <c r="O3141" s="3"/>
      <c r="P3141" s="3"/>
      <c r="Q3141" s="3"/>
      <c r="R3141" s="3"/>
      <c r="S3141" s="3"/>
      <c r="T3141" s="5"/>
      <c r="U3141" s="5"/>
      <c r="V3141" s="5"/>
      <c r="W3141" s="5"/>
    </row>
    <row r="3142" ht="15.75" customHeight="1">
      <c r="A3142" s="3" t="str">
        <f>IFERROR(__xludf.DUMMYFUNCTION("""COMPUTED_VALUE"""),"")</f>
        <v/>
      </c>
      <c r="B3142" s="3"/>
      <c r="C3142" s="3"/>
      <c r="D3142" s="3"/>
      <c r="E3142" s="3"/>
      <c r="F3142" s="3"/>
      <c r="G3142" s="3"/>
      <c r="H3142" s="3"/>
      <c r="I3142" s="3"/>
      <c r="J3142" s="3"/>
      <c r="K3142" s="3"/>
      <c r="L3142" s="3"/>
      <c r="M3142" s="3"/>
      <c r="N3142" s="3"/>
      <c r="O3142" s="3"/>
      <c r="P3142" s="3"/>
      <c r="Q3142" s="3"/>
      <c r="R3142" s="3"/>
      <c r="S3142" s="3"/>
      <c r="T3142" s="5"/>
      <c r="U3142" s="5"/>
      <c r="V3142" s="5"/>
      <c r="W3142" s="5"/>
    </row>
    <row r="3143" ht="15.75" customHeight="1">
      <c r="A3143" s="3" t="str">
        <f>IFERROR(__xludf.DUMMYFUNCTION("""COMPUTED_VALUE"""),"")</f>
        <v/>
      </c>
      <c r="B3143" s="3"/>
      <c r="C3143" s="3"/>
      <c r="D3143" s="3"/>
      <c r="E3143" s="3"/>
      <c r="F3143" s="3"/>
      <c r="G3143" s="3"/>
      <c r="H3143" s="3"/>
      <c r="I3143" s="3"/>
      <c r="J3143" s="3"/>
      <c r="K3143" s="3"/>
      <c r="L3143" s="3"/>
      <c r="M3143" s="3"/>
      <c r="N3143" s="3"/>
      <c r="O3143" s="3"/>
      <c r="P3143" s="3"/>
      <c r="Q3143" s="3"/>
      <c r="R3143" s="3"/>
      <c r="S3143" s="3"/>
      <c r="T3143" s="5"/>
      <c r="U3143" s="5"/>
      <c r="V3143" s="5"/>
      <c r="W3143" s="5"/>
    </row>
    <row r="3144" ht="15.75" customHeight="1">
      <c r="A3144" s="3" t="str">
        <f>IFERROR(__xludf.DUMMYFUNCTION("""COMPUTED_VALUE"""),"")</f>
        <v/>
      </c>
      <c r="B3144" s="3"/>
      <c r="C3144" s="3"/>
      <c r="D3144" s="3"/>
      <c r="E3144" s="3"/>
      <c r="F3144" s="3"/>
      <c r="G3144" s="3"/>
      <c r="H3144" s="3"/>
      <c r="I3144" s="3"/>
      <c r="J3144" s="3"/>
      <c r="K3144" s="3"/>
      <c r="L3144" s="3"/>
      <c r="M3144" s="3"/>
      <c r="N3144" s="3"/>
      <c r="O3144" s="3"/>
      <c r="P3144" s="3"/>
      <c r="Q3144" s="3"/>
      <c r="R3144" s="3"/>
      <c r="S3144" s="3"/>
      <c r="T3144" s="5"/>
      <c r="U3144" s="5"/>
      <c r="V3144" s="5"/>
      <c r="W3144" s="5"/>
    </row>
    <row r="3145" ht="15.75" customHeight="1">
      <c r="A3145" s="3" t="str">
        <f>IFERROR(__xludf.DUMMYFUNCTION("""COMPUTED_VALUE"""),"")</f>
        <v/>
      </c>
      <c r="B3145" s="3"/>
      <c r="C3145" s="3"/>
      <c r="D3145" s="3"/>
      <c r="E3145" s="3"/>
      <c r="F3145" s="3"/>
      <c r="G3145" s="3"/>
      <c r="H3145" s="3"/>
      <c r="I3145" s="3"/>
      <c r="J3145" s="3"/>
      <c r="K3145" s="3"/>
      <c r="L3145" s="3"/>
      <c r="M3145" s="3"/>
      <c r="N3145" s="3"/>
      <c r="O3145" s="3"/>
      <c r="P3145" s="3"/>
      <c r="Q3145" s="3"/>
      <c r="R3145" s="3"/>
      <c r="S3145" s="3"/>
      <c r="T3145" s="5"/>
      <c r="U3145" s="5"/>
      <c r="V3145" s="5"/>
      <c r="W3145" s="5"/>
    </row>
    <row r="3146" ht="15.75" customHeight="1">
      <c r="A3146" s="3" t="str">
        <f>IFERROR(__xludf.DUMMYFUNCTION("""COMPUTED_VALUE"""),"")</f>
        <v/>
      </c>
      <c r="B3146" s="3"/>
      <c r="C3146" s="3"/>
      <c r="D3146" s="3"/>
      <c r="E3146" s="3"/>
      <c r="F3146" s="3"/>
      <c r="G3146" s="3"/>
      <c r="H3146" s="3"/>
      <c r="I3146" s="3"/>
      <c r="J3146" s="3"/>
      <c r="K3146" s="3"/>
      <c r="L3146" s="3"/>
      <c r="M3146" s="3"/>
      <c r="N3146" s="3"/>
      <c r="O3146" s="3"/>
      <c r="P3146" s="3"/>
      <c r="Q3146" s="3"/>
      <c r="R3146" s="3"/>
      <c r="S3146" s="3"/>
      <c r="T3146" s="5"/>
      <c r="U3146" s="5"/>
      <c r="V3146" s="5"/>
      <c r="W3146" s="5"/>
    </row>
    <row r="3147" ht="15.75" customHeight="1">
      <c r="A3147" s="3" t="str">
        <f>IFERROR(__xludf.DUMMYFUNCTION("""COMPUTED_VALUE"""),"")</f>
        <v/>
      </c>
      <c r="B3147" s="3"/>
      <c r="C3147" s="3"/>
      <c r="D3147" s="3"/>
      <c r="E3147" s="3"/>
      <c r="F3147" s="3"/>
      <c r="G3147" s="3"/>
      <c r="H3147" s="3"/>
      <c r="I3147" s="3"/>
      <c r="J3147" s="3"/>
      <c r="K3147" s="3"/>
      <c r="L3147" s="3"/>
      <c r="M3147" s="3"/>
      <c r="N3147" s="3"/>
      <c r="O3147" s="3"/>
      <c r="P3147" s="3"/>
      <c r="Q3147" s="3"/>
      <c r="R3147" s="3"/>
      <c r="S3147" s="3"/>
      <c r="T3147" s="5"/>
      <c r="U3147" s="5"/>
      <c r="V3147" s="5"/>
      <c r="W3147" s="5"/>
    </row>
    <row r="3148" ht="15.75" customHeight="1">
      <c r="A3148" s="3" t="str">
        <f>IFERROR(__xludf.DUMMYFUNCTION("""COMPUTED_VALUE"""),"")</f>
        <v/>
      </c>
      <c r="B3148" s="3"/>
      <c r="C3148" s="3"/>
      <c r="D3148" s="3"/>
      <c r="E3148" s="3"/>
      <c r="F3148" s="3"/>
      <c r="G3148" s="3"/>
      <c r="H3148" s="3"/>
      <c r="I3148" s="3"/>
      <c r="J3148" s="3"/>
      <c r="K3148" s="3"/>
      <c r="L3148" s="3"/>
      <c r="M3148" s="3"/>
      <c r="N3148" s="3"/>
      <c r="O3148" s="3"/>
      <c r="P3148" s="3"/>
      <c r="Q3148" s="3"/>
      <c r="R3148" s="3"/>
      <c r="S3148" s="3"/>
      <c r="T3148" s="5"/>
      <c r="U3148" s="5"/>
      <c r="V3148" s="5"/>
      <c r="W3148" s="5"/>
    </row>
    <row r="3149" ht="15.75" customHeight="1">
      <c r="A3149" s="3" t="str">
        <f>IFERROR(__xludf.DUMMYFUNCTION("""COMPUTED_VALUE"""),"")</f>
        <v/>
      </c>
      <c r="B3149" s="3"/>
      <c r="C3149" s="3"/>
      <c r="D3149" s="3"/>
      <c r="E3149" s="3"/>
      <c r="F3149" s="3"/>
      <c r="G3149" s="3"/>
      <c r="H3149" s="3"/>
      <c r="I3149" s="3"/>
      <c r="J3149" s="3"/>
      <c r="K3149" s="3"/>
      <c r="L3149" s="3"/>
      <c r="M3149" s="3"/>
      <c r="N3149" s="3"/>
      <c r="O3149" s="3"/>
      <c r="P3149" s="3"/>
      <c r="Q3149" s="3"/>
      <c r="R3149" s="3"/>
      <c r="S3149" s="3"/>
      <c r="T3149" s="5"/>
      <c r="U3149" s="5"/>
      <c r="V3149" s="5"/>
      <c r="W3149" s="5"/>
    </row>
    <row r="3150" ht="15.75" customHeight="1">
      <c r="A3150" s="3" t="str">
        <f>IFERROR(__xludf.DUMMYFUNCTION("""COMPUTED_VALUE"""),"")</f>
        <v/>
      </c>
      <c r="B3150" s="3"/>
      <c r="C3150" s="3"/>
      <c r="D3150" s="3"/>
      <c r="E3150" s="3"/>
      <c r="F3150" s="3"/>
      <c r="G3150" s="3"/>
      <c r="H3150" s="3"/>
      <c r="I3150" s="3"/>
      <c r="J3150" s="3"/>
      <c r="K3150" s="3"/>
      <c r="L3150" s="3"/>
      <c r="M3150" s="3"/>
      <c r="N3150" s="3"/>
      <c r="O3150" s="3"/>
      <c r="P3150" s="3"/>
      <c r="Q3150" s="3"/>
      <c r="R3150" s="3"/>
      <c r="S3150" s="3"/>
      <c r="T3150" s="5"/>
      <c r="U3150" s="5"/>
      <c r="V3150" s="5"/>
      <c r="W3150" s="5"/>
    </row>
    <row r="3151" ht="15.75" customHeight="1">
      <c r="A3151" s="3" t="str">
        <f>IFERROR(__xludf.DUMMYFUNCTION("""COMPUTED_VALUE"""),"")</f>
        <v/>
      </c>
      <c r="B3151" s="3"/>
      <c r="C3151" s="3"/>
      <c r="D3151" s="3"/>
      <c r="E3151" s="3"/>
      <c r="F3151" s="3"/>
      <c r="G3151" s="3"/>
      <c r="H3151" s="3"/>
      <c r="I3151" s="3"/>
      <c r="J3151" s="3"/>
      <c r="K3151" s="3"/>
      <c r="L3151" s="3"/>
      <c r="M3151" s="3"/>
      <c r="N3151" s="3"/>
      <c r="O3151" s="3"/>
      <c r="P3151" s="3"/>
      <c r="Q3151" s="3"/>
      <c r="R3151" s="3"/>
      <c r="S3151" s="3"/>
      <c r="T3151" s="5"/>
      <c r="U3151" s="5"/>
      <c r="V3151" s="5"/>
      <c r="W3151" s="5"/>
    </row>
    <row r="3152" ht="15.75" customHeight="1">
      <c r="A3152" s="3" t="str">
        <f>IFERROR(__xludf.DUMMYFUNCTION("""COMPUTED_VALUE"""),"")</f>
        <v/>
      </c>
      <c r="B3152" s="3"/>
      <c r="C3152" s="3"/>
      <c r="D3152" s="3"/>
      <c r="E3152" s="3"/>
      <c r="F3152" s="3"/>
      <c r="G3152" s="3"/>
      <c r="H3152" s="3"/>
      <c r="I3152" s="3"/>
      <c r="J3152" s="3"/>
      <c r="K3152" s="3"/>
      <c r="L3152" s="3"/>
      <c r="M3152" s="3"/>
      <c r="N3152" s="3"/>
      <c r="O3152" s="3"/>
      <c r="P3152" s="3"/>
      <c r="Q3152" s="3"/>
      <c r="R3152" s="3"/>
      <c r="S3152" s="3"/>
      <c r="T3152" s="5"/>
      <c r="U3152" s="5"/>
      <c r="V3152" s="5"/>
      <c r="W3152" s="5"/>
    </row>
    <row r="3153" ht="15.75" customHeight="1">
      <c r="A3153" s="3" t="str">
        <f>IFERROR(__xludf.DUMMYFUNCTION("""COMPUTED_VALUE"""),"")</f>
        <v/>
      </c>
      <c r="B3153" s="3"/>
      <c r="C3153" s="3"/>
      <c r="D3153" s="3"/>
      <c r="E3153" s="3"/>
      <c r="F3153" s="3"/>
      <c r="G3153" s="3"/>
      <c r="H3153" s="3"/>
      <c r="I3153" s="3"/>
      <c r="J3153" s="3"/>
      <c r="K3153" s="3"/>
      <c r="L3153" s="3"/>
      <c r="M3153" s="3"/>
      <c r="N3153" s="3"/>
      <c r="O3153" s="3"/>
      <c r="P3153" s="3"/>
      <c r="Q3153" s="3"/>
      <c r="R3153" s="3"/>
      <c r="S3153" s="3"/>
      <c r="T3153" s="5"/>
      <c r="U3153" s="5"/>
      <c r="V3153" s="5"/>
      <c r="W3153" s="5"/>
    </row>
    <row r="3154" ht="15.75" customHeight="1">
      <c r="A3154" s="3" t="str">
        <f>IFERROR(__xludf.DUMMYFUNCTION("""COMPUTED_VALUE"""),"")</f>
        <v/>
      </c>
      <c r="B3154" s="3"/>
      <c r="C3154" s="3"/>
      <c r="D3154" s="3"/>
      <c r="E3154" s="3"/>
      <c r="F3154" s="3"/>
      <c r="G3154" s="3"/>
      <c r="H3154" s="3"/>
      <c r="I3154" s="3"/>
      <c r="J3154" s="3"/>
      <c r="K3154" s="3"/>
      <c r="L3154" s="3"/>
      <c r="M3154" s="3"/>
      <c r="N3154" s="3"/>
      <c r="O3154" s="3"/>
      <c r="P3154" s="3"/>
      <c r="Q3154" s="3"/>
      <c r="R3154" s="3"/>
      <c r="S3154" s="3"/>
      <c r="T3154" s="5"/>
      <c r="U3154" s="5"/>
      <c r="V3154" s="5"/>
      <c r="W3154" s="5"/>
    </row>
    <row r="3155" ht="15.75" customHeight="1">
      <c r="A3155" s="3" t="str">
        <f>IFERROR(__xludf.DUMMYFUNCTION("""COMPUTED_VALUE"""),"")</f>
        <v/>
      </c>
      <c r="B3155" s="3"/>
      <c r="C3155" s="3"/>
      <c r="D3155" s="3"/>
      <c r="E3155" s="3"/>
      <c r="F3155" s="3"/>
      <c r="G3155" s="3"/>
      <c r="H3155" s="3"/>
      <c r="I3155" s="3"/>
      <c r="J3155" s="3"/>
      <c r="K3155" s="3"/>
      <c r="L3155" s="3"/>
      <c r="M3155" s="3"/>
      <c r="N3155" s="3"/>
      <c r="O3155" s="3"/>
      <c r="P3155" s="3"/>
      <c r="Q3155" s="3"/>
      <c r="R3155" s="3"/>
      <c r="S3155" s="3"/>
      <c r="T3155" s="5"/>
      <c r="U3155" s="5"/>
      <c r="V3155" s="5"/>
      <c r="W3155" s="5"/>
    </row>
    <row r="3156" ht="15.75" customHeight="1">
      <c r="A3156" s="3" t="str">
        <f>IFERROR(__xludf.DUMMYFUNCTION("""COMPUTED_VALUE"""),"")</f>
        <v/>
      </c>
      <c r="B3156" s="3"/>
      <c r="C3156" s="3"/>
      <c r="D3156" s="3"/>
      <c r="E3156" s="3"/>
      <c r="F3156" s="3"/>
      <c r="G3156" s="3"/>
      <c r="H3156" s="3"/>
      <c r="I3156" s="3"/>
      <c r="J3156" s="3"/>
      <c r="K3156" s="3"/>
      <c r="L3156" s="3"/>
      <c r="M3156" s="3"/>
      <c r="N3156" s="3"/>
      <c r="O3156" s="3"/>
      <c r="P3156" s="3"/>
      <c r="Q3156" s="3"/>
      <c r="R3156" s="3"/>
      <c r="S3156" s="3"/>
      <c r="T3156" s="5"/>
      <c r="U3156" s="5"/>
      <c r="V3156" s="5"/>
      <c r="W3156" s="5"/>
    </row>
    <row r="3157" ht="15.75" customHeight="1">
      <c r="A3157" s="3" t="str">
        <f>IFERROR(__xludf.DUMMYFUNCTION("""COMPUTED_VALUE"""),"")</f>
        <v/>
      </c>
      <c r="B3157" s="3"/>
      <c r="C3157" s="3"/>
      <c r="D3157" s="3"/>
      <c r="E3157" s="3"/>
      <c r="F3157" s="3"/>
      <c r="G3157" s="3"/>
      <c r="H3157" s="3"/>
      <c r="I3157" s="3"/>
      <c r="J3157" s="3"/>
      <c r="K3157" s="3"/>
      <c r="L3157" s="3"/>
      <c r="M3157" s="3"/>
      <c r="N3157" s="3"/>
      <c r="O3157" s="3"/>
      <c r="P3157" s="3"/>
      <c r="Q3157" s="3"/>
      <c r="R3157" s="3"/>
      <c r="S3157" s="3"/>
      <c r="T3157" s="5"/>
      <c r="U3157" s="5"/>
      <c r="V3157" s="5"/>
      <c r="W3157" s="5"/>
    </row>
    <row r="3158" ht="15.75" customHeight="1">
      <c r="A3158" s="3" t="str">
        <f>IFERROR(__xludf.DUMMYFUNCTION("""COMPUTED_VALUE"""),"")</f>
        <v/>
      </c>
      <c r="B3158" s="3"/>
      <c r="C3158" s="3"/>
      <c r="D3158" s="3"/>
      <c r="E3158" s="3"/>
      <c r="F3158" s="3"/>
      <c r="G3158" s="3"/>
      <c r="H3158" s="3"/>
      <c r="I3158" s="3"/>
      <c r="J3158" s="3"/>
      <c r="K3158" s="3"/>
      <c r="L3158" s="3"/>
      <c r="M3158" s="3"/>
      <c r="N3158" s="3"/>
      <c r="O3158" s="3"/>
      <c r="P3158" s="3"/>
      <c r="Q3158" s="3"/>
      <c r="R3158" s="3"/>
      <c r="S3158" s="3"/>
      <c r="T3158" s="5"/>
      <c r="U3158" s="5"/>
      <c r="V3158" s="5"/>
      <c r="W3158" s="5"/>
    </row>
    <row r="3159" ht="15.75" customHeight="1">
      <c r="A3159" s="3" t="str">
        <f>IFERROR(__xludf.DUMMYFUNCTION("""COMPUTED_VALUE"""),"")</f>
        <v/>
      </c>
      <c r="B3159" s="3"/>
      <c r="C3159" s="3"/>
      <c r="D3159" s="3"/>
      <c r="E3159" s="3"/>
      <c r="F3159" s="3"/>
      <c r="G3159" s="3"/>
      <c r="H3159" s="3"/>
      <c r="I3159" s="3"/>
      <c r="J3159" s="3"/>
      <c r="K3159" s="3"/>
      <c r="L3159" s="3"/>
      <c r="M3159" s="3"/>
      <c r="N3159" s="3"/>
      <c r="O3159" s="3"/>
      <c r="P3159" s="3"/>
      <c r="Q3159" s="3"/>
      <c r="R3159" s="3"/>
      <c r="S3159" s="3"/>
      <c r="T3159" s="5"/>
      <c r="U3159" s="5"/>
      <c r="V3159" s="5"/>
      <c r="W3159" s="5"/>
    </row>
    <row r="3160" ht="15.75" customHeight="1">
      <c r="A3160" s="3" t="str">
        <f>IFERROR(__xludf.DUMMYFUNCTION("""COMPUTED_VALUE"""),"")</f>
        <v/>
      </c>
      <c r="B3160" s="3"/>
      <c r="C3160" s="3"/>
      <c r="D3160" s="3"/>
      <c r="E3160" s="3"/>
      <c r="F3160" s="3"/>
      <c r="G3160" s="3"/>
      <c r="H3160" s="3"/>
      <c r="I3160" s="3"/>
      <c r="J3160" s="3"/>
      <c r="K3160" s="3"/>
      <c r="L3160" s="3"/>
      <c r="M3160" s="3"/>
      <c r="N3160" s="3"/>
      <c r="O3160" s="3"/>
      <c r="P3160" s="3"/>
      <c r="Q3160" s="3"/>
      <c r="R3160" s="3"/>
      <c r="S3160" s="3"/>
      <c r="T3160" s="5"/>
      <c r="U3160" s="5"/>
      <c r="V3160" s="5"/>
      <c r="W3160" s="5"/>
    </row>
    <row r="3161" ht="15.75" customHeight="1">
      <c r="A3161" s="3" t="str">
        <f>IFERROR(__xludf.DUMMYFUNCTION("""COMPUTED_VALUE"""),"")</f>
        <v/>
      </c>
      <c r="B3161" s="3"/>
      <c r="C3161" s="3"/>
      <c r="D3161" s="3"/>
      <c r="E3161" s="3"/>
      <c r="F3161" s="3"/>
      <c r="G3161" s="3"/>
      <c r="H3161" s="3"/>
      <c r="I3161" s="3"/>
      <c r="J3161" s="3"/>
      <c r="K3161" s="3"/>
      <c r="L3161" s="3"/>
      <c r="M3161" s="3"/>
      <c r="N3161" s="3"/>
      <c r="O3161" s="3"/>
      <c r="P3161" s="3"/>
      <c r="Q3161" s="3"/>
      <c r="R3161" s="3"/>
      <c r="S3161" s="3"/>
      <c r="T3161" s="5"/>
      <c r="U3161" s="5"/>
      <c r="V3161" s="5"/>
      <c r="W3161" s="5"/>
    </row>
    <row r="3162" ht="15.75" customHeight="1">
      <c r="A3162" s="3" t="str">
        <f>IFERROR(__xludf.DUMMYFUNCTION("""COMPUTED_VALUE"""),"")</f>
        <v/>
      </c>
      <c r="B3162" s="3"/>
      <c r="C3162" s="3"/>
      <c r="D3162" s="3"/>
      <c r="E3162" s="3"/>
      <c r="F3162" s="3"/>
      <c r="G3162" s="3"/>
      <c r="H3162" s="3"/>
      <c r="I3162" s="3"/>
      <c r="J3162" s="3"/>
      <c r="K3162" s="3"/>
      <c r="L3162" s="3"/>
      <c r="M3162" s="3"/>
      <c r="N3162" s="3"/>
      <c r="O3162" s="3"/>
      <c r="P3162" s="3"/>
      <c r="Q3162" s="3"/>
      <c r="R3162" s="3"/>
      <c r="S3162" s="3"/>
      <c r="T3162" s="5"/>
      <c r="U3162" s="5"/>
      <c r="V3162" s="5"/>
      <c r="W3162" s="5"/>
    </row>
    <row r="3163" ht="15.75" customHeight="1">
      <c r="A3163" s="3" t="str">
        <f>IFERROR(__xludf.DUMMYFUNCTION("""COMPUTED_VALUE"""),"")</f>
        <v/>
      </c>
      <c r="B3163" s="3"/>
      <c r="C3163" s="3"/>
      <c r="D3163" s="3"/>
      <c r="E3163" s="3"/>
      <c r="F3163" s="3"/>
      <c r="G3163" s="3"/>
      <c r="H3163" s="3"/>
      <c r="I3163" s="3"/>
      <c r="J3163" s="3"/>
      <c r="K3163" s="3"/>
      <c r="L3163" s="3"/>
      <c r="M3163" s="3"/>
      <c r="N3163" s="3"/>
      <c r="O3163" s="3"/>
      <c r="P3163" s="3"/>
      <c r="Q3163" s="3"/>
      <c r="R3163" s="3"/>
      <c r="S3163" s="3"/>
      <c r="T3163" s="5"/>
      <c r="U3163" s="5"/>
      <c r="V3163" s="5"/>
      <c r="W3163" s="5"/>
    </row>
    <row r="3164" ht="15.75" customHeight="1">
      <c r="A3164" s="3" t="str">
        <f>IFERROR(__xludf.DUMMYFUNCTION("""COMPUTED_VALUE"""),"")</f>
        <v/>
      </c>
      <c r="B3164" s="3"/>
      <c r="C3164" s="3"/>
      <c r="D3164" s="3"/>
      <c r="E3164" s="3"/>
      <c r="F3164" s="3"/>
      <c r="G3164" s="3"/>
      <c r="H3164" s="3"/>
      <c r="I3164" s="3"/>
      <c r="J3164" s="3"/>
      <c r="K3164" s="3"/>
      <c r="L3164" s="3"/>
      <c r="M3164" s="3"/>
      <c r="N3164" s="3"/>
      <c r="O3164" s="3"/>
      <c r="P3164" s="3"/>
      <c r="Q3164" s="3"/>
      <c r="R3164" s="3"/>
      <c r="S3164" s="3"/>
      <c r="T3164" s="5"/>
      <c r="U3164" s="5"/>
      <c r="V3164" s="5"/>
      <c r="W3164" s="5"/>
    </row>
    <row r="3165" ht="15.75" customHeight="1">
      <c r="A3165" s="3" t="str">
        <f>IFERROR(__xludf.DUMMYFUNCTION("""COMPUTED_VALUE"""),"")</f>
        <v/>
      </c>
      <c r="B3165" s="3"/>
      <c r="C3165" s="3"/>
      <c r="D3165" s="3"/>
      <c r="E3165" s="3"/>
      <c r="F3165" s="3"/>
      <c r="G3165" s="3"/>
      <c r="H3165" s="3"/>
      <c r="I3165" s="3"/>
      <c r="J3165" s="3"/>
      <c r="K3165" s="3"/>
      <c r="L3165" s="3"/>
      <c r="M3165" s="3"/>
      <c r="N3165" s="3"/>
      <c r="O3165" s="3"/>
      <c r="P3165" s="3"/>
      <c r="Q3165" s="3"/>
      <c r="R3165" s="3"/>
      <c r="S3165" s="3"/>
      <c r="T3165" s="5"/>
      <c r="U3165" s="5"/>
      <c r="V3165" s="5"/>
      <c r="W3165" s="5"/>
    </row>
    <row r="3166" ht="15.75" customHeight="1">
      <c r="A3166" s="3" t="str">
        <f>IFERROR(__xludf.DUMMYFUNCTION("""COMPUTED_VALUE"""),"")</f>
        <v/>
      </c>
      <c r="B3166" s="3"/>
      <c r="C3166" s="3"/>
      <c r="D3166" s="3"/>
      <c r="E3166" s="3"/>
      <c r="F3166" s="3"/>
      <c r="G3166" s="3"/>
      <c r="H3166" s="3"/>
      <c r="I3166" s="3"/>
      <c r="J3166" s="3"/>
      <c r="K3166" s="3"/>
      <c r="L3166" s="3"/>
      <c r="M3166" s="3"/>
      <c r="N3166" s="3"/>
      <c r="O3166" s="3"/>
      <c r="P3166" s="3"/>
      <c r="Q3166" s="3"/>
      <c r="R3166" s="3"/>
      <c r="S3166" s="3"/>
      <c r="T3166" s="5"/>
      <c r="U3166" s="5"/>
      <c r="V3166" s="5"/>
      <c r="W3166" s="5"/>
    </row>
    <row r="3167" ht="15.75" customHeight="1">
      <c r="A3167" s="3" t="str">
        <f>IFERROR(__xludf.DUMMYFUNCTION("""COMPUTED_VALUE"""),"")</f>
        <v/>
      </c>
      <c r="B3167" s="3"/>
      <c r="C3167" s="3"/>
      <c r="D3167" s="3"/>
      <c r="E3167" s="3"/>
      <c r="F3167" s="3"/>
      <c r="G3167" s="3"/>
      <c r="H3167" s="3"/>
      <c r="I3167" s="3"/>
      <c r="J3167" s="3"/>
      <c r="K3167" s="3"/>
      <c r="L3167" s="3"/>
      <c r="M3167" s="3"/>
      <c r="N3167" s="3"/>
      <c r="O3167" s="3"/>
      <c r="P3167" s="3"/>
      <c r="Q3167" s="3"/>
      <c r="R3167" s="3"/>
      <c r="S3167" s="3"/>
      <c r="T3167" s="5"/>
      <c r="U3167" s="5"/>
      <c r="V3167" s="5"/>
      <c r="W3167" s="5"/>
    </row>
    <row r="3168" ht="15.75" customHeight="1">
      <c r="A3168" s="3" t="str">
        <f>IFERROR(__xludf.DUMMYFUNCTION("""COMPUTED_VALUE"""),"")</f>
        <v/>
      </c>
      <c r="B3168" s="3"/>
      <c r="C3168" s="3"/>
      <c r="D3168" s="3"/>
      <c r="E3168" s="3"/>
      <c r="F3168" s="3"/>
      <c r="G3168" s="3"/>
      <c r="H3168" s="3"/>
      <c r="I3168" s="3"/>
      <c r="J3168" s="3"/>
      <c r="K3168" s="3"/>
      <c r="L3168" s="3"/>
      <c r="M3168" s="3"/>
      <c r="N3168" s="3"/>
      <c r="O3168" s="3"/>
      <c r="P3168" s="3"/>
      <c r="Q3168" s="3"/>
      <c r="R3168" s="3"/>
      <c r="S3168" s="3"/>
      <c r="T3168" s="5"/>
      <c r="U3168" s="5"/>
      <c r="V3168" s="5"/>
      <c r="W3168" s="5"/>
    </row>
    <row r="3169" ht="15.75" customHeight="1">
      <c r="A3169" s="3" t="str">
        <f>IFERROR(__xludf.DUMMYFUNCTION("""COMPUTED_VALUE"""),"")</f>
        <v/>
      </c>
      <c r="B3169" s="3"/>
      <c r="C3169" s="3"/>
      <c r="D3169" s="3"/>
      <c r="E3169" s="3"/>
      <c r="F3169" s="3"/>
      <c r="G3169" s="3"/>
      <c r="H3169" s="3"/>
      <c r="I3169" s="3"/>
      <c r="J3169" s="3"/>
      <c r="K3169" s="3"/>
      <c r="L3169" s="3"/>
      <c r="M3169" s="3"/>
      <c r="N3169" s="3"/>
      <c r="O3169" s="3"/>
      <c r="P3169" s="3"/>
      <c r="Q3169" s="3"/>
      <c r="R3169" s="3"/>
      <c r="S3169" s="3"/>
      <c r="T3169" s="5"/>
      <c r="U3169" s="5"/>
      <c r="V3169" s="5"/>
      <c r="W3169" s="5"/>
    </row>
    <row r="3170" ht="15.75" customHeight="1">
      <c r="A3170" s="3" t="str">
        <f>IFERROR(__xludf.DUMMYFUNCTION("""COMPUTED_VALUE"""),"")</f>
        <v/>
      </c>
      <c r="B3170" s="3"/>
      <c r="C3170" s="3"/>
      <c r="D3170" s="3"/>
      <c r="E3170" s="3"/>
      <c r="F3170" s="3"/>
      <c r="G3170" s="3"/>
      <c r="H3170" s="3"/>
      <c r="I3170" s="3"/>
      <c r="J3170" s="3"/>
      <c r="K3170" s="3"/>
      <c r="L3170" s="3"/>
      <c r="M3170" s="3"/>
      <c r="N3170" s="3"/>
      <c r="O3170" s="3"/>
      <c r="P3170" s="3"/>
      <c r="Q3170" s="3"/>
      <c r="R3170" s="3"/>
      <c r="S3170" s="3"/>
      <c r="T3170" s="5"/>
      <c r="U3170" s="5"/>
      <c r="V3170" s="5"/>
      <c r="W3170" s="5"/>
    </row>
    <row r="3171" ht="15.75" customHeight="1">
      <c r="A3171" s="3" t="str">
        <f>IFERROR(__xludf.DUMMYFUNCTION("""COMPUTED_VALUE"""),"")</f>
        <v/>
      </c>
      <c r="B3171" s="3"/>
      <c r="C3171" s="3"/>
      <c r="D3171" s="3"/>
      <c r="E3171" s="3"/>
      <c r="F3171" s="3"/>
      <c r="G3171" s="3"/>
      <c r="H3171" s="3"/>
      <c r="I3171" s="3"/>
      <c r="J3171" s="3"/>
      <c r="K3171" s="3"/>
      <c r="L3171" s="3"/>
      <c r="M3171" s="3"/>
      <c r="N3171" s="3"/>
      <c r="O3171" s="3"/>
      <c r="P3171" s="3"/>
      <c r="Q3171" s="3"/>
      <c r="R3171" s="3"/>
      <c r="S3171" s="3"/>
      <c r="T3171" s="5"/>
      <c r="U3171" s="5"/>
      <c r="V3171" s="5"/>
      <c r="W3171" s="5"/>
    </row>
    <row r="3172" ht="15.75" customHeight="1">
      <c r="A3172" s="3" t="str">
        <f>IFERROR(__xludf.DUMMYFUNCTION("""COMPUTED_VALUE"""),"")</f>
        <v/>
      </c>
      <c r="B3172" s="3"/>
      <c r="C3172" s="3"/>
      <c r="D3172" s="3"/>
      <c r="E3172" s="3"/>
      <c r="F3172" s="3"/>
      <c r="G3172" s="3"/>
      <c r="H3172" s="3"/>
      <c r="I3172" s="3"/>
      <c r="J3172" s="3"/>
      <c r="K3172" s="3"/>
      <c r="L3172" s="3"/>
      <c r="M3172" s="3"/>
      <c r="N3172" s="3"/>
      <c r="O3172" s="3"/>
      <c r="P3172" s="3"/>
      <c r="Q3172" s="3"/>
      <c r="R3172" s="3"/>
      <c r="S3172" s="3"/>
      <c r="T3172" s="5"/>
      <c r="U3172" s="5"/>
      <c r="V3172" s="5"/>
      <c r="W3172" s="5"/>
    </row>
    <row r="3173" ht="15.75" customHeight="1">
      <c r="A3173" s="3" t="str">
        <f>IFERROR(__xludf.DUMMYFUNCTION("""COMPUTED_VALUE"""),"")</f>
        <v/>
      </c>
      <c r="B3173" s="3"/>
      <c r="C3173" s="3"/>
      <c r="D3173" s="3"/>
      <c r="E3173" s="3"/>
      <c r="F3173" s="3"/>
      <c r="G3173" s="3"/>
      <c r="H3173" s="3"/>
      <c r="I3173" s="3"/>
      <c r="J3173" s="3"/>
      <c r="K3173" s="3"/>
      <c r="L3173" s="3"/>
      <c r="M3173" s="3"/>
      <c r="N3173" s="3"/>
      <c r="O3173" s="3"/>
      <c r="P3173" s="3"/>
      <c r="Q3173" s="3"/>
      <c r="R3173" s="3"/>
      <c r="S3173" s="3"/>
      <c r="T3173" s="5"/>
      <c r="U3173" s="5"/>
      <c r="V3173" s="5"/>
      <c r="W3173" s="5"/>
    </row>
    <row r="3174" ht="15.75" customHeight="1">
      <c r="A3174" s="3" t="str">
        <f>IFERROR(__xludf.DUMMYFUNCTION("""COMPUTED_VALUE"""),"")</f>
        <v/>
      </c>
      <c r="B3174" s="3"/>
      <c r="C3174" s="3"/>
      <c r="D3174" s="3"/>
      <c r="E3174" s="3"/>
      <c r="F3174" s="3"/>
      <c r="G3174" s="3"/>
      <c r="H3174" s="3"/>
      <c r="I3174" s="3"/>
      <c r="J3174" s="3"/>
      <c r="K3174" s="3"/>
      <c r="L3174" s="3"/>
      <c r="M3174" s="3"/>
      <c r="N3174" s="3"/>
      <c r="O3174" s="3"/>
      <c r="P3174" s="3"/>
      <c r="Q3174" s="3"/>
      <c r="R3174" s="3"/>
      <c r="S3174" s="3"/>
      <c r="T3174" s="5"/>
      <c r="U3174" s="5"/>
      <c r="V3174" s="5"/>
      <c r="W3174" s="5"/>
    </row>
    <row r="3175" ht="15.75" customHeight="1">
      <c r="A3175" s="3" t="str">
        <f>IFERROR(__xludf.DUMMYFUNCTION("""COMPUTED_VALUE"""),"")</f>
        <v/>
      </c>
      <c r="B3175" s="3"/>
      <c r="C3175" s="3"/>
      <c r="D3175" s="3"/>
      <c r="E3175" s="3"/>
      <c r="F3175" s="3"/>
      <c r="G3175" s="3"/>
      <c r="H3175" s="3"/>
      <c r="I3175" s="3"/>
      <c r="J3175" s="3"/>
      <c r="K3175" s="3"/>
      <c r="L3175" s="3"/>
      <c r="M3175" s="3"/>
      <c r="N3175" s="3"/>
      <c r="O3175" s="3"/>
      <c r="P3175" s="3"/>
      <c r="Q3175" s="3"/>
      <c r="R3175" s="3"/>
      <c r="S3175" s="3"/>
      <c r="T3175" s="5"/>
      <c r="U3175" s="5"/>
      <c r="V3175" s="5"/>
      <c r="W3175" s="5"/>
    </row>
    <row r="3176" ht="15.75" customHeight="1">
      <c r="A3176" s="3" t="str">
        <f>IFERROR(__xludf.DUMMYFUNCTION("""COMPUTED_VALUE"""),"")</f>
        <v/>
      </c>
      <c r="B3176" s="3"/>
      <c r="C3176" s="3"/>
      <c r="D3176" s="3"/>
      <c r="E3176" s="3"/>
      <c r="F3176" s="3"/>
      <c r="G3176" s="3"/>
      <c r="H3176" s="3"/>
      <c r="I3176" s="3"/>
      <c r="J3176" s="3"/>
      <c r="K3176" s="3"/>
      <c r="L3176" s="3"/>
      <c r="M3176" s="3"/>
      <c r="N3176" s="3"/>
      <c r="O3176" s="3"/>
      <c r="P3176" s="3"/>
      <c r="Q3176" s="3"/>
      <c r="R3176" s="3"/>
      <c r="S3176" s="3"/>
      <c r="T3176" s="5"/>
      <c r="U3176" s="5"/>
      <c r="V3176" s="5"/>
      <c r="W3176" s="5"/>
    </row>
    <row r="3177" ht="15.75" customHeight="1">
      <c r="A3177" s="3" t="str">
        <f>IFERROR(__xludf.DUMMYFUNCTION("""COMPUTED_VALUE"""),"")</f>
        <v/>
      </c>
      <c r="B3177" s="3"/>
      <c r="C3177" s="3"/>
      <c r="D3177" s="3"/>
      <c r="E3177" s="3"/>
      <c r="F3177" s="3"/>
      <c r="G3177" s="3"/>
      <c r="H3177" s="3"/>
      <c r="I3177" s="3"/>
      <c r="J3177" s="3"/>
      <c r="K3177" s="3"/>
      <c r="L3177" s="3"/>
      <c r="M3177" s="3"/>
      <c r="N3177" s="3"/>
      <c r="O3177" s="3"/>
      <c r="P3177" s="3"/>
      <c r="Q3177" s="3"/>
      <c r="R3177" s="3"/>
      <c r="S3177" s="3"/>
      <c r="T3177" s="5"/>
      <c r="U3177" s="5"/>
      <c r="V3177" s="5"/>
      <c r="W3177" s="5"/>
    </row>
    <row r="3178" ht="15.75" customHeight="1">
      <c r="A3178" s="3" t="str">
        <f>IFERROR(__xludf.DUMMYFUNCTION("""COMPUTED_VALUE"""),"")</f>
        <v/>
      </c>
      <c r="B3178" s="3"/>
      <c r="C3178" s="3"/>
      <c r="D3178" s="3"/>
      <c r="E3178" s="3"/>
      <c r="F3178" s="3"/>
      <c r="G3178" s="3"/>
      <c r="H3178" s="3"/>
      <c r="I3178" s="3"/>
      <c r="J3178" s="3"/>
      <c r="K3178" s="3"/>
      <c r="L3178" s="3"/>
      <c r="M3178" s="3"/>
      <c r="N3178" s="3"/>
      <c r="O3178" s="3"/>
      <c r="P3178" s="3"/>
      <c r="Q3178" s="3"/>
      <c r="R3178" s="3"/>
      <c r="S3178" s="3"/>
      <c r="T3178" s="5"/>
      <c r="U3178" s="5"/>
      <c r="V3178" s="5"/>
      <c r="W3178" s="5"/>
    </row>
    <row r="3179" ht="15.75" customHeight="1">
      <c r="A3179" s="3" t="str">
        <f>IFERROR(__xludf.DUMMYFUNCTION("""COMPUTED_VALUE"""),"")</f>
        <v/>
      </c>
      <c r="B3179" s="3"/>
      <c r="C3179" s="3"/>
      <c r="D3179" s="3"/>
      <c r="E3179" s="3"/>
      <c r="F3179" s="3"/>
      <c r="G3179" s="3"/>
      <c r="H3179" s="3"/>
      <c r="I3179" s="3"/>
      <c r="J3179" s="3"/>
      <c r="K3179" s="3"/>
      <c r="L3179" s="3"/>
      <c r="M3179" s="3"/>
      <c r="N3179" s="3"/>
      <c r="O3179" s="3"/>
      <c r="P3179" s="3"/>
      <c r="Q3179" s="3"/>
      <c r="R3179" s="3"/>
      <c r="S3179" s="3"/>
      <c r="T3179" s="5"/>
      <c r="U3179" s="5"/>
      <c r="V3179" s="5"/>
      <c r="W3179" s="5"/>
    </row>
    <row r="3180" ht="15.75" customHeight="1">
      <c r="A3180" s="3" t="str">
        <f>IFERROR(__xludf.DUMMYFUNCTION("""COMPUTED_VALUE"""),"")</f>
        <v/>
      </c>
      <c r="B3180" s="3"/>
      <c r="C3180" s="3"/>
      <c r="D3180" s="3"/>
      <c r="E3180" s="3"/>
      <c r="F3180" s="3"/>
      <c r="G3180" s="3"/>
      <c r="H3180" s="3"/>
      <c r="I3180" s="3"/>
      <c r="J3180" s="3"/>
      <c r="K3180" s="3"/>
      <c r="L3180" s="3"/>
      <c r="M3180" s="3"/>
      <c r="N3180" s="3"/>
      <c r="O3180" s="3"/>
      <c r="P3180" s="3"/>
      <c r="Q3180" s="3"/>
      <c r="R3180" s="3"/>
      <c r="S3180" s="3"/>
      <c r="T3180" s="5"/>
      <c r="U3180" s="5"/>
      <c r="V3180" s="5"/>
      <c r="W3180" s="5"/>
    </row>
    <row r="3181" ht="15.75" customHeight="1">
      <c r="A3181" s="3" t="str">
        <f>IFERROR(__xludf.DUMMYFUNCTION("""COMPUTED_VALUE"""),"")</f>
        <v/>
      </c>
      <c r="B3181" s="3"/>
      <c r="C3181" s="3"/>
      <c r="D3181" s="3"/>
      <c r="E3181" s="3"/>
      <c r="F3181" s="3"/>
      <c r="G3181" s="3"/>
      <c r="H3181" s="3"/>
      <c r="I3181" s="3"/>
      <c r="J3181" s="3"/>
      <c r="K3181" s="3"/>
      <c r="L3181" s="3"/>
      <c r="M3181" s="3"/>
      <c r="N3181" s="3"/>
      <c r="O3181" s="3"/>
      <c r="P3181" s="3"/>
      <c r="Q3181" s="3"/>
      <c r="R3181" s="3"/>
      <c r="S3181" s="3"/>
      <c r="T3181" s="5"/>
      <c r="U3181" s="5"/>
      <c r="V3181" s="5"/>
      <c r="W3181" s="5"/>
    </row>
    <row r="3182" ht="15.75" customHeight="1">
      <c r="A3182" s="3" t="str">
        <f>IFERROR(__xludf.DUMMYFUNCTION("""COMPUTED_VALUE"""),"")</f>
        <v/>
      </c>
      <c r="B3182" s="3"/>
      <c r="C3182" s="3"/>
      <c r="D3182" s="3"/>
      <c r="E3182" s="3"/>
      <c r="F3182" s="3"/>
      <c r="G3182" s="3"/>
      <c r="H3182" s="3"/>
      <c r="I3182" s="3"/>
      <c r="J3182" s="3"/>
      <c r="K3182" s="3"/>
      <c r="L3182" s="3"/>
      <c r="M3182" s="3"/>
      <c r="N3182" s="3"/>
      <c r="O3182" s="3"/>
      <c r="P3182" s="3"/>
      <c r="Q3182" s="3"/>
      <c r="R3182" s="3"/>
      <c r="S3182" s="3"/>
      <c r="T3182" s="5"/>
      <c r="U3182" s="5"/>
      <c r="V3182" s="5"/>
      <c r="W3182" s="5"/>
    </row>
    <row r="3183" ht="15.75" customHeight="1">
      <c r="A3183" s="3" t="str">
        <f>IFERROR(__xludf.DUMMYFUNCTION("""COMPUTED_VALUE"""),"")</f>
        <v/>
      </c>
      <c r="B3183" s="3"/>
      <c r="C3183" s="3"/>
      <c r="D3183" s="3"/>
      <c r="E3183" s="3"/>
      <c r="F3183" s="3"/>
      <c r="G3183" s="3"/>
      <c r="H3183" s="3"/>
      <c r="I3183" s="3"/>
      <c r="J3183" s="3"/>
      <c r="K3183" s="3"/>
      <c r="L3183" s="3"/>
      <c r="M3183" s="3"/>
      <c r="N3183" s="3"/>
      <c r="O3183" s="3"/>
      <c r="P3183" s="3"/>
      <c r="Q3183" s="3"/>
      <c r="R3183" s="3"/>
      <c r="S3183" s="3"/>
      <c r="T3183" s="5"/>
      <c r="U3183" s="5"/>
      <c r="V3183" s="5"/>
      <c r="W3183" s="5"/>
    </row>
    <row r="3184" ht="15.75" customHeight="1">
      <c r="A3184" s="3" t="str">
        <f>IFERROR(__xludf.DUMMYFUNCTION("""COMPUTED_VALUE"""),"")</f>
        <v/>
      </c>
      <c r="B3184" s="3"/>
      <c r="C3184" s="3"/>
      <c r="D3184" s="3"/>
      <c r="E3184" s="3"/>
      <c r="F3184" s="3"/>
      <c r="G3184" s="3"/>
      <c r="H3184" s="3"/>
      <c r="I3184" s="3"/>
      <c r="J3184" s="3"/>
      <c r="K3184" s="3"/>
      <c r="L3184" s="3"/>
      <c r="M3184" s="3"/>
      <c r="N3184" s="3"/>
      <c r="O3184" s="3"/>
      <c r="P3184" s="3"/>
      <c r="Q3184" s="3"/>
      <c r="R3184" s="3"/>
      <c r="S3184" s="3"/>
      <c r="T3184" s="5"/>
      <c r="U3184" s="5"/>
      <c r="V3184" s="5"/>
      <c r="W3184" s="5"/>
    </row>
    <row r="3185" ht="15.75" customHeight="1">
      <c r="A3185" s="3" t="str">
        <f>IFERROR(__xludf.DUMMYFUNCTION("""COMPUTED_VALUE"""),"")</f>
        <v/>
      </c>
      <c r="B3185" s="3"/>
      <c r="C3185" s="3"/>
      <c r="D3185" s="3"/>
      <c r="E3185" s="3"/>
      <c r="F3185" s="3"/>
      <c r="G3185" s="3"/>
      <c r="H3185" s="3"/>
      <c r="I3185" s="3"/>
      <c r="J3185" s="3"/>
      <c r="K3185" s="3"/>
      <c r="L3185" s="3"/>
      <c r="M3185" s="3"/>
      <c r="N3185" s="3"/>
      <c r="O3185" s="3"/>
      <c r="P3185" s="3"/>
      <c r="Q3185" s="3"/>
      <c r="R3185" s="3"/>
      <c r="S3185" s="3"/>
      <c r="T3185" s="5"/>
      <c r="U3185" s="5"/>
      <c r="V3185" s="5"/>
      <c r="W3185" s="5"/>
    </row>
    <row r="3186" ht="15.75" customHeight="1">
      <c r="A3186" s="3" t="str">
        <f>IFERROR(__xludf.DUMMYFUNCTION("""COMPUTED_VALUE"""),"")</f>
        <v/>
      </c>
      <c r="B3186" s="3"/>
      <c r="C3186" s="3"/>
      <c r="D3186" s="3"/>
      <c r="E3186" s="3"/>
      <c r="F3186" s="3"/>
      <c r="G3186" s="3"/>
      <c r="H3186" s="3"/>
      <c r="I3186" s="3"/>
      <c r="J3186" s="3"/>
      <c r="K3186" s="3"/>
      <c r="L3186" s="3"/>
      <c r="M3186" s="3"/>
      <c r="N3186" s="3"/>
      <c r="O3186" s="3"/>
      <c r="P3186" s="3"/>
      <c r="Q3186" s="3"/>
      <c r="R3186" s="3"/>
      <c r="S3186" s="3"/>
      <c r="T3186" s="5"/>
      <c r="U3186" s="5"/>
      <c r="V3186" s="5"/>
      <c r="W3186" s="5"/>
    </row>
    <row r="3187" ht="15.75" customHeight="1">
      <c r="A3187" s="3" t="str">
        <f>IFERROR(__xludf.DUMMYFUNCTION("""COMPUTED_VALUE"""),"")</f>
        <v/>
      </c>
      <c r="B3187" s="3"/>
      <c r="C3187" s="3"/>
      <c r="D3187" s="3"/>
      <c r="E3187" s="3"/>
      <c r="F3187" s="3"/>
      <c r="G3187" s="3"/>
      <c r="H3187" s="3"/>
      <c r="I3187" s="3"/>
      <c r="J3187" s="3"/>
      <c r="K3187" s="3"/>
      <c r="L3187" s="3"/>
      <c r="M3187" s="3"/>
      <c r="N3187" s="3"/>
      <c r="O3187" s="3"/>
      <c r="P3187" s="3"/>
      <c r="Q3187" s="3"/>
      <c r="R3187" s="3"/>
      <c r="S3187" s="3"/>
      <c r="T3187" s="5"/>
      <c r="U3187" s="5"/>
      <c r="V3187" s="5"/>
      <c r="W3187" s="5"/>
    </row>
    <row r="3188" ht="15.75" customHeight="1">
      <c r="A3188" s="3" t="str">
        <f>IFERROR(__xludf.DUMMYFUNCTION("""COMPUTED_VALUE"""),"")</f>
        <v/>
      </c>
      <c r="B3188" s="3"/>
      <c r="C3188" s="3"/>
      <c r="D3188" s="3"/>
      <c r="E3188" s="3"/>
      <c r="F3188" s="3"/>
      <c r="G3188" s="3"/>
      <c r="H3188" s="3"/>
      <c r="I3188" s="3"/>
      <c r="J3188" s="3"/>
      <c r="K3188" s="3"/>
      <c r="L3188" s="3"/>
      <c r="M3188" s="3"/>
      <c r="N3188" s="3"/>
      <c r="O3188" s="3"/>
      <c r="P3188" s="3"/>
      <c r="Q3188" s="3"/>
      <c r="R3188" s="3"/>
      <c r="S3188" s="3"/>
      <c r="T3188" s="5"/>
      <c r="U3188" s="5"/>
      <c r="V3188" s="5"/>
      <c r="W3188" s="5"/>
    </row>
    <row r="3189" ht="15.75" customHeight="1">
      <c r="A3189" s="3" t="str">
        <f>IFERROR(__xludf.DUMMYFUNCTION("""COMPUTED_VALUE"""),"")</f>
        <v/>
      </c>
      <c r="B3189" s="3"/>
      <c r="C3189" s="3"/>
      <c r="D3189" s="3"/>
      <c r="E3189" s="3"/>
      <c r="F3189" s="3"/>
      <c r="G3189" s="3"/>
      <c r="H3189" s="3"/>
      <c r="I3189" s="3"/>
      <c r="J3189" s="3"/>
      <c r="K3189" s="3"/>
      <c r="L3189" s="3"/>
      <c r="M3189" s="3"/>
      <c r="N3189" s="3"/>
      <c r="O3189" s="3"/>
      <c r="P3189" s="3"/>
      <c r="Q3189" s="3"/>
      <c r="R3189" s="3"/>
      <c r="S3189" s="3"/>
      <c r="T3189" s="5"/>
      <c r="U3189" s="5"/>
      <c r="V3189" s="5"/>
      <c r="W3189" s="5"/>
    </row>
    <row r="3190" ht="15.75" customHeight="1">
      <c r="A3190" s="3" t="str">
        <f>IFERROR(__xludf.DUMMYFUNCTION("""COMPUTED_VALUE"""),"")</f>
        <v/>
      </c>
      <c r="B3190" s="3"/>
      <c r="C3190" s="3"/>
      <c r="D3190" s="3"/>
      <c r="E3190" s="3"/>
      <c r="F3190" s="3"/>
      <c r="G3190" s="3"/>
      <c r="H3190" s="3"/>
      <c r="I3190" s="3"/>
      <c r="J3190" s="3"/>
      <c r="K3190" s="3"/>
      <c r="L3190" s="3"/>
      <c r="M3190" s="3"/>
      <c r="N3190" s="3"/>
      <c r="O3190" s="3"/>
      <c r="P3190" s="3"/>
      <c r="Q3190" s="3"/>
      <c r="R3190" s="3"/>
      <c r="S3190" s="3"/>
      <c r="T3190" s="5"/>
      <c r="U3190" s="5"/>
      <c r="V3190" s="5"/>
      <c r="W3190" s="5"/>
    </row>
    <row r="3191" ht="15.75" customHeight="1">
      <c r="A3191" s="3" t="str">
        <f>IFERROR(__xludf.DUMMYFUNCTION("""COMPUTED_VALUE"""),"")</f>
        <v/>
      </c>
      <c r="B3191" s="3"/>
      <c r="C3191" s="3"/>
      <c r="D3191" s="3"/>
      <c r="E3191" s="3"/>
      <c r="F3191" s="3"/>
      <c r="G3191" s="3"/>
      <c r="H3191" s="3"/>
      <c r="I3191" s="3"/>
      <c r="J3191" s="3"/>
      <c r="K3191" s="3"/>
      <c r="L3191" s="3"/>
      <c r="M3191" s="3"/>
      <c r="N3191" s="3"/>
      <c r="O3191" s="3"/>
      <c r="P3191" s="3"/>
      <c r="Q3191" s="3"/>
      <c r="R3191" s="3"/>
      <c r="S3191" s="3"/>
      <c r="T3191" s="5"/>
      <c r="U3191" s="5"/>
      <c r="V3191" s="5"/>
      <c r="W3191" s="5"/>
    </row>
    <row r="3192" ht="15.75" customHeight="1">
      <c r="A3192" s="3" t="str">
        <f>IFERROR(__xludf.DUMMYFUNCTION("""COMPUTED_VALUE"""),"")</f>
        <v/>
      </c>
      <c r="B3192" s="3"/>
      <c r="C3192" s="3"/>
      <c r="D3192" s="3"/>
      <c r="E3192" s="3"/>
      <c r="F3192" s="3"/>
      <c r="G3192" s="3"/>
      <c r="H3192" s="3"/>
      <c r="I3192" s="3"/>
      <c r="J3192" s="3"/>
      <c r="K3192" s="3"/>
      <c r="L3192" s="3"/>
      <c r="M3192" s="3"/>
      <c r="N3192" s="3"/>
      <c r="O3192" s="3"/>
      <c r="P3192" s="3"/>
      <c r="Q3192" s="3"/>
      <c r="R3192" s="3"/>
      <c r="S3192" s="3"/>
      <c r="T3192" s="5"/>
      <c r="U3192" s="5"/>
      <c r="V3192" s="5"/>
      <c r="W3192" s="5"/>
    </row>
    <row r="3193" ht="15.75" customHeight="1">
      <c r="A3193" s="3" t="str">
        <f>IFERROR(__xludf.DUMMYFUNCTION("""COMPUTED_VALUE"""),"")</f>
        <v/>
      </c>
      <c r="B3193" s="3"/>
      <c r="C3193" s="3"/>
      <c r="D3193" s="3"/>
      <c r="E3193" s="3"/>
      <c r="F3193" s="3"/>
      <c r="G3193" s="3"/>
      <c r="H3193" s="3"/>
      <c r="I3193" s="3"/>
      <c r="J3193" s="3"/>
      <c r="K3193" s="3"/>
      <c r="L3193" s="3"/>
      <c r="M3193" s="3"/>
      <c r="N3193" s="3"/>
      <c r="O3193" s="3"/>
      <c r="P3193" s="3"/>
      <c r="Q3193" s="3"/>
      <c r="R3193" s="3"/>
      <c r="S3193" s="3"/>
      <c r="T3193" s="5"/>
      <c r="U3193" s="5"/>
      <c r="V3193" s="5"/>
      <c r="W3193" s="5"/>
    </row>
    <row r="3194" ht="15.75" customHeight="1">
      <c r="A3194" s="3" t="str">
        <f>IFERROR(__xludf.DUMMYFUNCTION("""COMPUTED_VALUE"""),"")</f>
        <v/>
      </c>
      <c r="B3194" s="3"/>
      <c r="C3194" s="3"/>
      <c r="D3194" s="3"/>
      <c r="E3194" s="3"/>
      <c r="F3194" s="3"/>
      <c r="G3194" s="3"/>
      <c r="H3194" s="3"/>
      <c r="I3194" s="3"/>
      <c r="J3194" s="3"/>
      <c r="K3194" s="3"/>
      <c r="L3194" s="3"/>
      <c r="M3194" s="3"/>
      <c r="N3194" s="3"/>
      <c r="O3194" s="3"/>
      <c r="P3194" s="3"/>
      <c r="Q3194" s="3"/>
      <c r="R3194" s="3"/>
      <c r="S3194" s="3"/>
      <c r="T3194" s="5"/>
      <c r="U3194" s="5"/>
      <c r="V3194" s="5"/>
      <c r="W3194" s="5"/>
    </row>
    <row r="3195" ht="15.75" customHeight="1">
      <c r="A3195" s="3" t="str">
        <f>IFERROR(__xludf.DUMMYFUNCTION("""COMPUTED_VALUE"""),"")</f>
        <v/>
      </c>
      <c r="B3195" s="3"/>
      <c r="C3195" s="3"/>
      <c r="D3195" s="3"/>
      <c r="E3195" s="3"/>
      <c r="F3195" s="3"/>
      <c r="G3195" s="3"/>
      <c r="H3195" s="3"/>
      <c r="I3195" s="3"/>
      <c r="J3195" s="3"/>
      <c r="K3195" s="3"/>
      <c r="L3195" s="3"/>
      <c r="M3195" s="3"/>
      <c r="N3195" s="3"/>
      <c r="O3195" s="3"/>
      <c r="P3195" s="3"/>
      <c r="Q3195" s="3"/>
      <c r="R3195" s="3"/>
      <c r="S3195" s="3"/>
      <c r="T3195" s="5"/>
      <c r="U3195" s="5"/>
      <c r="V3195" s="5"/>
      <c r="W3195" s="5"/>
    </row>
    <row r="3196" ht="15.75" customHeight="1">
      <c r="A3196" s="3" t="str">
        <f>IFERROR(__xludf.DUMMYFUNCTION("""COMPUTED_VALUE"""),"")</f>
        <v/>
      </c>
      <c r="B3196" s="3"/>
      <c r="C3196" s="3"/>
      <c r="D3196" s="3"/>
      <c r="E3196" s="3"/>
      <c r="F3196" s="3"/>
      <c r="G3196" s="3"/>
      <c r="H3196" s="3"/>
      <c r="I3196" s="3"/>
      <c r="J3196" s="3"/>
      <c r="K3196" s="3"/>
      <c r="L3196" s="3"/>
      <c r="M3196" s="3"/>
      <c r="N3196" s="3"/>
      <c r="O3196" s="3"/>
      <c r="P3196" s="3"/>
      <c r="Q3196" s="3"/>
      <c r="R3196" s="3"/>
      <c r="S3196" s="3"/>
      <c r="T3196" s="5"/>
      <c r="U3196" s="5"/>
      <c r="V3196" s="5"/>
      <c r="W3196" s="5"/>
    </row>
    <row r="3197" ht="15.75" customHeight="1">
      <c r="A3197" s="3" t="str">
        <f>IFERROR(__xludf.DUMMYFUNCTION("""COMPUTED_VALUE"""),"")</f>
        <v/>
      </c>
      <c r="B3197" s="3"/>
      <c r="C3197" s="3"/>
      <c r="D3197" s="3"/>
      <c r="E3197" s="3"/>
      <c r="F3197" s="3"/>
      <c r="G3197" s="3"/>
      <c r="H3197" s="3"/>
      <c r="I3197" s="3"/>
      <c r="J3197" s="3"/>
      <c r="K3197" s="3"/>
      <c r="L3197" s="3"/>
      <c r="M3197" s="3"/>
      <c r="N3197" s="3"/>
      <c r="O3197" s="3"/>
      <c r="P3197" s="3"/>
      <c r="Q3197" s="3"/>
      <c r="R3197" s="3"/>
      <c r="S3197" s="3"/>
      <c r="T3197" s="5"/>
      <c r="U3197" s="5"/>
      <c r="V3197" s="5"/>
      <c r="W3197" s="5"/>
    </row>
    <row r="3198" ht="15.75" customHeight="1">
      <c r="A3198" s="3" t="str">
        <f>IFERROR(__xludf.DUMMYFUNCTION("""COMPUTED_VALUE"""),"")</f>
        <v/>
      </c>
      <c r="B3198" s="3"/>
      <c r="C3198" s="3"/>
      <c r="D3198" s="3"/>
      <c r="E3198" s="3"/>
      <c r="F3198" s="3"/>
      <c r="G3198" s="3"/>
      <c r="H3198" s="3"/>
      <c r="I3198" s="3"/>
      <c r="J3198" s="3"/>
      <c r="K3198" s="3"/>
      <c r="L3198" s="3"/>
      <c r="M3198" s="3"/>
      <c r="N3198" s="3"/>
      <c r="O3198" s="3"/>
      <c r="P3198" s="3"/>
      <c r="Q3198" s="3"/>
      <c r="R3198" s="3"/>
      <c r="S3198" s="3"/>
      <c r="T3198" s="5"/>
      <c r="U3198" s="5"/>
      <c r="V3198" s="5"/>
      <c r="W3198" s="5"/>
    </row>
    <row r="3199" ht="15.75" customHeight="1">
      <c r="A3199" s="3" t="str">
        <f>IFERROR(__xludf.DUMMYFUNCTION("""COMPUTED_VALUE"""),"")</f>
        <v/>
      </c>
      <c r="B3199" s="3"/>
      <c r="C3199" s="3"/>
      <c r="D3199" s="3"/>
      <c r="E3199" s="3"/>
      <c r="F3199" s="3"/>
      <c r="G3199" s="3"/>
      <c r="H3199" s="3"/>
      <c r="I3199" s="3"/>
      <c r="J3199" s="3"/>
      <c r="K3199" s="3"/>
      <c r="L3199" s="3"/>
      <c r="M3199" s="3"/>
      <c r="N3199" s="3"/>
      <c r="O3199" s="3"/>
      <c r="P3199" s="3"/>
      <c r="Q3199" s="3"/>
      <c r="R3199" s="3"/>
      <c r="S3199" s="3"/>
      <c r="T3199" s="5"/>
      <c r="U3199" s="5"/>
      <c r="V3199" s="5"/>
      <c r="W3199" s="5"/>
    </row>
    <row r="3200" ht="15.75" customHeight="1">
      <c r="A3200" s="3" t="str">
        <f>IFERROR(__xludf.DUMMYFUNCTION("""COMPUTED_VALUE"""),"")</f>
        <v/>
      </c>
      <c r="B3200" s="3"/>
      <c r="C3200" s="3"/>
      <c r="D3200" s="3"/>
      <c r="E3200" s="3"/>
      <c r="F3200" s="3"/>
      <c r="G3200" s="3"/>
      <c r="H3200" s="3"/>
      <c r="I3200" s="3"/>
      <c r="J3200" s="3"/>
      <c r="K3200" s="3"/>
      <c r="L3200" s="3"/>
      <c r="M3200" s="3"/>
      <c r="N3200" s="3"/>
      <c r="O3200" s="3"/>
      <c r="P3200" s="3"/>
      <c r="Q3200" s="3"/>
      <c r="R3200" s="3"/>
      <c r="S3200" s="3"/>
      <c r="T3200" s="5"/>
      <c r="U3200" s="5"/>
      <c r="V3200" s="5"/>
      <c r="W3200" s="5"/>
    </row>
    <row r="3201" ht="15.75" customHeight="1">
      <c r="A3201" s="3" t="str">
        <f>IFERROR(__xludf.DUMMYFUNCTION("""COMPUTED_VALUE"""),"")</f>
        <v/>
      </c>
      <c r="B3201" s="3"/>
      <c r="C3201" s="3"/>
      <c r="D3201" s="3"/>
      <c r="E3201" s="3"/>
      <c r="F3201" s="3"/>
      <c r="G3201" s="3"/>
      <c r="H3201" s="3"/>
      <c r="I3201" s="3"/>
      <c r="J3201" s="3"/>
      <c r="K3201" s="3"/>
      <c r="L3201" s="3"/>
      <c r="M3201" s="3"/>
      <c r="N3201" s="3"/>
      <c r="O3201" s="3"/>
      <c r="P3201" s="3"/>
      <c r="Q3201" s="3"/>
      <c r="R3201" s="3"/>
      <c r="S3201" s="3"/>
      <c r="T3201" s="5"/>
      <c r="U3201" s="5"/>
      <c r="V3201" s="5"/>
      <c r="W3201" s="5"/>
    </row>
    <row r="3202" ht="15.75" customHeight="1">
      <c r="A3202" s="3" t="str">
        <f>IFERROR(__xludf.DUMMYFUNCTION("""COMPUTED_VALUE"""),"")</f>
        <v/>
      </c>
      <c r="B3202" s="3"/>
      <c r="C3202" s="3"/>
      <c r="D3202" s="3"/>
      <c r="E3202" s="3"/>
      <c r="F3202" s="3"/>
      <c r="G3202" s="3"/>
      <c r="H3202" s="3"/>
      <c r="I3202" s="3"/>
      <c r="J3202" s="3"/>
      <c r="K3202" s="3"/>
      <c r="L3202" s="3"/>
      <c r="M3202" s="3"/>
      <c r="N3202" s="3"/>
      <c r="O3202" s="3"/>
      <c r="P3202" s="3"/>
      <c r="Q3202" s="3"/>
      <c r="R3202" s="3"/>
      <c r="S3202" s="3"/>
      <c r="T3202" s="5"/>
      <c r="U3202" s="5"/>
      <c r="V3202" s="5"/>
      <c r="W3202" s="5"/>
    </row>
    <row r="3203" ht="15.75" customHeight="1">
      <c r="A3203" s="3" t="str">
        <f>IFERROR(__xludf.DUMMYFUNCTION("""COMPUTED_VALUE"""),"")</f>
        <v/>
      </c>
      <c r="B3203" s="3"/>
      <c r="C3203" s="3"/>
      <c r="D3203" s="3"/>
      <c r="E3203" s="3"/>
      <c r="F3203" s="3"/>
      <c r="G3203" s="3"/>
      <c r="H3203" s="3"/>
      <c r="I3203" s="3"/>
      <c r="J3203" s="3"/>
      <c r="K3203" s="3"/>
      <c r="L3203" s="3"/>
      <c r="M3203" s="3"/>
      <c r="N3203" s="3"/>
      <c r="O3203" s="3"/>
      <c r="P3203" s="3"/>
      <c r="Q3203" s="3"/>
      <c r="R3203" s="3"/>
      <c r="S3203" s="3"/>
      <c r="T3203" s="5"/>
      <c r="U3203" s="5"/>
      <c r="V3203" s="5"/>
      <c r="W3203" s="5"/>
    </row>
    <row r="3204" ht="15.75" customHeight="1">
      <c r="A3204" s="3" t="str">
        <f>IFERROR(__xludf.DUMMYFUNCTION("""COMPUTED_VALUE"""),"")</f>
        <v/>
      </c>
      <c r="B3204" s="3"/>
      <c r="C3204" s="3"/>
      <c r="D3204" s="3"/>
      <c r="E3204" s="3"/>
      <c r="F3204" s="3"/>
      <c r="G3204" s="3"/>
      <c r="H3204" s="3"/>
      <c r="I3204" s="3"/>
      <c r="J3204" s="3"/>
      <c r="K3204" s="3"/>
      <c r="L3204" s="3"/>
      <c r="M3204" s="3"/>
      <c r="N3204" s="3"/>
      <c r="O3204" s="3"/>
      <c r="P3204" s="3"/>
      <c r="Q3204" s="3"/>
      <c r="R3204" s="3"/>
      <c r="S3204" s="3"/>
      <c r="T3204" s="5"/>
      <c r="U3204" s="5"/>
      <c r="V3204" s="5"/>
      <c r="W3204" s="5"/>
    </row>
    <row r="3205" ht="15.75" customHeight="1">
      <c r="A3205" s="3" t="str">
        <f>IFERROR(__xludf.DUMMYFUNCTION("""COMPUTED_VALUE"""),"")</f>
        <v/>
      </c>
      <c r="B3205" s="3"/>
      <c r="C3205" s="3"/>
      <c r="D3205" s="3"/>
      <c r="E3205" s="3"/>
      <c r="F3205" s="3"/>
      <c r="G3205" s="3"/>
      <c r="H3205" s="3"/>
      <c r="I3205" s="3"/>
      <c r="J3205" s="3"/>
      <c r="K3205" s="3"/>
      <c r="L3205" s="3"/>
      <c r="M3205" s="3"/>
      <c r="N3205" s="3"/>
      <c r="O3205" s="3"/>
      <c r="P3205" s="3"/>
      <c r="Q3205" s="3"/>
      <c r="R3205" s="3"/>
      <c r="S3205" s="3"/>
      <c r="T3205" s="5"/>
      <c r="U3205" s="5"/>
      <c r="V3205" s="5"/>
      <c r="W3205" s="5"/>
    </row>
    <row r="3206" ht="15.75" customHeight="1">
      <c r="A3206" s="3" t="str">
        <f>IFERROR(__xludf.DUMMYFUNCTION("""COMPUTED_VALUE"""),"")</f>
        <v/>
      </c>
      <c r="B3206" s="3"/>
      <c r="C3206" s="3"/>
      <c r="D3206" s="3"/>
      <c r="E3206" s="3"/>
      <c r="F3206" s="3"/>
      <c r="G3206" s="3"/>
      <c r="H3206" s="3"/>
      <c r="I3206" s="3"/>
      <c r="J3206" s="3"/>
      <c r="K3206" s="3"/>
      <c r="L3206" s="3"/>
      <c r="M3206" s="3"/>
      <c r="N3206" s="3"/>
      <c r="O3206" s="3"/>
      <c r="P3206" s="3"/>
      <c r="Q3206" s="3"/>
      <c r="R3206" s="3"/>
      <c r="S3206" s="3"/>
      <c r="T3206" s="5"/>
      <c r="U3206" s="5"/>
      <c r="V3206" s="5"/>
      <c r="W3206" s="5"/>
    </row>
    <row r="3207" ht="15.75" customHeight="1">
      <c r="A3207" s="3" t="str">
        <f>IFERROR(__xludf.DUMMYFUNCTION("""COMPUTED_VALUE"""),"")</f>
        <v/>
      </c>
      <c r="B3207" s="3"/>
      <c r="C3207" s="3"/>
      <c r="D3207" s="3"/>
      <c r="E3207" s="3"/>
      <c r="F3207" s="3"/>
      <c r="G3207" s="3"/>
      <c r="H3207" s="3"/>
      <c r="I3207" s="3"/>
      <c r="J3207" s="3"/>
      <c r="K3207" s="3"/>
      <c r="L3207" s="3"/>
      <c r="M3207" s="3"/>
      <c r="N3207" s="3"/>
      <c r="O3207" s="3"/>
      <c r="P3207" s="3"/>
      <c r="Q3207" s="3"/>
      <c r="R3207" s="3"/>
      <c r="S3207" s="3"/>
      <c r="T3207" s="5"/>
      <c r="U3207" s="5"/>
      <c r="V3207" s="5"/>
      <c r="W3207" s="5"/>
    </row>
    <row r="3208" ht="15.75" customHeight="1">
      <c r="A3208" s="3" t="str">
        <f>IFERROR(__xludf.DUMMYFUNCTION("""COMPUTED_VALUE"""),"")</f>
        <v/>
      </c>
      <c r="B3208" s="3"/>
      <c r="C3208" s="3"/>
      <c r="D3208" s="3"/>
      <c r="E3208" s="3"/>
      <c r="F3208" s="3"/>
      <c r="G3208" s="3"/>
      <c r="H3208" s="3"/>
      <c r="I3208" s="3"/>
      <c r="J3208" s="3"/>
      <c r="K3208" s="3"/>
      <c r="L3208" s="3"/>
      <c r="M3208" s="3"/>
      <c r="N3208" s="3"/>
      <c r="O3208" s="3"/>
      <c r="P3208" s="3"/>
      <c r="Q3208" s="3"/>
      <c r="R3208" s="3"/>
      <c r="S3208" s="3"/>
      <c r="T3208" s="5"/>
      <c r="U3208" s="5"/>
      <c r="V3208" s="5"/>
      <c r="W3208" s="5"/>
    </row>
    <row r="3209" ht="15.75" customHeight="1">
      <c r="A3209" s="3" t="str">
        <f>IFERROR(__xludf.DUMMYFUNCTION("""COMPUTED_VALUE"""),"")</f>
        <v/>
      </c>
      <c r="B3209" s="3"/>
      <c r="C3209" s="3"/>
      <c r="D3209" s="3"/>
      <c r="E3209" s="3"/>
      <c r="F3209" s="3"/>
      <c r="G3209" s="3"/>
      <c r="H3209" s="3"/>
      <c r="I3209" s="3"/>
      <c r="J3209" s="3"/>
      <c r="K3209" s="3"/>
      <c r="L3209" s="3"/>
      <c r="M3209" s="3"/>
      <c r="N3209" s="3"/>
      <c r="O3209" s="3"/>
      <c r="P3209" s="3"/>
      <c r="Q3209" s="3"/>
      <c r="R3209" s="3"/>
      <c r="S3209" s="3"/>
      <c r="T3209" s="5"/>
      <c r="U3209" s="5"/>
      <c r="V3209" s="5"/>
      <c r="W3209" s="5"/>
    </row>
    <row r="3210" ht="15.75" customHeight="1">
      <c r="A3210" s="3" t="str">
        <f>IFERROR(__xludf.DUMMYFUNCTION("""COMPUTED_VALUE"""),"")</f>
        <v/>
      </c>
      <c r="B3210" s="3"/>
      <c r="C3210" s="3"/>
      <c r="D3210" s="3"/>
      <c r="E3210" s="3"/>
      <c r="F3210" s="3"/>
      <c r="G3210" s="3"/>
      <c r="H3210" s="3"/>
      <c r="I3210" s="3"/>
      <c r="J3210" s="3"/>
      <c r="K3210" s="3"/>
      <c r="L3210" s="3"/>
      <c r="M3210" s="3"/>
      <c r="N3210" s="3"/>
      <c r="O3210" s="3"/>
      <c r="P3210" s="3"/>
      <c r="Q3210" s="3"/>
      <c r="R3210" s="3"/>
      <c r="S3210" s="3"/>
      <c r="T3210" s="5"/>
      <c r="U3210" s="5"/>
      <c r="V3210" s="5"/>
      <c r="W3210" s="5"/>
    </row>
    <row r="3211" ht="15.75" customHeight="1">
      <c r="A3211" s="3" t="str">
        <f>IFERROR(__xludf.DUMMYFUNCTION("""COMPUTED_VALUE"""),"")</f>
        <v/>
      </c>
      <c r="B3211" s="3"/>
      <c r="C3211" s="3"/>
      <c r="D3211" s="3"/>
      <c r="E3211" s="3"/>
      <c r="F3211" s="3"/>
      <c r="G3211" s="3"/>
      <c r="H3211" s="3"/>
      <c r="I3211" s="3"/>
      <c r="J3211" s="3"/>
      <c r="K3211" s="3"/>
      <c r="L3211" s="3"/>
      <c r="M3211" s="3"/>
      <c r="N3211" s="3"/>
      <c r="O3211" s="3"/>
      <c r="P3211" s="3"/>
      <c r="Q3211" s="3"/>
      <c r="R3211" s="3"/>
      <c r="S3211" s="3"/>
      <c r="T3211" s="5"/>
      <c r="U3211" s="5"/>
      <c r="V3211" s="5"/>
      <c r="W3211" s="5"/>
    </row>
    <row r="3212" ht="15.75" customHeight="1">
      <c r="A3212" s="3" t="str">
        <f>IFERROR(__xludf.DUMMYFUNCTION("""COMPUTED_VALUE"""),"")</f>
        <v/>
      </c>
      <c r="B3212" s="3"/>
      <c r="C3212" s="3"/>
      <c r="D3212" s="3"/>
      <c r="E3212" s="3"/>
      <c r="F3212" s="3"/>
      <c r="G3212" s="3"/>
      <c r="H3212" s="3"/>
      <c r="I3212" s="3"/>
      <c r="J3212" s="3"/>
      <c r="K3212" s="3"/>
      <c r="L3212" s="3"/>
      <c r="M3212" s="3"/>
      <c r="N3212" s="3"/>
      <c r="O3212" s="3"/>
      <c r="P3212" s="3"/>
      <c r="Q3212" s="3"/>
      <c r="R3212" s="3"/>
      <c r="S3212" s="3"/>
      <c r="T3212" s="5"/>
      <c r="U3212" s="5"/>
      <c r="V3212" s="5"/>
      <c r="W3212" s="5"/>
    </row>
    <row r="3213" ht="15.75" customHeight="1">
      <c r="A3213" s="3" t="str">
        <f>IFERROR(__xludf.DUMMYFUNCTION("""COMPUTED_VALUE"""),"")</f>
        <v/>
      </c>
      <c r="B3213" s="3"/>
      <c r="C3213" s="3"/>
      <c r="D3213" s="3"/>
      <c r="E3213" s="3"/>
      <c r="F3213" s="3"/>
      <c r="G3213" s="3"/>
      <c r="H3213" s="3"/>
      <c r="I3213" s="3"/>
      <c r="J3213" s="3"/>
      <c r="K3213" s="3"/>
      <c r="L3213" s="3"/>
      <c r="M3213" s="3"/>
      <c r="N3213" s="3"/>
      <c r="O3213" s="3"/>
      <c r="P3213" s="3"/>
      <c r="Q3213" s="3"/>
      <c r="R3213" s="3"/>
      <c r="S3213" s="3"/>
      <c r="T3213" s="5"/>
      <c r="U3213" s="5"/>
      <c r="V3213" s="5"/>
      <c r="W3213" s="5"/>
    </row>
    <row r="3214" ht="15.75" customHeight="1">
      <c r="A3214" s="3" t="str">
        <f>IFERROR(__xludf.DUMMYFUNCTION("""COMPUTED_VALUE"""),"")</f>
        <v/>
      </c>
      <c r="B3214" s="3"/>
      <c r="C3214" s="3"/>
      <c r="D3214" s="3"/>
      <c r="E3214" s="3"/>
      <c r="F3214" s="3"/>
      <c r="G3214" s="3"/>
      <c r="H3214" s="3"/>
      <c r="I3214" s="3"/>
      <c r="J3214" s="3"/>
      <c r="K3214" s="3"/>
      <c r="L3214" s="3"/>
      <c r="M3214" s="3"/>
      <c r="N3214" s="3"/>
      <c r="O3214" s="3"/>
      <c r="P3214" s="3"/>
      <c r="Q3214" s="3"/>
      <c r="R3214" s="3"/>
      <c r="S3214" s="3"/>
      <c r="T3214" s="5"/>
      <c r="U3214" s="5"/>
      <c r="V3214" s="5"/>
      <c r="W3214" s="5"/>
    </row>
    <row r="3215" ht="15.75" customHeight="1">
      <c r="A3215" s="3" t="str">
        <f>IFERROR(__xludf.DUMMYFUNCTION("""COMPUTED_VALUE"""),"")</f>
        <v/>
      </c>
      <c r="B3215" s="3"/>
      <c r="C3215" s="3"/>
      <c r="D3215" s="3"/>
      <c r="E3215" s="3"/>
      <c r="F3215" s="3"/>
      <c r="G3215" s="3"/>
      <c r="H3215" s="3"/>
      <c r="I3215" s="3"/>
      <c r="J3215" s="3"/>
      <c r="K3215" s="3"/>
      <c r="L3215" s="3"/>
      <c r="M3215" s="3"/>
      <c r="N3215" s="3"/>
      <c r="O3215" s="3"/>
      <c r="P3215" s="3"/>
      <c r="Q3215" s="3"/>
      <c r="R3215" s="3"/>
      <c r="S3215" s="3"/>
      <c r="T3215" s="5"/>
      <c r="U3215" s="5"/>
      <c r="V3215" s="5"/>
      <c r="W3215" s="5"/>
    </row>
    <row r="3216" ht="15.75" customHeight="1">
      <c r="A3216" s="3" t="str">
        <f>IFERROR(__xludf.DUMMYFUNCTION("""COMPUTED_VALUE"""),"")</f>
        <v/>
      </c>
      <c r="B3216" s="3"/>
      <c r="C3216" s="3"/>
      <c r="D3216" s="3"/>
      <c r="E3216" s="3"/>
      <c r="F3216" s="3"/>
      <c r="G3216" s="3"/>
      <c r="H3216" s="3"/>
      <c r="I3216" s="3"/>
      <c r="J3216" s="3"/>
      <c r="K3216" s="3"/>
      <c r="L3216" s="3"/>
      <c r="M3216" s="3"/>
      <c r="N3216" s="3"/>
      <c r="O3216" s="3"/>
      <c r="P3216" s="3"/>
      <c r="Q3216" s="3"/>
      <c r="R3216" s="3"/>
      <c r="S3216" s="3"/>
      <c r="T3216" s="5"/>
      <c r="U3216" s="5"/>
      <c r="V3216" s="5"/>
      <c r="W3216" s="5"/>
    </row>
    <row r="3217" ht="15.75" customHeight="1">
      <c r="A3217" s="3" t="str">
        <f>IFERROR(__xludf.DUMMYFUNCTION("""COMPUTED_VALUE"""),"")</f>
        <v/>
      </c>
      <c r="B3217" s="3"/>
      <c r="C3217" s="3"/>
      <c r="D3217" s="3"/>
      <c r="E3217" s="3"/>
      <c r="F3217" s="3"/>
      <c r="G3217" s="3"/>
      <c r="H3217" s="3"/>
      <c r="I3217" s="3"/>
      <c r="J3217" s="3"/>
      <c r="K3217" s="3"/>
      <c r="L3217" s="3"/>
      <c r="M3217" s="3"/>
      <c r="N3217" s="3"/>
      <c r="O3217" s="3"/>
      <c r="P3217" s="3"/>
      <c r="Q3217" s="3"/>
      <c r="R3217" s="3"/>
      <c r="S3217" s="3"/>
      <c r="T3217" s="5"/>
      <c r="U3217" s="5"/>
      <c r="V3217" s="5"/>
      <c r="W3217" s="5"/>
    </row>
    <row r="3218" ht="15.75" customHeight="1">
      <c r="A3218" s="3" t="str">
        <f>IFERROR(__xludf.DUMMYFUNCTION("""COMPUTED_VALUE"""),"")</f>
        <v/>
      </c>
      <c r="B3218" s="3"/>
      <c r="C3218" s="3"/>
      <c r="D3218" s="3"/>
      <c r="E3218" s="3"/>
      <c r="F3218" s="3"/>
      <c r="G3218" s="3"/>
      <c r="H3218" s="3"/>
      <c r="I3218" s="3"/>
      <c r="J3218" s="3"/>
      <c r="K3218" s="3"/>
      <c r="L3218" s="3"/>
      <c r="M3218" s="3"/>
      <c r="N3218" s="3"/>
      <c r="O3218" s="3"/>
      <c r="P3218" s="3"/>
      <c r="Q3218" s="3"/>
      <c r="R3218" s="3"/>
      <c r="S3218" s="3"/>
      <c r="T3218" s="5"/>
      <c r="U3218" s="5"/>
      <c r="V3218" s="5"/>
      <c r="W3218" s="5"/>
    </row>
    <row r="3219" ht="15.75" customHeight="1">
      <c r="A3219" s="3" t="str">
        <f>IFERROR(__xludf.DUMMYFUNCTION("""COMPUTED_VALUE"""),"")</f>
        <v/>
      </c>
      <c r="B3219" s="3"/>
      <c r="C3219" s="3"/>
      <c r="D3219" s="3"/>
      <c r="E3219" s="3"/>
      <c r="F3219" s="3"/>
      <c r="G3219" s="3"/>
      <c r="H3219" s="3"/>
      <c r="I3219" s="3"/>
      <c r="J3219" s="3"/>
      <c r="K3219" s="3"/>
      <c r="L3219" s="3"/>
      <c r="M3219" s="3"/>
      <c r="N3219" s="3"/>
      <c r="O3219" s="3"/>
      <c r="P3219" s="3"/>
      <c r="Q3219" s="3"/>
      <c r="R3219" s="3"/>
      <c r="S3219" s="3"/>
      <c r="T3219" s="5"/>
      <c r="U3219" s="5"/>
      <c r="V3219" s="5"/>
      <c r="W3219" s="5"/>
    </row>
    <row r="3220" ht="15.75" customHeight="1">
      <c r="A3220" s="3" t="str">
        <f>IFERROR(__xludf.DUMMYFUNCTION("""COMPUTED_VALUE"""),"")</f>
        <v/>
      </c>
      <c r="B3220" s="3"/>
      <c r="C3220" s="3"/>
      <c r="D3220" s="3"/>
      <c r="E3220" s="3"/>
      <c r="F3220" s="3"/>
      <c r="G3220" s="3"/>
      <c r="H3220" s="3"/>
      <c r="I3220" s="3"/>
      <c r="J3220" s="3"/>
      <c r="K3220" s="3"/>
      <c r="L3220" s="3"/>
      <c r="M3220" s="3"/>
      <c r="N3220" s="3"/>
      <c r="O3220" s="3"/>
      <c r="P3220" s="3"/>
      <c r="Q3220" s="3"/>
      <c r="R3220" s="3"/>
      <c r="S3220" s="3"/>
      <c r="T3220" s="5"/>
      <c r="U3220" s="5"/>
      <c r="V3220" s="5"/>
      <c r="W3220" s="5"/>
    </row>
    <row r="3221" ht="15.75" customHeight="1">
      <c r="A3221" s="3" t="str">
        <f>IFERROR(__xludf.DUMMYFUNCTION("""COMPUTED_VALUE"""),"")</f>
        <v/>
      </c>
      <c r="B3221" s="3"/>
      <c r="C3221" s="3"/>
      <c r="D3221" s="3"/>
      <c r="E3221" s="3"/>
      <c r="F3221" s="3"/>
      <c r="G3221" s="3"/>
      <c r="H3221" s="3"/>
      <c r="I3221" s="3"/>
      <c r="J3221" s="3"/>
      <c r="K3221" s="3"/>
      <c r="L3221" s="3"/>
      <c r="M3221" s="3"/>
      <c r="N3221" s="3"/>
      <c r="O3221" s="3"/>
      <c r="P3221" s="3"/>
      <c r="Q3221" s="3"/>
      <c r="R3221" s="3"/>
      <c r="S3221" s="3"/>
      <c r="T3221" s="5"/>
      <c r="U3221" s="5"/>
      <c r="V3221" s="5"/>
      <c r="W3221" s="5"/>
    </row>
    <row r="3222" ht="15.75" customHeight="1">
      <c r="A3222" s="3" t="str">
        <f>IFERROR(__xludf.DUMMYFUNCTION("""COMPUTED_VALUE"""),"")</f>
        <v/>
      </c>
      <c r="B3222" s="3"/>
      <c r="C3222" s="3"/>
      <c r="D3222" s="3"/>
      <c r="E3222" s="3"/>
      <c r="F3222" s="3"/>
      <c r="G3222" s="3"/>
      <c r="H3222" s="3"/>
      <c r="I3222" s="3"/>
      <c r="J3222" s="3"/>
      <c r="K3222" s="3"/>
      <c r="L3222" s="3"/>
      <c r="M3222" s="3"/>
      <c r="N3222" s="3"/>
      <c r="O3222" s="3"/>
      <c r="P3222" s="3"/>
      <c r="Q3222" s="3"/>
      <c r="R3222" s="3"/>
      <c r="S3222" s="3"/>
      <c r="T3222" s="5"/>
      <c r="U3222" s="5"/>
      <c r="V3222" s="5"/>
      <c r="W3222" s="5"/>
    </row>
    <row r="3223" ht="15.75" customHeight="1">
      <c r="A3223" s="3" t="str">
        <f>IFERROR(__xludf.DUMMYFUNCTION("""COMPUTED_VALUE"""),"")</f>
        <v/>
      </c>
      <c r="B3223" s="3"/>
      <c r="C3223" s="3"/>
      <c r="D3223" s="3"/>
      <c r="E3223" s="3"/>
      <c r="F3223" s="3"/>
      <c r="G3223" s="3"/>
      <c r="H3223" s="3"/>
      <c r="I3223" s="3"/>
      <c r="J3223" s="3"/>
      <c r="K3223" s="3"/>
      <c r="L3223" s="3"/>
      <c r="M3223" s="3"/>
      <c r="N3223" s="3"/>
      <c r="O3223" s="3"/>
      <c r="P3223" s="3"/>
      <c r="Q3223" s="3"/>
      <c r="R3223" s="3"/>
      <c r="S3223" s="3"/>
      <c r="T3223" s="5"/>
      <c r="U3223" s="5"/>
      <c r="V3223" s="5"/>
      <c r="W3223" s="5"/>
    </row>
    <row r="3224" ht="15.75" customHeight="1">
      <c r="A3224" s="3" t="str">
        <f>IFERROR(__xludf.DUMMYFUNCTION("""COMPUTED_VALUE"""),"")</f>
        <v/>
      </c>
      <c r="B3224" s="3"/>
      <c r="C3224" s="3"/>
      <c r="D3224" s="3"/>
      <c r="E3224" s="3"/>
      <c r="F3224" s="3"/>
      <c r="G3224" s="3"/>
      <c r="H3224" s="3"/>
      <c r="I3224" s="3"/>
      <c r="J3224" s="3"/>
      <c r="K3224" s="3"/>
      <c r="L3224" s="3"/>
      <c r="M3224" s="3"/>
      <c r="N3224" s="3"/>
      <c r="O3224" s="3"/>
      <c r="P3224" s="3"/>
      <c r="Q3224" s="3"/>
      <c r="R3224" s="3"/>
      <c r="S3224" s="3"/>
      <c r="T3224" s="5"/>
      <c r="U3224" s="5"/>
      <c r="V3224" s="5"/>
      <c r="W3224" s="5"/>
    </row>
    <row r="3225" ht="15.75" customHeight="1">
      <c r="A3225" s="3" t="str">
        <f>IFERROR(__xludf.DUMMYFUNCTION("""COMPUTED_VALUE"""),"")</f>
        <v/>
      </c>
      <c r="B3225" s="3"/>
      <c r="C3225" s="3"/>
      <c r="D3225" s="3"/>
      <c r="E3225" s="3"/>
      <c r="F3225" s="3"/>
      <c r="G3225" s="3"/>
      <c r="H3225" s="3"/>
      <c r="I3225" s="3"/>
      <c r="J3225" s="3"/>
      <c r="K3225" s="3"/>
      <c r="L3225" s="3"/>
      <c r="M3225" s="3"/>
      <c r="N3225" s="3"/>
      <c r="O3225" s="3"/>
      <c r="P3225" s="3"/>
      <c r="Q3225" s="3"/>
      <c r="R3225" s="3"/>
      <c r="S3225" s="3"/>
      <c r="T3225" s="5"/>
      <c r="U3225" s="5"/>
      <c r="V3225" s="5"/>
      <c r="W3225" s="5"/>
    </row>
    <row r="3226" ht="15.75" customHeight="1">
      <c r="A3226" s="3" t="str">
        <f>IFERROR(__xludf.DUMMYFUNCTION("""COMPUTED_VALUE"""),"")</f>
        <v/>
      </c>
      <c r="B3226" s="3"/>
      <c r="C3226" s="3"/>
      <c r="D3226" s="3"/>
      <c r="E3226" s="3"/>
      <c r="F3226" s="3"/>
      <c r="G3226" s="3"/>
      <c r="H3226" s="3"/>
      <c r="I3226" s="3"/>
      <c r="J3226" s="3"/>
      <c r="K3226" s="3"/>
      <c r="L3226" s="3"/>
      <c r="M3226" s="3"/>
      <c r="N3226" s="3"/>
      <c r="O3226" s="3"/>
      <c r="P3226" s="3"/>
      <c r="Q3226" s="3"/>
      <c r="R3226" s="3"/>
      <c r="S3226" s="3"/>
      <c r="T3226" s="5"/>
      <c r="U3226" s="5"/>
      <c r="V3226" s="5"/>
      <c r="W3226" s="5"/>
    </row>
    <row r="3227" ht="15.75" customHeight="1">
      <c r="A3227" s="3" t="str">
        <f>IFERROR(__xludf.DUMMYFUNCTION("""COMPUTED_VALUE"""),"")</f>
        <v/>
      </c>
      <c r="B3227" s="3"/>
      <c r="C3227" s="3"/>
      <c r="D3227" s="3"/>
      <c r="E3227" s="3"/>
      <c r="F3227" s="3"/>
      <c r="G3227" s="3"/>
      <c r="H3227" s="3"/>
      <c r="I3227" s="3"/>
      <c r="J3227" s="3"/>
      <c r="K3227" s="3"/>
      <c r="L3227" s="3"/>
      <c r="M3227" s="3"/>
      <c r="N3227" s="3"/>
      <c r="O3227" s="3"/>
      <c r="P3227" s="3"/>
      <c r="Q3227" s="3"/>
      <c r="R3227" s="3"/>
      <c r="S3227" s="3"/>
      <c r="T3227" s="5"/>
      <c r="U3227" s="5"/>
      <c r="V3227" s="5"/>
      <c r="W3227" s="5"/>
    </row>
    <row r="3228" ht="15.75" customHeight="1">
      <c r="A3228" s="3" t="str">
        <f>IFERROR(__xludf.DUMMYFUNCTION("""COMPUTED_VALUE"""),"")</f>
        <v/>
      </c>
      <c r="B3228" s="3"/>
      <c r="C3228" s="3"/>
      <c r="D3228" s="3"/>
      <c r="E3228" s="3"/>
      <c r="F3228" s="3"/>
      <c r="G3228" s="3"/>
      <c r="H3228" s="3"/>
      <c r="I3228" s="3"/>
      <c r="J3228" s="3"/>
      <c r="K3228" s="3"/>
      <c r="L3228" s="3"/>
      <c r="M3228" s="3"/>
      <c r="N3228" s="3"/>
      <c r="O3228" s="3"/>
      <c r="P3228" s="3"/>
      <c r="Q3228" s="3"/>
      <c r="R3228" s="3"/>
      <c r="S3228" s="3"/>
      <c r="T3228" s="5"/>
      <c r="U3228" s="5"/>
      <c r="V3228" s="5"/>
      <c r="W3228" s="5"/>
    </row>
    <row r="3229" ht="15.75" customHeight="1">
      <c r="A3229" s="3" t="str">
        <f>IFERROR(__xludf.DUMMYFUNCTION("""COMPUTED_VALUE"""),"")</f>
        <v/>
      </c>
      <c r="B3229" s="3"/>
      <c r="C3229" s="3"/>
      <c r="D3229" s="3"/>
      <c r="E3229" s="3"/>
      <c r="F3229" s="3"/>
      <c r="G3229" s="3"/>
      <c r="H3229" s="3"/>
      <c r="I3229" s="3"/>
      <c r="J3229" s="3"/>
      <c r="K3229" s="3"/>
      <c r="L3229" s="3"/>
      <c r="M3229" s="3"/>
      <c r="N3229" s="3"/>
      <c r="O3229" s="3"/>
      <c r="P3229" s="3"/>
      <c r="Q3229" s="3"/>
      <c r="R3229" s="3"/>
      <c r="S3229" s="3"/>
      <c r="T3229" s="5"/>
      <c r="U3229" s="5"/>
      <c r="V3229" s="5"/>
      <c r="W3229" s="5"/>
    </row>
    <row r="3230" ht="15.75" customHeight="1">
      <c r="A3230" s="3" t="str">
        <f>IFERROR(__xludf.DUMMYFUNCTION("""COMPUTED_VALUE"""),"")</f>
        <v/>
      </c>
      <c r="B3230" s="3"/>
      <c r="C3230" s="3"/>
      <c r="D3230" s="3"/>
      <c r="E3230" s="3"/>
      <c r="F3230" s="3"/>
      <c r="G3230" s="3"/>
      <c r="H3230" s="3"/>
      <c r="I3230" s="3"/>
      <c r="J3230" s="3"/>
      <c r="K3230" s="3"/>
      <c r="L3230" s="3"/>
      <c r="M3230" s="3"/>
      <c r="N3230" s="3"/>
      <c r="O3230" s="3"/>
      <c r="P3230" s="3"/>
      <c r="Q3230" s="3"/>
      <c r="R3230" s="3"/>
      <c r="S3230" s="3"/>
      <c r="T3230" s="5"/>
      <c r="U3230" s="5"/>
      <c r="V3230" s="5"/>
      <c r="W3230" s="5"/>
    </row>
    <row r="3231" ht="15.75" customHeight="1">
      <c r="A3231" s="3" t="str">
        <f>IFERROR(__xludf.DUMMYFUNCTION("""COMPUTED_VALUE"""),"")</f>
        <v/>
      </c>
      <c r="B3231" s="3"/>
      <c r="C3231" s="3"/>
      <c r="D3231" s="3"/>
      <c r="E3231" s="3"/>
      <c r="F3231" s="3"/>
      <c r="G3231" s="3"/>
      <c r="H3231" s="3"/>
      <c r="I3231" s="3"/>
      <c r="J3231" s="3"/>
      <c r="K3231" s="3"/>
      <c r="L3231" s="3"/>
      <c r="M3231" s="3"/>
      <c r="N3231" s="3"/>
      <c r="O3231" s="3"/>
      <c r="P3231" s="3"/>
      <c r="Q3231" s="3"/>
      <c r="R3231" s="3"/>
      <c r="S3231" s="3"/>
      <c r="T3231" s="5"/>
      <c r="U3231" s="5"/>
      <c r="V3231" s="5"/>
      <c r="W3231" s="5"/>
    </row>
    <row r="3232" ht="15.75" customHeight="1">
      <c r="A3232" s="3" t="str">
        <f>IFERROR(__xludf.DUMMYFUNCTION("""COMPUTED_VALUE"""),"")</f>
        <v/>
      </c>
      <c r="B3232" s="3"/>
      <c r="C3232" s="3"/>
      <c r="D3232" s="3"/>
      <c r="E3232" s="3"/>
      <c r="F3232" s="3"/>
      <c r="G3232" s="3"/>
      <c r="H3232" s="3"/>
      <c r="I3232" s="3"/>
      <c r="J3232" s="3"/>
      <c r="K3232" s="3"/>
      <c r="L3232" s="3"/>
      <c r="M3232" s="3"/>
      <c r="N3232" s="3"/>
      <c r="O3232" s="3"/>
      <c r="P3232" s="3"/>
      <c r="Q3232" s="3"/>
      <c r="R3232" s="3"/>
      <c r="S3232" s="3"/>
      <c r="T3232" s="5"/>
      <c r="U3232" s="5"/>
      <c r="V3232" s="5"/>
      <c r="W3232" s="5"/>
    </row>
    <row r="3233" ht="15.75" customHeight="1">
      <c r="A3233" s="3" t="str">
        <f>IFERROR(__xludf.DUMMYFUNCTION("""COMPUTED_VALUE"""),"")</f>
        <v/>
      </c>
      <c r="B3233" s="3"/>
      <c r="C3233" s="3"/>
      <c r="D3233" s="3"/>
      <c r="E3233" s="3"/>
      <c r="F3233" s="3"/>
      <c r="G3233" s="3"/>
      <c r="H3233" s="3"/>
      <c r="I3233" s="3"/>
      <c r="J3233" s="3"/>
      <c r="K3233" s="3"/>
      <c r="L3233" s="3"/>
      <c r="M3233" s="3"/>
      <c r="N3233" s="3"/>
      <c r="O3233" s="3"/>
      <c r="P3233" s="3"/>
      <c r="Q3233" s="3"/>
      <c r="R3233" s="3"/>
      <c r="S3233" s="3"/>
      <c r="T3233" s="5"/>
      <c r="U3233" s="5"/>
      <c r="V3233" s="5"/>
      <c r="W3233" s="5"/>
    </row>
    <row r="3234" ht="15.75" customHeight="1">
      <c r="A3234" s="3" t="str">
        <f>IFERROR(__xludf.DUMMYFUNCTION("""COMPUTED_VALUE"""),"")</f>
        <v/>
      </c>
      <c r="B3234" s="3"/>
      <c r="C3234" s="3"/>
      <c r="D3234" s="3"/>
      <c r="E3234" s="3"/>
      <c r="F3234" s="3"/>
      <c r="G3234" s="3"/>
      <c r="H3234" s="3"/>
      <c r="I3234" s="3"/>
      <c r="J3234" s="3"/>
      <c r="K3234" s="3"/>
      <c r="L3234" s="3"/>
      <c r="M3234" s="3"/>
      <c r="N3234" s="3"/>
      <c r="O3234" s="3"/>
      <c r="P3234" s="3"/>
      <c r="Q3234" s="3"/>
      <c r="R3234" s="3"/>
      <c r="S3234" s="3"/>
      <c r="T3234" s="5"/>
      <c r="U3234" s="5"/>
      <c r="V3234" s="5"/>
      <c r="W3234" s="5"/>
    </row>
    <row r="3235" ht="15.75" customHeight="1">
      <c r="A3235" s="3" t="str">
        <f>IFERROR(__xludf.DUMMYFUNCTION("""COMPUTED_VALUE"""),"")</f>
        <v/>
      </c>
      <c r="B3235" s="3"/>
      <c r="C3235" s="3"/>
      <c r="D3235" s="3"/>
      <c r="E3235" s="3"/>
      <c r="F3235" s="3"/>
      <c r="G3235" s="3"/>
      <c r="H3235" s="3"/>
      <c r="I3235" s="3"/>
      <c r="J3235" s="3"/>
      <c r="K3235" s="3"/>
      <c r="L3235" s="3"/>
      <c r="M3235" s="3"/>
      <c r="N3235" s="3"/>
      <c r="O3235" s="3"/>
      <c r="P3235" s="3"/>
      <c r="Q3235" s="3"/>
      <c r="R3235" s="3"/>
      <c r="S3235" s="3"/>
      <c r="T3235" s="5"/>
      <c r="U3235" s="5"/>
      <c r="V3235" s="5"/>
      <c r="W3235" s="5"/>
    </row>
    <row r="3236" ht="15.75" customHeight="1">
      <c r="A3236" s="3" t="str">
        <f>IFERROR(__xludf.DUMMYFUNCTION("""COMPUTED_VALUE"""),"")</f>
        <v/>
      </c>
      <c r="B3236" s="3"/>
      <c r="C3236" s="3"/>
      <c r="D3236" s="3"/>
      <c r="E3236" s="3"/>
      <c r="F3236" s="3"/>
      <c r="G3236" s="3"/>
      <c r="H3236" s="3"/>
      <c r="I3236" s="3"/>
      <c r="J3236" s="3"/>
      <c r="K3236" s="3"/>
      <c r="L3236" s="3"/>
      <c r="M3236" s="3"/>
      <c r="N3236" s="3"/>
      <c r="O3236" s="3"/>
      <c r="P3236" s="3"/>
      <c r="Q3236" s="3"/>
      <c r="R3236" s="3"/>
      <c r="S3236" s="3"/>
      <c r="T3236" s="5"/>
      <c r="U3236" s="5"/>
      <c r="V3236" s="5"/>
      <c r="W3236" s="5"/>
    </row>
    <row r="3237" ht="15.75" customHeight="1">
      <c r="A3237" s="3" t="str">
        <f>IFERROR(__xludf.DUMMYFUNCTION("""COMPUTED_VALUE"""),"")</f>
        <v/>
      </c>
      <c r="B3237" s="3"/>
      <c r="C3237" s="3"/>
      <c r="D3237" s="3"/>
      <c r="E3237" s="3"/>
      <c r="F3237" s="3"/>
      <c r="G3237" s="3"/>
      <c r="H3237" s="3"/>
      <c r="I3237" s="3"/>
      <c r="J3237" s="3"/>
      <c r="K3237" s="3"/>
      <c r="L3237" s="3"/>
      <c r="M3237" s="3"/>
      <c r="N3237" s="3"/>
      <c r="O3237" s="3"/>
      <c r="P3237" s="3"/>
      <c r="Q3237" s="3"/>
      <c r="R3237" s="3"/>
      <c r="S3237" s="3"/>
      <c r="T3237" s="5"/>
      <c r="U3237" s="5"/>
      <c r="V3237" s="5"/>
      <c r="W3237" s="5"/>
    </row>
    <row r="3238" ht="15.75" customHeight="1">
      <c r="A3238" s="3" t="str">
        <f>IFERROR(__xludf.DUMMYFUNCTION("""COMPUTED_VALUE"""),"")</f>
        <v/>
      </c>
      <c r="B3238" s="3"/>
      <c r="C3238" s="3"/>
      <c r="D3238" s="3"/>
      <c r="E3238" s="3"/>
      <c r="F3238" s="3"/>
      <c r="G3238" s="3"/>
      <c r="H3238" s="3"/>
      <c r="I3238" s="3"/>
      <c r="J3238" s="3"/>
      <c r="K3238" s="3"/>
      <c r="L3238" s="3"/>
      <c r="M3238" s="3"/>
      <c r="N3238" s="3"/>
      <c r="O3238" s="3"/>
      <c r="P3238" s="3"/>
      <c r="Q3238" s="3"/>
      <c r="R3238" s="3"/>
      <c r="S3238" s="3"/>
      <c r="T3238" s="5"/>
      <c r="U3238" s="5"/>
      <c r="V3238" s="5"/>
      <c r="W3238" s="5"/>
    </row>
    <row r="3239" ht="15.75" customHeight="1">
      <c r="A3239" s="3" t="str">
        <f>IFERROR(__xludf.DUMMYFUNCTION("""COMPUTED_VALUE"""),"")</f>
        <v/>
      </c>
      <c r="B3239" s="3"/>
      <c r="C3239" s="3"/>
      <c r="D3239" s="3"/>
      <c r="E3239" s="3"/>
      <c r="F3239" s="3"/>
      <c r="G3239" s="3"/>
      <c r="H3239" s="3"/>
      <c r="I3239" s="3"/>
      <c r="J3239" s="3"/>
      <c r="K3239" s="3"/>
      <c r="L3239" s="3"/>
      <c r="M3239" s="3"/>
      <c r="N3239" s="3"/>
      <c r="O3239" s="3"/>
      <c r="P3239" s="3"/>
      <c r="Q3239" s="3"/>
      <c r="R3239" s="3"/>
      <c r="S3239" s="3"/>
      <c r="T3239" s="5"/>
      <c r="U3239" s="5"/>
      <c r="V3239" s="5"/>
      <c r="W3239" s="5"/>
    </row>
    <row r="3240" ht="15.75" customHeight="1">
      <c r="A3240" s="3" t="str">
        <f>IFERROR(__xludf.DUMMYFUNCTION("""COMPUTED_VALUE"""),"")</f>
        <v/>
      </c>
      <c r="B3240" s="3"/>
      <c r="C3240" s="3"/>
      <c r="D3240" s="3"/>
      <c r="E3240" s="3"/>
      <c r="F3240" s="3"/>
      <c r="G3240" s="3"/>
      <c r="H3240" s="3"/>
      <c r="I3240" s="3"/>
      <c r="J3240" s="3"/>
      <c r="K3240" s="3"/>
      <c r="L3240" s="3"/>
      <c r="M3240" s="3"/>
      <c r="N3240" s="3"/>
      <c r="O3240" s="3"/>
      <c r="P3240" s="3"/>
      <c r="Q3240" s="3"/>
      <c r="R3240" s="3"/>
      <c r="S3240" s="3"/>
      <c r="T3240" s="5"/>
      <c r="U3240" s="5"/>
      <c r="V3240" s="5"/>
      <c r="W3240" s="5"/>
    </row>
    <row r="3241" ht="15.75" customHeight="1">
      <c r="A3241" s="3" t="str">
        <f>IFERROR(__xludf.DUMMYFUNCTION("""COMPUTED_VALUE"""),"")</f>
        <v/>
      </c>
      <c r="B3241" s="3"/>
      <c r="C3241" s="3"/>
      <c r="D3241" s="3"/>
      <c r="E3241" s="3"/>
      <c r="F3241" s="3"/>
      <c r="G3241" s="3"/>
      <c r="H3241" s="3"/>
      <c r="I3241" s="3"/>
      <c r="J3241" s="3"/>
      <c r="K3241" s="3"/>
      <c r="L3241" s="3"/>
      <c r="M3241" s="3"/>
      <c r="N3241" s="3"/>
      <c r="O3241" s="3"/>
      <c r="P3241" s="3"/>
      <c r="Q3241" s="3"/>
      <c r="R3241" s="3"/>
      <c r="S3241" s="3"/>
      <c r="T3241" s="5"/>
      <c r="U3241" s="5"/>
      <c r="V3241" s="5"/>
      <c r="W3241" s="5"/>
    </row>
    <row r="3242" ht="15.75" customHeight="1">
      <c r="A3242" s="3" t="str">
        <f>IFERROR(__xludf.DUMMYFUNCTION("""COMPUTED_VALUE"""),"")</f>
        <v/>
      </c>
      <c r="B3242" s="3"/>
      <c r="C3242" s="3"/>
      <c r="D3242" s="3"/>
      <c r="E3242" s="3"/>
      <c r="F3242" s="3"/>
      <c r="G3242" s="3"/>
      <c r="H3242" s="3"/>
      <c r="I3242" s="3"/>
      <c r="J3242" s="3"/>
      <c r="K3242" s="3"/>
      <c r="L3242" s="3"/>
      <c r="M3242" s="3"/>
      <c r="N3242" s="3"/>
      <c r="O3242" s="3"/>
      <c r="P3242" s="3"/>
      <c r="Q3242" s="3"/>
      <c r="R3242" s="3"/>
      <c r="S3242" s="3"/>
      <c r="T3242" s="5"/>
      <c r="U3242" s="5"/>
      <c r="V3242" s="5"/>
      <c r="W3242" s="5"/>
    </row>
    <row r="3243" ht="15.75" customHeight="1">
      <c r="A3243" s="3" t="str">
        <f>IFERROR(__xludf.DUMMYFUNCTION("""COMPUTED_VALUE"""),"")</f>
        <v/>
      </c>
      <c r="B3243" s="3"/>
      <c r="C3243" s="3"/>
      <c r="D3243" s="3"/>
      <c r="E3243" s="3"/>
      <c r="F3243" s="3"/>
      <c r="G3243" s="3"/>
      <c r="H3243" s="3"/>
      <c r="I3243" s="3"/>
      <c r="J3243" s="3"/>
      <c r="K3243" s="3"/>
      <c r="L3243" s="3"/>
      <c r="M3243" s="3"/>
      <c r="N3243" s="3"/>
      <c r="O3243" s="3"/>
      <c r="P3243" s="3"/>
      <c r="Q3243" s="3"/>
      <c r="R3243" s="3"/>
      <c r="S3243" s="3"/>
      <c r="T3243" s="5"/>
      <c r="U3243" s="5"/>
      <c r="V3243" s="5"/>
      <c r="W3243" s="5"/>
    </row>
    <row r="3244" ht="15.75" customHeight="1">
      <c r="A3244" s="3" t="str">
        <f>IFERROR(__xludf.DUMMYFUNCTION("""COMPUTED_VALUE"""),"")</f>
        <v/>
      </c>
      <c r="B3244" s="3"/>
      <c r="C3244" s="3"/>
      <c r="D3244" s="3"/>
      <c r="E3244" s="3"/>
      <c r="F3244" s="3"/>
      <c r="G3244" s="3"/>
      <c r="H3244" s="3"/>
      <c r="I3244" s="3"/>
      <c r="J3244" s="3"/>
      <c r="K3244" s="3"/>
      <c r="L3244" s="3"/>
      <c r="M3244" s="3"/>
      <c r="N3244" s="3"/>
      <c r="O3244" s="3"/>
      <c r="P3244" s="3"/>
      <c r="Q3244" s="3"/>
      <c r="R3244" s="3"/>
      <c r="S3244" s="3"/>
      <c r="T3244" s="5"/>
      <c r="U3244" s="5"/>
      <c r="V3244" s="5"/>
      <c r="W3244" s="5"/>
    </row>
    <row r="3245" ht="15.75" customHeight="1">
      <c r="A3245" s="3" t="str">
        <f>IFERROR(__xludf.DUMMYFUNCTION("""COMPUTED_VALUE"""),"")</f>
        <v/>
      </c>
      <c r="B3245" s="3"/>
      <c r="C3245" s="3"/>
      <c r="D3245" s="3"/>
      <c r="E3245" s="3"/>
      <c r="F3245" s="3"/>
      <c r="G3245" s="3"/>
      <c r="H3245" s="3"/>
      <c r="I3245" s="3"/>
      <c r="J3245" s="3"/>
      <c r="K3245" s="3"/>
      <c r="L3245" s="3"/>
      <c r="M3245" s="3"/>
      <c r="N3245" s="3"/>
      <c r="O3245" s="3"/>
      <c r="P3245" s="3"/>
      <c r="Q3245" s="3"/>
      <c r="R3245" s="3"/>
      <c r="S3245" s="3"/>
      <c r="T3245" s="5"/>
      <c r="U3245" s="5"/>
      <c r="V3245" s="5"/>
      <c r="W3245" s="5"/>
    </row>
    <row r="3246" ht="15.75" customHeight="1">
      <c r="A3246" s="3" t="str">
        <f>IFERROR(__xludf.DUMMYFUNCTION("""COMPUTED_VALUE"""),"")</f>
        <v/>
      </c>
      <c r="B3246" s="3"/>
      <c r="C3246" s="3"/>
      <c r="D3246" s="3"/>
      <c r="E3246" s="3"/>
      <c r="F3246" s="3"/>
      <c r="G3246" s="3"/>
      <c r="H3246" s="3"/>
      <c r="I3246" s="3"/>
      <c r="J3246" s="3"/>
      <c r="K3246" s="3"/>
      <c r="L3246" s="3"/>
      <c r="M3246" s="3"/>
      <c r="N3246" s="3"/>
      <c r="O3246" s="3"/>
      <c r="P3246" s="3"/>
      <c r="Q3246" s="3"/>
      <c r="R3246" s="3"/>
      <c r="S3246" s="3"/>
      <c r="T3246" s="5"/>
      <c r="U3246" s="5"/>
      <c r="V3246" s="5"/>
      <c r="W3246" s="5"/>
    </row>
    <row r="3247" ht="15.75" customHeight="1">
      <c r="A3247" s="3" t="str">
        <f>IFERROR(__xludf.DUMMYFUNCTION("""COMPUTED_VALUE"""),"")</f>
        <v/>
      </c>
      <c r="B3247" s="3"/>
      <c r="C3247" s="3"/>
      <c r="D3247" s="3"/>
      <c r="E3247" s="3"/>
      <c r="F3247" s="3"/>
      <c r="G3247" s="3"/>
      <c r="H3247" s="3"/>
      <c r="I3247" s="3"/>
      <c r="J3247" s="3"/>
      <c r="K3247" s="3"/>
      <c r="L3247" s="3"/>
      <c r="M3247" s="3"/>
      <c r="N3247" s="3"/>
      <c r="O3247" s="3"/>
      <c r="P3247" s="3"/>
      <c r="Q3247" s="3"/>
      <c r="R3247" s="3"/>
      <c r="S3247" s="3"/>
      <c r="T3247" s="5"/>
      <c r="U3247" s="5"/>
      <c r="V3247" s="5"/>
      <c r="W3247" s="5"/>
    </row>
    <row r="3248" ht="15.75" customHeight="1">
      <c r="A3248" s="3" t="str">
        <f>IFERROR(__xludf.DUMMYFUNCTION("""COMPUTED_VALUE"""),"")</f>
        <v/>
      </c>
      <c r="B3248" s="3"/>
      <c r="C3248" s="3"/>
      <c r="D3248" s="3"/>
      <c r="E3248" s="3"/>
      <c r="F3248" s="3"/>
      <c r="G3248" s="3"/>
      <c r="H3248" s="3"/>
      <c r="I3248" s="3"/>
      <c r="J3248" s="3"/>
      <c r="K3248" s="3"/>
      <c r="L3248" s="3"/>
      <c r="M3248" s="3"/>
      <c r="N3248" s="3"/>
      <c r="O3248" s="3"/>
      <c r="P3248" s="3"/>
      <c r="Q3248" s="3"/>
      <c r="R3248" s="3"/>
      <c r="S3248" s="3"/>
      <c r="T3248" s="5"/>
      <c r="U3248" s="5"/>
      <c r="V3248" s="5"/>
      <c r="W3248" s="5"/>
    </row>
    <row r="3249" ht="15.75" customHeight="1">
      <c r="A3249" s="3" t="str">
        <f>IFERROR(__xludf.DUMMYFUNCTION("""COMPUTED_VALUE"""),"")</f>
        <v/>
      </c>
      <c r="B3249" s="3"/>
      <c r="C3249" s="3"/>
      <c r="D3249" s="3"/>
      <c r="E3249" s="3"/>
      <c r="F3249" s="3"/>
      <c r="G3249" s="3"/>
      <c r="H3249" s="3"/>
      <c r="I3249" s="3"/>
      <c r="J3249" s="3"/>
      <c r="K3249" s="3"/>
      <c r="L3249" s="3"/>
      <c r="M3249" s="3"/>
      <c r="N3249" s="3"/>
      <c r="O3249" s="3"/>
      <c r="P3249" s="3"/>
      <c r="Q3249" s="3"/>
      <c r="R3249" s="3"/>
      <c r="S3249" s="3"/>
      <c r="T3249" s="5"/>
      <c r="U3249" s="5"/>
      <c r="V3249" s="5"/>
      <c r="W3249" s="5"/>
    </row>
    <row r="3250" ht="15.75" customHeight="1">
      <c r="A3250" s="3" t="str">
        <f>IFERROR(__xludf.DUMMYFUNCTION("""COMPUTED_VALUE"""),"")</f>
        <v/>
      </c>
      <c r="B3250" s="3"/>
      <c r="C3250" s="3"/>
      <c r="D3250" s="3"/>
      <c r="E3250" s="3"/>
      <c r="F3250" s="3"/>
      <c r="G3250" s="3"/>
      <c r="H3250" s="3"/>
      <c r="I3250" s="3"/>
      <c r="J3250" s="3"/>
      <c r="K3250" s="3"/>
      <c r="L3250" s="3"/>
      <c r="M3250" s="3"/>
      <c r="N3250" s="3"/>
      <c r="O3250" s="3"/>
      <c r="P3250" s="3"/>
      <c r="Q3250" s="3"/>
      <c r="R3250" s="3"/>
      <c r="S3250" s="3"/>
      <c r="T3250" s="5"/>
      <c r="U3250" s="5"/>
      <c r="V3250" s="5"/>
      <c r="W3250" s="5"/>
    </row>
    <row r="3251" ht="15.75" customHeight="1">
      <c r="A3251" s="3" t="str">
        <f>IFERROR(__xludf.DUMMYFUNCTION("""COMPUTED_VALUE"""),"")</f>
        <v/>
      </c>
      <c r="B3251" s="3"/>
      <c r="C3251" s="3"/>
      <c r="D3251" s="3"/>
      <c r="E3251" s="3"/>
      <c r="F3251" s="3"/>
      <c r="G3251" s="3"/>
      <c r="H3251" s="3"/>
      <c r="I3251" s="3"/>
      <c r="J3251" s="3"/>
      <c r="K3251" s="3"/>
      <c r="L3251" s="3"/>
      <c r="M3251" s="3"/>
      <c r="N3251" s="3"/>
      <c r="O3251" s="3"/>
      <c r="P3251" s="3"/>
      <c r="Q3251" s="3"/>
      <c r="R3251" s="3"/>
      <c r="S3251" s="3"/>
      <c r="T3251" s="5"/>
      <c r="U3251" s="5"/>
      <c r="V3251" s="5"/>
      <c r="W3251" s="5"/>
    </row>
    <row r="3252" ht="15.75" customHeight="1">
      <c r="A3252" s="3" t="str">
        <f>IFERROR(__xludf.DUMMYFUNCTION("""COMPUTED_VALUE"""),"")</f>
        <v/>
      </c>
      <c r="B3252" s="3"/>
      <c r="C3252" s="3"/>
      <c r="D3252" s="3"/>
      <c r="E3252" s="3"/>
      <c r="F3252" s="3"/>
      <c r="G3252" s="3"/>
      <c r="H3252" s="3"/>
      <c r="I3252" s="3"/>
      <c r="J3252" s="3"/>
      <c r="K3252" s="3"/>
      <c r="L3252" s="3"/>
      <c r="M3252" s="3"/>
      <c r="N3252" s="3"/>
      <c r="O3252" s="3"/>
      <c r="P3252" s="3"/>
      <c r="Q3252" s="3"/>
      <c r="R3252" s="3"/>
      <c r="S3252" s="3"/>
      <c r="T3252" s="5"/>
      <c r="U3252" s="5"/>
      <c r="V3252" s="5"/>
      <c r="W3252" s="5"/>
    </row>
    <row r="3253" ht="15.75" customHeight="1">
      <c r="A3253" s="3" t="str">
        <f>IFERROR(__xludf.DUMMYFUNCTION("""COMPUTED_VALUE"""),"")</f>
        <v/>
      </c>
      <c r="B3253" s="3"/>
      <c r="C3253" s="3"/>
      <c r="D3253" s="3"/>
      <c r="E3253" s="3"/>
      <c r="F3253" s="3"/>
      <c r="G3253" s="3"/>
      <c r="H3253" s="3"/>
      <c r="I3253" s="3"/>
      <c r="J3253" s="3"/>
      <c r="K3253" s="3"/>
      <c r="L3253" s="3"/>
      <c r="M3253" s="3"/>
      <c r="N3253" s="3"/>
      <c r="O3253" s="3"/>
      <c r="P3253" s="3"/>
      <c r="Q3253" s="3"/>
      <c r="R3253" s="3"/>
      <c r="S3253" s="3"/>
      <c r="T3253" s="5"/>
      <c r="U3253" s="5"/>
      <c r="V3253" s="5"/>
      <c r="W3253" s="5"/>
    </row>
    <row r="3254" ht="15.75" customHeight="1">
      <c r="A3254" s="3" t="str">
        <f>IFERROR(__xludf.DUMMYFUNCTION("""COMPUTED_VALUE"""),"")</f>
        <v/>
      </c>
      <c r="B3254" s="3"/>
      <c r="C3254" s="3"/>
      <c r="D3254" s="3"/>
      <c r="E3254" s="3"/>
      <c r="F3254" s="3"/>
      <c r="G3254" s="3"/>
      <c r="H3254" s="3"/>
      <c r="I3254" s="3"/>
      <c r="J3254" s="3"/>
      <c r="K3254" s="3"/>
      <c r="L3254" s="3"/>
      <c r="M3254" s="3"/>
      <c r="N3254" s="3"/>
      <c r="O3254" s="3"/>
      <c r="P3254" s="3"/>
      <c r="Q3254" s="3"/>
      <c r="R3254" s="3"/>
      <c r="S3254" s="3"/>
      <c r="T3254" s="5"/>
      <c r="U3254" s="5"/>
      <c r="V3254" s="5"/>
      <c r="W3254" s="5"/>
    </row>
    <row r="3255" ht="15.75" customHeight="1">
      <c r="A3255" s="3" t="str">
        <f>IFERROR(__xludf.DUMMYFUNCTION("""COMPUTED_VALUE"""),"")</f>
        <v/>
      </c>
      <c r="B3255" s="3"/>
      <c r="C3255" s="3"/>
      <c r="D3255" s="3"/>
      <c r="E3255" s="3"/>
      <c r="F3255" s="3"/>
      <c r="G3255" s="3"/>
      <c r="H3255" s="3"/>
      <c r="I3255" s="3"/>
      <c r="J3255" s="3"/>
      <c r="K3255" s="3"/>
      <c r="L3255" s="3"/>
      <c r="M3255" s="3"/>
      <c r="N3255" s="3"/>
      <c r="O3255" s="3"/>
      <c r="P3255" s="3"/>
      <c r="Q3255" s="3"/>
      <c r="R3255" s="3"/>
      <c r="S3255" s="3"/>
      <c r="T3255" s="5"/>
      <c r="U3255" s="5"/>
      <c r="V3255" s="5"/>
      <c r="W3255" s="5"/>
    </row>
    <row r="3256" ht="15.75" customHeight="1">
      <c r="A3256" s="3" t="str">
        <f>IFERROR(__xludf.DUMMYFUNCTION("""COMPUTED_VALUE"""),"")</f>
        <v/>
      </c>
      <c r="B3256" s="3"/>
      <c r="C3256" s="3"/>
      <c r="D3256" s="3"/>
      <c r="E3256" s="3"/>
      <c r="F3256" s="3"/>
      <c r="G3256" s="3"/>
      <c r="H3256" s="3"/>
      <c r="I3256" s="3"/>
      <c r="J3256" s="3"/>
      <c r="K3256" s="3"/>
      <c r="L3256" s="3"/>
      <c r="M3256" s="3"/>
      <c r="N3256" s="3"/>
      <c r="O3256" s="3"/>
      <c r="P3256" s="3"/>
      <c r="Q3256" s="3"/>
      <c r="R3256" s="3"/>
      <c r="S3256" s="3"/>
      <c r="T3256" s="5"/>
      <c r="U3256" s="5"/>
      <c r="V3256" s="5"/>
      <c r="W3256" s="5"/>
    </row>
    <row r="3257" ht="15.75" customHeight="1">
      <c r="A3257" s="3" t="str">
        <f>IFERROR(__xludf.DUMMYFUNCTION("""COMPUTED_VALUE"""),"")</f>
        <v/>
      </c>
      <c r="B3257" s="3"/>
      <c r="C3257" s="3"/>
      <c r="D3257" s="3"/>
      <c r="E3257" s="3"/>
      <c r="F3257" s="3"/>
      <c r="G3257" s="3"/>
      <c r="H3257" s="3"/>
      <c r="I3257" s="3"/>
      <c r="J3257" s="3"/>
      <c r="K3257" s="3"/>
      <c r="L3257" s="3"/>
      <c r="M3257" s="3"/>
      <c r="N3257" s="3"/>
      <c r="O3257" s="3"/>
      <c r="P3257" s="3"/>
      <c r="Q3257" s="3"/>
      <c r="R3257" s="3"/>
      <c r="S3257" s="3"/>
      <c r="T3257" s="5"/>
      <c r="U3257" s="5"/>
      <c r="V3257" s="5"/>
      <c r="W3257" s="5"/>
    </row>
    <row r="3258" ht="15.75" customHeight="1">
      <c r="A3258" s="3" t="str">
        <f>IFERROR(__xludf.DUMMYFUNCTION("""COMPUTED_VALUE"""),"")</f>
        <v/>
      </c>
      <c r="B3258" s="3"/>
      <c r="C3258" s="3"/>
      <c r="D3258" s="3"/>
      <c r="E3258" s="3"/>
      <c r="F3258" s="3"/>
      <c r="G3258" s="3"/>
      <c r="H3258" s="3"/>
      <c r="I3258" s="3"/>
      <c r="J3258" s="3"/>
      <c r="K3258" s="3"/>
      <c r="L3258" s="3"/>
      <c r="M3258" s="3"/>
      <c r="N3258" s="3"/>
      <c r="O3258" s="3"/>
      <c r="P3258" s="3"/>
      <c r="Q3258" s="3"/>
      <c r="R3258" s="3"/>
      <c r="S3258" s="3"/>
      <c r="T3258" s="5"/>
      <c r="U3258" s="5"/>
      <c r="V3258" s="5"/>
      <c r="W3258" s="5"/>
    </row>
    <row r="3259" ht="15.75" customHeight="1">
      <c r="A3259" s="3" t="str">
        <f>IFERROR(__xludf.DUMMYFUNCTION("""COMPUTED_VALUE"""),"")</f>
        <v/>
      </c>
      <c r="B3259" s="3"/>
      <c r="C3259" s="3"/>
      <c r="D3259" s="3"/>
      <c r="E3259" s="3"/>
      <c r="F3259" s="3"/>
      <c r="G3259" s="3"/>
      <c r="H3259" s="3"/>
      <c r="I3259" s="3"/>
      <c r="J3259" s="3"/>
      <c r="K3259" s="3"/>
      <c r="L3259" s="3"/>
      <c r="M3259" s="3"/>
      <c r="N3259" s="3"/>
      <c r="O3259" s="3"/>
      <c r="P3259" s="3"/>
      <c r="Q3259" s="3"/>
      <c r="R3259" s="3"/>
      <c r="S3259" s="3"/>
      <c r="T3259" s="5"/>
      <c r="U3259" s="5"/>
      <c r="V3259" s="5"/>
      <c r="W3259" s="5"/>
    </row>
    <row r="3260" ht="15.75" customHeight="1">
      <c r="A3260" s="3" t="str">
        <f>IFERROR(__xludf.DUMMYFUNCTION("""COMPUTED_VALUE"""),"")</f>
        <v/>
      </c>
      <c r="B3260" s="3"/>
      <c r="C3260" s="3"/>
      <c r="D3260" s="3"/>
      <c r="E3260" s="3"/>
      <c r="F3260" s="3"/>
      <c r="G3260" s="3"/>
      <c r="H3260" s="3"/>
      <c r="I3260" s="3"/>
      <c r="J3260" s="3"/>
      <c r="K3260" s="3"/>
      <c r="L3260" s="3"/>
      <c r="M3260" s="3"/>
      <c r="N3260" s="3"/>
      <c r="O3260" s="3"/>
      <c r="P3260" s="3"/>
      <c r="Q3260" s="3"/>
      <c r="R3260" s="3"/>
      <c r="S3260" s="3"/>
      <c r="T3260" s="5"/>
      <c r="U3260" s="5"/>
      <c r="V3260" s="5"/>
      <c r="W3260" s="5"/>
    </row>
    <row r="3261" ht="15.75" customHeight="1">
      <c r="A3261" s="3" t="str">
        <f>IFERROR(__xludf.DUMMYFUNCTION("""COMPUTED_VALUE"""),"")</f>
        <v/>
      </c>
      <c r="B3261" s="3"/>
      <c r="C3261" s="3"/>
      <c r="D3261" s="3"/>
      <c r="E3261" s="3"/>
      <c r="F3261" s="3"/>
      <c r="G3261" s="3"/>
      <c r="H3261" s="3"/>
      <c r="I3261" s="3"/>
      <c r="J3261" s="3"/>
      <c r="K3261" s="3"/>
      <c r="L3261" s="3"/>
      <c r="M3261" s="3"/>
      <c r="N3261" s="3"/>
      <c r="O3261" s="3"/>
      <c r="P3261" s="3"/>
      <c r="Q3261" s="3"/>
      <c r="R3261" s="3"/>
      <c r="S3261" s="3"/>
      <c r="T3261" s="5"/>
      <c r="U3261" s="5"/>
      <c r="V3261" s="5"/>
      <c r="W3261" s="5"/>
    </row>
    <row r="3262" ht="15.75" customHeight="1">
      <c r="A3262" s="3" t="str">
        <f>IFERROR(__xludf.DUMMYFUNCTION("""COMPUTED_VALUE"""),"")</f>
        <v/>
      </c>
      <c r="B3262" s="3"/>
      <c r="C3262" s="3"/>
      <c r="D3262" s="3"/>
      <c r="E3262" s="3"/>
      <c r="F3262" s="3"/>
      <c r="G3262" s="3"/>
      <c r="H3262" s="3"/>
      <c r="I3262" s="3"/>
      <c r="J3262" s="3"/>
      <c r="K3262" s="3"/>
      <c r="L3262" s="3"/>
      <c r="M3262" s="3"/>
      <c r="N3262" s="3"/>
      <c r="O3262" s="3"/>
      <c r="P3262" s="3"/>
      <c r="Q3262" s="3"/>
      <c r="R3262" s="3"/>
      <c r="S3262" s="3"/>
      <c r="T3262" s="5"/>
      <c r="U3262" s="5"/>
      <c r="V3262" s="5"/>
      <c r="W3262" s="5"/>
    </row>
    <row r="3263" ht="15.75" customHeight="1">
      <c r="A3263" s="3" t="str">
        <f>IFERROR(__xludf.DUMMYFUNCTION("""COMPUTED_VALUE"""),"")</f>
        <v/>
      </c>
      <c r="B3263" s="3"/>
      <c r="C3263" s="3"/>
      <c r="D3263" s="3"/>
      <c r="E3263" s="3"/>
      <c r="F3263" s="3"/>
      <c r="G3263" s="3"/>
      <c r="H3263" s="3"/>
      <c r="I3263" s="3"/>
      <c r="J3263" s="3"/>
      <c r="K3263" s="3"/>
      <c r="L3263" s="3"/>
      <c r="M3263" s="3"/>
      <c r="N3263" s="3"/>
      <c r="O3263" s="3"/>
      <c r="P3263" s="3"/>
      <c r="Q3263" s="3"/>
      <c r="R3263" s="3"/>
      <c r="S3263" s="3"/>
      <c r="T3263" s="5"/>
      <c r="U3263" s="5"/>
      <c r="V3263" s="5"/>
      <c r="W3263" s="5"/>
    </row>
    <row r="3264" ht="15.75" customHeight="1">
      <c r="A3264" s="3" t="str">
        <f>IFERROR(__xludf.DUMMYFUNCTION("""COMPUTED_VALUE"""),"")</f>
        <v/>
      </c>
      <c r="B3264" s="3"/>
      <c r="C3264" s="3"/>
      <c r="D3264" s="3"/>
      <c r="E3264" s="3"/>
      <c r="F3264" s="3"/>
      <c r="G3264" s="3"/>
      <c r="H3264" s="3"/>
      <c r="I3264" s="3"/>
      <c r="J3264" s="3"/>
      <c r="K3264" s="3"/>
      <c r="L3264" s="3"/>
      <c r="M3264" s="3"/>
      <c r="N3264" s="3"/>
      <c r="O3264" s="3"/>
      <c r="P3264" s="3"/>
      <c r="Q3264" s="3"/>
      <c r="R3264" s="3"/>
      <c r="S3264" s="3"/>
      <c r="T3264" s="5"/>
      <c r="U3264" s="5"/>
      <c r="V3264" s="5"/>
      <c r="W3264" s="5"/>
    </row>
    <row r="3265" ht="15.75" customHeight="1">
      <c r="A3265" s="3" t="str">
        <f>IFERROR(__xludf.DUMMYFUNCTION("""COMPUTED_VALUE"""),"")</f>
        <v/>
      </c>
      <c r="B3265" s="3"/>
      <c r="C3265" s="3"/>
      <c r="D3265" s="3"/>
      <c r="E3265" s="3"/>
      <c r="F3265" s="3"/>
      <c r="G3265" s="3"/>
      <c r="H3265" s="3"/>
      <c r="I3265" s="3"/>
      <c r="J3265" s="3"/>
      <c r="K3265" s="3"/>
      <c r="L3265" s="3"/>
      <c r="M3265" s="3"/>
      <c r="N3265" s="3"/>
      <c r="O3265" s="3"/>
      <c r="P3265" s="3"/>
      <c r="Q3265" s="3"/>
      <c r="R3265" s="3"/>
      <c r="S3265" s="3"/>
      <c r="T3265" s="5"/>
      <c r="U3265" s="5"/>
      <c r="V3265" s="5"/>
      <c r="W3265" s="5"/>
    </row>
    <row r="3266" ht="15.75" customHeight="1">
      <c r="A3266" s="3" t="str">
        <f>IFERROR(__xludf.DUMMYFUNCTION("""COMPUTED_VALUE"""),"")</f>
        <v/>
      </c>
      <c r="B3266" s="3"/>
      <c r="C3266" s="3"/>
      <c r="D3266" s="3"/>
      <c r="E3266" s="3"/>
      <c r="F3266" s="3"/>
      <c r="G3266" s="3"/>
      <c r="H3266" s="3"/>
      <c r="I3266" s="3"/>
      <c r="J3266" s="3"/>
      <c r="K3266" s="3"/>
      <c r="L3266" s="3"/>
      <c r="M3266" s="3"/>
      <c r="N3266" s="3"/>
      <c r="O3266" s="3"/>
      <c r="P3266" s="3"/>
      <c r="Q3266" s="3"/>
      <c r="R3266" s="3"/>
      <c r="S3266" s="3"/>
      <c r="T3266" s="5"/>
      <c r="U3266" s="5"/>
      <c r="V3266" s="5"/>
      <c r="W3266" s="5"/>
    </row>
    <row r="3267" ht="15.75" customHeight="1">
      <c r="A3267" s="3" t="str">
        <f>IFERROR(__xludf.DUMMYFUNCTION("""COMPUTED_VALUE"""),"")</f>
        <v/>
      </c>
      <c r="B3267" s="3"/>
      <c r="C3267" s="3"/>
      <c r="D3267" s="3"/>
      <c r="E3267" s="3"/>
      <c r="F3267" s="3"/>
      <c r="G3267" s="3"/>
      <c r="H3267" s="3"/>
      <c r="I3267" s="3"/>
      <c r="J3267" s="3"/>
      <c r="K3267" s="3"/>
      <c r="L3267" s="3"/>
      <c r="M3267" s="3"/>
      <c r="N3267" s="3"/>
      <c r="O3267" s="3"/>
      <c r="P3267" s="3"/>
      <c r="Q3267" s="3"/>
      <c r="R3267" s="3"/>
      <c r="S3267" s="3"/>
      <c r="T3267" s="5"/>
      <c r="U3267" s="5"/>
      <c r="V3267" s="5"/>
      <c r="W3267" s="5"/>
    </row>
    <row r="3268" ht="15.75" customHeight="1">
      <c r="A3268" s="3" t="str">
        <f>IFERROR(__xludf.DUMMYFUNCTION("""COMPUTED_VALUE"""),"")</f>
        <v/>
      </c>
      <c r="B3268" s="3"/>
      <c r="C3268" s="3"/>
      <c r="D3268" s="3"/>
      <c r="E3268" s="3"/>
      <c r="F3268" s="3"/>
      <c r="G3268" s="3"/>
      <c r="H3268" s="3"/>
      <c r="I3268" s="3"/>
      <c r="J3268" s="3"/>
      <c r="K3268" s="3"/>
      <c r="L3268" s="3"/>
      <c r="M3268" s="3"/>
      <c r="N3268" s="3"/>
      <c r="O3268" s="3"/>
      <c r="P3268" s="3"/>
      <c r="Q3268" s="3"/>
      <c r="R3268" s="3"/>
      <c r="S3268" s="3"/>
      <c r="T3268" s="5"/>
      <c r="U3268" s="5"/>
      <c r="V3268" s="5"/>
      <c r="W3268" s="5"/>
    </row>
    <row r="3269" ht="15.75" customHeight="1">
      <c r="A3269" s="3" t="str">
        <f>IFERROR(__xludf.DUMMYFUNCTION("""COMPUTED_VALUE"""),"")</f>
        <v/>
      </c>
      <c r="B3269" s="3"/>
      <c r="C3269" s="3"/>
      <c r="D3269" s="3"/>
      <c r="E3269" s="3"/>
      <c r="F3269" s="3"/>
      <c r="G3269" s="3"/>
      <c r="H3269" s="3"/>
      <c r="I3269" s="3"/>
      <c r="J3269" s="3"/>
      <c r="K3269" s="3"/>
      <c r="L3269" s="3"/>
      <c r="M3269" s="3"/>
      <c r="N3269" s="3"/>
      <c r="O3269" s="3"/>
      <c r="P3269" s="3"/>
      <c r="Q3269" s="3"/>
      <c r="R3269" s="3"/>
      <c r="S3269" s="3"/>
      <c r="T3269" s="5"/>
      <c r="U3269" s="5"/>
      <c r="V3269" s="5"/>
      <c r="W3269" s="5"/>
    </row>
    <row r="3270" ht="15.75" customHeight="1">
      <c r="A3270" s="3" t="str">
        <f>IFERROR(__xludf.DUMMYFUNCTION("""COMPUTED_VALUE"""),"")</f>
        <v/>
      </c>
      <c r="B3270" s="3"/>
      <c r="C3270" s="3"/>
      <c r="D3270" s="3"/>
      <c r="E3270" s="3"/>
      <c r="F3270" s="3"/>
      <c r="G3270" s="3"/>
      <c r="H3270" s="3"/>
      <c r="I3270" s="3"/>
      <c r="J3270" s="3"/>
      <c r="K3270" s="3"/>
      <c r="L3270" s="3"/>
      <c r="M3270" s="3"/>
      <c r="N3270" s="3"/>
      <c r="O3270" s="3"/>
      <c r="P3270" s="3"/>
      <c r="Q3270" s="3"/>
      <c r="R3270" s="3"/>
      <c r="S3270" s="3"/>
      <c r="T3270" s="5"/>
      <c r="U3270" s="5"/>
      <c r="V3270" s="5"/>
      <c r="W3270" s="5"/>
    </row>
    <row r="3271" ht="15.75" customHeight="1">
      <c r="A3271" s="3" t="str">
        <f>IFERROR(__xludf.DUMMYFUNCTION("""COMPUTED_VALUE"""),"")</f>
        <v/>
      </c>
      <c r="B3271" s="3"/>
      <c r="C3271" s="3"/>
      <c r="D3271" s="3"/>
      <c r="E3271" s="3"/>
      <c r="F3271" s="3"/>
      <c r="G3271" s="3"/>
      <c r="H3271" s="3"/>
      <c r="I3271" s="3"/>
      <c r="J3271" s="3"/>
      <c r="K3271" s="3"/>
      <c r="L3271" s="3"/>
      <c r="M3271" s="3"/>
      <c r="N3271" s="3"/>
      <c r="O3271" s="3"/>
      <c r="P3271" s="3"/>
      <c r="Q3271" s="3"/>
      <c r="R3271" s="3"/>
      <c r="S3271" s="3"/>
      <c r="T3271" s="5"/>
      <c r="U3271" s="5"/>
      <c r="V3271" s="5"/>
      <c r="W3271" s="5"/>
    </row>
    <row r="3272" ht="15.75" customHeight="1">
      <c r="A3272" s="3" t="str">
        <f>IFERROR(__xludf.DUMMYFUNCTION("""COMPUTED_VALUE"""),"")</f>
        <v/>
      </c>
      <c r="B3272" s="3"/>
      <c r="C3272" s="3"/>
      <c r="D3272" s="3"/>
      <c r="E3272" s="3"/>
      <c r="F3272" s="3"/>
      <c r="G3272" s="3"/>
      <c r="H3272" s="3"/>
      <c r="I3272" s="3"/>
      <c r="J3272" s="3"/>
      <c r="K3272" s="3"/>
      <c r="L3272" s="3"/>
      <c r="M3272" s="3"/>
      <c r="N3272" s="3"/>
      <c r="O3272" s="3"/>
      <c r="P3272" s="3"/>
      <c r="Q3272" s="3"/>
      <c r="R3272" s="3"/>
      <c r="S3272" s="3"/>
      <c r="T3272" s="5"/>
      <c r="U3272" s="5"/>
      <c r="V3272" s="5"/>
      <c r="W3272" s="5"/>
    </row>
    <row r="3273" ht="15.75" customHeight="1">
      <c r="A3273" s="3" t="str">
        <f>IFERROR(__xludf.DUMMYFUNCTION("""COMPUTED_VALUE"""),"")</f>
        <v/>
      </c>
      <c r="B3273" s="3"/>
      <c r="C3273" s="3"/>
      <c r="D3273" s="3"/>
      <c r="E3273" s="3"/>
      <c r="F3273" s="3"/>
      <c r="G3273" s="3"/>
      <c r="H3273" s="3"/>
      <c r="I3273" s="3"/>
      <c r="J3273" s="3"/>
      <c r="K3273" s="3"/>
      <c r="L3273" s="3"/>
      <c r="M3273" s="3"/>
      <c r="N3273" s="3"/>
      <c r="O3273" s="3"/>
      <c r="P3273" s="3"/>
      <c r="Q3273" s="3"/>
      <c r="R3273" s="3"/>
      <c r="S3273" s="3"/>
      <c r="T3273" s="5"/>
      <c r="U3273" s="5"/>
      <c r="V3273" s="5"/>
      <c r="W3273" s="5"/>
    </row>
    <row r="3274" ht="15.75" customHeight="1">
      <c r="A3274" s="3" t="str">
        <f>IFERROR(__xludf.DUMMYFUNCTION("""COMPUTED_VALUE"""),"")</f>
        <v/>
      </c>
      <c r="B3274" s="3"/>
      <c r="C3274" s="3"/>
      <c r="D3274" s="3"/>
      <c r="E3274" s="3"/>
      <c r="F3274" s="3"/>
      <c r="G3274" s="3"/>
      <c r="H3274" s="3"/>
      <c r="I3274" s="3"/>
      <c r="J3274" s="3"/>
      <c r="K3274" s="3"/>
      <c r="L3274" s="3"/>
      <c r="M3274" s="3"/>
      <c r="N3274" s="3"/>
      <c r="O3274" s="3"/>
      <c r="P3274" s="3"/>
      <c r="Q3274" s="3"/>
      <c r="R3274" s="3"/>
      <c r="S3274" s="3"/>
      <c r="T3274" s="5"/>
      <c r="U3274" s="5"/>
      <c r="V3274" s="5"/>
      <c r="W3274" s="5"/>
    </row>
    <row r="3275" ht="15.75" customHeight="1">
      <c r="A3275" s="3" t="str">
        <f>IFERROR(__xludf.DUMMYFUNCTION("""COMPUTED_VALUE"""),"")</f>
        <v/>
      </c>
      <c r="B3275" s="3"/>
      <c r="C3275" s="3"/>
      <c r="D3275" s="3"/>
      <c r="E3275" s="3"/>
      <c r="F3275" s="3"/>
      <c r="G3275" s="3"/>
      <c r="H3275" s="3"/>
      <c r="I3275" s="3"/>
      <c r="J3275" s="3"/>
      <c r="K3275" s="3"/>
      <c r="L3275" s="3"/>
      <c r="M3275" s="3"/>
      <c r="N3275" s="3"/>
      <c r="O3275" s="3"/>
      <c r="P3275" s="3"/>
      <c r="Q3275" s="3"/>
      <c r="R3275" s="3"/>
      <c r="S3275" s="3"/>
      <c r="T3275" s="5"/>
      <c r="U3275" s="5"/>
      <c r="V3275" s="5"/>
      <c r="W3275" s="5"/>
    </row>
    <row r="3276" ht="15.75" customHeight="1">
      <c r="A3276" s="3" t="str">
        <f>IFERROR(__xludf.DUMMYFUNCTION("""COMPUTED_VALUE"""),"")</f>
        <v/>
      </c>
      <c r="B3276" s="3"/>
      <c r="C3276" s="3"/>
      <c r="D3276" s="3"/>
      <c r="E3276" s="3"/>
      <c r="F3276" s="3"/>
      <c r="G3276" s="3"/>
      <c r="H3276" s="3"/>
      <c r="I3276" s="3"/>
      <c r="J3276" s="3"/>
      <c r="K3276" s="3"/>
      <c r="L3276" s="3"/>
      <c r="M3276" s="3"/>
      <c r="N3276" s="3"/>
      <c r="O3276" s="3"/>
      <c r="P3276" s="3"/>
      <c r="Q3276" s="3"/>
      <c r="R3276" s="3"/>
      <c r="S3276" s="3"/>
      <c r="T3276" s="5"/>
      <c r="U3276" s="5"/>
      <c r="V3276" s="5"/>
      <c r="W3276" s="5"/>
    </row>
    <row r="3277" ht="15.75" customHeight="1">
      <c r="A3277" s="3" t="str">
        <f>IFERROR(__xludf.DUMMYFUNCTION("""COMPUTED_VALUE"""),"")</f>
        <v/>
      </c>
      <c r="B3277" s="3"/>
      <c r="C3277" s="3"/>
      <c r="D3277" s="3"/>
      <c r="E3277" s="3"/>
      <c r="F3277" s="3"/>
      <c r="G3277" s="3"/>
      <c r="H3277" s="3"/>
      <c r="I3277" s="3"/>
      <c r="J3277" s="3"/>
      <c r="K3277" s="3"/>
      <c r="L3277" s="3"/>
      <c r="M3277" s="3"/>
      <c r="N3277" s="3"/>
      <c r="O3277" s="3"/>
      <c r="P3277" s="3"/>
      <c r="Q3277" s="3"/>
      <c r="R3277" s="3"/>
      <c r="S3277" s="3"/>
      <c r="T3277" s="5"/>
      <c r="U3277" s="5"/>
      <c r="V3277" s="5"/>
      <c r="W3277" s="5"/>
    </row>
    <row r="3278" ht="15.75" customHeight="1">
      <c r="A3278" s="3" t="str">
        <f>IFERROR(__xludf.DUMMYFUNCTION("""COMPUTED_VALUE"""),"")</f>
        <v/>
      </c>
      <c r="B3278" s="3"/>
      <c r="C3278" s="3"/>
      <c r="D3278" s="3"/>
      <c r="E3278" s="3"/>
      <c r="F3278" s="3"/>
      <c r="G3278" s="3"/>
      <c r="H3278" s="3"/>
      <c r="I3278" s="3"/>
      <c r="J3278" s="3"/>
      <c r="K3278" s="3"/>
      <c r="L3278" s="3"/>
      <c r="M3278" s="3"/>
      <c r="N3278" s="3"/>
      <c r="O3278" s="3"/>
      <c r="P3278" s="3"/>
      <c r="Q3278" s="3"/>
      <c r="R3278" s="3"/>
      <c r="S3278" s="3"/>
      <c r="T3278" s="5"/>
      <c r="U3278" s="5"/>
      <c r="V3278" s="5"/>
      <c r="W3278" s="5"/>
    </row>
    <row r="3279" ht="15.75" customHeight="1">
      <c r="A3279" s="3" t="str">
        <f>IFERROR(__xludf.DUMMYFUNCTION("""COMPUTED_VALUE"""),"")</f>
        <v/>
      </c>
      <c r="B3279" s="3"/>
      <c r="C3279" s="3"/>
      <c r="D3279" s="3"/>
      <c r="E3279" s="3"/>
      <c r="F3279" s="3"/>
      <c r="G3279" s="3"/>
      <c r="H3279" s="3"/>
      <c r="I3279" s="3"/>
      <c r="J3279" s="3"/>
      <c r="K3279" s="3"/>
      <c r="L3279" s="3"/>
      <c r="M3279" s="3"/>
      <c r="N3279" s="3"/>
      <c r="O3279" s="3"/>
      <c r="P3279" s="3"/>
      <c r="Q3279" s="3"/>
      <c r="R3279" s="3"/>
      <c r="S3279" s="3"/>
      <c r="T3279" s="5"/>
      <c r="U3279" s="5"/>
      <c r="V3279" s="5"/>
      <c r="W3279" s="5"/>
    </row>
    <row r="3280" ht="15.75" customHeight="1">
      <c r="A3280" s="3" t="str">
        <f>IFERROR(__xludf.DUMMYFUNCTION("""COMPUTED_VALUE"""),"")</f>
        <v/>
      </c>
      <c r="B3280" s="3"/>
      <c r="C3280" s="3"/>
      <c r="D3280" s="3"/>
      <c r="E3280" s="3"/>
      <c r="F3280" s="3"/>
      <c r="G3280" s="3"/>
      <c r="H3280" s="3"/>
      <c r="I3280" s="3"/>
      <c r="J3280" s="3"/>
      <c r="K3280" s="3"/>
      <c r="L3280" s="3"/>
      <c r="M3280" s="3"/>
      <c r="N3280" s="3"/>
      <c r="O3280" s="3"/>
      <c r="P3280" s="3"/>
      <c r="Q3280" s="3"/>
      <c r="R3280" s="3"/>
      <c r="S3280" s="3"/>
      <c r="T3280" s="5"/>
      <c r="U3280" s="5"/>
      <c r="V3280" s="5"/>
      <c r="W3280" s="5"/>
    </row>
    <row r="3281" ht="15.75" customHeight="1">
      <c r="A3281" s="3" t="str">
        <f>IFERROR(__xludf.DUMMYFUNCTION("""COMPUTED_VALUE"""),"")</f>
        <v/>
      </c>
      <c r="B3281" s="3"/>
      <c r="C3281" s="3"/>
      <c r="D3281" s="3"/>
      <c r="E3281" s="3"/>
      <c r="F3281" s="3"/>
      <c r="G3281" s="3"/>
      <c r="H3281" s="3"/>
      <c r="I3281" s="3"/>
      <c r="J3281" s="3"/>
      <c r="K3281" s="3"/>
      <c r="L3281" s="3"/>
      <c r="M3281" s="3"/>
      <c r="N3281" s="3"/>
      <c r="O3281" s="3"/>
      <c r="P3281" s="3"/>
      <c r="Q3281" s="3"/>
      <c r="R3281" s="3"/>
      <c r="S3281" s="3"/>
      <c r="T3281" s="5"/>
      <c r="U3281" s="5"/>
      <c r="V3281" s="5"/>
      <c r="W3281" s="5"/>
    </row>
    <row r="3282" ht="15.75" customHeight="1">
      <c r="A3282" s="3" t="str">
        <f>IFERROR(__xludf.DUMMYFUNCTION("""COMPUTED_VALUE"""),"")</f>
        <v/>
      </c>
      <c r="B3282" s="3"/>
      <c r="C3282" s="3"/>
      <c r="D3282" s="3"/>
      <c r="E3282" s="3"/>
      <c r="F3282" s="3"/>
      <c r="G3282" s="3"/>
      <c r="H3282" s="3"/>
      <c r="I3282" s="3"/>
      <c r="J3282" s="3"/>
      <c r="K3282" s="3"/>
      <c r="L3282" s="3"/>
      <c r="M3282" s="3"/>
      <c r="N3282" s="3"/>
      <c r="O3282" s="3"/>
      <c r="P3282" s="3"/>
      <c r="Q3282" s="3"/>
      <c r="R3282" s="3"/>
      <c r="S3282" s="3"/>
      <c r="T3282" s="5"/>
      <c r="U3282" s="5"/>
      <c r="V3282" s="5"/>
      <c r="W3282" s="5"/>
    </row>
    <row r="3283" ht="15.75" customHeight="1">
      <c r="A3283" s="3" t="str">
        <f>IFERROR(__xludf.DUMMYFUNCTION("""COMPUTED_VALUE"""),"")</f>
        <v/>
      </c>
      <c r="B3283" s="3"/>
      <c r="C3283" s="3"/>
      <c r="D3283" s="3"/>
      <c r="E3283" s="3"/>
      <c r="F3283" s="3"/>
      <c r="G3283" s="3"/>
      <c r="H3283" s="3"/>
      <c r="I3283" s="3"/>
      <c r="J3283" s="3"/>
      <c r="K3283" s="3"/>
      <c r="L3283" s="3"/>
      <c r="M3283" s="3"/>
      <c r="N3283" s="3"/>
      <c r="O3283" s="3"/>
      <c r="P3283" s="3"/>
      <c r="Q3283" s="3"/>
      <c r="R3283" s="3"/>
      <c r="S3283" s="3"/>
      <c r="T3283" s="5"/>
      <c r="U3283" s="5"/>
      <c r="V3283" s="5"/>
      <c r="W3283" s="5"/>
    </row>
    <row r="3284" ht="15.75" customHeight="1">
      <c r="A3284" s="3" t="str">
        <f>IFERROR(__xludf.DUMMYFUNCTION("""COMPUTED_VALUE"""),"")</f>
        <v/>
      </c>
      <c r="B3284" s="3"/>
      <c r="C3284" s="3"/>
      <c r="D3284" s="3"/>
      <c r="E3284" s="3"/>
      <c r="F3284" s="3"/>
      <c r="G3284" s="3"/>
      <c r="H3284" s="3"/>
      <c r="I3284" s="3"/>
      <c r="J3284" s="3"/>
      <c r="K3284" s="3"/>
      <c r="L3284" s="3"/>
      <c r="M3284" s="3"/>
      <c r="N3284" s="3"/>
      <c r="O3284" s="3"/>
      <c r="P3284" s="3"/>
      <c r="Q3284" s="3"/>
      <c r="R3284" s="3"/>
      <c r="S3284" s="3"/>
      <c r="T3284" s="5"/>
      <c r="U3284" s="5"/>
      <c r="V3284" s="5"/>
      <c r="W3284" s="5"/>
    </row>
    <row r="3285" ht="15.75" customHeight="1">
      <c r="A3285" s="3" t="str">
        <f>IFERROR(__xludf.DUMMYFUNCTION("""COMPUTED_VALUE"""),"")</f>
        <v/>
      </c>
      <c r="B3285" s="3"/>
      <c r="C3285" s="3"/>
      <c r="D3285" s="3"/>
      <c r="E3285" s="3"/>
      <c r="F3285" s="3"/>
      <c r="G3285" s="3"/>
      <c r="H3285" s="3"/>
      <c r="I3285" s="3"/>
      <c r="J3285" s="3"/>
      <c r="K3285" s="3"/>
      <c r="L3285" s="3"/>
      <c r="M3285" s="3"/>
      <c r="N3285" s="3"/>
      <c r="O3285" s="3"/>
      <c r="P3285" s="3"/>
      <c r="Q3285" s="3"/>
      <c r="R3285" s="3"/>
      <c r="S3285" s="3"/>
      <c r="T3285" s="5"/>
      <c r="U3285" s="5"/>
      <c r="V3285" s="5"/>
      <c r="W3285" s="5"/>
    </row>
    <row r="3286" ht="15.75" customHeight="1">
      <c r="A3286" s="3" t="str">
        <f>IFERROR(__xludf.DUMMYFUNCTION("""COMPUTED_VALUE"""),"")</f>
        <v/>
      </c>
      <c r="B3286" s="3"/>
      <c r="C3286" s="3"/>
      <c r="D3286" s="3"/>
      <c r="E3286" s="3"/>
      <c r="F3286" s="3"/>
      <c r="G3286" s="3"/>
      <c r="H3286" s="3"/>
      <c r="I3286" s="3"/>
      <c r="J3286" s="3"/>
      <c r="K3286" s="3"/>
      <c r="L3286" s="3"/>
      <c r="M3286" s="3"/>
      <c r="N3286" s="3"/>
      <c r="O3286" s="3"/>
      <c r="P3286" s="3"/>
      <c r="Q3286" s="3"/>
      <c r="R3286" s="3"/>
      <c r="S3286" s="3"/>
      <c r="T3286" s="5"/>
      <c r="U3286" s="5"/>
      <c r="V3286" s="5"/>
      <c r="W3286" s="5"/>
    </row>
    <row r="3287" ht="15.75" customHeight="1">
      <c r="A3287" s="3" t="str">
        <f>IFERROR(__xludf.DUMMYFUNCTION("""COMPUTED_VALUE"""),"")</f>
        <v/>
      </c>
      <c r="B3287" s="3"/>
      <c r="C3287" s="3"/>
      <c r="D3287" s="3"/>
      <c r="E3287" s="3"/>
      <c r="F3287" s="3"/>
      <c r="G3287" s="3"/>
      <c r="H3287" s="3"/>
      <c r="I3287" s="3"/>
      <c r="J3287" s="3"/>
      <c r="K3287" s="3"/>
      <c r="L3287" s="3"/>
      <c r="M3287" s="3"/>
      <c r="N3287" s="3"/>
      <c r="O3287" s="3"/>
      <c r="P3287" s="3"/>
      <c r="Q3287" s="3"/>
      <c r="R3287" s="3"/>
      <c r="S3287" s="3"/>
      <c r="T3287" s="5"/>
      <c r="U3287" s="5"/>
      <c r="V3287" s="5"/>
      <c r="W3287" s="5"/>
    </row>
    <row r="3288" ht="15.75" customHeight="1">
      <c r="A3288" s="3" t="str">
        <f>IFERROR(__xludf.DUMMYFUNCTION("""COMPUTED_VALUE"""),"")</f>
        <v/>
      </c>
      <c r="B3288" s="3"/>
      <c r="C3288" s="3"/>
      <c r="D3288" s="3"/>
      <c r="E3288" s="3"/>
      <c r="F3288" s="3"/>
      <c r="G3288" s="3"/>
      <c r="H3288" s="3"/>
      <c r="I3288" s="3"/>
      <c r="J3288" s="3"/>
      <c r="K3288" s="3"/>
      <c r="L3288" s="3"/>
      <c r="M3288" s="3"/>
      <c r="N3288" s="3"/>
      <c r="O3288" s="3"/>
      <c r="P3288" s="3"/>
      <c r="Q3288" s="3"/>
      <c r="R3288" s="3"/>
      <c r="S3288" s="3"/>
      <c r="T3288" s="5"/>
      <c r="U3288" s="5"/>
      <c r="V3288" s="5"/>
      <c r="W3288" s="5"/>
    </row>
    <row r="3289" ht="15.75" customHeight="1">
      <c r="A3289" s="3" t="str">
        <f>IFERROR(__xludf.DUMMYFUNCTION("""COMPUTED_VALUE"""),"")</f>
        <v/>
      </c>
      <c r="B3289" s="3"/>
      <c r="C3289" s="3"/>
      <c r="D3289" s="3"/>
      <c r="E3289" s="3"/>
      <c r="F3289" s="3"/>
      <c r="G3289" s="3"/>
      <c r="H3289" s="3"/>
      <c r="I3289" s="3"/>
      <c r="J3289" s="3"/>
      <c r="K3289" s="3"/>
      <c r="L3289" s="3"/>
      <c r="M3289" s="3"/>
      <c r="N3289" s="3"/>
      <c r="O3289" s="3"/>
      <c r="P3289" s="3"/>
      <c r="Q3289" s="3"/>
      <c r="R3289" s="3"/>
      <c r="S3289" s="3"/>
      <c r="T3289" s="5"/>
      <c r="U3289" s="5"/>
      <c r="V3289" s="5"/>
      <c r="W3289" s="5"/>
    </row>
    <row r="3290" ht="15.75" customHeight="1">
      <c r="A3290" s="3" t="str">
        <f>IFERROR(__xludf.DUMMYFUNCTION("""COMPUTED_VALUE"""),"")</f>
        <v/>
      </c>
      <c r="B3290" s="3"/>
      <c r="C3290" s="3"/>
      <c r="D3290" s="3"/>
      <c r="E3290" s="3"/>
      <c r="F3290" s="3"/>
      <c r="G3290" s="3"/>
      <c r="H3290" s="3"/>
      <c r="I3290" s="3"/>
      <c r="J3290" s="3"/>
      <c r="K3290" s="3"/>
      <c r="L3290" s="3"/>
      <c r="M3290" s="3"/>
      <c r="N3290" s="3"/>
      <c r="O3290" s="3"/>
      <c r="P3290" s="3"/>
      <c r="Q3290" s="3"/>
      <c r="R3290" s="3"/>
      <c r="S3290" s="3"/>
      <c r="T3290" s="5"/>
      <c r="U3290" s="5"/>
      <c r="V3290" s="5"/>
      <c r="W3290" s="5"/>
    </row>
    <row r="3291" ht="15.75" customHeight="1">
      <c r="A3291" s="3" t="str">
        <f>IFERROR(__xludf.DUMMYFUNCTION("""COMPUTED_VALUE"""),"")</f>
        <v/>
      </c>
      <c r="B3291" s="3"/>
      <c r="C3291" s="3"/>
      <c r="D3291" s="3"/>
      <c r="E3291" s="3"/>
      <c r="F3291" s="3"/>
      <c r="G3291" s="3"/>
      <c r="H3291" s="3"/>
      <c r="I3291" s="3"/>
      <c r="J3291" s="3"/>
      <c r="K3291" s="3"/>
      <c r="L3291" s="3"/>
      <c r="M3291" s="3"/>
      <c r="N3291" s="3"/>
      <c r="O3291" s="3"/>
      <c r="P3291" s="3"/>
      <c r="Q3291" s="3"/>
      <c r="R3291" s="3"/>
      <c r="S3291" s="3"/>
      <c r="T3291" s="5"/>
      <c r="U3291" s="5"/>
      <c r="V3291" s="5"/>
      <c r="W3291" s="5"/>
    </row>
    <row r="3292" ht="15.75" customHeight="1">
      <c r="A3292" s="3" t="str">
        <f>IFERROR(__xludf.DUMMYFUNCTION("""COMPUTED_VALUE"""),"")</f>
        <v/>
      </c>
      <c r="B3292" s="3"/>
      <c r="C3292" s="3"/>
      <c r="D3292" s="3"/>
      <c r="E3292" s="3"/>
      <c r="F3292" s="3"/>
      <c r="G3292" s="3"/>
      <c r="H3292" s="3"/>
      <c r="I3292" s="3"/>
      <c r="J3292" s="3"/>
      <c r="K3292" s="3"/>
      <c r="L3292" s="3"/>
      <c r="M3292" s="3"/>
      <c r="N3292" s="3"/>
      <c r="O3292" s="3"/>
      <c r="P3292" s="3"/>
      <c r="Q3292" s="3"/>
      <c r="R3292" s="3"/>
      <c r="S3292" s="3"/>
      <c r="T3292" s="5"/>
      <c r="U3292" s="5"/>
      <c r="V3292" s="5"/>
      <c r="W3292" s="5"/>
    </row>
    <row r="3293" ht="15.75" customHeight="1">
      <c r="A3293" s="3" t="str">
        <f>IFERROR(__xludf.DUMMYFUNCTION("""COMPUTED_VALUE"""),"")</f>
        <v/>
      </c>
      <c r="B3293" s="3"/>
      <c r="C3293" s="3"/>
      <c r="D3293" s="3"/>
      <c r="E3293" s="3"/>
      <c r="F3293" s="3"/>
      <c r="G3293" s="3"/>
      <c r="H3293" s="3"/>
      <c r="I3293" s="3"/>
      <c r="J3293" s="3"/>
      <c r="K3293" s="3"/>
      <c r="L3293" s="3"/>
      <c r="M3293" s="3"/>
      <c r="N3293" s="3"/>
      <c r="O3293" s="3"/>
      <c r="P3293" s="3"/>
      <c r="Q3293" s="3"/>
      <c r="R3293" s="3"/>
      <c r="S3293" s="3"/>
      <c r="T3293" s="5"/>
      <c r="U3293" s="5"/>
      <c r="V3293" s="5"/>
      <c r="W3293" s="5"/>
    </row>
    <row r="3294" ht="15.75" customHeight="1">
      <c r="A3294" s="3" t="str">
        <f>IFERROR(__xludf.DUMMYFUNCTION("""COMPUTED_VALUE"""),"")</f>
        <v/>
      </c>
      <c r="B3294" s="3"/>
      <c r="C3294" s="3"/>
      <c r="D3294" s="3"/>
      <c r="E3294" s="3"/>
      <c r="F3294" s="3"/>
      <c r="G3294" s="3"/>
      <c r="H3294" s="3"/>
      <c r="I3294" s="3"/>
      <c r="J3294" s="3"/>
      <c r="K3294" s="3"/>
      <c r="L3294" s="3"/>
      <c r="M3294" s="3"/>
      <c r="N3294" s="3"/>
      <c r="O3294" s="3"/>
      <c r="P3294" s="3"/>
      <c r="Q3294" s="3"/>
      <c r="R3294" s="3"/>
      <c r="S3294" s="3"/>
      <c r="T3294" s="5"/>
      <c r="U3294" s="5"/>
      <c r="V3294" s="5"/>
      <c r="W3294" s="5"/>
    </row>
    <row r="3295" ht="15.75" customHeight="1">
      <c r="A3295" s="3" t="str">
        <f>IFERROR(__xludf.DUMMYFUNCTION("""COMPUTED_VALUE"""),"")</f>
        <v/>
      </c>
      <c r="B3295" s="3"/>
      <c r="C3295" s="3"/>
      <c r="D3295" s="3"/>
      <c r="E3295" s="3"/>
      <c r="F3295" s="3"/>
      <c r="G3295" s="3"/>
      <c r="H3295" s="3"/>
      <c r="I3295" s="3"/>
      <c r="J3295" s="3"/>
      <c r="K3295" s="3"/>
      <c r="L3295" s="3"/>
      <c r="M3295" s="3"/>
      <c r="N3295" s="3"/>
      <c r="O3295" s="3"/>
      <c r="P3295" s="3"/>
      <c r="Q3295" s="3"/>
      <c r="R3295" s="3"/>
      <c r="S3295" s="3"/>
      <c r="T3295" s="5"/>
      <c r="U3295" s="5"/>
      <c r="V3295" s="5"/>
      <c r="W3295" s="5"/>
    </row>
    <row r="3296" ht="15.75" customHeight="1">
      <c r="A3296" s="3" t="str">
        <f>IFERROR(__xludf.DUMMYFUNCTION("""COMPUTED_VALUE"""),"")</f>
        <v/>
      </c>
      <c r="B3296" s="3"/>
      <c r="C3296" s="3"/>
      <c r="D3296" s="3"/>
      <c r="E3296" s="3"/>
      <c r="F3296" s="3"/>
      <c r="G3296" s="3"/>
      <c r="H3296" s="3"/>
      <c r="I3296" s="3"/>
      <c r="J3296" s="3"/>
      <c r="K3296" s="3"/>
      <c r="L3296" s="3"/>
      <c r="M3296" s="3"/>
      <c r="N3296" s="3"/>
      <c r="O3296" s="3"/>
      <c r="P3296" s="3"/>
      <c r="Q3296" s="3"/>
      <c r="R3296" s="3"/>
      <c r="S3296" s="3"/>
      <c r="T3296" s="5"/>
      <c r="U3296" s="5"/>
      <c r="V3296" s="5"/>
      <c r="W3296" s="5"/>
    </row>
    <row r="3297" ht="15.75" customHeight="1">
      <c r="A3297" s="3" t="str">
        <f>IFERROR(__xludf.DUMMYFUNCTION("""COMPUTED_VALUE"""),"")</f>
        <v/>
      </c>
      <c r="B3297" s="3"/>
      <c r="C3297" s="3"/>
      <c r="D3297" s="3"/>
      <c r="E3297" s="3"/>
      <c r="F3297" s="3"/>
      <c r="G3297" s="3"/>
      <c r="H3297" s="3"/>
      <c r="I3297" s="3"/>
      <c r="J3297" s="3"/>
      <c r="K3297" s="3"/>
      <c r="L3297" s="3"/>
      <c r="M3297" s="3"/>
      <c r="N3297" s="3"/>
      <c r="O3297" s="3"/>
      <c r="P3297" s="3"/>
      <c r="Q3297" s="3"/>
      <c r="R3297" s="3"/>
      <c r="S3297" s="3"/>
      <c r="T3297" s="5"/>
      <c r="U3297" s="5"/>
      <c r="V3297" s="5"/>
      <c r="W3297" s="5"/>
    </row>
    <row r="3298" ht="15.75" customHeight="1">
      <c r="A3298" s="3" t="str">
        <f>IFERROR(__xludf.DUMMYFUNCTION("""COMPUTED_VALUE"""),"")</f>
        <v/>
      </c>
      <c r="B3298" s="3"/>
      <c r="C3298" s="3"/>
      <c r="D3298" s="3"/>
      <c r="E3298" s="3"/>
      <c r="F3298" s="3"/>
      <c r="G3298" s="3"/>
      <c r="H3298" s="3"/>
      <c r="I3298" s="3"/>
      <c r="J3298" s="3"/>
      <c r="K3298" s="3"/>
      <c r="L3298" s="3"/>
      <c r="M3298" s="3"/>
      <c r="N3298" s="3"/>
      <c r="O3298" s="3"/>
      <c r="P3298" s="3"/>
      <c r="Q3298" s="3"/>
      <c r="R3298" s="3"/>
      <c r="S3298" s="3"/>
      <c r="T3298" s="5"/>
      <c r="U3298" s="5"/>
      <c r="V3298" s="5"/>
      <c r="W3298" s="5"/>
    </row>
    <row r="3299" ht="15.75" customHeight="1">
      <c r="A3299" s="3" t="str">
        <f>IFERROR(__xludf.DUMMYFUNCTION("""COMPUTED_VALUE"""),"")</f>
        <v/>
      </c>
      <c r="B3299" s="3"/>
      <c r="C3299" s="3"/>
      <c r="D3299" s="3"/>
      <c r="E3299" s="3"/>
      <c r="F3299" s="3"/>
      <c r="G3299" s="3"/>
      <c r="H3299" s="3"/>
      <c r="I3299" s="3"/>
      <c r="J3299" s="3"/>
      <c r="K3299" s="3"/>
      <c r="L3299" s="3"/>
      <c r="M3299" s="3"/>
      <c r="N3299" s="3"/>
      <c r="O3299" s="3"/>
      <c r="P3299" s="3"/>
      <c r="Q3299" s="3"/>
      <c r="R3299" s="3"/>
      <c r="S3299" s="3"/>
      <c r="T3299" s="5"/>
      <c r="U3299" s="5"/>
      <c r="V3299" s="5"/>
      <c r="W3299" s="5"/>
    </row>
    <row r="3300" ht="15.75" customHeight="1">
      <c r="A3300" s="3" t="str">
        <f>IFERROR(__xludf.DUMMYFUNCTION("""COMPUTED_VALUE"""),"")</f>
        <v/>
      </c>
      <c r="B3300" s="3"/>
      <c r="C3300" s="3"/>
      <c r="D3300" s="3"/>
      <c r="E3300" s="3"/>
      <c r="F3300" s="3"/>
      <c r="G3300" s="3"/>
      <c r="H3300" s="3"/>
      <c r="I3300" s="3"/>
      <c r="J3300" s="3"/>
      <c r="K3300" s="3"/>
      <c r="L3300" s="3"/>
      <c r="M3300" s="3"/>
      <c r="N3300" s="3"/>
      <c r="O3300" s="3"/>
      <c r="P3300" s="3"/>
      <c r="Q3300" s="3"/>
      <c r="R3300" s="3"/>
      <c r="S3300" s="3"/>
      <c r="T3300" s="5"/>
      <c r="U3300" s="5"/>
      <c r="V3300" s="5"/>
      <c r="W3300" s="5"/>
    </row>
    <row r="3301" ht="15.75" customHeight="1">
      <c r="A3301" s="3" t="str">
        <f>IFERROR(__xludf.DUMMYFUNCTION("""COMPUTED_VALUE"""),"")</f>
        <v/>
      </c>
      <c r="B3301" s="3"/>
      <c r="C3301" s="3"/>
      <c r="D3301" s="3"/>
      <c r="E3301" s="3"/>
      <c r="F3301" s="3"/>
      <c r="G3301" s="3"/>
      <c r="H3301" s="3"/>
      <c r="I3301" s="3"/>
      <c r="J3301" s="3"/>
      <c r="K3301" s="3"/>
      <c r="L3301" s="3"/>
      <c r="M3301" s="3"/>
      <c r="N3301" s="3"/>
      <c r="O3301" s="3"/>
      <c r="P3301" s="3"/>
      <c r="Q3301" s="3"/>
      <c r="R3301" s="3"/>
      <c r="S3301" s="3"/>
      <c r="T3301" s="5"/>
      <c r="U3301" s="5"/>
      <c r="V3301" s="5"/>
      <c r="W3301" s="5"/>
    </row>
    <row r="3302" ht="15.75" customHeight="1">
      <c r="A3302" s="3" t="str">
        <f>IFERROR(__xludf.DUMMYFUNCTION("""COMPUTED_VALUE"""),"")</f>
        <v/>
      </c>
      <c r="B3302" s="3"/>
      <c r="C3302" s="3"/>
      <c r="D3302" s="3"/>
      <c r="E3302" s="3"/>
      <c r="F3302" s="3"/>
      <c r="G3302" s="3"/>
      <c r="H3302" s="3"/>
      <c r="I3302" s="3"/>
      <c r="J3302" s="3"/>
      <c r="K3302" s="3"/>
      <c r="L3302" s="3"/>
      <c r="M3302" s="3"/>
      <c r="N3302" s="3"/>
      <c r="O3302" s="3"/>
      <c r="P3302" s="3"/>
      <c r="Q3302" s="3"/>
      <c r="R3302" s="3"/>
      <c r="S3302" s="3"/>
      <c r="T3302" s="5"/>
      <c r="U3302" s="5"/>
      <c r="V3302" s="5"/>
      <c r="W3302" s="5"/>
    </row>
    <row r="3303" ht="15.75" customHeight="1">
      <c r="A3303" s="3" t="str">
        <f>IFERROR(__xludf.DUMMYFUNCTION("""COMPUTED_VALUE"""),"")</f>
        <v/>
      </c>
      <c r="B3303" s="3"/>
      <c r="C3303" s="3"/>
      <c r="D3303" s="3"/>
      <c r="E3303" s="3"/>
      <c r="F3303" s="3"/>
      <c r="G3303" s="3"/>
      <c r="H3303" s="3"/>
      <c r="I3303" s="3"/>
      <c r="J3303" s="3"/>
      <c r="K3303" s="3"/>
      <c r="L3303" s="3"/>
      <c r="M3303" s="3"/>
      <c r="N3303" s="3"/>
      <c r="O3303" s="3"/>
      <c r="P3303" s="3"/>
      <c r="Q3303" s="3"/>
      <c r="R3303" s="3"/>
      <c r="S3303" s="3"/>
      <c r="T3303" s="5"/>
      <c r="U3303" s="5"/>
      <c r="V3303" s="5"/>
      <c r="W3303" s="5"/>
    </row>
    <row r="3304" ht="15.75" customHeight="1">
      <c r="A3304" s="3" t="str">
        <f>IFERROR(__xludf.DUMMYFUNCTION("""COMPUTED_VALUE"""),"")</f>
        <v/>
      </c>
      <c r="B3304" s="3"/>
      <c r="C3304" s="3"/>
      <c r="D3304" s="3"/>
      <c r="E3304" s="3"/>
      <c r="F3304" s="3"/>
      <c r="G3304" s="3"/>
      <c r="H3304" s="3"/>
      <c r="I3304" s="3"/>
      <c r="J3304" s="3"/>
      <c r="K3304" s="3"/>
      <c r="L3304" s="3"/>
      <c r="M3304" s="3"/>
      <c r="N3304" s="3"/>
      <c r="O3304" s="3"/>
      <c r="P3304" s="3"/>
      <c r="Q3304" s="3"/>
      <c r="R3304" s="3"/>
      <c r="S3304" s="3"/>
      <c r="T3304" s="5"/>
      <c r="U3304" s="5"/>
      <c r="V3304" s="5"/>
      <c r="W3304" s="5"/>
    </row>
    <row r="3305" ht="15.75" customHeight="1">
      <c r="A3305" s="3" t="str">
        <f>IFERROR(__xludf.DUMMYFUNCTION("""COMPUTED_VALUE"""),"")</f>
        <v/>
      </c>
      <c r="B3305" s="3"/>
      <c r="C3305" s="3"/>
      <c r="D3305" s="3"/>
      <c r="E3305" s="3"/>
      <c r="F3305" s="3"/>
      <c r="G3305" s="3"/>
      <c r="H3305" s="3"/>
      <c r="I3305" s="3"/>
      <c r="J3305" s="3"/>
      <c r="K3305" s="3"/>
      <c r="L3305" s="3"/>
      <c r="M3305" s="3"/>
      <c r="N3305" s="3"/>
      <c r="O3305" s="3"/>
      <c r="P3305" s="3"/>
      <c r="Q3305" s="3"/>
      <c r="R3305" s="3"/>
      <c r="S3305" s="3"/>
      <c r="T3305" s="5"/>
      <c r="U3305" s="5"/>
      <c r="V3305" s="5"/>
      <c r="W3305" s="5"/>
    </row>
    <row r="3306" ht="15.75" customHeight="1">
      <c r="A3306" s="3" t="str">
        <f>IFERROR(__xludf.DUMMYFUNCTION("""COMPUTED_VALUE"""),"")</f>
        <v/>
      </c>
      <c r="B3306" s="3"/>
      <c r="C3306" s="3"/>
      <c r="D3306" s="3"/>
      <c r="E3306" s="3"/>
      <c r="F3306" s="3"/>
      <c r="G3306" s="3"/>
      <c r="H3306" s="3"/>
      <c r="I3306" s="3"/>
      <c r="J3306" s="3"/>
      <c r="K3306" s="3"/>
      <c r="L3306" s="3"/>
      <c r="M3306" s="3"/>
      <c r="N3306" s="3"/>
      <c r="O3306" s="3"/>
      <c r="P3306" s="3"/>
      <c r="Q3306" s="3"/>
      <c r="R3306" s="3"/>
      <c r="S3306" s="3"/>
      <c r="T3306" s="5"/>
      <c r="U3306" s="5"/>
      <c r="V3306" s="5"/>
      <c r="W3306" s="5"/>
    </row>
    <row r="3307" ht="15.75" customHeight="1">
      <c r="A3307" s="3" t="str">
        <f>IFERROR(__xludf.DUMMYFUNCTION("""COMPUTED_VALUE"""),"")</f>
        <v/>
      </c>
      <c r="B3307" s="3"/>
      <c r="C3307" s="3"/>
      <c r="D3307" s="3"/>
      <c r="E3307" s="3"/>
      <c r="F3307" s="3"/>
      <c r="G3307" s="3"/>
      <c r="H3307" s="3"/>
      <c r="I3307" s="3"/>
      <c r="J3307" s="3"/>
      <c r="K3307" s="3"/>
      <c r="L3307" s="3"/>
      <c r="M3307" s="3"/>
      <c r="N3307" s="3"/>
      <c r="O3307" s="3"/>
      <c r="P3307" s="3"/>
      <c r="Q3307" s="3"/>
      <c r="R3307" s="3"/>
      <c r="S3307" s="3"/>
      <c r="T3307" s="5"/>
      <c r="U3307" s="5"/>
      <c r="V3307" s="5"/>
      <c r="W3307" s="5"/>
    </row>
    <row r="3308" ht="15.75" customHeight="1">
      <c r="A3308" s="3" t="str">
        <f>IFERROR(__xludf.DUMMYFUNCTION("""COMPUTED_VALUE"""),"")</f>
        <v/>
      </c>
      <c r="B3308" s="3"/>
      <c r="C3308" s="3"/>
      <c r="D3308" s="3"/>
      <c r="E3308" s="3"/>
      <c r="F3308" s="3"/>
      <c r="G3308" s="3"/>
      <c r="H3308" s="3"/>
      <c r="I3308" s="3"/>
      <c r="J3308" s="3"/>
      <c r="K3308" s="3"/>
      <c r="L3308" s="3"/>
      <c r="M3308" s="3"/>
      <c r="N3308" s="3"/>
      <c r="O3308" s="3"/>
      <c r="P3308" s="3"/>
      <c r="Q3308" s="3"/>
      <c r="R3308" s="3"/>
      <c r="S3308" s="3"/>
      <c r="T3308" s="5"/>
      <c r="U3308" s="5"/>
      <c r="V3308" s="5"/>
      <c r="W3308" s="5"/>
    </row>
    <row r="3309" ht="15.75" customHeight="1">
      <c r="A3309" s="3" t="str">
        <f>IFERROR(__xludf.DUMMYFUNCTION("""COMPUTED_VALUE"""),"")</f>
        <v/>
      </c>
      <c r="B3309" s="3"/>
      <c r="C3309" s="3"/>
      <c r="D3309" s="3"/>
      <c r="E3309" s="3"/>
      <c r="F3309" s="3"/>
      <c r="G3309" s="3"/>
      <c r="H3309" s="3"/>
      <c r="I3309" s="3"/>
      <c r="J3309" s="3"/>
      <c r="K3309" s="3"/>
      <c r="L3309" s="3"/>
      <c r="M3309" s="3"/>
      <c r="N3309" s="3"/>
      <c r="O3309" s="3"/>
      <c r="P3309" s="3"/>
      <c r="Q3309" s="3"/>
      <c r="R3309" s="3"/>
      <c r="S3309" s="3"/>
      <c r="T3309" s="5"/>
      <c r="U3309" s="5"/>
      <c r="V3309" s="5"/>
      <c r="W3309" s="5"/>
    </row>
    <row r="3310" ht="15.75" customHeight="1">
      <c r="A3310" s="3" t="str">
        <f>IFERROR(__xludf.DUMMYFUNCTION("""COMPUTED_VALUE"""),"")</f>
        <v/>
      </c>
      <c r="B3310" s="3"/>
      <c r="C3310" s="3"/>
      <c r="D3310" s="3"/>
      <c r="E3310" s="3"/>
      <c r="F3310" s="3"/>
      <c r="G3310" s="3"/>
      <c r="H3310" s="3"/>
      <c r="I3310" s="3"/>
      <c r="J3310" s="3"/>
      <c r="K3310" s="3"/>
      <c r="L3310" s="3"/>
      <c r="M3310" s="3"/>
      <c r="N3310" s="3"/>
      <c r="O3310" s="3"/>
      <c r="P3310" s="3"/>
      <c r="Q3310" s="3"/>
      <c r="R3310" s="3"/>
      <c r="S3310" s="3"/>
      <c r="T3310" s="5"/>
      <c r="U3310" s="5"/>
      <c r="V3310" s="5"/>
      <c r="W3310" s="5"/>
    </row>
    <row r="3311" ht="15.75" customHeight="1">
      <c r="A3311" s="3" t="str">
        <f>IFERROR(__xludf.DUMMYFUNCTION("""COMPUTED_VALUE"""),"")</f>
        <v/>
      </c>
      <c r="B3311" s="3"/>
      <c r="C3311" s="3"/>
      <c r="D3311" s="3"/>
      <c r="E3311" s="3"/>
      <c r="F3311" s="3"/>
      <c r="G3311" s="3"/>
      <c r="H3311" s="3"/>
      <c r="I3311" s="3"/>
      <c r="J3311" s="3"/>
      <c r="K3311" s="3"/>
      <c r="L3311" s="3"/>
      <c r="M3311" s="3"/>
      <c r="N3311" s="3"/>
      <c r="O3311" s="3"/>
      <c r="P3311" s="3"/>
      <c r="Q3311" s="3"/>
      <c r="R3311" s="3"/>
      <c r="S3311" s="3"/>
      <c r="T3311" s="5"/>
      <c r="U3311" s="5"/>
      <c r="V3311" s="5"/>
      <c r="W3311" s="5"/>
    </row>
    <row r="3312" ht="15.75" customHeight="1">
      <c r="A3312" s="3" t="str">
        <f>IFERROR(__xludf.DUMMYFUNCTION("""COMPUTED_VALUE"""),"")</f>
        <v/>
      </c>
      <c r="B3312" s="3"/>
      <c r="C3312" s="3"/>
      <c r="D3312" s="3"/>
      <c r="E3312" s="3"/>
      <c r="F3312" s="3"/>
      <c r="G3312" s="3"/>
      <c r="H3312" s="3"/>
      <c r="I3312" s="3"/>
      <c r="J3312" s="3"/>
      <c r="K3312" s="3"/>
      <c r="L3312" s="3"/>
      <c r="M3312" s="3"/>
      <c r="N3312" s="3"/>
      <c r="O3312" s="3"/>
      <c r="P3312" s="3"/>
      <c r="Q3312" s="3"/>
      <c r="R3312" s="3"/>
      <c r="S3312" s="3"/>
      <c r="T3312" s="5"/>
      <c r="U3312" s="5"/>
      <c r="V3312" s="5"/>
      <c r="W3312" s="5"/>
    </row>
    <row r="3313" ht="15.75" customHeight="1">
      <c r="A3313" s="3" t="str">
        <f>IFERROR(__xludf.DUMMYFUNCTION("""COMPUTED_VALUE"""),"")</f>
        <v/>
      </c>
      <c r="B3313" s="3"/>
      <c r="C3313" s="3"/>
      <c r="D3313" s="3"/>
      <c r="E3313" s="3"/>
      <c r="F3313" s="3"/>
      <c r="G3313" s="3"/>
      <c r="H3313" s="3"/>
      <c r="I3313" s="3"/>
      <c r="J3313" s="3"/>
      <c r="K3313" s="3"/>
      <c r="L3313" s="3"/>
      <c r="M3313" s="3"/>
      <c r="N3313" s="3"/>
      <c r="O3313" s="3"/>
      <c r="P3313" s="3"/>
      <c r="Q3313" s="3"/>
      <c r="R3313" s="3"/>
      <c r="S3313" s="3"/>
      <c r="T3313" s="5"/>
      <c r="U3313" s="5"/>
      <c r="V3313" s="5"/>
      <c r="W3313" s="5"/>
    </row>
    <row r="3314" ht="15.75" customHeight="1">
      <c r="A3314" s="3" t="str">
        <f>IFERROR(__xludf.DUMMYFUNCTION("""COMPUTED_VALUE"""),"")</f>
        <v/>
      </c>
      <c r="B3314" s="3"/>
      <c r="C3314" s="3"/>
      <c r="D3314" s="3"/>
      <c r="E3314" s="3"/>
      <c r="F3314" s="3"/>
      <c r="G3314" s="3"/>
      <c r="H3314" s="3"/>
      <c r="I3314" s="3"/>
      <c r="J3314" s="3"/>
      <c r="K3314" s="3"/>
      <c r="L3314" s="3"/>
      <c r="M3314" s="3"/>
      <c r="N3314" s="3"/>
      <c r="O3314" s="3"/>
      <c r="P3314" s="3"/>
      <c r="Q3314" s="3"/>
      <c r="R3314" s="3"/>
      <c r="S3314" s="3"/>
      <c r="T3314" s="5"/>
      <c r="U3314" s="5"/>
      <c r="V3314" s="5"/>
      <c r="W3314" s="5"/>
    </row>
    <row r="3315" ht="15.75" customHeight="1">
      <c r="A3315" s="3" t="str">
        <f>IFERROR(__xludf.DUMMYFUNCTION("""COMPUTED_VALUE"""),"")</f>
        <v/>
      </c>
      <c r="B3315" s="3"/>
      <c r="C3315" s="3"/>
      <c r="D3315" s="3"/>
      <c r="E3315" s="3"/>
      <c r="F3315" s="3"/>
      <c r="G3315" s="3"/>
      <c r="H3315" s="3"/>
      <c r="I3315" s="3"/>
      <c r="J3315" s="3"/>
      <c r="K3315" s="3"/>
      <c r="L3315" s="3"/>
      <c r="M3315" s="3"/>
      <c r="N3315" s="3"/>
      <c r="O3315" s="3"/>
      <c r="P3315" s="3"/>
      <c r="Q3315" s="3"/>
      <c r="R3315" s="3"/>
      <c r="S3315" s="3"/>
      <c r="T3315" s="5"/>
      <c r="U3315" s="5"/>
      <c r="V3315" s="5"/>
      <c r="W3315" s="5"/>
    </row>
    <row r="3316" ht="15.75" customHeight="1">
      <c r="A3316" s="3" t="str">
        <f>IFERROR(__xludf.DUMMYFUNCTION("""COMPUTED_VALUE"""),"")</f>
        <v/>
      </c>
      <c r="B3316" s="3"/>
      <c r="C3316" s="3"/>
      <c r="D3316" s="3"/>
      <c r="E3316" s="3"/>
      <c r="F3316" s="3"/>
      <c r="G3316" s="3"/>
      <c r="H3316" s="3"/>
      <c r="I3316" s="3"/>
      <c r="J3316" s="3"/>
      <c r="K3316" s="3"/>
      <c r="L3316" s="3"/>
      <c r="M3316" s="3"/>
      <c r="N3316" s="3"/>
      <c r="O3316" s="3"/>
      <c r="P3316" s="3"/>
      <c r="Q3316" s="3"/>
      <c r="R3316" s="3"/>
      <c r="S3316" s="3"/>
      <c r="T3316" s="5"/>
      <c r="U3316" s="5"/>
      <c r="V3316" s="5"/>
      <c r="W3316" s="5"/>
    </row>
    <row r="3317" ht="15.75" customHeight="1">
      <c r="A3317" s="3" t="str">
        <f>IFERROR(__xludf.DUMMYFUNCTION("""COMPUTED_VALUE"""),"")</f>
        <v/>
      </c>
      <c r="B3317" s="3"/>
      <c r="C3317" s="3"/>
      <c r="D3317" s="3"/>
      <c r="E3317" s="3"/>
      <c r="F3317" s="3"/>
      <c r="G3317" s="3"/>
      <c r="H3317" s="3"/>
      <c r="I3317" s="3"/>
      <c r="J3317" s="3"/>
      <c r="K3317" s="3"/>
      <c r="L3317" s="3"/>
      <c r="M3317" s="3"/>
      <c r="N3317" s="3"/>
      <c r="O3317" s="3"/>
      <c r="P3317" s="3"/>
      <c r="Q3317" s="3"/>
      <c r="R3317" s="3"/>
      <c r="S3317" s="3"/>
      <c r="T3317" s="5"/>
      <c r="U3317" s="5"/>
      <c r="V3317" s="5"/>
      <c r="W3317" s="5"/>
    </row>
    <row r="3318" ht="15.75" customHeight="1">
      <c r="A3318" s="3" t="str">
        <f>IFERROR(__xludf.DUMMYFUNCTION("""COMPUTED_VALUE"""),"")</f>
        <v/>
      </c>
      <c r="B3318" s="3"/>
      <c r="C3318" s="3"/>
      <c r="D3318" s="3"/>
      <c r="E3318" s="3"/>
      <c r="F3318" s="3"/>
      <c r="G3318" s="3"/>
      <c r="H3318" s="3"/>
      <c r="I3318" s="3"/>
      <c r="J3318" s="3"/>
      <c r="K3318" s="3"/>
      <c r="L3318" s="3"/>
      <c r="M3318" s="3"/>
      <c r="N3318" s="3"/>
      <c r="O3318" s="3"/>
      <c r="P3318" s="3"/>
      <c r="Q3318" s="3"/>
      <c r="R3318" s="3"/>
      <c r="S3318" s="3"/>
      <c r="T3318" s="5"/>
      <c r="U3318" s="5"/>
      <c r="V3318" s="5"/>
      <c r="W3318" s="5"/>
    </row>
    <row r="3319" ht="15.75" customHeight="1">
      <c r="A3319" s="3" t="str">
        <f>IFERROR(__xludf.DUMMYFUNCTION("""COMPUTED_VALUE"""),"")</f>
        <v/>
      </c>
      <c r="B3319" s="3"/>
      <c r="C3319" s="3"/>
      <c r="D3319" s="3"/>
      <c r="E3319" s="3"/>
      <c r="F3319" s="3"/>
      <c r="G3319" s="3"/>
      <c r="H3319" s="3"/>
      <c r="I3319" s="3"/>
      <c r="J3319" s="3"/>
      <c r="K3319" s="3"/>
      <c r="L3319" s="3"/>
      <c r="M3319" s="3"/>
      <c r="N3319" s="3"/>
      <c r="O3319" s="3"/>
      <c r="P3319" s="3"/>
      <c r="Q3319" s="3"/>
      <c r="R3319" s="3"/>
      <c r="S3319" s="3"/>
      <c r="T3319" s="5"/>
      <c r="U3319" s="5"/>
      <c r="V3319" s="5"/>
      <c r="W3319" s="5"/>
    </row>
    <row r="3320" ht="15.75" customHeight="1">
      <c r="A3320" s="3" t="str">
        <f>IFERROR(__xludf.DUMMYFUNCTION("""COMPUTED_VALUE"""),"")</f>
        <v/>
      </c>
      <c r="B3320" s="3"/>
      <c r="C3320" s="3"/>
      <c r="D3320" s="3"/>
      <c r="E3320" s="3"/>
      <c r="F3320" s="3"/>
      <c r="G3320" s="3"/>
      <c r="H3320" s="3"/>
      <c r="I3320" s="3"/>
      <c r="J3320" s="3"/>
      <c r="K3320" s="3"/>
      <c r="L3320" s="3"/>
      <c r="M3320" s="3"/>
      <c r="N3320" s="3"/>
      <c r="O3320" s="3"/>
      <c r="P3320" s="3"/>
      <c r="Q3320" s="3"/>
      <c r="R3320" s="3"/>
      <c r="S3320" s="3"/>
      <c r="T3320" s="5"/>
      <c r="U3320" s="5"/>
      <c r="V3320" s="5"/>
      <c r="W3320" s="5"/>
    </row>
    <row r="3321" ht="15.75" customHeight="1">
      <c r="A3321" s="3" t="str">
        <f>IFERROR(__xludf.DUMMYFUNCTION("""COMPUTED_VALUE"""),"")</f>
        <v/>
      </c>
      <c r="B3321" s="3"/>
      <c r="C3321" s="3"/>
      <c r="D3321" s="3"/>
      <c r="E3321" s="3"/>
      <c r="F3321" s="3"/>
      <c r="G3321" s="3"/>
      <c r="H3321" s="3"/>
      <c r="I3321" s="3"/>
      <c r="J3321" s="3"/>
      <c r="K3321" s="3"/>
      <c r="L3321" s="3"/>
      <c r="M3321" s="3"/>
      <c r="N3321" s="3"/>
      <c r="O3321" s="3"/>
      <c r="P3321" s="3"/>
      <c r="Q3321" s="3"/>
      <c r="R3321" s="3"/>
      <c r="S3321" s="3"/>
      <c r="T3321" s="5"/>
      <c r="U3321" s="5"/>
      <c r="V3321" s="5"/>
      <c r="W3321" s="5"/>
    </row>
    <row r="3322" ht="15.75" customHeight="1">
      <c r="A3322" s="3" t="str">
        <f>IFERROR(__xludf.DUMMYFUNCTION("""COMPUTED_VALUE"""),"")</f>
        <v/>
      </c>
      <c r="B3322" s="3"/>
      <c r="C3322" s="3"/>
      <c r="D3322" s="3"/>
      <c r="E3322" s="3"/>
      <c r="F3322" s="3"/>
      <c r="G3322" s="3"/>
      <c r="H3322" s="3"/>
      <c r="I3322" s="3"/>
      <c r="J3322" s="3"/>
      <c r="K3322" s="3"/>
      <c r="L3322" s="3"/>
      <c r="M3322" s="3"/>
      <c r="N3322" s="3"/>
      <c r="O3322" s="3"/>
      <c r="P3322" s="3"/>
      <c r="Q3322" s="3"/>
      <c r="R3322" s="3"/>
      <c r="S3322" s="3"/>
      <c r="T3322" s="5"/>
      <c r="U3322" s="5"/>
      <c r="V3322" s="5"/>
      <c r="W3322" s="5"/>
    </row>
    <row r="3323" ht="15.75" customHeight="1">
      <c r="A3323" s="3" t="str">
        <f>IFERROR(__xludf.DUMMYFUNCTION("""COMPUTED_VALUE"""),"")</f>
        <v/>
      </c>
      <c r="B3323" s="3"/>
      <c r="C3323" s="3"/>
      <c r="D3323" s="3"/>
      <c r="E3323" s="3"/>
      <c r="F3323" s="3"/>
      <c r="G3323" s="3"/>
      <c r="H3323" s="3"/>
      <c r="I3323" s="3"/>
      <c r="J3323" s="3"/>
      <c r="K3323" s="3"/>
      <c r="L3323" s="3"/>
      <c r="M3323" s="3"/>
      <c r="N3323" s="3"/>
      <c r="O3323" s="3"/>
      <c r="P3323" s="3"/>
      <c r="Q3323" s="3"/>
      <c r="R3323" s="3"/>
      <c r="S3323" s="3"/>
      <c r="T3323" s="5"/>
      <c r="U3323" s="5"/>
      <c r="V3323" s="5"/>
      <c r="W3323" s="5"/>
    </row>
    <row r="3324" ht="15.75" customHeight="1">
      <c r="A3324" s="3" t="str">
        <f>IFERROR(__xludf.DUMMYFUNCTION("""COMPUTED_VALUE"""),"")</f>
        <v/>
      </c>
      <c r="B3324" s="3"/>
      <c r="C3324" s="3"/>
      <c r="D3324" s="3"/>
      <c r="E3324" s="3"/>
      <c r="F3324" s="3"/>
      <c r="G3324" s="3"/>
      <c r="H3324" s="3"/>
      <c r="I3324" s="3"/>
      <c r="J3324" s="3"/>
      <c r="K3324" s="3"/>
      <c r="L3324" s="3"/>
      <c r="M3324" s="3"/>
      <c r="N3324" s="3"/>
      <c r="O3324" s="3"/>
      <c r="P3324" s="3"/>
      <c r="Q3324" s="3"/>
      <c r="R3324" s="3"/>
      <c r="S3324" s="3"/>
      <c r="T3324" s="5"/>
      <c r="U3324" s="5"/>
      <c r="V3324" s="5"/>
      <c r="W3324" s="5"/>
    </row>
    <row r="3325" ht="15.75" customHeight="1">
      <c r="A3325" s="3" t="str">
        <f>IFERROR(__xludf.DUMMYFUNCTION("""COMPUTED_VALUE"""),"")</f>
        <v/>
      </c>
      <c r="B3325" s="3"/>
      <c r="C3325" s="3"/>
      <c r="D3325" s="3"/>
      <c r="E3325" s="3"/>
      <c r="F3325" s="3"/>
      <c r="G3325" s="3"/>
      <c r="H3325" s="3"/>
      <c r="I3325" s="3"/>
      <c r="J3325" s="3"/>
      <c r="K3325" s="3"/>
      <c r="L3325" s="3"/>
      <c r="M3325" s="3"/>
      <c r="N3325" s="3"/>
      <c r="O3325" s="3"/>
      <c r="P3325" s="3"/>
      <c r="Q3325" s="3"/>
      <c r="R3325" s="3"/>
      <c r="S3325" s="3"/>
      <c r="T3325" s="5"/>
      <c r="U3325" s="5"/>
      <c r="V3325" s="5"/>
      <c r="W3325" s="5"/>
    </row>
    <row r="3326" ht="15.75" customHeight="1">
      <c r="A3326" s="3" t="str">
        <f>IFERROR(__xludf.DUMMYFUNCTION("""COMPUTED_VALUE"""),"")</f>
        <v/>
      </c>
      <c r="B3326" s="3"/>
      <c r="C3326" s="3"/>
      <c r="D3326" s="3"/>
      <c r="E3326" s="3"/>
      <c r="F3326" s="3"/>
      <c r="G3326" s="3"/>
      <c r="H3326" s="3"/>
      <c r="I3326" s="3"/>
      <c r="J3326" s="3"/>
      <c r="K3326" s="3"/>
      <c r="L3326" s="3"/>
      <c r="M3326" s="3"/>
      <c r="N3326" s="3"/>
      <c r="O3326" s="3"/>
      <c r="P3326" s="3"/>
      <c r="Q3326" s="3"/>
      <c r="R3326" s="3"/>
      <c r="S3326" s="3"/>
      <c r="T3326" s="5"/>
      <c r="U3326" s="5"/>
      <c r="V3326" s="5"/>
      <c r="W3326" s="5"/>
    </row>
    <row r="3327" ht="15.75" customHeight="1">
      <c r="A3327" s="3" t="str">
        <f>IFERROR(__xludf.DUMMYFUNCTION("""COMPUTED_VALUE"""),"")</f>
        <v/>
      </c>
      <c r="B3327" s="3"/>
      <c r="C3327" s="3"/>
      <c r="D3327" s="3"/>
      <c r="E3327" s="3"/>
      <c r="F3327" s="3"/>
      <c r="G3327" s="3"/>
      <c r="H3327" s="3"/>
      <c r="I3327" s="3"/>
      <c r="J3327" s="3"/>
      <c r="K3327" s="3"/>
      <c r="L3327" s="3"/>
      <c r="M3327" s="3"/>
      <c r="N3327" s="3"/>
      <c r="O3327" s="3"/>
      <c r="P3327" s="3"/>
      <c r="Q3327" s="3"/>
      <c r="R3327" s="3"/>
      <c r="S3327" s="3"/>
      <c r="T3327" s="5"/>
      <c r="U3327" s="5"/>
      <c r="V3327" s="5"/>
      <c r="W3327" s="5"/>
    </row>
    <row r="3328" ht="15.75" customHeight="1">
      <c r="A3328" s="3" t="str">
        <f>IFERROR(__xludf.DUMMYFUNCTION("""COMPUTED_VALUE"""),"")</f>
        <v/>
      </c>
      <c r="B3328" s="3"/>
      <c r="C3328" s="3"/>
      <c r="D3328" s="3"/>
      <c r="E3328" s="3"/>
      <c r="F3328" s="3"/>
      <c r="G3328" s="3"/>
      <c r="H3328" s="3"/>
      <c r="I3328" s="3"/>
      <c r="J3328" s="3"/>
      <c r="K3328" s="3"/>
      <c r="L3328" s="3"/>
      <c r="M3328" s="3"/>
      <c r="N3328" s="3"/>
      <c r="O3328" s="3"/>
      <c r="P3328" s="3"/>
      <c r="Q3328" s="3"/>
      <c r="R3328" s="3"/>
      <c r="S3328" s="3"/>
      <c r="T3328" s="5"/>
      <c r="U3328" s="5"/>
      <c r="V3328" s="5"/>
      <c r="W3328" s="5"/>
    </row>
    <row r="3329" ht="15.75" customHeight="1">
      <c r="A3329" s="3" t="str">
        <f>IFERROR(__xludf.DUMMYFUNCTION("""COMPUTED_VALUE"""),"")</f>
        <v/>
      </c>
      <c r="B3329" s="3"/>
      <c r="C3329" s="3"/>
      <c r="D3329" s="3"/>
      <c r="E3329" s="3"/>
      <c r="F3329" s="3"/>
      <c r="G3329" s="3"/>
      <c r="H3329" s="3"/>
      <c r="I3329" s="3"/>
      <c r="J3329" s="3"/>
      <c r="K3329" s="3"/>
      <c r="L3329" s="3"/>
      <c r="M3329" s="3"/>
      <c r="N3329" s="3"/>
      <c r="O3329" s="3"/>
      <c r="P3329" s="3"/>
      <c r="Q3329" s="3"/>
      <c r="R3329" s="3"/>
      <c r="S3329" s="3"/>
      <c r="T3329" s="5"/>
      <c r="U3329" s="5"/>
      <c r="V3329" s="5"/>
      <c r="W3329" s="5"/>
    </row>
    <row r="3330" ht="15.75" customHeight="1">
      <c r="A3330" s="3" t="str">
        <f>IFERROR(__xludf.DUMMYFUNCTION("""COMPUTED_VALUE"""),"")</f>
        <v/>
      </c>
      <c r="B3330" s="3"/>
      <c r="C3330" s="3"/>
      <c r="D3330" s="3"/>
      <c r="E3330" s="3"/>
      <c r="F3330" s="3"/>
      <c r="G3330" s="3"/>
      <c r="H3330" s="3"/>
      <c r="I3330" s="3"/>
      <c r="J3330" s="3"/>
      <c r="K3330" s="3"/>
      <c r="L3330" s="3"/>
      <c r="M3330" s="3"/>
      <c r="N3330" s="3"/>
      <c r="O3330" s="3"/>
      <c r="P3330" s="3"/>
      <c r="Q3330" s="3"/>
      <c r="R3330" s="3"/>
      <c r="S3330" s="3"/>
      <c r="T3330" s="5"/>
      <c r="U3330" s="5"/>
      <c r="V3330" s="5"/>
      <c r="W3330" s="5"/>
    </row>
    <row r="3331" ht="15.75" customHeight="1">
      <c r="A3331" s="3" t="str">
        <f>IFERROR(__xludf.DUMMYFUNCTION("""COMPUTED_VALUE"""),"")</f>
        <v/>
      </c>
      <c r="B3331" s="3"/>
      <c r="C3331" s="3"/>
      <c r="D3331" s="3"/>
      <c r="E3331" s="3"/>
      <c r="F3331" s="3"/>
      <c r="G3331" s="3"/>
      <c r="H3331" s="3"/>
      <c r="I3331" s="3"/>
      <c r="J3331" s="3"/>
      <c r="K3331" s="3"/>
      <c r="L3331" s="3"/>
      <c r="M3331" s="3"/>
      <c r="N3331" s="3"/>
      <c r="O3331" s="3"/>
      <c r="P3331" s="3"/>
      <c r="Q3331" s="3"/>
      <c r="R3331" s="3"/>
      <c r="S3331" s="3"/>
      <c r="T3331" s="5"/>
      <c r="U3331" s="5"/>
      <c r="V3331" s="5"/>
      <c r="W3331" s="5"/>
    </row>
    <row r="3332" ht="15.75" customHeight="1">
      <c r="A3332" s="3" t="str">
        <f>IFERROR(__xludf.DUMMYFUNCTION("""COMPUTED_VALUE"""),"")</f>
        <v/>
      </c>
      <c r="B3332" s="3"/>
      <c r="C3332" s="3"/>
      <c r="D3332" s="3"/>
      <c r="E3332" s="3"/>
      <c r="F3332" s="3"/>
      <c r="G3332" s="3"/>
      <c r="H3332" s="3"/>
      <c r="I3332" s="3"/>
      <c r="J3332" s="3"/>
      <c r="K3332" s="3"/>
      <c r="L3332" s="3"/>
      <c r="M3332" s="3"/>
      <c r="N3332" s="3"/>
      <c r="O3332" s="3"/>
      <c r="P3332" s="3"/>
      <c r="Q3332" s="3"/>
      <c r="R3332" s="3"/>
      <c r="S3332" s="3"/>
      <c r="T3332" s="5"/>
      <c r="U3332" s="5"/>
      <c r="V3332" s="5"/>
      <c r="W3332" s="5"/>
    </row>
    <row r="3333" ht="15.75" customHeight="1">
      <c r="A3333" s="3" t="str">
        <f>IFERROR(__xludf.DUMMYFUNCTION("""COMPUTED_VALUE"""),"")</f>
        <v/>
      </c>
      <c r="B3333" s="3"/>
      <c r="C3333" s="3"/>
      <c r="D3333" s="3"/>
      <c r="E3333" s="3"/>
      <c r="F3333" s="3"/>
      <c r="G3333" s="3"/>
      <c r="H3333" s="3"/>
      <c r="I3333" s="3"/>
      <c r="J3333" s="3"/>
      <c r="K3333" s="3"/>
      <c r="L3333" s="3"/>
      <c r="M3333" s="3"/>
      <c r="N3333" s="3"/>
      <c r="O3333" s="3"/>
      <c r="P3333" s="3"/>
      <c r="Q3333" s="3"/>
      <c r="R3333" s="3"/>
      <c r="S3333" s="3"/>
      <c r="T3333" s="5"/>
      <c r="U3333" s="5"/>
      <c r="V3333" s="5"/>
      <c r="W3333" s="5"/>
    </row>
    <row r="3334" ht="15.75" customHeight="1">
      <c r="A3334" s="3" t="str">
        <f>IFERROR(__xludf.DUMMYFUNCTION("""COMPUTED_VALUE"""),"")</f>
        <v/>
      </c>
      <c r="B3334" s="3"/>
      <c r="C3334" s="3"/>
      <c r="D3334" s="3"/>
      <c r="E3334" s="3"/>
      <c r="F3334" s="3"/>
      <c r="G3334" s="3"/>
      <c r="H3334" s="3"/>
      <c r="I3334" s="3"/>
      <c r="J3334" s="3"/>
      <c r="K3334" s="3"/>
      <c r="L3334" s="3"/>
      <c r="M3334" s="3"/>
      <c r="N3334" s="3"/>
      <c r="O3334" s="3"/>
      <c r="P3334" s="3"/>
      <c r="Q3334" s="3"/>
      <c r="R3334" s="3"/>
      <c r="S3334" s="3"/>
      <c r="T3334" s="5"/>
      <c r="U3334" s="5"/>
      <c r="V3334" s="5"/>
      <c r="W3334" s="5"/>
    </row>
    <row r="3335" ht="15.75" customHeight="1">
      <c r="A3335" s="3" t="str">
        <f>IFERROR(__xludf.DUMMYFUNCTION("""COMPUTED_VALUE"""),"")</f>
        <v/>
      </c>
      <c r="B3335" s="3"/>
      <c r="C3335" s="3"/>
      <c r="D3335" s="3"/>
      <c r="E3335" s="3"/>
      <c r="F3335" s="3"/>
      <c r="G3335" s="3"/>
      <c r="H3335" s="3"/>
      <c r="I3335" s="3"/>
      <c r="J3335" s="3"/>
      <c r="K3335" s="3"/>
      <c r="L3335" s="3"/>
      <c r="M3335" s="3"/>
      <c r="N3335" s="3"/>
      <c r="O3335" s="3"/>
      <c r="P3335" s="3"/>
      <c r="Q3335" s="3"/>
      <c r="R3335" s="3"/>
      <c r="S3335" s="3"/>
      <c r="T3335" s="5"/>
      <c r="U3335" s="5"/>
      <c r="V3335" s="5"/>
      <c r="W3335" s="5"/>
    </row>
    <row r="3336" ht="15.75" customHeight="1">
      <c r="A3336" s="3" t="str">
        <f>IFERROR(__xludf.DUMMYFUNCTION("""COMPUTED_VALUE"""),"")</f>
        <v/>
      </c>
      <c r="B3336" s="3"/>
      <c r="C3336" s="3"/>
      <c r="D3336" s="3"/>
      <c r="E3336" s="3"/>
      <c r="F3336" s="3"/>
      <c r="G3336" s="3"/>
      <c r="H3336" s="3"/>
      <c r="I3336" s="3"/>
      <c r="J3336" s="3"/>
      <c r="K3336" s="3"/>
      <c r="L3336" s="3"/>
      <c r="M3336" s="3"/>
      <c r="N3336" s="3"/>
      <c r="O3336" s="3"/>
      <c r="P3336" s="3"/>
      <c r="Q3336" s="3"/>
      <c r="R3336" s="3"/>
      <c r="S3336" s="3"/>
      <c r="T3336" s="5"/>
      <c r="U3336" s="5"/>
      <c r="V3336" s="5"/>
      <c r="W3336" s="5"/>
    </row>
    <row r="3337" ht="15.75" customHeight="1">
      <c r="A3337" s="3" t="str">
        <f>IFERROR(__xludf.DUMMYFUNCTION("""COMPUTED_VALUE"""),"")</f>
        <v/>
      </c>
      <c r="B3337" s="3"/>
      <c r="C3337" s="3"/>
      <c r="D3337" s="3"/>
      <c r="E3337" s="3"/>
      <c r="F3337" s="3"/>
      <c r="G3337" s="3"/>
      <c r="H3337" s="3"/>
      <c r="I3337" s="3"/>
      <c r="J3337" s="3"/>
      <c r="K3337" s="3"/>
      <c r="L3337" s="3"/>
      <c r="M3337" s="3"/>
      <c r="N3337" s="3"/>
      <c r="O3337" s="3"/>
      <c r="P3337" s="3"/>
      <c r="Q3337" s="3"/>
      <c r="R3337" s="3"/>
      <c r="S3337" s="3"/>
      <c r="T3337" s="5"/>
      <c r="U3337" s="5"/>
      <c r="V3337" s="5"/>
      <c r="W3337" s="5"/>
    </row>
    <row r="3338" ht="15.75" customHeight="1">
      <c r="A3338" s="3" t="str">
        <f>IFERROR(__xludf.DUMMYFUNCTION("""COMPUTED_VALUE"""),"")</f>
        <v/>
      </c>
      <c r="B3338" s="3"/>
      <c r="C3338" s="3"/>
      <c r="D3338" s="3"/>
      <c r="E3338" s="3"/>
      <c r="F3338" s="3"/>
      <c r="G3338" s="3"/>
      <c r="H3338" s="3"/>
      <c r="I3338" s="3"/>
      <c r="J3338" s="3"/>
      <c r="K3338" s="3"/>
      <c r="L3338" s="3"/>
      <c r="M3338" s="3"/>
      <c r="N3338" s="3"/>
      <c r="O3338" s="3"/>
      <c r="P3338" s="3"/>
      <c r="Q3338" s="3"/>
      <c r="R3338" s="3"/>
      <c r="S3338" s="3"/>
      <c r="T3338" s="5"/>
      <c r="U3338" s="5"/>
      <c r="V3338" s="5"/>
      <c r="W3338" s="5"/>
    </row>
    <row r="3339" ht="15.75" customHeight="1">
      <c r="A3339" s="3" t="str">
        <f>IFERROR(__xludf.DUMMYFUNCTION("""COMPUTED_VALUE"""),"")</f>
        <v/>
      </c>
      <c r="B3339" s="3"/>
      <c r="C3339" s="3"/>
      <c r="D3339" s="3"/>
      <c r="E3339" s="3"/>
      <c r="F3339" s="3"/>
      <c r="G3339" s="3"/>
      <c r="H3339" s="3"/>
      <c r="I3339" s="3"/>
      <c r="J3339" s="3"/>
      <c r="K3339" s="3"/>
      <c r="L3339" s="3"/>
      <c r="M3339" s="3"/>
      <c r="N3339" s="3"/>
      <c r="O3339" s="3"/>
      <c r="P3339" s="3"/>
      <c r="Q3339" s="3"/>
      <c r="R3339" s="3"/>
      <c r="S3339" s="3"/>
      <c r="T3339" s="5"/>
      <c r="U3339" s="5"/>
      <c r="V3339" s="5"/>
      <c r="W3339" s="5"/>
    </row>
    <row r="3340" ht="15.75" customHeight="1">
      <c r="A3340" s="3" t="str">
        <f>IFERROR(__xludf.DUMMYFUNCTION("""COMPUTED_VALUE"""),"")</f>
        <v/>
      </c>
      <c r="B3340" s="3"/>
      <c r="C3340" s="3"/>
      <c r="D3340" s="3"/>
      <c r="E3340" s="3"/>
      <c r="F3340" s="3"/>
      <c r="G3340" s="3"/>
      <c r="H3340" s="3"/>
      <c r="I3340" s="3"/>
      <c r="J3340" s="3"/>
      <c r="K3340" s="3"/>
      <c r="L3340" s="3"/>
      <c r="M3340" s="3"/>
      <c r="N3340" s="3"/>
      <c r="O3340" s="3"/>
      <c r="P3340" s="3"/>
      <c r="Q3340" s="3"/>
      <c r="R3340" s="3"/>
      <c r="S3340" s="3"/>
      <c r="T3340" s="5"/>
      <c r="U3340" s="5"/>
      <c r="V3340" s="5"/>
      <c r="W3340" s="5"/>
    </row>
    <row r="3341" ht="15.75" customHeight="1">
      <c r="A3341" s="3" t="str">
        <f>IFERROR(__xludf.DUMMYFUNCTION("""COMPUTED_VALUE"""),"")</f>
        <v/>
      </c>
      <c r="B3341" s="3"/>
      <c r="C3341" s="3"/>
      <c r="D3341" s="3"/>
      <c r="E3341" s="3"/>
      <c r="F3341" s="3"/>
      <c r="G3341" s="3"/>
      <c r="H3341" s="3"/>
      <c r="I3341" s="3"/>
      <c r="J3341" s="3"/>
      <c r="K3341" s="3"/>
      <c r="L3341" s="3"/>
      <c r="M3341" s="3"/>
      <c r="N3341" s="3"/>
      <c r="O3341" s="3"/>
      <c r="P3341" s="3"/>
      <c r="Q3341" s="3"/>
      <c r="R3341" s="3"/>
      <c r="S3341" s="3"/>
      <c r="T3341" s="5"/>
      <c r="U3341" s="5"/>
      <c r="V3341" s="5"/>
      <c r="W3341" s="5"/>
    </row>
    <row r="3342" ht="15.75" customHeight="1">
      <c r="A3342" s="3" t="str">
        <f>IFERROR(__xludf.DUMMYFUNCTION("""COMPUTED_VALUE"""),"")</f>
        <v/>
      </c>
      <c r="B3342" s="3"/>
      <c r="C3342" s="3"/>
      <c r="D3342" s="3"/>
      <c r="E3342" s="3"/>
      <c r="F3342" s="3"/>
      <c r="G3342" s="3"/>
      <c r="H3342" s="3"/>
      <c r="I3342" s="3"/>
      <c r="J3342" s="3"/>
      <c r="K3342" s="3"/>
      <c r="L3342" s="3"/>
      <c r="M3342" s="3"/>
      <c r="N3342" s="3"/>
      <c r="O3342" s="3"/>
      <c r="P3342" s="3"/>
      <c r="Q3342" s="3"/>
      <c r="R3342" s="3"/>
      <c r="S3342" s="3"/>
      <c r="T3342" s="5"/>
      <c r="U3342" s="5"/>
      <c r="V3342" s="5"/>
      <c r="W3342" s="5"/>
    </row>
    <row r="3343" ht="15.75" customHeight="1">
      <c r="A3343" s="3" t="str">
        <f>IFERROR(__xludf.DUMMYFUNCTION("""COMPUTED_VALUE"""),"")</f>
        <v/>
      </c>
      <c r="B3343" s="3"/>
      <c r="C3343" s="3"/>
      <c r="D3343" s="3"/>
      <c r="E3343" s="3"/>
      <c r="F3343" s="3"/>
      <c r="G3343" s="3"/>
      <c r="H3343" s="3"/>
      <c r="I3343" s="3"/>
      <c r="J3343" s="3"/>
      <c r="K3343" s="3"/>
      <c r="L3343" s="3"/>
      <c r="M3343" s="3"/>
      <c r="N3343" s="3"/>
      <c r="O3343" s="3"/>
      <c r="P3343" s="3"/>
      <c r="Q3343" s="3"/>
      <c r="R3343" s="3"/>
      <c r="S3343" s="3"/>
      <c r="T3343" s="5"/>
      <c r="U3343" s="5"/>
      <c r="V3343" s="5"/>
      <c r="W3343" s="5"/>
    </row>
    <row r="3344" ht="15.75" customHeight="1">
      <c r="A3344" s="3" t="str">
        <f>IFERROR(__xludf.DUMMYFUNCTION("""COMPUTED_VALUE"""),"")</f>
        <v/>
      </c>
      <c r="B3344" s="3"/>
      <c r="C3344" s="3"/>
      <c r="D3344" s="3"/>
      <c r="E3344" s="3"/>
      <c r="F3344" s="3"/>
      <c r="G3344" s="3"/>
      <c r="H3344" s="3"/>
      <c r="I3344" s="3"/>
      <c r="J3344" s="3"/>
      <c r="K3344" s="3"/>
      <c r="L3344" s="3"/>
      <c r="M3344" s="3"/>
      <c r="N3344" s="3"/>
      <c r="O3344" s="3"/>
      <c r="P3344" s="3"/>
      <c r="Q3344" s="3"/>
      <c r="R3344" s="3"/>
      <c r="S3344" s="3"/>
      <c r="T3344" s="5"/>
      <c r="U3344" s="5"/>
      <c r="V3344" s="5"/>
      <c r="W3344" s="5"/>
    </row>
    <row r="3345" ht="15.75" customHeight="1">
      <c r="A3345" s="3" t="str">
        <f>IFERROR(__xludf.DUMMYFUNCTION("""COMPUTED_VALUE"""),"")</f>
        <v/>
      </c>
      <c r="B3345" s="3"/>
      <c r="C3345" s="3"/>
      <c r="D3345" s="3"/>
      <c r="E3345" s="3"/>
      <c r="F3345" s="3"/>
      <c r="G3345" s="3"/>
      <c r="H3345" s="3"/>
      <c r="I3345" s="3"/>
      <c r="J3345" s="3"/>
      <c r="K3345" s="3"/>
      <c r="L3345" s="3"/>
      <c r="M3345" s="3"/>
      <c r="N3345" s="3"/>
      <c r="O3345" s="3"/>
      <c r="P3345" s="3"/>
      <c r="Q3345" s="3"/>
      <c r="R3345" s="3"/>
      <c r="S3345" s="3"/>
      <c r="T3345" s="5"/>
      <c r="U3345" s="5"/>
      <c r="V3345" s="5"/>
      <c r="W3345" s="5"/>
    </row>
    <row r="3346" ht="15.75" customHeight="1">
      <c r="A3346" s="3" t="str">
        <f>IFERROR(__xludf.DUMMYFUNCTION("""COMPUTED_VALUE"""),"")</f>
        <v/>
      </c>
      <c r="B3346" s="3"/>
      <c r="C3346" s="3"/>
      <c r="D3346" s="3"/>
      <c r="E3346" s="3"/>
      <c r="F3346" s="3"/>
      <c r="G3346" s="3"/>
      <c r="H3346" s="3"/>
      <c r="I3346" s="3"/>
      <c r="J3346" s="3"/>
      <c r="K3346" s="3"/>
      <c r="L3346" s="3"/>
      <c r="M3346" s="3"/>
      <c r="N3346" s="3"/>
      <c r="O3346" s="3"/>
      <c r="P3346" s="3"/>
      <c r="Q3346" s="3"/>
      <c r="R3346" s="3"/>
      <c r="S3346" s="3"/>
      <c r="T3346" s="5"/>
      <c r="U3346" s="5"/>
      <c r="V3346" s="5"/>
      <c r="W3346" s="5"/>
    </row>
    <row r="3347" ht="15.75" customHeight="1">
      <c r="A3347" s="3" t="str">
        <f>IFERROR(__xludf.DUMMYFUNCTION("""COMPUTED_VALUE"""),"")</f>
        <v/>
      </c>
      <c r="B3347" s="3"/>
      <c r="C3347" s="3"/>
      <c r="D3347" s="3"/>
      <c r="E3347" s="3"/>
      <c r="F3347" s="3"/>
      <c r="G3347" s="3"/>
      <c r="H3347" s="3"/>
      <c r="I3347" s="3"/>
      <c r="J3347" s="3"/>
      <c r="K3347" s="3"/>
      <c r="L3347" s="3"/>
      <c r="M3347" s="3"/>
      <c r="N3347" s="3"/>
      <c r="O3347" s="3"/>
      <c r="P3347" s="3"/>
      <c r="Q3347" s="3"/>
      <c r="R3347" s="3"/>
      <c r="S3347" s="3"/>
      <c r="T3347" s="5"/>
      <c r="U3347" s="5"/>
      <c r="V3347" s="5"/>
      <c r="W3347" s="5"/>
    </row>
    <row r="3348" ht="15.75" customHeight="1">
      <c r="A3348" s="3" t="str">
        <f>IFERROR(__xludf.DUMMYFUNCTION("""COMPUTED_VALUE"""),"")</f>
        <v/>
      </c>
      <c r="B3348" s="3"/>
      <c r="C3348" s="3"/>
      <c r="D3348" s="3"/>
      <c r="E3348" s="3"/>
      <c r="F3348" s="3"/>
      <c r="G3348" s="3"/>
      <c r="H3348" s="3"/>
      <c r="I3348" s="3"/>
      <c r="J3348" s="3"/>
      <c r="K3348" s="3"/>
      <c r="L3348" s="3"/>
      <c r="M3348" s="3"/>
      <c r="N3348" s="3"/>
      <c r="O3348" s="3"/>
      <c r="P3348" s="3"/>
      <c r="Q3348" s="3"/>
      <c r="R3348" s="3"/>
      <c r="S3348" s="3"/>
      <c r="T3348" s="5"/>
      <c r="U3348" s="5"/>
      <c r="V3348" s="5"/>
      <c r="W3348" s="5"/>
    </row>
    <row r="3349" ht="15.75" customHeight="1">
      <c r="A3349" s="3" t="str">
        <f>IFERROR(__xludf.DUMMYFUNCTION("""COMPUTED_VALUE"""),"")</f>
        <v/>
      </c>
      <c r="B3349" s="3"/>
      <c r="C3349" s="3"/>
      <c r="D3349" s="3"/>
      <c r="E3349" s="3"/>
      <c r="F3349" s="3"/>
      <c r="G3349" s="3"/>
      <c r="H3349" s="3"/>
      <c r="I3349" s="3"/>
      <c r="J3349" s="3"/>
      <c r="K3349" s="3"/>
      <c r="L3349" s="3"/>
      <c r="M3349" s="3"/>
      <c r="N3349" s="3"/>
      <c r="O3349" s="3"/>
      <c r="P3349" s="3"/>
      <c r="Q3349" s="3"/>
      <c r="R3349" s="3"/>
      <c r="S3349" s="3"/>
      <c r="T3349" s="5"/>
      <c r="U3349" s="5"/>
      <c r="V3349" s="5"/>
      <c r="W3349" s="5"/>
    </row>
    <row r="3350" ht="15.75" customHeight="1">
      <c r="A3350" s="3" t="str">
        <f>IFERROR(__xludf.DUMMYFUNCTION("""COMPUTED_VALUE"""),"")</f>
        <v/>
      </c>
      <c r="B3350" s="3"/>
      <c r="C3350" s="3"/>
      <c r="D3350" s="3"/>
      <c r="E3350" s="3"/>
      <c r="F3350" s="3"/>
      <c r="G3350" s="3"/>
      <c r="H3350" s="3"/>
      <c r="I3350" s="3"/>
      <c r="J3350" s="3"/>
      <c r="K3350" s="3"/>
      <c r="L3350" s="3"/>
      <c r="M3350" s="3"/>
      <c r="N3350" s="3"/>
      <c r="O3350" s="3"/>
      <c r="P3350" s="3"/>
      <c r="Q3350" s="3"/>
      <c r="R3350" s="3"/>
      <c r="S3350" s="3"/>
      <c r="T3350" s="5"/>
      <c r="U3350" s="5"/>
      <c r="V3350" s="5"/>
      <c r="W3350" s="5"/>
    </row>
    <row r="3351" ht="15.75" customHeight="1">
      <c r="A3351" s="3" t="str">
        <f>IFERROR(__xludf.DUMMYFUNCTION("""COMPUTED_VALUE"""),"")</f>
        <v/>
      </c>
      <c r="B3351" s="3"/>
      <c r="C3351" s="3"/>
      <c r="D3351" s="3"/>
      <c r="E3351" s="3"/>
      <c r="F3351" s="3"/>
      <c r="G3351" s="3"/>
      <c r="H3351" s="3"/>
      <c r="I3351" s="3"/>
      <c r="J3351" s="3"/>
      <c r="K3351" s="3"/>
      <c r="L3351" s="3"/>
      <c r="M3351" s="3"/>
      <c r="N3351" s="3"/>
      <c r="O3351" s="3"/>
      <c r="P3351" s="3"/>
      <c r="Q3351" s="3"/>
      <c r="R3351" s="3"/>
      <c r="S3351" s="3"/>
      <c r="T3351" s="5"/>
      <c r="U3351" s="5"/>
      <c r="V3351" s="5"/>
      <c r="W3351" s="5"/>
    </row>
    <row r="3352" ht="15.75" customHeight="1">
      <c r="A3352" s="3" t="str">
        <f>IFERROR(__xludf.DUMMYFUNCTION("""COMPUTED_VALUE"""),"")</f>
        <v/>
      </c>
      <c r="B3352" s="3"/>
      <c r="C3352" s="3"/>
      <c r="D3352" s="3"/>
      <c r="E3352" s="3"/>
      <c r="F3352" s="3"/>
      <c r="G3352" s="3"/>
      <c r="H3352" s="3"/>
      <c r="I3352" s="3"/>
      <c r="J3352" s="3"/>
      <c r="K3352" s="3"/>
      <c r="L3352" s="3"/>
      <c r="M3352" s="3"/>
      <c r="N3352" s="3"/>
      <c r="O3352" s="3"/>
      <c r="P3352" s="3"/>
      <c r="Q3352" s="3"/>
      <c r="R3352" s="3"/>
      <c r="S3352" s="3"/>
      <c r="T3352" s="5"/>
      <c r="U3352" s="5"/>
      <c r="V3352" s="5"/>
      <c r="W3352" s="5"/>
    </row>
    <row r="3353" ht="15.75" customHeight="1">
      <c r="A3353" s="3" t="str">
        <f>IFERROR(__xludf.DUMMYFUNCTION("""COMPUTED_VALUE"""),"")</f>
        <v/>
      </c>
      <c r="B3353" s="3"/>
      <c r="C3353" s="3"/>
      <c r="D3353" s="3"/>
      <c r="E3353" s="3"/>
      <c r="F3353" s="3"/>
      <c r="G3353" s="3"/>
      <c r="H3353" s="3"/>
      <c r="I3353" s="3"/>
      <c r="J3353" s="3"/>
      <c r="K3353" s="3"/>
      <c r="L3353" s="3"/>
      <c r="M3353" s="3"/>
      <c r="N3353" s="3"/>
      <c r="O3353" s="3"/>
      <c r="P3353" s="3"/>
      <c r="Q3353" s="3"/>
      <c r="R3353" s="3"/>
      <c r="S3353" s="3"/>
      <c r="T3353" s="5"/>
      <c r="U3353" s="5"/>
      <c r="V3353" s="5"/>
      <c r="W3353" s="5"/>
    </row>
    <row r="3354" ht="15.75" customHeight="1">
      <c r="A3354" s="3" t="str">
        <f>IFERROR(__xludf.DUMMYFUNCTION("""COMPUTED_VALUE"""),"")</f>
        <v/>
      </c>
      <c r="B3354" s="3"/>
      <c r="C3354" s="3"/>
      <c r="D3354" s="3"/>
      <c r="E3354" s="3"/>
      <c r="F3354" s="3"/>
      <c r="G3354" s="3"/>
      <c r="H3354" s="3"/>
      <c r="I3354" s="3"/>
      <c r="J3354" s="3"/>
      <c r="K3354" s="3"/>
      <c r="L3354" s="3"/>
      <c r="M3354" s="3"/>
      <c r="N3354" s="3"/>
      <c r="O3354" s="3"/>
      <c r="P3354" s="3"/>
      <c r="Q3354" s="3"/>
      <c r="R3354" s="3"/>
      <c r="S3354" s="3"/>
      <c r="T3354" s="5"/>
      <c r="U3354" s="5"/>
      <c r="V3354" s="5"/>
      <c r="W3354" s="5"/>
    </row>
    <row r="3355" ht="15.75" customHeight="1">
      <c r="A3355" s="3" t="str">
        <f>IFERROR(__xludf.DUMMYFUNCTION("""COMPUTED_VALUE"""),"")</f>
        <v/>
      </c>
      <c r="B3355" s="3"/>
      <c r="C3355" s="3"/>
      <c r="D3355" s="3"/>
      <c r="E3355" s="3"/>
      <c r="F3355" s="3"/>
      <c r="G3355" s="3"/>
      <c r="H3355" s="3"/>
      <c r="I3355" s="3"/>
      <c r="J3355" s="3"/>
      <c r="K3355" s="3"/>
      <c r="L3355" s="3"/>
      <c r="M3355" s="3"/>
      <c r="N3355" s="3"/>
      <c r="O3355" s="3"/>
      <c r="P3355" s="3"/>
      <c r="Q3355" s="3"/>
      <c r="R3355" s="3"/>
      <c r="S3355" s="3"/>
      <c r="T3355" s="5"/>
      <c r="U3355" s="5"/>
      <c r="V3355" s="5"/>
      <c r="W3355" s="5"/>
    </row>
    <row r="3356" ht="15.75" customHeight="1">
      <c r="A3356" s="3" t="str">
        <f>IFERROR(__xludf.DUMMYFUNCTION("""COMPUTED_VALUE"""),"")</f>
        <v/>
      </c>
      <c r="B3356" s="3"/>
      <c r="C3356" s="3"/>
      <c r="D3356" s="3"/>
      <c r="E3356" s="3"/>
      <c r="F3356" s="3"/>
      <c r="G3356" s="3"/>
      <c r="H3356" s="3"/>
      <c r="I3356" s="3"/>
      <c r="J3356" s="3"/>
      <c r="K3356" s="3"/>
      <c r="L3356" s="3"/>
      <c r="M3356" s="3"/>
      <c r="N3356" s="3"/>
      <c r="O3356" s="3"/>
      <c r="P3356" s="3"/>
      <c r="Q3356" s="3"/>
      <c r="R3356" s="3"/>
      <c r="S3356" s="3"/>
      <c r="T3356" s="5"/>
      <c r="U3356" s="5"/>
      <c r="V3356" s="5"/>
      <c r="W3356" s="5"/>
    </row>
    <row r="3357" ht="15.75" customHeight="1">
      <c r="A3357" s="3" t="str">
        <f>IFERROR(__xludf.DUMMYFUNCTION("""COMPUTED_VALUE"""),"")</f>
        <v/>
      </c>
      <c r="B3357" s="3"/>
      <c r="C3357" s="3"/>
      <c r="D3357" s="3"/>
      <c r="E3357" s="3"/>
      <c r="F3357" s="3"/>
      <c r="G3357" s="3"/>
      <c r="H3357" s="3"/>
      <c r="I3357" s="3"/>
      <c r="J3357" s="3"/>
      <c r="K3357" s="3"/>
      <c r="L3357" s="3"/>
      <c r="M3357" s="3"/>
      <c r="N3357" s="3"/>
      <c r="O3357" s="3"/>
      <c r="P3357" s="3"/>
      <c r="Q3357" s="3"/>
      <c r="R3357" s="3"/>
      <c r="S3357" s="3"/>
      <c r="T3357" s="5"/>
      <c r="U3357" s="5"/>
      <c r="V3357" s="5"/>
      <c r="W3357" s="5"/>
    </row>
    <row r="3358" ht="15.75" customHeight="1">
      <c r="A3358" s="3" t="str">
        <f>IFERROR(__xludf.DUMMYFUNCTION("""COMPUTED_VALUE"""),"")</f>
        <v/>
      </c>
      <c r="B3358" s="3"/>
      <c r="C3358" s="3"/>
      <c r="D3358" s="3"/>
      <c r="E3358" s="3"/>
      <c r="F3358" s="3"/>
      <c r="G3358" s="3"/>
      <c r="H3358" s="3"/>
      <c r="I3358" s="3"/>
      <c r="J3358" s="3"/>
      <c r="K3358" s="3"/>
      <c r="L3358" s="3"/>
      <c r="M3358" s="3"/>
      <c r="N3358" s="3"/>
      <c r="O3358" s="3"/>
      <c r="P3358" s="3"/>
      <c r="Q3358" s="3"/>
      <c r="R3358" s="3"/>
      <c r="S3358" s="3"/>
      <c r="T3358" s="5"/>
      <c r="U3358" s="5"/>
      <c r="V3358" s="5"/>
      <c r="W3358" s="5"/>
    </row>
    <row r="3359" ht="15.75" customHeight="1">
      <c r="A3359" s="3" t="str">
        <f>IFERROR(__xludf.DUMMYFUNCTION("""COMPUTED_VALUE"""),"")</f>
        <v/>
      </c>
      <c r="B3359" s="3"/>
      <c r="C3359" s="3"/>
      <c r="D3359" s="3"/>
      <c r="E3359" s="3"/>
      <c r="F3359" s="3"/>
      <c r="G3359" s="3"/>
      <c r="H3359" s="3"/>
      <c r="I3359" s="3"/>
      <c r="J3359" s="3"/>
      <c r="K3359" s="3"/>
      <c r="L3359" s="3"/>
      <c r="M3359" s="3"/>
      <c r="N3359" s="3"/>
      <c r="O3359" s="3"/>
      <c r="P3359" s="3"/>
      <c r="Q3359" s="3"/>
      <c r="R3359" s="3"/>
      <c r="S3359" s="3"/>
      <c r="T3359" s="5"/>
      <c r="U3359" s="5"/>
      <c r="V3359" s="5"/>
      <c r="W3359" s="5"/>
    </row>
    <row r="3360" ht="15.75" customHeight="1">
      <c r="A3360" s="3" t="str">
        <f>IFERROR(__xludf.DUMMYFUNCTION("""COMPUTED_VALUE"""),"")</f>
        <v/>
      </c>
      <c r="B3360" s="3"/>
      <c r="C3360" s="3"/>
      <c r="D3360" s="3"/>
      <c r="E3360" s="3"/>
      <c r="F3360" s="3"/>
      <c r="G3360" s="3"/>
      <c r="H3360" s="3"/>
      <c r="I3360" s="3"/>
      <c r="J3360" s="3"/>
      <c r="K3360" s="3"/>
      <c r="L3360" s="3"/>
      <c r="M3360" s="3"/>
      <c r="N3360" s="3"/>
      <c r="O3360" s="3"/>
      <c r="P3360" s="3"/>
      <c r="Q3360" s="3"/>
      <c r="R3360" s="3"/>
      <c r="S3360" s="3"/>
      <c r="T3360" s="5"/>
      <c r="U3360" s="5"/>
      <c r="V3360" s="5"/>
      <c r="W3360" s="5"/>
    </row>
    <row r="3361" ht="15.75" customHeight="1">
      <c r="A3361" s="3" t="str">
        <f>IFERROR(__xludf.DUMMYFUNCTION("""COMPUTED_VALUE"""),"")</f>
        <v/>
      </c>
      <c r="B3361" s="3"/>
      <c r="C3361" s="3"/>
      <c r="D3361" s="3"/>
      <c r="E3361" s="3"/>
      <c r="F3361" s="3"/>
      <c r="G3361" s="3"/>
      <c r="H3361" s="3"/>
      <c r="I3361" s="3"/>
      <c r="J3361" s="3"/>
      <c r="K3361" s="3"/>
      <c r="L3361" s="3"/>
      <c r="M3361" s="3"/>
      <c r="N3361" s="3"/>
      <c r="O3361" s="3"/>
      <c r="P3361" s="3"/>
      <c r="Q3361" s="3"/>
      <c r="R3361" s="3"/>
      <c r="S3361" s="3"/>
      <c r="T3361" s="5"/>
      <c r="U3361" s="5"/>
      <c r="V3361" s="5"/>
      <c r="W3361" s="5"/>
    </row>
    <row r="3362" ht="15.75" customHeight="1">
      <c r="A3362" s="3" t="str">
        <f>IFERROR(__xludf.DUMMYFUNCTION("""COMPUTED_VALUE"""),"")</f>
        <v/>
      </c>
      <c r="B3362" s="3"/>
      <c r="C3362" s="3"/>
      <c r="D3362" s="3"/>
      <c r="E3362" s="3"/>
      <c r="F3362" s="3"/>
      <c r="G3362" s="3"/>
      <c r="H3362" s="3"/>
      <c r="I3362" s="3"/>
      <c r="J3362" s="3"/>
      <c r="K3362" s="3"/>
      <c r="L3362" s="3"/>
      <c r="M3362" s="3"/>
      <c r="N3362" s="3"/>
      <c r="O3362" s="3"/>
      <c r="P3362" s="3"/>
      <c r="Q3362" s="3"/>
      <c r="R3362" s="3"/>
      <c r="S3362" s="3"/>
      <c r="T3362" s="5"/>
      <c r="U3362" s="5"/>
      <c r="V3362" s="5"/>
      <c r="W3362" s="5"/>
    </row>
    <row r="3363" ht="15.75" customHeight="1">
      <c r="A3363" s="3" t="str">
        <f>IFERROR(__xludf.DUMMYFUNCTION("""COMPUTED_VALUE"""),"")</f>
        <v/>
      </c>
      <c r="B3363" s="3"/>
      <c r="C3363" s="3"/>
      <c r="D3363" s="3"/>
      <c r="E3363" s="3"/>
      <c r="F3363" s="3"/>
      <c r="G3363" s="3"/>
      <c r="H3363" s="3"/>
      <c r="I3363" s="3"/>
      <c r="J3363" s="3"/>
      <c r="K3363" s="3"/>
      <c r="L3363" s="3"/>
      <c r="M3363" s="3"/>
      <c r="N3363" s="3"/>
      <c r="O3363" s="3"/>
      <c r="P3363" s="3"/>
      <c r="Q3363" s="3"/>
      <c r="R3363" s="3"/>
      <c r="S3363" s="3"/>
      <c r="T3363" s="5"/>
      <c r="U3363" s="5"/>
      <c r="V3363" s="5"/>
      <c r="W3363" s="5"/>
    </row>
    <row r="3364" ht="15.75" customHeight="1">
      <c r="A3364" s="3" t="str">
        <f>IFERROR(__xludf.DUMMYFUNCTION("""COMPUTED_VALUE"""),"")</f>
        <v/>
      </c>
      <c r="B3364" s="3"/>
      <c r="C3364" s="3"/>
      <c r="D3364" s="3"/>
      <c r="E3364" s="3"/>
      <c r="F3364" s="3"/>
      <c r="G3364" s="3"/>
      <c r="H3364" s="3"/>
      <c r="I3364" s="3"/>
      <c r="J3364" s="3"/>
      <c r="K3364" s="3"/>
      <c r="L3364" s="3"/>
      <c r="M3364" s="3"/>
      <c r="N3364" s="3"/>
      <c r="O3364" s="3"/>
      <c r="P3364" s="3"/>
      <c r="Q3364" s="3"/>
      <c r="R3364" s="3"/>
      <c r="S3364" s="3"/>
      <c r="T3364" s="5"/>
      <c r="U3364" s="5"/>
      <c r="V3364" s="5"/>
      <c r="W3364" s="5"/>
    </row>
    <row r="3365" ht="15.75" customHeight="1">
      <c r="A3365" s="3" t="str">
        <f>IFERROR(__xludf.DUMMYFUNCTION("""COMPUTED_VALUE"""),"")</f>
        <v/>
      </c>
      <c r="B3365" s="3"/>
      <c r="C3365" s="3"/>
      <c r="D3365" s="3"/>
      <c r="E3365" s="3"/>
      <c r="F3365" s="3"/>
      <c r="G3365" s="3"/>
      <c r="H3365" s="3"/>
      <c r="I3365" s="3"/>
      <c r="J3365" s="3"/>
      <c r="K3365" s="3"/>
      <c r="L3365" s="3"/>
      <c r="M3365" s="3"/>
      <c r="N3365" s="3"/>
      <c r="O3365" s="3"/>
      <c r="P3365" s="3"/>
      <c r="Q3365" s="3"/>
      <c r="R3365" s="3"/>
      <c r="S3365" s="3"/>
      <c r="T3365" s="5"/>
      <c r="U3365" s="5"/>
      <c r="V3365" s="5"/>
      <c r="W3365" s="5"/>
    </row>
    <row r="3366" ht="15.75" customHeight="1">
      <c r="A3366" s="3" t="str">
        <f>IFERROR(__xludf.DUMMYFUNCTION("""COMPUTED_VALUE"""),"")</f>
        <v/>
      </c>
      <c r="B3366" s="3"/>
      <c r="C3366" s="3"/>
      <c r="D3366" s="3"/>
      <c r="E3366" s="3"/>
      <c r="F3366" s="3"/>
      <c r="G3366" s="3"/>
      <c r="H3366" s="3"/>
      <c r="I3366" s="3"/>
      <c r="J3366" s="3"/>
      <c r="K3366" s="3"/>
      <c r="L3366" s="3"/>
      <c r="M3366" s="3"/>
      <c r="N3366" s="3"/>
      <c r="O3366" s="3"/>
      <c r="P3366" s="3"/>
      <c r="Q3366" s="3"/>
      <c r="R3366" s="3"/>
      <c r="S3366" s="3"/>
      <c r="T3366" s="5"/>
      <c r="U3366" s="5"/>
      <c r="V3366" s="5"/>
      <c r="W3366" s="5"/>
    </row>
    <row r="3367" ht="15.75" customHeight="1">
      <c r="A3367" s="3" t="str">
        <f>IFERROR(__xludf.DUMMYFUNCTION("""COMPUTED_VALUE"""),"")</f>
        <v/>
      </c>
      <c r="B3367" s="3"/>
      <c r="C3367" s="3"/>
      <c r="D3367" s="3"/>
      <c r="E3367" s="3"/>
      <c r="F3367" s="3"/>
      <c r="G3367" s="3"/>
      <c r="H3367" s="3"/>
      <c r="I3367" s="3"/>
      <c r="J3367" s="3"/>
      <c r="K3367" s="3"/>
      <c r="L3367" s="3"/>
      <c r="M3367" s="3"/>
      <c r="N3367" s="3"/>
      <c r="O3367" s="3"/>
      <c r="P3367" s="3"/>
      <c r="Q3367" s="3"/>
      <c r="R3367" s="3"/>
      <c r="S3367" s="3"/>
      <c r="T3367" s="5"/>
      <c r="U3367" s="5"/>
      <c r="V3367" s="5"/>
      <c r="W3367" s="5"/>
    </row>
    <row r="3368" ht="15.75" customHeight="1">
      <c r="A3368" s="3" t="str">
        <f>IFERROR(__xludf.DUMMYFUNCTION("""COMPUTED_VALUE"""),"")</f>
        <v/>
      </c>
      <c r="B3368" s="3"/>
      <c r="C3368" s="3"/>
      <c r="D3368" s="3"/>
      <c r="E3368" s="3"/>
      <c r="F3368" s="3"/>
      <c r="G3368" s="3"/>
      <c r="H3368" s="3"/>
      <c r="I3368" s="3"/>
      <c r="J3368" s="3"/>
      <c r="K3368" s="3"/>
      <c r="L3368" s="3"/>
      <c r="M3368" s="3"/>
      <c r="N3368" s="3"/>
      <c r="O3368" s="3"/>
      <c r="P3368" s="3"/>
      <c r="Q3368" s="3"/>
      <c r="R3368" s="3"/>
      <c r="S3368" s="3"/>
      <c r="T3368" s="5"/>
      <c r="U3368" s="5"/>
      <c r="V3368" s="5"/>
      <c r="W3368" s="5"/>
    </row>
    <row r="3369" ht="15.75" customHeight="1">
      <c r="A3369" s="3" t="str">
        <f>IFERROR(__xludf.DUMMYFUNCTION("""COMPUTED_VALUE"""),"")</f>
        <v/>
      </c>
      <c r="B3369" s="3"/>
      <c r="C3369" s="3"/>
      <c r="D3369" s="3"/>
      <c r="E3369" s="3"/>
      <c r="F3369" s="3"/>
      <c r="G3369" s="3"/>
      <c r="H3369" s="3"/>
      <c r="I3369" s="3"/>
      <c r="J3369" s="3"/>
      <c r="K3369" s="3"/>
      <c r="L3369" s="3"/>
      <c r="M3369" s="3"/>
      <c r="N3369" s="3"/>
      <c r="O3369" s="3"/>
      <c r="P3369" s="3"/>
      <c r="Q3369" s="3"/>
      <c r="R3369" s="3"/>
      <c r="S3369" s="3"/>
      <c r="T3369" s="5"/>
      <c r="U3369" s="5"/>
      <c r="V3369" s="5"/>
      <c r="W3369" s="5"/>
    </row>
    <row r="3370" ht="15.75" customHeight="1">
      <c r="A3370" s="3" t="str">
        <f>IFERROR(__xludf.DUMMYFUNCTION("""COMPUTED_VALUE"""),"")</f>
        <v/>
      </c>
      <c r="B3370" s="3"/>
      <c r="C3370" s="3"/>
      <c r="D3370" s="3"/>
      <c r="E3370" s="3"/>
      <c r="F3370" s="3"/>
      <c r="G3370" s="3"/>
      <c r="H3370" s="3"/>
      <c r="I3370" s="3"/>
      <c r="J3370" s="3"/>
      <c r="K3370" s="3"/>
      <c r="L3370" s="3"/>
      <c r="M3370" s="3"/>
      <c r="N3370" s="3"/>
      <c r="O3370" s="3"/>
      <c r="P3370" s="3"/>
      <c r="Q3370" s="3"/>
      <c r="R3370" s="3"/>
      <c r="S3370" s="3"/>
      <c r="T3370" s="5"/>
      <c r="U3370" s="5"/>
      <c r="V3370" s="5"/>
      <c r="W3370" s="5"/>
    </row>
    <row r="3371" ht="15.75" customHeight="1">
      <c r="A3371" s="3" t="str">
        <f>IFERROR(__xludf.DUMMYFUNCTION("""COMPUTED_VALUE"""),"")</f>
        <v/>
      </c>
      <c r="B3371" s="3"/>
      <c r="C3371" s="3"/>
      <c r="D3371" s="3"/>
      <c r="E3371" s="3"/>
      <c r="F3371" s="3"/>
      <c r="G3371" s="3"/>
      <c r="H3371" s="3"/>
      <c r="I3371" s="3"/>
      <c r="J3371" s="3"/>
      <c r="K3371" s="3"/>
      <c r="L3371" s="3"/>
      <c r="M3371" s="3"/>
      <c r="N3371" s="3"/>
      <c r="O3371" s="3"/>
      <c r="P3371" s="3"/>
      <c r="Q3371" s="3"/>
      <c r="R3371" s="3"/>
      <c r="S3371" s="3"/>
      <c r="T3371" s="5"/>
      <c r="U3371" s="5"/>
      <c r="V3371" s="5"/>
      <c r="W3371" s="5"/>
    </row>
    <row r="3372" ht="15.75" customHeight="1">
      <c r="A3372" s="3" t="str">
        <f>IFERROR(__xludf.DUMMYFUNCTION("""COMPUTED_VALUE"""),"")</f>
        <v/>
      </c>
      <c r="B3372" s="3"/>
      <c r="C3372" s="3"/>
      <c r="D3372" s="3"/>
      <c r="E3372" s="3"/>
      <c r="F3372" s="3"/>
      <c r="G3372" s="3"/>
      <c r="H3372" s="3"/>
      <c r="I3372" s="3"/>
      <c r="J3372" s="3"/>
      <c r="K3372" s="3"/>
      <c r="L3372" s="3"/>
      <c r="M3372" s="3"/>
      <c r="N3372" s="3"/>
      <c r="O3372" s="3"/>
      <c r="P3372" s="3"/>
      <c r="Q3372" s="3"/>
      <c r="R3372" s="3"/>
      <c r="S3372" s="3"/>
      <c r="T3372" s="5"/>
      <c r="U3372" s="5"/>
      <c r="V3372" s="5"/>
      <c r="W3372" s="5"/>
    </row>
    <row r="3373" ht="15.75" customHeight="1">
      <c r="A3373" s="3" t="str">
        <f>IFERROR(__xludf.DUMMYFUNCTION("""COMPUTED_VALUE"""),"")</f>
        <v/>
      </c>
      <c r="B3373" s="3"/>
      <c r="C3373" s="3"/>
      <c r="D3373" s="3"/>
      <c r="E3373" s="3"/>
      <c r="F3373" s="3"/>
      <c r="G3373" s="3"/>
      <c r="H3373" s="3"/>
      <c r="I3373" s="3"/>
      <c r="J3373" s="3"/>
      <c r="K3373" s="3"/>
      <c r="L3373" s="3"/>
      <c r="M3373" s="3"/>
      <c r="N3373" s="3"/>
      <c r="O3373" s="3"/>
      <c r="P3373" s="3"/>
      <c r="Q3373" s="3"/>
      <c r="R3373" s="3"/>
      <c r="S3373" s="3"/>
      <c r="T3373" s="5"/>
      <c r="U3373" s="5"/>
      <c r="V3373" s="5"/>
      <c r="W3373" s="5"/>
    </row>
    <row r="3374" ht="15.75" customHeight="1">
      <c r="A3374" s="3" t="str">
        <f>IFERROR(__xludf.DUMMYFUNCTION("""COMPUTED_VALUE"""),"")</f>
        <v/>
      </c>
      <c r="B3374" s="3"/>
      <c r="C3374" s="3"/>
      <c r="D3374" s="3"/>
      <c r="E3374" s="3"/>
      <c r="F3374" s="3"/>
      <c r="G3374" s="3"/>
      <c r="H3374" s="3"/>
      <c r="I3374" s="3"/>
      <c r="J3374" s="3"/>
      <c r="K3374" s="3"/>
      <c r="L3374" s="3"/>
      <c r="M3374" s="3"/>
      <c r="N3374" s="3"/>
      <c r="O3374" s="3"/>
      <c r="P3374" s="3"/>
      <c r="Q3374" s="3"/>
      <c r="R3374" s="3"/>
      <c r="S3374" s="3"/>
      <c r="T3374" s="5"/>
      <c r="U3374" s="5"/>
      <c r="V3374" s="5"/>
      <c r="W3374" s="5"/>
    </row>
    <row r="3375" ht="15.75" customHeight="1">
      <c r="A3375" s="3" t="str">
        <f>IFERROR(__xludf.DUMMYFUNCTION("""COMPUTED_VALUE"""),"")</f>
        <v/>
      </c>
      <c r="B3375" s="3"/>
      <c r="C3375" s="3"/>
      <c r="D3375" s="3"/>
      <c r="E3375" s="3"/>
      <c r="F3375" s="3"/>
      <c r="G3375" s="3"/>
      <c r="H3375" s="3"/>
      <c r="I3375" s="3"/>
      <c r="J3375" s="3"/>
      <c r="K3375" s="3"/>
      <c r="L3375" s="3"/>
      <c r="M3375" s="3"/>
      <c r="N3375" s="3"/>
      <c r="O3375" s="3"/>
      <c r="P3375" s="3"/>
      <c r="Q3375" s="3"/>
      <c r="R3375" s="3"/>
      <c r="S3375" s="3"/>
      <c r="T3375" s="5"/>
      <c r="U3375" s="5"/>
      <c r="V3375" s="5"/>
      <c r="W3375" s="5"/>
    </row>
    <row r="3376" ht="15.75" customHeight="1">
      <c r="A3376" s="3" t="str">
        <f>IFERROR(__xludf.DUMMYFUNCTION("""COMPUTED_VALUE"""),"")</f>
        <v/>
      </c>
      <c r="B3376" s="3"/>
      <c r="C3376" s="3"/>
      <c r="D3376" s="3"/>
      <c r="E3376" s="3"/>
      <c r="F3376" s="3"/>
      <c r="G3376" s="3"/>
      <c r="H3376" s="3"/>
      <c r="I3376" s="3"/>
      <c r="J3376" s="3"/>
      <c r="K3376" s="3"/>
      <c r="L3376" s="3"/>
      <c r="M3376" s="3"/>
      <c r="N3376" s="3"/>
      <c r="O3376" s="3"/>
      <c r="P3376" s="3"/>
      <c r="Q3376" s="3"/>
      <c r="R3376" s="3"/>
      <c r="S3376" s="3"/>
      <c r="T3376" s="5"/>
      <c r="U3376" s="5"/>
      <c r="V3376" s="5"/>
      <c r="W3376" s="5"/>
    </row>
    <row r="3377" ht="15.75" customHeight="1">
      <c r="A3377" s="3" t="str">
        <f>IFERROR(__xludf.DUMMYFUNCTION("""COMPUTED_VALUE"""),"")</f>
        <v/>
      </c>
      <c r="B3377" s="3"/>
      <c r="C3377" s="3"/>
      <c r="D3377" s="3"/>
      <c r="E3377" s="3"/>
      <c r="F3377" s="3"/>
      <c r="G3377" s="3"/>
      <c r="H3377" s="3"/>
      <c r="I3377" s="3"/>
      <c r="J3377" s="3"/>
      <c r="K3377" s="3"/>
      <c r="L3377" s="3"/>
      <c r="M3377" s="3"/>
      <c r="N3377" s="3"/>
      <c r="O3377" s="3"/>
      <c r="P3377" s="3"/>
      <c r="Q3377" s="3"/>
      <c r="R3377" s="3"/>
      <c r="S3377" s="3"/>
      <c r="T3377" s="5"/>
      <c r="U3377" s="5"/>
      <c r="V3377" s="5"/>
      <c r="W3377" s="5"/>
    </row>
    <row r="3378" ht="15.75" customHeight="1">
      <c r="A3378" s="3" t="str">
        <f>IFERROR(__xludf.DUMMYFUNCTION("""COMPUTED_VALUE"""),"")</f>
        <v/>
      </c>
      <c r="B3378" s="3"/>
      <c r="C3378" s="3"/>
      <c r="D3378" s="3"/>
      <c r="E3378" s="3"/>
      <c r="F3378" s="3"/>
      <c r="G3378" s="3"/>
      <c r="H3378" s="3"/>
      <c r="I3378" s="3"/>
      <c r="J3378" s="3"/>
      <c r="K3378" s="3"/>
      <c r="L3378" s="3"/>
      <c r="M3378" s="3"/>
      <c r="N3378" s="3"/>
      <c r="O3378" s="3"/>
      <c r="P3378" s="3"/>
      <c r="Q3378" s="3"/>
      <c r="R3378" s="3"/>
      <c r="S3378" s="3"/>
      <c r="T3378" s="5"/>
      <c r="U3378" s="5"/>
      <c r="V3378" s="5"/>
      <c r="W3378" s="5"/>
    </row>
    <row r="3379" ht="15.75" customHeight="1">
      <c r="A3379" s="3" t="str">
        <f>IFERROR(__xludf.DUMMYFUNCTION("""COMPUTED_VALUE"""),"")</f>
        <v/>
      </c>
      <c r="B3379" s="3"/>
      <c r="C3379" s="3"/>
      <c r="D3379" s="3"/>
      <c r="E3379" s="3"/>
      <c r="F3379" s="3"/>
      <c r="G3379" s="3"/>
      <c r="H3379" s="3"/>
      <c r="I3379" s="3"/>
      <c r="J3379" s="3"/>
      <c r="K3379" s="3"/>
      <c r="L3379" s="3"/>
      <c r="M3379" s="3"/>
      <c r="N3379" s="3"/>
      <c r="O3379" s="3"/>
      <c r="P3379" s="3"/>
      <c r="Q3379" s="3"/>
      <c r="R3379" s="3"/>
      <c r="S3379" s="3"/>
      <c r="T3379" s="5"/>
      <c r="U3379" s="5"/>
      <c r="V3379" s="5"/>
      <c r="W3379" s="5"/>
    </row>
    <row r="3380" ht="15.75" customHeight="1">
      <c r="A3380" s="3" t="str">
        <f>IFERROR(__xludf.DUMMYFUNCTION("""COMPUTED_VALUE"""),"")</f>
        <v/>
      </c>
      <c r="B3380" s="3"/>
      <c r="C3380" s="3"/>
      <c r="D3380" s="3"/>
      <c r="E3380" s="3"/>
      <c r="F3380" s="3"/>
      <c r="G3380" s="3"/>
      <c r="H3380" s="3"/>
      <c r="I3380" s="3"/>
      <c r="J3380" s="3"/>
      <c r="K3380" s="3"/>
      <c r="L3380" s="3"/>
      <c r="M3380" s="3"/>
      <c r="N3380" s="3"/>
      <c r="O3380" s="3"/>
      <c r="P3380" s="3"/>
      <c r="Q3380" s="3"/>
      <c r="R3380" s="3"/>
      <c r="S3380" s="3"/>
      <c r="T3380" s="5"/>
      <c r="U3380" s="5"/>
      <c r="V3380" s="5"/>
      <c r="W3380" s="5"/>
    </row>
    <row r="3381" ht="15.75" customHeight="1">
      <c r="A3381" s="3" t="str">
        <f>IFERROR(__xludf.DUMMYFUNCTION("""COMPUTED_VALUE"""),"")</f>
        <v/>
      </c>
      <c r="B3381" s="3"/>
      <c r="C3381" s="3"/>
      <c r="D3381" s="3"/>
      <c r="E3381" s="3"/>
      <c r="F3381" s="3"/>
      <c r="G3381" s="3"/>
      <c r="H3381" s="3"/>
      <c r="I3381" s="3"/>
      <c r="J3381" s="3"/>
      <c r="K3381" s="3"/>
      <c r="L3381" s="3"/>
      <c r="M3381" s="3"/>
      <c r="N3381" s="3"/>
      <c r="O3381" s="3"/>
      <c r="P3381" s="3"/>
      <c r="Q3381" s="3"/>
      <c r="R3381" s="3"/>
      <c r="S3381" s="3"/>
      <c r="T3381" s="5"/>
      <c r="U3381" s="5"/>
      <c r="V3381" s="5"/>
      <c r="W3381" s="5"/>
    </row>
    <row r="3382" ht="15.75" customHeight="1">
      <c r="A3382" s="3" t="str">
        <f>IFERROR(__xludf.DUMMYFUNCTION("""COMPUTED_VALUE"""),"")</f>
        <v/>
      </c>
      <c r="B3382" s="3"/>
      <c r="C3382" s="3"/>
      <c r="D3382" s="3"/>
      <c r="E3382" s="3"/>
      <c r="F3382" s="3"/>
      <c r="G3382" s="3"/>
      <c r="H3382" s="3"/>
      <c r="I3382" s="3"/>
      <c r="J3382" s="3"/>
      <c r="K3382" s="3"/>
      <c r="L3382" s="3"/>
      <c r="M3382" s="3"/>
      <c r="N3382" s="3"/>
      <c r="O3382" s="3"/>
      <c r="P3382" s="3"/>
      <c r="Q3382" s="3"/>
      <c r="R3382" s="3"/>
      <c r="S3382" s="3"/>
      <c r="T3382" s="5"/>
      <c r="U3382" s="5"/>
      <c r="V3382" s="5"/>
      <c r="W3382" s="5"/>
    </row>
    <row r="3383" ht="15.75" customHeight="1">
      <c r="A3383" s="3" t="str">
        <f>IFERROR(__xludf.DUMMYFUNCTION("""COMPUTED_VALUE"""),"")</f>
        <v/>
      </c>
      <c r="B3383" s="3"/>
      <c r="C3383" s="3"/>
      <c r="D3383" s="3"/>
      <c r="E3383" s="3"/>
      <c r="F3383" s="3"/>
      <c r="G3383" s="3"/>
      <c r="H3383" s="3"/>
      <c r="I3383" s="3"/>
      <c r="J3383" s="3"/>
      <c r="K3383" s="3"/>
      <c r="L3383" s="3"/>
      <c r="M3383" s="3"/>
      <c r="N3383" s="3"/>
      <c r="O3383" s="3"/>
      <c r="P3383" s="3"/>
      <c r="Q3383" s="3"/>
      <c r="R3383" s="3"/>
      <c r="S3383" s="3"/>
      <c r="T3383" s="5"/>
      <c r="U3383" s="5"/>
      <c r="V3383" s="5"/>
      <c r="W3383" s="5"/>
    </row>
    <row r="3384" ht="15.75" customHeight="1">
      <c r="A3384" s="3" t="str">
        <f>IFERROR(__xludf.DUMMYFUNCTION("""COMPUTED_VALUE"""),"")</f>
        <v/>
      </c>
      <c r="B3384" s="3"/>
      <c r="C3384" s="3"/>
      <c r="D3384" s="3"/>
      <c r="E3384" s="3"/>
      <c r="F3384" s="3"/>
      <c r="G3384" s="3"/>
      <c r="H3384" s="3"/>
      <c r="I3384" s="3"/>
      <c r="J3384" s="3"/>
      <c r="K3384" s="3"/>
      <c r="L3384" s="3"/>
      <c r="M3384" s="3"/>
      <c r="N3384" s="3"/>
      <c r="O3384" s="3"/>
      <c r="P3384" s="3"/>
      <c r="Q3384" s="3"/>
      <c r="R3384" s="3"/>
      <c r="S3384" s="3"/>
      <c r="T3384" s="5"/>
      <c r="U3384" s="5"/>
      <c r="V3384" s="5"/>
      <c r="W3384" s="5"/>
    </row>
    <row r="3385" ht="15.75" customHeight="1">
      <c r="A3385" s="3" t="str">
        <f>IFERROR(__xludf.DUMMYFUNCTION("""COMPUTED_VALUE"""),"")</f>
        <v/>
      </c>
      <c r="B3385" s="3"/>
      <c r="C3385" s="3"/>
      <c r="D3385" s="3"/>
      <c r="E3385" s="3"/>
      <c r="F3385" s="3"/>
      <c r="G3385" s="3"/>
      <c r="H3385" s="3"/>
      <c r="I3385" s="3"/>
      <c r="J3385" s="3"/>
      <c r="K3385" s="3"/>
      <c r="L3385" s="3"/>
      <c r="M3385" s="3"/>
      <c r="N3385" s="3"/>
      <c r="O3385" s="3"/>
      <c r="P3385" s="3"/>
      <c r="Q3385" s="3"/>
      <c r="R3385" s="3"/>
      <c r="S3385" s="3"/>
      <c r="T3385" s="5"/>
      <c r="U3385" s="5"/>
      <c r="V3385" s="5"/>
      <c r="W3385" s="5"/>
    </row>
    <row r="3386" ht="15.75" customHeight="1">
      <c r="A3386" s="3" t="str">
        <f>IFERROR(__xludf.DUMMYFUNCTION("""COMPUTED_VALUE"""),"")</f>
        <v/>
      </c>
      <c r="B3386" s="3"/>
      <c r="C3386" s="3"/>
      <c r="D3386" s="3"/>
      <c r="E3386" s="3"/>
      <c r="F3386" s="3"/>
      <c r="G3386" s="3"/>
      <c r="H3386" s="3"/>
      <c r="I3386" s="3"/>
      <c r="J3386" s="3"/>
      <c r="K3386" s="3"/>
      <c r="L3386" s="3"/>
      <c r="M3386" s="3"/>
      <c r="N3386" s="3"/>
      <c r="O3386" s="3"/>
      <c r="P3386" s="3"/>
      <c r="Q3386" s="3"/>
      <c r="R3386" s="3"/>
      <c r="S3386" s="3"/>
      <c r="T3386" s="5"/>
      <c r="U3386" s="5"/>
      <c r="V3386" s="5"/>
      <c r="W3386" s="5"/>
    </row>
    <row r="3387" ht="15.75" customHeight="1">
      <c r="A3387" s="3" t="str">
        <f>IFERROR(__xludf.DUMMYFUNCTION("""COMPUTED_VALUE"""),"")</f>
        <v/>
      </c>
      <c r="B3387" s="3"/>
      <c r="C3387" s="3"/>
      <c r="D3387" s="3"/>
      <c r="E3387" s="3"/>
      <c r="F3387" s="3"/>
      <c r="G3387" s="3"/>
      <c r="H3387" s="3"/>
      <c r="I3387" s="3"/>
      <c r="J3387" s="3"/>
      <c r="K3387" s="3"/>
      <c r="L3387" s="3"/>
      <c r="M3387" s="3"/>
      <c r="N3387" s="3"/>
      <c r="O3387" s="3"/>
      <c r="P3387" s="3"/>
      <c r="Q3387" s="3"/>
      <c r="R3387" s="3"/>
      <c r="S3387" s="3"/>
      <c r="T3387" s="5"/>
      <c r="U3387" s="5"/>
      <c r="V3387" s="5"/>
      <c r="W3387" s="5"/>
    </row>
    <row r="3388" ht="15.75" customHeight="1">
      <c r="A3388" s="3" t="str">
        <f>IFERROR(__xludf.DUMMYFUNCTION("""COMPUTED_VALUE"""),"")</f>
        <v/>
      </c>
      <c r="B3388" s="3"/>
      <c r="C3388" s="3"/>
      <c r="D3388" s="3"/>
      <c r="E3388" s="3"/>
      <c r="F3388" s="3"/>
      <c r="G3388" s="3"/>
      <c r="H3388" s="3"/>
      <c r="I3388" s="3"/>
      <c r="J3388" s="3"/>
      <c r="K3388" s="3"/>
      <c r="L3388" s="3"/>
      <c r="M3388" s="3"/>
      <c r="N3388" s="3"/>
      <c r="O3388" s="3"/>
      <c r="P3388" s="3"/>
      <c r="Q3388" s="3"/>
      <c r="R3388" s="3"/>
      <c r="S3388" s="3"/>
      <c r="T3388" s="5"/>
      <c r="U3388" s="5"/>
      <c r="V3388" s="5"/>
      <c r="W3388" s="5"/>
    </row>
    <row r="3389" ht="15.75" customHeight="1">
      <c r="A3389" s="3" t="str">
        <f>IFERROR(__xludf.DUMMYFUNCTION("""COMPUTED_VALUE"""),"")</f>
        <v/>
      </c>
      <c r="B3389" s="3"/>
      <c r="C3389" s="3"/>
      <c r="D3389" s="3"/>
      <c r="E3389" s="3"/>
      <c r="F3389" s="3"/>
      <c r="G3389" s="3"/>
      <c r="H3389" s="3"/>
      <c r="I3389" s="3"/>
      <c r="J3389" s="3"/>
      <c r="K3389" s="3"/>
      <c r="L3389" s="3"/>
      <c r="M3389" s="3"/>
      <c r="N3389" s="3"/>
      <c r="O3389" s="3"/>
      <c r="P3389" s="3"/>
      <c r="Q3389" s="3"/>
      <c r="R3389" s="3"/>
      <c r="S3389" s="3"/>
      <c r="T3389" s="5"/>
      <c r="U3389" s="5"/>
      <c r="V3389" s="5"/>
      <c r="W3389" s="5"/>
    </row>
    <row r="3390" ht="15.75" customHeight="1">
      <c r="A3390" s="3" t="str">
        <f>IFERROR(__xludf.DUMMYFUNCTION("""COMPUTED_VALUE"""),"")</f>
        <v/>
      </c>
      <c r="B3390" s="3"/>
      <c r="C3390" s="3"/>
      <c r="D3390" s="3"/>
      <c r="E3390" s="3"/>
      <c r="F3390" s="3"/>
      <c r="G3390" s="3"/>
      <c r="H3390" s="3"/>
      <c r="I3390" s="3"/>
      <c r="J3390" s="3"/>
      <c r="K3390" s="3"/>
      <c r="L3390" s="3"/>
      <c r="M3390" s="3"/>
      <c r="N3390" s="3"/>
      <c r="O3390" s="3"/>
      <c r="P3390" s="3"/>
      <c r="Q3390" s="3"/>
      <c r="R3390" s="3"/>
      <c r="S3390" s="3"/>
      <c r="T3390" s="5"/>
      <c r="U3390" s="5"/>
      <c r="V3390" s="5"/>
      <c r="W3390" s="5"/>
    </row>
    <row r="3391" ht="15.75" customHeight="1">
      <c r="A3391" s="3" t="str">
        <f>IFERROR(__xludf.DUMMYFUNCTION("""COMPUTED_VALUE"""),"")</f>
        <v/>
      </c>
      <c r="B3391" s="3"/>
      <c r="C3391" s="3"/>
      <c r="D3391" s="3"/>
      <c r="E3391" s="3"/>
      <c r="F3391" s="3"/>
      <c r="G3391" s="3"/>
      <c r="H3391" s="3"/>
      <c r="I3391" s="3"/>
      <c r="J3391" s="3"/>
      <c r="K3391" s="3"/>
      <c r="L3391" s="3"/>
      <c r="M3391" s="3"/>
      <c r="N3391" s="3"/>
      <c r="O3391" s="3"/>
      <c r="P3391" s="3"/>
      <c r="Q3391" s="3"/>
      <c r="R3391" s="3"/>
      <c r="S3391" s="3"/>
      <c r="T3391" s="5"/>
      <c r="U3391" s="5"/>
      <c r="V3391" s="5"/>
      <c r="W3391" s="5"/>
    </row>
    <row r="3392" ht="15.75" customHeight="1">
      <c r="A3392" s="3" t="str">
        <f>IFERROR(__xludf.DUMMYFUNCTION("""COMPUTED_VALUE"""),"")</f>
        <v/>
      </c>
      <c r="B3392" s="3"/>
      <c r="C3392" s="3"/>
      <c r="D3392" s="3"/>
      <c r="E3392" s="3"/>
      <c r="F3392" s="3"/>
      <c r="G3392" s="3"/>
      <c r="H3392" s="3"/>
      <c r="I3392" s="3"/>
      <c r="J3392" s="3"/>
      <c r="K3392" s="3"/>
      <c r="L3392" s="3"/>
      <c r="M3392" s="3"/>
      <c r="N3392" s="3"/>
      <c r="O3392" s="3"/>
      <c r="P3392" s="3"/>
      <c r="Q3392" s="3"/>
      <c r="R3392" s="3"/>
      <c r="S3392" s="3"/>
      <c r="T3392" s="5"/>
      <c r="U3392" s="5"/>
      <c r="V3392" s="5"/>
      <c r="W3392" s="5"/>
    </row>
    <row r="3393" ht="15.75" customHeight="1">
      <c r="A3393" s="3" t="str">
        <f>IFERROR(__xludf.DUMMYFUNCTION("""COMPUTED_VALUE"""),"")</f>
        <v/>
      </c>
      <c r="B3393" s="3"/>
      <c r="C3393" s="3"/>
      <c r="D3393" s="3"/>
      <c r="E3393" s="3"/>
      <c r="F3393" s="3"/>
      <c r="G3393" s="3"/>
      <c r="H3393" s="3"/>
      <c r="I3393" s="3"/>
      <c r="J3393" s="3"/>
      <c r="K3393" s="3"/>
      <c r="L3393" s="3"/>
      <c r="M3393" s="3"/>
      <c r="N3393" s="3"/>
      <c r="O3393" s="3"/>
      <c r="P3393" s="3"/>
      <c r="Q3393" s="3"/>
      <c r="R3393" s="3"/>
      <c r="S3393" s="3"/>
      <c r="T3393" s="5"/>
      <c r="U3393" s="5"/>
      <c r="V3393" s="5"/>
      <c r="W3393" s="5"/>
    </row>
    <row r="3394" ht="15.75" customHeight="1">
      <c r="A3394" s="3" t="str">
        <f>IFERROR(__xludf.DUMMYFUNCTION("""COMPUTED_VALUE"""),"")</f>
        <v/>
      </c>
      <c r="B3394" s="3"/>
      <c r="C3394" s="3"/>
      <c r="D3394" s="3"/>
      <c r="E3394" s="3"/>
      <c r="F3394" s="3"/>
      <c r="G3394" s="3"/>
      <c r="H3394" s="3"/>
      <c r="I3394" s="3"/>
      <c r="J3394" s="3"/>
      <c r="K3394" s="3"/>
      <c r="L3394" s="3"/>
      <c r="M3394" s="3"/>
      <c r="N3394" s="3"/>
      <c r="O3394" s="3"/>
      <c r="P3394" s="3"/>
      <c r="Q3394" s="3"/>
      <c r="R3394" s="3"/>
      <c r="S3394" s="3"/>
      <c r="T3394" s="5"/>
      <c r="U3394" s="5"/>
      <c r="V3394" s="5"/>
      <c r="W3394" s="5"/>
    </row>
    <row r="3395" ht="15.75" customHeight="1">
      <c r="A3395" s="3" t="str">
        <f>IFERROR(__xludf.DUMMYFUNCTION("""COMPUTED_VALUE"""),"")</f>
        <v/>
      </c>
      <c r="B3395" s="3"/>
      <c r="C3395" s="3"/>
      <c r="D3395" s="3"/>
      <c r="E3395" s="3"/>
      <c r="F3395" s="3"/>
      <c r="G3395" s="3"/>
      <c r="H3395" s="3"/>
      <c r="I3395" s="3"/>
      <c r="J3395" s="3"/>
      <c r="K3395" s="3"/>
      <c r="L3395" s="3"/>
      <c r="M3395" s="3"/>
      <c r="N3395" s="3"/>
      <c r="O3395" s="3"/>
      <c r="P3395" s="3"/>
      <c r="Q3395" s="3"/>
      <c r="R3395" s="3"/>
      <c r="S3395" s="3"/>
      <c r="T3395" s="5"/>
      <c r="U3395" s="5"/>
      <c r="V3395" s="5"/>
      <c r="W3395" s="5"/>
    </row>
    <row r="3396" ht="15.75" customHeight="1">
      <c r="A3396" s="3" t="str">
        <f>IFERROR(__xludf.DUMMYFUNCTION("""COMPUTED_VALUE"""),"")</f>
        <v/>
      </c>
      <c r="B3396" s="3"/>
      <c r="C3396" s="3"/>
      <c r="D3396" s="3"/>
      <c r="E3396" s="3"/>
      <c r="F3396" s="3"/>
      <c r="G3396" s="3"/>
      <c r="H3396" s="3"/>
      <c r="I3396" s="3"/>
      <c r="J3396" s="3"/>
      <c r="K3396" s="3"/>
      <c r="L3396" s="3"/>
      <c r="M3396" s="3"/>
      <c r="N3396" s="3"/>
      <c r="O3396" s="3"/>
      <c r="P3396" s="3"/>
      <c r="Q3396" s="3"/>
      <c r="R3396" s="3"/>
      <c r="S3396" s="3"/>
      <c r="T3396" s="5"/>
      <c r="U3396" s="5"/>
      <c r="V3396" s="5"/>
      <c r="W3396" s="5"/>
    </row>
    <row r="3397" ht="15.75" customHeight="1">
      <c r="A3397" s="3" t="str">
        <f>IFERROR(__xludf.DUMMYFUNCTION("""COMPUTED_VALUE"""),"")</f>
        <v/>
      </c>
      <c r="B3397" s="3"/>
      <c r="C3397" s="3"/>
      <c r="D3397" s="3"/>
      <c r="E3397" s="3"/>
      <c r="F3397" s="3"/>
      <c r="G3397" s="3"/>
      <c r="H3397" s="3"/>
      <c r="I3397" s="3"/>
      <c r="J3397" s="3"/>
      <c r="K3397" s="3"/>
      <c r="L3397" s="3"/>
      <c r="M3397" s="3"/>
      <c r="N3397" s="3"/>
      <c r="O3397" s="3"/>
      <c r="P3397" s="3"/>
      <c r="Q3397" s="3"/>
      <c r="R3397" s="3"/>
      <c r="S3397" s="3"/>
      <c r="T3397" s="5"/>
      <c r="U3397" s="5"/>
      <c r="V3397" s="5"/>
      <c r="W3397" s="5"/>
    </row>
    <row r="3398" ht="15.75" customHeight="1">
      <c r="A3398" s="3" t="str">
        <f>IFERROR(__xludf.DUMMYFUNCTION("""COMPUTED_VALUE"""),"")</f>
        <v/>
      </c>
      <c r="B3398" s="3"/>
      <c r="C3398" s="3"/>
      <c r="D3398" s="3"/>
      <c r="E3398" s="3"/>
      <c r="F3398" s="3"/>
      <c r="G3398" s="3"/>
      <c r="H3398" s="3"/>
      <c r="I3398" s="3"/>
      <c r="J3398" s="3"/>
      <c r="K3398" s="3"/>
      <c r="L3398" s="3"/>
      <c r="M3398" s="3"/>
      <c r="N3398" s="3"/>
      <c r="O3398" s="3"/>
      <c r="P3398" s="3"/>
      <c r="Q3398" s="3"/>
      <c r="R3398" s="3"/>
      <c r="S3398" s="3"/>
      <c r="T3398" s="5"/>
      <c r="U3398" s="5"/>
      <c r="V3398" s="5"/>
      <c r="W3398" s="5"/>
    </row>
    <row r="3399" ht="15.75" customHeight="1">
      <c r="A3399" s="3" t="str">
        <f>IFERROR(__xludf.DUMMYFUNCTION("""COMPUTED_VALUE"""),"")</f>
        <v/>
      </c>
      <c r="B3399" s="3"/>
      <c r="C3399" s="3"/>
      <c r="D3399" s="3"/>
      <c r="E3399" s="3"/>
      <c r="F3399" s="3"/>
      <c r="G3399" s="3"/>
      <c r="H3399" s="3"/>
      <c r="I3399" s="3"/>
      <c r="J3399" s="3"/>
      <c r="K3399" s="3"/>
      <c r="L3399" s="3"/>
      <c r="M3399" s="3"/>
      <c r="N3399" s="3"/>
      <c r="O3399" s="3"/>
      <c r="P3399" s="3"/>
      <c r="Q3399" s="3"/>
      <c r="R3399" s="3"/>
      <c r="S3399" s="3"/>
      <c r="T3399" s="5"/>
      <c r="U3399" s="5"/>
      <c r="V3399" s="5"/>
      <c r="W3399" s="5"/>
    </row>
    <row r="3400" ht="15.75" customHeight="1">
      <c r="A3400" s="3" t="str">
        <f>IFERROR(__xludf.DUMMYFUNCTION("""COMPUTED_VALUE"""),"")</f>
        <v/>
      </c>
      <c r="B3400" s="3"/>
      <c r="C3400" s="3"/>
      <c r="D3400" s="3"/>
      <c r="E3400" s="3"/>
      <c r="F3400" s="3"/>
      <c r="G3400" s="3"/>
      <c r="H3400" s="3"/>
      <c r="I3400" s="3"/>
      <c r="J3400" s="3"/>
      <c r="K3400" s="3"/>
      <c r="L3400" s="3"/>
      <c r="M3400" s="3"/>
      <c r="N3400" s="3"/>
      <c r="O3400" s="3"/>
      <c r="P3400" s="3"/>
      <c r="Q3400" s="3"/>
      <c r="R3400" s="3"/>
      <c r="S3400" s="3"/>
      <c r="T3400" s="5"/>
      <c r="U3400" s="5"/>
      <c r="V3400" s="5"/>
      <c r="W3400" s="5"/>
    </row>
    <row r="3401" ht="15.75" customHeight="1">
      <c r="A3401" s="3" t="str">
        <f>IFERROR(__xludf.DUMMYFUNCTION("""COMPUTED_VALUE"""),"")</f>
        <v/>
      </c>
      <c r="B3401" s="3"/>
      <c r="C3401" s="3"/>
      <c r="D3401" s="3"/>
      <c r="E3401" s="3"/>
      <c r="F3401" s="3"/>
      <c r="G3401" s="3"/>
      <c r="H3401" s="3"/>
      <c r="I3401" s="3"/>
      <c r="J3401" s="3"/>
      <c r="K3401" s="3"/>
      <c r="L3401" s="3"/>
      <c r="M3401" s="3"/>
      <c r="N3401" s="3"/>
      <c r="O3401" s="3"/>
      <c r="P3401" s="3"/>
      <c r="Q3401" s="3"/>
      <c r="R3401" s="3"/>
      <c r="S3401" s="3"/>
      <c r="T3401" s="5"/>
      <c r="U3401" s="5"/>
      <c r="V3401" s="5"/>
      <c r="W3401" s="5"/>
    </row>
    <row r="3402" ht="15.75" customHeight="1">
      <c r="A3402" s="3" t="str">
        <f>IFERROR(__xludf.DUMMYFUNCTION("""COMPUTED_VALUE"""),"")</f>
        <v/>
      </c>
      <c r="B3402" s="3"/>
      <c r="C3402" s="3"/>
      <c r="D3402" s="3"/>
      <c r="E3402" s="3"/>
      <c r="F3402" s="3"/>
      <c r="G3402" s="3"/>
      <c r="H3402" s="3"/>
      <c r="I3402" s="3"/>
      <c r="J3402" s="3"/>
      <c r="K3402" s="3"/>
      <c r="L3402" s="3"/>
      <c r="M3402" s="3"/>
      <c r="N3402" s="3"/>
      <c r="O3402" s="3"/>
      <c r="P3402" s="3"/>
      <c r="Q3402" s="3"/>
      <c r="R3402" s="3"/>
      <c r="S3402" s="3"/>
      <c r="T3402" s="5"/>
      <c r="U3402" s="5"/>
      <c r="V3402" s="5"/>
      <c r="W3402" s="5"/>
    </row>
    <row r="3403" ht="15.75" customHeight="1">
      <c r="A3403" s="3" t="str">
        <f>IFERROR(__xludf.DUMMYFUNCTION("""COMPUTED_VALUE"""),"")</f>
        <v/>
      </c>
      <c r="B3403" s="3"/>
      <c r="C3403" s="3"/>
      <c r="D3403" s="3"/>
      <c r="E3403" s="3"/>
      <c r="F3403" s="3"/>
      <c r="G3403" s="3"/>
      <c r="H3403" s="3"/>
      <c r="I3403" s="3"/>
      <c r="J3403" s="3"/>
      <c r="K3403" s="3"/>
      <c r="L3403" s="3"/>
      <c r="M3403" s="3"/>
      <c r="N3403" s="3"/>
      <c r="O3403" s="3"/>
      <c r="P3403" s="3"/>
      <c r="Q3403" s="3"/>
      <c r="R3403" s="3"/>
      <c r="S3403" s="3"/>
      <c r="T3403" s="5"/>
      <c r="U3403" s="5"/>
      <c r="V3403" s="5"/>
      <c r="W3403" s="5"/>
    </row>
    <row r="3404" ht="15.75" customHeight="1">
      <c r="A3404" s="3" t="str">
        <f>IFERROR(__xludf.DUMMYFUNCTION("""COMPUTED_VALUE"""),"")</f>
        <v/>
      </c>
      <c r="B3404" s="3"/>
      <c r="C3404" s="3"/>
      <c r="D3404" s="3"/>
      <c r="E3404" s="3"/>
      <c r="F3404" s="3"/>
      <c r="G3404" s="3"/>
      <c r="H3404" s="3"/>
      <c r="I3404" s="3"/>
      <c r="J3404" s="3"/>
      <c r="K3404" s="3"/>
      <c r="L3404" s="3"/>
      <c r="M3404" s="3"/>
      <c r="N3404" s="3"/>
      <c r="O3404" s="3"/>
      <c r="P3404" s="3"/>
      <c r="Q3404" s="3"/>
      <c r="R3404" s="3"/>
      <c r="S3404" s="3"/>
      <c r="T3404" s="5"/>
      <c r="U3404" s="5"/>
      <c r="V3404" s="5"/>
      <c r="W3404" s="5"/>
    </row>
    <row r="3405" ht="15.75" customHeight="1">
      <c r="A3405" s="3" t="str">
        <f>IFERROR(__xludf.DUMMYFUNCTION("""COMPUTED_VALUE"""),"")</f>
        <v/>
      </c>
      <c r="B3405" s="3"/>
      <c r="C3405" s="3"/>
      <c r="D3405" s="3"/>
      <c r="E3405" s="3"/>
      <c r="F3405" s="3"/>
      <c r="G3405" s="3"/>
      <c r="H3405" s="3"/>
      <c r="I3405" s="3"/>
      <c r="J3405" s="3"/>
      <c r="K3405" s="3"/>
      <c r="L3405" s="3"/>
      <c r="M3405" s="3"/>
      <c r="N3405" s="3"/>
      <c r="O3405" s="3"/>
      <c r="P3405" s="3"/>
      <c r="Q3405" s="3"/>
      <c r="R3405" s="3"/>
      <c r="S3405" s="3"/>
      <c r="T3405" s="5"/>
      <c r="U3405" s="5"/>
      <c r="V3405" s="5"/>
      <c r="W3405" s="5"/>
    </row>
    <row r="3406" ht="15.75" customHeight="1">
      <c r="A3406" s="3" t="str">
        <f>IFERROR(__xludf.DUMMYFUNCTION("""COMPUTED_VALUE"""),"")</f>
        <v/>
      </c>
      <c r="B3406" s="3"/>
      <c r="C3406" s="3"/>
      <c r="D3406" s="3"/>
      <c r="E3406" s="3"/>
      <c r="F3406" s="3"/>
      <c r="G3406" s="3"/>
      <c r="H3406" s="3"/>
      <c r="I3406" s="3"/>
      <c r="J3406" s="3"/>
      <c r="K3406" s="3"/>
      <c r="L3406" s="3"/>
      <c r="M3406" s="3"/>
      <c r="N3406" s="3"/>
      <c r="O3406" s="3"/>
      <c r="P3406" s="3"/>
      <c r="Q3406" s="3"/>
      <c r="R3406" s="3"/>
      <c r="S3406" s="3"/>
      <c r="T3406" s="5"/>
      <c r="U3406" s="5"/>
      <c r="V3406" s="5"/>
      <c r="W3406" s="5"/>
    </row>
    <row r="3407" ht="15.75" customHeight="1">
      <c r="A3407" s="3" t="str">
        <f>IFERROR(__xludf.DUMMYFUNCTION("""COMPUTED_VALUE"""),"")</f>
        <v/>
      </c>
      <c r="B3407" s="3"/>
      <c r="C3407" s="3"/>
      <c r="D3407" s="3"/>
      <c r="E3407" s="3"/>
      <c r="F3407" s="3"/>
      <c r="G3407" s="3"/>
      <c r="H3407" s="3"/>
      <c r="I3407" s="3"/>
      <c r="J3407" s="3"/>
      <c r="K3407" s="3"/>
      <c r="L3407" s="3"/>
      <c r="M3407" s="3"/>
      <c r="N3407" s="3"/>
      <c r="O3407" s="3"/>
      <c r="P3407" s="3"/>
      <c r="Q3407" s="3"/>
      <c r="R3407" s="3"/>
      <c r="S3407" s="3"/>
      <c r="T3407" s="5"/>
      <c r="U3407" s="5"/>
      <c r="V3407" s="5"/>
      <c r="W3407" s="5"/>
    </row>
    <row r="3408" ht="15.75" customHeight="1">
      <c r="A3408" s="3" t="str">
        <f>IFERROR(__xludf.DUMMYFUNCTION("""COMPUTED_VALUE"""),"")</f>
        <v/>
      </c>
      <c r="B3408" s="3"/>
      <c r="C3408" s="3"/>
      <c r="D3408" s="3"/>
      <c r="E3408" s="3"/>
      <c r="F3408" s="3"/>
      <c r="G3408" s="3"/>
      <c r="H3408" s="3"/>
      <c r="I3408" s="3"/>
      <c r="J3408" s="3"/>
      <c r="K3408" s="3"/>
      <c r="L3408" s="3"/>
      <c r="M3408" s="3"/>
      <c r="N3408" s="3"/>
      <c r="O3408" s="3"/>
      <c r="P3408" s="3"/>
      <c r="Q3408" s="3"/>
      <c r="R3408" s="3"/>
      <c r="S3408" s="3"/>
      <c r="T3408" s="5"/>
      <c r="U3408" s="5"/>
      <c r="V3408" s="5"/>
      <c r="W3408" s="5"/>
    </row>
    <row r="3409" ht="15.75" customHeight="1">
      <c r="A3409" s="3" t="str">
        <f>IFERROR(__xludf.DUMMYFUNCTION("""COMPUTED_VALUE"""),"")</f>
        <v/>
      </c>
      <c r="B3409" s="3"/>
      <c r="C3409" s="3"/>
      <c r="D3409" s="3"/>
      <c r="E3409" s="3"/>
      <c r="F3409" s="3"/>
      <c r="G3409" s="3"/>
      <c r="H3409" s="3"/>
      <c r="I3409" s="3"/>
      <c r="J3409" s="3"/>
      <c r="K3409" s="3"/>
      <c r="L3409" s="3"/>
      <c r="M3409" s="3"/>
      <c r="N3409" s="3"/>
      <c r="O3409" s="3"/>
      <c r="P3409" s="3"/>
      <c r="Q3409" s="3"/>
      <c r="R3409" s="3"/>
      <c r="S3409" s="3"/>
      <c r="T3409" s="5"/>
      <c r="U3409" s="5"/>
      <c r="V3409" s="5"/>
      <c r="W3409" s="5"/>
    </row>
    <row r="3410" ht="15.75" customHeight="1">
      <c r="A3410" s="3" t="str">
        <f>IFERROR(__xludf.DUMMYFUNCTION("""COMPUTED_VALUE"""),"")</f>
        <v/>
      </c>
      <c r="B3410" s="3"/>
      <c r="C3410" s="3"/>
      <c r="D3410" s="3"/>
      <c r="E3410" s="3"/>
      <c r="F3410" s="3"/>
      <c r="G3410" s="3"/>
      <c r="H3410" s="3"/>
      <c r="I3410" s="3"/>
      <c r="J3410" s="3"/>
      <c r="K3410" s="3"/>
      <c r="L3410" s="3"/>
      <c r="M3410" s="3"/>
      <c r="N3410" s="3"/>
      <c r="O3410" s="3"/>
      <c r="P3410" s="3"/>
      <c r="Q3410" s="3"/>
      <c r="R3410" s="3"/>
      <c r="S3410" s="3"/>
      <c r="T3410" s="5"/>
      <c r="U3410" s="5"/>
      <c r="V3410" s="5"/>
      <c r="W3410" s="5"/>
    </row>
    <row r="3411" ht="15.75" customHeight="1">
      <c r="A3411" s="3" t="str">
        <f>IFERROR(__xludf.DUMMYFUNCTION("""COMPUTED_VALUE"""),"")</f>
        <v/>
      </c>
      <c r="B3411" s="3"/>
      <c r="C3411" s="3"/>
      <c r="D3411" s="3"/>
      <c r="E3411" s="3"/>
      <c r="F3411" s="3"/>
      <c r="G3411" s="3"/>
      <c r="H3411" s="3"/>
      <c r="I3411" s="3"/>
      <c r="J3411" s="3"/>
      <c r="K3411" s="3"/>
      <c r="L3411" s="3"/>
      <c r="M3411" s="3"/>
      <c r="N3411" s="3"/>
      <c r="O3411" s="3"/>
      <c r="P3411" s="3"/>
      <c r="Q3411" s="3"/>
      <c r="R3411" s="3"/>
      <c r="S3411" s="3"/>
      <c r="T3411" s="5"/>
      <c r="U3411" s="5"/>
      <c r="V3411" s="5"/>
      <c r="W3411" s="5"/>
    </row>
    <row r="3412" ht="15.75" customHeight="1">
      <c r="A3412" s="3" t="str">
        <f>IFERROR(__xludf.DUMMYFUNCTION("""COMPUTED_VALUE"""),"")</f>
        <v/>
      </c>
      <c r="B3412" s="3"/>
      <c r="C3412" s="3"/>
      <c r="D3412" s="3"/>
      <c r="E3412" s="3"/>
      <c r="F3412" s="3"/>
      <c r="G3412" s="3"/>
      <c r="H3412" s="3"/>
      <c r="I3412" s="3"/>
      <c r="J3412" s="3"/>
      <c r="K3412" s="3"/>
      <c r="L3412" s="3"/>
      <c r="M3412" s="3"/>
      <c r="N3412" s="3"/>
      <c r="O3412" s="3"/>
      <c r="P3412" s="3"/>
      <c r="Q3412" s="3"/>
      <c r="R3412" s="3"/>
      <c r="S3412" s="3"/>
      <c r="T3412" s="5"/>
      <c r="U3412" s="5"/>
      <c r="V3412" s="5"/>
      <c r="W3412" s="5"/>
    </row>
    <row r="3413" ht="15.75" customHeight="1">
      <c r="A3413" s="3" t="str">
        <f>IFERROR(__xludf.DUMMYFUNCTION("""COMPUTED_VALUE"""),"")</f>
        <v/>
      </c>
      <c r="B3413" s="3"/>
      <c r="C3413" s="3"/>
      <c r="D3413" s="3"/>
      <c r="E3413" s="3"/>
      <c r="F3413" s="3"/>
      <c r="G3413" s="3"/>
      <c r="H3413" s="3"/>
      <c r="I3413" s="3"/>
      <c r="J3413" s="3"/>
      <c r="K3413" s="3"/>
      <c r="L3413" s="3"/>
      <c r="M3413" s="3"/>
      <c r="N3413" s="3"/>
      <c r="O3413" s="3"/>
      <c r="P3413" s="3"/>
      <c r="Q3413" s="3"/>
      <c r="R3413" s="3"/>
      <c r="S3413" s="3"/>
      <c r="T3413" s="5"/>
      <c r="U3413" s="5"/>
      <c r="V3413" s="5"/>
      <c r="W3413" s="5"/>
    </row>
    <row r="3414" ht="15.75" customHeight="1">
      <c r="A3414" s="3" t="str">
        <f>IFERROR(__xludf.DUMMYFUNCTION("""COMPUTED_VALUE"""),"")</f>
        <v/>
      </c>
      <c r="B3414" s="3"/>
      <c r="C3414" s="3"/>
      <c r="D3414" s="3"/>
      <c r="E3414" s="3"/>
      <c r="F3414" s="3"/>
      <c r="G3414" s="3"/>
      <c r="H3414" s="3"/>
      <c r="I3414" s="3"/>
      <c r="J3414" s="3"/>
      <c r="K3414" s="3"/>
      <c r="L3414" s="3"/>
      <c r="M3414" s="3"/>
      <c r="N3414" s="3"/>
      <c r="O3414" s="3"/>
      <c r="P3414" s="3"/>
      <c r="Q3414" s="3"/>
      <c r="R3414" s="3"/>
      <c r="S3414" s="3"/>
      <c r="T3414" s="5"/>
      <c r="U3414" s="5"/>
      <c r="V3414" s="5"/>
      <c r="W3414" s="5"/>
    </row>
    <row r="3415" ht="15.75" customHeight="1">
      <c r="A3415" s="3" t="str">
        <f>IFERROR(__xludf.DUMMYFUNCTION("""COMPUTED_VALUE"""),"")</f>
        <v/>
      </c>
      <c r="B3415" s="3"/>
      <c r="C3415" s="3"/>
      <c r="D3415" s="3"/>
      <c r="E3415" s="3"/>
      <c r="F3415" s="3"/>
      <c r="G3415" s="3"/>
      <c r="H3415" s="3"/>
      <c r="I3415" s="3"/>
      <c r="J3415" s="3"/>
      <c r="K3415" s="3"/>
      <c r="L3415" s="3"/>
      <c r="M3415" s="3"/>
      <c r="N3415" s="3"/>
      <c r="O3415" s="3"/>
      <c r="P3415" s="3"/>
      <c r="Q3415" s="3"/>
      <c r="R3415" s="3"/>
      <c r="S3415" s="3"/>
      <c r="T3415" s="5"/>
      <c r="U3415" s="5"/>
      <c r="V3415" s="5"/>
      <c r="W3415" s="5"/>
    </row>
    <row r="3416" ht="15.75" customHeight="1">
      <c r="A3416" s="3" t="str">
        <f>IFERROR(__xludf.DUMMYFUNCTION("""COMPUTED_VALUE"""),"")</f>
        <v/>
      </c>
      <c r="B3416" s="3"/>
      <c r="C3416" s="3"/>
      <c r="D3416" s="3"/>
      <c r="E3416" s="3"/>
      <c r="F3416" s="3"/>
      <c r="G3416" s="3"/>
      <c r="H3416" s="3"/>
      <c r="I3416" s="3"/>
      <c r="J3416" s="3"/>
      <c r="K3416" s="3"/>
      <c r="L3416" s="3"/>
      <c r="M3416" s="3"/>
      <c r="N3416" s="3"/>
      <c r="O3416" s="3"/>
      <c r="P3416" s="3"/>
      <c r="Q3416" s="3"/>
      <c r="R3416" s="3"/>
      <c r="S3416" s="3"/>
      <c r="T3416" s="5"/>
      <c r="U3416" s="5"/>
      <c r="V3416" s="5"/>
      <c r="W3416" s="5"/>
    </row>
    <row r="3417" ht="15.75" customHeight="1">
      <c r="A3417" s="3" t="str">
        <f>IFERROR(__xludf.DUMMYFUNCTION("""COMPUTED_VALUE"""),"")</f>
        <v/>
      </c>
      <c r="B3417" s="3"/>
      <c r="C3417" s="3"/>
      <c r="D3417" s="3"/>
      <c r="E3417" s="3"/>
      <c r="F3417" s="3"/>
      <c r="G3417" s="3"/>
      <c r="H3417" s="3"/>
      <c r="I3417" s="3"/>
      <c r="J3417" s="3"/>
      <c r="K3417" s="3"/>
      <c r="L3417" s="3"/>
      <c r="M3417" s="3"/>
      <c r="N3417" s="3"/>
      <c r="O3417" s="3"/>
      <c r="P3417" s="3"/>
      <c r="Q3417" s="3"/>
      <c r="R3417" s="3"/>
      <c r="S3417" s="3"/>
      <c r="T3417" s="5"/>
      <c r="U3417" s="5"/>
      <c r="V3417" s="5"/>
      <c r="W3417" s="5"/>
    </row>
    <row r="3418" ht="15.75" customHeight="1">
      <c r="A3418" s="3" t="str">
        <f>IFERROR(__xludf.DUMMYFUNCTION("""COMPUTED_VALUE"""),"")</f>
        <v/>
      </c>
      <c r="B3418" s="3"/>
      <c r="C3418" s="3"/>
      <c r="D3418" s="3"/>
      <c r="E3418" s="3"/>
      <c r="F3418" s="3"/>
      <c r="G3418" s="3"/>
      <c r="H3418" s="3"/>
      <c r="I3418" s="3"/>
      <c r="J3418" s="3"/>
      <c r="K3418" s="3"/>
      <c r="L3418" s="3"/>
      <c r="M3418" s="3"/>
      <c r="N3418" s="3"/>
      <c r="O3418" s="3"/>
      <c r="P3418" s="3"/>
      <c r="Q3418" s="3"/>
      <c r="R3418" s="3"/>
      <c r="S3418" s="3"/>
      <c r="T3418" s="5"/>
      <c r="U3418" s="5"/>
      <c r="V3418" s="5"/>
      <c r="W3418" s="5"/>
    </row>
    <row r="3419" ht="15.75" customHeight="1">
      <c r="A3419" s="3" t="str">
        <f>IFERROR(__xludf.DUMMYFUNCTION("""COMPUTED_VALUE"""),"")</f>
        <v/>
      </c>
      <c r="B3419" s="3"/>
      <c r="C3419" s="3"/>
      <c r="D3419" s="3"/>
      <c r="E3419" s="3"/>
      <c r="F3419" s="3"/>
      <c r="G3419" s="3"/>
      <c r="H3419" s="3"/>
      <c r="I3419" s="3"/>
      <c r="J3419" s="3"/>
      <c r="K3419" s="3"/>
      <c r="L3419" s="3"/>
      <c r="M3419" s="3"/>
      <c r="N3419" s="3"/>
      <c r="O3419" s="3"/>
      <c r="P3419" s="3"/>
      <c r="Q3419" s="3"/>
      <c r="R3419" s="3"/>
      <c r="S3419" s="3"/>
      <c r="T3419" s="5"/>
      <c r="U3419" s="5"/>
      <c r="V3419" s="5"/>
      <c r="W3419" s="5"/>
    </row>
    <row r="3420" ht="15.75" customHeight="1">
      <c r="A3420" s="3" t="str">
        <f>IFERROR(__xludf.DUMMYFUNCTION("""COMPUTED_VALUE"""),"")</f>
        <v/>
      </c>
      <c r="B3420" s="3"/>
      <c r="C3420" s="3"/>
      <c r="D3420" s="3"/>
      <c r="E3420" s="3"/>
      <c r="F3420" s="3"/>
      <c r="G3420" s="3"/>
      <c r="H3420" s="3"/>
      <c r="I3420" s="3"/>
      <c r="J3420" s="3"/>
      <c r="K3420" s="3"/>
      <c r="L3420" s="3"/>
      <c r="M3420" s="3"/>
      <c r="N3420" s="3"/>
      <c r="O3420" s="3"/>
      <c r="P3420" s="3"/>
      <c r="Q3420" s="3"/>
      <c r="R3420" s="3"/>
      <c r="S3420" s="3"/>
      <c r="T3420" s="5"/>
      <c r="U3420" s="5"/>
      <c r="V3420" s="5"/>
      <c r="W3420" s="5"/>
    </row>
    <row r="3421" ht="15.75" customHeight="1">
      <c r="A3421" s="3" t="str">
        <f>IFERROR(__xludf.DUMMYFUNCTION("""COMPUTED_VALUE"""),"")</f>
        <v/>
      </c>
      <c r="B3421" s="3"/>
      <c r="C3421" s="3"/>
      <c r="D3421" s="3"/>
      <c r="E3421" s="3"/>
      <c r="F3421" s="3"/>
      <c r="G3421" s="3"/>
      <c r="H3421" s="3"/>
      <c r="I3421" s="3"/>
      <c r="J3421" s="3"/>
      <c r="K3421" s="3"/>
      <c r="L3421" s="3"/>
      <c r="M3421" s="3"/>
      <c r="N3421" s="3"/>
      <c r="O3421" s="3"/>
      <c r="P3421" s="3"/>
      <c r="Q3421" s="3"/>
      <c r="R3421" s="3"/>
      <c r="S3421" s="3"/>
      <c r="T3421" s="5"/>
      <c r="U3421" s="5"/>
      <c r="V3421" s="5"/>
      <c r="W3421" s="5"/>
    </row>
    <row r="3422" ht="15.75" customHeight="1">
      <c r="A3422" s="3" t="str">
        <f>IFERROR(__xludf.DUMMYFUNCTION("""COMPUTED_VALUE"""),"")</f>
        <v/>
      </c>
      <c r="B3422" s="3"/>
      <c r="C3422" s="3"/>
      <c r="D3422" s="3"/>
      <c r="E3422" s="3"/>
      <c r="F3422" s="3"/>
      <c r="G3422" s="3"/>
      <c r="H3422" s="3"/>
      <c r="I3422" s="3"/>
      <c r="J3422" s="3"/>
      <c r="K3422" s="3"/>
      <c r="L3422" s="3"/>
      <c r="M3422" s="3"/>
      <c r="N3422" s="3"/>
      <c r="O3422" s="3"/>
      <c r="P3422" s="3"/>
      <c r="Q3422" s="3"/>
      <c r="R3422" s="3"/>
      <c r="S3422" s="3"/>
      <c r="T3422" s="5"/>
      <c r="U3422" s="5"/>
      <c r="V3422" s="5"/>
      <c r="W3422" s="5"/>
    </row>
    <row r="3423" ht="15.75" customHeight="1">
      <c r="A3423" s="3" t="str">
        <f>IFERROR(__xludf.DUMMYFUNCTION("""COMPUTED_VALUE"""),"")</f>
        <v/>
      </c>
      <c r="B3423" s="3"/>
      <c r="C3423" s="3"/>
      <c r="D3423" s="3"/>
      <c r="E3423" s="3"/>
      <c r="F3423" s="3"/>
      <c r="G3423" s="3"/>
      <c r="H3423" s="3"/>
      <c r="I3423" s="3"/>
      <c r="J3423" s="3"/>
      <c r="K3423" s="3"/>
      <c r="L3423" s="3"/>
      <c r="M3423" s="3"/>
      <c r="N3423" s="3"/>
      <c r="O3423" s="3"/>
      <c r="P3423" s="3"/>
      <c r="Q3423" s="3"/>
      <c r="R3423" s="3"/>
      <c r="S3423" s="3"/>
      <c r="T3423" s="5"/>
      <c r="U3423" s="5"/>
      <c r="V3423" s="5"/>
      <c r="W3423" s="5"/>
    </row>
    <row r="3424" ht="15.75" customHeight="1">
      <c r="A3424" s="3" t="str">
        <f>IFERROR(__xludf.DUMMYFUNCTION("""COMPUTED_VALUE"""),"")</f>
        <v/>
      </c>
      <c r="B3424" s="3"/>
      <c r="C3424" s="3"/>
      <c r="D3424" s="3"/>
      <c r="E3424" s="3"/>
      <c r="F3424" s="3"/>
      <c r="G3424" s="3"/>
      <c r="H3424" s="3"/>
      <c r="I3424" s="3"/>
      <c r="J3424" s="3"/>
      <c r="K3424" s="3"/>
      <c r="L3424" s="3"/>
      <c r="M3424" s="3"/>
      <c r="N3424" s="3"/>
      <c r="O3424" s="3"/>
      <c r="P3424" s="3"/>
      <c r="Q3424" s="3"/>
      <c r="R3424" s="3"/>
      <c r="S3424" s="3"/>
      <c r="T3424" s="5"/>
      <c r="U3424" s="5"/>
      <c r="V3424" s="5"/>
      <c r="W3424" s="5"/>
    </row>
    <row r="3425" ht="15.75" customHeight="1">
      <c r="A3425" s="3" t="str">
        <f>IFERROR(__xludf.DUMMYFUNCTION("""COMPUTED_VALUE"""),"")</f>
        <v/>
      </c>
      <c r="B3425" s="3"/>
      <c r="C3425" s="3"/>
      <c r="D3425" s="3"/>
      <c r="E3425" s="3"/>
      <c r="F3425" s="3"/>
      <c r="G3425" s="3"/>
      <c r="H3425" s="3"/>
      <c r="I3425" s="3"/>
      <c r="J3425" s="3"/>
      <c r="K3425" s="3"/>
      <c r="L3425" s="3"/>
      <c r="M3425" s="3"/>
      <c r="N3425" s="3"/>
      <c r="O3425" s="3"/>
      <c r="P3425" s="3"/>
      <c r="Q3425" s="3"/>
      <c r="R3425" s="3"/>
      <c r="S3425" s="3"/>
      <c r="T3425" s="5"/>
      <c r="U3425" s="5"/>
      <c r="V3425" s="5"/>
      <c r="W3425" s="5"/>
    </row>
    <row r="3426" ht="15.75" customHeight="1">
      <c r="A3426" s="3" t="str">
        <f>IFERROR(__xludf.DUMMYFUNCTION("""COMPUTED_VALUE"""),"")</f>
        <v/>
      </c>
      <c r="B3426" s="3"/>
      <c r="C3426" s="3"/>
      <c r="D3426" s="3"/>
      <c r="E3426" s="3"/>
      <c r="F3426" s="3"/>
      <c r="G3426" s="3"/>
      <c r="H3426" s="3"/>
      <c r="I3426" s="3"/>
      <c r="J3426" s="3"/>
      <c r="K3426" s="3"/>
      <c r="L3426" s="3"/>
      <c r="M3426" s="3"/>
      <c r="N3426" s="3"/>
      <c r="O3426" s="3"/>
      <c r="P3426" s="3"/>
      <c r="Q3426" s="3"/>
      <c r="R3426" s="3"/>
      <c r="S3426" s="3"/>
      <c r="T3426" s="5"/>
      <c r="U3426" s="5"/>
      <c r="V3426" s="5"/>
      <c r="W3426" s="5"/>
    </row>
    <row r="3427" ht="15.75" customHeight="1">
      <c r="A3427" s="3" t="str">
        <f>IFERROR(__xludf.DUMMYFUNCTION("""COMPUTED_VALUE"""),"")</f>
        <v/>
      </c>
      <c r="B3427" s="3"/>
      <c r="C3427" s="3"/>
      <c r="D3427" s="3"/>
      <c r="E3427" s="3"/>
      <c r="F3427" s="3"/>
      <c r="G3427" s="3"/>
      <c r="H3427" s="3"/>
      <c r="I3427" s="3"/>
      <c r="J3427" s="3"/>
      <c r="K3427" s="3"/>
      <c r="L3427" s="3"/>
      <c r="M3427" s="3"/>
      <c r="N3427" s="3"/>
      <c r="O3427" s="3"/>
      <c r="P3427" s="3"/>
      <c r="Q3427" s="3"/>
      <c r="R3427" s="3"/>
      <c r="S3427" s="3"/>
      <c r="T3427" s="5"/>
      <c r="U3427" s="5"/>
      <c r="V3427" s="5"/>
      <c r="W3427" s="5"/>
    </row>
    <row r="3428" ht="15.75" customHeight="1">
      <c r="A3428" s="3" t="str">
        <f>IFERROR(__xludf.DUMMYFUNCTION("""COMPUTED_VALUE"""),"")</f>
        <v/>
      </c>
      <c r="B3428" s="3"/>
      <c r="C3428" s="3"/>
      <c r="D3428" s="3"/>
      <c r="E3428" s="3"/>
      <c r="F3428" s="3"/>
      <c r="G3428" s="3"/>
      <c r="H3428" s="3"/>
      <c r="I3428" s="3"/>
      <c r="J3428" s="3"/>
      <c r="K3428" s="3"/>
      <c r="L3428" s="3"/>
      <c r="M3428" s="3"/>
      <c r="N3428" s="3"/>
      <c r="O3428" s="3"/>
      <c r="P3428" s="3"/>
      <c r="Q3428" s="3"/>
      <c r="R3428" s="3"/>
      <c r="S3428" s="3"/>
      <c r="T3428" s="5"/>
      <c r="U3428" s="5"/>
      <c r="V3428" s="5"/>
      <c r="W3428" s="5"/>
    </row>
    <row r="3429" ht="15.75" customHeight="1">
      <c r="A3429" s="3" t="str">
        <f>IFERROR(__xludf.DUMMYFUNCTION("""COMPUTED_VALUE"""),"")</f>
        <v/>
      </c>
      <c r="B3429" s="3"/>
      <c r="C3429" s="3"/>
      <c r="D3429" s="3"/>
      <c r="E3429" s="3"/>
      <c r="F3429" s="3"/>
      <c r="G3429" s="3"/>
      <c r="H3429" s="3"/>
      <c r="I3429" s="3"/>
      <c r="J3429" s="3"/>
      <c r="K3429" s="3"/>
      <c r="L3429" s="3"/>
      <c r="M3429" s="3"/>
      <c r="N3429" s="3"/>
      <c r="O3429" s="3"/>
      <c r="P3429" s="3"/>
      <c r="Q3429" s="3"/>
      <c r="R3429" s="3"/>
      <c r="S3429" s="3"/>
      <c r="T3429" s="5"/>
      <c r="U3429" s="5"/>
      <c r="V3429" s="5"/>
      <c r="W3429" s="5"/>
    </row>
    <row r="3430" ht="15.75" customHeight="1">
      <c r="A3430" s="3" t="str">
        <f>IFERROR(__xludf.DUMMYFUNCTION("""COMPUTED_VALUE"""),"")</f>
        <v/>
      </c>
      <c r="B3430" s="3"/>
      <c r="C3430" s="3"/>
      <c r="D3430" s="3"/>
      <c r="E3430" s="3"/>
      <c r="F3430" s="3"/>
      <c r="G3430" s="3"/>
      <c r="H3430" s="3"/>
      <c r="I3430" s="3"/>
      <c r="J3430" s="3"/>
      <c r="K3430" s="3"/>
      <c r="L3430" s="3"/>
      <c r="M3430" s="3"/>
      <c r="N3430" s="3"/>
      <c r="O3430" s="3"/>
      <c r="P3430" s="3"/>
      <c r="Q3430" s="3"/>
      <c r="R3430" s="3"/>
      <c r="S3430" s="3"/>
      <c r="T3430" s="5"/>
      <c r="U3430" s="5"/>
      <c r="V3430" s="5"/>
      <c r="W3430" s="5"/>
    </row>
    <row r="3431" ht="15.75" customHeight="1">
      <c r="A3431" s="3" t="str">
        <f>IFERROR(__xludf.DUMMYFUNCTION("""COMPUTED_VALUE"""),"")</f>
        <v/>
      </c>
      <c r="B3431" s="3"/>
      <c r="C3431" s="3"/>
      <c r="D3431" s="3"/>
      <c r="E3431" s="3"/>
      <c r="F3431" s="3"/>
      <c r="G3431" s="3"/>
      <c r="H3431" s="3"/>
      <c r="I3431" s="3"/>
      <c r="J3431" s="3"/>
      <c r="K3431" s="3"/>
      <c r="L3431" s="3"/>
      <c r="M3431" s="3"/>
      <c r="N3431" s="3"/>
      <c r="O3431" s="3"/>
      <c r="P3431" s="3"/>
      <c r="Q3431" s="3"/>
      <c r="R3431" s="3"/>
      <c r="S3431" s="3"/>
      <c r="T3431" s="5"/>
      <c r="U3431" s="5"/>
      <c r="V3431" s="5"/>
      <c r="W3431" s="5"/>
    </row>
    <row r="3432" ht="15.75" customHeight="1">
      <c r="A3432" s="3" t="str">
        <f>IFERROR(__xludf.DUMMYFUNCTION("""COMPUTED_VALUE"""),"")</f>
        <v/>
      </c>
      <c r="B3432" s="3"/>
      <c r="C3432" s="3"/>
      <c r="D3432" s="3"/>
      <c r="E3432" s="3"/>
      <c r="F3432" s="3"/>
      <c r="G3432" s="3"/>
      <c r="H3432" s="3"/>
      <c r="I3432" s="3"/>
      <c r="J3432" s="3"/>
      <c r="K3432" s="3"/>
      <c r="L3432" s="3"/>
      <c r="M3432" s="3"/>
      <c r="N3432" s="3"/>
      <c r="O3432" s="3"/>
      <c r="P3432" s="3"/>
      <c r="Q3432" s="3"/>
      <c r="R3432" s="3"/>
      <c r="S3432" s="3"/>
      <c r="T3432" s="5"/>
      <c r="U3432" s="5"/>
      <c r="V3432" s="5"/>
      <c r="W3432" s="5"/>
    </row>
    <row r="3433" ht="15.75" customHeight="1">
      <c r="A3433" s="3" t="str">
        <f>IFERROR(__xludf.DUMMYFUNCTION("""COMPUTED_VALUE"""),"")</f>
        <v/>
      </c>
      <c r="B3433" s="3"/>
      <c r="C3433" s="3"/>
      <c r="D3433" s="3"/>
      <c r="E3433" s="3"/>
      <c r="F3433" s="3"/>
      <c r="G3433" s="3"/>
      <c r="H3433" s="3"/>
      <c r="I3433" s="3"/>
      <c r="J3433" s="3"/>
      <c r="K3433" s="3"/>
      <c r="L3433" s="3"/>
      <c r="M3433" s="3"/>
      <c r="N3433" s="3"/>
      <c r="O3433" s="3"/>
      <c r="P3433" s="3"/>
      <c r="Q3433" s="3"/>
      <c r="R3433" s="3"/>
      <c r="S3433" s="3"/>
      <c r="T3433" s="5"/>
      <c r="U3433" s="5"/>
      <c r="V3433" s="5"/>
      <c r="W3433" s="5"/>
    </row>
    <row r="3434" ht="15.75" customHeight="1">
      <c r="A3434" s="3" t="str">
        <f>IFERROR(__xludf.DUMMYFUNCTION("""COMPUTED_VALUE"""),"")</f>
        <v/>
      </c>
      <c r="B3434" s="3"/>
      <c r="C3434" s="3"/>
      <c r="D3434" s="3"/>
      <c r="E3434" s="3"/>
      <c r="F3434" s="3"/>
      <c r="G3434" s="3"/>
      <c r="H3434" s="3"/>
      <c r="I3434" s="3"/>
      <c r="J3434" s="3"/>
      <c r="K3434" s="3"/>
      <c r="L3434" s="3"/>
      <c r="M3434" s="3"/>
      <c r="N3434" s="3"/>
      <c r="O3434" s="3"/>
      <c r="P3434" s="3"/>
      <c r="Q3434" s="3"/>
      <c r="R3434" s="3"/>
      <c r="S3434" s="3"/>
      <c r="T3434" s="5"/>
      <c r="U3434" s="5"/>
      <c r="V3434" s="5"/>
      <c r="W3434" s="5"/>
    </row>
    <row r="3435" ht="15.75" customHeight="1">
      <c r="A3435" s="3" t="str">
        <f>IFERROR(__xludf.DUMMYFUNCTION("""COMPUTED_VALUE"""),"")</f>
        <v/>
      </c>
      <c r="B3435" s="3"/>
      <c r="C3435" s="3"/>
      <c r="D3435" s="3"/>
      <c r="E3435" s="3"/>
      <c r="F3435" s="3"/>
      <c r="G3435" s="3"/>
      <c r="H3435" s="3"/>
      <c r="I3435" s="3"/>
      <c r="J3435" s="3"/>
      <c r="K3435" s="3"/>
      <c r="L3435" s="3"/>
      <c r="M3435" s="3"/>
      <c r="N3435" s="3"/>
      <c r="O3435" s="3"/>
      <c r="P3435" s="3"/>
      <c r="Q3435" s="3"/>
      <c r="R3435" s="3"/>
      <c r="S3435" s="3"/>
      <c r="T3435" s="5"/>
      <c r="U3435" s="5"/>
      <c r="V3435" s="5"/>
      <c r="W3435" s="5"/>
    </row>
    <row r="3436" ht="15.75" customHeight="1">
      <c r="A3436" s="3" t="str">
        <f>IFERROR(__xludf.DUMMYFUNCTION("""COMPUTED_VALUE"""),"")</f>
        <v/>
      </c>
      <c r="B3436" s="3"/>
      <c r="C3436" s="3"/>
      <c r="D3436" s="3"/>
      <c r="E3436" s="3"/>
      <c r="F3436" s="3"/>
      <c r="G3436" s="3"/>
      <c r="H3436" s="3"/>
      <c r="I3436" s="3"/>
      <c r="J3436" s="3"/>
      <c r="K3436" s="3"/>
      <c r="L3436" s="3"/>
      <c r="M3436" s="3"/>
      <c r="N3436" s="3"/>
      <c r="O3436" s="3"/>
      <c r="P3436" s="3"/>
      <c r="Q3436" s="3"/>
      <c r="R3436" s="3"/>
      <c r="S3436" s="3"/>
      <c r="T3436" s="5"/>
      <c r="U3436" s="5"/>
      <c r="V3436" s="5"/>
      <c r="W3436" s="5"/>
    </row>
    <row r="3437" ht="15.75" customHeight="1">
      <c r="A3437" s="3" t="str">
        <f>IFERROR(__xludf.DUMMYFUNCTION("""COMPUTED_VALUE"""),"")</f>
        <v/>
      </c>
      <c r="B3437" s="3"/>
      <c r="C3437" s="3"/>
      <c r="D3437" s="3"/>
      <c r="E3437" s="3"/>
      <c r="F3437" s="3"/>
      <c r="G3437" s="3"/>
      <c r="H3437" s="3"/>
      <c r="I3437" s="3"/>
      <c r="J3437" s="3"/>
      <c r="K3437" s="3"/>
      <c r="L3437" s="3"/>
      <c r="M3437" s="3"/>
      <c r="N3437" s="3"/>
      <c r="O3437" s="3"/>
      <c r="P3437" s="3"/>
      <c r="Q3437" s="3"/>
      <c r="R3437" s="3"/>
      <c r="S3437" s="3"/>
      <c r="T3437" s="5"/>
      <c r="U3437" s="5"/>
      <c r="V3437" s="5"/>
      <c r="W3437" s="5"/>
    </row>
    <row r="3438" ht="15.75" customHeight="1">
      <c r="A3438" s="3" t="str">
        <f>IFERROR(__xludf.DUMMYFUNCTION("""COMPUTED_VALUE"""),"")</f>
        <v/>
      </c>
      <c r="B3438" s="3"/>
      <c r="C3438" s="3"/>
      <c r="D3438" s="3"/>
      <c r="E3438" s="3"/>
      <c r="F3438" s="3"/>
      <c r="G3438" s="3"/>
      <c r="H3438" s="3"/>
      <c r="I3438" s="3"/>
      <c r="J3438" s="3"/>
      <c r="K3438" s="3"/>
      <c r="L3438" s="3"/>
      <c r="M3438" s="3"/>
      <c r="N3438" s="3"/>
      <c r="O3438" s="3"/>
      <c r="P3438" s="3"/>
      <c r="Q3438" s="3"/>
      <c r="R3438" s="3"/>
      <c r="S3438" s="3"/>
      <c r="T3438" s="5"/>
      <c r="U3438" s="5"/>
      <c r="V3438" s="5"/>
      <c r="W3438" s="5"/>
    </row>
    <row r="3439" ht="15.75" customHeight="1">
      <c r="A3439" s="3" t="str">
        <f>IFERROR(__xludf.DUMMYFUNCTION("""COMPUTED_VALUE"""),"")</f>
        <v/>
      </c>
      <c r="B3439" s="3"/>
      <c r="C3439" s="3"/>
      <c r="D3439" s="3"/>
      <c r="E3439" s="3"/>
      <c r="F3439" s="3"/>
      <c r="G3439" s="3"/>
      <c r="H3439" s="3"/>
      <c r="I3439" s="3"/>
      <c r="J3439" s="3"/>
      <c r="K3439" s="3"/>
      <c r="L3439" s="3"/>
      <c r="M3439" s="3"/>
      <c r="N3439" s="3"/>
      <c r="O3439" s="3"/>
      <c r="P3439" s="3"/>
      <c r="Q3439" s="3"/>
      <c r="R3439" s="3"/>
      <c r="S3439" s="3"/>
      <c r="T3439" s="5"/>
      <c r="U3439" s="5"/>
      <c r="V3439" s="5"/>
      <c r="W3439" s="5"/>
    </row>
    <row r="3440" ht="15.75" customHeight="1">
      <c r="A3440" s="3" t="str">
        <f>IFERROR(__xludf.DUMMYFUNCTION("""COMPUTED_VALUE"""),"")</f>
        <v/>
      </c>
      <c r="B3440" s="3"/>
      <c r="C3440" s="3"/>
      <c r="D3440" s="3"/>
      <c r="E3440" s="3"/>
      <c r="F3440" s="3"/>
      <c r="G3440" s="3"/>
      <c r="H3440" s="3"/>
      <c r="I3440" s="3"/>
      <c r="J3440" s="3"/>
      <c r="K3440" s="3"/>
      <c r="L3440" s="3"/>
      <c r="M3440" s="3"/>
      <c r="N3440" s="3"/>
      <c r="O3440" s="3"/>
      <c r="P3440" s="3"/>
      <c r="Q3440" s="3"/>
      <c r="R3440" s="3"/>
      <c r="S3440" s="3"/>
      <c r="T3440" s="5"/>
      <c r="U3440" s="5"/>
      <c r="V3440" s="5"/>
      <c r="W3440" s="5"/>
    </row>
    <row r="3441" ht="15.75" customHeight="1">
      <c r="A3441" s="3" t="str">
        <f>IFERROR(__xludf.DUMMYFUNCTION("""COMPUTED_VALUE"""),"")</f>
        <v/>
      </c>
      <c r="B3441" s="3"/>
      <c r="C3441" s="3"/>
      <c r="D3441" s="3"/>
      <c r="E3441" s="3"/>
      <c r="F3441" s="3"/>
      <c r="G3441" s="3"/>
      <c r="H3441" s="3"/>
      <c r="I3441" s="3"/>
      <c r="J3441" s="3"/>
      <c r="K3441" s="3"/>
      <c r="L3441" s="3"/>
      <c r="M3441" s="3"/>
      <c r="N3441" s="3"/>
      <c r="O3441" s="3"/>
      <c r="P3441" s="3"/>
      <c r="Q3441" s="3"/>
      <c r="R3441" s="3"/>
      <c r="S3441" s="3"/>
      <c r="T3441" s="5"/>
      <c r="U3441" s="5"/>
      <c r="V3441" s="5"/>
      <c r="W3441" s="5"/>
    </row>
    <row r="3442" ht="15.75" customHeight="1">
      <c r="A3442" s="3" t="str">
        <f>IFERROR(__xludf.DUMMYFUNCTION("""COMPUTED_VALUE"""),"")</f>
        <v/>
      </c>
      <c r="B3442" s="3"/>
      <c r="C3442" s="3"/>
      <c r="D3442" s="3"/>
      <c r="E3442" s="3"/>
      <c r="F3442" s="3"/>
      <c r="G3442" s="3"/>
      <c r="H3442" s="3"/>
      <c r="I3442" s="3"/>
      <c r="J3442" s="3"/>
      <c r="K3442" s="3"/>
      <c r="L3442" s="3"/>
      <c r="M3442" s="3"/>
      <c r="N3442" s="3"/>
      <c r="O3442" s="3"/>
      <c r="P3442" s="3"/>
      <c r="Q3442" s="3"/>
      <c r="R3442" s="3"/>
      <c r="S3442" s="3"/>
      <c r="T3442" s="5"/>
      <c r="U3442" s="5"/>
      <c r="V3442" s="5"/>
      <c r="W3442" s="5"/>
    </row>
    <row r="3443" ht="15.75" customHeight="1">
      <c r="A3443" s="3" t="str">
        <f>IFERROR(__xludf.DUMMYFUNCTION("""COMPUTED_VALUE"""),"")</f>
        <v/>
      </c>
      <c r="B3443" s="3"/>
      <c r="C3443" s="3"/>
      <c r="D3443" s="3"/>
      <c r="E3443" s="3"/>
      <c r="F3443" s="3"/>
      <c r="G3443" s="3"/>
      <c r="H3443" s="3"/>
      <c r="I3443" s="3"/>
      <c r="J3443" s="3"/>
      <c r="K3443" s="3"/>
      <c r="L3443" s="3"/>
      <c r="M3443" s="3"/>
      <c r="N3443" s="3"/>
      <c r="O3443" s="3"/>
      <c r="P3443" s="3"/>
      <c r="Q3443" s="3"/>
      <c r="R3443" s="3"/>
      <c r="S3443" s="3"/>
      <c r="T3443" s="5"/>
      <c r="U3443" s="5"/>
      <c r="V3443" s="5"/>
      <c r="W3443" s="5"/>
    </row>
    <row r="3444" ht="15.75" customHeight="1">
      <c r="A3444" s="3" t="str">
        <f>IFERROR(__xludf.DUMMYFUNCTION("""COMPUTED_VALUE"""),"")</f>
        <v/>
      </c>
      <c r="B3444" s="3"/>
      <c r="C3444" s="3"/>
      <c r="D3444" s="3"/>
      <c r="E3444" s="3"/>
      <c r="F3444" s="3"/>
      <c r="G3444" s="3"/>
      <c r="H3444" s="3"/>
      <c r="I3444" s="3"/>
      <c r="J3444" s="3"/>
      <c r="K3444" s="3"/>
      <c r="L3444" s="3"/>
      <c r="M3444" s="3"/>
      <c r="N3444" s="3"/>
      <c r="O3444" s="3"/>
      <c r="P3444" s="3"/>
      <c r="Q3444" s="3"/>
      <c r="R3444" s="3"/>
      <c r="S3444" s="3"/>
      <c r="T3444" s="5"/>
      <c r="U3444" s="5"/>
      <c r="V3444" s="5"/>
      <c r="W3444" s="5"/>
    </row>
    <row r="3445" ht="15.75" customHeight="1">
      <c r="A3445" s="3" t="str">
        <f>IFERROR(__xludf.DUMMYFUNCTION("""COMPUTED_VALUE"""),"")</f>
        <v/>
      </c>
      <c r="B3445" s="3"/>
      <c r="C3445" s="3"/>
      <c r="D3445" s="3"/>
      <c r="E3445" s="3"/>
      <c r="F3445" s="3"/>
      <c r="G3445" s="3"/>
      <c r="H3445" s="3"/>
      <c r="I3445" s="3"/>
      <c r="J3445" s="3"/>
      <c r="K3445" s="3"/>
      <c r="L3445" s="3"/>
      <c r="M3445" s="3"/>
      <c r="N3445" s="3"/>
      <c r="O3445" s="3"/>
      <c r="P3445" s="3"/>
      <c r="Q3445" s="3"/>
      <c r="R3445" s="3"/>
      <c r="S3445" s="3"/>
      <c r="T3445" s="5"/>
      <c r="U3445" s="5"/>
      <c r="V3445" s="5"/>
      <c r="W3445" s="5"/>
    </row>
    <row r="3446" ht="15.75" customHeight="1">
      <c r="A3446" s="3" t="str">
        <f>IFERROR(__xludf.DUMMYFUNCTION("""COMPUTED_VALUE"""),"")</f>
        <v/>
      </c>
      <c r="B3446" s="3"/>
      <c r="C3446" s="3"/>
      <c r="D3446" s="3"/>
      <c r="E3446" s="3"/>
      <c r="F3446" s="3"/>
      <c r="G3446" s="3"/>
      <c r="H3446" s="3"/>
      <c r="I3446" s="3"/>
      <c r="J3446" s="3"/>
      <c r="K3446" s="3"/>
      <c r="L3446" s="3"/>
      <c r="M3446" s="3"/>
      <c r="N3446" s="3"/>
      <c r="O3446" s="3"/>
      <c r="P3446" s="3"/>
      <c r="Q3446" s="3"/>
      <c r="R3446" s="3"/>
      <c r="S3446" s="3"/>
      <c r="T3446" s="5"/>
      <c r="U3446" s="5"/>
      <c r="V3446" s="5"/>
      <c r="W3446" s="5"/>
    </row>
    <row r="3447" ht="15.75" customHeight="1">
      <c r="A3447" s="3" t="str">
        <f>IFERROR(__xludf.DUMMYFUNCTION("""COMPUTED_VALUE"""),"")</f>
        <v/>
      </c>
      <c r="B3447" s="3"/>
      <c r="C3447" s="3"/>
      <c r="D3447" s="3"/>
      <c r="E3447" s="3"/>
      <c r="F3447" s="3"/>
      <c r="G3447" s="3"/>
      <c r="H3447" s="3"/>
      <c r="I3447" s="3"/>
      <c r="J3447" s="3"/>
      <c r="K3447" s="3"/>
      <c r="L3447" s="3"/>
      <c r="M3447" s="3"/>
      <c r="N3447" s="3"/>
      <c r="O3447" s="3"/>
      <c r="P3447" s="3"/>
      <c r="Q3447" s="3"/>
      <c r="R3447" s="3"/>
      <c r="S3447" s="3"/>
      <c r="T3447" s="5"/>
      <c r="U3447" s="5"/>
      <c r="V3447" s="5"/>
      <c r="W3447" s="5"/>
    </row>
    <row r="3448" ht="15.75" customHeight="1">
      <c r="A3448" s="3" t="str">
        <f>IFERROR(__xludf.DUMMYFUNCTION("""COMPUTED_VALUE"""),"")</f>
        <v/>
      </c>
      <c r="B3448" s="3"/>
      <c r="C3448" s="3"/>
      <c r="D3448" s="3"/>
      <c r="E3448" s="3"/>
      <c r="F3448" s="3"/>
      <c r="G3448" s="3"/>
      <c r="H3448" s="3"/>
      <c r="I3448" s="3"/>
      <c r="J3448" s="3"/>
      <c r="K3448" s="3"/>
      <c r="L3448" s="3"/>
      <c r="M3448" s="3"/>
      <c r="N3448" s="3"/>
      <c r="O3448" s="3"/>
      <c r="P3448" s="3"/>
      <c r="Q3448" s="3"/>
      <c r="R3448" s="3"/>
      <c r="S3448" s="3"/>
      <c r="T3448" s="5"/>
      <c r="U3448" s="5"/>
      <c r="V3448" s="5"/>
      <c r="W3448" s="5"/>
    </row>
    <row r="3449" ht="15.75" customHeight="1">
      <c r="A3449" s="3" t="str">
        <f>IFERROR(__xludf.DUMMYFUNCTION("""COMPUTED_VALUE"""),"")</f>
        <v/>
      </c>
      <c r="B3449" s="3"/>
      <c r="C3449" s="3"/>
      <c r="D3449" s="3"/>
      <c r="E3449" s="3"/>
      <c r="F3449" s="3"/>
      <c r="G3449" s="3"/>
      <c r="H3449" s="3"/>
      <c r="I3449" s="3"/>
      <c r="J3449" s="3"/>
      <c r="K3449" s="3"/>
      <c r="L3449" s="3"/>
      <c r="M3449" s="3"/>
      <c r="N3449" s="3"/>
      <c r="O3449" s="3"/>
      <c r="P3449" s="3"/>
      <c r="Q3449" s="3"/>
      <c r="R3449" s="3"/>
      <c r="S3449" s="3"/>
      <c r="T3449" s="5"/>
      <c r="U3449" s="5"/>
      <c r="V3449" s="5"/>
      <c r="W3449" s="5"/>
    </row>
    <row r="3450" ht="15.75" customHeight="1">
      <c r="A3450" s="3" t="str">
        <f>IFERROR(__xludf.DUMMYFUNCTION("""COMPUTED_VALUE"""),"")</f>
        <v/>
      </c>
      <c r="B3450" s="3"/>
      <c r="C3450" s="3"/>
      <c r="D3450" s="3"/>
      <c r="E3450" s="3"/>
      <c r="F3450" s="3"/>
      <c r="G3450" s="3"/>
      <c r="H3450" s="3"/>
      <c r="I3450" s="3"/>
      <c r="J3450" s="3"/>
      <c r="K3450" s="3"/>
      <c r="L3450" s="3"/>
      <c r="M3450" s="3"/>
      <c r="N3450" s="3"/>
      <c r="O3450" s="3"/>
      <c r="P3450" s="3"/>
      <c r="Q3450" s="3"/>
      <c r="R3450" s="3"/>
      <c r="S3450" s="3"/>
      <c r="T3450" s="5"/>
      <c r="U3450" s="5"/>
      <c r="V3450" s="5"/>
      <c r="W3450" s="5"/>
    </row>
    <row r="3451" ht="15.75" customHeight="1">
      <c r="A3451" s="3" t="str">
        <f>IFERROR(__xludf.DUMMYFUNCTION("""COMPUTED_VALUE"""),"")</f>
        <v/>
      </c>
      <c r="B3451" s="3"/>
      <c r="C3451" s="3"/>
      <c r="D3451" s="3"/>
      <c r="E3451" s="3"/>
      <c r="F3451" s="3"/>
      <c r="G3451" s="3"/>
      <c r="H3451" s="3"/>
      <c r="I3451" s="3"/>
      <c r="J3451" s="3"/>
      <c r="K3451" s="3"/>
      <c r="L3451" s="3"/>
      <c r="M3451" s="3"/>
      <c r="N3451" s="3"/>
      <c r="O3451" s="3"/>
      <c r="P3451" s="3"/>
      <c r="Q3451" s="3"/>
      <c r="R3451" s="3"/>
      <c r="S3451" s="3"/>
      <c r="T3451" s="5"/>
      <c r="U3451" s="5"/>
      <c r="V3451" s="5"/>
      <c r="W3451" s="5"/>
    </row>
    <row r="3452" ht="15.75" customHeight="1">
      <c r="A3452" s="3" t="str">
        <f>IFERROR(__xludf.DUMMYFUNCTION("""COMPUTED_VALUE"""),"")</f>
        <v/>
      </c>
      <c r="B3452" s="3"/>
      <c r="C3452" s="3"/>
      <c r="D3452" s="3"/>
      <c r="E3452" s="3"/>
      <c r="F3452" s="3"/>
      <c r="G3452" s="3"/>
      <c r="H3452" s="3"/>
      <c r="I3452" s="3"/>
      <c r="J3452" s="3"/>
      <c r="K3452" s="3"/>
      <c r="L3452" s="3"/>
      <c r="M3452" s="3"/>
      <c r="N3452" s="3"/>
      <c r="O3452" s="3"/>
      <c r="P3452" s="3"/>
      <c r="Q3452" s="3"/>
      <c r="R3452" s="3"/>
      <c r="S3452" s="3"/>
      <c r="T3452" s="5"/>
      <c r="U3452" s="5"/>
      <c r="V3452" s="5"/>
      <c r="W3452" s="5"/>
    </row>
    <row r="3453" ht="15.75" customHeight="1">
      <c r="A3453" s="3" t="str">
        <f>IFERROR(__xludf.DUMMYFUNCTION("""COMPUTED_VALUE"""),"")</f>
        <v/>
      </c>
      <c r="B3453" s="3"/>
      <c r="C3453" s="3"/>
      <c r="D3453" s="3"/>
      <c r="E3453" s="3"/>
      <c r="F3453" s="3"/>
      <c r="G3453" s="3"/>
      <c r="H3453" s="3"/>
      <c r="I3453" s="3"/>
      <c r="J3453" s="3"/>
      <c r="K3453" s="3"/>
      <c r="L3453" s="3"/>
      <c r="M3453" s="3"/>
      <c r="N3453" s="3"/>
      <c r="O3453" s="3"/>
      <c r="P3453" s="3"/>
      <c r="Q3453" s="3"/>
      <c r="R3453" s="3"/>
      <c r="S3453" s="3"/>
      <c r="T3453" s="5"/>
      <c r="U3453" s="5"/>
      <c r="V3453" s="5"/>
      <c r="W3453" s="5"/>
    </row>
    <row r="3454" ht="15.75" customHeight="1">
      <c r="A3454" s="3" t="str">
        <f>IFERROR(__xludf.DUMMYFUNCTION("""COMPUTED_VALUE"""),"")</f>
        <v/>
      </c>
      <c r="B3454" s="3"/>
      <c r="C3454" s="3"/>
      <c r="D3454" s="3"/>
      <c r="E3454" s="3"/>
      <c r="F3454" s="3"/>
      <c r="G3454" s="3"/>
      <c r="H3454" s="3"/>
      <c r="I3454" s="3"/>
      <c r="J3454" s="3"/>
      <c r="K3454" s="3"/>
      <c r="L3454" s="3"/>
      <c r="M3454" s="3"/>
      <c r="N3454" s="3"/>
      <c r="O3454" s="3"/>
      <c r="P3454" s="3"/>
      <c r="Q3454" s="3"/>
      <c r="R3454" s="3"/>
      <c r="S3454" s="3"/>
      <c r="T3454" s="5"/>
      <c r="U3454" s="5"/>
      <c r="V3454" s="5"/>
      <c r="W3454" s="5"/>
    </row>
    <row r="3455" ht="15.75" customHeight="1">
      <c r="A3455" s="3" t="str">
        <f>IFERROR(__xludf.DUMMYFUNCTION("""COMPUTED_VALUE"""),"")</f>
        <v/>
      </c>
      <c r="B3455" s="3"/>
      <c r="C3455" s="3"/>
      <c r="D3455" s="3"/>
      <c r="E3455" s="3"/>
      <c r="F3455" s="3"/>
      <c r="G3455" s="3"/>
      <c r="H3455" s="3"/>
      <c r="I3455" s="3"/>
      <c r="J3455" s="3"/>
      <c r="K3455" s="3"/>
      <c r="L3455" s="3"/>
      <c r="M3455" s="3"/>
      <c r="N3455" s="3"/>
      <c r="O3455" s="3"/>
      <c r="P3455" s="3"/>
      <c r="Q3455" s="3"/>
      <c r="R3455" s="3"/>
      <c r="S3455" s="3"/>
      <c r="T3455" s="5"/>
      <c r="U3455" s="5"/>
      <c r="V3455" s="5"/>
      <c r="W3455" s="5"/>
    </row>
    <row r="3456" ht="15.75" customHeight="1">
      <c r="A3456" s="3" t="str">
        <f>IFERROR(__xludf.DUMMYFUNCTION("""COMPUTED_VALUE"""),"")</f>
        <v/>
      </c>
      <c r="B3456" s="3"/>
      <c r="C3456" s="3"/>
      <c r="D3456" s="3"/>
      <c r="E3456" s="3"/>
      <c r="F3456" s="3"/>
      <c r="G3456" s="3"/>
      <c r="H3456" s="3"/>
      <c r="I3456" s="3"/>
      <c r="J3456" s="3"/>
      <c r="K3456" s="3"/>
      <c r="L3456" s="3"/>
      <c r="M3456" s="3"/>
      <c r="N3456" s="3"/>
      <c r="O3456" s="3"/>
      <c r="P3456" s="3"/>
      <c r="Q3456" s="3"/>
      <c r="R3456" s="3"/>
      <c r="S3456" s="3"/>
      <c r="T3456" s="5"/>
      <c r="U3456" s="5"/>
      <c r="V3456" s="5"/>
      <c r="W3456" s="5"/>
    </row>
    <row r="3457" ht="15.75" customHeight="1">
      <c r="A3457" s="3" t="str">
        <f>IFERROR(__xludf.DUMMYFUNCTION("""COMPUTED_VALUE"""),"")</f>
        <v/>
      </c>
      <c r="B3457" s="3"/>
      <c r="C3457" s="3"/>
      <c r="D3457" s="3"/>
      <c r="E3457" s="3"/>
      <c r="F3457" s="3"/>
      <c r="G3457" s="3"/>
      <c r="H3457" s="3"/>
      <c r="I3457" s="3"/>
      <c r="J3457" s="3"/>
      <c r="K3457" s="3"/>
      <c r="L3457" s="3"/>
      <c r="M3457" s="3"/>
      <c r="N3457" s="3"/>
      <c r="O3457" s="3"/>
      <c r="P3457" s="3"/>
      <c r="Q3457" s="3"/>
      <c r="R3457" s="3"/>
      <c r="S3457" s="3"/>
      <c r="T3457" s="5"/>
      <c r="U3457" s="5"/>
      <c r="V3457" s="5"/>
      <c r="W3457" s="5"/>
    </row>
    <row r="3458" ht="15.75" customHeight="1">
      <c r="A3458" s="3" t="str">
        <f>IFERROR(__xludf.DUMMYFUNCTION("""COMPUTED_VALUE"""),"")</f>
        <v/>
      </c>
      <c r="B3458" s="3"/>
      <c r="C3458" s="3"/>
      <c r="D3458" s="3"/>
      <c r="E3458" s="3"/>
      <c r="F3458" s="3"/>
      <c r="G3458" s="3"/>
      <c r="H3458" s="3"/>
      <c r="I3458" s="3"/>
      <c r="J3458" s="3"/>
      <c r="K3458" s="3"/>
      <c r="L3458" s="3"/>
      <c r="M3458" s="3"/>
      <c r="N3458" s="3"/>
      <c r="O3458" s="3"/>
      <c r="P3458" s="3"/>
      <c r="Q3458" s="3"/>
      <c r="R3458" s="3"/>
      <c r="S3458" s="3"/>
      <c r="T3458" s="5"/>
      <c r="U3458" s="5"/>
      <c r="V3458" s="5"/>
      <c r="W3458" s="5"/>
    </row>
    <row r="3459" ht="15.75" customHeight="1">
      <c r="A3459" s="3" t="str">
        <f>IFERROR(__xludf.DUMMYFUNCTION("""COMPUTED_VALUE"""),"")</f>
        <v/>
      </c>
      <c r="B3459" s="3"/>
      <c r="C3459" s="3"/>
      <c r="D3459" s="3"/>
      <c r="E3459" s="3"/>
      <c r="F3459" s="3"/>
      <c r="G3459" s="3"/>
      <c r="H3459" s="3"/>
      <c r="I3459" s="3"/>
      <c r="J3459" s="3"/>
      <c r="K3459" s="3"/>
      <c r="L3459" s="3"/>
      <c r="M3459" s="3"/>
      <c r="N3459" s="3"/>
      <c r="O3459" s="3"/>
      <c r="P3459" s="3"/>
      <c r="Q3459" s="3"/>
      <c r="R3459" s="3"/>
      <c r="S3459" s="3"/>
      <c r="T3459" s="5"/>
      <c r="U3459" s="5"/>
      <c r="V3459" s="5"/>
      <c r="W3459" s="5"/>
    </row>
    <row r="3460" ht="15.75" customHeight="1">
      <c r="A3460" s="3" t="str">
        <f>IFERROR(__xludf.DUMMYFUNCTION("""COMPUTED_VALUE"""),"")</f>
        <v/>
      </c>
      <c r="B3460" s="3"/>
      <c r="C3460" s="3"/>
      <c r="D3460" s="3"/>
      <c r="E3460" s="3"/>
      <c r="F3460" s="3"/>
      <c r="G3460" s="3"/>
      <c r="H3460" s="3"/>
      <c r="I3460" s="3"/>
      <c r="J3460" s="3"/>
      <c r="K3460" s="3"/>
      <c r="L3460" s="3"/>
      <c r="M3460" s="3"/>
      <c r="N3460" s="3"/>
      <c r="O3460" s="3"/>
      <c r="P3460" s="3"/>
      <c r="Q3460" s="3"/>
      <c r="R3460" s="3"/>
      <c r="S3460" s="3"/>
      <c r="T3460" s="5"/>
      <c r="U3460" s="5"/>
      <c r="V3460" s="5"/>
      <c r="W3460" s="5"/>
    </row>
    <row r="3461" ht="15.75" customHeight="1">
      <c r="A3461" s="3" t="str">
        <f>IFERROR(__xludf.DUMMYFUNCTION("""COMPUTED_VALUE"""),"")</f>
        <v/>
      </c>
      <c r="B3461" s="3"/>
      <c r="C3461" s="3"/>
      <c r="D3461" s="3"/>
      <c r="E3461" s="3"/>
      <c r="F3461" s="3"/>
      <c r="G3461" s="3"/>
      <c r="H3461" s="3"/>
      <c r="I3461" s="3"/>
      <c r="J3461" s="3"/>
      <c r="K3461" s="3"/>
      <c r="L3461" s="3"/>
      <c r="M3461" s="3"/>
      <c r="N3461" s="3"/>
      <c r="O3461" s="3"/>
      <c r="P3461" s="3"/>
      <c r="Q3461" s="3"/>
      <c r="R3461" s="3"/>
      <c r="S3461" s="3"/>
      <c r="T3461" s="5"/>
      <c r="U3461" s="5"/>
      <c r="V3461" s="5"/>
      <c r="W3461" s="5"/>
    </row>
    <row r="3462" ht="15.75" customHeight="1">
      <c r="A3462" s="3" t="str">
        <f>IFERROR(__xludf.DUMMYFUNCTION("""COMPUTED_VALUE"""),"")</f>
        <v/>
      </c>
      <c r="B3462" s="3"/>
      <c r="C3462" s="3"/>
      <c r="D3462" s="3"/>
      <c r="E3462" s="3"/>
      <c r="F3462" s="3"/>
      <c r="G3462" s="3"/>
      <c r="H3462" s="3"/>
      <c r="I3462" s="3"/>
      <c r="J3462" s="3"/>
      <c r="K3462" s="3"/>
      <c r="L3462" s="3"/>
      <c r="M3462" s="3"/>
      <c r="N3462" s="3"/>
      <c r="O3462" s="3"/>
      <c r="P3462" s="3"/>
      <c r="Q3462" s="3"/>
      <c r="R3462" s="3"/>
      <c r="S3462" s="3"/>
      <c r="T3462" s="5"/>
      <c r="U3462" s="5"/>
      <c r="V3462" s="5"/>
      <c r="W3462" s="5"/>
    </row>
    <row r="3463" ht="15.75" customHeight="1">
      <c r="A3463" s="3" t="str">
        <f>IFERROR(__xludf.DUMMYFUNCTION("""COMPUTED_VALUE"""),"")</f>
        <v/>
      </c>
      <c r="B3463" s="3"/>
      <c r="C3463" s="3"/>
      <c r="D3463" s="3"/>
      <c r="E3463" s="3"/>
      <c r="F3463" s="3"/>
      <c r="G3463" s="3"/>
      <c r="H3463" s="3"/>
      <c r="I3463" s="3"/>
      <c r="J3463" s="3"/>
      <c r="K3463" s="3"/>
      <c r="L3463" s="3"/>
      <c r="M3463" s="3"/>
      <c r="N3463" s="3"/>
      <c r="O3463" s="3"/>
      <c r="P3463" s="3"/>
      <c r="Q3463" s="3"/>
      <c r="R3463" s="3"/>
      <c r="S3463" s="3"/>
      <c r="T3463" s="5"/>
      <c r="U3463" s="5"/>
      <c r="V3463" s="5"/>
      <c r="W3463" s="5"/>
    </row>
    <row r="3464" ht="15.75" customHeight="1">
      <c r="A3464" s="3" t="str">
        <f>IFERROR(__xludf.DUMMYFUNCTION("""COMPUTED_VALUE"""),"")</f>
        <v/>
      </c>
      <c r="B3464" s="3"/>
      <c r="C3464" s="3"/>
      <c r="D3464" s="3"/>
      <c r="E3464" s="3"/>
      <c r="F3464" s="3"/>
      <c r="G3464" s="3"/>
      <c r="H3464" s="3"/>
      <c r="I3464" s="3"/>
      <c r="J3464" s="3"/>
      <c r="K3464" s="3"/>
      <c r="L3464" s="3"/>
      <c r="M3464" s="3"/>
      <c r="N3464" s="3"/>
      <c r="O3464" s="3"/>
      <c r="P3464" s="3"/>
      <c r="Q3464" s="3"/>
      <c r="R3464" s="3"/>
      <c r="S3464" s="3"/>
      <c r="T3464" s="5"/>
      <c r="U3464" s="5"/>
      <c r="V3464" s="5"/>
      <c r="W3464" s="5"/>
    </row>
    <row r="3465" ht="15.75" customHeight="1">
      <c r="A3465" s="3" t="str">
        <f>IFERROR(__xludf.DUMMYFUNCTION("""COMPUTED_VALUE"""),"")</f>
        <v/>
      </c>
      <c r="B3465" s="3"/>
      <c r="C3465" s="3"/>
      <c r="D3465" s="3"/>
      <c r="E3465" s="3"/>
      <c r="F3465" s="3"/>
      <c r="G3465" s="3"/>
      <c r="H3465" s="3"/>
      <c r="I3465" s="3"/>
      <c r="J3465" s="3"/>
      <c r="K3465" s="3"/>
      <c r="L3465" s="3"/>
      <c r="M3465" s="3"/>
      <c r="N3465" s="3"/>
      <c r="O3465" s="3"/>
      <c r="P3465" s="3"/>
      <c r="Q3465" s="3"/>
      <c r="R3465" s="3"/>
      <c r="S3465" s="3"/>
      <c r="T3465" s="5"/>
      <c r="U3465" s="5"/>
      <c r="V3465" s="5"/>
      <c r="W3465" s="5"/>
    </row>
    <row r="3466" ht="15.75" customHeight="1">
      <c r="A3466" s="3" t="str">
        <f>IFERROR(__xludf.DUMMYFUNCTION("""COMPUTED_VALUE"""),"")</f>
        <v/>
      </c>
      <c r="B3466" s="3"/>
      <c r="C3466" s="3"/>
      <c r="D3466" s="3"/>
      <c r="E3466" s="3"/>
      <c r="F3466" s="3"/>
      <c r="G3466" s="3"/>
      <c r="H3466" s="3"/>
      <c r="I3466" s="3"/>
      <c r="J3466" s="3"/>
      <c r="K3466" s="3"/>
      <c r="L3466" s="3"/>
      <c r="M3466" s="3"/>
      <c r="N3466" s="3"/>
      <c r="O3466" s="3"/>
      <c r="P3466" s="3"/>
      <c r="Q3466" s="3"/>
      <c r="R3466" s="3"/>
      <c r="S3466" s="3"/>
      <c r="T3466" s="5"/>
      <c r="U3466" s="5"/>
      <c r="V3466" s="5"/>
      <c r="W3466" s="5"/>
    </row>
    <row r="3467" ht="15.75" customHeight="1">
      <c r="A3467" s="3" t="str">
        <f>IFERROR(__xludf.DUMMYFUNCTION("""COMPUTED_VALUE"""),"")</f>
        <v/>
      </c>
      <c r="B3467" s="3"/>
      <c r="C3467" s="3"/>
      <c r="D3467" s="3"/>
      <c r="E3467" s="3"/>
      <c r="F3467" s="3"/>
      <c r="G3467" s="3"/>
      <c r="H3467" s="3"/>
      <c r="I3467" s="3"/>
      <c r="J3467" s="3"/>
      <c r="K3467" s="3"/>
      <c r="L3467" s="3"/>
      <c r="M3467" s="3"/>
      <c r="N3467" s="3"/>
      <c r="O3467" s="3"/>
      <c r="P3467" s="3"/>
      <c r="Q3467" s="3"/>
      <c r="R3467" s="3"/>
      <c r="S3467" s="3"/>
      <c r="T3467" s="5"/>
      <c r="U3467" s="5"/>
      <c r="V3467" s="5"/>
      <c r="W3467" s="5"/>
    </row>
    <row r="3468" ht="15.75" customHeight="1">
      <c r="A3468" s="3" t="str">
        <f>IFERROR(__xludf.DUMMYFUNCTION("""COMPUTED_VALUE"""),"")</f>
        <v/>
      </c>
      <c r="B3468" s="3"/>
      <c r="C3468" s="3"/>
      <c r="D3468" s="3"/>
      <c r="E3468" s="3"/>
      <c r="F3468" s="3"/>
      <c r="G3468" s="3"/>
      <c r="H3468" s="3"/>
      <c r="I3468" s="3"/>
      <c r="J3468" s="3"/>
      <c r="K3468" s="3"/>
      <c r="L3468" s="3"/>
      <c r="M3468" s="3"/>
      <c r="N3468" s="3"/>
      <c r="O3468" s="3"/>
      <c r="P3468" s="3"/>
      <c r="Q3468" s="3"/>
      <c r="R3468" s="3"/>
      <c r="S3468" s="3"/>
      <c r="T3468" s="5"/>
      <c r="U3468" s="5"/>
      <c r="V3468" s="5"/>
      <c r="W3468" s="5"/>
    </row>
    <row r="3469" ht="15.75" customHeight="1">
      <c r="A3469" s="3" t="str">
        <f>IFERROR(__xludf.DUMMYFUNCTION("""COMPUTED_VALUE"""),"")</f>
        <v/>
      </c>
      <c r="B3469" s="3"/>
      <c r="C3469" s="3"/>
      <c r="D3469" s="3"/>
      <c r="E3469" s="3"/>
      <c r="F3469" s="3"/>
      <c r="G3469" s="3"/>
      <c r="H3469" s="3"/>
      <c r="I3469" s="3"/>
      <c r="J3469" s="3"/>
      <c r="K3469" s="3"/>
      <c r="L3469" s="3"/>
      <c r="M3469" s="3"/>
      <c r="N3469" s="3"/>
      <c r="O3469" s="3"/>
      <c r="P3469" s="3"/>
      <c r="Q3469" s="3"/>
      <c r="R3469" s="3"/>
      <c r="S3469" s="3"/>
      <c r="T3469" s="5"/>
      <c r="U3469" s="5"/>
      <c r="V3469" s="5"/>
      <c r="W3469" s="5"/>
    </row>
    <row r="3470" ht="15.75" customHeight="1">
      <c r="A3470" s="3" t="str">
        <f>IFERROR(__xludf.DUMMYFUNCTION("""COMPUTED_VALUE"""),"")</f>
        <v/>
      </c>
      <c r="B3470" s="3"/>
      <c r="C3470" s="3"/>
      <c r="D3470" s="3"/>
      <c r="E3470" s="3"/>
      <c r="F3470" s="3"/>
      <c r="G3470" s="3"/>
      <c r="H3470" s="3"/>
      <c r="I3470" s="3"/>
      <c r="J3470" s="3"/>
      <c r="K3470" s="3"/>
      <c r="L3470" s="3"/>
      <c r="M3470" s="3"/>
      <c r="N3470" s="3"/>
      <c r="O3470" s="3"/>
      <c r="P3470" s="3"/>
      <c r="Q3470" s="3"/>
      <c r="R3470" s="3"/>
      <c r="S3470" s="3"/>
      <c r="T3470" s="5"/>
      <c r="U3470" s="5"/>
      <c r="V3470" s="5"/>
      <c r="W3470" s="5"/>
    </row>
    <row r="3471" ht="15.75" customHeight="1">
      <c r="A3471" s="3" t="str">
        <f>IFERROR(__xludf.DUMMYFUNCTION("""COMPUTED_VALUE"""),"")</f>
        <v/>
      </c>
      <c r="B3471" s="3"/>
      <c r="C3471" s="3"/>
      <c r="D3471" s="3"/>
      <c r="E3471" s="3"/>
      <c r="F3471" s="3"/>
      <c r="G3471" s="3"/>
      <c r="H3471" s="3"/>
      <c r="I3471" s="3"/>
      <c r="J3471" s="3"/>
      <c r="K3471" s="3"/>
      <c r="L3471" s="3"/>
      <c r="M3471" s="3"/>
      <c r="N3471" s="3"/>
      <c r="O3471" s="3"/>
      <c r="P3471" s="3"/>
      <c r="Q3471" s="3"/>
      <c r="R3471" s="3"/>
      <c r="S3471" s="3"/>
      <c r="T3471" s="5"/>
      <c r="U3471" s="5"/>
      <c r="V3471" s="5"/>
      <c r="W3471" s="5"/>
    </row>
    <row r="3472" ht="15.75" customHeight="1">
      <c r="A3472" s="3" t="str">
        <f>IFERROR(__xludf.DUMMYFUNCTION("""COMPUTED_VALUE"""),"")</f>
        <v/>
      </c>
      <c r="B3472" s="3"/>
      <c r="C3472" s="3"/>
      <c r="D3472" s="3"/>
      <c r="E3472" s="3"/>
      <c r="F3472" s="3"/>
      <c r="G3472" s="3"/>
      <c r="H3472" s="3"/>
      <c r="I3472" s="3"/>
      <c r="J3472" s="3"/>
      <c r="K3472" s="3"/>
      <c r="L3472" s="3"/>
      <c r="M3472" s="3"/>
      <c r="N3472" s="3"/>
      <c r="O3472" s="3"/>
      <c r="P3472" s="3"/>
      <c r="Q3472" s="3"/>
      <c r="R3472" s="3"/>
      <c r="S3472" s="3"/>
      <c r="T3472" s="5"/>
      <c r="U3472" s="5"/>
      <c r="V3472" s="5"/>
      <c r="W3472" s="5"/>
    </row>
    <row r="3473" ht="15.75" customHeight="1">
      <c r="A3473" s="3" t="str">
        <f>IFERROR(__xludf.DUMMYFUNCTION("""COMPUTED_VALUE"""),"")</f>
        <v/>
      </c>
      <c r="B3473" s="3"/>
      <c r="C3473" s="3"/>
      <c r="D3473" s="3"/>
      <c r="E3473" s="3"/>
      <c r="F3473" s="3"/>
      <c r="G3473" s="3"/>
      <c r="H3473" s="3"/>
      <c r="I3473" s="3"/>
      <c r="J3473" s="3"/>
      <c r="K3473" s="3"/>
      <c r="L3473" s="3"/>
      <c r="M3473" s="3"/>
      <c r="N3473" s="3"/>
      <c r="O3473" s="3"/>
      <c r="P3473" s="3"/>
      <c r="Q3473" s="3"/>
      <c r="R3473" s="3"/>
      <c r="S3473" s="3"/>
      <c r="T3473" s="5"/>
      <c r="U3473" s="5"/>
      <c r="V3473" s="5"/>
      <c r="W3473" s="5"/>
    </row>
    <row r="3474" ht="15.75" customHeight="1">
      <c r="A3474" s="3" t="str">
        <f>IFERROR(__xludf.DUMMYFUNCTION("""COMPUTED_VALUE"""),"")</f>
        <v/>
      </c>
      <c r="B3474" s="3"/>
      <c r="C3474" s="3"/>
      <c r="D3474" s="3"/>
      <c r="E3474" s="3"/>
      <c r="F3474" s="3"/>
      <c r="G3474" s="3"/>
      <c r="H3474" s="3"/>
      <c r="I3474" s="3"/>
      <c r="J3474" s="3"/>
      <c r="K3474" s="3"/>
      <c r="L3474" s="3"/>
      <c r="M3474" s="3"/>
      <c r="N3474" s="3"/>
      <c r="O3474" s="3"/>
      <c r="P3474" s="3"/>
      <c r="Q3474" s="3"/>
      <c r="R3474" s="3"/>
      <c r="S3474" s="3"/>
      <c r="T3474" s="5"/>
      <c r="U3474" s="5"/>
      <c r="V3474" s="5"/>
      <c r="W3474" s="5"/>
    </row>
    <row r="3475" ht="15.75" customHeight="1">
      <c r="A3475" s="3" t="str">
        <f>IFERROR(__xludf.DUMMYFUNCTION("""COMPUTED_VALUE"""),"")</f>
        <v/>
      </c>
      <c r="B3475" s="3"/>
      <c r="C3475" s="3"/>
      <c r="D3475" s="3"/>
      <c r="E3475" s="3"/>
      <c r="F3475" s="3"/>
      <c r="G3475" s="3"/>
      <c r="H3475" s="3"/>
      <c r="I3475" s="3"/>
      <c r="J3475" s="3"/>
      <c r="K3475" s="3"/>
      <c r="L3475" s="3"/>
      <c r="M3475" s="3"/>
      <c r="N3475" s="3"/>
      <c r="O3475" s="3"/>
      <c r="P3475" s="3"/>
      <c r="Q3475" s="3"/>
      <c r="R3475" s="3"/>
      <c r="S3475" s="3"/>
      <c r="T3475" s="5"/>
      <c r="U3475" s="5"/>
      <c r="V3475" s="5"/>
      <c r="W3475" s="5"/>
    </row>
    <row r="3476" ht="15.75" customHeight="1">
      <c r="A3476" s="3" t="str">
        <f>IFERROR(__xludf.DUMMYFUNCTION("""COMPUTED_VALUE"""),"")</f>
        <v/>
      </c>
      <c r="B3476" s="3"/>
      <c r="C3476" s="3"/>
      <c r="D3476" s="3"/>
      <c r="E3476" s="3"/>
      <c r="F3476" s="3"/>
      <c r="G3476" s="3"/>
      <c r="H3476" s="3"/>
      <c r="I3476" s="3"/>
      <c r="J3476" s="3"/>
      <c r="K3476" s="3"/>
      <c r="L3476" s="3"/>
      <c r="M3476" s="3"/>
      <c r="N3476" s="3"/>
      <c r="O3476" s="3"/>
      <c r="P3476" s="3"/>
      <c r="Q3476" s="3"/>
      <c r="R3476" s="3"/>
      <c r="S3476" s="3"/>
      <c r="T3476" s="5"/>
      <c r="U3476" s="5"/>
      <c r="V3476" s="5"/>
      <c r="W3476" s="5"/>
    </row>
    <row r="3477" ht="15.75" customHeight="1">
      <c r="A3477" s="3" t="str">
        <f>IFERROR(__xludf.DUMMYFUNCTION("""COMPUTED_VALUE"""),"")</f>
        <v/>
      </c>
      <c r="B3477" s="3"/>
      <c r="C3477" s="3"/>
      <c r="D3477" s="3"/>
      <c r="E3477" s="3"/>
      <c r="F3477" s="3"/>
      <c r="G3477" s="3"/>
      <c r="H3477" s="3"/>
      <c r="I3477" s="3"/>
      <c r="J3477" s="3"/>
      <c r="K3477" s="3"/>
      <c r="L3477" s="3"/>
      <c r="M3477" s="3"/>
      <c r="N3477" s="3"/>
      <c r="O3477" s="3"/>
      <c r="P3477" s="3"/>
      <c r="Q3477" s="3"/>
      <c r="R3477" s="3"/>
      <c r="S3477" s="3"/>
      <c r="T3477" s="5"/>
      <c r="U3477" s="5"/>
      <c r="V3477" s="5"/>
      <c r="W3477" s="5"/>
    </row>
    <row r="3478" ht="15.75" customHeight="1">
      <c r="A3478" s="3" t="str">
        <f>IFERROR(__xludf.DUMMYFUNCTION("""COMPUTED_VALUE"""),"")</f>
        <v/>
      </c>
      <c r="B3478" s="3"/>
      <c r="C3478" s="3"/>
      <c r="D3478" s="3"/>
      <c r="E3478" s="3"/>
      <c r="F3478" s="3"/>
      <c r="G3478" s="3"/>
      <c r="H3478" s="3"/>
      <c r="I3478" s="3"/>
      <c r="J3478" s="3"/>
      <c r="K3478" s="3"/>
      <c r="L3478" s="3"/>
      <c r="M3478" s="3"/>
      <c r="N3478" s="3"/>
      <c r="O3478" s="3"/>
      <c r="P3478" s="3"/>
      <c r="Q3478" s="3"/>
      <c r="R3478" s="3"/>
      <c r="S3478" s="3"/>
      <c r="T3478" s="5"/>
      <c r="U3478" s="5"/>
      <c r="V3478" s="5"/>
      <c r="W3478" s="5"/>
    </row>
    <row r="3479" ht="15.75" customHeight="1">
      <c r="A3479" s="3" t="str">
        <f>IFERROR(__xludf.DUMMYFUNCTION("""COMPUTED_VALUE"""),"")</f>
        <v/>
      </c>
      <c r="B3479" s="3"/>
      <c r="C3479" s="3"/>
      <c r="D3479" s="3"/>
      <c r="E3479" s="3"/>
      <c r="F3479" s="3"/>
      <c r="G3479" s="3"/>
      <c r="H3479" s="3"/>
      <c r="I3479" s="3"/>
      <c r="J3479" s="3"/>
      <c r="K3479" s="3"/>
      <c r="L3479" s="3"/>
      <c r="M3479" s="3"/>
      <c r="N3479" s="3"/>
      <c r="O3479" s="3"/>
      <c r="P3479" s="3"/>
      <c r="Q3479" s="3"/>
      <c r="R3479" s="3"/>
      <c r="S3479" s="3"/>
      <c r="T3479" s="5"/>
      <c r="U3479" s="5"/>
      <c r="V3479" s="5"/>
      <c r="W3479" s="5"/>
    </row>
    <row r="3480" ht="15.75" customHeight="1">
      <c r="A3480" s="3" t="str">
        <f>IFERROR(__xludf.DUMMYFUNCTION("""COMPUTED_VALUE"""),"")</f>
        <v/>
      </c>
      <c r="B3480" s="3"/>
      <c r="C3480" s="3"/>
      <c r="D3480" s="3"/>
      <c r="E3480" s="3"/>
      <c r="F3480" s="3"/>
      <c r="G3480" s="3"/>
      <c r="H3480" s="3"/>
      <c r="I3480" s="3"/>
      <c r="J3480" s="3"/>
      <c r="K3480" s="3"/>
      <c r="L3480" s="3"/>
      <c r="M3480" s="3"/>
      <c r="N3480" s="3"/>
      <c r="O3480" s="3"/>
      <c r="P3480" s="3"/>
      <c r="Q3480" s="3"/>
      <c r="R3480" s="3"/>
      <c r="S3480" s="3"/>
      <c r="T3480" s="5"/>
      <c r="U3480" s="5"/>
      <c r="V3480" s="5"/>
      <c r="W3480" s="5"/>
    </row>
    <row r="3481" ht="15.75" customHeight="1">
      <c r="A3481" s="3" t="str">
        <f>IFERROR(__xludf.DUMMYFUNCTION("""COMPUTED_VALUE"""),"")</f>
        <v/>
      </c>
      <c r="B3481" s="3"/>
      <c r="C3481" s="3"/>
      <c r="D3481" s="3"/>
      <c r="E3481" s="3"/>
      <c r="F3481" s="3"/>
      <c r="G3481" s="3"/>
      <c r="H3481" s="3"/>
      <c r="I3481" s="3"/>
      <c r="J3481" s="3"/>
      <c r="K3481" s="3"/>
      <c r="L3481" s="3"/>
      <c r="M3481" s="3"/>
      <c r="N3481" s="3"/>
      <c r="O3481" s="3"/>
      <c r="P3481" s="3"/>
      <c r="Q3481" s="3"/>
      <c r="R3481" s="3"/>
      <c r="S3481" s="3"/>
      <c r="T3481" s="5"/>
      <c r="U3481" s="5"/>
      <c r="V3481" s="5"/>
      <c r="W3481" s="5"/>
    </row>
    <row r="3482" ht="15.75" customHeight="1">
      <c r="A3482" s="3" t="str">
        <f>IFERROR(__xludf.DUMMYFUNCTION("""COMPUTED_VALUE"""),"")</f>
        <v/>
      </c>
      <c r="B3482" s="3"/>
      <c r="C3482" s="3"/>
      <c r="D3482" s="3"/>
      <c r="E3482" s="3"/>
      <c r="F3482" s="3"/>
      <c r="G3482" s="3"/>
      <c r="H3482" s="3"/>
      <c r="I3482" s="3"/>
      <c r="J3482" s="3"/>
      <c r="K3482" s="3"/>
      <c r="L3482" s="3"/>
      <c r="M3482" s="3"/>
      <c r="N3482" s="3"/>
      <c r="O3482" s="3"/>
      <c r="P3482" s="3"/>
      <c r="Q3482" s="3"/>
      <c r="R3482" s="3"/>
      <c r="S3482" s="3"/>
      <c r="T3482" s="5"/>
      <c r="U3482" s="5"/>
      <c r="V3482" s="5"/>
      <c r="W3482" s="5"/>
    </row>
    <row r="3483" ht="15.75" customHeight="1">
      <c r="A3483" s="3" t="str">
        <f>IFERROR(__xludf.DUMMYFUNCTION("""COMPUTED_VALUE"""),"")</f>
        <v/>
      </c>
      <c r="B3483" s="3"/>
      <c r="C3483" s="3"/>
      <c r="D3483" s="3"/>
      <c r="E3483" s="3"/>
      <c r="F3483" s="3"/>
      <c r="G3483" s="3"/>
      <c r="H3483" s="3"/>
      <c r="I3483" s="3"/>
      <c r="J3483" s="3"/>
      <c r="K3483" s="3"/>
      <c r="L3483" s="3"/>
      <c r="M3483" s="3"/>
      <c r="N3483" s="3"/>
      <c r="O3483" s="3"/>
      <c r="P3483" s="3"/>
      <c r="Q3483" s="3"/>
      <c r="R3483" s="3"/>
      <c r="S3483" s="3"/>
      <c r="T3483" s="5"/>
      <c r="U3483" s="5"/>
      <c r="V3483" s="5"/>
      <c r="W3483" s="5"/>
    </row>
    <row r="3484" ht="15.75" customHeight="1">
      <c r="A3484" s="3" t="str">
        <f>IFERROR(__xludf.DUMMYFUNCTION("""COMPUTED_VALUE"""),"")</f>
        <v/>
      </c>
      <c r="B3484" s="3"/>
      <c r="C3484" s="3"/>
      <c r="D3484" s="3"/>
      <c r="E3484" s="3"/>
      <c r="F3484" s="3"/>
      <c r="G3484" s="3"/>
      <c r="H3484" s="3"/>
      <c r="I3484" s="3"/>
      <c r="J3484" s="3"/>
      <c r="K3484" s="3"/>
      <c r="L3484" s="3"/>
      <c r="M3484" s="3"/>
      <c r="N3484" s="3"/>
      <c r="O3484" s="3"/>
      <c r="P3484" s="3"/>
      <c r="Q3484" s="3"/>
      <c r="R3484" s="3"/>
      <c r="S3484" s="3"/>
      <c r="T3484" s="5"/>
      <c r="U3484" s="5"/>
      <c r="V3484" s="5"/>
      <c r="W3484" s="5"/>
    </row>
    <row r="3485" ht="15.75" customHeight="1">
      <c r="A3485" s="3" t="str">
        <f>IFERROR(__xludf.DUMMYFUNCTION("""COMPUTED_VALUE"""),"")</f>
        <v/>
      </c>
      <c r="B3485" s="3"/>
      <c r="C3485" s="3"/>
      <c r="D3485" s="3"/>
      <c r="E3485" s="3"/>
      <c r="F3485" s="3"/>
      <c r="G3485" s="3"/>
      <c r="H3485" s="3"/>
      <c r="I3485" s="3"/>
      <c r="J3485" s="3"/>
      <c r="K3485" s="3"/>
      <c r="L3485" s="3"/>
      <c r="M3485" s="3"/>
      <c r="N3485" s="3"/>
      <c r="O3485" s="3"/>
      <c r="P3485" s="3"/>
      <c r="Q3485" s="3"/>
      <c r="R3485" s="3"/>
      <c r="S3485" s="3"/>
      <c r="T3485" s="5"/>
      <c r="U3485" s="5"/>
      <c r="V3485" s="5"/>
      <c r="W3485" s="5"/>
    </row>
    <row r="3486" ht="15.75" customHeight="1">
      <c r="A3486" s="3" t="str">
        <f>IFERROR(__xludf.DUMMYFUNCTION("""COMPUTED_VALUE"""),"")</f>
        <v/>
      </c>
      <c r="B3486" s="3"/>
      <c r="C3486" s="3"/>
      <c r="D3486" s="3"/>
      <c r="E3486" s="3"/>
      <c r="F3486" s="3"/>
      <c r="G3486" s="3"/>
      <c r="H3486" s="3"/>
      <c r="I3486" s="3"/>
      <c r="J3486" s="3"/>
      <c r="K3486" s="3"/>
      <c r="L3486" s="3"/>
      <c r="M3486" s="3"/>
      <c r="N3486" s="3"/>
      <c r="O3486" s="3"/>
      <c r="P3486" s="3"/>
      <c r="Q3486" s="3"/>
      <c r="R3486" s="3"/>
      <c r="S3486" s="3"/>
      <c r="T3486" s="5"/>
      <c r="U3486" s="5"/>
      <c r="V3486" s="5"/>
      <c r="W3486" s="5"/>
    </row>
    <row r="3487" ht="15.75" customHeight="1">
      <c r="A3487" s="3" t="str">
        <f>IFERROR(__xludf.DUMMYFUNCTION("""COMPUTED_VALUE"""),"")</f>
        <v/>
      </c>
      <c r="B3487" s="3"/>
      <c r="C3487" s="3"/>
      <c r="D3487" s="3"/>
      <c r="E3487" s="3"/>
      <c r="F3487" s="3"/>
      <c r="G3487" s="3"/>
      <c r="H3487" s="3"/>
      <c r="I3487" s="3"/>
      <c r="J3487" s="3"/>
      <c r="K3487" s="3"/>
      <c r="L3487" s="3"/>
      <c r="M3487" s="3"/>
      <c r="N3487" s="3"/>
      <c r="O3487" s="3"/>
      <c r="P3487" s="3"/>
      <c r="Q3487" s="3"/>
      <c r="R3487" s="3"/>
      <c r="S3487" s="3"/>
      <c r="T3487" s="5"/>
      <c r="U3487" s="5"/>
      <c r="V3487" s="5"/>
      <c r="W3487" s="5"/>
    </row>
    <row r="3488" ht="15.75" customHeight="1">
      <c r="A3488" s="3" t="str">
        <f>IFERROR(__xludf.DUMMYFUNCTION("""COMPUTED_VALUE"""),"")</f>
        <v/>
      </c>
      <c r="B3488" s="3"/>
      <c r="C3488" s="3"/>
      <c r="D3488" s="3"/>
      <c r="E3488" s="3"/>
      <c r="F3488" s="3"/>
      <c r="G3488" s="3"/>
      <c r="H3488" s="3"/>
      <c r="I3488" s="3"/>
      <c r="J3488" s="3"/>
      <c r="K3488" s="3"/>
      <c r="L3488" s="3"/>
      <c r="M3488" s="3"/>
      <c r="N3488" s="3"/>
      <c r="O3488" s="3"/>
      <c r="P3488" s="3"/>
      <c r="Q3488" s="3"/>
      <c r="R3488" s="3"/>
      <c r="S3488" s="3"/>
      <c r="T3488" s="5"/>
      <c r="U3488" s="5"/>
      <c r="V3488" s="5"/>
      <c r="W3488" s="5"/>
    </row>
    <row r="3489" ht="15.75" customHeight="1">
      <c r="A3489" s="3" t="str">
        <f>IFERROR(__xludf.DUMMYFUNCTION("""COMPUTED_VALUE"""),"")</f>
        <v/>
      </c>
      <c r="B3489" s="3"/>
      <c r="C3489" s="3"/>
      <c r="D3489" s="3"/>
      <c r="E3489" s="3"/>
      <c r="F3489" s="3"/>
      <c r="G3489" s="3"/>
      <c r="H3489" s="3"/>
      <c r="I3489" s="3"/>
      <c r="J3489" s="3"/>
      <c r="K3489" s="3"/>
      <c r="L3489" s="3"/>
      <c r="M3489" s="3"/>
      <c r="N3489" s="3"/>
      <c r="O3489" s="3"/>
      <c r="P3489" s="3"/>
      <c r="Q3489" s="3"/>
      <c r="R3489" s="3"/>
      <c r="S3489" s="3"/>
      <c r="T3489" s="5"/>
      <c r="U3489" s="5"/>
      <c r="V3489" s="5"/>
      <c r="W3489" s="5"/>
    </row>
    <row r="3490" ht="15.75" customHeight="1">
      <c r="A3490" s="3" t="str">
        <f>IFERROR(__xludf.DUMMYFUNCTION("""COMPUTED_VALUE"""),"")</f>
        <v/>
      </c>
      <c r="B3490" s="3"/>
      <c r="C3490" s="3"/>
      <c r="D3490" s="3"/>
      <c r="E3490" s="3"/>
      <c r="F3490" s="3"/>
      <c r="G3490" s="3"/>
      <c r="H3490" s="3"/>
      <c r="I3490" s="3"/>
      <c r="J3490" s="3"/>
      <c r="K3490" s="3"/>
      <c r="L3490" s="3"/>
      <c r="M3490" s="3"/>
      <c r="N3490" s="3"/>
      <c r="O3490" s="3"/>
      <c r="P3490" s="3"/>
      <c r="Q3490" s="3"/>
      <c r="R3490" s="3"/>
      <c r="S3490" s="3"/>
      <c r="T3490" s="5"/>
      <c r="U3490" s="5"/>
      <c r="V3490" s="5"/>
      <c r="W3490" s="5"/>
    </row>
    <row r="3491" ht="15.75" customHeight="1">
      <c r="A3491" s="3" t="str">
        <f>IFERROR(__xludf.DUMMYFUNCTION("""COMPUTED_VALUE"""),"")</f>
        <v/>
      </c>
      <c r="B3491" s="3"/>
      <c r="C3491" s="3"/>
      <c r="D3491" s="3"/>
      <c r="E3491" s="3"/>
      <c r="F3491" s="3"/>
      <c r="G3491" s="3"/>
      <c r="H3491" s="3"/>
      <c r="I3491" s="3"/>
      <c r="J3491" s="3"/>
      <c r="K3491" s="3"/>
      <c r="L3491" s="3"/>
      <c r="M3491" s="3"/>
      <c r="N3491" s="3"/>
      <c r="O3491" s="3"/>
      <c r="P3491" s="3"/>
      <c r="Q3491" s="3"/>
      <c r="R3491" s="3"/>
      <c r="S3491" s="3"/>
      <c r="T3491" s="5"/>
      <c r="U3491" s="5"/>
      <c r="V3491" s="5"/>
      <c r="W3491" s="5"/>
    </row>
    <row r="3492" ht="15.75" customHeight="1">
      <c r="A3492" s="3" t="str">
        <f>IFERROR(__xludf.DUMMYFUNCTION("""COMPUTED_VALUE"""),"")</f>
        <v/>
      </c>
      <c r="B3492" s="3"/>
      <c r="C3492" s="3"/>
      <c r="D3492" s="3"/>
      <c r="E3492" s="3"/>
      <c r="F3492" s="3"/>
      <c r="G3492" s="3"/>
      <c r="H3492" s="3"/>
      <c r="I3492" s="3"/>
      <c r="J3492" s="3"/>
      <c r="K3492" s="3"/>
      <c r="L3492" s="3"/>
      <c r="M3492" s="3"/>
      <c r="N3492" s="3"/>
      <c r="O3492" s="3"/>
      <c r="P3492" s="3"/>
      <c r="Q3492" s="3"/>
      <c r="R3492" s="3"/>
      <c r="S3492" s="3"/>
      <c r="T3492" s="5"/>
      <c r="U3492" s="5"/>
      <c r="V3492" s="5"/>
      <c r="W3492" s="5"/>
    </row>
    <row r="3493" ht="15.75" customHeight="1">
      <c r="A3493" s="3" t="str">
        <f>IFERROR(__xludf.DUMMYFUNCTION("""COMPUTED_VALUE"""),"")</f>
        <v/>
      </c>
      <c r="B3493" s="3"/>
      <c r="C3493" s="3"/>
      <c r="D3493" s="3"/>
      <c r="E3493" s="3"/>
      <c r="F3493" s="3"/>
      <c r="G3493" s="3"/>
      <c r="H3493" s="3"/>
      <c r="I3493" s="3"/>
      <c r="J3493" s="3"/>
      <c r="K3493" s="3"/>
      <c r="L3493" s="3"/>
      <c r="M3493" s="3"/>
      <c r="N3493" s="3"/>
      <c r="O3493" s="3"/>
      <c r="P3493" s="3"/>
      <c r="Q3493" s="3"/>
      <c r="R3493" s="3"/>
      <c r="S3493" s="3"/>
      <c r="T3493" s="5"/>
      <c r="U3493" s="5"/>
      <c r="V3493" s="5"/>
      <c r="W3493" s="5"/>
    </row>
    <row r="3494" ht="15.75" customHeight="1">
      <c r="A3494" s="3" t="str">
        <f>IFERROR(__xludf.DUMMYFUNCTION("""COMPUTED_VALUE"""),"")</f>
        <v/>
      </c>
      <c r="B3494" s="3"/>
      <c r="C3494" s="3"/>
      <c r="D3494" s="3"/>
      <c r="E3494" s="3"/>
      <c r="F3494" s="3"/>
      <c r="G3494" s="3"/>
      <c r="H3494" s="3"/>
      <c r="I3494" s="3"/>
      <c r="J3494" s="3"/>
      <c r="K3494" s="3"/>
      <c r="L3494" s="3"/>
      <c r="M3494" s="3"/>
      <c r="N3494" s="3"/>
      <c r="O3494" s="3"/>
      <c r="P3494" s="3"/>
      <c r="Q3494" s="3"/>
      <c r="R3494" s="3"/>
      <c r="S3494" s="3"/>
      <c r="T3494" s="5"/>
      <c r="U3494" s="5"/>
      <c r="V3494" s="5"/>
      <c r="W3494" s="5"/>
    </row>
    <row r="3495" ht="15.75" customHeight="1">
      <c r="A3495" s="3" t="str">
        <f>IFERROR(__xludf.DUMMYFUNCTION("""COMPUTED_VALUE"""),"")</f>
        <v/>
      </c>
      <c r="B3495" s="3"/>
      <c r="C3495" s="3"/>
      <c r="D3495" s="3"/>
      <c r="E3495" s="3"/>
      <c r="F3495" s="3"/>
      <c r="G3495" s="3"/>
      <c r="H3495" s="3"/>
      <c r="I3495" s="3"/>
      <c r="J3495" s="3"/>
      <c r="K3495" s="3"/>
      <c r="L3495" s="3"/>
      <c r="M3495" s="3"/>
      <c r="N3495" s="3"/>
      <c r="O3495" s="3"/>
      <c r="P3495" s="3"/>
      <c r="Q3495" s="3"/>
      <c r="R3495" s="3"/>
      <c r="S3495" s="3"/>
      <c r="T3495" s="5"/>
      <c r="U3495" s="5"/>
      <c r="V3495" s="5"/>
      <c r="W3495" s="5"/>
    </row>
    <row r="3496" ht="15.75" customHeight="1">
      <c r="A3496" s="3" t="str">
        <f>IFERROR(__xludf.DUMMYFUNCTION("""COMPUTED_VALUE"""),"")</f>
        <v/>
      </c>
      <c r="B3496" s="3"/>
      <c r="C3496" s="3"/>
      <c r="D3496" s="3"/>
      <c r="E3496" s="3"/>
      <c r="F3496" s="3"/>
      <c r="G3496" s="3"/>
      <c r="H3496" s="3"/>
      <c r="I3496" s="3"/>
      <c r="J3496" s="3"/>
      <c r="K3496" s="3"/>
      <c r="L3496" s="3"/>
      <c r="M3496" s="3"/>
      <c r="N3496" s="3"/>
      <c r="O3496" s="3"/>
      <c r="P3496" s="3"/>
      <c r="Q3496" s="3"/>
      <c r="R3496" s="3"/>
      <c r="S3496" s="3"/>
      <c r="T3496" s="5"/>
      <c r="U3496" s="5"/>
      <c r="V3496" s="5"/>
      <c r="W3496" s="5"/>
    </row>
    <row r="3497" ht="15.75" customHeight="1">
      <c r="A3497" s="3" t="str">
        <f>IFERROR(__xludf.DUMMYFUNCTION("""COMPUTED_VALUE"""),"")</f>
        <v/>
      </c>
      <c r="B3497" s="3"/>
      <c r="C3497" s="3"/>
      <c r="D3497" s="3"/>
      <c r="E3497" s="3"/>
      <c r="F3497" s="3"/>
      <c r="G3497" s="3"/>
      <c r="H3497" s="3"/>
      <c r="I3497" s="3"/>
      <c r="J3497" s="3"/>
      <c r="K3497" s="3"/>
      <c r="L3497" s="3"/>
      <c r="M3497" s="3"/>
      <c r="N3497" s="3"/>
      <c r="O3497" s="3"/>
      <c r="P3497" s="3"/>
      <c r="Q3497" s="3"/>
      <c r="R3497" s="3"/>
      <c r="S3497" s="3"/>
      <c r="T3497" s="5"/>
      <c r="U3497" s="5"/>
      <c r="V3497" s="5"/>
      <c r="W3497" s="5"/>
    </row>
    <row r="3498" ht="15.75" customHeight="1">
      <c r="A3498" s="3" t="str">
        <f>IFERROR(__xludf.DUMMYFUNCTION("""COMPUTED_VALUE"""),"")</f>
        <v/>
      </c>
      <c r="B3498" s="3"/>
      <c r="C3498" s="3"/>
      <c r="D3498" s="3"/>
      <c r="E3498" s="3"/>
      <c r="F3498" s="3"/>
      <c r="G3498" s="3"/>
      <c r="H3498" s="3"/>
      <c r="I3498" s="3"/>
      <c r="J3498" s="3"/>
      <c r="K3498" s="3"/>
      <c r="L3498" s="3"/>
      <c r="M3498" s="3"/>
      <c r="N3498" s="3"/>
      <c r="O3498" s="3"/>
      <c r="P3498" s="3"/>
      <c r="Q3498" s="3"/>
      <c r="R3498" s="3"/>
      <c r="S3498" s="3"/>
      <c r="T3498" s="5"/>
      <c r="U3498" s="5"/>
      <c r="V3498" s="5"/>
      <c r="W3498" s="5"/>
    </row>
    <row r="3499" ht="15.75" customHeight="1">
      <c r="A3499" s="3" t="str">
        <f>IFERROR(__xludf.DUMMYFUNCTION("""COMPUTED_VALUE"""),"")</f>
        <v/>
      </c>
      <c r="B3499" s="3"/>
      <c r="C3499" s="3"/>
      <c r="D3499" s="3"/>
      <c r="E3499" s="3"/>
      <c r="F3499" s="3"/>
      <c r="G3499" s="3"/>
      <c r="H3499" s="3"/>
      <c r="I3499" s="3"/>
      <c r="J3499" s="3"/>
      <c r="K3499" s="3"/>
      <c r="L3499" s="3"/>
      <c r="M3499" s="3"/>
      <c r="N3499" s="3"/>
      <c r="O3499" s="3"/>
      <c r="P3499" s="3"/>
      <c r="Q3499" s="3"/>
      <c r="R3499" s="3"/>
      <c r="S3499" s="3"/>
      <c r="T3499" s="5"/>
      <c r="U3499" s="5"/>
      <c r="V3499" s="5"/>
      <c r="W3499" s="5"/>
    </row>
    <row r="3500" ht="15.75" customHeight="1">
      <c r="A3500" s="3" t="str">
        <f>IFERROR(__xludf.DUMMYFUNCTION("""COMPUTED_VALUE"""),"")</f>
        <v/>
      </c>
      <c r="B3500" s="3"/>
      <c r="C3500" s="3"/>
      <c r="D3500" s="3"/>
      <c r="E3500" s="3"/>
      <c r="F3500" s="3"/>
      <c r="G3500" s="3"/>
      <c r="H3500" s="3"/>
      <c r="I3500" s="3"/>
      <c r="J3500" s="3"/>
      <c r="K3500" s="3"/>
      <c r="L3500" s="3"/>
      <c r="M3500" s="3"/>
      <c r="N3500" s="3"/>
      <c r="O3500" s="3"/>
      <c r="P3500" s="3"/>
      <c r="Q3500" s="3"/>
      <c r="R3500" s="3"/>
      <c r="S3500" s="3"/>
      <c r="T3500" s="5"/>
      <c r="U3500" s="5"/>
      <c r="V3500" s="5"/>
      <c r="W3500" s="5"/>
    </row>
    <row r="3501" ht="15.75" customHeight="1">
      <c r="A3501" s="3" t="str">
        <f>IFERROR(__xludf.DUMMYFUNCTION("""COMPUTED_VALUE"""),"")</f>
        <v/>
      </c>
      <c r="B3501" s="3"/>
      <c r="C3501" s="3"/>
      <c r="D3501" s="3"/>
      <c r="E3501" s="3"/>
      <c r="F3501" s="3"/>
      <c r="G3501" s="3"/>
      <c r="H3501" s="3"/>
      <c r="I3501" s="3"/>
      <c r="J3501" s="3"/>
      <c r="K3501" s="3"/>
      <c r="L3501" s="3"/>
      <c r="M3501" s="3"/>
      <c r="N3501" s="3"/>
      <c r="O3501" s="3"/>
      <c r="P3501" s="3"/>
      <c r="Q3501" s="3"/>
      <c r="R3501" s="3"/>
      <c r="S3501" s="3"/>
      <c r="T3501" s="5"/>
      <c r="U3501" s="5"/>
      <c r="V3501" s="5"/>
      <c r="W3501" s="5"/>
    </row>
    <row r="3502" ht="15.75" customHeight="1">
      <c r="A3502" s="3" t="str">
        <f>IFERROR(__xludf.DUMMYFUNCTION("""COMPUTED_VALUE"""),"")</f>
        <v/>
      </c>
      <c r="B3502" s="3"/>
      <c r="C3502" s="3"/>
      <c r="D3502" s="3"/>
      <c r="E3502" s="3"/>
      <c r="F3502" s="3"/>
      <c r="G3502" s="3"/>
      <c r="H3502" s="3"/>
      <c r="I3502" s="3"/>
      <c r="J3502" s="3"/>
      <c r="K3502" s="3"/>
      <c r="L3502" s="3"/>
      <c r="M3502" s="3"/>
      <c r="N3502" s="3"/>
      <c r="O3502" s="3"/>
      <c r="P3502" s="3"/>
      <c r="Q3502" s="3"/>
      <c r="R3502" s="3"/>
      <c r="S3502" s="3"/>
      <c r="T3502" s="5"/>
      <c r="U3502" s="5"/>
      <c r="V3502" s="5"/>
      <c r="W3502" s="5"/>
    </row>
    <row r="3503" ht="15.75" customHeight="1">
      <c r="A3503" s="3" t="str">
        <f>IFERROR(__xludf.DUMMYFUNCTION("""COMPUTED_VALUE"""),"")</f>
        <v/>
      </c>
      <c r="B3503" s="3"/>
      <c r="C3503" s="3"/>
      <c r="D3503" s="3"/>
      <c r="E3503" s="3"/>
      <c r="F3503" s="3"/>
      <c r="G3503" s="3"/>
      <c r="H3503" s="3"/>
      <c r="I3503" s="3"/>
      <c r="J3503" s="3"/>
      <c r="K3503" s="3"/>
      <c r="L3503" s="3"/>
      <c r="M3503" s="3"/>
      <c r="N3503" s="3"/>
      <c r="O3503" s="3"/>
      <c r="P3503" s="3"/>
      <c r="Q3503" s="3"/>
      <c r="R3503" s="3"/>
      <c r="S3503" s="3"/>
      <c r="T3503" s="5"/>
      <c r="U3503" s="5"/>
      <c r="V3503" s="5"/>
      <c r="W3503" s="5"/>
    </row>
    <row r="3504" ht="15.75" customHeight="1">
      <c r="A3504" s="3" t="str">
        <f>IFERROR(__xludf.DUMMYFUNCTION("""COMPUTED_VALUE"""),"")</f>
        <v/>
      </c>
      <c r="B3504" s="3"/>
      <c r="C3504" s="3"/>
      <c r="D3504" s="3"/>
      <c r="E3504" s="3"/>
      <c r="F3504" s="3"/>
      <c r="G3504" s="3"/>
      <c r="H3504" s="3"/>
      <c r="I3504" s="3"/>
      <c r="J3504" s="3"/>
      <c r="K3504" s="3"/>
      <c r="L3504" s="3"/>
      <c r="M3504" s="3"/>
      <c r="N3504" s="3"/>
      <c r="O3504" s="3"/>
      <c r="P3504" s="3"/>
      <c r="Q3504" s="3"/>
      <c r="R3504" s="3"/>
      <c r="S3504" s="3"/>
      <c r="T3504" s="5"/>
      <c r="U3504" s="5"/>
      <c r="V3504" s="5"/>
      <c r="W3504" s="5"/>
    </row>
    <row r="3505" ht="15.75" customHeight="1">
      <c r="A3505" s="3" t="str">
        <f>IFERROR(__xludf.DUMMYFUNCTION("""COMPUTED_VALUE"""),"")</f>
        <v/>
      </c>
      <c r="B3505" s="3"/>
      <c r="C3505" s="3"/>
      <c r="D3505" s="3"/>
      <c r="E3505" s="3"/>
      <c r="F3505" s="3"/>
      <c r="G3505" s="3"/>
      <c r="H3505" s="3"/>
      <c r="I3505" s="3"/>
      <c r="J3505" s="3"/>
      <c r="K3505" s="3"/>
      <c r="L3505" s="3"/>
      <c r="M3505" s="3"/>
      <c r="N3505" s="3"/>
      <c r="O3505" s="3"/>
      <c r="P3505" s="3"/>
      <c r="Q3505" s="3"/>
      <c r="R3505" s="3"/>
      <c r="S3505" s="3"/>
      <c r="T3505" s="5"/>
      <c r="U3505" s="5"/>
      <c r="V3505" s="5"/>
      <c r="W3505" s="5"/>
    </row>
    <row r="3506" ht="15.75" customHeight="1">
      <c r="A3506" s="3"/>
      <c r="B3506" s="3"/>
      <c r="C3506" s="3"/>
      <c r="D3506" s="3"/>
      <c r="E3506" s="3"/>
      <c r="F3506" s="3"/>
      <c r="G3506" s="3"/>
      <c r="H3506" s="3"/>
      <c r="I3506" s="3"/>
      <c r="J3506" s="3"/>
      <c r="K3506" s="3"/>
      <c r="L3506" s="3"/>
      <c r="M3506" s="3"/>
      <c r="N3506" s="3"/>
      <c r="O3506" s="3"/>
      <c r="P3506" s="3"/>
      <c r="Q3506" s="3"/>
      <c r="R3506" s="3"/>
      <c r="S3506" s="3"/>
    </row>
    <row r="3507" ht="15.75" customHeight="1">
      <c r="A3507" s="3"/>
      <c r="B3507" s="3"/>
      <c r="C3507" s="3"/>
      <c r="D3507" s="3"/>
      <c r="E3507" s="3"/>
      <c r="F3507" s="3"/>
      <c r="G3507" s="3"/>
      <c r="H3507" s="3"/>
      <c r="I3507" s="3"/>
      <c r="J3507" s="3"/>
      <c r="K3507" s="3"/>
      <c r="L3507" s="3"/>
      <c r="M3507" s="3"/>
      <c r="N3507" s="3"/>
      <c r="O3507" s="3"/>
      <c r="P3507" s="3"/>
      <c r="Q3507" s="3"/>
      <c r="R3507" s="3"/>
      <c r="S3507" s="3"/>
    </row>
    <row r="3508" ht="15.75" customHeight="1">
      <c r="A3508" s="3"/>
      <c r="B3508" s="3"/>
      <c r="C3508" s="3"/>
      <c r="D3508" s="3"/>
      <c r="E3508" s="3"/>
      <c r="F3508" s="3"/>
      <c r="G3508" s="3"/>
      <c r="H3508" s="3"/>
      <c r="I3508" s="3"/>
      <c r="J3508" s="3"/>
      <c r="K3508" s="3"/>
      <c r="L3508" s="3"/>
      <c r="M3508" s="3"/>
      <c r="N3508" s="3"/>
      <c r="O3508" s="3"/>
      <c r="P3508" s="3"/>
      <c r="Q3508" s="3"/>
      <c r="R3508" s="3"/>
      <c r="S3508" s="3"/>
    </row>
    <row r="3509" ht="15.75" customHeight="1">
      <c r="A3509" s="3"/>
      <c r="B3509" s="3"/>
      <c r="C3509" s="3"/>
      <c r="D3509" s="3"/>
      <c r="E3509" s="3"/>
      <c r="F3509" s="3"/>
      <c r="G3509" s="3"/>
      <c r="H3509" s="3"/>
      <c r="I3509" s="3"/>
      <c r="J3509" s="3"/>
      <c r="K3509" s="3"/>
      <c r="L3509" s="3"/>
      <c r="M3509" s="3"/>
      <c r="N3509" s="3"/>
      <c r="O3509" s="3"/>
      <c r="P3509" s="3"/>
      <c r="Q3509" s="3"/>
      <c r="R3509" s="3"/>
      <c r="S3509" s="3"/>
    </row>
    <row r="3510" ht="15.75" customHeight="1">
      <c r="A3510" s="3"/>
      <c r="B3510" s="3"/>
      <c r="C3510" s="3"/>
      <c r="D3510" s="3"/>
      <c r="E3510" s="3"/>
      <c r="F3510" s="3"/>
      <c r="G3510" s="3"/>
      <c r="H3510" s="3"/>
      <c r="I3510" s="3"/>
      <c r="J3510" s="3"/>
      <c r="K3510" s="3"/>
      <c r="L3510" s="3"/>
      <c r="M3510" s="3"/>
      <c r="N3510" s="3"/>
      <c r="O3510" s="3"/>
      <c r="P3510" s="3"/>
      <c r="Q3510" s="3"/>
      <c r="R3510" s="3"/>
      <c r="S3510" s="3"/>
    </row>
    <row r="3511" ht="15.75" customHeight="1">
      <c r="A3511" s="3"/>
      <c r="B3511" s="3"/>
      <c r="C3511" s="3"/>
      <c r="D3511" s="3"/>
      <c r="E3511" s="3"/>
      <c r="F3511" s="3"/>
      <c r="G3511" s="3"/>
      <c r="H3511" s="3"/>
      <c r="I3511" s="3"/>
      <c r="J3511" s="3"/>
      <c r="K3511" s="3"/>
      <c r="L3511" s="3"/>
      <c r="M3511" s="3"/>
      <c r="N3511" s="3"/>
      <c r="O3511" s="3"/>
      <c r="P3511" s="3"/>
      <c r="Q3511" s="3"/>
      <c r="R3511" s="3"/>
      <c r="S3511" s="3"/>
    </row>
    <row r="3512" ht="15.75" customHeight="1">
      <c r="A3512" s="3"/>
      <c r="B3512" s="3"/>
      <c r="C3512" s="3"/>
      <c r="D3512" s="3"/>
      <c r="E3512" s="3"/>
      <c r="F3512" s="3"/>
      <c r="G3512" s="3"/>
      <c r="H3512" s="3"/>
      <c r="I3512" s="3"/>
      <c r="J3512" s="3"/>
      <c r="K3512" s="3"/>
      <c r="L3512" s="3"/>
      <c r="M3512" s="3"/>
      <c r="N3512" s="3"/>
      <c r="O3512" s="3"/>
      <c r="P3512" s="3"/>
      <c r="Q3512" s="3"/>
      <c r="R3512" s="3"/>
      <c r="S3512" s="3"/>
    </row>
    <row r="3513" ht="15.75" customHeight="1">
      <c r="A3513" s="3"/>
      <c r="B3513" s="3"/>
      <c r="C3513" s="3"/>
      <c r="D3513" s="3"/>
      <c r="E3513" s="3"/>
      <c r="F3513" s="3"/>
      <c r="G3513" s="3"/>
      <c r="H3513" s="3"/>
      <c r="I3513" s="3"/>
      <c r="J3513" s="3"/>
      <c r="K3513" s="3"/>
      <c r="L3513" s="3"/>
      <c r="M3513" s="3"/>
      <c r="N3513" s="3"/>
      <c r="O3513" s="3"/>
      <c r="P3513" s="3"/>
      <c r="Q3513" s="3"/>
      <c r="R3513" s="3"/>
      <c r="S3513" s="3"/>
    </row>
    <row r="3514" ht="15.75" customHeight="1">
      <c r="A3514" s="3"/>
      <c r="B3514" s="3"/>
      <c r="C3514" s="3"/>
      <c r="D3514" s="3"/>
      <c r="E3514" s="3"/>
      <c r="F3514" s="3"/>
      <c r="G3514" s="3"/>
      <c r="H3514" s="3"/>
      <c r="I3514" s="3"/>
      <c r="J3514" s="3"/>
      <c r="K3514" s="3"/>
      <c r="L3514" s="3"/>
      <c r="M3514" s="3"/>
      <c r="N3514" s="3"/>
      <c r="O3514" s="3"/>
      <c r="P3514" s="3"/>
      <c r="Q3514" s="3"/>
      <c r="R3514" s="3"/>
      <c r="S3514" s="3"/>
    </row>
    <row r="3515" ht="15.75" customHeight="1">
      <c r="A3515" s="3"/>
      <c r="B3515" s="3"/>
      <c r="C3515" s="3"/>
      <c r="D3515" s="3"/>
      <c r="E3515" s="3"/>
      <c r="F3515" s="3"/>
      <c r="G3515" s="3"/>
      <c r="H3515" s="3"/>
      <c r="I3515" s="3"/>
      <c r="J3515" s="3"/>
      <c r="K3515" s="3"/>
      <c r="L3515" s="3"/>
      <c r="M3515" s="3"/>
      <c r="N3515" s="3"/>
      <c r="O3515" s="3"/>
      <c r="P3515" s="3"/>
      <c r="Q3515" s="3"/>
      <c r="R3515" s="3"/>
      <c r="S3515" s="3"/>
    </row>
    <row r="3516" ht="15.75" customHeight="1">
      <c r="A3516" s="3"/>
      <c r="B3516" s="3"/>
      <c r="C3516" s="3"/>
      <c r="D3516" s="3"/>
      <c r="E3516" s="3"/>
      <c r="F3516" s="3"/>
      <c r="G3516" s="3"/>
      <c r="H3516" s="3"/>
      <c r="I3516" s="3"/>
      <c r="J3516" s="3"/>
      <c r="K3516" s="3"/>
      <c r="L3516" s="3"/>
      <c r="M3516" s="3"/>
      <c r="N3516" s="3"/>
      <c r="O3516" s="3"/>
      <c r="P3516" s="3"/>
      <c r="Q3516" s="3"/>
      <c r="R3516" s="3"/>
      <c r="S3516" s="3"/>
    </row>
    <row r="3517" ht="15.75" customHeight="1">
      <c r="A3517" s="3"/>
      <c r="B3517" s="3"/>
      <c r="C3517" s="3"/>
      <c r="D3517" s="3"/>
      <c r="E3517" s="3"/>
      <c r="F3517" s="3"/>
      <c r="G3517" s="3"/>
      <c r="H3517" s="3"/>
      <c r="I3517" s="3"/>
      <c r="J3517" s="3"/>
      <c r="K3517" s="3"/>
      <c r="L3517" s="3"/>
      <c r="M3517" s="3"/>
      <c r="N3517" s="3"/>
      <c r="O3517" s="3"/>
      <c r="P3517" s="3"/>
      <c r="Q3517" s="3"/>
      <c r="R3517" s="3"/>
      <c r="S3517" s="3"/>
    </row>
    <row r="3518" ht="15.75" customHeight="1">
      <c r="A3518" s="3"/>
      <c r="B3518" s="3"/>
      <c r="C3518" s="3"/>
      <c r="D3518" s="3"/>
      <c r="E3518" s="3"/>
      <c r="F3518" s="3"/>
      <c r="G3518" s="3"/>
      <c r="H3518" s="3"/>
      <c r="I3518" s="3"/>
      <c r="J3518" s="3"/>
      <c r="K3518" s="3"/>
      <c r="L3518" s="3"/>
      <c r="M3518" s="3"/>
      <c r="N3518" s="3"/>
      <c r="O3518" s="3"/>
      <c r="P3518" s="3"/>
      <c r="Q3518" s="3"/>
      <c r="R3518" s="3"/>
      <c r="S3518" s="3"/>
    </row>
    <row r="3519" ht="15.75" customHeight="1">
      <c r="A3519" s="3"/>
      <c r="B3519" s="3"/>
      <c r="C3519" s="3"/>
      <c r="D3519" s="3"/>
      <c r="E3519" s="3"/>
      <c r="F3519" s="3"/>
      <c r="G3519" s="3"/>
      <c r="H3519" s="3"/>
      <c r="I3519" s="3"/>
      <c r="J3519" s="3"/>
      <c r="K3519" s="3"/>
      <c r="L3519" s="3"/>
      <c r="M3519" s="3"/>
      <c r="N3519" s="3"/>
      <c r="O3519" s="3"/>
      <c r="P3519" s="3"/>
      <c r="Q3519" s="3"/>
      <c r="R3519" s="3"/>
      <c r="S3519" s="3"/>
    </row>
    <row r="3520" ht="15.75" customHeight="1">
      <c r="A3520" s="3"/>
      <c r="B3520" s="3"/>
      <c r="C3520" s="3"/>
      <c r="D3520" s="3"/>
      <c r="E3520" s="3"/>
      <c r="F3520" s="3"/>
      <c r="G3520" s="3"/>
      <c r="H3520" s="3"/>
      <c r="I3520" s="3"/>
      <c r="J3520" s="3"/>
      <c r="K3520" s="3"/>
      <c r="L3520" s="3"/>
      <c r="M3520" s="3"/>
      <c r="N3520" s="3"/>
      <c r="O3520" s="3"/>
      <c r="P3520" s="3"/>
      <c r="Q3520" s="3"/>
      <c r="R3520" s="3"/>
      <c r="S3520" s="3"/>
    </row>
    <row r="3521" ht="15.75" customHeight="1">
      <c r="A3521" s="3"/>
      <c r="B3521" s="3"/>
      <c r="C3521" s="3"/>
      <c r="D3521" s="3"/>
      <c r="E3521" s="3"/>
      <c r="F3521" s="3"/>
      <c r="G3521" s="3"/>
      <c r="H3521" s="3"/>
      <c r="I3521" s="3"/>
      <c r="J3521" s="3"/>
      <c r="K3521" s="3"/>
      <c r="L3521" s="3"/>
      <c r="M3521" s="3"/>
      <c r="N3521" s="3"/>
      <c r="O3521" s="3"/>
      <c r="P3521" s="3"/>
      <c r="Q3521" s="3"/>
      <c r="R3521" s="3"/>
      <c r="S3521" s="3"/>
    </row>
    <row r="3522" ht="15.75" customHeight="1">
      <c r="A3522" s="3"/>
      <c r="B3522" s="3"/>
      <c r="C3522" s="3"/>
      <c r="D3522" s="3"/>
      <c r="E3522" s="3"/>
      <c r="F3522" s="3"/>
      <c r="G3522" s="3"/>
      <c r="H3522" s="3"/>
      <c r="I3522" s="3"/>
      <c r="J3522" s="3"/>
      <c r="K3522" s="3"/>
      <c r="L3522" s="3"/>
      <c r="M3522" s="3"/>
      <c r="N3522" s="3"/>
      <c r="O3522" s="3"/>
      <c r="P3522" s="3"/>
      <c r="Q3522" s="3"/>
      <c r="R3522" s="3"/>
      <c r="S3522" s="3"/>
    </row>
    <row r="3523" ht="15.75" customHeight="1">
      <c r="A3523" s="3"/>
      <c r="B3523" s="3"/>
      <c r="C3523" s="3"/>
      <c r="D3523" s="3"/>
      <c r="E3523" s="3"/>
      <c r="F3523" s="3"/>
      <c r="G3523" s="3"/>
      <c r="H3523" s="3"/>
      <c r="I3523" s="3"/>
      <c r="J3523" s="3"/>
      <c r="K3523" s="3"/>
      <c r="L3523" s="3"/>
      <c r="M3523" s="3"/>
      <c r="N3523" s="3"/>
      <c r="O3523" s="3"/>
      <c r="P3523" s="3"/>
      <c r="Q3523" s="3"/>
      <c r="R3523" s="3"/>
      <c r="S3523" s="3"/>
    </row>
    <row r="3524" ht="15.75" customHeight="1">
      <c r="A3524" s="3"/>
      <c r="B3524" s="3"/>
      <c r="C3524" s="3"/>
      <c r="D3524" s="3"/>
      <c r="E3524" s="3"/>
      <c r="F3524" s="3"/>
      <c r="G3524" s="3"/>
      <c r="H3524" s="3"/>
      <c r="I3524" s="3"/>
      <c r="J3524" s="3"/>
      <c r="K3524" s="3"/>
      <c r="L3524" s="3"/>
      <c r="M3524" s="3"/>
      <c r="N3524" s="3"/>
      <c r="O3524" s="3"/>
      <c r="P3524" s="3"/>
      <c r="Q3524" s="3"/>
      <c r="R3524" s="3"/>
      <c r="S3524" s="3"/>
    </row>
    <row r="3525" ht="15.75" customHeight="1">
      <c r="A3525" s="3"/>
      <c r="B3525" s="3"/>
      <c r="C3525" s="3"/>
      <c r="D3525" s="3"/>
      <c r="E3525" s="3"/>
      <c r="F3525" s="3"/>
      <c r="G3525" s="3"/>
      <c r="H3525" s="3"/>
      <c r="I3525" s="3"/>
      <c r="J3525" s="3"/>
      <c r="K3525" s="3"/>
      <c r="L3525" s="3"/>
      <c r="M3525" s="3"/>
      <c r="N3525" s="3"/>
      <c r="O3525" s="3"/>
      <c r="P3525" s="3"/>
      <c r="Q3525" s="3"/>
      <c r="R3525" s="3"/>
      <c r="S3525" s="3"/>
    </row>
    <row r="3526" ht="15.75" customHeight="1">
      <c r="A3526" s="3"/>
      <c r="B3526" s="3"/>
      <c r="C3526" s="3"/>
      <c r="D3526" s="3"/>
      <c r="E3526" s="3"/>
      <c r="F3526" s="3"/>
      <c r="G3526" s="3"/>
      <c r="H3526" s="3"/>
      <c r="I3526" s="3"/>
      <c r="J3526" s="3"/>
      <c r="K3526" s="3"/>
      <c r="L3526" s="3"/>
      <c r="M3526" s="3"/>
      <c r="N3526" s="3"/>
      <c r="O3526" s="3"/>
      <c r="P3526" s="3"/>
      <c r="Q3526" s="3"/>
      <c r="R3526" s="3"/>
      <c r="S3526" s="3"/>
    </row>
    <row r="3527" ht="15.75" customHeight="1">
      <c r="A3527" s="3"/>
      <c r="B3527" s="3"/>
      <c r="C3527" s="3"/>
      <c r="D3527" s="3"/>
      <c r="E3527" s="3"/>
      <c r="F3527" s="3"/>
      <c r="G3527" s="3"/>
      <c r="H3527" s="3"/>
      <c r="I3527" s="3"/>
      <c r="J3527" s="3"/>
      <c r="K3527" s="3"/>
      <c r="L3527" s="3"/>
      <c r="M3527" s="3"/>
      <c r="N3527" s="3"/>
      <c r="O3527" s="3"/>
      <c r="P3527" s="3"/>
      <c r="Q3527" s="3"/>
      <c r="R3527" s="3"/>
      <c r="S3527" s="3"/>
    </row>
    <row r="3528" ht="15.75" customHeight="1">
      <c r="A3528" s="3"/>
      <c r="B3528" s="3"/>
      <c r="C3528" s="3"/>
      <c r="D3528" s="3"/>
      <c r="E3528" s="3"/>
      <c r="F3528" s="3"/>
      <c r="G3528" s="3"/>
      <c r="H3528" s="3"/>
      <c r="I3528" s="3"/>
      <c r="J3528" s="3"/>
      <c r="K3528" s="3"/>
      <c r="L3528" s="3"/>
      <c r="M3528" s="3"/>
      <c r="N3528" s="3"/>
      <c r="O3528" s="3"/>
      <c r="P3528" s="3"/>
      <c r="Q3528" s="3"/>
      <c r="R3528" s="3"/>
      <c r="S3528" s="3"/>
    </row>
    <row r="3529" ht="15.75" customHeight="1">
      <c r="A3529" s="3"/>
      <c r="B3529" s="3"/>
      <c r="C3529" s="3"/>
      <c r="D3529" s="3"/>
      <c r="E3529" s="3"/>
      <c r="F3529" s="3"/>
      <c r="G3529" s="3"/>
      <c r="H3529" s="3"/>
      <c r="I3529" s="3"/>
      <c r="J3529" s="3"/>
      <c r="K3529" s="3"/>
      <c r="L3529" s="3"/>
      <c r="M3529" s="3"/>
      <c r="N3529" s="3"/>
      <c r="O3529" s="3"/>
      <c r="P3529" s="3"/>
      <c r="Q3529" s="3"/>
      <c r="R3529" s="3"/>
      <c r="S3529" s="3"/>
    </row>
    <row r="3530" ht="15.75" customHeight="1">
      <c r="A3530" s="3"/>
      <c r="B3530" s="3"/>
      <c r="C3530" s="3"/>
      <c r="D3530" s="3"/>
      <c r="E3530" s="3"/>
      <c r="F3530" s="3"/>
      <c r="G3530" s="3"/>
      <c r="H3530" s="3"/>
      <c r="I3530" s="3"/>
      <c r="J3530" s="3"/>
      <c r="K3530" s="3"/>
      <c r="L3530" s="3"/>
      <c r="M3530" s="3"/>
      <c r="N3530" s="3"/>
      <c r="O3530" s="3"/>
      <c r="P3530" s="3"/>
      <c r="Q3530" s="3"/>
      <c r="R3530" s="3"/>
      <c r="S3530" s="3"/>
    </row>
    <row r="3531" ht="15.75" customHeight="1">
      <c r="A3531" s="3"/>
      <c r="B3531" s="3"/>
      <c r="C3531" s="3"/>
      <c r="D3531" s="3"/>
      <c r="E3531" s="3"/>
      <c r="F3531" s="3"/>
      <c r="G3531" s="3"/>
      <c r="H3531" s="3"/>
      <c r="I3531" s="3"/>
      <c r="J3531" s="3"/>
      <c r="K3531" s="3"/>
      <c r="L3531" s="3"/>
      <c r="M3531" s="3"/>
      <c r="N3531" s="3"/>
      <c r="O3531" s="3"/>
      <c r="P3531" s="3"/>
      <c r="Q3531" s="3"/>
      <c r="R3531" s="3"/>
      <c r="S3531" s="3"/>
    </row>
    <row r="3532" ht="15.75" customHeight="1">
      <c r="A3532" s="3"/>
      <c r="B3532" s="3"/>
      <c r="C3532" s="3"/>
      <c r="D3532" s="3"/>
      <c r="E3532" s="3"/>
      <c r="F3532" s="3"/>
      <c r="G3532" s="3"/>
      <c r="H3532" s="3"/>
      <c r="I3532" s="3"/>
      <c r="J3532" s="3"/>
      <c r="K3532" s="3"/>
      <c r="L3532" s="3"/>
      <c r="M3532" s="3"/>
      <c r="N3532" s="3"/>
      <c r="O3532" s="3"/>
      <c r="P3532" s="3"/>
      <c r="Q3532" s="3"/>
      <c r="R3532" s="3"/>
      <c r="S3532" s="3"/>
    </row>
    <row r="3533" ht="15.75" customHeight="1">
      <c r="A3533" s="3"/>
      <c r="B3533" s="3"/>
      <c r="C3533" s="3"/>
      <c r="D3533" s="3"/>
      <c r="E3533" s="3"/>
      <c r="F3533" s="3"/>
      <c r="G3533" s="3"/>
      <c r="H3533" s="3"/>
      <c r="I3533" s="3"/>
      <c r="J3533" s="3"/>
      <c r="K3533" s="3"/>
      <c r="L3533" s="3"/>
      <c r="M3533" s="3"/>
      <c r="N3533" s="3"/>
      <c r="O3533" s="3"/>
      <c r="P3533" s="3"/>
      <c r="Q3533" s="3"/>
      <c r="R3533" s="3"/>
      <c r="S3533" s="3"/>
    </row>
    <row r="3534" ht="15.75" customHeight="1">
      <c r="A3534" s="3"/>
      <c r="B3534" s="3"/>
      <c r="C3534" s="3"/>
      <c r="D3534" s="3"/>
      <c r="E3534" s="3"/>
      <c r="F3534" s="3"/>
      <c r="G3534" s="3"/>
      <c r="H3534" s="3"/>
      <c r="I3534" s="3"/>
      <c r="J3534" s="3"/>
      <c r="K3534" s="3"/>
      <c r="L3534" s="3"/>
      <c r="M3534" s="3"/>
      <c r="N3534" s="3"/>
      <c r="O3534" s="3"/>
      <c r="P3534" s="3"/>
      <c r="Q3534" s="3"/>
      <c r="R3534" s="3"/>
      <c r="S3534" s="3"/>
    </row>
    <row r="3535" ht="15.75" customHeight="1">
      <c r="A3535" s="3"/>
      <c r="B3535" s="3"/>
      <c r="C3535" s="3"/>
      <c r="D3535" s="3"/>
      <c r="E3535" s="3"/>
      <c r="F3535" s="3"/>
      <c r="G3535" s="3"/>
      <c r="H3535" s="3"/>
      <c r="I3535" s="3"/>
      <c r="J3535" s="3"/>
      <c r="K3535" s="3"/>
      <c r="L3535" s="3"/>
      <c r="M3535" s="3"/>
      <c r="N3535" s="3"/>
      <c r="O3535" s="3"/>
      <c r="P3535" s="3"/>
      <c r="Q3535" s="3"/>
      <c r="R3535" s="3"/>
      <c r="S3535" s="3"/>
    </row>
    <row r="3536" ht="15.75" customHeight="1">
      <c r="A3536" s="3"/>
      <c r="B3536" s="3"/>
      <c r="C3536" s="3"/>
      <c r="D3536" s="3"/>
      <c r="E3536" s="3"/>
      <c r="F3536" s="3"/>
      <c r="G3536" s="3"/>
      <c r="H3536" s="3"/>
      <c r="I3536" s="3"/>
      <c r="J3536" s="3"/>
      <c r="K3536" s="3"/>
      <c r="L3536" s="3"/>
      <c r="M3536" s="3"/>
      <c r="N3536" s="3"/>
      <c r="O3536" s="3"/>
      <c r="P3536" s="3"/>
      <c r="Q3536" s="3"/>
      <c r="R3536" s="3"/>
      <c r="S3536" s="3"/>
    </row>
    <row r="3537" ht="15.75" customHeight="1">
      <c r="A3537" s="3"/>
      <c r="B3537" s="3"/>
      <c r="C3537" s="3"/>
      <c r="D3537" s="3"/>
      <c r="E3537" s="3"/>
      <c r="F3537" s="3"/>
      <c r="G3537" s="3"/>
      <c r="H3537" s="3"/>
      <c r="I3537" s="3"/>
      <c r="J3537" s="3"/>
      <c r="K3537" s="3"/>
      <c r="L3537" s="3"/>
      <c r="M3537" s="3"/>
      <c r="N3537" s="3"/>
      <c r="O3537" s="3"/>
      <c r="P3537" s="3"/>
      <c r="Q3537" s="3"/>
      <c r="R3537" s="3"/>
      <c r="S3537" s="3"/>
    </row>
    <row r="3538" ht="15.75" customHeight="1">
      <c r="A3538" s="3"/>
      <c r="B3538" s="3"/>
      <c r="C3538" s="3"/>
      <c r="D3538" s="3"/>
      <c r="E3538" s="3"/>
      <c r="F3538" s="3"/>
      <c r="G3538" s="3"/>
      <c r="H3538" s="3"/>
      <c r="I3538" s="3"/>
      <c r="J3538" s="3"/>
      <c r="K3538" s="3"/>
      <c r="L3538" s="3"/>
      <c r="M3538" s="3"/>
      <c r="N3538" s="3"/>
      <c r="O3538" s="3"/>
      <c r="P3538" s="3"/>
      <c r="Q3538" s="3"/>
      <c r="R3538" s="3"/>
      <c r="S3538" s="3"/>
    </row>
    <row r="3539" ht="15.75" customHeight="1">
      <c r="A3539" s="3"/>
      <c r="B3539" s="3"/>
      <c r="C3539" s="3"/>
      <c r="D3539" s="3"/>
      <c r="E3539" s="3"/>
      <c r="F3539" s="3"/>
      <c r="G3539" s="3"/>
      <c r="H3539" s="3"/>
      <c r="I3539" s="3"/>
      <c r="J3539" s="3"/>
      <c r="K3539" s="3"/>
      <c r="L3539" s="3"/>
      <c r="M3539" s="3"/>
      <c r="N3539" s="3"/>
      <c r="O3539" s="3"/>
      <c r="P3539" s="3"/>
      <c r="Q3539" s="3"/>
      <c r="R3539" s="3"/>
      <c r="S3539" s="3"/>
    </row>
    <row r="3540" ht="15.75" customHeight="1">
      <c r="A3540" s="3"/>
      <c r="B3540" s="3"/>
      <c r="C3540" s="3"/>
      <c r="D3540" s="3"/>
      <c r="E3540" s="3"/>
      <c r="F3540" s="3"/>
      <c r="G3540" s="3"/>
      <c r="H3540" s="3"/>
      <c r="I3540" s="3"/>
      <c r="J3540" s="3"/>
      <c r="K3540" s="3"/>
      <c r="L3540" s="3"/>
      <c r="M3540" s="3"/>
      <c r="N3540" s="3"/>
      <c r="O3540" s="3"/>
      <c r="P3540" s="3"/>
      <c r="Q3540" s="3"/>
      <c r="R3540" s="3"/>
      <c r="S3540" s="3"/>
    </row>
    <row r="3541" ht="15.75" customHeight="1">
      <c r="A3541" s="3"/>
      <c r="B3541" s="3"/>
      <c r="C3541" s="3"/>
      <c r="D3541" s="3"/>
      <c r="E3541" s="3"/>
      <c r="F3541" s="3"/>
      <c r="G3541" s="3"/>
      <c r="H3541" s="3"/>
      <c r="I3541" s="3"/>
      <c r="J3541" s="3"/>
      <c r="K3541" s="3"/>
      <c r="L3541" s="3"/>
      <c r="M3541" s="3"/>
      <c r="N3541" s="3"/>
      <c r="O3541" s="3"/>
      <c r="P3541" s="3"/>
      <c r="Q3541" s="3"/>
      <c r="R3541" s="3"/>
      <c r="S3541" s="3"/>
    </row>
    <row r="3542" ht="15.75" customHeight="1">
      <c r="A3542" s="3"/>
      <c r="B3542" s="3"/>
      <c r="C3542" s="3"/>
      <c r="D3542" s="3"/>
      <c r="E3542" s="3"/>
      <c r="F3542" s="3"/>
      <c r="G3542" s="3"/>
      <c r="H3542" s="3"/>
      <c r="I3542" s="3"/>
      <c r="J3542" s="3"/>
      <c r="K3542" s="3"/>
      <c r="L3542" s="3"/>
      <c r="M3542" s="3"/>
      <c r="N3542" s="3"/>
      <c r="O3542" s="3"/>
      <c r="P3542" s="3"/>
      <c r="Q3542" s="3"/>
      <c r="R3542" s="3"/>
      <c r="S3542" s="3"/>
    </row>
    <row r="3543" ht="15.75" customHeight="1">
      <c r="A3543" s="3"/>
      <c r="B3543" s="3"/>
      <c r="C3543" s="3"/>
      <c r="D3543" s="3"/>
      <c r="E3543" s="3"/>
      <c r="F3543" s="3"/>
      <c r="G3543" s="3"/>
      <c r="H3543" s="3"/>
      <c r="I3543" s="3"/>
      <c r="J3543" s="3"/>
      <c r="K3543" s="3"/>
      <c r="L3543" s="3"/>
      <c r="M3543" s="3"/>
      <c r="N3543" s="3"/>
      <c r="O3543" s="3"/>
      <c r="P3543" s="3"/>
      <c r="Q3543" s="3"/>
      <c r="R3543" s="3"/>
      <c r="S3543" s="3"/>
    </row>
    <row r="3544" ht="15.75" customHeight="1">
      <c r="A3544" s="3"/>
      <c r="B3544" s="3"/>
      <c r="C3544" s="3"/>
      <c r="D3544" s="3"/>
      <c r="E3544" s="3"/>
      <c r="F3544" s="3"/>
      <c r="G3544" s="3"/>
      <c r="H3544" s="3"/>
      <c r="I3544" s="3"/>
      <c r="J3544" s="3"/>
      <c r="K3544" s="3"/>
      <c r="L3544" s="3"/>
      <c r="M3544" s="3"/>
      <c r="N3544" s="3"/>
      <c r="O3544" s="3"/>
      <c r="P3544" s="3"/>
      <c r="Q3544" s="3"/>
      <c r="R3544" s="3"/>
      <c r="S3544" s="3"/>
    </row>
    <row r="3545" ht="15.75" customHeight="1">
      <c r="A3545" s="3"/>
      <c r="B3545" s="3"/>
      <c r="C3545" s="3"/>
      <c r="D3545" s="3"/>
      <c r="E3545" s="3"/>
      <c r="F3545" s="3"/>
      <c r="G3545" s="3"/>
      <c r="H3545" s="3"/>
      <c r="I3545" s="3"/>
      <c r="J3545" s="3"/>
      <c r="K3545" s="3"/>
      <c r="L3545" s="3"/>
      <c r="M3545" s="3"/>
      <c r="N3545" s="3"/>
      <c r="O3545" s="3"/>
      <c r="P3545" s="3"/>
      <c r="Q3545" s="3"/>
      <c r="R3545" s="3"/>
      <c r="S3545" s="3"/>
    </row>
    <row r="3546" ht="15.75" customHeight="1">
      <c r="A3546" s="3"/>
      <c r="B3546" s="3"/>
      <c r="C3546" s="3"/>
      <c r="D3546" s="3"/>
      <c r="E3546" s="3"/>
      <c r="F3546" s="3"/>
      <c r="G3546" s="3"/>
      <c r="H3546" s="3"/>
      <c r="I3546" s="3"/>
      <c r="J3546" s="3"/>
      <c r="K3546" s="3"/>
      <c r="L3546" s="3"/>
      <c r="M3546" s="3"/>
      <c r="N3546" s="3"/>
      <c r="O3546" s="3"/>
      <c r="P3546" s="3"/>
      <c r="Q3546" s="3"/>
      <c r="R3546" s="3"/>
      <c r="S3546" s="3"/>
    </row>
    <row r="3547" ht="15.75" customHeight="1">
      <c r="A3547" s="3"/>
      <c r="B3547" s="3"/>
      <c r="C3547" s="3"/>
      <c r="D3547" s="3"/>
      <c r="E3547" s="3"/>
      <c r="F3547" s="3"/>
      <c r="G3547" s="3"/>
      <c r="H3547" s="3"/>
      <c r="I3547" s="3"/>
      <c r="J3547" s="3"/>
      <c r="K3547" s="3"/>
      <c r="L3547" s="3"/>
      <c r="M3547" s="3"/>
      <c r="N3547" s="3"/>
      <c r="O3547" s="3"/>
      <c r="P3547" s="3"/>
      <c r="Q3547" s="3"/>
      <c r="R3547" s="3"/>
      <c r="S3547" s="3"/>
    </row>
    <row r="3548" ht="15.75" customHeight="1">
      <c r="A3548" s="3"/>
      <c r="B3548" s="3"/>
      <c r="C3548" s="3"/>
      <c r="D3548" s="3"/>
      <c r="E3548" s="3"/>
      <c r="F3548" s="3"/>
      <c r="G3548" s="3"/>
      <c r="H3548" s="3"/>
      <c r="I3548" s="3"/>
      <c r="J3548" s="3"/>
      <c r="K3548" s="3"/>
      <c r="L3548" s="3"/>
      <c r="M3548" s="3"/>
      <c r="N3548" s="3"/>
      <c r="O3548" s="3"/>
      <c r="P3548" s="3"/>
      <c r="Q3548" s="3"/>
      <c r="R3548" s="3"/>
      <c r="S3548" s="3"/>
    </row>
    <row r="3549" ht="15.75" customHeight="1">
      <c r="A3549" s="3"/>
      <c r="B3549" s="3"/>
      <c r="C3549" s="3"/>
      <c r="D3549" s="3"/>
      <c r="E3549" s="3"/>
      <c r="F3549" s="3"/>
      <c r="G3549" s="3"/>
      <c r="H3549" s="3"/>
      <c r="I3549" s="3"/>
      <c r="J3549" s="3"/>
      <c r="K3549" s="3"/>
      <c r="L3549" s="3"/>
      <c r="M3549" s="3"/>
      <c r="N3549" s="3"/>
      <c r="O3549" s="3"/>
      <c r="P3549" s="3"/>
      <c r="Q3549" s="3"/>
      <c r="R3549" s="3"/>
      <c r="S3549" s="3"/>
    </row>
    <row r="3550" ht="15.75" customHeight="1">
      <c r="A3550" s="3"/>
      <c r="B3550" s="3"/>
      <c r="C3550" s="3"/>
      <c r="D3550" s="3"/>
      <c r="E3550" s="3"/>
      <c r="F3550" s="3"/>
      <c r="G3550" s="3"/>
      <c r="H3550" s="3"/>
      <c r="I3550" s="3"/>
      <c r="J3550" s="3"/>
      <c r="K3550" s="3"/>
      <c r="L3550" s="3"/>
      <c r="M3550" s="3"/>
      <c r="N3550" s="3"/>
      <c r="O3550" s="3"/>
      <c r="P3550" s="3"/>
      <c r="Q3550" s="3"/>
      <c r="R3550" s="3"/>
      <c r="S3550" s="3"/>
    </row>
    <row r="3551" ht="15.75" customHeight="1">
      <c r="A3551" s="3"/>
      <c r="B3551" s="3"/>
      <c r="C3551" s="3"/>
      <c r="D3551" s="3"/>
      <c r="E3551" s="3"/>
      <c r="F3551" s="3"/>
      <c r="G3551" s="3"/>
      <c r="H3551" s="3"/>
      <c r="I3551" s="3"/>
      <c r="J3551" s="3"/>
      <c r="K3551" s="3"/>
      <c r="L3551" s="3"/>
      <c r="M3551" s="3"/>
      <c r="N3551" s="3"/>
      <c r="O3551" s="3"/>
      <c r="P3551" s="3"/>
      <c r="Q3551" s="3"/>
      <c r="R3551" s="3"/>
      <c r="S3551" s="3"/>
    </row>
    <row r="3552" ht="15.75" customHeight="1">
      <c r="A3552" s="3"/>
      <c r="B3552" s="3"/>
      <c r="C3552" s="3"/>
      <c r="D3552" s="3"/>
      <c r="E3552" s="3"/>
      <c r="F3552" s="3"/>
      <c r="G3552" s="3"/>
      <c r="H3552" s="3"/>
      <c r="I3552" s="3"/>
      <c r="J3552" s="3"/>
      <c r="K3552" s="3"/>
      <c r="L3552" s="3"/>
      <c r="M3552" s="3"/>
      <c r="N3552" s="3"/>
      <c r="O3552" s="3"/>
      <c r="P3552" s="3"/>
      <c r="Q3552" s="3"/>
      <c r="R3552" s="3"/>
      <c r="S3552" s="3"/>
    </row>
    <row r="3553" ht="15.75" customHeight="1">
      <c r="A3553" s="3"/>
      <c r="B3553" s="3"/>
      <c r="C3553" s="3"/>
      <c r="D3553" s="3"/>
      <c r="E3553" s="3"/>
      <c r="F3553" s="3"/>
      <c r="G3553" s="3"/>
      <c r="H3553" s="3"/>
      <c r="I3553" s="3"/>
      <c r="J3553" s="3"/>
      <c r="K3553" s="3"/>
      <c r="L3553" s="3"/>
      <c r="M3553" s="3"/>
      <c r="N3553" s="3"/>
      <c r="O3553" s="3"/>
      <c r="P3553" s="3"/>
      <c r="Q3553" s="3"/>
      <c r="R3553" s="3"/>
      <c r="S3553" s="3"/>
    </row>
    <row r="3554" ht="15.75" customHeight="1">
      <c r="A3554" s="3"/>
      <c r="B3554" s="3"/>
      <c r="C3554" s="3"/>
      <c r="D3554" s="3"/>
      <c r="E3554" s="3"/>
      <c r="F3554" s="3"/>
      <c r="G3554" s="3"/>
      <c r="H3554" s="3"/>
      <c r="I3554" s="3"/>
      <c r="J3554" s="3"/>
      <c r="K3554" s="3"/>
      <c r="L3554" s="3"/>
      <c r="M3554" s="3"/>
      <c r="N3554" s="3"/>
      <c r="O3554" s="3"/>
      <c r="P3554" s="3"/>
      <c r="Q3554" s="3"/>
      <c r="R3554" s="3"/>
      <c r="S3554" s="3"/>
    </row>
    <row r="3555" ht="15.75" customHeight="1">
      <c r="A3555" s="3"/>
      <c r="B3555" s="3"/>
      <c r="C3555" s="3"/>
      <c r="D3555" s="3"/>
      <c r="E3555" s="3"/>
      <c r="F3555" s="3"/>
      <c r="G3555" s="3"/>
      <c r="H3555" s="3"/>
      <c r="I3555" s="3"/>
      <c r="J3555" s="3"/>
      <c r="K3555" s="3"/>
      <c r="L3555" s="3"/>
      <c r="M3555" s="3"/>
      <c r="N3555" s="3"/>
      <c r="O3555" s="3"/>
      <c r="P3555" s="3"/>
      <c r="Q3555" s="3"/>
      <c r="R3555" s="3"/>
      <c r="S3555" s="3"/>
    </row>
    <row r="3556" ht="15.75" customHeight="1">
      <c r="A3556" s="3"/>
      <c r="B3556" s="3"/>
      <c r="C3556" s="3"/>
      <c r="D3556" s="3"/>
      <c r="E3556" s="3"/>
      <c r="F3556" s="3"/>
      <c r="G3556" s="3"/>
      <c r="H3556" s="3"/>
      <c r="I3556" s="3"/>
      <c r="J3556" s="3"/>
      <c r="K3556" s="3"/>
      <c r="L3556" s="3"/>
      <c r="M3556" s="3"/>
      <c r="N3556" s="3"/>
      <c r="O3556" s="3"/>
      <c r="P3556" s="3"/>
      <c r="Q3556" s="3"/>
      <c r="R3556" s="3"/>
      <c r="S3556" s="3"/>
    </row>
    <row r="3557" ht="15.75" customHeight="1">
      <c r="A3557" s="3"/>
      <c r="B3557" s="3"/>
      <c r="C3557" s="3"/>
      <c r="D3557" s="3"/>
      <c r="E3557" s="3"/>
      <c r="F3557" s="3"/>
      <c r="G3557" s="3"/>
      <c r="H3557" s="3"/>
      <c r="I3557" s="3"/>
      <c r="J3557" s="3"/>
      <c r="K3557" s="3"/>
      <c r="L3557" s="3"/>
      <c r="M3557" s="3"/>
      <c r="N3557" s="3"/>
      <c r="O3557" s="3"/>
      <c r="P3557" s="3"/>
      <c r="Q3557" s="3"/>
      <c r="R3557" s="3"/>
      <c r="S3557" s="3"/>
    </row>
    <row r="3558" ht="15.75" customHeight="1">
      <c r="A3558" s="3"/>
      <c r="B3558" s="3"/>
      <c r="C3558" s="3"/>
      <c r="D3558" s="3"/>
      <c r="E3558" s="3"/>
      <c r="F3558" s="3"/>
      <c r="G3558" s="3"/>
      <c r="H3558" s="3"/>
      <c r="I3558" s="3"/>
      <c r="J3558" s="3"/>
      <c r="K3558" s="3"/>
      <c r="L3558" s="3"/>
      <c r="M3558" s="3"/>
      <c r="N3558" s="3"/>
      <c r="O3558" s="3"/>
      <c r="P3558" s="3"/>
      <c r="Q3558" s="3"/>
      <c r="R3558" s="3"/>
      <c r="S3558" s="3"/>
    </row>
    <row r="3559" ht="15.75" customHeight="1">
      <c r="A3559" s="3"/>
      <c r="B3559" s="3"/>
      <c r="C3559" s="3"/>
      <c r="D3559" s="3"/>
      <c r="E3559" s="3"/>
      <c r="F3559" s="3"/>
      <c r="G3559" s="3"/>
      <c r="H3559" s="3"/>
      <c r="I3559" s="3"/>
      <c r="J3559" s="3"/>
      <c r="K3559" s="3"/>
      <c r="L3559" s="3"/>
      <c r="M3559" s="3"/>
      <c r="N3559" s="3"/>
      <c r="O3559" s="3"/>
      <c r="P3559" s="3"/>
      <c r="Q3559" s="3"/>
      <c r="R3559" s="3"/>
      <c r="S3559" s="3"/>
    </row>
    <row r="3560" ht="15.75" customHeight="1">
      <c r="A3560" s="3"/>
      <c r="B3560" s="3"/>
      <c r="C3560" s="3"/>
      <c r="D3560" s="3"/>
      <c r="E3560" s="3"/>
      <c r="F3560" s="3"/>
      <c r="G3560" s="3"/>
      <c r="H3560" s="3"/>
      <c r="I3560" s="3"/>
      <c r="J3560" s="3"/>
      <c r="K3560" s="3"/>
      <c r="L3560" s="3"/>
      <c r="M3560" s="3"/>
      <c r="N3560" s="3"/>
      <c r="O3560" s="3"/>
      <c r="P3560" s="3"/>
      <c r="Q3560" s="3"/>
      <c r="R3560" s="3"/>
      <c r="S3560" s="3"/>
    </row>
    <row r="3561" ht="15.75" customHeight="1">
      <c r="A3561" s="3"/>
      <c r="B3561" s="3"/>
      <c r="C3561" s="3"/>
      <c r="D3561" s="3"/>
      <c r="E3561" s="3"/>
      <c r="F3561" s="3"/>
      <c r="G3561" s="3"/>
      <c r="H3561" s="3"/>
      <c r="I3561" s="3"/>
      <c r="J3561" s="3"/>
      <c r="K3561" s="3"/>
      <c r="L3561" s="3"/>
      <c r="M3561" s="3"/>
      <c r="N3561" s="3"/>
      <c r="O3561" s="3"/>
      <c r="P3561" s="3"/>
      <c r="Q3561" s="3"/>
      <c r="R3561" s="3"/>
      <c r="S3561" s="3"/>
    </row>
    <row r="3562" ht="15.75" customHeight="1">
      <c r="A3562" s="3"/>
      <c r="B3562" s="3"/>
      <c r="C3562" s="3"/>
      <c r="D3562" s="3"/>
      <c r="E3562" s="3"/>
      <c r="F3562" s="3"/>
      <c r="G3562" s="3"/>
      <c r="H3562" s="3"/>
      <c r="I3562" s="3"/>
      <c r="J3562" s="3"/>
      <c r="K3562" s="3"/>
      <c r="L3562" s="3"/>
      <c r="M3562" s="3"/>
      <c r="N3562" s="3"/>
      <c r="O3562" s="3"/>
      <c r="P3562" s="3"/>
      <c r="Q3562" s="3"/>
      <c r="R3562" s="3"/>
      <c r="S3562" s="3"/>
    </row>
    <row r="3563" ht="15.75" customHeight="1">
      <c r="A3563" s="3"/>
      <c r="B3563" s="3"/>
      <c r="C3563" s="3"/>
      <c r="D3563" s="3"/>
      <c r="E3563" s="3"/>
      <c r="F3563" s="3"/>
      <c r="G3563" s="3"/>
      <c r="H3563" s="3"/>
      <c r="I3563" s="3"/>
      <c r="J3563" s="3"/>
      <c r="K3563" s="3"/>
      <c r="L3563" s="3"/>
      <c r="M3563" s="3"/>
      <c r="N3563" s="3"/>
      <c r="O3563" s="3"/>
      <c r="P3563" s="3"/>
      <c r="Q3563" s="3"/>
      <c r="R3563" s="3"/>
      <c r="S3563" s="3"/>
    </row>
    <row r="3564" ht="15.75" customHeight="1">
      <c r="A3564" s="3"/>
      <c r="B3564" s="3"/>
      <c r="C3564" s="3"/>
      <c r="D3564" s="3"/>
      <c r="E3564" s="3"/>
      <c r="F3564" s="3"/>
      <c r="G3564" s="3"/>
      <c r="H3564" s="3"/>
      <c r="I3564" s="3"/>
      <c r="J3564" s="3"/>
      <c r="K3564" s="3"/>
      <c r="L3564" s="3"/>
      <c r="M3564" s="3"/>
      <c r="N3564" s="3"/>
      <c r="O3564" s="3"/>
      <c r="P3564" s="3"/>
      <c r="Q3564" s="3"/>
      <c r="R3564" s="3"/>
      <c r="S3564" s="3"/>
    </row>
    <row r="3565" ht="15.75" customHeight="1">
      <c r="A3565" s="3"/>
      <c r="B3565" s="3"/>
      <c r="C3565" s="3"/>
      <c r="D3565" s="3"/>
      <c r="E3565" s="3"/>
      <c r="F3565" s="3"/>
      <c r="G3565" s="3"/>
      <c r="H3565" s="3"/>
      <c r="I3565" s="3"/>
      <c r="J3565" s="3"/>
      <c r="K3565" s="3"/>
      <c r="L3565" s="3"/>
      <c r="M3565" s="3"/>
      <c r="N3565" s="3"/>
      <c r="O3565" s="3"/>
      <c r="P3565" s="3"/>
      <c r="Q3565" s="3"/>
      <c r="R3565" s="3"/>
      <c r="S3565" s="3"/>
    </row>
    <row r="3566" ht="15.75" customHeight="1">
      <c r="A3566" s="3"/>
      <c r="B3566" s="3"/>
      <c r="C3566" s="3"/>
      <c r="D3566" s="3"/>
      <c r="E3566" s="3"/>
      <c r="F3566" s="3"/>
      <c r="G3566" s="3"/>
      <c r="H3566" s="3"/>
      <c r="I3566" s="3"/>
      <c r="J3566" s="3"/>
      <c r="K3566" s="3"/>
      <c r="L3566" s="3"/>
      <c r="M3566" s="3"/>
      <c r="N3566" s="3"/>
      <c r="O3566" s="3"/>
      <c r="P3566" s="3"/>
      <c r="Q3566" s="3"/>
      <c r="R3566" s="3"/>
      <c r="S3566" s="3"/>
    </row>
    <row r="3567" ht="15.75" customHeight="1">
      <c r="A3567" s="3"/>
      <c r="B3567" s="3"/>
      <c r="C3567" s="3"/>
      <c r="D3567" s="3"/>
      <c r="E3567" s="3"/>
      <c r="F3567" s="3"/>
      <c r="G3567" s="3"/>
      <c r="H3567" s="3"/>
      <c r="I3567" s="3"/>
      <c r="J3567" s="3"/>
      <c r="K3567" s="3"/>
      <c r="L3567" s="3"/>
      <c r="M3567" s="3"/>
      <c r="N3567" s="3"/>
      <c r="O3567" s="3"/>
      <c r="P3567" s="3"/>
      <c r="Q3567" s="3"/>
      <c r="R3567" s="3"/>
      <c r="S3567" s="3"/>
    </row>
    <row r="3568" ht="15.75" customHeight="1">
      <c r="A3568" s="3"/>
      <c r="B3568" s="3"/>
      <c r="C3568" s="3"/>
      <c r="D3568" s="3"/>
      <c r="E3568" s="3"/>
      <c r="F3568" s="3"/>
      <c r="G3568" s="3"/>
      <c r="H3568" s="3"/>
      <c r="I3568" s="3"/>
      <c r="J3568" s="3"/>
      <c r="K3568" s="3"/>
      <c r="L3568" s="3"/>
      <c r="M3568" s="3"/>
      <c r="N3568" s="3"/>
      <c r="O3568" s="3"/>
      <c r="P3568" s="3"/>
      <c r="Q3568" s="3"/>
      <c r="R3568" s="3"/>
      <c r="S3568" s="3"/>
    </row>
    <row r="3569" ht="15.75" customHeight="1">
      <c r="A3569" s="3"/>
      <c r="B3569" s="3"/>
      <c r="C3569" s="3"/>
      <c r="D3569" s="3"/>
      <c r="E3569" s="3"/>
      <c r="F3569" s="3"/>
      <c r="G3569" s="3"/>
      <c r="H3569" s="3"/>
      <c r="I3569" s="3"/>
      <c r="J3569" s="3"/>
      <c r="K3569" s="3"/>
      <c r="L3569" s="3"/>
      <c r="M3569" s="3"/>
      <c r="N3569" s="3"/>
      <c r="O3569" s="3"/>
      <c r="P3569" s="3"/>
      <c r="Q3569" s="3"/>
      <c r="R3569" s="3"/>
      <c r="S3569" s="3"/>
    </row>
    <row r="3570" ht="15.75" customHeight="1">
      <c r="A3570" s="3"/>
      <c r="B3570" s="3"/>
      <c r="C3570" s="3"/>
      <c r="D3570" s="3"/>
      <c r="E3570" s="3"/>
      <c r="F3570" s="3"/>
      <c r="G3570" s="3"/>
      <c r="H3570" s="3"/>
      <c r="I3570" s="3"/>
      <c r="J3570" s="3"/>
      <c r="K3570" s="3"/>
      <c r="L3570" s="3"/>
      <c r="M3570" s="3"/>
      <c r="N3570" s="3"/>
      <c r="O3570" s="3"/>
      <c r="P3570" s="3"/>
      <c r="Q3570" s="3"/>
      <c r="R3570" s="3"/>
      <c r="S3570" s="3"/>
    </row>
    <row r="3571" ht="15.75" customHeight="1">
      <c r="A3571" s="3"/>
      <c r="B3571" s="3"/>
      <c r="C3571" s="3"/>
      <c r="D3571" s="3"/>
      <c r="E3571" s="3"/>
      <c r="F3571" s="3"/>
      <c r="G3571" s="3"/>
      <c r="H3571" s="3"/>
      <c r="I3571" s="3"/>
      <c r="J3571" s="3"/>
      <c r="K3571" s="3"/>
      <c r="L3571" s="3"/>
      <c r="M3571" s="3"/>
      <c r="N3571" s="3"/>
      <c r="O3571" s="3"/>
      <c r="P3571" s="3"/>
      <c r="Q3571" s="3"/>
      <c r="R3571" s="3"/>
      <c r="S3571" s="3"/>
    </row>
    <row r="3572" ht="15.75" customHeight="1">
      <c r="A3572" s="3"/>
      <c r="B3572" s="3"/>
      <c r="C3572" s="3"/>
      <c r="D3572" s="3"/>
      <c r="E3572" s="3"/>
      <c r="F3572" s="3"/>
      <c r="G3572" s="3"/>
      <c r="H3572" s="3"/>
      <c r="I3572" s="3"/>
      <c r="J3572" s="3"/>
      <c r="K3572" s="3"/>
      <c r="L3572" s="3"/>
      <c r="M3572" s="3"/>
      <c r="N3572" s="3"/>
      <c r="O3572" s="3"/>
      <c r="P3572" s="3"/>
      <c r="Q3572" s="3"/>
      <c r="R3572" s="3"/>
      <c r="S3572" s="3"/>
    </row>
    <row r="3573" ht="15.75" customHeight="1">
      <c r="A3573" s="3"/>
      <c r="B3573" s="3"/>
      <c r="C3573" s="3"/>
      <c r="D3573" s="3"/>
      <c r="E3573" s="3"/>
      <c r="F3573" s="3"/>
      <c r="G3573" s="3"/>
      <c r="H3573" s="3"/>
      <c r="I3573" s="3"/>
      <c r="J3573" s="3"/>
      <c r="K3573" s="3"/>
      <c r="L3573" s="3"/>
      <c r="M3573" s="3"/>
      <c r="N3573" s="3"/>
      <c r="O3573" s="3"/>
      <c r="P3573" s="3"/>
      <c r="Q3573" s="3"/>
      <c r="R3573" s="3"/>
      <c r="S3573" s="3"/>
    </row>
    <row r="3574" ht="15.75" customHeight="1">
      <c r="A3574" s="3"/>
      <c r="B3574" s="3"/>
      <c r="C3574" s="3"/>
      <c r="D3574" s="3"/>
      <c r="E3574" s="3"/>
      <c r="F3574" s="3"/>
      <c r="G3574" s="3"/>
      <c r="H3574" s="3"/>
      <c r="I3574" s="3"/>
      <c r="J3574" s="3"/>
      <c r="K3574" s="3"/>
      <c r="L3574" s="3"/>
      <c r="M3574" s="3"/>
      <c r="N3574" s="3"/>
      <c r="O3574" s="3"/>
      <c r="P3574" s="3"/>
      <c r="Q3574" s="3"/>
      <c r="R3574" s="3"/>
      <c r="S3574" s="3"/>
    </row>
    <row r="3575" ht="15.75" customHeight="1">
      <c r="A3575" s="3"/>
      <c r="B3575" s="3"/>
      <c r="C3575" s="3"/>
      <c r="D3575" s="3"/>
      <c r="E3575" s="3"/>
      <c r="F3575" s="3"/>
      <c r="G3575" s="3"/>
      <c r="H3575" s="3"/>
      <c r="I3575" s="3"/>
      <c r="J3575" s="3"/>
      <c r="K3575" s="3"/>
      <c r="L3575" s="3"/>
      <c r="M3575" s="3"/>
      <c r="N3575" s="3"/>
      <c r="O3575" s="3"/>
      <c r="P3575" s="3"/>
      <c r="Q3575" s="3"/>
      <c r="R3575" s="3"/>
      <c r="S3575" s="3"/>
    </row>
    <row r="3576" ht="15.75" customHeight="1">
      <c r="A3576" s="3"/>
      <c r="B3576" s="3"/>
      <c r="C3576" s="3"/>
      <c r="D3576" s="3"/>
      <c r="E3576" s="3"/>
      <c r="F3576" s="3"/>
      <c r="G3576" s="3"/>
      <c r="H3576" s="3"/>
      <c r="I3576" s="3"/>
      <c r="J3576" s="3"/>
      <c r="K3576" s="3"/>
      <c r="L3576" s="3"/>
      <c r="M3576" s="3"/>
      <c r="N3576" s="3"/>
      <c r="O3576" s="3"/>
      <c r="P3576" s="3"/>
      <c r="Q3576" s="3"/>
      <c r="R3576" s="3"/>
      <c r="S3576" s="3"/>
    </row>
    <row r="3577" ht="15.75" customHeight="1">
      <c r="A3577" s="3"/>
      <c r="B3577" s="3"/>
      <c r="C3577" s="3"/>
      <c r="D3577" s="3"/>
      <c r="E3577" s="3"/>
      <c r="F3577" s="3"/>
      <c r="G3577" s="3"/>
      <c r="H3577" s="3"/>
      <c r="I3577" s="3"/>
      <c r="J3577" s="3"/>
      <c r="K3577" s="3"/>
      <c r="L3577" s="3"/>
      <c r="M3577" s="3"/>
      <c r="N3577" s="3"/>
      <c r="O3577" s="3"/>
      <c r="P3577" s="3"/>
      <c r="Q3577" s="3"/>
      <c r="R3577" s="3"/>
      <c r="S3577" s="3"/>
    </row>
    <row r="3578" ht="15.75" customHeight="1">
      <c r="A3578" s="3"/>
      <c r="B3578" s="3"/>
      <c r="C3578" s="3"/>
      <c r="D3578" s="3"/>
      <c r="E3578" s="3"/>
      <c r="F3578" s="3"/>
      <c r="G3578" s="3"/>
      <c r="H3578" s="3"/>
      <c r="I3578" s="3"/>
      <c r="J3578" s="3"/>
      <c r="K3578" s="3"/>
      <c r="L3578" s="3"/>
      <c r="M3578" s="3"/>
      <c r="N3578" s="3"/>
      <c r="O3578" s="3"/>
      <c r="P3578" s="3"/>
      <c r="Q3578" s="3"/>
      <c r="R3578" s="3"/>
      <c r="S3578" s="3"/>
    </row>
    <row r="3579" ht="15.75" customHeight="1">
      <c r="A3579" s="3"/>
      <c r="B3579" s="3"/>
      <c r="C3579" s="3"/>
      <c r="D3579" s="3"/>
      <c r="E3579" s="3"/>
      <c r="F3579" s="3"/>
      <c r="G3579" s="3"/>
      <c r="H3579" s="3"/>
      <c r="I3579" s="3"/>
      <c r="J3579" s="3"/>
      <c r="K3579" s="3"/>
      <c r="L3579" s="3"/>
      <c r="M3579" s="3"/>
      <c r="N3579" s="3"/>
      <c r="O3579" s="3"/>
      <c r="P3579" s="3"/>
      <c r="Q3579" s="3"/>
      <c r="R3579" s="3"/>
      <c r="S3579" s="3"/>
    </row>
    <row r="3580" ht="15.75" customHeight="1">
      <c r="A3580" s="3"/>
      <c r="B3580" s="3"/>
      <c r="C3580" s="3"/>
      <c r="D3580" s="3"/>
      <c r="E3580" s="3"/>
      <c r="F3580" s="3"/>
      <c r="G3580" s="3"/>
      <c r="H3580" s="3"/>
      <c r="I3580" s="3"/>
      <c r="J3580" s="3"/>
      <c r="K3580" s="3"/>
      <c r="L3580" s="3"/>
      <c r="M3580" s="3"/>
      <c r="N3580" s="3"/>
      <c r="O3580" s="3"/>
      <c r="P3580" s="3"/>
      <c r="Q3580" s="3"/>
      <c r="R3580" s="3"/>
      <c r="S3580" s="3"/>
    </row>
    <row r="3581" ht="15.75" customHeight="1">
      <c r="A3581" s="3"/>
      <c r="B3581" s="3"/>
      <c r="C3581" s="3"/>
      <c r="D3581" s="3"/>
      <c r="E3581" s="3"/>
      <c r="F3581" s="3"/>
      <c r="G3581" s="3"/>
      <c r="H3581" s="3"/>
      <c r="I3581" s="3"/>
      <c r="J3581" s="3"/>
      <c r="K3581" s="3"/>
      <c r="L3581" s="3"/>
      <c r="M3581" s="3"/>
      <c r="N3581" s="3"/>
      <c r="O3581" s="3"/>
      <c r="P3581" s="3"/>
      <c r="Q3581" s="3"/>
      <c r="R3581" s="3"/>
      <c r="S3581" s="3"/>
    </row>
    <row r="3582" ht="15.75" customHeight="1">
      <c r="A3582" s="3"/>
      <c r="B3582" s="3"/>
      <c r="C3582" s="3"/>
      <c r="D3582" s="3"/>
      <c r="E3582" s="3"/>
      <c r="F3582" s="3"/>
      <c r="G3582" s="3"/>
      <c r="H3582" s="3"/>
      <c r="I3582" s="3"/>
      <c r="J3582" s="3"/>
      <c r="K3582" s="3"/>
      <c r="L3582" s="3"/>
      <c r="M3582" s="3"/>
      <c r="N3582" s="3"/>
      <c r="O3582" s="3"/>
      <c r="P3582" s="3"/>
      <c r="Q3582" s="3"/>
      <c r="R3582" s="3"/>
      <c r="S3582" s="3"/>
    </row>
    <row r="3583" ht="15.75" customHeight="1">
      <c r="A3583" s="3"/>
      <c r="B3583" s="3"/>
      <c r="C3583" s="3"/>
      <c r="D3583" s="3"/>
      <c r="E3583" s="3"/>
      <c r="F3583" s="3"/>
      <c r="G3583" s="3"/>
      <c r="H3583" s="3"/>
      <c r="I3583" s="3"/>
      <c r="J3583" s="3"/>
      <c r="K3583" s="3"/>
      <c r="L3583" s="3"/>
      <c r="M3583" s="3"/>
      <c r="N3583" s="3"/>
      <c r="O3583" s="3"/>
      <c r="P3583" s="3"/>
      <c r="Q3583" s="3"/>
      <c r="R3583" s="3"/>
      <c r="S3583" s="3"/>
    </row>
    <row r="3584" ht="15.75" customHeight="1">
      <c r="A3584" s="3"/>
      <c r="B3584" s="3"/>
      <c r="C3584" s="3"/>
      <c r="D3584" s="3"/>
      <c r="E3584" s="3"/>
      <c r="F3584" s="3"/>
      <c r="G3584" s="3"/>
      <c r="H3584" s="3"/>
      <c r="I3584" s="3"/>
      <c r="J3584" s="3"/>
      <c r="K3584" s="3"/>
      <c r="L3584" s="3"/>
      <c r="M3584" s="3"/>
      <c r="N3584" s="3"/>
      <c r="O3584" s="3"/>
      <c r="P3584" s="3"/>
      <c r="Q3584" s="3"/>
      <c r="R3584" s="3"/>
      <c r="S3584" s="3"/>
    </row>
    <row r="3585" ht="15.75" customHeight="1">
      <c r="A3585" s="3"/>
      <c r="B3585" s="3"/>
      <c r="C3585" s="3"/>
      <c r="D3585" s="3"/>
      <c r="E3585" s="3"/>
      <c r="F3585" s="3"/>
      <c r="G3585" s="3"/>
      <c r="H3585" s="3"/>
      <c r="I3585" s="3"/>
      <c r="J3585" s="3"/>
      <c r="K3585" s="3"/>
      <c r="L3585" s="3"/>
      <c r="M3585" s="3"/>
      <c r="N3585" s="3"/>
      <c r="O3585" s="3"/>
      <c r="P3585" s="3"/>
      <c r="Q3585" s="3"/>
      <c r="R3585" s="3"/>
      <c r="S3585" s="3"/>
    </row>
    <row r="3586" ht="15.75" customHeight="1">
      <c r="A3586" s="3"/>
      <c r="B3586" s="3"/>
      <c r="C3586" s="3"/>
      <c r="D3586" s="3"/>
      <c r="E3586" s="3"/>
      <c r="F3586" s="3"/>
      <c r="G3586" s="3"/>
      <c r="H3586" s="3"/>
      <c r="I3586" s="3"/>
      <c r="J3586" s="3"/>
      <c r="K3586" s="3"/>
      <c r="L3586" s="3"/>
      <c r="M3586" s="3"/>
      <c r="N3586" s="3"/>
      <c r="O3586" s="3"/>
      <c r="P3586" s="3"/>
      <c r="Q3586" s="3"/>
      <c r="R3586" s="3"/>
      <c r="S3586" s="3"/>
    </row>
    <row r="3587" ht="15.75" customHeight="1">
      <c r="A3587" s="3"/>
      <c r="B3587" s="3"/>
      <c r="C3587" s="3"/>
      <c r="D3587" s="3"/>
      <c r="E3587" s="3"/>
      <c r="F3587" s="3"/>
      <c r="G3587" s="3"/>
      <c r="H3587" s="3"/>
      <c r="I3587" s="3"/>
      <c r="J3587" s="3"/>
      <c r="K3587" s="3"/>
      <c r="L3587" s="3"/>
      <c r="M3587" s="3"/>
      <c r="N3587" s="3"/>
      <c r="O3587" s="3"/>
      <c r="P3587" s="3"/>
      <c r="Q3587" s="3"/>
      <c r="R3587" s="3"/>
      <c r="S3587" s="3"/>
    </row>
    <row r="3588" ht="15.75" customHeight="1">
      <c r="A3588" s="3"/>
      <c r="B3588" s="3"/>
      <c r="C3588" s="3"/>
      <c r="D3588" s="3"/>
      <c r="E3588" s="3"/>
      <c r="F3588" s="3"/>
      <c r="G3588" s="3"/>
      <c r="H3588" s="3"/>
      <c r="I3588" s="3"/>
      <c r="J3588" s="3"/>
      <c r="K3588" s="3"/>
      <c r="L3588" s="3"/>
      <c r="M3588" s="3"/>
      <c r="N3588" s="3"/>
      <c r="O3588" s="3"/>
      <c r="P3588" s="3"/>
      <c r="Q3588" s="3"/>
      <c r="R3588" s="3"/>
      <c r="S3588" s="3"/>
    </row>
    <row r="3589" ht="15.75" customHeight="1">
      <c r="A3589" s="3"/>
      <c r="B3589" s="3"/>
      <c r="C3589" s="3"/>
      <c r="D3589" s="3"/>
      <c r="E3589" s="3"/>
      <c r="F3589" s="3"/>
      <c r="G3589" s="3"/>
      <c r="H3589" s="3"/>
      <c r="I3589" s="3"/>
      <c r="J3589" s="3"/>
      <c r="K3589" s="3"/>
      <c r="L3589" s="3"/>
      <c r="M3589" s="3"/>
      <c r="N3589" s="3"/>
      <c r="O3589" s="3"/>
      <c r="P3589" s="3"/>
      <c r="Q3589" s="3"/>
      <c r="R3589" s="3"/>
      <c r="S3589" s="3"/>
    </row>
    <row r="3590" ht="15.75" customHeight="1">
      <c r="A3590" s="3"/>
      <c r="B3590" s="3"/>
      <c r="C3590" s="3"/>
      <c r="D3590" s="3"/>
      <c r="E3590" s="3"/>
      <c r="F3590" s="3"/>
      <c r="G3590" s="3"/>
      <c r="H3590" s="3"/>
      <c r="I3590" s="3"/>
      <c r="J3590" s="3"/>
      <c r="K3590" s="3"/>
      <c r="L3590" s="3"/>
      <c r="M3590" s="3"/>
      <c r="N3590" s="3"/>
      <c r="O3590" s="3"/>
      <c r="P3590" s="3"/>
      <c r="Q3590" s="3"/>
      <c r="R3590" s="3"/>
      <c r="S3590" s="3"/>
    </row>
    <row r="3591" ht="15.75" customHeight="1">
      <c r="A3591" s="3"/>
      <c r="B3591" s="3"/>
      <c r="C3591" s="3"/>
      <c r="D3591" s="3"/>
      <c r="E3591" s="3"/>
      <c r="F3591" s="3"/>
      <c r="G3591" s="3"/>
      <c r="H3591" s="3"/>
      <c r="I3591" s="3"/>
      <c r="J3591" s="3"/>
      <c r="K3591" s="3"/>
      <c r="L3591" s="3"/>
      <c r="M3591" s="3"/>
      <c r="N3591" s="3"/>
      <c r="O3591" s="3"/>
      <c r="P3591" s="3"/>
      <c r="Q3591" s="3"/>
      <c r="R3591" s="3"/>
      <c r="S3591" s="3"/>
    </row>
    <row r="3592" ht="15.75" customHeight="1">
      <c r="A3592" s="3"/>
      <c r="B3592" s="3"/>
      <c r="C3592" s="3"/>
      <c r="D3592" s="3"/>
      <c r="E3592" s="3"/>
      <c r="F3592" s="3"/>
      <c r="G3592" s="3"/>
      <c r="H3592" s="3"/>
      <c r="I3592" s="3"/>
      <c r="J3592" s="3"/>
      <c r="K3592" s="3"/>
      <c r="L3592" s="3"/>
      <c r="M3592" s="3"/>
      <c r="N3592" s="3"/>
      <c r="O3592" s="3"/>
      <c r="P3592" s="3"/>
      <c r="Q3592" s="3"/>
      <c r="R3592" s="3"/>
      <c r="S3592" s="3"/>
    </row>
    <row r="3593" ht="15.75" customHeight="1">
      <c r="A3593" s="3"/>
      <c r="B3593" s="3"/>
      <c r="C3593" s="3"/>
      <c r="D3593" s="3"/>
      <c r="E3593" s="3"/>
      <c r="F3593" s="3"/>
      <c r="G3593" s="3"/>
      <c r="H3593" s="3"/>
      <c r="I3593" s="3"/>
      <c r="J3593" s="3"/>
      <c r="K3593" s="3"/>
      <c r="L3593" s="3"/>
      <c r="M3593" s="3"/>
      <c r="N3593" s="3"/>
      <c r="O3593" s="3"/>
      <c r="P3593" s="3"/>
      <c r="Q3593" s="3"/>
      <c r="R3593" s="3"/>
      <c r="S3593" s="3"/>
    </row>
    <row r="3594" ht="15.75" customHeight="1">
      <c r="A3594" s="3"/>
      <c r="B3594" s="3"/>
      <c r="C3594" s="3"/>
      <c r="D3594" s="3"/>
      <c r="E3594" s="3"/>
      <c r="F3594" s="3"/>
      <c r="G3594" s="3"/>
      <c r="H3594" s="3"/>
      <c r="I3594" s="3"/>
      <c r="J3594" s="3"/>
      <c r="K3594" s="3"/>
      <c r="L3594" s="3"/>
      <c r="M3594" s="3"/>
      <c r="N3594" s="3"/>
      <c r="O3594" s="3"/>
      <c r="P3594" s="3"/>
      <c r="Q3594" s="3"/>
      <c r="R3594" s="3"/>
      <c r="S3594" s="3"/>
    </row>
    <row r="3595" ht="15.75" customHeight="1">
      <c r="A3595" s="3"/>
      <c r="B3595" s="3"/>
      <c r="C3595" s="3"/>
      <c r="D3595" s="3"/>
      <c r="E3595" s="3"/>
      <c r="F3595" s="3"/>
      <c r="G3595" s="3"/>
      <c r="H3595" s="3"/>
      <c r="I3595" s="3"/>
      <c r="J3595" s="3"/>
      <c r="K3595" s="3"/>
      <c r="L3595" s="3"/>
      <c r="M3595" s="3"/>
      <c r="N3595" s="3"/>
      <c r="O3595" s="3"/>
      <c r="P3595" s="3"/>
      <c r="Q3595" s="3"/>
      <c r="R3595" s="3"/>
      <c r="S3595" s="3"/>
    </row>
    <row r="3596" ht="15.75" customHeight="1">
      <c r="A3596" s="3"/>
      <c r="B3596" s="3"/>
      <c r="C3596" s="3"/>
      <c r="D3596" s="3"/>
      <c r="E3596" s="3"/>
      <c r="F3596" s="3"/>
      <c r="G3596" s="3"/>
      <c r="H3596" s="3"/>
      <c r="I3596" s="3"/>
      <c r="J3596" s="3"/>
      <c r="K3596" s="3"/>
      <c r="L3596" s="3"/>
      <c r="M3596" s="3"/>
      <c r="N3596" s="3"/>
      <c r="O3596" s="3"/>
      <c r="P3596" s="3"/>
      <c r="Q3596" s="3"/>
      <c r="R3596" s="3"/>
      <c r="S3596" s="3"/>
    </row>
    <row r="3597" ht="15.75" customHeight="1">
      <c r="A3597" s="3"/>
      <c r="B3597" s="3"/>
      <c r="C3597" s="3"/>
      <c r="D3597" s="3"/>
      <c r="E3597" s="3"/>
      <c r="F3597" s="3"/>
      <c r="G3597" s="3"/>
      <c r="H3597" s="3"/>
      <c r="I3597" s="3"/>
      <c r="J3597" s="3"/>
      <c r="K3597" s="3"/>
      <c r="L3597" s="3"/>
      <c r="M3597" s="3"/>
      <c r="N3597" s="3"/>
      <c r="O3597" s="3"/>
      <c r="P3597" s="3"/>
      <c r="Q3597" s="3"/>
      <c r="R3597" s="3"/>
      <c r="S3597" s="3"/>
    </row>
    <row r="3598" ht="15.75" customHeight="1">
      <c r="A3598" s="3"/>
      <c r="B3598" s="3"/>
      <c r="C3598" s="3"/>
      <c r="D3598" s="3"/>
      <c r="E3598" s="3"/>
      <c r="F3598" s="3"/>
      <c r="G3598" s="3"/>
      <c r="H3598" s="3"/>
      <c r="I3598" s="3"/>
      <c r="J3598" s="3"/>
      <c r="K3598" s="3"/>
      <c r="L3598" s="3"/>
      <c r="M3598" s="3"/>
      <c r="N3598" s="3"/>
      <c r="O3598" s="3"/>
      <c r="P3598" s="3"/>
      <c r="Q3598" s="3"/>
      <c r="R3598" s="3"/>
      <c r="S3598" s="3"/>
    </row>
    <row r="3599" ht="15.75" customHeight="1">
      <c r="A3599" s="3"/>
      <c r="B3599" s="3"/>
      <c r="C3599" s="3"/>
      <c r="D3599" s="3"/>
      <c r="E3599" s="3"/>
      <c r="F3599" s="3"/>
      <c r="G3599" s="3"/>
      <c r="H3599" s="3"/>
      <c r="I3599" s="3"/>
      <c r="J3599" s="3"/>
      <c r="K3599" s="3"/>
      <c r="L3599" s="3"/>
      <c r="M3599" s="3"/>
      <c r="N3599" s="3"/>
      <c r="O3599" s="3"/>
      <c r="P3599" s="3"/>
      <c r="Q3599" s="3"/>
      <c r="R3599" s="3"/>
      <c r="S3599" s="3"/>
    </row>
    <row r="3600" ht="15.75" customHeight="1">
      <c r="A3600" s="3"/>
      <c r="B3600" s="3"/>
      <c r="C3600" s="3"/>
      <c r="D3600" s="3"/>
      <c r="E3600" s="3"/>
      <c r="F3600" s="3"/>
      <c r="G3600" s="3"/>
      <c r="H3600" s="3"/>
      <c r="I3600" s="3"/>
      <c r="J3600" s="3"/>
      <c r="K3600" s="3"/>
      <c r="L3600" s="3"/>
      <c r="M3600" s="3"/>
      <c r="N3600" s="3"/>
      <c r="O3600" s="3"/>
      <c r="P3600" s="3"/>
      <c r="Q3600" s="3"/>
      <c r="R3600" s="3"/>
      <c r="S3600" s="3"/>
    </row>
    <row r="3601" ht="15.75" customHeight="1">
      <c r="A3601" s="3"/>
      <c r="B3601" s="3"/>
      <c r="C3601" s="3"/>
      <c r="D3601" s="3"/>
      <c r="E3601" s="3"/>
      <c r="F3601" s="3"/>
      <c r="G3601" s="3"/>
      <c r="H3601" s="3"/>
      <c r="I3601" s="3"/>
      <c r="J3601" s="3"/>
      <c r="K3601" s="3"/>
      <c r="L3601" s="3"/>
      <c r="M3601" s="3"/>
      <c r="N3601" s="3"/>
      <c r="O3601" s="3"/>
      <c r="P3601" s="3"/>
      <c r="Q3601" s="3"/>
      <c r="R3601" s="3"/>
      <c r="S3601" s="3"/>
    </row>
    <row r="3602" ht="15.75" customHeight="1">
      <c r="A3602" s="3"/>
      <c r="B3602" s="3"/>
      <c r="C3602" s="3"/>
      <c r="D3602" s="3"/>
      <c r="E3602" s="3"/>
      <c r="F3602" s="3"/>
      <c r="G3602" s="3"/>
      <c r="H3602" s="3"/>
      <c r="I3602" s="3"/>
      <c r="J3602" s="3"/>
      <c r="K3602" s="3"/>
      <c r="L3602" s="3"/>
      <c r="M3602" s="3"/>
      <c r="N3602" s="3"/>
      <c r="O3602" s="3"/>
      <c r="P3602" s="3"/>
      <c r="Q3602" s="3"/>
      <c r="R3602" s="3"/>
      <c r="S3602" s="3"/>
    </row>
    <row r="3603" ht="15.75" customHeight="1">
      <c r="A3603" s="3"/>
      <c r="B3603" s="3"/>
      <c r="C3603" s="3"/>
      <c r="D3603" s="3"/>
      <c r="E3603" s="3"/>
      <c r="F3603" s="3"/>
      <c r="G3603" s="3"/>
      <c r="H3603" s="3"/>
      <c r="I3603" s="3"/>
      <c r="J3603" s="3"/>
      <c r="K3603" s="3"/>
      <c r="L3603" s="3"/>
      <c r="M3603" s="3"/>
      <c r="N3603" s="3"/>
      <c r="O3603" s="3"/>
      <c r="P3603" s="3"/>
      <c r="Q3603" s="3"/>
      <c r="R3603" s="3"/>
      <c r="S3603" s="3"/>
    </row>
    <row r="3604" ht="15.75" customHeight="1">
      <c r="A3604" s="3"/>
      <c r="B3604" s="3"/>
      <c r="C3604" s="3"/>
      <c r="D3604" s="3"/>
      <c r="E3604" s="3"/>
      <c r="F3604" s="3"/>
      <c r="G3604" s="3"/>
      <c r="H3604" s="3"/>
      <c r="I3604" s="3"/>
      <c r="J3604" s="3"/>
      <c r="K3604" s="3"/>
      <c r="L3604" s="3"/>
      <c r="M3604" s="3"/>
      <c r="N3604" s="3"/>
      <c r="O3604" s="3"/>
      <c r="P3604" s="3"/>
      <c r="Q3604" s="3"/>
      <c r="R3604" s="3"/>
      <c r="S3604" s="3"/>
    </row>
    <row r="3605" ht="15.75" customHeight="1">
      <c r="A3605" s="3"/>
      <c r="B3605" s="3"/>
      <c r="C3605" s="3"/>
      <c r="D3605" s="3"/>
      <c r="E3605" s="3"/>
      <c r="F3605" s="3"/>
      <c r="G3605" s="3"/>
      <c r="H3605" s="3"/>
      <c r="I3605" s="3"/>
      <c r="J3605" s="3"/>
      <c r="K3605" s="3"/>
      <c r="L3605" s="3"/>
      <c r="M3605" s="3"/>
      <c r="N3605" s="3"/>
      <c r="O3605" s="3"/>
      <c r="P3605" s="3"/>
      <c r="Q3605" s="3"/>
      <c r="R3605" s="3"/>
      <c r="S3605" s="3"/>
    </row>
    <row r="3606" ht="15.75" customHeight="1">
      <c r="A3606" s="3"/>
      <c r="B3606" s="3"/>
      <c r="C3606" s="3"/>
      <c r="D3606" s="3"/>
      <c r="E3606" s="3"/>
      <c r="F3606" s="3"/>
      <c r="G3606" s="3"/>
      <c r="H3606" s="3"/>
      <c r="I3606" s="3"/>
      <c r="J3606" s="3"/>
      <c r="K3606" s="3"/>
      <c r="L3606" s="3"/>
      <c r="M3606" s="3"/>
      <c r="N3606" s="3"/>
      <c r="O3606" s="3"/>
      <c r="P3606" s="3"/>
      <c r="Q3606" s="3"/>
      <c r="R3606" s="3"/>
      <c r="S3606" s="3"/>
    </row>
    <row r="3607" ht="15.75" customHeight="1">
      <c r="A3607" s="3"/>
      <c r="B3607" s="3"/>
      <c r="C3607" s="3"/>
      <c r="D3607" s="3"/>
      <c r="E3607" s="3"/>
      <c r="F3607" s="3"/>
      <c r="G3607" s="3"/>
      <c r="H3607" s="3"/>
      <c r="I3607" s="3"/>
      <c r="J3607" s="3"/>
      <c r="K3607" s="3"/>
      <c r="L3607" s="3"/>
      <c r="M3607" s="3"/>
      <c r="N3607" s="3"/>
      <c r="O3607" s="3"/>
      <c r="P3607" s="3"/>
      <c r="Q3607" s="3"/>
      <c r="R3607" s="3"/>
      <c r="S3607" s="3"/>
    </row>
    <row r="3608" ht="15.75" customHeight="1">
      <c r="A3608" s="3"/>
      <c r="B3608" s="3"/>
      <c r="C3608" s="3"/>
      <c r="D3608" s="3"/>
      <c r="E3608" s="3"/>
      <c r="F3608" s="3"/>
      <c r="G3608" s="3"/>
      <c r="H3608" s="3"/>
      <c r="I3608" s="3"/>
      <c r="J3608" s="3"/>
      <c r="K3608" s="3"/>
      <c r="L3608" s="3"/>
      <c r="M3608" s="3"/>
      <c r="N3608" s="3"/>
      <c r="O3608" s="3"/>
      <c r="P3608" s="3"/>
      <c r="Q3608" s="3"/>
      <c r="R3608" s="3"/>
      <c r="S3608" s="3"/>
    </row>
    <row r="3609" ht="15.75" customHeight="1">
      <c r="A3609" s="3"/>
      <c r="B3609" s="3"/>
      <c r="C3609" s="3"/>
      <c r="D3609" s="3"/>
      <c r="E3609" s="3"/>
      <c r="F3609" s="3"/>
      <c r="G3609" s="3"/>
      <c r="H3609" s="3"/>
      <c r="I3609" s="3"/>
      <c r="J3609" s="3"/>
      <c r="K3609" s="3"/>
      <c r="L3609" s="3"/>
      <c r="M3609" s="3"/>
      <c r="N3609" s="3"/>
      <c r="O3609" s="3"/>
      <c r="P3609" s="3"/>
      <c r="Q3609" s="3"/>
      <c r="R3609" s="3"/>
      <c r="S3609" s="3"/>
    </row>
    <row r="3610" ht="15.75" customHeight="1">
      <c r="A3610" s="3"/>
      <c r="B3610" s="3"/>
      <c r="C3610" s="3"/>
      <c r="D3610" s="3"/>
      <c r="E3610" s="3"/>
      <c r="F3610" s="3"/>
      <c r="G3610" s="3"/>
      <c r="H3610" s="3"/>
      <c r="I3610" s="3"/>
      <c r="J3610" s="3"/>
      <c r="K3610" s="3"/>
      <c r="L3610" s="3"/>
      <c r="M3610" s="3"/>
      <c r="N3610" s="3"/>
      <c r="O3610" s="3"/>
      <c r="P3610" s="3"/>
      <c r="Q3610" s="3"/>
      <c r="R3610" s="3"/>
      <c r="S3610" s="3"/>
    </row>
    <row r="3611" ht="15.75" customHeight="1">
      <c r="A3611" s="3"/>
      <c r="B3611" s="3"/>
      <c r="C3611" s="3"/>
      <c r="D3611" s="3"/>
      <c r="E3611" s="3"/>
      <c r="F3611" s="3"/>
      <c r="G3611" s="3"/>
      <c r="H3611" s="3"/>
      <c r="I3611" s="3"/>
      <c r="J3611" s="3"/>
      <c r="K3611" s="3"/>
      <c r="L3611" s="3"/>
      <c r="M3611" s="3"/>
      <c r="N3611" s="3"/>
      <c r="O3611" s="3"/>
      <c r="P3611" s="3"/>
      <c r="Q3611" s="3"/>
      <c r="R3611" s="3"/>
      <c r="S3611" s="3"/>
    </row>
    <row r="3612" ht="15.75" customHeight="1">
      <c r="A3612" s="3"/>
      <c r="B3612" s="3"/>
      <c r="C3612" s="3"/>
      <c r="D3612" s="3"/>
      <c r="E3612" s="3"/>
      <c r="F3612" s="3"/>
      <c r="G3612" s="3"/>
      <c r="H3612" s="3"/>
      <c r="I3612" s="3"/>
      <c r="J3612" s="3"/>
      <c r="K3612" s="3"/>
      <c r="L3612" s="3"/>
      <c r="M3612" s="3"/>
      <c r="N3612" s="3"/>
      <c r="O3612" s="3"/>
      <c r="P3612" s="3"/>
      <c r="Q3612" s="3"/>
      <c r="R3612" s="3"/>
      <c r="S3612" s="3"/>
    </row>
    <row r="3613" ht="15.75" customHeight="1">
      <c r="A3613" s="3"/>
      <c r="B3613" s="3"/>
      <c r="C3613" s="3"/>
      <c r="D3613" s="3"/>
      <c r="E3613" s="3"/>
      <c r="F3613" s="3"/>
      <c r="G3613" s="3"/>
      <c r="H3613" s="3"/>
      <c r="I3613" s="3"/>
      <c r="J3613" s="3"/>
      <c r="K3613" s="3"/>
      <c r="L3613" s="3"/>
      <c r="M3613" s="3"/>
      <c r="N3613" s="3"/>
      <c r="O3613" s="3"/>
      <c r="P3613" s="3"/>
      <c r="Q3613" s="3"/>
      <c r="R3613" s="3"/>
      <c r="S3613" s="3"/>
    </row>
    <row r="3614" ht="15.75" customHeight="1">
      <c r="A3614" s="3"/>
      <c r="B3614" s="3"/>
      <c r="C3614" s="3"/>
      <c r="D3614" s="3"/>
      <c r="E3614" s="3"/>
      <c r="F3614" s="3"/>
      <c r="G3614" s="3"/>
      <c r="H3614" s="3"/>
      <c r="I3614" s="3"/>
      <c r="J3614" s="3"/>
      <c r="K3614" s="3"/>
      <c r="L3614" s="3"/>
      <c r="M3614" s="3"/>
      <c r="N3614" s="3"/>
      <c r="O3614" s="3"/>
      <c r="P3614" s="3"/>
      <c r="Q3614" s="3"/>
      <c r="R3614" s="3"/>
      <c r="S3614" s="3"/>
    </row>
    <row r="3615" ht="15.75" customHeight="1">
      <c r="A3615" s="3"/>
      <c r="B3615" s="3"/>
      <c r="C3615" s="3"/>
      <c r="D3615" s="3"/>
      <c r="E3615" s="3"/>
      <c r="F3615" s="3"/>
      <c r="G3615" s="3"/>
      <c r="H3615" s="3"/>
      <c r="I3615" s="3"/>
      <c r="J3615" s="3"/>
      <c r="K3615" s="3"/>
      <c r="L3615" s="3"/>
      <c r="M3615" s="3"/>
      <c r="N3615" s="3"/>
      <c r="O3615" s="3"/>
      <c r="P3615" s="3"/>
      <c r="Q3615" s="3"/>
      <c r="R3615" s="3"/>
      <c r="S3615" s="3"/>
    </row>
    <row r="3616" ht="15.75" customHeight="1">
      <c r="A3616" s="3"/>
      <c r="B3616" s="3"/>
      <c r="C3616" s="3"/>
      <c r="D3616" s="3"/>
      <c r="E3616" s="3"/>
      <c r="F3616" s="3"/>
      <c r="G3616" s="3"/>
      <c r="H3616" s="3"/>
      <c r="I3616" s="3"/>
      <c r="J3616" s="3"/>
      <c r="K3616" s="3"/>
      <c r="L3616" s="3"/>
      <c r="M3616" s="3"/>
      <c r="N3616" s="3"/>
      <c r="O3616" s="3"/>
      <c r="P3616" s="3"/>
      <c r="Q3616" s="3"/>
      <c r="R3616" s="3"/>
      <c r="S3616" s="3"/>
    </row>
    <row r="3617" ht="15.75" customHeight="1">
      <c r="A3617" s="3"/>
      <c r="B3617" s="3"/>
      <c r="C3617" s="3"/>
      <c r="D3617" s="3"/>
      <c r="E3617" s="3"/>
      <c r="F3617" s="3"/>
      <c r="G3617" s="3"/>
      <c r="H3617" s="3"/>
      <c r="I3617" s="3"/>
      <c r="J3617" s="3"/>
      <c r="K3617" s="3"/>
      <c r="L3617" s="3"/>
      <c r="M3617" s="3"/>
      <c r="N3617" s="3"/>
      <c r="O3617" s="3"/>
      <c r="P3617" s="3"/>
      <c r="Q3617" s="3"/>
      <c r="R3617" s="3"/>
      <c r="S3617" s="3"/>
    </row>
    <row r="3618" ht="15.75" customHeight="1">
      <c r="A3618" s="3"/>
      <c r="B3618" s="3"/>
      <c r="C3618" s="3"/>
      <c r="D3618" s="3"/>
      <c r="E3618" s="3"/>
      <c r="F3618" s="3"/>
      <c r="G3618" s="3"/>
      <c r="H3618" s="3"/>
      <c r="I3618" s="3"/>
      <c r="J3618" s="3"/>
      <c r="K3618" s="3"/>
      <c r="L3618" s="3"/>
      <c r="M3618" s="3"/>
      <c r="N3618" s="3"/>
      <c r="O3618" s="3"/>
      <c r="P3618" s="3"/>
      <c r="Q3618" s="3"/>
      <c r="R3618" s="3"/>
      <c r="S3618" s="3"/>
    </row>
    <row r="3619" ht="15.75" customHeight="1">
      <c r="A3619" s="3"/>
      <c r="B3619" s="3"/>
      <c r="C3619" s="3"/>
      <c r="D3619" s="3"/>
      <c r="E3619" s="3"/>
      <c r="F3619" s="3"/>
      <c r="G3619" s="3"/>
      <c r="H3619" s="3"/>
      <c r="I3619" s="3"/>
      <c r="J3619" s="3"/>
      <c r="K3619" s="3"/>
      <c r="L3619" s="3"/>
      <c r="M3619" s="3"/>
      <c r="N3619" s="3"/>
      <c r="O3619" s="3"/>
      <c r="P3619" s="3"/>
      <c r="Q3619" s="3"/>
      <c r="R3619" s="3"/>
      <c r="S3619" s="3"/>
    </row>
    <row r="3620" ht="15.75" customHeight="1">
      <c r="A3620" s="3"/>
      <c r="B3620" s="3"/>
      <c r="C3620" s="3"/>
      <c r="D3620" s="3"/>
      <c r="E3620" s="3"/>
      <c r="F3620" s="3"/>
      <c r="G3620" s="3"/>
      <c r="H3620" s="3"/>
      <c r="I3620" s="3"/>
      <c r="J3620" s="3"/>
      <c r="K3620" s="3"/>
      <c r="L3620" s="3"/>
      <c r="M3620" s="3"/>
      <c r="N3620" s="3"/>
      <c r="O3620" s="3"/>
      <c r="P3620" s="3"/>
      <c r="Q3620" s="3"/>
      <c r="R3620" s="3"/>
      <c r="S3620" s="3"/>
    </row>
    <row r="3621" ht="15.75" customHeight="1">
      <c r="A3621" s="3"/>
      <c r="B3621" s="3"/>
      <c r="C3621" s="3"/>
      <c r="D3621" s="3"/>
      <c r="E3621" s="3"/>
      <c r="F3621" s="3"/>
      <c r="G3621" s="3"/>
      <c r="H3621" s="3"/>
      <c r="I3621" s="3"/>
      <c r="J3621" s="3"/>
      <c r="K3621" s="3"/>
      <c r="L3621" s="3"/>
      <c r="M3621" s="3"/>
      <c r="N3621" s="3"/>
      <c r="O3621" s="3"/>
      <c r="P3621" s="3"/>
      <c r="Q3621" s="3"/>
      <c r="R3621" s="3"/>
      <c r="S3621" s="3"/>
    </row>
    <row r="3622" ht="15.75" customHeight="1">
      <c r="A3622" s="3"/>
      <c r="B3622" s="3"/>
      <c r="C3622" s="3"/>
      <c r="D3622" s="3"/>
      <c r="E3622" s="3"/>
      <c r="F3622" s="3"/>
      <c r="G3622" s="3"/>
      <c r="H3622" s="3"/>
      <c r="I3622" s="3"/>
      <c r="J3622" s="3"/>
      <c r="K3622" s="3"/>
      <c r="L3622" s="3"/>
      <c r="M3622" s="3"/>
      <c r="N3622" s="3"/>
      <c r="O3622" s="3"/>
      <c r="P3622" s="3"/>
      <c r="Q3622" s="3"/>
      <c r="R3622" s="3"/>
      <c r="S3622" s="3"/>
    </row>
    <row r="3623" ht="15.75" customHeight="1">
      <c r="A3623" s="3"/>
      <c r="B3623" s="3"/>
      <c r="C3623" s="3"/>
      <c r="D3623" s="3"/>
      <c r="E3623" s="3"/>
      <c r="F3623" s="3"/>
      <c r="G3623" s="3"/>
      <c r="H3623" s="3"/>
      <c r="I3623" s="3"/>
      <c r="J3623" s="3"/>
      <c r="K3623" s="3"/>
      <c r="L3623" s="3"/>
      <c r="M3623" s="3"/>
      <c r="N3623" s="3"/>
      <c r="O3623" s="3"/>
      <c r="P3623" s="3"/>
      <c r="Q3623" s="3"/>
      <c r="R3623" s="3"/>
      <c r="S3623" s="3"/>
    </row>
    <row r="3624" ht="15.75" customHeight="1">
      <c r="A3624" s="3"/>
      <c r="B3624" s="3"/>
      <c r="C3624" s="3"/>
      <c r="D3624" s="3"/>
      <c r="E3624" s="3"/>
      <c r="F3624" s="3"/>
      <c r="G3624" s="3"/>
      <c r="H3624" s="3"/>
      <c r="I3624" s="3"/>
      <c r="J3624" s="3"/>
      <c r="K3624" s="3"/>
      <c r="L3624" s="3"/>
      <c r="M3624" s="3"/>
      <c r="N3624" s="3"/>
      <c r="O3624" s="3"/>
      <c r="P3624" s="3"/>
      <c r="Q3624" s="3"/>
      <c r="R3624" s="3"/>
      <c r="S3624" s="3"/>
    </row>
    <row r="3625" ht="15.75" customHeight="1">
      <c r="A3625" s="3"/>
      <c r="B3625" s="3"/>
      <c r="C3625" s="3"/>
      <c r="D3625" s="3"/>
      <c r="E3625" s="3"/>
      <c r="F3625" s="3"/>
      <c r="G3625" s="3"/>
      <c r="H3625" s="3"/>
      <c r="I3625" s="3"/>
      <c r="J3625" s="3"/>
      <c r="K3625" s="3"/>
      <c r="L3625" s="3"/>
      <c r="M3625" s="3"/>
      <c r="N3625" s="3"/>
      <c r="O3625" s="3"/>
      <c r="P3625" s="3"/>
      <c r="Q3625" s="3"/>
      <c r="R3625" s="3"/>
      <c r="S3625" s="3"/>
    </row>
    <row r="3626" ht="15.75" customHeight="1">
      <c r="A3626" s="3"/>
      <c r="B3626" s="3"/>
      <c r="C3626" s="3"/>
      <c r="D3626" s="3"/>
      <c r="E3626" s="3"/>
      <c r="F3626" s="3"/>
      <c r="G3626" s="3"/>
      <c r="H3626" s="3"/>
      <c r="I3626" s="3"/>
      <c r="J3626" s="3"/>
      <c r="K3626" s="3"/>
      <c r="L3626" s="3"/>
      <c r="M3626" s="3"/>
      <c r="N3626" s="3"/>
      <c r="O3626" s="3"/>
      <c r="P3626" s="3"/>
      <c r="Q3626" s="3"/>
      <c r="R3626" s="3"/>
      <c r="S3626" s="3"/>
    </row>
    <row r="3627" ht="15.75" customHeight="1">
      <c r="A3627" s="3"/>
      <c r="B3627" s="3"/>
      <c r="C3627" s="3"/>
      <c r="D3627" s="3"/>
      <c r="E3627" s="3"/>
      <c r="F3627" s="3"/>
      <c r="G3627" s="3"/>
      <c r="H3627" s="3"/>
      <c r="I3627" s="3"/>
      <c r="J3627" s="3"/>
      <c r="K3627" s="3"/>
      <c r="L3627" s="3"/>
      <c r="M3627" s="3"/>
      <c r="N3627" s="3"/>
      <c r="O3627" s="3"/>
      <c r="P3627" s="3"/>
      <c r="Q3627" s="3"/>
      <c r="R3627" s="3"/>
      <c r="S3627" s="3"/>
    </row>
    <row r="3628" ht="15.75" customHeight="1">
      <c r="A3628" s="3"/>
      <c r="B3628" s="3"/>
      <c r="C3628" s="3"/>
      <c r="D3628" s="3"/>
      <c r="E3628" s="3"/>
      <c r="F3628" s="3"/>
      <c r="G3628" s="3"/>
      <c r="H3628" s="3"/>
      <c r="I3628" s="3"/>
      <c r="J3628" s="3"/>
      <c r="K3628" s="3"/>
      <c r="L3628" s="3"/>
      <c r="M3628" s="3"/>
      <c r="N3628" s="3"/>
      <c r="O3628" s="3"/>
      <c r="P3628" s="3"/>
      <c r="Q3628" s="3"/>
      <c r="R3628" s="3"/>
      <c r="S3628" s="3"/>
    </row>
    <row r="3629" ht="15.75" customHeight="1">
      <c r="A3629" s="3"/>
      <c r="B3629" s="3"/>
      <c r="C3629" s="3"/>
      <c r="D3629" s="3"/>
      <c r="E3629" s="3"/>
      <c r="F3629" s="3"/>
      <c r="G3629" s="3"/>
      <c r="H3629" s="3"/>
      <c r="I3629" s="3"/>
      <c r="J3629" s="3"/>
      <c r="K3629" s="3"/>
      <c r="L3629" s="3"/>
      <c r="M3629" s="3"/>
      <c r="N3629" s="3"/>
      <c r="O3629" s="3"/>
      <c r="P3629" s="3"/>
      <c r="Q3629" s="3"/>
      <c r="R3629" s="3"/>
      <c r="S3629" s="3"/>
    </row>
    <row r="3630" ht="15.75" customHeight="1">
      <c r="A3630" s="3"/>
      <c r="B3630" s="3"/>
      <c r="C3630" s="3"/>
      <c r="D3630" s="3"/>
      <c r="E3630" s="3"/>
      <c r="F3630" s="3"/>
      <c r="G3630" s="3"/>
      <c r="H3630" s="3"/>
      <c r="I3630" s="3"/>
      <c r="J3630" s="3"/>
      <c r="K3630" s="3"/>
      <c r="L3630" s="3"/>
      <c r="M3630" s="3"/>
      <c r="N3630" s="3"/>
      <c r="O3630" s="3"/>
      <c r="P3630" s="3"/>
      <c r="Q3630" s="3"/>
      <c r="R3630" s="3"/>
      <c r="S3630" s="3"/>
    </row>
    <row r="3631" ht="15.75" customHeight="1">
      <c r="A3631" s="3"/>
      <c r="B3631" s="3"/>
      <c r="C3631" s="3"/>
      <c r="D3631" s="3"/>
      <c r="E3631" s="3"/>
      <c r="F3631" s="3"/>
      <c r="G3631" s="3"/>
      <c r="H3631" s="3"/>
      <c r="I3631" s="3"/>
      <c r="J3631" s="3"/>
      <c r="K3631" s="3"/>
      <c r="L3631" s="3"/>
      <c r="M3631" s="3"/>
      <c r="N3631" s="3"/>
      <c r="O3631" s="3"/>
      <c r="P3631" s="3"/>
      <c r="Q3631" s="3"/>
      <c r="R3631" s="3"/>
      <c r="S3631" s="3"/>
    </row>
    <row r="3632" ht="15.75" customHeight="1">
      <c r="A3632" s="3"/>
      <c r="B3632" s="3"/>
      <c r="C3632" s="3"/>
      <c r="D3632" s="3"/>
      <c r="E3632" s="3"/>
      <c r="F3632" s="3"/>
      <c r="G3632" s="3"/>
      <c r="H3632" s="3"/>
      <c r="I3632" s="3"/>
      <c r="J3632" s="3"/>
      <c r="K3632" s="3"/>
      <c r="L3632" s="3"/>
      <c r="M3632" s="3"/>
      <c r="N3632" s="3"/>
      <c r="O3632" s="3"/>
      <c r="P3632" s="3"/>
      <c r="Q3632" s="3"/>
      <c r="R3632" s="3"/>
      <c r="S3632" s="3"/>
    </row>
    <row r="3633" ht="15.75" customHeight="1">
      <c r="A3633" s="3"/>
      <c r="B3633" s="3"/>
      <c r="C3633" s="3"/>
      <c r="D3633" s="3"/>
      <c r="E3633" s="3"/>
      <c r="F3633" s="3"/>
      <c r="G3633" s="3"/>
      <c r="H3633" s="3"/>
      <c r="I3633" s="3"/>
      <c r="J3633" s="3"/>
      <c r="K3633" s="3"/>
      <c r="L3633" s="3"/>
      <c r="M3633" s="3"/>
      <c r="N3633" s="3"/>
      <c r="O3633" s="3"/>
      <c r="P3633" s="3"/>
      <c r="Q3633" s="3"/>
      <c r="R3633" s="3"/>
      <c r="S3633" s="3"/>
    </row>
    <row r="3634" ht="15.75" customHeight="1">
      <c r="A3634" s="3"/>
      <c r="B3634" s="3"/>
      <c r="C3634" s="3"/>
      <c r="D3634" s="3"/>
      <c r="E3634" s="3"/>
      <c r="F3634" s="3"/>
      <c r="G3634" s="3"/>
      <c r="H3634" s="3"/>
      <c r="I3634" s="3"/>
      <c r="J3634" s="3"/>
      <c r="K3634" s="3"/>
      <c r="L3634" s="3"/>
      <c r="M3634" s="3"/>
      <c r="N3634" s="3"/>
      <c r="O3634" s="3"/>
      <c r="P3634" s="3"/>
      <c r="Q3634" s="3"/>
      <c r="R3634" s="3"/>
      <c r="S3634" s="3"/>
    </row>
    <row r="3635" ht="15.75" customHeight="1">
      <c r="A3635" s="3"/>
      <c r="B3635" s="3"/>
      <c r="C3635" s="3"/>
      <c r="D3635" s="3"/>
      <c r="E3635" s="3"/>
      <c r="F3635" s="3"/>
      <c r="G3635" s="3"/>
      <c r="H3635" s="3"/>
      <c r="I3635" s="3"/>
      <c r="J3635" s="3"/>
      <c r="K3635" s="3"/>
      <c r="L3635" s="3"/>
      <c r="M3635" s="3"/>
      <c r="N3635" s="3"/>
      <c r="O3635" s="3"/>
      <c r="P3635" s="3"/>
      <c r="Q3635" s="3"/>
      <c r="R3635" s="3"/>
      <c r="S3635" s="3"/>
    </row>
    <row r="3636" ht="15.75" customHeight="1">
      <c r="A3636" s="3"/>
      <c r="B3636" s="3"/>
      <c r="C3636" s="3"/>
      <c r="D3636" s="3"/>
      <c r="E3636" s="3"/>
      <c r="F3636" s="3"/>
      <c r="G3636" s="3"/>
      <c r="H3636" s="3"/>
      <c r="I3636" s="3"/>
      <c r="J3636" s="3"/>
      <c r="K3636" s="3"/>
      <c r="L3636" s="3"/>
      <c r="M3636" s="3"/>
      <c r="N3636" s="3"/>
      <c r="O3636" s="3"/>
      <c r="P3636" s="3"/>
      <c r="Q3636" s="3"/>
      <c r="R3636" s="3"/>
      <c r="S3636" s="3"/>
    </row>
    <row r="3637" ht="15.75" customHeight="1">
      <c r="A3637" s="3"/>
      <c r="B3637" s="3"/>
      <c r="C3637" s="3"/>
      <c r="D3637" s="3"/>
      <c r="E3637" s="3"/>
      <c r="F3637" s="3"/>
      <c r="G3637" s="3"/>
      <c r="H3637" s="3"/>
      <c r="I3637" s="3"/>
      <c r="J3637" s="3"/>
      <c r="K3637" s="3"/>
      <c r="L3637" s="3"/>
      <c r="M3637" s="3"/>
      <c r="N3637" s="3"/>
      <c r="O3637" s="3"/>
      <c r="P3637" s="3"/>
      <c r="Q3637" s="3"/>
      <c r="R3637" s="3"/>
      <c r="S3637" s="3"/>
    </row>
    <row r="3638" ht="15.75" customHeight="1">
      <c r="A3638" s="3"/>
      <c r="B3638" s="3"/>
      <c r="C3638" s="3"/>
      <c r="D3638" s="3"/>
      <c r="E3638" s="3"/>
      <c r="F3638" s="3"/>
      <c r="G3638" s="3"/>
      <c r="H3638" s="3"/>
      <c r="I3638" s="3"/>
      <c r="J3638" s="3"/>
      <c r="K3638" s="3"/>
      <c r="L3638" s="3"/>
      <c r="M3638" s="3"/>
      <c r="N3638" s="3"/>
      <c r="O3638" s="3"/>
      <c r="P3638" s="3"/>
      <c r="Q3638" s="3"/>
      <c r="R3638" s="3"/>
      <c r="S3638" s="3"/>
    </row>
    <row r="3639" ht="15.75" customHeight="1">
      <c r="A3639" s="3"/>
      <c r="B3639" s="3"/>
      <c r="C3639" s="3"/>
      <c r="D3639" s="3"/>
      <c r="E3639" s="3"/>
      <c r="F3639" s="3"/>
      <c r="G3639" s="3"/>
      <c r="H3639" s="3"/>
      <c r="I3639" s="3"/>
      <c r="J3639" s="3"/>
      <c r="K3639" s="3"/>
      <c r="L3639" s="3"/>
      <c r="M3639" s="3"/>
      <c r="N3639" s="3"/>
      <c r="O3639" s="3"/>
      <c r="P3639" s="3"/>
      <c r="Q3639" s="3"/>
      <c r="R3639" s="3"/>
      <c r="S3639" s="3"/>
    </row>
    <row r="3640" ht="15.75" customHeight="1">
      <c r="A3640" s="3"/>
      <c r="B3640" s="3"/>
      <c r="C3640" s="3"/>
      <c r="D3640" s="3"/>
      <c r="E3640" s="3"/>
      <c r="F3640" s="3"/>
      <c r="G3640" s="3"/>
      <c r="H3640" s="3"/>
      <c r="I3640" s="3"/>
      <c r="J3640" s="3"/>
      <c r="K3640" s="3"/>
      <c r="L3640" s="3"/>
      <c r="M3640" s="3"/>
      <c r="N3640" s="3"/>
      <c r="O3640" s="3"/>
      <c r="P3640" s="3"/>
      <c r="Q3640" s="3"/>
      <c r="R3640" s="3"/>
      <c r="S3640" s="3"/>
    </row>
    <row r="3641" ht="15.75" customHeight="1">
      <c r="A3641" s="3"/>
      <c r="B3641" s="3"/>
      <c r="C3641" s="3"/>
      <c r="D3641" s="3"/>
      <c r="E3641" s="3"/>
      <c r="F3641" s="3"/>
      <c r="G3641" s="3"/>
      <c r="H3641" s="3"/>
      <c r="I3641" s="3"/>
      <c r="J3641" s="3"/>
      <c r="K3641" s="3"/>
      <c r="L3641" s="3"/>
      <c r="M3641" s="3"/>
      <c r="N3641" s="3"/>
      <c r="O3641" s="3"/>
      <c r="P3641" s="3"/>
      <c r="Q3641" s="3"/>
      <c r="R3641" s="3"/>
      <c r="S3641" s="3"/>
    </row>
    <row r="3642" ht="15.75" customHeight="1">
      <c r="A3642" s="3"/>
      <c r="B3642" s="3"/>
      <c r="C3642" s="3"/>
      <c r="D3642" s="3"/>
      <c r="E3642" s="3"/>
      <c r="F3642" s="3"/>
      <c r="G3642" s="3"/>
      <c r="H3642" s="3"/>
      <c r="I3642" s="3"/>
      <c r="J3642" s="3"/>
      <c r="K3642" s="3"/>
      <c r="L3642" s="3"/>
      <c r="M3642" s="3"/>
      <c r="N3642" s="3"/>
      <c r="O3642" s="3"/>
      <c r="P3642" s="3"/>
      <c r="Q3642" s="3"/>
      <c r="R3642" s="3"/>
      <c r="S3642" s="3"/>
    </row>
    <row r="3643" ht="15.75" customHeight="1">
      <c r="A3643" s="3"/>
      <c r="B3643" s="3"/>
      <c r="C3643" s="3"/>
      <c r="D3643" s="3"/>
      <c r="E3643" s="3"/>
      <c r="F3643" s="3"/>
      <c r="G3643" s="3"/>
      <c r="H3643" s="3"/>
      <c r="I3643" s="3"/>
      <c r="J3643" s="3"/>
      <c r="K3643" s="3"/>
      <c r="L3643" s="3"/>
      <c r="M3643" s="3"/>
      <c r="N3643" s="3"/>
      <c r="O3643" s="3"/>
      <c r="P3643" s="3"/>
      <c r="Q3643" s="3"/>
      <c r="R3643" s="3"/>
      <c r="S3643" s="3"/>
    </row>
    <row r="3644" ht="15.75" customHeight="1">
      <c r="A3644" s="3"/>
      <c r="B3644" s="3"/>
      <c r="C3644" s="3"/>
      <c r="D3644" s="3"/>
      <c r="E3644" s="3"/>
      <c r="F3644" s="3"/>
      <c r="G3644" s="3"/>
      <c r="H3644" s="3"/>
      <c r="I3644" s="3"/>
      <c r="J3644" s="3"/>
      <c r="K3644" s="3"/>
      <c r="L3644" s="3"/>
      <c r="M3644" s="3"/>
      <c r="N3644" s="3"/>
      <c r="O3644" s="3"/>
      <c r="P3644" s="3"/>
      <c r="Q3644" s="3"/>
      <c r="R3644" s="3"/>
      <c r="S3644" s="3"/>
    </row>
    <row r="3645" ht="15.75" customHeight="1">
      <c r="A3645" s="3"/>
      <c r="B3645" s="3"/>
      <c r="C3645" s="3"/>
      <c r="D3645" s="3"/>
      <c r="E3645" s="3"/>
      <c r="F3645" s="3"/>
      <c r="G3645" s="3"/>
      <c r="H3645" s="3"/>
      <c r="I3645" s="3"/>
      <c r="J3645" s="3"/>
      <c r="K3645" s="3"/>
      <c r="L3645" s="3"/>
      <c r="M3645" s="3"/>
      <c r="N3645" s="3"/>
      <c r="O3645" s="3"/>
      <c r="P3645" s="3"/>
      <c r="Q3645" s="3"/>
      <c r="R3645" s="3"/>
      <c r="S3645" s="3"/>
    </row>
    <row r="3646" ht="15.75" customHeight="1">
      <c r="A3646" s="3"/>
      <c r="B3646" s="3"/>
      <c r="C3646" s="3"/>
      <c r="D3646" s="3"/>
      <c r="E3646" s="3"/>
      <c r="F3646" s="3"/>
      <c r="G3646" s="3"/>
      <c r="H3646" s="3"/>
      <c r="I3646" s="3"/>
      <c r="J3646" s="3"/>
      <c r="K3646" s="3"/>
      <c r="L3646" s="3"/>
      <c r="M3646" s="3"/>
      <c r="N3646" s="3"/>
      <c r="O3646" s="3"/>
      <c r="P3646" s="3"/>
      <c r="Q3646" s="3"/>
      <c r="R3646" s="3"/>
      <c r="S3646" s="3"/>
    </row>
    <row r="3647" ht="15.75" customHeight="1">
      <c r="A3647" s="3"/>
      <c r="B3647" s="3"/>
      <c r="C3647" s="3"/>
      <c r="D3647" s="3"/>
      <c r="E3647" s="3"/>
      <c r="F3647" s="3"/>
      <c r="G3647" s="3"/>
      <c r="H3647" s="3"/>
      <c r="I3647" s="3"/>
      <c r="J3647" s="3"/>
      <c r="K3647" s="3"/>
      <c r="L3647" s="3"/>
      <c r="M3647" s="3"/>
      <c r="N3647" s="3"/>
      <c r="O3647" s="3"/>
      <c r="P3647" s="3"/>
      <c r="Q3647" s="3"/>
      <c r="R3647" s="3"/>
      <c r="S3647" s="3"/>
    </row>
    <row r="3648" ht="15.75" customHeight="1">
      <c r="A3648" s="3"/>
      <c r="B3648" s="3"/>
      <c r="C3648" s="3"/>
      <c r="D3648" s="3"/>
      <c r="E3648" s="3"/>
      <c r="F3648" s="3"/>
      <c r="G3648" s="3"/>
      <c r="H3648" s="3"/>
      <c r="I3648" s="3"/>
      <c r="J3648" s="3"/>
      <c r="K3648" s="3"/>
      <c r="L3648" s="3"/>
      <c r="M3648" s="3"/>
      <c r="N3648" s="3"/>
      <c r="O3648" s="3"/>
      <c r="P3648" s="3"/>
      <c r="Q3648" s="3"/>
      <c r="R3648" s="3"/>
      <c r="S3648" s="3"/>
    </row>
    <row r="3649" ht="15.75" customHeight="1">
      <c r="A3649" s="3"/>
      <c r="B3649" s="3"/>
      <c r="C3649" s="3"/>
      <c r="D3649" s="3"/>
      <c r="E3649" s="3"/>
      <c r="F3649" s="3"/>
      <c r="G3649" s="3"/>
      <c r="H3649" s="3"/>
      <c r="I3649" s="3"/>
      <c r="J3649" s="3"/>
      <c r="K3649" s="3"/>
      <c r="L3649" s="3"/>
      <c r="M3649" s="3"/>
      <c r="N3649" s="3"/>
      <c r="O3649" s="3"/>
      <c r="P3649" s="3"/>
      <c r="Q3649" s="3"/>
      <c r="R3649" s="3"/>
      <c r="S3649" s="3"/>
    </row>
    <row r="3650" ht="15.75" customHeight="1">
      <c r="A3650" s="3"/>
      <c r="B3650" s="3"/>
      <c r="C3650" s="3"/>
      <c r="D3650" s="3"/>
      <c r="E3650" s="3"/>
      <c r="F3650" s="3"/>
      <c r="G3650" s="3"/>
      <c r="H3650" s="3"/>
      <c r="I3650" s="3"/>
      <c r="J3650" s="3"/>
      <c r="K3650" s="3"/>
      <c r="L3650" s="3"/>
      <c r="M3650" s="3"/>
      <c r="N3650" s="3"/>
      <c r="O3650" s="3"/>
      <c r="P3650" s="3"/>
      <c r="Q3650" s="3"/>
      <c r="R3650" s="3"/>
      <c r="S3650" s="3"/>
    </row>
    <row r="3651" ht="15.75" customHeight="1">
      <c r="A3651" s="3"/>
      <c r="B3651" s="3"/>
      <c r="C3651" s="3"/>
      <c r="D3651" s="3"/>
      <c r="E3651" s="3"/>
      <c r="F3651" s="3"/>
      <c r="G3651" s="3"/>
      <c r="H3651" s="3"/>
      <c r="I3651" s="3"/>
      <c r="J3651" s="3"/>
      <c r="K3651" s="3"/>
      <c r="L3651" s="3"/>
      <c r="M3651" s="3"/>
      <c r="N3651" s="3"/>
      <c r="O3651" s="3"/>
      <c r="P3651" s="3"/>
      <c r="Q3651" s="3"/>
      <c r="R3651" s="3"/>
      <c r="S3651" s="3"/>
    </row>
    <row r="3652" ht="15.75" customHeight="1">
      <c r="A3652" s="3"/>
      <c r="B3652" s="3"/>
      <c r="C3652" s="3"/>
      <c r="D3652" s="3"/>
      <c r="E3652" s="3"/>
      <c r="F3652" s="3"/>
      <c r="G3652" s="3"/>
      <c r="H3652" s="3"/>
      <c r="I3652" s="3"/>
      <c r="J3652" s="3"/>
      <c r="K3652" s="3"/>
      <c r="L3652" s="3"/>
      <c r="M3652" s="3"/>
      <c r="N3652" s="3"/>
      <c r="O3652" s="3"/>
      <c r="P3652" s="3"/>
      <c r="Q3652" s="3"/>
      <c r="R3652" s="3"/>
      <c r="S3652" s="3"/>
    </row>
    <row r="3653" ht="15.75" customHeight="1">
      <c r="A3653" s="3"/>
      <c r="B3653" s="3"/>
      <c r="C3653" s="3"/>
      <c r="D3653" s="3"/>
      <c r="E3653" s="3"/>
      <c r="F3653" s="3"/>
      <c r="G3653" s="3"/>
      <c r="H3653" s="3"/>
      <c r="I3653" s="3"/>
      <c r="J3653" s="3"/>
      <c r="K3653" s="3"/>
      <c r="L3653" s="3"/>
      <c r="M3653" s="3"/>
      <c r="N3653" s="3"/>
      <c r="O3653" s="3"/>
      <c r="P3653" s="3"/>
      <c r="Q3653" s="3"/>
      <c r="R3653" s="3"/>
      <c r="S3653" s="3"/>
    </row>
    <row r="3654" ht="15.75" customHeight="1">
      <c r="A3654" s="3"/>
      <c r="B3654" s="3"/>
      <c r="C3654" s="3"/>
      <c r="D3654" s="3"/>
      <c r="E3654" s="3"/>
      <c r="F3654" s="3"/>
      <c r="G3654" s="3"/>
      <c r="H3654" s="3"/>
      <c r="I3654" s="3"/>
      <c r="J3654" s="3"/>
      <c r="K3654" s="3"/>
      <c r="L3654" s="3"/>
      <c r="M3654" s="3"/>
      <c r="N3654" s="3"/>
      <c r="O3654" s="3"/>
      <c r="P3654" s="3"/>
      <c r="Q3654" s="3"/>
      <c r="R3654" s="3"/>
      <c r="S3654" s="3"/>
    </row>
    <row r="3655" ht="15.75" customHeight="1">
      <c r="A3655" s="3"/>
      <c r="B3655" s="3"/>
      <c r="C3655" s="3"/>
      <c r="D3655" s="3"/>
      <c r="E3655" s="3"/>
      <c r="F3655" s="3"/>
      <c r="G3655" s="3"/>
      <c r="H3655" s="3"/>
      <c r="I3655" s="3"/>
      <c r="J3655" s="3"/>
      <c r="K3655" s="3"/>
      <c r="L3655" s="3"/>
      <c r="M3655" s="3"/>
      <c r="N3655" s="3"/>
      <c r="O3655" s="3"/>
      <c r="P3655" s="3"/>
      <c r="Q3655" s="3"/>
      <c r="R3655" s="3"/>
      <c r="S3655" s="3"/>
    </row>
    <row r="3656" ht="15.75" customHeight="1">
      <c r="A3656" s="3"/>
      <c r="B3656" s="3"/>
      <c r="C3656" s="3"/>
      <c r="D3656" s="3"/>
      <c r="E3656" s="3"/>
      <c r="F3656" s="3"/>
      <c r="G3656" s="3"/>
      <c r="H3656" s="3"/>
      <c r="I3656" s="3"/>
      <c r="J3656" s="3"/>
      <c r="K3656" s="3"/>
      <c r="L3656" s="3"/>
      <c r="M3656" s="3"/>
      <c r="N3656" s="3"/>
      <c r="O3656" s="3"/>
      <c r="P3656" s="3"/>
      <c r="Q3656" s="3"/>
      <c r="R3656" s="3"/>
      <c r="S3656" s="3"/>
    </row>
    <row r="3657" ht="15.75" customHeight="1">
      <c r="A3657" s="3"/>
      <c r="B3657" s="3"/>
      <c r="C3657" s="3"/>
      <c r="D3657" s="3"/>
      <c r="E3657" s="3"/>
      <c r="F3657" s="3"/>
      <c r="G3657" s="3"/>
      <c r="H3657" s="3"/>
      <c r="I3657" s="3"/>
      <c r="J3657" s="3"/>
      <c r="K3657" s="3"/>
      <c r="L3657" s="3"/>
      <c r="M3657" s="3"/>
      <c r="N3657" s="3"/>
      <c r="O3657" s="3"/>
      <c r="P3657" s="3"/>
      <c r="Q3657" s="3"/>
      <c r="R3657" s="3"/>
      <c r="S3657" s="3"/>
    </row>
    <row r="3658" ht="15.75" customHeight="1">
      <c r="A3658" s="3"/>
      <c r="B3658" s="3"/>
      <c r="C3658" s="3"/>
      <c r="D3658" s="3"/>
      <c r="E3658" s="3"/>
      <c r="F3658" s="3"/>
      <c r="G3658" s="3"/>
      <c r="H3658" s="3"/>
      <c r="I3658" s="3"/>
      <c r="J3658" s="3"/>
      <c r="K3658" s="3"/>
      <c r="L3658" s="3"/>
      <c r="M3658" s="3"/>
      <c r="N3658" s="3"/>
      <c r="O3658" s="3"/>
      <c r="P3658" s="3"/>
      <c r="Q3658" s="3"/>
      <c r="R3658" s="3"/>
      <c r="S3658" s="3"/>
    </row>
    <row r="3659" ht="15.75" customHeight="1">
      <c r="A3659" s="3"/>
      <c r="B3659" s="3"/>
      <c r="C3659" s="3"/>
      <c r="D3659" s="3"/>
      <c r="E3659" s="3"/>
      <c r="F3659" s="3"/>
      <c r="G3659" s="3"/>
      <c r="H3659" s="3"/>
      <c r="I3659" s="3"/>
      <c r="J3659" s="3"/>
      <c r="K3659" s="3"/>
      <c r="L3659" s="3"/>
      <c r="M3659" s="3"/>
      <c r="N3659" s="3"/>
      <c r="O3659" s="3"/>
      <c r="P3659" s="3"/>
      <c r="Q3659" s="3"/>
      <c r="R3659" s="3"/>
      <c r="S3659" s="3"/>
    </row>
    <row r="3660" ht="15.75" customHeight="1">
      <c r="A3660" s="3"/>
      <c r="B3660" s="3"/>
      <c r="C3660" s="3"/>
      <c r="D3660" s="3"/>
      <c r="E3660" s="3"/>
      <c r="F3660" s="3"/>
      <c r="G3660" s="3"/>
      <c r="H3660" s="3"/>
      <c r="I3660" s="3"/>
      <c r="J3660" s="3"/>
      <c r="K3660" s="3"/>
      <c r="L3660" s="3"/>
      <c r="M3660" s="3"/>
      <c r="N3660" s="3"/>
      <c r="O3660" s="3"/>
      <c r="P3660" s="3"/>
      <c r="Q3660" s="3"/>
      <c r="R3660" s="3"/>
      <c r="S3660" s="3"/>
    </row>
    <row r="3661" ht="15.75" customHeight="1">
      <c r="A3661" s="3"/>
      <c r="B3661" s="3"/>
      <c r="C3661" s="3"/>
      <c r="D3661" s="3"/>
      <c r="E3661" s="3"/>
      <c r="F3661" s="3"/>
      <c r="G3661" s="3"/>
      <c r="H3661" s="3"/>
      <c r="I3661" s="3"/>
      <c r="J3661" s="3"/>
      <c r="K3661" s="3"/>
      <c r="L3661" s="3"/>
      <c r="M3661" s="3"/>
      <c r="N3661" s="3"/>
      <c r="O3661" s="3"/>
      <c r="P3661" s="3"/>
      <c r="Q3661" s="3"/>
      <c r="R3661" s="3"/>
      <c r="S3661" s="3"/>
    </row>
    <row r="3662" ht="15.75" customHeight="1">
      <c r="A3662" s="3"/>
      <c r="B3662" s="3"/>
      <c r="C3662" s="3"/>
      <c r="D3662" s="3"/>
      <c r="E3662" s="3"/>
      <c r="F3662" s="3"/>
      <c r="G3662" s="3"/>
      <c r="H3662" s="3"/>
      <c r="I3662" s="3"/>
      <c r="J3662" s="3"/>
      <c r="K3662" s="3"/>
      <c r="L3662" s="3"/>
      <c r="M3662" s="3"/>
      <c r="N3662" s="3"/>
      <c r="O3662" s="3"/>
      <c r="P3662" s="3"/>
      <c r="Q3662" s="3"/>
      <c r="R3662" s="3"/>
      <c r="S3662" s="3"/>
    </row>
    <row r="3663" ht="15.75" customHeight="1">
      <c r="A3663" s="3"/>
      <c r="B3663" s="3"/>
      <c r="C3663" s="3"/>
      <c r="D3663" s="3"/>
      <c r="E3663" s="3"/>
      <c r="F3663" s="3"/>
      <c r="G3663" s="3"/>
      <c r="H3663" s="3"/>
      <c r="I3663" s="3"/>
      <c r="J3663" s="3"/>
      <c r="K3663" s="3"/>
      <c r="L3663" s="3"/>
      <c r="M3663" s="3"/>
      <c r="N3663" s="3"/>
      <c r="O3663" s="3"/>
      <c r="P3663" s="3"/>
      <c r="Q3663" s="3"/>
      <c r="R3663" s="3"/>
      <c r="S3663" s="3"/>
    </row>
    <row r="3664" ht="15.75" customHeight="1">
      <c r="A3664" s="3"/>
      <c r="B3664" s="3"/>
      <c r="C3664" s="3"/>
      <c r="D3664" s="3"/>
      <c r="E3664" s="3"/>
      <c r="F3664" s="3"/>
      <c r="G3664" s="3"/>
      <c r="H3664" s="3"/>
      <c r="I3664" s="3"/>
      <c r="J3664" s="3"/>
      <c r="K3664" s="3"/>
      <c r="L3664" s="3"/>
      <c r="M3664" s="3"/>
      <c r="N3664" s="3"/>
      <c r="O3664" s="3"/>
      <c r="P3664" s="3"/>
      <c r="Q3664" s="3"/>
      <c r="R3664" s="3"/>
      <c r="S3664" s="3"/>
    </row>
    <row r="3665" ht="15.75" customHeight="1">
      <c r="A3665" s="3"/>
      <c r="B3665" s="3"/>
      <c r="C3665" s="3"/>
      <c r="D3665" s="3"/>
      <c r="E3665" s="3"/>
      <c r="F3665" s="3"/>
      <c r="G3665" s="3"/>
      <c r="H3665" s="3"/>
      <c r="I3665" s="3"/>
      <c r="J3665" s="3"/>
      <c r="K3665" s="3"/>
      <c r="L3665" s="3"/>
      <c r="M3665" s="3"/>
      <c r="N3665" s="3"/>
      <c r="O3665" s="3"/>
      <c r="P3665" s="3"/>
      <c r="Q3665" s="3"/>
      <c r="R3665" s="3"/>
      <c r="S3665" s="3"/>
    </row>
    <row r="3666" ht="15.75" customHeight="1">
      <c r="A3666" s="3"/>
      <c r="B3666" s="3"/>
      <c r="C3666" s="3"/>
      <c r="D3666" s="3"/>
      <c r="E3666" s="3"/>
      <c r="F3666" s="3"/>
      <c r="G3666" s="3"/>
      <c r="H3666" s="3"/>
      <c r="I3666" s="3"/>
      <c r="J3666" s="3"/>
      <c r="K3666" s="3"/>
      <c r="L3666" s="3"/>
      <c r="M3666" s="3"/>
      <c r="N3666" s="3"/>
      <c r="O3666" s="3"/>
      <c r="P3666" s="3"/>
      <c r="Q3666" s="3"/>
      <c r="R3666" s="3"/>
      <c r="S3666" s="3"/>
    </row>
    <row r="3667" ht="15.75" customHeight="1">
      <c r="A3667" s="3"/>
      <c r="B3667" s="3"/>
      <c r="C3667" s="3"/>
      <c r="D3667" s="3"/>
      <c r="E3667" s="3"/>
      <c r="F3667" s="3"/>
      <c r="G3667" s="3"/>
      <c r="H3667" s="3"/>
      <c r="I3667" s="3"/>
      <c r="J3667" s="3"/>
      <c r="K3667" s="3"/>
      <c r="L3667" s="3"/>
      <c r="M3667" s="3"/>
      <c r="N3667" s="3"/>
      <c r="O3667" s="3"/>
      <c r="P3667" s="3"/>
      <c r="Q3667" s="3"/>
      <c r="R3667" s="3"/>
      <c r="S3667" s="3"/>
    </row>
    <row r="3668" ht="15.75" customHeight="1">
      <c r="A3668" s="3"/>
      <c r="B3668" s="3"/>
      <c r="C3668" s="3"/>
      <c r="D3668" s="3"/>
      <c r="E3668" s="3"/>
      <c r="F3668" s="3"/>
      <c r="G3668" s="3"/>
      <c r="H3668" s="3"/>
      <c r="I3668" s="3"/>
      <c r="J3668" s="3"/>
      <c r="K3668" s="3"/>
      <c r="L3668" s="3"/>
      <c r="M3668" s="3"/>
      <c r="N3668" s="3"/>
      <c r="O3668" s="3"/>
      <c r="P3668" s="3"/>
      <c r="Q3668" s="3"/>
      <c r="R3668" s="3"/>
      <c r="S3668" s="3"/>
    </row>
    <row r="3669" ht="15.75" customHeight="1">
      <c r="A3669" s="3"/>
      <c r="B3669" s="3"/>
      <c r="C3669" s="3"/>
      <c r="D3669" s="3"/>
      <c r="E3669" s="3"/>
      <c r="F3669" s="3"/>
      <c r="G3669" s="3"/>
      <c r="H3669" s="3"/>
      <c r="I3669" s="3"/>
      <c r="J3669" s="3"/>
      <c r="K3669" s="3"/>
      <c r="L3669" s="3"/>
      <c r="M3669" s="3"/>
      <c r="N3669" s="3"/>
      <c r="O3669" s="3"/>
      <c r="P3669" s="3"/>
      <c r="Q3669" s="3"/>
      <c r="R3669" s="3"/>
      <c r="S3669" s="3"/>
    </row>
    <row r="3670" ht="15.75" customHeight="1">
      <c r="A3670" s="3"/>
      <c r="B3670" s="3"/>
      <c r="C3670" s="3"/>
      <c r="D3670" s="3"/>
      <c r="E3670" s="3"/>
      <c r="F3670" s="3"/>
      <c r="G3670" s="3"/>
      <c r="H3670" s="3"/>
      <c r="I3670" s="3"/>
      <c r="J3670" s="3"/>
      <c r="K3670" s="3"/>
      <c r="L3670" s="3"/>
      <c r="M3670" s="3"/>
      <c r="N3670" s="3"/>
      <c r="O3670" s="3"/>
      <c r="P3670" s="3"/>
      <c r="Q3670" s="3"/>
      <c r="R3670" s="3"/>
      <c r="S3670" s="3"/>
    </row>
    <row r="3671" ht="15.75" customHeight="1">
      <c r="A3671" s="3"/>
      <c r="B3671" s="3"/>
      <c r="C3671" s="3"/>
      <c r="D3671" s="3"/>
      <c r="E3671" s="3"/>
      <c r="F3671" s="3"/>
      <c r="G3671" s="3"/>
      <c r="H3671" s="3"/>
      <c r="I3671" s="3"/>
      <c r="J3671" s="3"/>
      <c r="K3671" s="3"/>
      <c r="L3671" s="3"/>
      <c r="M3671" s="3"/>
      <c r="N3671" s="3"/>
      <c r="O3671" s="3"/>
      <c r="P3671" s="3"/>
      <c r="Q3671" s="3"/>
      <c r="R3671" s="3"/>
      <c r="S3671" s="3"/>
    </row>
    <row r="3672" ht="15.75" customHeight="1">
      <c r="A3672" s="3"/>
      <c r="B3672" s="3"/>
      <c r="C3672" s="3"/>
      <c r="D3672" s="3"/>
      <c r="E3672" s="3"/>
      <c r="F3672" s="3"/>
      <c r="G3672" s="3"/>
      <c r="H3672" s="3"/>
      <c r="I3672" s="3"/>
      <c r="J3672" s="3"/>
      <c r="K3672" s="3"/>
      <c r="L3672" s="3"/>
      <c r="M3672" s="3"/>
      <c r="N3672" s="3"/>
      <c r="O3672" s="3"/>
      <c r="P3672" s="3"/>
      <c r="Q3672" s="3"/>
      <c r="R3672" s="3"/>
      <c r="S3672" s="3"/>
    </row>
    <row r="3673" ht="15.75" customHeight="1">
      <c r="A3673" s="3"/>
      <c r="B3673" s="3"/>
      <c r="C3673" s="3"/>
      <c r="D3673" s="3"/>
      <c r="E3673" s="3"/>
      <c r="F3673" s="3"/>
      <c r="G3673" s="3"/>
      <c r="H3673" s="3"/>
      <c r="I3673" s="3"/>
      <c r="J3673" s="3"/>
      <c r="K3673" s="3"/>
      <c r="L3673" s="3"/>
      <c r="M3673" s="3"/>
      <c r="N3673" s="3"/>
      <c r="O3673" s="3"/>
      <c r="P3673" s="3"/>
      <c r="Q3673" s="3"/>
      <c r="R3673" s="3"/>
      <c r="S3673" s="3"/>
    </row>
    <row r="3674" ht="15.75" customHeight="1">
      <c r="A3674" s="3"/>
      <c r="B3674" s="3"/>
      <c r="C3674" s="3"/>
      <c r="D3674" s="3"/>
      <c r="E3674" s="3"/>
      <c r="F3674" s="3"/>
      <c r="G3674" s="3"/>
      <c r="H3674" s="3"/>
      <c r="I3674" s="3"/>
      <c r="J3674" s="3"/>
      <c r="K3674" s="3"/>
      <c r="L3674" s="3"/>
      <c r="M3674" s="3"/>
      <c r="N3674" s="3"/>
      <c r="O3674" s="3"/>
      <c r="P3674" s="3"/>
      <c r="Q3674" s="3"/>
      <c r="R3674" s="3"/>
      <c r="S3674" s="3"/>
    </row>
    <row r="3675" ht="15.75" customHeight="1">
      <c r="A3675" s="3"/>
      <c r="B3675" s="3"/>
      <c r="C3675" s="3"/>
      <c r="D3675" s="3"/>
      <c r="E3675" s="3"/>
      <c r="F3675" s="3"/>
      <c r="G3675" s="3"/>
      <c r="H3675" s="3"/>
      <c r="I3675" s="3"/>
      <c r="J3675" s="3"/>
      <c r="K3675" s="3"/>
      <c r="L3675" s="3"/>
      <c r="M3675" s="3"/>
      <c r="N3675" s="3"/>
      <c r="O3675" s="3"/>
      <c r="P3675" s="3"/>
      <c r="Q3675" s="3"/>
      <c r="R3675" s="3"/>
      <c r="S3675" s="3"/>
    </row>
    <row r="3676" ht="15.75" customHeight="1">
      <c r="A3676" s="3"/>
      <c r="B3676" s="3"/>
      <c r="C3676" s="3"/>
      <c r="D3676" s="3"/>
      <c r="E3676" s="3"/>
      <c r="F3676" s="3"/>
      <c r="G3676" s="3"/>
      <c r="H3676" s="3"/>
      <c r="I3676" s="3"/>
      <c r="J3676" s="3"/>
      <c r="K3676" s="3"/>
      <c r="L3676" s="3"/>
      <c r="M3676" s="3"/>
      <c r="N3676" s="3"/>
      <c r="O3676" s="3"/>
      <c r="P3676" s="3"/>
      <c r="Q3676" s="3"/>
      <c r="R3676" s="3"/>
      <c r="S3676" s="3"/>
    </row>
    <row r="3677" ht="15.75" customHeight="1">
      <c r="A3677" s="3"/>
      <c r="B3677" s="3"/>
      <c r="C3677" s="3"/>
      <c r="D3677" s="3"/>
      <c r="E3677" s="3"/>
      <c r="F3677" s="3"/>
      <c r="G3677" s="3"/>
      <c r="H3677" s="3"/>
      <c r="I3677" s="3"/>
      <c r="J3677" s="3"/>
      <c r="K3677" s="3"/>
      <c r="L3677" s="3"/>
      <c r="M3677" s="3"/>
      <c r="N3677" s="3"/>
      <c r="O3677" s="3"/>
      <c r="P3677" s="3"/>
      <c r="Q3677" s="3"/>
      <c r="R3677" s="3"/>
      <c r="S3677" s="3"/>
    </row>
    <row r="3678" ht="15.75" customHeight="1">
      <c r="A3678" s="3"/>
      <c r="B3678" s="3"/>
      <c r="C3678" s="3"/>
      <c r="D3678" s="3"/>
      <c r="E3678" s="3"/>
      <c r="F3678" s="3"/>
      <c r="G3678" s="3"/>
      <c r="H3678" s="3"/>
      <c r="I3678" s="3"/>
      <c r="J3678" s="3"/>
      <c r="K3678" s="3"/>
      <c r="L3678" s="3"/>
      <c r="M3678" s="3"/>
      <c r="N3678" s="3"/>
      <c r="O3678" s="3"/>
      <c r="P3678" s="3"/>
      <c r="Q3678" s="3"/>
      <c r="R3678" s="3"/>
      <c r="S3678" s="3"/>
    </row>
    <row r="3679" ht="15.75" customHeight="1">
      <c r="A3679" s="3"/>
      <c r="B3679" s="3"/>
      <c r="C3679" s="3"/>
      <c r="D3679" s="3"/>
      <c r="E3679" s="3"/>
      <c r="F3679" s="3"/>
      <c r="G3679" s="3"/>
      <c r="H3679" s="3"/>
      <c r="I3679" s="3"/>
      <c r="J3679" s="3"/>
      <c r="K3679" s="3"/>
      <c r="L3679" s="3"/>
      <c r="M3679" s="3"/>
      <c r="N3679" s="3"/>
      <c r="O3679" s="3"/>
      <c r="P3679" s="3"/>
      <c r="Q3679" s="3"/>
      <c r="R3679" s="3"/>
      <c r="S3679" s="3"/>
    </row>
    <row r="3680" ht="15.75" customHeight="1">
      <c r="A3680" s="3"/>
      <c r="B3680" s="3"/>
      <c r="C3680" s="3"/>
      <c r="D3680" s="3"/>
      <c r="E3680" s="3"/>
      <c r="F3680" s="3"/>
      <c r="G3680" s="3"/>
      <c r="H3680" s="3"/>
      <c r="I3680" s="3"/>
      <c r="J3680" s="3"/>
      <c r="K3680" s="3"/>
      <c r="L3680" s="3"/>
      <c r="M3680" s="3"/>
      <c r="N3680" s="3"/>
      <c r="O3680" s="3"/>
      <c r="P3680" s="3"/>
      <c r="Q3680" s="3"/>
      <c r="R3680" s="3"/>
      <c r="S3680" s="3"/>
    </row>
    <row r="3681" ht="15.75" customHeight="1">
      <c r="A3681" s="3"/>
      <c r="B3681" s="3"/>
      <c r="C3681" s="3"/>
      <c r="D3681" s="3"/>
      <c r="E3681" s="3"/>
      <c r="F3681" s="3"/>
      <c r="G3681" s="3"/>
      <c r="H3681" s="3"/>
      <c r="I3681" s="3"/>
      <c r="J3681" s="3"/>
      <c r="K3681" s="3"/>
      <c r="L3681" s="3"/>
      <c r="M3681" s="3"/>
      <c r="N3681" s="3"/>
      <c r="O3681" s="3"/>
      <c r="P3681" s="3"/>
      <c r="Q3681" s="3"/>
      <c r="R3681" s="3"/>
      <c r="S3681" s="3"/>
    </row>
    <row r="3682" ht="15.75" customHeight="1">
      <c r="A3682" s="3"/>
      <c r="B3682" s="3"/>
      <c r="C3682" s="3"/>
      <c r="D3682" s="3"/>
      <c r="E3682" s="3"/>
      <c r="F3682" s="3"/>
      <c r="G3682" s="3"/>
      <c r="H3682" s="3"/>
      <c r="I3682" s="3"/>
      <c r="J3682" s="3"/>
      <c r="K3682" s="3"/>
      <c r="L3682" s="3"/>
      <c r="M3682" s="3"/>
      <c r="N3682" s="3"/>
      <c r="O3682" s="3"/>
      <c r="P3682" s="3"/>
      <c r="Q3682" s="3"/>
      <c r="R3682" s="3"/>
      <c r="S3682" s="3"/>
    </row>
    <row r="3683" ht="15.75" customHeight="1">
      <c r="A3683" s="3"/>
      <c r="B3683" s="3"/>
      <c r="C3683" s="3"/>
      <c r="D3683" s="3"/>
      <c r="E3683" s="3"/>
      <c r="F3683" s="3"/>
      <c r="G3683" s="3"/>
      <c r="H3683" s="3"/>
      <c r="I3683" s="3"/>
      <c r="J3683" s="3"/>
      <c r="K3683" s="3"/>
      <c r="L3683" s="3"/>
      <c r="M3683" s="3"/>
      <c r="N3683" s="3"/>
      <c r="O3683" s="3"/>
      <c r="P3683" s="3"/>
      <c r="Q3683" s="3"/>
      <c r="R3683" s="3"/>
      <c r="S3683" s="3"/>
    </row>
    <row r="3684" ht="15.75" customHeight="1">
      <c r="A3684" s="3"/>
      <c r="B3684" s="3"/>
      <c r="C3684" s="3"/>
      <c r="D3684" s="3"/>
      <c r="E3684" s="3"/>
      <c r="F3684" s="3"/>
      <c r="G3684" s="3"/>
      <c r="H3684" s="3"/>
      <c r="I3684" s="3"/>
      <c r="J3684" s="3"/>
      <c r="K3684" s="3"/>
      <c r="L3684" s="3"/>
      <c r="M3684" s="3"/>
      <c r="N3684" s="3"/>
      <c r="O3684" s="3"/>
      <c r="P3684" s="3"/>
      <c r="Q3684" s="3"/>
      <c r="R3684" s="3"/>
      <c r="S3684" s="3"/>
    </row>
    <row r="3685" ht="15.75" customHeight="1">
      <c r="A3685" s="3"/>
      <c r="B3685" s="3"/>
      <c r="C3685" s="3"/>
      <c r="D3685" s="3"/>
      <c r="E3685" s="3"/>
      <c r="F3685" s="3"/>
      <c r="G3685" s="3"/>
      <c r="H3685" s="3"/>
      <c r="I3685" s="3"/>
      <c r="J3685" s="3"/>
      <c r="K3685" s="3"/>
      <c r="L3685" s="3"/>
      <c r="M3685" s="3"/>
      <c r="N3685" s="3"/>
      <c r="O3685" s="3"/>
      <c r="P3685" s="3"/>
      <c r="Q3685" s="3"/>
      <c r="R3685" s="3"/>
      <c r="S3685" s="3"/>
    </row>
    <row r="3686" ht="15.75" customHeight="1">
      <c r="A3686" s="3"/>
      <c r="B3686" s="3"/>
      <c r="C3686" s="3"/>
      <c r="D3686" s="3"/>
      <c r="E3686" s="3"/>
      <c r="F3686" s="3"/>
      <c r="G3686" s="3"/>
      <c r="H3686" s="3"/>
      <c r="I3686" s="3"/>
      <c r="J3686" s="3"/>
      <c r="K3686" s="3"/>
      <c r="L3686" s="3"/>
      <c r="M3686" s="3"/>
      <c r="N3686" s="3"/>
      <c r="O3686" s="3"/>
      <c r="P3686" s="3"/>
      <c r="Q3686" s="3"/>
      <c r="R3686" s="3"/>
      <c r="S3686" s="3"/>
    </row>
    <row r="3687" ht="15.75" customHeight="1">
      <c r="A3687" s="3"/>
      <c r="B3687" s="3"/>
      <c r="C3687" s="3"/>
      <c r="D3687" s="3"/>
      <c r="E3687" s="3"/>
      <c r="F3687" s="3"/>
      <c r="G3687" s="3"/>
      <c r="H3687" s="3"/>
      <c r="I3687" s="3"/>
      <c r="J3687" s="3"/>
      <c r="K3687" s="3"/>
      <c r="L3687" s="3"/>
      <c r="M3687" s="3"/>
      <c r="N3687" s="3"/>
      <c r="O3687" s="3"/>
      <c r="P3687" s="3"/>
      <c r="Q3687" s="3"/>
      <c r="R3687" s="3"/>
      <c r="S3687" s="3"/>
    </row>
    <row r="3688" ht="15.75" customHeight="1">
      <c r="A3688" s="3"/>
      <c r="B3688" s="3"/>
      <c r="C3688" s="3"/>
      <c r="D3688" s="3"/>
      <c r="E3688" s="3"/>
      <c r="F3688" s="3"/>
      <c r="G3688" s="3"/>
      <c r="H3688" s="3"/>
      <c r="I3688" s="3"/>
      <c r="J3688" s="3"/>
      <c r="K3688" s="3"/>
      <c r="L3688" s="3"/>
      <c r="M3688" s="3"/>
      <c r="N3688" s="3"/>
      <c r="O3688" s="3"/>
      <c r="P3688" s="3"/>
      <c r="Q3688" s="3"/>
      <c r="R3688" s="3"/>
      <c r="S3688" s="3"/>
    </row>
    <row r="3689" ht="15.75" customHeight="1">
      <c r="A3689" s="3"/>
      <c r="B3689" s="3"/>
      <c r="C3689" s="3"/>
      <c r="D3689" s="3"/>
      <c r="E3689" s="3"/>
      <c r="F3689" s="3"/>
      <c r="G3689" s="3"/>
      <c r="H3689" s="3"/>
      <c r="I3689" s="3"/>
      <c r="J3689" s="3"/>
      <c r="K3689" s="3"/>
      <c r="L3689" s="3"/>
      <c r="M3689" s="3"/>
      <c r="N3689" s="3"/>
      <c r="O3689" s="3"/>
      <c r="P3689" s="3"/>
      <c r="Q3689" s="3"/>
      <c r="R3689" s="3"/>
      <c r="S3689" s="3"/>
    </row>
    <row r="3690" ht="15.75" customHeight="1">
      <c r="A3690" s="3"/>
      <c r="B3690" s="3"/>
      <c r="C3690" s="3"/>
      <c r="D3690" s="3"/>
      <c r="E3690" s="3"/>
      <c r="F3690" s="3"/>
      <c r="G3690" s="3"/>
      <c r="H3690" s="3"/>
      <c r="I3690" s="3"/>
      <c r="J3690" s="3"/>
      <c r="K3690" s="3"/>
      <c r="L3690" s="3"/>
      <c r="M3690" s="3"/>
      <c r="N3690" s="3"/>
      <c r="O3690" s="3"/>
      <c r="P3690" s="3"/>
      <c r="Q3690" s="3"/>
      <c r="R3690" s="3"/>
      <c r="S3690" s="3"/>
    </row>
    <row r="3691" ht="15.75" customHeight="1">
      <c r="A3691" s="3"/>
      <c r="B3691" s="3"/>
      <c r="C3691" s="3"/>
      <c r="D3691" s="3"/>
      <c r="E3691" s="3"/>
      <c r="F3691" s="3"/>
      <c r="G3691" s="3"/>
      <c r="H3691" s="3"/>
      <c r="I3691" s="3"/>
      <c r="J3691" s="3"/>
      <c r="K3691" s="3"/>
      <c r="L3691" s="3"/>
      <c r="M3691" s="3"/>
      <c r="N3691" s="3"/>
      <c r="O3691" s="3"/>
      <c r="P3691" s="3"/>
      <c r="Q3691" s="3"/>
      <c r="R3691" s="3"/>
      <c r="S3691" s="3"/>
    </row>
    <row r="3692" ht="15.75" customHeight="1">
      <c r="A3692" s="3"/>
      <c r="B3692" s="3"/>
      <c r="C3692" s="3"/>
      <c r="D3692" s="3"/>
      <c r="E3692" s="3"/>
      <c r="F3692" s="3"/>
      <c r="G3692" s="3"/>
      <c r="H3692" s="3"/>
      <c r="I3692" s="3"/>
      <c r="J3692" s="3"/>
      <c r="K3692" s="3"/>
      <c r="L3692" s="3"/>
      <c r="M3692" s="3"/>
      <c r="N3692" s="3"/>
      <c r="O3692" s="3"/>
      <c r="P3692" s="3"/>
      <c r="Q3692" s="3"/>
      <c r="R3692" s="3"/>
      <c r="S3692" s="3"/>
    </row>
    <row r="3693" ht="15.75" customHeight="1">
      <c r="A3693" s="3"/>
      <c r="B3693" s="3"/>
      <c r="C3693" s="3"/>
      <c r="D3693" s="3"/>
      <c r="E3693" s="3"/>
      <c r="F3693" s="3"/>
      <c r="G3693" s="3"/>
      <c r="H3693" s="3"/>
      <c r="I3693" s="3"/>
      <c r="J3693" s="3"/>
      <c r="K3693" s="3"/>
      <c r="L3693" s="3"/>
      <c r="M3693" s="3"/>
      <c r="N3693" s="3"/>
      <c r="O3693" s="3"/>
      <c r="P3693" s="3"/>
      <c r="Q3693" s="3"/>
      <c r="R3693" s="3"/>
      <c r="S3693" s="3"/>
    </row>
    <row r="3694" ht="15.75" customHeight="1">
      <c r="A3694" s="3"/>
      <c r="B3694" s="3"/>
      <c r="C3694" s="3"/>
      <c r="D3694" s="3"/>
      <c r="E3694" s="3"/>
      <c r="F3694" s="3"/>
      <c r="G3694" s="3"/>
      <c r="H3694" s="3"/>
      <c r="I3694" s="3"/>
      <c r="J3694" s="3"/>
      <c r="K3694" s="3"/>
      <c r="L3694" s="3"/>
      <c r="M3694" s="3"/>
      <c r="N3694" s="3"/>
      <c r="O3694" s="3"/>
      <c r="P3694" s="3"/>
      <c r="Q3694" s="3"/>
      <c r="R3694" s="3"/>
      <c r="S3694" s="3"/>
    </row>
    <row r="3695" ht="15.75" customHeight="1">
      <c r="A3695" s="3"/>
      <c r="B3695" s="3"/>
      <c r="C3695" s="3"/>
      <c r="D3695" s="3"/>
      <c r="E3695" s="3"/>
      <c r="F3695" s="3"/>
      <c r="G3695" s="3"/>
      <c r="H3695" s="3"/>
      <c r="I3695" s="3"/>
      <c r="J3695" s="3"/>
      <c r="K3695" s="3"/>
      <c r="L3695" s="3"/>
      <c r="M3695" s="3"/>
      <c r="N3695" s="3"/>
      <c r="O3695" s="3"/>
      <c r="P3695" s="3"/>
      <c r="Q3695" s="3"/>
      <c r="R3695" s="3"/>
      <c r="S3695" s="3"/>
    </row>
    <row r="3696" ht="15.75" customHeight="1">
      <c r="A3696" s="3"/>
      <c r="B3696" s="3"/>
      <c r="C3696" s="3"/>
      <c r="D3696" s="3"/>
      <c r="E3696" s="3"/>
      <c r="F3696" s="3"/>
      <c r="G3696" s="3"/>
      <c r="H3696" s="3"/>
      <c r="I3696" s="3"/>
      <c r="J3696" s="3"/>
      <c r="K3696" s="3"/>
      <c r="L3696" s="3"/>
      <c r="M3696" s="3"/>
      <c r="N3696" s="3"/>
      <c r="O3696" s="3"/>
      <c r="P3696" s="3"/>
      <c r="Q3696" s="3"/>
      <c r="R3696" s="3"/>
      <c r="S3696" s="3"/>
    </row>
    <row r="3697" ht="15.75" customHeight="1">
      <c r="A3697" s="3"/>
      <c r="B3697" s="3"/>
      <c r="C3697" s="3"/>
      <c r="D3697" s="3"/>
      <c r="E3697" s="3"/>
      <c r="F3697" s="3"/>
      <c r="G3697" s="3"/>
      <c r="H3697" s="3"/>
      <c r="I3697" s="3"/>
      <c r="J3697" s="3"/>
      <c r="K3697" s="3"/>
      <c r="L3697" s="3"/>
      <c r="M3697" s="3"/>
      <c r="N3697" s="3"/>
      <c r="O3697" s="3"/>
      <c r="P3697" s="3"/>
      <c r="Q3697" s="3"/>
      <c r="R3697" s="3"/>
      <c r="S3697" s="3"/>
    </row>
    <row r="3698" ht="15.75" customHeight="1">
      <c r="A3698" s="3"/>
      <c r="B3698" s="3"/>
      <c r="C3698" s="3"/>
      <c r="D3698" s="3"/>
      <c r="E3698" s="3"/>
      <c r="F3698" s="3"/>
      <c r="G3698" s="3"/>
      <c r="H3698" s="3"/>
      <c r="I3698" s="3"/>
      <c r="J3698" s="3"/>
      <c r="K3698" s="3"/>
      <c r="L3698" s="3"/>
      <c r="M3698" s="3"/>
      <c r="N3698" s="3"/>
      <c r="O3698" s="3"/>
      <c r="P3698" s="3"/>
      <c r="Q3698" s="3"/>
      <c r="R3698" s="3"/>
      <c r="S3698" s="3"/>
    </row>
    <row r="3699" ht="15.75" customHeight="1">
      <c r="A3699" s="3"/>
      <c r="B3699" s="3"/>
      <c r="C3699" s="3"/>
      <c r="D3699" s="3"/>
      <c r="E3699" s="3"/>
      <c r="F3699" s="3"/>
      <c r="G3699" s="3"/>
      <c r="H3699" s="3"/>
      <c r="I3699" s="3"/>
      <c r="J3699" s="3"/>
      <c r="K3699" s="3"/>
      <c r="L3699" s="3"/>
      <c r="M3699" s="3"/>
      <c r="N3699" s="3"/>
      <c r="O3699" s="3"/>
      <c r="P3699" s="3"/>
      <c r="Q3699" s="3"/>
      <c r="R3699" s="3"/>
      <c r="S3699" s="3"/>
    </row>
    <row r="3700" ht="15.75" customHeight="1">
      <c r="A3700" s="3"/>
      <c r="B3700" s="3"/>
      <c r="C3700" s="3"/>
      <c r="D3700" s="3"/>
      <c r="E3700" s="3"/>
      <c r="F3700" s="3"/>
      <c r="G3700" s="3"/>
      <c r="H3700" s="3"/>
      <c r="I3700" s="3"/>
      <c r="J3700" s="3"/>
      <c r="K3700" s="3"/>
      <c r="L3700" s="3"/>
      <c r="M3700" s="3"/>
      <c r="N3700" s="3"/>
      <c r="O3700" s="3"/>
      <c r="P3700" s="3"/>
      <c r="Q3700" s="3"/>
      <c r="R3700" s="3"/>
      <c r="S3700" s="3"/>
    </row>
    <row r="3701" ht="15.75" customHeight="1">
      <c r="A3701" s="3"/>
      <c r="B3701" s="3"/>
      <c r="C3701" s="3"/>
      <c r="D3701" s="3"/>
      <c r="E3701" s="3"/>
      <c r="F3701" s="3"/>
      <c r="G3701" s="3"/>
      <c r="H3701" s="3"/>
      <c r="I3701" s="3"/>
      <c r="J3701" s="3"/>
      <c r="K3701" s="3"/>
      <c r="L3701" s="3"/>
      <c r="M3701" s="3"/>
      <c r="N3701" s="3"/>
      <c r="O3701" s="3"/>
      <c r="P3701" s="3"/>
      <c r="Q3701" s="3"/>
      <c r="R3701" s="3"/>
      <c r="S3701" s="3"/>
    </row>
    <row r="3702" ht="15.75" customHeight="1">
      <c r="A3702" s="3"/>
      <c r="B3702" s="3"/>
      <c r="C3702" s="3"/>
      <c r="D3702" s="3"/>
      <c r="E3702" s="3"/>
      <c r="F3702" s="3"/>
      <c r="G3702" s="3"/>
      <c r="H3702" s="3"/>
      <c r="I3702" s="3"/>
      <c r="J3702" s="3"/>
      <c r="K3702" s="3"/>
      <c r="L3702" s="3"/>
      <c r="M3702" s="3"/>
      <c r="N3702" s="3"/>
      <c r="O3702" s="3"/>
      <c r="P3702" s="3"/>
      <c r="Q3702" s="3"/>
      <c r="R3702" s="3"/>
      <c r="S3702" s="3"/>
    </row>
    <row r="3703" ht="15.75" customHeight="1">
      <c r="A3703" s="3"/>
      <c r="B3703" s="3"/>
      <c r="C3703" s="3"/>
      <c r="D3703" s="3"/>
      <c r="E3703" s="3"/>
      <c r="F3703" s="3"/>
      <c r="G3703" s="3"/>
      <c r="H3703" s="3"/>
      <c r="I3703" s="3"/>
      <c r="J3703" s="3"/>
      <c r="K3703" s="3"/>
      <c r="L3703" s="3"/>
      <c r="M3703" s="3"/>
      <c r="N3703" s="3"/>
      <c r="O3703" s="3"/>
      <c r="P3703" s="3"/>
      <c r="Q3703" s="3"/>
      <c r="R3703" s="3"/>
      <c r="S3703" s="3"/>
    </row>
    <row r="3704" ht="15.75" customHeight="1">
      <c r="A3704" s="3"/>
      <c r="B3704" s="3"/>
      <c r="C3704" s="3"/>
      <c r="D3704" s="3"/>
      <c r="E3704" s="3"/>
      <c r="F3704" s="3"/>
      <c r="G3704" s="3"/>
      <c r="H3704" s="3"/>
      <c r="I3704" s="3"/>
      <c r="J3704" s="3"/>
      <c r="K3704" s="3"/>
      <c r="L3704" s="3"/>
      <c r="M3704" s="3"/>
      <c r="N3704" s="3"/>
      <c r="O3704" s="3"/>
      <c r="P3704" s="3"/>
      <c r="Q3704" s="3"/>
      <c r="R3704" s="3"/>
      <c r="S3704" s="3"/>
    </row>
    <row r="3705" ht="15.75" customHeight="1">
      <c r="A3705" s="3"/>
      <c r="B3705" s="3"/>
      <c r="C3705" s="3"/>
      <c r="D3705" s="3"/>
      <c r="E3705" s="3"/>
      <c r="F3705" s="3"/>
      <c r="G3705" s="3"/>
      <c r="H3705" s="3"/>
      <c r="I3705" s="3"/>
      <c r="J3705" s="3"/>
      <c r="K3705" s="3"/>
      <c r="L3705" s="3"/>
      <c r="M3705" s="3"/>
      <c r="N3705" s="3"/>
      <c r="O3705" s="3"/>
      <c r="P3705" s="3"/>
      <c r="Q3705" s="3"/>
      <c r="R3705" s="3"/>
      <c r="S3705" s="3"/>
    </row>
  </sheetData>
  <drawing r:id="rId4"/>
  <legacyDrawing r:id="rId5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9.25"/>
    <col customWidth="1" min="2" max="2" width="12.63"/>
    <col customWidth="1" min="3" max="3" width="20.75"/>
    <col customWidth="1" min="4" max="4" width="16.63"/>
    <col customWidth="1" min="5" max="6" width="12.63"/>
  </cols>
  <sheetData>
    <row r="1" ht="15.75" customHeight="1">
      <c r="A1" s="31" t="s">
        <v>7784</v>
      </c>
      <c r="B1" s="31" t="s">
        <v>7740</v>
      </c>
      <c r="C1" s="31" t="s">
        <v>7783</v>
      </c>
      <c r="D1" s="31" t="s">
        <v>7785</v>
      </c>
    </row>
    <row r="2" ht="15.75" customHeight="1">
      <c r="A2" s="5" t="s">
        <v>7786</v>
      </c>
      <c r="B2" s="59">
        <v>45757.0</v>
      </c>
      <c r="C2" s="5" t="s">
        <v>7787</v>
      </c>
    </row>
    <row r="3" ht="15.75" customHeight="1">
      <c r="A3" s="5" t="s">
        <v>7788</v>
      </c>
      <c r="B3" s="59">
        <v>45761.0</v>
      </c>
      <c r="C3" s="5" t="s">
        <v>7789</v>
      </c>
    </row>
    <row r="4" ht="15.75" customHeight="1">
      <c r="A4" s="5" t="s">
        <v>7790</v>
      </c>
      <c r="B4" s="59">
        <v>45762.0</v>
      </c>
      <c r="C4" s="5" t="s">
        <v>7791</v>
      </c>
    </row>
    <row r="5" ht="15.75" customHeight="1">
      <c r="A5" s="5" t="s">
        <v>7792</v>
      </c>
      <c r="B5" s="59">
        <v>45764.0</v>
      </c>
      <c r="C5" s="5" t="s">
        <v>7791</v>
      </c>
    </row>
    <row r="6" ht="15.75" customHeight="1">
      <c r="A6" s="5" t="s">
        <v>7793</v>
      </c>
      <c r="B6" s="59">
        <v>45770.0</v>
      </c>
      <c r="C6" s="5" t="s">
        <v>7794</v>
      </c>
    </row>
    <row r="7" ht="15.75" customHeight="1">
      <c r="A7" s="5" t="s">
        <v>7795</v>
      </c>
      <c r="B7" s="59">
        <v>45771.0</v>
      </c>
      <c r="C7" s="5" t="s">
        <v>7791</v>
      </c>
    </row>
    <row r="8" ht="15.75" customHeight="1">
      <c r="A8" s="5" t="s">
        <v>7796</v>
      </c>
      <c r="B8" s="59">
        <v>45777.0</v>
      </c>
      <c r="C8" s="5" t="s">
        <v>7791</v>
      </c>
    </row>
    <row r="9" ht="15.75" customHeight="1">
      <c r="A9" s="5" t="s">
        <v>7797</v>
      </c>
      <c r="B9" s="59">
        <v>45782.0</v>
      </c>
      <c r="C9" s="5" t="s">
        <v>7798</v>
      </c>
    </row>
    <row r="10" ht="15.75" customHeight="1">
      <c r="A10" s="5" t="s">
        <v>7799</v>
      </c>
      <c r="B10" s="59">
        <v>45778.0</v>
      </c>
      <c r="C10" s="5" t="s">
        <v>7800</v>
      </c>
    </row>
    <row r="11" ht="15.75" customHeight="1">
      <c r="A11" s="5" t="s">
        <v>7801</v>
      </c>
      <c r="B11" s="59">
        <v>45784.0</v>
      </c>
      <c r="C11" s="5" t="s">
        <v>7791</v>
      </c>
    </row>
    <row r="12" ht="15.75" customHeight="1">
      <c r="A12" s="5" t="s">
        <v>7802</v>
      </c>
      <c r="B12" s="59">
        <v>45779.0</v>
      </c>
      <c r="C12" s="5" t="s">
        <v>7803</v>
      </c>
    </row>
    <row r="13" ht="15.75" customHeight="1">
      <c r="A13" s="5" t="s">
        <v>7804</v>
      </c>
      <c r="B13" s="59">
        <v>45787.0</v>
      </c>
      <c r="C13" s="5" t="s">
        <v>7805</v>
      </c>
    </row>
    <row r="14" ht="15.75" customHeight="1">
      <c r="A14" s="5" t="s">
        <v>7806</v>
      </c>
      <c r="B14" s="59">
        <v>45791.0</v>
      </c>
      <c r="C14" s="5" t="s">
        <v>7791</v>
      </c>
    </row>
    <row r="15" ht="15.75" customHeight="1">
      <c r="A15" s="5" t="s">
        <v>7807</v>
      </c>
      <c r="B15" s="59">
        <v>45796.0</v>
      </c>
      <c r="C15" s="5" t="s">
        <v>7808</v>
      </c>
    </row>
    <row r="16" ht="15.75" customHeight="1">
      <c r="A16" s="5"/>
      <c r="B16" s="59"/>
      <c r="C16" s="5"/>
    </row>
    <row r="17" ht="15.75" customHeight="1">
      <c r="A17" s="5" t="s">
        <v>7809</v>
      </c>
      <c r="B17" s="60">
        <v>45798.0</v>
      </c>
      <c r="C17" s="5" t="s">
        <v>7791</v>
      </c>
    </row>
    <row r="18" ht="15.75" customHeight="1">
      <c r="A18" s="5" t="s">
        <v>7810</v>
      </c>
      <c r="B18" s="60">
        <v>45803.0</v>
      </c>
      <c r="C18" s="5" t="s">
        <v>7811</v>
      </c>
    </row>
    <row r="19" ht="15.75" customHeight="1">
      <c r="A19" s="5" t="s">
        <v>7812</v>
      </c>
      <c r="B19" s="60">
        <v>45804.0</v>
      </c>
      <c r="C19" s="5" t="s">
        <v>7813</v>
      </c>
    </row>
    <row r="20" ht="15.75" customHeight="1">
      <c r="A20" s="5" t="s">
        <v>7814</v>
      </c>
      <c r="B20" s="60">
        <v>45811.0</v>
      </c>
      <c r="C20" s="5" t="s">
        <v>7791</v>
      </c>
    </row>
    <row r="21" ht="15.75" customHeight="1">
      <c r="A21" s="5" t="s">
        <v>7815</v>
      </c>
      <c r="B21" s="60">
        <v>45813.0</v>
      </c>
      <c r="C21" s="5" t="s">
        <v>7791</v>
      </c>
    </row>
    <row r="22" ht="15.75" customHeight="1">
      <c r="A22" s="5" t="s">
        <v>7816</v>
      </c>
      <c r="B22" s="60">
        <v>45820.0</v>
      </c>
      <c r="C22" s="5" t="s">
        <v>7791</v>
      </c>
    </row>
    <row r="23" ht="15.75" customHeight="1">
      <c r="A23" s="5" t="s">
        <v>7817</v>
      </c>
      <c r="B23" s="60">
        <v>45825.0</v>
      </c>
      <c r="C23" s="5" t="s">
        <v>7789</v>
      </c>
    </row>
    <row r="24" ht="15.75" customHeight="1">
      <c r="A24" s="5" t="s">
        <v>7818</v>
      </c>
      <c r="B24" s="60">
        <v>45826.0</v>
      </c>
      <c r="C24" s="5" t="s">
        <v>7791</v>
      </c>
    </row>
    <row r="25" ht="15.75" customHeight="1">
      <c r="A25" s="5" t="s">
        <v>7819</v>
      </c>
      <c r="B25" s="60">
        <v>45834.0</v>
      </c>
      <c r="C25" s="5" t="s">
        <v>7791</v>
      </c>
    </row>
    <row r="26" ht="15.75" customHeight="1">
      <c r="A26" s="5" t="s">
        <v>7820</v>
      </c>
      <c r="B26" s="60">
        <v>45841.0</v>
      </c>
      <c r="C26" s="5" t="s">
        <v>7791</v>
      </c>
    </row>
    <row r="27" ht="15.75" customHeight="1">
      <c r="A27" s="5" t="s">
        <v>7821</v>
      </c>
      <c r="B27" s="60">
        <v>45848.0</v>
      </c>
      <c r="C27" s="5" t="s">
        <v>7791</v>
      </c>
    </row>
    <row r="28" ht="15.75" customHeight="1">
      <c r="A28" s="5" t="s">
        <v>7822</v>
      </c>
      <c r="B28" s="60">
        <v>45855.0</v>
      </c>
      <c r="C28" s="5" t="s">
        <v>7823</v>
      </c>
    </row>
    <row r="29" ht="15.75" customHeight="1">
      <c r="A29" s="5" t="s">
        <v>7824</v>
      </c>
      <c r="B29" s="60">
        <v>45860.0</v>
      </c>
      <c r="C29" s="5" t="s">
        <v>7825</v>
      </c>
    </row>
    <row r="30" ht="15.75" customHeight="1">
      <c r="A30" s="5" t="s">
        <v>7826</v>
      </c>
      <c r="B30" s="60">
        <v>45868.0</v>
      </c>
      <c r="C30" s="5" t="s">
        <v>7827</v>
      </c>
    </row>
    <row r="31" ht="15.75" customHeight="1">
      <c r="A31" s="5" t="s">
        <v>7828</v>
      </c>
      <c r="B31" s="60">
        <v>45876.0</v>
      </c>
      <c r="C31" s="5" t="s">
        <v>7829</v>
      </c>
    </row>
    <row r="32" ht="15.75" customHeight="1">
      <c r="A32" s="5" t="s">
        <v>7830</v>
      </c>
      <c r="B32" s="60">
        <v>45881.0</v>
      </c>
      <c r="C32" s="5" t="s">
        <v>7831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25"/>
    <col customWidth="1" min="2" max="6" width="12.63"/>
  </cols>
  <sheetData>
    <row r="1" ht="15.75" customHeight="1">
      <c r="A1" s="1" t="s">
        <v>7832</v>
      </c>
      <c r="B1" s="1" t="s">
        <v>7740</v>
      </c>
      <c r="C1" s="1" t="s">
        <v>7833</v>
      </c>
      <c r="D1" s="1" t="s">
        <v>7783</v>
      </c>
      <c r="E1" s="1"/>
    </row>
    <row r="2" ht="15.75" customHeight="1">
      <c r="A2" s="5" t="s">
        <v>7834</v>
      </c>
      <c r="B2" s="60">
        <v>45763.0</v>
      </c>
      <c r="C2" s="5" t="s">
        <v>7835</v>
      </c>
    </row>
    <row r="3" ht="15.75" customHeight="1">
      <c r="A3" s="5" t="s">
        <v>7836</v>
      </c>
      <c r="B3" s="60">
        <v>45764.0</v>
      </c>
      <c r="C3" s="5" t="s">
        <v>7837</v>
      </c>
    </row>
    <row r="4" ht="15.75" customHeight="1">
      <c r="A4" s="5" t="s">
        <v>7838</v>
      </c>
      <c r="B4" s="60">
        <v>45768.0</v>
      </c>
      <c r="C4" s="5" t="s">
        <v>7839</v>
      </c>
      <c r="D4" s="5" t="s">
        <v>7840</v>
      </c>
    </row>
    <row r="5" ht="15.75" customHeight="1">
      <c r="A5" s="5" t="s">
        <v>7841</v>
      </c>
      <c r="B5" s="60">
        <v>45775.0</v>
      </c>
      <c r="C5" s="5" t="s">
        <v>7842</v>
      </c>
    </row>
    <row r="6" ht="15.75" customHeight="1">
      <c r="A6" s="5" t="s">
        <v>7843</v>
      </c>
      <c r="B6" s="60">
        <v>45775.0</v>
      </c>
      <c r="C6" s="5" t="s">
        <v>7844</v>
      </c>
    </row>
    <row r="7" ht="15.75" customHeight="1">
      <c r="A7" s="5" t="s">
        <v>7845</v>
      </c>
      <c r="B7" s="60">
        <v>45777.0</v>
      </c>
      <c r="C7" s="5" t="s">
        <v>7846</v>
      </c>
    </row>
    <row r="8" ht="15.75" customHeight="1">
      <c r="A8" s="5" t="s">
        <v>7847</v>
      </c>
      <c r="B8" s="60">
        <v>45791.0</v>
      </c>
      <c r="C8" s="5" t="s">
        <v>7848</v>
      </c>
    </row>
    <row r="9" ht="15.75" customHeight="1">
      <c r="A9" s="5" t="s">
        <v>7849</v>
      </c>
      <c r="B9" s="60">
        <v>45798.0</v>
      </c>
      <c r="C9" s="5" t="s">
        <v>7850</v>
      </c>
    </row>
    <row r="10" ht="15.75" customHeight="1">
      <c r="A10" s="5" t="s">
        <v>7851</v>
      </c>
      <c r="B10" s="60">
        <v>45820.0</v>
      </c>
      <c r="C10" s="5" t="s">
        <v>7852</v>
      </c>
    </row>
    <row r="11" ht="15.75" customHeight="1">
      <c r="A11" s="5" t="s">
        <v>7853</v>
      </c>
      <c r="B11" s="60">
        <v>45841.0</v>
      </c>
      <c r="C11" s="5" t="s">
        <v>7854</v>
      </c>
    </row>
    <row r="12" ht="15.75" customHeight="1">
      <c r="A12" s="5" t="s">
        <v>7855</v>
      </c>
      <c r="B12" s="60">
        <v>45848.0</v>
      </c>
      <c r="C12" s="5" t="s">
        <v>4671</v>
      </c>
    </row>
    <row r="13" ht="15.75" customHeight="1">
      <c r="A13" s="5" t="s">
        <v>7856</v>
      </c>
      <c r="B13" s="60">
        <v>45848.0</v>
      </c>
      <c r="C13" s="5" t="s">
        <v>7857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17.25"/>
    <col customWidth="1" min="2" max="3" width="17.0"/>
    <col customWidth="1" min="4" max="5" width="12.63"/>
    <col customWidth="1" min="6" max="6" width="11.38"/>
  </cols>
  <sheetData>
    <row r="1" ht="15.75" customHeight="1">
      <c r="A1" s="31" t="s">
        <v>7858</v>
      </c>
      <c r="B1" s="31" t="s">
        <v>7859</v>
      </c>
      <c r="C1" s="31" t="s">
        <v>7860</v>
      </c>
      <c r="D1" s="31" t="s">
        <v>7768</v>
      </c>
      <c r="E1" s="31" t="s">
        <v>7861</v>
      </c>
      <c r="F1" s="31" t="s">
        <v>7765</v>
      </c>
      <c r="G1" s="31" t="s">
        <v>7862</v>
      </c>
      <c r="H1" s="31" t="s">
        <v>7863</v>
      </c>
      <c r="I1" s="31" t="s">
        <v>7864</v>
      </c>
      <c r="J1" s="31" t="s">
        <v>7865</v>
      </c>
      <c r="K1" s="31" t="s">
        <v>7866</v>
      </c>
      <c r="L1" s="31" t="s">
        <v>7867</v>
      </c>
      <c r="M1" s="31" t="s">
        <v>7868</v>
      </c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</row>
    <row r="2" ht="15.75" customHeight="1">
      <c r="A2" s="5" t="s">
        <v>7869</v>
      </c>
      <c r="B2" s="5" t="s">
        <v>7834</v>
      </c>
      <c r="C2" s="5">
        <v>36501.0</v>
      </c>
      <c r="D2" s="5">
        <v>15.0</v>
      </c>
      <c r="E2" s="5" t="s">
        <v>3986</v>
      </c>
      <c r="F2" s="5" t="s">
        <v>3275</v>
      </c>
      <c r="G2" s="5">
        <v>36500.0</v>
      </c>
      <c r="H2" s="5">
        <v>12.7</v>
      </c>
      <c r="I2" s="5">
        <v>0.38</v>
      </c>
      <c r="J2" s="5">
        <v>5.4</v>
      </c>
      <c r="K2" s="5">
        <v>3.77</v>
      </c>
      <c r="L2" s="5">
        <v>14.0</v>
      </c>
      <c r="M2" s="5">
        <v>70.0</v>
      </c>
    </row>
    <row r="3" ht="15.75" customHeight="1">
      <c r="A3" s="5" t="s">
        <v>7870</v>
      </c>
      <c r="B3" s="5" t="s">
        <v>7834</v>
      </c>
      <c r="C3" s="5">
        <v>29001.0</v>
      </c>
      <c r="D3" s="5">
        <v>46.0</v>
      </c>
      <c r="E3" s="5" t="s">
        <v>3690</v>
      </c>
      <c r="F3" s="5" t="s">
        <v>3332</v>
      </c>
      <c r="G3" s="5">
        <v>29000.0</v>
      </c>
      <c r="H3" s="5">
        <v>13.1</v>
      </c>
      <c r="I3" s="5">
        <v>0.38</v>
      </c>
      <c r="J3" s="5">
        <v>6.97</v>
      </c>
      <c r="K3" s="5">
        <v>3.57</v>
      </c>
      <c r="L3" s="5">
        <v>35.0</v>
      </c>
      <c r="M3" s="5">
        <v>101.0</v>
      </c>
    </row>
    <row r="4" ht="15.75" customHeight="1">
      <c r="A4" s="5" t="s">
        <v>7871</v>
      </c>
      <c r="B4" s="5" t="s">
        <v>7834</v>
      </c>
      <c r="C4" s="5">
        <v>25002.0</v>
      </c>
      <c r="D4" s="5">
        <v>121.0</v>
      </c>
      <c r="E4" s="5" t="s">
        <v>3945</v>
      </c>
      <c r="F4" s="5" t="s">
        <v>3745</v>
      </c>
      <c r="G4" s="5">
        <v>85800.0</v>
      </c>
      <c r="H4" s="5">
        <v>13.2</v>
      </c>
      <c r="I4" s="5">
        <v>0.4</v>
      </c>
      <c r="J4" s="5">
        <v>4.72</v>
      </c>
      <c r="K4" s="5">
        <v>3.74</v>
      </c>
      <c r="L4" s="5">
        <v>16.0</v>
      </c>
      <c r="M4" s="5">
        <v>51.0</v>
      </c>
    </row>
    <row r="5" ht="15.75" customHeight="1">
      <c r="A5" s="5" t="s">
        <v>7872</v>
      </c>
      <c r="B5" s="5" t="s">
        <v>7834</v>
      </c>
      <c r="C5" s="5">
        <v>34998.0</v>
      </c>
      <c r="D5" s="5">
        <v>25.0</v>
      </c>
      <c r="E5" s="5" t="s">
        <v>3879</v>
      </c>
      <c r="F5" s="5" t="s">
        <v>3272</v>
      </c>
      <c r="G5" s="5">
        <v>194300.0</v>
      </c>
      <c r="H5" s="5">
        <v>14.0</v>
      </c>
      <c r="I5" s="5">
        <v>0.54</v>
      </c>
      <c r="J5" s="5">
        <v>6.1</v>
      </c>
      <c r="K5" s="5">
        <v>3.75</v>
      </c>
      <c r="L5" s="5">
        <v>33.0</v>
      </c>
      <c r="M5" s="5">
        <v>101.0</v>
      </c>
    </row>
    <row r="6" ht="15.75" customHeight="1">
      <c r="A6" s="5" t="s">
        <v>7873</v>
      </c>
      <c r="B6" s="5" t="s">
        <v>7836</v>
      </c>
      <c r="C6" s="5">
        <v>35801.0</v>
      </c>
      <c r="D6" s="5">
        <v>34.0</v>
      </c>
      <c r="E6" s="5" t="s">
        <v>3988</v>
      </c>
      <c r="F6" s="5" t="s">
        <v>3662</v>
      </c>
      <c r="G6" s="5">
        <v>35800.0</v>
      </c>
      <c r="H6" s="5">
        <v>13.3</v>
      </c>
      <c r="I6" s="5">
        <v>0.51</v>
      </c>
      <c r="J6" s="5">
        <v>6.67</v>
      </c>
      <c r="K6" s="5">
        <v>3.69</v>
      </c>
      <c r="L6" s="5">
        <v>26.0</v>
      </c>
      <c r="M6" s="5">
        <v>96.0</v>
      </c>
    </row>
    <row r="7" ht="15.75" customHeight="1">
      <c r="A7" s="5"/>
      <c r="B7" s="5"/>
      <c r="C7" s="5"/>
      <c r="D7" s="5"/>
      <c r="E7" s="5"/>
      <c r="F7" s="5"/>
      <c r="G7" s="5"/>
      <c r="I7" s="5"/>
      <c r="L7" s="5"/>
      <c r="M7" s="5"/>
    </row>
    <row r="8" ht="15.75" customHeight="1">
      <c r="A8" s="5" t="s">
        <v>7874</v>
      </c>
      <c r="B8" s="5" t="s">
        <v>7836</v>
      </c>
      <c r="C8" s="5">
        <v>30001.0</v>
      </c>
      <c r="D8" s="5">
        <v>127.0</v>
      </c>
      <c r="E8" s="5" t="s">
        <v>3960</v>
      </c>
      <c r="F8" s="5" t="s">
        <v>3908</v>
      </c>
      <c r="G8" s="5">
        <v>30000.0</v>
      </c>
      <c r="H8" s="5">
        <v>14.3</v>
      </c>
      <c r="I8" s="5">
        <v>0.57</v>
      </c>
      <c r="J8" s="5">
        <v>5.55</v>
      </c>
      <c r="K8" s="5">
        <v>3.83</v>
      </c>
      <c r="L8" s="5">
        <v>11.0</v>
      </c>
      <c r="M8" s="5">
        <v>55.0</v>
      </c>
    </row>
    <row r="9" ht="15.75" customHeight="1">
      <c r="A9" s="5" t="s">
        <v>7875</v>
      </c>
      <c r="B9" s="5" t="s">
        <v>7836</v>
      </c>
      <c r="C9" s="5">
        <v>45000.0</v>
      </c>
      <c r="D9" s="5">
        <v>24.0</v>
      </c>
      <c r="E9" s="5" t="s">
        <v>4039</v>
      </c>
      <c r="F9" s="5" t="s">
        <v>3583</v>
      </c>
      <c r="G9" s="5">
        <v>186600.0</v>
      </c>
      <c r="H9" s="5">
        <v>12.8</v>
      </c>
      <c r="I9" s="5">
        <v>0.62</v>
      </c>
      <c r="J9" s="5">
        <v>5.1</v>
      </c>
      <c r="K9" s="5">
        <v>3.89</v>
      </c>
      <c r="L9" s="5">
        <v>30.0</v>
      </c>
      <c r="M9" s="5">
        <v>92.0</v>
      </c>
    </row>
    <row r="10" ht="15.75" customHeight="1">
      <c r="A10" s="5"/>
      <c r="B10" s="5"/>
      <c r="C10" s="5"/>
      <c r="D10" s="5"/>
      <c r="E10" s="5"/>
      <c r="F10" s="5"/>
      <c r="G10" s="5"/>
      <c r="L10" s="5"/>
      <c r="M10" s="5"/>
    </row>
    <row r="11" ht="15.75" customHeight="1">
      <c r="A11" s="5"/>
      <c r="B11" s="5"/>
      <c r="C11" s="5"/>
      <c r="D11" s="5"/>
      <c r="E11" s="5"/>
      <c r="F11" s="5"/>
      <c r="G11" s="5"/>
      <c r="L11" s="5"/>
      <c r="M11" s="5"/>
    </row>
    <row r="12" ht="15.75" customHeight="1">
      <c r="A12" s="5" t="s">
        <v>7876</v>
      </c>
      <c r="B12" s="5" t="s">
        <v>7838</v>
      </c>
      <c r="C12" s="5">
        <v>30000.0</v>
      </c>
      <c r="D12" s="5">
        <v>104.0</v>
      </c>
      <c r="E12" s="5" t="s">
        <v>3975</v>
      </c>
      <c r="F12" s="5" t="s">
        <v>3273</v>
      </c>
      <c r="G12" s="5">
        <v>30000.0</v>
      </c>
      <c r="H12" s="5">
        <v>13.2</v>
      </c>
      <c r="I12" s="5">
        <v>0.42</v>
      </c>
      <c r="J12" s="5">
        <v>5.92</v>
      </c>
      <c r="K12" s="5">
        <v>3.77</v>
      </c>
      <c r="L12" s="5">
        <v>18.0</v>
      </c>
      <c r="M12" s="5">
        <v>77.0</v>
      </c>
    </row>
    <row r="13" ht="15.75" customHeight="1">
      <c r="A13" s="5" t="s">
        <v>7877</v>
      </c>
      <c r="B13" s="5" t="s">
        <v>7838</v>
      </c>
      <c r="C13" s="5">
        <v>30000.0</v>
      </c>
      <c r="D13" s="5">
        <v>24.0</v>
      </c>
      <c r="E13" s="5" t="s">
        <v>4039</v>
      </c>
      <c r="F13" s="5" t="s">
        <v>3583</v>
      </c>
      <c r="G13" s="5">
        <v>186600.0</v>
      </c>
      <c r="H13" s="5">
        <v>12.8</v>
      </c>
      <c r="I13" s="5">
        <v>0.62</v>
      </c>
      <c r="J13" s="5">
        <v>5.1</v>
      </c>
      <c r="K13" s="5">
        <v>3.89</v>
      </c>
      <c r="L13" s="5">
        <v>30.0</v>
      </c>
      <c r="M13" s="5">
        <v>92.0</v>
      </c>
    </row>
    <row r="14" ht="15.75" customHeight="1">
      <c r="A14" s="5" t="s">
        <v>7878</v>
      </c>
      <c r="B14" s="5" t="s">
        <v>7841</v>
      </c>
      <c r="C14" s="5">
        <v>149100.0</v>
      </c>
      <c r="D14" s="5">
        <v>24.0</v>
      </c>
      <c r="E14" s="5" t="s">
        <v>4039</v>
      </c>
      <c r="F14" s="5" t="s">
        <v>3583</v>
      </c>
      <c r="G14" s="5">
        <v>185000.0</v>
      </c>
      <c r="H14" s="5">
        <v>12.8</v>
      </c>
      <c r="I14" s="5">
        <v>0.62</v>
      </c>
      <c r="J14" s="5">
        <v>5.1</v>
      </c>
      <c r="K14" s="5">
        <v>3.89</v>
      </c>
      <c r="L14" s="5">
        <v>30.0</v>
      </c>
      <c r="M14" s="5">
        <v>92.0</v>
      </c>
    </row>
    <row r="15" ht="15.75" customHeight="1">
      <c r="A15" s="5" t="s">
        <v>7879</v>
      </c>
      <c r="B15" s="5" t="s">
        <v>7841</v>
      </c>
      <c r="C15" s="5">
        <v>37280.0</v>
      </c>
      <c r="D15" s="5">
        <v>118.0</v>
      </c>
      <c r="E15" s="5" t="s">
        <v>4130</v>
      </c>
      <c r="F15" s="5" t="s">
        <v>3662</v>
      </c>
      <c r="G15" s="5">
        <v>155000.0</v>
      </c>
      <c r="H15" s="5">
        <v>13.0</v>
      </c>
      <c r="I15" s="5">
        <v>0.31</v>
      </c>
      <c r="J15" s="5">
        <v>6.37</v>
      </c>
      <c r="L15" s="5">
        <v>23.0</v>
      </c>
    </row>
    <row r="16" ht="15.75" customHeight="1">
      <c r="A16" s="5" t="s">
        <v>7880</v>
      </c>
      <c r="B16" s="5" t="s">
        <v>7841</v>
      </c>
      <c r="C16" s="5">
        <v>46600.0</v>
      </c>
      <c r="D16" s="5">
        <v>114.0</v>
      </c>
      <c r="E16" s="5" t="s">
        <v>3734</v>
      </c>
      <c r="F16" s="5" t="s">
        <v>3272</v>
      </c>
      <c r="G16" s="5">
        <v>125300.0</v>
      </c>
      <c r="H16" s="5">
        <v>13.5</v>
      </c>
      <c r="I16" s="5">
        <v>0.48</v>
      </c>
      <c r="J16" s="5">
        <v>6.52</v>
      </c>
      <c r="K16" s="5">
        <v>3.59</v>
      </c>
      <c r="L16" s="5">
        <v>32.0</v>
      </c>
      <c r="M16" s="5">
        <v>96.0</v>
      </c>
    </row>
    <row r="17" ht="15.75" customHeight="1">
      <c r="A17" s="5" t="s">
        <v>7881</v>
      </c>
      <c r="B17" s="5" t="s">
        <v>7843</v>
      </c>
      <c r="C17" s="5">
        <v>86000.0</v>
      </c>
      <c r="D17" s="5">
        <v>114.0</v>
      </c>
      <c r="E17" s="5" t="s">
        <v>3734</v>
      </c>
      <c r="F17" s="5" t="s">
        <v>3272</v>
      </c>
      <c r="G17" s="5">
        <v>125300.0</v>
      </c>
      <c r="H17" s="5">
        <v>13.5</v>
      </c>
      <c r="I17" s="5">
        <v>0.48</v>
      </c>
      <c r="J17" s="5">
        <v>6.52</v>
      </c>
      <c r="K17" s="5">
        <v>3.59</v>
      </c>
      <c r="L17" s="5">
        <v>32.0</v>
      </c>
      <c r="M17" s="5">
        <v>96.0</v>
      </c>
    </row>
    <row r="18" ht="15.75" customHeight="1">
      <c r="A18" s="5" t="s">
        <v>7882</v>
      </c>
      <c r="B18" s="5" t="s">
        <v>7843</v>
      </c>
      <c r="C18" s="5">
        <v>36000.0</v>
      </c>
      <c r="D18" s="5">
        <v>24.0</v>
      </c>
      <c r="E18" s="5" t="s">
        <v>4039</v>
      </c>
      <c r="F18" s="5" t="s">
        <v>3583</v>
      </c>
      <c r="G18" s="5">
        <v>185000.0</v>
      </c>
      <c r="H18" s="5">
        <v>12.8</v>
      </c>
      <c r="I18" s="5">
        <v>0.62</v>
      </c>
      <c r="J18" s="5">
        <v>5.1</v>
      </c>
      <c r="K18" s="5">
        <v>3.89</v>
      </c>
      <c r="L18" s="5">
        <v>30.0</v>
      </c>
      <c r="M18" s="5">
        <v>92.0</v>
      </c>
    </row>
    <row r="19" ht="15.75" customHeight="1">
      <c r="A19" s="5" t="s">
        <v>7883</v>
      </c>
      <c r="B19" s="5" t="s">
        <v>7843</v>
      </c>
      <c r="C19" s="5">
        <v>50000.0</v>
      </c>
      <c r="D19" s="5">
        <v>118.0</v>
      </c>
      <c r="E19" s="5" t="s">
        <v>4130</v>
      </c>
      <c r="F19" s="5" t="s">
        <v>3662</v>
      </c>
      <c r="G19" s="5">
        <v>155000.0</v>
      </c>
      <c r="H19" s="5">
        <v>13.0</v>
      </c>
      <c r="I19" s="5">
        <v>0.31</v>
      </c>
      <c r="J19" s="5">
        <v>6.37</v>
      </c>
      <c r="L19" s="5">
        <v>23.0</v>
      </c>
    </row>
    <row r="20" ht="15.75" customHeight="1">
      <c r="A20" s="5" t="s">
        <v>7884</v>
      </c>
      <c r="B20" s="5" t="s">
        <v>7843</v>
      </c>
      <c r="C20" s="5">
        <v>28000.0</v>
      </c>
      <c r="D20" s="5">
        <v>46.0</v>
      </c>
      <c r="E20" s="5" t="s">
        <v>3690</v>
      </c>
      <c r="F20" s="5" t="s">
        <v>3332</v>
      </c>
      <c r="G20" s="5">
        <v>28500.0</v>
      </c>
      <c r="H20" s="5">
        <v>13.1</v>
      </c>
      <c r="I20" s="5">
        <v>0.38</v>
      </c>
      <c r="J20" s="5">
        <v>6.97</v>
      </c>
      <c r="K20" s="5">
        <v>3.57</v>
      </c>
      <c r="L20" s="5">
        <v>35.0</v>
      </c>
      <c r="M20" s="5">
        <v>101.0</v>
      </c>
    </row>
    <row r="21" ht="15.75" customHeight="1">
      <c r="A21" s="5" t="s">
        <v>7885</v>
      </c>
      <c r="B21" s="5" t="s">
        <v>7845</v>
      </c>
      <c r="C21" s="5">
        <v>19000.0</v>
      </c>
      <c r="D21" s="5">
        <v>66.0</v>
      </c>
      <c r="E21" s="5" t="s">
        <v>4247</v>
      </c>
      <c r="F21" s="5" t="s">
        <v>3275</v>
      </c>
      <c r="G21" s="5">
        <v>19000.0</v>
      </c>
      <c r="H21" s="5">
        <v>13.7</v>
      </c>
      <c r="I21" s="5">
        <v>0.58</v>
      </c>
      <c r="J21" s="5">
        <v>6.12</v>
      </c>
      <c r="K21" s="5">
        <v>3.84</v>
      </c>
      <c r="L21" s="5">
        <v>19.0</v>
      </c>
      <c r="M21" s="5">
        <v>132.0</v>
      </c>
    </row>
    <row r="22" ht="15.75" customHeight="1">
      <c r="A22" s="5" t="s">
        <v>7886</v>
      </c>
      <c r="B22" s="5" t="s">
        <v>7845</v>
      </c>
      <c r="C22" s="5">
        <v>19500.0</v>
      </c>
      <c r="D22" s="5">
        <v>67.0</v>
      </c>
      <c r="E22" s="5" t="s">
        <v>4252</v>
      </c>
      <c r="F22" s="5" t="s">
        <v>3275</v>
      </c>
      <c r="G22" s="5">
        <v>19500.0</v>
      </c>
      <c r="H22" s="5">
        <v>13.9</v>
      </c>
      <c r="I22" s="5">
        <v>0.57</v>
      </c>
      <c r="J22" s="5">
        <v>5.5</v>
      </c>
      <c r="K22" s="5">
        <v>3.9</v>
      </c>
      <c r="L22" s="5">
        <v>13.0</v>
      </c>
      <c r="M22" s="5">
        <v>96.0</v>
      </c>
    </row>
    <row r="23" ht="15.75" customHeight="1">
      <c r="A23" s="5" t="s">
        <v>7887</v>
      </c>
      <c r="B23" s="5" t="s">
        <v>7845</v>
      </c>
      <c r="C23" s="5">
        <v>46000.0</v>
      </c>
      <c r="D23" s="5">
        <v>91.0</v>
      </c>
      <c r="E23" s="5" t="s">
        <v>4244</v>
      </c>
      <c r="F23" s="5" t="s">
        <v>3275</v>
      </c>
      <c r="G23" s="5">
        <v>46000.0</v>
      </c>
      <c r="H23" s="5">
        <v>13.0</v>
      </c>
      <c r="I23" s="5">
        <v>0.55</v>
      </c>
      <c r="J23" s="5">
        <v>5.1</v>
      </c>
      <c r="K23" s="5">
        <v>3.96</v>
      </c>
      <c r="L23" s="5">
        <v>12.0</v>
      </c>
      <c r="M23" s="5">
        <v>77.0</v>
      </c>
    </row>
    <row r="24" ht="15.75" customHeight="1">
      <c r="A24" s="5" t="s">
        <v>7888</v>
      </c>
      <c r="B24" s="5" t="s">
        <v>7845</v>
      </c>
      <c r="C24" s="5">
        <v>23000.0</v>
      </c>
      <c r="D24" s="5">
        <v>81.0</v>
      </c>
      <c r="E24" s="5" t="s">
        <v>4249</v>
      </c>
      <c r="F24" s="5" t="s">
        <v>4017</v>
      </c>
      <c r="G24" s="5">
        <v>23000.0</v>
      </c>
      <c r="H24" s="5">
        <v>15.2</v>
      </c>
      <c r="I24" s="5">
        <v>0.59</v>
      </c>
      <c r="J24" s="5">
        <v>5.0</v>
      </c>
      <c r="K24" s="5">
        <v>3.85</v>
      </c>
      <c r="L24" s="5">
        <v>15.0</v>
      </c>
      <c r="M24" s="5">
        <v>80.0</v>
      </c>
    </row>
    <row r="25" ht="15.75" customHeight="1">
      <c r="A25" s="5" t="s">
        <v>7889</v>
      </c>
      <c r="B25" s="5" t="s">
        <v>7847</v>
      </c>
      <c r="C25" s="5">
        <v>30000.0</v>
      </c>
      <c r="D25" s="5">
        <v>5.0</v>
      </c>
      <c r="E25" s="5" t="s">
        <v>3566</v>
      </c>
      <c r="F25" s="5" t="s">
        <v>3293</v>
      </c>
      <c r="G25" s="5">
        <v>30000.0</v>
      </c>
      <c r="H25" s="5">
        <v>13.1</v>
      </c>
      <c r="I25" s="5">
        <v>0.41</v>
      </c>
      <c r="J25" s="5">
        <v>6.07</v>
      </c>
      <c r="K25" s="5">
        <v>3.21</v>
      </c>
      <c r="L25" s="5">
        <v>25.0</v>
      </c>
      <c r="M25" s="5">
        <v>96.0</v>
      </c>
    </row>
    <row r="26" ht="15.75" customHeight="1">
      <c r="A26" s="5" t="s">
        <v>7890</v>
      </c>
      <c r="B26" s="5" t="s">
        <v>7847</v>
      </c>
      <c r="C26" s="5">
        <v>22000.0</v>
      </c>
      <c r="D26" s="5">
        <v>8.0</v>
      </c>
      <c r="E26" s="5" t="s">
        <v>10</v>
      </c>
      <c r="F26" s="5" t="s">
        <v>3293</v>
      </c>
      <c r="G26" s="5">
        <v>22000.0</v>
      </c>
      <c r="H26" s="5">
        <v>13.2</v>
      </c>
      <c r="I26" s="5">
        <v>0.33</v>
      </c>
      <c r="J26" s="5">
        <v>5.62</v>
      </c>
      <c r="K26" s="5">
        <v>3.44</v>
      </c>
      <c r="L26" s="5">
        <v>47.0</v>
      </c>
      <c r="M26" s="5">
        <v>121.0</v>
      </c>
    </row>
    <row r="27" ht="15.75" customHeight="1">
      <c r="A27" s="5" t="s">
        <v>7891</v>
      </c>
      <c r="B27" s="5" t="s">
        <v>7847</v>
      </c>
      <c r="C27" s="5">
        <v>21000.0</v>
      </c>
      <c r="D27" s="5">
        <v>10.0</v>
      </c>
      <c r="E27" s="5" t="s">
        <v>11</v>
      </c>
      <c r="F27" s="5" t="s">
        <v>3293</v>
      </c>
      <c r="G27" s="5">
        <v>21000.0</v>
      </c>
      <c r="H27" s="5">
        <v>13.1</v>
      </c>
      <c r="I27" s="5">
        <v>0.3</v>
      </c>
      <c r="J27" s="5">
        <v>6.22</v>
      </c>
      <c r="K27" s="5">
        <v>3.31</v>
      </c>
      <c r="L27" s="5">
        <v>38.0</v>
      </c>
      <c r="M27" s="5">
        <v>120.0</v>
      </c>
    </row>
    <row r="28" ht="15.75" customHeight="1">
      <c r="A28" s="5" t="s">
        <v>7892</v>
      </c>
      <c r="B28" s="5" t="s">
        <v>7847</v>
      </c>
      <c r="C28" s="5">
        <v>19500.0</v>
      </c>
      <c r="D28" s="5">
        <v>16.0</v>
      </c>
      <c r="E28" s="5" t="s">
        <v>3578</v>
      </c>
      <c r="F28" s="5" t="s">
        <v>3293</v>
      </c>
      <c r="G28" s="5">
        <v>19500.0</v>
      </c>
      <c r="H28" s="5">
        <v>12.5</v>
      </c>
      <c r="I28" s="5">
        <v>0.25</v>
      </c>
      <c r="J28" s="5">
        <v>6.52</v>
      </c>
      <c r="K28" s="5">
        <v>3.11</v>
      </c>
      <c r="L28" s="5">
        <v>38.0</v>
      </c>
      <c r="M28" s="5">
        <v>122.0</v>
      </c>
    </row>
    <row r="29" ht="15.75" customHeight="1">
      <c r="A29" s="5" t="s">
        <v>7893</v>
      </c>
      <c r="B29" s="5" t="s">
        <v>7847</v>
      </c>
      <c r="C29" s="5">
        <v>25700.0</v>
      </c>
      <c r="D29" s="5">
        <v>31.0</v>
      </c>
      <c r="E29" s="5" t="s">
        <v>3396</v>
      </c>
      <c r="F29" s="5" t="s">
        <v>3293</v>
      </c>
      <c r="G29" s="5">
        <v>25700.0</v>
      </c>
      <c r="H29" s="5">
        <v>11.8</v>
      </c>
      <c r="I29" s="5">
        <v>0.15</v>
      </c>
      <c r="J29" s="5">
        <v>6.52</v>
      </c>
      <c r="K29" s="5">
        <v>3.35</v>
      </c>
      <c r="L29" s="5">
        <v>36.0</v>
      </c>
      <c r="M29" s="5">
        <v>83.0</v>
      </c>
    </row>
    <row r="30" ht="15.75" customHeight="1">
      <c r="A30" s="5"/>
      <c r="B30" s="5"/>
      <c r="C30" s="5"/>
      <c r="D30" s="5"/>
      <c r="E30" s="5"/>
      <c r="F30" s="5"/>
      <c r="G30" s="5"/>
      <c r="J30" s="5"/>
      <c r="K30" s="5"/>
      <c r="L30" s="5"/>
      <c r="M30" s="5"/>
    </row>
    <row r="31" ht="15.75" customHeight="1">
      <c r="A31" s="5" t="s">
        <v>7894</v>
      </c>
      <c r="B31" s="5" t="s">
        <v>7847</v>
      </c>
      <c r="C31" s="5">
        <v>24000.0</v>
      </c>
      <c r="D31" s="5">
        <v>40.0</v>
      </c>
      <c r="E31" s="5" t="s">
        <v>3398</v>
      </c>
      <c r="F31" s="5" t="s">
        <v>3293</v>
      </c>
      <c r="G31" s="5">
        <v>24000.0</v>
      </c>
      <c r="H31" s="5">
        <v>11.6</v>
      </c>
      <c r="I31" s="5">
        <v>0.25</v>
      </c>
      <c r="J31" s="5">
        <v>6.37</v>
      </c>
      <c r="K31" s="5">
        <v>3.19</v>
      </c>
      <c r="L31" s="5">
        <v>32.0</v>
      </c>
      <c r="M31" s="5">
        <v>93.0</v>
      </c>
    </row>
    <row r="32" ht="15.75" customHeight="1">
      <c r="A32" s="5" t="s">
        <v>7895</v>
      </c>
      <c r="B32" s="5" t="s">
        <v>7847</v>
      </c>
      <c r="C32" s="5">
        <v>30000.0</v>
      </c>
      <c r="D32" s="5">
        <v>9.0</v>
      </c>
      <c r="E32" s="5" t="s">
        <v>3577</v>
      </c>
      <c r="F32" s="5" t="s">
        <v>3293</v>
      </c>
      <c r="G32" s="5">
        <v>30000.0</v>
      </c>
      <c r="H32" s="5">
        <v>11.6</v>
      </c>
      <c r="I32" s="5">
        <v>0.36</v>
      </c>
      <c r="J32" s="5">
        <v>6.3</v>
      </c>
      <c r="K32" s="5">
        <v>3.3</v>
      </c>
      <c r="L32" s="5">
        <v>35.0</v>
      </c>
      <c r="M32" s="5">
        <v>129.0</v>
      </c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</row>
    <row r="34" ht="15.75" customHeight="1">
      <c r="A34" s="5" t="s">
        <v>7896</v>
      </c>
      <c r="B34" s="5" t="s">
        <v>7847</v>
      </c>
      <c r="C34" s="5">
        <v>20000.0</v>
      </c>
      <c r="D34" s="5">
        <v>47.0</v>
      </c>
      <c r="E34" s="5" t="s">
        <v>3854</v>
      </c>
      <c r="F34" s="5" t="s">
        <v>3563</v>
      </c>
      <c r="G34" s="5">
        <v>20000.0</v>
      </c>
      <c r="H34" s="5">
        <v>11.3</v>
      </c>
      <c r="I34" s="5">
        <v>0.24</v>
      </c>
      <c r="J34" s="5">
        <v>5.47</v>
      </c>
      <c r="K34" s="5">
        <v>3.24</v>
      </c>
      <c r="L34" s="5">
        <v>35.0</v>
      </c>
      <c r="M34" s="5">
        <v>116.0</v>
      </c>
    </row>
    <row r="35" ht="15.75" customHeight="1">
      <c r="A35" s="5" t="s">
        <v>7897</v>
      </c>
      <c r="B35" s="5" t="s">
        <v>7847</v>
      </c>
      <c r="C35" s="5">
        <v>19700.0</v>
      </c>
      <c r="D35" s="5">
        <v>36.0</v>
      </c>
      <c r="E35" s="5" t="s">
        <v>19</v>
      </c>
      <c r="F35" s="5" t="s">
        <v>3615</v>
      </c>
      <c r="G35" s="5">
        <v>19700.0</v>
      </c>
      <c r="H35" s="5">
        <v>12.5</v>
      </c>
      <c r="I35" s="5">
        <v>0.25</v>
      </c>
      <c r="J35" s="5">
        <v>5.62</v>
      </c>
      <c r="K35" s="5">
        <v>3.35</v>
      </c>
      <c r="L35" s="5">
        <v>38.0</v>
      </c>
      <c r="M35" s="5">
        <v>140.0</v>
      </c>
    </row>
    <row r="36" ht="15.75" customHeight="1">
      <c r="A36" s="5" t="s">
        <v>7898</v>
      </c>
      <c r="B36" s="5" t="s">
        <v>7847</v>
      </c>
      <c r="C36" s="5">
        <v>19100.0</v>
      </c>
      <c r="D36" s="5">
        <v>44.0</v>
      </c>
      <c r="E36" s="5" t="s">
        <v>21</v>
      </c>
      <c r="F36" s="5" t="s">
        <v>3615</v>
      </c>
      <c r="G36" s="5">
        <v>19100.0</v>
      </c>
      <c r="H36" s="5">
        <v>13.0</v>
      </c>
      <c r="I36" s="5">
        <v>0.4</v>
      </c>
      <c r="J36" s="5">
        <v>5.47</v>
      </c>
      <c r="K36" s="5">
        <v>3.36</v>
      </c>
      <c r="L36" s="5">
        <v>34.0</v>
      </c>
      <c r="M36" s="5">
        <v>121.0</v>
      </c>
    </row>
    <row r="37" ht="15.75" customHeight="1">
      <c r="A37" s="5" t="s">
        <v>7899</v>
      </c>
      <c r="B37" s="5" t="s">
        <v>7847</v>
      </c>
      <c r="C37" s="5">
        <v>3000.0</v>
      </c>
      <c r="D37" s="5">
        <v>55.0</v>
      </c>
      <c r="E37" s="5" t="s">
        <v>3857</v>
      </c>
      <c r="F37" s="5" t="s">
        <v>3615</v>
      </c>
      <c r="G37" s="5">
        <v>3000.0</v>
      </c>
      <c r="H37" s="5">
        <v>12.8</v>
      </c>
      <c r="I37" s="5">
        <v>0.26</v>
      </c>
      <c r="J37" s="5">
        <v>5.25</v>
      </c>
      <c r="K37" s="5">
        <v>3.45</v>
      </c>
      <c r="L37" s="5">
        <v>43.0</v>
      </c>
      <c r="M37" s="5">
        <v>142.0</v>
      </c>
    </row>
    <row r="38" ht="15.75" customHeight="1">
      <c r="A38" s="5" t="s">
        <v>7900</v>
      </c>
      <c r="B38" s="5" t="s">
        <v>7847</v>
      </c>
      <c r="C38" s="5">
        <v>26000.0</v>
      </c>
      <c r="D38" s="5">
        <v>48.0</v>
      </c>
      <c r="E38" s="5" t="s">
        <v>23</v>
      </c>
      <c r="F38" s="5" t="s">
        <v>3692</v>
      </c>
      <c r="G38" s="5">
        <v>26000.0</v>
      </c>
      <c r="H38" s="5">
        <v>11.8</v>
      </c>
      <c r="I38" s="5">
        <v>0.24</v>
      </c>
      <c r="J38" s="5">
        <v>5.1</v>
      </c>
      <c r="K38" s="5">
        <v>3.36</v>
      </c>
      <c r="L38" s="5">
        <v>32.0</v>
      </c>
      <c r="M38" s="5">
        <v>108.0</v>
      </c>
    </row>
    <row r="39" ht="15.75" customHeight="1">
      <c r="A39" s="5" t="s">
        <v>7901</v>
      </c>
      <c r="B39" s="5" t="s">
        <v>7847</v>
      </c>
      <c r="C39" s="5">
        <v>36300.0</v>
      </c>
      <c r="D39" s="5">
        <v>32.0</v>
      </c>
      <c r="E39" s="5" t="s">
        <v>3391</v>
      </c>
      <c r="F39" s="5" t="s">
        <v>3392</v>
      </c>
      <c r="G39" s="5">
        <v>36300.0</v>
      </c>
      <c r="H39" s="5">
        <v>11.2</v>
      </c>
      <c r="I39" s="5">
        <v>0.25</v>
      </c>
      <c r="J39" s="5">
        <v>5.77</v>
      </c>
      <c r="K39" s="5">
        <v>3.23</v>
      </c>
      <c r="L39" s="5">
        <v>34.0</v>
      </c>
      <c r="M39" s="5">
        <v>93.0</v>
      </c>
    </row>
    <row r="40" ht="15.75" customHeight="1">
      <c r="A40" s="5" t="s">
        <v>7902</v>
      </c>
      <c r="B40" s="5" t="s">
        <v>7847</v>
      </c>
      <c r="C40" s="5">
        <v>25300.0</v>
      </c>
      <c r="D40" s="5">
        <v>33.0</v>
      </c>
      <c r="E40" s="5" t="s">
        <v>17</v>
      </c>
      <c r="F40" s="5" t="s">
        <v>3293</v>
      </c>
      <c r="G40" s="5">
        <v>25300.0</v>
      </c>
      <c r="H40" s="5">
        <v>11.8</v>
      </c>
      <c r="J40" s="5">
        <v>7.2</v>
      </c>
      <c r="K40" s="5">
        <v>3.17</v>
      </c>
      <c r="L40" s="5">
        <v>29.0</v>
      </c>
      <c r="M40" s="5">
        <v>64.0</v>
      </c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L41" s="5"/>
      <c r="M41" s="5"/>
    </row>
    <row r="42" ht="15.75" customHeight="1">
      <c r="A42" s="5" t="s">
        <v>7903</v>
      </c>
      <c r="B42" s="5" t="s">
        <v>7849</v>
      </c>
      <c r="C42" s="5">
        <v>35500.0</v>
      </c>
      <c r="D42" s="5">
        <v>65.0</v>
      </c>
      <c r="E42" s="5" t="s">
        <v>4348</v>
      </c>
      <c r="F42" s="5" t="s">
        <v>4245</v>
      </c>
      <c r="G42" s="5">
        <v>35500.0</v>
      </c>
      <c r="H42" s="5">
        <v>14.2</v>
      </c>
      <c r="I42" s="5">
        <v>0.61</v>
      </c>
      <c r="J42" s="5">
        <v>6.31</v>
      </c>
      <c r="K42" s="5">
        <v>3.63</v>
      </c>
      <c r="L42" s="5">
        <v>19.0</v>
      </c>
      <c r="M42" s="5">
        <v>134.0</v>
      </c>
    </row>
    <row r="43" ht="15.75" customHeight="1">
      <c r="A43" s="5" t="s">
        <v>7904</v>
      </c>
      <c r="B43" s="5" t="s">
        <v>7849</v>
      </c>
      <c r="C43" s="5">
        <v>84000.0</v>
      </c>
      <c r="D43" s="5">
        <v>85.0</v>
      </c>
      <c r="E43" s="5" t="s">
        <v>4347</v>
      </c>
      <c r="F43" s="5" t="s">
        <v>4245</v>
      </c>
      <c r="G43" s="5">
        <v>84000.0</v>
      </c>
      <c r="H43" s="5">
        <v>14.2</v>
      </c>
      <c r="I43" s="5">
        <v>0.64</v>
      </c>
      <c r="J43" s="5">
        <v>5.77</v>
      </c>
      <c r="K43" s="5">
        <v>3.63</v>
      </c>
      <c r="L43" s="5">
        <v>16.0</v>
      </c>
      <c r="M43" s="5">
        <v>143.0</v>
      </c>
    </row>
    <row r="44" ht="15.75" customHeight="1">
      <c r="A44" s="5" t="s">
        <v>7905</v>
      </c>
      <c r="B44" s="5" t="s">
        <v>7849</v>
      </c>
      <c r="C44" s="5">
        <v>23000.0</v>
      </c>
      <c r="D44" s="5">
        <v>66.0</v>
      </c>
      <c r="E44" s="5" t="s">
        <v>4376</v>
      </c>
      <c r="F44" s="5" t="s">
        <v>4245</v>
      </c>
      <c r="G44" s="5">
        <v>23000.0</v>
      </c>
      <c r="H44" s="5">
        <v>13.9</v>
      </c>
      <c r="I44" s="5">
        <v>0.54</v>
      </c>
      <c r="J44" s="5">
        <v>6.0</v>
      </c>
      <c r="K44" s="5">
        <v>3.66</v>
      </c>
      <c r="L44" s="5">
        <v>19.0</v>
      </c>
      <c r="M44" s="5">
        <v>134.0</v>
      </c>
    </row>
    <row r="45" ht="15.75" customHeight="1">
      <c r="A45" s="5" t="s">
        <v>7906</v>
      </c>
      <c r="B45" s="5" t="s">
        <v>7849</v>
      </c>
      <c r="C45" s="5">
        <v>44100.0</v>
      </c>
      <c r="D45" s="5">
        <v>120.0</v>
      </c>
      <c r="E45" s="5" t="s">
        <v>4420</v>
      </c>
      <c r="F45" s="5" t="s">
        <v>3745</v>
      </c>
      <c r="G45" s="5">
        <v>88800.0</v>
      </c>
      <c r="H45" s="5">
        <v>13.2</v>
      </c>
      <c r="I45" s="5">
        <v>0.52</v>
      </c>
      <c r="J45" s="5">
        <v>4.57</v>
      </c>
      <c r="K45" s="5">
        <v>3.96</v>
      </c>
      <c r="L45" s="5">
        <v>37.0</v>
      </c>
      <c r="M45" s="5">
        <v>83.0</v>
      </c>
    </row>
    <row r="46" ht="15.75" customHeight="1">
      <c r="A46" s="5" t="s">
        <v>7907</v>
      </c>
      <c r="B46" s="5" t="s">
        <v>7851</v>
      </c>
      <c r="C46" s="5">
        <v>26000.0</v>
      </c>
      <c r="D46" s="5">
        <v>48.0</v>
      </c>
      <c r="E46" s="5" t="s">
        <v>23</v>
      </c>
      <c r="F46" s="5" t="s">
        <v>3692</v>
      </c>
      <c r="G46" s="5">
        <v>26000.0</v>
      </c>
      <c r="H46" s="5">
        <v>11.8</v>
      </c>
      <c r="I46" s="5">
        <v>0.24</v>
      </c>
      <c r="J46" s="5">
        <v>5.1</v>
      </c>
      <c r="K46" s="5">
        <v>3.36</v>
      </c>
      <c r="L46" s="5">
        <v>32.0</v>
      </c>
      <c r="M46" s="5">
        <v>108.0</v>
      </c>
    </row>
    <row r="47" ht="15.75" customHeight="1">
      <c r="A47" s="5" t="s">
        <v>7908</v>
      </c>
      <c r="B47" s="5" t="s">
        <v>7851</v>
      </c>
      <c r="C47" s="5">
        <v>19700.0</v>
      </c>
      <c r="D47" s="5">
        <v>36.0</v>
      </c>
      <c r="E47" s="5" t="s">
        <v>19</v>
      </c>
      <c r="F47" s="5" t="s">
        <v>3615</v>
      </c>
      <c r="G47" s="5">
        <v>19700.0</v>
      </c>
      <c r="H47" s="5">
        <v>12.5</v>
      </c>
      <c r="I47" s="5">
        <v>0.25</v>
      </c>
      <c r="J47" s="5">
        <v>5.62</v>
      </c>
      <c r="K47" s="5">
        <v>3.35</v>
      </c>
      <c r="L47" s="5">
        <v>38.0</v>
      </c>
      <c r="M47" s="5">
        <v>140.0</v>
      </c>
    </row>
    <row r="48" ht="15.75" customHeight="1">
      <c r="A48" s="5" t="s">
        <v>7909</v>
      </c>
      <c r="B48" s="5" t="s">
        <v>7851</v>
      </c>
      <c r="C48" s="5">
        <v>19100.0</v>
      </c>
      <c r="D48" s="5">
        <v>44.0</v>
      </c>
      <c r="E48" s="5" t="s">
        <v>21</v>
      </c>
      <c r="F48" s="5" t="s">
        <v>3615</v>
      </c>
      <c r="G48" s="5">
        <v>19100.0</v>
      </c>
      <c r="H48" s="5">
        <v>13.0</v>
      </c>
      <c r="I48" s="5">
        <v>0.4</v>
      </c>
      <c r="J48" s="5">
        <v>5.47</v>
      </c>
      <c r="K48" s="5">
        <v>3.36</v>
      </c>
      <c r="L48" s="5">
        <v>34.0</v>
      </c>
      <c r="M48" s="5">
        <v>121.0</v>
      </c>
    </row>
    <row r="49" ht="15.75" customHeight="1">
      <c r="A49" s="5" t="s">
        <v>7910</v>
      </c>
      <c r="B49" s="5" t="s">
        <v>7853</v>
      </c>
      <c r="C49" s="5">
        <v>186600.0</v>
      </c>
      <c r="D49" s="5">
        <v>24.0</v>
      </c>
      <c r="E49" s="5" t="s">
        <v>14</v>
      </c>
      <c r="F49" s="5" t="s">
        <v>3275</v>
      </c>
      <c r="G49" s="5">
        <v>186600.0</v>
      </c>
      <c r="H49" s="5">
        <v>14.0</v>
      </c>
      <c r="I49" s="5">
        <v>0.51</v>
      </c>
      <c r="J49" s="5">
        <v>6.0</v>
      </c>
      <c r="K49" s="5">
        <v>3.72</v>
      </c>
      <c r="L49" s="5">
        <v>36.0</v>
      </c>
      <c r="M49" s="5">
        <v>172.0</v>
      </c>
    </row>
    <row r="50" ht="15.75" customHeight="1">
      <c r="A50" s="5" t="s">
        <v>7911</v>
      </c>
      <c r="B50" s="5" t="s">
        <v>7853</v>
      </c>
      <c r="C50" s="5">
        <v>39500.0</v>
      </c>
      <c r="D50" s="5">
        <v>34.0</v>
      </c>
      <c r="E50" s="5" t="s">
        <v>18</v>
      </c>
      <c r="F50" s="5" t="s">
        <v>3275</v>
      </c>
      <c r="G50" s="5">
        <v>39500.0</v>
      </c>
      <c r="H50" s="5">
        <v>13.3</v>
      </c>
      <c r="I50" s="5">
        <v>0.59</v>
      </c>
      <c r="J50" s="5">
        <v>5.92</v>
      </c>
      <c r="K50" s="5">
        <v>3.5</v>
      </c>
      <c r="L50" s="5">
        <v>32.0</v>
      </c>
      <c r="M50" s="5">
        <v>156.0</v>
      </c>
    </row>
    <row r="51" ht="15.75" customHeight="1">
      <c r="A51" s="5" t="s">
        <v>7912</v>
      </c>
      <c r="B51" s="5" t="s">
        <v>7853</v>
      </c>
      <c r="C51" s="5">
        <v>81500.0</v>
      </c>
      <c r="D51" s="5">
        <v>83.0</v>
      </c>
      <c r="E51" s="5" t="s">
        <v>4511</v>
      </c>
      <c r="F51" s="5" t="s">
        <v>3275</v>
      </c>
      <c r="G51" s="5">
        <v>81500.0</v>
      </c>
      <c r="H51" s="5">
        <v>13.5</v>
      </c>
      <c r="I51" s="5">
        <v>0.62</v>
      </c>
      <c r="J51" s="5">
        <v>5.7</v>
      </c>
      <c r="K51" s="5">
        <v>3.58</v>
      </c>
      <c r="L51" s="5">
        <v>37.0</v>
      </c>
      <c r="M51" s="5">
        <v>153.0</v>
      </c>
    </row>
    <row r="52" ht="15.75" customHeight="1">
      <c r="A52" s="5" t="s">
        <v>7913</v>
      </c>
      <c r="B52" s="5" t="s">
        <v>7853</v>
      </c>
      <c r="C52" s="5">
        <v>99600.0</v>
      </c>
      <c r="D52" s="5">
        <v>116.0</v>
      </c>
      <c r="E52" s="5" t="s">
        <v>4492</v>
      </c>
      <c r="F52" s="5" t="s">
        <v>3275</v>
      </c>
      <c r="G52" s="5">
        <v>99600.0</v>
      </c>
      <c r="H52" s="5">
        <v>13.2</v>
      </c>
      <c r="I52" s="5">
        <v>0.55</v>
      </c>
      <c r="J52" s="5">
        <v>5.47</v>
      </c>
      <c r="K52" s="5">
        <v>3.63</v>
      </c>
      <c r="L52" s="5">
        <v>40.0</v>
      </c>
      <c r="M52" s="5">
        <v>180.0</v>
      </c>
    </row>
    <row r="53" ht="15.75" customHeight="1">
      <c r="A53" s="5" t="s">
        <v>7914</v>
      </c>
      <c r="B53" s="5" t="s">
        <v>7853</v>
      </c>
      <c r="C53" s="5">
        <v>85800.0</v>
      </c>
      <c r="D53" s="5">
        <v>121.0</v>
      </c>
      <c r="E53" s="5" t="s">
        <v>4493</v>
      </c>
      <c r="F53" s="5" t="s">
        <v>3275</v>
      </c>
      <c r="G53" s="5">
        <v>85800.0</v>
      </c>
      <c r="H53" s="5">
        <v>13.4</v>
      </c>
      <c r="I53" s="5">
        <v>0.52</v>
      </c>
      <c r="J53" s="5">
        <v>5.25</v>
      </c>
      <c r="K53" s="5">
        <v>3.65</v>
      </c>
      <c r="L53" s="5">
        <v>31.0</v>
      </c>
      <c r="M53" s="5">
        <v>166.0</v>
      </c>
    </row>
    <row r="54" ht="15.75" customHeight="1">
      <c r="A54" s="5" t="s">
        <v>7915</v>
      </c>
      <c r="B54" s="5" t="s">
        <v>7855</v>
      </c>
      <c r="C54" s="5">
        <v>13000.0</v>
      </c>
      <c r="D54" s="5">
        <v>72.0</v>
      </c>
      <c r="E54" s="5" t="s">
        <v>4605</v>
      </c>
      <c r="F54" s="5" t="s">
        <v>3380</v>
      </c>
      <c r="G54" s="5">
        <v>13000.0</v>
      </c>
      <c r="H54" s="5">
        <v>14.0</v>
      </c>
      <c r="I54" s="5">
        <v>0.64</v>
      </c>
      <c r="J54" s="5">
        <v>5.4</v>
      </c>
      <c r="K54" s="5">
        <v>3.67</v>
      </c>
      <c r="L54" s="5">
        <v>32.0</v>
      </c>
      <c r="M54" s="5">
        <v>115.0</v>
      </c>
    </row>
    <row r="55" ht="15.75" customHeight="1">
      <c r="A55" s="6" t="s">
        <v>7916</v>
      </c>
      <c r="B55" s="5" t="s">
        <v>7855</v>
      </c>
      <c r="C55" s="5">
        <v>27000.0</v>
      </c>
      <c r="D55" s="5">
        <v>25.0</v>
      </c>
      <c r="E55" s="5" t="s">
        <v>4631</v>
      </c>
      <c r="F55" s="5" t="s">
        <v>3272</v>
      </c>
      <c r="G55" s="5">
        <v>194300.0</v>
      </c>
      <c r="H55" s="5">
        <v>14.0</v>
      </c>
      <c r="I55" s="5">
        <v>0.63</v>
      </c>
      <c r="J55" s="5">
        <v>5.35</v>
      </c>
      <c r="K55" s="5">
        <v>3.61</v>
      </c>
      <c r="L55" s="5">
        <v>40.0</v>
      </c>
      <c r="M55" s="5">
        <v>134.0</v>
      </c>
    </row>
    <row r="56" ht="15.75" customHeight="1">
      <c r="A56" s="5" t="s">
        <v>7917</v>
      </c>
      <c r="B56" s="5" t="s">
        <v>7855</v>
      </c>
      <c r="C56" s="5">
        <v>18000.0</v>
      </c>
      <c r="D56" s="5">
        <v>90.0</v>
      </c>
      <c r="E56" s="5" t="s">
        <v>4561</v>
      </c>
      <c r="F56" s="5" t="s">
        <v>3662</v>
      </c>
      <c r="G56" s="5">
        <v>97500.0</v>
      </c>
      <c r="H56" s="5">
        <v>12.7</v>
      </c>
      <c r="I56" s="5">
        <v>0.53</v>
      </c>
      <c r="J56" s="5">
        <v>6.0</v>
      </c>
      <c r="K56" s="5">
        <v>3.53</v>
      </c>
      <c r="L56" s="5">
        <v>40.0</v>
      </c>
      <c r="M56" s="5">
        <v>140.0</v>
      </c>
    </row>
    <row r="57" ht="15.75" customHeight="1">
      <c r="A57" s="5" t="s">
        <v>7918</v>
      </c>
      <c r="B57" s="5" t="s">
        <v>7855</v>
      </c>
      <c r="C57" s="5">
        <v>7000.0</v>
      </c>
      <c r="D57" s="5">
        <v>41.0</v>
      </c>
      <c r="E57" s="5" t="s">
        <v>4442</v>
      </c>
      <c r="F57" s="5" t="s">
        <v>3386</v>
      </c>
      <c r="G57" s="5">
        <v>35100.0</v>
      </c>
      <c r="H57" s="5">
        <v>13.0</v>
      </c>
      <c r="I57" s="5">
        <v>0.5</v>
      </c>
      <c r="J57" s="5">
        <v>5.85</v>
      </c>
      <c r="K57" s="5">
        <v>3.66</v>
      </c>
      <c r="L57" s="5">
        <v>42.0</v>
      </c>
      <c r="M57" s="5">
        <v>83.0</v>
      </c>
    </row>
    <row r="58" ht="15.75" customHeight="1">
      <c r="A58" s="5" t="s">
        <v>7919</v>
      </c>
      <c r="B58" s="5" t="s">
        <v>7855</v>
      </c>
      <c r="C58" s="5">
        <v>35000.0</v>
      </c>
      <c r="D58" s="5">
        <v>115.0</v>
      </c>
      <c r="E58" s="5" t="s">
        <v>4597</v>
      </c>
      <c r="F58" s="5" t="s">
        <v>3273</v>
      </c>
      <c r="G58" s="5">
        <v>120200.0</v>
      </c>
      <c r="H58" s="5">
        <v>14.1</v>
      </c>
      <c r="I58" s="5">
        <v>0.55</v>
      </c>
      <c r="J58" s="5">
        <v>5.4</v>
      </c>
      <c r="K58" s="5">
        <v>3.77</v>
      </c>
      <c r="L58" s="5">
        <v>31.0</v>
      </c>
      <c r="M58" s="5">
        <v>180.0</v>
      </c>
    </row>
    <row r="59" ht="15.75" customHeight="1">
      <c r="A59" s="5" t="s">
        <v>7920</v>
      </c>
      <c r="B59" s="5" t="s">
        <v>7856</v>
      </c>
      <c r="C59" s="5">
        <v>85000.0</v>
      </c>
      <c r="D59" s="5">
        <v>26.0</v>
      </c>
      <c r="E59" s="5" t="s">
        <v>16</v>
      </c>
      <c r="F59" s="5" t="s">
        <v>3273</v>
      </c>
      <c r="G59" s="5">
        <v>207600.0</v>
      </c>
      <c r="H59" s="5">
        <v>14.0</v>
      </c>
      <c r="I59" s="5">
        <v>0.54</v>
      </c>
      <c r="J59" s="5">
        <v>5.35</v>
      </c>
      <c r="K59" s="5">
        <v>3.76</v>
      </c>
      <c r="L59" s="5">
        <v>25.0</v>
      </c>
      <c r="M59" s="5">
        <v>185.0</v>
      </c>
    </row>
    <row r="60" ht="15.75" customHeight="1">
      <c r="A60" s="5" t="s">
        <v>7921</v>
      </c>
      <c r="B60" s="5" t="s">
        <v>7856</v>
      </c>
      <c r="C60" s="5">
        <v>15000.0</v>
      </c>
      <c r="D60" s="5">
        <v>30.0</v>
      </c>
      <c r="E60" s="5" t="s">
        <v>3340</v>
      </c>
      <c r="F60" s="5" t="s">
        <v>3341</v>
      </c>
      <c r="G60" s="5">
        <v>38800.0</v>
      </c>
      <c r="H60" s="5">
        <v>11.8</v>
      </c>
      <c r="I60" s="5">
        <v>0.35</v>
      </c>
      <c r="J60" s="5">
        <v>5.7</v>
      </c>
      <c r="K60" s="5">
        <v>3.43</v>
      </c>
      <c r="L60" s="5">
        <v>38.0</v>
      </c>
      <c r="M60" s="5">
        <v>102.0</v>
      </c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2.63"/>
    <col customWidth="1" min="23" max="23" width="18.75"/>
  </cols>
  <sheetData>
    <row r="1" ht="15.75" customHeight="1">
      <c r="A1" s="48" t="s">
        <v>7922</v>
      </c>
      <c r="B1" s="48" t="s">
        <v>7923</v>
      </c>
      <c r="C1" s="48" t="s">
        <v>7740</v>
      </c>
      <c r="D1" s="48" t="s">
        <v>7924</v>
      </c>
      <c r="E1" s="49" t="s">
        <v>7925</v>
      </c>
      <c r="F1" s="48" t="s">
        <v>7926</v>
      </c>
      <c r="G1" s="50" t="s">
        <v>3264</v>
      </c>
      <c r="H1" s="48" t="s">
        <v>7927</v>
      </c>
      <c r="I1" s="48" t="s">
        <v>7928</v>
      </c>
      <c r="J1" s="51" t="s">
        <v>7929</v>
      </c>
      <c r="K1" s="52" t="s">
        <v>7783</v>
      </c>
      <c r="L1" s="48" t="s">
        <v>7930</v>
      </c>
      <c r="M1" s="48" t="s">
        <v>7931</v>
      </c>
      <c r="N1" s="48" t="s">
        <v>7932</v>
      </c>
      <c r="O1" s="48" t="s">
        <v>7933</v>
      </c>
      <c r="P1" s="48" t="s">
        <v>7934</v>
      </c>
      <c r="Q1" s="48" t="s">
        <v>7935</v>
      </c>
      <c r="R1" s="48" t="s">
        <v>5</v>
      </c>
      <c r="S1" s="48" t="s">
        <v>7936</v>
      </c>
      <c r="T1" s="48" t="s">
        <v>7937</v>
      </c>
      <c r="U1" s="48" t="s">
        <v>7938</v>
      </c>
      <c r="V1" s="48" t="s">
        <v>7939</v>
      </c>
      <c r="W1" s="48" t="s">
        <v>7940</v>
      </c>
      <c r="X1" s="48" t="s">
        <v>7941</v>
      </c>
    </row>
    <row r="2" ht="15.75" customHeight="1">
      <c r="A2" s="5" t="str">
        <f>IFERROR(__xludf.DUMMYFUNCTION("IMPORTRANGE(""https://docs.google.com/spreadsheets/d/15VT85t6bhNSCNmDdjRygljYmDaIXLWZpvJnrc6PO4vQ/edit?gid=1586236347#gid=1586236347"",""ORDENES_TRABAJO_EXPO!A2:R"")"),"#REF!")</f>
        <v>#REF!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>
      <c r="S117" s="5" t="b">
        <v>1</v>
      </c>
    </row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>
      <c r="S144" s="5" t="b">
        <v>1</v>
      </c>
    </row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>
      <c r="S160" s="5" t="b">
        <v>1</v>
      </c>
    </row>
    <row r="161" ht="15.75" customHeight="1">
      <c r="S161" s="5" t="b">
        <v>1</v>
      </c>
    </row>
    <row r="162" ht="15.75" customHeight="1">
      <c r="S162" s="5" t="b">
        <v>1</v>
      </c>
    </row>
    <row r="163" ht="15.75" customHeight="1">
      <c r="S163" s="5" t="b">
        <v>1</v>
      </c>
    </row>
    <row r="164" ht="15.75" customHeight="1">
      <c r="S164" s="5" t="b">
        <v>1</v>
      </c>
    </row>
    <row r="165" ht="15.75" customHeight="1">
      <c r="S165" s="5" t="b">
        <v>1</v>
      </c>
    </row>
    <row r="166" ht="15.75" customHeight="1">
      <c r="S166" s="5" t="b">
        <v>1</v>
      </c>
    </row>
    <row r="167" ht="15.75" customHeight="1">
      <c r="S167" s="5" t="b">
        <v>1</v>
      </c>
    </row>
    <row r="168" ht="15.75" customHeight="1">
      <c r="S168" s="5" t="b">
        <v>1</v>
      </c>
    </row>
    <row r="169" ht="15.75" customHeight="1">
      <c r="S169" s="5" t="b">
        <v>1</v>
      </c>
    </row>
    <row r="170" ht="15.75" customHeight="1">
      <c r="S170" s="5" t="b">
        <v>1</v>
      </c>
    </row>
    <row r="171" ht="15.75" customHeight="1">
      <c r="S171" s="5" t="b">
        <v>1</v>
      </c>
    </row>
    <row r="172" ht="15.75" customHeight="1">
      <c r="S172" s="5" t="b">
        <v>1</v>
      </c>
    </row>
    <row r="173" ht="15.75" customHeight="1">
      <c r="S173" s="5" t="b">
        <v>1</v>
      </c>
    </row>
    <row r="174" ht="15.75" customHeight="1">
      <c r="S174" s="5" t="b">
        <v>1</v>
      </c>
    </row>
    <row r="175" ht="15.75" customHeight="1">
      <c r="S175" s="5" t="b">
        <v>1</v>
      </c>
    </row>
    <row r="176" ht="15.75" customHeight="1"/>
    <row r="177" ht="15.75" customHeight="1"/>
    <row r="178" ht="15.75" customHeight="1"/>
    <row r="179" ht="15.75" customHeight="1">
      <c r="S179" s="5" t="b">
        <v>1</v>
      </c>
    </row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>
      <c r="S187" s="5" t="b">
        <v>1</v>
      </c>
    </row>
    <row r="188" ht="15.75" customHeight="1"/>
    <row r="189" ht="15.75" customHeight="1">
      <c r="S189" s="5" t="b">
        <v>1</v>
      </c>
    </row>
    <row r="190" ht="15.75" customHeight="1"/>
    <row r="191" ht="15.75" customHeight="1">
      <c r="S191" s="5" t="b">
        <v>1</v>
      </c>
    </row>
    <row r="192" ht="15.75" customHeight="1"/>
    <row r="193" ht="15.75" customHeight="1"/>
    <row r="194" ht="15.75" customHeight="1">
      <c r="S194" s="5" t="b">
        <v>1</v>
      </c>
    </row>
    <row r="195" ht="15.75" customHeight="1">
      <c r="S195" s="5" t="b">
        <v>1</v>
      </c>
    </row>
    <row r="196" ht="15.75" customHeight="1">
      <c r="S196" s="5" t="b">
        <v>1</v>
      </c>
    </row>
    <row r="197" ht="15.75" customHeight="1">
      <c r="S197" s="5" t="b">
        <v>1</v>
      </c>
    </row>
    <row r="198" ht="15.75" customHeight="1">
      <c r="S198" s="5" t="b">
        <v>1</v>
      </c>
    </row>
    <row r="199" ht="15.75" customHeight="1">
      <c r="S199" s="5" t="b">
        <v>1</v>
      </c>
    </row>
    <row r="200" ht="15.75" customHeight="1">
      <c r="S200" s="5" t="b">
        <v>1</v>
      </c>
    </row>
    <row r="201" ht="15.75" customHeight="1">
      <c r="S201" s="5" t="b">
        <v>1</v>
      </c>
    </row>
    <row r="202" ht="15.75" customHeight="1">
      <c r="S202" s="5" t="b">
        <v>1</v>
      </c>
    </row>
    <row r="203" ht="15.75" customHeight="1">
      <c r="S203" s="5" t="b">
        <v>1</v>
      </c>
    </row>
    <row r="204" ht="15.75" customHeight="1">
      <c r="S204" s="5" t="b">
        <v>1</v>
      </c>
    </row>
    <row r="205" ht="15.75" customHeight="1">
      <c r="S205" s="5" t="b">
        <v>1</v>
      </c>
    </row>
    <row r="206" ht="15.75" customHeight="1"/>
    <row r="207" ht="15.75" customHeight="1"/>
    <row r="208" ht="15.75" customHeight="1">
      <c r="S208" s="5" t="b">
        <v>1</v>
      </c>
    </row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>
      <c r="S222" s="5" t="b">
        <v>1</v>
      </c>
    </row>
    <row r="223" ht="15.75" customHeight="1"/>
    <row r="224" ht="15.75" customHeight="1">
      <c r="S224" s="5" t="b">
        <v>1</v>
      </c>
    </row>
    <row r="225" ht="15.75" customHeight="1"/>
    <row r="226" ht="15.75" customHeight="1"/>
    <row r="227" ht="15.75" customHeight="1">
      <c r="S227" s="5" t="b">
        <v>1</v>
      </c>
    </row>
    <row r="228" ht="15.75" customHeight="1">
      <c r="S228" s="5" t="b">
        <v>1</v>
      </c>
    </row>
    <row r="229" ht="15.75" customHeight="1">
      <c r="S229" s="5" t="b">
        <v>1</v>
      </c>
    </row>
    <row r="230" ht="15.75" customHeight="1"/>
    <row r="231" ht="15.75" customHeight="1"/>
    <row r="232" ht="15.75" customHeight="1"/>
    <row r="233" ht="15.75" customHeight="1"/>
    <row r="234" ht="15.75" customHeight="1">
      <c r="S234" s="5" t="b">
        <v>1</v>
      </c>
    </row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>
      <c r="S264" s="5" t="b">
        <v>1</v>
      </c>
    </row>
    <row r="265" ht="15.75" customHeight="1">
      <c r="S265" s="5" t="b">
        <v>1</v>
      </c>
    </row>
    <row r="266" ht="15.75" customHeight="1">
      <c r="S266" s="5" t="b">
        <v>1</v>
      </c>
    </row>
    <row r="267" ht="15.75" customHeight="1">
      <c r="S267" s="5" t="b">
        <v>1</v>
      </c>
    </row>
    <row r="268" ht="15.75" customHeight="1"/>
    <row r="269" ht="15.75" customHeight="1"/>
    <row r="270" ht="15.75" customHeight="1">
      <c r="S270" s="5" t="b">
        <v>1</v>
      </c>
    </row>
    <row r="271" ht="15.75" customHeight="1">
      <c r="S271" s="5" t="b">
        <v>1</v>
      </c>
    </row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>
      <c r="S285" s="5" t="b">
        <v>1</v>
      </c>
    </row>
    <row r="286" ht="15.75" customHeight="1"/>
    <row r="287" ht="15.75" customHeight="1"/>
    <row r="288" ht="15.75" customHeight="1"/>
    <row r="289" ht="15.75" customHeight="1"/>
    <row r="290" ht="15.75" customHeight="1">
      <c r="S290" s="5" t="b">
        <v>1</v>
      </c>
    </row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>
      <c r="S297" s="5" t="b">
        <v>1</v>
      </c>
    </row>
    <row r="298" ht="15.75" customHeight="1"/>
    <row r="299" ht="15.75" customHeight="1">
      <c r="S299" s="5" t="b">
        <v>1</v>
      </c>
    </row>
    <row r="300" ht="15.75" customHeight="1"/>
    <row r="301" ht="15.75" customHeight="1">
      <c r="S301" s="5" t="b">
        <v>1</v>
      </c>
    </row>
    <row r="302" ht="15.75" customHeight="1">
      <c r="S302" s="5" t="b">
        <v>1</v>
      </c>
    </row>
    <row r="303" ht="15.75" customHeight="1">
      <c r="S303" s="5" t="b">
        <v>1</v>
      </c>
    </row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>
      <c r="S310" s="5" t="b">
        <v>1</v>
      </c>
      <c r="W310" s="5" t="s">
        <v>7942</v>
      </c>
    </row>
    <row r="311" ht="15.75" customHeight="1"/>
    <row r="312" ht="15.75" customHeight="1">
      <c r="S312" s="5" t="b">
        <v>1</v>
      </c>
      <c r="W312" s="5" t="s">
        <v>7943</v>
      </c>
    </row>
    <row r="313" ht="15.75" customHeight="1"/>
    <row r="314" ht="15.75" customHeight="1">
      <c r="S314" s="5" t="b">
        <v>1</v>
      </c>
      <c r="W314" s="5" t="s">
        <v>7944</v>
      </c>
    </row>
    <row r="315" ht="15.75" customHeight="1"/>
    <row r="316" ht="15.75" customHeight="1"/>
    <row r="317" ht="15.75" customHeight="1">
      <c r="S317" s="5" t="b">
        <v>1</v>
      </c>
    </row>
    <row r="318" ht="15.75" customHeight="1">
      <c r="T318" s="5" t="s">
        <v>7945</v>
      </c>
      <c r="U318" s="5" t="b">
        <v>1</v>
      </c>
    </row>
    <row r="319" ht="15.75" customHeight="1">
      <c r="S319" s="5" t="b">
        <v>1</v>
      </c>
      <c r="T319" s="5" t="s">
        <v>7945</v>
      </c>
      <c r="U319" s="5" t="b">
        <v>1</v>
      </c>
    </row>
    <row r="320" ht="15.75" customHeight="1"/>
    <row r="321" ht="15.75" customHeight="1"/>
    <row r="322" ht="15.75" customHeight="1">
      <c r="S322" s="5" t="b">
        <v>1</v>
      </c>
      <c r="T322" s="5" t="s">
        <v>7946</v>
      </c>
      <c r="U322" s="5" t="b">
        <v>1</v>
      </c>
    </row>
    <row r="323" ht="15.75" customHeight="1">
      <c r="S323" s="5" t="b">
        <v>1</v>
      </c>
      <c r="T323" s="5" t="s">
        <v>7946</v>
      </c>
      <c r="U323" s="5" t="b">
        <v>1</v>
      </c>
    </row>
    <row r="324" ht="15.75" customHeight="1">
      <c r="T324" s="5" t="s">
        <v>7946</v>
      </c>
      <c r="U324" s="5" t="b">
        <v>1</v>
      </c>
    </row>
    <row r="325" ht="15.75" customHeight="1"/>
    <row r="326" ht="15.75" customHeight="1">
      <c r="T326" s="5" t="s">
        <v>7947</v>
      </c>
      <c r="U326" s="5" t="b">
        <v>1</v>
      </c>
    </row>
    <row r="327" ht="15.75" customHeight="1">
      <c r="T327" s="5" t="s">
        <v>7947</v>
      </c>
      <c r="U327" s="5" t="b">
        <v>1</v>
      </c>
    </row>
    <row r="328" ht="15.75" customHeight="1">
      <c r="S328" s="5" t="b">
        <v>1</v>
      </c>
      <c r="T328" s="5" t="s">
        <v>7948</v>
      </c>
      <c r="U328" s="5" t="b">
        <v>1</v>
      </c>
    </row>
    <row r="329" ht="15.75" customHeight="1">
      <c r="T329" s="5" t="s">
        <v>7947</v>
      </c>
      <c r="U329" s="5" t="b">
        <v>1</v>
      </c>
    </row>
    <row r="330" ht="15.75" customHeight="1">
      <c r="S330" s="5" t="b">
        <v>1</v>
      </c>
      <c r="T330" s="5" t="s">
        <v>7948</v>
      </c>
    </row>
    <row r="331" ht="15.75" customHeight="1">
      <c r="T331" s="5" t="s">
        <v>7947</v>
      </c>
      <c r="U331" s="5" t="b">
        <v>1</v>
      </c>
    </row>
    <row r="332" ht="15.75" customHeight="1">
      <c r="S332" s="5" t="b">
        <v>1</v>
      </c>
      <c r="T332" s="5" t="s">
        <v>7948</v>
      </c>
      <c r="U332" s="5" t="b">
        <v>1</v>
      </c>
    </row>
    <row r="333" ht="15.75" customHeight="1">
      <c r="T333" s="5" t="s">
        <v>7947</v>
      </c>
      <c r="U333" s="5" t="b">
        <v>1</v>
      </c>
    </row>
    <row r="334" ht="15.75" customHeight="1">
      <c r="T334" s="5" t="s">
        <v>7947</v>
      </c>
    </row>
    <row r="335" ht="15.75" customHeight="1">
      <c r="S335" s="5" t="b">
        <v>1</v>
      </c>
      <c r="T335" s="5" t="s">
        <v>7948</v>
      </c>
    </row>
    <row r="336" ht="15.75" customHeight="1"/>
    <row r="337" ht="15.75" customHeight="1">
      <c r="T337" s="5" t="s">
        <v>7946</v>
      </c>
    </row>
    <row r="338" ht="15.75" customHeight="1">
      <c r="T338" s="5" t="s">
        <v>7949</v>
      </c>
      <c r="U338" s="5" t="b">
        <v>1</v>
      </c>
    </row>
    <row r="339" ht="15.75" customHeight="1">
      <c r="T339" s="5" t="s">
        <v>7948</v>
      </c>
    </row>
    <row r="340" ht="15.75" customHeight="1">
      <c r="S340" s="5" t="b">
        <v>1</v>
      </c>
      <c r="T340" s="5" t="s">
        <v>7946</v>
      </c>
    </row>
    <row r="341" ht="15.75" customHeight="1">
      <c r="T341" s="5" t="s">
        <v>7948</v>
      </c>
    </row>
    <row r="342" ht="15.75" customHeight="1">
      <c r="T342" s="5" t="s">
        <v>7948</v>
      </c>
    </row>
    <row r="343" ht="15.75" customHeight="1">
      <c r="T343" s="5" t="s">
        <v>7946</v>
      </c>
    </row>
    <row r="344" ht="15.75" customHeight="1">
      <c r="S344" s="5" t="b">
        <v>1</v>
      </c>
      <c r="T344" s="5" t="s">
        <v>7946</v>
      </c>
      <c r="U344" s="5" t="b">
        <v>1</v>
      </c>
      <c r="W344" s="5" t="s">
        <v>7950</v>
      </c>
    </row>
    <row r="345" ht="15.75" customHeight="1">
      <c r="T345" s="5" t="s">
        <v>7946</v>
      </c>
    </row>
    <row r="346" ht="15.75" customHeight="1">
      <c r="T346" s="5" t="s">
        <v>7946</v>
      </c>
    </row>
    <row r="347" ht="15.75" customHeight="1">
      <c r="T347" s="5" t="s">
        <v>7946</v>
      </c>
    </row>
    <row r="348" ht="15.75" customHeight="1">
      <c r="S348" s="5" t="b">
        <v>1</v>
      </c>
      <c r="T348" s="5" t="s">
        <v>7948</v>
      </c>
      <c r="W348" s="5" t="s">
        <v>7951</v>
      </c>
    </row>
    <row r="349" ht="15.75" customHeight="1">
      <c r="S349" s="5" t="b">
        <v>1</v>
      </c>
      <c r="T349" s="5" t="s">
        <v>7946</v>
      </c>
    </row>
    <row r="350" ht="15.75" customHeight="1">
      <c r="S350" s="5" t="b">
        <v>1</v>
      </c>
      <c r="T350" s="5" t="s">
        <v>7948</v>
      </c>
      <c r="U350" s="5" t="b">
        <v>1</v>
      </c>
      <c r="W350" s="5" t="s">
        <v>7952</v>
      </c>
    </row>
    <row r="351" ht="15.75" customHeight="1">
      <c r="T351" s="5" t="s">
        <v>7946</v>
      </c>
    </row>
    <row r="352" ht="15.75" customHeight="1">
      <c r="T352" s="5" t="s">
        <v>7946</v>
      </c>
    </row>
    <row r="353" ht="15.75" customHeight="1">
      <c r="T353" s="5" t="s">
        <v>7946</v>
      </c>
    </row>
    <row r="354" ht="15.75" customHeight="1">
      <c r="T354" s="5" t="s">
        <v>7946</v>
      </c>
    </row>
    <row r="355" ht="15.75" customHeight="1">
      <c r="S355" s="5" t="b">
        <v>1</v>
      </c>
      <c r="T355" s="5" t="s">
        <v>7946</v>
      </c>
      <c r="U355" s="5" t="b">
        <v>1</v>
      </c>
    </row>
    <row r="356" ht="15.75" customHeight="1">
      <c r="T356" s="5" t="s">
        <v>7946</v>
      </c>
    </row>
    <row r="357" ht="15.75" customHeight="1">
      <c r="T357" s="5" t="s">
        <v>7946</v>
      </c>
    </row>
    <row r="358" ht="15.75" customHeight="1">
      <c r="S358" s="5" t="b">
        <v>1</v>
      </c>
      <c r="T358" s="5" t="s">
        <v>7953</v>
      </c>
      <c r="U358" s="5" t="b">
        <v>1</v>
      </c>
      <c r="W358" s="5" t="s">
        <v>7954</v>
      </c>
    </row>
    <row r="359" ht="15.75" customHeight="1">
      <c r="S359" s="5" t="b">
        <v>1</v>
      </c>
      <c r="T359" s="5" t="s">
        <v>7947</v>
      </c>
    </row>
    <row r="360" ht="15.75" customHeight="1">
      <c r="T360" s="5" t="s">
        <v>7946</v>
      </c>
      <c r="U360" s="5" t="b">
        <v>1</v>
      </c>
    </row>
    <row r="361" ht="15.75" customHeight="1">
      <c r="T361" s="5" t="s">
        <v>7955</v>
      </c>
      <c r="U361" s="5" t="b">
        <v>1</v>
      </c>
    </row>
    <row r="362" ht="15.75" customHeight="1">
      <c r="S362" s="5" t="b">
        <v>1</v>
      </c>
      <c r="T362" s="5" t="s">
        <v>7953</v>
      </c>
      <c r="U362" s="5" t="b">
        <v>1</v>
      </c>
      <c r="W362" s="5" t="s">
        <v>7956</v>
      </c>
    </row>
    <row r="363" ht="15.75" customHeight="1">
      <c r="T363" s="5" t="s">
        <v>7946</v>
      </c>
      <c r="U363" s="5" t="b">
        <v>1</v>
      </c>
    </row>
    <row r="364" ht="15.75" customHeight="1">
      <c r="T364" s="5" t="s">
        <v>7946</v>
      </c>
      <c r="U364" s="5" t="b">
        <v>1</v>
      </c>
    </row>
    <row r="365" ht="15.75" customHeight="1">
      <c r="T365" s="5" t="s">
        <v>7946</v>
      </c>
      <c r="U365" s="5" t="b">
        <v>1</v>
      </c>
    </row>
    <row r="366" ht="15.75" customHeight="1">
      <c r="T366" s="5" t="s">
        <v>7946</v>
      </c>
      <c r="U366" s="5" t="b">
        <v>1</v>
      </c>
    </row>
    <row r="367" ht="15.75" customHeight="1">
      <c r="T367" s="5" t="s">
        <v>7946</v>
      </c>
    </row>
    <row r="368" ht="15.75" customHeight="1">
      <c r="S368" s="5" t="b">
        <v>1</v>
      </c>
    </row>
    <row r="369" ht="15.75" customHeight="1">
      <c r="T369" s="5" t="s">
        <v>7946</v>
      </c>
      <c r="U369" s="5" t="b">
        <v>1</v>
      </c>
    </row>
    <row r="370" ht="15.75" customHeight="1">
      <c r="T370" s="5" t="s">
        <v>7946</v>
      </c>
    </row>
    <row r="371" ht="15.75" customHeight="1">
      <c r="T371" s="5" t="s">
        <v>7946</v>
      </c>
    </row>
    <row r="372" ht="15.75" customHeight="1">
      <c r="T372" s="5" t="s">
        <v>7946</v>
      </c>
      <c r="U372" s="5" t="b">
        <v>1</v>
      </c>
    </row>
    <row r="373" ht="15.75" customHeight="1">
      <c r="T373" s="5" t="s">
        <v>7948</v>
      </c>
      <c r="U373" s="5" t="b">
        <v>1</v>
      </c>
    </row>
    <row r="374" ht="15.75" customHeight="1">
      <c r="T374" s="5" t="s">
        <v>7946</v>
      </c>
    </row>
    <row r="375" ht="15.75" customHeight="1">
      <c r="S375" s="5" t="b">
        <v>1</v>
      </c>
      <c r="T375" s="5" t="s">
        <v>7946</v>
      </c>
      <c r="U375" s="5" t="b">
        <v>1</v>
      </c>
      <c r="W375" s="5" t="s">
        <v>7957</v>
      </c>
    </row>
    <row r="376" ht="15.75" customHeight="1">
      <c r="T376" s="5" t="s">
        <v>7955</v>
      </c>
      <c r="U376" s="5" t="b">
        <v>1</v>
      </c>
    </row>
    <row r="377" ht="15.75" customHeight="1">
      <c r="T377" s="5" t="s">
        <v>7955</v>
      </c>
      <c r="U377" s="5" t="b">
        <v>1</v>
      </c>
    </row>
    <row r="378" ht="15.75" customHeight="1">
      <c r="T378" s="5" t="s">
        <v>7945</v>
      </c>
      <c r="U378" s="5" t="b">
        <v>1</v>
      </c>
    </row>
    <row r="379" ht="15.75" customHeight="1">
      <c r="T379" s="5" t="s">
        <v>7945</v>
      </c>
      <c r="U379" s="5" t="b">
        <v>1</v>
      </c>
    </row>
    <row r="380" ht="15.75" customHeight="1">
      <c r="T380" s="5" t="s">
        <v>7945</v>
      </c>
    </row>
    <row r="381" ht="15.75" customHeight="1">
      <c r="T381" s="5" t="s">
        <v>7945</v>
      </c>
      <c r="U381" s="5" t="b">
        <v>1</v>
      </c>
    </row>
    <row r="382" ht="15.75" customHeight="1">
      <c r="T382" s="5" t="s">
        <v>7946</v>
      </c>
      <c r="U382" s="5" t="b">
        <v>1</v>
      </c>
    </row>
    <row r="383" ht="15.75" customHeight="1">
      <c r="T383" s="5" t="s">
        <v>7946</v>
      </c>
      <c r="U383" s="5" t="b">
        <v>1</v>
      </c>
    </row>
    <row r="384" ht="15.75" customHeight="1">
      <c r="T384" s="5" t="s">
        <v>7946</v>
      </c>
      <c r="U384" s="5" t="b">
        <v>1</v>
      </c>
    </row>
    <row r="385" ht="15.75" customHeight="1">
      <c r="T385" s="5" t="s">
        <v>7946</v>
      </c>
      <c r="U385" s="5" t="b">
        <v>1</v>
      </c>
    </row>
    <row r="386" ht="15.75" customHeight="1">
      <c r="S386" s="5"/>
      <c r="T386" s="5" t="s">
        <v>7948</v>
      </c>
      <c r="U386" s="5" t="b">
        <v>1</v>
      </c>
    </row>
    <row r="387" ht="15.75" customHeight="1">
      <c r="S387" s="5"/>
      <c r="T387" s="5" t="s">
        <v>7948</v>
      </c>
      <c r="U387" s="5" t="b">
        <v>1</v>
      </c>
    </row>
    <row r="388" ht="15.75" customHeight="1">
      <c r="T388" s="5" t="s">
        <v>7946</v>
      </c>
    </row>
    <row r="389" ht="15.75" customHeight="1">
      <c r="S389" s="5"/>
      <c r="T389" s="5" t="s">
        <v>7948</v>
      </c>
      <c r="U389" s="5" t="b">
        <v>1</v>
      </c>
    </row>
    <row r="390" ht="15.75" customHeight="1">
      <c r="S390" s="5"/>
      <c r="T390" s="5" t="s">
        <v>7948</v>
      </c>
      <c r="U390" s="5" t="b">
        <v>1</v>
      </c>
    </row>
    <row r="391" ht="15.75" customHeight="1">
      <c r="S391" s="5"/>
      <c r="T391" s="5" t="s">
        <v>7946</v>
      </c>
      <c r="U391" s="5" t="b">
        <v>1</v>
      </c>
    </row>
    <row r="392" ht="15.75" customHeight="1">
      <c r="S392" s="5"/>
      <c r="T392" s="5" t="s">
        <v>7946</v>
      </c>
      <c r="U392" s="5" t="b">
        <v>1</v>
      </c>
    </row>
    <row r="393" ht="15.75" customHeight="1">
      <c r="S393" s="5"/>
      <c r="T393" s="5" t="s">
        <v>7946</v>
      </c>
    </row>
    <row r="394" ht="15.75" customHeight="1">
      <c r="T394" s="5" t="s">
        <v>7948</v>
      </c>
      <c r="U394" s="5" t="b">
        <v>1</v>
      </c>
    </row>
    <row r="395" ht="15.75" customHeight="1">
      <c r="T395" s="5" t="s">
        <v>7955</v>
      </c>
      <c r="U395" s="5" t="b">
        <v>1</v>
      </c>
    </row>
    <row r="396" ht="15.75" customHeight="1">
      <c r="S396" s="5"/>
      <c r="T396" s="5" t="s">
        <v>7946</v>
      </c>
      <c r="U396" s="5" t="b">
        <v>1</v>
      </c>
    </row>
    <row r="397" ht="15.75" customHeight="1">
      <c r="T397" s="5" t="s">
        <v>7946</v>
      </c>
      <c r="U397" s="5" t="b">
        <v>1</v>
      </c>
    </row>
    <row r="398" ht="15.75" customHeight="1">
      <c r="T398" s="5" t="s">
        <v>7946</v>
      </c>
      <c r="U398" s="5" t="b">
        <v>1</v>
      </c>
    </row>
    <row r="399" ht="15.75" customHeight="1">
      <c r="T399" s="5" t="s">
        <v>7946</v>
      </c>
      <c r="U399" s="5" t="b">
        <v>1</v>
      </c>
    </row>
    <row r="400" ht="15.75" customHeight="1">
      <c r="T400" s="5" t="s">
        <v>7946</v>
      </c>
      <c r="U400" s="5" t="b">
        <v>1</v>
      </c>
    </row>
    <row r="401" ht="15.75" customHeight="1">
      <c r="S401" s="5"/>
      <c r="T401" s="5" t="s">
        <v>7946</v>
      </c>
      <c r="U401" s="5" t="b">
        <v>1</v>
      </c>
    </row>
    <row r="402" ht="15.75" customHeight="1">
      <c r="T402" s="5" t="s">
        <v>7948</v>
      </c>
    </row>
    <row r="403" ht="15.75" customHeight="1">
      <c r="T403" s="5" t="s">
        <v>7955</v>
      </c>
      <c r="U403" s="5" t="b">
        <v>1</v>
      </c>
    </row>
    <row r="404" ht="15.75" customHeight="1">
      <c r="T404" s="5" t="s">
        <v>7946</v>
      </c>
      <c r="U404" s="5" t="b">
        <v>1</v>
      </c>
    </row>
    <row r="405" ht="15.75" customHeight="1">
      <c r="T405" s="5" t="s">
        <v>7946</v>
      </c>
      <c r="U405" s="5" t="b">
        <v>1</v>
      </c>
    </row>
    <row r="406" ht="15.75" customHeight="1">
      <c r="T406" s="5" t="s">
        <v>7955</v>
      </c>
      <c r="U406" s="5" t="b">
        <v>1</v>
      </c>
    </row>
    <row r="407" ht="15.75" customHeight="1">
      <c r="T407" s="5" t="s">
        <v>7946</v>
      </c>
      <c r="U407" s="5" t="b">
        <v>1</v>
      </c>
    </row>
    <row r="408" ht="15.75" customHeight="1"/>
    <row r="409" ht="15.75" customHeight="1">
      <c r="S409" s="5" t="b">
        <v>1</v>
      </c>
      <c r="T409" s="5" t="s">
        <v>7948</v>
      </c>
      <c r="U409" s="5" t="b">
        <v>1</v>
      </c>
      <c r="W409" s="5" t="s">
        <v>7958</v>
      </c>
    </row>
    <row r="410" ht="15.75" customHeight="1">
      <c r="T410" s="5" t="s">
        <v>7946</v>
      </c>
      <c r="U410" s="5" t="b">
        <v>1</v>
      </c>
    </row>
    <row r="411" ht="15.75" customHeight="1">
      <c r="T411" s="5" t="s">
        <v>7946</v>
      </c>
      <c r="U411" s="5" t="b">
        <v>1</v>
      </c>
    </row>
    <row r="412" ht="15.75" customHeight="1">
      <c r="T412" s="5" t="s">
        <v>7946</v>
      </c>
      <c r="U412" s="5" t="b">
        <v>1</v>
      </c>
    </row>
    <row r="413" ht="15.75" customHeight="1">
      <c r="T413" s="5" t="s">
        <v>7946</v>
      </c>
      <c r="U413" s="5" t="b">
        <v>1</v>
      </c>
    </row>
    <row r="414" ht="15.75" customHeight="1">
      <c r="S414" s="5" t="b">
        <v>1</v>
      </c>
      <c r="T414" s="5" t="s">
        <v>7948</v>
      </c>
      <c r="U414" s="5" t="b">
        <v>1</v>
      </c>
    </row>
    <row r="415" ht="15.75" customHeight="1">
      <c r="T415" s="5" t="s">
        <v>7946</v>
      </c>
      <c r="U415" s="5" t="b">
        <v>1</v>
      </c>
    </row>
    <row r="416" ht="15.75" customHeight="1">
      <c r="T416" s="5" t="s">
        <v>7946</v>
      </c>
      <c r="U416" s="5" t="b">
        <v>1</v>
      </c>
    </row>
    <row r="417" ht="15.75" customHeight="1">
      <c r="T417" s="5" t="s">
        <v>7946</v>
      </c>
      <c r="U417" s="5" t="b">
        <v>1</v>
      </c>
    </row>
    <row r="418" ht="15.75" customHeight="1">
      <c r="T418" s="5" t="s">
        <v>7946</v>
      </c>
      <c r="U418" s="5" t="b">
        <v>1</v>
      </c>
    </row>
    <row r="419" ht="15.75" customHeight="1">
      <c r="T419" s="5" t="s">
        <v>7946</v>
      </c>
      <c r="U419" s="5" t="b">
        <v>1</v>
      </c>
    </row>
    <row r="420" ht="15.75" customHeight="1">
      <c r="T420" s="5" t="s">
        <v>7946</v>
      </c>
      <c r="U420" s="5" t="b">
        <v>1</v>
      </c>
    </row>
    <row r="421" ht="15.75" customHeight="1">
      <c r="T421" s="5" t="s">
        <v>7946</v>
      </c>
      <c r="U421" s="5" t="b">
        <v>1</v>
      </c>
    </row>
    <row r="422" ht="15.75" customHeight="1">
      <c r="T422" s="5" t="s">
        <v>7946</v>
      </c>
      <c r="U422" s="5" t="b">
        <v>1</v>
      </c>
    </row>
    <row r="423" ht="15.75" customHeight="1">
      <c r="T423" s="5" t="s">
        <v>7946</v>
      </c>
      <c r="U423" s="5" t="b">
        <v>1</v>
      </c>
    </row>
    <row r="424" ht="15.75" customHeight="1">
      <c r="T424" s="5" t="s">
        <v>7946</v>
      </c>
      <c r="U424" s="5" t="b">
        <v>1</v>
      </c>
    </row>
    <row r="425" ht="15.75" customHeight="1">
      <c r="T425" s="5" t="s">
        <v>7946</v>
      </c>
      <c r="U425" s="5" t="b">
        <v>1</v>
      </c>
    </row>
    <row r="426" ht="15.75" customHeight="1">
      <c r="T426" s="5" t="s">
        <v>7946</v>
      </c>
      <c r="U426" s="5" t="b">
        <v>1</v>
      </c>
    </row>
    <row r="427" ht="15.75" customHeight="1">
      <c r="T427" s="5" t="s">
        <v>7946</v>
      </c>
      <c r="U427" s="5" t="b">
        <v>1</v>
      </c>
    </row>
    <row r="428" ht="15.75" customHeight="1">
      <c r="T428" s="5" t="s">
        <v>7946</v>
      </c>
      <c r="U428" s="5" t="b">
        <v>1</v>
      </c>
    </row>
    <row r="429" ht="15.75" customHeight="1">
      <c r="T429" s="5" t="s">
        <v>7946</v>
      </c>
      <c r="U429" s="5" t="b">
        <v>1</v>
      </c>
    </row>
    <row r="430" ht="15.75" customHeight="1">
      <c r="T430" s="5" t="s">
        <v>7946</v>
      </c>
    </row>
    <row r="431" ht="15.75" customHeight="1">
      <c r="T431" s="5" t="s">
        <v>7946</v>
      </c>
      <c r="U431" s="5" t="b">
        <v>1</v>
      </c>
    </row>
    <row r="432" ht="15.75" customHeight="1">
      <c r="T432" s="5" t="s">
        <v>7959</v>
      </c>
      <c r="U432" s="5" t="b">
        <v>1</v>
      </c>
    </row>
    <row r="433" ht="15.75" customHeight="1">
      <c r="T433" s="5" t="s">
        <v>7946</v>
      </c>
      <c r="U433" s="5" t="b">
        <v>1</v>
      </c>
    </row>
    <row r="434" ht="15.75" customHeight="1">
      <c r="T434" s="5" t="s">
        <v>7945</v>
      </c>
      <c r="U434" s="5" t="b">
        <v>1</v>
      </c>
    </row>
    <row r="435" ht="15.75" customHeight="1">
      <c r="T435" s="5" t="s">
        <v>7959</v>
      </c>
      <c r="U435" s="5" t="b">
        <v>1</v>
      </c>
    </row>
    <row r="436" ht="15.75" customHeight="1">
      <c r="T436" s="5" t="s">
        <v>7946</v>
      </c>
      <c r="U436" s="5" t="b">
        <v>1</v>
      </c>
    </row>
    <row r="437" ht="15.75" customHeight="1">
      <c r="T437" s="5" t="s">
        <v>7946</v>
      </c>
      <c r="U437" s="5" t="b">
        <v>1</v>
      </c>
    </row>
    <row r="438" ht="15.75" customHeight="1">
      <c r="T438" s="5" t="s">
        <v>7946</v>
      </c>
      <c r="U438" s="5" t="b">
        <v>1</v>
      </c>
    </row>
    <row r="439" ht="15.75" customHeight="1">
      <c r="T439" s="5" t="s">
        <v>7946</v>
      </c>
      <c r="U439" s="5" t="b">
        <v>1</v>
      </c>
    </row>
    <row r="440" ht="15.75" customHeight="1">
      <c r="T440" s="5" t="s">
        <v>7946</v>
      </c>
      <c r="U440" s="5" t="b">
        <v>1</v>
      </c>
    </row>
    <row r="441" ht="15.75" customHeight="1">
      <c r="T441" s="5" t="s">
        <v>7945</v>
      </c>
      <c r="U441" s="5" t="b">
        <v>1</v>
      </c>
    </row>
    <row r="442" ht="15.75" customHeight="1">
      <c r="T442" s="5" t="s">
        <v>7946</v>
      </c>
      <c r="U442" s="5" t="b">
        <v>1</v>
      </c>
    </row>
    <row r="443" ht="15.75" customHeight="1">
      <c r="T443" s="5" t="s">
        <v>7945</v>
      </c>
      <c r="U443" s="5" t="b">
        <v>1</v>
      </c>
    </row>
    <row r="444" ht="15.75" customHeight="1">
      <c r="S444" s="5" t="b">
        <v>1</v>
      </c>
      <c r="T444" s="5" t="s">
        <v>7953</v>
      </c>
      <c r="U444" s="5" t="b">
        <v>1</v>
      </c>
    </row>
    <row r="445" ht="15.75" customHeight="1">
      <c r="T445" s="5" t="s">
        <v>7955</v>
      </c>
      <c r="U445" s="5" t="b">
        <v>1</v>
      </c>
    </row>
    <row r="446" ht="15.75" customHeight="1">
      <c r="S446" s="5" t="b">
        <v>1</v>
      </c>
      <c r="T446" s="5" t="s">
        <v>7945</v>
      </c>
      <c r="U446" s="5" t="b">
        <v>1</v>
      </c>
    </row>
    <row r="447" ht="15.75" customHeight="1">
      <c r="T447" s="5" t="s">
        <v>7945</v>
      </c>
      <c r="U447" s="5" t="b">
        <v>1</v>
      </c>
    </row>
    <row r="448" ht="15.75" customHeight="1">
      <c r="S448" s="5" t="b">
        <v>1</v>
      </c>
      <c r="T448" s="5" t="s">
        <v>7945</v>
      </c>
      <c r="U448" s="5" t="b">
        <v>1</v>
      </c>
    </row>
    <row r="449" ht="15.75" customHeight="1">
      <c r="T449" s="5" t="s">
        <v>7955</v>
      </c>
      <c r="U449" s="5" t="b">
        <v>1</v>
      </c>
    </row>
    <row r="450" ht="15.75" customHeight="1">
      <c r="T450" s="5" t="s">
        <v>7955</v>
      </c>
      <c r="U450" s="5" t="b">
        <v>1</v>
      </c>
    </row>
    <row r="451" ht="15.75" customHeight="1">
      <c r="T451" s="5" t="s">
        <v>7955</v>
      </c>
      <c r="U451" s="5" t="b">
        <v>1</v>
      </c>
    </row>
    <row r="452" ht="15.75" customHeight="1">
      <c r="S452" s="5" t="b">
        <v>1</v>
      </c>
      <c r="T452" s="5" t="s">
        <v>7945</v>
      </c>
      <c r="U452" s="5" t="b">
        <v>1</v>
      </c>
    </row>
    <row r="453" ht="15.75" customHeight="1">
      <c r="T453" s="5" t="s">
        <v>7955</v>
      </c>
      <c r="U453" s="5" t="b">
        <v>1</v>
      </c>
    </row>
    <row r="454" ht="15.75" customHeight="1">
      <c r="T454" s="5" t="s">
        <v>7955</v>
      </c>
      <c r="U454" s="5" t="b">
        <v>1</v>
      </c>
    </row>
    <row r="455" ht="15.75" customHeight="1">
      <c r="S455" s="5" t="b">
        <v>1</v>
      </c>
      <c r="T455" s="5" t="s">
        <v>7945</v>
      </c>
      <c r="U455" s="5" t="b">
        <v>1</v>
      </c>
      <c r="W455" s="5" t="s">
        <v>7960</v>
      </c>
    </row>
    <row r="456" ht="15.75" customHeight="1">
      <c r="T456" s="5" t="s">
        <v>7955</v>
      </c>
      <c r="U456" s="5" t="b">
        <v>1</v>
      </c>
    </row>
    <row r="457" ht="15.75" customHeight="1">
      <c r="T457" s="5" t="s">
        <v>7955</v>
      </c>
      <c r="U457" s="5" t="b">
        <v>1</v>
      </c>
    </row>
    <row r="458" ht="15.75" customHeight="1">
      <c r="T458" s="5" t="s">
        <v>7955</v>
      </c>
      <c r="U458" s="5" t="b">
        <v>1</v>
      </c>
    </row>
    <row r="459" ht="15.75" customHeight="1">
      <c r="T459" s="5" t="s">
        <v>7955</v>
      </c>
      <c r="U459" s="5" t="b">
        <v>1</v>
      </c>
    </row>
    <row r="460" ht="15.75" customHeight="1">
      <c r="T460" s="5" t="s">
        <v>7955</v>
      </c>
      <c r="U460" s="5" t="b">
        <v>1</v>
      </c>
    </row>
    <row r="461" ht="15.75" customHeight="1">
      <c r="T461" s="5" t="s">
        <v>7945</v>
      </c>
      <c r="U461" s="5" t="b">
        <v>1</v>
      </c>
    </row>
    <row r="462" ht="15.75" customHeight="1">
      <c r="T462" s="5" t="s">
        <v>7955</v>
      </c>
      <c r="U462" s="5" t="b">
        <v>1</v>
      </c>
    </row>
    <row r="463" ht="15.75" customHeight="1"/>
    <row r="464" ht="15.75" customHeight="1">
      <c r="S464" s="5" t="b">
        <v>1</v>
      </c>
      <c r="T464" s="5" t="s">
        <v>7949</v>
      </c>
      <c r="U464" s="5" t="b">
        <v>1</v>
      </c>
    </row>
    <row r="465" ht="15.75" customHeight="1">
      <c r="S465" s="5" t="b">
        <v>1</v>
      </c>
      <c r="T465" s="5" t="s">
        <v>7949</v>
      </c>
      <c r="U465" s="5" t="b">
        <v>1</v>
      </c>
    </row>
    <row r="466" ht="15.75" customHeight="1">
      <c r="S466" s="5" t="b">
        <v>1</v>
      </c>
      <c r="T466" s="5" t="s">
        <v>7949</v>
      </c>
      <c r="U466" s="5" t="b">
        <v>1</v>
      </c>
    </row>
    <row r="467" ht="15.75" customHeight="1">
      <c r="S467" s="5" t="b">
        <v>1</v>
      </c>
      <c r="T467" s="5" t="s">
        <v>7946</v>
      </c>
      <c r="U467" s="5" t="b">
        <v>1</v>
      </c>
    </row>
    <row r="468" ht="15.75" customHeight="1">
      <c r="S468" s="5" t="b">
        <v>1</v>
      </c>
    </row>
    <row r="469" ht="15.75" customHeight="1">
      <c r="S469" s="5" t="b">
        <v>1</v>
      </c>
      <c r="T469" s="5" t="s">
        <v>7945</v>
      </c>
      <c r="U469" s="5" t="b">
        <v>1</v>
      </c>
    </row>
    <row r="470" ht="15.75" customHeight="1">
      <c r="S470" s="5" t="b">
        <v>1</v>
      </c>
      <c r="T470" s="5" t="s">
        <v>7945</v>
      </c>
      <c r="U470" s="5" t="b">
        <v>1</v>
      </c>
    </row>
    <row r="471" ht="15.75" customHeight="1">
      <c r="S471" s="5" t="b">
        <v>1</v>
      </c>
      <c r="T471" s="5" t="s">
        <v>7949</v>
      </c>
      <c r="U471" s="5" t="b">
        <v>1</v>
      </c>
    </row>
    <row r="472" ht="15.75" customHeight="1">
      <c r="S472" s="5" t="b">
        <v>1</v>
      </c>
      <c r="T472" s="5" t="s">
        <v>7949</v>
      </c>
      <c r="U472" s="5" t="b">
        <v>1</v>
      </c>
    </row>
    <row r="473" ht="15.75" customHeight="1">
      <c r="S473" s="5"/>
      <c r="T473" s="5" t="s">
        <v>7953</v>
      </c>
      <c r="U473" s="5" t="b">
        <v>1</v>
      </c>
    </row>
    <row r="474" ht="15.75" customHeight="1">
      <c r="S474" s="5"/>
      <c r="T474" s="5" t="s">
        <v>7953</v>
      </c>
      <c r="U474" s="5" t="b">
        <v>1</v>
      </c>
    </row>
    <row r="475" ht="15.75" customHeight="1">
      <c r="S475" s="5"/>
      <c r="T475" s="5" t="s">
        <v>7953</v>
      </c>
      <c r="U475" s="5" t="b">
        <v>1</v>
      </c>
    </row>
    <row r="476" ht="15.75" customHeight="1">
      <c r="T476" s="5" t="s">
        <v>7946</v>
      </c>
      <c r="U476" s="5" t="b">
        <v>1</v>
      </c>
    </row>
    <row r="477" ht="15.75" customHeight="1">
      <c r="T477" s="5" t="s">
        <v>7946</v>
      </c>
      <c r="U477" s="5" t="b">
        <v>1</v>
      </c>
    </row>
    <row r="478" ht="15.75" customHeight="1">
      <c r="T478" s="5" t="s">
        <v>7946</v>
      </c>
      <c r="U478" s="5" t="b">
        <v>1</v>
      </c>
    </row>
    <row r="479" ht="15.75" customHeight="1">
      <c r="T479" s="5" t="s">
        <v>7946</v>
      </c>
      <c r="U479" s="5" t="b">
        <v>1</v>
      </c>
    </row>
    <row r="480" ht="15.75" customHeight="1">
      <c r="T480" s="5" t="s">
        <v>7946</v>
      </c>
      <c r="U480" s="5" t="b">
        <v>1</v>
      </c>
    </row>
    <row r="481" ht="15.75" customHeight="1">
      <c r="T481" s="5" t="s">
        <v>7946</v>
      </c>
      <c r="U481" s="5" t="b">
        <v>1</v>
      </c>
    </row>
    <row r="482" ht="15.75" customHeight="1">
      <c r="T482" s="5" t="s">
        <v>7946</v>
      </c>
      <c r="U482" s="5" t="b">
        <v>1</v>
      </c>
    </row>
    <row r="483" ht="15.75" customHeight="1">
      <c r="T483" s="5" t="s">
        <v>7946</v>
      </c>
      <c r="U483" s="5" t="b">
        <v>1</v>
      </c>
    </row>
    <row r="484" ht="15.75" customHeight="1">
      <c r="T484" s="5" t="s">
        <v>7946</v>
      </c>
      <c r="U484" s="5" t="b">
        <v>1</v>
      </c>
    </row>
    <row r="485" ht="15.75" customHeight="1">
      <c r="T485" s="5" t="s">
        <v>7946</v>
      </c>
      <c r="U485" s="5" t="b">
        <v>1</v>
      </c>
    </row>
    <row r="486" ht="15.75" customHeight="1">
      <c r="T486" s="5" t="s">
        <v>7946</v>
      </c>
      <c r="U486" s="5" t="b">
        <v>1</v>
      </c>
    </row>
    <row r="487" ht="15.75" customHeight="1">
      <c r="T487" s="5" t="s">
        <v>7946</v>
      </c>
      <c r="U487" s="5" t="b">
        <v>1</v>
      </c>
    </row>
    <row r="488" ht="15.75" customHeight="1">
      <c r="T488" s="5" t="s">
        <v>7946</v>
      </c>
      <c r="U488" s="5" t="b">
        <v>1</v>
      </c>
    </row>
    <row r="489" ht="15.75" customHeight="1">
      <c r="S489" s="5"/>
      <c r="T489" s="5" t="s">
        <v>7948</v>
      </c>
      <c r="U489" s="5" t="b">
        <v>1</v>
      </c>
    </row>
    <row r="490" ht="15.75" customHeight="1">
      <c r="S490" s="5"/>
      <c r="T490" s="5" t="s">
        <v>7948</v>
      </c>
      <c r="U490" s="5" t="b">
        <v>1</v>
      </c>
    </row>
    <row r="491" ht="15.75" customHeight="1">
      <c r="S491" s="5"/>
      <c r="T491" s="5" t="s">
        <v>7948</v>
      </c>
      <c r="U491" s="5" t="b">
        <v>1</v>
      </c>
    </row>
    <row r="492" ht="15.75" customHeight="1">
      <c r="T492" s="5" t="s">
        <v>7955</v>
      </c>
      <c r="U492" s="5" t="b">
        <v>1</v>
      </c>
    </row>
    <row r="493" ht="15.75" customHeight="1">
      <c r="T493" s="5" t="s">
        <v>7947</v>
      </c>
      <c r="U493" s="5" t="b">
        <v>1</v>
      </c>
    </row>
    <row r="494" ht="15.75" customHeight="1">
      <c r="S494" s="5" t="b">
        <v>1</v>
      </c>
      <c r="T494" s="5" t="s">
        <v>7953</v>
      </c>
      <c r="U494" s="5" t="b">
        <v>1</v>
      </c>
    </row>
    <row r="495" ht="15.75" customHeight="1">
      <c r="S495" s="5" t="b">
        <v>1</v>
      </c>
      <c r="T495" s="5" t="s">
        <v>7953</v>
      </c>
      <c r="U495" s="5" t="b">
        <v>1</v>
      </c>
    </row>
    <row r="496" ht="15.75" customHeight="1">
      <c r="S496" s="5" t="b">
        <v>1</v>
      </c>
      <c r="T496" s="5" t="s">
        <v>7953</v>
      </c>
      <c r="U496" s="5" t="b">
        <v>1</v>
      </c>
    </row>
    <row r="497" ht="15.75" customHeight="1">
      <c r="T497" s="5" t="s">
        <v>7945</v>
      </c>
      <c r="U497" s="5" t="b">
        <v>1</v>
      </c>
    </row>
    <row r="498" ht="15.75" customHeight="1">
      <c r="T498" s="5" t="s">
        <v>7946</v>
      </c>
      <c r="U498" s="5" t="b">
        <v>1</v>
      </c>
    </row>
    <row r="499" ht="15.75" customHeight="1">
      <c r="T499" s="5" t="s">
        <v>7946</v>
      </c>
      <c r="U499" s="5" t="b">
        <v>1</v>
      </c>
    </row>
    <row r="500" ht="15.75" customHeight="1">
      <c r="T500" s="5" t="s">
        <v>7946</v>
      </c>
      <c r="U500" s="5" t="b">
        <v>1</v>
      </c>
    </row>
    <row r="501" ht="15.75" customHeight="1">
      <c r="T501" s="5" t="s">
        <v>7946</v>
      </c>
      <c r="U501" s="5" t="b">
        <v>1</v>
      </c>
    </row>
    <row r="502" ht="15.75" customHeight="1">
      <c r="T502" s="5" t="s">
        <v>7946</v>
      </c>
      <c r="U502" s="5" t="b">
        <v>1</v>
      </c>
    </row>
    <row r="503" ht="15.75" customHeight="1">
      <c r="T503" s="5" t="s">
        <v>7946</v>
      </c>
      <c r="U503" s="5" t="b">
        <v>1</v>
      </c>
    </row>
    <row r="504" ht="15.75" customHeight="1">
      <c r="T504" s="5" t="s">
        <v>7946</v>
      </c>
      <c r="U504" s="5" t="b">
        <v>1</v>
      </c>
    </row>
    <row r="505" ht="15.75" customHeight="1">
      <c r="T505" s="5" t="s">
        <v>7946</v>
      </c>
      <c r="U505" s="5" t="b">
        <v>1</v>
      </c>
    </row>
    <row r="506" ht="15.75" customHeight="1">
      <c r="T506" s="5" t="s">
        <v>7946</v>
      </c>
      <c r="U506" s="5" t="b">
        <v>1</v>
      </c>
    </row>
    <row r="507" ht="15.75" customHeight="1">
      <c r="T507" s="5" t="s">
        <v>7946</v>
      </c>
      <c r="U507" s="5" t="b">
        <v>1</v>
      </c>
    </row>
    <row r="508" ht="15.75" customHeight="1">
      <c r="T508" s="5" t="s">
        <v>7946</v>
      </c>
      <c r="U508" s="5" t="b">
        <v>1</v>
      </c>
    </row>
    <row r="509" ht="15.75" customHeight="1">
      <c r="T509" s="5" t="s">
        <v>7946</v>
      </c>
      <c r="U509" s="5" t="b">
        <v>1</v>
      </c>
    </row>
    <row r="510" ht="15.75" customHeight="1">
      <c r="T510" s="5" t="s">
        <v>7953</v>
      </c>
      <c r="U510" s="5" t="b">
        <v>1</v>
      </c>
    </row>
    <row r="511" ht="15.75" customHeight="1">
      <c r="T511" s="5" t="s">
        <v>7946</v>
      </c>
      <c r="U511" s="5" t="b">
        <v>1</v>
      </c>
    </row>
    <row r="512" ht="15.75" customHeight="1">
      <c r="T512" s="5" t="s">
        <v>7959</v>
      </c>
      <c r="U512" s="5" t="b">
        <v>1</v>
      </c>
    </row>
    <row r="513" ht="15.75" customHeight="1">
      <c r="T513" s="5" t="s">
        <v>7953</v>
      </c>
      <c r="U513" s="5" t="b">
        <v>1</v>
      </c>
    </row>
    <row r="514" ht="15.75" customHeight="1">
      <c r="T514" s="5" t="s">
        <v>7953</v>
      </c>
      <c r="U514" s="5" t="b">
        <v>1</v>
      </c>
    </row>
    <row r="515" ht="15.75" customHeight="1">
      <c r="T515" s="5" t="s">
        <v>7959</v>
      </c>
      <c r="U515" s="5" t="b">
        <v>1</v>
      </c>
    </row>
    <row r="516" ht="15.75" customHeight="1">
      <c r="S516" s="5" t="b">
        <v>1</v>
      </c>
      <c r="T516" s="5" t="s">
        <v>7946</v>
      </c>
      <c r="U516" s="5" t="b">
        <v>1</v>
      </c>
    </row>
    <row r="517" ht="15.75" customHeight="1">
      <c r="S517" s="5" t="b">
        <v>1</v>
      </c>
      <c r="T517" s="5" t="s">
        <v>7948</v>
      </c>
      <c r="U517" s="5" t="b">
        <v>1</v>
      </c>
    </row>
    <row r="518" ht="15.75" customHeight="1">
      <c r="S518" s="5" t="b">
        <v>1</v>
      </c>
      <c r="T518" s="5" t="s">
        <v>7947</v>
      </c>
      <c r="U518" s="5" t="b">
        <v>1</v>
      </c>
    </row>
    <row r="519" ht="15.75" customHeight="1">
      <c r="S519" s="5" t="b">
        <v>1</v>
      </c>
      <c r="T519" s="5" t="s">
        <v>7947</v>
      </c>
      <c r="U519" s="5" t="b">
        <v>1</v>
      </c>
    </row>
    <row r="520" ht="15.75" customHeight="1">
      <c r="S520" s="5" t="b">
        <v>1</v>
      </c>
      <c r="T520" s="5" t="s">
        <v>7947</v>
      </c>
      <c r="U520" s="5" t="b">
        <v>1</v>
      </c>
    </row>
    <row r="521" ht="15.75" customHeight="1">
      <c r="S521" s="5" t="b">
        <v>1</v>
      </c>
      <c r="T521" s="5" t="s">
        <v>7948</v>
      </c>
      <c r="U521" s="5" t="b">
        <v>1</v>
      </c>
    </row>
    <row r="522" ht="15.75" customHeight="1">
      <c r="S522" s="5" t="b">
        <v>1</v>
      </c>
      <c r="T522" s="5" t="s">
        <v>7948</v>
      </c>
      <c r="U522" s="5" t="b">
        <v>1</v>
      </c>
    </row>
    <row r="523" ht="15.75" customHeight="1">
      <c r="T523" s="5" t="s">
        <v>7946</v>
      </c>
      <c r="U523" s="5" t="b">
        <v>1</v>
      </c>
    </row>
    <row r="524" ht="15.75" customHeight="1">
      <c r="T524" s="5" t="s">
        <v>7946</v>
      </c>
      <c r="U524" s="5" t="b">
        <v>1</v>
      </c>
    </row>
    <row r="525" ht="15.75" customHeight="1">
      <c r="T525" s="5" t="s">
        <v>7946</v>
      </c>
      <c r="U525" s="5" t="b">
        <v>1</v>
      </c>
    </row>
    <row r="526" ht="15.75" customHeight="1">
      <c r="T526" s="5" t="s">
        <v>7948</v>
      </c>
      <c r="U526" s="5" t="b">
        <v>1</v>
      </c>
    </row>
    <row r="527" ht="15.75" customHeight="1">
      <c r="T527" s="5" t="s">
        <v>7948</v>
      </c>
      <c r="U527" s="5" t="b">
        <v>1</v>
      </c>
    </row>
    <row r="528" ht="15.75" customHeight="1">
      <c r="T528" s="5" t="s">
        <v>7948</v>
      </c>
      <c r="U528" s="5" t="b">
        <v>1</v>
      </c>
    </row>
    <row r="529" ht="15.75" customHeight="1">
      <c r="T529" s="5" t="s">
        <v>7949</v>
      </c>
      <c r="U529" s="5" t="b">
        <v>1</v>
      </c>
    </row>
    <row r="530" ht="15.75" customHeight="1">
      <c r="T530" s="5" t="s">
        <v>7949</v>
      </c>
      <c r="U530" s="5" t="b">
        <v>1</v>
      </c>
    </row>
    <row r="531" ht="15.75" customHeight="1">
      <c r="T531" s="5" t="s">
        <v>7946</v>
      </c>
      <c r="U531" s="5" t="b">
        <v>1</v>
      </c>
    </row>
    <row r="532" ht="15.75" customHeight="1">
      <c r="T532" s="5" t="s">
        <v>7946</v>
      </c>
      <c r="U532" s="5" t="b">
        <v>1</v>
      </c>
    </row>
    <row r="533" ht="15.75" customHeight="1">
      <c r="T533" s="5" t="s">
        <v>7946</v>
      </c>
      <c r="U533" s="5" t="b">
        <v>1</v>
      </c>
    </row>
    <row r="534" ht="15.75" customHeight="1">
      <c r="T534" s="5" t="s">
        <v>7946</v>
      </c>
      <c r="U534" s="5" t="b">
        <v>1</v>
      </c>
    </row>
    <row r="535" ht="15.75" customHeight="1">
      <c r="T535" s="5" t="s">
        <v>7946</v>
      </c>
      <c r="U535" s="5" t="b">
        <v>1</v>
      </c>
    </row>
    <row r="536" ht="15.75" customHeight="1">
      <c r="T536" s="5" t="s">
        <v>7946</v>
      </c>
      <c r="U536" s="5" t="b">
        <v>1</v>
      </c>
    </row>
    <row r="537" ht="15.75" customHeight="1">
      <c r="T537" s="5" t="s">
        <v>7946</v>
      </c>
      <c r="U537" s="5" t="b">
        <v>1</v>
      </c>
    </row>
    <row r="538" ht="15.75" customHeight="1">
      <c r="T538" s="5" t="s">
        <v>7946</v>
      </c>
      <c r="U538" s="5" t="b">
        <v>1</v>
      </c>
    </row>
    <row r="539" ht="15.75" customHeight="1">
      <c r="T539" s="5" t="s">
        <v>7946</v>
      </c>
      <c r="U539" s="5" t="b">
        <v>1</v>
      </c>
    </row>
    <row r="540" ht="15.75" customHeight="1">
      <c r="T540" s="5" t="s">
        <v>7946</v>
      </c>
      <c r="U540" s="5" t="b">
        <v>1</v>
      </c>
    </row>
    <row r="541" ht="15.75" customHeight="1">
      <c r="T541" s="5" t="s">
        <v>7946</v>
      </c>
      <c r="U541" s="5" t="b">
        <v>1</v>
      </c>
    </row>
    <row r="542" ht="15.75" customHeight="1">
      <c r="T542" s="5" t="s">
        <v>7946</v>
      </c>
      <c r="U542" s="5" t="b">
        <v>1</v>
      </c>
    </row>
    <row r="543" ht="15.75" customHeight="1">
      <c r="S543" s="5" t="b">
        <v>1</v>
      </c>
      <c r="T543" s="5" t="s">
        <v>7946</v>
      </c>
      <c r="U543" s="5" t="b">
        <v>1</v>
      </c>
    </row>
    <row r="544" ht="15.75" customHeight="1">
      <c r="S544" s="5" t="b">
        <v>1</v>
      </c>
      <c r="T544" s="5" t="s">
        <v>7946</v>
      </c>
      <c r="U544" s="5" t="b">
        <v>1</v>
      </c>
    </row>
    <row r="545" ht="15.75" customHeight="1">
      <c r="S545" s="5" t="b">
        <v>1</v>
      </c>
      <c r="T545" s="5" t="s">
        <v>7946</v>
      </c>
      <c r="U545" s="5" t="b">
        <v>1</v>
      </c>
    </row>
    <row r="546" ht="15.75" customHeight="1">
      <c r="S546" s="5" t="b">
        <v>1</v>
      </c>
      <c r="T546" s="5" t="s">
        <v>7946</v>
      </c>
      <c r="U546" s="5" t="b">
        <v>1</v>
      </c>
    </row>
    <row r="547" ht="15.75" customHeight="1">
      <c r="T547" s="5" t="s">
        <v>7946</v>
      </c>
      <c r="U547" s="5" t="b">
        <v>1</v>
      </c>
    </row>
    <row r="548" ht="15.75" customHeight="1">
      <c r="T548" s="5" t="s">
        <v>7946</v>
      </c>
      <c r="U548" s="5" t="b">
        <v>1</v>
      </c>
    </row>
    <row r="549" ht="15.75" customHeight="1">
      <c r="T549" s="5" t="s">
        <v>7955</v>
      </c>
      <c r="U549" s="5" t="b">
        <v>1</v>
      </c>
    </row>
    <row r="550" ht="15.75" customHeight="1">
      <c r="T550" s="5" t="s">
        <v>7955</v>
      </c>
      <c r="U550" s="5" t="b">
        <v>1</v>
      </c>
    </row>
    <row r="551" ht="15.75" customHeight="1">
      <c r="T551" s="5" t="s">
        <v>7945</v>
      </c>
      <c r="U551" s="5" t="b">
        <v>1</v>
      </c>
    </row>
    <row r="552" ht="15.75" customHeight="1">
      <c r="T552" s="5" t="s">
        <v>7945</v>
      </c>
      <c r="U552" s="5" t="b">
        <v>1</v>
      </c>
    </row>
    <row r="553" ht="15.75" customHeight="1">
      <c r="T553" s="5" t="s">
        <v>7946</v>
      </c>
      <c r="U553" s="5" t="b">
        <v>1</v>
      </c>
    </row>
    <row r="554" ht="15.75" customHeight="1">
      <c r="T554" s="5" t="s">
        <v>7946</v>
      </c>
      <c r="U554" s="5" t="b">
        <v>1</v>
      </c>
    </row>
    <row r="555" ht="15.75" customHeight="1">
      <c r="T555" s="5" t="s">
        <v>7946</v>
      </c>
      <c r="U555" s="5" t="b">
        <v>1</v>
      </c>
    </row>
    <row r="556" ht="15.75" customHeight="1">
      <c r="T556" s="5" t="s">
        <v>7946</v>
      </c>
      <c r="U556" s="5" t="b">
        <v>1</v>
      </c>
    </row>
    <row r="557" ht="15.75" customHeight="1">
      <c r="T557" s="5" t="s">
        <v>7945</v>
      </c>
      <c r="U557" s="5" t="b">
        <v>1</v>
      </c>
    </row>
    <row r="558" ht="15.75" customHeight="1">
      <c r="T558" s="5" t="s">
        <v>7945</v>
      </c>
      <c r="U558" s="5" t="b">
        <v>1</v>
      </c>
    </row>
    <row r="559" ht="15.75" customHeight="1"/>
    <row r="560" ht="15.75" customHeight="1">
      <c r="T560" s="5" t="s">
        <v>7946</v>
      </c>
      <c r="U560" s="5" t="b">
        <v>1</v>
      </c>
    </row>
    <row r="561" ht="15.75" customHeight="1">
      <c r="T561" s="5" t="s">
        <v>7946</v>
      </c>
      <c r="U561" s="5" t="b">
        <v>1</v>
      </c>
    </row>
    <row r="562" ht="15.75" customHeight="1">
      <c r="S562" s="5" t="b">
        <v>1</v>
      </c>
      <c r="T562" s="5" t="s">
        <v>7959</v>
      </c>
      <c r="U562" s="5" t="b">
        <v>1</v>
      </c>
    </row>
    <row r="563" ht="15.75" customHeight="1">
      <c r="T563" s="5" t="s">
        <v>7955</v>
      </c>
      <c r="U563" s="5" t="b">
        <v>1</v>
      </c>
    </row>
    <row r="564" ht="15.75" customHeight="1">
      <c r="S564" s="5" t="b">
        <v>1</v>
      </c>
      <c r="T564" s="5" t="s">
        <v>7945</v>
      </c>
      <c r="U564" s="5" t="b">
        <v>1</v>
      </c>
    </row>
    <row r="565" ht="15.75" customHeight="1">
      <c r="S565" s="5" t="b">
        <v>1</v>
      </c>
      <c r="T565" s="5" t="s">
        <v>7945</v>
      </c>
      <c r="U565" s="5" t="b">
        <v>1</v>
      </c>
    </row>
    <row r="566" ht="15.75" customHeight="1">
      <c r="S566" s="5" t="b">
        <v>1</v>
      </c>
    </row>
    <row r="567" ht="15.75" customHeight="1">
      <c r="T567" s="5" t="s">
        <v>7945</v>
      </c>
      <c r="U567" s="5" t="b">
        <v>1</v>
      </c>
    </row>
    <row r="568" ht="15.75" customHeight="1">
      <c r="S568" s="5" t="b">
        <v>1</v>
      </c>
    </row>
    <row r="569" ht="15.75" customHeight="1">
      <c r="S569" s="5" t="b">
        <v>1</v>
      </c>
    </row>
    <row r="570" ht="15.75" customHeight="1">
      <c r="S570" s="5" t="b">
        <v>1</v>
      </c>
    </row>
    <row r="571" ht="15.75" customHeight="1">
      <c r="S571" s="5" t="b">
        <v>1</v>
      </c>
    </row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>
      <c r="S582" s="5" t="b">
        <v>1</v>
      </c>
    </row>
    <row r="583" ht="15.75" customHeight="1"/>
    <row r="584" ht="15.75" customHeight="1"/>
    <row r="585" ht="15.75" customHeight="1"/>
    <row r="586" ht="15.75" customHeight="1"/>
    <row r="587" ht="15.75" customHeight="1">
      <c r="S587" s="5" t="b">
        <v>1</v>
      </c>
    </row>
    <row r="588" ht="15.75" customHeight="1">
      <c r="S588" s="5" t="b">
        <v>1</v>
      </c>
      <c r="U588" s="5" t="b">
        <v>0</v>
      </c>
    </row>
    <row r="589" ht="15.75" customHeight="1">
      <c r="S589" s="5" t="b">
        <v>1</v>
      </c>
    </row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>
      <c r="S598" s="5" t="b">
        <v>1</v>
      </c>
    </row>
    <row r="599" ht="15.75" customHeight="1">
      <c r="S599" s="5" t="b">
        <v>1</v>
      </c>
      <c r="U599" s="5" t="b">
        <v>0</v>
      </c>
    </row>
    <row r="600" ht="15.75" customHeight="1"/>
    <row r="601" ht="15.75" customHeight="1">
      <c r="S601" s="5" t="b">
        <v>1</v>
      </c>
    </row>
    <row r="602" ht="15.75" customHeight="1">
      <c r="S602" s="5" t="b">
        <v>1</v>
      </c>
    </row>
    <row r="603" ht="15.75" customHeight="1">
      <c r="S603" s="5" t="b">
        <v>1</v>
      </c>
    </row>
    <row r="604" ht="15.75" customHeight="1">
      <c r="S604" s="5" t="b">
        <v>1</v>
      </c>
    </row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>
      <c r="S622" s="5" t="b">
        <v>1</v>
      </c>
    </row>
    <row r="623" ht="15.75" customHeight="1">
      <c r="S623" s="5" t="b">
        <v>1</v>
      </c>
    </row>
    <row r="624" ht="15.75" customHeight="1">
      <c r="S624" s="5" t="b">
        <v>1</v>
      </c>
    </row>
    <row r="625" ht="15.75" customHeight="1">
      <c r="S625" s="5" t="b">
        <v>1</v>
      </c>
    </row>
    <row r="626" ht="15.75" customHeight="1"/>
    <row r="627" ht="15.75" customHeight="1">
      <c r="S627" s="5" t="b">
        <v>1</v>
      </c>
    </row>
    <row r="628" ht="15.75" customHeight="1">
      <c r="S628" s="5" t="b">
        <v>1</v>
      </c>
    </row>
    <row r="629" ht="15.75" customHeight="1">
      <c r="S629" s="5" t="b">
        <v>1</v>
      </c>
    </row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>
      <c r="S651" s="5" t="b">
        <v>1</v>
      </c>
    </row>
    <row r="652" ht="15.75" customHeight="1">
      <c r="S652" s="5" t="b">
        <v>1</v>
      </c>
    </row>
    <row r="653" ht="15.75" customHeight="1"/>
    <row r="654" ht="15.75" customHeight="1">
      <c r="S654" s="5" t="b">
        <v>1</v>
      </c>
    </row>
    <row r="655" ht="15.75" customHeight="1">
      <c r="S655" s="5" t="b">
        <v>1</v>
      </c>
    </row>
    <row r="656" ht="15.75" customHeight="1">
      <c r="S656" s="5" t="b">
        <v>1</v>
      </c>
    </row>
    <row r="657" ht="15.75" customHeight="1"/>
    <row r="658" ht="15.75" customHeight="1">
      <c r="S658" s="5" t="b">
        <v>1</v>
      </c>
      <c r="W658" s="6" t="s">
        <v>7961</v>
      </c>
    </row>
    <row r="659" ht="15.75" customHeight="1"/>
    <row r="660" ht="15.75" customHeight="1"/>
    <row r="661" ht="15.75" customHeight="1">
      <c r="S661" s="5" t="b">
        <v>1</v>
      </c>
      <c r="W661" s="6" t="s">
        <v>7962</v>
      </c>
    </row>
    <row r="662" ht="15.75" customHeight="1"/>
    <row r="663" ht="15.75" customHeight="1">
      <c r="S663" s="5" t="b">
        <v>1</v>
      </c>
      <c r="W663" s="6" t="s">
        <v>7961</v>
      </c>
    </row>
    <row r="664" ht="15.75" customHeight="1"/>
    <row r="665" ht="15.75" customHeight="1"/>
    <row r="666" ht="15.75" customHeight="1">
      <c r="S666" s="5" t="b">
        <v>1</v>
      </c>
      <c r="W666" s="6" t="s">
        <v>7963</v>
      </c>
    </row>
    <row r="667" ht="15.75" customHeight="1"/>
    <row r="668" ht="15.75" customHeight="1"/>
    <row r="669" ht="15.75" customHeight="1">
      <c r="S669" s="5" t="b">
        <v>1</v>
      </c>
      <c r="W669" s="6" t="s">
        <v>7964</v>
      </c>
    </row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>
      <c r="S677" s="5" t="b">
        <v>1</v>
      </c>
    </row>
    <row r="678" ht="15.75" customHeight="1"/>
    <row r="679" ht="15.75" customHeight="1"/>
    <row r="680" ht="15.75" customHeight="1">
      <c r="S680" s="5" t="b">
        <v>1</v>
      </c>
    </row>
    <row r="681" ht="15.75" customHeight="1">
      <c r="S681" s="5" t="b">
        <v>1</v>
      </c>
    </row>
    <row r="682" ht="15.75" customHeight="1"/>
    <row r="683" ht="15.75" customHeight="1"/>
    <row r="684" ht="15.75" customHeight="1">
      <c r="S684" s="5" t="b">
        <v>1</v>
      </c>
    </row>
    <row r="685" ht="15.75" customHeight="1"/>
    <row r="686" ht="15.75" customHeight="1">
      <c r="S686" s="5" t="b">
        <v>1</v>
      </c>
      <c r="W686" s="5" t="s">
        <v>7965</v>
      </c>
    </row>
    <row r="687" ht="15.75" customHeight="1">
      <c r="S687" s="5" t="b">
        <v>1</v>
      </c>
      <c r="W687" s="5" t="s">
        <v>7966</v>
      </c>
    </row>
    <row r="688" ht="15.75" customHeight="1"/>
    <row r="689" ht="15.75" customHeight="1">
      <c r="S689" s="5" t="b">
        <v>1</v>
      </c>
      <c r="W689" s="5" t="s">
        <v>7967</v>
      </c>
    </row>
    <row r="690" ht="15.75" customHeight="1"/>
    <row r="691" ht="15.75" customHeight="1">
      <c r="S691" s="5" t="b">
        <v>1</v>
      </c>
      <c r="W691" s="5" t="s">
        <v>7967</v>
      </c>
    </row>
    <row r="692" ht="15.75" customHeight="1"/>
    <row r="693" ht="15.75" customHeight="1">
      <c r="S693" s="5" t="b">
        <v>1</v>
      </c>
      <c r="U693" s="5" t="b">
        <v>0</v>
      </c>
      <c r="W693" s="6" t="s">
        <v>7963</v>
      </c>
    </row>
    <row r="694" ht="15.75" customHeight="1"/>
    <row r="695" ht="15.75" customHeight="1">
      <c r="S695" s="5" t="b">
        <v>1</v>
      </c>
    </row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>
      <c r="S741" s="5" t="b">
        <v>1</v>
      </c>
      <c r="W741" s="5" t="s">
        <v>7968</v>
      </c>
    </row>
    <row r="742" ht="15.75" customHeight="1">
      <c r="S742" s="5" t="b">
        <v>1</v>
      </c>
    </row>
    <row r="743" ht="15.75" customHeight="1"/>
    <row r="744" ht="15.75" customHeight="1">
      <c r="S744" s="5" t="b">
        <v>1</v>
      </c>
    </row>
    <row r="745" ht="15.75" customHeight="1"/>
    <row r="746" ht="15.75" customHeight="1"/>
    <row r="747" ht="15.75" customHeight="1"/>
    <row r="748" ht="15.75" customHeight="1"/>
    <row r="749" ht="15.75" customHeight="1">
      <c r="S749" s="5" t="b">
        <v>1</v>
      </c>
    </row>
    <row r="750" ht="15.75" customHeight="1">
      <c r="S750" s="5" t="b">
        <v>1</v>
      </c>
    </row>
    <row r="751" ht="15.75" customHeight="1"/>
    <row r="752" ht="15.75" customHeight="1">
      <c r="S752" s="5" t="b">
        <v>1</v>
      </c>
    </row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>
      <c r="S764" s="5" t="b">
        <v>1</v>
      </c>
    </row>
    <row r="765" ht="15.75" customHeight="1">
      <c r="S765" s="5" t="b">
        <v>1</v>
      </c>
    </row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>
      <c r="S782" s="5" t="b">
        <v>1</v>
      </c>
      <c r="T782" s="5" t="s">
        <v>7959</v>
      </c>
      <c r="U782" s="5" t="b">
        <v>1</v>
      </c>
      <c r="W782" s="5" t="s">
        <v>7969</v>
      </c>
    </row>
    <row r="783" ht="15.75" customHeight="1"/>
    <row r="784" ht="15.75" customHeight="1">
      <c r="S784" s="5" t="b">
        <v>1</v>
      </c>
      <c r="W784" s="5" t="s">
        <v>7970</v>
      </c>
    </row>
    <row r="785" ht="15.75" customHeight="1"/>
    <row r="786" ht="15.75" customHeight="1">
      <c r="S786" s="5" t="b">
        <v>1</v>
      </c>
      <c r="W786" s="5" t="s">
        <v>7971</v>
      </c>
    </row>
    <row r="787" ht="15.75" customHeight="1"/>
    <row r="788" ht="15.75" customHeight="1">
      <c r="S788" s="5" t="b">
        <v>1</v>
      </c>
      <c r="W788" s="5" t="s">
        <v>7972</v>
      </c>
    </row>
    <row r="789" ht="15.75" customHeight="1"/>
    <row r="790" ht="15.75" customHeight="1"/>
    <row r="791" ht="15.75" customHeight="1">
      <c r="S791" s="5" t="b">
        <v>1</v>
      </c>
    </row>
    <row r="792" ht="15.75" customHeight="1">
      <c r="S792" s="5" t="b">
        <v>1</v>
      </c>
    </row>
    <row r="793" ht="15.75" customHeight="1">
      <c r="S793" s="5" t="b">
        <v>1</v>
      </c>
    </row>
    <row r="794" ht="15.75" customHeight="1"/>
    <row r="795" ht="15.75" customHeight="1"/>
    <row r="796" ht="15.75" customHeight="1">
      <c r="S796" s="5" t="b">
        <v>1</v>
      </c>
    </row>
    <row r="797" ht="15.75" customHeight="1">
      <c r="S797" s="5" t="b">
        <v>1</v>
      </c>
    </row>
    <row r="798" ht="15.75" customHeight="1"/>
    <row r="799" ht="15.75" customHeight="1"/>
    <row r="800" ht="15.75" customHeight="1"/>
    <row r="801" ht="15.75" customHeight="1"/>
    <row r="802" ht="15.75" customHeight="1">
      <c r="S802" s="5" t="b">
        <v>1</v>
      </c>
    </row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>
      <c r="S812" s="5" t="b">
        <v>1</v>
      </c>
      <c r="W812" s="5" t="s">
        <v>7973</v>
      </c>
    </row>
    <row r="813" ht="15.75" customHeight="1">
      <c r="S813" s="5" t="b">
        <v>1</v>
      </c>
      <c r="W813" s="5" t="s">
        <v>7974</v>
      </c>
    </row>
    <row r="814" ht="15.75" customHeight="1"/>
    <row r="815" ht="15.75" customHeight="1">
      <c r="S815" s="5" t="b">
        <v>1</v>
      </c>
      <c r="W815" s="6" t="s">
        <v>7975</v>
      </c>
    </row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>
      <c r="S829" s="5" t="b">
        <v>1</v>
      </c>
    </row>
    <row r="830" ht="15.75" customHeight="1">
      <c r="S830" s="5" t="b">
        <v>1</v>
      </c>
    </row>
    <row r="831" ht="15.75" customHeight="1"/>
    <row r="832" ht="15.75" customHeight="1"/>
    <row r="833" ht="15.75" customHeight="1">
      <c r="S833" s="5" t="b">
        <v>1</v>
      </c>
    </row>
    <row r="834" ht="15.75" customHeight="1"/>
    <row r="835" ht="15.75" customHeight="1">
      <c r="S835" s="5" t="b">
        <v>1</v>
      </c>
    </row>
    <row r="836" ht="15.75" customHeight="1">
      <c r="S836" s="5" t="b">
        <v>1</v>
      </c>
    </row>
    <row r="837" ht="15.75" customHeight="1">
      <c r="S837" s="5" t="b">
        <v>1</v>
      </c>
    </row>
    <row r="838" ht="15.75" customHeight="1"/>
    <row r="839" ht="15.75" customHeight="1">
      <c r="S839" s="5" t="b">
        <v>1</v>
      </c>
    </row>
    <row r="840" ht="15.75" customHeight="1">
      <c r="S840" s="5" t="b">
        <v>1</v>
      </c>
    </row>
    <row r="841" ht="15.75" customHeight="1">
      <c r="S841" s="5" t="b">
        <v>1</v>
      </c>
    </row>
    <row r="842" ht="15.75" customHeight="1">
      <c r="S842" s="5" t="b">
        <v>1</v>
      </c>
    </row>
    <row r="843" ht="15.75" customHeight="1">
      <c r="S843" s="5" t="b">
        <v>1</v>
      </c>
      <c r="W843" s="5" t="s">
        <v>7976</v>
      </c>
    </row>
    <row r="844" ht="15.75" customHeight="1"/>
    <row r="845" ht="15.75" customHeight="1"/>
    <row r="846" ht="15.75" customHeight="1">
      <c r="S846" s="5" t="b">
        <v>1</v>
      </c>
      <c r="W846" s="5" t="s">
        <v>7976</v>
      </c>
    </row>
    <row r="847" ht="15.75" customHeight="1"/>
    <row r="848" ht="15.75" customHeight="1"/>
    <row r="849" ht="15.75" customHeight="1">
      <c r="S849" s="5" t="b">
        <v>1</v>
      </c>
    </row>
    <row r="850" ht="15.75" customHeight="1">
      <c r="S850" s="5" t="b">
        <v>1</v>
      </c>
    </row>
    <row r="851" ht="15.75" customHeight="1">
      <c r="S851" s="5" t="b">
        <v>1</v>
      </c>
    </row>
    <row r="852" ht="15.75" customHeight="1">
      <c r="S852" s="5" t="b">
        <v>1</v>
      </c>
    </row>
    <row r="853" ht="15.75" customHeight="1">
      <c r="S853" s="5" t="b">
        <v>1</v>
      </c>
    </row>
    <row r="854" ht="15.75" customHeight="1">
      <c r="S854" s="5" t="b">
        <v>1</v>
      </c>
    </row>
    <row r="855" ht="15.75" customHeight="1">
      <c r="S855" s="5" t="b">
        <v>1</v>
      </c>
    </row>
    <row r="856" ht="15.75" customHeight="1"/>
    <row r="857" ht="15.75" customHeight="1">
      <c r="W857" s="5" t="s">
        <v>7977</v>
      </c>
    </row>
    <row r="858" ht="15.75" customHeight="1"/>
    <row r="859" ht="15.75" customHeight="1">
      <c r="S859" s="5" t="b">
        <v>1</v>
      </c>
    </row>
    <row r="860" ht="15.75" customHeight="1">
      <c r="S860" s="5" t="b">
        <v>1</v>
      </c>
    </row>
    <row r="861" ht="15.75" customHeight="1">
      <c r="S861" s="5" t="b">
        <v>1</v>
      </c>
    </row>
    <row r="862" ht="15.75" customHeight="1">
      <c r="S862" s="5" t="b">
        <v>1</v>
      </c>
    </row>
    <row r="863" ht="15.75" customHeight="1">
      <c r="S863" s="5" t="b">
        <v>1</v>
      </c>
    </row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>
      <c r="S891" s="5" t="b">
        <v>1</v>
      </c>
    </row>
    <row r="892" ht="15.75" customHeight="1">
      <c r="S892" s="5" t="b">
        <v>1</v>
      </c>
    </row>
    <row r="893" ht="15.75" customHeight="1">
      <c r="S893" s="5" t="b">
        <v>1</v>
      </c>
    </row>
    <row r="894" ht="15.75" customHeight="1">
      <c r="S894" s="5" t="b">
        <v>1</v>
      </c>
    </row>
    <row r="895" ht="15.75" customHeight="1">
      <c r="S895" s="5" t="b">
        <v>1</v>
      </c>
    </row>
    <row r="896" ht="15.75" customHeight="1">
      <c r="S896" s="5" t="b">
        <v>1</v>
      </c>
    </row>
    <row r="897" ht="15.75" customHeight="1"/>
    <row r="898" ht="15.75" customHeight="1"/>
    <row r="899" ht="15.75" customHeight="1">
      <c r="S899" s="5" t="b">
        <v>1</v>
      </c>
    </row>
    <row r="900" ht="15.75" customHeight="1">
      <c r="S900" s="5" t="b">
        <v>1</v>
      </c>
      <c r="W900" s="5" t="s">
        <v>7978</v>
      </c>
    </row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>
      <c r="S912" s="5" t="b">
        <v>1</v>
      </c>
    </row>
    <row r="913" ht="15.75" customHeight="1"/>
    <row r="914" ht="15.75" customHeight="1"/>
    <row r="915" ht="15.75" customHeight="1">
      <c r="S915" s="5" t="b">
        <v>1</v>
      </c>
    </row>
    <row r="916" ht="15.75" customHeight="1"/>
    <row r="917" ht="15.75" customHeight="1"/>
    <row r="918" ht="15.75" customHeight="1">
      <c r="S918" s="5" t="b">
        <v>1</v>
      </c>
    </row>
    <row r="919" ht="15.75" customHeight="1">
      <c r="S919" s="5" t="b">
        <v>1</v>
      </c>
    </row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>
      <c r="S929" s="5" t="b">
        <v>1</v>
      </c>
    </row>
    <row r="930" ht="15.75" customHeight="1">
      <c r="S930" s="5" t="b">
        <v>1</v>
      </c>
    </row>
    <row r="931" ht="15.75" customHeight="1">
      <c r="S931" s="5" t="b">
        <v>1</v>
      </c>
    </row>
    <row r="932" ht="15.75" customHeight="1">
      <c r="S932" s="5" t="b">
        <v>1</v>
      </c>
    </row>
    <row r="933" ht="15.75" customHeight="1">
      <c r="S933" s="5" t="b">
        <v>1</v>
      </c>
    </row>
    <row r="934" ht="15.75" customHeight="1"/>
    <row r="935" ht="15.75" customHeight="1">
      <c r="S935" s="5" t="b">
        <v>1</v>
      </c>
    </row>
    <row r="936" ht="15.75" customHeight="1">
      <c r="S936" s="5" t="b">
        <v>1</v>
      </c>
    </row>
    <row r="937" ht="15.75" customHeight="1">
      <c r="S937" s="5" t="b">
        <v>1</v>
      </c>
    </row>
    <row r="938" ht="15.75" customHeight="1">
      <c r="S938" s="5" t="b">
        <v>1</v>
      </c>
    </row>
    <row r="939" ht="15.75" customHeight="1">
      <c r="S939" s="5" t="b">
        <v>1</v>
      </c>
    </row>
    <row r="940" ht="15.75" customHeight="1">
      <c r="S940" s="5" t="b">
        <v>1</v>
      </c>
    </row>
    <row r="941" ht="15.75" customHeight="1">
      <c r="S941" s="5" t="b">
        <v>1</v>
      </c>
    </row>
    <row r="942" ht="15.75" customHeight="1">
      <c r="S942" s="5" t="b">
        <v>1</v>
      </c>
    </row>
    <row r="943" ht="15.75" customHeight="1">
      <c r="W943" s="5" t="s">
        <v>7979</v>
      </c>
    </row>
    <row r="944" ht="15.75" customHeight="1">
      <c r="S944" s="5" t="b">
        <v>1</v>
      </c>
      <c r="U944" s="5" t="b">
        <v>1</v>
      </c>
      <c r="W944" s="5" t="s">
        <v>7980</v>
      </c>
    </row>
    <row r="945" ht="15.75" customHeight="1">
      <c r="S945" s="5" t="b">
        <v>1</v>
      </c>
      <c r="U945" s="5" t="b">
        <v>1</v>
      </c>
      <c r="W945" s="5" t="s">
        <v>7981</v>
      </c>
    </row>
    <row r="946" ht="15.75" customHeight="1">
      <c r="W946" s="5" t="s">
        <v>7982</v>
      </c>
    </row>
    <row r="947" ht="15.75" customHeight="1">
      <c r="S947" s="5" t="b">
        <v>1</v>
      </c>
    </row>
    <row r="948" ht="15.75" customHeight="1">
      <c r="S948" s="5" t="b">
        <v>1</v>
      </c>
    </row>
    <row r="949" ht="15.75" customHeight="1">
      <c r="S949" s="5" t="b">
        <v>1</v>
      </c>
      <c r="U949" s="5" t="b">
        <v>1</v>
      </c>
    </row>
    <row r="950" ht="15.75" customHeight="1">
      <c r="S950" s="5" t="b">
        <v>1</v>
      </c>
    </row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>
      <c r="S957" s="5" t="b">
        <v>1</v>
      </c>
      <c r="U957" s="5" t="b">
        <v>1</v>
      </c>
    </row>
    <row r="958" ht="15.75" customHeight="1">
      <c r="S958" s="5" t="b">
        <v>1</v>
      </c>
      <c r="U958" s="5" t="b">
        <v>1</v>
      </c>
    </row>
    <row r="959" ht="15.75" customHeight="1">
      <c r="S959" s="5" t="b">
        <v>1</v>
      </c>
      <c r="U959" s="5" t="b">
        <v>1</v>
      </c>
    </row>
    <row r="960" ht="15.75" customHeight="1">
      <c r="S960" s="5" t="b">
        <v>1</v>
      </c>
      <c r="U960" s="5" t="b">
        <v>1</v>
      </c>
      <c r="W960" s="5" t="s">
        <v>7983</v>
      </c>
    </row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>
      <c r="S983" s="5" t="b">
        <v>1</v>
      </c>
    </row>
    <row r="984" ht="15.75" customHeight="1"/>
    <row r="985" ht="15.75" customHeight="1">
      <c r="S985" s="5" t="b">
        <v>1</v>
      </c>
    </row>
    <row r="986" ht="15.75" customHeight="1">
      <c r="S986" s="5" t="b">
        <v>1</v>
      </c>
    </row>
    <row r="987" ht="15.75" customHeight="1">
      <c r="S987" s="5" t="b">
        <v>1</v>
      </c>
    </row>
    <row r="988" ht="15.75" customHeight="1">
      <c r="S988" s="5" t="b">
        <v>1</v>
      </c>
    </row>
    <row r="989" ht="15.75" customHeight="1">
      <c r="S989" s="5" t="b">
        <v>1</v>
      </c>
    </row>
    <row r="990" ht="15.75" customHeight="1">
      <c r="S990" s="5" t="b">
        <v>1</v>
      </c>
    </row>
    <row r="991" ht="15.75" customHeight="1">
      <c r="S991" s="5" t="b">
        <v>1</v>
      </c>
    </row>
    <row r="992" ht="15.75" customHeight="1">
      <c r="S992" s="5" t="b">
        <v>1</v>
      </c>
    </row>
    <row r="993" ht="15.75" customHeight="1">
      <c r="S993" s="5" t="b">
        <v>1</v>
      </c>
    </row>
    <row r="994" ht="15.75" customHeight="1"/>
    <row r="995" ht="15.75" customHeight="1">
      <c r="S995" s="5" t="b">
        <v>1</v>
      </c>
    </row>
    <row r="996" ht="15.75" customHeight="1">
      <c r="S996" s="5" t="b">
        <v>1</v>
      </c>
    </row>
    <row r="997" ht="15.75" customHeight="1">
      <c r="S997" s="5" t="b">
        <v>1</v>
      </c>
    </row>
    <row r="998" ht="15.75" customHeight="1"/>
    <row r="999" ht="15.75" customHeight="1"/>
    <row r="1000" ht="15.75" customHeight="1">
      <c r="S1000" s="5" t="b">
        <v>1</v>
      </c>
    </row>
    <row r="1001" ht="15.75" customHeight="1">
      <c r="S1001" s="5" t="b">
        <v>1</v>
      </c>
    </row>
    <row r="1002" ht="15.75" customHeight="1">
      <c r="S1002" s="5" t="b">
        <v>1</v>
      </c>
    </row>
    <row r="1003" ht="15.75" customHeight="1"/>
    <row r="1004" ht="15.75" customHeight="1">
      <c r="S1004" s="5" t="b">
        <v>1</v>
      </c>
    </row>
    <row r="1005" ht="15.75" customHeight="1">
      <c r="S1005" s="5" t="b">
        <v>1</v>
      </c>
    </row>
    <row r="1006" ht="15.75" customHeight="1"/>
    <row r="1007" ht="15.75" customHeight="1">
      <c r="S1007" s="5" t="b">
        <v>1</v>
      </c>
    </row>
    <row r="1008" ht="15.75" customHeight="1">
      <c r="S1008" s="5" t="b">
        <v>1</v>
      </c>
    </row>
    <row r="1009" ht="15.75" customHeight="1">
      <c r="S1009" s="5" t="b">
        <v>1</v>
      </c>
      <c r="W1009" s="5" t="s">
        <v>7984</v>
      </c>
    </row>
    <row r="1010" ht="15.75" customHeight="1">
      <c r="S1010" s="5" t="b">
        <v>1</v>
      </c>
      <c r="W1010" s="5" t="s">
        <v>7985</v>
      </c>
    </row>
    <row r="1011" ht="15.75" customHeight="1">
      <c r="S1011" s="5" t="b">
        <v>1</v>
      </c>
      <c r="W1011" s="5" t="s">
        <v>7986</v>
      </c>
    </row>
    <row r="1012" ht="15.75" customHeight="1">
      <c r="S1012" s="5" t="b">
        <v>1</v>
      </c>
    </row>
    <row r="1013" ht="15.75" customHeight="1">
      <c r="S1013" s="5" t="b">
        <v>1</v>
      </c>
    </row>
    <row r="1014" ht="15.75" customHeight="1">
      <c r="S1014" s="5" t="b">
        <v>1</v>
      </c>
    </row>
    <row r="1015" ht="15.75" customHeight="1"/>
    <row r="1016" ht="15.75" customHeight="1"/>
    <row r="1017" ht="15.75" customHeight="1">
      <c r="S1017" s="5" t="b">
        <v>1</v>
      </c>
    </row>
    <row r="1018" ht="15.75" customHeight="1">
      <c r="S1018" s="5" t="b">
        <v>1</v>
      </c>
    </row>
    <row r="1019" ht="15.75" customHeight="1">
      <c r="S1019" s="5" t="b">
        <v>1</v>
      </c>
    </row>
    <row r="1020" ht="15.75" customHeight="1">
      <c r="S1020" s="5" t="b">
        <v>1</v>
      </c>
    </row>
    <row r="1021" ht="15.75" customHeight="1">
      <c r="S1021" s="5" t="b">
        <v>1</v>
      </c>
    </row>
    <row r="1022" ht="15.75" customHeight="1">
      <c r="S1022" s="5" t="b">
        <v>1</v>
      </c>
    </row>
    <row r="1023" ht="15.75" customHeight="1">
      <c r="S1023" s="5" t="b">
        <v>1</v>
      </c>
    </row>
    <row r="1024" ht="15.75" customHeight="1">
      <c r="S1024" s="5" t="b">
        <v>1</v>
      </c>
    </row>
    <row r="1025" ht="15.75" customHeight="1">
      <c r="S1025" s="5" t="b">
        <v>1</v>
      </c>
    </row>
    <row r="1026" ht="15.75" customHeight="1">
      <c r="S1026" s="5" t="b">
        <v>1</v>
      </c>
    </row>
    <row r="1027" ht="15.75" customHeight="1">
      <c r="S1027" s="5" t="b">
        <v>1</v>
      </c>
    </row>
    <row r="1028" ht="15.75" customHeight="1">
      <c r="S1028" s="5" t="b">
        <v>1</v>
      </c>
    </row>
    <row r="1029" ht="15.75" customHeight="1">
      <c r="S1029" s="5" t="b">
        <v>1</v>
      </c>
    </row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>
      <c r="S1041" s="5" t="b">
        <v>1</v>
      </c>
      <c r="U1041" s="5" t="b">
        <v>1</v>
      </c>
    </row>
    <row r="1042" ht="15.75" customHeight="1">
      <c r="S1042" s="5" t="b">
        <v>1</v>
      </c>
      <c r="U1042" s="5" t="b">
        <v>1</v>
      </c>
      <c r="W1042" s="5" t="s">
        <v>7987</v>
      </c>
    </row>
    <row r="1043" ht="15.75" customHeight="1">
      <c r="S1043" s="5" t="b">
        <v>1</v>
      </c>
      <c r="U1043" s="5" t="b">
        <v>1</v>
      </c>
    </row>
    <row r="1044" ht="15.75" customHeight="1">
      <c r="S1044" s="5" t="b">
        <v>1</v>
      </c>
      <c r="U1044" s="5" t="b">
        <v>1</v>
      </c>
      <c r="W1044" s="5" t="s">
        <v>7988</v>
      </c>
    </row>
    <row r="1045" ht="15.75" customHeight="1">
      <c r="S1045" s="5" t="b">
        <v>1</v>
      </c>
      <c r="U1045" s="5" t="b">
        <v>1</v>
      </c>
    </row>
    <row r="1046" ht="15.75" customHeight="1">
      <c r="S1046" s="5" t="b">
        <v>1</v>
      </c>
      <c r="U1046" s="5" t="b">
        <v>1</v>
      </c>
    </row>
    <row r="1047" ht="15.75" customHeight="1">
      <c r="S1047" s="5" t="b">
        <v>1</v>
      </c>
      <c r="U1047" s="5" t="b">
        <v>1</v>
      </c>
    </row>
    <row r="1048" ht="15.75" customHeight="1">
      <c r="S1048" s="5" t="b">
        <v>1</v>
      </c>
      <c r="U1048" s="5" t="b">
        <v>1</v>
      </c>
    </row>
    <row r="1049" ht="15.75" customHeight="1">
      <c r="S1049" s="5" t="b">
        <v>1</v>
      </c>
      <c r="U1049" s="5" t="b">
        <v>1</v>
      </c>
    </row>
    <row r="1050" ht="15.75" customHeight="1">
      <c r="S1050" s="5" t="b">
        <v>1</v>
      </c>
      <c r="U1050" s="5" t="b">
        <v>1</v>
      </c>
    </row>
    <row r="1051" ht="15.75" customHeight="1">
      <c r="S1051" s="5" t="b">
        <v>1</v>
      </c>
    </row>
    <row r="1052" ht="15.75" customHeight="1">
      <c r="S1052" s="5" t="b">
        <v>1</v>
      </c>
      <c r="U1052" s="5" t="b">
        <v>1</v>
      </c>
    </row>
    <row r="1053" ht="15.75" customHeight="1">
      <c r="S1053" s="5" t="b">
        <v>1</v>
      </c>
      <c r="U1053" s="5" t="b">
        <v>1</v>
      </c>
    </row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>
      <c r="S1067" s="5" t="b">
        <v>1</v>
      </c>
    </row>
    <row r="1068" ht="15.75" customHeight="1">
      <c r="S1068" s="5" t="b">
        <v>1</v>
      </c>
    </row>
    <row r="1069" ht="15.75" customHeight="1">
      <c r="S1069" s="5" t="b">
        <v>1</v>
      </c>
    </row>
    <row r="1070" ht="15.75" customHeight="1">
      <c r="S1070" s="5" t="b">
        <v>1</v>
      </c>
    </row>
    <row r="1071" ht="15.75" customHeight="1">
      <c r="S1071" s="5" t="b">
        <v>1</v>
      </c>
    </row>
    <row r="1072" ht="15.75" customHeight="1">
      <c r="S1072" s="5" t="b">
        <v>1</v>
      </c>
    </row>
    <row r="1073" ht="15.75" customHeight="1">
      <c r="S1073" s="5" t="b">
        <v>1</v>
      </c>
    </row>
    <row r="1074" ht="15.75" customHeight="1">
      <c r="W1074" s="5" t="s">
        <v>7989</v>
      </c>
    </row>
    <row r="1075" ht="15.75" customHeight="1">
      <c r="S1075" s="5" t="b">
        <v>1</v>
      </c>
    </row>
    <row r="1076" ht="15.75" customHeight="1">
      <c r="W1076" s="5" t="s">
        <v>7990</v>
      </c>
    </row>
    <row r="1077" ht="15.75" customHeight="1">
      <c r="S1077" s="5" t="b">
        <v>1</v>
      </c>
    </row>
    <row r="1078" ht="15.75" customHeight="1"/>
    <row r="1079" ht="15.75" customHeight="1">
      <c r="S1079" s="5" t="b">
        <v>1</v>
      </c>
    </row>
    <row r="1080" ht="15.75" customHeight="1">
      <c r="S1080" s="5" t="b">
        <v>1</v>
      </c>
    </row>
    <row r="1081" ht="15.75" customHeight="1">
      <c r="S1081" s="5" t="b">
        <v>1</v>
      </c>
    </row>
    <row r="1082" ht="15.75" customHeight="1">
      <c r="S1082" s="5" t="b">
        <v>1</v>
      </c>
    </row>
    <row r="1083" ht="15.75" customHeight="1">
      <c r="S1083" s="5" t="b">
        <v>1</v>
      </c>
    </row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>
      <c r="S1098" s="5" t="b">
        <v>1</v>
      </c>
    </row>
    <row r="1099" ht="15.75" customHeight="1">
      <c r="S1099" s="5" t="b">
        <v>1</v>
      </c>
      <c r="W1099" s="5" t="s">
        <v>7991</v>
      </c>
    </row>
    <row r="1100" ht="15.75" customHeight="1">
      <c r="S1100" s="5" t="b">
        <v>1</v>
      </c>
    </row>
    <row r="1101" ht="15.75" customHeight="1">
      <c r="S1101" s="5" t="b">
        <v>1</v>
      </c>
      <c r="W1101" s="5" t="s">
        <v>7991</v>
      </c>
    </row>
    <row r="1102" ht="15.75" customHeight="1"/>
    <row r="1103" ht="15.75" customHeight="1">
      <c r="S1103" s="5" t="b">
        <v>1</v>
      </c>
    </row>
    <row r="1104" ht="15.75" customHeight="1">
      <c r="S1104" s="5" t="b">
        <v>1</v>
      </c>
    </row>
    <row r="1105" ht="15.75" customHeight="1">
      <c r="S1105" s="5" t="b">
        <v>1</v>
      </c>
    </row>
    <row r="1106" ht="15.75" customHeight="1">
      <c r="S1106" s="5" t="b">
        <v>1</v>
      </c>
    </row>
    <row r="1107" ht="15.75" customHeight="1">
      <c r="S1107" s="5" t="b">
        <v>1</v>
      </c>
    </row>
    <row r="1108" ht="15.75" customHeight="1"/>
    <row r="1109" ht="15.75" customHeight="1">
      <c r="S1109" s="5" t="b">
        <v>1</v>
      </c>
    </row>
    <row r="1110" ht="15.75" customHeight="1">
      <c r="S1110" s="5" t="b">
        <v>1</v>
      </c>
    </row>
    <row r="1111" ht="15.75" customHeight="1">
      <c r="S1111" s="5" t="b">
        <v>1</v>
      </c>
    </row>
    <row r="1112" ht="15.75" customHeight="1">
      <c r="S1112" s="5" t="b">
        <v>1</v>
      </c>
    </row>
    <row r="1113" ht="15.75" customHeight="1">
      <c r="S1113" s="5" t="b">
        <v>1</v>
      </c>
    </row>
    <row r="1114" ht="15.75" customHeight="1">
      <c r="S1114" s="5" t="b">
        <v>1</v>
      </c>
    </row>
    <row r="1115" ht="15.75" customHeight="1">
      <c r="S1115" s="5" t="b">
        <v>1</v>
      </c>
    </row>
    <row r="1116" ht="15.75" customHeight="1"/>
    <row r="1117" ht="15.75" customHeight="1">
      <c r="S1117" s="5" t="b">
        <v>1</v>
      </c>
    </row>
    <row r="1118" ht="15.75" customHeight="1">
      <c r="S1118" s="5" t="b">
        <v>1</v>
      </c>
    </row>
    <row r="1119" ht="15.75" customHeight="1">
      <c r="S1119" s="5" t="b">
        <v>1</v>
      </c>
    </row>
    <row r="1120" ht="15.75" customHeight="1">
      <c r="S1120" s="5" t="b">
        <v>1</v>
      </c>
    </row>
    <row r="1121" ht="15.75" customHeight="1">
      <c r="S1121" s="5" t="b">
        <v>1</v>
      </c>
    </row>
    <row r="1122" ht="15.75" customHeight="1">
      <c r="S1122" s="5" t="b">
        <v>1</v>
      </c>
    </row>
    <row r="1123" ht="15.75" customHeight="1">
      <c r="S1123" s="5" t="b">
        <v>1</v>
      </c>
    </row>
    <row r="1124" ht="15.75" customHeight="1">
      <c r="S1124" s="5" t="b">
        <v>1</v>
      </c>
      <c r="W1124" s="5" t="s">
        <v>7992</v>
      </c>
    </row>
    <row r="1125" ht="15.75" customHeight="1">
      <c r="S1125" s="5" t="b">
        <v>1</v>
      </c>
      <c r="W1125" s="5" t="s">
        <v>7993</v>
      </c>
    </row>
    <row r="1126" ht="15.75" customHeight="1">
      <c r="S1126" s="5" t="b">
        <v>1</v>
      </c>
      <c r="W1126" s="5" t="s">
        <v>7994</v>
      </c>
    </row>
    <row r="1127" ht="15.75" customHeight="1">
      <c r="S1127" s="5" t="b">
        <v>1</v>
      </c>
      <c r="W1127" s="5" t="s">
        <v>7995</v>
      </c>
    </row>
    <row r="1128" ht="15.75" customHeight="1">
      <c r="W1128" s="5" t="s">
        <v>7996</v>
      </c>
    </row>
    <row r="1129" ht="15.75" customHeight="1">
      <c r="S1129" s="5" t="b">
        <v>1</v>
      </c>
    </row>
    <row r="1130" ht="15.75" customHeight="1">
      <c r="S1130" s="5" t="b">
        <v>1</v>
      </c>
    </row>
    <row r="1131" ht="15.75" customHeight="1">
      <c r="S1131" s="5" t="b">
        <v>1</v>
      </c>
    </row>
    <row r="1132" ht="15.75" customHeight="1">
      <c r="S1132" s="5" t="b">
        <v>1</v>
      </c>
    </row>
    <row r="1133" ht="15.75" customHeight="1">
      <c r="S1133" s="5" t="b">
        <v>1</v>
      </c>
    </row>
    <row r="1134" ht="15.75" customHeight="1">
      <c r="S1134" s="5" t="b">
        <v>1</v>
      </c>
    </row>
    <row r="1135" ht="15.75" customHeight="1">
      <c r="S1135" s="5" t="b">
        <v>1</v>
      </c>
      <c r="W1135" s="5" t="s">
        <v>7997</v>
      </c>
    </row>
    <row r="1136" ht="15.75" customHeight="1">
      <c r="S1136" s="5" t="b">
        <v>1</v>
      </c>
    </row>
    <row r="1137" ht="15.75" customHeight="1">
      <c r="S1137" s="5" t="b">
        <v>1</v>
      </c>
    </row>
    <row r="1138" ht="15.75" customHeight="1">
      <c r="S1138" s="5" t="b">
        <v>1</v>
      </c>
    </row>
    <row r="1139" ht="15.75" customHeight="1">
      <c r="S1139" s="5" t="b">
        <v>1</v>
      </c>
    </row>
    <row r="1140" ht="15.75" customHeight="1">
      <c r="S1140" s="5" t="b">
        <v>1</v>
      </c>
    </row>
    <row r="1141" ht="15.75" customHeight="1">
      <c r="S1141" s="5" t="b">
        <v>1</v>
      </c>
    </row>
    <row r="1142" ht="15.75" customHeight="1">
      <c r="S1142" s="5" t="b">
        <v>1</v>
      </c>
    </row>
    <row r="1143" ht="15.75" customHeight="1">
      <c r="S1143" s="5" t="b">
        <v>1</v>
      </c>
    </row>
    <row r="1144" ht="15.75" customHeight="1">
      <c r="S1144" s="5" t="b">
        <v>1</v>
      </c>
    </row>
    <row r="1145" ht="15.75" customHeight="1">
      <c r="S1145" s="5" t="b">
        <v>1</v>
      </c>
    </row>
    <row r="1146" ht="15.75" customHeight="1">
      <c r="S1146" s="5" t="b">
        <v>1</v>
      </c>
    </row>
    <row r="1147" ht="15.75" customHeight="1">
      <c r="S1147" s="5" t="b">
        <v>1</v>
      </c>
    </row>
    <row r="1148" ht="15.75" customHeight="1">
      <c r="S1148" s="5" t="b">
        <v>1</v>
      </c>
    </row>
    <row r="1149" ht="15.75" customHeight="1">
      <c r="S1149" s="5" t="b">
        <v>1</v>
      </c>
    </row>
    <row r="1150" ht="15.75" customHeight="1">
      <c r="S1150" s="5" t="b">
        <v>1</v>
      </c>
    </row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>
      <c r="S1164" s="5" t="b">
        <v>1</v>
      </c>
    </row>
    <row r="1165" ht="15.75" customHeight="1">
      <c r="S1165" s="5" t="b">
        <v>1</v>
      </c>
    </row>
    <row r="1166" ht="15.75" customHeight="1">
      <c r="S1166" s="5" t="b">
        <v>1</v>
      </c>
    </row>
    <row r="1167" ht="15.75" customHeight="1">
      <c r="S1167" s="5" t="b">
        <v>1</v>
      </c>
    </row>
    <row r="1168" ht="15.75" customHeight="1">
      <c r="S1168" s="5" t="b">
        <v>1</v>
      </c>
    </row>
    <row r="1169" ht="15.75" customHeight="1">
      <c r="S1169" s="5" t="b">
        <v>1</v>
      </c>
    </row>
    <row r="1170" ht="15.75" customHeight="1">
      <c r="S1170" s="5" t="b">
        <v>1</v>
      </c>
    </row>
    <row r="1171" ht="15.75" customHeight="1">
      <c r="S1171" s="5" t="b">
        <v>1</v>
      </c>
    </row>
    <row r="1172" ht="15.75" customHeight="1">
      <c r="S1172" s="5" t="b">
        <v>1</v>
      </c>
    </row>
    <row r="1173" ht="15.75" customHeight="1">
      <c r="S1173" s="5" t="b">
        <v>1</v>
      </c>
    </row>
    <row r="1174" ht="15.75" customHeight="1">
      <c r="S1174" s="5" t="b">
        <v>1</v>
      </c>
    </row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>
      <c r="S1184" s="5" t="b">
        <v>1</v>
      </c>
      <c r="W1184" s="5" t="s">
        <v>7998</v>
      </c>
    </row>
    <row r="1185" ht="15.75" customHeight="1">
      <c r="S1185" s="5" t="b">
        <v>1</v>
      </c>
      <c r="W1185" s="5" t="s">
        <v>7999</v>
      </c>
    </row>
    <row r="1186" ht="15.75" customHeight="1">
      <c r="S1186" s="5" t="b">
        <v>1</v>
      </c>
      <c r="T1186" s="5" t="s">
        <v>7946</v>
      </c>
    </row>
    <row r="1187" ht="15.75" customHeight="1">
      <c r="S1187" s="5" t="b">
        <v>1</v>
      </c>
      <c r="T1187" s="5" t="s">
        <v>7946</v>
      </c>
    </row>
    <row r="1188" ht="15.75" customHeight="1">
      <c r="S1188" s="5" t="b">
        <v>1</v>
      </c>
      <c r="T1188" s="5" t="s">
        <v>7946</v>
      </c>
    </row>
    <row r="1189" ht="15.75" customHeight="1">
      <c r="S1189" s="5" t="b">
        <v>1</v>
      </c>
      <c r="T1189" s="5" t="s">
        <v>7946</v>
      </c>
    </row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>
      <c r="S1212" s="5" t="b">
        <v>1</v>
      </c>
    </row>
    <row r="1213" ht="15.75" customHeight="1">
      <c r="S1213" s="5" t="b">
        <v>1</v>
      </c>
    </row>
    <row r="1214" ht="15.75" customHeight="1">
      <c r="S1214" s="5" t="b">
        <v>1</v>
      </c>
    </row>
    <row r="1215" ht="15.75" customHeight="1">
      <c r="S1215" s="5" t="b">
        <v>1</v>
      </c>
    </row>
    <row r="1216" ht="15.75" customHeight="1">
      <c r="S1216" s="5" t="b">
        <v>1</v>
      </c>
    </row>
    <row r="1217" ht="15.75" customHeight="1">
      <c r="S1217" s="5" t="b">
        <v>1</v>
      </c>
    </row>
    <row r="1218" ht="15.75" customHeight="1">
      <c r="S1218" s="5" t="b">
        <v>1</v>
      </c>
    </row>
    <row r="1219" ht="15.75" customHeight="1">
      <c r="S1219" s="5" t="b">
        <v>1</v>
      </c>
    </row>
    <row r="1220" ht="15.75" customHeight="1">
      <c r="S1220" s="5" t="b">
        <v>1</v>
      </c>
    </row>
    <row r="1221" ht="15.75" customHeight="1"/>
    <row r="1222" ht="15.75" customHeight="1"/>
    <row r="1223" ht="15.75" customHeight="1"/>
    <row r="1224" ht="15.75" customHeight="1">
      <c r="S1224" s="5" t="b">
        <v>1</v>
      </c>
    </row>
    <row r="1225" ht="15.75" customHeight="1">
      <c r="S1225" s="5" t="b">
        <v>1</v>
      </c>
    </row>
    <row r="1226" ht="15.75" customHeight="1">
      <c r="S1226" s="5" t="b">
        <v>1</v>
      </c>
    </row>
    <row r="1227" ht="15.75" customHeight="1">
      <c r="S1227" s="5" t="b">
        <v>1</v>
      </c>
    </row>
    <row r="1228" ht="15.75" customHeight="1">
      <c r="S1228" s="5" t="b">
        <v>1</v>
      </c>
    </row>
    <row r="1229" ht="15.75" customHeight="1">
      <c r="S1229" s="5" t="b">
        <v>1</v>
      </c>
    </row>
    <row r="1230" ht="15.75" customHeight="1">
      <c r="S1230" s="5" t="b">
        <v>1</v>
      </c>
    </row>
    <row r="1231" ht="15.75" customHeight="1">
      <c r="S1231" s="5" t="b">
        <v>1</v>
      </c>
    </row>
    <row r="1232" ht="15.75" customHeight="1"/>
    <row r="1233" ht="15.75" customHeight="1">
      <c r="S1233" s="5" t="b">
        <v>1</v>
      </c>
    </row>
    <row r="1234" ht="15.75" customHeight="1">
      <c r="S1234" s="5" t="b">
        <v>1</v>
      </c>
    </row>
    <row r="1235" ht="15.75" customHeight="1">
      <c r="S1235" s="5" t="b">
        <v>1</v>
      </c>
    </row>
    <row r="1236" ht="15.75" customHeight="1">
      <c r="S1236" s="5" t="b">
        <v>1</v>
      </c>
    </row>
    <row r="1237" ht="15.75" customHeight="1">
      <c r="S1237" s="5" t="b">
        <v>1</v>
      </c>
    </row>
    <row r="1238" ht="15.75" customHeight="1">
      <c r="S1238" s="5" t="b">
        <v>1</v>
      </c>
    </row>
    <row r="1239" ht="15.75" customHeight="1">
      <c r="S1239" s="5" t="b">
        <v>1</v>
      </c>
    </row>
    <row r="1240" ht="15.75" customHeight="1">
      <c r="S1240" s="5" t="b">
        <v>1</v>
      </c>
    </row>
    <row r="1241" ht="15.75" customHeight="1">
      <c r="S1241" s="5" t="b">
        <v>1</v>
      </c>
    </row>
    <row r="1242" ht="15.75" customHeight="1">
      <c r="S1242" s="5" t="b">
        <v>1</v>
      </c>
    </row>
    <row r="1243" ht="15.75" customHeight="1">
      <c r="S1243" s="5" t="b">
        <v>1</v>
      </c>
    </row>
    <row r="1244" ht="15.75" customHeight="1"/>
    <row r="1245" ht="15.75" customHeight="1"/>
    <row r="1246" ht="15.75" customHeight="1">
      <c r="S1246" s="5" t="b">
        <v>1</v>
      </c>
    </row>
    <row r="1247" ht="15.75" customHeight="1">
      <c r="S1247" s="5" t="b">
        <v>1</v>
      </c>
    </row>
    <row r="1248" ht="15.75" customHeight="1">
      <c r="S1248" s="5" t="b">
        <v>1</v>
      </c>
    </row>
    <row r="1249" ht="15.75" customHeight="1">
      <c r="S1249" s="5" t="b">
        <v>1</v>
      </c>
    </row>
    <row r="1250" ht="15.75" customHeight="1">
      <c r="S1250" s="5" t="b">
        <v>1</v>
      </c>
    </row>
    <row r="1251" ht="15.75" customHeight="1">
      <c r="S1251" s="5" t="b">
        <v>1</v>
      </c>
    </row>
    <row r="1252" ht="15.75" customHeight="1">
      <c r="S1252" s="5" t="b">
        <v>1</v>
      </c>
    </row>
    <row r="1253" ht="15.75" customHeight="1">
      <c r="S1253" s="5" t="b">
        <v>1</v>
      </c>
    </row>
    <row r="1254" ht="15.75" customHeight="1">
      <c r="S1254" s="5" t="b">
        <v>1</v>
      </c>
    </row>
    <row r="1255" ht="15.75" customHeight="1">
      <c r="S1255" s="5" t="b">
        <v>1</v>
      </c>
    </row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>
      <c r="S1273" s="5" t="b">
        <v>1</v>
      </c>
    </row>
    <row r="1274" ht="15.75" customHeight="1"/>
    <row r="1275" ht="15.75" customHeight="1">
      <c r="S1275" s="5" t="b">
        <v>1</v>
      </c>
    </row>
    <row r="1276" ht="15.75" customHeight="1">
      <c r="S1276" s="5" t="b">
        <v>1</v>
      </c>
    </row>
    <row r="1277" ht="15.75" customHeight="1">
      <c r="S1277" s="5" t="b">
        <v>1</v>
      </c>
    </row>
    <row r="1278" ht="15.75" customHeight="1">
      <c r="S1278" s="5" t="b">
        <v>1</v>
      </c>
    </row>
    <row r="1279" ht="15.75" customHeight="1">
      <c r="S1279" s="5" t="b">
        <v>1</v>
      </c>
      <c r="U1279" s="5" t="b">
        <v>0</v>
      </c>
    </row>
    <row r="1280" ht="15.75" customHeight="1">
      <c r="S1280" s="5" t="b">
        <v>1</v>
      </c>
    </row>
    <row r="1281" ht="15.75" customHeight="1">
      <c r="S1281" s="5" t="b">
        <v>1</v>
      </c>
    </row>
    <row r="1282" ht="15.75" customHeight="1">
      <c r="S1282" s="5" t="b">
        <v>1</v>
      </c>
    </row>
    <row r="1283" ht="15.75" customHeight="1">
      <c r="S1283" s="5" t="b">
        <v>1</v>
      </c>
    </row>
    <row r="1284" ht="15.75" customHeight="1">
      <c r="S1284" s="5" t="b">
        <v>1</v>
      </c>
    </row>
    <row r="1285" ht="15.75" customHeight="1">
      <c r="S1285" s="5" t="b">
        <v>1</v>
      </c>
    </row>
    <row r="1286" ht="15.75" customHeight="1">
      <c r="S1286" s="5" t="b">
        <v>1</v>
      </c>
    </row>
    <row r="1287" ht="15.75" customHeight="1">
      <c r="S1287" s="5" t="b">
        <v>1</v>
      </c>
    </row>
    <row r="1288" ht="15.75" customHeight="1">
      <c r="S1288" s="5" t="b">
        <v>1</v>
      </c>
    </row>
    <row r="1289" ht="15.75" customHeight="1"/>
    <row r="1290" ht="15.75" customHeight="1"/>
    <row r="1291" ht="15.75" customHeight="1"/>
    <row r="1292" ht="15.75" customHeight="1"/>
    <row r="1293" ht="15.75" customHeight="1"/>
    <row r="1294" ht="15.75" customHeight="1"/>
    <row r="1295" ht="15.75" customHeight="1"/>
    <row r="1296" ht="15.75" customHeight="1"/>
    <row r="1297" ht="15.75" customHeight="1"/>
    <row r="1298" ht="15.75" customHeight="1"/>
    <row r="1299" ht="15.75" customHeight="1"/>
    <row r="1300" ht="15.75" customHeight="1"/>
    <row r="1301" ht="15.75" customHeight="1"/>
    <row r="1302" ht="15.75" customHeight="1"/>
    <row r="1303" ht="15.75" customHeight="1"/>
    <row r="1304" ht="15.75" customHeight="1"/>
    <row r="1305" ht="15.75" customHeight="1"/>
    <row r="1306" ht="15.75" customHeight="1"/>
    <row r="1307" ht="15.75" customHeight="1"/>
    <row r="1308" ht="15.75" customHeight="1"/>
    <row r="1309" ht="15.75" customHeight="1"/>
    <row r="1310" ht="15.75" customHeight="1"/>
    <row r="1311" ht="15.75" customHeight="1"/>
    <row r="1312" ht="15.75" customHeight="1">
      <c r="S1312" s="5" t="b">
        <v>1</v>
      </c>
    </row>
    <row r="1313" ht="15.75" customHeight="1">
      <c r="S1313" s="5" t="b">
        <v>1</v>
      </c>
    </row>
    <row r="1314" ht="15.75" customHeight="1">
      <c r="S1314" s="5" t="b">
        <v>1</v>
      </c>
    </row>
    <row r="1315" ht="15.75" customHeight="1"/>
    <row r="1316" ht="15.75" customHeight="1"/>
    <row r="1317" ht="15.75" customHeight="1"/>
    <row r="1318" ht="15.75" customHeight="1"/>
    <row r="1319" ht="15.75" customHeight="1"/>
    <row r="1320" ht="15.75" customHeight="1"/>
    <row r="1321" ht="15.75" customHeight="1"/>
    <row r="1322" ht="15.75" customHeight="1"/>
    <row r="1323" ht="15.75" customHeight="1"/>
    <row r="1324" ht="15.75" customHeight="1"/>
    <row r="1325" ht="15.75" customHeight="1"/>
    <row r="1326" ht="15.75" customHeight="1"/>
    <row r="1327" ht="15.75" customHeight="1"/>
    <row r="1328" ht="15.75" customHeight="1"/>
    <row r="1329" ht="15.75" customHeight="1"/>
    <row r="1330" ht="15.75" customHeight="1"/>
    <row r="1331" ht="15.75" customHeight="1"/>
    <row r="1332" ht="15.75" customHeight="1"/>
    <row r="1333" ht="15.75" customHeight="1"/>
    <row r="1334" ht="15.75" customHeight="1">
      <c r="S1334" s="5" t="b">
        <v>1</v>
      </c>
    </row>
    <row r="1335" ht="15.75" customHeight="1">
      <c r="S1335" s="5" t="b">
        <v>1</v>
      </c>
    </row>
    <row r="1336" ht="15.75" customHeight="1">
      <c r="S1336" s="5" t="b">
        <v>1</v>
      </c>
    </row>
    <row r="1337" ht="15.75" customHeight="1">
      <c r="S1337" s="5" t="b">
        <v>1</v>
      </c>
    </row>
    <row r="1338" ht="15.75" customHeight="1">
      <c r="S1338" s="5" t="b">
        <v>1</v>
      </c>
    </row>
    <row r="1339" ht="15.75" customHeight="1"/>
    <row r="1340" ht="15.75" customHeight="1"/>
    <row r="1341" ht="15.75" customHeight="1"/>
    <row r="1342" ht="15.75" customHeight="1"/>
    <row r="1343" ht="15.75" customHeight="1">
      <c r="S1343" s="5" t="b">
        <v>1</v>
      </c>
    </row>
    <row r="1344" ht="15.75" customHeight="1">
      <c r="S1344" s="5" t="b">
        <v>1</v>
      </c>
    </row>
    <row r="1345" ht="15.75" customHeight="1">
      <c r="S1345" s="5" t="b">
        <v>1</v>
      </c>
    </row>
    <row r="1346" ht="15.75" customHeight="1">
      <c r="S1346" s="5" t="b">
        <v>1</v>
      </c>
    </row>
    <row r="1347" ht="15.75" customHeight="1">
      <c r="S1347" s="5" t="b">
        <v>1</v>
      </c>
    </row>
    <row r="1348" ht="15.75" customHeight="1">
      <c r="S1348" s="5" t="b">
        <v>1</v>
      </c>
      <c r="W1348" s="5" t="s">
        <v>8000</v>
      </c>
    </row>
    <row r="1349" ht="15.75" customHeight="1">
      <c r="S1349" s="5" t="b">
        <v>1</v>
      </c>
    </row>
    <row r="1350" ht="15.75" customHeight="1">
      <c r="S1350" s="5" t="b">
        <v>1</v>
      </c>
    </row>
    <row r="1351" ht="15.75" customHeight="1">
      <c r="S1351" s="5" t="b">
        <v>1</v>
      </c>
    </row>
    <row r="1352" ht="15.75" customHeight="1"/>
    <row r="1353" ht="15.75" customHeight="1"/>
    <row r="1354" ht="15.75" customHeight="1">
      <c r="S1354" s="5" t="b">
        <v>1</v>
      </c>
    </row>
    <row r="1355" ht="15.75" customHeight="1"/>
    <row r="1356" ht="15.75" customHeight="1"/>
    <row r="1357" ht="15.75" customHeight="1"/>
    <row r="1358" ht="15.75" customHeight="1"/>
    <row r="1359" ht="15.75" customHeight="1"/>
    <row r="1360" ht="15.75" customHeight="1"/>
    <row r="1361" ht="15.75" customHeight="1"/>
    <row r="1362" ht="15.75" customHeight="1"/>
    <row r="1363" ht="15.75" customHeight="1"/>
    <row r="1364" ht="15.75" customHeight="1"/>
    <row r="1365" ht="15.75" customHeight="1">
      <c r="S1365" s="5" t="b">
        <v>1</v>
      </c>
    </row>
    <row r="1366" ht="15.75" customHeight="1">
      <c r="S1366" s="5" t="b">
        <v>1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2.63"/>
  </cols>
  <sheetData>
    <row r="1" ht="15.75" customHeight="1">
      <c r="A1" s="1" t="s">
        <v>8001</v>
      </c>
      <c r="B1" s="1" t="s">
        <v>7740</v>
      </c>
      <c r="C1" s="1" t="s">
        <v>7768</v>
      </c>
      <c r="D1" s="1" t="s">
        <v>7861</v>
      </c>
      <c r="E1" s="1" t="s">
        <v>8002</v>
      </c>
      <c r="F1" s="1" t="s">
        <v>8003</v>
      </c>
      <c r="G1" s="1" t="s">
        <v>8004</v>
      </c>
    </row>
    <row r="2" ht="15.75" customHeight="1">
      <c r="A2" s="5" t="s">
        <v>8005</v>
      </c>
      <c r="B2" s="59">
        <v>45749.0</v>
      </c>
      <c r="C2" s="5">
        <v>83.0</v>
      </c>
      <c r="D2" s="5" t="s">
        <v>3909</v>
      </c>
      <c r="E2" s="5" t="s">
        <v>8006</v>
      </c>
      <c r="F2" s="5">
        <v>15.0</v>
      </c>
    </row>
    <row r="3" ht="15.75" customHeight="1">
      <c r="A3" s="5" t="s">
        <v>8007</v>
      </c>
      <c r="B3" s="59">
        <v>45749.0</v>
      </c>
      <c r="C3" s="5">
        <v>83.0</v>
      </c>
      <c r="D3" s="5" t="s">
        <v>3909</v>
      </c>
      <c r="E3" s="5" t="s">
        <v>8008</v>
      </c>
      <c r="F3" s="5">
        <v>14.0</v>
      </c>
    </row>
    <row r="4" ht="15.75" customHeight="1">
      <c r="A4" s="5" t="s">
        <v>8009</v>
      </c>
      <c r="B4" s="59">
        <v>45749.0</v>
      </c>
      <c r="C4" s="5">
        <v>80.0</v>
      </c>
      <c r="D4" s="5" t="s">
        <v>3911</v>
      </c>
      <c r="E4" s="5" t="s">
        <v>8006</v>
      </c>
      <c r="F4" s="5">
        <v>13.0</v>
      </c>
    </row>
    <row r="5" ht="15.75" customHeight="1">
      <c r="A5" s="5" t="s">
        <v>8010</v>
      </c>
      <c r="B5" s="59">
        <v>45749.0</v>
      </c>
      <c r="C5" s="5">
        <v>80.0</v>
      </c>
      <c r="D5" s="5" t="s">
        <v>3911</v>
      </c>
      <c r="E5" s="5" t="s">
        <v>8006</v>
      </c>
      <c r="F5" s="5">
        <v>13.0</v>
      </c>
    </row>
    <row r="6" ht="15.75" customHeight="1">
      <c r="A6" s="5" t="s">
        <v>8011</v>
      </c>
      <c r="B6" s="59">
        <v>45743.0</v>
      </c>
      <c r="C6" s="5">
        <v>92.0</v>
      </c>
      <c r="D6" s="5" t="s">
        <v>3884</v>
      </c>
      <c r="E6" s="5" t="s">
        <v>8006</v>
      </c>
      <c r="F6" s="5">
        <v>13.0</v>
      </c>
    </row>
    <row r="7" ht="15.75" customHeight="1">
      <c r="A7" s="5" t="s">
        <v>8012</v>
      </c>
      <c r="B7" s="59">
        <v>45743.0</v>
      </c>
      <c r="C7" s="5">
        <v>92.0</v>
      </c>
      <c r="D7" s="5" t="s">
        <v>3884</v>
      </c>
      <c r="E7" s="5" t="s">
        <v>8008</v>
      </c>
      <c r="F7" s="5">
        <v>14.0</v>
      </c>
    </row>
    <row r="8" ht="15.75" customHeight="1">
      <c r="A8" s="5" t="s">
        <v>8013</v>
      </c>
      <c r="B8" s="59">
        <v>45748.0</v>
      </c>
      <c r="C8" s="5">
        <v>85.0</v>
      </c>
      <c r="D8" s="5" t="s">
        <v>3863</v>
      </c>
      <c r="E8" s="5" t="s">
        <v>8006</v>
      </c>
      <c r="F8" s="5">
        <v>4.0</v>
      </c>
      <c r="G8" s="5">
        <v>28.0</v>
      </c>
    </row>
    <row r="9" ht="15.75" customHeight="1">
      <c r="A9" s="5" t="s">
        <v>8014</v>
      </c>
      <c r="B9" s="59">
        <v>45748.0</v>
      </c>
      <c r="C9" s="5">
        <v>85.0</v>
      </c>
      <c r="D9" s="5" t="s">
        <v>3863</v>
      </c>
      <c r="E9" s="5" t="s">
        <v>8008</v>
      </c>
      <c r="F9" s="5">
        <v>2.5</v>
      </c>
      <c r="G9" s="5">
        <v>29.0</v>
      </c>
    </row>
    <row r="10" ht="15.75" customHeight="1">
      <c r="A10" s="5" t="s">
        <v>8015</v>
      </c>
      <c r="B10" s="59">
        <v>45749.0</v>
      </c>
      <c r="C10" s="5">
        <v>85.0</v>
      </c>
      <c r="D10" s="5" t="s">
        <v>3863</v>
      </c>
      <c r="E10" s="5" t="s">
        <v>8006</v>
      </c>
      <c r="F10" s="5">
        <v>1.5</v>
      </c>
      <c r="G10" s="5">
        <v>29.0</v>
      </c>
    </row>
    <row r="11" ht="15.75" customHeight="1">
      <c r="A11" s="5" t="s">
        <v>8016</v>
      </c>
      <c r="B11" s="59">
        <v>45749.0</v>
      </c>
      <c r="C11" s="5">
        <v>85.0</v>
      </c>
      <c r="D11" s="5" t="s">
        <v>3863</v>
      </c>
      <c r="E11" s="5" t="s">
        <v>8008</v>
      </c>
      <c r="F11" s="5">
        <v>0.5</v>
      </c>
      <c r="G11" s="5">
        <v>29.0</v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4" width="12.63"/>
    <col customWidth="1" min="5" max="5" width="15.63"/>
    <col customWidth="1" min="6" max="6" width="12.63"/>
  </cols>
  <sheetData>
    <row r="1" ht="15.75" customHeight="1">
      <c r="A1" s="31" t="s">
        <v>8017</v>
      </c>
      <c r="B1" s="31" t="s">
        <v>7740</v>
      </c>
      <c r="C1" s="31" t="s">
        <v>7768</v>
      </c>
      <c r="D1" s="31" t="s">
        <v>8018</v>
      </c>
      <c r="E1" s="31" t="s">
        <v>7783</v>
      </c>
      <c r="F1" s="31" t="s">
        <v>7937</v>
      </c>
      <c r="G1" s="31" t="s">
        <v>7938</v>
      </c>
      <c r="H1" s="31" t="s">
        <v>8019</v>
      </c>
      <c r="I1" s="31"/>
    </row>
    <row r="2" ht="15.75" customHeight="1">
      <c r="A2" s="5" t="s">
        <v>8020</v>
      </c>
      <c r="B2" s="59">
        <v>45740.0</v>
      </c>
      <c r="C2" s="5">
        <v>15.0</v>
      </c>
      <c r="D2" s="5" t="s">
        <v>8021</v>
      </c>
    </row>
    <row r="3" ht="15.75" customHeight="1">
      <c r="A3" s="5" t="s">
        <v>8022</v>
      </c>
      <c r="B3" s="59">
        <v>45742.0</v>
      </c>
      <c r="C3" s="5">
        <v>6.0</v>
      </c>
      <c r="D3" s="5" t="s">
        <v>8021</v>
      </c>
      <c r="F3" s="5" t="s">
        <v>7953</v>
      </c>
    </row>
    <row r="4" ht="15.75" customHeight="1">
      <c r="A4" s="5" t="s">
        <v>8023</v>
      </c>
      <c r="B4" s="59">
        <v>45742.0</v>
      </c>
      <c r="C4" s="5">
        <v>7.0</v>
      </c>
      <c r="D4" s="5" t="s">
        <v>8024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2.63"/>
  </cols>
  <sheetData>
    <row r="1" ht="15.75" customHeight="1">
      <c r="A1" s="31" t="s">
        <v>8025</v>
      </c>
    </row>
    <row r="2" ht="15.75" customHeight="1">
      <c r="A2" s="5" t="s">
        <v>8021</v>
      </c>
    </row>
    <row r="3" ht="15.75" customHeight="1">
      <c r="A3" s="5" t="s">
        <v>8024</v>
      </c>
    </row>
    <row r="4" ht="15.75" customHeight="1">
      <c r="A4" s="5" t="s">
        <v>8026</v>
      </c>
    </row>
    <row r="5" ht="15.75" customHeight="1">
      <c r="A5" s="5" t="s">
        <v>8027</v>
      </c>
    </row>
    <row r="6" ht="15.75" customHeight="1">
      <c r="A6" s="5" t="s">
        <v>8028</v>
      </c>
    </row>
    <row r="7" ht="15.75" customHeight="1">
      <c r="A7" s="5" t="s">
        <v>8029</v>
      </c>
    </row>
    <row r="8" ht="15.75" customHeight="1">
      <c r="A8" s="5" t="s">
        <v>8030</v>
      </c>
    </row>
    <row r="9" ht="15.75" customHeight="1">
      <c r="A9" s="5" t="s">
        <v>8031</v>
      </c>
    </row>
    <row r="10" ht="15.75" customHeight="1">
      <c r="A10" s="5" t="s">
        <v>8032</v>
      </c>
    </row>
    <row r="11" ht="15.75" customHeight="1">
      <c r="A11" s="5" t="s">
        <v>8033</v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8.0"/>
    <col customWidth="1" min="2" max="6" width="12.63"/>
  </cols>
  <sheetData>
    <row r="1" ht="15.75" customHeight="1">
      <c r="A1" s="3" t="s">
        <v>8034</v>
      </c>
      <c r="B1" s="3" t="s">
        <v>8035</v>
      </c>
    </row>
    <row r="2" ht="15.75" customHeight="1">
      <c r="A2" s="5" t="s">
        <v>8036</v>
      </c>
      <c r="B2" s="5" t="s">
        <v>8037</v>
      </c>
    </row>
    <row r="3" ht="15.75" customHeight="1">
      <c r="A3" s="5" t="s">
        <v>8038</v>
      </c>
      <c r="B3" s="5" t="s">
        <v>8037</v>
      </c>
    </row>
    <row r="4" ht="15.75" customHeight="1">
      <c r="A4" s="5" t="s">
        <v>8039</v>
      </c>
      <c r="B4" s="5" t="s">
        <v>8040</v>
      </c>
    </row>
    <row r="5" ht="15.75" customHeight="1">
      <c r="A5" s="5" t="s">
        <v>8041</v>
      </c>
      <c r="B5" s="5" t="s">
        <v>8042</v>
      </c>
    </row>
    <row r="6" ht="15.75" customHeight="1">
      <c r="A6" s="5" t="s">
        <v>8043</v>
      </c>
      <c r="B6" s="5" t="s">
        <v>8040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2.63"/>
  </cols>
  <sheetData>
    <row r="1" ht="15.75" customHeight="1">
      <c r="A1" s="5" t="s">
        <v>8044</v>
      </c>
      <c r="B1" s="5" t="s">
        <v>8045</v>
      </c>
    </row>
    <row r="2" ht="15.75" customHeight="1">
      <c r="A2" s="5" t="s">
        <v>7946</v>
      </c>
      <c r="B2" s="5" t="s">
        <v>8046</v>
      </c>
    </row>
    <row r="3" ht="15.75" customHeight="1">
      <c r="A3" s="5" t="s">
        <v>7948</v>
      </c>
      <c r="B3" s="5" t="s">
        <v>8047</v>
      </c>
    </row>
    <row r="4" ht="15.75" customHeight="1">
      <c r="A4" s="5" t="s">
        <v>7953</v>
      </c>
      <c r="B4" s="5" t="s">
        <v>8048</v>
      </c>
    </row>
    <row r="5" ht="15.75" customHeight="1">
      <c r="A5" s="5" t="s">
        <v>7949</v>
      </c>
      <c r="B5" s="5" t="s">
        <v>8049</v>
      </c>
    </row>
    <row r="6" ht="15.75" customHeight="1">
      <c r="A6" s="5" t="s">
        <v>7955</v>
      </c>
      <c r="B6" s="5" t="s">
        <v>8050</v>
      </c>
    </row>
    <row r="7" ht="15.75" customHeight="1">
      <c r="A7" s="5" t="s">
        <v>7947</v>
      </c>
      <c r="B7" s="5" t="s">
        <v>8051</v>
      </c>
    </row>
    <row r="8" ht="15.75" customHeight="1">
      <c r="A8" s="5" t="s">
        <v>7959</v>
      </c>
      <c r="B8" s="5" t="s">
        <v>8052</v>
      </c>
    </row>
    <row r="9" ht="15.75" customHeight="1">
      <c r="A9" s="5" t="s">
        <v>7945</v>
      </c>
      <c r="B9" s="5" t="s">
        <v>8053</v>
      </c>
    </row>
    <row r="10" ht="15.75" customHeight="1">
      <c r="A10" s="5" t="s">
        <v>8054</v>
      </c>
      <c r="B10" s="5" t="s">
        <v>8055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